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arribaadvisors.sharepoint.com/Shared Documents/Arriba Home/1. US Clients/1. Active Clients/First State Bank - Waynesboro/10. Financial Analysis/Core/Archived and Approved TCOs/"/>
    </mc:Choice>
  </mc:AlternateContent>
  <xr:revisionPtr revIDLastSave="106" documentId="13_ncr:1_{0861A753-CAE5-45B0-BD9B-6C436EED6697}" xr6:coauthVersionLast="47" xr6:coauthVersionMax="47" xr10:uidLastSave="{4DC95C99-761B-4D73-97BF-96BE66439A3A}"/>
  <bookViews>
    <workbookView xWindow="-120" yWindow="-120" windowWidth="38640" windowHeight="21120" tabRatio="662" firstSheet="1" activeTab="1" xr2:uid="{00000000-000D-0000-FFFF-FFFF00000000}"/>
  </bookViews>
  <sheets>
    <sheet name="(INTERNAL) Basic Entry " sheetId="22" r:id="rId1"/>
    <sheet name="CORE Recurring Items" sheetId="19" r:id="rId2"/>
    <sheet name="CORE One Time Items" sheetId="27" r:id="rId3"/>
    <sheet name="Optional Items - DESIRED" sheetId="23" state="hidden" r:id="rId4"/>
    <sheet name="Optional Items - Unwanted" sheetId="25" state="hidden" r:id="rId5"/>
    <sheet name="DGTL Recurring Items" sheetId="29" r:id="rId6"/>
    <sheet name="DGTL One Time Items" sheetId="30" r:id="rId7"/>
    <sheet name="Optional Items" sheetId="31" r:id="rId8"/>
    <sheet name="PassThru Items" sheetId="28" state="hidden" r:id="rId9"/>
    <sheet name="Vendor TCO" sheetId="26" r:id="rId10"/>
    <sheet name="Vendor TCO (2.15.2024)" sheetId="33" r:id="rId11"/>
    <sheet name="Early Renewal Calculation" sheetId="32" state="hidden" r:id="rId12"/>
    <sheet name="Summary Report - Simple" sheetId="15" state="hidden" r:id="rId13"/>
    <sheet name="Summary Report - Detailed" sheetId="24" state="hidden" r:id="rId14"/>
  </sheets>
  <externalReferences>
    <externalReference r:id="rId15"/>
    <externalReference r:id="rId16"/>
  </externalReferences>
  <definedNames>
    <definedName name="_xlnm._FilterDatabase" localSheetId="2" hidden="1">'CORE One Time Items'!$G$5:$Q$5</definedName>
    <definedName name="_xlnm._FilterDatabase" localSheetId="1" hidden="1">'CORE Recurring Items'!$C$6:$AQ$6</definedName>
    <definedName name="_xlnm._FilterDatabase" localSheetId="6" hidden="1">'DGTL One Time Items'!$G$6:$Q$6</definedName>
    <definedName name="_xlnm._FilterDatabase" localSheetId="5" hidden="1">'DGTL Recurring Items'!$C$6:$AP$6</definedName>
    <definedName name="_xlnm._FilterDatabase" localSheetId="7" hidden="1">'Optional Items'!$C$6:$AQ$6</definedName>
    <definedName name="_xlnm._FilterDatabase" localSheetId="3" hidden="1">'Optional Items - DESIRED'!$C$6:$AH$6</definedName>
    <definedName name="_xlnm._FilterDatabase" localSheetId="4" hidden="1">'Optional Items - Unwanted'!$C$6:$AH$6</definedName>
    <definedName name="_xlnm._FilterDatabase" localSheetId="8" hidden="1">'PassThru Items'!$C$6:$AM$6</definedName>
    <definedName name="HighlightActiveRow">23</definedName>
    <definedName name="_xlnm.Print_Area" localSheetId="0">'(INTERNAL) Basic Entry '!$A$1:$H$26</definedName>
    <definedName name="_xlnm.Print_Area" localSheetId="2">'CORE One Time Items'!$A$2:$AA$54</definedName>
    <definedName name="_xlnm.Print_Area" localSheetId="1">'CORE Recurring Items'!$A$3:$BB$381</definedName>
    <definedName name="_xlnm.Print_Area" localSheetId="6">'DGTL One Time Items'!$A$3:$V$73</definedName>
    <definedName name="_xlnm.Print_Area" localSheetId="5">'DGTL Recurring Items'!$A$3:$BB$180</definedName>
    <definedName name="_xlnm.Print_Area" localSheetId="7">'Optional Items'!$A$3:$BC$57</definedName>
    <definedName name="_xlnm.Print_Area" localSheetId="3">'Optional Items - DESIRED'!$A$3:$AR$126</definedName>
    <definedName name="_xlnm.Print_Area" localSheetId="4">'Optional Items - Unwanted'!$A$3:$AR$126</definedName>
    <definedName name="_xlnm.Print_Area" localSheetId="8">'PassThru Items'!$A$3:$AW$39</definedName>
    <definedName name="_xlnm.Print_Area" localSheetId="9">'Vendor TCO'!$B$4:$C$15</definedName>
    <definedName name="_xlnm.Print_Area" localSheetId="10">'Vendor TCO (2.15.2024)'!#REF!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145" i="29" l="1"/>
  <c r="AV143" i="29"/>
  <c r="U70" i="30"/>
  <c r="Q24" i="33"/>
  <c r="Q22" i="33"/>
  <c r="Q21" i="33"/>
  <c r="Q18" i="33"/>
  <c r="M18" i="33"/>
  <c r="Q14" i="33"/>
  <c r="M14" i="33"/>
  <c r="Q12" i="33"/>
  <c r="Q10" i="33"/>
  <c r="M11" i="33"/>
  <c r="M10" i="33"/>
  <c r="H24" i="33"/>
  <c r="H22" i="33"/>
  <c r="H21" i="33"/>
  <c r="H18" i="33"/>
  <c r="C20" i="33"/>
  <c r="C19" i="33"/>
  <c r="C18" i="33"/>
  <c r="Q23" i="33" l="1"/>
  <c r="Q25" i="33" s="1"/>
  <c r="M13" i="33"/>
  <c r="Q13" i="33"/>
  <c r="C23" i="33"/>
  <c r="E23" i="33" s="1"/>
  <c r="H23" i="33"/>
  <c r="H25" i="33" s="1"/>
  <c r="H12" i="33"/>
  <c r="H14" i="33"/>
  <c r="H10" i="33"/>
  <c r="C14" i="33"/>
  <c r="C11" i="33"/>
  <c r="C10" i="33"/>
  <c r="BA37" i="31"/>
  <c r="AQ37" i="31"/>
  <c r="AK43" i="31"/>
  <c r="I43" i="31"/>
  <c r="J43" i="31" s="1"/>
  <c r="K43" i="31" s="1"/>
  <c r="L43" i="31" s="1"/>
  <c r="M43" i="31" s="1"/>
  <c r="AZ43" i="31" s="1"/>
  <c r="AL43" i="31"/>
  <c r="AL37" i="31"/>
  <c r="AM37" i="31" s="1"/>
  <c r="AN37" i="31" s="1"/>
  <c r="AO37" i="31" s="1"/>
  <c r="AP37" i="31" s="1"/>
  <c r="AT43" i="31"/>
  <c r="AT37" i="31"/>
  <c r="AI43" i="31"/>
  <c r="AI37" i="31"/>
  <c r="AW43" i="31"/>
  <c r="AV43" i="31"/>
  <c r="AZ37" i="31"/>
  <c r="AY37" i="31"/>
  <c r="AX37" i="31"/>
  <c r="AW37" i="31"/>
  <c r="AV37" i="31"/>
  <c r="AB37" i="31"/>
  <c r="AC37" i="31" s="1"/>
  <c r="AD37" i="31" s="1"/>
  <c r="AE37" i="31" s="1"/>
  <c r="AA37" i="31"/>
  <c r="Z37" i="31"/>
  <c r="X37" i="31"/>
  <c r="Q37" i="31"/>
  <c r="R37" i="31" s="1"/>
  <c r="S37" i="31" s="1"/>
  <c r="T37" i="31" s="1"/>
  <c r="U37" i="31" s="1"/>
  <c r="I37" i="31"/>
  <c r="J37" i="31" s="1"/>
  <c r="K37" i="31" s="1"/>
  <c r="L37" i="31" s="1"/>
  <c r="M37" i="31" s="1"/>
  <c r="AU41" i="31"/>
  <c r="AV26" i="31"/>
  <c r="AW26" i="31"/>
  <c r="AX26" i="31"/>
  <c r="AY26" i="31"/>
  <c r="AZ26" i="31"/>
  <c r="AV31" i="31"/>
  <c r="AW31" i="31"/>
  <c r="AX31" i="31"/>
  <c r="AY31" i="31"/>
  <c r="AZ31" i="31"/>
  <c r="AV32" i="31"/>
  <c r="AW32" i="31"/>
  <c r="AX32" i="31"/>
  <c r="AY32" i="31"/>
  <c r="AZ32" i="31"/>
  <c r="AV33" i="31"/>
  <c r="AW33" i="31"/>
  <c r="AX33" i="31"/>
  <c r="AY33" i="31"/>
  <c r="AZ33" i="31"/>
  <c r="AV38" i="31"/>
  <c r="AW38" i="31"/>
  <c r="AX38" i="31"/>
  <c r="AY38" i="31"/>
  <c r="AZ38" i="31"/>
  <c r="AV39" i="31"/>
  <c r="AW39" i="31"/>
  <c r="AX39" i="31"/>
  <c r="AY39" i="31"/>
  <c r="AZ39" i="31"/>
  <c r="AV40" i="31"/>
  <c r="AW40" i="31"/>
  <c r="AX40" i="31"/>
  <c r="AY40" i="31"/>
  <c r="AZ40" i="31"/>
  <c r="AV44" i="31"/>
  <c r="AW44" i="31"/>
  <c r="AX44" i="31"/>
  <c r="AY44" i="31"/>
  <c r="AZ44" i="31"/>
  <c r="AV45" i="31"/>
  <c r="AW45" i="31"/>
  <c r="AX45" i="31"/>
  <c r="AY45" i="31"/>
  <c r="AZ45" i="31"/>
  <c r="AV46" i="31"/>
  <c r="AW46" i="31"/>
  <c r="AX46" i="31"/>
  <c r="AY46" i="31"/>
  <c r="AZ46" i="31"/>
  <c r="AV51" i="31"/>
  <c r="AW51" i="31"/>
  <c r="AX51" i="31"/>
  <c r="AY51" i="31"/>
  <c r="AZ51" i="31"/>
  <c r="AV52" i="31"/>
  <c r="AW52" i="31"/>
  <c r="AX52" i="31"/>
  <c r="AY52" i="31"/>
  <c r="AZ52" i="31"/>
  <c r="BB56" i="31"/>
  <c r="BB20" i="31"/>
  <c r="BB8" i="31"/>
  <c r="AV20" i="31"/>
  <c r="AW20" i="31"/>
  <c r="AX20" i="31"/>
  <c r="AY20" i="31"/>
  <c r="AZ20" i="31"/>
  <c r="BA20" i="31"/>
  <c r="AS171" i="29"/>
  <c r="AS170" i="29"/>
  <c r="AT20" i="29"/>
  <c r="AT17" i="29"/>
  <c r="S61" i="30"/>
  <c r="AS168" i="29"/>
  <c r="S60" i="30"/>
  <c r="AS167" i="29"/>
  <c r="U62" i="30"/>
  <c r="I62" i="30"/>
  <c r="U61" i="30"/>
  <c r="I61" i="30"/>
  <c r="U60" i="30"/>
  <c r="S59" i="30"/>
  <c r="AS166" i="29"/>
  <c r="S58" i="30"/>
  <c r="AS165" i="29"/>
  <c r="AV165" i="29"/>
  <c r="AX165" i="29"/>
  <c r="AY165" i="29"/>
  <c r="AV166" i="29"/>
  <c r="AV167" i="29"/>
  <c r="AW167" i="29"/>
  <c r="AX167" i="29"/>
  <c r="AY167" i="29"/>
  <c r="AW168" i="29"/>
  <c r="AY168" i="29"/>
  <c r="AU169" i="29"/>
  <c r="AZ169" i="29" s="1"/>
  <c r="AV169" i="29"/>
  <c r="AW169" i="29"/>
  <c r="AX169" i="29"/>
  <c r="AY169" i="29"/>
  <c r="AV170" i="29"/>
  <c r="AW170" i="29"/>
  <c r="AX170" i="29"/>
  <c r="AY170" i="29"/>
  <c r="AU171" i="29"/>
  <c r="AV171" i="29"/>
  <c r="AW171" i="29"/>
  <c r="AX171" i="29"/>
  <c r="AY171" i="29"/>
  <c r="AU172" i="29"/>
  <c r="AV172" i="29"/>
  <c r="AW172" i="29"/>
  <c r="AX172" i="29"/>
  <c r="AY172" i="29"/>
  <c r="AU173" i="29"/>
  <c r="AV173" i="29"/>
  <c r="AW173" i="29"/>
  <c r="AX173" i="29"/>
  <c r="AY173" i="29"/>
  <c r="AU174" i="29"/>
  <c r="AV174" i="29"/>
  <c r="AW174" i="29"/>
  <c r="AX174" i="29"/>
  <c r="AY174" i="29"/>
  <c r="AU175" i="29"/>
  <c r="AV175" i="29"/>
  <c r="AW175" i="29"/>
  <c r="AX175" i="29"/>
  <c r="AY175" i="29"/>
  <c r="AU164" i="29"/>
  <c r="U58" i="30"/>
  <c r="U59" i="30"/>
  <c r="U63" i="30"/>
  <c r="U64" i="30"/>
  <c r="U65" i="30"/>
  <c r="U66" i="30"/>
  <c r="U57" i="30"/>
  <c r="S57" i="30"/>
  <c r="Q30" i="30" a="1"/>
  <c r="Q30" i="30" s="1"/>
  <c r="U8" i="30" a="1"/>
  <c r="U8" i="30" s="1"/>
  <c r="U9" i="30" a="1"/>
  <c r="U9" i="30" s="1"/>
  <c r="S37" i="30"/>
  <c r="O37" i="30"/>
  <c r="S19" i="30"/>
  <c r="O19" i="30"/>
  <c r="S8" i="30"/>
  <c r="O8" i="30"/>
  <c r="I169" i="29"/>
  <c r="J169" i="29" s="1"/>
  <c r="K169" i="29" s="1"/>
  <c r="L169" i="29" s="1"/>
  <c r="M169" i="29" s="1"/>
  <c r="I168" i="29"/>
  <c r="J168" i="29" s="1"/>
  <c r="K168" i="29" s="1"/>
  <c r="L168" i="29" s="1"/>
  <c r="M168" i="29" s="1"/>
  <c r="I167" i="29"/>
  <c r="J167" i="29" s="1"/>
  <c r="K167" i="29" s="1"/>
  <c r="L167" i="29" s="1"/>
  <c r="M167" i="29" s="1"/>
  <c r="I166" i="29"/>
  <c r="J166" i="29" s="1"/>
  <c r="K166" i="29" s="1"/>
  <c r="L166" i="29" s="1"/>
  <c r="M166" i="29" s="1"/>
  <c r="AY166" i="29" s="1"/>
  <c r="I165" i="29"/>
  <c r="J165" i="29" s="1"/>
  <c r="K165" i="29" s="1"/>
  <c r="L165" i="29" s="1"/>
  <c r="M165" i="29" s="1"/>
  <c r="I170" i="29"/>
  <c r="AU170" i="29" s="1"/>
  <c r="I172" i="29"/>
  <c r="J172" i="29" s="1"/>
  <c r="K172" i="29" s="1"/>
  <c r="L172" i="29" s="1"/>
  <c r="M172" i="29" s="1"/>
  <c r="I173" i="29"/>
  <c r="J173" i="29" s="1"/>
  <c r="K173" i="29" s="1"/>
  <c r="L173" i="29" s="1"/>
  <c r="M173" i="29" s="1"/>
  <c r="I174" i="29"/>
  <c r="J174" i="29" s="1"/>
  <c r="K174" i="29" s="1"/>
  <c r="L174" i="29" s="1"/>
  <c r="M174" i="29" s="1"/>
  <c r="I175" i="29"/>
  <c r="J175" i="29"/>
  <c r="K175" i="29" s="1"/>
  <c r="L175" i="29" s="1"/>
  <c r="M175" i="29" s="1"/>
  <c r="I164" i="29"/>
  <c r="J164" i="29" s="1"/>
  <c r="AV164" i="29" s="1"/>
  <c r="AS164" i="29"/>
  <c r="AU9" i="29"/>
  <c r="N177" i="29"/>
  <c r="Q177" i="29"/>
  <c r="AY56" i="29"/>
  <c r="AX56" i="29"/>
  <c r="AW56" i="29"/>
  <c r="AV56" i="29"/>
  <c r="AU56" i="29"/>
  <c r="AK56" i="29"/>
  <c r="AL56" i="29" s="1"/>
  <c r="AM56" i="29" s="1"/>
  <c r="AN56" i="29" s="1"/>
  <c r="AO56" i="29" s="1"/>
  <c r="AA56" i="29"/>
  <c r="Z56" i="29" s="1"/>
  <c r="P56" i="29"/>
  <c r="N56" i="29"/>
  <c r="AT145" i="29"/>
  <c r="AZ54" i="29"/>
  <c r="AZ58" i="29"/>
  <c r="AZ63" i="29"/>
  <c r="AZ73" i="29"/>
  <c r="AZ83" i="29"/>
  <c r="AZ91" i="29"/>
  <c r="AZ97" i="29"/>
  <c r="AZ101" i="29"/>
  <c r="AZ110" i="29"/>
  <c r="AZ115" i="29"/>
  <c r="AU112" i="29"/>
  <c r="AV112" i="29"/>
  <c r="AW112" i="29"/>
  <c r="AX112" i="29"/>
  <c r="AY112" i="29"/>
  <c r="AU113" i="29"/>
  <c r="AV113" i="29"/>
  <c r="AW113" i="29"/>
  <c r="AX113" i="29"/>
  <c r="AY113" i="29"/>
  <c r="AU114" i="29"/>
  <c r="AV114" i="29"/>
  <c r="AW114" i="29"/>
  <c r="AX114" i="29"/>
  <c r="AY114" i="29"/>
  <c r="AY111" i="29"/>
  <c r="AX111" i="29"/>
  <c r="AW111" i="29"/>
  <c r="AV111" i="29"/>
  <c r="AU111" i="29"/>
  <c r="AU103" i="29"/>
  <c r="AV103" i="29"/>
  <c r="AW103" i="29"/>
  <c r="AX103" i="29"/>
  <c r="AY103" i="29"/>
  <c r="AU104" i="29"/>
  <c r="AV104" i="29"/>
  <c r="AW104" i="29"/>
  <c r="AX104" i="29"/>
  <c r="AY104" i="29"/>
  <c r="AU105" i="29"/>
  <c r="AV105" i="29"/>
  <c r="AW105" i="29"/>
  <c r="AX105" i="29"/>
  <c r="AY105" i="29"/>
  <c r="AU106" i="29"/>
  <c r="AV106" i="29"/>
  <c r="AW106" i="29"/>
  <c r="AX106" i="29"/>
  <c r="AY106" i="29"/>
  <c r="AU107" i="29"/>
  <c r="AV107" i="29"/>
  <c r="AW107" i="29"/>
  <c r="AX107" i="29"/>
  <c r="AY107" i="29"/>
  <c r="AU108" i="29"/>
  <c r="AV108" i="29"/>
  <c r="AW108" i="29"/>
  <c r="AX108" i="29"/>
  <c r="AY108" i="29"/>
  <c r="AU109" i="29"/>
  <c r="AV109" i="29"/>
  <c r="AW109" i="29"/>
  <c r="AX109" i="29"/>
  <c r="AY109" i="29"/>
  <c r="AY102" i="29"/>
  <c r="AX102" i="29"/>
  <c r="AW102" i="29"/>
  <c r="AV102" i="29"/>
  <c r="AU102" i="29"/>
  <c r="AU100" i="29"/>
  <c r="AV100" i="29"/>
  <c r="AW100" i="29"/>
  <c r="AX100" i="29"/>
  <c r="AY100" i="29"/>
  <c r="AY98" i="29"/>
  <c r="AX98" i="29"/>
  <c r="AW98" i="29"/>
  <c r="AV98" i="29"/>
  <c r="AU98" i="29"/>
  <c r="AU93" i="29"/>
  <c r="AV93" i="29"/>
  <c r="AW93" i="29"/>
  <c r="AX93" i="29"/>
  <c r="AY93" i="29"/>
  <c r="AU95" i="29"/>
  <c r="AV95" i="29"/>
  <c r="AW95" i="29"/>
  <c r="AX95" i="29"/>
  <c r="AY95" i="29"/>
  <c r="AU96" i="29"/>
  <c r="AV96" i="29"/>
  <c r="AW96" i="29"/>
  <c r="AX96" i="29"/>
  <c r="AY96" i="29"/>
  <c r="AY92" i="29"/>
  <c r="AX92" i="29"/>
  <c r="AW92" i="29"/>
  <c r="AV92" i="29"/>
  <c r="AU92" i="29"/>
  <c r="AU85" i="29"/>
  <c r="AV85" i="29"/>
  <c r="AW85" i="29"/>
  <c r="AX85" i="29"/>
  <c r="AY85" i="29"/>
  <c r="AU86" i="29"/>
  <c r="AV86" i="29"/>
  <c r="AW86" i="29"/>
  <c r="AX86" i="29"/>
  <c r="AY86" i="29"/>
  <c r="AU87" i="29"/>
  <c r="AV87" i="29"/>
  <c r="AW87" i="29"/>
  <c r="AX87" i="29"/>
  <c r="AY87" i="29"/>
  <c r="AY84" i="29"/>
  <c r="AX84" i="29"/>
  <c r="AW84" i="29"/>
  <c r="AV84" i="29"/>
  <c r="AU84" i="29"/>
  <c r="AU75" i="29"/>
  <c r="AV75" i="29"/>
  <c r="AW75" i="29"/>
  <c r="AX75" i="29"/>
  <c r="AY75" i="29"/>
  <c r="AU76" i="29"/>
  <c r="AV76" i="29"/>
  <c r="AW76" i="29"/>
  <c r="AX76" i="29"/>
  <c r="AY76" i="29"/>
  <c r="AU77" i="29"/>
  <c r="AV77" i="29"/>
  <c r="AW77" i="29"/>
  <c r="AX77" i="29"/>
  <c r="AY77" i="29"/>
  <c r="AU78" i="29"/>
  <c r="AV78" i="29"/>
  <c r="AW78" i="29"/>
  <c r="AX78" i="29"/>
  <c r="AY78" i="29"/>
  <c r="AU79" i="29"/>
  <c r="AV79" i="29"/>
  <c r="AW79" i="29"/>
  <c r="AX79" i="29"/>
  <c r="AY79" i="29"/>
  <c r="AU80" i="29"/>
  <c r="AV80" i="29"/>
  <c r="AW80" i="29"/>
  <c r="AX80" i="29"/>
  <c r="AY80" i="29"/>
  <c r="AU82" i="29"/>
  <c r="AV82" i="29"/>
  <c r="AW82" i="29"/>
  <c r="AX82" i="29"/>
  <c r="AY82" i="29"/>
  <c r="AY74" i="29"/>
  <c r="AX74" i="29"/>
  <c r="AW74" i="29"/>
  <c r="AV74" i="29"/>
  <c r="AU74" i="29"/>
  <c r="AU65" i="29"/>
  <c r="AV65" i="29"/>
  <c r="AW65" i="29"/>
  <c r="AX65" i="29"/>
  <c r="AY65" i="29"/>
  <c r="AU66" i="29"/>
  <c r="AV66" i="29"/>
  <c r="AW66" i="29"/>
  <c r="AX66" i="29"/>
  <c r="AY66" i="29"/>
  <c r="AU67" i="29"/>
  <c r="AV67" i="29"/>
  <c r="AW67" i="29"/>
  <c r="AX67" i="29"/>
  <c r="AY67" i="29"/>
  <c r="AU70" i="29"/>
  <c r="AV70" i="29"/>
  <c r="AW70" i="29"/>
  <c r="AX70" i="29"/>
  <c r="AY70" i="29"/>
  <c r="AU71" i="29"/>
  <c r="AV71" i="29"/>
  <c r="AW71" i="29"/>
  <c r="AX71" i="29"/>
  <c r="AY71" i="29"/>
  <c r="AU72" i="29"/>
  <c r="AV72" i="29"/>
  <c r="AW72" i="29"/>
  <c r="AX72" i="29"/>
  <c r="AY72" i="29"/>
  <c r="AY64" i="29"/>
  <c r="AX64" i="29"/>
  <c r="AW64" i="29"/>
  <c r="AV64" i="29"/>
  <c r="AU64" i="29"/>
  <c r="AU60" i="29"/>
  <c r="AV60" i="29"/>
  <c r="AW60" i="29"/>
  <c r="AX60" i="29"/>
  <c r="AY60" i="29"/>
  <c r="AU61" i="29"/>
  <c r="AV61" i="29"/>
  <c r="AW61" i="29"/>
  <c r="AX61" i="29"/>
  <c r="AY61" i="29"/>
  <c r="AU62" i="29"/>
  <c r="AV62" i="29"/>
  <c r="AW62" i="29"/>
  <c r="AX62" i="29"/>
  <c r="AY62" i="29"/>
  <c r="AY59" i="29"/>
  <c r="AX59" i="29"/>
  <c r="AW59" i="29"/>
  <c r="AV59" i="29"/>
  <c r="AU59" i="29"/>
  <c r="AU14" i="29"/>
  <c r="AV14" i="29"/>
  <c r="AW14" i="29"/>
  <c r="AX14" i="29"/>
  <c r="AY14" i="29"/>
  <c r="AU15" i="29"/>
  <c r="AV15" i="29"/>
  <c r="AW15" i="29"/>
  <c r="AX15" i="29"/>
  <c r="AY15" i="29"/>
  <c r="AU16" i="29"/>
  <c r="AV16" i="29"/>
  <c r="AW16" i="29"/>
  <c r="AX16" i="29"/>
  <c r="AY16" i="29"/>
  <c r="AU19" i="29"/>
  <c r="AV19" i="29"/>
  <c r="AW19" i="29"/>
  <c r="AX19" i="29"/>
  <c r="AY19" i="29"/>
  <c r="AU22" i="29"/>
  <c r="AV22" i="29"/>
  <c r="AW22" i="29"/>
  <c r="AX22" i="29"/>
  <c r="AY22" i="29"/>
  <c r="AU23" i="29"/>
  <c r="AV23" i="29"/>
  <c r="AW23" i="29"/>
  <c r="AX23" i="29"/>
  <c r="AY23" i="29"/>
  <c r="AU24" i="29"/>
  <c r="AV24" i="29"/>
  <c r="AW24" i="29"/>
  <c r="AX24" i="29"/>
  <c r="AY24" i="29"/>
  <c r="AU25" i="29"/>
  <c r="AV25" i="29"/>
  <c r="AW25" i="29"/>
  <c r="AX25" i="29"/>
  <c r="AY25" i="29"/>
  <c r="AU28" i="29"/>
  <c r="AV28" i="29"/>
  <c r="AW28" i="29"/>
  <c r="AX28" i="29"/>
  <c r="AY28" i="29"/>
  <c r="AU29" i="29"/>
  <c r="AV29" i="29"/>
  <c r="AW29" i="29"/>
  <c r="AX29" i="29"/>
  <c r="AY29" i="29"/>
  <c r="AU30" i="29"/>
  <c r="AV30" i="29"/>
  <c r="AW30" i="29"/>
  <c r="AX30" i="29"/>
  <c r="AY30" i="29"/>
  <c r="AU31" i="29"/>
  <c r="AV31" i="29"/>
  <c r="AW31" i="29"/>
  <c r="AX31" i="29"/>
  <c r="AY31" i="29"/>
  <c r="AU32" i="29"/>
  <c r="AV32" i="29"/>
  <c r="AW32" i="29"/>
  <c r="AX32" i="29"/>
  <c r="AY32" i="29"/>
  <c r="AU33" i="29"/>
  <c r="AV33" i="29"/>
  <c r="AW33" i="29"/>
  <c r="AX33" i="29"/>
  <c r="AY33" i="29"/>
  <c r="AU34" i="29"/>
  <c r="AV34" i="29"/>
  <c r="AW34" i="29"/>
  <c r="AX34" i="29"/>
  <c r="AY34" i="29"/>
  <c r="AU35" i="29"/>
  <c r="AV35" i="29"/>
  <c r="AW35" i="29"/>
  <c r="AX35" i="29"/>
  <c r="AY35" i="29"/>
  <c r="AU36" i="29"/>
  <c r="AV36" i="29"/>
  <c r="AW36" i="29"/>
  <c r="AX36" i="29"/>
  <c r="AY36" i="29"/>
  <c r="AU37" i="29"/>
  <c r="AV37" i="29"/>
  <c r="AW37" i="29"/>
  <c r="AX37" i="29"/>
  <c r="AY37" i="29"/>
  <c r="AU38" i="29"/>
  <c r="AV38" i="29"/>
  <c r="AW38" i="29"/>
  <c r="AX38" i="29"/>
  <c r="AY38" i="29"/>
  <c r="AU53" i="29"/>
  <c r="AV53" i="29"/>
  <c r="AW53" i="29"/>
  <c r="AX53" i="29"/>
  <c r="AY53" i="29"/>
  <c r="AU57" i="29"/>
  <c r="AV57" i="29"/>
  <c r="AW57" i="29"/>
  <c r="AX57" i="29"/>
  <c r="AY57" i="29"/>
  <c r="Q49" i="27"/>
  <c r="AQ353" i="19"/>
  <c r="AY43" i="31" l="1"/>
  <c r="AX43" i="31"/>
  <c r="BA43" i="31" s="1"/>
  <c r="C13" i="33"/>
  <c r="E13" i="33" s="1"/>
  <c r="Q15" i="33"/>
  <c r="Q28" i="33" s="1"/>
  <c r="Q27" i="33"/>
  <c r="O13" i="33"/>
  <c r="M15" i="33"/>
  <c r="O15" i="33" s="1"/>
  <c r="H13" i="33"/>
  <c r="AX168" i="29"/>
  <c r="AU167" i="29"/>
  <c r="AW165" i="29"/>
  <c r="AV168" i="29"/>
  <c r="AX166" i="29"/>
  <c r="AU165" i="29"/>
  <c r="AZ165" i="29" s="1"/>
  <c r="AU168" i="29"/>
  <c r="AZ168" i="29" s="1"/>
  <c r="AW166" i="29"/>
  <c r="AZ166" i="29" s="1"/>
  <c r="AU166" i="29"/>
  <c r="AM43" i="31"/>
  <c r="AK37" i="31"/>
  <c r="P37" i="31"/>
  <c r="V37" i="31"/>
  <c r="AF37" i="31"/>
  <c r="AZ167" i="29"/>
  <c r="U68" i="30"/>
  <c r="AZ171" i="29"/>
  <c r="AZ174" i="29"/>
  <c r="AZ170" i="29"/>
  <c r="AZ175" i="29"/>
  <c r="AZ172" i="29"/>
  <c r="AZ173" i="29"/>
  <c r="K164" i="29"/>
  <c r="AW164" i="29" s="1"/>
  <c r="AV9" i="29"/>
  <c r="AW9" i="29" s="1"/>
  <c r="AX9" i="29" s="1"/>
  <c r="AY9" i="29" s="1"/>
  <c r="AB56" i="29"/>
  <c r="AC56" i="29" s="1"/>
  <c r="AD56" i="29" s="1"/>
  <c r="AE56" i="29" s="1"/>
  <c r="AZ56" i="29"/>
  <c r="S177" i="29"/>
  <c r="T177" i="29"/>
  <c r="U177" i="29"/>
  <c r="R177" i="29"/>
  <c r="AZ38" i="29"/>
  <c r="AP56" i="29"/>
  <c r="AZ98" i="29"/>
  <c r="AZ70" i="29"/>
  <c r="AZ85" i="29"/>
  <c r="AZ37" i="29"/>
  <c r="AZ15" i="29"/>
  <c r="AZ114" i="29"/>
  <c r="AZ57" i="29"/>
  <c r="AZ35" i="29"/>
  <c r="AZ113" i="29"/>
  <c r="AZ100" i="29"/>
  <c r="AZ29" i="29"/>
  <c r="AZ71" i="29"/>
  <c r="AZ79" i="29"/>
  <c r="AZ84" i="29"/>
  <c r="AZ109" i="29"/>
  <c r="AZ112" i="29"/>
  <c r="AZ36" i="29"/>
  <c r="AZ28" i="29"/>
  <c r="AZ19" i="29"/>
  <c r="AZ78" i="29"/>
  <c r="AZ32" i="29"/>
  <c r="AZ59" i="29"/>
  <c r="AZ60" i="29"/>
  <c r="AZ67" i="29"/>
  <c r="AZ92" i="29"/>
  <c r="AZ108" i="29"/>
  <c r="AZ105" i="29"/>
  <c r="AZ104" i="29"/>
  <c r="AZ25" i="29"/>
  <c r="AZ64" i="29"/>
  <c r="AZ77" i="29"/>
  <c r="AZ96" i="29"/>
  <c r="AZ30" i="29"/>
  <c r="AZ16" i="29"/>
  <c r="AZ62" i="29"/>
  <c r="AZ72" i="29"/>
  <c r="AZ80" i="29"/>
  <c r="AZ76" i="29"/>
  <c r="AZ86" i="29"/>
  <c r="AZ75" i="29"/>
  <c r="AZ14" i="29"/>
  <c r="AZ31" i="29"/>
  <c r="AZ33" i="29"/>
  <c r="AZ23" i="29"/>
  <c r="AZ65" i="29"/>
  <c r="AZ93" i="29"/>
  <c r="AZ74" i="29"/>
  <c r="AZ53" i="29"/>
  <c r="AZ34" i="29"/>
  <c r="AZ82" i="29"/>
  <c r="AZ87" i="29"/>
  <c r="AZ103" i="29"/>
  <c r="AZ24" i="29"/>
  <c r="AZ66" i="29"/>
  <c r="AZ95" i="29"/>
  <c r="AZ102" i="29"/>
  <c r="AZ107" i="29"/>
  <c r="AZ106" i="29"/>
  <c r="AZ111" i="29"/>
  <c r="AZ22" i="29"/>
  <c r="AZ61" i="29"/>
  <c r="V383" i="19"/>
  <c r="AN43" i="31" l="1"/>
  <c r="AO43" i="31" s="1"/>
  <c r="AP43" i="31" s="1"/>
  <c r="C27" i="33"/>
  <c r="E27" i="33" s="1"/>
  <c r="C15" i="33"/>
  <c r="E15" i="33" s="1"/>
  <c r="H15" i="33"/>
  <c r="H28" i="33" s="1"/>
  <c r="H27" i="33"/>
  <c r="J27" i="33" s="1"/>
  <c r="L164" i="29"/>
  <c r="AX164" i="29" s="1"/>
  <c r="AZ9" i="29"/>
  <c r="V177" i="29"/>
  <c r="AF56" i="29"/>
  <c r="I90" i="29"/>
  <c r="AK90" i="29" s="1"/>
  <c r="AQ43" i="31" l="1"/>
  <c r="M164" i="29"/>
  <c r="AY164" i="29" s="1"/>
  <c r="AZ164" i="29" s="1"/>
  <c r="AZ177" i="29" s="1"/>
  <c r="M20" i="33" s="1"/>
  <c r="J90" i="29"/>
  <c r="AU90" i="29"/>
  <c r="K90" i="29" l="1"/>
  <c r="AV90" i="29"/>
  <c r="AL90" i="29"/>
  <c r="AE213" i="19" a="1"/>
  <c r="AE213" i="19" s="1"/>
  <c r="AD213" i="19" a="1"/>
  <c r="AD213" i="19" s="1"/>
  <c r="AC213" i="19" a="1"/>
  <c r="AC213" i="19" s="1"/>
  <c r="AB213" i="19" a="1"/>
  <c r="AB213" i="19" s="1"/>
  <c r="AM213" i="19" a="1"/>
  <c r="AM213" i="19" s="1"/>
  <c r="AE160" i="19" a="1"/>
  <c r="AE160" i="19" s="1"/>
  <c r="AD160" i="19" a="1"/>
  <c r="AD160" i="19" s="1"/>
  <c r="AC160" i="19" a="1"/>
  <c r="AC160" i="19" s="1"/>
  <c r="AB160" i="19" a="1"/>
  <c r="AB160" i="19" s="1"/>
  <c r="AM160" i="19" a="1"/>
  <c r="AM160" i="19" s="1"/>
  <c r="AF99" i="19"/>
  <c r="AE99" i="19"/>
  <c r="AD99" i="19"/>
  <c r="AC99" i="19"/>
  <c r="AB99" i="19"/>
  <c r="AM99" i="19"/>
  <c r="AA99" i="19"/>
  <c r="AL99" i="19"/>
  <c r="AB37" i="19" a="1"/>
  <c r="AB37" i="19" s="1"/>
  <c r="AC37" i="19" s="1"/>
  <c r="AD37" i="19" s="1"/>
  <c r="AE37" i="19" s="1"/>
  <c r="AM37" i="19" a="1"/>
  <c r="AM37" i="19" s="1"/>
  <c r="AB14" i="19" a="1"/>
  <c r="AB14" i="19" s="1"/>
  <c r="AC14" i="19" s="1"/>
  <c r="AD14" i="19" s="1"/>
  <c r="AE14" i="19" s="1"/>
  <c r="AM14" i="19" a="1"/>
  <c r="AM14" i="19" s="1"/>
  <c r="M41" i="27"/>
  <c r="AM90" i="29" l="1"/>
  <c r="L90" i="29"/>
  <c r="AW90" i="29"/>
  <c r="Z99" i="19"/>
  <c r="Q9" i="19"/>
  <c r="R9" i="19"/>
  <c r="S9" i="19"/>
  <c r="T9" i="19"/>
  <c r="U9" i="19"/>
  <c r="K9" i="19"/>
  <c r="L9" i="19"/>
  <c r="M9" i="19"/>
  <c r="J9" i="19"/>
  <c r="AI52" i="31"/>
  <c r="AL363" i="19"/>
  <c r="AM363" i="19" s="1"/>
  <c r="AN363" i="19" s="1"/>
  <c r="AO363" i="19" s="1"/>
  <c r="AP363" i="19" s="1"/>
  <c r="AA363" i="19"/>
  <c r="X363" i="19"/>
  <c r="Q363" i="19"/>
  <c r="N363" i="19"/>
  <c r="AA220" i="19" a="1"/>
  <c r="AA220" i="19"/>
  <c r="X332" i="19"/>
  <c r="AI332" i="19"/>
  <c r="N332" i="19"/>
  <c r="AT331" i="19"/>
  <c r="AQ331" i="19"/>
  <c r="AI331" i="19"/>
  <c r="X331" i="19"/>
  <c r="N331" i="19"/>
  <c r="B331" i="19"/>
  <c r="V393" i="19"/>
  <c r="AJ353" i="19"/>
  <c r="AI415" i="19"/>
  <c r="AQ298" i="19"/>
  <c r="AL362" i="19"/>
  <c r="AM362" i="19" s="1"/>
  <c r="AN362" i="19" s="1"/>
  <c r="AO362" i="19" s="1"/>
  <c r="AP362" i="19" s="1"/>
  <c r="AL361" i="19"/>
  <c r="AM361" i="19" s="1"/>
  <c r="AN361" i="19" s="1"/>
  <c r="AO361" i="19" s="1"/>
  <c r="AP361" i="19" s="1"/>
  <c r="AL360" i="19"/>
  <c r="AA362" i="19"/>
  <c r="AB362" i="19" s="1"/>
  <c r="AC362" i="19" s="1"/>
  <c r="AA361" i="19"/>
  <c r="AA360" i="19"/>
  <c r="AB360" i="19" s="1"/>
  <c r="O44" i="30"/>
  <c r="O43" i="30"/>
  <c r="O41" i="30"/>
  <c r="O42" i="30"/>
  <c r="O40" i="30"/>
  <c r="O39" i="30"/>
  <c r="O38" i="30"/>
  <c r="S36" i="30"/>
  <c r="O36" i="30"/>
  <c r="K36" i="30"/>
  <c r="G36" i="30"/>
  <c r="S54" i="30"/>
  <c r="O54" i="30"/>
  <c r="K54" i="30"/>
  <c r="G54" i="30"/>
  <c r="U52" i="30"/>
  <c r="Q52" i="30"/>
  <c r="M52" i="30"/>
  <c r="I52" i="30"/>
  <c r="U51" i="30"/>
  <c r="Q51" i="30" a="1"/>
  <c r="Q51" i="30" s="1"/>
  <c r="M51" i="30"/>
  <c r="I51" i="30"/>
  <c r="U50" i="30"/>
  <c r="Q50" i="30" a="1"/>
  <c r="Q50" i="30" s="1"/>
  <c r="M50" i="30"/>
  <c r="I50" i="30"/>
  <c r="U49" i="30"/>
  <c r="Q49" i="30" a="1"/>
  <c r="Q49" i="30" s="1"/>
  <c r="M49" i="30"/>
  <c r="I49" i="30"/>
  <c r="U48" i="30"/>
  <c r="Q48" i="30" a="1"/>
  <c r="Q48" i="30" s="1"/>
  <c r="M48" i="30"/>
  <c r="I48" i="30"/>
  <c r="U47" i="30"/>
  <c r="Q47" i="30" a="1"/>
  <c r="Q47" i="30" s="1"/>
  <c r="M47" i="30"/>
  <c r="I47" i="30"/>
  <c r="U46" i="30"/>
  <c r="Q46" i="30" a="1"/>
  <c r="Q46" i="30" s="1"/>
  <c r="M46" i="30"/>
  <c r="I46" i="30"/>
  <c r="U45" i="30"/>
  <c r="Q45" i="30" a="1"/>
  <c r="Q45" i="30" s="1"/>
  <c r="M45" i="30"/>
  <c r="I45" i="30"/>
  <c r="U44" i="30"/>
  <c r="Q44" i="30" a="1"/>
  <c r="Q44" i="30" s="1"/>
  <c r="M44" i="30"/>
  <c r="I44" i="30"/>
  <c r="U43" i="30"/>
  <c r="Q43" i="30" a="1"/>
  <c r="Q43" i="30" s="1"/>
  <c r="M43" i="30"/>
  <c r="I43" i="30"/>
  <c r="U41" i="30"/>
  <c r="Q41" i="30" a="1"/>
  <c r="Q41" i="30" s="1"/>
  <c r="M41" i="30"/>
  <c r="I41" i="30"/>
  <c r="U42" i="30"/>
  <c r="Q42" i="30" a="1"/>
  <c r="Q42" i="30" s="1"/>
  <c r="M42" i="30"/>
  <c r="I42" i="30"/>
  <c r="U40" i="30"/>
  <c r="Q40" i="30" a="1"/>
  <c r="Q40" i="30" s="1"/>
  <c r="M40" i="30"/>
  <c r="I40" i="30"/>
  <c r="U39" i="30"/>
  <c r="Q39" i="30" a="1"/>
  <c r="Q39" i="30" s="1"/>
  <c r="M39" i="30"/>
  <c r="I39" i="30"/>
  <c r="U38" i="30"/>
  <c r="Q38" i="30" a="1"/>
  <c r="Q38" i="30" s="1"/>
  <c r="M38" i="30"/>
  <c r="I38" i="30"/>
  <c r="U37" i="30"/>
  <c r="Q37" i="30"/>
  <c r="M37" i="30"/>
  <c r="K37" i="30"/>
  <c r="I37" i="30"/>
  <c r="G37" i="30"/>
  <c r="U54" i="30" l="1"/>
  <c r="AN90" i="29"/>
  <c r="M90" i="29"/>
  <c r="AY90" i="29" s="1"/>
  <c r="AX90" i="29"/>
  <c r="R363" i="19"/>
  <c r="AB363" i="19"/>
  <c r="AC360" i="19"/>
  <c r="AD360" i="19" s="1"/>
  <c r="AE360" i="19" s="1"/>
  <c r="AA378" i="19"/>
  <c r="AB361" i="19"/>
  <c r="AL378" i="19"/>
  <c r="AM360" i="19"/>
  <c r="AD362" i="19"/>
  <c r="AE362" i="19" s="1"/>
  <c r="I54" i="30"/>
  <c r="M54" i="30"/>
  <c r="Q54" i="30"/>
  <c r="X345" i="19"/>
  <c r="D7" i="32"/>
  <c r="D8" i="32" s="1"/>
  <c r="AZ90" i="29" l="1"/>
  <c r="AO90" i="29"/>
  <c r="AP90" i="29" s="1"/>
  <c r="AF360" i="19"/>
  <c r="AF362" i="19"/>
  <c r="AC363" i="19"/>
  <c r="AD363" i="19" s="1"/>
  <c r="AE363" i="19" s="1"/>
  <c r="AF363" i="19"/>
  <c r="S363" i="19"/>
  <c r="T363" i="19" s="1"/>
  <c r="U363" i="19" s="1"/>
  <c r="V363" i="19"/>
  <c r="AC361" i="19"/>
  <c r="AB378" i="19"/>
  <c r="AM378" i="19"/>
  <c r="AN360" i="19"/>
  <c r="B15" i="32"/>
  <c r="D10" i="32"/>
  <c r="B14" i="32"/>
  <c r="AD361" i="19" l="1"/>
  <c r="AC378" i="19"/>
  <c r="AO360" i="19"/>
  <c r="AN378" i="19"/>
  <c r="AI36" i="31"/>
  <c r="AA36" i="31"/>
  <c r="Z36" i="31" s="1"/>
  <c r="P36" i="31"/>
  <c r="I36" i="31"/>
  <c r="U29" i="30"/>
  <c r="Q29" i="30" a="1"/>
  <c r="Q29" i="30" s="1"/>
  <c r="O29" i="30"/>
  <c r="M29" i="30"/>
  <c r="I29" i="30"/>
  <c r="U28" i="30"/>
  <c r="Q28" i="30" a="1"/>
  <c r="Q28" i="30" s="1"/>
  <c r="O28" i="30"/>
  <c r="M28" i="30"/>
  <c r="I28" i="30"/>
  <c r="U27" i="30"/>
  <c r="Q27" i="30" a="1"/>
  <c r="Q27" i="30" s="1"/>
  <c r="O27" i="30"/>
  <c r="M27" i="30"/>
  <c r="I27" i="30"/>
  <c r="I41" i="31" a="1"/>
  <c r="I41" i="31" s="1"/>
  <c r="AV41" i="31" s="1"/>
  <c r="AI40" i="31"/>
  <c r="AA40" i="31"/>
  <c r="AB40" i="31" s="1"/>
  <c r="P40" i="31"/>
  <c r="I40" i="31"/>
  <c r="J40" i="31" s="1"/>
  <c r="K40" i="31" s="1"/>
  <c r="L40" i="31" s="1"/>
  <c r="M40" i="31" s="1"/>
  <c r="M41" i="31" s="1" a="1"/>
  <c r="M41" i="31" s="1"/>
  <c r="AZ41" i="31" s="1"/>
  <c r="AI53" i="29"/>
  <c r="AA53" i="29"/>
  <c r="AB53" i="29" s="1"/>
  <c r="Z53" i="29"/>
  <c r="P53" i="29"/>
  <c r="I53" i="29"/>
  <c r="J53" i="29" s="1"/>
  <c r="K53" i="29" s="1"/>
  <c r="L53" i="29" s="1"/>
  <c r="M53" i="29" s="1"/>
  <c r="M54" i="29" s="1" a="1"/>
  <c r="M54" i="29" s="1"/>
  <c r="M55" i="29" s="1"/>
  <c r="AI25" i="29"/>
  <c r="AA25" i="29"/>
  <c r="AB25" i="29" s="1"/>
  <c r="P25" i="29"/>
  <c r="I25" i="29"/>
  <c r="J25" i="29" s="1"/>
  <c r="AI19" i="29"/>
  <c r="AA19" i="29"/>
  <c r="AB19" i="29" s="1"/>
  <c r="AC19" i="29" s="1"/>
  <c r="AD19" i="29" s="1"/>
  <c r="AE19" i="29" s="1"/>
  <c r="P19" i="29"/>
  <c r="I19" i="29"/>
  <c r="J19" i="29" s="1"/>
  <c r="K19" i="29" s="1"/>
  <c r="L19" i="29" s="1"/>
  <c r="M19" i="29" s="1"/>
  <c r="M20" i="29" s="1" a="1"/>
  <c r="M20" i="29" s="1"/>
  <c r="AI16" i="29"/>
  <c r="AA16" i="29"/>
  <c r="AB16" i="29" s="1"/>
  <c r="P16" i="29"/>
  <c r="I16" i="29"/>
  <c r="I17" i="29" s="1" a="1"/>
  <c r="I17" i="29" s="1"/>
  <c r="AU11" i="29"/>
  <c r="AI11" i="29"/>
  <c r="AA11" i="29"/>
  <c r="Z11" i="29" s="1"/>
  <c r="P11" i="29"/>
  <c r="I11" i="29"/>
  <c r="I12" i="29" s="1" a="1"/>
  <c r="I12" i="29" s="1"/>
  <c r="AL36" i="31" l="1"/>
  <c r="AV36" i="31"/>
  <c r="AB36" i="31"/>
  <c r="AC36" i="31" s="1"/>
  <c r="AD36" i="31" s="1"/>
  <c r="AE36" i="31" s="1"/>
  <c r="Z40" i="31"/>
  <c r="M42" i="31"/>
  <c r="AP41" i="31"/>
  <c r="I42" i="31"/>
  <c r="AL41" i="31"/>
  <c r="I20" i="29" a="1"/>
  <c r="I20" i="29" s="1"/>
  <c r="AU20" i="29" s="1"/>
  <c r="K20" i="29" a="1"/>
  <c r="K20" i="29" s="1"/>
  <c r="K21" i="29" s="1"/>
  <c r="AW21" i="29" s="1"/>
  <c r="L54" i="29" a="1"/>
  <c r="L54" i="29" s="1"/>
  <c r="L55" i="29" s="1"/>
  <c r="AX55" i="29" s="1"/>
  <c r="J20" i="29" a="1"/>
  <c r="J20" i="29" s="1"/>
  <c r="J21" i="29" s="1"/>
  <c r="AV21" i="29" s="1"/>
  <c r="AY55" i="29"/>
  <c r="AO55" i="29"/>
  <c r="M21" i="29"/>
  <c r="AY21" i="29" s="1"/>
  <c r="AY20" i="29"/>
  <c r="I54" i="29" a="1"/>
  <c r="I54" i="29" s="1"/>
  <c r="I55" i="29" s="1"/>
  <c r="AK12" i="29"/>
  <c r="AU12" i="29"/>
  <c r="AV11" i="29"/>
  <c r="AW11" i="29" s="1"/>
  <c r="AX11" i="29" s="1"/>
  <c r="AY11" i="29" s="1"/>
  <c r="I26" i="29" a="1"/>
  <c r="I26" i="29" s="1"/>
  <c r="J54" i="29" a="1"/>
  <c r="J54" i="29" s="1"/>
  <c r="J55" i="29" s="1"/>
  <c r="I18" i="29"/>
  <c r="AU17" i="29"/>
  <c r="K54" i="29" a="1"/>
  <c r="K54" i="29" s="1"/>
  <c r="K55" i="29" s="1"/>
  <c r="J41" i="31" a="1"/>
  <c r="J41" i="31" s="1"/>
  <c r="AW41" i="31" s="1"/>
  <c r="L41" i="31" a="1"/>
  <c r="L41" i="31" s="1"/>
  <c r="AY41" i="31" s="1"/>
  <c r="AD378" i="19"/>
  <c r="AE361" i="19"/>
  <c r="AP360" i="19"/>
  <c r="AP378" i="19" s="1"/>
  <c r="AO378" i="19"/>
  <c r="AK36" i="31"/>
  <c r="J36" i="31"/>
  <c r="AW36" i="31" s="1"/>
  <c r="K41" i="31" a="1"/>
  <c r="K41" i="31" s="1"/>
  <c r="AX41" i="31" s="1"/>
  <c r="AC40" i="31"/>
  <c r="AD40" i="31" s="1"/>
  <c r="AE40" i="31" s="1"/>
  <c r="AC53" i="29"/>
  <c r="AD53" i="29" s="1"/>
  <c r="AE53" i="29" s="1"/>
  <c r="K25" i="29"/>
  <c r="J26" i="29" a="1"/>
  <c r="J26" i="29" s="1"/>
  <c r="Z25" i="29"/>
  <c r="AC25" i="29"/>
  <c r="AD25" i="29" s="1"/>
  <c r="AE25" i="29" s="1"/>
  <c r="L20" i="29" a="1"/>
  <c r="L20" i="29" s="1"/>
  <c r="Z19" i="29"/>
  <c r="J16" i="29"/>
  <c r="Z16" i="29"/>
  <c r="AF19" i="29"/>
  <c r="AC16" i="29"/>
  <c r="AD16" i="29" s="1"/>
  <c r="AE16" i="29" s="1"/>
  <c r="I13" i="29"/>
  <c r="AB11" i="29"/>
  <c r="J11" i="29"/>
  <c r="X52" i="31"/>
  <c r="Q52" i="31"/>
  <c r="P52" i="31" s="1"/>
  <c r="I52" i="31"/>
  <c r="AL42" i="31" l="1"/>
  <c r="AV42" i="31"/>
  <c r="AP42" i="31"/>
  <c r="AZ42" i="31"/>
  <c r="AF36" i="31"/>
  <c r="K42" i="31"/>
  <c r="AN41" i="31"/>
  <c r="L42" i="31"/>
  <c r="AO41" i="31"/>
  <c r="J42" i="31"/>
  <c r="AM41" i="31"/>
  <c r="I21" i="29"/>
  <c r="AU21" i="29" s="1"/>
  <c r="AW20" i="29"/>
  <c r="AN55" i="29"/>
  <c r="AV20" i="29"/>
  <c r="I27" i="29"/>
  <c r="AU26" i="29"/>
  <c r="AZ11" i="29"/>
  <c r="J27" i="29"/>
  <c r="AV26" i="29"/>
  <c r="AK18" i="29"/>
  <c r="AU18" i="29"/>
  <c r="AU55" i="29"/>
  <c r="AK55" i="29"/>
  <c r="AW55" i="29"/>
  <c r="AM55" i="29"/>
  <c r="AK13" i="29"/>
  <c r="AU13" i="29"/>
  <c r="AV55" i="29"/>
  <c r="AL55" i="29"/>
  <c r="L21" i="29"/>
  <c r="AX21" i="29" s="1"/>
  <c r="AZ21" i="29" s="1"/>
  <c r="AX20" i="29"/>
  <c r="AL52" i="31" a="1"/>
  <c r="AL52" i="31" s="1"/>
  <c r="AK52" i="31" s="1"/>
  <c r="AA52" i="31"/>
  <c r="Z52" i="31" s="1"/>
  <c r="K36" i="31"/>
  <c r="AM36" i="31"/>
  <c r="AE378" i="19"/>
  <c r="AF378" i="19" s="1"/>
  <c r="AF361" i="19"/>
  <c r="AQ378" i="19"/>
  <c r="AF40" i="31"/>
  <c r="J52" i="31"/>
  <c r="AB52" i="31" s="1"/>
  <c r="R52" i="31"/>
  <c r="S52" i="31" s="1"/>
  <c r="T52" i="31" s="1"/>
  <c r="U52" i="31" s="1"/>
  <c r="BA40" i="31"/>
  <c r="L25" i="29"/>
  <c r="K26" i="29" a="1"/>
  <c r="K26" i="29" s="1"/>
  <c r="AF53" i="29"/>
  <c r="AF25" i="29"/>
  <c r="K16" i="29"/>
  <c r="J17" i="29" a="1"/>
  <c r="J17" i="29" s="1"/>
  <c r="AF16" i="29"/>
  <c r="K11" i="29"/>
  <c r="J12" i="29" a="1"/>
  <c r="J12" i="29" s="1"/>
  <c r="AC11" i="29"/>
  <c r="AD11" i="29" s="1"/>
  <c r="AE11" i="29" s="1"/>
  <c r="AN42" i="31" l="1"/>
  <c r="AX42" i="31"/>
  <c r="AO42" i="31"/>
  <c r="AY42" i="31"/>
  <c r="L36" i="31"/>
  <c r="AX36" i="31"/>
  <c r="AM42" i="31"/>
  <c r="AW42" i="31"/>
  <c r="AN36" i="31"/>
  <c r="AZ20" i="29"/>
  <c r="AL27" i="29"/>
  <c r="AV27" i="29"/>
  <c r="J13" i="29"/>
  <c r="AV12" i="29"/>
  <c r="J18" i="29"/>
  <c r="AV17" i="29"/>
  <c r="K27" i="29"/>
  <c r="AW26" i="29"/>
  <c r="AZ55" i="29"/>
  <c r="AK27" i="29"/>
  <c r="AU27" i="29"/>
  <c r="K52" i="31"/>
  <c r="AC52" i="31" s="1"/>
  <c r="AM52" i="31" a="1"/>
  <c r="AM52" i="31" s="1"/>
  <c r="M25" i="29"/>
  <c r="M26" i="29" s="1" a="1"/>
  <c r="M26" i="29" s="1"/>
  <c r="L26" i="29" a="1"/>
  <c r="L26" i="29" s="1"/>
  <c r="L16" i="29"/>
  <c r="K17" i="29" a="1"/>
  <c r="K17" i="29" s="1"/>
  <c r="AF11" i="29"/>
  <c r="L11" i="29"/>
  <c r="K12" i="29" a="1"/>
  <c r="K12" i="29" s="1"/>
  <c r="V52" i="31"/>
  <c r="M36" i="31" l="1"/>
  <c r="AZ36" i="31" s="1"/>
  <c r="AY36" i="31"/>
  <c r="AO36" i="31"/>
  <c r="K18" i="29"/>
  <c r="AW17" i="29"/>
  <c r="AL13" i="29"/>
  <c r="AV13" i="29"/>
  <c r="L27" i="29"/>
  <c r="AX26" i="29"/>
  <c r="K13" i="29"/>
  <c r="AW12" i="29"/>
  <c r="AL18" i="29"/>
  <c r="AV18" i="29"/>
  <c r="M27" i="29"/>
  <c r="AY26" i="29"/>
  <c r="AM27" i="29"/>
  <c r="AW27" i="29"/>
  <c r="L52" i="31"/>
  <c r="AD52" i="31" s="1"/>
  <c r="AN52" i="31" a="1"/>
  <c r="AN52" i="31" s="1"/>
  <c r="M16" i="29"/>
  <c r="M17" i="29" s="1" a="1"/>
  <c r="M17" i="29" s="1"/>
  <c r="L17" i="29" a="1"/>
  <c r="L17" i="29" s="1"/>
  <c r="M11" i="29"/>
  <c r="L12" i="29" a="1"/>
  <c r="L12" i="29" s="1"/>
  <c r="AK31" i="31"/>
  <c r="AA31" i="31"/>
  <c r="Z31" i="31" s="1"/>
  <c r="X31" i="31"/>
  <c r="Q31" i="31"/>
  <c r="R31" i="31" s="1"/>
  <c r="I31" i="31"/>
  <c r="J31" i="31" s="1"/>
  <c r="K31" i="31" s="1"/>
  <c r="L31" i="31" s="1"/>
  <c r="M31" i="31" s="1"/>
  <c r="AK38" i="31"/>
  <c r="AA38" i="31"/>
  <c r="Z38" i="31" s="1"/>
  <c r="X38" i="31"/>
  <c r="Q38" i="31"/>
  <c r="R38" i="31" s="1"/>
  <c r="S38" i="31" s="1"/>
  <c r="T38" i="31" s="1"/>
  <c r="U38" i="31" s="1"/>
  <c r="I38" i="31"/>
  <c r="J38" i="31" s="1"/>
  <c r="K38" i="31" s="1"/>
  <c r="L38" i="31" s="1"/>
  <c r="M38" i="31" s="1"/>
  <c r="AA14" i="31"/>
  <c r="Z14" i="31" s="1"/>
  <c r="Q14" i="31"/>
  <c r="P14" i="31" s="1"/>
  <c r="I14" i="31"/>
  <c r="AL14" i="31" s="1" a="1"/>
  <c r="AL14" i="31" s="1"/>
  <c r="AA13" i="31"/>
  <c r="Z13" i="31" s="1"/>
  <c r="Q13" i="31"/>
  <c r="P13" i="31" s="1"/>
  <c r="I13" i="31"/>
  <c r="AL13" i="31" s="1" a="1"/>
  <c r="AL13" i="31" s="1"/>
  <c r="AA12" i="31"/>
  <c r="Z12" i="31" s="1"/>
  <c r="Q12" i="31"/>
  <c r="R12" i="31" s="1"/>
  <c r="S12" i="31" s="1"/>
  <c r="T12" i="31" s="1"/>
  <c r="U12" i="31" s="1"/>
  <c r="I12" i="31"/>
  <c r="AL12" i="31" s="1" a="1"/>
  <c r="AL12" i="31" s="1"/>
  <c r="AA16" i="31"/>
  <c r="Z16" i="31" s="1"/>
  <c r="Q16" i="31"/>
  <c r="P16" i="31" s="1"/>
  <c r="I16" i="31"/>
  <c r="AL16" i="31" s="1" a="1"/>
  <c r="AL16" i="31" s="1"/>
  <c r="AA15" i="31"/>
  <c r="Z15" i="31" s="1"/>
  <c r="Q15" i="31"/>
  <c r="P15" i="31" s="1"/>
  <c r="I15" i="31"/>
  <c r="AL15" i="31" s="1" a="1"/>
  <c r="AL15" i="31" s="1"/>
  <c r="AA17" i="31"/>
  <c r="Z17" i="31" s="1"/>
  <c r="Q17" i="31"/>
  <c r="P17" i="31" s="1"/>
  <c r="I17" i="31"/>
  <c r="J17" i="31" s="1"/>
  <c r="AZ356" i="19"/>
  <c r="AY356" i="19"/>
  <c r="AX356" i="19"/>
  <c r="AW356" i="19"/>
  <c r="AV356" i="19"/>
  <c r="AT356" i="19"/>
  <c r="AI356" i="19"/>
  <c r="X356" i="19"/>
  <c r="N356" i="19"/>
  <c r="AI353" i="19"/>
  <c r="AJ352" i="19"/>
  <c r="AI352" i="19"/>
  <c r="AJ351" i="19"/>
  <c r="AI351" i="19"/>
  <c r="AJ350" i="19"/>
  <c r="AI350" i="19"/>
  <c r="Y348" i="19"/>
  <c r="X348" i="19"/>
  <c r="X347" i="19"/>
  <c r="X346" i="19"/>
  <c r="O343" i="19"/>
  <c r="N343" i="19"/>
  <c r="N342" i="19"/>
  <c r="N341" i="19"/>
  <c r="N340" i="19"/>
  <c r="N338" i="19"/>
  <c r="AJ140" i="29"/>
  <c r="AJ138" i="29"/>
  <c r="AJ139" i="29"/>
  <c r="AJ137" i="29"/>
  <c r="AI138" i="29"/>
  <c r="AI139" i="29"/>
  <c r="AI140" i="29"/>
  <c r="AI137" i="29"/>
  <c r="N128" i="29"/>
  <c r="N129" i="29"/>
  <c r="Y135" i="29"/>
  <c r="X135" i="29"/>
  <c r="BA36" i="31" l="1"/>
  <c r="AP36" i="31"/>
  <c r="AQ36" i="31" s="1"/>
  <c r="AZ26" i="29"/>
  <c r="AO27" i="29"/>
  <c r="AY27" i="29"/>
  <c r="L18" i="29"/>
  <c r="AX17" i="29"/>
  <c r="L13" i="29"/>
  <c r="AX12" i="29"/>
  <c r="M18" i="29"/>
  <c r="AY17" i="29"/>
  <c r="AM13" i="29"/>
  <c r="AW13" i="29"/>
  <c r="AN27" i="29"/>
  <c r="AX27" i="29"/>
  <c r="AM18" i="29"/>
  <c r="AW18" i="29"/>
  <c r="BA356" i="19"/>
  <c r="AO52" i="31" a="1"/>
  <c r="AO52" i="31" s="1"/>
  <c r="M52" i="31"/>
  <c r="M12" i="29" a="1"/>
  <c r="M12" i="29" s="1"/>
  <c r="P31" i="31"/>
  <c r="AB31" i="31"/>
  <c r="AC31" i="31" s="1"/>
  <c r="AD31" i="31" s="1"/>
  <c r="AE31" i="31" s="1"/>
  <c r="S31" i="31"/>
  <c r="T31" i="31" s="1"/>
  <c r="U31" i="31" s="1"/>
  <c r="V31" i="31" s="1"/>
  <c r="AB15" i="31"/>
  <c r="AC15" i="31" s="1"/>
  <c r="AD15" i="31" s="1"/>
  <c r="AE15" i="31" s="1"/>
  <c r="P12" i="31"/>
  <c r="AB13" i="31"/>
  <c r="AC13" i="31" s="1"/>
  <c r="AD13" i="31" s="1"/>
  <c r="AE13" i="31" s="1"/>
  <c r="P38" i="31"/>
  <c r="AB38" i="31"/>
  <c r="AC38" i="31" s="1"/>
  <c r="AD38" i="31" s="1"/>
  <c r="AE38" i="31" s="1"/>
  <c r="V38" i="31"/>
  <c r="AB14" i="31"/>
  <c r="AC14" i="31" s="1"/>
  <c r="AD14" i="31" s="1"/>
  <c r="AE14" i="31" s="1"/>
  <c r="AB17" i="31"/>
  <c r="AC17" i="31" s="1"/>
  <c r="AD17" i="31" s="1"/>
  <c r="AE17" i="31" s="1"/>
  <c r="J14" i="31"/>
  <c r="AM14" i="31" s="1" a="1"/>
  <c r="AM14" i="31" s="1"/>
  <c r="V12" i="31"/>
  <c r="R14" i="31"/>
  <c r="S14" i="31" s="1"/>
  <c r="T14" i="31" s="1"/>
  <c r="U14" i="31" s="1"/>
  <c r="K17" i="31"/>
  <c r="L17" i="31" s="1"/>
  <c r="AM17" i="31" a="1"/>
  <c r="AM17" i="31" s="1"/>
  <c r="AK13" i="31"/>
  <c r="AK12" i="31"/>
  <c r="AK14" i="31"/>
  <c r="AB16" i="31"/>
  <c r="AC16" i="31" s="1"/>
  <c r="AD16" i="31" s="1"/>
  <c r="AE16" i="31" s="1"/>
  <c r="AB12" i="31"/>
  <c r="AC12" i="31" s="1"/>
  <c r="AD12" i="31" s="1"/>
  <c r="AE12" i="31" s="1"/>
  <c r="R13" i="31"/>
  <c r="S13" i="31" s="1"/>
  <c r="T13" i="31" s="1"/>
  <c r="U13" i="31" s="1"/>
  <c r="AL17" i="31" a="1"/>
  <c r="AL17" i="31" s="1"/>
  <c r="AK17" i="31" s="1"/>
  <c r="J13" i="31"/>
  <c r="J12" i="31"/>
  <c r="J15" i="31"/>
  <c r="R16" i="31"/>
  <c r="S16" i="31" s="1"/>
  <c r="T16" i="31" s="1"/>
  <c r="U16" i="31" s="1"/>
  <c r="AK15" i="31"/>
  <c r="AK16" i="31"/>
  <c r="J16" i="31"/>
  <c r="R15" i="31"/>
  <c r="S15" i="31" s="1"/>
  <c r="T15" i="31" s="1"/>
  <c r="U15" i="31" s="1"/>
  <c r="R17" i="31"/>
  <c r="S17" i="31" s="1"/>
  <c r="T17" i="31" s="1"/>
  <c r="U17" i="31" s="1"/>
  <c r="AZ27" i="29" l="1"/>
  <c r="AZ17" i="29"/>
  <c r="AN13" i="29"/>
  <c r="AX13" i="29"/>
  <c r="M13" i="29"/>
  <c r="AY12" i="29"/>
  <c r="AZ12" i="29" s="1"/>
  <c r="AN18" i="29"/>
  <c r="AX18" i="29"/>
  <c r="AO18" i="29"/>
  <c r="AY18" i="29"/>
  <c r="AP52" i="31" a="1"/>
  <c r="AP52" i="31" s="1"/>
  <c r="AE52" i="31"/>
  <c r="AF31" i="31"/>
  <c r="AF38" i="31"/>
  <c r="AF13" i="31"/>
  <c r="V15" i="31"/>
  <c r="K14" i="31"/>
  <c r="L14" i="31" s="1"/>
  <c r="AF12" i="31"/>
  <c r="V14" i="31"/>
  <c r="V13" i="31"/>
  <c r="AF16" i="31"/>
  <c r="AN17" i="31" a="1"/>
  <c r="AN17" i="31" s="1"/>
  <c r="AM13" i="31" a="1"/>
  <c r="AM13" i="31" s="1"/>
  <c r="K13" i="31"/>
  <c r="AF15" i="31"/>
  <c r="K15" i="31"/>
  <c r="AM15" i="31" a="1"/>
  <c r="AM15" i="31" s="1"/>
  <c r="AF14" i="31"/>
  <c r="V16" i="31"/>
  <c r="K12" i="31"/>
  <c r="AM12" i="31" a="1"/>
  <c r="AM12" i="31" s="1"/>
  <c r="V17" i="31"/>
  <c r="AM16" i="31" a="1"/>
  <c r="AM16" i="31" s="1"/>
  <c r="K16" i="31"/>
  <c r="AF17" i="31"/>
  <c r="M17" i="31"/>
  <c r="AP17" i="31" s="1" a="1"/>
  <c r="AP17" i="31" s="1"/>
  <c r="AO17" i="31" a="1"/>
  <c r="AO17" i="31" s="1"/>
  <c r="AZ18" i="29" l="1"/>
  <c r="AO13" i="29"/>
  <c r="AY13" i="29"/>
  <c r="AZ13" i="29" s="1"/>
  <c r="AN14" i="31" a="1"/>
  <c r="AN14" i="31" s="1"/>
  <c r="L12" i="31"/>
  <c r="AN12" i="31" a="1"/>
  <c r="AN12" i="31" s="1"/>
  <c r="L15" i="31"/>
  <c r="AN15" i="31" a="1"/>
  <c r="AN15" i="31" s="1"/>
  <c r="M14" i="31"/>
  <c r="AP14" i="31" s="1" a="1"/>
  <c r="AP14" i="31" s="1"/>
  <c r="AO14" i="31" a="1"/>
  <c r="AO14" i="31" s="1"/>
  <c r="AN13" i="31" a="1"/>
  <c r="AN13" i="31" s="1"/>
  <c r="L13" i="31"/>
  <c r="AQ17" i="31"/>
  <c r="L16" i="31"/>
  <c r="AN16" i="31" a="1"/>
  <c r="AN16" i="31" s="1"/>
  <c r="AQ14" i="31" l="1"/>
  <c r="AO15" i="31" a="1"/>
  <c r="AO15" i="31" s="1"/>
  <c r="M15" i="31"/>
  <c r="AP15" i="31" s="1" a="1"/>
  <c r="AP15" i="31" s="1"/>
  <c r="M13" i="31"/>
  <c r="AP13" i="31" s="1" a="1"/>
  <c r="AP13" i="31" s="1"/>
  <c r="AO13" i="31" a="1"/>
  <c r="AO13" i="31" s="1"/>
  <c r="M12" i="31"/>
  <c r="AP12" i="31" s="1" a="1"/>
  <c r="AP12" i="31" s="1"/>
  <c r="AO12" i="31" a="1"/>
  <c r="AO12" i="31" s="1"/>
  <c r="M16" i="31"/>
  <c r="AP16" i="31" s="1" a="1"/>
  <c r="AP16" i="31" s="1"/>
  <c r="AO16" i="31" a="1"/>
  <c r="AO16" i="31" s="1"/>
  <c r="AQ12" i="31" l="1"/>
  <c r="AQ13" i="31"/>
  <c r="AQ15" i="31"/>
  <c r="AQ16" i="31"/>
  <c r="X133" i="29" l="1"/>
  <c r="X132" i="29"/>
  <c r="AI73" i="29"/>
  <c r="X73" i="29"/>
  <c r="N73" i="29"/>
  <c r="B73" i="29"/>
  <c r="AK15" i="29"/>
  <c r="AL15" i="29" s="1"/>
  <c r="AM15" i="29" s="1"/>
  <c r="AN15" i="29" s="1"/>
  <c r="AO15" i="29" s="1"/>
  <c r="AA15" i="29"/>
  <c r="AB15" i="29" s="1"/>
  <c r="P15" i="29"/>
  <c r="I15" i="29"/>
  <c r="J15" i="29" s="1"/>
  <c r="K15" i="29" s="1"/>
  <c r="L15" i="29" s="1"/>
  <c r="M15" i="29" s="1"/>
  <c r="Z15" i="29" l="1"/>
  <c r="AP15" i="29"/>
  <c r="AC15" i="29"/>
  <c r="AD15" i="29" s="1"/>
  <c r="AE15" i="29" s="1"/>
  <c r="AK62" i="29"/>
  <c r="AL62" i="29" s="1"/>
  <c r="AM62" i="29" s="1"/>
  <c r="AN62" i="29" s="1"/>
  <c r="AO62" i="29" s="1"/>
  <c r="P62" i="29"/>
  <c r="N62" i="29"/>
  <c r="I62" i="29"/>
  <c r="J62" i="29" s="1"/>
  <c r="K62" i="29" s="1"/>
  <c r="L62" i="29" s="1"/>
  <c r="M62" i="29" s="1"/>
  <c r="AI58" i="29"/>
  <c r="X58" i="29"/>
  <c r="N58" i="29"/>
  <c r="B58" i="29"/>
  <c r="AK109" i="29"/>
  <c r="AL109" i="29" s="1"/>
  <c r="AM109" i="29" s="1"/>
  <c r="AN109" i="29" s="1"/>
  <c r="AO109" i="29" s="1"/>
  <c r="AA109" i="29"/>
  <c r="AB109" i="29" s="1"/>
  <c r="AC109" i="29" s="1"/>
  <c r="AD109" i="29" s="1"/>
  <c r="AE109" i="29" s="1"/>
  <c r="P109" i="29"/>
  <c r="N109" i="29"/>
  <c r="AK38" i="29"/>
  <c r="AL38" i="29" s="1"/>
  <c r="AM38" i="29" s="1"/>
  <c r="AN38" i="29" s="1"/>
  <c r="AO38" i="29" s="1"/>
  <c r="AA38" i="29"/>
  <c r="AB38" i="29" s="1"/>
  <c r="AC38" i="29" s="1"/>
  <c r="P38" i="29"/>
  <c r="N38" i="29"/>
  <c r="AI115" i="29"/>
  <c r="X115" i="29"/>
  <c r="N115" i="29"/>
  <c r="B115" i="29"/>
  <c r="AA113" i="29"/>
  <c r="Z113" i="29" s="1"/>
  <c r="X113" i="29"/>
  <c r="Q113" i="29"/>
  <c r="P113" i="29" s="1"/>
  <c r="H113" i="29"/>
  <c r="I113" i="29" s="1"/>
  <c r="X112" i="29"/>
  <c r="I112" i="29"/>
  <c r="J112" i="29" s="1"/>
  <c r="AI110" i="29"/>
  <c r="X110" i="29"/>
  <c r="N110" i="29"/>
  <c r="B110" i="29"/>
  <c r="AK29" i="29"/>
  <c r="AL29" i="29" s="1"/>
  <c r="AA29" i="29"/>
  <c r="Z29" i="29" s="1"/>
  <c r="P29" i="29"/>
  <c r="I29" i="29"/>
  <c r="J29" i="29" s="1"/>
  <c r="K29" i="29" s="1"/>
  <c r="L29" i="29" s="1"/>
  <c r="M29" i="29" s="1"/>
  <c r="AK96" i="29"/>
  <c r="AL96" i="29" s="1"/>
  <c r="AM96" i="29" s="1"/>
  <c r="AN96" i="29" s="1"/>
  <c r="AO96" i="29" s="1"/>
  <c r="AA96" i="29"/>
  <c r="Z96" i="29" s="1"/>
  <c r="P96" i="29"/>
  <c r="N96" i="29"/>
  <c r="I96" i="29"/>
  <c r="J96" i="29" s="1"/>
  <c r="K96" i="29" s="1"/>
  <c r="L96" i="29" s="1"/>
  <c r="M96" i="29" s="1"/>
  <c r="AI83" i="29"/>
  <c r="X83" i="29"/>
  <c r="N83" i="29"/>
  <c r="B83" i="29"/>
  <c r="AI91" i="29"/>
  <c r="X91" i="29"/>
  <c r="N91" i="29"/>
  <c r="B91" i="29"/>
  <c r="AK95" i="29"/>
  <c r="AL95" i="29" s="1"/>
  <c r="AM95" i="29" s="1"/>
  <c r="AN95" i="29" s="1"/>
  <c r="AO95" i="29" s="1"/>
  <c r="I94" i="29"/>
  <c r="P94" i="29"/>
  <c r="AA94" i="29"/>
  <c r="AB94" i="29" s="1"/>
  <c r="AC94" i="29" s="1"/>
  <c r="AD94" i="29" s="1"/>
  <c r="AE94" i="29" s="1"/>
  <c r="AI94" i="29"/>
  <c r="AJ94" i="29"/>
  <c r="I95" i="29"/>
  <c r="J95" i="29" s="1"/>
  <c r="K95" i="29" s="1"/>
  <c r="L95" i="29" s="1"/>
  <c r="M95" i="29" s="1"/>
  <c r="P95" i="29"/>
  <c r="AA95" i="29"/>
  <c r="Z95" i="29" s="1"/>
  <c r="AI95" i="29"/>
  <c r="AI101" i="29"/>
  <c r="X101" i="29"/>
  <c r="N101" i="29"/>
  <c r="B101" i="29"/>
  <c r="AK57" i="29"/>
  <c r="AL57" i="29" s="1"/>
  <c r="AM57" i="29" s="1"/>
  <c r="AN57" i="29" s="1"/>
  <c r="AO57" i="29" s="1"/>
  <c r="AA57" i="29"/>
  <c r="AB57" i="29" s="1"/>
  <c r="AC57" i="29" s="1"/>
  <c r="AD57" i="29" s="1"/>
  <c r="AE57" i="29" s="1"/>
  <c r="P57" i="29"/>
  <c r="N57" i="29"/>
  <c r="AU119" i="29"/>
  <c r="AK119" i="29"/>
  <c r="AL119" i="29" s="1"/>
  <c r="AM119" i="29" s="1"/>
  <c r="AN119" i="29" s="1"/>
  <c r="AO119" i="29" s="1"/>
  <c r="AA119" i="29"/>
  <c r="AB119" i="29" s="1"/>
  <c r="P119" i="29"/>
  <c r="I119" i="29"/>
  <c r="J119" i="29" s="1"/>
  <c r="K119" i="29" s="1"/>
  <c r="L119" i="29" s="1"/>
  <c r="M119" i="29" s="1"/>
  <c r="Z121" i="29"/>
  <c r="AG56" i="31"/>
  <c r="AG20" i="31"/>
  <c r="AR56" i="31"/>
  <c r="AR20" i="31"/>
  <c r="AI56" i="31"/>
  <c r="X56" i="31"/>
  <c r="N56" i="31"/>
  <c r="N20" i="31"/>
  <c r="X20" i="31"/>
  <c r="AI20" i="31"/>
  <c r="V21" i="31"/>
  <c r="U21" i="31"/>
  <c r="T21" i="31"/>
  <c r="S21" i="31"/>
  <c r="R21" i="31"/>
  <c r="Q21" i="31"/>
  <c r="N21" i="31"/>
  <c r="AT20" i="31"/>
  <c r="H19" i="31"/>
  <c r="I19" i="31" s="1"/>
  <c r="J19" i="31" s="1"/>
  <c r="K19" i="31" s="1"/>
  <c r="L19" i="31" s="1"/>
  <c r="M19" i="31" s="1"/>
  <c r="AR8" i="31"/>
  <c r="AG22" i="31"/>
  <c r="AG8" i="31"/>
  <c r="AK32" i="31"/>
  <c r="AK33" i="31"/>
  <c r="AK39" i="31"/>
  <c r="AK45" i="31"/>
  <c r="AK46" i="31"/>
  <c r="AK23" i="31"/>
  <c r="AI50" i="31"/>
  <c r="AA50" i="31"/>
  <c r="AB50" i="31" s="1"/>
  <c r="P50" i="31"/>
  <c r="I50" i="31"/>
  <c r="AJ49" i="31"/>
  <c r="AI49" i="31"/>
  <c r="AA49" i="31"/>
  <c r="P49" i="31"/>
  <c r="I49" i="31"/>
  <c r="AI48" i="31"/>
  <c r="AA48" i="31"/>
  <c r="Z48" i="31" s="1"/>
  <c r="P48" i="31"/>
  <c r="I48" i="31"/>
  <c r="AJ47" i="31"/>
  <c r="AI47" i="31"/>
  <c r="AA47" i="31"/>
  <c r="Z47" i="31" s="1"/>
  <c r="P47" i="31"/>
  <c r="I47" i="31"/>
  <c r="AJ30" i="31"/>
  <c r="AI30" i="31"/>
  <c r="AA30" i="31"/>
  <c r="P30" i="31"/>
  <c r="I30" i="31"/>
  <c r="AJ29" i="31"/>
  <c r="AI29" i="31"/>
  <c r="AA29" i="31"/>
  <c r="Z29" i="31" s="1"/>
  <c r="P29" i="31"/>
  <c r="I29" i="31"/>
  <c r="AV29" i="31" s="1"/>
  <c r="AJ28" i="31"/>
  <c r="AI28" i="31"/>
  <c r="AA28" i="31"/>
  <c r="AB28" i="31" s="1"/>
  <c r="AC28" i="31" s="1"/>
  <c r="AD28" i="31" s="1"/>
  <c r="AE28" i="31" s="1"/>
  <c r="P28" i="31"/>
  <c r="I28" i="31"/>
  <c r="AJ27" i="31"/>
  <c r="AI27" i="31"/>
  <c r="AA27" i="31"/>
  <c r="AB27" i="31" s="1"/>
  <c r="P27" i="31"/>
  <c r="I27" i="31"/>
  <c r="AL26" i="31"/>
  <c r="AK26" i="31" s="1"/>
  <c r="AI26" i="31"/>
  <c r="AA26" i="31"/>
  <c r="Z26" i="31" s="1"/>
  <c r="P26" i="31"/>
  <c r="I26" i="31"/>
  <c r="J26" i="31" s="1"/>
  <c r="K26" i="31" s="1"/>
  <c r="L26" i="31" s="1"/>
  <c r="M26" i="31" s="1"/>
  <c r="AJ25" i="31"/>
  <c r="AI25" i="31"/>
  <c r="AA25" i="31"/>
  <c r="AB25" i="31" s="1"/>
  <c r="AC25" i="31" s="1"/>
  <c r="AD25" i="31" s="1"/>
  <c r="AE25" i="31" s="1"/>
  <c r="P25" i="31"/>
  <c r="I25" i="31"/>
  <c r="AJ24" i="31"/>
  <c r="AI24" i="31"/>
  <c r="AA24" i="31"/>
  <c r="Z24" i="31" s="1"/>
  <c r="P24" i="31"/>
  <c r="I24" i="31"/>
  <c r="AI42" i="31"/>
  <c r="AA42" i="31"/>
  <c r="Z42" i="31" s="1"/>
  <c r="P42" i="31"/>
  <c r="AK42" i="31"/>
  <c r="AI41" i="31"/>
  <c r="AA41" i="31"/>
  <c r="AB41" i="31" s="1"/>
  <c r="AC41" i="31" s="1"/>
  <c r="AD41" i="31" s="1"/>
  <c r="AE41" i="31" s="1"/>
  <c r="P41" i="31"/>
  <c r="AJ35" i="31"/>
  <c r="AI35" i="31"/>
  <c r="AA35" i="31"/>
  <c r="Z35" i="31" s="1"/>
  <c r="P35" i="31"/>
  <c r="I35" i="31"/>
  <c r="AJ34" i="31"/>
  <c r="AI34" i="31"/>
  <c r="AA34" i="31"/>
  <c r="AB34" i="31" s="1"/>
  <c r="P34" i="31"/>
  <c r="I34" i="31"/>
  <c r="AA46" i="31"/>
  <c r="Z46" i="31" s="1"/>
  <c r="X46" i="31"/>
  <c r="Q46" i="31"/>
  <c r="R46" i="31" s="1"/>
  <c r="S46" i="31" s="1"/>
  <c r="T46" i="31" s="1"/>
  <c r="U46" i="31" s="1"/>
  <c r="I46" i="31"/>
  <c r="J46" i="31" s="1"/>
  <c r="K46" i="31" s="1"/>
  <c r="L46" i="31" s="1"/>
  <c r="M46" i="31" s="1"/>
  <c r="X45" i="31"/>
  <c r="I45" i="31"/>
  <c r="AA45" i="31" s="1"/>
  <c r="Z45" i="31" s="1"/>
  <c r="X39" i="31"/>
  <c r="I39" i="31"/>
  <c r="J39" i="31" s="1"/>
  <c r="K39" i="31" s="1"/>
  <c r="L39" i="31" s="1"/>
  <c r="M39" i="31" s="1"/>
  <c r="X33" i="31"/>
  <c r="I33" i="31"/>
  <c r="AA33" i="31" s="1"/>
  <c r="X32" i="31"/>
  <c r="I32" i="31"/>
  <c r="J32" i="31" s="1"/>
  <c r="K32" i="31" s="1"/>
  <c r="L32" i="31" s="1"/>
  <c r="M32" i="31" s="1"/>
  <c r="X23" i="31"/>
  <c r="I23" i="31"/>
  <c r="AA23" i="31" s="1"/>
  <c r="AT22" i="31"/>
  <c r="AI22" i="31"/>
  <c r="X22" i="31"/>
  <c r="B22" i="31"/>
  <c r="AA51" i="31"/>
  <c r="Z51" i="31" s="1"/>
  <c r="Q51" i="31"/>
  <c r="P51" i="31" s="1"/>
  <c r="I51" i="31"/>
  <c r="AL51" i="31" s="1" a="1"/>
  <c r="AL51" i="31" s="1"/>
  <c r="AA18" i="31"/>
  <c r="Z18" i="31" s="1"/>
  <c r="Q18" i="31"/>
  <c r="P18" i="31" s="1"/>
  <c r="I18" i="31"/>
  <c r="AL18" i="31" s="1" a="1"/>
  <c r="AL18" i="31" s="1"/>
  <c r="N57" i="31"/>
  <c r="AT56" i="31"/>
  <c r="H55" i="31"/>
  <c r="I55" i="31" s="1"/>
  <c r="J55" i="31" s="1"/>
  <c r="K55" i="31" s="1"/>
  <c r="L55" i="31" s="1"/>
  <c r="M55" i="31" s="1"/>
  <c r="AV54" i="31"/>
  <c r="AA54" i="31"/>
  <c r="AB54" i="31" s="1"/>
  <c r="I54" i="31"/>
  <c r="AL54" i="31" s="1" a="1"/>
  <c r="AL54" i="31" s="1"/>
  <c r="AK54" i="31" s="1"/>
  <c r="AA53" i="31"/>
  <c r="Z53" i="31" s="1"/>
  <c r="Q53" i="31"/>
  <c r="I53" i="31"/>
  <c r="X11" i="31"/>
  <c r="AI11" i="31" s="1"/>
  <c r="I11" i="31"/>
  <c r="X10" i="31"/>
  <c r="AI10" i="31" s="1"/>
  <c r="I10" i="31"/>
  <c r="X9" i="31"/>
  <c r="AI9" i="31" s="1"/>
  <c r="I9" i="31"/>
  <c r="AA9" i="31" s="1"/>
  <c r="AT8" i="31"/>
  <c r="AQ8" i="31"/>
  <c r="AI8" i="31"/>
  <c r="X8" i="31"/>
  <c r="B8" i="31"/>
  <c r="AT5" i="31"/>
  <c r="AI5" i="31"/>
  <c r="X5" i="31"/>
  <c r="N5" i="31"/>
  <c r="C5" i="31"/>
  <c r="AT4" i="31"/>
  <c r="AI4" i="31"/>
  <c r="X4" i="31"/>
  <c r="N4" i="31"/>
  <c r="C4" i="31"/>
  <c r="O44" i="27"/>
  <c r="K40" i="27"/>
  <c r="I40" i="27"/>
  <c r="AJ212" i="19"/>
  <c r="AJ159" i="19"/>
  <c r="AJ36" i="19"/>
  <c r="AJ13" i="19"/>
  <c r="X327" i="19"/>
  <c r="AI327" i="19" s="1"/>
  <c r="N327" i="19"/>
  <c r="I327" i="19"/>
  <c r="AL327" i="19" s="1" a="1"/>
  <c r="AL327" i="19" s="1"/>
  <c r="N329" i="19"/>
  <c r="X329" i="19"/>
  <c r="AI329" i="19" s="1"/>
  <c r="N328" i="19"/>
  <c r="X328" i="19"/>
  <c r="AI328" i="19" s="1"/>
  <c r="N326" i="19"/>
  <c r="X326" i="19"/>
  <c r="AI326" i="19" s="1"/>
  <c r="N325" i="19"/>
  <c r="X325" i="19"/>
  <c r="AI325" i="19" s="1"/>
  <c r="N324" i="19"/>
  <c r="X324" i="19"/>
  <c r="AI324" i="19" s="1"/>
  <c r="N323" i="19"/>
  <c r="X323" i="19"/>
  <c r="AI323" i="19" s="1"/>
  <c r="AT322" i="19"/>
  <c r="AQ322" i="19"/>
  <c r="AI322" i="19"/>
  <c r="X322" i="19"/>
  <c r="N322" i="19"/>
  <c r="B322" i="19"/>
  <c r="I324" i="19"/>
  <c r="AL324" i="19" s="1" a="1"/>
  <c r="AL324" i="19" s="1"/>
  <c r="I323" i="19"/>
  <c r="AL323" i="19" s="1" a="1"/>
  <c r="AL323" i="19" s="1"/>
  <c r="I328" i="19"/>
  <c r="AL328" i="19" s="1" a="1"/>
  <c r="AL328" i="19" s="1"/>
  <c r="I326" i="19"/>
  <c r="J326" i="19" s="1"/>
  <c r="I325" i="19"/>
  <c r="J325" i="19" s="1"/>
  <c r="AA332" i="19"/>
  <c r="Z332" i="19" s="1"/>
  <c r="Q332" i="19"/>
  <c r="P332" i="19" s="1"/>
  <c r="I332" i="19"/>
  <c r="J332" i="19" s="1"/>
  <c r="AA330" i="19"/>
  <c r="Z330" i="19" s="1"/>
  <c r="Q330" i="19"/>
  <c r="R330" i="19" s="1"/>
  <c r="I330" i="19"/>
  <c r="J330" i="19" s="1"/>
  <c r="I329" i="19"/>
  <c r="AL329" i="19" s="1" a="1"/>
  <c r="AL329" i="19" s="1"/>
  <c r="Y212" i="19"/>
  <c r="AV165" i="19"/>
  <c r="AW165" i="19" s="1"/>
  <c r="X165" i="19"/>
  <c r="AI165" i="19" s="1"/>
  <c r="Q165" i="19"/>
  <c r="R165" i="19" s="1"/>
  <c r="I165" i="19"/>
  <c r="J165" i="19" s="1"/>
  <c r="Y159" i="19"/>
  <c r="H101" i="19"/>
  <c r="Z15" i="27"/>
  <c r="O15" i="27"/>
  <c r="K15" i="27"/>
  <c r="Z14" i="27"/>
  <c r="O14" i="27"/>
  <c r="K14" i="27"/>
  <c r="O7" i="27"/>
  <c r="K7" i="27"/>
  <c r="X46" i="19"/>
  <c r="AI46" i="19"/>
  <c r="X45" i="19"/>
  <c r="AI45" i="19"/>
  <c r="AV45" i="19"/>
  <c r="AW45" i="19" s="1"/>
  <c r="AX45" i="19" s="1"/>
  <c r="Q45" i="19"/>
  <c r="R45" i="19" s="1"/>
  <c r="N45" i="19"/>
  <c r="I45" i="19"/>
  <c r="AA45" i="19" s="1"/>
  <c r="Z45" i="19" s="1"/>
  <c r="AV46" i="19"/>
  <c r="Q46" i="19"/>
  <c r="P46" i="19" s="1"/>
  <c r="N46" i="19"/>
  <c r="I46" i="19"/>
  <c r="AA46" i="19" s="1"/>
  <c r="Z46" i="19" s="1"/>
  <c r="Y36" i="19"/>
  <c r="Y13" i="19"/>
  <c r="Q45" i="27"/>
  <c r="Q46" i="27"/>
  <c r="O45" i="27"/>
  <c r="O46" i="27"/>
  <c r="O43" i="27"/>
  <c r="K42" i="27"/>
  <c r="K41" i="27"/>
  <c r="K39" i="27"/>
  <c r="Q374" i="19"/>
  <c r="R374" i="19" s="1"/>
  <c r="S374" i="19" s="1"/>
  <c r="T374" i="19" s="1"/>
  <c r="U374" i="19" s="1"/>
  <c r="N374" i="19"/>
  <c r="Q370" i="19"/>
  <c r="R370" i="19" s="1"/>
  <c r="S370" i="19" s="1"/>
  <c r="T370" i="19" s="1"/>
  <c r="U370" i="19" s="1"/>
  <c r="N370" i="19"/>
  <c r="Q373" i="19"/>
  <c r="R373" i="19" s="1"/>
  <c r="S373" i="19" s="1"/>
  <c r="T373" i="19" s="1"/>
  <c r="U373" i="19" s="1"/>
  <c r="N373" i="19"/>
  <c r="Q372" i="19"/>
  <c r="R372" i="19" s="1"/>
  <c r="S372" i="19" s="1"/>
  <c r="T372" i="19" s="1"/>
  <c r="U372" i="19" s="1"/>
  <c r="N372" i="19"/>
  <c r="Q368" i="19"/>
  <c r="R368" i="19" s="1"/>
  <c r="S368" i="19" s="1"/>
  <c r="T368" i="19" s="1"/>
  <c r="U368" i="19" s="1"/>
  <c r="N368" i="19"/>
  <c r="Q367" i="19"/>
  <c r="R367" i="19" s="1"/>
  <c r="S367" i="19" s="1"/>
  <c r="T367" i="19" s="1"/>
  <c r="U367" i="19" s="1"/>
  <c r="N367" i="19"/>
  <c r="Q371" i="19"/>
  <c r="R371" i="19" s="1"/>
  <c r="S371" i="19" s="1"/>
  <c r="T371" i="19" s="1"/>
  <c r="U371" i="19" s="1"/>
  <c r="N371" i="19"/>
  <c r="Q366" i="19"/>
  <c r="R366" i="19" s="1"/>
  <c r="S366" i="19" s="1"/>
  <c r="T366" i="19" s="1"/>
  <c r="U366" i="19" s="1"/>
  <c r="N366" i="19"/>
  <c r="Q369" i="19"/>
  <c r="R369" i="19" s="1"/>
  <c r="S369" i="19" s="1"/>
  <c r="T369" i="19" s="1"/>
  <c r="U369" i="19" s="1"/>
  <c r="N369" i="19"/>
  <c r="N365" i="19"/>
  <c r="AI359" i="19"/>
  <c r="X359" i="19"/>
  <c r="AI21" i="29"/>
  <c r="AA21" i="29"/>
  <c r="AB21" i="29" s="1"/>
  <c r="AC21" i="29" s="1"/>
  <c r="P21" i="29"/>
  <c r="AI18" i="29"/>
  <c r="AA18" i="29"/>
  <c r="AB18" i="29" s="1"/>
  <c r="P18" i="29"/>
  <c r="AI17" i="29"/>
  <c r="AI20" i="29"/>
  <c r="AA20" i="29"/>
  <c r="AB20" i="29" s="1"/>
  <c r="AC20" i="29" s="1"/>
  <c r="AD20" i="29" s="1"/>
  <c r="AE20" i="29" s="1"/>
  <c r="P20" i="29"/>
  <c r="AK82" i="29"/>
  <c r="AL82" i="29" s="1"/>
  <c r="AA82" i="29"/>
  <c r="AB82" i="29" s="1"/>
  <c r="AC82" i="29" s="1"/>
  <c r="AD82" i="29" s="1"/>
  <c r="AE82" i="29" s="1"/>
  <c r="P82" i="29"/>
  <c r="I82" i="29"/>
  <c r="J82" i="29" s="1"/>
  <c r="K82" i="29" s="1"/>
  <c r="L82" i="29" s="1"/>
  <c r="M82" i="29" s="1"/>
  <c r="AJ81" i="29"/>
  <c r="AI81" i="29"/>
  <c r="AA81" i="29"/>
  <c r="AB81" i="29" s="1"/>
  <c r="P81" i="29"/>
  <c r="I81" i="29"/>
  <c r="AK80" i="29"/>
  <c r="AL80" i="29" s="1"/>
  <c r="AM80" i="29" s="1"/>
  <c r="AN80" i="29" s="1"/>
  <c r="AO80" i="29" s="1"/>
  <c r="AA80" i="29"/>
  <c r="Z80" i="29" s="1"/>
  <c r="P80" i="29"/>
  <c r="I80" i="29"/>
  <c r="J80" i="29" s="1"/>
  <c r="K80" i="29" s="1"/>
  <c r="L80" i="29" s="1"/>
  <c r="M80" i="29" s="1"/>
  <c r="AA17" i="29"/>
  <c r="Z17" i="29" s="1"/>
  <c r="P17" i="29"/>
  <c r="AK28" i="29"/>
  <c r="AL28" i="29" s="1"/>
  <c r="AI28" i="29"/>
  <c r="AA28" i="29"/>
  <c r="AB28" i="29" s="1"/>
  <c r="P28" i="29"/>
  <c r="I28" i="29"/>
  <c r="J28" i="29" s="1"/>
  <c r="K28" i="29" s="1"/>
  <c r="L28" i="29" s="1"/>
  <c r="M28" i="29" s="1"/>
  <c r="AI14" i="29"/>
  <c r="AA14" i="29"/>
  <c r="Z14" i="29" s="1"/>
  <c r="P14" i="29"/>
  <c r="I14" i="29"/>
  <c r="AK14" i="29" s="1"/>
  <c r="AI27" i="29"/>
  <c r="AA27" i="29"/>
  <c r="AB27" i="29" s="1"/>
  <c r="AC27" i="29" s="1"/>
  <c r="AD27" i="29" s="1"/>
  <c r="AE27" i="29" s="1"/>
  <c r="P27" i="29"/>
  <c r="AI26" i="29"/>
  <c r="AA26" i="29"/>
  <c r="P26" i="29"/>
  <c r="AK22" i="29"/>
  <c r="AA22" i="29"/>
  <c r="AB22" i="29" s="1"/>
  <c r="AC22" i="29" s="1"/>
  <c r="AD22" i="29" s="1"/>
  <c r="AE22" i="29" s="1"/>
  <c r="P22" i="29"/>
  <c r="I22" i="29"/>
  <c r="J22" i="29" s="1"/>
  <c r="K22" i="29" s="1"/>
  <c r="L22" i="29" s="1"/>
  <c r="M22" i="29" s="1"/>
  <c r="AI13" i="29"/>
  <c r="AA13" i="29"/>
  <c r="Z13" i="29" s="1"/>
  <c r="P13" i="29"/>
  <c r="AI12" i="29"/>
  <c r="AA12" i="29"/>
  <c r="AB12" i="29" s="1"/>
  <c r="AC12" i="29" s="1"/>
  <c r="AD12" i="29" s="1"/>
  <c r="AE12" i="29" s="1"/>
  <c r="P12" i="29"/>
  <c r="AJ118" i="29"/>
  <c r="AJ117" i="29"/>
  <c r="AJ71" i="29"/>
  <c r="AJ70" i="29"/>
  <c r="AK70" i="29" s="1"/>
  <c r="AL70" i="29" s="1"/>
  <c r="AM70" i="29" s="1"/>
  <c r="AN70" i="29" s="1"/>
  <c r="AO70" i="29" s="1"/>
  <c r="AI71" i="29"/>
  <c r="AI70" i="29"/>
  <c r="P70" i="29"/>
  <c r="N70" i="29"/>
  <c r="O17" i="30"/>
  <c r="U16" i="30"/>
  <c r="Q16" i="30" a="1"/>
  <c r="Q16" i="30" s="1"/>
  <c r="O16" i="30"/>
  <c r="M16" i="30"/>
  <c r="I16" i="30"/>
  <c r="U15" i="30"/>
  <c r="Q15" i="30" a="1"/>
  <c r="Q15" i="30" s="1"/>
  <c r="O15" i="30"/>
  <c r="M15" i="30"/>
  <c r="I15" i="30"/>
  <c r="U14" i="30"/>
  <c r="Q14" i="30" a="1"/>
  <c r="Q14" i="30" s="1"/>
  <c r="O14" i="30"/>
  <c r="M14" i="30"/>
  <c r="I14" i="30"/>
  <c r="U22" i="30"/>
  <c r="Q22" i="30" a="1"/>
  <c r="Q22" i="30" s="1"/>
  <c r="O22" i="30"/>
  <c r="M22" i="30"/>
  <c r="I22" i="30"/>
  <c r="U21" i="30"/>
  <c r="Q21" i="30" a="1"/>
  <c r="Q21" i="30" s="1"/>
  <c r="O21" i="30"/>
  <c r="M21" i="30"/>
  <c r="I21" i="30"/>
  <c r="U20" i="30"/>
  <c r="Q20" i="30" a="1"/>
  <c r="Q20" i="30" s="1"/>
  <c r="O20" i="30"/>
  <c r="M20" i="30"/>
  <c r="I20" i="30"/>
  <c r="K19" i="30"/>
  <c r="G19" i="30"/>
  <c r="K8" i="30"/>
  <c r="G8" i="30"/>
  <c r="U30" i="30"/>
  <c r="M30" i="30"/>
  <c r="I30" i="30"/>
  <c r="U26" i="30"/>
  <c r="Q26" i="30" a="1"/>
  <c r="Q26" i="30" s="1"/>
  <c r="O26" i="30"/>
  <c r="M26" i="30"/>
  <c r="I26" i="30"/>
  <c r="U25" i="30"/>
  <c r="Q25" i="30" a="1"/>
  <c r="Q25" i="30" s="1"/>
  <c r="O25" i="30"/>
  <c r="M25" i="30"/>
  <c r="I25" i="30"/>
  <c r="U24" i="30"/>
  <c r="Q24" i="30" a="1"/>
  <c r="Q24" i="30" s="1"/>
  <c r="O24" i="30"/>
  <c r="M24" i="30"/>
  <c r="I24" i="30"/>
  <c r="U23" i="30"/>
  <c r="Q23" i="30" a="1"/>
  <c r="Q23" i="30" s="1"/>
  <c r="O23" i="30"/>
  <c r="M23" i="30"/>
  <c r="I23" i="30"/>
  <c r="U19" i="30"/>
  <c r="Q19" i="30"/>
  <c r="M19" i="30"/>
  <c r="I19" i="30"/>
  <c r="O13" i="30"/>
  <c r="O11" i="30"/>
  <c r="O12" i="30"/>
  <c r="Q10" i="30" a="1"/>
  <c r="Q10" i="30" s="1"/>
  <c r="Q11" i="30" a="1"/>
  <c r="Q11" i="30" s="1"/>
  <c r="Q12" i="30" a="1"/>
  <c r="Q12" i="30" s="1"/>
  <c r="Q13" i="30" a="1"/>
  <c r="Q13" i="30" s="1"/>
  <c r="Q17" i="30" a="1"/>
  <c r="Q17" i="30" s="1"/>
  <c r="Q18" i="30" a="1"/>
  <c r="Q18" i="30" s="1"/>
  <c r="Q31" i="30" a="1"/>
  <c r="Q31" i="30" s="1"/>
  <c r="Q9" i="30" a="1"/>
  <c r="Q9" i="30" s="1"/>
  <c r="O10" i="30"/>
  <c r="O9" i="30"/>
  <c r="Q8" i="30"/>
  <c r="M8" i="30"/>
  <c r="I8" i="30"/>
  <c r="AU116" i="29"/>
  <c r="AK116" i="29"/>
  <c r="AL116" i="29" s="1"/>
  <c r="AM116" i="29" s="1"/>
  <c r="AN116" i="29" s="1"/>
  <c r="AO116" i="29" s="1"/>
  <c r="AI116" i="29"/>
  <c r="AA116" i="29"/>
  <c r="AB116" i="29" s="1"/>
  <c r="AC116" i="29" s="1"/>
  <c r="AD116" i="29" s="1"/>
  <c r="AE116" i="29" s="1"/>
  <c r="P116" i="29"/>
  <c r="I116" i="29"/>
  <c r="J116" i="29" s="1"/>
  <c r="K116" i="29" s="1"/>
  <c r="L116" i="29" s="1"/>
  <c r="M116" i="29" s="1"/>
  <c r="AI117" i="29"/>
  <c r="AA117" i="29"/>
  <c r="Z117" i="29" s="1"/>
  <c r="P117" i="29"/>
  <c r="I117" i="29"/>
  <c r="J117" i="29" s="1"/>
  <c r="K117" i="29" s="1"/>
  <c r="L117" i="29" s="1"/>
  <c r="M117" i="29" s="1"/>
  <c r="AI89" i="29"/>
  <c r="AA89" i="29"/>
  <c r="AB89" i="29" s="1"/>
  <c r="AC89" i="29" s="1"/>
  <c r="AD89" i="29" s="1"/>
  <c r="AE89" i="29" s="1"/>
  <c r="P89" i="29"/>
  <c r="I89" i="29"/>
  <c r="AJ88" i="29"/>
  <c r="AI88" i="29"/>
  <c r="AA88" i="29"/>
  <c r="Z88" i="29" s="1"/>
  <c r="P88" i="29"/>
  <c r="I88" i="29"/>
  <c r="AJ99" i="29"/>
  <c r="AI99" i="29"/>
  <c r="AA99" i="29"/>
  <c r="AB99" i="29" s="1"/>
  <c r="AC99" i="29" s="1"/>
  <c r="AD99" i="29" s="1"/>
  <c r="AE99" i="29" s="1"/>
  <c r="P99" i="29"/>
  <c r="I99" i="29"/>
  <c r="AI55" i="29"/>
  <c r="AA55" i="29"/>
  <c r="Z55" i="29" s="1"/>
  <c r="P55" i="29"/>
  <c r="AI54" i="29"/>
  <c r="AA54" i="29"/>
  <c r="AB54" i="29" s="1"/>
  <c r="P54" i="29"/>
  <c r="AI52" i="29"/>
  <c r="AA52" i="29"/>
  <c r="AB52" i="29" s="1"/>
  <c r="P52" i="29"/>
  <c r="I52" i="29"/>
  <c r="AI51" i="29"/>
  <c r="AA51" i="29"/>
  <c r="Z51" i="29" s="1"/>
  <c r="P51" i="29"/>
  <c r="I51" i="29"/>
  <c r="AJ39" i="29"/>
  <c r="AI40" i="29"/>
  <c r="AI41" i="29"/>
  <c r="AI42" i="29"/>
  <c r="AI43" i="29"/>
  <c r="AI44" i="29"/>
  <c r="AI45" i="29"/>
  <c r="AI46" i="29"/>
  <c r="AI47" i="29"/>
  <c r="AI48" i="29"/>
  <c r="AI49" i="29"/>
  <c r="AI50" i="29"/>
  <c r="AI118" i="29"/>
  <c r="AI39" i="29"/>
  <c r="AA45" i="29"/>
  <c r="Z45" i="29" s="1"/>
  <c r="P45" i="29"/>
  <c r="I45" i="29"/>
  <c r="AA44" i="29"/>
  <c r="AB44" i="29" s="1"/>
  <c r="P44" i="29"/>
  <c r="I44" i="29"/>
  <c r="AA43" i="29"/>
  <c r="Z43" i="29" s="1"/>
  <c r="P43" i="29"/>
  <c r="I43" i="29"/>
  <c r="AA42" i="29"/>
  <c r="AB42" i="29" s="1"/>
  <c r="P42" i="29"/>
  <c r="I42" i="29"/>
  <c r="AA41" i="29"/>
  <c r="AB41" i="29" s="1"/>
  <c r="AC41" i="29" s="1"/>
  <c r="P41" i="29"/>
  <c r="I41" i="29"/>
  <c r="AA40" i="29"/>
  <c r="AB40" i="29" s="1"/>
  <c r="AC40" i="29" s="1"/>
  <c r="P40" i="29"/>
  <c r="I40" i="29"/>
  <c r="AA39" i="29"/>
  <c r="Z39" i="29" s="1"/>
  <c r="P39" i="29"/>
  <c r="I39" i="29"/>
  <c r="AA90" i="29"/>
  <c r="Z90" i="29" s="1"/>
  <c r="P90" i="29"/>
  <c r="AA49" i="29"/>
  <c r="Z49" i="29" s="1"/>
  <c r="P49" i="29"/>
  <c r="I49" i="29"/>
  <c r="AA48" i="29"/>
  <c r="AB48" i="29" s="1"/>
  <c r="AC48" i="29" s="1"/>
  <c r="P48" i="29"/>
  <c r="I48" i="29"/>
  <c r="AA47" i="29"/>
  <c r="AB47" i="29" s="1"/>
  <c r="AC47" i="29" s="1"/>
  <c r="AD47" i="29" s="1"/>
  <c r="AE47" i="29" s="1"/>
  <c r="P47" i="29"/>
  <c r="I47" i="29"/>
  <c r="AA46" i="29"/>
  <c r="AB46" i="29" s="1"/>
  <c r="AC46" i="29" s="1"/>
  <c r="AD46" i="29" s="1"/>
  <c r="AE46" i="29" s="1"/>
  <c r="P46" i="29"/>
  <c r="I46" i="29"/>
  <c r="AA50" i="29"/>
  <c r="AB50" i="29" s="1"/>
  <c r="AC50" i="29" s="1"/>
  <c r="P50" i="29"/>
  <c r="I50" i="29"/>
  <c r="AA118" i="29"/>
  <c r="Z118" i="29" s="1"/>
  <c r="P118" i="29"/>
  <c r="I118" i="29"/>
  <c r="J118" i="29" s="1"/>
  <c r="K118" i="29" s="1"/>
  <c r="L118" i="29" s="1"/>
  <c r="M118" i="29" s="1"/>
  <c r="AU120" i="29"/>
  <c r="AV120" i="29" s="1"/>
  <c r="AW120" i="29" s="1"/>
  <c r="AK120" i="29"/>
  <c r="AL120" i="29" s="1"/>
  <c r="AM120" i="29" s="1"/>
  <c r="AA120" i="29"/>
  <c r="AB120" i="29" s="1"/>
  <c r="AC120" i="29" s="1"/>
  <c r="AD120" i="29" s="1"/>
  <c r="AE120" i="29" s="1"/>
  <c r="P120" i="29"/>
  <c r="I120" i="29"/>
  <c r="J120" i="29" s="1"/>
  <c r="K120" i="29" s="1"/>
  <c r="L120" i="29" s="1"/>
  <c r="M120" i="29" s="1"/>
  <c r="J47" i="31" l="1"/>
  <c r="AV47" i="31"/>
  <c r="J35" i="31"/>
  <c r="AV35" i="31"/>
  <c r="J28" i="31"/>
  <c r="AV28" i="31"/>
  <c r="J49" i="31"/>
  <c r="AV49" i="31"/>
  <c r="J34" i="31"/>
  <c r="AV34" i="31"/>
  <c r="J27" i="31"/>
  <c r="AV27" i="31"/>
  <c r="J25" i="31"/>
  <c r="AV25" i="31"/>
  <c r="J24" i="31"/>
  <c r="AV24" i="31"/>
  <c r="J48" i="31"/>
  <c r="AV48" i="31"/>
  <c r="J50" i="31"/>
  <c r="AV50" i="31"/>
  <c r="J30" i="31"/>
  <c r="AV30" i="31"/>
  <c r="AU117" i="29"/>
  <c r="AV117" i="29" s="1"/>
  <c r="AW117" i="29" s="1"/>
  <c r="AX117" i="29" s="1"/>
  <c r="AY117" i="29" s="1"/>
  <c r="AU118" i="29"/>
  <c r="AV118" i="29" s="1"/>
  <c r="AW118" i="29" s="1"/>
  <c r="AX118" i="29" s="1"/>
  <c r="AY118" i="29" s="1"/>
  <c r="J41" i="29"/>
  <c r="AU41" i="29"/>
  <c r="AV116" i="29"/>
  <c r="AW116" i="29" s="1"/>
  <c r="J50" i="29"/>
  <c r="AU50" i="29"/>
  <c r="AV119" i="29"/>
  <c r="AW119" i="29" s="1"/>
  <c r="J99" i="29"/>
  <c r="AU99" i="29"/>
  <c r="J94" i="29"/>
  <c r="AU94" i="29"/>
  <c r="J45" i="29"/>
  <c r="AU45" i="29"/>
  <c r="J47" i="29"/>
  <c r="AU47" i="29"/>
  <c r="J44" i="29"/>
  <c r="AU44" i="29"/>
  <c r="J52" i="29"/>
  <c r="AU52" i="29"/>
  <c r="J39" i="29"/>
  <c r="AU39" i="29"/>
  <c r="J46" i="29"/>
  <c r="AU46" i="29"/>
  <c r="J49" i="29"/>
  <c r="AU49" i="29"/>
  <c r="J40" i="29"/>
  <c r="AU40" i="29"/>
  <c r="J51" i="29"/>
  <c r="AU51" i="29"/>
  <c r="J88" i="29"/>
  <c r="AU88" i="29"/>
  <c r="J48" i="29"/>
  <c r="AU48" i="29"/>
  <c r="J89" i="29"/>
  <c r="AU89" i="29"/>
  <c r="AK42" i="29"/>
  <c r="AL42" i="29" s="1"/>
  <c r="AM42" i="29" s="1"/>
  <c r="AN42" i="29" s="1"/>
  <c r="AO42" i="29" s="1"/>
  <c r="AU42" i="29"/>
  <c r="J43" i="29"/>
  <c r="AU43" i="29"/>
  <c r="J81" i="29"/>
  <c r="AU81" i="29"/>
  <c r="AM26" i="31"/>
  <c r="AN26" i="31" s="1"/>
  <c r="AO26" i="31" s="1"/>
  <c r="AP26" i="31" s="1"/>
  <c r="AK21" i="29"/>
  <c r="AA39" i="31"/>
  <c r="Z39" i="31" s="1"/>
  <c r="AB35" i="31"/>
  <c r="AC35" i="31" s="1"/>
  <c r="AD35" i="31" s="1"/>
  <c r="AE35" i="31" s="1"/>
  <c r="AL49" i="31"/>
  <c r="AK49" i="31" s="1"/>
  <c r="AL25" i="31"/>
  <c r="AK25" i="31" s="1"/>
  <c r="Q328" i="19"/>
  <c r="P328" i="19" s="1"/>
  <c r="AF15" i="29"/>
  <c r="Z25" i="31"/>
  <c r="AP62" i="29"/>
  <c r="Z109" i="29"/>
  <c r="AF109" i="29"/>
  <c r="AP109" i="29"/>
  <c r="Z38" i="29"/>
  <c r="AP38" i="29"/>
  <c r="AD38" i="29"/>
  <c r="AE38" i="29" s="1"/>
  <c r="Q112" i="29"/>
  <c r="P112" i="29" s="1"/>
  <c r="AA112" i="29"/>
  <c r="Z112" i="29" s="1"/>
  <c r="J113" i="29"/>
  <c r="K112" i="29"/>
  <c r="R113" i="29"/>
  <c r="S113" i="29" s="1"/>
  <c r="T113" i="29" s="1"/>
  <c r="U113" i="29" s="1"/>
  <c r="AB113" i="29"/>
  <c r="AC113" i="29" s="1"/>
  <c r="AD113" i="29" s="1"/>
  <c r="AE113" i="29" s="1"/>
  <c r="AA328" i="19"/>
  <c r="Z328" i="19" s="1"/>
  <c r="AB29" i="29"/>
  <c r="AC29" i="29" s="1"/>
  <c r="AD29" i="29" s="1"/>
  <c r="AE29" i="29" s="1"/>
  <c r="AM29" i="29"/>
  <c r="AN29" i="29" s="1"/>
  <c r="AO29" i="29" s="1"/>
  <c r="AB96" i="29"/>
  <c r="AP96" i="29"/>
  <c r="AK94" i="29"/>
  <c r="AB95" i="29"/>
  <c r="AC95" i="29" s="1"/>
  <c r="AD95" i="29" s="1"/>
  <c r="AE95" i="29" s="1"/>
  <c r="AP95" i="29"/>
  <c r="Z41" i="31"/>
  <c r="Z94" i="29"/>
  <c r="Q20" i="31"/>
  <c r="AF94" i="29"/>
  <c r="AB26" i="31"/>
  <c r="AC26" i="31" s="1"/>
  <c r="AD26" i="31" s="1"/>
  <c r="AE26" i="31" s="1"/>
  <c r="AB47" i="31"/>
  <c r="AC47" i="31" s="1"/>
  <c r="AD47" i="31" s="1"/>
  <c r="AE47" i="31" s="1"/>
  <c r="AF47" i="31" s="1"/>
  <c r="AL48" i="31"/>
  <c r="AK48" i="31" s="1"/>
  <c r="AL35" i="31"/>
  <c r="AK35" i="31" s="1"/>
  <c r="Q56" i="31"/>
  <c r="AP57" i="29"/>
  <c r="AF57" i="29"/>
  <c r="Z57" i="29"/>
  <c r="Z119" i="29"/>
  <c r="AX119" i="29"/>
  <c r="AY119" i="29" s="1"/>
  <c r="AC119" i="29"/>
  <c r="AD119" i="29" s="1"/>
  <c r="AE119" i="29" s="1"/>
  <c r="AP119" i="29"/>
  <c r="R18" i="31"/>
  <c r="R20" i="31" s="1"/>
  <c r="AB24" i="31"/>
  <c r="AC24" i="31" s="1"/>
  <c r="AD24" i="31" s="1"/>
  <c r="AE24" i="31" s="1"/>
  <c r="J33" i="31"/>
  <c r="K33" i="31" s="1"/>
  <c r="L33" i="31" s="1"/>
  <c r="M33" i="31" s="1"/>
  <c r="J45" i="31"/>
  <c r="K45" i="31" s="1"/>
  <c r="L45" i="31" s="1"/>
  <c r="M45" i="31" s="1"/>
  <c r="AL50" i="31"/>
  <c r="AM50" i="31" s="1"/>
  <c r="AN50" i="31" s="1"/>
  <c r="AO50" i="31" s="1"/>
  <c r="AP50" i="31" s="1"/>
  <c r="P46" i="31"/>
  <c r="Z34" i="31"/>
  <c r="Z23" i="31"/>
  <c r="J23" i="31"/>
  <c r="K23" i="31" s="1"/>
  <c r="L23" i="31" s="1"/>
  <c r="M23" i="31" s="1"/>
  <c r="Z27" i="31"/>
  <c r="AL29" i="31"/>
  <c r="AK29" i="31" s="1"/>
  <c r="AB42" i="31"/>
  <c r="AC42" i="31" s="1"/>
  <c r="AD42" i="31" s="1"/>
  <c r="AE42" i="31" s="1"/>
  <c r="AB51" i="31"/>
  <c r="AC51" i="31" s="1"/>
  <c r="AD51" i="31" s="1"/>
  <c r="AE51" i="31" s="1"/>
  <c r="V46" i="31"/>
  <c r="AB46" i="31"/>
  <c r="AC46" i="31" s="1"/>
  <c r="AD46" i="31" s="1"/>
  <c r="AE46" i="31" s="1"/>
  <c r="AL24" i="31"/>
  <c r="AK24" i="31" s="1"/>
  <c r="Z28" i="31"/>
  <c r="AB29" i="31"/>
  <c r="AC29" i="31" s="1"/>
  <c r="AD29" i="31" s="1"/>
  <c r="AE29" i="31" s="1"/>
  <c r="Z50" i="31"/>
  <c r="AL27" i="31"/>
  <c r="AK27" i="31" s="1"/>
  <c r="AL30" i="31"/>
  <c r="AK30" i="31" s="1"/>
  <c r="AL34" i="31"/>
  <c r="AK41" i="31"/>
  <c r="AL28" i="31"/>
  <c r="AK28" i="31" s="1"/>
  <c r="AL47" i="31"/>
  <c r="AK47" i="31" s="1"/>
  <c r="AC50" i="31"/>
  <c r="AD50" i="31" s="1"/>
  <c r="AE50" i="31" s="1"/>
  <c r="Z33" i="31"/>
  <c r="AA32" i="31"/>
  <c r="AF41" i="31"/>
  <c r="BA42" i="31"/>
  <c r="AF25" i="31"/>
  <c r="BA26" i="31"/>
  <c r="AF28" i="31"/>
  <c r="J29" i="31"/>
  <c r="Z30" i="31"/>
  <c r="AB48" i="31"/>
  <c r="AC48" i="31" s="1"/>
  <c r="AD48" i="31" s="1"/>
  <c r="AE48" i="31" s="1"/>
  <c r="Z49" i="31"/>
  <c r="AC34" i="31"/>
  <c r="AC27" i="31"/>
  <c r="AD27" i="31" s="1"/>
  <c r="AE27" i="31" s="1"/>
  <c r="AB30" i="31"/>
  <c r="AC30" i="31" s="1"/>
  <c r="AD30" i="31" s="1"/>
  <c r="AE30" i="31" s="1"/>
  <c r="AB49" i="31"/>
  <c r="AC49" i="31" s="1"/>
  <c r="AD49" i="31" s="1"/>
  <c r="AE49" i="31" s="1"/>
  <c r="Q327" i="19"/>
  <c r="P327" i="19" s="1"/>
  <c r="AA327" i="19"/>
  <c r="Z327" i="19" s="1"/>
  <c r="AK51" i="31"/>
  <c r="AK18" i="31"/>
  <c r="AB18" i="31"/>
  <c r="AC18" i="31" s="1"/>
  <c r="R51" i="31"/>
  <c r="S51" i="31" s="1"/>
  <c r="J51" i="31"/>
  <c r="J18" i="31"/>
  <c r="AL9" i="31" a="1"/>
  <c r="AL9" i="31" s="1"/>
  <c r="AB53" i="31"/>
  <c r="AC53" i="31" s="1"/>
  <c r="AD53" i="31" s="1"/>
  <c r="AE53" i="31" s="1"/>
  <c r="Z9" i="31"/>
  <c r="J9" i="31"/>
  <c r="AB9" i="31" s="1"/>
  <c r="Z54" i="31"/>
  <c r="J54" i="31"/>
  <c r="AC54" i="31"/>
  <c r="AD54" i="31" s="1"/>
  <c r="AE54" i="31" s="1"/>
  <c r="AL11" i="31" a="1"/>
  <c r="AL11" i="31" s="1"/>
  <c r="AA11" i="31"/>
  <c r="J11" i="31"/>
  <c r="J53" i="31"/>
  <c r="J10" i="31"/>
  <c r="AL10" i="31" a="1"/>
  <c r="AL10" i="31" s="1"/>
  <c r="AA10" i="31"/>
  <c r="R53" i="31"/>
  <c r="S53" i="31" s="1"/>
  <c r="T53" i="31" s="1"/>
  <c r="U53" i="31" s="1"/>
  <c r="P53" i="31"/>
  <c r="AW54" i="31"/>
  <c r="AX54" i="31" s="1"/>
  <c r="AY54" i="31" s="1"/>
  <c r="AZ54" i="31" s="1"/>
  <c r="Q323" i="19"/>
  <c r="P323" i="19" s="1"/>
  <c r="Q329" i="19"/>
  <c r="P329" i="19" s="1"/>
  <c r="Q324" i="19"/>
  <c r="P324" i="19" s="1"/>
  <c r="Q326" i="19"/>
  <c r="P326" i="19" s="1"/>
  <c r="AA329" i="19"/>
  <c r="Z329" i="19" s="1"/>
  <c r="AA326" i="19"/>
  <c r="Z326" i="19" s="1"/>
  <c r="AA324" i="19"/>
  <c r="Z324" i="19" s="1"/>
  <c r="Q325" i="19"/>
  <c r="R325" i="19" s="1"/>
  <c r="AA323" i="19"/>
  <c r="Z323" i="19" s="1"/>
  <c r="AA325" i="19"/>
  <c r="Z325" i="19" s="1"/>
  <c r="Z21" i="29"/>
  <c r="Z18" i="29"/>
  <c r="AK327" i="19"/>
  <c r="J327" i="19"/>
  <c r="P330" i="19"/>
  <c r="J328" i="19"/>
  <c r="AB328" i="19" s="1"/>
  <c r="J324" i="19"/>
  <c r="AM324" i="19" s="1" a="1"/>
  <c r="AM324" i="19" s="1"/>
  <c r="AK324" i="19"/>
  <c r="AK323" i="19"/>
  <c r="J323" i="19"/>
  <c r="AL326" i="19" a="1"/>
  <c r="AL326" i="19" s="1"/>
  <c r="AK326" i="19" s="1"/>
  <c r="AL325" i="19" a="1"/>
  <c r="AL325" i="19" s="1"/>
  <c r="AK325" i="19" s="1"/>
  <c r="K326" i="19"/>
  <c r="AM326" i="19" a="1"/>
  <c r="AM326" i="19" s="1"/>
  <c r="K325" i="19"/>
  <c r="AM325" i="19" a="1"/>
  <c r="AM325" i="19" s="1"/>
  <c r="AK328" i="19"/>
  <c r="AL332" i="19" a="1"/>
  <c r="AL332" i="19" s="1"/>
  <c r="AK332" i="19" s="1"/>
  <c r="J329" i="19"/>
  <c r="AL330" i="19" a="1"/>
  <c r="AL330" i="19" s="1"/>
  <c r="AK330" i="19" s="1"/>
  <c r="K332" i="19"/>
  <c r="AM332" i="19" a="1"/>
  <c r="AM332" i="19" s="1"/>
  <c r="AK329" i="19"/>
  <c r="K330" i="19"/>
  <c r="AM330" i="19" a="1"/>
  <c r="AM330" i="19" s="1"/>
  <c r="S330" i="19"/>
  <c r="T330" i="19" s="1"/>
  <c r="U330" i="19" s="1"/>
  <c r="AB330" i="19"/>
  <c r="AC330" i="19" s="1"/>
  <c r="AD330" i="19" s="1"/>
  <c r="AE330" i="19" s="1"/>
  <c r="R332" i="19"/>
  <c r="S332" i="19" s="1"/>
  <c r="AB332" i="19"/>
  <c r="AC332" i="19" s="1"/>
  <c r="AA165" i="19" a="1"/>
  <c r="AA165" i="19" s="1"/>
  <c r="Z165" i="19" s="1"/>
  <c r="AL165" i="19" a="1"/>
  <c r="AL165" i="19" s="1"/>
  <c r="AK165" i="19" s="1"/>
  <c r="K165" i="19"/>
  <c r="AB165" i="19" a="1"/>
  <c r="AB165" i="19" s="1"/>
  <c r="AM165" i="19" a="1"/>
  <c r="AM165" i="19" s="1"/>
  <c r="S165" i="19"/>
  <c r="T165" i="19" s="1"/>
  <c r="U165" i="19" s="1"/>
  <c r="AX165" i="19"/>
  <c r="AY165" i="19" s="1"/>
  <c r="AZ165" i="19" s="1"/>
  <c r="P165" i="19"/>
  <c r="P45" i="19"/>
  <c r="AL45" i="19" a="1"/>
  <c r="AL45" i="19" s="1"/>
  <c r="J45" i="19"/>
  <c r="AB45" i="19" s="1"/>
  <c r="S45" i="19"/>
  <c r="T45" i="19" s="1"/>
  <c r="U45" i="19" s="1"/>
  <c r="AY45" i="19"/>
  <c r="AZ45" i="19" s="1"/>
  <c r="AL46" i="19" a="1"/>
  <c r="AL46" i="19" s="1"/>
  <c r="J46" i="19"/>
  <c r="AB46" i="19" s="1"/>
  <c r="R46" i="19"/>
  <c r="S46" i="19" s="1"/>
  <c r="T46" i="19" s="1"/>
  <c r="U46" i="19" s="1"/>
  <c r="AW46" i="19"/>
  <c r="AX46" i="19" s="1"/>
  <c r="AY46" i="19" s="1"/>
  <c r="AZ46" i="19" s="1"/>
  <c r="V374" i="19"/>
  <c r="V370" i="19"/>
  <c r="V373" i="19"/>
  <c r="V372" i="19"/>
  <c r="V367" i="19"/>
  <c r="V368" i="19"/>
  <c r="V366" i="19"/>
  <c r="V371" i="19"/>
  <c r="V369" i="19"/>
  <c r="Z20" i="29"/>
  <c r="AD21" i="29"/>
  <c r="AE21" i="29" s="1"/>
  <c r="Z82" i="29"/>
  <c r="AK17" i="29"/>
  <c r="AL17" i="29" s="1"/>
  <c r="AM17" i="29" s="1"/>
  <c r="AN17" i="29" s="1"/>
  <c r="AO17" i="29" s="1"/>
  <c r="AC18" i="29"/>
  <c r="AD18" i="29" s="1"/>
  <c r="AE18" i="29" s="1"/>
  <c r="AK20" i="29"/>
  <c r="AL20" i="29" s="1"/>
  <c r="AM20" i="29" s="1"/>
  <c r="AN20" i="29" s="1"/>
  <c r="AO20" i="29" s="1"/>
  <c r="AF20" i="29"/>
  <c r="AM82" i="29"/>
  <c r="AN82" i="29" s="1"/>
  <c r="AO82" i="29" s="1"/>
  <c r="AF82" i="29"/>
  <c r="AB80" i="29"/>
  <c r="AC80" i="29" s="1"/>
  <c r="AD80" i="29" s="1"/>
  <c r="AE80" i="29" s="1"/>
  <c r="AK81" i="29"/>
  <c r="Z28" i="29"/>
  <c r="AB17" i="29"/>
  <c r="AC17" i="29" s="1"/>
  <c r="AD17" i="29" s="1"/>
  <c r="AE17" i="29" s="1"/>
  <c r="AC81" i="29"/>
  <c r="AD81" i="29" s="1"/>
  <c r="AE81" i="29" s="1"/>
  <c r="AP80" i="29"/>
  <c r="Z81" i="29"/>
  <c r="Z27" i="29"/>
  <c r="AB14" i="29"/>
  <c r="AC14" i="29" s="1"/>
  <c r="AD14" i="29" s="1"/>
  <c r="AE14" i="29" s="1"/>
  <c r="AC28" i="29"/>
  <c r="AD28" i="29" s="1"/>
  <c r="AE28" i="29" s="1"/>
  <c r="AM28" i="29"/>
  <c r="AN28" i="29" s="1"/>
  <c r="AO28" i="29" s="1"/>
  <c r="AK26" i="29"/>
  <c r="AL26" i="29" s="1"/>
  <c r="AM26" i="29" s="1"/>
  <c r="AN26" i="29" s="1"/>
  <c r="AO26" i="29" s="1"/>
  <c r="AP26" i="29" s="1"/>
  <c r="AL14" i="29"/>
  <c r="AM14" i="29" s="1"/>
  <c r="AN14" i="29" s="1"/>
  <c r="AO14" i="29" s="1"/>
  <c r="J14" i="29"/>
  <c r="K14" i="29" s="1"/>
  <c r="L14" i="29" s="1"/>
  <c r="M14" i="29" s="1"/>
  <c r="AL12" i="29"/>
  <c r="AM12" i="29" s="1"/>
  <c r="AN12" i="29" s="1"/>
  <c r="AO12" i="29" s="1"/>
  <c r="AB13" i="29"/>
  <c r="AC13" i="29" s="1"/>
  <c r="AD13" i="29" s="1"/>
  <c r="AE13" i="29" s="1"/>
  <c r="Z22" i="29"/>
  <c r="Z26" i="29"/>
  <c r="AF27" i="29"/>
  <c r="AB26" i="29"/>
  <c r="AC26" i="29" s="1"/>
  <c r="AD26" i="29" s="1"/>
  <c r="AE26" i="29" s="1"/>
  <c r="AK118" i="29"/>
  <c r="AL118" i="29" s="1"/>
  <c r="AM118" i="29" s="1"/>
  <c r="AN118" i="29" s="1"/>
  <c r="AO118" i="29" s="1"/>
  <c r="AF22" i="29"/>
  <c r="AF12" i="29"/>
  <c r="AL22" i="29"/>
  <c r="AM22" i="29" s="1"/>
  <c r="AN22" i="29" s="1"/>
  <c r="AO22" i="29" s="1"/>
  <c r="AK117" i="29"/>
  <c r="AL117" i="29" s="1"/>
  <c r="AM117" i="29" s="1"/>
  <c r="AN117" i="29" s="1"/>
  <c r="AO117" i="29" s="1"/>
  <c r="Z12" i="29"/>
  <c r="AP70" i="29"/>
  <c r="Z116" i="29"/>
  <c r="AP116" i="29"/>
  <c r="AF116" i="29"/>
  <c r="AB117" i="29"/>
  <c r="AC117" i="29" s="1"/>
  <c r="AD117" i="29" s="1"/>
  <c r="AE117" i="29" s="1"/>
  <c r="AK48" i="29"/>
  <c r="AL48" i="29" s="1"/>
  <c r="AM48" i="29" s="1"/>
  <c r="AN48" i="29" s="1"/>
  <c r="AO48" i="29" s="1"/>
  <c r="AK52" i="29"/>
  <c r="AL52" i="29" s="1"/>
  <c r="AM52" i="29" s="1"/>
  <c r="AN52" i="29" s="1"/>
  <c r="AO52" i="29" s="1"/>
  <c r="AK44" i="29"/>
  <c r="AL44" i="29" s="1"/>
  <c r="AM44" i="29" s="1"/>
  <c r="AN44" i="29" s="1"/>
  <c r="AO44" i="29" s="1"/>
  <c r="AK88" i="29"/>
  <c r="AK51" i="29"/>
  <c r="AL51" i="29" s="1"/>
  <c r="AM51" i="29" s="1"/>
  <c r="AN51" i="29" s="1"/>
  <c r="AO51" i="29" s="1"/>
  <c r="Z99" i="29"/>
  <c r="AK43" i="29"/>
  <c r="AL43" i="29" s="1"/>
  <c r="AM43" i="29" s="1"/>
  <c r="AN43" i="29" s="1"/>
  <c r="AO43" i="29" s="1"/>
  <c r="AK40" i="29"/>
  <c r="AL40" i="29" s="1"/>
  <c r="AM40" i="29" s="1"/>
  <c r="AN40" i="29" s="1"/>
  <c r="AO40" i="29" s="1"/>
  <c r="Z52" i="29"/>
  <c r="Z50" i="29"/>
  <c r="AK46" i="29"/>
  <c r="AL46" i="29" s="1"/>
  <c r="AM46" i="29" s="1"/>
  <c r="AN46" i="29" s="1"/>
  <c r="AO46" i="29" s="1"/>
  <c r="AK49" i="29"/>
  <c r="AL49" i="29" s="1"/>
  <c r="AM49" i="29" s="1"/>
  <c r="AN49" i="29" s="1"/>
  <c r="AO49" i="29" s="1"/>
  <c r="J42" i="29"/>
  <c r="Z42" i="29"/>
  <c r="AK99" i="29"/>
  <c r="AK39" i="29"/>
  <c r="AK41" i="29"/>
  <c r="AL41" i="29" s="1"/>
  <c r="AM41" i="29" s="1"/>
  <c r="AN41" i="29" s="1"/>
  <c r="AK45" i="29"/>
  <c r="AL45" i="29" s="1"/>
  <c r="AM45" i="29" s="1"/>
  <c r="AN45" i="29" s="1"/>
  <c r="AO45" i="29" s="1"/>
  <c r="AK50" i="29"/>
  <c r="AL50" i="29" s="1"/>
  <c r="AM50" i="29" s="1"/>
  <c r="AN50" i="29" s="1"/>
  <c r="AO50" i="29" s="1"/>
  <c r="AK47" i="29"/>
  <c r="AL47" i="29" s="1"/>
  <c r="AM47" i="29" s="1"/>
  <c r="AN47" i="29" s="1"/>
  <c r="AO47" i="29" s="1"/>
  <c r="Z44" i="29"/>
  <c r="Z89" i="29"/>
  <c r="AK89" i="29"/>
  <c r="AL89" i="29" s="1"/>
  <c r="AM89" i="29" s="1"/>
  <c r="AN89" i="29" s="1"/>
  <c r="AO89" i="29" s="1"/>
  <c r="AF89" i="29"/>
  <c r="AB88" i="29"/>
  <c r="AC88" i="29" s="1"/>
  <c r="AD88" i="29" s="1"/>
  <c r="AE88" i="29" s="1"/>
  <c r="AF99" i="29"/>
  <c r="AC54" i="29"/>
  <c r="AD54" i="29" s="1"/>
  <c r="AE54" i="29" s="1"/>
  <c r="AC52" i="29"/>
  <c r="AD52" i="29" s="1"/>
  <c r="AE52" i="29" s="1"/>
  <c r="AB51" i="29"/>
  <c r="AC51" i="29" s="1"/>
  <c r="AD51" i="29" s="1"/>
  <c r="AE51" i="29" s="1"/>
  <c r="AB90" i="29"/>
  <c r="AC90" i="29" s="1"/>
  <c r="AD90" i="29" s="1"/>
  <c r="AE90" i="29" s="1"/>
  <c r="Z47" i="29"/>
  <c r="Z40" i="29"/>
  <c r="Z54" i="29"/>
  <c r="AB55" i="29"/>
  <c r="AC55" i="29" s="1"/>
  <c r="AD55" i="29" s="1"/>
  <c r="AE55" i="29" s="1"/>
  <c r="Z41" i="29"/>
  <c r="Z48" i="29"/>
  <c r="AB45" i="29"/>
  <c r="AC45" i="29" s="1"/>
  <c r="AD45" i="29" s="1"/>
  <c r="AE45" i="29" s="1"/>
  <c r="AD41" i="29"/>
  <c r="AE41" i="29" s="1"/>
  <c r="AC44" i="29"/>
  <c r="AD44" i="29" s="1"/>
  <c r="AE44" i="29" s="1"/>
  <c r="AD40" i="29"/>
  <c r="AE40" i="29" s="1"/>
  <c r="Z46" i="29"/>
  <c r="AB39" i="29"/>
  <c r="AC39" i="29" s="1"/>
  <c r="AD39" i="29" s="1"/>
  <c r="AE39" i="29" s="1"/>
  <c r="AB43" i="29"/>
  <c r="AC43" i="29" s="1"/>
  <c r="AD43" i="29" s="1"/>
  <c r="AE43" i="29" s="1"/>
  <c r="AC42" i="29"/>
  <c r="AD42" i="29" s="1"/>
  <c r="AE42" i="29" s="1"/>
  <c r="AD48" i="29"/>
  <c r="AE48" i="29" s="1"/>
  <c r="AF46" i="29"/>
  <c r="AF47" i="29"/>
  <c r="AB49" i="29"/>
  <c r="AC49" i="29" s="1"/>
  <c r="AD49" i="29" s="1"/>
  <c r="AE49" i="29" s="1"/>
  <c r="AD50" i="29"/>
  <c r="AE50" i="29" s="1"/>
  <c r="AB118" i="29"/>
  <c r="AC118" i="29" s="1"/>
  <c r="AD118" i="29" s="1"/>
  <c r="AE118" i="29" s="1"/>
  <c r="Z120" i="29"/>
  <c r="AN120" i="29"/>
  <c r="AO120" i="29" s="1"/>
  <c r="AX120" i="29"/>
  <c r="AY120" i="29" s="1"/>
  <c r="AF120" i="29"/>
  <c r="AQ230" i="19"/>
  <c r="AQ246" i="19"/>
  <c r="AQ263" i="19"/>
  <c r="AQ296" i="19"/>
  <c r="AQ182" i="19"/>
  <c r="AQ49" i="19"/>
  <c r="AQ56" i="19"/>
  <c r="AQ106" i="19"/>
  <c r="AQ107" i="19"/>
  <c r="AQ108" i="19"/>
  <c r="AQ109" i="19"/>
  <c r="AQ110" i="19"/>
  <c r="AQ111" i="19"/>
  <c r="AQ112" i="19"/>
  <c r="AQ113" i="19"/>
  <c r="AQ114" i="19"/>
  <c r="AQ115" i="19"/>
  <c r="AQ116" i="19"/>
  <c r="AQ117" i="19"/>
  <c r="AQ118" i="19"/>
  <c r="AQ119" i="19"/>
  <c r="AQ120" i="19"/>
  <c r="AQ121" i="19"/>
  <c r="AQ122" i="19"/>
  <c r="AQ123" i="19"/>
  <c r="AQ124" i="19"/>
  <c r="AQ125" i="19"/>
  <c r="AQ126" i="19"/>
  <c r="AQ127" i="19"/>
  <c r="AQ128" i="19"/>
  <c r="AQ129" i="19"/>
  <c r="AQ130" i="19"/>
  <c r="AQ131" i="19"/>
  <c r="AQ132" i="19"/>
  <c r="AQ133" i="19"/>
  <c r="AQ134" i="19"/>
  <c r="AQ135" i="19"/>
  <c r="AQ136" i="19"/>
  <c r="AQ137" i="19"/>
  <c r="AQ139" i="19"/>
  <c r="AQ148" i="19"/>
  <c r="AI238" i="19"/>
  <c r="AI239" i="19"/>
  <c r="AI240" i="19"/>
  <c r="AI241" i="19"/>
  <c r="AI242" i="19"/>
  <c r="AI243" i="19"/>
  <c r="AI244" i="19"/>
  <c r="AI237" i="19"/>
  <c r="AI185" i="19"/>
  <c r="AI186" i="19"/>
  <c r="AI187" i="19"/>
  <c r="AI188" i="19"/>
  <c r="AI190" i="19"/>
  <c r="AI191" i="19"/>
  <c r="AI192" i="19"/>
  <c r="AI193" i="19"/>
  <c r="AI194" i="19"/>
  <c r="AI196" i="19"/>
  <c r="AI197" i="19"/>
  <c r="AI198" i="19"/>
  <c r="AI199" i="19"/>
  <c r="AI201" i="19"/>
  <c r="AI202" i="19"/>
  <c r="AI203" i="19"/>
  <c r="AI204" i="19"/>
  <c r="AI205" i="19"/>
  <c r="AI206" i="19"/>
  <c r="AI207" i="19"/>
  <c r="AI209" i="19"/>
  <c r="AI212" i="19"/>
  <c r="AI213" i="19"/>
  <c r="AI214" i="19"/>
  <c r="AI215" i="19"/>
  <c r="AI217" i="19"/>
  <c r="AI220" i="19"/>
  <c r="AI221" i="19"/>
  <c r="AI222" i="19"/>
  <c r="AI224" i="19"/>
  <c r="AI225" i="19"/>
  <c r="AI226" i="19"/>
  <c r="AI227" i="19"/>
  <c r="AI228" i="19"/>
  <c r="AI183" i="19"/>
  <c r="AI184" i="19"/>
  <c r="AI141" i="19"/>
  <c r="AI142" i="19"/>
  <c r="AI143" i="19"/>
  <c r="AI144" i="19"/>
  <c r="AI145" i="19"/>
  <c r="AI146" i="19"/>
  <c r="AI140" i="19"/>
  <c r="AL299" i="19" a="1"/>
  <c r="AL299" i="19" s="1"/>
  <c r="AM299" i="19" a="1"/>
  <c r="AM299" i="19" s="1"/>
  <c r="AN299" i="19" a="1"/>
  <c r="AN299" i="19" s="1"/>
  <c r="AO299" i="19" a="1"/>
  <c r="AO299" i="19" s="1"/>
  <c r="AP299" i="19" a="1"/>
  <c r="AP299" i="19" s="1"/>
  <c r="AL308" i="19" a="1"/>
  <c r="AL308" i="19" s="1"/>
  <c r="AM308" i="19" a="1"/>
  <c r="AM308" i="19" s="1"/>
  <c r="AN308" i="19" a="1"/>
  <c r="AN308" i="19" s="1"/>
  <c r="AO308" i="19" a="1"/>
  <c r="AO308" i="19" s="1"/>
  <c r="AP308" i="19" a="1"/>
  <c r="AP308" i="19" s="1"/>
  <c r="AL275" i="19" a="1"/>
  <c r="AL275" i="19" s="1"/>
  <c r="AM275" i="19" a="1"/>
  <c r="AM275" i="19" s="1"/>
  <c r="AN275" i="19" a="1"/>
  <c r="AN275" i="19" s="1"/>
  <c r="AO275" i="19" a="1"/>
  <c r="AO275" i="19" s="1"/>
  <c r="AP275" i="19" a="1"/>
  <c r="AP275" i="19" s="1"/>
  <c r="AL280" i="19" a="1"/>
  <c r="AL280" i="19" s="1"/>
  <c r="AM280" i="19" a="1"/>
  <c r="AM280" i="19" s="1"/>
  <c r="AN280" i="19" a="1"/>
  <c r="AN280" i="19" s="1"/>
  <c r="AO280" i="19" a="1"/>
  <c r="AO280" i="19" s="1"/>
  <c r="AP280" i="19" a="1"/>
  <c r="AP280" i="19" s="1"/>
  <c r="AL295" i="19" a="1"/>
  <c r="AL295" i="19" s="1"/>
  <c r="AM295" i="19" a="1"/>
  <c r="AM295" i="19" s="1"/>
  <c r="AN295" i="19" a="1"/>
  <c r="AN295" i="19" s="1"/>
  <c r="AO295" i="19" a="1"/>
  <c r="AO295" i="19" s="1"/>
  <c r="AP295" i="19" a="1"/>
  <c r="AP295" i="19" s="1"/>
  <c r="AI58" i="19"/>
  <c r="AI59" i="19"/>
  <c r="AI60" i="19"/>
  <c r="AI61" i="19"/>
  <c r="AI62" i="19"/>
  <c r="AI63" i="19"/>
  <c r="AI64" i="19"/>
  <c r="AI65" i="19"/>
  <c r="AI66" i="19"/>
  <c r="AI67" i="19"/>
  <c r="AI68" i="19"/>
  <c r="AI69" i="19"/>
  <c r="AI70" i="19"/>
  <c r="AI71" i="19"/>
  <c r="AI72" i="19"/>
  <c r="AI73" i="19"/>
  <c r="AI74" i="19"/>
  <c r="AI75" i="19"/>
  <c r="AI76" i="19"/>
  <c r="AI77" i="19"/>
  <c r="AI78" i="19"/>
  <c r="AI79" i="19"/>
  <c r="AI80" i="19"/>
  <c r="AI81" i="19"/>
  <c r="AI82" i="19"/>
  <c r="AI83" i="19"/>
  <c r="AI84" i="19"/>
  <c r="AI85" i="19"/>
  <c r="AI87" i="19"/>
  <c r="AI88" i="19"/>
  <c r="AI89" i="19"/>
  <c r="AI92" i="19"/>
  <c r="AI93" i="19"/>
  <c r="AI94" i="19"/>
  <c r="AI95" i="19"/>
  <c r="AI98" i="19"/>
  <c r="AI99" i="19"/>
  <c r="AI100" i="19"/>
  <c r="AI101" i="19"/>
  <c r="AI102" i="19"/>
  <c r="AI103" i="19"/>
  <c r="AI104" i="19"/>
  <c r="AI57" i="19"/>
  <c r="AI54" i="19"/>
  <c r="AI53" i="19"/>
  <c r="AV53" i="19"/>
  <c r="AW53" i="19" s="1"/>
  <c r="AA53" i="19"/>
  <c r="Z53" i="19" s="1"/>
  <c r="Q53" i="19"/>
  <c r="P53" i="19" s="1"/>
  <c r="I53" i="19"/>
  <c r="AV54" i="19"/>
  <c r="AW54" i="19" s="1"/>
  <c r="AA54" i="19"/>
  <c r="Q54" i="19"/>
  <c r="R54" i="19" s="1"/>
  <c r="I54" i="19"/>
  <c r="AI41" i="19"/>
  <c r="AI42" i="19"/>
  <c r="AI43" i="19"/>
  <c r="AI44" i="19"/>
  <c r="AI40" i="19"/>
  <c r="AI37" i="19"/>
  <c r="AI38" i="19"/>
  <c r="AI36" i="19"/>
  <c r="AI13" i="19"/>
  <c r="AI14" i="19"/>
  <c r="AI15" i="19"/>
  <c r="Q31" i="27" a="1"/>
  <c r="Q31" i="27" s="1"/>
  <c r="O9" i="27"/>
  <c r="O10" i="27"/>
  <c r="O11" i="27"/>
  <c r="O12" i="27"/>
  <c r="O13" i="27"/>
  <c r="O16" i="27"/>
  <c r="O17" i="27"/>
  <c r="O18" i="27"/>
  <c r="O19" i="27"/>
  <c r="O20" i="27"/>
  <c r="O21" i="27"/>
  <c r="O31" i="27"/>
  <c r="O8" i="27"/>
  <c r="M31" i="27" a="1"/>
  <c r="M31" i="27" s="1"/>
  <c r="K29" i="31" l="1"/>
  <c r="AW29" i="31"/>
  <c r="K24" i="31"/>
  <c r="AW24" i="31"/>
  <c r="K49" i="31"/>
  <c r="AW49" i="31"/>
  <c r="K28" i="31"/>
  <c r="AW28" i="31"/>
  <c r="K50" i="31"/>
  <c r="AW50" i="31"/>
  <c r="K27" i="31"/>
  <c r="AW27" i="31"/>
  <c r="K35" i="31"/>
  <c r="AW35" i="31"/>
  <c r="K30" i="31"/>
  <c r="AW30" i="31"/>
  <c r="K25" i="31"/>
  <c r="AW25" i="31"/>
  <c r="K48" i="31"/>
  <c r="AW48" i="31"/>
  <c r="K34" i="31"/>
  <c r="AW34" i="31"/>
  <c r="K47" i="31"/>
  <c r="AW47" i="31"/>
  <c r="AL39" i="29"/>
  <c r="AL81" i="29"/>
  <c r="AL94" i="29"/>
  <c r="AX116" i="29"/>
  <c r="AY116" i="29" s="1"/>
  <c r="K43" i="29"/>
  <c r="AV43" i="29"/>
  <c r="K46" i="29"/>
  <c r="AV46" i="29"/>
  <c r="K44" i="29"/>
  <c r="AV44" i="29"/>
  <c r="K99" i="29"/>
  <c r="AV99" i="29"/>
  <c r="K51" i="29"/>
  <c r="AV51" i="29"/>
  <c r="K47" i="29"/>
  <c r="AV47" i="29"/>
  <c r="AL99" i="29"/>
  <c r="K42" i="29"/>
  <c r="AV42" i="29"/>
  <c r="K89" i="29"/>
  <c r="AV89" i="29"/>
  <c r="AZ119" i="29"/>
  <c r="K39" i="29"/>
  <c r="AM39" i="29" s="1"/>
  <c r="AV39" i="29"/>
  <c r="AL88" i="29"/>
  <c r="K81" i="29"/>
  <c r="AV81" i="29"/>
  <c r="K48" i="29"/>
  <c r="AV48" i="29"/>
  <c r="AZ118" i="29"/>
  <c r="K88" i="29"/>
  <c r="AV88" i="29"/>
  <c r="AZ117" i="29"/>
  <c r="K40" i="29"/>
  <c r="AV40" i="29"/>
  <c r="K45" i="29"/>
  <c r="AV45" i="29"/>
  <c r="K41" i="29"/>
  <c r="AV41" i="29"/>
  <c r="K49" i="29"/>
  <c r="AV49" i="29"/>
  <c r="K52" i="29"/>
  <c r="AV52" i="29"/>
  <c r="K94" i="29"/>
  <c r="AV94" i="29"/>
  <c r="K50" i="29"/>
  <c r="AV50" i="29"/>
  <c r="AM49" i="31"/>
  <c r="AN49" i="31" s="1"/>
  <c r="AL21" i="29"/>
  <c r="AF35" i="31"/>
  <c r="AM25" i="31"/>
  <c r="AN25" i="31" s="1"/>
  <c r="AB39" i="31"/>
  <c r="AC39" i="31" s="1"/>
  <c r="AD39" i="31" s="1"/>
  <c r="AE39" i="31" s="1"/>
  <c r="AA56" i="31"/>
  <c r="AM28" i="31"/>
  <c r="AA20" i="31"/>
  <c r="AM47" i="31"/>
  <c r="AM48" i="31"/>
  <c r="AN48" i="31" s="1"/>
  <c r="AO48" i="31" s="1"/>
  <c r="AP48" i="31" s="1"/>
  <c r="AM35" i="31"/>
  <c r="AM27" i="31"/>
  <c r="R327" i="19"/>
  <c r="R329" i="19"/>
  <c r="S18" i="31"/>
  <c r="S20" i="31" s="1"/>
  <c r="AF38" i="29"/>
  <c r="R112" i="29"/>
  <c r="S112" i="29" s="1"/>
  <c r="AB112" i="29"/>
  <c r="AC112" i="29" s="1"/>
  <c r="AF29" i="29"/>
  <c r="K113" i="29"/>
  <c r="AP29" i="29"/>
  <c r="R326" i="19"/>
  <c r="S326" i="19" s="1"/>
  <c r="T326" i="19" s="1"/>
  <c r="U326" i="19" s="1"/>
  <c r="L112" i="29"/>
  <c r="AF113" i="29"/>
  <c r="AB325" i="19"/>
  <c r="AC325" i="19" s="1"/>
  <c r="AB45" i="31"/>
  <c r="AC45" i="31" s="1"/>
  <c r="AD45" i="31" s="1"/>
  <c r="AE45" i="31" s="1"/>
  <c r="V113" i="29"/>
  <c r="AC96" i="29"/>
  <c r="AD96" i="29" s="1"/>
  <c r="AE96" i="29" s="1"/>
  <c r="AF95" i="29"/>
  <c r="AK9" i="31"/>
  <c r="AL20" i="31"/>
  <c r="R56" i="31"/>
  <c r="AF26" i="31"/>
  <c r="AM30" i="31"/>
  <c r="AN30" i="31" s="1"/>
  <c r="AB33" i="31"/>
  <c r="AC33" i="31" s="1"/>
  <c r="AD33" i="31" s="1"/>
  <c r="AE33" i="31" s="1"/>
  <c r="AK34" i="31"/>
  <c r="AL56" i="31"/>
  <c r="AF51" i="31"/>
  <c r="AQ50" i="31"/>
  <c r="AF50" i="31"/>
  <c r="AF119" i="29"/>
  <c r="AD34" i="31"/>
  <c r="T51" i="31"/>
  <c r="S56" i="31"/>
  <c r="AD18" i="31"/>
  <c r="AF42" i="31"/>
  <c r="AF29" i="31"/>
  <c r="AK50" i="31"/>
  <c r="AM34" i="31"/>
  <c r="AM24" i="31"/>
  <c r="AN24" i="31" s="1"/>
  <c r="AF46" i="31"/>
  <c r="AB23" i="31"/>
  <c r="AF48" i="31"/>
  <c r="AF49" i="31"/>
  <c r="BA41" i="31"/>
  <c r="AQ42" i="31"/>
  <c r="AQ26" i="31"/>
  <c r="AV56" i="31"/>
  <c r="AM29" i="31"/>
  <c r="AF30" i="31"/>
  <c r="AF24" i="31"/>
  <c r="Z32" i="31"/>
  <c r="AB32" i="31"/>
  <c r="AC32" i="31" s="1"/>
  <c r="AD32" i="31" s="1"/>
  <c r="AE32" i="31" s="1"/>
  <c r="AF27" i="31"/>
  <c r="K51" i="31"/>
  <c r="AM51" i="31" a="1"/>
  <c r="AM51" i="31" s="1"/>
  <c r="K18" i="31"/>
  <c r="AM18" i="31" a="1"/>
  <c r="AM18" i="31" s="1"/>
  <c r="AF53" i="31"/>
  <c r="BA54" i="31"/>
  <c r="K54" i="31"/>
  <c r="AM54" i="31" a="1"/>
  <c r="AM54" i="31" s="1"/>
  <c r="AM9" i="31" a="1"/>
  <c r="AM9" i="31" s="1"/>
  <c r="K9" i="31"/>
  <c r="AC9" i="31" s="1"/>
  <c r="Z10" i="31"/>
  <c r="AB10" i="31"/>
  <c r="AM10" i="31" a="1"/>
  <c r="AM10" i="31" s="1"/>
  <c r="K10" i="31"/>
  <c r="K53" i="31"/>
  <c r="Q57" i="31"/>
  <c r="AK10" i="31"/>
  <c r="K11" i="31"/>
  <c r="AM11" i="31" a="1"/>
  <c r="AM11" i="31" s="1"/>
  <c r="V53" i="31"/>
  <c r="AB11" i="31"/>
  <c r="Z11" i="31"/>
  <c r="AK11" i="31"/>
  <c r="AF54" i="31"/>
  <c r="AB326" i="19"/>
  <c r="AC326" i="19" s="1"/>
  <c r="AD326" i="19" s="1"/>
  <c r="AE326" i="19" s="1"/>
  <c r="R323" i="19"/>
  <c r="S325" i="19"/>
  <c r="AB323" i="19"/>
  <c r="AB327" i="19"/>
  <c r="R328" i="19"/>
  <c r="P325" i="19"/>
  <c r="R324" i="19"/>
  <c r="AB329" i="19"/>
  <c r="K324" i="19"/>
  <c r="L324" i="19" s="1"/>
  <c r="AB324" i="19"/>
  <c r="AF18" i="29"/>
  <c r="AM327" i="19" a="1"/>
  <c r="AM327" i="19" s="1"/>
  <c r="K327" i="19"/>
  <c r="K328" i="19"/>
  <c r="AC328" i="19" s="1"/>
  <c r="AM328" i="19" a="1"/>
  <c r="AM328" i="19" s="1"/>
  <c r="K323" i="19"/>
  <c r="AM323" i="19" a="1"/>
  <c r="AM323" i="19" s="1"/>
  <c r="L326" i="19"/>
  <c r="AN326" i="19" a="1"/>
  <c r="AN326" i="19" s="1"/>
  <c r="AM329" i="19" a="1"/>
  <c r="AM329" i="19" s="1"/>
  <c r="K329" i="19"/>
  <c r="L325" i="19"/>
  <c r="AN325" i="19" a="1"/>
  <c r="AN325" i="19" s="1"/>
  <c r="V330" i="19"/>
  <c r="L332" i="19"/>
  <c r="AN332" i="19" a="1"/>
  <c r="AN332" i="19" s="1"/>
  <c r="L330" i="19"/>
  <c r="AN330" i="19" a="1"/>
  <c r="AN330" i="19" s="1"/>
  <c r="BA165" i="19"/>
  <c r="AF330" i="19"/>
  <c r="V165" i="19"/>
  <c r="L165" i="19"/>
  <c r="AC165" i="19" a="1"/>
  <c r="AC165" i="19" s="1"/>
  <c r="AN165" i="19" a="1"/>
  <c r="AN165" i="19" s="1"/>
  <c r="BA45" i="19"/>
  <c r="V45" i="19"/>
  <c r="K45" i="19"/>
  <c r="AC45" i="19" s="1"/>
  <c r="AM45" i="19" a="1"/>
  <c r="AM45" i="19" s="1"/>
  <c r="AK45" i="19"/>
  <c r="BA46" i="19"/>
  <c r="V46" i="19"/>
  <c r="K46" i="19"/>
  <c r="AC46" i="19" s="1"/>
  <c r="AM46" i="19" a="1"/>
  <c r="AM46" i="19" s="1"/>
  <c r="AK46" i="19"/>
  <c r="J54" i="19"/>
  <c r="AL54" i="19" a="1"/>
  <c r="AL54" i="19" s="1"/>
  <c r="J53" i="19"/>
  <c r="AL53" i="19" a="1"/>
  <c r="AL53" i="19" s="1"/>
  <c r="AB54" i="19"/>
  <c r="AC54" i="19" s="1"/>
  <c r="AD54" i="19" s="1"/>
  <c r="AE54" i="19" s="1"/>
  <c r="Z54" i="19"/>
  <c r="AQ275" i="19"/>
  <c r="AK275" i="19"/>
  <c r="AQ280" i="19"/>
  <c r="AK280" i="19"/>
  <c r="AQ295" i="19"/>
  <c r="AK295" i="19"/>
  <c r="AK308" i="19"/>
  <c r="AQ308" i="19"/>
  <c r="AQ299" i="19"/>
  <c r="AK299" i="19"/>
  <c r="AP18" i="29"/>
  <c r="AF21" i="29"/>
  <c r="AF80" i="29"/>
  <c r="AP20" i="29"/>
  <c r="AP82" i="29"/>
  <c r="AF17" i="29"/>
  <c r="AF81" i="29"/>
  <c r="AP17" i="29"/>
  <c r="AP28" i="29"/>
  <c r="AP14" i="29"/>
  <c r="AF28" i="29"/>
  <c r="AP117" i="29"/>
  <c r="AF14" i="29"/>
  <c r="AP22" i="29"/>
  <c r="AP12" i="29"/>
  <c r="AP27" i="29"/>
  <c r="AF26" i="29"/>
  <c r="AF13" i="29"/>
  <c r="AP13" i="29"/>
  <c r="AF117" i="29"/>
  <c r="AP48" i="29"/>
  <c r="AP55" i="29"/>
  <c r="AF55" i="29"/>
  <c r="AP47" i="29"/>
  <c r="AP40" i="29"/>
  <c r="AO41" i="29"/>
  <c r="AP41" i="29" s="1"/>
  <c r="AF44" i="29"/>
  <c r="AF90" i="29"/>
  <c r="AP89" i="29"/>
  <c r="AF88" i="29"/>
  <c r="AF52" i="29"/>
  <c r="AP51" i="29"/>
  <c r="AF54" i="29"/>
  <c r="AF51" i="29"/>
  <c r="AP52" i="29"/>
  <c r="AF40" i="29"/>
  <c r="AF42" i="29"/>
  <c r="AF45" i="29"/>
  <c r="AP50" i="29"/>
  <c r="AP45" i="29"/>
  <c r="AP46" i="29"/>
  <c r="AF41" i="29"/>
  <c r="AP44" i="29"/>
  <c r="AP43" i="29"/>
  <c r="AF39" i="29"/>
  <c r="AF48" i="29"/>
  <c r="AP42" i="29"/>
  <c r="AF43" i="29"/>
  <c r="AP118" i="29"/>
  <c r="AP49" i="29"/>
  <c r="AF49" i="29"/>
  <c r="AF118" i="29"/>
  <c r="AF50" i="29"/>
  <c r="AZ120" i="29"/>
  <c r="AP120" i="29"/>
  <c r="AX53" i="19"/>
  <c r="AY53" i="19" s="1"/>
  <c r="AZ53" i="19" s="1"/>
  <c r="R53" i="19"/>
  <c r="S53" i="19" s="1"/>
  <c r="T53" i="19" s="1"/>
  <c r="U53" i="19" s="1"/>
  <c r="P54" i="19"/>
  <c r="AB53" i="19"/>
  <c r="AC53" i="19" s="1"/>
  <c r="AD53" i="19" s="1"/>
  <c r="AE53" i="19" s="1"/>
  <c r="S54" i="19"/>
  <c r="T54" i="19" s="1"/>
  <c r="U54" i="19" s="1"/>
  <c r="AX54" i="19"/>
  <c r="AY54" i="19" s="1"/>
  <c r="AZ54" i="19" s="1"/>
  <c r="K9" i="27"/>
  <c r="K10" i="27"/>
  <c r="K11" i="27"/>
  <c r="K12" i="27"/>
  <c r="K13" i="27"/>
  <c r="K16" i="27"/>
  <c r="K17" i="27"/>
  <c r="K18" i="27"/>
  <c r="K19" i="27"/>
  <c r="K20" i="27"/>
  <c r="K21" i="27"/>
  <c r="K8" i="27"/>
  <c r="Q7" i="27" a="1"/>
  <c r="Q7" i="27" s="1"/>
  <c r="Q21" i="27" a="1"/>
  <c r="Q21" i="27" s="1"/>
  <c r="Q32" i="27" a="1"/>
  <c r="Q32" i="27" s="1"/>
  <c r="Q33" i="27" a="1"/>
  <c r="Q33" i="27" s="1"/>
  <c r="Q34" i="27" a="1"/>
  <c r="Q34" i="27" s="1"/>
  <c r="M7" i="27" a="1"/>
  <c r="M7" i="27" s="1"/>
  <c r="M21" i="27" a="1"/>
  <c r="M21" i="27" s="1"/>
  <c r="M32" i="27" a="1"/>
  <c r="M32" i="27" s="1"/>
  <c r="M33" i="27" a="1"/>
  <c r="M33" i="27" s="1"/>
  <c r="M34" i="27" a="1"/>
  <c r="M34" i="27" s="1"/>
  <c r="Z21" i="27"/>
  <c r="Z20" i="27"/>
  <c r="Z19" i="27"/>
  <c r="Z18" i="27"/>
  <c r="Z17" i="27"/>
  <c r="Z16" i="27"/>
  <c r="Z13" i="27"/>
  <c r="Z12" i="27"/>
  <c r="Z11" i="27"/>
  <c r="Z10" i="27"/>
  <c r="Z9" i="27"/>
  <c r="Z8" i="27"/>
  <c r="Z7" i="27"/>
  <c r="Z32" i="27"/>
  <c r="X361" i="19"/>
  <c r="X362" i="19"/>
  <c r="X360" i="19"/>
  <c r="AI97" i="29"/>
  <c r="X97" i="29"/>
  <c r="N97" i="29"/>
  <c r="B97" i="29"/>
  <c r="AK98" i="29"/>
  <c r="AL98" i="29" s="1"/>
  <c r="AM98" i="29" s="1"/>
  <c r="AN98" i="29" s="1"/>
  <c r="AO98" i="29" s="1"/>
  <c r="X98" i="29"/>
  <c r="N98" i="29"/>
  <c r="I98" i="29"/>
  <c r="Q98" i="29" s="1"/>
  <c r="AK72" i="29"/>
  <c r="P72" i="29"/>
  <c r="N72" i="29"/>
  <c r="I72" i="29"/>
  <c r="J72" i="29" s="1"/>
  <c r="K72" i="29" s="1"/>
  <c r="L72" i="29" s="1"/>
  <c r="M72" i="29" s="1"/>
  <c r="AA77" i="29"/>
  <c r="AB77" i="29" s="1"/>
  <c r="AA76" i="29"/>
  <c r="AB76" i="29" s="1"/>
  <c r="AC76" i="29" s="1"/>
  <c r="AD76" i="29" s="1"/>
  <c r="AE76" i="29" s="1"/>
  <c r="AA79" i="29"/>
  <c r="AB79" i="29" s="1"/>
  <c r="AC79" i="29" s="1"/>
  <c r="AD79" i="29" s="1"/>
  <c r="AE79" i="29" s="1"/>
  <c r="AA74" i="29"/>
  <c r="AB74" i="29" s="1"/>
  <c r="AC74" i="29" s="1"/>
  <c r="AA9" i="29"/>
  <c r="AB9" i="29" s="1"/>
  <c r="AC9" i="29" s="1"/>
  <c r="AA75" i="29"/>
  <c r="AB75" i="29" s="1"/>
  <c r="AC75" i="29" s="1"/>
  <c r="AD75" i="29" s="1"/>
  <c r="AE75" i="29" s="1"/>
  <c r="AA92" i="29"/>
  <c r="AB92" i="29" s="1"/>
  <c r="AA78" i="29"/>
  <c r="AB78" i="29" s="1"/>
  <c r="AC78" i="29" s="1"/>
  <c r="AA111" i="29"/>
  <c r="AB111" i="29" s="1"/>
  <c r="AC111" i="29" s="1"/>
  <c r="Z33" i="29"/>
  <c r="Z34" i="29"/>
  <c r="Z35" i="29"/>
  <c r="Z36" i="29"/>
  <c r="Z102" i="29"/>
  <c r="Z103" i="29"/>
  <c r="Z104" i="29"/>
  <c r="Z105" i="29"/>
  <c r="Z106" i="29"/>
  <c r="Z107" i="29"/>
  <c r="Z59" i="29"/>
  <c r="Z60" i="29"/>
  <c r="Z85" i="29"/>
  <c r="I68" i="29"/>
  <c r="I69" i="29"/>
  <c r="I93" i="29"/>
  <c r="J93" i="29" s="1"/>
  <c r="K93" i="29" s="1"/>
  <c r="L93" i="29" s="1"/>
  <c r="M93" i="29" s="1"/>
  <c r="I23" i="29"/>
  <c r="J23" i="29" s="1"/>
  <c r="K23" i="29" s="1"/>
  <c r="L23" i="29" s="1"/>
  <c r="M23" i="29" s="1"/>
  <c r="I24" i="29"/>
  <c r="J24" i="29" s="1"/>
  <c r="K24" i="29" s="1"/>
  <c r="L24" i="29" s="1"/>
  <c r="M24" i="29" s="1"/>
  <c r="I114" i="29"/>
  <c r="J114" i="29" s="1"/>
  <c r="K114" i="29" s="1"/>
  <c r="L114" i="29" s="1"/>
  <c r="M114" i="29" s="1"/>
  <c r="X61" i="29"/>
  <c r="X60" i="29" s="1"/>
  <c r="X68" i="29"/>
  <c r="X69" i="29"/>
  <c r="X108" i="29"/>
  <c r="X102" i="29" s="1"/>
  <c r="X93" i="29"/>
  <c r="X23" i="29"/>
  <c r="X24" i="29"/>
  <c r="X86" i="29"/>
  <c r="X84" i="29" s="1"/>
  <c r="X87" i="29"/>
  <c r="X85" i="29" s="1"/>
  <c r="X10" i="29"/>
  <c r="X30" i="29" s="1"/>
  <c r="AK23" i="29"/>
  <c r="AL23" i="29" s="1"/>
  <c r="P23" i="29"/>
  <c r="AK93" i="29"/>
  <c r="P93" i="29"/>
  <c r="AK108" i="29"/>
  <c r="AL108" i="29" s="1"/>
  <c r="AM108" i="29" s="1"/>
  <c r="AN108" i="29" s="1"/>
  <c r="AO108" i="29" s="1"/>
  <c r="P108" i="29"/>
  <c r="P69" i="29"/>
  <c r="P68" i="29"/>
  <c r="AK61" i="29"/>
  <c r="P61" i="29"/>
  <c r="AU10" i="29"/>
  <c r="AK10" i="29"/>
  <c r="AL10" i="29" s="1"/>
  <c r="AM10" i="29" s="1"/>
  <c r="AN10" i="29" s="1"/>
  <c r="AO10" i="29" s="1"/>
  <c r="P10" i="29"/>
  <c r="AL114" i="29"/>
  <c r="AM114" i="29" s="1"/>
  <c r="AN114" i="29" s="1"/>
  <c r="AO114" i="29" s="1"/>
  <c r="AA114" i="29"/>
  <c r="AB114" i="29" s="1"/>
  <c r="AC114" i="29" s="1"/>
  <c r="AD114" i="29" s="1"/>
  <c r="AE114" i="29" s="1"/>
  <c r="P114" i="29"/>
  <c r="N114" i="29"/>
  <c r="AK87" i="29"/>
  <c r="P87" i="29"/>
  <c r="AK86" i="29"/>
  <c r="AL86" i="29" s="1"/>
  <c r="AM86" i="29" s="1"/>
  <c r="AN86" i="29" s="1"/>
  <c r="AO86" i="29" s="1"/>
  <c r="P86" i="29"/>
  <c r="AK24" i="29"/>
  <c r="P24" i="29"/>
  <c r="X8" i="29"/>
  <c r="H106" i="29"/>
  <c r="H105" i="29"/>
  <c r="H104" i="29"/>
  <c r="H102" i="29"/>
  <c r="I102" i="29" s="1"/>
  <c r="H30" i="29"/>
  <c r="I30" i="29" s="1"/>
  <c r="J30" i="29" s="1"/>
  <c r="K30" i="29" s="1"/>
  <c r="L30" i="29" s="1"/>
  <c r="M30" i="29" s="1"/>
  <c r="M31" i="29" s="1"/>
  <c r="P121" i="29"/>
  <c r="P30" i="29"/>
  <c r="P102" i="29"/>
  <c r="P100" i="29"/>
  <c r="P71" i="29"/>
  <c r="H35" i="29"/>
  <c r="H34" i="29"/>
  <c r="H33" i="29"/>
  <c r="H32" i="29"/>
  <c r="AK30" i="29"/>
  <c r="AA30" i="29"/>
  <c r="AB30" i="29" s="1"/>
  <c r="AC30" i="29" s="1"/>
  <c r="AD30" i="29" s="1"/>
  <c r="AE30" i="29" s="1"/>
  <c r="K25" i="27"/>
  <c r="O25" i="27" s="1"/>
  <c r="K26" i="27"/>
  <c r="O26" i="27" s="1"/>
  <c r="K27" i="27"/>
  <c r="O27" i="27" s="1"/>
  <c r="K28" i="27"/>
  <c r="O28" i="27" s="1"/>
  <c r="K29" i="27"/>
  <c r="O29" i="27" s="1"/>
  <c r="K30" i="27"/>
  <c r="O30" i="27" s="1"/>
  <c r="K31" i="27"/>
  <c r="AG336" i="19"/>
  <c r="AA299" i="19"/>
  <c r="AB299" i="19" s="1"/>
  <c r="AC299" i="19" s="1"/>
  <c r="AD299" i="19" s="1"/>
  <c r="AE299" i="19" s="1"/>
  <c r="AA308" i="19"/>
  <c r="AB308" i="19" s="1"/>
  <c r="AC308" i="19" s="1"/>
  <c r="AD308" i="19" s="1"/>
  <c r="AE308" i="19" s="1"/>
  <c r="AA317" i="19"/>
  <c r="Z317" i="19" s="1"/>
  <c r="AA321" i="19"/>
  <c r="Z321" i="19" s="1"/>
  <c r="AA333" i="19"/>
  <c r="AB333" i="19" s="1"/>
  <c r="AA334" i="19"/>
  <c r="AB334" i="19" s="1"/>
  <c r="AC334" i="19" s="1"/>
  <c r="AD334" i="19" s="1"/>
  <c r="AE334" i="19" s="1"/>
  <c r="X298" i="19"/>
  <c r="AI298" i="19" s="1"/>
  <c r="X300" i="19"/>
  <c r="AI300" i="19" s="1"/>
  <c r="X301" i="19"/>
  <c r="AI301" i="19" s="1"/>
  <c r="X302" i="19"/>
  <c r="AI302" i="19" s="1"/>
  <c r="X303" i="19"/>
  <c r="AI303" i="19" s="1"/>
  <c r="X304" i="19"/>
  <c r="AI304" i="19" s="1"/>
  <c r="X305" i="19"/>
  <c r="AI305" i="19" s="1"/>
  <c r="X306" i="19"/>
  <c r="AI306" i="19" s="1"/>
  <c r="X307" i="19"/>
  <c r="AI307" i="19" s="1"/>
  <c r="X309" i="19"/>
  <c r="AI309" i="19" s="1"/>
  <c r="X310" i="19"/>
  <c r="AI310" i="19" s="1"/>
  <c r="X311" i="19"/>
  <c r="AI311" i="19" s="1"/>
  <c r="X312" i="19"/>
  <c r="AI312" i="19" s="1"/>
  <c r="X313" i="19"/>
  <c r="AI313" i="19" s="1"/>
  <c r="X314" i="19"/>
  <c r="AI314" i="19" s="1"/>
  <c r="X315" i="19"/>
  <c r="AI315" i="19" s="1"/>
  <c r="X316" i="19"/>
  <c r="AI316" i="19" s="1"/>
  <c r="X318" i="19"/>
  <c r="AI318" i="19" s="1"/>
  <c r="X319" i="19"/>
  <c r="AI319" i="19" s="1"/>
  <c r="X320" i="19"/>
  <c r="AI320" i="19" s="1"/>
  <c r="X297" i="19"/>
  <c r="AI297" i="19" s="1"/>
  <c r="I317" i="19"/>
  <c r="I318" i="19"/>
  <c r="I319" i="19"/>
  <c r="I320" i="19"/>
  <c r="I321" i="19"/>
  <c r="I333" i="19"/>
  <c r="I334" i="19"/>
  <c r="Q317" i="19"/>
  <c r="P317" i="19" s="1"/>
  <c r="Q321" i="19"/>
  <c r="Q333" i="19"/>
  <c r="R333" i="19" s="1"/>
  <c r="S333" i="19" s="1"/>
  <c r="T333" i="19" s="1"/>
  <c r="U333" i="19" s="1"/>
  <c r="N319" i="19"/>
  <c r="N320" i="19"/>
  <c r="N318" i="19"/>
  <c r="AV318" i="19"/>
  <c r="AW318" i="19" s="1"/>
  <c r="AX318" i="19" s="1"/>
  <c r="AY318" i="19" s="1"/>
  <c r="AV321" i="19"/>
  <c r="AW321" i="19" s="1"/>
  <c r="P308" i="19"/>
  <c r="P299" i="19"/>
  <c r="AV294" i="19"/>
  <c r="AA294" i="19"/>
  <c r="Z294" i="19" s="1"/>
  <c r="Q294" i="19"/>
  <c r="P294" i="19" s="1"/>
  <c r="N294" i="19"/>
  <c r="H294" i="19"/>
  <c r="I294" i="19" s="1"/>
  <c r="AV260" i="19"/>
  <c r="AW260" i="19" s="1"/>
  <c r="AX260" i="19" s="1"/>
  <c r="AA260" i="19"/>
  <c r="Z260" i="19" s="1"/>
  <c r="Q260" i="19"/>
  <c r="P260" i="19" s="1"/>
  <c r="N260" i="19"/>
  <c r="H260" i="19"/>
  <c r="I260" i="19" s="1"/>
  <c r="AV248" i="19"/>
  <c r="AW248" i="19" s="1"/>
  <c r="AX248" i="19" s="1"/>
  <c r="AA248" i="19"/>
  <c r="Z248" i="19" s="1"/>
  <c r="Q248" i="19"/>
  <c r="P248" i="19" s="1"/>
  <c r="N248" i="19"/>
  <c r="H248" i="19"/>
  <c r="I248" i="19" s="1"/>
  <c r="P280" i="19"/>
  <c r="P295" i="19"/>
  <c r="AB261" i="19"/>
  <c r="AC261" i="19"/>
  <c r="AD261" i="19"/>
  <c r="AE261" i="19"/>
  <c r="AA261" i="19"/>
  <c r="R261" i="19"/>
  <c r="S261" i="19"/>
  <c r="T261" i="19"/>
  <c r="U261" i="19"/>
  <c r="Q261" i="19"/>
  <c r="P261" i="19" s="1"/>
  <c r="X261" i="19"/>
  <c r="AI261" i="19" s="1"/>
  <c r="X293" i="19"/>
  <c r="AI293" i="19" s="1"/>
  <c r="X292" i="19"/>
  <c r="AI292" i="19" s="1"/>
  <c r="X249" i="19"/>
  <c r="AI249" i="19" s="1"/>
  <c r="X247" i="19"/>
  <c r="AI247" i="19" s="1"/>
  <c r="AV292" i="19"/>
  <c r="AW292" i="19" s="1"/>
  <c r="I292" i="19"/>
  <c r="AV249" i="19"/>
  <c r="AW249" i="19" s="1"/>
  <c r="AX249" i="19" s="1"/>
  <c r="N249" i="19"/>
  <c r="I249" i="19"/>
  <c r="AV247" i="19"/>
  <c r="N247" i="19"/>
  <c r="I247" i="19"/>
  <c r="AV261" i="19"/>
  <c r="N261" i="19"/>
  <c r="I261" i="19"/>
  <c r="AV293" i="19"/>
  <c r="AW293" i="19" s="1"/>
  <c r="AX293" i="19" s="1"/>
  <c r="I293" i="19"/>
  <c r="AV262" i="19"/>
  <c r="AA262" i="19"/>
  <c r="AB262" i="19" s="1"/>
  <c r="AC262" i="19" s="1"/>
  <c r="AD262" i="19" s="1"/>
  <c r="AE262" i="19" s="1"/>
  <c r="Q262" i="19"/>
  <c r="R262" i="19" s="1"/>
  <c r="N262" i="19"/>
  <c r="H262" i="19"/>
  <c r="I262" i="19" s="1"/>
  <c r="AT246" i="19"/>
  <c r="AI246" i="19"/>
  <c r="X246" i="19"/>
  <c r="N246" i="19"/>
  <c r="B246" i="19"/>
  <c r="X238" i="19"/>
  <c r="X239" i="19"/>
  <c r="X240" i="19"/>
  <c r="X241" i="19"/>
  <c r="X242" i="19"/>
  <c r="X243" i="19"/>
  <c r="X244" i="19"/>
  <c r="X237" i="19"/>
  <c r="X230" i="19"/>
  <c r="AV243" i="19"/>
  <c r="AW243" i="19" s="1"/>
  <c r="Q243" i="19"/>
  <c r="P243" i="19" s="1"/>
  <c r="H243" i="19"/>
  <c r="I243" i="19" s="1"/>
  <c r="AV244" i="19"/>
  <c r="Q244" i="19"/>
  <c r="R244" i="19" s="1"/>
  <c r="I244" i="19"/>
  <c r="H227" i="19"/>
  <c r="H226" i="19"/>
  <c r="X224" i="19"/>
  <c r="AV228" i="19"/>
  <c r="AW228" i="19" s="1"/>
  <c r="X228" i="19"/>
  <c r="Q228" i="19"/>
  <c r="R228" i="19" s="1"/>
  <c r="S228" i="19" s="1"/>
  <c r="T228" i="19" s="1"/>
  <c r="U228" i="19" s="1"/>
  <c r="N228" i="19"/>
  <c r="AV227" i="19"/>
  <c r="AW227" i="19" s="1"/>
  <c r="X227" i="19"/>
  <c r="Q227" i="19"/>
  <c r="P227" i="19" s="1"/>
  <c r="N227" i="19"/>
  <c r="AV226" i="19"/>
  <c r="AW226" i="19" s="1"/>
  <c r="AX226" i="19" s="1"/>
  <c r="AY226" i="19" s="1"/>
  <c r="AZ226" i="19" s="1"/>
  <c r="X226" i="19"/>
  <c r="Q226" i="19"/>
  <c r="R226" i="19" s="1"/>
  <c r="N226" i="19"/>
  <c r="AV225" i="19"/>
  <c r="AW225" i="19" s="1"/>
  <c r="AX225" i="19" s="1"/>
  <c r="AY225" i="19" s="1"/>
  <c r="AZ225" i="19" s="1"/>
  <c r="X225" i="19"/>
  <c r="N225" i="19"/>
  <c r="AV223" i="19"/>
  <c r="AW223" i="19" s="1"/>
  <c r="AA223" i="19"/>
  <c r="AB223" i="19" s="1"/>
  <c r="AC223" i="19" s="1"/>
  <c r="AD223" i="19" s="1"/>
  <c r="AE223" i="19" s="1"/>
  <c r="Q223" i="19"/>
  <c r="P223" i="19" s="1"/>
  <c r="H223" i="19"/>
  <c r="I223" i="19" s="1"/>
  <c r="X220" i="19"/>
  <c r="X221" i="19"/>
  <c r="X222" i="19"/>
  <c r="N220" i="19"/>
  <c r="N221" i="19"/>
  <c r="N222" i="19"/>
  <c r="H219" i="19"/>
  <c r="I219" i="19" s="1"/>
  <c r="AL219" i="19" s="1" a="1"/>
  <c r="AL219" i="19" s="1"/>
  <c r="X219" i="19"/>
  <c r="H221" i="19"/>
  <c r="AV222" i="19"/>
  <c r="AV221" i="19"/>
  <c r="AW221" i="19" s="1"/>
  <c r="AX221" i="19" s="1"/>
  <c r="AV220" i="19"/>
  <c r="AW220" i="19" s="1"/>
  <c r="AV219" i="19"/>
  <c r="AW219" i="19" s="1"/>
  <c r="AX219" i="19" s="1"/>
  <c r="AY219" i="19" s="1"/>
  <c r="AZ219" i="19" s="1"/>
  <c r="AA219" i="19"/>
  <c r="Z219" i="19" s="1"/>
  <c r="C219" i="19"/>
  <c r="X217" i="19"/>
  <c r="AV245" i="19"/>
  <c r="AA245" i="19"/>
  <c r="AB245" i="19" s="1"/>
  <c r="AC245" i="19" s="1"/>
  <c r="AD245" i="19" s="1"/>
  <c r="AE245" i="19" s="1"/>
  <c r="Q245" i="19"/>
  <c r="P245" i="19" s="1"/>
  <c r="H245" i="19"/>
  <c r="I245" i="19" s="1"/>
  <c r="AV242" i="19"/>
  <c r="Q242" i="19"/>
  <c r="P242" i="19" s="1"/>
  <c r="I242" i="19"/>
  <c r="AV241" i="19"/>
  <c r="AW241" i="19" s="1"/>
  <c r="AX241" i="19" s="1"/>
  <c r="Q241" i="19"/>
  <c r="R241" i="19" s="1"/>
  <c r="S241" i="19" s="1"/>
  <c r="T241" i="19" s="1"/>
  <c r="U241" i="19" s="1"/>
  <c r="I241" i="19"/>
  <c r="AV240" i="19"/>
  <c r="AW240" i="19" s="1"/>
  <c r="AX240" i="19" s="1"/>
  <c r="Q240" i="19"/>
  <c r="R240" i="19" s="1"/>
  <c r="S240" i="19" s="1"/>
  <c r="T240" i="19" s="1"/>
  <c r="U240" i="19" s="1"/>
  <c r="I240" i="19"/>
  <c r="AV239" i="19"/>
  <c r="Q239" i="19"/>
  <c r="P239" i="19" s="1"/>
  <c r="I239" i="19"/>
  <c r="AV238" i="19"/>
  <c r="Q238" i="19"/>
  <c r="P238" i="19" s="1"/>
  <c r="AV237" i="19"/>
  <c r="AW237" i="19" s="1"/>
  <c r="AX237" i="19" s="1"/>
  <c r="AY237" i="19" s="1"/>
  <c r="AZ237" i="19" s="1"/>
  <c r="Q237" i="19"/>
  <c r="R237" i="19" s="1"/>
  <c r="S237" i="19" s="1"/>
  <c r="T237" i="19" s="1"/>
  <c r="U237" i="19" s="1"/>
  <c r="I237" i="19"/>
  <c r="AV236" i="19"/>
  <c r="AA236" i="19"/>
  <c r="AB236" i="19" s="1"/>
  <c r="Q236" i="19"/>
  <c r="R236" i="19" s="1"/>
  <c r="S236" i="19" s="1"/>
  <c r="T236" i="19" s="1"/>
  <c r="U236" i="19" s="1"/>
  <c r="N236" i="19"/>
  <c r="H236" i="19"/>
  <c r="I236" i="19" s="1"/>
  <c r="AV229" i="19"/>
  <c r="AA229" i="19"/>
  <c r="Z229" i="19" s="1"/>
  <c r="Q229" i="19"/>
  <c r="P229" i="19" s="1"/>
  <c r="H229" i="19"/>
  <c r="I229" i="19" s="1"/>
  <c r="AV218" i="19"/>
  <c r="AW218" i="19" s="1"/>
  <c r="AA218" i="19"/>
  <c r="Q218" i="19"/>
  <c r="P218" i="19" s="1"/>
  <c r="N218" i="19"/>
  <c r="H218" i="19"/>
  <c r="I218" i="19" s="1"/>
  <c r="X209" i="19"/>
  <c r="AV200" i="19"/>
  <c r="AA200" i="19"/>
  <c r="AB200" i="19" s="1"/>
  <c r="AC200" i="19" s="1"/>
  <c r="AD200" i="19" s="1"/>
  <c r="AE200" i="19" s="1"/>
  <c r="Q200" i="19"/>
  <c r="R200" i="19" s="1"/>
  <c r="N200" i="19"/>
  <c r="H200" i="19"/>
  <c r="I200" i="19" s="1"/>
  <c r="AV195" i="19"/>
  <c r="AA195" i="19"/>
  <c r="AB195" i="19" s="1"/>
  <c r="AC195" i="19" s="1"/>
  <c r="AD195" i="19" s="1"/>
  <c r="AE195" i="19" s="1"/>
  <c r="Q195" i="19"/>
  <c r="P195" i="19" s="1"/>
  <c r="N195" i="19"/>
  <c r="H195" i="19"/>
  <c r="I195" i="19" s="1"/>
  <c r="AV189" i="19"/>
  <c r="AA189" i="19"/>
  <c r="AB189" i="19" s="1"/>
  <c r="AC189" i="19" s="1"/>
  <c r="AD189" i="19" s="1"/>
  <c r="AE189" i="19" s="1"/>
  <c r="Q189" i="19"/>
  <c r="P189" i="19" s="1"/>
  <c r="N189" i="19"/>
  <c r="H189" i="19"/>
  <c r="I189" i="19" s="1"/>
  <c r="X192" i="19"/>
  <c r="X193" i="19"/>
  <c r="X194" i="19"/>
  <c r="X198" i="19"/>
  <c r="X199" i="19"/>
  <c r="X204" i="19"/>
  <c r="X205" i="19"/>
  <c r="X206" i="19"/>
  <c r="X207" i="19"/>
  <c r="X191" i="19"/>
  <c r="X185" i="19"/>
  <c r="X186" i="19"/>
  <c r="X187" i="19"/>
  <c r="X188" i="19"/>
  <c r="X184" i="19"/>
  <c r="AV215" i="19"/>
  <c r="AW215" i="19" s="1"/>
  <c r="X215" i="19"/>
  <c r="Q215" i="19"/>
  <c r="R215" i="19" s="1"/>
  <c r="S215" i="19" s="1"/>
  <c r="T215" i="19" s="1"/>
  <c r="U215" i="19" s="1"/>
  <c r="I215" i="19"/>
  <c r="J215" i="19" s="1"/>
  <c r="K215" i="19" s="1"/>
  <c r="L215" i="19" s="1"/>
  <c r="M215" i="19" s="1"/>
  <c r="AV214" i="19"/>
  <c r="X214" i="19"/>
  <c r="Q214" i="19"/>
  <c r="R214" i="19" s="1"/>
  <c r="S214" i="19" s="1"/>
  <c r="T214" i="19" s="1"/>
  <c r="U214" i="19" s="1"/>
  <c r="AV213" i="19"/>
  <c r="AW213" i="19" s="1"/>
  <c r="AX213" i="19" s="1"/>
  <c r="AY213" i="19" s="1"/>
  <c r="AZ213" i="19" s="1"/>
  <c r="X213" i="19"/>
  <c r="Q213" i="19"/>
  <c r="R213" i="19" s="1"/>
  <c r="S213" i="19" s="1"/>
  <c r="T213" i="19" s="1"/>
  <c r="H213" i="19"/>
  <c r="AV212" i="19"/>
  <c r="AW212" i="19" s="1"/>
  <c r="X212" i="19"/>
  <c r="Q212" i="19"/>
  <c r="R212" i="19" s="1"/>
  <c r="S212" i="19" s="1"/>
  <c r="T212" i="19" s="1"/>
  <c r="U212" i="19" s="1"/>
  <c r="AV211" i="19"/>
  <c r="AW211" i="19" s="1"/>
  <c r="AX211" i="19" s="1"/>
  <c r="AY211" i="19" s="1"/>
  <c r="AZ211" i="19" s="1"/>
  <c r="AA211" i="19"/>
  <c r="AB211" i="19" s="1"/>
  <c r="AC211" i="19" s="1"/>
  <c r="AD211" i="19" s="1"/>
  <c r="AE211" i="19" s="1"/>
  <c r="X211" i="19"/>
  <c r="Q211" i="19"/>
  <c r="R211" i="19" s="1"/>
  <c r="S211" i="19" s="1"/>
  <c r="T211" i="19" s="1"/>
  <c r="U211" i="19" s="1"/>
  <c r="I211" i="19"/>
  <c r="C211" i="19"/>
  <c r="AI211" i="19" s="1"/>
  <c r="AT182" i="19"/>
  <c r="AI182" i="19"/>
  <c r="X182" i="19"/>
  <c r="N182" i="19"/>
  <c r="B182" i="19"/>
  <c r="AV184" i="19"/>
  <c r="AW184" i="19" s="1"/>
  <c r="Q184" i="19"/>
  <c r="P184" i="19" s="1"/>
  <c r="H184" i="19"/>
  <c r="I184" i="19" s="1"/>
  <c r="AV216" i="19"/>
  <c r="AW216" i="19" s="1"/>
  <c r="AA216" i="19"/>
  <c r="Z216" i="19" s="1"/>
  <c r="Q216" i="19"/>
  <c r="N216" i="19"/>
  <c r="H216" i="19"/>
  <c r="I216" i="19" s="1"/>
  <c r="AV210" i="19"/>
  <c r="AW210" i="19" s="1"/>
  <c r="AX210" i="19" s="1"/>
  <c r="AY210" i="19" s="1"/>
  <c r="AA210" i="19"/>
  <c r="Z210" i="19" s="1"/>
  <c r="Q210" i="19"/>
  <c r="P210" i="19" s="1"/>
  <c r="N210" i="19"/>
  <c r="H210" i="19"/>
  <c r="I210" i="19" s="1"/>
  <c r="AV209" i="19"/>
  <c r="AW209" i="19" s="1"/>
  <c r="N209" i="19"/>
  <c r="H209" i="19"/>
  <c r="I209" i="19" s="1"/>
  <c r="J209" i="19" s="1"/>
  <c r="K209" i="19" s="1"/>
  <c r="L209" i="19" s="1"/>
  <c r="M209" i="19" s="1"/>
  <c r="AV203" i="19"/>
  <c r="AW203" i="19" s="1"/>
  <c r="AX203" i="19" s="1"/>
  <c r="AY203" i="19" s="1"/>
  <c r="AZ203" i="19" s="1"/>
  <c r="AA203" i="19"/>
  <c r="Z203" i="19" s="1"/>
  <c r="N203" i="19"/>
  <c r="H203" i="19"/>
  <c r="I203" i="19" s="1"/>
  <c r="AV202" i="19"/>
  <c r="AA202" i="19"/>
  <c r="Z202" i="19" s="1"/>
  <c r="N202" i="19"/>
  <c r="H202" i="19"/>
  <c r="I202" i="19" s="1"/>
  <c r="AV201" i="19"/>
  <c r="AW201" i="19" s="1"/>
  <c r="AA201" i="19"/>
  <c r="Z201" i="19" s="1"/>
  <c r="N201" i="19"/>
  <c r="H201" i="19"/>
  <c r="I201" i="19" s="1"/>
  <c r="AV197" i="19"/>
  <c r="AA197" i="19"/>
  <c r="AB197" i="19" s="1"/>
  <c r="N197" i="19"/>
  <c r="H197" i="19"/>
  <c r="I197" i="19" s="1"/>
  <c r="AV196" i="19"/>
  <c r="AW196" i="19" s="1"/>
  <c r="AX196" i="19" s="1"/>
  <c r="AY196" i="19" s="1"/>
  <c r="AZ196" i="19" s="1"/>
  <c r="AA196" i="19"/>
  <c r="AB196" i="19" s="1"/>
  <c r="N196" i="19"/>
  <c r="H196" i="19"/>
  <c r="I196" i="19" s="1"/>
  <c r="AV190" i="19"/>
  <c r="AW190" i="19" s="1"/>
  <c r="AX190" i="19" s="1"/>
  <c r="AY190" i="19" s="1"/>
  <c r="AZ190" i="19" s="1"/>
  <c r="AA190" i="19"/>
  <c r="N190" i="19"/>
  <c r="H190" i="19"/>
  <c r="I190" i="19" s="1"/>
  <c r="AV183" i="19"/>
  <c r="AW183" i="19" s="1"/>
  <c r="AA183" i="19"/>
  <c r="AB183" i="19" s="1"/>
  <c r="AC183" i="19" s="1"/>
  <c r="AD183" i="19" s="1"/>
  <c r="AE183" i="19" s="1"/>
  <c r="N183" i="19"/>
  <c r="H183" i="19"/>
  <c r="I183" i="19" s="1"/>
  <c r="AV194" i="19"/>
  <c r="Q194" i="19"/>
  <c r="P194" i="19" s="1"/>
  <c r="H194" i="19"/>
  <c r="I194" i="19" s="1"/>
  <c r="AV193" i="19"/>
  <c r="Q193" i="19"/>
  <c r="R193" i="19" s="1"/>
  <c r="H193" i="19"/>
  <c r="I193" i="19" s="1"/>
  <c r="AV192" i="19"/>
  <c r="AW192" i="19" s="1"/>
  <c r="Q192" i="19"/>
  <c r="H192" i="19"/>
  <c r="I192" i="19" s="1"/>
  <c r="AV191" i="19"/>
  <c r="Q191" i="19"/>
  <c r="R191" i="19" s="1"/>
  <c r="S191" i="19" s="1"/>
  <c r="T191" i="19" s="1"/>
  <c r="U191" i="19" s="1"/>
  <c r="AV188" i="19"/>
  <c r="AW188" i="19" s="1"/>
  <c r="AX188" i="19" s="1"/>
  <c r="Q188" i="19"/>
  <c r="R188" i="19" s="1"/>
  <c r="S188" i="19" s="1"/>
  <c r="T188" i="19" s="1"/>
  <c r="U188" i="19" s="1"/>
  <c r="H188" i="19"/>
  <c r="I188" i="19" s="1"/>
  <c r="AV187" i="19"/>
  <c r="AW187" i="19" s="1"/>
  <c r="Q187" i="19"/>
  <c r="H187" i="19"/>
  <c r="I187" i="19" s="1"/>
  <c r="AV186" i="19"/>
  <c r="AW186" i="19" s="1"/>
  <c r="AX186" i="19" s="1"/>
  <c r="AY186" i="19" s="1"/>
  <c r="AZ186" i="19" s="1"/>
  <c r="Q186" i="19"/>
  <c r="AV185" i="19"/>
  <c r="AW185" i="19" s="1"/>
  <c r="AX185" i="19" s="1"/>
  <c r="AY185" i="19" s="1"/>
  <c r="AZ185" i="19" s="1"/>
  <c r="Q185" i="19"/>
  <c r="P185" i="19" s="1"/>
  <c r="H185" i="19"/>
  <c r="I185" i="19" s="1"/>
  <c r="X175" i="19"/>
  <c r="AI175" i="19" s="1"/>
  <c r="X176" i="19"/>
  <c r="AI176" i="19" s="1"/>
  <c r="X177" i="19"/>
  <c r="AI177" i="19" s="1"/>
  <c r="X178" i="19"/>
  <c r="AI178" i="19" s="1"/>
  <c r="X179" i="19"/>
  <c r="AI179" i="19" s="1"/>
  <c r="X180" i="19"/>
  <c r="AI180" i="19" s="1"/>
  <c r="X174" i="19"/>
  <c r="AI174" i="19" s="1"/>
  <c r="X173" i="19"/>
  <c r="AI173" i="19" s="1"/>
  <c r="AV170" i="19"/>
  <c r="X170" i="19"/>
  <c r="AI170" i="19" s="1"/>
  <c r="Q170" i="19"/>
  <c r="R170" i="19" s="1"/>
  <c r="S170" i="19" s="1"/>
  <c r="T170" i="19" s="1"/>
  <c r="U170" i="19" s="1"/>
  <c r="I170" i="19"/>
  <c r="X172" i="19"/>
  <c r="AI172" i="19" s="1"/>
  <c r="X171" i="19"/>
  <c r="AI171" i="19" s="1"/>
  <c r="X169" i="19"/>
  <c r="AI169" i="19" s="1"/>
  <c r="X168" i="19"/>
  <c r="AI168" i="19" s="1"/>
  <c r="X167" i="19"/>
  <c r="AI167" i="19" s="1"/>
  <c r="X166" i="19"/>
  <c r="AI166" i="19" s="1"/>
  <c r="X164" i="19"/>
  <c r="AI164" i="19" s="1"/>
  <c r="X163" i="19"/>
  <c r="AI163" i="19" s="1"/>
  <c r="X162" i="19"/>
  <c r="AI162" i="19" s="1"/>
  <c r="H160" i="19"/>
  <c r="AV161" i="19"/>
  <c r="X161" i="19"/>
  <c r="AI161" i="19" s="1"/>
  <c r="Q161" i="19"/>
  <c r="R161" i="19" s="1"/>
  <c r="S161" i="19" s="1"/>
  <c r="T161" i="19" s="1"/>
  <c r="U161" i="19" s="1"/>
  <c r="AV160" i="19"/>
  <c r="AW160" i="19" s="1"/>
  <c r="X160" i="19"/>
  <c r="AI160" i="19" s="1"/>
  <c r="Q160" i="19"/>
  <c r="R160" i="19" s="1"/>
  <c r="S160" i="19" s="1"/>
  <c r="T160" i="19" s="1"/>
  <c r="U160" i="19" s="1"/>
  <c r="AV159" i="19"/>
  <c r="X159" i="19"/>
  <c r="AI159" i="19" s="1"/>
  <c r="Q159" i="19"/>
  <c r="AV158" i="19"/>
  <c r="AW158" i="19" s="1"/>
  <c r="AX158" i="19" s="1"/>
  <c r="AY158" i="19" s="1"/>
  <c r="AZ158" i="19" s="1"/>
  <c r="AA158" i="19"/>
  <c r="X158" i="19"/>
  <c r="AI158" i="19" s="1"/>
  <c r="Q158" i="19"/>
  <c r="I158" i="19"/>
  <c r="C158" i="19"/>
  <c r="AV174" i="19"/>
  <c r="Q174" i="19"/>
  <c r="R174" i="19" s="1"/>
  <c r="H174" i="19"/>
  <c r="I174" i="19" s="1"/>
  <c r="AL174" i="19" s="1" a="1"/>
  <c r="AL174" i="19" s="1"/>
  <c r="AV173" i="19"/>
  <c r="AW173" i="19" s="1"/>
  <c r="AX173" i="19" s="1"/>
  <c r="Q173" i="19"/>
  <c r="R173" i="19" s="1"/>
  <c r="S173" i="19" s="1"/>
  <c r="T173" i="19" s="1"/>
  <c r="U173" i="19" s="1"/>
  <c r="I173" i="19"/>
  <c r="AV172" i="19"/>
  <c r="Q172" i="19"/>
  <c r="R172" i="19" s="1"/>
  <c r="S172" i="19" s="1"/>
  <c r="T172" i="19" s="1"/>
  <c r="U172" i="19" s="1"/>
  <c r="H172" i="19"/>
  <c r="I172" i="19" s="1"/>
  <c r="AV171" i="19"/>
  <c r="AW171" i="19" s="1"/>
  <c r="Q171" i="19"/>
  <c r="R171" i="19" s="1"/>
  <c r="S171" i="19" s="1"/>
  <c r="T171" i="19" s="1"/>
  <c r="U171" i="19" s="1"/>
  <c r="H171" i="19"/>
  <c r="I171" i="19" s="1"/>
  <c r="AV169" i="19"/>
  <c r="AW169" i="19" s="1"/>
  <c r="AX169" i="19" s="1"/>
  <c r="AY169" i="19" s="1"/>
  <c r="AZ169" i="19" s="1"/>
  <c r="Q169" i="19"/>
  <c r="P169" i="19" s="1"/>
  <c r="I169" i="19"/>
  <c r="AV168" i="19"/>
  <c r="AW168" i="19" s="1"/>
  <c r="AX168" i="19" s="1"/>
  <c r="AY168" i="19" s="1"/>
  <c r="AZ168" i="19" s="1"/>
  <c r="Q168" i="19"/>
  <c r="H168" i="19"/>
  <c r="I168" i="19" s="1"/>
  <c r="AV167" i="19"/>
  <c r="AW167" i="19" s="1"/>
  <c r="AX167" i="19" s="1"/>
  <c r="AY167" i="19" s="1"/>
  <c r="AZ167" i="19" s="1"/>
  <c r="Q167" i="19"/>
  <c r="R167" i="19" s="1"/>
  <c r="H167" i="19"/>
  <c r="I167" i="19" s="1"/>
  <c r="AV166" i="19"/>
  <c r="AW166" i="19" s="1"/>
  <c r="AX166" i="19" s="1"/>
  <c r="Q166" i="19"/>
  <c r="P166" i="19" s="1"/>
  <c r="H166" i="19"/>
  <c r="I166" i="19" s="1"/>
  <c r="AV164" i="19"/>
  <c r="Q164" i="19"/>
  <c r="P164" i="19" s="1"/>
  <c r="I164" i="19"/>
  <c r="AV163" i="19"/>
  <c r="AW163" i="19" s="1"/>
  <c r="AX163" i="19" s="1"/>
  <c r="Q163" i="19"/>
  <c r="R163" i="19" s="1"/>
  <c r="S163" i="19" s="1"/>
  <c r="T163" i="19" s="1"/>
  <c r="U163" i="19" s="1"/>
  <c r="H163" i="19"/>
  <c r="I163" i="19" s="1"/>
  <c r="AV162" i="19"/>
  <c r="AW162" i="19" s="1"/>
  <c r="AX162" i="19" s="1"/>
  <c r="AY162" i="19" s="1"/>
  <c r="AZ162" i="19" s="1"/>
  <c r="Q162" i="19"/>
  <c r="R162" i="19" s="1"/>
  <c r="I162" i="19"/>
  <c r="J162" i="19" s="1"/>
  <c r="K162" i="19" s="1"/>
  <c r="L162" i="19" s="1"/>
  <c r="M162" i="19" s="1"/>
  <c r="AV157" i="19"/>
  <c r="AW157" i="19" s="1"/>
  <c r="AX157" i="19" s="1"/>
  <c r="AA157" i="19"/>
  <c r="AB157" i="19" s="1"/>
  <c r="Q157" i="19"/>
  <c r="P157" i="19" s="1"/>
  <c r="N157" i="19"/>
  <c r="H157" i="19"/>
  <c r="I157" i="19" s="1"/>
  <c r="AV198" i="19"/>
  <c r="AW198" i="19" s="1"/>
  <c r="AX198" i="19" s="1"/>
  <c r="Q198" i="19"/>
  <c r="R198" i="19" s="1"/>
  <c r="S198" i="19" s="1"/>
  <c r="T198" i="19" s="1"/>
  <c r="U198" i="19" s="1"/>
  <c r="AV181" i="19"/>
  <c r="AW181" i="19" s="1"/>
  <c r="AA181" i="19"/>
  <c r="AB181" i="19" s="1"/>
  <c r="AC181" i="19" s="1"/>
  <c r="AD181" i="19" s="1"/>
  <c r="AE181" i="19" s="1"/>
  <c r="Q181" i="19"/>
  <c r="R181" i="19" s="1"/>
  <c r="S181" i="19" s="1"/>
  <c r="T181" i="19" s="1"/>
  <c r="U181" i="19" s="1"/>
  <c r="N181" i="19"/>
  <c r="H181" i="19"/>
  <c r="I181" i="19" s="1"/>
  <c r="AV180" i="19"/>
  <c r="Q180" i="19"/>
  <c r="R180" i="19" s="1"/>
  <c r="S180" i="19" s="1"/>
  <c r="T180" i="19" s="1"/>
  <c r="U180" i="19" s="1"/>
  <c r="I180" i="19"/>
  <c r="AV179" i="19"/>
  <c r="Q179" i="19"/>
  <c r="R179" i="19" s="1"/>
  <c r="S179" i="19" s="1"/>
  <c r="T179" i="19" s="1"/>
  <c r="U179" i="19" s="1"/>
  <c r="H179" i="19"/>
  <c r="I179" i="19" s="1"/>
  <c r="AV178" i="19"/>
  <c r="AW178" i="19" s="1"/>
  <c r="AX178" i="19" s="1"/>
  <c r="AY178" i="19" s="1"/>
  <c r="AZ178" i="19" s="1"/>
  <c r="Q178" i="19"/>
  <c r="R178" i="19" s="1"/>
  <c r="H178" i="19"/>
  <c r="I178" i="19" s="1"/>
  <c r="AV177" i="19"/>
  <c r="AW177" i="19" s="1"/>
  <c r="AX177" i="19" s="1"/>
  <c r="AY177" i="19" s="1"/>
  <c r="AZ177" i="19" s="1"/>
  <c r="Q177" i="19"/>
  <c r="P177" i="19" s="1"/>
  <c r="H177" i="19"/>
  <c r="I177" i="19" s="1"/>
  <c r="AL177" i="19" s="1" a="1"/>
  <c r="AL177" i="19" s="1"/>
  <c r="AV176" i="19"/>
  <c r="AW176" i="19" s="1"/>
  <c r="AX176" i="19" s="1"/>
  <c r="AY176" i="19" s="1"/>
  <c r="AZ176" i="19" s="1"/>
  <c r="Q176" i="19"/>
  <c r="R176" i="19" s="1"/>
  <c r="H176" i="19"/>
  <c r="I176" i="19" s="1"/>
  <c r="AV175" i="19"/>
  <c r="AW175" i="19" s="1"/>
  <c r="Q175" i="19"/>
  <c r="P175" i="19" s="1"/>
  <c r="H175" i="19"/>
  <c r="I175" i="19" s="1"/>
  <c r="AV206" i="19"/>
  <c r="AW206" i="19" s="1"/>
  <c r="Q206" i="19"/>
  <c r="P206" i="19" s="1"/>
  <c r="AV205" i="19"/>
  <c r="AW205" i="19" s="1"/>
  <c r="Q205" i="19"/>
  <c r="R205" i="19" s="1"/>
  <c r="S205" i="19" s="1"/>
  <c r="T205" i="19" s="1"/>
  <c r="U205" i="19" s="1"/>
  <c r="AV204" i="19"/>
  <c r="Q204" i="19"/>
  <c r="P204" i="19" s="1"/>
  <c r="AV199" i="19"/>
  <c r="AW199" i="19" s="1"/>
  <c r="AX199" i="19" s="1"/>
  <c r="AY199" i="19" s="1"/>
  <c r="AZ199" i="19" s="1"/>
  <c r="Q199" i="19"/>
  <c r="P199" i="19" s="1"/>
  <c r="AV208" i="19"/>
  <c r="AA208" i="19"/>
  <c r="AB208" i="19" s="1"/>
  <c r="Q208" i="19"/>
  <c r="P208" i="19" s="1"/>
  <c r="H208" i="19"/>
  <c r="I208" i="19" s="1"/>
  <c r="AV207" i="19"/>
  <c r="AW207" i="19" s="1"/>
  <c r="Q207" i="19"/>
  <c r="R207" i="19" s="1"/>
  <c r="S207" i="19" s="1"/>
  <c r="T207" i="19" s="1"/>
  <c r="U207" i="19" s="1"/>
  <c r="H207" i="19"/>
  <c r="I207" i="19" s="1"/>
  <c r="H150" i="19"/>
  <c r="I150" i="19" s="1"/>
  <c r="H149" i="19"/>
  <c r="I149" i="19" s="1"/>
  <c r="AT148" i="19"/>
  <c r="AI148" i="19"/>
  <c r="X148" i="19"/>
  <c r="N148" i="19"/>
  <c r="B148" i="19"/>
  <c r="X141" i="19"/>
  <c r="X142" i="19"/>
  <c r="X143" i="19"/>
  <c r="X144" i="19"/>
  <c r="X145" i="19"/>
  <c r="X146" i="19"/>
  <c r="X140" i="19"/>
  <c r="AV146" i="19"/>
  <c r="N146" i="19"/>
  <c r="I146" i="19"/>
  <c r="H145" i="19"/>
  <c r="I145" i="19" s="1"/>
  <c r="H143" i="19"/>
  <c r="I143" i="19" s="1"/>
  <c r="H140" i="19"/>
  <c r="I140" i="19" s="1"/>
  <c r="AV138" i="19"/>
  <c r="AL138" i="19"/>
  <c r="AA138" i="19"/>
  <c r="AB138" i="19" s="1"/>
  <c r="AC138" i="19" s="1"/>
  <c r="AD138" i="19" s="1"/>
  <c r="AE138" i="19" s="1"/>
  <c r="Q138" i="19"/>
  <c r="P138" i="19" s="1"/>
  <c r="N138" i="19"/>
  <c r="H138" i="19"/>
  <c r="I138" i="19" s="1"/>
  <c r="J138" i="19" s="1"/>
  <c r="K138" i="19" s="1"/>
  <c r="L138" i="19" s="1"/>
  <c r="M138" i="19" s="1"/>
  <c r="AT139" i="19"/>
  <c r="AI139" i="19"/>
  <c r="X139" i="19"/>
  <c r="N139" i="19"/>
  <c r="B139" i="19"/>
  <c r="X99" i="19"/>
  <c r="X100" i="19"/>
  <c r="X101" i="19"/>
  <c r="X102" i="19"/>
  <c r="X103" i="19"/>
  <c r="X104" i="19"/>
  <c r="X98" i="19"/>
  <c r="X97" i="19"/>
  <c r="N97" i="19"/>
  <c r="F97" i="19"/>
  <c r="G97" i="19"/>
  <c r="E97" i="19"/>
  <c r="C97" i="19"/>
  <c r="AI97" i="19" s="1"/>
  <c r="N141" i="19"/>
  <c r="N144" i="19"/>
  <c r="C147" i="19"/>
  <c r="N147" i="19" s="1"/>
  <c r="N140" i="19"/>
  <c r="N93" i="19"/>
  <c r="N94" i="19"/>
  <c r="N95" i="19"/>
  <c r="N92" i="19"/>
  <c r="N91" i="19"/>
  <c r="H94" i="19"/>
  <c r="H93" i="19"/>
  <c r="AV95" i="19"/>
  <c r="AW95" i="19" s="1"/>
  <c r="X95" i="19"/>
  <c r="Q95" i="19"/>
  <c r="R95" i="19" s="1"/>
  <c r="S95" i="19" s="1"/>
  <c r="T95" i="19" s="1"/>
  <c r="U95" i="19" s="1"/>
  <c r="AV94" i="19"/>
  <c r="X94" i="19"/>
  <c r="Q94" i="19"/>
  <c r="P94" i="19" s="1"/>
  <c r="AV93" i="19"/>
  <c r="AW93" i="19" s="1"/>
  <c r="AX93" i="19" s="1"/>
  <c r="AY93" i="19" s="1"/>
  <c r="X93" i="19"/>
  <c r="AV92" i="19"/>
  <c r="X92" i="19"/>
  <c r="AV91" i="19"/>
  <c r="AW91" i="19" s="1"/>
  <c r="AA91" i="19"/>
  <c r="AB91" i="19" s="1"/>
  <c r="AC91" i="19" s="1"/>
  <c r="AD91" i="19" s="1"/>
  <c r="AE91" i="19" s="1"/>
  <c r="X91" i="19"/>
  <c r="Q91" i="19"/>
  <c r="R91" i="19" s="1"/>
  <c r="S91" i="19" s="1"/>
  <c r="T91" i="19" s="1"/>
  <c r="U91" i="19" s="1"/>
  <c r="I91" i="19"/>
  <c r="AL91" i="19" s="1" a="1"/>
  <c r="AL91" i="19" s="1"/>
  <c r="C91" i="19"/>
  <c r="AI91" i="19" s="1"/>
  <c r="X89" i="19"/>
  <c r="X88" i="19"/>
  <c r="X87" i="19"/>
  <c r="X85" i="19"/>
  <c r="X84" i="19"/>
  <c r="X81" i="19"/>
  <c r="X82" i="19"/>
  <c r="X83" i="19"/>
  <c r="N86" i="19"/>
  <c r="X79" i="19"/>
  <c r="X80" i="19"/>
  <c r="X78" i="19"/>
  <c r="X77" i="19"/>
  <c r="X76" i="19"/>
  <c r="X75" i="19"/>
  <c r="X68" i="19"/>
  <c r="X69" i="19"/>
  <c r="X70" i="19"/>
  <c r="X71" i="19"/>
  <c r="X72" i="19"/>
  <c r="X73" i="19"/>
  <c r="X74" i="19"/>
  <c r="X66" i="19"/>
  <c r="X67" i="19"/>
  <c r="X65" i="19"/>
  <c r="AA62" i="19"/>
  <c r="AB62" i="19" s="1"/>
  <c r="X64" i="19"/>
  <c r="X63" i="19"/>
  <c r="F62" i="19"/>
  <c r="G62" i="19"/>
  <c r="E62" i="19"/>
  <c r="X61" i="19"/>
  <c r="X59" i="19"/>
  <c r="X60" i="19"/>
  <c r="X58" i="19"/>
  <c r="X57" i="19"/>
  <c r="AT56" i="19"/>
  <c r="AI56" i="19"/>
  <c r="X56" i="19"/>
  <c r="N56" i="19"/>
  <c r="B56" i="19"/>
  <c r="X52" i="19"/>
  <c r="X44" i="19"/>
  <c r="X43" i="19"/>
  <c r="X41" i="19"/>
  <c r="X42" i="19"/>
  <c r="X40" i="19"/>
  <c r="AV38" i="19"/>
  <c r="AW38" i="19" s="1"/>
  <c r="X38" i="19"/>
  <c r="Q38" i="19"/>
  <c r="P38" i="19" s="1"/>
  <c r="AV37" i="19"/>
  <c r="AW37" i="19" s="1"/>
  <c r="AX37" i="19" s="1"/>
  <c r="AY37" i="19" s="1"/>
  <c r="AZ37" i="19" s="1"/>
  <c r="X37" i="19"/>
  <c r="Q37" i="19"/>
  <c r="P37" i="19" s="1"/>
  <c r="H37" i="19"/>
  <c r="AV36" i="19"/>
  <c r="AW36" i="19" s="1"/>
  <c r="AX36" i="19" s="1"/>
  <c r="AY36" i="19" s="1"/>
  <c r="AZ36" i="19" s="1"/>
  <c r="X36" i="19"/>
  <c r="Q36" i="19"/>
  <c r="AV35" i="19"/>
  <c r="AW35" i="19" s="1"/>
  <c r="AA35" i="19"/>
  <c r="X35" i="19"/>
  <c r="AI35" i="19" s="1"/>
  <c r="Q35" i="19"/>
  <c r="I35" i="19"/>
  <c r="AL35" i="19" s="1" a="1"/>
  <c r="AL35" i="19" s="1"/>
  <c r="C35" i="19"/>
  <c r="C16" i="19"/>
  <c r="AV16" i="19"/>
  <c r="Q16" i="19"/>
  <c r="P16" i="19" s="1"/>
  <c r="I16" i="19"/>
  <c r="X25" i="19"/>
  <c r="X30" i="19"/>
  <c r="X19" i="19"/>
  <c r="X21" i="19"/>
  <c r="X24" i="19"/>
  <c r="X28" i="19"/>
  <c r="X20" i="19"/>
  <c r="X27" i="19"/>
  <c r="X22" i="19"/>
  <c r="X29" i="19"/>
  <c r="X32" i="19"/>
  <c r="X31" i="19"/>
  <c r="X23" i="19"/>
  <c r="X26" i="19"/>
  <c r="X33" i="19"/>
  <c r="X18" i="19"/>
  <c r="AV26" i="19"/>
  <c r="Q26" i="19"/>
  <c r="R26" i="19" s="1"/>
  <c r="H26" i="19"/>
  <c r="I26" i="19" s="1"/>
  <c r="AL26" i="19" s="1" a="1"/>
  <c r="AL26" i="19" s="1"/>
  <c r="AV23" i="19"/>
  <c r="AW23" i="19" s="1"/>
  <c r="Q23" i="19"/>
  <c r="P23" i="19" s="1"/>
  <c r="H23" i="19"/>
  <c r="I23" i="19" s="1"/>
  <c r="AV31" i="19"/>
  <c r="Q31" i="19"/>
  <c r="R31" i="19" s="1"/>
  <c r="H31" i="19"/>
  <c r="I31" i="19" s="1"/>
  <c r="AV32" i="19"/>
  <c r="Q32" i="19"/>
  <c r="P32" i="19" s="1"/>
  <c r="H32" i="19"/>
  <c r="I32" i="19" s="1"/>
  <c r="AV29" i="19"/>
  <c r="AW29" i="19" s="1"/>
  <c r="AX29" i="19" s="1"/>
  <c r="AY29" i="19" s="1"/>
  <c r="AZ29" i="19" s="1"/>
  <c r="Q29" i="19"/>
  <c r="R29" i="19" s="1"/>
  <c r="S29" i="19" s="1"/>
  <c r="T29" i="19" s="1"/>
  <c r="H29" i="19"/>
  <c r="I29" i="19" s="1"/>
  <c r="AV22" i="19"/>
  <c r="AW22" i="19" s="1"/>
  <c r="Q22" i="19"/>
  <c r="H22" i="19"/>
  <c r="I22" i="19" s="1"/>
  <c r="AV27" i="19"/>
  <c r="Q27" i="19"/>
  <c r="R27" i="19" s="1"/>
  <c r="H27" i="19"/>
  <c r="I27" i="19" s="1"/>
  <c r="AV20" i="19"/>
  <c r="AW20" i="19" s="1"/>
  <c r="Q20" i="19"/>
  <c r="P20" i="19" s="1"/>
  <c r="H20" i="19"/>
  <c r="I20" i="19" s="1"/>
  <c r="AV28" i="19"/>
  <c r="Q28" i="19"/>
  <c r="R28" i="19" s="1"/>
  <c r="S28" i="19" s="1"/>
  <c r="T28" i="19" s="1"/>
  <c r="U28" i="19" s="1"/>
  <c r="H28" i="19"/>
  <c r="I28" i="19" s="1"/>
  <c r="AL28" i="19" s="1" a="1"/>
  <c r="AL28" i="19" s="1"/>
  <c r="AV24" i="19"/>
  <c r="AW24" i="19" s="1"/>
  <c r="Q24" i="19"/>
  <c r="R24" i="19" s="1"/>
  <c r="S24" i="19" s="1"/>
  <c r="T24" i="19" s="1"/>
  <c r="U24" i="19" s="1"/>
  <c r="H24" i="19"/>
  <c r="I24" i="19" s="1"/>
  <c r="AV21" i="19"/>
  <c r="Q21" i="19"/>
  <c r="P21" i="19" s="1"/>
  <c r="H21" i="19"/>
  <c r="I21" i="19" s="1"/>
  <c r="AV19" i="19"/>
  <c r="Q19" i="19"/>
  <c r="R19" i="19" s="1"/>
  <c r="S19" i="19" s="1"/>
  <c r="T19" i="19" s="1"/>
  <c r="U19" i="19" s="1"/>
  <c r="H19" i="19"/>
  <c r="I19" i="19" s="1"/>
  <c r="AV30" i="19"/>
  <c r="AW30" i="19" s="1"/>
  <c r="AX30" i="19" s="1"/>
  <c r="AY30" i="19" s="1"/>
  <c r="AZ30" i="19" s="1"/>
  <c r="Q30" i="19"/>
  <c r="R30" i="19" s="1"/>
  <c r="S30" i="19" s="1"/>
  <c r="T30" i="19" s="1"/>
  <c r="U30" i="19" s="1"/>
  <c r="H30" i="19"/>
  <c r="I30" i="19" s="1"/>
  <c r="AV25" i="19"/>
  <c r="AW25" i="19" s="1"/>
  <c r="AX25" i="19" s="1"/>
  <c r="Q25" i="19"/>
  <c r="H25" i="19"/>
  <c r="I25" i="19" s="1"/>
  <c r="AV18" i="19"/>
  <c r="AW18" i="19" s="1"/>
  <c r="AX18" i="19" s="1"/>
  <c r="AY18" i="19" s="1"/>
  <c r="AZ18" i="19" s="1"/>
  <c r="AA18" i="19"/>
  <c r="Q18" i="19"/>
  <c r="R18" i="19" s="1"/>
  <c r="H18" i="19"/>
  <c r="I18" i="19" s="1"/>
  <c r="AV17" i="19"/>
  <c r="AW17" i="19" s="1"/>
  <c r="AX17" i="19" s="1"/>
  <c r="AY17" i="19" s="1"/>
  <c r="AZ17" i="19" s="1"/>
  <c r="AA17" i="19"/>
  <c r="AB17" i="19" s="1"/>
  <c r="AC17" i="19" s="1"/>
  <c r="AD17" i="19" s="1"/>
  <c r="AE17" i="19" s="1"/>
  <c r="Q17" i="19"/>
  <c r="N17" i="19"/>
  <c r="H17" i="19"/>
  <c r="I17" i="19" s="1"/>
  <c r="AV44" i="19"/>
  <c r="Q44" i="19"/>
  <c r="R44" i="19" s="1"/>
  <c r="I44" i="19"/>
  <c r="AV43" i="19"/>
  <c r="AW43" i="19" s="1"/>
  <c r="AX43" i="19" s="1"/>
  <c r="AY43" i="19" s="1"/>
  <c r="AZ43" i="19" s="1"/>
  <c r="Q43" i="19"/>
  <c r="R43" i="19" s="1"/>
  <c r="S43" i="19" s="1"/>
  <c r="T43" i="19" s="1"/>
  <c r="U43" i="19" s="1"/>
  <c r="I43" i="19"/>
  <c r="AV42" i="19"/>
  <c r="Q42" i="19"/>
  <c r="R42" i="19" s="1"/>
  <c r="I42" i="19"/>
  <c r="AV41" i="19"/>
  <c r="Q41" i="19"/>
  <c r="P41" i="19" s="1"/>
  <c r="I41" i="19"/>
  <c r="AV40" i="19"/>
  <c r="AW40" i="19" s="1"/>
  <c r="AX40" i="19" s="1"/>
  <c r="AY40" i="19" s="1"/>
  <c r="AZ40" i="19" s="1"/>
  <c r="Q40" i="19"/>
  <c r="P40" i="19" s="1"/>
  <c r="I40" i="19"/>
  <c r="AV39" i="19"/>
  <c r="AW39" i="19" s="1"/>
  <c r="AA39" i="19"/>
  <c r="AB39" i="19" s="1"/>
  <c r="AC39" i="19" s="1"/>
  <c r="AD39" i="19" s="1"/>
  <c r="AE39" i="19" s="1"/>
  <c r="Q39" i="19"/>
  <c r="H39" i="19"/>
  <c r="I39" i="19" s="1"/>
  <c r="AV34" i="19"/>
  <c r="AW34" i="19" s="1"/>
  <c r="AX34" i="19" s="1"/>
  <c r="AY34" i="19" s="1"/>
  <c r="AZ34" i="19" s="1"/>
  <c r="AA34" i="19"/>
  <c r="Z34" i="19" s="1"/>
  <c r="Q34" i="19"/>
  <c r="P34" i="19" s="1"/>
  <c r="N34" i="19"/>
  <c r="H34" i="19"/>
  <c r="I34" i="19" s="1"/>
  <c r="AV33" i="19"/>
  <c r="AW33" i="19" s="1"/>
  <c r="AX33" i="19" s="1"/>
  <c r="AY33" i="19" s="1"/>
  <c r="Q33" i="19"/>
  <c r="P33" i="19" s="1"/>
  <c r="H33" i="19"/>
  <c r="I33" i="19" s="1"/>
  <c r="AV47" i="19"/>
  <c r="AA47" i="19"/>
  <c r="AB47" i="19" s="1"/>
  <c r="AC47" i="19" s="1"/>
  <c r="AD47" i="19" s="1"/>
  <c r="AE47" i="19" s="1"/>
  <c r="Q47" i="19"/>
  <c r="R47" i="19" s="1"/>
  <c r="S47" i="19" s="1"/>
  <c r="T47" i="19" s="1"/>
  <c r="U47" i="19" s="1"/>
  <c r="N47" i="19"/>
  <c r="H47" i="19"/>
  <c r="I47" i="19" s="1"/>
  <c r="X14" i="19"/>
  <c r="X15" i="19"/>
  <c r="X13" i="19"/>
  <c r="X12" i="19"/>
  <c r="AI12" i="19" s="1"/>
  <c r="C12" i="19"/>
  <c r="H14" i="19"/>
  <c r="AV14" i="19"/>
  <c r="AW14" i="19" s="1"/>
  <c r="AX14" i="19" s="1"/>
  <c r="Q14" i="19"/>
  <c r="P14" i="19" s="1"/>
  <c r="AV13" i="19"/>
  <c r="AW13" i="19" s="1"/>
  <c r="AX13" i="19" s="1"/>
  <c r="Q13" i="19"/>
  <c r="P13" i="19" s="1"/>
  <c r="AV12" i="19"/>
  <c r="AW12" i="19" s="1"/>
  <c r="AX12" i="19" s="1"/>
  <c r="AA12" i="19"/>
  <c r="AB12" i="19" s="1"/>
  <c r="Q12" i="19"/>
  <c r="P12" i="19" s="1"/>
  <c r="I12" i="19"/>
  <c r="AT49" i="19"/>
  <c r="AI49" i="19"/>
  <c r="X49" i="19"/>
  <c r="N49" i="19"/>
  <c r="B49" i="19"/>
  <c r="AV90" i="19"/>
  <c r="AA90" i="19"/>
  <c r="AB90" i="19" s="1"/>
  <c r="AC90" i="19" s="1"/>
  <c r="AD90" i="19" s="1"/>
  <c r="AE90" i="19" s="1"/>
  <c r="Q90" i="19"/>
  <c r="N90" i="19"/>
  <c r="H90" i="19"/>
  <c r="I90" i="19" s="1"/>
  <c r="AV89" i="19"/>
  <c r="N89" i="19"/>
  <c r="I89" i="19"/>
  <c r="AV88" i="19"/>
  <c r="Q88" i="19"/>
  <c r="I88" i="19"/>
  <c r="AV87" i="19"/>
  <c r="Q87" i="19"/>
  <c r="I87" i="19"/>
  <c r="AV86" i="19"/>
  <c r="AA86" i="19"/>
  <c r="AB86" i="19" s="1"/>
  <c r="AC86" i="19" s="1"/>
  <c r="AD86" i="19" s="1"/>
  <c r="AE86" i="19" s="1"/>
  <c r="Q86" i="19"/>
  <c r="H86" i="19"/>
  <c r="I86" i="19" s="1"/>
  <c r="AV85" i="19"/>
  <c r="Q85" i="19"/>
  <c r="I85" i="19"/>
  <c r="AV84" i="19"/>
  <c r="N84" i="19"/>
  <c r="I84" i="19"/>
  <c r="AV76" i="19"/>
  <c r="Q76" i="19"/>
  <c r="I76" i="19"/>
  <c r="AV75" i="19"/>
  <c r="Q75" i="19"/>
  <c r="I75" i="19"/>
  <c r="AV62" i="19"/>
  <c r="Q62" i="19"/>
  <c r="P62" i="19" s="1"/>
  <c r="AV57" i="19"/>
  <c r="N57" i="19"/>
  <c r="I57" i="19"/>
  <c r="AV55" i="19"/>
  <c r="AA55" i="19"/>
  <c r="AB55" i="19" s="1"/>
  <c r="AC55" i="19" s="1"/>
  <c r="AD55" i="19" s="1"/>
  <c r="AE55" i="19" s="1"/>
  <c r="Q55" i="19"/>
  <c r="H55" i="19"/>
  <c r="I55" i="19" s="1"/>
  <c r="AV52" i="19"/>
  <c r="Q52" i="19"/>
  <c r="I52" i="19"/>
  <c r="AV51" i="19"/>
  <c r="AA51" i="19"/>
  <c r="Z51" i="19" s="1"/>
  <c r="N51" i="19"/>
  <c r="H51" i="19"/>
  <c r="I51" i="19" s="1"/>
  <c r="AV50" i="19"/>
  <c r="AA50" i="19"/>
  <c r="Z50" i="19" s="1"/>
  <c r="N50" i="19"/>
  <c r="H50" i="19"/>
  <c r="I50" i="19" s="1"/>
  <c r="AV48" i="19"/>
  <c r="AA48" i="19"/>
  <c r="AB48" i="19" s="1"/>
  <c r="AC48" i="19" s="1"/>
  <c r="Q48" i="19"/>
  <c r="R48" i="19" s="1"/>
  <c r="S48" i="19" s="1"/>
  <c r="T48" i="19" s="1"/>
  <c r="U48" i="19" s="1"/>
  <c r="N48" i="19"/>
  <c r="H48" i="19"/>
  <c r="I48" i="19" s="1"/>
  <c r="AV15" i="19"/>
  <c r="AW15" i="19" s="1"/>
  <c r="Q15" i="19"/>
  <c r="R15" i="19" s="1"/>
  <c r="S15" i="19" s="1"/>
  <c r="T15" i="19" s="1"/>
  <c r="U15" i="19" s="1"/>
  <c r="AV144" i="19"/>
  <c r="I144" i="19"/>
  <c r="AV143" i="19"/>
  <c r="N143" i="19"/>
  <c r="AV141" i="19"/>
  <c r="I141" i="19"/>
  <c r="AV140" i="19"/>
  <c r="AV105" i="19"/>
  <c r="AW105" i="19" s="1"/>
  <c r="AX105" i="19" s="1"/>
  <c r="AY105" i="19" s="1"/>
  <c r="AZ105" i="19" s="1"/>
  <c r="AA105" i="19"/>
  <c r="AB105" i="19" s="1"/>
  <c r="Q105" i="19"/>
  <c r="P105" i="19" s="1"/>
  <c r="N105" i="19"/>
  <c r="H105" i="19"/>
  <c r="I105" i="19" s="1"/>
  <c r="AV97" i="19"/>
  <c r="Q97" i="19"/>
  <c r="P97" i="19" s="1"/>
  <c r="AV96" i="19"/>
  <c r="AA96" i="19"/>
  <c r="AB96" i="19" s="1"/>
  <c r="Q96" i="19"/>
  <c r="P96" i="19" s="1"/>
  <c r="N96" i="19"/>
  <c r="H96" i="19"/>
  <c r="I96" i="19" s="1"/>
  <c r="AV151" i="19"/>
  <c r="AA151" i="19"/>
  <c r="AB151" i="19" s="1"/>
  <c r="N151" i="19"/>
  <c r="H151" i="19"/>
  <c r="I151" i="19" s="1"/>
  <c r="AV150" i="19"/>
  <c r="AA150" i="19"/>
  <c r="AB150" i="19" s="1"/>
  <c r="N150" i="19"/>
  <c r="AV149" i="19"/>
  <c r="AA149" i="19"/>
  <c r="AB149" i="19" s="1"/>
  <c r="N149" i="19"/>
  <c r="AV147" i="19"/>
  <c r="AA147" i="19"/>
  <c r="AB147" i="19" s="1"/>
  <c r="Q147" i="19"/>
  <c r="P147" i="19" s="1"/>
  <c r="H147" i="19"/>
  <c r="I147" i="19" s="1"/>
  <c r="AV145" i="19"/>
  <c r="N145" i="19"/>
  <c r="AV154" i="19"/>
  <c r="AA154" i="19"/>
  <c r="AB154" i="19" s="1"/>
  <c r="AC154" i="19" s="1"/>
  <c r="AD154" i="19" s="1"/>
  <c r="AE154" i="19" s="1"/>
  <c r="N154" i="19"/>
  <c r="H154" i="19"/>
  <c r="I154" i="19" s="1"/>
  <c r="AV153" i="19"/>
  <c r="AA153" i="19"/>
  <c r="AB153" i="19" s="1"/>
  <c r="AC153" i="19" s="1"/>
  <c r="AD153" i="19" s="1"/>
  <c r="AE153" i="19" s="1"/>
  <c r="N153" i="19"/>
  <c r="H153" i="19"/>
  <c r="I153" i="19" s="1"/>
  <c r="AV152" i="19"/>
  <c r="AA152" i="19"/>
  <c r="AB152" i="19" s="1"/>
  <c r="AC152" i="19" s="1"/>
  <c r="AD152" i="19" s="1"/>
  <c r="AE152" i="19" s="1"/>
  <c r="N152" i="19"/>
  <c r="H152" i="19"/>
  <c r="I152" i="19" s="1"/>
  <c r="H9" i="19"/>
  <c r="I9" i="19" s="1"/>
  <c r="H11" i="19"/>
  <c r="I11" i="19" s="1"/>
  <c r="AL11" i="19" s="1" a="1"/>
  <c r="AL11" i="19" s="1"/>
  <c r="H155" i="19"/>
  <c r="I155" i="19" s="1"/>
  <c r="AL155" i="19" s="1" a="1"/>
  <c r="AL155" i="19" s="1"/>
  <c r="H156" i="19"/>
  <c r="I156" i="19" s="1"/>
  <c r="AL156" i="19" s="1" a="1"/>
  <c r="AL156" i="19" s="1"/>
  <c r="H291" i="19"/>
  <c r="I291" i="19" s="1"/>
  <c r="AL291" i="19" s="1" a="1"/>
  <c r="AL291" i="19" s="1"/>
  <c r="H10" i="19"/>
  <c r="I10" i="19" s="1"/>
  <c r="AL10" i="19" s="1" a="1"/>
  <c r="AL10" i="19" s="1"/>
  <c r="B8" i="19"/>
  <c r="AV291" i="19"/>
  <c r="AA291" i="19"/>
  <c r="AB291" i="19" s="1"/>
  <c r="AC291" i="19" s="1"/>
  <c r="AD291" i="19" s="1"/>
  <c r="AE291" i="19" s="1"/>
  <c r="N291" i="19"/>
  <c r="AV156" i="19"/>
  <c r="AW156" i="19" s="1"/>
  <c r="AA156" i="19"/>
  <c r="Z156" i="19" s="1"/>
  <c r="N156" i="19"/>
  <c r="AV155" i="19"/>
  <c r="AW155" i="19" s="1"/>
  <c r="AA155" i="19"/>
  <c r="AB155" i="19" s="1"/>
  <c r="AC155" i="19" s="1"/>
  <c r="AD155" i="19" s="1"/>
  <c r="AE155" i="19" s="1"/>
  <c r="N155" i="19"/>
  <c r="AV11" i="19"/>
  <c r="AW11" i="19" s="1"/>
  <c r="AX11" i="19" s="1"/>
  <c r="AY11" i="19" s="1"/>
  <c r="AZ11" i="19" s="1"/>
  <c r="AA11" i="19"/>
  <c r="Z11" i="19" s="1"/>
  <c r="N11" i="19"/>
  <c r="AV10" i="19"/>
  <c r="AW10" i="19" s="1"/>
  <c r="AX10" i="19" s="1"/>
  <c r="AY10" i="19" s="1"/>
  <c r="AZ10" i="19" s="1"/>
  <c r="AA10" i="19"/>
  <c r="Z10" i="19" s="1"/>
  <c r="N10" i="19"/>
  <c r="AV9" i="19"/>
  <c r="AW9" i="19" s="1"/>
  <c r="AX9" i="19" s="1"/>
  <c r="AY9" i="19" s="1"/>
  <c r="AZ9" i="19" s="1"/>
  <c r="AA9" i="19"/>
  <c r="AB9" i="19" s="1"/>
  <c r="N9" i="19"/>
  <c r="AT8" i="19"/>
  <c r="AI8" i="19"/>
  <c r="X8" i="19"/>
  <c r="N8" i="19"/>
  <c r="AM99" i="29" l="1"/>
  <c r="AN47" i="31"/>
  <c r="AO47" i="31" s="1"/>
  <c r="AN27" i="31"/>
  <c r="AO27" i="31" s="1"/>
  <c r="L47" i="31"/>
  <c r="AX47" i="31"/>
  <c r="L30" i="31"/>
  <c r="AO30" i="31" s="1"/>
  <c r="AX30" i="31"/>
  <c r="L28" i="31"/>
  <c r="AX28" i="31"/>
  <c r="AW56" i="31"/>
  <c r="AN28" i="31"/>
  <c r="L34" i="31"/>
  <c r="AX34" i="31"/>
  <c r="L49" i="31"/>
  <c r="AO49" i="31" s="1"/>
  <c r="AX49" i="31"/>
  <c r="L48" i="31"/>
  <c r="AX48" i="31"/>
  <c r="L27" i="31"/>
  <c r="AX27" i="31"/>
  <c r="L24" i="31"/>
  <c r="AO24" i="31" s="1"/>
  <c r="AX24" i="31"/>
  <c r="L35" i="31"/>
  <c r="AX35" i="31"/>
  <c r="AN35" i="31"/>
  <c r="L25" i="31"/>
  <c r="AO25" i="31" s="1"/>
  <c r="AX25" i="31"/>
  <c r="L50" i="31"/>
  <c r="AX50" i="31"/>
  <c r="L29" i="31"/>
  <c r="AX29" i="31"/>
  <c r="AZ116" i="29"/>
  <c r="L94" i="29"/>
  <c r="AW94" i="29"/>
  <c r="L48" i="29"/>
  <c r="AW48" i="29"/>
  <c r="L46" i="29"/>
  <c r="AW46" i="29"/>
  <c r="L88" i="29"/>
  <c r="AW88" i="29"/>
  <c r="L51" i="29"/>
  <c r="AW51" i="29"/>
  <c r="L49" i="29"/>
  <c r="AW49" i="29"/>
  <c r="AM88" i="29"/>
  <c r="AA69" i="29"/>
  <c r="Z69" i="29" s="1"/>
  <c r="AU69" i="29"/>
  <c r="L42" i="29"/>
  <c r="AW42" i="29"/>
  <c r="L99" i="29"/>
  <c r="AW99" i="29"/>
  <c r="L43" i="29"/>
  <c r="AW43" i="29"/>
  <c r="L45" i="29"/>
  <c r="AW45" i="29"/>
  <c r="L40" i="29"/>
  <c r="AW40" i="29"/>
  <c r="L81" i="29"/>
  <c r="AW81" i="29"/>
  <c r="L89" i="29"/>
  <c r="AW89" i="29"/>
  <c r="AM94" i="29"/>
  <c r="J68" i="29"/>
  <c r="AU68" i="29"/>
  <c r="L50" i="29"/>
  <c r="AW50" i="29"/>
  <c r="L39" i="29"/>
  <c r="AN39" i="29" s="1"/>
  <c r="AW39" i="29"/>
  <c r="L52" i="29"/>
  <c r="AW52" i="29"/>
  <c r="L41" i="29"/>
  <c r="AW41" i="29"/>
  <c r="AM81" i="29"/>
  <c r="L47" i="29"/>
  <c r="AW47" i="29"/>
  <c r="L44" i="29"/>
  <c r="AW44" i="29"/>
  <c r="AD332" i="19"/>
  <c r="T332" i="19"/>
  <c r="S329" i="19"/>
  <c r="T18" i="31"/>
  <c r="U18" i="31" s="1"/>
  <c r="AF39" i="31"/>
  <c r="AM21" i="29"/>
  <c r="V326" i="19"/>
  <c r="AQ48" i="31"/>
  <c r="AC323" i="19"/>
  <c r="S327" i="19"/>
  <c r="AB20" i="31"/>
  <c r="AK68" i="29"/>
  <c r="AK69" i="29"/>
  <c r="T112" i="29"/>
  <c r="AD112" i="29"/>
  <c r="AB56" i="31"/>
  <c r="AF45" i="31"/>
  <c r="L113" i="29"/>
  <c r="M112" i="29"/>
  <c r="T325" i="19"/>
  <c r="AF96" i="29"/>
  <c r="AF33" i="31"/>
  <c r="AM20" i="31"/>
  <c r="U51" i="31"/>
  <c r="U56" i="31" s="1"/>
  <c r="T56" i="31"/>
  <c r="AQ41" i="31"/>
  <c r="AE18" i="31"/>
  <c r="AN34" i="31"/>
  <c r="AM56" i="31"/>
  <c r="AE34" i="31"/>
  <c r="AC23" i="31"/>
  <c r="AF32" i="31"/>
  <c r="AN29" i="31"/>
  <c r="L18" i="31"/>
  <c r="AN18" i="31" a="1"/>
  <c r="AN18" i="31" s="1"/>
  <c r="L51" i="31"/>
  <c r="AN51" i="31" a="1"/>
  <c r="AN51" i="31" s="1"/>
  <c r="AC11" i="31"/>
  <c r="L9" i="31"/>
  <c r="AN9" i="31" a="1"/>
  <c r="AN9" i="31" s="1"/>
  <c r="L54" i="31"/>
  <c r="AN54" i="31" a="1"/>
  <c r="AN54" i="31" s="1"/>
  <c r="AN11" i="31" a="1"/>
  <c r="AN11" i="31" s="1"/>
  <c r="L11" i="31"/>
  <c r="R57" i="31"/>
  <c r="AC10" i="31"/>
  <c r="L53" i="31"/>
  <c r="L10" i="31"/>
  <c r="AN10" i="31" a="1"/>
  <c r="AN10" i="31" s="1"/>
  <c r="AN324" i="19" a="1"/>
  <c r="AN324" i="19" s="1"/>
  <c r="AF326" i="19"/>
  <c r="AC329" i="19"/>
  <c r="S328" i="19"/>
  <c r="S323" i="19"/>
  <c r="AC327" i="19"/>
  <c r="AD325" i="19"/>
  <c r="AC324" i="19"/>
  <c r="AD324" i="19" s="1"/>
  <c r="S324" i="19"/>
  <c r="L327" i="19"/>
  <c r="T327" i="19" s="1"/>
  <c r="AN327" i="19" a="1"/>
  <c r="AN327" i="19" s="1"/>
  <c r="L328" i="19"/>
  <c r="AN328" i="19" a="1"/>
  <c r="AN328" i="19" s="1"/>
  <c r="L323" i="19"/>
  <c r="AN323" i="19" a="1"/>
  <c r="AN323" i="19" s="1"/>
  <c r="M324" i="19"/>
  <c r="AP324" i="19" s="1" a="1"/>
  <c r="AP324" i="19" s="1"/>
  <c r="AO324" i="19" a="1"/>
  <c r="AO324" i="19" s="1"/>
  <c r="AN329" i="19" a="1"/>
  <c r="AN329" i="19" s="1"/>
  <c r="L329" i="19"/>
  <c r="M326" i="19"/>
  <c r="AP326" i="19" s="1" a="1"/>
  <c r="AP326" i="19" s="1"/>
  <c r="AO326" i="19" a="1"/>
  <c r="AO326" i="19" s="1"/>
  <c r="AO325" i="19" a="1"/>
  <c r="AO325" i="19" s="1"/>
  <c r="M325" i="19"/>
  <c r="AP325" i="19" s="1" a="1"/>
  <c r="AP325" i="19" s="1"/>
  <c r="M332" i="19"/>
  <c r="AP332" i="19" s="1" a="1"/>
  <c r="AP332" i="19" s="1"/>
  <c r="AO332" i="19" a="1"/>
  <c r="AO332" i="19" s="1"/>
  <c r="AO330" i="19" a="1"/>
  <c r="AO330" i="19" s="1"/>
  <c r="M330" i="19"/>
  <c r="AP330" i="19" s="1" a="1"/>
  <c r="AP330" i="19" s="1"/>
  <c r="AO165" i="19" a="1"/>
  <c r="AO165" i="19" s="1"/>
  <c r="AD165" i="19" a="1"/>
  <c r="AD165" i="19" s="1"/>
  <c r="M165" i="19"/>
  <c r="L45" i="19"/>
  <c r="AD45" i="19" s="1"/>
  <c r="AN45" i="19" a="1"/>
  <c r="AN45" i="19" s="1"/>
  <c r="L46" i="19"/>
  <c r="AD46" i="19" s="1"/>
  <c r="AN46" i="19" a="1"/>
  <c r="AN46" i="19" s="1"/>
  <c r="J153" i="19"/>
  <c r="AL153" i="19" a="1"/>
  <c r="AL153" i="19" s="1"/>
  <c r="J146" i="19"/>
  <c r="AL146" i="19" a="1"/>
  <c r="AL146" i="19" s="1"/>
  <c r="J52" i="19"/>
  <c r="AL52" i="19" a="1"/>
  <c r="AL52" i="19" s="1"/>
  <c r="J88" i="19"/>
  <c r="AL88" i="19" a="1"/>
  <c r="AL88" i="19" s="1"/>
  <c r="AK291" i="19"/>
  <c r="J105" i="19"/>
  <c r="AL105" i="19" a="1"/>
  <c r="AL105" i="19" s="1"/>
  <c r="J85" i="19"/>
  <c r="AL85" i="19" a="1"/>
  <c r="AL85" i="19" s="1"/>
  <c r="J27" i="19"/>
  <c r="AL27" i="19" a="1"/>
  <c r="AL27" i="19" s="1"/>
  <c r="J145" i="19"/>
  <c r="AL145" i="19" a="1"/>
  <c r="AL145" i="19" s="1"/>
  <c r="J149" i="19"/>
  <c r="AL149" i="19" a="1"/>
  <c r="AL149" i="19" s="1"/>
  <c r="J180" i="19"/>
  <c r="AB180" i="19" s="1" a="1"/>
  <c r="AB180" i="19" s="1"/>
  <c r="AL180" i="19" a="1"/>
  <c r="AL180" i="19" s="1"/>
  <c r="J166" i="19"/>
  <c r="AL166" i="19" a="1"/>
  <c r="AL166" i="19" s="1"/>
  <c r="J190" i="19"/>
  <c r="AL190" i="19" a="1"/>
  <c r="AL190" i="19" s="1"/>
  <c r="J197" i="19"/>
  <c r="AL197" i="19" a="1"/>
  <c r="AL197" i="19" s="1"/>
  <c r="J202" i="19"/>
  <c r="AL202" i="19" a="1"/>
  <c r="AL202" i="19" s="1"/>
  <c r="J216" i="19"/>
  <c r="AL216" i="19" a="1"/>
  <c r="AL216" i="19" s="1"/>
  <c r="J245" i="19"/>
  <c r="AL245" i="19" a="1"/>
  <c r="AL245" i="19" s="1"/>
  <c r="J321" i="19"/>
  <c r="AL321" i="19" a="1"/>
  <c r="AL321" i="19" s="1"/>
  <c r="J218" i="19"/>
  <c r="AL218" i="19" a="1"/>
  <c r="AL218" i="19" s="1"/>
  <c r="AK155" i="19"/>
  <c r="J144" i="19"/>
  <c r="AL144" i="19" a="1"/>
  <c r="AL144" i="19" s="1"/>
  <c r="J57" i="19"/>
  <c r="AL57" i="19" a="1"/>
  <c r="AL57" i="19" s="1"/>
  <c r="J76" i="19"/>
  <c r="AL76" i="19" a="1"/>
  <c r="AL76" i="19" s="1"/>
  <c r="J90" i="19"/>
  <c r="AL90" i="19" a="1"/>
  <c r="AL90" i="19" s="1"/>
  <c r="J47" i="19"/>
  <c r="AL47" i="19" a="1"/>
  <c r="AL47" i="19" s="1"/>
  <c r="J34" i="19"/>
  <c r="AL34" i="19" a="1"/>
  <c r="AL34" i="19" s="1"/>
  <c r="J17" i="19"/>
  <c r="AL17" i="19" a="1"/>
  <c r="AL17" i="19" s="1"/>
  <c r="AK28" i="19"/>
  <c r="AK26" i="19"/>
  <c r="AK35" i="19"/>
  <c r="AK91" i="19"/>
  <c r="J207" i="19"/>
  <c r="AL207" i="19" a="1"/>
  <c r="AL207" i="19" s="1"/>
  <c r="J178" i="19"/>
  <c r="AB178" i="19" s="1" a="1"/>
  <c r="AB178" i="19" s="1"/>
  <c r="AL178" i="19" a="1"/>
  <c r="AL178" i="19" s="1"/>
  <c r="J157" i="19"/>
  <c r="AL157" i="19" a="1"/>
  <c r="AL157" i="19" s="1"/>
  <c r="J163" i="19"/>
  <c r="AB163" i="19" s="1" a="1"/>
  <c r="AB163" i="19" s="1"/>
  <c r="AL163" i="19" a="1"/>
  <c r="AL163" i="19" s="1"/>
  <c r="J173" i="19"/>
  <c r="AL173" i="19" a="1"/>
  <c r="AL173" i="19" s="1"/>
  <c r="J170" i="19"/>
  <c r="AL170" i="19" a="1"/>
  <c r="AL170" i="19" s="1"/>
  <c r="J236" i="19"/>
  <c r="AL236" i="19" a="1"/>
  <c r="AL236" i="19" s="1"/>
  <c r="J241" i="19"/>
  <c r="AL241" i="19" a="1"/>
  <c r="AL241" i="19" s="1"/>
  <c r="J244" i="19"/>
  <c r="AL244" i="19" a="1"/>
  <c r="AL244" i="19" s="1"/>
  <c r="J262" i="19"/>
  <c r="AL262" i="19" a="1"/>
  <c r="AL262" i="19" s="1"/>
  <c r="J292" i="19"/>
  <c r="AL292" i="19" a="1"/>
  <c r="AL292" i="19" s="1"/>
  <c r="J260" i="19"/>
  <c r="AL260" i="19" a="1"/>
  <c r="AL260" i="19" s="1"/>
  <c r="J319" i="19"/>
  <c r="AL319" i="19" a="1"/>
  <c r="AL319" i="19" s="1"/>
  <c r="J181" i="19"/>
  <c r="AL181" i="19" a="1"/>
  <c r="AL181" i="19" s="1"/>
  <c r="J167" i="19"/>
  <c r="AB167" i="19" s="1" a="1"/>
  <c r="AB167" i="19" s="1"/>
  <c r="AL167" i="19" a="1"/>
  <c r="AL167" i="19" s="1"/>
  <c r="J187" i="19"/>
  <c r="AL187" i="19" a="1"/>
  <c r="AL187" i="19" s="1"/>
  <c r="J192" i="19"/>
  <c r="AB192" i="19" s="1" a="1"/>
  <c r="AB192" i="19" s="1"/>
  <c r="AL192" i="19" a="1"/>
  <c r="AL192" i="19" s="1"/>
  <c r="J210" i="19"/>
  <c r="AL210" i="19" a="1"/>
  <c r="AL210" i="19" s="1"/>
  <c r="J200" i="19"/>
  <c r="AL200" i="19" a="1"/>
  <c r="AL200" i="19" s="1"/>
  <c r="AA318" i="19"/>
  <c r="Z318" i="19" s="1"/>
  <c r="AL318" i="19" a="1"/>
  <c r="AL318" i="19" s="1"/>
  <c r="AK156" i="19"/>
  <c r="J32" i="19"/>
  <c r="AL32" i="19" a="1"/>
  <c r="AL32" i="19" s="1"/>
  <c r="J175" i="19"/>
  <c r="AB175" i="19" s="1" a="1"/>
  <c r="AB175" i="19" s="1"/>
  <c r="AL175" i="19" a="1"/>
  <c r="AL175" i="19" s="1"/>
  <c r="J194" i="19"/>
  <c r="AB194" i="19" s="1" a="1"/>
  <c r="AB194" i="19" s="1"/>
  <c r="AL194" i="19" a="1"/>
  <c r="AL194" i="19" s="1"/>
  <c r="J147" i="19"/>
  <c r="AL147" i="19" a="1"/>
  <c r="AL147" i="19" s="1"/>
  <c r="J86" i="19"/>
  <c r="AL86" i="19" a="1"/>
  <c r="AL86" i="19" s="1"/>
  <c r="J40" i="19"/>
  <c r="AL40" i="19" a="1"/>
  <c r="AL40" i="19" s="1"/>
  <c r="J22" i="19"/>
  <c r="AL22" i="19" a="1"/>
  <c r="AL22" i="19" s="1"/>
  <c r="AL9" i="19" a="1"/>
  <c r="AL9" i="19" s="1"/>
  <c r="J12" i="19"/>
  <c r="K12" i="19" s="1"/>
  <c r="L12" i="19" s="1"/>
  <c r="M12" i="19" s="1"/>
  <c r="M13" i="19" s="1"/>
  <c r="AP13" i="19" s="1" a="1"/>
  <c r="AP13" i="19" s="1"/>
  <c r="AL12" i="19" a="1"/>
  <c r="AL12" i="19" s="1"/>
  <c r="J43" i="19"/>
  <c r="AL43" i="19" a="1"/>
  <c r="AL43" i="19" s="1"/>
  <c r="J21" i="19"/>
  <c r="AL21" i="19" a="1"/>
  <c r="AL21" i="19" s="1"/>
  <c r="J31" i="19"/>
  <c r="AL31" i="19" a="1"/>
  <c r="AL31" i="19" s="1"/>
  <c r="AM138" i="19"/>
  <c r="AN138" i="19" s="1"/>
  <c r="AO138" i="19" s="1"/>
  <c r="AP138" i="19" s="1"/>
  <c r="J176" i="19"/>
  <c r="AL176" i="19" a="1"/>
  <c r="AL176" i="19" s="1"/>
  <c r="J171" i="19"/>
  <c r="AB171" i="19" s="1" a="1"/>
  <c r="AB171" i="19" s="1"/>
  <c r="AL171" i="19" a="1"/>
  <c r="AL171" i="19" s="1"/>
  <c r="J183" i="19"/>
  <c r="AL183" i="19" a="1"/>
  <c r="AL183" i="19" s="1"/>
  <c r="J196" i="19"/>
  <c r="AL196" i="19" a="1"/>
  <c r="AL196" i="19" s="1"/>
  <c r="J201" i="19"/>
  <c r="AL201" i="19" a="1"/>
  <c r="AL201" i="19" s="1"/>
  <c r="J203" i="19"/>
  <c r="AL203" i="19" a="1"/>
  <c r="AL203" i="19" s="1"/>
  <c r="J239" i="19"/>
  <c r="AL239" i="19" a="1"/>
  <c r="AL239" i="19" s="1"/>
  <c r="J223" i="19"/>
  <c r="AL223" i="19" a="1"/>
  <c r="AL223" i="19" s="1"/>
  <c r="J247" i="19"/>
  <c r="AL247" i="19" a="1"/>
  <c r="AL247" i="19" s="1"/>
  <c r="J317" i="19"/>
  <c r="AL317" i="19" a="1"/>
  <c r="AL317" i="19" s="1"/>
  <c r="AK53" i="19"/>
  <c r="AK11" i="19"/>
  <c r="J50" i="19"/>
  <c r="AL50" i="19" a="1"/>
  <c r="AL50" i="19" s="1"/>
  <c r="J25" i="19"/>
  <c r="AL25" i="19" a="1"/>
  <c r="AL25" i="19" s="1"/>
  <c r="J154" i="19"/>
  <c r="AL154" i="19" a="1"/>
  <c r="AL154" i="19" s="1"/>
  <c r="J151" i="19"/>
  <c r="AL151" i="19" a="1"/>
  <c r="AL151" i="19" s="1"/>
  <c r="J84" i="19"/>
  <c r="AB84" i="19" s="1" a="1"/>
  <c r="AB84" i="19" s="1"/>
  <c r="AL84" i="19" a="1"/>
  <c r="AL84" i="19" s="1"/>
  <c r="J20" i="19"/>
  <c r="AL20" i="19" a="1"/>
  <c r="AL20" i="19" s="1"/>
  <c r="J16" i="19"/>
  <c r="AL16" i="19" a="1"/>
  <c r="AL16" i="19" s="1"/>
  <c r="J208" i="19"/>
  <c r="AL208" i="19" a="1"/>
  <c r="AL208" i="19" s="1"/>
  <c r="J179" i="19"/>
  <c r="AB179" i="19" s="1" a="1"/>
  <c r="AB179" i="19" s="1"/>
  <c r="AL179" i="19" a="1"/>
  <c r="AL179" i="19" s="1"/>
  <c r="J164" i="19"/>
  <c r="AL164" i="19" a="1"/>
  <c r="AL164" i="19" s="1"/>
  <c r="AK174" i="19"/>
  <c r="J184" i="19"/>
  <c r="AB184" i="19" s="1" a="1"/>
  <c r="AB184" i="19" s="1"/>
  <c r="AL184" i="19" a="1"/>
  <c r="AL184" i="19" s="1"/>
  <c r="J242" i="19"/>
  <c r="AL242" i="19" a="1"/>
  <c r="AL242" i="19" s="1"/>
  <c r="N219" i="19"/>
  <c r="AI219" i="19"/>
  <c r="AK219" i="19"/>
  <c r="J243" i="19"/>
  <c r="AB243" i="19" s="1" a="1"/>
  <c r="AB243" i="19" s="1"/>
  <c r="AL243" i="19" a="1"/>
  <c r="AL243" i="19" s="1"/>
  <c r="J248" i="19"/>
  <c r="AL248" i="19" a="1"/>
  <c r="AL248" i="19" s="1"/>
  <c r="K53" i="19"/>
  <c r="AM53" i="19" a="1"/>
  <c r="AM53" i="19" s="1"/>
  <c r="J19" i="19"/>
  <c r="AL19" i="19" a="1"/>
  <c r="AL19" i="19" s="1"/>
  <c r="J169" i="19"/>
  <c r="AB169" i="19" s="1" a="1"/>
  <c r="AB169" i="19" s="1"/>
  <c r="AL169" i="19" a="1"/>
  <c r="AL169" i="19" s="1"/>
  <c r="I159" i="19"/>
  <c r="AL159" i="19" s="1" a="1"/>
  <c r="AL159" i="19" s="1"/>
  <c r="AL158" i="19" a="1"/>
  <c r="AL158" i="19" s="1"/>
  <c r="J189" i="19"/>
  <c r="AL189" i="19" a="1"/>
  <c r="AL189" i="19" s="1"/>
  <c r="J320" i="19"/>
  <c r="AL320" i="19" a="1"/>
  <c r="AL320" i="19" s="1"/>
  <c r="J152" i="19"/>
  <c r="AL152" i="19" a="1"/>
  <c r="AL152" i="19" s="1"/>
  <c r="J41" i="19"/>
  <c r="AL41" i="19" a="1"/>
  <c r="AL41" i="19" s="1"/>
  <c r="J30" i="19"/>
  <c r="AL30" i="19" a="1"/>
  <c r="AL30" i="19" s="1"/>
  <c r="J29" i="19"/>
  <c r="AL29" i="19" a="1"/>
  <c r="AL29" i="19" s="1"/>
  <c r="J140" i="19"/>
  <c r="AL140" i="19" a="1"/>
  <c r="AL140" i="19" s="1"/>
  <c r="J168" i="19"/>
  <c r="AB168" i="19" s="1" a="1"/>
  <c r="AB168" i="19" s="1"/>
  <c r="AL168" i="19" a="1"/>
  <c r="AL168" i="19" s="1"/>
  <c r="J185" i="19"/>
  <c r="AB185" i="19" s="1" a="1"/>
  <c r="AB185" i="19" s="1"/>
  <c r="AL185" i="19" a="1"/>
  <c r="AL185" i="19" s="1"/>
  <c r="J188" i="19"/>
  <c r="AB188" i="19" s="1" a="1"/>
  <c r="AB188" i="19" s="1"/>
  <c r="AL188" i="19" a="1"/>
  <c r="AL188" i="19" s="1"/>
  <c r="J193" i="19"/>
  <c r="AB193" i="19" s="1" a="1"/>
  <c r="AB193" i="19" s="1"/>
  <c r="AL193" i="19" a="1"/>
  <c r="AL193" i="19" s="1"/>
  <c r="I212" i="19"/>
  <c r="AL212" i="19" s="1" a="1"/>
  <c r="AL212" i="19" s="1"/>
  <c r="AL211" i="19" a="1"/>
  <c r="AL211" i="19" s="1"/>
  <c r="J195" i="19"/>
  <c r="AL195" i="19" a="1"/>
  <c r="AL195" i="19" s="1"/>
  <c r="J229" i="19"/>
  <c r="AL229" i="19" a="1"/>
  <c r="AL229" i="19" s="1"/>
  <c r="J334" i="19"/>
  <c r="AL334" i="19" a="1"/>
  <c r="AL334" i="19" s="1"/>
  <c r="AK54" i="19"/>
  <c r="J96" i="19"/>
  <c r="AL96" i="19" a="1"/>
  <c r="AL96" i="19" s="1"/>
  <c r="J42" i="19"/>
  <c r="AL42" i="19" a="1"/>
  <c r="AL42" i="19" s="1"/>
  <c r="J150" i="19"/>
  <c r="AL150" i="19" a="1"/>
  <c r="AL150" i="19" s="1"/>
  <c r="J261" i="19"/>
  <c r="AL261" i="19" a="1"/>
  <c r="AL261" i="19" s="1"/>
  <c r="J141" i="19"/>
  <c r="R141" i="19" s="1" a="1"/>
  <c r="R141" i="19" s="1"/>
  <c r="AL141" i="19" a="1"/>
  <c r="AL141" i="19" s="1"/>
  <c r="J48" i="19"/>
  <c r="AL48" i="19" a="1"/>
  <c r="AL48" i="19" s="1"/>
  <c r="J55" i="19"/>
  <c r="AL55" i="19" a="1"/>
  <c r="AL55" i="19" s="1"/>
  <c r="AK10" i="19"/>
  <c r="J51" i="19"/>
  <c r="AL51" i="19" a="1"/>
  <c r="AL51" i="19" s="1"/>
  <c r="J75" i="19"/>
  <c r="AL75" i="19" a="1"/>
  <c r="AL75" i="19" s="1"/>
  <c r="J87" i="19"/>
  <c r="AL87" i="19" a="1"/>
  <c r="AL87" i="19" s="1"/>
  <c r="J89" i="19"/>
  <c r="AL89" i="19" a="1"/>
  <c r="AL89" i="19" s="1"/>
  <c r="J33" i="19"/>
  <c r="AL33" i="19" a="1"/>
  <c r="AL33" i="19" s="1"/>
  <c r="J39" i="19"/>
  <c r="AL39" i="19" a="1"/>
  <c r="AL39" i="19" s="1"/>
  <c r="J44" i="19"/>
  <c r="AL44" i="19" a="1"/>
  <c r="AL44" i="19" s="1"/>
  <c r="J18" i="19"/>
  <c r="AL18" i="19" a="1"/>
  <c r="AL18" i="19" s="1"/>
  <c r="J24" i="19"/>
  <c r="AL24" i="19" a="1"/>
  <c r="AL24" i="19" s="1"/>
  <c r="J23" i="19"/>
  <c r="AL23" i="19" a="1"/>
  <c r="AL23" i="19" s="1"/>
  <c r="J143" i="19"/>
  <c r="AL143" i="19" a="1"/>
  <c r="AL143" i="19" s="1"/>
  <c r="AK177" i="19"/>
  <c r="J172" i="19"/>
  <c r="AB172" i="19" s="1" a="1"/>
  <c r="AB172" i="19" s="1"/>
  <c r="AL172" i="19" a="1"/>
  <c r="AL172" i="19" s="1"/>
  <c r="J237" i="19"/>
  <c r="AL237" i="19" a="1"/>
  <c r="AL237" i="19" s="1"/>
  <c r="J240" i="19"/>
  <c r="AL240" i="19" a="1"/>
  <c r="AL240" i="19" s="1"/>
  <c r="J293" i="19"/>
  <c r="AL293" i="19" a="1"/>
  <c r="AL293" i="19" s="1"/>
  <c r="J249" i="19"/>
  <c r="AL249" i="19" a="1"/>
  <c r="AL249" i="19" s="1"/>
  <c r="J294" i="19"/>
  <c r="AL294" i="19" a="1"/>
  <c r="AL294" i="19" s="1"/>
  <c r="J333" i="19"/>
  <c r="AL333" i="19" a="1"/>
  <c r="AL333" i="19" s="1"/>
  <c r="K54" i="19"/>
  <c r="AM54" i="19" a="1"/>
  <c r="AM54" i="19" s="1"/>
  <c r="V53" i="19"/>
  <c r="AF53" i="19"/>
  <c r="BA53" i="19"/>
  <c r="V54" i="19"/>
  <c r="AF54" i="19"/>
  <c r="BA54" i="19"/>
  <c r="X16" i="19"/>
  <c r="AI16" i="19"/>
  <c r="AA98" i="29"/>
  <c r="Z98" i="29" s="1"/>
  <c r="J98" i="29"/>
  <c r="K98" i="29" s="1"/>
  <c r="L98" i="29" s="1"/>
  <c r="M98" i="29" s="1"/>
  <c r="AP98" i="29"/>
  <c r="AA24" i="29"/>
  <c r="Z24" i="29" s="1"/>
  <c r="P98" i="29"/>
  <c r="AL72" i="29"/>
  <c r="AM72" i="29" s="1"/>
  <c r="AN72" i="29" s="1"/>
  <c r="AO72" i="29" s="1"/>
  <c r="Z79" i="29"/>
  <c r="Z9" i="29"/>
  <c r="AA23" i="29"/>
  <c r="AB23" i="29" s="1"/>
  <c r="AC23" i="29" s="1"/>
  <c r="AD23" i="29" s="1"/>
  <c r="AE23" i="29" s="1"/>
  <c r="Z111" i="29"/>
  <c r="Z77" i="29"/>
  <c r="Z114" i="29"/>
  <c r="AC92" i="29"/>
  <c r="AD92" i="29" s="1"/>
  <c r="AE92" i="29" s="1"/>
  <c r="Z76" i="29"/>
  <c r="Z75" i="29"/>
  <c r="Z30" i="29"/>
  <c r="AF76" i="29"/>
  <c r="AA93" i="29"/>
  <c r="Z93" i="29" s="1"/>
  <c r="Z74" i="29"/>
  <c r="AD111" i="29"/>
  <c r="AE111" i="29" s="1"/>
  <c r="AF79" i="29"/>
  <c r="AF75" i="29"/>
  <c r="AD78" i="29"/>
  <c r="AE78" i="29" s="1"/>
  <c r="AD9" i="29"/>
  <c r="AE9" i="29" s="1"/>
  <c r="AD74" i="29"/>
  <c r="AE74" i="29" s="1"/>
  <c r="AC77" i="29"/>
  <c r="AD77" i="29" s="1"/>
  <c r="AE77" i="29" s="1"/>
  <c r="Z92" i="29"/>
  <c r="Z78" i="29"/>
  <c r="H10" i="29"/>
  <c r="I10" i="29" s="1"/>
  <c r="AA10" i="29" s="1"/>
  <c r="Z10" i="29" s="1"/>
  <c r="J69" i="29"/>
  <c r="H108" i="29"/>
  <c r="I108" i="29" s="1"/>
  <c r="AA68" i="29"/>
  <c r="AM23" i="29"/>
  <c r="AN23" i="29" s="1"/>
  <c r="AO23" i="29" s="1"/>
  <c r="AP10" i="29"/>
  <c r="AL61" i="29"/>
  <c r="AM61" i="29" s="1"/>
  <c r="AN61" i="29" s="1"/>
  <c r="AO61" i="29" s="1"/>
  <c r="AP108" i="29"/>
  <c r="AL93" i="29"/>
  <c r="AM93" i="29" s="1"/>
  <c r="AN93" i="29" s="1"/>
  <c r="AO93" i="29" s="1"/>
  <c r="AV10" i="29"/>
  <c r="AW10" i="29" s="1"/>
  <c r="AX10" i="29" s="1"/>
  <c r="AY10" i="29" s="1"/>
  <c r="AL24" i="29"/>
  <c r="AM24" i="29" s="1"/>
  <c r="AN24" i="29" s="1"/>
  <c r="AO24" i="29" s="1"/>
  <c r="AP86" i="29"/>
  <c r="AL87" i="29"/>
  <c r="AM87" i="29" s="1"/>
  <c r="AN87" i="29" s="1"/>
  <c r="AO87" i="29" s="1"/>
  <c r="AP114" i="29"/>
  <c r="AF114" i="29"/>
  <c r="J102" i="29"/>
  <c r="I103" i="29"/>
  <c r="I106" i="29" a="1"/>
  <c r="I106" i="29" s="1"/>
  <c r="I105" i="29" a="1"/>
  <c r="I105" i="29" s="1"/>
  <c r="Q105" i="29" s="1"/>
  <c r="I104" i="29" a="1"/>
  <c r="I104" i="29" s="1"/>
  <c r="I34" i="29" a="1"/>
  <c r="I34" i="29" s="1"/>
  <c r="I31" i="29"/>
  <c r="I32" i="29" a="1"/>
  <c r="I32" i="29" s="1"/>
  <c r="I33" i="29" a="1"/>
  <c r="I33" i="29" s="1"/>
  <c r="Q33" i="29" s="1"/>
  <c r="P33" i="29" s="1"/>
  <c r="L31" i="29"/>
  <c r="K31" i="29"/>
  <c r="J31" i="29"/>
  <c r="AL30" i="29"/>
  <c r="AM30" i="29" s="1"/>
  <c r="AN30" i="29" s="1"/>
  <c r="AO30" i="29" s="1"/>
  <c r="AF30" i="29"/>
  <c r="Q318" i="19"/>
  <c r="P318" i="19" s="1"/>
  <c r="AB321" i="19"/>
  <c r="AC321" i="19" s="1"/>
  <c r="AD321" i="19" s="1"/>
  <c r="AE321" i="19" s="1"/>
  <c r="Q319" i="19"/>
  <c r="Z334" i="19"/>
  <c r="J318" i="19"/>
  <c r="Z333" i="19"/>
  <c r="Z308" i="19"/>
  <c r="Z299" i="19"/>
  <c r="AB317" i="19"/>
  <c r="AC317" i="19" s="1"/>
  <c r="AD317" i="19" s="1"/>
  <c r="AE317" i="19" s="1"/>
  <c r="AA320" i="19"/>
  <c r="AF308" i="19"/>
  <c r="AF334" i="19"/>
  <c r="AA319" i="19"/>
  <c r="AC333" i="19"/>
  <c r="AD333" i="19" s="1"/>
  <c r="AE333" i="19" s="1"/>
  <c r="AF299" i="19"/>
  <c r="AF298" i="19"/>
  <c r="R317" i="19"/>
  <c r="S317" i="19" s="1"/>
  <c r="T317" i="19" s="1"/>
  <c r="U317" i="19" s="1"/>
  <c r="Q320" i="19"/>
  <c r="V333" i="19"/>
  <c r="R321" i="19"/>
  <c r="S321" i="19" s="1"/>
  <c r="T321" i="19" s="1"/>
  <c r="U321" i="19" s="1"/>
  <c r="P321" i="19"/>
  <c r="P333" i="19"/>
  <c r="AZ318" i="19"/>
  <c r="BA318" i="19" s="1"/>
  <c r="AX321" i="19"/>
  <c r="AY321" i="19" s="1"/>
  <c r="AZ321" i="19" s="1"/>
  <c r="AB260" i="19"/>
  <c r="AC260" i="19" s="1"/>
  <c r="AD260" i="19" s="1"/>
  <c r="AE260" i="19" s="1"/>
  <c r="AB294" i="19"/>
  <c r="AC294" i="19" s="1"/>
  <c r="AD294" i="19" s="1"/>
  <c r="AE294" i="19" s="1"/>
  <c r="R294" i="19"/>
  <c r="S294" i="19" s="1"/>
  <c r="T294" i="19" s="1"/>
  <c r="U294" i="19" s="1"/>
  <c r="AW294" i="19"/>
  <c r="AX294" i="19" s="1"/>
  <c r="AY294" i="19" s="1"/>
  <c r="AZ294" i="19" s="1"/>
  <c r="R248" i="19"/>
  <c r="S248" i="19" s="1"/>
  <c r="T248" i="19" s="1"/>
  <c r="U248" i="19" s="1"/>
  <c r="R260" i="19"/>
  <c r="S260" i="19" s="1"/>
  <c r="T260" i="19" s="1"/>
  <c r="U260" i="19" s="1"/>
  <c r="AY260" i="19"/>
  <c r="AZ260" i="19" s="1"/>
  <c r="AB248" i="19"/>
  <c r="P262" i="19"/>
  <c r="AY248" i="19"/>
  <c r="AZ248" i="19" s="1"/>
  <c r="Q292" i="19"/>
  <c r="R292" i="19" s="1"/>
  <c r="S292" i="19" s="1"/>
  <c r="T292" i="19" s="1"/>
  <c r="U292" i="19" s="1"/>
  <c r="AA292" i="19"/>
  <c r="AA249" i="19"/>
  <c r="Z249" i="19" s="1"/>
  <c r="Q293" i="19"/>
  <c r="R293" i="19" s="1"/>
  <c r="S293" i="19" s="1"/>
  <c r="T293" i="19" s="1"/>
  <c r="U293" i="19" s="1"/>
  <c r="AA247" i="19"/>
  <c r="AA293" i="19"/>
  <c r="Z293" i="19" s="1"/>
  <c r="Q247" i="19"/>
  <c r="P247" i="19" s="1"/>
  <c r="AW247" i="19"/>
  <c r="AX247" i="19" s="1"/>
  <c r="AY247" i="19" s="1"/>
  <c r="AZ247" i="19" s="1"/>
  <c r="AY249" i="19"/>
  <c r="AZ249" i="19" s="1"/>
  <c r="AX292" i="19"/>
  <c r="AY292" i="19" s="1"/>
  <c r="AZ292" i="19" s="1"/>
  <c r="AY293" i="19"/>
  <c r="AZ293" i="19" s="1"/>
  <c r="Z262" i="19"/>
  <c r="AF261" i="19"/>
  <c r="AW261" i="19"/>
  <c r="AX261" i="19" s="1"/>
  <c r="AY261" i="19" s="1"/>
  <c r="AZ261" i="19" s="1"/>
  <c r="Z261" i="19"/>
  <c r="S262" i="19"/>
  <c r="T262" i="19" s="1"/>
  <c r="U262" i="19" s="1"/>
  <c r="AF262" i="19"/>
  <c r="AW262" i="19"/>
  <c r="AX262" i="19" s="1"/>
  <c r="AY262" i="19" s="1"/>
  <c r="AZ262" i="19" s="1"/>
  <c r="AA241" i="19"/>
  <c r="AA239" i="19"/>
  <c r="AA242" i="19"/>
  <c r="AA240" i="19"/>
  <c r="R243" i="19"/>
  <c r="S243" i="19" s="1"/>
  <c r="T243" i="19" s="1"/>
  <c r="U243" i="19" s="1"/>
  <c r="AA237" i="19"/>
  <c r="AA244" i="19"/>
  <c r="AA243" i="19" a="1"/>
  <c r="AA243" i="19" s="1"/>
  <c r="Z243" i="19" s="1"/>
  <c r="P244" i="19"/>
  <c r="AX243" i="19"/>
  <c r="AY243" i="19" s="1"/>
  <c r="AZ243" i="19" s="1"/>
  <c r="R223" i="19"/>
  <c r="S223" i="19" s="1"/>
  <c r="T223" i="19" s="1"/>
  <c r="U223" i="19" s="1"/>
  <c r="S244" i="19"/>
  <c r="T244" i="19" s="1"/>
  <c r="U244" i="19" s="1"/>
  <c r="AW244" i="19"/>
  <c r="AX244" i="19" s="1"/>
  <c r="AY244" i="19" s="1"/>
  <c r="AZ244" i="19" s="1"/>
  <c r="P226" i="19"/>
  <c r="AX227" i="19"/>
  <c r="AY227" i="19" s="1"/>
  <c r="AZ227" i="19" s="1"/>
  <c r="S226" i="19"/>
  <c r="T226" i="19" s="1"/>
  <c r="U226" i="19" s="1"/>
  <c r="AX228" i="19"/>
  <c r="AY228" i="19" s="1"/>
  <c r="AZ228" i="19" s="1"/>
  <c r="R227" i="19"/>
  <c r="S227" i="19" s="1"/>
  <c r="T227" i="19" s="1"/>
  <c r="U227" i="19" s="1"/>
  <c r="BA226" i="19"/>
  <c r="BA225" i="19"/>
  <c r="V228" i="19"/>
  <c r="P228" i="19"/>
  <c r="AX223" i="19"/>
  <c r="AY223" i="19" s="1"/>
  <c r="AZ223" i="19" s="1"/>
  <c r="AF223" i="19"/>
  <c r="Z223" i="19"/>
  <c r="AY221" i="19"/>
  <c r="AZ221" i="19" s="1"/>
  <c r="AX220" i="19"/>
  <c r="AY220" i="19" s="1"/>
  <c r="AZ220" i="19" s="1"/>
  <c r="AB219" i="19"/>
  <c r="AC219" i="19" s="1"/>
  <c r="AD219" i="19" s="1"/>
  <c r="AE219" i="19" s="1"/>
  <c r="BA219" i="19"/>
  <c r="AW222" i="19"/>
  <c r="AX222" i="19" s="1"/>
  <c r="AY222" i="19" s="1"/>
  <c r="AZ222" i="19" s="1"/>
  <c r="I220" i="19"/>
  <c r="J219" i="19"/>
  <c r="AM219" i="19" s="1" a="1"/>
  <c r="AM219" i="19" s="1"/>
  <c r="Z236" i="19"/>
  <c r="P236" i="19"/>
  <c r="P237" i="19"/>
  <c r="AW236" i="19"/>
  <c r="AX236" i="19" s="1"/>
  <c r="AY236" i="19" s="1"/>
  <c r="AZ236" i="19" s="1"/>
  <c r="R238" i="19"/>
  <c r="S238" i="19" s="1"/>
  <c r="T238" i="19" s="1"/>
  <c r="U238" i="19" s="1"/>
  <c r="R239" i="19"/>
  <c r="S239" i="19" s="1"/>
  <c r="T239" i="19" s="1"/>
  <c r="U239" i="19" s="1"/>
  <c r="R229" i="19"/>
  <c r="S229" i="19" s="1"/>
  <c r="T229" i="19" s="1"/>
  <c r="U229" i="19" s="1"/>
  <c r="R245" i="19"/>
  <c r="S245" i="19" s="1"/>
  <c r="T245" i="19" s="1"/>
  <c r="U245" i="19" s="1"/>
  <c r="BA237" i="19"/>
  <c r="AB229" i="19"/>
  <c r="AC229" i="19" s="1"/>
  <c r="AD229" i="19" s="1"/>
  <c r="AE229" i="19" s="1"/>
  <c r="R242" i="19"/>
  <c r="S242" i="19" s="1"/>
  <c r="T242" i="19" s="1"/>
  <c r="U242" i="19" s="1"/>
  <c r="AC236" i="19"/>
  <c r="AD236" i="19" s="1"/>
  <c r="AE236" i="19" s="1"/>
  <c r="AY240" i="19"/>
  <c r="AZ240" i="19" s="1"/>
  <c r="AY241" i="19"/>
  <c r="AZ241" i="19" s="1"/>
  <c r="V236" i="19"/>
  <c r="V237" i="19"/>
  <c r="AW238" i="19"/>
  <c r="AX238" i="19" s="1"/>
  <c r="AY238" i="19" s="1"/>
  <c r="AZ238" i="19" s="1"/>
  <c r="AW239" i="19"/>
  <c r="AX239" i="19" s="1"/>
  <c r="AY239" i="19" s="1"/>
  <c r="AZ239" i="19" s="1"/>
  <c r="V240" i="19"/>
  <c r="V241" i="19"/>
  <c r="AW242" i="19"/>
  <c r="AX242" i="19" s="1"/>
  <c r="AY242" i="19" s="1"/>
  <c r="AZ242" i="19" s="1"/>
  <c r="AF245" i="19"/>
  <c r="AW245" i="19"/>
  <c r="AX245" i="19" s="1"/>
  <c r="AY245" i="19" s="1"/>
  <c r="AZ245" i="19" s="1"/>
  <c r="R218" i="19"/>
  <c r="S218" i="19" s="1"/>
  <c r="T218" i="19" s="1"/>
  <c r="U218" i="19" s="1"/>
  <c r="P240" i="19"/>
  <c r="P241" i="19"/>
  <c r="Z245" i="19"/>
  <c r="AB218" i="19"/>
  <c r="AC218" i="19" s="1"/>
  <c r="AD218" i="19" s="1"/>
  <c r="AE218" i="19" s="1"/>
  <c r="AW229" i="19"/>
  <c r="AX229" i="19" s="1"/>
  <c r="AY229" i="19" s="1"/>
  <c r="AZ229" i="19" s="1"/>
  <c r="Z218" i="19"/>
  <c r="AX218" i="19"/>
  <c r="AY218" i="19" s="1"/>
  <c r="AZ218" i="19" s="1"/>
  <c r="P200" i="19"/>
  <c r="AA187" i="19" a="1"/>
  <c r="AA187" i="19" s="1"/>
  <c r="Z187" i="19" s="1"/>
  <c r="R195" i="19"/>
  <c r="S195" i="19" s="1"/>
  <c r="T195" i="19" s="1"/>
  <c r="U195" i="19" s="1"/>
  <c r="S200" i="19"/>
  <c r="T200" i="19" s="1"/>
  <c r="U200" i="19" s="1"/>
  <c r="AF200" i="19"/>
  <c r="AW200" i="19"/>
  <c r="AX200" i="19" s="1"/>
  <c r="AY200" i="19" s="1"/>
  <c r="AZ200" i="19" s="1"/>
  <c r="Z200" i="19"/>
  <c r="AA194" i="19" a="1"/>
  <c r="AA194" i="19" s="1"/>
  <c r="Z194" i="19" s="1"/>
  <c r="AF195" i="19"/>
  <c r="AW195" i="19"/>
  <c r="AX195" i="19" s="1"/>
  <c r="AY195" i="19" s="1"/>
  <c r="AZ195" i="19" s="1"/>
  <c r="H204" i="19"/>
  <c r="I204" i="19" s="1"/>
  <c r="H199" i="19"/>
  <c r="I199" i="19" s="1"/>
  <c r="AA192" i="19" a="1"/>
  <c r="AA192" i="19" s="1"/>
  <c r="Z192" i="19" s="1"/>
  <c r="Z195" i="19"/>
  <c r="H186" i="19"/>
  <c r="I186" i="19" s="1"/>
  <c r="AA184" i="19" a="1"/>
  <c r="AA184" i="19" s="1"/>
  <c r="Z184" i="19" s="1"/>
  <c r="H198" i="19"/>
  <c r="I198" i="19" s="1"/>
  <c r="AL198" i="19" s="1" a="1"/>
  <c r="AL198" i="19" s="1"/>
  <c r="R189" i="19"/>
  <c r="S189" i="19" s="1"/>
  <c r="T189" i="19" s="1"/>
  <c r="U189" i="19" s="1"/>
  <c r="H191" i="19"/>
  <c r="I191" i="19" s="1"/>
  <c r="AL191" i="19" s="1" a="1"/>
  <c r="AL191" i="19" s="1"/>
  <c r="AA207" i="19" a="1"/>
  <c r="AA207" i="19" s="1"/>
  <c r="Z207" i="19" s="1"/>
  <c r="AA185" i="19" a="1"/>
  <c r="AA185" i="19" s="1"/>
  <c r="Z185" i="19" s="1"/>
  <c r="J211" i="19"/>
  <c r="AW214" i="19"/>
  <c r="AX214" i="19" s="1"/>
  <c r="AY214" i="19" s="1"/>
  <c r="AZ214" i="19" s="1"/>
  <c r="AF189" i="19"/>
  <c r="AW189" i="19"/>
  <c r="AX189" i="19" s="1"/>
  <c r="AY189" i="19" s="1"/>
  <c r="AZ189" i="19" s="1"/>
  <c r="V212" i="19"/>
  <c r="BA213" i="19"/>
  <c r="H206" i="19"/>
  <c r="I206" i="19" s="1"/>
  <c r="AL206" i="19" s="1" a="1"/>
  <c r="AL206" i="19" s="1"/>
  <c r="AA193" i="19" a="1"/>
  <c r="AA193" i="19" s="1"/>
  <c r="Z193" i="19" s="1"/>
  <c r="V211" i="19"/>
  <c r="P213" i="19"/>
  <c r="P215" i="19"/>
  <c r="H205" i="19"/>
  <c r="I205" i="19" s="1"/>
  <c r="AL205" i="19" s="1" a="1"/>
  <c r="AL205" i="19" s="1"/>
  <c r="Z189" i="19"/>
  <c r="AA188" i="19" a="1"/>
  <c r="AA188" i="19" s="1"/>
  <c r="Z188" i="19" s="1"/>
  <c r="AF211" i="19"/>
  <c r="U213" i="19"/>
  <c r="V213" i="19" s="1"/>
  <c r="AX215" i="19"/>
  <c r="AY215" i="19" s="1"/>
  <c r="AZ215" i="19" s="1"/>
  <c r="P211" i="19"/>
  <c r="Z211" i="19"/>
  <c r="P212" i="19"/>
  <c r="AX212" i="19"/>
  <c r="AY212" i="19" s="1"/>
  <c r="AZ212" i="19" s="1"/>
  <c r="BA211" i="19"/>
  <c r="V214" i="19"/>
  <c r="V215" i="19"/>
  <c r="P214" i="19"/>
  <c r="Z183" i="19"/>
  <c r="AB210" i="19"/>
  <c r="AC210" i="19" s="1"/>
  <c r="AD210" i="19" s="1"/>
  <c r="AE210" i="19" s="1"/>
  <c r="Q201" i="19"/>
  <c r="P201" i="19" s="1"/>
  <c r="Q202" i="19"/>
  <c r="P202" i="19" s="1"/>
  <c r="Q190" i="19"/>
  <c r="P190" i="19" s="1"/>
  <c r="Q183" i="19"/>
  <c r="P183" i="19" s="1"/>
  <c r="P193" i="19"/>
  <c r="Q197" i="19"/>
  <c r="Q209" i="19"/>
  <c r="Q196" i="19"/>
  <c r="Q203" i="19"/>
  <c r="P203" i="19" s="1"/>
  <c r="AB203" i="19"/>
  <c r="AC203" i="19" s="1"/>
  <c r="AD203" i="19" s="1"/>
  <c r="AE203" i="19" s="1"/>
  <c r="Z196" i="19"/>
  <c r="P188" i="19"/>
  <c r="AB202" i="19"/>
  <c r="AC202" i="19" s="1"/>
  <c r="AD202" i="19" s="1"/>
  <c r="AE202" i="19" s="1"/>
  <c r="R184" i="19"/>
  <c r="S184" i="19" s="1"/>
  <c r="T184" i="19" s="1"/>
  <c r="U184" i="19" s="1"/>
  <c r="AC196" i="19"/>
  <c r="AD196" i="19" s="1"/>
  <c r="AE196" i="19" s="1"/>
  <c r="AX216" i="19"/>
  <c r="AY216" i="19" s="1"/>
  <c r="AZ216" i="19" s="1"/>
  <c r="AA166" i="19" a="1"/>
  <c r="AA166" i="19" s="1"/>
  <c r="Z166" i="19" s="1"/>
  <c r="R185" i="19"/>
  <c r="S185" i="19" s="1"/>
  <c r="T185" i="19" s="1"/>
  <c r="U185" i="19" s="1"/>
  <c r="BA203" i="19"/>
  <c r="AB201" i="19"/>
  <c r="AC201" i="19" s="1"/>
  <c r="AD201" i="19" s="1"/>
  <c r="AE201" i="19" s="1"/>
  <c r="AF201" i="19" s="1"/>
  <c r="AA163" i="19" a="1"/>
  <c r="AA163" i="19" s="1"/>
  <c r="Z163" i="19" s="1"/>
  <c r="AB216" i="19"/>
  <c r="AC216" i="19" s="1"/>
  <c r="AD216" i="19" s="1"/>
  <c r="AE216" i="19" s="1"/>
  <c r="AX183" i="19"/>
  <c r="AY183" i="19" s="1"/>
  <c r="AZ183" i="19" s="1"/>
  <c r="BA190" i="19"/>
  <c r="AW197" i="19"/>
  <c r="AX197" i="19" s="1"/>
  <c r="AY197" i="19" s="1"/>
  <c r="AZ197" i="19" s="1"/>
  <c r="R192" i="19"/>
  <c r="S192" i="19" s="1"/>
  <c r="T192" i="19" s="1"/>
  <c r="U192" i="19" s="1"/>
  <c r="P192" i="19"/>
  <c r="AF183" i="19"/>
  <c r="R216" i="19"/>
  <c r="S216" i="19" s="1"/>
  <c r="T216" i="19" s="1"/>
  <c r="U216" i="19" s="1"/>
  <c r="P216" i="19"/>
  <c r="R186" i="19"/>
  <c r="S186" i="19" s="1"/>
  <c r="T186" i="19" s="1"/>
  <c r="U186" i="19" s="1"/>
  <c r="AZ210" i="19"/>
  <c r="BA210" i="19" s="1"/>
  <c r="AX201" i="19"/>
  <c r="AY201" i="19" s="1"/>
  <c r="AZ201" i="19" s="1"/>
  <c r="Z190" i="19"/>
  <c r="AB190" i="19"/>
  <c r="AC190" i="19" s="1"/>
  <c r="AD190" i="19" s="1"/>
  <c r="AE190" i="19" s="1"/>
  <c r="AX192" i="19"/>
  <c r="AY192" i="19" s="1"/>
  <c r="AZ192" i="19" s="1"/>
  <c r="AC197" i="19"/>
  <c r="AD197" i="19" s="1"/>
  <c r="AE197" i="19" s="1"/>
  <c r="AF197" i="19" s="1"/>
  <c r="AX184" i="19"/>
  <c r="AY184" i="19" s="1"/>
  <c r="AZ184" i="19" s="1"/>
  <c r="J177" i="19"/>
  <c r="AA177" i="19" a="1"/>
  <c r="AA177" i="19" s="1"/>
  <c r="Z177" i="19" s="1"/>
  <c r="AW193" i="19"/>
  <c r="AX193" i="19" s="1"/>
  <c r="AY193" i="19" s="1"/>
  <c r="AZ193" i="19" s="1"/>
  <c r="BA196" i="19"/>
  <c r="AX209" i="19"/>
  <c r="AY209" i="19" s="1"/>
  <c r="AZ209" i="19" s="1"/>
  <c r="Z197" i="19"/>
  <c r="AW202" i="19"/>
  <c r="AX202" i="19" s="1"/>
  <c r="AY202" i="19" s="1"/>
  <c r="AZ202" i="19" s="1"/>
  <c r="R210" i="19"/>
  <c r="S210" i="19" s="1"/>
  <c r="T210" i="19" s="1"/>
  <c r="U210" i="19" s="1"/>
  <c r="P191" i="19"/>
  <c r="AA169" i="19" a="1"/>
  <c r="AA169" i="19" s="1"/>
  <c r="Z169" i="19" s="1"/>
  <c r="AY188" i="19"/>
  <c r="AZ188" i="19" s="1"/>
  <c r="J174" i="19"/>
  <c r="AM174" i="19" s="1" a="1"/>
  <c r="AM174" i="19" s="1"/>
  <c r="AA174" i="19" a="1"/>
  <c r="AA174" i="19" s="1"/>
  <c r="Z174" i="19" s="1"/>
  <c r="AX187" i="19"/>
  <c r="AY187" i="19" s="1"/>
  <c r="AZ187" i="19" s="1"/>
  <c r="R169" i="19"/>
  <c r="S169" i="19" s="1"/>
  <c r="T169" i="19" s="1"/>
  <c r="U169" i="19" s="1"/>
  <c r="AA164" i="19" a="1"/>
  <c r="AA164" i="19" s="1"/>
  <c r="Z164" i="19" s="1"/>
  <c r="BA185" i="19"/>
  <c r="P186" i="19"/>
  <c r="V188" i="19"/>
  <c r="AW191" i="19"/>
  <c r="AX191" i="19" s="1"/>
  <c r="AY191" i="19" s="1"/>
  <c r="AZ191" i="19" s="1"/>
  <c r="S193" i="19"/>
  <c r="T193" i="19" s="1"/>
  <c r="U193" i="19" s="1"/>
  <c r="R194" i="19"/>
  <c r="S194" i="19" s="1"/>
  <c r="T194" i="19" s="1"/>
  <c r="U194" i="19" s="1"/>
  <c r="AA171" i="19" a="1"/>
  <c r="AA171" i="19" s="1"/>
  <c r="Z171" i="19" s="1"/>
  <c r="AA176" i="19" a="1"/>
  <c r="AA176" i="19" s="1"/>
  <c r="Z176" i="19" s="1"/>
  <c r="BA186" i="19"/>
  <c r="P187" i="19"/>
  <c r="V191" i="19"/>
  <c r="R187" i="19"/>
  <c r="S187" i="19" s="1"/>
  <c r="T187" i="19" s="1"/>
  <c r="U187" i="19" s="1"/>
  <c r="AW194" i="19"/>
  <c r="AX194" i="19" s="1"/>
  <c r="AY194" i="19" s="1"/>
  <c r="AZ194" i="19" s="1"/>
  <c r="R164" i="19"/>
  <c r="S164" i="19" s="1"/>
  <c r="T164" i="19" s="1"/>
  <c r="U164" i="19" s="1"/>
  <c r="P167" i="19"/>
  <c r="AA172" i="19" a="1"/>
  <c r="AA172" i="19" s="1"/>
  <c r="Z172" i="19" s="1"/>
  <c r="AA167" i="19" a="1"/>
  <c r="AA167" i="19" s="1"/>
  <c r="Z167" i="19" s="1"/>
  <c r="AA178" i="19" a="1"/>
  <c r="AA178" i="19" s="1"/>
  <c r="Z178" i="19" s="1"/>
  <c r="AA170" i="19"/>
  <c r="AA179" i="19" a="1"/>
  <c r="AA179" i="19" s="1"/>
  <c r="Z179" i="19" s="1"/>
  <c r="AA168" i="19" a="1"/>
  <c r="AA168" i="19" s="1"/>
  <c r="Z168" i="19" s="1"/>
  <c r="AA173" i="19" a="1"/>
  <c r="AA173" i="19" s="1"/>
  <c r="Z173" i="19" s="1"/>
  <c r="AA180" i="19" a="1"/>
  <c r="AA180" i="19" s="1"/>
  <c r="Z180" i="19" s="1"/>
  <c r="AA175" i="19" a="1"/>
  <c r="AA175" i="19" s="1"/>
  <c r="Z175" i="19" s="1"/>
  <c r="V170" i="19"/>
  <c r="AW170" i="19"/>
  <c r="AX170" i="19" s="1"/>
  <c r="AY170" i="19" s="1"/>
  <c r="AZ170" i="19" s="1"/>
  <c r="P170" i="19"/>
  <c r="P172" i="19"/>
  <c r="Z157" i="19"/>
  <c r="P161" i="19"/>
  <c r="P174" i="19"/>
  <c r="P207" i="19"/>
  <c r="P162" i="19"/>
  <c r="J158" i="19"/>
  <c r="AX160" i="19"/>
  <c r="AY160" i="19" s="1"/>
  <c r="AZ160" i="19" s="1"/>
  <c r="V160" i="19"/>
  <c r="AW159" i="19"/>
  <c r="AX159" i="19" s="1"/>
  <c r="AY159" i="19" s="1"/>
  <c r="AZ159" i="19" s="1"/>
  <c r="P160" i="19"/>
  <c r="P158" i="19"/>
  <c r="Z158" i="19"/>
  <c r="P159" i="19"/>
  <c r="R158" i="19"/>
  <c r="S158" i="19" s="1"/>
  <c r="T158" i="19" s="1"/>
  <c r="U158" i="19" s="1"/>
  <c r="AB158" i="19"/>
  <c r="AC158" i="19" s="1"/>
  <c r="AD158" i="19" s="1"/>
  <c r="AE158" i="19" s="1"/>
  <c r="BA158" i="19"/>
  <c r="R159" i="19"/>
  <c r="S159" i="19" s="1"/>
  <c r="T159" i="19" s="1"/>
  <c r="U159" i="19" s="1"/>
  <c r="V161" i="19"/>
  <c r="AW161" i="19"/>
  <c r="AX161" i="19" s="1"/>
  <c r="AY161" i="19" s="1"/>
  <c r="AZ161" i="19" s="1"/>
  <c r="AY163" i="19"/>
  <c r="AZ163" i="19" s="1"/>
  <c r="AY157" i="19"/>
  <c r="AZ157" i="19" s="1"/>
  <c r="AY166" i="19"/>
  <c r="AZ166" i="19" s="1"/>
  <c r="AY173" i="19"/>
  <c r="AZ173" i="19" s="1"/>
  <c r="R157" i="19"/>
  <c r="S157" i="19" s="1"/>
  <c r="T157" i="19" s="1"/>
  <c r="U157" i="19" s="1"/>
  <c r="AC157" i="19"/>
  <c r="AD157" i="19" s="1"/>
  <c r="AE157" i="19" s="1"/>
  <c r="BA162" i="19"/>
  <c r="R166" i="19"/>
  <c r="S166" i="19" s="1"/>
  <c r="T166" i="19" s="1"/>
  <c r="U166" i="19" s="1"/>
  <c r="BA167" i="19"/>
  <c r="P168" i="19"/>
  <c r="V171" i="19"/>
  <c r="AX171" i="19"/>
  <c r="AY171" i="19" s="1"/>
  <c r="AZ171" i="19" s="1"/>
  <c r="AW172" i="19"/>
  <c r="AX172" i="19" s="1"/>
  <c r="AY172" i="19" s="1"/>
  <c r="AZ172" i="19" s="1"/>
  <c r="S174" i="19"/>
  <c r="T174" i="19" s="1"/>
  <c r="U174" i="19" s="1"/>
  <c r="BA168" i="19"/>
  <c r="V172" i="19"/>
  <c r="P176" i="19"/>
  <c r="AW179" i="19"/>
  <c r="AX179" i="19" s="1"/>
  <c r="AY179" i="19" s="1"/>
  <c r="AZ179" i="19" s="1"/>
  <c r="S162" i="19"/>
  <c r="T162" i="19" s="1"/>
  <c r="U162" i="19" s="1"/>
  <c r="V163" i="19"/>
  <c r="AW164" i="19"/>
  <c r="AX164" i="19" s="1"/>
  <c r="AY164" i="19" s="1"/>
  <c r="AZ164" i="19" s="1"/>
  <c r="S167" i="19"/>
  <c r="T167" i="19" s="1"/>
  <c r="U167" i="19" s="1"/>
  <c r="R168" i="19"/>
  <c r="S168" i="19" s="1"/>
  <c r="T168" i="19" s="1"/>
  <c r="U168" i="19" s="1"/>
  <c r="BA169" i="19"/>
  <c r="P171" i="19"/>
  <c r="V173" i="19"/>
  <c r="AW174" i="19"/>
  <c r="AX174" i="19" s="1"/>
  <c r="AY174" i="19" s="1"/>
  <c r="AZ174" i="19" s="1"/>
  <c r="V198" i="19"/>
  <c r="R206" i="19"/>
  <c r="S206" i="19" s="1"/>
  <c r="T206" i="19" s="1"/>
  <c r="U206" i="19" s="1"/>
  <c r="R177" i="19"/>
  <c r="S177" i="19" s="1"/>
  <c r="T177" i="19" s="1"/>
  <c r="U177" i="19" s="1"/>
  <c r="P179" i="19"/>
  <c r="P163" i="19"/>
  <c r="P173" i="19"/>
  <c r="R199" i="19"/>
  <c r="S199" i="19" s="1"/>
  <c r="T199" i="19" s="1"/>
  <c r="U199" i="19" s="1"/>
  <c r="P181" i="19"/>
  <c r="P198" i="19"/>
  <c r="AX175" i="19"/>
  <c r="AY175" i="19" s="1"/>
  <c r="AZ175" i="19" s="1"/>
  <c r="S176" i="19"/>
  <c r="T176" i="19" s="1"/>
  <c r="U176" i="19" s="1"/>
  <c r="AX181" i="19"/>
  <c r="AY181" i="19" s="1"/>
  <c r="AZ181" i="19" s="1"/>
  <c r="S178" i="19"/>
  <c r="T178" i="19" s="1"/>
  <c r="U178" i="19" s="1"/>
  <c r="V179" i="19"/>
  <c r="BA176" i="19"/>
  <c r="AY198" i="19"/>
  <c r="AZ198" i="19" s="1"/>
  <c r="R175" i="19"/>
  <c r="S175" i="19" s="1"/>
  <c r="T175" i="19" s="1"/>
  <c r="U175" i="19" s="1"/>
  <c r="AW180" i="19"/>
  <c r="AX180" i="19" s="1"/>
  <c r="AY180" i="19" s="1"/>
  <c r="AZ180" i="19" s="1"/>
  <c r="BA177" i="19"/>
  <c r="P178" i="19"/>
  <c r="V180" i="19"/>
  <c r="AF181" i="19"/>
  <c r="BA178" i="19"/>
  <c r="V181" i="19"/>
  <c r="P180" i="19"/>
  <c r="Z181" i="19"/>
  <c r="R204" i="19"/>
  <c r="S204" i="19" s="1"/>
  <c r="T204" i="19" s="1"/>
  <c r="U204" i="19" s="1"/>
  <c r="AC208" i="19"/>
  <c r="AD208" i="19" s="1"/>
  <c r="AE208" i="19" s="1"/>
  <c r="BA199" i="19"/>
  <c r="AW204" i="19"/>
  <c r="AX204" i="19" s="1"/>
  <c r="AY204" i="19" s="1"/>
  <c r="AZ204" i="19" s="1"/>
  <c r="V205" i="19"/>
  <c r="AX205" i="19"/>
  <c r="AY205" i="19" s="1"/>
  <c r="AZ205" i="19" s="1"/>
  <c r="AA146" i="19"/>
  <c r="R208" i="19"/>
  <c r="S208" i="19" s="1"/>
  <c r="T208" i="19" s="1"/>
  <c r="U208" i="19" s="1"/>
  <c r="AX206" i="19"/>
  <c r="AY206" i="19" s="1"/>
  <c r="AZ206" i="19" s="1"/>
  <c r="Z208" i="19"/>
  <c r="P205" i="19"/>
  <c r="V207" i="19"/>
  <c r="Q146" i="19"/>
  <c r="P146" i="19" s="1"/>
  <c r="AX207" i="19"/>
  <c r="AY207" i="19" s="1"/>
  <c r="AZ207" i="19" s="1"/>
  <c r="AW208" i="19"/>
  <c r="AX208" i="19" s="1"/>
  <c r="AY208" i="19" s="1"/>
  <c r="AZ208" i="19" s="1"/>
  <c r="Q154" i="19"/>
  <c r="P154" i="19" s="1"/>
  <c r="Q153" i="19"/>
  <c r="P153" i="19" s="1"/>
  <c r="AA144" i="19"/>
  <c r="AA141" i="19"/>
  <c r="Q152" i="19"/>
  <c r="P152" i="19" s="1"/>
  <c r="Q151" i="19"/>
  <c r="P151" i="19" s="1"/>
  <c r="Q149" i="19"/>
  <c r="P149" i="19" s="1"/>
  <c r="Q150" i="19"/>
  <c r="P150" i="19" s="1"/>
  <c r="Q140" i="19"/>
  <c r="P140" i="19" s="1"/>
  <c r="AA143" i="19"/>
  <c r="Z143" i="19" s="1"/>
  <c r="AA145" i="19"/>
  <c r="Z145" i="19" s="1"/>
  <c r="AA140" i="19"/>
  <c r="Q145" i="19"/>
  <c r="Q144" i="19"/>
  <c r="AW146" i="19"/>
  <c r="AX146" i="19" s="1"/>
  <c r="AY146" i="19" s="1"/>
  <c r="AZ146" i="19" s="1"/>
  <c r="Q143" i="19"/>
  <c r="Q141" i="19" a="1"/>
  <c r="Q141" i="19" s="1"/>
  <c r="P141" i="19" s="1"/>
  <c r="R138" i="19"/>
  <c r="S138" i="19" s="1"/>
  <c r="T138" i="19" s="1"/>
  <c r="U138" i="19" s="1"/>
  <c r="AF138" i="19"/>
  <c r="AW138" i="19"/>
  <c r="AX138" i="19" s="1"/>
  <c r="AY138" i="19" s="1"/>
  <c r="AZ138" i="19" s="1"/>
  <c r="Z138" i="19"/>
  <c r="H97" i="19"/>
  <c r="I97" i="19" s="1"/>
  <c r="AL97" i="19" s="1" a="1"/>
  <c r="AL97" i="19" s="1"/>
  <c r="AA89" i="19"/>
  <c r="AA88" i="19"/>
  <c r="AA85" i="19"/>
  <c r="Q89" i="19"/>
  <c r="P89" i="19" s="1"/>
  <c r="I94" i="19" a="1"/>
  <c r="I94" i="19" s="1"/>
  <c r="AL94" i="19" s="1" a="1"/>
  <c r="AL94" i="19" s="1"/>
  <c r="I93" i="19" a="1"/>
  <c r="I93" i="19" s="1"/>
  <c r="I92" i="19"/>
  <c r="J91" i="19"/>
  <c r="AM91" i="19" s="1" a="1"/>
  <c r="AM91" i="19" s="1"/>
  <c r="Z91" i="19"/>
  <c r="AX95" i="19"/>
  <c r="AY95" i="19" s="1"/>
  <c r="AZ95" i="19" s="1"/>
  <c r="V95" i="19"/>
  <c r="P95" i="19"/>
  <c r="R94" i="19"/>
  <c r="S94" i="19" s="1"/>
  <c r="T94" i="19" s="1"/>
  <c r="U94" i="19" s="1"/>
  <c r="P91" i="19"/>
  <c r="AX91" i="19"/>
  <c r="AY91" i="19" s="1"/>
  <c r="AZ91" i="19" s="1"/>
  <c r="AZ93" i="19"/>
  <c r="BA93" i="19" s="1"/>
  <c r="AW94" i="19"/>
  <c r="AX94" i="19" s="1"/>
  <c r="AY94" i="19" s="1"/>
  <c r="AZ94" i="19" s="1"/>
  <c r="V91" i="19"/>
  <c r="AF91" i="19"/>
  <c r="AW92" i="19"/>
  <c r="AX92" i="19" s="1"/>
  <c r="AY92" i="19" s="1"/>
  <c r="AZ92" i="19" s="1"/>
  <c r="Q84" i="19"/>
  <c r="P84" i="19" s="1"/>
  <c r="AA87" i="19"/>
  <c r="AA84" i="19" a="1"/>
  <c r="AA84" i="19" s="1"/>
  <c r="AA75" i="19"/>
  <c r="AA76" i="19"/>
  <c r="H62" i="19"/>
  <c r="I62" i="19" s="1"/>
  <c r="Q57" i="19"/>
  <c r="P57" i="19" s="1"/>
  <c r="AC62" i="19"/>
  <c r="AD62" i="19" s="1"/>
  <c r="AE62" i="19" s="1"/>
  <c r="AA57" i="19"/>
  <c r="Z155" i="19"/>
  <c r="AA42" i="19"/>
  <c r="Z42" i="19" s="1"/>
  <c r="AA52" i="19"/>
  <c r="Z147" i="19"/>
  <c r="Z154" i="19"/>
  <c r="Z90" i="19"/>
  <c r="AA43" i="19"/>
  <c r="Z153" i="19"/>
  <c r="Z152" i="19"/>
  <c r="Z96" i="19"/>
  <c r="Z62" i="19"/>
  <c r="Z151" i="19"/>
  <c r="Z150" i="19"/>
  <c r="Z55" i="19"/>
  <c r="Z291" i="19"/>
  <c r="Z149" i="19"/>
  <c r="Z86" i="19"/>
  <c r="AA44" i="19"/>
  <c r="Z105" i="19"/>
  <c r="AA40" i="19"/>
  <c r="Z40" i="19" s="1"/>
  <c r="AA41" i="19"/>
  <c r="Z41" i="19" s="1"/>
  <c r="R38" i="19"/>
  <c r="S38" i="19" s="1"/>
  <c r="T38" i="19" s="1"/>
  <c r="U38" i="19" s="1"/>
  <c r="V38" i="19" s="1"/>
  <c r="AX35" i="19"/>
  <c r="AY35" i="19" s="1"/>
  <c r="AZ35" i="19" s="1"/>
  <c r="BA36" i="19"/>
  <c r="P35" i="19"/>
  <c r="Z35" i="19"/>
  <c r="P36" i="19"/>
  <c r="R37" i="19"/>
  <c r="S37" i="19" s="1"/>
  <c r="T37" i="19" s="1"/>
  <c r="U37" i="19" s="1"/>
  <c r="BA37" i="19"/>
  <c r="R35" i="19"/>
  <c r="S35" i="19" s="1"/>
  <c r="T35" i="19" s="1"/>
  <c r="U35" i="19" s="1"/>
  <c r="AB35" i="19"/>
  <c r="AC35" i="19" s="1"/>
  <c r="AD35" i="19" s="1"/>
  <c r="AE35" i="19" s="1"/>
  <c r="R36" i="19"/>
  <c r="S36" i="19" s="1"/>
  <c r="T36" i="19" s="1"/>
  <c r="U36" i="19" s="1"/>
  <c r="AX38" i="19"/>
  <c r="AY38" i="19" s="1"/>
  <c r="AZ38" i="19" s="1"/>
  <c r="I36" i="19"/>
  <c r="AL36" i="19" s="1" a="1"/>
  <c r="AL36" i="19" s="1"/>
  <c r="J35" i="19"/>
  <c r="AM35" i="19" s="1" a="1"/>
  <c r="AM35" i="19" s="1"/>
  <c r="P29" i="19"/>
  <c r="R23" i="19"/>
  <c r="S23" i="19" s="1"/>
  <c r="T23" i="19" s="1"/>
  <c r="U23" i="19" s="1"/>
  <c r="AA30" i="19"/>
  <c r="AB30" i="19" s="1"/>
  <c r="AC30" i="19" s="1"/>
  <c r="AD30" i="19" s="1"/>
  <c r="AE30" i="19" s="1"/>
  <c r="AA23" i="19"/>
  <c r="AB23" i="19" s="1"/>
  <c r="AC23" i="19" s="1"/>
  <c r="AD23" i="19" s="1"/>
  <c r="AE23" i="19" s="1"/>
  <c r="Z39" i="19"/>
  <c r="AA21" i="19"/>
  <c r="Z21" i="19" s="1"/>
  <c r="P19" i="19"/>
  <c r="P30" i="19"/>
  <c r="AA31" i="19"/>
  <c r="Z31" i="19" s="1"/>
  <c r="J28" i="19"/>
  <c r="AA28" i="19"/>
  <c r="AB28" i="19" s="1"/>
  <c r="AC28" i="19" s="1"/>
  <c r="AD28" i="19" s="1"/>
  <c r="AE28" i="19" s="1"/>
  <c r="J26" i="19"/>
  <c r="AA26" i="19"/>
  <c r="AB26" i="19" s="1"/>
  <c r="AC26" i="19" s="1"/>
  <c r="AD26" i="19" s="1"/>
  <c r="AE26" i="19" s="1"/>
  <c r="AA33" i="19"/>
  <c r="Z33" i="19" s="1"/>
  <c r="P44" i="19"/>
  <c r="Z17" i="19"/>
  <c r="AA27" i="19"/>
  <c r="Z27" i="19" s="1"/>
  <c r="AA19" i="19"/>
  <c r="AB19" i="19" s="1"/>
  <c r="AC19" i="19" s="1"/>
  <c r="AD19" i="19" s="1"/>
  <c r="AE19" i="19" s="1"/>
  <c r="AA32" i="19"/>
  <c r="AB32" i="19" s="1"/>
  <c r="AC32" i="19" s="1"/>
  <c r="AD32" i="19" s="1"/>
  <c r="AE32" i="19" s="1"/>
  <c r="AF32" i="19" s="1"/>
  <c r="AA16" i="19"/>
  <c r="AB16" i="19" s="1"/>
  <c r="AC16" i="19" s="1"/>
  <c r="AD16" i="19" s="1"/>
  <c r="AE16" i="19" s="1"/>
  <c r="R34" i="19"/>
  <c r="S34" i="19" s="1"/>
  <c r="T34" i="19" s="1"/>
  <c r="U34" i="19" s="1"/>
  <c r="R40" i="19"/>
  <c r="S40" i="19" s="1"/>
  <c r="T40" i="19" s="1"/>
  <c r="U40" i="19" s="1"/>
  <c r="V40" i="19" s="1"/>
  <c r="R21" i="19"/>
  <c r="S21" i="19" s="1"/>
  <c r="T21" i="19" s="1"/>
  <c r="U21" i="19" s="1"/>
  <c r="AA20" i="19"/>
  <c r="Z20" i="19" s="1"/>
  <c r="AA29" i="19"/>
  <c r="Z29" i="19" s="1"/>
  <c r="AA25" i="19"/>
  <c r="AB25" i="19" s="1"/>
  <c r="AC25" i="19" s="1"/>
  <c r="AD25" i="19" s="1"/>
  <c r="AE25" i="19" s="1"/>
  <c r="AA24" i="19"/>
  <c r="Z24" i="19" s="1"/>
  <c r="AA22" i="19"/>
  <c r="AB22" i="19" s="1"/>
  <c r="AC22" i="19" s="1"/>
  <c r="AD22" i="19" s="1"/>
  <c r="AE22" i="19" s="1"/>
  <c r="R16" i="19"/>
  <c r="S16" i="19" s="1"/>
  <c r="T16" i="19" s="1"/>
  <c r="U16" i="19" s="1"/>
  <c r="AF17" i="19"/>
  <c r="P18" i="19"/>
  <c r="P28" i="19"/>
  <c r="P27" i="19"/>
  <c r="P26" i="19"/>
  <c r="AW16" i="19"/>
  <c r="AX16" i="19" s="1"/>
  <c r="AY16" i="19" s="1"/>
  <c r="AZ16" i="19" s="1"/>
  <c r="V28" i="19"/>
  <c r="AW19" i="19"/>
  <c r="AX19" i="19" s="1"/>
  <c r="AY19" i="19" s="1"/>
  <c r="AZ19" i="19" s="1"/>
  <c r="R32" i="19"/>
  <c r="S32" i="19" s="1"/>
  <c r="T32" i="19" s="1"/>
  <c r="U32" i="19" s="1"/>
  <c r="AW32" i="19"/>
  <c r="AX32" i="19" s="1"/>
  <c r="AY32" i="19" s="1"/>
  <c r="AZ32" i="19" s="1"/>
  <c r="BA17" i="19"/>
  <c r="AW27" i="19"/>
  <c r="AX27" i="19" s="1"/>
  <c r="AY27" i="19" s="1"/>
  <c r="AZ27" i="19" s="1"/>
  <c r="P17" i="19"/>
  <c r="R17" i="19"/>
  <c r="S17" i="19" s="1"/>
  <c r="T17" i="19" s="1"/>
  <c r="U17" i="19" s="1"/>
  <c r="V30" i="19"/>
  <c r="AX22" i="19"/>
  <c r="AY22" i="19" s="1"/>
  <c r="AZ22" i="19" s="1"/>
  <c r="AX20" i="19"/>
  <c r="AY20" i="19" s="1"/>
  <c r="AZ20" i="19" s="1"/>
  <c r="AY25" i="19"/>
  <c r="AZ25" i="19" s="1"/>
  <c r="S31" i="19"/>
  <c r="T31" i="19" s="1"/>
  <c r="U31" i="19" s="1"/>
  <c r="U29" i="19"/>
  <c r="V29" i="19" s="1"/>
  <c r="Z18" i="19"/>
  <c r="AB18" i="19"/>
  <c r="AC18" i="19" s="1"/>
  <c r="AD18" i="19" s="1"/>
  <c r="AE18" i="19" s="1"/>
  <c r="V19" i="19"/>
  <c r="P47" i="19"/>
  <c r="BA34" i="19"/>
  <c r="BA18" i="19"/>
  <c r="P25" i="19"/>
  <c r="AW21" i="19"/>
  <c r="AX21" i="19" s="1"/>
  <c r="AY21" i="19" s="1"/>
  <c r="AZ21" i="19" s="1"/>
  <c r="R20" i="19"/>
  <c r="S20" i="19" s="1"/>
  <c r="T20" i="19" s="1"/>
  <c r="U20" i="19" s="1"/>
  <c r="P22" i="19"/>
  <c r="AW31" i="19"/>
  <c r="AX31" i="19" s="1"/>
  <c r="AY31" i="19" s="1"/>
  <c r="AZ31" i="19" s="1"/>
  <c r="S26" i="19"/>
  <c r="T26" i="19" s="1"/>
  <c r="U26" i="19" s="1"/>
  <c r="R41" i="19"/>
  <c r="S41" i="19" s="1"/>
  <c r="T41" i="19" s="1"/>
  <c r="U41" i="19" s="1"/>
  <c r="AW41" i="19"/>
  <c r="AX41" i="19" s="1"/>
  <c r="AY41" i="19" s="1"/>
  <c r="AZ41" i="19" s="1"/>
  <c r="S18" i="19"/>
  <c r="T18" i="19" s="1"/>
  <c r="U18" i="19" s="1"/>
  <c r="R25" i="19"/>
  <c r="S25" i="19" s="1"/>
  <c r="T25" i="19" s="1"/>
  <c r="U25" i="19" s="1"/>
  <c r="BA30" i="19"/>
  <c r="V24" i="19"/>
  <c r="AX24" i="19"/>
  <c r="AY24" i="19" s="1"/>
  <c r="AZ24" i="19" s="1"/>
  <c r="AW28" i="19"/>
  <c r="AX28" i="19" s="1"/>
  <c r="AY28" i="19" s="1"/>
  <c r="AZ28" i="19" s="1"/>
  <c r="S27" i="19"/>
  <c r="T27" i="19" s="1"/>
  <c r="U27" i="19" s="1"/>
  <c r="R22" i="19"/>
  <c r="S22" i="19" s="1"/>
  <c r="T22" i="19" s="1"/>
  <c r="U22" i="19" s="1"/>
  <c r="BA29" i="19"/>
  <c r="AX23" i="19"/>
  <c r="AY23" i="19" s="1"/>
  <c r="AZ23" i="19" s="1"/>
  <c r="AW26" i="19"/>
  <c r="AX26" i="19" s="1"/>
  <c r="AY26" i="19" s="1"/>
  <c r="AZ26" i="19" s="1"/>
  <c r="P31" i="19"/>
  <c r="P43" i="19"/>
  <c r="BA43" i="19"/>
  <c r="P24" i="19"/>
  <c r="AX39" i="19"/>
  <c r="AY39" i="19" s="1"/>
  <c r="AZ39" i="19" s="1"/>
  <c r="S42" i="19"/>
  <c r="T42" i="19" s="1"/>
  <c r="U42" i="19" s="1"/>
  <c r="V43" i="19"/>
  <c r="AZ33" i="19"/>
  <c r="BA33" i="19" s="1"/>
  <c r="AF39" i="19"/>
  <c r="Z47" i="19"/>
  <c r="R33" i="19"/>
  <c r="S33" i="19" s="1"/>
  <c r="T33" i="19" s="1"/>
  <c r="U33" i="19" s="1"/>
  <c r="AB34" i="19"/>
  <c r="AC34" i="19" s="1"/>
  <c r="AD34" i="19" s="1"/>
  <c r="AE34" i="19" s="1"/>
  <c r="P39" i="19"/>
  <c r="AW42" i="19"/>
  <c r="AX42" i="19" s="1"/>
  <c r="AY42" i="19" s="1"/>
  <c r="AZ42" i="19" s="1"/>
  <c r="S44" i="19"/>
  <c r="T44" i="19" s="1"/>
  <c r="U44" i="19" s="1"/>
  <c r="R39" i="19"/>
  <c r="S39" i="19" s="1"/>
  <c r="T39" i="19" s="1"/>
  <c r="U39" i="19" s="1"/>
  <c r="BA40" i="19"/>
  <c r="AW44" i="19"/>
  <c r="AX44" i="19" s="1"/>
  <c r="AY44" i="19" s="1"/>
  <c r="AZ44" i="19" s="1"/>
  <c r="P42" i="19"/>
  <c r="V47" i="19"/>
  <c r="AF47" i="19"/>
  <c r="AW47" i="19"/>
  <c r="AX47" i="19" s="1"/>
  <c r="AY47" i="19" s="1"/>
  <c r="AZ47" i="19" s="1"/>
  <c r="Z12" i="19"/>
  <c r="Z9" i="19"/>
  <c r="Z48" i="19"/>
  <c r="I13" i="19"/>
  <c r="AL13" i="19" s="1" a="1"/>
  <c r="AL13" i="19" s="1"/>
  <c r="AC12" i="19"/>
  <c r="AD12" i="19" s="1"/>
  <c r="AE12" i="19" s="1"/>
  <c r="AY13" i="19"/>
  <c r="AZ13" i="19" s="1"/>
  <c r="AY12" i="19"/>
  <c r="AZ12" i="19" s="1"/>
  <c r="AY14" i="19"/>
  <c r="AZ14" i="19" s="1"/>
  <c r="R12" i="19"/>
  <c r="S12" i="19" s="1"/>
  <c r="T12" i="19" s="1"/>
  <c r="U12" i="19" s="1"/>
  <c r="R13" i="19"/>
  <c r="S13" i="19" s="1"/>
  <c r="T13" i="19" s="1"/>
  <c r="U13" i="19" s="1"/>
  <c r="R14" i="19"/>
  <c r="S14" i="19" s="1"/>
  <c r="T14" i="19" s="1"/>
  <c r="U14" i="19" s="1"/>
  <c r="Q51" i="19"/>
  <c r="P51" i="19" s="1"/>
  <c r="Q50" i="19"/>
  <c r="P15" i="19"/>
  <c r="V15" i="19"/>
  <c r="P48" i="19"/>
  <c r="AX15" i="19"/>
  <c r="AY15" i="19" s="1"/>
  <c r="AZ15" i="19" s="1"/>
  <c r="AW51" i="19"/>
  <c r="AX51" i="19" s="1"/>
  <c r="AY51" i="19" s="1"/>
  <c r="AZ51" i="19" s="1"/>
  <c r="P52" i="19"/>
  <c r="R52" i="19"/>
  <c r="S52" i="19" s="1"/>
  <c r="T52" i="19" s="1"/>
  <c r="U52" i="19" s="1"/>
  <c r="AW62" i="19"/>
  <c r="AX62" i="19" s="1"/>
  <c r="AY62" i="19" s="1"/>
  <c r="AZ62" i="19" s="1"/>
  <c r="P86" i="19"/>
  <c r="R86" i="19"/>
  <c r="S86" i="19" s="1"/>
  <c r="T86" i="19" s="1"/>
  <c r="U86" i="19" s="1"/>
  <c r="AW88" i="19"/>
  <c r="AX88" i="19" s="1"/>
  <c r="AY88" i="19" s="1"/>
  <c r="AZ88" i="19" s="1"/>
  <c r="BA105" i="19"/>
  <c r="AD48" i="19"/>
  <c r="AE48" i="19" s="1"/>
  <c r="AW48" i="19"/>
  <c r="AX48" i="19" s="1"/>
  <c r="AY48" i="19" s="1"/>
  <c r="AZ48" i="19" s="1"/>
  <c r="R62" i="19"/>
  <c r="S62" i="19" s="1"/>
  <c r="T62" i="19" s="1"/>
  <c r="U62" i="19" s="1"/>
  <c r="AW84" i="19"/>
  <c r="AX84" i="19" s="1"/>
  <c r="AY84" i="19" s="1"/>
  <c r="AZ84" i="19" s="1"/>
  <c r="P88" i="19"/>
  <c r="R88" i="19"/>
  <c r="S88" i="19" s="1"/>
  <c r="T88" i="19" s="1"/>
  <c r="U88" i="19" s="1"/>
  <c r="AB51" i="19"/>
  <c r="AC51" i="19" s="1"/>
  <c r="AD51" i="19" s="1"/>
  <c r="AE51" i="19" s="1"/>
  <c r="AW50" i="19"/>
  <c r="AX50" i="19" s="1"/>
  <c r="AY50" i="19" s="1"/>
  <c r="AZ50" i="19" s="1"/>
  <c r="P55" i="19"/>
  <c r="R55" i="19"/>
  <c r="S55" i="19" s="1"/>
  <c r="T55" i="19" s="1"/>
  <c r="U55" i="19" s="1"/>
  <c r="AW85" i="19"/>
  <c r="AX85" i="19" s="1"/>
  <c r="AY85" i="19" s="1"/>
  <c r="AZ85" i="19" s="1"/>
  <c r="AW55" i="19"/>
  <c r="AX55" i="19" s="1"/>
  <c r="AY55" i="19" s="1"/>
  <c r="AZ55" i="19" s="1"/>
  <c r="AW97" i="19"/>
  <c r="AX97" i="19" s="1"/>
  <c r="AY97" i="19" s="1"/>
  <c r="AZ97" i="19" s="1"/>
  <c r="V48" i="19"/>
  <c r="AB50" i="19"/>
  <c r="AC50" i="19" s="1"/>
  <c r="AD50" i="19" s="1"/>
  <c r="AE50" i="19" s="1"/>
  <c r="AW57" i="19"/>
  <c r="AX57" i="19" s="1"/>
  <c r="AY57" i="19" s="1"/>
  <c r="AZ57" i="19" s="1"/>
  <c r="P85" i="19"/>
  <c r="R85" i="19"/>
  <c r="S85" i="19" s="1"/>
  <c r="T85" i="19" s="1"/>
  <c r="U85" i="19" s="1"/>
  <c r="AW87" i="19"/>
  <c r="AX87" i="19" s="1"/>
  <c r="AY87" i="19" s="1"/>
  <c r="AZ87" i="19" s="1"/>
  <c r="AW75" i="19"/>
  <c r="AX75" i="19" s="1"/>
  <c r="AY75" i="19" s="1"/>
  <c r="AZ75" i="19" s="1"/>
  <c r="AW89" i="19"/>
  <c r="AX89" i="19" s="1"/>
  <c r="AY89" i="19" s="1"/>
  <c r="AZ89" i="19" s="1"/>
  <c r="P75" i="19"/>
  <c r="R75" i="19"/>
  <c r="S75" i="19" s="1"/>
  <c r="T75" i="19" s="1"/>
  <c r="U75" i="19" s="1"/>
  <c r="AW96" i="19"/>
  <c r="AX96" i="19" s="1"/>
  <c r="AY96" i="19" s="1"/>
  <c r="AZ96" i="19" s="1"/>
  <c r="AW76" i="19"/>
  <c r="AX76" i="19" s="1"/>
  <c r="AY76" i="19" s="1"/>
  <c r="AZ76" i="19" s="1"/>
  <c r="P87" i="19"/>
  <c r="R87" i="19"/>
  <c r="S87" i="19" s="1"/>
  <c r="T87" i="19" s="1"/>
  <c r="U87" i="19" s="1"/>
  <c r="AW90" i="19"/>
  <c r="AX90" i="19" s="1"/>
  <c r="AY90" i="19" s="1"/>
  <c r="AZ90" i="19" s="1"/>
  <c r="AW52" i="19"/>
  <c r="AX52" i="19" s="1"/>
  <c r="AY52" i="19" s="1"/>
  <c r="AZ52" i="19" s="1"/>
  <c r="P76" i="19"/>
  <c r="R76" i="19"/>
  <c r="S76" i="19" s="1"/>
  <c r="T76" i="19" s="1"/>
  <c r="U76" i="19" s="1"/>
  <c r="AW86" i="19"/>
  <c r="AX86" i="19" s="1"/>
  <c r="AY86" i="19" s="1"/>
  <c r="AZ86" i="19" s="1"/>
  <c r="P90" i="19"/>
  <c r="R90" i="19"/>
  <c r="S90" i="19" s="1"/>
  <c r="T90" i="19" s="1"/>
  <c r="U90" i="19" s="1"/>
  <c r="AF55" i="19"/>
  <c r="AF86" i="19"/>
  <c r="AF90" i="19"/>
  <c r="AC96" i="19"/>
  <c r="AD96" i="19" s="1"/>
  <c r="AE96" i="19" s="1"/>
  <c r="AC105" i="19"/>
  <c r="AD105" i="19" s="1"/>
  <c r="AE105" i="19" s="1"/>
  <c r="R96" i="19"/>
  <c r="S96" i="19" s="1"/>
  <c r="T96" i="19" s="1"/>
  <c r="U96" i="19" s="1"/>
  <c r="R97" i="19"/>
  <c r="S97" i="19" s="1"/>
  <c r="T97" i="19" s="1"/>
  <c r="U97" i="19" s="1"/>
  <c r="R105" i="19"/>
  <c r="S105" i="19" s="1"/>
  <c r="T105" i="19" s="1"/>
  <c r="U105" i="19" s="1"/>
  <c r="AW140" i="19"/>
  <c r="AX140" i="19" s="1"/>
  <c r="AY140" i="19" s="1"/>
  <c r="AZ140" i="19" s="1"/>
  <c r="AW141" i="19"/>
  <c r="AX141" i="19" s="1"/>
  <c r="AY141" i="19" s="1"/>
  <c r="AZ141" i="19" s="1"/>
  <c r="AW143" i="19"/>
  <c r="AX143" i="19" s="1"/>
  <c r="AY143" i="19" s="1"/>
  <c r="AZ143" i="19" s="1"/>
  <c r="AW144" i="19"/>
  <c r="AX144" i="19" s="1"/>
  <c r="AY144" i="19" s="1"/>
  <c r="AZ144" i="19" s="1"/>
  <c r="AC147" i="19"/>
  <c r="AD147" i="19" s="1"/>
  <c r="AE147" i="19" s="1"/>
  <c r="AC150" i="19"/>
  <c r="AD150" i="19" s="1"/>
  <c r="AE150" i="19" s="1"/>
  <c r="AC151" i="19"/>
  <c r="AD151" i="19" s="1"/>
  <c r="AE151" i="19" s="1"/>
  <c r="AC149" i="19"/>
  <c r="AD149" i="19" s="1"/>
  <c r="AE149" i="19" s="1"/>
  <c r="AW149" i="19"/>
  <c r="AX149" i="19" s="1"/>
  <c r="AY149" i="19" s="1"/>
  <c r="AZ149" i="19" s="1"/>
  <c r="AW150" i="19"/>
  <c r="AX150" i="19" s="1"/>
  <c r="AY150" i="19" s="1"/>
  <c r="AZ150" i="19" s="1"/>
  <c r="R147" i="19"/>
  <c r="S147" i="19" s="1"/>
  <c r="T147" i="19" s="1"/>
  <c r="U147" i="19" s="1"/>
  <c r="AW145" i="19"/>
  <c r="AX145" i="19" s="1"/>
  <c r="AY145" i="19" s="1"/>
  <c r="AZ145" i="19" s="1"/>
  <c r="AW147" i="19"/>
  <c r="AX147" i="19" s="1"/>
  <c r="AY147" i="19" s="1"/>
  <c r="AZ147" i="19" s="1"/>
  <c r="AW151" i="19"/>
  <c r="AX151" i="19" s="1"/>
  <c r="AY151" i="19" s="1"/>
  <c r="AZ151" i="19" s="1"/>
  <c r="AF152" i="19"/>
  <c r="AW152" i="19"/>
  <c r="AX152" i="19" s="1"/>
  <c r="AY152" i="19" s="1"/>
  <c r="AZ152" i="19" s="1"/>
  <c r="AF153" i="19"/>
  <c r="AW153" i="19"/>
  <c r="AX153" i="19" s="1"/>
  <c r="AY153" i="19" s="1"/>
  <c r="AZ153" i="19" s="1"/>
  <c r="AF154" i="19"/>
  <c r="AW154" i="19"/>
  <c r="AX154" i="19" s="1"/>
  <c r="AY154" i="19" s="1"/>
  <c r="AZ154" i="19" s="1"/>
  <c r="AB156" i="19"/>
  <c r="AC156" i="19" s="1"/>
  <c r="AD156" i="19" s="1"/>
  <c r="AE156" i="19" s="1"/>
  <c r="J11" i="19"/>
  <c r="K11" i="19" s="1"/>
  <c r="L11" i="19" s="1"/>
  <c r="M11" i="19" s="1"/>
  <c r="Q11" i="19"/>
  <c r="P11" i="19" s="1"/>
  <c r="AX156" i="19"/>
  <c r="AY156" i="19" s="1"/>
  <c r="AZ156" i="19" s="1"/>
  <c r="AX155" i="19"/>
  <c r="AY155" i="19" s="1"/>
  <c r="AZ155" i="19" s="1"/>
  <c r="Q156" i="19"/>
  <c r="P156" i="19" s="1"/>
  <c r="J156" i="19"/>
  <c r="J10" i="19"/>
  <c r="K10" i="19" s="1"/>
  <c r="L10" i="19" s="1"/>
  <c r="M10" i="19" s="1"/>
  <c r="Q10" i="19"/>
  <c r="P10" i="19" s="1"/>
  <c r="Q155" i="19"/>
  <c r="P155" i="19" s="1"/>
  <c r="J155" i="19"/>
  <c r="Q291" i="19"/>
  <c r="P291" i="19" s="1"/>
  <c r="J291" i="19"/>
  <c r="AC9" i="19"/>
  <c r="AB10" i="19"/>
  <c r="AC10" i="19" s="1"/>
  <c r="AD10" i="19" s="1"/>
  <c r="AE10" i="19" s="1"/>
  <c r="BA10" i="19"/>
  <c r="AF291" i="19"/>
  <c r="AW291" i="19"/>
  <c r="AX291" i="19" s="1"/>
  <c r="AY291" i="19" s="1"/>
  <c r="AZ291" i="19" s="1"/>
  <c r="BA11" i="19"/>
  <c r="BA9" i="19"/>
  <c r="AB11" i="19"/>
  <c r="AC11" i="19" s="1"/>
  <c r="AD11" i="19" s="1"/>
  <c r="AE11" i="19" s="1"/>
  <c r="AF155" i="19"/>
  <c r="S68" i="30"/>
  <c r="Q68" i="30"/>
  <c r="O68" i="30"/>
  <c r="K68" i="30"/>
  <c r="G68" i="30"/>
  <c r="I66" i="30"/>
  <c r="I65" i="30"/>
  <c r="I64" i="30"/>
  <c r="M59" i="30"/>
  <c r="M58" i="30"/>
  <c r="M57" i="30"/>
  <c r="I57" i="30"/>
  <c r="S56" i="30"/>
  <c r="O56" i="30"/>
  <c r="K56" i="30"/>
  <c r="G56" i="30"/>
  <c r="S34" i="30"/>
  <c r="O34" i="30"/>
  <c r="K34" i="30"/>
  <c r="G34" i="30"/>
  <c r="U32" i="30"/>
  <c r="Q32" i="30"/>
  <c r="M32" i="30"/>
  <c r="I32" i="30"/>
  <c r="U31" i="30"/>
  <c r="M31" i="30"/>
  <c r="I31" i="30"/>
  <c r="U18" i="30"/>
  <c r="M18" i="30"/>
  <c r="I18" i="30"/>
  <c r="U17" i="30"/>
  <c r="M17" i="30"/>
  <c r="I17" i="30"/>
  <c r="U13" i="30"/>
  <c r="M13" i="30"/>
  <c r="I13" i="30"/>
  <c r="U12" i="30"/>
  <c r="M12" i="30"/>
  <c r="I12" i="30"/>
  <c r="U11" i="30"/>
  <c r="M11" i="30"/>
  <c r="I11" i="30"/>
  <c r="U10" i="30"/>
  <c r="M10" i="30"/>
  <c r="I10" i="30"/>
  <c r="M9" i="30"/>
  <c r="I9" i="30"/>
  <c r="S6" i="30"/>
  <c r="O6" i="30"/>
  <c r="K6" i="30"/>
  <c r="G6" i="30"/>
  <c r="O5" i="30"/>
  <c r="K5" i="30"/>
  <c r="G5" i="30"/>
  <c r="C5" i="30"/>
  <c r="K4" i="30"/>
  <c r="G4" i="30"/>
  <c r="C4" i="30"/>
  <c r="B63" i="29"/>
  <c r="N63" i="29"/>
  <c r="X63" i="29"/>
  <c r="AI63" i="29"/>
  <c r="H64" i="29"/>
  <c r="I64" i="29" s="1"/>
  <c r="N64" i="29"/>
  <c r="H65" i="29"/>
  <c r="I65" i="29" s="1"/>
  <c r="N65" i="29"/>
  <c r="H66" i="29"/>
  <c r="I66" i="29" s="1"/>
  <c r="N66" i="29"/>
  <c r="H67" i="29"/>
  <c r="I67" i="29" s="1"/>
  <c r="N67" i="29"/>
  <c r="N71" i="29"/>
  <c r="AK71" i="29"/>
  <c r="B8" i="29"/>
  <c r="N8" i="29"/>
  <c r="AI8" i="29"/>
  <c r="H37" i="29"/>
  <c r="I37" i="29" s="1"/>
  <c r="N37" i="29"/>
  <c r="AA37" i="29"/>
  <c r="AK37" i="29"/>
  <c r="AL37" i="29" s="1"/>
  <c r="H84" i="29"/>
  <c r="N84" i="29"/>
  <c r="AA84" i="29"/>
  <c r="Z84" i="29" s="1"/>
  <c r="AK84" i="29"/>
  <c r="AL84" i="29" s="1"/>
  <c r="AM84" i="29" s="1"/>
  <c r="AN84" i="29" s="1"/>
  <c r="AO84" i="29" s="1"/>
  <c r="N31" i="29"/>
  <c r="AA31" i="29"/>
  <c r="AK31" i="29"/>
  <c r="AL31" i="29" s="1"/>
  <c r="N32" i="29"/>
  <c r="AA32" i="29"/>
  <c r="AK32" i="29"/>
  <c r="AL32" i="29" s="1"/>
  <c r="N33" i="29"/>
  <c r="N34" i="29"/>
  <c r="N35" i="29"/>
  <c r="I36" i="29"/>
  <c r="Q36" i="29" s="1"/>
  <c r="N36" i="29"/>
  <c r="N103" i="29"/>
  <c r="N104" i="29"/>
  <c r="N105" i="29"/>
  <c r="N106" i="29"/>
  <c r="N107" i="29"/>
  <c r="H59" i="29"/>
  <c r="I59" i="29" s="1"/>
  <c r="N59" i="29"/>
  <c r="H60" i="29"/>
  <c r="N60" i="29"/>
  <c r="H85" i="29"/>
  <c r="N85" i="29"/>
  <c r="N100" i="29"/>
  <c r="AA100" i="29"/>
  <c r="AK100" i="29"/>
  <c r="AL100" i="29" s="1"/>
  <c r="AM100" i="29" s="1"/>
  <c r="H77" i="29"/>
  <c r="I77" i="29" s="1"/>
  <c r="J77" i="29" s="1"/>
  <c r="K77" i="29" s="1"/>
  <c r="L77" i="29" s="1"/>
  <c r="M77" i="29" s="1"/>
  <c r="N77" i="29"/>
  <c r="AK77" i="29"/>
  <c r="AL77" i="29" s="1"/>
  <c r="AM77" i="29" s="1"/>
  <c r="AN77" i="29" s="1"/>
  <c r="AO77" i="29" s="1"/>
  <c r="H76" i="29"/>
  <c r="I76" i="29" s="1"/>
  <c r="J76" i="29" s="1"/>
  <c r="K76" i="29" s="1"/>
  <c r="L76" i="29" s="1"/>
  <c r="M76" i="29" s="1"/>
  <c r="N76" i="29"/>
  <c r="AK76" i="29"/>
  <c r="AL76" i="29" s="1"/>
  <c r="AM76" i="29" s="1"/>
  <c r="AN76" i="29" s="1"/>
  <c r="AO76" i="29" s="1"/>
  <c r="H79" i="29"/>
  <c r="I79" i="29" s="1"/>
  <c r="N79" i="29"/>
  <c r="AK79" i="29"/>
  <c r="AL79" i="29" s="1"/>
  <c r="AM79" i="29" s="1"/>
  <c r="AN79" i="29" s="1"/>
  <c r="AO79" i="29" s="1"/>
  <c r="H74" i="29"/>
  <c r="I74" i="29" s="1"/>
  <c r="N74" i="29"/>
  <c r="AK74" i="29"/>
  <c r="AL74" i="29" s="1"/>
  <c r="AM74" i="29" s="1"/>
  <c r="I9" i="29"/>
  <c r="Q9" i="29" s="1"/>
  <c r="P9" i="29" s="1"/>
  <c r="N9" i="29"/>
  <c r="H75" i="29"/>
  <c r="I75" i="29" s="1"/>
  <c r="N75" i="29"/>
  <c r="H92" i="29"/>
  <c r="I92" i="29" s="1"/>
  <c r="N92" i="29"/>
  <c r="H78" i="29"/>
  <c r="I78" i="29" s="1"/>
  <c r="Q78" i="29" s="1"/>
  <c r="P78" i="29" s="1"/>
  <c r="N78" i="29"/>
  <c r="H111" i="29"/>
  <c r="I111" i="29" s="1"/>
  <c r="N111" i="29"/>
  <c r="N121" i="29"/>
  <c r="N151" i="29"/>
  <c r="N152" i="29"/>
  <c r="Q152" i="29"/>
  <c r="R152" i="29"/>
  <c r="S152" i="29"/>
  <c r="T152" i="29"/>
  <c r="U152" i="29"/>
  <c r="N153" i="29"/>
  <c r="Q153" i="29"/>
  <c r="R153" i="29"/>
  <c r="S153" i="29"/>
  <c r="T153" i="29"/>
  <c r="U153" i="29"/>
  <c r="N154" i="29"/>
  <c r="Q154" i="29"/>
  <c r="R154" i="29"/>
  <c r="S154" i="29"/>
  <c r="T154" i="29"/>
  <c r="U154" i="29"/>
  <c r="N155" i="29"/>
  <c r="Q155" i="29"/>
  <c r="R155" i="29"/>
  <c r="S155" i="29"/>
  <c r="T155" i="29"/>
  <c r="U155" i="29"/>
  <c r="N157" i="29"/>
  <c r="N158" i="29"/>
  <c r="Q158" i="29"/>
  <c r="R158" i="29"/>
  <c r="S158" i="29"/>
  <c r="T158" i="29"/>
  <c r="U158" i="29"/>
  <c r="N161" i="29"/>
  <c r="AI148" i="29"/>
  <c r="X148" i="29"/>
  <c r="N148" i="29"/>
  <c r="O130" i="29"/>
  <c r="N130" i="29"/>
  <c r="N127" i="29"/>
  <c r="N125" i="29"/>
  <c r="N124" i="29"/>
  <c r="AI123" i="29"/>
  <c r="X123" i="29"/>
  <c r="H122" i="29"/>
  <c r="I122" i="29" s="1"/>
  <c r="J122" i="29" s="1"/>
  <c r="K122" i="29" s="1"/>
  <c r="L122" i="29" s="1"/>
  <c r="M122" i="29" s="1"/>
  <c r="AI5" i="29"/>
  <c r="X5" i="29"/>
  <c r="N5" i="29"/>
  <c r="C5" i="29"/>
  <c r="X4" i="29"/>
  <c r="N4" i="29"/>
  <c r="C4" i="29"/>
  <c r="N34" i="28"/>
  <c r="N33" i="28"/>
  <c r="N32" i="28"/>
  <c r="N31" i="28"/>
  <c r="N30" i="28"/>
  <c r="Q29" i="28"/>
  <c r="N29" i="28"/>
  <c r="H29" i="28"/>
  <c r="I29" i="28" s="1"/>
  <c r="J29" i="28" s="1"/>
  <c r="K29" i="28" s="1"/>
  <c r="L29" i="28" s="1"/>
  <c r="M29" i="28" s="1"/>
  <c r="P28" i="28"/>
  <c r="N28" i="28"/>
  <c r="P27" i="28"/>
  <c r="N27" i="28"/>
  <c r="H27" i="28"/>
  <c r="I27" i="28" s="1"/>
  <c r="J27" i="28" s="1"/>
  <c r="K27" i="28" s="1"/>
  <c r="L27" i="28" s="1"/>
  <c r="M27" i="28" s="1"/>
  <c r="P26" i="28"/>
  <c r="N26" i="28"/>
  <c r="H26" i="28"/>
  <c r="I26" i="28" s="1"/>
  <c r="J26" i="28" s="1"/>
  <c r="K26" i="28" s="1"/>
  <c r="L26" i="28" s="1"/>
  <c r="M26" i="28" s="1"/>
  <c r="N25" i="28"/>
  <c r="N24" i="28"/>
  <c r="N23" i="28"/>
  <c r="N22" i="28"/>
  <c r="N21" i="28"/>
  <c r="AQ20" i="28"/>
  <c r="AH20" i="28"/>
  <c r="Y20" i="28"/>
  <c r="N20" i="28"/>
  <c r="B20" i="28"/>
  <c r="AQ19" i="28"/>
  <c r="AH19" i="28"/>
  <c r="Y19" i="28"/>
  <c r="P19" i="28"/>
  <c r="N19" i="28"/>
  <c r="H19" i="28"/>
  <c r="I19" i="28" s="1"/>
  <c r="J19" i="28" s="1"/>
  <c r="K19" i="28" s="1"/>
  <c r="L19" i="28" s="1"/>
  <c r="M19" i="28" s="1"/>
  <c r="AO18" i="28"/>
  <c r="AF18" i="28"/>
  <c r="W18" i="28"/>
  <c r="N18" i="28"/>
  <c r="B18" i="28"/>
  <c r="AQ12" i="28"/>
  <c r="AH12" i="28"/>
  <c r="Y12" i="28"/>
  <c r="N12" i="28"/>
  <c r="H12" i="28"/>
  <c r="I12" i="28" s="1"/>
  <c r="AX56" i="31" l="1"/>
  <c r="M35" i="31"/>
  <c r="AZ35" i="31" s="1"/>
  <c r="AY35" i="31"/>
  <c r="M50" i="31"/>
  <c r="AZ50" i="31" s="1"/>
  <c r="AY50" i="31"/>
  <c r="BA50" i="31" s="1"/>
  <c r="M28" i="31"/>
  <c r="AZ28" i="31" s="1"/>
  <c r="AY28" i="31"/>
  <c r="AP30" i="31"/>
  <c r="AQ30" i="31" s="1"/>
  <c r="M25" i="31"/>
  <c r="AZ25" i="31" s="1"/>
  <c r="AY25" i="31"/>
  <c r="BA25" i="31" s="1"/>
  <c r="AO35" i="31"/>
  <c r="M27" i="31"/>
  <c r="AZ27" i="31" s="1"/>
  <c r="AY27" i="31"/>
  <c r="BA27" i="31" s="1"/>
  <c r="M34" i="31"/>
  <c r="AZ34" i="31" s="1"/>
  <c r="AY34" i="31"/>
  <c r="M48" i="31"/>
  <c r="AZ48" i="31" s="1"/>
  <c r="AY48" i="31"/>
  <c r="M29" i="31"/>
  <c r="AZ29" i="31" s="1"/>
  <c r="AY29" i="31"/>
  <c r="AO29" i="31"/>
  <c r="M24" i="31"/>
  <c r="AZ24" i="31" s="1"/>
  <c r="AY24" i="31"/>
  <c r="BA24" i="31" s="1"/>
  <c r="M49" i="31"/>
  <c r="AZ49" i="31" s="1"/>
  <c r="AY49" i="31"/>
  <c r="M30" i="31"/>
  <c r="AZ30" i="31" s="1"/>
  <c r="AY30" i="31"/>
  <c r="BA30" i="31" s="1"/>
  <c r="AO28" i="31"/>
  <c r="M47" i="31"/>
  <c r="AZ47" i="31" s="1"/>
  <c r="AY47" i="31"/>
  <c r="BA47" i="31" s="1"/>
  <c r="T20" i="31"/>
  <c r="AN81" i="29"/>
  <c r="M47" i="29"/>
  <c r="AY47" i="29" s="1"/>
  <c r="AX47" i="29"/>
  <c r="M99" i="29"/>
  <c r="AY99" i="29" s="1"/>
  <c r="AX99" i="29"/>
  <c r="AN99" i="29"/>
  <c r="M49" i="29"/>
  <c r="AY49" i="29" s="1"/>
  <c r="AX49" i="29"/>
  <c r="M48" i="29"/>
  <c r="AY48" i="29" s="1"/>
  <c r="AX48" i="29"/>
  <c r="AL68" i="29"/>
  <c r="M41" i="29"/>
  <c r="AY41" i="29" s="1"/>
  <c r="AX41" i="29"/>
  <c r="M46" i="29"/>
  <c r="AY46" i="29" s="1"/>
  <c r="AX46" i="29"/>
  <c r="AN94" i="29"/>
  <c r="M45" i="29"/>
  <c r="AY45" i="29" s="1"/>
  <c r="AX45" i="29"/>
  <c r="M51" i="29"/>
  <c r="AY51" i="29" s="1"/>
  <c r="AX51" i="29"/>
  <c r="M94" i="29"/>
  <c r="AY94" i="29" s="1"/>
  <c r="AX94" i="29"/>
  <c r="K68" i="29"/>
  <c r="AV68" i="29"/>
  <c r="M52" i="29"/>
  <c r="AY52" i="29" s="1"/>
  <c r="AX52" i="29"/>
  <c r="K69" i="29"/>
  <c r="AV69" i="29"/>
  <c r="AZ10" i="29"/>
  <c r="M89" i="29"/>
  <c r="AY89" i="29" s="1"/>
  <c r="AX89" i="29"/>
  <c r="M42" i="29"/>
  <c r="AY42" i="29" s="1"/>
  <c r="AX42" i="29"/>
  <c r="AN88" i="29"/>
  <c r="M40" i="29"/>
  <c r="AY40" i="29" s="1"/>
  <c r="AX40" i="29"/>
  <c r="M39" i="29"/>
  <c r="AY39" i="29" s="1"/>
  <c r="AX39" i="29"/>
  <c r="M44" i="29"/>
  <c r="AY44" i="29" s="1"/>
  <c r="AX44" i="29"/>
  <c r="M50" i="29"/>
  <c r="AY50" i="29" s="1"/>
  <c r="AX50" i="29"/>
  <c r="M88" i="29"/>
  <c r="AY88" i="29" s="1"/>
  <c r="AX88" i="29"/>
  <c r="M81" i="29"/>
  <c r="AY81" i="29" s="1"/>
  <c r="AX81" i="29"/>
  <c r="M43" i="29"/>
  <c r="AY43" i="29" s="1"/>
  <c r="AX43" i="29"/>
  <c r="U332" i="19"/>
  <c r="V332" i="19"/>
  <c r="AE332" i="19"/>
  <c r="AF332" i="19"/>
  <c r="AL92" i="19" a="1"/>
  <c r="AL92" i="19" s="1"/>
  <c r="Q92" i="19"/>
  <c r="AL93" i="19" a="1"/>
  <c r="AL93" i="19" s="1"/>
  <c r="Q93" i="19"/>
  <c r="Q220" i="19" a="1"/>
  <c r="Q220" i="19" s="1"/>
  <c r="AL220" i="19" a="1"/>
  <c r="AL220" i="19" s="1"/>
  <c r="R209" i="19"/>
  <c r="AL209" i="19"/>
  <c r="S209" i="19"/>
  <c r="AM209" i="19"/>
  <c r="T329" i="19"/>
  <c r="K211" i="19"/>
  <c r="AO21" i="29"/>
  <c r="AN21" i="29"/>
  <c r="V51" i="31"/>
  <c r="V56" i="31" s="1"/>
  <c r="AL69" i="29"/>
  <c r="AE112" i="29"/>
  <c r="AF112" i="29" s="1"/>
  <c r="M113" i="29"/>
  <c r="U112" i="29"/>
  <c r="V112" i="29" s="1"/>
  <c r="AC20" i="31"/>
  <c r="AN20" i="31"/>
  <c r="AD23" i="31"/>
  <c r="AC56" i="31"/>
  <c r="U20" i="31"/>
  <c r="V18" i="31"/>
  <c r="V20" i="31" s="1"/>
  <c r="AO34" i="31"/>
  <c r="AN56" i="31"/>
  <c r="AF18" i="31"/>
  <c r="AF34" i="31"/>
  <c r="AE324" i="19"/>
  <c r="AF324" i="19" s="1"/>
  <c r="M51" i="31"/>
  <c r="AP51" i="31" s="1" a="1"/>
  <c r="AP51" i="31" s="1"/>
  <c r="AO51" i="31" a="1"/>
  <c r="AO51" i="31" s="1"/>
  <c r="M18" i="31"/>
  <c r="AP18" i="31" s="1" a="1"/>
  <c r="AP18" i="31" s="1"/>
  <c r="AO18" i="31" a="1"/>
  <c r="AO18" i="31" s="1"/>
  <c r="M54" i="31"/>
  <c r="AP54" i="31" s="1" a="1"/>
  <c r="AP54" i="31" s="1"/>
  <c r="AO54" i="31" a="1"/>
  <c r="AO54" i="31" s="1"/>
  <c r="AO9" i="31" a="1"/>
  <c r="AO9" i="31" s="1"/>
  <c r="AD9" i="31"/>
  <c r="M9" i="31"/>
  <c r="AP9" i="31" s="1" a="1"/>
  <c r="AP9" i="31" s="1"/>
  <c r="AD10" i="31"/>
  <c r="AO11" i="31" a="1"/>
  <c r="AO11" i="31" s="1"/>
  <c r="M11" i="31"/>
  <c r="AP11" i="31" s="1" a="1"/>
  <c r="AP11" i="31" s="1"/>
  <c r="AD11" i="31"/>
  <c r="AO10" i="31" a="1"/>
  <c r="AO10" i="31" s="1"/>
  <c r="M10" i="31"/>
  <c r="AP10" i="31" s="1" a="1"/>
  <c r="AP10" i="31" s="1"/>
  <c r="M53" i="31"/>
  <c r="S57" i="31"/>
  <c r="T328" i="19"/>
  <c r="AD329" i="19"/>
  <c r="T323" i="19"/>
  <c r="U325" i="19"/>
  <c r="V325" i="19" s="1"/>
  <c r="AD328" i="19"/>
  <c r="AD323" i="19"/>
  <c r="AQ330" i="19"/>
  <c r="T324" i="19"/>
  <c r="U324" i="19" s="1"/>
  <c r="AE325" i="19"/>
  <c r="AF325" i="19" s="1"/>
  <c r="AD327" i="19"/>
  <c r="AO327" i="19" a="1"/>
  <c r="AO327" i="19" s="1"/>
  <c r="M327" i="19"/>
  <c r="AP327" i="19" s="1" a="1"/>
  <c r="AP327" i="19" s="1"/>
  <c r="M328" i="19"/>
  <c r="AP328" i="19" s="1" a="1"/>
  <c r="AP328" i="19" s="1"/>
  <c r="AO328" i="19" a="1"/>
  <c r="AO328" i="19" s="1"/>
  <c r="AQ324" i="19"/>
  <c r="AQ325" i="19"/>
  <c r="AQ326" i="19"/>
  <c r="M323" i="19"/>
  <c r="AP323" i="19" s="1" a="1"/>
  <c r="AP323" i="19" s="1"/>
  <c r="AO323" i="19" a="1"/>
  <c r="AO323" i="19" s="1"/>
  <c r="AO329" i="19" a="1"/>
  <c r="AO329" i="19" s="1"/>
  <c r="M329" i="19"/>
  <c r="AP329" i="19" s="1" a="1"/>
  <c r="AP329" i="19" s="1"/>
  <c r="AQ138" i="19"/>
  <c r="AQ332" i="19"/>
  <c r="R50" i="19"/>
  <c r="AB87" i="19"/>
  <c r="R143" i="19"/>
  <c r="AP165" i="19" a="1"/>
  <c r="AP165" i="19" s="1"/>
  <c r="AQ165" i="19" s="1"/>
  <c r="AE165" i="19" a="1"/>
  <c r="AE165" i="19" s="1"/>
  <c r="AF165" i="19" s="1"/>
  <c r="AB146" i="19"/>
  <c r="AB44" i="19"/>
  <c r="AB170" i="19"/>
  <c r="AB76" i="19"/>
  <c r="R197" i="19"/>
  <c r="M45" i="19"/>
  <c r="AP45" i="19" s="1" a="1"/>
  <c r="AP45" i="19" s="1"/>
  <c r="AO45" i="19" a="1"/>
  <c r="AO45" i="19" s="1"/>
  <c r="AB89" i="19"/>
  <c r="M46" i="19"/>
  <c r="AP46" i="19" s="1" a="1"/>
  <c r="AP46" i="19" s="1"/>
  <c r="AO46" i="19" a="1"/>
  <c r="AO46" i="19" s="1"/>
  <c r="L13" i="19"/>
  <c r="L14" i="19" s="1" a="1"/>
  <c r="L14" i="19" s="1"/>
  <c r="AO14" i="19" s="1" a="1"/>
  <c r="AO14" i="19" s="1"/>
  <c r="J13" i="19"/>
  <c r="J14" i="19" s="1" a="1"/>
  <c r="J14" i="19" s="1"/>
  <c r="K13" i="19"/>
  <c r="K14" i="19" s="1" a="1"/>
  <c r="K14" i="19" s="1"/>
  <c r="AN14" i="19" s="1" a="1"/>
  <c r="AN14" i="19" s="1"/>
  <c r="M14" i="19" a="1"/>
  <c r="M14" i="19" s="1"/>
  <c r="M15" i="19" s="1" a="1"/>
  <c r="M15" i="19" s="1"/>
  <c r="AP15" i="19" s="1" a="1"/>
  <c r="AP15" i="19" s="1"/>
  <c r="I213" i="19" a="1"/>
  <c r="I213" i="19" s="1"/>
  <c r="AA213" i="19" s="1"/>
  <c r="Z213" i="19" s="1"/>
  <c r="AB85" i="19"/>
  <c r="R196" i="19"/>
  <c r="AB239" i="19"/>
  <c r="AB52" i="19"/>
  <c r="R144" i="19"/>
  <c r="AB75" i="19"/>
  <c r="R319" i="19"/>
  <c r="I160" i="19" a="1"/>
  <c r="I160" i="19" s="1"/>
  <c r="AA160" i="19" s="1"/>
  <c r="AB57" i="19"/>
  <c r="R145" i="19"/>
  <c r="AA159" i="19"/>
  <c r="Z159" i="19" s="1"/>
  <c r="AB241" i="19"/>
  <c r="AB242" i="19"/>
  <c r="AB141" i="19"/>
  <c r="AB144" i="19"/>
  <c r="AB240" i="19"/>
  <c r="AB292" i="19"/>
  <c r="K155" i="19"/>
  <c r="AM155" i="19" a="1"/>
  <c r="AM155" i="19" s="1"/>
  <c r="L54" i="19"/>
  <c r="AN54" i="19" a="1"/>
  <c r="AN54" i="19" s="1"/>
  <c r="K23" i="19"/>
  <c r="AM23" i="19" a="1"/>
  <c r="AM23" i="19" s="1"/>
  <c r="AK189" i="19"/>
  <c r="K176" i="19"/>
  <c r="AM176" i="19" a="1"/>
  <c r="AM176" i="19" s="1"/>
  <c r="K175" i="19"/>
  <c r="AM175" i="19" a="1"/>
  <c r="AM175" i="19" s="1"/>
  <c r="K244" i="19"/>
  <c r="AM244" i="19" a="1"/>
  <c r="AM244" i="19" s="1"/>
  <c r="K216" i="19"/>
  <c r="AM216" i="19" a="1"/>
  <c r="AM216" i="19" s="1"/>
  <c r="AK36" i="19"/>
  <c r="AK172" i="19"/>
  <c r="AK196" i="19"/>
  <c r="AK32" i="19"/>
  <c r="AK241" i="19"/>
  <c r="AK17" i="19"/>
  <c r="AK202" i="19"/>
  <c r="AK92" i="19"/>
  <c r="AB176" i="19" a="1"/>
  <c r="AB176" i="19" s="1"/>
  <c r="AA212" i="19"/>
  <c r="Z212" i="19" s="1"/>
  <c r="AK198" i="19"/>
  <c r="AB244" i="19"/>
  <c r="AK294" i="19"/>
  <c r="AK237" i="19"/>
  <c r="AK23" i="19"/>
  <c r="AK39" i="19"/>
  <c r="AK75" i="19"/>
  <c r="K55" i="19"/>
  <c r="AM55" i="19" a="1"/>
  <c r="AM55" i="19" s="1"/>
  <c r="K150" i="19"/>
  <c r="AM150" i="19" a="1"/>
  <c r="AM150" i="19" s="1"/>
  <c r="K334" i="19"/>
  <c r="AM334" i="19" a="1"/>
  <c r="AM334" i="19" s="1"/>
  <c r="K195" i="19"/>
  <c r="AM195" i="19" a="1"/>
  <c r="AM195" i="19" s="1"/>
  <c r="K185" i="19"/>
  <c r="AM185" i="19" a="1"/>
  <c r="AM185" i="19" s="1"/>
  <c r="K30" i="19"/>
  <c r="AM30" i="19" a="1"/>
  <c r="AM30" i="19" s="1"/>
  <c r="K320" i="19"/>
  <c r="AM320" i="19" a="1"/>
  <c r="AM320" i="19" s="1"/>
  <c r="K19" i="19"/>
  <c r="AM19" i="19" a="1"/>
  <c r="AM19" i="19" s="1"/>
  <c r="K16" i="19"/>
  <c r="AM16" i="19" a="1"/>
  <c r="AM16" i="19" s="1"/>
  <c r="K154" i="19"/>
  <c r="AM154" i="19" a="1"/>
  <c r="AM154" i="19" s="1"/>
  <c r="AK247" i="19"/>
  <c r="AK201" i="19"/>
  <c r="AK176" i="19"/>
  <c r="AK43" i="19"/>
  <c r="AK40" i="19"/>
  <c r="AK175" i="19"/>
  <c r="AK187" i="19"/>
  <c r="AK319" i="19"/>
  <c r="AK244" i="19"/>
  <c r="AK173" i="19"/>
  <c r="AK207" i="19"/>
  <c r="AK90" i="19"/>
  <c r="AK216" i="19"/>
  <c r="AK166" i="19"/>
  <c r="AK27" i="19"/>
  <c r="AK88" i="19"/>
  <c r="AK93" i="19"/>
  <c r="AA204" i="19" a="1"/>
  <c r="AA204" i="19" s="1"/>
  <c r="Z204" i="19" s="1"/>
  <c r="AL204" i="19" a="1"/>
  <c r="AL204" i="19" s="1"/>
  <c r="K294" i="19"/>
  <c r="AM294" i="19" a="1"/>
  <c r="AM294" i="19" s="1"/>
  <c r="K39" i="19"/>
  <c r="AM39" i="19" a="1"/>
  <c r="AM39" i="19" s="1"/>
  <c r="AK211" i="19"/>
  <c r="AK20" i="19"/>
  <c r="K40" i="19"/>
  <c r="AM40" i="19" a="1"/>
  <c r="AM40" i="19" s="1"/>
  <c r="K319" i="19"/>
  <c r="AM319" i="19" a="1"/>
  <c r="AM319" i="19" s="1"/>
  <c r="K207" i="19"/>
  <c r="AM207" i="19" a="1"/>
  <c r="AM207" i="19" s="1"/>
  <c r="K27" i="19"/>
  <c r="AM27" i="19" a="1"/>
  <c r="AM27" i="19" s="1"/>
  <c r="AK191" i="19"/>
  <c r="AK212" i="19"/>
  <c r="AK86" i="19"/>
  <c r="AK260" i="19"/>
  <c r="AK85" i="19"/>
  <c r="AK206" i="19"/>
  <c r="Z241" i="19"/>
  <c r="AB247" i="19"/>
  <c r="K249" i="19"/>
  <c r="AM249" i="19" a="1"/>
  <c r="AM249" i="19" s="1"/>
  <c r="K172" i="19"/>
  <c r="AM172" i="19" a="1"/>
  <c r="AM172" i="19" s="1"/>
  <c r="K24" i="19"/>
  <c r="AM24" i="19" a="1"/>
  <c r="AM24" i="19" s="1"/>
  <c r="K33" i="19"/>
  <c r="AM33" i="19" a="1"/>
  <c r="AM33" i="19" s="1"/>
  <c r="K51" i="19"/>
  <c r="AM51" i="19" a="1"/>
  <c r="AM51" i="19" s="1"/>
  <c r="AK141" i="19"/>
  <c r="AK96" i="19"/>
  <c r="AK193" i="19"/>
  <c r="AK140" i="19"/>
  <c r="AK152" i="19"/>
  <c r="AK158" i="19"/>
  <c r="AK248" i="19"/>
  <c r="AK242" i="19"/>
  <c r="AK179" i="19"/>
  <c r="AK84" i="19"/>
  <c r="AK50" i="19"/>
  <c r="K223" i="19"/>
  <c r="AM223" i="19" a="1"/>
  <c r="AM223" i="19" s="1"/>
  <c r="K196" i="19"/>
  <c r="AM196" i="19" a="1"/>
  <c r="AM196" i="19" s="1"/>
  <c r="K86" i="19"/>
  <c r="AM86" i="19" a="1"/>
  <c r="AM86" i="19" s="1"/>
  <c r="K32" i="19"/>
  <c r="AM32" i="19" a="1"/>
  <c r="AM32" i="19" s="1"/>
  <c r="K200" i="19"/>
  <c r="AM200" i="19" a="1"/>
  <c r="AM200" i="19" s="1"/>
  <c r="K167" i="19"/>
  <c r="AM167" i="19" a="1"/>
  <c r="AM167" i="19" s="1"/>
  <c r="K260" i="19"/>
  <c r="AM260" i="19" a="1"/>
  <c r="AM260" i="19" s="1"/>
  <c r="K241" i="19"/>
  <c r="AM241" i="19" a="1"/>
  <c r="AM241" i="19" s="1"/>
  <c r="K163" i="19"/>
  <c r="AM163" i="19" a="1"/>
  <c r="AM163" i="19" s="1"/>
  <c r="K17" i="19"/>
  <c r="AM17" i="19" a="1"/>
  <c r="AM17" i="19" s="1"/>
  <c r="K76" i="19"/>
  <c r="AM76" i="19" a="1"/>
  <c r="AM76" i="19" s="1"/>
  <c r="K218" i="19"/>
  <c r="AM218" i="19" a="1"/>
  <c r="AM218" i="19" s="1"/>
  <c r="K202" i="19"/>
  <c r="AM202" i="19" a="1"/>
  <c r="AM202" i="19" s="1"/>
  <c r="K180" i="19"/>
  <c r="AM180" i="19" a="1"/>
  <c r="AM180" i="19" s="1"/>
  <c r="K85" i="19"/>
  <c r="AM85" i="19" a="1"/>
  <c r="AM85" i="19" s="1"/>
  <c r="K52" i="19"/>
  <c r="AM52" i="19" a="1"/>
  <c r="AM52" i="19" s="1"/>
  <c r="K237" i="19"/>
  <c r="AM237" i="19" a="1"/>
  <c r="AM237" i="19" s="1"/>
  <c r="K75" i="19"/>
  <c r="AM75" i="19" a="1"/>
  <c r="AM75" i="19" s="1"/>
  <c r="AK168" i="19"/>
  <c r="AK25" i="19"/>
  <c r="K43" i="19"/>
  <c r="AM43" i="19" a="1"/>
  <c r="AM43" i="19" s="1"/>
  <c r="K187" i="19"/>
  <c r="AM187" i="19" a="1"/>
  <c r="AM187" i="19" s="1"/>
  <c r="K173" i="19"/>
  <c r="AM173" i="19" a="1"/>
  <c r="AM173" i="19" s="1"/>
  <c r="K166" i="19"/>
  <c r="AM166" i="19" a="1"/>
  <c r="AM166" i="19" s="1"/>
  <c r="AK13" i="19"/>
  <c r="AK33" i="19"/>
  <c r="K189" i="19"/>
  <c r="AM189" i="19" a="1"/>
  <c r="AM189" i="19" s="1"/>
  <c r="AK223" i="19"/>
  <c r="AK200" i="19"/>
  <c r="AK163" i="19"/>
  <c r="AK52" i="19"/>
  <c r="R151" i="19"/>
  <c r="K177" i="19"/>
  <c r="AC177" i="19" s="1" a="1"/>
  <c r="AC177" i="19" s="1"/>
  <c r="AM177" i="19" a="1"/>
  <c r="AM177" i="19" s="1"/>
  <c r="AK205" i="19"/>
  <c r="L211" i="19"/>
  <c r="AM211" i="19" a="1"/>
  <c r="AM211" i="19" s="1"/>
  <c r="AB187" i="19" a="1"/>
  <c r="AB187" i="19" s="1"/>
  <c r="J186" i="19"/>
  <c r="AB186" i="19" s="1" a="1"/>
  <c r="AB186" i="19" s="1"/>
  <c r="AL186" i="19" a="1"/>
  <c r="AL186" i="19" s="1"/>
  <c r="AK293" i="19"/>
  <c r="AK18" i="19"/>
  <c r="AK89" i="19"/>
  <c r="AM10" i="19" a="1"/>
  <c r="AM10" i="19" s="1"/>
  <c r="K141" i="19"/>
  <c r="AM141" i="19" a="1"/>
  <c r="AM141" i="19" s="1"/>
  <c r="K96" i="19"/>
  <c r="AM96" i="19" a="1"/>
  <c r="AM96" i="19" s="1"/>
  <c r="K193" i="19"/>
  <c r="AM193" i="19" a="1"/>
  <c r="AM193" i="19" s="1"/>
  <c r="K140" i="19"/>
  <c r="AM140" i="19" a="1"/>
  <c r="AM140" i="19" s="1"/>
  <c r="K152" i="19"/>
  <c r="AM152" i="19" a="1"/>
  <c r="AM152" i="19" s="1"/>
  <c r="AK159" i="19"/>
  <c r="K248" i="19"/>
  <c r="AM248" i="19" a="1"/>
  <c r="AM248" i="19" s="1"/>
  <c r="K242" i="19"/>
  <c r="AM242" i="19" a="1"/>
  <c r="AM242" i="19" s="1"/>
  <c r="K179" i="19"/>
  <c r="AM179" i="19" a="1"/>
  <c r="AM179" i="19" s="1"/>
  <c r="K84" i="19"/>
  <c r="AM84" i="19" a="1"/>
  <c r="AM84" i="19" s="1"/>
  <c r="K50" i="19"/>
  <c r="AM50" i="19" a="1"/>
  <c r="AM50" i="19" s="1"/>
  <c r="AK239" i="19"/>
  <c r="AK183" i="19"/>
  <c r="AK31" i="19"/>
  <c r="AN9" i="19" a="1"/>
  <c r="AN9" i="19" s="1"/>
  <c r="AK9" i="19"/>
  <c r="AM9" i="19" s="1" a="1"/>
  <c r="AM9" i="19" s="1"/>
  <c r="AK147" i="19"/>
  <c r="AK210" i="19"/>
  <c r="AK181" i="19"/>
  <c r="AK292" i="19"/>
  <c r="AK236" i="19"/>
  <c r="AK157" i="19"/>
  <c r="AK34" i="19"/>
  <c r="AK57" i="19"/>
  <c r="AK321" i="19"/>
  <c r="AK197" i="19"/>
  <c r="AK149" i="19"/>
  <c r="AK105" i="19"/>
  <c r="AK146" i="19"/>
  <c r="AK42" i="19"/>
  <c r="AK164" i="19"/>
  <c r="AK249" i="19"/>
  <c r="K168" i="19"/>
  <c r="AM168" i="19" a="1"/>
  <c r="AM168" i="19" s="1"/>
  <c r="AN12" i="19" a="1"/>
  <c r="AN12" i="19" s="1"/>
  <c r="AP12" i="19" s="1" a="1"/>
  <c r="AP12" i="19" s="1"/>
  <c r="AK12" i="19"/>
  <c r="AM12" i="19" s="1" a="1"/>
  <c r="AM12" i="19" s="1"/>
  <c r="AO12" i="19" s="1" a="1"/>
  <c r="AO12" i="19" s="1"/>
  <c r="AK167" i="19"/>
  <c r="AK180" i="19"/>
  <c r="K156" i="19"/>
  <c r="AM156" i="19" a="1"/>
  <c r="AM156" i="19" s="1"/>
  <c r="K26" i="19"/>
  <c r="AM26" i="19" a="1"/>
  <c r="AM26" i="19" s="1"/>
  <c r="AB43" i="19"/>
  <c r="AB88" i="19"/>
  <c r="K318" i="19"/>
  <c r="AM318" i="19" a="1"/>
  <c r="AM318" i="19" s="1"/>
  <c r="K293" i="19"/>
  <c r="AM293" i="19" a="1"/>
  <c r="AM293" i="19" s="1"/>
  <c r="K18" i="19"/>
  <c r="AM18" i="19" a="1"/>
  <c r="AM18" i="19" s="1"/>
  <c r="K89" i="19"/>
  <c r="AM89" i="19" a="1"/>
  <c r="AM89" i="19" s="1"/>
  <c r="AK261" i="19"/>
  <c r="AK229" i="19"/>
  <c r="AK188" i="19"/>
  <c r="AK29" i="19"/>
  <c r="AK169" i="19"/>
  <c r="AK243" i="19"/>
  <c r="AK184" i="19"/>
  <c r="AK208" i="19"/>
  <c r="AK151" i="19"/>
  <c r="AM11" i="19" a="1"/>
  <c r="AM11" i="19" s="1"/>
  <c r="K239" i="19"/>
  <c r="AM239" i="19" a="1"/>
  <c r="AM239" i="19" s="1"/>
  <c r="K183" i="19"/>
  <c r="AM183" i="19" a="1"/>
  <c r="AM183" i="19" s="1"/>
  <c r="K31" i="19"/>
  <c r="AM31" i="19" a="1"/>
  <c r="AM31" i="19" s="1"/>
  <c r="K147" i="19"/>
  <c r="AM147" i="19" a="1"/>
  <c r="AM147" i="19" s="1"/>
  <c r="K210" i="19"/>
  <c r="AM210" i="19" a="1"/>
  <c r="AM210" i="19" s="1"/>
  <c r="K181" i="19"/>
  <c r="AM181" i="19" a="1"/>
  <c r="AM181" i="19" s="1"/>
  <c r="K292" i="19"/>
  <c r="AM292" i="19" a="1"/>
  <c r="AM292" i="19" s="1"/>
  <c r="K236" i="19"/>
  <c r="AM236" i="19" a="1"/>
  <c r="AM236" i="19" s="1"/>
  <c r="K157" i="19"/>
  <c r="AM157" i="19" a="1"/>
  <c r="AM157" i="19" s="1"/>
  <c r="K34" i="19"/>
  <c r="AM34" i="19" a="1"/>
  <c r="AM34" i="19" s="1"/>
  <c r="K57" i="19"/>
  <c r="AM57" i="19" a="1"/>
  <c r="AM57" i="19" s="1"/>
  <c r="K321" i="19"/>
  <c r="AM321" i="19" a="1"/>
  <c r="AM321" i="19" s="1"/>
  <c r="K197" i="19"/>
  <c r="AM197" i="19" a="1"/>
  <c r="AM197" i="19" s="1"/>
  <c r="K149" i="19"/>
  <c r="AM149" i="19" a="1"/>
  <c r="AM149" i="19" s="1"/>
  <c r="K105" i="19"/>
  <c r="AM105" i="19" a="1"/>
  <c r="AM105" i="19" s="1"/>
  <c r="K146" i="19"/>
  <c r="AM146" i="19" a="1"/>
  <c r="AM146" i="19" s="1"/>
  <c r="K201" i="19"/>
  <c r="AM201" i="19" a="1"/>
  <c r="AM201" i="19" s="1"/>
  <c r="K90" i="19"/>
  <c r="AM90" i="19" a="1"/>
  <c r="AM90" i="19" s="1"/>
  <c r="AK94" i="19"/>
  <c r="AK51" i="19"/>
  <c r="K42" i="19"/>
  <c r="AM42" i="19" a="1"/>
  <c r="AM42" i="19" s="1"/>
  <c r="K41" i="19"/>
  <c r="AM41" i="19" a="1"/>
  <c r="AM41" i="19" s="1"/>
  <c r="L53" i="19"/>
  <c r="AN53" i="19" a="1"/>
  <c r="AN53" i="19" s="1"/>
  <c r="K164" i="19"/>
  <c r="AM164" i="19" a="1"/>
  <c r="AM164" i="19" s="1"/>
  <c r="K25" i="19"/>
  <c r="AM25" i="19" a="1"/>
  <c r="AM25" i="19" s="1"/>
  <c r="AK218" i="19"/>
  <c r="AB173" i="19" a="1"/>
  <c r="AB173" i="19" s="1"/>
  <c r="AB166" i="19" a="1"/>
  <c r="AB166" i="19" s="1"/>
  <c r="AK333" i="19"/>
  <c r="AK240" i="19"/>
  <c r="AK143" i="19"/>
  <c r="AK44" i="19"/>
  <c r="AK87" i="19"/>
  <c r="AN10" i="19" a="1"/>
  <c r="AN10" i="19" s="1"/>
  <c r="AP10" i="19" s="1" a="1"/>
  <c r="AP10" i="19" s="1"/>
  <c r="K261" i="19"/>
  <c r="AM261" i="19" a="1"/>
  <c r="AM261" i="19" s="1"/>
  <c r="K229" i="19"/>
  <c r="AM229" i="19" a="1"/>
  <c r="AM229" i="19" s="1"/>
  <c r="K188" i="19"/>
  <c r="AM188" i="19" a="1"/>
  <c r="AM188" i="19" s="1"/>
  <c r="K29" i="19"/>
  <c r="AM29" i="19" a="1"/>
  <c r="AM29" i="19" s="1"/>
  <c r="K169" i="19"/>
  <c r="AM169" i="19" a="1"/>
  <c r="AM169" i="19" s="1"/>
  <c r="K243" i="19"/>
  <c r="AM243" i="19" a="1"/>
  <c r="AM243" i="19" s="1"/>
  <c r="K184" i="19"/>
  <c r="AM184" i="19" a="1"/>
  <c r="AM184" i="19" s="1"/>
  <c r="K208" i="19"/>
  <c r="AM208" i="19" a="1"/>
  <c r="AM208" i="19" s="1"/>
  <c r="K151" i="19"/>
  <c r="AM151" i="19" a="1"/>
  <c r="AM151" i="19" s="1"/>
  <c r="AK317" i="19"/>
  <c r="AK203" i="19"/>
  <c r="AK171" i="19"/>
  <c r="AK21" i="19"/>
  <c r="AK22" i="19"/>
  <c r="AK194" i="19"/>
  <c r="AK318" i="19"/>
  <c r="AK192" i="19"/>
  <c r="AK262" i="19"/>
  <c r="AK170" i="19"/>
  <c r="AK178" i="19"/>
  <c r="AK47" i="19"/>
  <c r="AK144" i="19"/>
  <c r="AK245" i="19"/>
  <c r="AK190" i="19"/>
  <c r="AK145" i="19"/>
  <c r="AK153" i="19"/>
  <c r="AK48" i="19"/>
  <c r="AK41" i="19"/>
  <c r="K247" i="19"/>
  <c r="AM247" i="19" a="1"/>
  <c r="AM247" i="19" s="1"/>
  <c r="K88" i="19"/>
  <c r="AM88" i="19" a="1"/>
  <c r="AM88" i="19" s="1"/>
  <c r="K158" i="19"/>
  <c r="AN158" i="19" s="1" a="1"/>
  <c r="AN158" i="19" s="1"/>
  <c r="AM158" i="19" a="1"/>
  <c r="AM158" i="19" s="1"/>
  <c r="AK24" i="19"/>
  <c r="K48" i="19"/>
  <c r="AM48" i="19" a="1"/>
  <c r="AM48" i="19" s="1"/>
  <c r="K20" i="19"/>
  <c r="AM20" i="19" a="1"/>
  <c r="AM20" i="19" s="1"/>
  <c r="AK76" i="19"/>
  <c r="K291" i="19"/>
  <c r="AM291" i="19" a="1"/>
  <c r="AM291" i="19" s="1"/>
  <c r="K28" i="19"/>
  <c r="AM28" i="19" a="1"/>
  <c r="AM28" i="19" s="1"/>
  <c r="J62" i="19"/>
  <c r="J63" i="19" s="1"/>
  <c r="AL62" i="19" a="1"/>
  <c r="AL62" i="19" s="1"/>
  <c r="AK97" i="19"/>
  <c r="AB164" i="19" a="1"/>
  <c r="AB164" i="19" s="1"/>
  <c r="AB207" i="19" a="1"/>
  <c r="AB207" i="19" s="1"/>
  <c r="J199" i="19"/>
  <c r="AL199" i="19" a="1"/>
  <c r="AL199" i="19" s="1"/>
  <c r="AK220" i="19"/>
  <c r="K333" i="19"/>
  <c r="AM333" i="19" a="1"/>
  <c r="AM333" i="19" s="1"/>
  <c r="K240" i="19"/>
  <c r="AM240" i="19" a="1"/>
  <c r="AM240" i="19" s="1"/>
  <c r="K143" i="19"/>
  <c r="AM143" i="19" a="1"/>
  <c r="AM143" i="19" s="1"/>
  <c r="K44" i="19"/>
  <c r="AM44" i="19" a="1"/>
  <c r="AM44" i="19" s="1"/>
  <c r="K87" i="19"/>
  <c r="AM87" i="19" a="1"/>
  <c r="AM87" i="19" s="1"/>
  <c r="AK55" i="19"/>
  <c r="AK150" i="19"/>
  <c r="AK334" i="19"/>
  <c r="AK195" i="19"/>
  <c r="AK185" i="19"/>
  <c r="AK30" i="19"/>
  <c r="AK320" i="19"/>
  <c r="AK19" i="19"/>
  <c r="AK16" i="19"/>
  <c r="AK154" i="19"/>
  <c r="AN11" i="19" a="1"/>
  <c r="AN11" i="19" s="1"/>
  <c r="AP11" i="19" s="1" a="1"/>
  <c r="AP11" i="19" s="1"/>
  <c r="K317" i="19"/>
  <c r="AM317" i="19" a="1"/>
  <c r="AM317" i="19" s="1"/>
  <c r="K203" i="19"/>
  <c r="AM203" i="19" a="1"/>
  <c r="AM203" i="19" s="1"/>
  <c r="K171" i="19"/>
  <c r="AM171" i="19" a="1"/>
  <c r="AM171" i="19" s="1"/>
  <c r="K21" i="19"/>
  <c r="AM21" i="19" a="1"/>
  <c r="AM21" i="19" s="1"/>
  <c r="K22" i="19"/>
  <c r="AM22" i="19" a="1"/>
  <c r="AM22" i="19" s="1"/>
  <c r="K194" i="19"/>
  <c r="AM194" i="19" a="1"/>
  <c r="AM194" i="19" s="1"/>
  <c r="K192" i="19"/>
  <c r="AM192" i="19" a="1"/>
  <c r="AM192" i="19" s="1"/>
  <c r="K262" i="19"/>
  <c r="AM262" i="19" a="1"/>
  <c r="AM262" i="19" s="1"/>
  <c r="K170" i="19"/>
  <c r="AM170" i="19" a="1"/>
  <c r="AM170" i="19" s="1"/>
  <c r="K178" i="19"/>
  <c r="AM178" i="19" a="1"/>
  <c r="AM178" i="19" s="1"/>
  <c r="K47" i="19"/>
  <c r="AM47" i="19" a="1"/>
  <c r="AM47" i="19" s="1"/>
  <c r="K144" i="19"/>
  <c r="AM144" i="19" a="1"/>
  <c r="AM144" i="19" s="1"/>
  <c r="K245" i="19"/>
  <c r="AM245" i="19" a="1"/>
  <c r="AM245" i="19" s="1"/>
  <c r="K190" i="19"/>
  <c r="AM190" i="19" a="1"/>
  <c r="AM190" i="19" s="1"/>
  <c r="K145" i="19"/>
  <c r="AM145" i="19" a="1"/>
  <c r="AM145" i="19" s="1"/>
  <c r="K153" i="19"/>
  <c r="AM153" i="19" a="1"/>
  <c r="AM153" i="19" s="1"/>
  <c r="AA92" i="19"/>
  <c r="Z92" i="19" s="1"/>
  <c r="I14" i="19" a="1"/>
  <c r="I14" i="19" s="1"/>
  <c r="AL14" i="19" s="1" a="1"/>
  <c r="AL14" i="19" s="1"/>
  <c r="AK14" i="19" s="1"/>
  <c r="I37" i="19" a="1"/>
  <c r="I37" i="19" s="1"/>
  <c r="M34" i="30"/>
  <c r="I34" i="30"/>
  <c r="I70" i="30" s="1"/>
  <c r="U34" i="30"/>
  <c r="U72" i="30" s="1"/>
  <c r="I68" i="30"/>
  <c r="M68" i="30"/>
  <c r="Q34" i="30"/>
  <c r="AB98" i="29"/>
  <c r="AC98" i="29" s="1"/>
  <c r="AD98" i="29" s="1"/>
  <c r="AE98" i="29" s="1"/>
  <c r="R98" i="29"/>
  <c r="S98" i="29" s="1"/>
  <c r="T98" i="29" s="1"/>
  <c r="U98" i="29" s="1"/>
  <c r="Z23" i="29"/>
  <c r="AP72" i="29"/>
  <c r="AB24" i="29"/>
  <c r="AC24" i="29" s="1"/>
  <c r="AD24" i="29" s="1"/>
  <c r="AE24" i="29" s="1"/>
  <c r="AB69" i="29"/>
  <c r="AC69" i="29" s="1"/>
  <c r="AF77" i="29"/>
  <c r="AB100" i="29"/>
  <c r="AC100" i="29" s="1"/>
  <c r="AD100" i="29" s="1"/>
  <c r="AE100" i="29" s="1"/>
  <c r="Z100" i="29"/>
  <c r="AB68" i="29"/>
  <c r="Z68" i="29"/>
  <c r="AB37" i="29"/>
  <c r="AC37" i="29" s="1"/>
  <c r="AD37" i="29" s="1"/>
  <c r="AE37" i="29" s="1"/>
  <c r="Z37" i="29"/>
  <c r="AB31" i="29"/>
  <c r="AC31" i="29" s="1"/>
  <c r="AD31" i="29" s="1"/>
  <c r="AE31" i="29" s="1"/>
  <c r="Z31" i="29"/>
  <c r="AF74" i="29"/>
  <c r="AB32" i="29"/>
  <c r="AC32" i="29" s="1"/>
  <c r="AD32" i="29" s="1"/>
  <c r="AE32" i="29" s="1"/>
  <c r="Z32" i="29"/>
  <c r="AB93" i="29"/>
  <c r="AC93" i="29" s="1"/>
  <c r="AD93" i="29" s="1"/>
  <c r="AE93" i="29" s="1"/>
  <c r="AF92" i="29"/>
  <c r="AF9" i="29"/>
  <c r="AF78" i="29"/>
  <c r="AF111" i="29"/>
  <c r="I60" i="29"/>
  <c r="J60" i="29" s="1"/>
  <c r="K60" i="29" s="1"/>
  <c r="L60" i="29" s="1"/>
  <c r="M60" i="29" s="1"/>
  <c r="H61" i="29"/>
  <c r="I61" i="29" s="1"/>
  <c r="J10" i="29"/>
  <c r="I84" i="29"/>
  <c r="J84" i="29" s="1"/>
  <c r="K84" i="29" s="1"/>
  <c r="L84" i="29" s="1"/>
  <c r="M84" i="29" s="1"/>
  <c r="H86" i="29"/>
  <c r="I86" i="29" s="1"/>
  <c r="AA108" i="29"/>
  <c r="Z108" i="29" s="1"/>
  <c r="J108" i="29"/>
  <c r="K108" i="29" s="1"/>
  <c r="L108" i="29" s="1"/>
  <c r="M108" i="29" s="1"/>
  <c r="I85" i="29"/>
  <c r="Q85" i="29" s="1"/>
  <c r="P85" i="29" s="1"/>
  <c r="H87" i="29"/>
  <c r="I87" i="29" s="1"/>
  <c r="AP93" i="29"/>
  <c r="AP23" i="29"/>
  <c r="AF23" i="29"/>
  <c r="J104" i="29" a="1"/>
  <c r="J104" i="29" s="1"/>
  <c r="AP61" i="29"/>
  <c r="AP87" i="29"/>
  <c r="AP24" i="29"/>
  <c r="I107" i="29" a="1"/>
  <c r="I107" i="29" s="1"/>
  <c r="Q107" i="29" s="1"/>
  <c r="P107" i="29" s="1"/>
  <c r="J105" i="29" a="1"/>
  <c r="J105" i="29" s="1"/>
  <c r="V154" i="29"/>
  <c r="K102" i="29"/>
  <c r="J103" i="29"/>
  <c r="J106" i="29" a="1"/>
  <c r="J106" i="29" s="1"/>
  <c r="J37" i="29"/>
  <c r="Q37" i="29"/>
  <c r="P37" i="29" s="1"/>
  <c r="R36" i="29"/>
  <c r="S36" i="29" s="1"/>
  <c r="T36" i="29" s="1"/>
  <c r="U36" i="29" s="1"/>
  <c r="V36" i="29" s="1"/>
  <c r="P36" i="29"/>
  <c r="R105" i="29"/>
  <c r="S105" i="29" s="1"/>
  <c r="T105" i="29" s="1"/>
  <c r="U105" i="29" s="1"/>
  <c r="P105" i="29"/>
  <c r="R161" i="29"/>
  <c r="J33" i="29" a="1"/>
  <c r="J33" i="29" s="1"/>
  <c r="I35" i="29" a="1"/>
  <c r="I35" i="29" s="1"/>
  <c r="J34" i="29" a="1"/>
  <c r="J34" i="29" s="1"/>
  <c r="J32" i="29" a="1"/>
  <c r="J32" i="29" s="1"/>
  <c r="AP30" i="29"/>
  <c r="V153" i="29"/>
  <c r="V155" i="29"/>
  <c r="S161" i="29"/>
  <c r="Q34" i="29"/>
  <c r="P34" i="29" s="1"/>
  <c r="Q65" i="29"/>
  <c r="J65" i="29"/>
  <c r="K65" i="29" s="1"/>
  <c r="L65" i="29" s="1"/>
  <c r="M65" i="29" s="1"/>
  <c r="Q32" i="29"/>
  <c r="U161" i="29"/>
  <c r="V158" i="29"/>
  <c r="T161" i="29"/>
  <c r="AP79" i="29"/>
  <c r="J78" i="29"/>
  <c r="K78" i="29" s="1"/>
  <c r="L78" i="29" s="1"/>
  <c r="M78" i="29" s="1"/>
  <c r="J9" i="29"/>
  <c r="J36" i="29"/>
  <c r="K36" i="29" s="1"/>
  <c r="L36" i="29" s="1"/>
  <c r="M36" i="29" s="1"/>
  <c r="Q64" i="29"/>
  <c r="P64" i="29" s="1"/>
  <c r="J64" i="29"/>
  <c r="K64" i="29" s="1"/>
  <c r="L64" i="29" s="1"/>
  <c r="M64" i="29" s="1"/>
  <c r="AM37" i="29"/>
  <c r="AN37" i="29" s="1"/>
  <c r="AO37" i="29" s="1"/>
  <c r="AP37" i="29" s="1"/>
  <c r="J111" i="29"/>
  <c r="K111" i="29" s="1"/>
  <c r="L111" i="29" s="1"/>
  <c r="M111" i="29" s="1"/>
  <c r="Q111" i="29"/>
  <c r="P111" i="29" s="1"/>
  <c r="J66" i="29"/>
  <c r="K66" i="29" s="1"/>
  <c r="L66" i="29" s="1"/>
  <c r="M66" i="29" s="1"/>
  <c r="Q66" i="29"/>
  <c r="P66" i="29" s="1"/>
  <c r="Q106" i="29"/>
  <c r="AP84" i="29"/>
  <c r="Q74" i="29"/>
  <c r="P74" i="29" s="1"/>
  <c r="J74" i="29"/>
  <c r="K74" i="29" s="1"/>
  <c r="L74" i="29" s="1"/>
  <c r="M74" i="29" s="1"/>
  <c r="J59" i="29"/>
  <c r="K59" i="29" s="1"/>
  <c r="L59" i="29" s="1"/>
  <c r="M59" i="29" s="1"/>
  <c r="Q59" i="29"/>
  <c r="P59" i="29" s="1"/>
  <c r="Q77" i="29"/>
  <c r="AB84" i="29"/>
  <c r="AC84" i="29" s="1"/>
  <c r="AD84" i="29" s="1"/>
  <c r="AE84" i="29" s="1"/>
  <c r="J92" i="29"/>
  <c r="K92" i="29" s="1"/>
  <c r="L92" i="29" s="1"/>
  <c r="M92" i="29" s="1"/>
  <c r="Q92" i="29"/>
  <c r="P92" i="29" s="1"/>
  <c r="AL71" i="29"/>
  <c r="AM71" i="29" s="1"/>
  <c r="AN71" i="29" s="1"/>
  <c r="AO71" i="29" s="1"/>
  <c r="Q67" i="29"/>
  <c r="P67" i="29" s="1"/>
  <c r="J67" i="29"/>
  <c r="K67" i="29" s="1"/>
  <c r="L67" i="29" s="1"/>
  <c r="M67" i="29" s="1"/>
  <c r="J79" i="29"/>
  <c r="K79" i="29" s="1"/>
  <c r="L79" i="29" s="1"/>
  <c r="M79" i="29" s="1"/>
  <c r="Q79" i="29"/>
  <c r="P79" i="29" s="1"/>
  <c r="AM32" i="29"/>
  <c r="AN32" i="29" s="1"/>
  <c r="AO32" i="29" s="1"/>
  <c r="AN74" i="29"/>
  <c r="AO74" i="29" s="1"/>
  <c r="Q104" i="29"/>
  <c r="P104" i="29" s="1"/>
  <c r="V152" i="29"/>
  <c r="Q75" i="29"/>
  <c r="P75" i="29" s="1"/>
  <c r="J75" i="29"/>
  <c r="K75" i="29" s="1"/>
  <c r="L75" i="29" s="1"/>
  <c r="M75" i="29" s="1"/>
  <c r="Q103" i="29"/>
  <c r="P103" i="29" s="1"/>
  <c r="AM31" i="29"/>
  <c r="AN31" i="29" s="1"/>
  <c r="AO31" i="29" s="1"/>
  <c r="Q31" i="29"/>
  <c r="P31" i="29" s="1"/>
  <c r="AN100" i="29"/>
  <c r="AO100" i="29" s="1"/>
  <c r="AP76" i="29"/>
  <c r="Q76" i="29"/>
  <c r="P76" i="29" s="1"/>
  <c r="AP77" i="29"/>
  <c r="P319" i="19"/>
  <c r="AF321" i="19"/>
  <c r="AF333" i="19"/>
  <c r="AB318" i="19"/>
  <c r="R318" i="19"/>
  <c r="AF317" i="19"/>
  <c r="Z319" i="19"/>
  <c r="AB319" i="19"/>
  <c r="Z320" i="19"/>
  <c r="AB320" i="19"/>
  <c r="AD9" i="19"/>
  <c r="V317" i="19"/>
  <c r="P320" i="19"/>
  <c r="R320" i="19"/>
  <c r="V321" i="19"/>
  <c r="AF294" i="19"/>
  <c r="BA321" i="19"/>
  <c r="AF260" i="19"/>
  <c r="V260" i="19"/>
  <c r="V294" i="19"/>
  <c r="BA260" i="19"/>
  <c r="V248" i="19"/>
  <c r="BA294" i="19"/>
  <c r="P293" i="19"/>
  <c r="Z242" i="19"/>
  <c r="Z247" i="19"/>
  <c r="AC248" i="19"/>
  <c r="AD248" i="19" s="1"/>
  <c r="AE248" i="19" s="1"/>
  <c r="AB249" i="19"/>
  <c r="Z239" i="19"/>
  <c r="V292" i="19"/>
  <c r="AB293" i="19"/>
  <c r="Z292" i="19"/>
  <c r="R247" i="19"/>
  <c r="V293" i="19"/>
  <c r="P292" i="19"/>
  <c r="BA248" i="19"/>
  <c r="V261" i="19"/>
  <c r="BA249" i="19"/>
  <c r="BA247" i="19"/>
  <c r="BA292" i="19"/>
  <c r="BA261" i="19"/>
  <c r="BA293" i="19"/>
  <c r="V262" i="19"/>
  <c r="Z240" i="19"/>
  <c r="BA262" i="19"/>
  <c r="V243" i="19"/>
  <c r="AB237" i="19"/>
  <c r="Z237" i="19"/>
  <c r="Z244" i="19"/>
  <c r="BA243" i="19"/>
  <c r="V223" i="19"/>
  <c r="BA244" i="19"/>
  <c r="V244" i="19"/>
  <c r="V227" i="19"/>
  <c r="V226" i="19"/>
  <c r="BA227" i="19"/>
  <c r="BA228" i="19"/>
  <c r="BA223" i="19"/>
  <c r="Z220" i="19"/>
  <c r="V218" i="19"/>
  <c r="BA245" i="19"/>
  <c r="BA239" i="19"/>
  <c r="BA222" i="19"/>
  <c r="I221" i="19" a="1"/>
  <c r="I221" i="19" s="1"/>
  <c r="AL221" i="19" s="1" a="1"/>
  <c r="AL221" i="19" s="1"/>
  <c r="AF219" i="19"/>
  <c r="BA221" i="19"/>
  <c r="K219" i="19"/>
  <c r="AN219" i="19" s="1" a="1"/>
  <c r="AN219" i="19" s="1"/>
  <c r="J220" i="19"/>
  <c r="V238" i="19"/>
  <c r="BA220" i="19"/>
  <c r="V239" i="19"/>
  <c r="V245" i="19"/>
  <c r="V229" i="19"/>
  <c r="V242" i="19"/>
  <c r="AF229" i="19"/>
  <c r="BA240" i="19"/>
  <c r="BA236" i="19"/>
  <c r="BA241" i="19"/>
  <c r="AF218" i="19"/>
  <c r="BA238" i="19"/>
  <c r="AF236" i="19"/>
  <c r="BA242" i="19"/>
  <c r="J204" i="19"/>
  <c r="BA229" i="19"/>
  <c r="BA218" i="19"/>
  <c r="V195" i="19"/>
  <c r="BA200" i="19"/>
  <c r="AA186" i="19" a="1"/>
  <c r="AA186" i="19" s="1"/>
  <c r="Z186" i="19" s="1"/>
  <c r="AA199" i="19" a="1"/>
  <c r="AA199" i="19" s="1"/>
  <c r="Z199" i="19" s="1"/>
  <c r="V184" i="19"/>
  <c r="R202" i="19"/>
  <c r="J212" i="19"/>
  <c r="J213" i="19" s="1" a="1"/>
  <c r="J213" i="19" s="1"/>
  <c r="R201" i="19"/>
  <c r="V200" i="19"/>
  <c r="BA195" i="19"/>
  <c r="P209" i="19"/>
  <c r="R203" i="19"/>
  <c r="J206" i="19"/>
  <c r="AM206" i="19" s="1" a="1"/>
  <c r="AM206" i="19" s="1"/>
  <c r="AA206" i="19" a="1"/>
  <c r="AA206" i="19" s="1"/>
  <c r="J198" i="19"/>
  <c r="AM198" i="19" s="1" a="1"/>
  <c r="AM198" i="19" s="1"/>
  <c r="AA198" i="19" a="1"/>
  <c r="AA198" i="19" s="1"/>
  <c r="R190" i="19"/>
  <c r="J205" i="19"/>
  <c r="AM205" i="19" s="1" a="1"/>
  <c r="AM205" i="19" s="1"/>
  <c r="AA205" i="19" a="1"/>
  <c r="AA205" i="19" s="1"/>
  <c r="Z205" i="19" s="1"/>
  <c r="J191" i="19"/>
  <c r="AM191" i="19" s="1" a="1"/>
  <c r="AM191" i="19" s="1"/>
  <c r="AA191" i="19" a="1"/>
  <c r="AA191" i="19" s="1"/>
  <c r="BA189" i="19"/>
  <c r="BA214" i="19"/>
  <c r="BA212" i="19"/>
  <c r="BA215" i="19"/>
  <c r="V189" i="19"/>
  <c r="P196" i="19"/>
  <c r="AF216" i="19"/>
  <c r="R183" i="19"/>
  <c r="AF203" i="19"/>
  <c r="AF196" i="19"/>
  <c r="AB177" i="19" a="1"/>
  <c r="AB177" i="19" s="1"/>
  <c r="BA216" i="19"/>
  <c r="P197" i="19"/>
  <c r="BA209" i="19"/>
  <c r="AF209" i="19"/>
  <c r="AF202" i="19"/>
  <c r="V157" i="19"/>
  <c r="BA187" i="19"/>
  <c r="V206" i="19"/>
  <c r="V216" i="19"/>
  <c r="AF190" i="19"/>
  <c r="V192" i="19"/>
  <c r="BA183" i="19"/>
  <c r="R150" i="19"/>
  <c r="V210" i="19"/>
  <c r="BA193" i="19"/>
  <c r="BA192" i="19"/>
  <c r="V186" i="19"/>
  <c r="V204" i="19"/>
  <c r="BA201" i="19"/>
  <c r="BA184" i="19"/>
  <c r="BA197" i="19"/>
  <c r="AF210" i="19"/>
  <c r="V185" i="19"/>
  <c r="BA202" i="19"/>
  <c r="Z170" i="19"/>
  <c r="V194" i="19"/>
  <c r="V187" i="19"/>
  <c r="V166" i="19"/>
  <c r="K174" i="19"/>
  <c r="AN174" i="19" s="1" a="1"/>
  <c r="AN174" i="19" s="1"/>
  <c r="AB174" i="19" a="1"/>
  <c r="AB174" i="19" s="1"/>
  <c r="BA194" i="19"/>
  <c r="V193" i="19"/>
  <c r="BA191" i="19"/>
  <c r="BA188" i="19"/>
  <c r="BA173" i="19"/>
  <c r="V176" i="19"/>
  <c r="R146" i="19"/>
  <c r="V208" i="19"/>
  <c r="BA157" i="19"/>
  <c r="BA170" i="19"/>
  <c r="BA181" i="19"/>
  <c r="BA171" i="19"/>
  <c r="BA207" i="19"/>
  <c r="V178" i="19"/>
  <c r="V162" i="19"/>
  <c r="BA179" i="19"/>
  <c r="J159" i="19"/>
  <c r="V158" i="19"/>
  <c r="V159" i="19"/>
  <c r="BA159" i="19"/>
  <c r="BA160" i="19"/>
  <c r="AF158" i="19"/>
  <c r="BA161" i="19"/>
  <c r="V169" i="19"/>
  <c r="BA172" i="19"/>
  <c r="V167" i="19"/>
  <c r="AF157" i="19"/>
  <c r="BA163" i="19"/>
  <c r="V164" i="19"/>
  <c r="BA164" i="19"/>
  <c r="V177" i="19"/>
  <c r="V168" i="19"/>
  <c r="Z75" i="19"/>
  <c r="V199" i="19"/>
  <c r="BA174" i="19"/>
  <c r="BA166" i="19"/>
  <c r="V174" i="19"/>
  <c r="BA198" i="19"/>
  <c r="R149" i="19"/>
  <c r="V175" i="19"/>
  <c r="BA180" i="19"/>
  <c r="BA175" i="19"/>
  <c r="BA206" i="19"/>
  <c r="Z146" i="19"/>
  <c r="BA205" i="19"/>
  <c r="AF208" i="19"/>
  <c r="R153" i="19"/>
  <c r="BA204" i="19"/>
  <c r="R152" i="19"/>
  <c r="Z141" i="19"/>
  <c r="R140" i="19"/>
  <c r="BA208" i="19"/>
  <c r="R154" i="19"/>
  <c r="Z144" i="19"/>
  <c r="Z85" i="19"/>
  <c r="P145" i="19"/>
  <c r="AB140" i="19"/>
  <c r="AB145" i="19"/>
  <c r="Z140" i="19"/>
  <c r="AB143" i="19"/>
  <c r="P144" i="19"/>
  <c r="P143" i="19"/>
  <c r="BA146" i="19"/>
  <c r="R89" i="19"/>
  <c r="Z87" i="19"/>
  <c r="V138" i="19"/>
  <c r="BA138" i="19"/>
  <c r="Z89" i="19"/>
  <c r="Z88" i="19"/>
  <c r="J97" i="19"/>
  <c r="AM97" i="19" s="1" a="1"/>
  <c r="AM97" i="19" s="1"/>
  <c r="I98" i="19"/>
  <c r="I99" i="19" s="1" a="1"/>
  <c r="I99" i="19" s="1"/>
  <c r="AK99" i="19" s="1"/>
  <c r="Z76" i="19"/>
  <c r="R84" i="19"/>
  <c r="I95" i="19" a="1"/>
  <c r="I95" i="19" s="1"/>
  <c r="AL95" i="19" s="1" a="1"/>
  <c r="AL95" i="19" s="1"/>
  <c r="J94" i="19" a="1"/>
  <c r="J94" i="19" s="1"/>
  <c r="AM94" i="19" s="1" a="1"/>
  <c r="AM94" i="19" s="1"/>
  <c r="J93" i="19" a="1"/>
  <c r="J93" i="19" s="1"/>
  <c r="AM93" i="19" s="1" a="1"/>
  <c r="AM93" i="19" s="1"/>
  <c r="K91" i="19"/>
  <c r="AN91" i="19" s="1" a="1"/>
  <c r="AN91" i="19" s="1"/>
  <c r="J92" i="19"/>
  <c r="AM92" i="19" s="1" a="1"/>
  <c r="AM92" i="19" s="1"/>
  <c r="AA93" i="19"/>
  <c r="BA95" i="19"/>
  <c r="BA94" i="19"/>
  <c r="V94" i="19"/>
  <c r="AA94" i="19"/>
  <c r="BA91" i="19"/>
  <c r="BA92" i="19"/>
  <c r="Z84" i="19"/>
  <c r="AB42" i="19"/>
  <c r="I63" i="19"/>
  <c r="R57" i="19"/>
  <c r="Z57" i="19"/>
  <c r="AF62" i="19"/>
  <c r="Z52" i="19"/>
  <c r="Z44" i="19"/>
  <c r="AB40" i="19"/>
  <c r="Z43" i="19"/>
  <c r="AB20" i="19"/>
  <c r="AC20" i="19" s="1"/>
  <c r="AD20" i="19" s="1"/>
  <c r="AE20" i="19" s="1"/>
  <c r="Z30" i="19"/>
  <c r="Z23" i="19"/>
  <c r="AB41" i="19"/>
  <c r="V23" i="19"/>
  <c r="BA35" i="19"/>
  <c r="V37" i="19"/>
  <c r="V35" i="19"/>
  <c r="K35" i="19"/>
  <c r="AN35" i="19" s="1" a="1"/>
  <c r="AN35" i="19" s="1"/>
  <c r="J36" i="19"/>
  <c r="AM36" i="19" s="1" a="1"/>
  <c r="AM36" i="19" s="1"/>
  <c r="BA38" i="19"/>
  <c r="AA36" i="19"/>
  <c r="V36" i="19"/>
  <c r="AF35" i="19"/>
  <c r="Z26" i="19"/>
  <c r="V34" i="19"/>
  <c r="AB21" i="19"/>
  <c r="AC21" i="19" s="1"/>
  <c r="AD21" i="19" s="1"/>
  <c r="AE21" i="19" s="1"/>
  <c r="Z25" i="19"/>
  <c r="AF19" i="19"/>
  <c r="Z19" i="19"/>
  <c r="AF26" i="19"/>
  <c r="Z16" i="19"/>
  <c r="Z22" i="19"/>
  <c r="Z28" i="19"/>
  <c r="AF28" i="19"/>
  <c r="V32" i="19"/>
  <c r="Z32" i="19"/>
  <c r="AB33" i="19"/>
  <c r="AC33" i="19" s="1"/>
  <c r="AD33" i="19" s="1"/>
  <c r="AE33" i="19" s="1"/>
  <c r="V39" i="19"/>
  <c r="AB24" i="19"/>
  <c r="AC24" i="19" s="1"/>
  <c r="AD24" i="19" s="1"/>
  <c r="AE24" i="19" s="1"/>
  <c r="AF24" i="19" s="1"/>
  <c r="BA20" i="19"/>
  <c r="BA32" i="19"/>
  <c r="AB31" i="19"/>
  <c r="AC31" i="19" s="1"/>
  <c r="AD31" i="19" s="1"/>
  <c r="AE31" i="19" s="1"/>
  <c r="V21" i="19"/>
  <c r="AB29" i="19"/>
  <c r="AC29" i="19" s="1"/>
  <c r="AD29" i="19" s="1"/>
  <c r="AE29" i="19" s="1"/>
  <c r="BA27" i="19"/>
  <c r="AB27" i="19"/>
  <c r="AC27" i="19" s="1"/>
  <c r="AD27" i="19" s="1"/>
  <c r="AE27" i="19" s="1"/>
  <c r="BA39" i="19"/>
  <c r="BA24" i="19"/>
  <c r="V16" i="19"/>
  <c r="BA21" i="19"/>
  <c r="BA19" i="19"/>
  <c r="V27" i="19"/>
  <c r="V31" i="19"/>
  <c r="BA25" i="19"/>
  <c r="BA31" i="19"/>
  <c r="BA16" i="19"/>
  <c r="V20" i="19"/>
  <c r="BA41" i="19"/>
  <c r="AF23" i="19"/>
  <c r="AF16" i="19"/>
  <c r="V41" i="19"/>
  <c r="V18" i="19"/>
  <c r="BA44" i="19"/>
  <c r="V22" i="19"/>
  <c r="V26" i="19"/>
  <c r="BA23" i="19"/>
  <c r="AF25" i="19"/>
  <c r="AF30" i="19"/>
  <c r="BA28" i="19"/>
  <c r="BA26" i="19"/>
  <c r="AF22" i="19"/>
  <c r="BA42" i="19"/>
  <c r="AF18" i="19"/>
  <c r="V17" i="19"/>
  <c r="V33" i="19"/>
  <c r="V25" i="19"/>
  <c r="BA22" i="19"/>
  <c r="V42" i="19"/>
  <c r="V44" i="19"/>
  <c r="AF34" i="19"/>
  <c r="AA13" i="19"/>
  <c r="BA47" i="19"/>
  <c r="AF96" i="19"/>
  <c r="V76" i="19"/>
  <c r="V85" i="19"/>
  <c r="AF105" i="19"/>
  <c r="V14" i="19"/>
  <c r="AF12" i="19"/>
  <c r="P50" i="19"/>
  <c r="BA14" i="19"/>
  <c r="V13" i="19"/>
  <c r="BA12" i="19"/>
  <c r="V12" i="19"/>
  <c r="R51" i="19"/>
  <c r="BA13" i="19"/>
  <c r="BA97" i="19"/>
  <c r="BA55" i="19"/>
  <c r="BA50" i="19"/>
  <c r="V105" i="19"/>
  <c r="V62" i="19"/>
  <c r="BA88" i="19"/>
  <c r="BA96" i="19"/>
  <c r="BA85" i="19"/>
  <c r="BA90" i="19"/>
  <c r="BA89" i="19"/>
  <c r="V55" i="19"/>
  <c r="BA62" i="19"/>
  <c r="BA144" i="19"/>
  <c r="BA86" i="19"/>
  <c r="BA141" i="19"/>
  <c r="V87" i="19"/>
  <c r="V75" i="19"/>
  <c r="BA75" i="19"/>
  <c r="BA57" i="19"/>
  <c r="V88" i="19"/>
  <c r="BA48" i="19"/>
  <c r="V52" i="19"/>
  <c r="AF48" i="19"/>
  <c r="BA76" i="19"/>
  <c r="BA87" i="19"/>
  <c r="AF51" i="19"/>
  <c r="BA84" i="19"/>
  <c r="V86" i="19"/>
  <c r="BA51" i="19"/>
  <c r="BA15" i="19"/>
  <c r="V90" i="19"/>
  <c r="BA52" i="19"/>
  <c r="AF50" i="19"/>
  <c r="BA140" i="19"/>
  <c r="BA145" i="19"/>
  <c r="V97" i="19"/>
  <c r="V96" i="19"/>
  <c r="BA143" i="19"/>
  <c r="V147" i="19"/>
  <c r="BA151" i="19"/>
  <c r="AF150" i="19"/>
  <c r="AF151" i="19"/>
  <c r="BA149" i="19"/>
  <c r="BA150" i="19"/>
  <c r="BA147" i="19"/>
  <c r="AF147" i="19"/>
  <c r="AF149" i="19"/>
  <c r="BA154" i="19"/>
  <c r="BA153" i="19"/>
  <c r="BA152" i="19"/>
  <c r="P9" i="19"/>
  <c r="BA156" i="19"/>
  <c r="AF10" i="19"/>
  <c r="AF156" i="19"/>
  <c r="R291" i="19"/>
  <c r="S291" i="19" s="1"/>
  <c r="T291" i="19" s="1"/>
  <c r="U291" i="19" s="1"/>
  <c r="BA155" i="19"/>
  <c r="AF11" i="19"/>
  <c r="R155" i="19"/>
  <c r="R11" i="19"/>
  <c r="S11" i="19" s="1"/>
  <c r="T11" i="19" s="1"/>
  <c r="U11" i="19" s="1"/>
  <c r="R156" i="19"/>
  <c r="BA291" i="19"/>
  <c r="R10" i="19"/>
  <c r="S10" i="19" s="1"/>
  <c r="T10" i="19" s="1"/>
  <c r="U10" i="19" s="1"/>
  <c r="AU123" i="29"/>
  <c r="AU142" i="29" s="1"/>
  <c r="Q161" i="29"/>
  <c r="R29" i="28"/>
  <c r="Q28" i="28"/>
  <c r="Q27" i="28"/>
  <c r="Q26" i="28"/>
  <c r="Z20" i="28"/>
  <c r="AI20" i="28"/>
  <c r="AR20" i="28"/>
  <c r="Q19" i="28"/>
  <c r="Z19" i="28"/>
  <c r="AI19" i="28"/>
  <c r="AR19" i="28"/>
  <c r="P12" i="28"/>
  <c r="J12" i="28"/>
  <c r="K12" i="28" s="1"/>
  <c r="L12" i="28" s="1"/>
  <c r="M12" i="28" s="1"/>
  <c r="Z12" i="28"/>
  <c r="AI12" i="28"/>
  <c r="AR12" i="28"/>
  <c r="N38" i="28"/>
  <c r="AO37" i="28"/>
  <c r="AF37" i="28"/>
  <c r="W37" i="28"/>
  <c r="N36" i="28"/>
  <c r="AQ35" i="28"/>
  <c r="AR35" i="28" s="1"/>
  <c r="AS35" i="28" s="1"/>
  <c r="AT35" i="28" s="1"/>
  <c r="AU35" i="28" s="1"/>
  <c r="AH35" i="28"/>
  <c r="AI35" i="28" s="1"/>
  <c r="AJ35" i="28" s="1"/>
  <c r="AK35" i="28" s="1"/>
  <c r="AL35" i="28" s="1"/>
  <c r="Y35" i="28"/>
  <c r="AQ17" i="28"/>
  <c r="AH17" i="28"/>
  <c r="AI17" i="28" s="1"/>
  <c r="Y17" i="28"/>
  <c r="Z17" i="28" s="1"/>
  <c r="AA17" i="28" s="1"/>
  <c r="AB17" i="28" s="1"/>
  <c r="AC17" i="28" s="1"/>
  <c r="N16" i="28"/>
  <c r="H16" i="28"/>
  <c r="I16" i="28" s="1"/>
  <c r="J16" i="28" s="1"/>
  <c r="K16" i="28" s="1"/>
  <c r="L16" i="28" s="1"/>
  <c r="M16" i="28" s="1"/>
  <c r="AQ15" i="28"/>
  <c r="AR15" i="28" s="1"/>
  <c r="AS15" i="28" s="1"/>
  <c r="AT15" i="28" s="1"/>
  <c r="AU15" i="28" s="1"/>
  <c r="AH15" i="28"/>
  <c r="AI15" i="28" s="1"/>
  <c r="AJ15" i="28" s="1"/>
  <c r="AK15" i="28" s="1"/>
  <c r="AL15" i="28" s="1"/>
  <c r="Y15" i="28"/>
  <c r="N15" i="28"/>
  <c r="B15" i="28"/>
  <c r="N14" i="28"/>
  <c r="H14" i="28"/>
  <c r="I14" i="28" s="1"/>
  <c r="J14" i="28" s="1"/>
  <c r="K14" i="28" s="1"/>
  <c r="L14" i="28" s="1"/>
  <c r="M14" i="28" s="1"/>
  <c r="N13" i="28"/>
  <c r="H13" i="28"/>
  <c r="I13" i="28" s="1"/>
  <c r="J13" i="28" s="1"/>
  <c r="K13" i="28" s="1"/>
  <c r="L13" i="28" s="1"/>
  <c r="M13" i="28" s="1"/>
  <c r="AO11" i="28"/>
  <c r="AF11" i="28"/>
  <c r="W11" i="28"/>
  <c r="N11" i="28"/>
  <c r="B11" i="28"/>
  <c r="N10" i="28"/>
  <c r="H10" i="28"/>
  <c r="I10" i="28" s="1"/>
  <c r="J10" i="28" s="1"/>
  <c r="K10" i="28" s="1"/>
  <c r="L10" i="28" s="1"/>
  <c r="M10" i="28" s="1"/>
  <c r="N9" i="28"/>
  <c r="H9" i="28"/>
  <c r="I9" i="28" s="1"/>
  <c r="J9" i="28" s="1"/>
  <c r="K9" i="28" s="1"/>
  <c r="L9" i="28" s="1"/>
  <c r="M9" i="28" s="1"/>
  <c r="AO8" i="28"/>
  <c r="AF8" i="28"/>
  <c r="W8" i="28"/>
  <c r="N8" i="28"/>
  <c r="B8" i="28"/>
  <c r="AO5" i="28"/>
  <c r="AF5" i="28"/>
  <c r="W5" i="28"/>
  <c r="N5" i="28"/>
  <c r="C5" i="28"/>
  <c r="AO4" i="28"/>
  <c r="AF4" i="28"/>
  <c r="W4" i="28"/>
  <c r="N4" i="28"/>
  <c r="C4" i="28"/>
  <c r="U376" i="19"/>
  <c r="T376" i="19"/>
  <c r="S376" i="19"/>
  <c r="R376" i="19"/>
  <c r="Q376" i="19"/>
  <c r="U375" i="19"/>
  <c r="T375" i="19"/>
  <c r="S375" i="19"/>
  <c r="R375" i="19"/>
  <c r="Q375" i="19"/>
  <c r="Q362" i="19"/>
  <c r="R362" i="19" s="1"/>
  <c r="S362" i="19" s="1"/>
  <c r="T362" i="19" s="1"/>
  <c r="U362" i="19" s="1"/>
  <c r="Q361" i="19"/>
  <c r="R361" i="19" s="1"/>
  <c r="S361" i="19" s="1"/>
  <c r="T361" i="19" s="1"/>
  <c r="U361" i="19" s="1"/>
  <c r="Q360" i="19"/>
  <c r="R360" i="19" s="1"/>
  <c r="S360" i="19" s="1"/>
  <c r="T360" i="19" s="1"/>
  <c r="U360" i="19" s="1"/>
  <c r="N378" i="19"/>
  <c r="N362" i="19"/>
  <c r="N361" i="19"/>
  <c r="N360" i="19"/>
  <c r="N359" i="19"/>
  <c r="AP27" i="31" l="1"/>
  <c r="AQ27" i="31" s="1"/>
  <c r="BA35" i="31"/>
  <c r="AC68" i="29"/>
  <c r="BA49" i="31"/>
  <c r="BA48" i="31"/>
  <c r="AZ56" i="31"/>
  <c r="AP49" i="31"/>
  <c r="AQ49" i="31" s="1"/>
  <c r="AP29" i="31"/>
  <c r="AQ29" i="31" s="1"/>
  <c r="AP47" i="31"/>
  <c r="AQ47" i="31" s="1"/>
  <c r="AP24" i="31"/>
  <c r="AQ24" i="31" s="1"/>
  <c r="BA29" i="31"/>
  <c r="AP25" i="31"/>
  <c r="AQ25" i="31" s="1"/>
  <c r="AP35" i="31"/>
  <c r="AQ35" i="31" s="1"/>
  <c r="AY56" i="31"/>
  <c r="BA34" i="31"/>
  <c r="AP28" i="31"/>
  <c r="AQ28" i="31" s="1"/>
  <c r="BA28" i="31"/>
  <c r="M70" i="30"/>
  <c r="AZ88" i="29"/>
  <c r="AZ40" i="29"/>
  <c r="AZ51" i="29"/>
  <c r="AZ45" i="29"/>
  <c r="AZ41" i="29"/>
  <c r="AZ89" i="29"/>
  <c r="AZ46" i="29"/>
  <c r="AZ47" i="29"/>
  <c r="AZ50" i="29"/>
  <c r="AZ81" i="29"/>
  <c r="AZ99" i="29"/>
  <c r="AZ39" i="29"/>
  <c r="AM68" i="29"/>
  <c r="AZ94" i="29"/>
  <c r="AZ48" i="29"/>
  <c r="AO88" i="29"/>
  <c r="AP88" i="29" s="1"/>
  <c r="AZ49" i="29"/>
  <c r="AZ44" i="29"/>
  <c r="AZ42" i="29"/>
  <c r="AZ52" i="29"/>
  <c r="AO99" i="29"/>
  <c r="AP99" i="29" s="1"/>
  <c r="L69" i="29"/>
  <c r="AD69" i="29" s="1"/>
  <c r="AW69" i="29"/>
  <c r="AZ43" i="29"/>
  <c r="AO39" i="29"/>
  <c r="AP39" i="29" s="1"/>
  <c r="AM69" i="29"/>
  <c r="AO81" i="29"/>
  <c r="AP81" i="29" s="1"/>
  <c r="L68" i="29"/>
  <c r="AD68" i="29" s="1"/>
  <c r="AW68" i="29"/>
  <c r="AO94" i="29"/>
  <c r="AP94" i="29" s="1"/>
  <c r="R220" i="19" a="1"/>
  <c r="R220" i="19" s="1"/>
  <c r="AM220" i="19" a="1"/>
  <c r="AM220" i="19" s="1"/>
  <c r="P93" i="19"/>
  <c r="R93" i="19"/>
  <c r="R92" i="19"/>
  <c r="P92" i="19"/>
  <c r="T209" i="19"/>
  <c r="AN209" i="19"/>
  <c r="Q70" i="30"/>
  <c r="Q72" i="30" s="1"/>
  <c r="AP21" i="29"/>
  <c r="AC170" i="19"/>
  <c r="K9" i="29"/>
  <c r="L9" i="29" s="1"/>
  <c r="M9" i="29" s="1"/>
  <c r="X134" i="29"/>
  <c r="AO20" i="31"/>
  <c r="AP20" i="31"/>
  <c r="AE23" i="31"/>
  <c r="AD56" i="31"/>
  <c r="AD20" i="31"/>
  <c r="AK123" i="29"/>
  <c r="AK137" i="29" s="1"/>
  <c r="AL138" i="29" s="1"/>
  <c r="AP34" i="31"/>
  <c r="AO56" i="31"/>
  <c r="AQ18" i="31"/>
  <c r="AQ51" i="31"/>
  <c r="AQ9" i="31"/>
  <c r="AQ54" i="31"/>
  <c r="AQ10" i="31"/>
  <c r="AE9" i="31"/>
  <c r="AE10" i="31"/>
  <c r="AF10" i="31" s="1"/>
  <c r="T57" i="31"/>
  <c r="AQ11" i="31"/>
  <c r="AE11" i="31"/>
  <c r="AF11" i="31" s="1"/>
  <c r="AO13" i="19" a="1"/>
  <c r="AO13" i="19" s="1"/>
  <c r="AE323" i="19"/>
  <c r="AF323" i="19" s="1"/>
  <c r="U329" i="19"/>
  <c r="V329" i="19" s="1"/>
  <c r="AE328" i="19"/>
  <c r="AF328" i="19" s="1"/>
  <c r="U323" i="19"/>
  <c r="V323" i="19" s="1"/>
  <c r="U328" i="19"/>
  <c r="V328" i="19" s="1"/>
  <c r="V324" i="19"/>
  <c r="AE327" i="19"/>
  <c r="AF327" i="19" s="1"/>
  <c r="U327" i="19"/>
  <c r="V327" i="19" s="1"/>
  <c r="AE329" i="19"/>
  <c r="AF329" i="19" s="1"/>
  <c r="AQ329" i="19"/>
  <c r="AQ323" i="19"/>
  <c r="AC87" i="19"/>
  <c r="AQ328" i="19"/>
  <c r="AQ327" i="19"/>
  <c r="AP14" i="19" a="1"/>
  <c r="AP14" i="19" s="1"/>
  <c r="AQ14" i="19" s="1"/>
  <c r="AN13" i="19" a="1"/>
  <c r="AN13" i="19" s="1"/>
  <c r="S197" i="19"/>
  <c r="AQ46" i="19"/>
  <c r="AC146" i="19"/>
  <c r="AM13" i="19" a="1"/>
  <c r="AM13" i="19" s="1"/>
  <c r="AE45" i="19"/>
  <c r="AF45" i="19" s="1"/>
  <c r="AC89" i="19"/>
  <c r="AE46" i="19"/>
  <c r="AF46" i="19" s="1"/>
  <c r="AC76" i="19"/>
  <c r="AQ45" i="19"/>
  <c r="S201" i="19"/>
  <c r="V375" i="19"/>
  <c r="I214" i="19" a="1"/>
  <c r="I214" i="19" s="1"/>
  <c r="AA214" i="19" s="1"/>
  <c r="AB214" i="19" s="1"/>
  <c r="AC214" i="19" s="1"/>
  <c r="AD214" i="19" s="1"/>
  <c r="AE214" i="19" s="1"/>
  <c r="AL213" i="19" a="1"/>
  <c r="AL213" i="19" s="1"/>
  <c r="AK213" i="19" s="1"/>
  <c r="AC320" i="19"/>
  <c r="I161" i="19" a="1"/>
  <c r="I161" i="19" s="1"/>
  <c r="AA161" i="19" s="1"/>
  <c r="AB161" i="19" s="1"/>
  <c r="AC161" i="19" s="1"/>
  <c r="AD161" i="19" s="1"/>
  <c r="AE161" i="19" s="1"/>
  <c r="AC239" i="19"/>
  <c r="S84" i="19"/>
  <c r="AC319" i="19"/>
  <c r="AC85" i="19"/>
  <c r="S183" i="19"/>
  <c r="AC41" i="19"/>
  <c r="AC52" i="19"/>
  <c r="S153" i="19"/>
  <c r="S149" i="19"/>
  <c r="S89" i="19"/>
  <c r="L158" i="19"/>
  <c r="M158" i="19" s="1"/>
  <c r="AP158" i="19" s="1" a="1"/>
  <c r="AP158" i="19" s="1"/>
  <c r="K159" i="19"/>
  <c r="K160" i="19" s="1" a="1"/>
  <c r="K160" i="19" s="1"/>
  <c r="AN160" i="19" s="1" a="1"/>
  <c r="AN160" i="19" s="1"/>
  <c r="AC293" i="19"/>
  <c r="AC292" i="19"/>
  <c r="S156" i="19"/>
  <c r="AC43" i="19"/>
  <c r="AC241" i="19"/>
  <c r="L15" i="19" a="1"/>
  <c r="L15" i="19" s="1"/>
  <c r="AO15" i="19" s="1" a="1"/>
  <c r="AO15" i="19" s="1"/>
  <c r="I15" i="19" a="1"/>
  <c r="I15" i="19" s="1"/>
  <c r="AL15" i="19" s="1" a="1"/>
  <c r="AL15" i="19" s="1"/>
  <c r="AK15" i="19" s="1"/>
  <c r="AC42" i="19"/>
  <c r="AL160" i="19" a="1"/>
  <c r="AL160" i="19" s="1"/>
  <c r="AK160" i="19" s="1"/>
  <c r="Z160" i="19"/>
  <c r="AC145" i="19"/>
  <c r="S320" i="19"/>
  <c r="S319" i="19"/>
  <c r="AC144" i="19"/>
  <c r="AC141" i="19"/>
  <c r="S154" i="19"/>
  <c r="S155" i="19"/>
  <c r="AC237" i="19"/>
  <c r="K15" i="19" a="1"/>
  <c r="K15" i="19" s="1"/>
  <c r="AN15" i="19" s="1" a="1"/>
  <c r="AN15" i="19" s="1"/>
  <c r="S57" i="19"/>
  <c r="S140" i="19"/>
  <c r="S203" i="19"/>
  <c r="S202" i="19"/>
  <c r="S144" i="19"/>
  <c r="S247" i="19"/>
  <c r="S51" i="19"/>
  <c r="AC140" i="19"/>
  <c r="S190" i="19"/>
  <c r="J64" i="19" a="1"/>
  <c r="J64" i="19" s="1"/>
  <c r="AM64" i="19" s="1" a="1"/>
  <c r="AM64" i="19" s="1"/>
  <c r="AM63" i="19" a="1"/>
  <c r="AM63" i="19" s="1"/>
  <c r="L44" i="19"/>
  <c r="AN44" i="19" a="1"/>
  <c r="AN44" i="19" s="1"/>
  <c r="L88" i="19"/>
  <c r="AN88" i="19" a="1"/>
  <c r="AN88" i="19" s="1"/>
  <c r="L173" i="19"/>
  <c r="AN173" i="19" a="1"/>
  <c r="AN173" i="19" s="1"/>
  <c r="AC173" i="19" a="1"/>
  <c r="AC173" i="19" s="1"/>
  <c r="L294" i="19"/>
  <c r="AN294" i="19" a="1"/>
  <c r="AN294" i="19" s="1"/>
  <c r="L145" i="19"/>
  <c r="AN145" i="19" a="1"/>
  <c r="AN145" i="19" s="1"/>
  <c r="L21" i="19"/>
  <c r="AN21" i="19" a="1"/>
  <c r="AN21" i="19" s="1"/>
  <c r="L321" i="19"/>
  <c r="AN321" i="19" a="1"/>
  <c r="AN321" i="19" s="1"/>
  <c r="L96" i="19"/>
  <c r="AN96" i="19" a="1"/>
  <c r="AN96" i="19" s="1"/>
  <c r="L30" i="19"/>
  <c r="AN30" i="19" a="1"/>
  <c r="AN30" i="19" s="1"/>
  <c r="L143" i="19"/>
  <c r="AN143" i="19" a="1"/>
  <c r="AN143" i="19" s="1"/>
  <c r="K199" i="19"/>
  <c r="AM199" i="19" a="1"/>
  <c r="AM199" i="19" s="1"/>
  <c r="L28" i="19"/>
  <c r="AN28" i="19" a="1"/>
  <c r="AN28" i="19" s="1"/>
  <c r="L48" i="19"/>
  <c r="AN48" i="19" a="1"/>
  <c r="AN48" i="19" s="1"/>
  <c r="AO11" i="19" a="1"/>
  <c r="AO11" i="19" s="1"/>
  <c r="AQ11" i="19" s="1"/>
  <c r="L18" i="19"/>
  <c r="AN18" i="19" a="1"/>
  <c r="AN18" i="19" s="1"/>
  <c r="AO9" i="19" a="1"/>
  <c r="AO9" i="19" s="1"/>
  <c r="K212" i="19"/>
  <c r="K213" i="19" s="1" a="1"/>
  <c r="K213" i="19" s="1"/>
  <c r="AN211" i="19" a="1"/>
  <c r="AN211" i="19" s="1"/>
  <c r="L187" i="19"/>
  <c r="AN187" i="19" a="1"/>
  <c r="AN187" i="19" s="1"/>
  <c r="AC187" i="19" a="1"/>
  <c r="AC187" i="19" s="1"/>
  <c r="L75" i="19"/>
  <c r="AN75" i="19" a="1"/>
  <c r="AN75" i="19" s="1"/>
  <c r="L180" i="19"/>
  <c r="AN180" i="19" a="1"/>
  <c r="AN180" i="19" s="1"/>
  <c r="AC180" i="19" a="1"/>
  <c r="AC180" i="19" s="1"/>
  <c r="L17" i="19"/>
  <c r="AN17" i="19" a="1"/>
  <c r="AN17" i="19" s="1"/>
  <c r="L167" i="19"/>
  <c r="AN167" i="19" a="1"/>
  <c r="AN167" i="19" s="1"/>
  <c r="AC167" i="19" a="1"/>
  <c r="AC167" i="19" s="1"/>
  <c r="L196" i="19"/>
  <c r="AN196" i="19" a="1"/>
  <c r="AN196" i="19" s="1"/>
  <c r="L33" i="19"/>
  <c r="AN33" i="19" a="1"/>
  <c r="AN33" i="19" s="1"/>
  <c r="L27" i="19"/>
  <c r="AN27" i="19" a="1"/>
  <c r="AN27" i="19" s="1"/>
  <c r="AK204" i="19"/>
  <c r="L155" i="19"/>
  <c r="AN155" i="19" a="1"/>
  <c r="AN155" i="19" s="1"/>
  <c r="L86" i="19"/>
  <c r="AN86" i="19" a="1"/>
  <c r="AN86" i="19" s="1"/>
  <c r="L40" i="19"/>
  <c r="AN40" i="19" a="1"/>
  <c r="AN40" i="19" s="1"/>
  <c r="L261" i="19"/>
  <c r="AN261" i="19" a="1"/>
  <c r="AN261" i="19" s="1"/>
  <c r="L146" i="19"/>
  <c r="AN146" i="19" a="1"/>
  <c r="AN146" i="19" s="1"/>
  <c r="L147" i="19"/>
  <c r="AN147" i="19" a="1"/>
  <c r="AN147" i="19" s="1"/>
  <c r="AC44" i="19"/>
  <c r="L152" i="19"/>
  <c r="AN152" i="19" a="1"/>
  <c r="AN152" i="19" s="1"/>
  <c r="L244" i="19"/>
  <c r="AN244" i="19" a="1"/>
  <c r="AN244" i="19" s="1"/>
  <c r="AB204" i="19" a="1"/>
  <c r="AB204" i="19" s="1"/>
  <c r="AM204" i="19" a="1"/>
  <c r="AM204" i="19" s="1"/>
  <c r="AM212" i="19" a="1"/>
  <c r="AM212" i="19" s="1"/>
  <c r="AB199" i="19" a="1"/>
  <c r="AB199" i="19" s="1"/>
  <c r="L190" i="19"/>
  <c r="AN190" i="19" a="1"/>
  <c r="AN190" i="19" s="1"/>
  <c r="L178" i="19"/>
  <c r="AN178" i="19" a="1"/>
  <c r="AN178" i="19" s="1"/>
  <c r="AC178" i="19" a="1"/>
  <c r="AC178" i="19" s="1"/>
  <c r="L192" i="19"/>
  <c r="AN192" i="19" a="1"/>
  <c r="AN192" i="19" s="1"/>
  <c r="AC192" i="19" a="1"/>
  <c r="AC192" i="19" s="1"/>
  <c r="L171" i="19"/>
  <c r="AN171" i="19" a="1"/>
  <c r="AN171" i="19" s="1"/>
  <c r="AC171" i="19" a="1"/>
  <c r="AC171" i="19" s="1"/>
  <c r="L184" i="19"/>
  <c r="AN184" i="19" a="1"/>
  <c r="AN184" i="19" s="1"/>
  <c r="AC184" i="19" a="1"/>
  <c r="AC184" i="19" s="1"/>
  <c r="L29" i="19"/>
  <c r="AN29" i="19" a="1"/>
  <c r="AN29" i="19" s="1"/>
  <c r="L41" i="19"/>
  <c r="AN41" i="19" a="1"/>
  <c r="AN41" i="19" s="1"/>
  <c r="L90" i="19"/>
  <c r="AN90" i="19" a="1"/>
  <c r="AN90" i="19" s="1"/>
  <c r="L105" i="19"/>
  <c r="AN105" i="19" a="1"/>
  <c r="AN105" i="19" s="1"/>
  <c r="L57" i="19"/>
  <c r="AN57" i="19" a="1"/>
  <c r="AN57" i="19" s="1"/>
  <c r="L292" i="19"/>
  <c r="AN292" i="19" a="1"/>
  <c r="AN292" i="19" s="1"/>
  <c r="L31" i="19"/>
  <c r="AN31" i="19" a="1"/>
  <c r="AN31" i="19" s="1"/>
  <c r="AQ12" i="19"/>
  <c r="AP9" i="19" a="1"/>
  <c r="AP9" i="19" s="1"/>
  <c r="L242" i="19"/>
  <c r="AN242" i="19" a="1"/>
  <c r="AN242" i="19" s="1"/>
  <c r="L140" i="19"/>
  <c r="AN140" i="19" a="1"/>
  <c r="AN140" i="19" s="1"/>
  <c r="L141" i="19"/>
  <c r="AN141" i="19" a="1"/>
  <c r="AN141" i="19" s="1"/>
  <c r="S141" i="19" a="1"/>
  <c r="S141" i="19" s="1"/>
  <c r="AC57" i="19"/>
  <c r="AC247" i="19"/>
  <c r="L16" i="19"/>
  <c r="AN16" i="19" a="1"/>
  <c r="AN16" i="19" s="1"/>
  <c r="L185" i="19"/>
  <c r="AN185" i="19" a="1"/>
  <c r="AN185" i="19" s="1"/>
  <c r="AC185" i="19" a="1"/>
  <c r="AC185" i="19" s="1"/>
  <c r="L55" i="19"/>
  <c r="AN55" i="19" a="1"/>
  <c r="AN55" i="19" s="1"/>
  <c r="L175" i="19"/>
  <c r="AN175" i="19" a="1"/>
  <c r="AN175" i="19" s="1"/>
  <c r="AC175" i="19" a="1"/>
  <c r="AC175" i="19" s="1"/>
  <c r="L23" i="19"/>
  <c r="AN23" i="19" a="1"/>
  <c r="AN23" i="19" s="1"/>
  <c r="L20" i="19"/>
  <c r="AN20" i="19" a="1"/>
  <c r="AN20" i="19" s="1"/>
  <c r="L189" i="19"/>
  <c r="AN189" i="19" a="1"/>
  <c r="AN189" i="19" s="1"/>
  <c r="L260" i="19"/>
  <c r="AN260" i="19" a="1"/>
  <c r="AN260" i="19" s="1"/>
  <c r="L249" i="19"/>
  <c r="AN249" i="19" a="1"/>
  <c r="AN249" i="19" s="1"/>
  <c r="J160" i="19" a="1"/>
  <c r="J160" i="19" s="1"/>
  <c r="AM159" i="19" a="1"/>
  <c r="AM159" i="19" s="1"/>
  <c r="L47" i="19"/>
  <c r="AN47" i="19" a="1"/>
  <c r="AN47" i="19" s="1"/>
  <c r="M53" i="19"/>
  <c r="AP53" i="19" s="1" a="1"/>
  <c r="AP53" i="19" s="1"/>
  <c r="AO53" i="19" a="1"/>
  <c r="AO53" i="19" s="1"/>
  <c r="L236" i="19"/>
  <c r="AN236" i="19" a="1"/>
  <c r="AN236" i="19" s="1"/>
  <c r="L26" i="19"/>
  <c r="AN26" i="19" a="1"/>
  <c r="AN26" i="19" s="1"/>
  <c r="L179" i="19"/>
  <c r="AN179" i="19" a="1"/>
  <c r="AN179" i="19" s="1"/>
  <c r="AC179" i="19" a="1"/>
  <c r="AC179" i="19" s="1"/>
  <c r="L154" i="19"/>
  <c r="AN154" i="19" a="1"/>
  <c r="AN154" i="19" s="1"/>
  <c r="L150" i="19"/>
  <c r="AN150" i="19" a="1"/>
  <c r="AN150" i="19" s="1"/>
  <c r="AC244" i="19"/>
  <c r="AC40" i="19"/>
  <c r="S152" i="19"/>
  <c r="L240" i="19"/>
  <c r="AN240" i="19" a="1"/>
  <c r="AN240" i="19" s="1"/>
  <c r="L291" i="19"/>
  <c r="AN291" i="19" a="1"/>
  <c r="AN291" i="19" s="1"/>
  <c r="L247" i="19"/>
  <c r="AN247" i="19" a="1"/>
  <c r="AN247" i="19" s="1"/>
  <c r="L293" i="19"/>
  <c r="AN293" i="19" a="1"/>
  <c r="AN293" i="19" s="1"/>
  <c r="AO10" i="19" a="1"/>
  <c r="AO10" i="19" s="1"/>
  <c r="AQ10" i="19" s="1"/>
  <c r="L43" i="19"/>
  <c r="AN43" i="19" a="1"/>
  <c r="AN43" i="19" s="1"/>
  <c r="L237" i="19"/>
  <c r="AN237" i="19" a="1"/>
  <c r="AN237" i="19" s="1"/>
  <c r="L202" i="19"/>
  <c r="AN202" i="19" a="1"/>
  <c r="AN202" i="19" s="1"/>
  <c r="L163" i="19"/>
  <c r="AN163" i="19" a="1"/>
  <c r="AN163" i="19" s="1"/>
  <c r="AC163" i="19" a="1"/>
  <c r="AC163" i="19" s="1"/>
  <c r="L200" i="19"/>
  <c r="AN200" i="19" a="1"/>
  <c r="AN200" i="19" s="1"/>
  <c r="L223" i="19"/>
  <c r="AN223" i="19" a="1"/>
  <c r="AN223" i="19" s="1"/>
  <c r="L24" i="19"/>
  <c r="AN24" i="19" a="1"/>
  <c r="AN24" i="19" s="1"/>
  <c r="L207" i="19"/>
  <c r="AN207" i="19" a="1"/>
  <c r="AN207" i="19" s="1"/>
  <c r="AC207" i="19" a="1"/>
  <c r="AC207" i="19" s="1"/>
  <c r="L85" i="19"/>
  <c r="AN85" i="19" a="1"/>
  <c r="AN85" i="19" s="1"/>
  <c r="L51" i="19"/>
  <c r="AN51" i="19" a="1"/>
  <c r="AN51" i="19" s="1"/>
  <c r="S145" i="19"/>
  <c r="L318" i="19"/>
  <c r="AN318" i="19" a="1"/>
  <c r="AN318" i="19" s="1"/>
  <c r="J15" i="19" a="1"/>
  <c r="J15" i="19" s="1"/>
  <c r="AM15" i="19" s="1" a="1"/>
  <c r="AM15" i="19" s="1"/>
  <c r="AA63" i="19"/>
  <c r="AB63" i="19" s="1"/>
  <c r="AL63" i="19" a="1"/>
  <c r="AL63" i="19" s="1"/>
  <c r="S146" i="19"/>
  <c r="L212" i="19"/>
  <c r="AO211" i="19" a="1"/>
  <c r="AO211" i="19" s="1"/>
  <c r="AK221" i="19"/>
  <c r="S318" i="19"/>
  <c r="L245" i="19"/>
  <c r="AN245" i="19" a="1"/>
  <c r="AN245" i="19" s="1"/>
  <c r="L170" i="19"/>
  <c r="AN170" i="19" a="1"/>
  <c r="AN170" i="19" s="1"/>
  <c r="L194" i="19"/>
  <c r="AN194" i="19" a="1"/>
  <c r="AN194" i="19" s="1"/>
  <c r="AC194" i="19" a="1"/>
  <c r="AC194" i="19" s="1"/>
  <c r="L203" i="19"/>
  <c r="AN203" i="19" a="1"/>
  <c r="AN203" i="19" s="1"/>
  <c r="L243" i="19"/>
  <c r="AN243" i="19" a="1"/>
  <c r="AN243" i="19" s="1"/>
  <c r="AC243" i="19" a="1"/>
  <c r="AC243" i="19" s="1"/>
  <c r="L188" i="19"/>
  <c r="AN188" i="19" a="1"/>
  <c r="AN188" i="19" s="1"/>
  <c r="AC188" i="19" a="1"/>
  <c r="AC188" i="19" s="1"/>
  <c r="L25" i="19"/>
  <c r="AN25" i="19" a="1"/>
  <c r="AN25" i="19" s="1"/>
  <c r="L42" i="19"/>
  <c r="AN42" i="19" a="1"/>
  <c r="AN42" i="19" s="1"/>
  <c r="L201" i="19"/>
  <c r="AN201" i="19" a="1"/>
  <c r="AN201" i="19" s="1"/>
  <c r="L149" i="19"/>
  <c r="AN149" i="19" a="1"/>
  <c r="AN149" i="19" s="1"/>
  <c r="L34" i="19"/>
  <c r="AN34" i="19" a="1"/>
  <c r="AN34" i="19" s="1"/>
  <c r="L181" i="19"/>
  <c r="AN181" i="19" a="1"/>
  <c r="AN181" i="19" s="1"/>
  <c r="L183" i="19"/>
  <c r="AN183" i="19" a="1"/>
  <c r="AN183" i="19" s="1"/>
  <c r="S143" i="19"/>
  <c r="L156" i="19"/>
  <c r="AN156" i="19" a="1"/>
  <c r="AN156" i="19" s="1"/>
  <c r="L50" i="19"/>
  <c r="AN50" i="19" a="1"/>
  <c r="AN50" i="19" s="1"/>
  <c r="L248" i="19"/>
  <c r="AN248" i="19" a="1"/>
  <c r="AN248" i="19" s="1"/>
  <c r="L193" i="19"/>
  <c r="AN193" i="19" a="1"/>
  <c r="AN193" i="19" s="1"/>
  <c r="AC193" i="19" a="1"/>
  <c r="AC193" i="19" s="1"/>
  <c r="AC240" i="19"/>
  <c r="S196" i="19"/>
  <c r="L19" i="19"/>
  <c r="AN19" i="19" a="1"/>
  <c r="AN19" i="19" s="1"/>
  <c r="L195" i="19"/>
  <c r="AN195" i="19" a="1"/>
  <c r="AN195" i="19" s="1"/>
  <c r="S50" i="19"/>
  <c r="L176" i="19"/>
  <c r="AN176" i="19" a="1"/>
  <c r="AN176" i="19" s="1"/>
  <c r="AC176" i="19" a="1"/>
  <c r="AC176" i="19" s="1"/>
  <c r="M54" i="19"/>
  <c r="AP54" i="19" s="1" a="1"/>
  <c r="AP54" i="19" s="1"/>
  <c r="AO54" i="19" a="1"/>
  <c r="AO54" i="19" s="1"/>
  <c r="I38" i="19" a="1"/>
  <c r="I38" i="19" s="1"/>
  <c r="AL38" i="19" s="1" a="1"/>
  <c r="AL38" i="19" s="1"/>
  <c r="AL37" i="19" a="1"/>
  <c r="AL37" i="19" s="1"/>
  <c r="K62" i="19"/>
  <c r="AM62" i="19" a="1"/>
  <c r="AM62" i="19" s="1"/>
  <c r="L89" i="19"/>
  <c r="AN89" i="19" a="1"/>
  <c r="AN89" i="19" s="1"/>
  <c r="L76" i="19"/>
  <c r="AN76" i="19" a="1"/>
  <c r="AN76" i="19" s="1"/>
  <c r="AK199" i="19"/>
  <c r="L208" i="19"/>
  <c r="AN208" i="19" a="1"/>
  <c r="AN208" i="19" s="1"/>
  <c r="AK95" i="19"/>
  <c r="S150" i="19"/>
  <c r="AC249" i="19"/>
  <c r="AC318" i="19"/>
  <c r="L87" i="19"/>
  <c r="AN87" i="19" a="1"/>
  <c r="AN87" i="19" s="1"/>
  <c r="L333" i="19"/>
  <c r="AN333" i="19" a="1"/>
  <c r="AN333" i="19" s="1"/>
  <c r="AC88" i="19"/>
  <c r="L168" i="19"/>
  <c r="AN168" i="19" a="1"/>
  <c r="AN168" i="19" s="1"/>
  <c r="AC168" i="19" a="1"/>
  <c r="AC168" i="19" s="1"/>
  <c r="AC75" i="19"/>
  <c r="AK186" i="19"/>
  <c r="S151" i="19"/>
  <c r="L166" i="19"/>
  <c r="AN166" i="19" a="1"/>
  <c r="AN166" i="19" s="1"/>
  <c r="AC166" i="19" a="1"/>
  <c r="AC166" i="19" s="1"/>
  <c r="L52" i="19"/>
  <c r="AN52" i="19" a="1"/>
  <c r="AN52" i="19" s="1"/>
  <c r="L218" i="19"/>
  <c r="AN218" i="19" a="1"/>
  <c r="AN218" i="19" s="1"/>
  <c r="L241" i="19"/>
  <c r="AN241" i="19" a="1"/>
  <c r="AN241" i="19" s="1"/>
  <c r="L32" i="19"/>
  <c r="AN32" i="19" a="1"/>
  <c r="AN32" i="19" s="1"/>
  <c r="L172" i="19"/>
  <c r="AN172" i="19" a="1"/>
  <c r="AN172" i="19" s="1"/>
  <c r="AC172" i="19" a="1"/>
  <c r="AC172" i="19" s="1"/>
  <c r="AC242" i="19"/>
  <c r="L319" i="19"/>
  <c r="AN319" i="19" a="1"/>
  <c r="AN319" i="19" s="1"/>
  <c r="L39" i="19"/>
  <c r="AN39" i="19" a="1"/>
  <c r="AN39" i="19" s="1"/>
  <c r="L153" i="19"/>
  <c r="AN153" i="19" a="1"/>
  <c r="AN153" i="19" s="1"/>
  <c r="L144" i="19"/>
  <c r="AN144" i="19" a="1"/>
  <c r="AN144" i="19" s="1"/>
  <c r="L262" i="19"/>
  <c r="AN262" i="19" a="1"/>
  <c r="AN262" i="19" s="1"/>
  <c r="L22" i="19"/>
  <c r="AN22" i="19" a="1"/>
  <c r="AN22" i="19" s="1"/>
  <c r="L317" i="19"/>
  <c r="AN317" i="19" a="1"/>
  <c r="AN317" i="19" s="1"/>
  <c r="AK62" i="19"/>
  <c r="L151" i="19"/>
  <c r="AN151" i="19" a="1"/>
  <c r="AN151" i="19" s="1"/>
  <c r="L169" i="19"/>
  <c r="AN169" i="19" a="1"/>
  <c r="AN169" i="19" s="1"/>
  <c r="AC169" i="19" a="1"/>
  <c r="AC169" i="19" s="1"/>
  <c r="L229" i="19"/>
  <c r="AN229" i="19" a="1"/>
  <c r="AN229" i="19" s="1"/>
  <c r="L164" i="19"/>
  <c r="AN164" i="19" a="1"/>
  <c r="AN164" i="19" s="1"/>
  <c r="AC164" i="19" a="1"/>
  <c r="AC164" i="19" s="1"/>
  <c r="L197" i="19"/>
  <c r="AN197" i="19" a="1"/>
  <c r="AN197" i="19" s="1"/>
  <c r="L157" i="19"/>
  <c r="AN157" i="19" a="1"/>
  <c r="AN157" i="19" s="1"/>
  <c r="L210" i="19"/>
  <c r="AN210" i="19" a="1"/>
  <c r="AN210" i="19" s="1"/>
  <c r="L239" i="19"/>
  <c r="AN239" i="19" a="1"/>
  <c r="AN239" i="19" s="1"/>
  <c r="L84" i="19"/>
  <c r="AN84" i="19" a="1"/>
  <c r="AN84" i="19" s="1"/>
  <c r="AC84" i="19" a="1"/>
  <c r="AC84" i="19" s="1"/>
  <c r="K186" i="19"/>
  <c r="AM186" i="19" a="1"/>
  <c r="AM186" i="19" s="1"/>
  <c r="L177" i="19"/>
  <c r="AN177" i="19" a="1"/>
  <c r="AN177" i="19" s="1"/>
  <c r="L320" i="19"/>
  <c r="AN320" i="19" a="1"/>
  <c r="AN320" i="19" s="1"/>
  <c r="L334" i="19"/>
  <c r="AN334" i="19" a="1"/>
  <c r="AN334" i="19" s="1"/>
  <c r="L216" i="19"/>
  <c r="AN216" i="19" a="1"/>
  <c r="AN216" i="19" s="1"/>
  <c r="I72" i="30"/>
  <c r="AF37" i="29"/>
  <c r="M72" i="30"/>
  <c r="AA37" i="19"/>
  <c r="AA14" i="19"/>
  <c r="AF24" i="29"/>
  <c r="V98" i="29"/>
  <c r="AF100" i="29"/>
  <c r="AF98" i="29"/>
  <c r="Q60" i="29"/>
  <c r="P60" i="29" s="1"/>
  <c r="AF32" i="29"/>
  <c r="Q84" i="29"/>
  <c r="P84" i="29" s="1"/>
  <c r="AF93" i="29"/>
  <c r="AF31" i="29"/>
  <c r="AB108" i="29"/>
  <c r="AA86" i="29"/>
  <c r="Z86" i="29" s="1"/>
  <c r="J86" i="29"/>
  <c r="K86" i="29" s="1"/>
  <c r="L86" i="29" s="1"/>
  <c r="M86" i="29" s="1"/>
  <c r="J85" i="29"/>
  <c r="K85" i="29" s="1"/>
  <c r="L85" i="29" s="1"/>
  <c r="M85" i="29" s="1"/>
  <c r="K10" i="29"/>
  <c r="L10" i="29" s="1"/>
  <c r="M10" i="29" s="1"/>
  <c r="AB10" i="29"/>
  <c r="AA61" i="29"/>
  <c r="Z61" i="29" s="1"/>
  <c r="J61" i="29"/>
  <c r="K61" i="29" s="1"/>
  <c r="L61" i="29" s="1"/>
  <c r="M61" i="29" s="1"/>
  <c r="J87" i="29"/>
  <c r="K87" i="29" s="1"/>
  <c r="L87" i="29" s="1"/>
  <c r="M87" i="29" s="1"/>
  <c r="AA87" i="29"/>
  <c r="Z87" i="29" s="1"/>
  <c r="J35" i="29" a="1"/>
  <c r="J35" i="29" s="1"/>
  <c r="R9" i="29"/>
  <c r="R78" i="29"/>
  <c r="S78" i="29" s="1"/>
  <c r="T78" i="29" s="1"/>
  <c r="U78" i="29" s="1"/>
  <c r="L102" i="29"/>
  <c r="K103" i="29"/>
  <c r="K104" i="29" a="1"/>
  <c r="K104" i="29" s="1"/>
  <c r="K105" i="29" a="1"/>
  <c r="K105" i="29" s="1"/>
  <c r="K37" i="29"/>
  <c r="R37" i="29"/>
  <c r="K106" i="29" a="1"/>
  <c r="K106" i="29" s="1"/>
  <c r="J107" i="29" a="1"/>
  <c r="J107" i="29" s="1"/>
  <c r="R107" i="29"/>
  <c r="S107" i="29" s="1"/>
  <c r="T107" i="29" s="1"/>
  <c r="U107" i="29" s="1"/>
  <c r="V107" i="29" s="1"/>
  <c r="V105" i="29"/>
  <c r="R77" i="29"/>
  <c r="S77" i="29" s="1"/>
  <c r="T77" i="29" s="1"/>
  <c r="U77" i="29" s="1"/>
  <c r="P77" i="29"/>
  <c r="R65" i="29"/>
  <c r="S65" i="29" s="1"/>
  <c r="T65" i="29" s="1"/>
  <c r="U65" i="29" s="1"/>
  <c r="P65" i="29"/>
  <c r="R106" i="29"/>
  <c r="S106" i="29" s="1"/>
  <c r="T106" i="29" s="1"/>
  <c r="U106" i="29" s="1"/>
  <c r="V106" i="29" s="1"/>
  <c r="P106" i="29"/>
  <c r="K34" i="29" a="1"/>
  <c r="K34" i="29" s="1"/>
  <c r="V161" i="29"/>
  <c r="K32" i="29" a="1"/>
  <c r="K32" i="29" s="1"/>
  <c r="R34" i="29"/>
  <c r="Q35" i="29"/>
  <c r="P35" i="29" s="1"/>
  <c r="R32" i="29"/>
  <c r="P32" i="29"/>
  <c r="K33" i="29" a="1"/>
  <c r="K33" i="29" s="1"/>
  <c r="R111" i="29"/>
  <c r="S111" i="29" s="1"/>
  <c r="T111" i="29" s="1"/>
  <c r="U111" i="29" s="1"/>
  <c r="R64" i="29"/>
  <c r="S64" i="29" s="1"/>
  <c r="T64" i="29" s="1"/>
  <c r="U64" i="29" s="1"/>
  <c r="R33" i="29"/>
  <c r="AP71" i="29"/>
  <c r="R74" i="29"/>
  <c r="S74" i="29" s="1"/>
  <c r="T74" i="29" s="1"/>
  <c r="U74" i="29" s="1"/>
  <c r="AP100" i="29"/>
  <c r="AP74" i="29"/>
  <c r="AP32" i="29"/>
  <c r="AP31" i="29"/>
  <c r="AF84" i="29"/>
  <c r="R66" i="29"/>
  <c r="R59" i="29"/>
  <c r="R103" i="29"/>
  <c r="R67" i="29"/>
  <c r="S67" i="29" s="1"/>
  <c r="T67" i="29" s="1"/>
  <c r="U67" i="29" s="1"/>
  <c r="R75" i="29"/>
  <c r="S75" i="29" s="1"/>
  <c r="T75" i="29" s="1"/>
  <c r="U75" i="29" s="1"/>
  <c r="R76" i="29"/>
  <c r="S76" i="29" s="1"/>
  <c r="T76" i="29" s="1"/>
  <c r="U76" i="29" s="1"/>
  <c r="R31" i="29"/>
  <c r="S31" i="29" s="1"/>
  <c r="T31" i="29" s="1"/>
  <c r="U31" i="29" s="1"/>
  <c r="R79" i="29"/>
  <c r="S79" i="29" s="1"/>
  <c r="T79" i="29" s="1"/>
  <c r="U79" i="29" s="1"/>
  <c r="R92" i="29"/>
  <c r="S92" i="29" s="1"/>
  <c r="T92" i="29" s="1"/>
  <c r="U92" i="29" s="1"/>
  <c r="R104" i="29"/>
  <c r="S104" i="29" s="1"/>
  <c r="T104" i="29" s="1"/>
  <c r="U104" i="29" s="1"/>
  <c r="AE9" i="19"/>
  <c r="AF9" i="19" s="1"/>
  <c r="Z13" i="19"/>
  <c r="AF248" i="19"/>
  <c r="K204" i="19"/>
  <c r="AA221" i="19" a="1"/>
  <c r="AA221" i="19" s="1"/>
  <c r="Z221" i="19" s="1"/>
  <c r="Q221" i="19" a="1"/>
  <c r="Q221" i="19" s="1"/>
  <c r="AB220" i="19" a="1"/>
  <c r="AB220" i="19" s="1"/>
  <c r="P220" i="19"/>
  <c r="J221" i="19" a="1"/>
  <c r="J221" i="19" s="1"/>
  <c r="AM221" i="19" s="1" a="1"/>
  <c r="AM221" i="19" s="1"/>
  <c r="I222" i="19" a="1"/>
  <c r="I222" i="19" s="1"/>
  <c r="AL222" i="19" s="1" a="1"/>
  <c r="AL222" i="19" s="1"/>
  <c r="L219" i="19"/>
  <c r="AO219" i="19" s="1" a="1"/>
  <c r="AO219" i="19" s="1"/>
  <c r="K220" i="19"/>
  <c r="M211" i="19"/>
  <c r="AB212" i="19"/>
  <c r="K205" i="19"/>
  <c r="AN205" i="19" s="1" a="1"/>
  <c r="AN205" i="19" s="1"/>
  <c r="AB205" i="19" a="1"/>
  <c r="AB205" i="19" s="1"/>
  <c r="Z198" i="19"/>
  <c r="K198" i="19"/>
  <c r="AN198" i="19" s="1" a="1"/>
  <c r="AN198" i="19" s="1"/>
  <c r="AB198" i="19" a="1"/>
  <c r="AB198" i="19" s="1"/>
  <c r="Z191" i="19"/>
  <c r="Z206" i="19"/>
  <c r="K191" i="19"/>
  <c r="AN191" i="19" s="1" a="1"/>
  <c r="AN191" i="19" s="1"/>
  <c r="AB191" i="19" a="1"/>
  <c r="AB191" i="19" s="1"/>
  <c r="K206" i="19"/>
  <c r="AN206" i="19" s="1" a="1"/>
  <c r="AN206" i="19" s="1"/>
  <c r="AB206" i="19" a="1"/>
  <c r="AB206" i="19" s="1"/>
  <c r="L174" i="19"/>
  <c r="AO174" i="19" s="1" a="1"/>
  <c r="AO174" i="19" s="1"/>
  <c r="AC174" i="19" a="1"/>
  <c r="AC174" i="19" s="1"/>
  <c r="AB159" i="19"/>
  <c r="AC143" i="19"/>
  <c r="K97" i="19"/>
  <c r="AN97" i="19" s="1" a="1"/>
  <c r="AN97" i="19" s="1"/>
  <c r="J98" i="19"/>
  <c r="J99" i="19" s="1" a="1"/>
  <c r="J99" i="19" s="1"/>
  <c r="J95" i="19" a="1"/>
  <c r="J95" i="19" s="1"/>
  <c r="AM95" i="19" s="1" a="1"/>
  <c r="AM95" i="19" s="1"/>
  <c r="K94" i="19" a="1"/>
  <c r="K94" i="19" s="1"/>
  <c r="AN94" i="19" s="1" a="1"/>
  <c r="AN94" i="19" s="1"/>
  <c r="K93" i="19" a="1"/>
  <c r="K93" i="19" s="1"/>
  <c r="AN93" i="19" s="1" a="1"/>
  <c r="AN93" i="19" s="1"/>
  <c r="K92" i="19"/>
  <c r="AN92" i="19" s="1" a="1"/>
  <c r="AN92" i="19" s="1"/>
  <c r="L91" i="19"/>
  <c r="AO91" i="19" s="1" a="1"/>
  <c r="AO91" i="19" s="1"/>
  <c r="AB92" i="19"/>
  <c r="AB94" i="19"/>
  <c r="AA95" i="19"/>
  <c r="Z93" i="19"/>
  <c r="Z94" i="19"/>
  <c r="I64" i="19" a="1"/>
  <c r="I64" i="19" s="1"/>
  <c r="AF20" i="19"/>
  <c r="AF21" i="19"/>
  <c r="J37" i="19" a="1"/>
  <c r="J37" i="19" s="1"/>
  <c r="AB36" i="19"/>
  <c r="Z36" i="19"/>
  <c r="L35" i="19"/>
  <c r="AO35" i="19" s="1" a="1"/>
  <c r="AO35" i="19" s="1"/>
  <c r="K36" i="19"/>
  <c r="AF33" i="19"/>
  <c r="AF29" i="19"/>
  <c r="AF31" i="19"/>
  <c r="AF27" i="19"/>
  <c r="AB13" i="19"/>
  <c r="V291" i="19"/>
  <c r="V10" i="19"/>
  <c r="V11" i="19"/>
  <c r="AV123" i="29"/>
  <c r="AV142" i="29" s="1"/>
  <c r="AV144" i="29" s="1"/>
  <c r="S29" i="28"/>
  <c r="T29" i="28" s="1"/>
  <c r="R28" i="28"/>
  <c r="S28" i="28" s="1"/>
  <c r="T28" i="28" s="1"/>
  <c r="U28" i="28"/>
  <c r="R27" i="28"/>
  <c r="S27" i="28" s="1"/>
  <c r="T27" i="28" s="1"/>
  <c r="R26" i="28"/>
  <c r="S26" i="28" s="1"/>
  <c r="T26" i="28" s="1"/>
  <c r="AS20" i="28"/>
  <c r="AT20" i="28" s="1"/>
  <c r="AU20" i="28" s="1"/>
  <c r="AV20" i="28"/>
  <c r="AJ20" i="28"/>
  <c r="AK20" i="28" s="1"/>
  <c r="AL20" i="28" s="1"/>
  <c r="AM20" i="28"/>
  <c r="AA20" i="28"/>
  <c r="AB20" i="28" s="1"/>
  <c r="AC20" i="28" s="1"/>
  <c r="AD20" i="28"/>
  <c r="AS19" i="28"/>
  <c r="AT19" i="28" s="1"/>
  <c r="AU19" i="28" s="1"/>
  <c r="AJ19" i="28"/>
  <c r="AK19" i="28" s="1"/>
  <c r="AL19" i="28" s="1"/>
  <c r="AA19" i="28"/>
  <c r="AB19" i="28" s="1"/>
  <c r="AC19" i="28" s="1"/>
  <c r="R19" i="28"/>
  <c r="S19" i="28" s="1"/>
  <c r="T19" i="28" s="1"/>
  <c r="AS12" i="28"/>
  <c r="AT12" i="28" s="1"/>
  <c r="AU12" i="28" s="1"/>
  <c r="AJ12" i="28"/>
  <c r="AK12" i="28" s="1"/>
  <c r="AL12" i="28" s="1"/>
  <c r="AA12" i="28"/>
  <c r="AB12" i="28" s="1"/>
  <c r="AC12" i="28" s="1"/>
  <c r="Q12" i="28"/>
  <c r="P14" i="28"/>
  <c r="AQ37" i="28"/>
  <c r="P10" i="28"/>
  <c r="P9" i="28"/>
  <c r="AH37" i="28"/>
  <c r="P13" i="28"/>
  <c r="Y37" i="28"/>
  <c r="AD17" i="28"/>
  <c r="Z15" i="28"/>
  <c r="AA15" i="28" s="1"/>
  <c r="AB15" i="28" s="1"/>
  <c r="AC15" i="28" s="1"/>
  <c r="AJ17" i="28"/>
  <c r="AK17" i="28" s="1"/>
  <c r="AL17" i="28" s="1"/>
  <c r="Z35" i="28"/>
  <c r="AA35" i="28" s="1"/>
  <c r="AB35" i="28" s="1"/>
  <c r="AC35" i="28" s="1"/>
  <c r="AR17" i="28"/>
  <c r="AS17" i="28" s="1"/>
  <c r="AT17" i="28" s="1"/>
  <c r="AU17" i="28" s="1"/>
  <c r="AV15" i="28"/>
  <c r="P16" i="28"/>
  <c r="AV35" i="28"/>
  <c r="AM15" i="28"/>
  <c r="AM35" i="28"/>
  <c r="V362" i="19"/>
  <c r="U378" i="19"/>
  <c r="V376" i="19"/>
  <c r="S378" i="19"/>
  <c r="T378" i="19"/>
  <c r="V361" i="19"/>
  <c r="Q378" i="19"/>
  <c r="V360" i="19"/>
  <c r="R378" i="19"/>
  <c r="BA56" i="31" l="1"/>
  <c r="M24" i="33" s="1"/>
  <c r="AP56" i="31"/>
  <c r="M68" i="29"/>
  <c r="AY68" i="29" s="1"/>
  <c r="AX68" i="29"/>
  <c r="AN68" i="29"/>
  <c r="AN69" i="29"/>
  <c r="M69" i="29"/>
  <c r="AY69" i="29" s="1"/>
  <c r="AX69" i="29"/>
  <c r="S220" i="19" a="1"/>
  <c r="S220" i="19" s="1"/>
  <c r="AN220" i="19" a="1"/>
  <c r="AN220" i="19" s="1"/>
  <c r="S92" i="19"/>
  <c r="S93" i="19"/>
  <c r="T93" i="19" s="1"/>
  <c r="U93" i="19" s="1"/>
  <c r="V93" i="19"/>
  <c r="U209" i="19"/>
  <c r="AP209" i="19" s="1"/>
  <c r="AO209" i="19"/>
  <c r="AQ209" i="19" s="1"/>
  <c r="V209" i="19"/>
  <c r="AD170" i="19"/>
  <c r="S9" i="29"/>
  <c r="T9" i="29" s="1"/>
  <c r="U9" i="29" s="1"/>
  <c r="AL140" i="29"/>
  <c r="AE56" i="31"/>
  <c r="AF23" i="31"/>
  <c r="AF56" i="31" s="1"/>
  <c r="AQ20" i="31"/>
  <c r="AL123" i="29"/>
  <c r="AL137" i="29" s="1"/>
  <c r="AL139" i="29" s="1"/>
  <c r="AE20" i="31"/>
  <c r="AQ34" i="31"/>
  <c r="AQ56" i="31" s="1"/>
  <c r="C24" i="33" s="1"/>
  <c r="C25" i="33" s="1"/>
  <c r="AF9" i="31"/>
  <c r="AF20" i="31" s="1"/>
  <c r="V57" i="31"/>
  <c r="U57" i="31"/>
  <c r="AQ13" i="19"/>
  <c r="AD146" i="19"/>
  <c r="AL214" i="19" a="1"/>
  <c r="AL214" i="19" s="1"/>
  <c r="AK214" i="19" s="1"/>
  <c r="AD320" i="19"/>
  <c r="AD76" i="19"/>
  <c r="AL161" i="19" a="1"/>
  <c r="AL161" i="19" s="1"/>
  <c r="AK161" i="19" s="1"/>
  <c r="AD239" i="19"/>
  <c r="T153" i="19"/>
  <c r="L159" i="19"/>
  <c r="AO159" i="19" s="1" a="1"/>
  <c r="AO159" i="19" s="1"/>
  <c r="AF213" i="19"/>
  <c r="AA15" i="19"/>
  <c r="Z15" i="19" s="1"/>
  <c r="AO158" i="19" a="1"/>
  <c r="AO158" i="19" s="1"/>
  <c r="AQ158" i="19" s="1"/>
  <c r="T140" i="19"/>
  <c r="AD292" i="19"/>
  <c r="AD41" i="19"/>
  <c r="T84" i="19"/>
  <c r="AC159" i="19"/>
  <c r="AD52" i="19"/>
  <c r="T156" i="19"/>
  <c r="J214" i="19" a="1"/>
  <c r="J214" i="19" s="1"/>
  <c r="AM214" i="19" s="1" a="1"/>
  <c r="AM214" i="19" s="1"/>
  <c r="T152" i="19"/>
  <c r="T183" i="19"/>
  <c r="AF160" i="19"/>
  <c r="T149" i="19"/>
  <c r="T203" i="19"/>
  <c r="AD293" i="19"/>
  <c r="AN159" i="19" a="1"/>
  <c r="AN159" i="19" s="1"/>
  <c r="T144" i="19"/>
  <c r="AD43" i="19"/>
  <c r="AD42" i="19"/>
  <c r="AD145" i="19"/>
  <c r="Z63" i="19"/>
  <c r="AF161" i="19"/>
  <c r="AD318" i="19"/>
  <c r="T247" i="19"/>
  <c r="AD249" i="19"/>
  <c r="AD241" i="19"/>
  <c r="Z161" i="19"/>
  <c r="T190" i="19"/>
  <c r="AD244" i="19"/>
  <c r="T154" i="19"/>
  <c r="T155" i="19"/>
  <c r="AQ53" i="19"/>
  <c r="K161" i="19" a="1"/>
  <c r="K161" i="19" s="1"/>
  <c r="AN161" i="19" s="1" a="1"/>
  <c r="AN161" i="19" s="1"/>
  <c r="T202" i="19"/>
  <c r="AQ54" i="19"/>
  <c r="AD140" i="19"/>
  <c r="T318" i="19"/>
  <c r="AA38" i="19"/>
  <c r="Z38" i="19" s="1"/>
  <c r="AC204" i="19" a="1"/>
  <c r="AC204" i="19" s="1"/>
  <c r="AN204" i="19" a="1"/>
  <c r="AN204" i="19" s="1"/>
  <c r="M216" i="19"/>
  <c r="AP216" i="19" s="1" a="1"/>
  <c r="AP216" i="19" s="1"/>
  <c r="AO216" i="19" a="1"/>
  <c r="AO216" i="19" s="1"/>
  <c r="M22" i="19"/>
  <c r="AP22" i="19" s="1" a="1"/>
  <c r="AP22" i="19" s="1"/>
  <c r="AO22" i="19" a="1"/>
  <c r="AO22" i="19" s="1"/>
  <c r="AD88" i="19"/>
  <c r="M55" i="19"/>
  <c r="AP55" i="19" s="1" a="1"/>
  <c r="AP55" i="19" s="1"/>
  <c r="AO55" i="19" a="1"/>
  <c r="AO55" i="19" s="1"/>
  <c r="M44" i="19"/>
  <c r="AP44" i="19" s="1" a="1"/>
  <c r="AP44" i="19" s="1"/>
  <c r="AO44" i="19" a="1"/>
  <c r="AO44" i="19" s="1"/>
  <c r="M84" i="19"/>
  <c r="AO84" i="19" a="1"/>
  <c r="AO84" i="19" s="1"/>
  <c r="AD84" i="19" a="1"/>
  <c r="AD84" i="19" s="1"/>
  <c r="M157" i="19"/>
  <c r="AP157" i="19" s="1" a="1"/>
  <c r="AP157" i="19" s="1"/>
  <c r="AO157" i="19" a="1"/>
  <c r="AO157" i="19" s="1"/>
  <c r="M317" i="19"/>
  <c r="AP317" i="19" s="1" a="1"/>
  <c r="AP317" i="19" s="1"/>
  <c r="AO317" i="19" a="1"/>
  <c r="AO317" i="19" s="1"/>
  <c r="M319" i="19"/>
  <c r="AP319" i="19" s="1" a="1"/>
  <c r="AP319" i="19" s="1"/>
  <c r="AO319" i="19" a="1"/>
  <c r="AO319" i="19" s="1"/>
  <c r="M87" i="19"/>
  <c r="AP87" i="19" s="1" a="1"/>
  <c r="AP87" i="19" s="1"/>
  <c r="AO87" i="19" a="1"/>
  <c r="AO87" i="19" s="1"/>
  <c r="AC212" i="19"/>
  <c r="AD212" i="19" s="1"/>
  <c r="M177" i="19"/>
  <c r="AO177" i="19" a="1"/>
  <c r="AO177" i="19" s="1"/>
  <c r="AD177" i="19" a="1"/>
  <c r="AD177" i="19" s="1"/>
  <c r="AD242" i="19"/>
  <c r="M166" i="19"/>
  <c r="AO166" i="19" a="1"/>
  <c r="AO166" i="19" s="1"/>
  <c r="AD166" i="19" a="1"/>
  <c r="AD166" i="19" s="1"/>
  <c r="M168" i="19"/>
  <c r="AO168" i="19" a="1"/>
  <c r="AO168" i="19" s="1"/>
  <c r="AD168" i="19" a="1"/>
  <c r="AD168" i="19" s="1"/>
  <c r="M89" i="19"/>
  <c r="AP89" i="19" s="1" a="1"/>
  <c r="AP89" i="19" s="1"/>
  <c r="AO89" i="19" a="1"/>
  <c r="AO89" i="19" s="1"/>
  <c r="M195" i="19"/>
  <c r="AP195" i="19" s="1" a="1"/>
  <c r="AP195" i="19" s="1"/>
  <c r="AO195" i="19" a="1"/>
  <c r="AO195" i="19" s="1"/>
  <c r="M183" i="19"/>
  <c r="AP183" i="19" s="1" a="1"/>
  <c r="AP183" i="19" s="1"/>
  <c r="AO183" i="19" a="1"/>
  <c r="AO183" i="19" s="1"/>
  <c r="M201" i="19"/>
  <c r="AP201" i="19" s="1" a="1"/>
  <c r="AP201" i="19" s="1"/>
  <c r="AO201" i="19" a="1"/>
  <c r="AO201" i="19" s="1"/>
  <c r="M188" i="19"/>
  <c r="AO188" i="19" a="1"/>
  <c r="AO188" i="19" s="1"/>
  <c r="AD188" i="19" a="1"/>
  <c r="AD188" i="19" s="1"/>
  <c r="M194" i="19"/>
  <c r="AO194" i="19" a="1"/>
  <c r="AO194" i="19" s="1"/>
  <c r="AD194" i="19" a="1"/>
  <c r="AD194" i="19" s="1"/>
  <c r="M207" i="19"/>
  <c r="AO207" i="19" a="1"/>
  <c r="AO207" i="19" s="1"/>
  <c r="AD207" i="19" a="1"/>
  <c r="AD207" i="19" s="1"/>
  <c r="M43" i="19"/>
  <c r="AP43" i="19" s="1" a="1"/>
  <c r="AP43" i="19" s="1"/>
  <c r="AO43" i="19" a="1"/>
  <c r="AO43" i="19" s="1"/>
  <c r="AD40" i="19"/>
  <c r="M179" i="19"/>
  <c r="AO179" i="19" a="1"/>
  <c r="AO179" i="19" s="1"/>
  <c r="AD179" i="19" a="1"/>
  <c r="AD179" i="19" s="1"/>
  <c r="AD57" i="19"/>
  <c r="M57" i="19"/>
  <c r="AP57" i="19" s="1" a="1"/>
  <c r="AP57" i="19" s="1"/>
  <c r="AO57" i="19" a="1"/>
  <c r="AO57" i="19" s="1"/>
  <c r="M29" i="19"/>
  <c r="AP29" i="19" s="1" a="1"/>
  <c r="AP29" i="19" s="1"/>
  <c r="AO29" i="19" a="1"/>
  <c r="AO29" i="19" s="1"/>
  <c r="M147" i="19"/>
  <c r="AP147" i="19" s="1" a="1"/>
  <c r="AP147" i="19" s="1"/>
  <c r="AO147" i="19" a="1"/>
  <c r="AO147" i="19" s="1"/>
  <c r="L199" i="19"/>
  <c r="AN199" i="19" a="1"/>
  <c r="AN199" i="19" s="1"/>
  <c r="AC199" i="19" a="1"/>
  <c r="AC199" i="19" s="1"/>
  <c r="AD89" i="19"/>
  <c r="M181" i="19"/>
  <c r="AP181" i="19" s="1" a="1"/>
  <c r="AP181" i="19" s="1"/>
  <c r="AO181" i="19" a="1"/>
  <c r="AO181" i="19" s="1"/>
  <c r="L213" i="19" a="1"/>
  <c r="L213" i="19" s="1"/>
  <c r="AO212" i="19" a="1"/>
  <c r="AO212" i="19" s="1"/>
  <c r="M143" i="19"/>
  <c r="AP143" i="19" s="1" a="1"/>
  <c r="AP143" i="19" s="1"/>
  <c r="AO143" i="19" a="1"/>
  <c r="AO143" i="19" s="1"/>
  <c r="M262" i="19"/>
  <c r="AP262" i="19" s="1" a="1"/>
  <c r="AP262" i="19" s="1"/>
  <c r="AO262" i="19" a="1"/>
  <c r="AO262" i="19" s="1"/>
  <c r="M243" i="19"/>
  <c r="AO243" i="19" a="1"/>
  <c r="AO243" i="19" s="1"/>
  <c r="AD243" i="19" a="1"/>
  <c r="AD243" i="19" s="1"/>
  <c r="T146" i="19"/>
  <c r="M85" i="19"/>
  <c r="AP85" i="19" s="1" a="1"/>
  <c r="AP85" i="19" s="1"/>
  <c r="AO85" i="19" a="1"/>
  <c r="AO85" i="19" s="1"/>
  <c r="M240" i="19"/>
  <c r="AP240" i="19" s="1" a="1"/>
  <c r="AP240" i="19" s="1"/>
  <c r="AO240" i="19" a="1"/>
  <c r="AO240" i="19" s="1"/>
  <c r="M150" i="19"/>
  <c r="AP150" i="19" s="1" a="1"/>
  <c r="AP150" i="19" s="1"/>
  <c r="AO150" i="19" a="1"/>
  <c r="AO150" i="19" s="1"/>
  <c r="M141" i="19"/>
  <c r="AO141" i="19" a="1"/>
  <c r="AO141" i="19" s="1"/>
  <c r="T141" i="19" a="1"/>
  <c r="T141" i="19" s="1"/>
  <c r="M184" i="19"/>
  <c r="AO184" i="19" a="1"/>
  <c r="AO184" i="19" s="1"/>
  <c r="AD184" i="19" a="1"/>
  <c r="AD184" i="19" s="1"/>
  <c r="M244" i="19"/>
  <c r="AP244" i="19" s="1" a="1"/>
  <c r="AP244" i="19" s="1"/>
  <c r="AO244" i="19" a="1"/>
  <c r="AO244" i="19" s="1"/>
  <c r="M40" i="19"/>
  <c r="AP40" i="19" s="1" a="1"/>
  <c r="AP40" i="19" s="1"/>
  <c r="AO40" i="19" a="1"/>
  <c r="AO40" i="19" s="1"/>
  <c r="M27" i="19"/>
  <c r="AP27" i="19" s="1" a="1"/>
  <c r="AP27" i="19" s="1"/>
  <c r="AO27" i="19" a="1"/>
  <c r="AO27" i="19" s="1"/>
  <c r="M75" i="19"/>
  <c r="AP75" i="19" s="1" a="1"/>
  <c r="AP75" i="19" s="1"/>
  <c r="AO75" i="19" a="1"/>
  <c r="AO75" i="19" s="1"/>
  <c r="AQ9" i="19"/>
  <c r="AD319" i="19"/>
  <c r="M321" i="19"/>
  <c r="AP321" i="19" s="1" a="1"/>
  <c r="AP321" i="19" s="1"/>
  <c r="AO321" i="19" a="1"/>
  <c r="AO321" i="19" s="1"/>
  <c r="M197" i="19"/>
  <c r="AP197" i="19" s="1" a="1"/>
  <c r="AP197" i="19" s="1"/>
  <c r="AO197" i="19" a="1"/>
  <c r="AO197" i="19" s="1"/>
  <c r="M241" i="19"/>
  <c r="AP241" i="19" s="1" a="1"/>
  <c r="AP241" i="19" s="1"/>
  <c r="AO241" i="19" a="1"/>
  <c r="AO241" i="19" s="1"/>
  <c r="M291" i="19"/>
  <c r="AP291" i="19" s="1" a="1"/>
  <c r="AP291" i="19" s="1"/>
  <c r="AO291" i="19" a="1"/>
  <c r="AO291" i="19" s="1"/>
  <c r="AN212" i="19" a="1"/>
  <c r="AN212" i="19" s="1"/>
  <c r="J38" i="19" a="1"/>
  <c r="J38" i="19" s="1"/>
  <c r="AM38" i="19" s="1" a="1"/>
  <c r="AM38" i="19" s="1"/>
  <c r="AF214" i="19"/>
  <c r="L62" i="19"/>
  <c r="AN62" i="19" a="1"/>
  <c r="AN62" i="19" s="1"/>
  <c r="K63" i="19"/>
  <c r="M42" i="19"/>
  <c r="AP42" i="19" s="1" a="1"/>
  <c r="AP42" i="19" s="1"/>
  <c r="AO42" i="19" a="1"/>
  <c r="AO42" i="19" s="1"/>
  <c r="M105" i="19"/>
  <c r="AP105" i="19" s="1" a="1"/>
  <c r="AP105" i="19" s="1"/>
  <c r="AO105" i="19" a="1"/>
  <c r="AO105" i="19" s="1"/>
  <c r="M192" i="19"/>
  <c r="AO192" i="19" a="1"/>
  <c r="AO192" i="19" s="1"/>
  <c r="AD192" i="19" a="1"/>
  <c r="AD192" i="19" s="1"/>
  <c r="M146" i="19"/>
  <c r="AP146" i="19" s="1" a="1"/>
  <c r="AP146" i="19" s="1"/>
  <c r="AO146" i="19" a="1"/>
  <c r="AO146" i="19" s="1"/>
  <c r="M218" i="19"/>
  <c r="AP218" i="19" s="1" a="1"/>
  <c r="AP218" i="19" s="1"/>
  <c r="AO218" i="19" a="1"/>
  <c r="AO218" i="19" s="1"/>
  <c r="Z214" i="19"/>
  <c r="M334" i="19"/>
  <c r="AP334" i="19" s="1" a="1"/>
  <c r="AP334" i="19" s="1"/>
  <c r="AO334" i="19" a="1"/>
  <c r="AO334" i="19" s="1"/>
  <c r="M164" i="19"/>
  <c r="AO164" i="19" a="1"/>
  <c r="AO164" i="19" s="1"/>
  <c r="AD164" i="19" a="1"/>
  <c r="AD164" i="19" s="1"/>
  <c r="AK38" i="19"/>
  <c r="AD240" i="19"/>
  <c r="M34" i="19"/>
  <c r="AP34" i="19" s="1" a="1"/>
  <c r="AP34" i="19" s="1"/>
  <c r="AO34" i="19" a="1"/>
  <c r="AO34" i="19" s="1"/>
  <c r="M25" i="19"/>
  <c r="AP25" i="19" s="1" a="1"/>
  <c r="AP25" i="19" s="1"/>
  <c r="AO25" i="19" a="1"/>
  <c r="AO25" i="19" s="1"/>
  <c r="M245" i="19"/>
  <c r="AP245" i="19" s="1" a="1"/>
  <c r="AP245" i="19" s="1"/>
  <c r="AO245" i="19" a="1"/>
  <c r="AO245" i="19" s="1"/>
  <c r="T201" i="19"/>
  <c r="M202" i="19"/>
  <c r="AP202" i="19" s="1" a="1"/>
  <c r="AP202" i="19" s="1"/>
  <c r="AO202" i="19" a="1"/>
  <c r="AO202" i="19" s="1"/>
  <c r="T320" i="19"/>
  <c r="M47" i="19"/>
  <c r="AP47" i="19" s="1" a="1"/>
  <c r="AP47" i="19" s="1"/>
  <c r="AO47" i="19" a="1"/>
  <c r="AO47" i="19" s="1"/>
  <c r="M260" i="19"/>
  <c r="AP260" i="19" s="1" a="1"/>
  <c r="AP260" i="19" s="1"/>
  <c r="AO260" i="19" a="1"/>
  <c r="AO260" i="19" s="1"/>
  <c r="M23" i="19"/>
  <c r="AP23" i="19" s="1" a="1"/>
  <c r="AP23" i="19" s="1"/>
  <c r="AO23" i="19" a="1"/>
  <c r="AO23" i="19" s="1"/>
  <c r="M185" i="19"/>
  <c r="AO185" i="19" a="1"/>
  <c r="AO185" i="19" s="1"/>
  <c r="AD185" i="19" a="1"/>
  <c r="AD185" i="19" s="1"/>
  <c r="M31" i="19"/>
  <c r="AP31" i="19" s="1" a="1"/>
  <c r="AP31" i="19" s="1"/>
  <c r="AO31" i="19" a="1"/>
  <c r="AO31" i="19" s="1"/>
  <c r="M90" i="19"/>
  <c r="AP90" i="19" s="1" a="1"/>
  <c r="AP90" i="19" s="1"/>
  <c r="AO90" i="19" a="1"/>
  <c r="AO90" i="19" s="1"/>
  <c r="M261" i="19"/>
  <c r="AP261" i="19" s="1" a="1"/>
  <c r="AP261" i="19" s="1"/>
  <c r="AO261" i="19" a="1"/>
  <c r="AO261" i="19" s="1"/>
  <c r="AQ15" i="19"/>
  <c r="M167" i="19"/>
  <c r="AO167" i="19" a="1"/>
  <c r="AO167" i="19" s="1"/>
  <c r="AD167" i="19" a="1"/>
  <c r="AD167" i="19" s="1"/>
  <c r="M48" i="19"/>
  <c r="AP48" i="19" s="1" a="1"/>
  <c r="AP48" i="19" s="1"/>
  <c r="AO48" i="19" a="1"/>
  <c r="AO48" i="19" s="1"/>
  <c r="T89" i="19"/>
  <c r="M248" i="19"/>
  <c r="AP248" i="19" s="1" a="1"/>
  <c r="AP248" i="19" s="1"/>
  <c r="AO248" i="19" a="1"/>
  <c r="AO248" i="19" s="1"/>
  <c r="M20" i="19"/>
  <c r="AP20" i="19" s="1" a="1"/>
  <c r="AP20" i="19" s="1"/>
  <c r="AO20" i="19" a="1"/>
  <c r="AO20" i="19" s="1"/>
  <c r="AA64" i="19"/>
  <c r="Z64" i="19" s="1"/>
  <c r="AL64" i="19" a="1"/>
  <c r="AL64" i="19" s="1"/>
  <c r="M19" i="19"/>
  <c r="AP19" i="19" s="1" a="1"/>
  <c r="AP19" i="19" s="1"/>
  <c r="AO19" i="19" a="1"/>
  <c r="AO19" i="19" s="1"/>
  <c r="M163" i="19"/>
  <c r="AO163" i="19" a="1"/>
  <c r="AO163" i="19" s="1"/>
  <c r="AD163" i="19" a="1"/>
  <c r="AD163" i="19" s="1"/>
  <c r="M26" i="19"/>
  <c r="AP26" i="19" s="1" a="1"/>
  <c r="AP26" i="19" s="1"/>
  <c r="AO26" i="19" a="1"/>
  <c r="AO26" i="19" s="1"/>
  <c r="M294" i="19"/>
  <c r="AP294" i="19" s="1" a="1"/>
  <c r="AP294" i="19" s="1"/>
  <c r="AO294" i="19" a="1"/>
  <c r="AO294" i="19" s="1"/>
  <c r="T197" i="19"/>
  <c r="M151" i="19"/>
  <c r="AP151" i="19" s="1" a="1"/>
  <c r="AP151" i="19" s="1"/>
  <c r="AO151" i="19" a="1"/>
  <c r="AO151" i="19" s="1"/>
  <c r="M172" i="19"/>
  <c r="AO172" i="19" a="1"/>
  <c r="AO172" i="19" s="1"/>
  <c r="AD172" i="19" a="1"/>
  <c r="AD172" i="19" s="1"/>
  <c r="T196" i="19"/>
  <c r="M50" i="19"/>
  <c r="AP50" i="19" s="1" a="1"/>
  <c r="AP50" i="19" s="1"/>
  <c r="AO50" i="19" a="1"/>
  <c r="AO50" i="19" s="1"/>
  <c r="M24" i="19"/>
  <c r="AP24" i="19" s="1" a="1"/>
  <c r="AP24" i="19" s="1"/>
  <c r="AO24" i="19" a="1"/>
  <c r="AO24" i="19" s="1"/>
  <c r="M210" i="19"/>
  <c r="AP210" i="19" s="1" a="1"/>
  <c r="AP210" i="19" s="1"/>
  <c r="AO210" i="19" a="1"/>
  <c r="AO210" i="19" s="1"/>
  <c r="M144" i="19"/>
  <c r="AP144" i="19" s="1" a="1"/>
  <c r="AP144" i="19" s="1"/>
  <c r="AO144" i="19" a="1"/>
  <c r="AO144" i="19" s="1"/>
  <c r="M39" i="19"/>
  <c r="AP39" i="19" s="1" a="1"/>
  <c r="AP39" i="19" s="1"/>
  <c r="AO39" i="19" a="1"/>
  <c r="AO39" i="19" s="1"/>
  <c r="M52" i="19"/>
  <c r="AP52" i="19" s="1" a="1"/>
  <c r="AP52" i="19" s="1"/>
  <c r="AO52" i="19" a="1"/>
  <c r="AO52" i="19" s="1"/>
  <c r="AD75" i="19"/>
  <c r="M333" i="19"/>
  <c r="AP333" i="19" s="1" a="1"/>
  <c r="AP333" i="19" s="1"/>
  <c r="AO333" i="19" a="1"/>
  <c r="AO333" i="19" s="1"/>
  <c r="M76" i="19"/>
  <c r="AP76" i="19" s="1" a="1"/>
  <c r="AP76" i="19" s="1"/>
  <c r="AO76" i="19" a="1"/>
  <c r="AO76" i="19" s="1"/>
  <c r="M176" i="19"/>
  <c r="AO176" i="19" a="1"/>
  <c r="AO176" i="19" s="1"/>
  <c r="AD176" i="19" a="1"/>
  <c r="AD176" i="19" s="1"/>
  <c r="M156" i="19"/>
  <c r="AP156" i="19" s="1" a="1"/>
  <c r="AP156" i="19" s="1"/>
  <c r="AO156" i="19" a="1"/>
  <c r="AO156" i="19" s="1"/>
  <c r="M203" i="19"/>
  <c r="AP203" i="19" s="1" a="1"/>
  <c r="AP203" i="19" s="1"/>
  <c r="AO203" i="19" a="1"/>
  <c r="AO203" i="19" s="1"/>
  <c r="M318" i="19"/>
  <c r="AP318" i="19" s="1" a="1"/>
  <c r="AP318" i="19" s="1"/>
  <c r="AO318" i="19" a="1"/>
  <c r="AO318" i="19" s="1"/>
  <c r="M223" i="19"/>
  <c r="AP223" i="19" s="1" a="1"/>
  <c r="AP223" i="19" s="1"/>
  <c r="AO223" i="19" a="1"/>
  <c r="AO223" i="19" s="1"/>
  <c r="M293" i="19"/>
  <c r="AP293" i="19" s="1" a="1"/>
  <c r="AP293" i="19" s="1"/>
  <c r="AO293" i="19" a="1"/>
  <c r="AO293" i="19" s="1"/>
  <c r="M154" i="19"/>
  <c r="AP154" i="19" s="1" a="1"/>
  <c r="AP154" i="19" s="1"/>
  <c r="AO154" i="19" a="1"/>
  <c r="AO154" i="19" s="1"/>
  <c r="M140" i="19"/>
  <c r="AP140" i="19" s="1" a="1"/>
  <c r="AP140" i="19" s="1"/>
  <c r="AO140" i="19" a="1"/>
  <c r="AO140" i="19" s="1"/>
  <c r="M178" i="19"/>
  <c r="AO178" i="19" a="1"/>
  <c r="AO178" i="19" s="1"/>
  <c r="AD178" i="19" a="1"/>
  <c r="AD178" i="19" s="1"/>
  <c r="T57" i="19"/>
  <c r="M152" i="19"/>
  <c r="AP152" i="19" s="1" a="1"/>
  <c r="AP152" i="19" s="1"/>
  <c r="AO152" i="19" a="1"/>
  <c r="AO152" i="19" s="1"/>
  <c r="M86" i="19"/>
  <c r="AP86" i="19" s="1" a="1"/>
  <c r="AP86" i="19" s="1"/>
  <c r="AO86" i="19" a="1"/>
  <c r="AO86" i="19" s="1"/>
  <c r="M21" i="19"/>
  <c r="AP21" i="19" s="1" a="1"/>
  <c r="AP21" i="19" s="1"/>
  <c r="AO21" i="19" a="1"/>
  <c r="AO21" i="19" s="1"/>
  <c r="M173" i="19"/>
  <c r="AO173" i="19" a="1"/>
  <c r="AO173" i="19" s="1"/>
  <c r="AD173" i="19" a="1"/>
  <c r="AD173" i="19" s="1"/>
  <c r="M169" i="19"/>
  <c r="AO169" i="19" a="1"/>
  <c r="AO169" i="19" s="1"/>
  <c r="AD169" i="19" a="1"/>
  <c r="AD169" i="19" s="1"/>
  <c r="T151" i="19"/>
  <c r="M51" i="19"/>
  <c r="AP51" i="19" s="1" a="1"/>
  <c r="AP51" i="19" s="1"/>
  <c r="AO51" i="19" a="1"/>
  <c r="AO51" i="19" s="1"/>
  <c r="M196" i="19"/>
  <c r="AP196" i="19" s="1" a="1"/>
  <c r="AP196" i="19" s="1"/>
  <c r="AO196" i="19" a="1"/>
  <c r="AO196" i="19" s="1"/>
  <c r="M96" i="19"/>
  <c r="AP96" i="19" s="1" a="1"/>
  <c r="AP96" i="19" s="1"/>
  <c r="AO96" i="19" a="1"/>
  <c r="AO96" i="19" s="1"/>
  <c r="L186" i="19"/>
  <c r="AN186" i="19" a="1"/>
  <c r="AN186" i="19" s="1"/>
  <c r="AC186" i="19" a="1"/>
  <c r="AC186" i="19" s="1"/>
  <c r="M170" i="19"/>
  <c r="AP170" i="19" s="1" a="1"/>
  <c r="AP170" i="19" s="1"/>
  <c r="AO170" i="19" a="1"/>
  <c r="AO170" i="19" s="1"/>
  <c r="M249" i="19"/>
  <c r="AP249" i="19" s="1" a="1"/>
  <c r="AP249" i="19" s="1"/>
  <c r="AO249" i="19" a="1"/>
  <c r="AO249" i="19" s="1"/>
  <c r="M239" i="19"/>
  <c r="AP239" i="19" s="1" a="1"/>
  <c r="AP239" i="19" s="1"/>
  <c r="AO239" i="19" a="1"/>
  <c r="AO239" i="19" s="1"/>
  <c r="AK37" i="19"/>
  <c r="K37" i="19" a="1"/>
  <c r="K37" i="19" s="1"/>
  <c r="AN37" i="19" s="1" a="1"/>
  <c r="AN37" i="19" s="1"/>
  <c r="AN36" i="19" a="1"/>
  <c r="AN36" i="19" s="1"/>
  <c r="M159" i="19"/>
  <c r="AP159" i="19" s="1" a="1"/>
  <c r="AP159" i="19" s="1"/>
  <c r="M212" i="19"/>
  <c r="AP212" i="19" s="1" a="1"/>
  <c r="AP212" i="19" s="1"/>
  <c r="AP211" i="19" a="1"/>
  <c r="AP211" i="19" s="1"/>
  <c r="AQ211" i="19" s="1"/>
  <c r="M320" i="19"/>
  <c r="AP320" i="19" s="1" a="1"/>
  <c r="AP320" i="19" s="1"/>
  <c r="AO320" i="19" a="1"/>
  <c r="AO320" i="19" s="1"/>
  <c r="M229" i="19"/>
  <c r="AP229" i="19" s="1" a="1"/>
  <c r="AP229" i="19" s="1"/>
  <c r="AO229" i="19" a="1"/>
  <c r="AO229" i="19" s="1"/>
  <c r="T150" i="19"/>
  <c r="M208" i="19"/>
  <c r="AP208" i="19" s="1" a="1"/>
  <c r="AP208" i="19" s="1"/>
  <c r="AO208" i="19" a="1"/>
  <c r="AO208" i="19" s="1"/>
  <c r="AD141" i="19"/>
  <c r="T50" i="19"/>
  <c r="T143" i="19"/>
  <c r="M149" i="19"/>
  <c r="AP149" i="19" s="1" a="1"/>
  <c r="AP149" i="19" s="1"/>
  <c r="AO149" i="19" a="1"/>
  <c r="AO149" i="19" s="1"/>
  <c r="T145" i="19"/>
  <c r="M237" i="19"/>
  <c r="AP237" i="19" s="1" a="1"/>
  <c r="AP237" i="19" s="1"/>
  <c r="AO237" i="19" a="1"/>
  <c r="AO237" i="19" s="1"/>
  <c r="M236" i="19"/>
  <c r="AP236" i="19" s="1" a="1"/>
  <c r="AP236" i="19" s="1"/>
  <c r="AO236" i="19" a="1"/>
  <c r="AO236" i="19" s="1"/>
  <c r="M189" i="19"/>
  <c r="AP189" i="19" s="1" a="1"/>
  <c r="AP189" i="19" s="1"/>
  <c r="AO189" i="19" a="1"/>
  <c r="AO189" i="19" s="1"/>
  <c r="M16" i="19"/>
  <c r="AP16" i="19" s="1" a="1"/>
  <c r="AP16" i="19" s="1"/>
  <c r="AO16" i="19" a="1"/>
  <c r="AO16" i="19" s="1"/>
  <c r="M292" i="19"/>
  <c r="AP292" i="19" s="1" a="1"/>
  <c r="AP292" i="19" s="1"/>
  <c r="AO292" i="19" a="1"/>
  <c r="AO292" i="19" s="1"/>
  <c r="M41" i="19"/>
  <c r="AP41" i="19" s="1" a="1"/>
  <c r="AP41" i="19" s="1"/>
  <c r="AO41" i="19" a="1"/>
  <c r="AO41" i="19" s="1"/>
  <c r="AD44" i="19"/>
  <c r="AD237" i="19"/>
  <c r="M155" i="19"/>
  <c r="AP155" i="19" s="1" a="1"/>
  <c r="AP155" i="19" s="1"/>
  <c r="AO155" i="19" a="1"/>
  <c r="AO155" i="19" s="1"/>
  <c r="M17" i="19"/>
  <c r="AP17" i="19" s="1" a="1"/>
  <c r="AP17" i="19" s="1"/>
  <c r="AO17" i="19" a="1"/>
  <c r="AO17" i="19" s="1"/>
  <c r="M187" i="19"/>
  <c r="AO187" i="19" a="1"/>
  <c r="AO187" i="19" s="1"/>
  <c r="AD187" i="19" a="1"/>
  <c r="AD187" i="19" s="1"/>
  <c r="M18" i="19"/>
  <c r="AP18" i="19" s="1" a="1"/>
  <c r="AP18" i="19" s="1"/>
  <c r="AO18" i="19" a="1"/>
  <c r="AO18" i="19" s="1"/>
  <c r="M28" i="19"/>
  <c r="AP28" i="19" s="1" a="1"/>
  <c r="AP28" i="19" s="1"/>
  <c r="AO28" i="19" a="1"/>
  <c r="AO28" i="19" s="1"/>
  <c r="M30" i="19"/>
  <c r="AP30" i="19" s="1" a="1"/>
  <c r="AP30" i="19" s="1"/>
  <c r="AO30" i="19" a="1"/>
  <c r="AO30" i="19" s="1"/>
  <c r="AD85" i="19"/>
  <c r="M180" i="19"/>
  <c r="AO180" i="19" a="1"/>
  <c r="AO180" i="19" s="1"/>
  <c r="AD180" i="19" a="1"/>
  <c r="AD180" i="19" s="1"/>
  <c r="AK222" i="19"/>
  <c r="M153" i="19"/>
  <c r="AP153" i="19" s="1" a="1"/>
  <c r="AP153" i="19" s="1"/>
  <c r="AO153" i="19" a="1"/>
  <c r="AO153" i="19" s="1"/>
  <c r="M32" i="19"/>
  <c r="AP32" i="19" s="1" a="1"/>
  <c r="AP32" i="19" s="1"/>
  <c r="AO32" i="19" a="1"/>
  <c r="AO32" i="19" s="1"/>
  <c r="M193" i="19"/>
  <c r="AO193" i="19" a="1"/>
  <c r="AO193" i="19" s="1"/>
  <c r="AD193" i="19" a="1"/>
  <c r="AD193" i="19" s="1"/>
  <c r="AK63" i="19"/>
  <c r="M200" i="19"/>
  <c r="AP200" i="19" s="1" a="1"/>
  <c r="AP200" i="19" s="1"/>
  <c r="AO200" i="19" a="1"/>
  <c r="AO200" i="19" s="1"/>
  <c r="M247" i="19"/>
  <c r="AP247" i="19" s="1" a="1"/>
  <c r="AP247" i="19" s="1"/>
  <c r="AO247" i="19" a="1"/>
  <c r="AO247" i="19" s="1"/>
  <c r="J161" i="19" a="1"/>
  <c r="J161" i="19" s="1"/>
  <c r="AM161" i="19" s="1" a="1"/>
  <c r="AM161" i="19" s="1"/>
  <c r="M175" i="19"/>
  <c r="AO175" i="19" a="1"/>
  <c r="AO175" i="19" s="1"/>
  <c r="AD175" i="19" a="1"/>
  <c r="AD175" i="19" s="1"/>
  <c r="AD247" i="19"/>
  <c r="M242" i="19"/>
  <c r="AP242" i="19" s="1" a="1"/>
  <c r="AP242" i="19" s="1"/>
  <c r="AO242" i="19" a="1"/>
  <c r="AO242" i="19" s="1"/>
  <c r="M171" i="19"/>
  <c r="AO171" i="19" a="1"/>
  <c r="AO171" i="19" s="1"/>
  <c r="AD171" i="19" a="1"/>
  <c r="AD171" i="19" s="1"/>
  <c r="M190" i="19"/>
  <c r="AP190" i="19" s="1" a="1"/>
  <c r="AP190" i="19" s="1"/>
  <c r="AO190" i="19" a="1"/>
  <c r="AO190" i="19" s="1"/>
  <c r="T51" i="19"/>
  <c r="M33" i="19"/>
  <c r="AP33" i="19" s="1" a="1"/>
  <c r="AP33" i="19" s="1"/>
  <c r="AO33" i="19" a="1"/>
  <c r="AO33" i="19" s="1"/>
  <c r="AD87" i="19"/>
  <c r="T319" i="19"/>
  <c r="M145" i="19"/>
  <c r="AP145" i="19" s="1" a="1"/>
  <c r="AP145" i="19" s="1"/>
  <c r="AO145" i="19" a="1"/>
  <c r="AO145" i="19" s="1"/>
  <c r="M88" i="19"/>
  <c r="AP88" i="19" s="1" a="1"/>
  <c r="AP88" i="19" s="1"/>
  <c r="AO88" i="19" a="1"/>
  <c r="AO88" i="19" s="1"/>
  <c r="AD144" i="19"/>
  <c r="Z37" i="19"/>
  <c r="Z14" i="19"/>
  <c r="R84" i="29"/>
  <c r="S84" i="29" s="1"/>
  <c r="T84" i="29" s="1"/>
  <c r="U84" i="29" s="1"/>
  <c r="R60" i="29"/>
  <c r="S60" i="29" s="1"/>
  <c r="T60" i="29" s="1"/>
  <c r="U60" i="29" s="1"/>
  <c r="R85" i="29"/>
  <c r="S85" i="29" s="1"/>
  <c r="T85" i="29" s="1"/>
  <c r="U85" i="29" s="1"/>
  <c r="S103" i="29"/>
  <c r="AC108" i="29"/>
  <c r="AD108" i="29" s="1"/>
  <c r="AE108" i="29" s="1"/>
  <c r="AB61" i="29"/>
  <c r="AC61" i="29" s="1"/>
  <c r="AD61" i="29" s="1"/>
  <c r="AE61" i="29" s="1"/>
  <c r="AA123" i="29"/>
  <c r="AC10" i="29"/>
  <c r="AD10" i="29" s="1"/>
  <c r="AE10" i="29" s="1"/>
  <c r="AB87" i="29"/>
  <c r="AC87" i="29" s="1"/>
  <c r="AD87" i="29" s="1"/>
  <c r="AE87" i="29" s="1"/>
  <c r="AB86" i="29"/>
  <c r="AC86" i="29" s="1"/>
  <c r="AD86" i="29" s="1"/>
  <c r="AE86" i="29" s="1"/>
  <c r="K107" i="29" a="1"/>
  <c r="K107" i="29" s="1"/>
  <c r="V111" i="29"/>
  <c r="L33" i="29" a="1"/>
  <c r="L33" i="29" s="1"/>
  <c r="V77" i="29"/>
  <c r="L37" i="29"/>
  <c r="S37" i="29"/>
  <c r="M102" i="29"/>
  <c r="L103" i="29"/>
  <c r="L104" i="29" a="1"/>
  <c r="L104" i="29" s="1"/>
  <c r="L105" i="29" a="1"/>
  <c r="L105" i="29" s="1"/>
  <c r="V65" i="29"/>
  <c r="L106" i="29" a="1"/>
  <c r="L106" i="29" s="1"/>
  <c r="V64" i="29"/>
  <c r="K35" i="29" a="1"/>
  <c r="K35" i="29" s="1"/>
  <c r="L34" i="29" a="1"/>
  <c r="L34" i="29" s="1"/>
  <c r="S32" i="29"/>
  <c r="T32" i="29" s="1"/>
  <c r="Q124" i="29"/>
  <c r="S33" i="29"/>
  <c r="T33" i="29" s="1"/>
  <c r="Q123" i="29"/>
  <c r="Q127" i="29" s="1"/>
  <c r="R128" i="29" s="1"/>
  <c r="R35" i="29"/>
  <c r="S35" i="29" s="1"/>
  <c r="T35" i="29" s="1"/>
  <c r="U35" i="29" s="1"/>
  <c r="V35" i="29" s="1"/>
  <c r="L32" i="29" a="1"/>
  <c r="L32" i="29" s="1"/>
  <c r="S34" i="29"/>
  <c r="V104" i="29"/>
  <c r="V74" i="29"/>
  <c r="V79" i="29"/>
  <c r="V76" i="29"/>
  <c r="V67" i="29"/>
  <c r="V78" i="29"/>
  <c r="S59" i="29"/>
  <c r="T59" i="29" s="1"/>
  <c r="U59" i="29" s="1"/>
  <c r="S66" i="29"/>
  <c r="T66" i="29" s="1"/>
  <c r="U66" i="29" s="1"/>
  <c r="V31" i="29"/>
  <c r="V75" i="29"/>
  <c r="V92" i="29"/>
  <c r="AC13" i="19"/>
  <c r="L204" i="19"/>
  <c r="AC220" i="19" a="1"/>
  <c r="AC220" i="19" s="1"/>
  <c r="P221" i="19"/>
  <c r="AB221" i="19" a="1"/>
  <c r="AB221" i="19" s="1"/>
  <c r="R221" i="19" a="1"/>
  <c r="R221" i="19" s="1"/>
  <c r="AA222" i="19" a="1"/>
  <c r="AA222" i="19" s="1"/>
  <c r="Z222" i="19" s="1"/>
  <c r="Q222" i="19" a="1"/>
  <c r="Q222" i="19" s="1"/>
  <c r="J222" i="19" a="1"/>
  <c r="J222" i="19" s="1"/>
  <c r="AM222" i="19" s="1" a="1"/>
  <c r="AM222" i="19" s="1"/>
  <c r="K221" i="19" a="1"/>
  <c r="K221" i="19" s="1"/>
  <c r="AN221" i="19" s="1" a="1"/>
  <c r="AN221" i="19" s="1"/>
  <c r="L220" i="19"/>
  <c r="M219" i="19"/>
  <c r="AP219" i="19" s="1" a="1"/>
  <c r="AP219" i="19" s="1"/>
  <c r="AQ219" i="19" s="1"/>
  <c r="L191" i="19"/>
  <c r="AO191" i="19" s="1" a="1"/>
  <c r="AO191" i="19" s="1"/>
  <c r="AC191" i="19" a="1"/>
  <c r="AC191" i="19" s="1"/>
  <c r="L205" i="19"/>
  <c r="AO205" i="19" s="1" a="1"/>
  <c r="AO205" i="19" s="1"/>
  <c r="AC205" i="19" a="1"/>
  <c r="AC205" i="19" s="1"/>
  <c r="L206" i="19"/>
  <c r="AO206" i="19" s="1" a="1"/>
  <c r="AO206" i="19" s="1"/>
  <c r="AC206" i="19" a="1"/>
  <c r="AC206" i="19" s="1"/>
  <c r="L198" i="19"/>
  <c r="AO198" i="19" s="1" a="1"/>
  <c r="AO198" i="19" s="1"/>
  <c r="AC198" i="19" a="1"/>
  <c r="AC198" i="19" s="1"/>
  <c r="M174" i="19"/>
  <c r="AD174" i="19" a="1"/>
  <c r="AD174" i="19" s="1"/>
  <c r="AD143" i="19"/>
  <c r="L97" i="19"/>
  <c r="AO97" i="19" s="1" a="1"/>
  <c r="AO97" i="19" s="1"/>
  <c r="K98" i="19"/>
  <c r="K99" i="19" s="1" a="1"/>
  <c r="K99" i="19" s="1"/>
  <c r="L93" i="19" a="1"/>
  <c r="L93" i="19" s="1"/>
  <c r="AO93" i="19" s="1" a="1"/>
  <c r="AO93" i="19" s="1"/>
  <c r="K95" i="19" a="1"/>
  <c r="K95" i="19" s="1"/>
  <c r="AN95" i="19" s="1" a="1"/>
  <c r="AN95" i="19" s="1"/>
  <c r="L94" i="19" a="1"/>
  <c r="L94" i="19" s="1"/>
  <c r="AO94" i="19" s="1" a="1"/>
  <c r="AO94" i="19" s="1"/>
  <c r="AC92" i="19"/>
  <c r="L92" i="19"/>
  <c r="AO92" i="19" s="1" a="1"/>
  <c r="AO92" i="19" s="1"/>
  <c r="AC94" i="19"/>
  <c r="M91" i="19"/>
  <c r="AP91" i="19" s="1" a="1"/>
  <c r="AP91" i="19" s="1"/>
  <c r="AQ91" i="19" s="1"/>
  <c r="AB93" i="19"/>
  <c r="AC93" i="19" s="1"/>
  <c r="AB95" i="19"/>
  <c r="Z95" i="19"/>
  <c r="AC36" i="19"/>
  <c r="L36" i="19"/>
  <c r="M35" i="19"/>
  <c r="AP35" i="19" s="1" a="1"/>
  <c r="AP35" i="19" s="1"/>
  <c r="AQ35" i="19" s="1"/>
  <c r="U27" i="28"/>
  <c r="AV12" i="28"/>
  <c r="AD19" i="28"/>
  <c r="AD12" i="28"/>
  <c r="AV19" i="28"/>
  <c r="U26" i="28"/>
  <c r="U19" i="28"/>
  <c r="AM12" i="28"/>
  <c r="AM19" i="28"/>
  <c r="U29" i="28"/>
  <c r="AW123" i="29"/>
  <c r="AW142" i="29" s="1"/>
  <c r="AW143" i="29" s="1"/>
  <c r="AW145" i="29" s="1"/>
  <c r="R12" i="28"/>
  <c r="S12" i="28" s="1"/>
  <c r="T12" i="28" s="1"/>
  <c r="P38" i="28"/>
  <c r="Q16" i="28"/>
  <c r="R16" i="28" s="1"/>
  <c r="S16" i="28" s="1"/>
  <c r="T16" i="28" s="1"/>
  <c r="U16" i="28" s="1"/>
  <c r="AD15" i="28"/>
  <c r="AA37" i="28"/>
  <c r="Z37" i="28"/>
  <c r="Q13" i="28"/>
  <c r="R13" i="28" s="1"/>
  <c r="S13" i="28" s="1"/>
  <c r="T13" i="28" s="1"/>
  <c r="U13" i="28" s="1"/>
  <c r="Q9" i="28"/>
  <c r="R9" i="28" s="1"/>
  <c r="S9" i="28" s="1"/>
  <c r="T9" i="28" s="1"/>
  <c r="AV17" i="28"/>
  <c r="AD35" i="28"/>
  <c r="P37" i="28"/>
  <c r="Q10" i="28"/>
  <c r="R10" i="28" s="1"/>
  <c r="S10" i="28" s="1"/>
  <c r="T10" i="28" s="1"/>
  <c r="AJ37" i="28"/>
  <c r="AM17" i="28"/>
  <c r="Q14" i="28"/>
  <c r="AR37" i="28"/>
  <c r="AI37" i="28"/>
  <c r="V378" i="19"/>
  <c r="E25" i="33" l="1"/>
  <c r="C28" i="33"/>
  <c r="AZ68" i="29"/>
  <c r="AW144" i="29"/>
  <c r="AO69" i="29"/>
  <c r="AP69" i="29" s="1"/>
  <c r="AE68" i="29"/>
  <c r="AF68" i="29" s="1"/>
  <c r="AO68" i="29"/>
  <c r="AP68" i="29" s="1"/>
  <c r="AZ69" i="29"/>
  <c r="AZ123" i="29" s="1"/>
  <c r="AE69" i="29"/>
  <c r="AF69" i="29" s="1"/>
  <c r="T220" i="19" a="1"/>
  <c r="T220" i="19" s="1"/>
  <c r="AO220" i="19" a="1"/>
  <c r="AO220" i="19" s="1"/>
  <c r="T92" i="19"/>
  <c r="AN99" i="19"/>
  <c r="V9" i="29"/>
  <c r="R130" i="29"/>
  <c r="AA132" i="29"/>
  <c r="AB133" i="29" s="1"/>
  <c r="AM123" i="29"/>
  <c r="AM137" i="29" s="1"/>
  <c r="AD159" i="19"/>
  <c r="AE159" i="19" s="1"/>
  <c r="AF159" i="19" s="1"/>
  <c r="L160" i="19" a="1"/>
  <c r="L160" i="19" s="1"/>
  <c r="AO160" i="19" s="1" a="1"/>
  <c r="AO160" i="19" s="1"/>
  <c r="AB15" i="19"/>
  <c r="AC15" i="19" s="1"/>
  <c r="AD15" i="19" s="1"/>
  <c r="AE15" i="19" s="1"/>
  <c r="AE244" i="19"/>
  <c r="AF244" i="19" s="1"/>
  <c r="AQ43" i="19"/>
  <c r="AB64" i="19"/>
  <c r="AQ159" i="19"/>
  <c r="K38" i="19" a="1"/>
  <c r="K38" i="19" s="1"/>
  <c r="AN38" i="19" s="1" a="1"/>
  <c r="AN38" i="19" s="1"/>
  <c r="U183" i="19"/>
  <c r="V183" i="19" s="1"/>
  <c r="AB38" i="19"/>
  <c r="AC38" i="19" s="1"/>
  <c r="AD38" i="19" s="1"/>
  <c r="AE38" i="19" s="1"/>
  <c r="AF38" i="19" s="1"/>
  <c r="AE75" i="19"/>
  <c r="AF75" i="19" s="1"/>
  <c r="AQ26" i="19"/>
  <c r="AQ105" i="19"/>
  <c r="AQ27" i="19"/>
  <c r="AE318" i="19"/>
  <c r="AF318" i="19" s="1"/>
  <c r="AQ34" i="19"/>
  <c r="AQ218" i="19"/>
  <c r="AE240" i="19"/>
  <c r="AF240" i="19" s="1"/>
  <c r="AQ145" i="19"/>
  <c r="AQ334" i="19"/>
  <c r="AQ321" i="19"/>
  <c r="AQ40" i="19"/>
  <c r="AQ143" i="19"/>
  <c r="AQ57" i="19"/>
  <c r="AQ89" i="19"/>
  <c r="AQ208" i="19"/>
  <c r="U145" i="19"/>
  <c r="V145" i="19" s="1"/>
  <c r="AQ76" i="19"/>
  <c r="AQ24" i="19"/>
  <c r="AQ51" i="19"/>
  <c r="U202" i="19"/>
  <c r="V202" i="19" s="1"/>
  <c r="AQ47" i="19"/>
  <c r="AQ244" i="19"/>
  <c r="AE57" i="19"/>
  <c r="AF57" i="19" s="1"/>
  <c r="AQ317" i="19"/>
  <c r="U156" i="19"/>
  <c r="V156" i="19" s="1"/>
  <c r="AQ242" i="19"/>
  <c r="AQ240" i="19"/>
  <c r="AQ147" i="19"/>
  <c r="AQ183" i="19"/>
  <c r="AQ157" i="19"/>
  <c r="AQ216" i="19"/>
  <c r="AE44" i="19"/>
  <c r="AF44" i="19" s="1"/>
  <c r="AQ153" i="19"/>
  <c r="AE143" i="19"/>
  <c r="AF143" i="19" s="1"/>
  <c r="AQ195" i="19"/>
  <c r="AQ212" i="19"/>
  <c r="AQ247" i="19"/>
  <c r="AQ249" i="19"/>
  <c r="AQ200" i="19"/>
  <c r="AQ189" i="19"/>
  <c r="AQ260" i="19"/>
  <c r="AQ223" i="19"/>
  <c r="AQ333" i="19"/>
  <c r="AQ42" i="19"/>
  <c r="M160" i="19" a="1"/>
  <c r="M160" i="19" s="1"/>
  <c r="M161" i="19" s="1" a="1"/>
  <c r="M161" i="19" s="1"/>
  <c r="AP161" i="19" s="1" a="1"/>
  <c r="AP161" i="19" s="1"/>
  <c r="AQ31" i="19"/>
  <c r="AQ320" i="19"/>
  <c r="AQ170" i="19"/>
  <c r="AQ196" i="19"/>
  <c r="AQ86" i="19"/>
  <c r="AQ294" i="19"/>
  <c r="AQ55" i="19"/>
  <c r="AQ319" i="19"/>
  <c r="AQ22" i="19"/>
  <c r="U318" i="19"/>
  <c r="V318" i="19" s="1"/>
  <c r="AE140" i="19"/>
  <c r="AF140" i="19" s="1"/>
  <c r="AQ149" i="19"/>
  <c r="AQ21" i="19"/>
  <c r="AQ293" i="19"/>
  <c r="AQ203" i="19"/>
  <c r="AQ19" i="19"/>
  <c r="AQ248" i="19"/>
  <c r="AQ245" i="19"/>
  <c r="AQ291" i="19"/>
  <c r="AQ201" i="19"/>
  <c r="AQ44" i="19"/>
  <c r="AQ190" i="19"/>
  <c r="AQ146" i="19"/>
  <c r="U319" i="19"/>
  <c r="V319" i="19" s="1"/>
  <c r="U154" i="19"/>
  <c r="V154" i="19" s="1"/>
  <c r="AQ32" i="19"/>
  <c r="AE212" i="19"/>
  <c r="AF212" i="19" s="1"/>
  <c r="AQ30" i="19"/>
  <c r="AQ41" i="19"/>
  <c r="U143" i="19"/>
  <c r="V143" i="19" s="1"/>
  <c r="AQ229" i="19"/>
  <c r="AQ156" i="19"/>
  <c r="AQ39" i="19"/>
  <c r="AQ50" i="19"/>
  <c r="U89" i="19"/>
  <c r="V89" i="19" s="1"/>
  <c r="AQ261" i="19"/>
  <c r="AQ23" i="19"/>
  <c r="AQ25" i="19"/>
  <c r="AQ241" i="19"/>
  <c r="AQ75" i="19"/>
  <c r="AQ181" i="19"/>
  <c r="AE144" i="19"/>
  <c r="AQ33" i="19"/>
  <c r="AQ292" i="19"/>
  <c r="AQ236" i="19"/>
  <c r="AQ140" i="19"/>
  <c r="AQ144" i="19"/>
  <c r="AQ48" i="19"/>
  <c r="AQ202" i="19"/>
  <c r="AQ197" i="19"/>
  <c r="AQ85" i="19"/>
  <c r="AQ262" i="19"/>
  <c r="AQ29" i="19"/>
  <c r="AE247" i="19"/>
  <c r="AF247" i="19" s="1"/>
  <c r="AQ155" i="19"/>
  <c r="AQ16" i="19"/>
  <c r="AQ152" i="19"/>
  <c r="AQ318" i="19"/>
  <c r="AQ52" i="19"/>
  <c r="AQ210" i="19"/>
  <c r="AQ20" i="19"/>
  <c r="AE41" i="19"/>
  <c r="AF41" i="19" s="1"/>
  <c r="AQ87" i="19"/>
  <c r="AE87" i="19"/>
  <c r="AF87" i="19" s="1"/>
  <c r="AE176" i="19" a="1"/>
  <c r="AE176" i="19" s="1"/>
  <c r="AF176" i="19" s="1"/>
  <c r="AP176" i="19" a="1"/>
  <c r="AP176" i="19" s="1"/>
  <c r="AQ176" i="19" s="1"/>
  <c r="AE188" i="19" a="1"/>
  <c r="AE188" i="19" s="1"/>
  <c r="AF188" i="19" s="1"/>
  <c r="AP188" i="19" a="1"/>
  <c r="AP188" i="19" s="1"/>
  <c r="AQ188" i="19" s="1"/>
  <c r="AE171" i="19" a="1"/>
  <c r="AE171" i="19" s="1"/>
  <c r="AF171" i="19" s="1"/>
  <c r="AP171" i="19" a="1"/>
  <c r="AP171" i="19" s="1"/>
  <c r="AQ171" i="19" s="1"/>
  <c r="AE237" i="19"/>
  <c r="AF237" i="19" s="1"/>
  <c r="U152" i="19"/>
  <c r="V152" i="19" s="1"/>
  <c r="AE141" i="19"/>
  <c r="AQ18" i="19"/>
  <c r="U57" i="19"/>
  <c r="V57" i="19" s="1"/>
  <c r="AE292" i="19"/>
  <c r="AF292" i="19" s="1"/>
  <c r="U196" i="19"/>
  <c r="V196" i="19" s="1"/>
  <c r="K64" i="19" a="1"/>
  <c r="K64" i="19" s="1"/>
  <c r="AN64" i="19" s="1" a="1"/>
  <c r="AN64" i="19" s="1"/>
  <c r="AN63" i="19" a="1"/>
  <c r="AN63" i="19" s="1"/>
  <c r="K214" i="19" a="1"/>
  <c r="K214" i="19" s="1"/>
  <c r="AN214" i="19" s="1" a="1"/>
  <c r="AN214" i="19" s="1"/>
  <c r="AN213" i="19" a="1"/>
  <c r="AN213" i="19" s="1"/>
  <c r="AE179" i="19" a="1"/>
  <c r="AE179" i="19" s="1"/>
  <c r="AF179" i="19" s="1"/>
  <c r="AP179" i="19" a="1"/>
  <c r="AP179" i="19" s="1"/>
  <c r="AQ179" i="19" s="1"/>
  <c r="U190" i="19"/>
  <c r="V190" i="19" s="1"/>
  <c r="L214" i="19" a="1"/>
  <c r="L214" i="19" s="1"/>
  <c r="AO214" i="19" s="1" a="1"/>
  <c r="AO214" i="19" s="1"/>
  <c r="AO213" i="19" a="1"/>
  <c r="AO213" i="19" s="1"/>
  <c r="AE167" i="19" a="1"/>
  <c r="AE167" i="19" s="1"/>
  <c r="AF167" i="19" s="1"/>
  <c r="AP167" i="19" a="1"/>
  <c r="AP167" i="19" s="1"/>
  <c r="AQ167" i="19" s="1"/>
  <c r="U201" i="19"/>
  <c r="V201" i="19" s="1"/>
  <c r="U141" i="19" a="1"/>
  <c r="U141" i="19" s="1"/>
  <c r="V141" i="19" s="1"/>
  <c r="AP141" i="19" a="1"/>
  <c r="AP141" i="19" s="1"/>
  <c r="AQ141" i="19" s="1"/>
  <c r="M199" i="19"/>
  <c r="AO199" i="19" a="1"/>
  <c r="AO199" i="19" s="1"/>
  <c r="AD199" i="19" a="1"/>
  <c r="AD199" i="19" s="1"/>
  <c r="AE207" i="19" a="1"/>
  <c r="AE207" i="19" s="1"/>
  <c r="AF207" i="19" s="1"/>
  <c r="AP207" i="19" a="1"/>
  <c r="AP207" i="19" s="1"/>
  <c r="AQ207" i="19" s="1"/>
  <c r="AE166" i="19" a="1"/>
  <c r="AE166" i="19" s="1"/>
  <c r="AF166" i="19" s="1"/>
  <c r="AP166" i="19" a="1"/>
  <c r="AP166" i="19" s="1"/>
  <c r="AQ166" i="19" s="1"/>
  <c r="AQ88" i="19"/>
  <c r="AQ237" i="19"/>
  <c r="AE146" i="19"/>
  <c r="U197" i="19"/>
  <c r="V197" i="19" s="1"/>
  <c r="AE249" i="19"/>
  <c r="AF249" i="19" s="1"/>
  <c r="AE185" i="19" a="1"/>
  <c r="AE185" i="19" s="1"/>
  <c r="AF185" i="19" s="1"/>
  <c r="AP185" i="19" a="1"/>
  <c r="AP185" i="19" s="1"/>
  <c r="AQ185" i="19" s="1"/>
  <c r="U155" i="19"/>
  <c r="V155" i="19" s="1"/>
  <c r="AE40" i="19"/>
  <c r="AF40" i="19" s="1"/>
  <c r="AE242" i="19"/>
  <c r="AF242" i="19" s="1"/>
  <c r="AE293" i="19"/>
  <c r="AF293" i="19" s="1"/>
  <c r="U203" i="19"/>
  <c r="V203" i="19" s="1"/>
  <c r="AE76" i="19"/>
  <c r="AF76" i="19" s="1"/>
  <c r="AE241" i="19"/>
  <c r="AF241" i="19" s="1"/>
  <c r="AE145" i="19"/>
  <c r="AF145" i="19" s="1"/>
  <c r="L37" i="19" a="1"/>
  <c r="L37" i="19" s="1"/>
  <c r="AO36" i="19" a="1"/>
  <c r="AO36" i="19" s="1"/>
  <c r="AE243" i="19" a="1"/>
  <c r="AE243" i="19" s="1"/>
  <c r="AF243" i="19" s="1"/>
  <c r="AP243" i="19" a="1"/>
  <c r="AP243" i="19" s="1"/>
  <c r="AQ243" i="19" s="1"/>
  <c r="U151" i="19"/>
  <c r="V151" i="19" s="1"/>
  <c r="U140" i="19"/>
  <c r="V140" i="19" s="1"/>
  <c r="AE84" i="19" a="1"/>
  <c r="AE84" i="19" s="1"/>
  <c r="AF84" i="19" s="1"/>
  <c r="AP84" i="19" a="1"/>
  <c r="AP84" i="19" s="1"/>
  <c r="AQ84" i="19" s="1"/>
  <c r="M204" i="19"/>
  <c r="AO204" i="19" a="1"/>
  <c r="AO204" i="19" s="1"/>
  <c r="U51" i="19"/>
  <c r="V51" i="19" s="1"/>
  <c r="AE170" i="19"/>
  <c r="AF170" i="19" s="1"/>
  <c r="AE85" i="19"/>
  <c r="AF85" i="19" s="1"/>
  <c r="AE169" i="19" a="1"/>
  <c r="AE169" i="19" s="1"/>
  <c r="AF169" i="19" s="1"/>
  <c r="AP169" i="19" a="1"/>
  <c r="AP169" i="19" s="1"/>
  <c r="AQ169" i="19" s="1"/>
  <c r="AQ154" i="19"/>
  <c r="AK64" i="19"/>
  <c r="U320" i="19"/>
  <c r="V320" i="19" s="1"/>
  <c r="AE192" i="19" a="1"/>
  <c r="AE192" i="19" s="1"/>
  <c r="AF192" i="19" s="1"/>
  <c r="AP192" i="19" a="1"/>
  <c r="AP192" i="19" s="1"/>
  <c r="AQ192" i="19" s="1"/>
  <c r="M62" i="19"/>
  <c r="AO62" i="19" a="1"/>
  <c r="AO62" i="19" s="1"/>
  <c r="L63" i="19"/>
  <c r="AQ150" i="19"/>
  <c r="U146" i="19"/>
  <c r="AE175" i="19" a="1"/>
  <c r="AE175" i="19" s="1"/>
  <c r="AF175" i="19" s="1"/>
  <c r="AP175" i="19" a="1"/>
  <c r="AP175" i="19" s="1"/>
  <c r="AQ175" i="19" s="1"/>
  <c r="U50" i="19"/>
  <c r="V50" i="19" s="1"/>
  <c r="AE177" i="19" a="1"/>
  <c r="AE177" i="19" s="1"/>
  <c r="AF177" i="19" s="1"/>
  <c r="AP177" i="19" a="1"/>
  <c r="AP177" i="19" s="1"/>
  <c r="AQ177" i="19" s="1"/>
  <c r="AE174" i="19" a="1"/>
  <c r="AE174" i="19" s="1"/>
  <c r="AF174" i="19" s="1"/>
  <c r="AP174" i="19" a="1"/>
  <c r="AP174" i="19" s="1"/>
  <c r="AQ174" i="19" s="1"/>
  <c r="AE187" i="19" a="1"/>
  <c r="AE187" i="19" s="1"/>
  <c r="AF187" i="19" s="1"/>
  <c r="AP187" i="19" a="1"/>
  <c r="AP187" i="19" s="1"/>
  <c r="AQ187" i="19" s="1"/>
  <c r="U150" i="19"/>
  <c r="V150" i="19" s="1"/>
  <c r="AE178" i="19" a="1"/>
  <c r="AE178" i="19" s="1"/>
  <c r="AF178" i="19" s="1"/>
  <c r="AP178" i="19" a="1"/>
  <c r="AP178" i="19" s="1"/>
  <c r="AQ178" i="19" s="1"/>
  <c r="AE163" i="19" a="1"/>
  <c r="AE163" i="19" s="1"/>
  <c r="AF163" i="19" s="1"/>
  <c r="AP163" i="19" a="1"/>
  <c r="AP163" i="19" s="1"/>
  <c r="AQ163" i="19" s="1"/>
  <c r="AQ90" i="19"/>
  <c r="AE42" i="19"/>
  <c r="AE194" i="19" a="1"/>
  <c r="AE194" i="19" s="1"/>
  <c r="AF194" i="19" s="1"/>
  <c r="AP194" i="19" a="1"/>
  <c r="AP194" i="19" s="1"/>
  <c r="AQ194" i="19" s="1"/>
  <c r="AE239" i="19"/>
  <c r="U247" i="19"/>
  <c r="V247" i="19" s="1"/>
  <c r="U153" i="19"/>
  <c r="V153" i="19" s="1"/>
  <c r="AQ17" i="19"/>
  <c r="M186" i="19"/>
  <c r="AO186" i="19" a="1"/>
  <c r="AO186" i="19" s="1"/>
  <c r="AD186" i="19" a="1"/>
  <c r="AD186" i="19" s="1"/>
  <c r="AE172" i="19" a="1"/>
  <c r="AE172" i="19" s="1"/>
  <c r="AF172" i="19" s="1"/>
  <c r="AP172" i="19" a="1"/>
  <c r="AP172" i="19" s="1"/>
  <c r="AQ172" i="19" s="1"/>
  <c r="AE319" i="19"/>
  <c r="AF319" i="19" s="1"/>
  <c r="AE184" i="19" a="1"/>
  <c r="AE184" i="19" s="1"/>
  <c r="AF184" i="19" s="1"/>
  <c r="AP184" i="19" a="1"/>
  <c r="AP184" i="19" s="1"/>
  <c r="AQ184" i="19" s="1"/>
  <c r="U84" i="19"/>
  <c r="V84" i="19" s="1"/>
  <c r="AE89" i="19"/>
  <c r="AF89" i="19" s="1"/>
  <c r="AE168" i="19" a="1"/>
  <c r="AE168" i="19" s="1"/>
  <c r="AF168" i="19" s="1"/>
  <c r="AP168" i="19" a="1"/>
  <c r="AP168" i="19" s="1"/>
  <c r="AQ168" i="19" s="1"/>
  <c r="AE43" i="19"/>
  <c r="AF43" i="19" s="1"/>
  <c r="U149" i="19"/>
  <c r="V149" i="19" s="1"/>
  <c r="AE52" i="19"/>
  <c r="AF52" i="19" s="1"/>
  <c r="AE193" i="19" a="1"/>
  <c r="AE193" i="19" s="1"/>
  <c r="AF193" i="19" s="1"/>
  <c r="AP193" i="19" a="1"/>
  <c r="AP193" i="19" s="1"/>
  <c r="AQ193" i="19" s="1"/>
  <c r="M213" i="19" a="1"/>
  <c r="M213" i="19" s="1"/>
  <c r="AE180" i="19" a="1"/>
  <c r="AE180" i="19" s="1"/>
  <c r="AF180" i="19" s="1"/>
  <c r="AP180" i="19" a="1"/>
  <c r="AP180" i="19" s="1"/>
  <c r="AQ180" i="19" s="1"/>
  <c r="AQ28" i="19"/>
  <c r="AQ96" i="19"/>
  <c r="AE173" i="19" a="1"/>
  <c r="AE173" i="19" s="1"/>
  <c r="AF173" i="19" s="1"/>
  <c r="AP173" i="19" a="1"/>
  <c r="AP173" i="19" s="1"/>
  <c r="AQ173" i="19" s="1"/>
  <c r="AQ151" i="19"/>
  <c r="AE164" i="19" a="1"/>
  <c r="AE164" i="19" s="1"/>
  <c r="AF164" i="19" s="1"/>
  <c r="AP164" i="19" a="1"/>
  <c r="AP164" i="19" s="1"/>
  <c r="AQ164" i="19" s="1"/>
  <c r="AC63" i="19"/>
  <c r="AE88" i="19"/>
  <c r="AF88" i="19" s="1"/>
  <c r="U144" i="19"/>
  <c r="AE320" i="19"/>
  <c r="AF320" i="19" s="1"/>
  <c r="V84" i="29"/>
  <c r="AF37" i="19"/>
  <c r="V60" i="29"/>
  <c r="AF10" i="29"/>
  <c r="V85" i="29"/>
  <c r="AF61" i="29"/>
  <c r="AC123" i="29"/>
  <c r="AC132" i="29" s="1"/>
  <c r="M33" i="29" a="1"/>
  <c r="M33" i="29" s="1"/>
  <c r="AF86" i="29"/>
  <c r="AF108" i="29"/>
  <c r="AF87" i="29"/>
  <c r="AB123" i="29"/>
  <c r="AB132" i="29" s="1"/>
  <c r="L107" i="29" a="1"/>
  <c r="L107" i="29" s="1"/>
  <c r="M103" i="29"/>
  <c r="M105" i="29" a="1"/>
  <c r="M105" i="29" s="1"/>
  <c r="M104" i="29" a="1"/>
  <c r="M104" i="29" s="1"/>
  <c r="M106" i="29" a="1"/>
  <c r="M106" i="29" s="1"/>
  <c r="M37" i="29"/>
  <c r="U37" i="29" s="1"/>
  <c r="T37" i="29"/>
  <c r="T103" i="29"/>
  <c r="M34" i="29" a="1"/>
  <c r="M34" i="29" s="1"/>
  <c r="L35" i="29" a="1"/>
  <c r="L35" i="29" s="1"/>
  <c r="R124" i="29"/>
  <c r="U33" i="29"/>
  <c r="V33" i="29" s="1"/>
  <c r="R123" i="29"/>
  <c r="R127" i="29" s="1"/>
  <c r="R129" i="29" s="1"/>
  <c r="M32" i="29" a="1"/>
  <c r="M32" i="29" s="1"/>
  <c r="T34" i="29"/>
  <c r="V59" i="29"/>
  <c r="V66" i="29"/>
  <c r="AD13" i="19"/>
  <c r="V9" i="19"/>
  <c r="AD204" i="19" a="1"/>
  <c r="AD204" i="19" s="1"/>
  <c r="P222" i="19"/>
  <c r="AD220" i="19" a="1"/>
  <c r="AD220" i="19" s="1"/>
  <c r="AC221" i="19" a="1"/>
  <c r="AC221" i="19" s="1"/>
  <c r="S221" i="19" a="1"/>
  <c r="S221" i="19" s="1"/>
  <c r="AB222" i="19" a="1"/>
  <c r="AB222" i="19" s="1"/>
  <c r="R222" i="19" a="1"/>
  <c r="R222" i="19" s="1"/>
  <c r="K222" i="19" a="1"/>
  <c r="K222" i="19" s="1"/>
  <c r="AN222" i="19" s="1" a="1"/>
  <c r="AN222" i="19" s="1"/>
  <c r="L221" i="19" a="1"/>
  <c r="L221" i="19" s="1"/>
  <c r="AO221" i="19" s="1" a="1"/>
  <c r="AO221" i="19" s="1"/>
  <c r="M220" i="19"/>
  <c r="M198" i="19"/>
  <c r="AD198" i="19" a="1"/>
  <c r="AD198" i="19" s="1"/>
  <c r="M191" i="19"/>
  <c r="AD191" i="19" a="1"/>
  <c r="AD191" i="19" s="1"/>
  <c r="M206" i="19"/>
  <c r="AD206" i="19" a="1"/>
  <c r="AD206" i="19" s="1"/>
  <c r="M205" i="19"/>
  <c r="AD205" i="19" a="1"/>
  <c r="AD205" i="19" s="1"/>
  <c r="M97" i="19"/>
  <c r="L98" i="19"/>
  <c r="L99" i="19" s="1" a="1"/>
  <c r="L99" i="19" s="1"/>
  <c r="L95" i="19" a="1"/>
  <c r="L95" i="19" s="1"/>
  <c r="AO95" i="19" s="1" a="1"/>
  <c r="AO95" i="19" s="1"/>
  <c r="M94" i="19" a="1"/>
  <c r="M94" i="19" s="1"/>
  <c r="AP94" i="19" s="1" a="1"/>
  <c r="AP94" i="19" s="1"/>
  <c r="AQ94" i="19" s="1"/>
  <c r="M93" i="19" a="1"/>
  <c r="M93" i="19" s="1"/>
  <c r="AP93" i="19" s="1" a="1"/>
  <c r="AP93" i="19" s="1"/>
  <c r="AQ93" i="19" s="1"/>
  <c r="AC95" i="19"/>
  <c r="AD93" i="19"/>
  <c r="AD92" i="19"/>
  <c r="AD94" i="19"/>
  <c r="M92" i="19"/>
  <c r="AP92" i="19" s="1" a="1"/>
  <c r="AP92" i="19" s="1"/>
  <c r="AQ92" i="19" s="1"/>
  <c r="AD36" i="19"/>
  <c r="M36" i="19"/>
  <c r="U12" i="28"/>
  <c r="AD123" i="29"/>
  <c r="AD132" i="29" s="1"/>
  <c r="AX123" i="29"/>
  <c r="AX142" i="29" s="1"/>
  <c r="AY123" i="29"/>
  <c r="AY142" i="29" s="1"/>
  <c r="AN123" i="29"/>
  <c r="AN137" i="29" s="1"/>
  <c r="S124" i="29"/>
  <c r="S123" i="29"/>
  <c r="S127" i="29" s="1"/>
  <c r="U10" i="28"/>
  <c r="U9" i="28"/>
  <c r="AB37" i="28"/>
  <c r="R14" i="28"/>
  <c r="S14" i="28" s="1"/>
  <c r="T14" i="28" s="1"/>
  <c r="AK37" i="28"/>
  <c r="AL37" i="28"/>
  <c r="Q38" i="28"/>
  <c r="Q37" i="28"/>
  <c r="AS37" i="28"/>
  <c r="H68" i="19"/>
  <c r="H69" i="19"/>
  <c r="H133" i="19"/>
  <c r="H79" i="19"/>
  <c r="H134" i="19"/>
  <c r="H83" i="19"/>
  <c r="H81" i="19"/>
  <c r="H135" i="19"/>
  <c r="H136" i="19"/>
  <c r="H137" i="19"/>
  <c r="H70" i="19"/>
  <c r="H66" i="19"/>
  <c r="H102" i="19"/>
  <c r="H100" i="19"/>
  <c r="H103" i="19"/>
  <c r="H104" i="19"/>
  <c r="H131" i="19"/>
  <c r="H132" i="19"/>
  <c r="H126" i="19"/>
  <c r="H119" i="19"/>
  <c r="H115" i="19"/>
  <c r="H80" i="19"/>
  <c r="H71" i="19"/>
  <c r="H72" i="19"/>
  <c r="H73" i="19"/>
  <c r="H74" i="19"/>
  <c r="H107" i="19"/>
  <c r="H108" i="19"/>
  <c r="H77" i="19"/>
  <c r="H78" i="19"/>
  <c r="H67" i="19"/>
  <c r="H65" i="19"/>
  <c r="H231" i="19"/>
  <c r="Z49" i="27"/>
  <c r="S49" i="27"/>
  <c r="O49" i="27"/>
  <c r="K49" i="27"/>
  <c r="G49" i="27"/>
  <c r="I47" i="27"/>
  <c r="I46" i="27"/>
  <c r="I45" i="27"/>
  <c r="M42" i="27"/>
  <c r="I39" i="27"/>
  <c r="S38" i="27"/>
  <c r="O38" i="27"/>
  <c r="K38" i="27"/>
  <c r="G38" i="27"/>
  <c r="S36" i="27"/>
  <c r="O36" i="27"/>
  <c r="K36" i="27"/>
  <c r="G36" i="27"/>
  <c r="Z34" i="27"/>
  <c r="Z33" i="27"/>
  <c r="Z31" i="27"/>
  <c r="Z30" i="27"/>
  <c r="Z29" i="27"/>
  <c r="Z28" i="27"/>
  <c r="Z27" i="27"/>
  <c r="Z26" i="27"/>
  <c r="Z25" i="27"/>
  <c r="Z24" i="27"/>
  <c r="Z23" i="27"/>
  <c r="Z22" i="27"/>
  <c r="S5" i="27"/>
  <c r="O5" i="27"/>
  <c r="K5" i="27"/>
  <c r="G5" i="27"/>
  <c r="S4" i="27"/>
  <c r="O4" i="27"/>
  <c r="K4" i="27"/>
  <c r="C4" i="27"/>
  <c r="S3" i="27"/>
  <c r="O3" i="27"/>
  <c r="K3" i="27"/>
  <c r="C3" i="27"/>
  <c r="B263" i="19"/>
  <c r="B296" i="19"/>
  <c r="B230" i="19"/>
  <c r="E28" i="33" l="1"/>
  <c r="J28" i="33"/>
  <c r="AO123" i="29"/>
  <c r="AO137" i="29" s="1"/>
  <c r="AE123" i="29"/>
  <c r="AE132" i="29" s="1"/>
  <c r="AX143" i="29"/>
  <c r="AX144" i="29" s="1"/>
  <c r="AY143" i="29" s="1"/>
  <c r="AY144" i="29" s="1"/>
  <c r="U220" i="19" a="1"/>
  <c r="U220" i="19" s="1"/>
  <c r="AP220" i="19" a="1"/>
  <c r="AP220" i="19" s="1"/>
  <c r="U92" i="19"/>
  <c r="V92" i="19" s="1"/>
  <c r="AO99" i="19"/>
  <c r="AB134" i="29"/>
  <c r="AC133" i="29" s="1"/>
  <c r="AC134" i="29" s="1"/>
  <c r="L161" i="19" a="1"/>
  <c r="L161" i="19" s="1"/>
  <c r="AO161" i="19" s="1" a="1"/>
  <c r="AO161" i="19" s="1"/>
  <c r="AQ161" i="19" s="1"/>
  <c r="AM138" i="29"/>
  <c r="AM139" i="29" s="1"/>
  <c r="AN138" i="29" s="1"/>
  <c r="S128" i="29"/>
  <c r="S129" i="29" s="1"/>
  <c r="AB135" i="29"/>
  <c r="AP123" i="29"/>
  <c r="AF15" i="19"/>
  <c r="AP160" i="19" a="1"/>
  <c r="AP160" i="19" s="1"/>
  <c r="AQ160" i="19" s="1"/>
  <c r="AF141" i="19"/>
  <c r="AF144" i="19"/>
  <c r="AF42" i="19"/>
  <c r="AC64" i="19"/>
  <c r="AE186" i="19" a="1"/>
  <c r="AE186" i="19" s="1"/>
  <c r="AF186" i="19" s="1"/>
  <c r="AP186" i="19" a="1"/>
  <c r="AP186" i="19" s="1"/>
  <c r="AQ186" i="19" s="1"/>
  <c r="L38" i="19" a="1"/>
  <c r="L38" i="19" s="1"/>
  <c r="AO38" i="19" s="1" a="1"/>
  <c r="AO38" i="19" s="1"/>
  <c r="AO37" i="19" a="1"/>
  <c r="AO37" i="19" s="1"/>
  <c r="L64" i="19" a="1"/>
  <c r="L64" i="19" s="1"/>
  <c r="AO64" i="19" s="1" a="1"/>
  <c r="AO64" i="19" s="1"/>
  <c r="AO63" i="19" a="1"/>
  <c r="AO63" i="19" s="1"/>
  <c r="M98" i="19"/>
  <c r="M99" i="19" s="1" a="1"/>
  <c r="M99" i="19" s="1"/>
  <c r="AP97" i="19" a="1"/>
  <c r="AP97" i="19" s="1"/>
  <c r="AQ97" i="19" s="1"/>
  <c r="AE198" i="19" a="1"/>
  <c r="AE198" i="19" s="1"/>
  <c r="AF198" i="19" s="1"/>
  <c r="AP198" i="19" a="1"/>
  <c r="AP198" i="19" s="1"/>
  <c r="AQ198" i="19" s="1"/>
  <c r="M37" i="19" a="1"/>
  <c r="M37" i="19" s="1"/>
  <c r="AP36" i="19" a="1"/>
  <c r="AP36" i="19" s="1"/>
  <c r="AE220" i="19" a="1"/>
  <c r="AE220" i="19" s="1"/>
  <c r="AF220" i="19" s="1"/>
  <c r="AQ220" i="19"/>
  <c r="AF14" i="19"/>
  <c r="M63" i="19"/>
  <c r="AP62" i="19" a="1"/>
  <c r="AP62" i="19" s="1"/>
  <c r="AQ62" i="19" s="1"/>
  <c r="AE205" i="19" a="1"/>
  <c r="AE205" i="19" s="1"/>
  <c r="AF205" i="19" s="1"/>
  <c r="AP205" i="19" a="1"/>
  <c r="AP205" i="19" s="1"/>
  <c r="AQ205" i="19" s="1"/>
  <c r="AD63" i="19"/>
  <c r="AF146" i="19"/>
  <c r="AE199" i="19" a="1"/>
  <c r="AE199" i="19" s="1"/>
  <c r="AF199" i="19" s="1"/>
  <c r="AP199" i="19" a="1"/>
  <c r="AP199" i="19" s="1"/>
  <c r="AQ199" i="19" s="1"/>
  <c r="AE191" i="19" a="1"/>
  <c r="AE191" i="19" s="1"/>
  <c r="AF191" i="19" s="1"/>
  <c r="AP191" i="19" a="1"/>
  <c r="AP191" i="19" s="1"/>
  <c r="AQ191" i="19" s="1"/>
  <c r="M214" i="19" a="1"/>
  <c r="M214" i="19" s="1"/>
  <c r="AP214" i="19" s="1" a="1"/>
  <c r="AP214" i="19" s="1"/>
  <c r="AQ214" i="19" s="1"/>
  <c r="AP213" i="19" a="1"/>
  <c r="AP213" i="19" s="1"/>
  <c r="AQ213" i="19" s="1"/>
  <c r="AE206" i="19" a="1"/>
  <c r="AE206" i="19" s="1"/>
  <c r="AF206" i="19" s="1"/>
  <c r="AP206" i="19" a="1"/>
  <c r="AP206" i="19" s="1"/>
  <c r="AQ206" i="19" s="1"/>
  <c r="AE204" i="19" a="1"/>
  <c r="AE204" i="19" s="1"/>
  <c r="AF204" i="19" s="1"/>
  <c r="AP204" i="19" a="1"/>
  <c r="AP204" i="19" s="1"/>
  <c r="AQ204" i="19" s="1"/>
  <c r="I49" i="27"/>
  <c r="AF123" i="29"/>
  <c r="V37" i="29"/>
  <c r="M107" i="29" a="1"/>
  <c r="M107" i="29" s="1"/>
  <c r="U103" i="29"/>
  <c r="V103" i="29" s="1"/>
  <c r="M35" i="29" a="1"/>
  <c r="M35" i="29" s="1"/>
  <c r="U34" i="29"/>
  <c r="V34" i="29" s="1"/>
  <c r="U32" i="29"/>
  <c r="V32" i="29" s="1"/>
  <c r="I36" i="27"/>
  <c r="M36" i="27"/>
  <c r="L39" i="27" s="1"/>
  <c r="AE13" i="19"/>
  <c r="AF13" i="19" s="1"/>
  <c r="AD221" i="19" a="1"/>
  <c r="AD221" i="19" s="1"/>
  <c r="T221" i="19" a="1"/>
  <c r="T221" i="19" s="1"/>
  <c r="AC222" i="19" a="1"/>
  <c r="AC222" i="19" s="1"/>
  <c r="S222" i="19" a="1"/>
  <c r="S222" i="19" s="1"/>
  <c r="V220" i="19"/>
  <c r="L222" i="19" a="1"/>
  <c r="L222" i="19" s="1"/>
  <c r="AO222" i="19" s="1" a="1"/>
  <c r="AO222" i="19" s="1"/>
  <c r="M221" i="19" a="1"/>
  <c r="M221" i="19" s="1"/>
  <c r="AP221" i="19" s="1" a="1"/>
  <c r="AP221" i="19" s="1"/>
  <c r="AQ221" i="19" s="1"/>
  <c r="AD95" i="19"/>
  <c r="AE95" i="19" s="1"/>
  <c r="AF95" i="19" s="1"/>
  <c r="M95" i="19" a="1"/>
  <c r="M95" i="19" s="1"/>
  <c r="AP95" i="19" s="1" a="1"/>
  <c r="AP95" i="19" s="1"/>
  <c r="AQ95" i="19" s="1"/>
  <c r="AE92" i="19"/>
  <c r="AF92" i="19" s="1"/>
  <c r="AE93" i="19"/>
  <c r="AF93" i="19" s="1"/>
  <c r="AE36" i="19"/>
  <c r="AF36" i="19" s="1"/>
  <c r="T124" i="29"/>
  <c r="T123" i="29"/>
  <c r="T127" i="29" s="1"/>
  <c r="U14" i="28"/>
  <c r="AM37" i="28"/>
  <c r="R38" i="28"/>
  <c r="R37" i="28"/>
  <c r="AC37" i="28"/>
  <c r="AD37" i="28"/>
  <c r="AT37" i="28"/>
  <c r="AU37" i="28"/>
  <c r="Q36" i="27"/>
  <c r="Z36" i="27"/>
  <c r="Q126" i="19"/>
  <c r="Q131" i="19"/>
  <c r="Q132" i="19"/>
  <c r="Q133" i="19"/>
  <c r="Q134" i="19"/>
  <c r="Q135" i="19"/>
  <c r="Q136" i="19"/>
  <c r="Q137" i="19"/>
  <c r="Q108" i="19"/>
  <c r="R108" i="19" s="1"/>
  <c r="Q107" i="19"/>
  <c r="Q106" i="19"/>
  <c r="N58" i="19"/>
  <c r="N59" i="19"/>
  <c r="N60" i="19"/>
  <c r="N61" i="19"/>
  <c r="N106" i="19"/>
  <c r="N63" i="19"/>
  <c r="N64" i="19"/>
  <c r="N65" i="19"/>
  <c r="N71" i="19"/>
  <c r="N72" i="19"/>
  <c r="N73" i="19"/>
  <c r="N74" i="19"/>
  <c r="N107" i="19"/>
  <c r="N108" i="19"/>
  <c r="N77" i="19"/>
  <c r="N78" i="19"/>
  <c r="N67" i="19"/>
  <c r="N80"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68" i="19"/>
  <c r="N69" i="19"/>
  <c r="N133" i="19"/>
  <c r="N79" i="19"/>
  <c r="N134" i="19"/>
  <c r="N83" i="19"/>
  <c r="N81" i="19"/>
  <c r="N135" i="19"/>
  <c r="N136" i="19"/>
  <c r="N82" i="19"/>
  <c r="N137" i="19"/>
  <c r="N70" i="19"/>
  <c r="N66" i="19"/>
  <c r="R119" i="19"/>
  <c r="R115" i="19"/>
  <c r="S115" i="19" s="1"/>
  <c r="I66" i="19"/>
  <c r="AL66" i="19" s="1" a="1"/>
  <c r="AL66" i="19" s="1"/>
  <c r="I70" i="19"/>
  <c r="I137" i="19"/>
  <c r="J137" i="19" s="1"/>
  <c r="K137" i="19" s="1"/>
  <c r="L137" i="19" s="1"/>
  <c r="M137" i="19" s="1"/>
  <c r="I82" i="19"/>
  <c r="AL82" i="19" s="1" a="1"/>
  <c r="AL82" i="19" s="1"/>
  <c r="I136" i="19"/>
  <c r="J136" i="19" s="1"/>
  <c r="K136" i="19" s="1"/>
  <c r="L136" i="19" s="1"/>
  <c r="M136" i="19" s="1"/>
  <c r="I135" i="19"/>
  <c r="J135" i="19" s="1"/>
  <c r="K135" i="19" s="1"/>
  <c r="L135" i="19" s="1"/>
  <c r="M135" i="19" s="1"/>
  <c r="I81" i="19"/>
  <c r="AL81" i="19" s="1" a="1"/>
  <c r="AL81" i="19" s="1"/>
  <c r="I134" i="19"/>
  <c r="J134" i="19" s="1"/>
  <c r="K134" i="19" s="1"/>
  <c r="L134" i="19" s="1"/>
  <c r="M134" i="19" s="1"/>
  <c r="I83" i="19"/>
  <c r="AL83" i="19" s="1" a="1"/>
  <c r="AL83" i="19" s="1"/>
  <c r="I79" i="19"/>
  <c r="AL79" i="19" s="1" a="1"/>
  <c r="AL79" i="19" s="1"/>
  <c r="I133" i="19"/>
  <c r="J133" i="19" s="1"/>
  <c r="K133" i="19" s="1"/>
  <c r="L133" i="19" s="1"/>
  <c r="M133" i="19" s="1"/>
  <c r="I69" i="19"/>
  <c r="AL69" i="19" s="1" a="1"/>
  <c r="AL69" i="19" s="1"/>
  <c r="I68" i="19"/>
  <c r="I132" i="19"/>
  <c r="J132" i="19" s="1"/>
  <c r="K132" i="19" s="1"/>
  <c r="L132" i="19" s="1"/>
  <c r="M132" i="19" s="1"/>
  <c r="I131" i="19"/>
  <c r="J131" i="19" s="1"/>
  <c r="K131" i="19" s="1"/>
  <c r="L131" i="19" s="1"/>
  <c r="M131" i="19" s="1"/>
  <c r="I126" i="19"/>
  <c r="J126" i="19" s="1"/>
  <c r="K126" i="19" s="1"/>
  <c r="L126" i="19" s="1"/>
  <c r="M126" i="19" s="1"/>
  <c r="I119" i="19"/>
  <c r="J119" i="19" s="1"/>
  <c r="K119" i="19" s="1"/>
  <c r="L119" i="19" s="1"/>
  <c r="M119" i="19" s="1"/>
  <c r="I115" i="19"/>
  <c r="J115" i="19" s="1"/>
  <c r="K115" i="19" s="1"/>
  <c r="L115" i="19" s="1"/>
  <c r="M115" i="19" s="1"/>
  <c r="I80" i="19"/>
  <c r="AL80" i="19" s="1" a="1"/>
  <c r="AL80" i="19" s="1"/>
  <c r="I67" i="19"/>
  <c r="AL67" i="19" s="1" a="1"/>
  <c r="AL67" i="19" s="1"/>
  <c r="I78" i="19"/>
  <c r="AL78" i="19" s="1" a="1"/>
  <c r="AL78" i="19" s="1"/>
  <c r="I77" i="19"/>
  <c r="I72" i="19"/>
  <c r="I73" i="19"/>
  <c r="I74" i="19"/>
  <c r="I107" i="19"/>
  <c r="J107" i="19" s="1"/>
  <c r="K107" i="19" s="1"/>
  <c r="L107" i="19" s="1"/>
  <c r="M107" i="19" s="1"/>
  <c r="I108" i="19"/>
  <c r="J108" i="19" s="1"/>
  <c r="K108" i="19" s="1"/>
  <c r="L108" i="19" s="1"/>
  <c r="M108" i="19" s="1"/>
  <c r="I71" i="19"/>
  <c r="AL71" i="19" s="1" a="1"/>
  <c r="AL71" i="19" s="1"/>
  <c r="I65" i="19"/>
  <c r="H106" i="19"/>
  <c r="I106" i="19" s="1"/>
  <c r="J106" i="19" s="1"/>
  <c r="K106" i="19" s="1"/>
  <c r="L106" i="19" s="1"/>
  <c r="M106" i="19" s="1"/>
  <c r="H61" i="19"/>
  <c r="I61" i="19" s="1"/>
  <c r="H60" i="19"/>
  <c r="I60" i="19" s="1"/>
  <c r="H59" i="19"/>
  <c r="I59" i="19" s="1"/>
  <c r="AL59" i="19" s="1" a="1"/>
  <c r="AL59" i="19" s="1"/>
  <c r="H58" i="19"/>
  <c r="I58" i="19" s="1"/>
  <c r="AL58" i="19" s="1" a="1"/>
  <c r="AL58" i="19" s="1"/>
  <c r="AY145" i="29" l="1"/>
  <c r="AX145" i="29"/>
  <c r="AP99" i="19"/>
  <c r="AQ99" i="19" s="1"/>
  <c r="AC135" i="29"/>
  <c r="AN139" i="29"/>
  <c r="AM140" i="29"/>
  <c r="AN140" i="29"/>
  <c r="T128" i="29"/>
  <c r="T130" i="29" s="1"/>
  <c r="S130" i="29"/>
  <c r="AD133" i="29"/>
  <c r="M39" i="27"/>
  <c r="L40" i="27"/>
  <c r="M40" i="27" s="1"/>
  <c r="P43" i="27"/>
  <c r="AD64" i="19"/>
  <c r="AK82" i="19"/>
  <c r="AK58" i="19"/>
  <c r="M38" i="19" a="1"/>
  <c r="M38" i="19" s="1"/>
  <c r="AP38" i="19" s="1" a="1"/>
  <c r="AP38" i="19" s="1"/>
  <c r="AQ38" i="19" s="1"/>
  <c r="AP37" i="19" a="1"/>
  <c r="AP37" i="19" s="1"/>
  <c r="AQ37" i="19" s="1"/>
  <c r="AK79" i="19"/>
  <c r="AK66" i="19"/>
  <c r="M64" i="19" a="1"/>
  <c r="M64" i="19" s="1"/>
  <c r="AP64" i="19" s="1" a="1"/>
  <c r="AP64" i="19" s="1"/>
  <c r="AQ64" i="19" s="1"/>
  <c r="AP63" i="19" a="1"/>
  <c r="AP63" i="19" s="1"/>
  <c r="AQ63" i="19" s="1"/>
  <c r="AK80" i="19"/>
  <c r="Q70" i="19"/>
  <c r="P70" i="19" s="1"/>
  <c r="AL70" i="19" a="1"/>
  <c r="AL70" i="19" s="1"/>
  <c r="AK83" i="19"/>
  <c r="Q73" i="19"/>
  <c r="P73" i="19" s="1"/>
  <c r="AL73" i="19" a="1"/>
  <c r="AL73" i="19" s="1"/>
  <c r="AK81" i="19"/>
  <c r="AA77" i="19"/>
  <c r="Z77" i="19" s="1"/>
  <c r="AL77" i="19" a="1"/>
  <c r="AL77" i="19" s="1"/>
  <c r="AE63" i="19"/>
  <c r="AF63" i="19" s="1"/>
  <c r="AK71" i="19"/>
  <c r="AK59" i="19"/>
  <c r="Q74" i="19"/>
  <c r="P74" i="19" s="1"/>
  <c r="AL74" i="19" a="1"/>
  <c r="AL74" i="19" s="1"/>
  <c r="AA60" i="19"/>
  <c r="Z60" i="19" s="1"/>
  <c r="AL60" i="19" a="1"/>
  <c r="AL60" i="19" s="1"/>
  <c r="AA61" i="19"/>
  <c r="Z61" i="19" s="1"/>
  <c r="AL61" i="19" a="1"/>
  <c r="AL61" i="19" s="1"/>
  <c r="Q72" i="19"/>
  <c r="P72" i="19" s="1"/>
  <c r="AL72" i="19" a="1"/>
  <c r="AL72" i="19" s="1"/>
  <c r="AA65" i="19"/>
  <c r="Z65" i="19" s="1"/>
  <c r="AL65" i="19" a="1"/>
  <c r="AL65" i="19" s="1"/>
  <c r="AK78" i="19"/>
  <c r="AA68" i="19" a="1"/>
  <c r="AA68" i="19" s="1"/>
  <c r="Z68" i="19" s="1"/>
  <c r="AL68" i="19" a="1"/>
  <c r="AL68" i="19" s="1"/>
  <c r="AK69" i="19"/>
  <c r="AK67" i="19"/>
  <c r="AQ36" i="19"/>
  <c r="I51" i="27"/>
  <c r="I53" i="27" s="1"/>
  <c r="AE221" i="19" a="1"/>
  <c r="AE221" i="19" s="1"/>
  <c r="AF221" i="19" s="1"/>
  <c r="U221" i="19" a="1"/>
  <c r="U221" i="19" s="1"/>
  <c r="V221" i="19" s="1"/>
  <c r="AD222" i="19" a="1"/>
  <c r="AD222" i="19" s="1"/>
  <c r="T222" i="19" a="1"/>
  <c r="T222" i="19" s="1"/>
  <c r="M222" i="19" a="1"/>
  <c r="M222" i="19" s="1"/>
  <c r="AP222" i="19" s="1" a="1"/>
  <c r="AP222" i="19" s="1"/>
  <c r="AQ222" i="19" s="1"/>
  <c r="AE94" i="19"/>
  <c r="AF94" i="19" s="1"/>
  <c r="J82" i="19"/>
  <c r="AM82" i="19" s="1" a="1"/>
  <c r="AM82" i="19" s="1"/>
  <c r="AA82" i="19" a="1"/>
  <c r="AA82" i="19" s="1"/>
  <c r="J81" i="19"/>
  <c r="AM81" i="19" s="1" a="1"/>
  <c r="AM81" i="19" s="1"/>
  <c r="AA81" i="19" a="1"/>
  <c r="AA81" i="19" s="1"/>
  <c r="Q82" i="19"/>
  <c r="P82" i="19" s="1"/>
  <c r="J83" i="19"/>
  <c r="AM83" i="19" s="1" a="1"/>
  <c r="AM83" i="19" s="1"/>
  <c r="AA83" i="19" a="1"/>
  <c r="AA83" i="19" s="1"/>
  <c r="Q81" i="19"/>
  <c r="P81" i="19" s="1"/>
  <c r="Q83" i="19"/>
  <c r="P83" i="19" s="1"/>
  <c r="J80" i="19"/>
  <c r="AA80" i="19"/>
  <c r="J79" i="19"/>
  <c r="AM79" i="19" s="1" a="1"/>
  <c r="AM79" i="19" s="1"/>
  <c r="AA79" i="19" a="1"/>
  <c r="AA79" i="19" s="1"/>
  <c r="Q79" i="19"/>
  <c r="P79" i="19" s="1"/>
  <c r="J78" i="19"/>
  <c r="AM78" i="19" s="1" a="1"/>
  <c r="AM78" i="19" s="1"/>
  <c r="AA78" i="19" a="1"/>
  <c r="AA78" i="19" s="1"/>
  <c r="Q78" i="19"/>
  <c r="P78" i="19" s="1"/>
  <c r="J71" i="19"/>
  <c r="AA71" i="19"/>
  <c r="J69" i="19"/>
  <c r="AM69" i="19" s="1" a="1"/>
  <c r="AM69" i="19" s="1"/>
  <c r="AA69" i="19" a="1"/>
  <c r="AA69" i="19" s="1"/>
  <c r="J70" i="19"/>
  <c r="AA70" i="19"/>
  <c r="J73" i="19"/>
  <c r="AA73" i="19"/>
  <c r="J74" i="19"/>
  <c r="AA74" i="19"/>
  <c r="J72" i="19"/>
  <c r="AA72" i="19"/>
  <c r="Q71" i="19"/>
  <c r="P71" i="19" s="1"/>
  <c r="J67" i="19"/>
  <c r="AA67" i="19"/>
  <c r="J66" i="19"/>
  <c r="AM66" i="19" s="1" a="1"/>
  <c r="AM66" i="19" s="1"/>
  <c r="AA66" i="19"/>
  <c r="Q66" i="19" a="1"/>
  <c r="Q66" i="19" s="1"/>
  <c r="P66" i="19" s="1"/>
  <c r="J59" i="19"/>
  <c r="AA59" i="19"/>
  <c r="Q58" i="19"/>
  <c r="AA58" i="19"/>
  <c r="V124" i="29"/>
  <c r="V123" i="29"/>
  <c r="U124" i="29"/>
  <c r="U123" i="29"/>
  <c r="U127" i="29" s="1"/>
  <c r="S37" i="28"/>
  <c r="S38" i="28"/>
  <c r="AV37" i="28"/>
  <c r="J60" i="19"/>
  <c r="Q60" i="19"/>
  <c r="P60" i="19" s="1"/>
  <c r="J61" i="19"/>
  <c r="Q61" i="19"/>
  <c r="P61" i="19" s="1"/>
  <c r="J68" i="19"/>
  <c r="AM68" i="19" s="1" a="1"/>
  <c r="AM68" i="19" s="1"/>
  <c r="Q68" i="19"/>
  <c r="P68" i="19" s="1"/>
  <c r="J77" i="19"/>
  <c r="Q77" i="19"/>
  <c r="P77" i="19" s="1"/>
  <c r="Q63" i="19"/>
  <c r="P63" i="19" s="1"/>
  <c r="Q64" i="19"/>
  <c r="P64" i="19" s="1"/>
  <c r="J65" i="19"/>
  <c r="Q65" i="19"/>
  <c r="P65" i="19" s="1"/>
  <c r="Q80" i="19"/>
  <c r="Q69" i="19"/>
  <c r="J58" i="19"/>
  <c r="Q67" i="19"/>
  <c r="Q59" i="19"/>
  <c r="R126" i="19"/>
  <c r="S126" i="19" s="1"/>
  <c r="T126" i="19" s="1"/>
  <c r="U126" i="19" s="1"/>
  <c r="R131" i="19"/>
  <c r="S131" i="19" s="1"/>
  <c r="T131" i="19" s="1"/>
  <c r="U131" i="19" s="1"/>
  <c r="R132" i="19"/>
  <c r="S132" i="19" s="1"/>
  <c r="T132" i="19" s="1"/>
  <c r="U132" i="19" s="1"/>
  <c r="R133" i="19"/>
  <c r="S133" i="19" s="1"/>
  <c r="T133" i="19" s="1"/>
  <c r="U133" i="19" s="1"/>
  <c r="R134" i="19"/>
  <c r="S134" i="19" s="1"/>
  <c r="T134" i="19" s="1"/>
  <c r="U134" i="19" s="1"/>
  <c r="R135" i="19"/>
  <c r="S135" i="19" s="1"/>
  <c r="T135" i="19" s="1"/>
  <c r="U135" i="19" s="1"/>
  <c r="R136" i="19"/>
  <c r="S136" i="19" s="1"/>
  <c r="T136" i="19" s="1"/>
  <c r="U136" i="19" s="1"/>
  <c r="R137" i="19"/>
  <c r="S137" i="19" s="1"/>
  <c r="T137" i="19" s="1"/>
  <c r="U137" i="19" s="1"/>
  <c r="S108" i="19"/>
  <c r="T108" i="19" s="1"/>
  <c r="U108" i="19" s="1"/>
  <c r="R107" i="19"/>
  <c r="S107" i="19" s="1"/>
  <c r="T107" i="19" s="1"/>
  <c r="U107" i="19" s="1"/>
  <c r="R106" i="19"/>
  <c r="S106" i="19" s="1"/>
  <c r="T106" i="19" s="1"/>
  <c r="U106" i="19" s="1"/>
  <c r="S119" i="19"/>
  <c r="T119" i="19" s="1"/>
  <c r="U119" i="19" s="1"/>
  <c r="T115" i="19"/>
  <c r="U115" i="19" s="1"/>
  <c r="H217" i="19"/>
  <c r="I217" i="19" s="1"/>
  <c r="AL217" i="19" s="1" a="1"/>
  <c r="AL217" i="19" s="1"/>
  <c r="N217" i="19"/>
  <c r="I102" i="19"/>
  <c r="AL102" i="19" s="1" a="1"/>
  <c r="AL102" i="19" s="1"/>
  <c r="N102" i="19"/>
  <c r="I100" i="19"/>
  <c r="AL100" i="19" s="1" a="1"/>
  <c r="AL100" i="19" s="1"/>
  <c r="N100" i="19"/>
  <c r="I101" i="19"/>
  <c r="AL101" i="19" s="1" a="1"/>
  <c r="AL101" i="19" s="1"/>
  <c r="N101" i="19"/>
  <c r="N98" i="19"/>
  <c r="N99" i="19"/>
  <c r="I103" i="19"/>
  <c r="AL103" i="19" s="1" a="1"/>
  <c r="AL103" i="19" s="1"/>
  <c r="N103" i="19"/>
  <c r="I104" i="19"/>
  <c r="AL104" i="19" s="1" a="1"/>
  <c r="AL104" i="19" s="1"/>
  <c r="N104" i="19"/>
  <c r="Q290" i="19"/>
  <c r="P290" i="19" s="1"/>
  <c r="Q289" i="19"/>
  <c r="P289" i="19" s="1"/>
  <c r="Q287" i="19"/>
  <c r="P287" i="19" s="1"/>
  <c r="N290" i="19"/>
  <c r="N289" i="19"/>
  <c r="N288" i="19"/>
  <c r="N287" i="19"/>
  <c r="H290" i="19"/>
  <c r="I290" i="19" s="1"/>
  <c r="H286" i="19"/>
  <c r="I286" i="19" s="1"/>
  <c r="AL286" i="19" s="1" a="1"/>
  <c r="AL286" i="19" s="1"/>
  <c r="H287" i="19"/>
  <c r="I287" i="19" s="1"/>
  <c r="H288" i="19"/>
  <c r="I288" i="19" s="1"/>
  <c r="H289" i="19"/>
  <c r="I289" i="19" s="1"/>
  <c r="N286" i="19"/>
  <c r="N285" i="19"/>
  <c r="H285" i="19"/>
  <c r="I285" i="19" s="1"/>
  <c r="AL285" i="19" s="1" a="1"/>
  <c r="AL285" i="19" s="1"/>
  <c r="N284" i="19"/>
  <c r="N283" i="19"/>
  <c r="H284" i="19"/>
  <c r="I284" i="19" s="1"/>
  <c r="N282" i="19"/>
  <c r="H283" i="19"/>
  <c r="I283" i="19" s="1"/>
  <c r="AL283" i="19" s="1" a="1"/>
  <c r="AL283" i="19" s="1"/>
  <c r="N281" i="19"/>
  <c r="H282" i="19"/>
  <c r="I282" i="19" s="1"/>
  <c r="AL282" i="19" s="1" a="1"/>
  <c r="AL282" i="19" s="1"/>
  <c r="N280" i="19"/>
  <c r="H281" i="19"/>
  <c r="I281" i="19" s="1"/>
  <c r="N279" i="19"/>
  <c r="H279" i="19"/>
  <c r="I279" i="19" s="1"/>
  <c r="N278" i="19"/>
  <c r="H278" i="19"/>
  <c r="I278" i="19" s="1"/>
  <c r="AL278" i="19" s="1" a="1"/>
  <c r="AL278" i="19" s="1"/>
  <c r="N277" i="19"/>
  <c r="H277" i="19"/>
  <c r="I277" i="19" s="1"/>
  <c r="AL277" i="19" s="1" a="1"/>
  <c r="AL277" i="19" s="1"/>
  <c r="N276" i="19"/>
  <c r="H276" i="19"/>
  <c r="I276" i="19" s="1"/>
  <c r="AL276" i="19" s="1" a="1"/>
  <c r="AL276" i="19" s="1"/>
  <c r="N273" i="19"/>
  <c r="Q273" i="19"/>
  <c r="N274" i="19"/>
  <c r="H274" i="19"/>
  <c r="I274" i="19" s="1"/>
  <c r="AL274" i="19" s="1" a="1"/>
  <c r="AL274" i="19" s="1"/>
  <c r="H273" i="19"/>
  <c r="I273" i="19" s="1"/>
  <c r="N272" i="19"/>
  <c r="H272" i="19"/>
  <c r="I272" i="19" s="1"/>
  <c r="N271" i="19"/>
  <c r="N270" i="19"/>
  <c r="N269" i="19"/>
  <c r="N268" i="19"/>
  <c r="N267" i="19"/>
  <c r="H271" i="19"/>
  <c r="I271" i="19" s="1"/>
  <c r="AL271" i="19" s="1" a="1"/>
  <c r="AL271" i="19" s="1"/>
  <c r="H270" i="19"/>
  <c r="I270" i="19" s="1"/>
  <c r="AL270" i="19" s="1" a="1"/>
  <c r="AL270" i="19" s="1"/>
  <c r="H269" i="19"/>
  <c r="I269" i="19" s="1"/>
  <c r="AL269" i="19" s="1" a="1"/>
  <c r="AL269" i="19" s="1"/>
  <c r="H268" i="19"/>
  <c r="I268" i="19" s="1"/>
  <c r="H267" i="19"/>
  <c r="I267" i="19" s="1"/>
  <c r="Q266" i="19"/>
  <c r="P266" i="19" s="1"/>
  <c r="N266" i="19"/>
  <c r="H266" i="19"/>
  <c r="I266" i="19" s="1"/>
  <c r="H232" i="19"/>
  <c r="H233" i="19"/>
  <c r="H234" i="19"/>
  <c r="H235" i="19"/>
  <c r="I235" i="19" s="1"/>
  <c r="N235" i="19"/>
  <c r="N234" i="19"/>
  <c r="AA235" i="19"/>
  <c r="AB235" i="19" s="1"/>
  <c r="AC235" i="19" s="1"/>
  <c r="AD235" i="19" s="1"/>
  <c r="AE235" i="19" s="1"/>
  <c r="AV235" i="19"/>
  <c r="AW235" i="19" s="1"/>
  <c r="AX235" i="19" s="1"/>
  <c r="AY235" i="19" s="1"/>
  <c r="AZ235" i="19" s="1"/>
  <c r="AA234" i="19"/>
  <c r="AB234" i="19" s="1"/>
  <c r="AC234" i="19" s="1"/>
  <c r="AD234" i="19" s="1"/>
  <c r="AE234" i="19" s="1"/>
  <c r="AV234" i="19"/>
  <c r="AW234" i="19" s="1"/>
  <c r="H142" i="19"/>
  <c r="H316" i="19"/>
  <c r="I316" i="19" s="1"/>
  <c r="AL316" i="19" s="1" a="1"/>
  <c r="AL316" i="19" s="1"/>
  <c r="H315" i="19"/>
  <c r="I315" i="19" s="1"/>
  <c r="AL315" i="19" s="1" a="1"/>
  <c r="AL315" i="19" s="1"/>
  <c r="H314" i="19"/>
  <c r="I314" i="19" s="1"/>
  <c r="AL314" i="19" s="1" a="1"/>
  <c r="AL314" i="19" s="1"/>
  <c r="H313" i="19"/>
  <c r="I313" i="19" s="1"/>
  <c r="AL313" i="19" s="1" a="1"/>
  <c r="AL313" i="19" s="1"/>
  <c r="H312" i="19"/>
  <c r="I312" i="19" s="1"/>
  <c r="AL312" i="19" s="1" a="1"/>
  <c r="AL312" i="19" s="1"/>
  <c r="H311" i="19"/>
  <c r="I311" i="19" s="1"/>
  <c r="AL311" i="19" s="1" a="1"/>
  <c r="AL311" i="19" s="1"/>
  <c r="H310" i="19"/>
  <c r="I310" i="19" s="1"/>
  <c r="H309" i="19"/>
  <c r="I309" i="19" s="1"/>
  <c r="AL309" i="19" s="1" a="1"/>
  <c r="AL309" i="19" s="1"/>
  <c r="H298" i="19"/>
  <c r="I298" i="19" s="1"/>
  <c r="H307" i="19"/>
  <c r="I307" i="19" s="1"/>
  <c r="AL307" i="19" s="1" a="1"/>
  <c r="AL307" i="19" s="1"/>
  <c r="H306" i="19"/>
  <c r="I306" i="19" s="1"/>
  <c r="H305" i="19"/>
  <c r="I305" i="19" s="1"/>
  <c r="H304" i="19"/>
  <c r="I304" i="19" s="1"/>
  <c r="H303" i="19"/>
  <c r="I303" i="19" s="1"/>
  <c r="AL303" i="19" s="1" a="1"/>
  <c r="AL303" i="19" s="1"/>
  <c r="H302" i="19"/>
  <c r="H301" i="19"/>
  <c r="H300" i="19"/>
  <c r="N316" i="19"/>
  <c r="N315" i="19"/>
  <c r="N314" i="19"/>
  <c r="N313" i="19"/>
  <c r="N312" i="19"/>
  <c r="N311" i="19"/>
  <c r="N310" i="19"/>
  <c r="N309" i="19"/>
  <c r="N298" i="19"/>
  <c r="N303" i="19"/>
  <c r="N304" i="19"/>
  <c r="N305" i="19"/>
  <c r="N306" i="19"/>
  <c r="N307" i="19"/>
  <c r="N259" i="19"/>
  <c r="H259" i="19"/>
  <c r="I259" i="19" s="1"/>
  <c r="AL259" i="19" s="1" a="1"/>
  <c r="AL259" i="19" s="1"/>
  <c r="N258" i="19"/>
  <c r="H258" i="19"/>
  <c r="I258" i="19" s="1"/>
  <c r="N257" i="19"/>
  <c r="H257" i="19"/>
  <c r="I257" i="19" s="1"/>
  <c r="AA257" i="19"/>
  <c r="AB257" i="19" s="1"/>
  <c r="AC257" i="19" s="1"/>
  <c r="AD257" i="19" s="1"/>
  <c r="AE257" i="19" s="1"/>
  <c r="AV257" i="19"/>
  <c r="AW257" i="19" s="1"/>
  <c r="AX257" i="19" s="1"/>
  <c r="AY257" i="19" s="1"/>
  <c r="AZ257" i="19" s="1"/>
  <c r="N256" i="19"/>
  <c r="H256" i="19"/>
  <c r="I256" i="19" s="1"/>
  <c r="AA256" i="19"/>
  <c r="AB256" i="19" s="1"/>
  <c r="AC256" i="19" s="1"/>
  <c r="AD256" i="19" s="1"/>
  <c r="AE256" i="19" s="1"/>
  <c r="AV256" i="19"/>
  <c r="AW256" i="19" s="1"/>
  <c r="AX256" i="19" s="1"/>
  <c r="AY256" i="19" s="1"/>
  <c r="AZ256" i="19" s="1"/>
  <c r="N254" i="19"/>
  <c r="H254" i="19"/>
  <c r="I254" i="19" s="1"/>
  <c r="AA254" i="19"/>
  <c r="AB254" i="19" s="1"/>
  <c r="AC254" i="19" s="1"/>
  <c r="AV254" i="19"/>
  <c r="AW254" i="19" s="1"/>
  <c r="AX254" i="19" s="1"/>
  <c r="AY254" i="19" s="1"/>
  <c r="AZ254" i="19" s="1"/>
  <c r="H250" i="19"/>
  <c r="I250" i="19" s="1"/>
  <c r="H251" i="19"/>
  <c r="I251" i="19" s="1"/>
  <c r="H252" i="19"/>
  <c r="H253" i="19"/>
  <c r="H255" i="19"/>
  <c r="H224" i="19"/>
  <c r="I224" i="19" s="1"/>
  <c r="AL224" i="19" s="1" a="1"/>
  <c r="AL224" i="19" s="1"/>
  <c r="H335" i="19"/>
  <c r="H264" i="19"/>
  <c r="I264" i="19" s="1"/>
  <c r="H265" i="19"/>
  <c r="I265" i="19" s="1"/>
  <c r="AV224" i="19"/>
  <c r="AW224" i="19" s="1"/>
  <c r="AA224" i="19"/>
  <c r="AB224" i="19" s="1"/>
  <c r="AC224" i="19" s="1"/>
  <c r="AD224" i="19" s="1"/>
  <c r="AE224" i="19" s="1"/>
  <c r="AV289" i="19"/>
  <c r="AW289" i="19" s="1"/>
  <c r="AA289" i="19"/>
  <c r="AV275" i="19"/>
  <c r="AA275" i="19"/>
  <c r="AB275" i="19" s="1"/>
  <c r="AC275" i="19" s="1"/>
  <c r="Q275" i="19"/>
  <c r="N275" i="19"/>
  <c r="AV265" i="19"/>
  <c r="AW265" i="19" s="1"/>
  <c r="AX265" i="19" s="1"/>
  <c r="AA265" i="19"/>
  <c r="Q265" i="19"/>
  <c r="P265" i="19" s="1"/>
  <c r="N265" i="19"/>
  <c r="AV264" i="19"/>
  <c r="AW264" i="19" s="1"/>
  <c r="AA264" i="19"/>
  <c r="N264" i="19"/>
  <c r="AT263" i="19"/>
  <c r="AI263" i="19"/>
  <c r="X263" i="19"/>
  <c r="N263" i="19"/>
  <c r="AV251" i="19"/>
  <c r="AW251" i="19" s="1"/>
  <c r="AA251" i="19"/>
  <c r="AB251" i="19" s="1"/>
  <c r="N251" i="19"/>
  <c r="AV250" i="19"/>
  <c r="AA250" i="19"/>
  <c r="AB250" i="19" s="1"/>
  <c r="AC250" i="19" s="1"/>
  <c r="N250" i="19"/>
  <c r="AT230" i="19"/>
  <c r="AI230" i="19"/>
  <c r="N230" i="19"/>
  <c r="AT296" i="19"/>
  <c r="AI296" i="19"/>
  <c r="X296" i="19"/>
  <c r="N296" i="19"/>
  <c r="AZ145" i="29" l="1"/>
  <c r="AZ148" i="29" s="1"/>
  <c r="M49" i="27"/>
  <c r="M51" i="27" s="1"/>
  <c r="T129" i="29"/>
  <c r="U128" i="29" s="1"/>
  <c r="AO138" i="29"/>
  <c r="AO140" i="29" s="1"/>
  <c r="AP140" i="29" s="1"/>
  <c r="AP148" i="29" s="1"/>
  <c r="AP179" i="29" s="1"/>
  <c r="C13" i="26" s="1"/>
  <c r="AD135" i="29"/>
  <c r="AD134" i="29"/>
  <c r="Q43" i="27"/>
  <c r="P44" i="27"/>
  <c r="Q44" i="27" s="1"/>
  <c r="J257" i="19"/>
  <c r="AL257" i="19" a="1"/>
  <c r="AL257" i="19" s="1"/>
  <c r="AA304" i="19"/>
  <c r="Z304" i="19" s="1"/>
  <c r="AL304" i="19" a="1"/>
  <c r="AL304" i="19" s="1"/>
  <c r="J266" i="19"/>
  <c r="AL266" i="19" a="1"/>
  <c r="AL266" i="19" s="1"/>
  <c r="J264" i="19"/>
  <c r="AL264" i="19" a="1"/>
  <c r="AL264" i="19" s="1"/>
  <c r="AA310" i="19"/>
  <c r="Z310" i="19" s="1"/>
  <c r="AL310" i="19" a="1"/>
  <c r="AL310" i="19" s="1"/>
  <c r="AK270" i="19"/>
  <c r="AK282" i="19"/>
  <c r="AK303" i="19"/>
  <c r="AK311" i="19"/>
  <c r="AK271" i="19"/>
  <c r="J273" i="19"/>
  <c r="AL273" i="19" a="1"/>
  <c r="AL273" i="19" s="1"/>
  <c r="AK103" i="19"/>
  <c r="AK102" i="19"/>
  <c r="K60" i="19"/>
  <c r="AM60" i="19" a="1"/>
  <c r="AM60" i="19" s="1"/>
  <c r="AK73" i="19"/>
  <c r="AK274" i="19"/>
  <c r="AK313" i="19"/>
  <c r="AK217" i="19"/>
  <c r="K77" i="19"/>
  <c r="AM77" i="19" a="1"/>
  <c r="AM77" i="19" s="1"/>
  <c r="Q284" i="19"/>
  <c r="P284" i="19" s="1"/>
  <c r="AL284" i="19" a="1"/>
  <c r="AL284" i="19" s="1"/>
  <c r="K74" i="19"/>
  <c r="AM74" i="19" a="1"/>
  <c r="AM74" i="19" s="1"/>
  <c r="AK60" i="19"/>
  <c r="AK312" i="19"/>
  <c r="AA305" i="19"/>
  <c r="Z305" i="19" s="1"/>
  <c r="AL305" i="19" a="1"/>
  <c r="AL305" i="19" s="1"/>
  <c r="Q279" i="19"/>
  <c r="P279" i="19" s="1"/>
  <c r="AL279" i="19" a="1"/>
  <c r="AL279" i="19" s="1"/>
  <c r="AK307" i="19"/>
  <c r="AK315" i="19"/>
  <c r="J267" i="19"/>
  <c r="AL267" i="19" a="1"/>
  <c r="AL267" i="19" s="1"/>
  <c r="AK286" i="19"/>
  <c r="AK101" i="19"/>
  <c r="AK77" i="19"/>
  <c r="AE64" i="19"/>
  <c r="AF64" i="19" s="1"/>
  <c r="J254" i="19"/>
  <c r="AL254" i="19" a="1"/>
  <c r="AL254" i="19" s="1"/>
  <c r="J289" i="19"/>
  <c r="AL289" i="19" a="1"/>
  <c r="AL289" i="19" s="1"/>
  <c r="AK314" i="19"/>
  <c r="J251" i="19"/>
  <c r="AL251" i="19" a="1"/>
  <c r="AL251" i="19" s="1"/>
  <c r="J256" i="19"/>
  <c r="AL256" i="19" a="1"/>
  <c r="AL256" i="19" s="1"/>
  <c r="AK259" i="19"/>
  <c r="AK316" i="19"/>
  <c r="J235" i="19"/>
  <c r="AL235" i="19" a="1"/>
  <c r="AL235" i="19" s="1"/>
  <c r="J268" i="19"/>
  <c r="AL268" i="19" a="1"/>
  <c r="AL268" i="19" s="1"/>
  <c r="AK276" i="19"/>
  <c r="J281" i="19"/>
  <c r="AL281" i="19" a="1"/>
  <c r="AL281" i="19" s="1"/>
  <c r="J290" i="19"/>
  <c r="AL290" i="19" a="1"/>
  <c r="AL290" i="19" s="1"/>
  <c r="K73" i="19"/>
  <c r="AM73" i="19" a="1"/>
  <c r="AM73" i="19" s="1"/>
  <c r="K71" i="19"/>
  <c r="AM71" i="19" a="1"/>
  <c r="AM71" i="19" s="1"/>
  <c r="AK65" i="19"/>
  <c r="AK74" i="19"/>
  <c r="AK283" i="19"/>
  <c r="K72" i="19"/>
  <c r="AM72" i="19" a="1"/>
  <c r="AM72" i="19" s="1"/>
  <c r="AK61" i="19"/>
  <c r="J288" i="19"/>
  <c r="AL288" i="19" a="1"/>
  <c r="AL288" i="19" s="1"/>
  <c r="Q258" i="19"/>
  <c r="P258" i="19" s="1"/>
  <c r="AL258" i="19" a="1"/>
  <c r="AL258" i="19" s="1"/>
  <c r="AA306" i="19"/>
  <c r="Z306" i="19" s="1"/>
  <c r="AL306" i="19" a="1"/>
  <c r="AL306" i="19" s="1"/>
  <c r="J287" i="19"/>
  <c r="AL287" i="19" a="1"/>
  <c r="AL287" i="19" s="1"/>
  <c r="J265" i="19"/>
  <c r="AL265" i="19" a="1"/>
  <c r="AL265" i="19" s="1"/>
  <c r="J250" i="19"/>
  <c r="AL250" i="19" a="1"/>
  <c r="AL250" i="19" s="1"/>
  <c r="AK309" i="19"/>
  <c r="AK269" i="19"/>
  <c r="Q272" i="19"/>
  <c r="P272" i="19" s="1"/>
  <c r="AL272" i="19" a="1"/>
  <c r="AL272" i="19" s="1"/>
  <c r="AK285" i="19"/>
  <c r="AK104" i="19"/>
  <c r="AK100" i="19"/>
  <c r="K65" i="19"/>
  <c r="AM65" i="19" a="1"/>
  <c r="AM65" i="19" s="1"/>
  <c r="K61" i="19"/>
  <c r="AM61" i="19" a="1"/>
  <c r="AM61" i="19" s="1"/>
  <c r="K67" i="19"/>
  <c r="AM67" i="19" a="1"/>
  <c r="AM67" i="19" s="1"/>
  <c r="AK70" i="19"/>
  <c r="AK224" i="19"/>
  <c r="AK278" i="19"/>
  <c r="AK68" i="19"/>
  <c r="K58" i="19"/>
  <c r="AM58" i="19" a="1"/>
  <c r="AM58" i="19" s="1"/>
  <c r="AK277" i="19"/>
  <c r="K59" i="19"/>
  <c r="AM59" i="19" a="1"/>
  <c r="AM59" i="19" s="1"/>
  <c r="K70" i="19"/>
  <c r="AM70" i="19" a="1"/>
  <c r="AM70" i="19" s="1"/>
  <c r="K80" i="19"/>
  <c r="AM80" i="19" a="1"/>
  <c r="AM80" i="19" s="1"/>
  <c r="AK72" i="19"/>
  <c r="J307" i="19"/>
  <c r="AA307" i="19"/>
  <c r="J303" i="19"/>
  <c r="AA303" i="19"/>
  <c r="J309" i="19"/>
  <c r="AA309" i="19"/>
  <c r="J311" i="19"/>
  <c r="AA311" i="19"/>
  <c r="J312" i="19"/>
  <c r="AA312" i="19"/>
  <c r="J313" i="19"/>
  <c r="AA313" i="19"/>
  <c r="J314" i="19"/>
  <c r="AA314" i="19"/>
  <c r="J315" i="19"/>
  <c r="AA315" i="19"/>
  <c r="J316" i="19"/>
  <c r="AA316" i="19"/>
  <c r="P58" i="19"/>
  <c r="R273" i="19"/>
  <c r="S273" i="19" s="1"/>
  <c r="T273" i="19" s="1"/>
  <c r="U273" i="19" s="1"/>
  <c r="P273" i="19"/>
  <c r="R275" i="19"/>
  <c r="S275" i="19" s="1"/>
  <c r="T275" i="19" s="1"/>
  <c r="U275" i="19" s="1"/>
  <c r="P275" i="19"/>
  <c r="I234" i="19"/>
  <c r="H238" i="19"/>
  <c r="I238" i="19" s="1"/>
  <c r="AL238" i="19" s="1" a="1"/>
  <c r="AL238" i="19" s="1"/>
  <c r="J224" i="19"/>
  <c r="AM224" i="19" s="1" a="1"/>
  <c r="AM224" i="19" s="1"/>
  <c r="I225" i="19"/>
  <c r="AL225" i="19" s="1" a="1"/>
  <c r="AL225" i="19" s="1"/>
  <c r="I227" i="19" a="1"/>
  <c r="I227" i="19" s="1"/>
  <c r="I226" i="19" a="1"/>
  <c r="I226" i="19" s="1"/>
  <c r="AL226" i="19" s="1" a="1"/>
  <c r="AL226" i="19" s="1"/>
  <c r="AE222" i="19" a="1"/>
  <c r="AE222" i="19" s="1"/>
  <c r="AF222" i="19" s="1"/>
  <c r="U222" i="19" a="1"/>
  <c r="U222" i="19" s="1"/>
  <c r="V222" i="19" s="1"/>
  <c r="Q217" i="19"/>
  <c r="P217" i="19" s="1"/>
  <c r="AA217" i="19"/>
  <c r="R83" i="19"/>
  <c r="J103" i="19"/>
  <c r="AA103" i="19"/>
  <c r="J102" i="19"/>
  <c r="AA102" i="19"/>
  <c r="J100" i="19"/>
  <c r="AA100" i="19"/>
  <c r="J104" i="19"/>
  <c r="AA104" i="19"/>
  <c r="J101" i="19"/>
  <c r="AA101" i="19"/>
  <c r="R79" i="19"/>
  <c r="R82" i="19"/>
  <c r="R70" i="19"/>
  <c r="Z83" i="19"/>
  <c r="K83" i="19"/>
  <c r="AN83" i="19" s="1" a="1"/>
  <c r="AN83" i="19" s="1"/>
  <c r="AB83" i="19" a="1"/>
  <c r="AB83" i="19" s="1"/>
  <c r="R81" i="19"/>
  <c r="Z81" i="19"/>
  <c r="K81" i="19"/>
  <c r="AN81" i="19" s="1" a="1"/>
  <c r="AN81" i="19" s="1"/>
  <c r="AB81" i="19" a="1"/>
  <c r="AB81" i="19" s="1"/>
  <c r="Z82" i="19"/>
  <c r="K82" i="19"/>
  <c r="AN82" i="19" s="1" a="1"/>
  <c r="AN82" i="19" s="1"/>
  <c r="AB82" i="19" a="1"/>
  <c r="AB82" i="19" s="1"/>
  <c r="R72" i="19"/>
  <c r="R80" i="19"/>
  <c r="P80" i="19"/>
  <c r="Z79" i="19"/>
  <c r="K79" i="19"/>
  <c r="AN79" i="19" s="1" a="1"/>
  <c r="AN79" i="19" s="1"/>
  <c r="AB79" i="19" a="1"/>
  <c r="AB79" i="19" s="1"/>
  <c r="Z80" i="19"/>
  <c r="AB80" i="19"/>
  <c r="R78" i="19"/>
  <c r="Z78" i="19"/>
  <c r="K78" i="19"/>
  <c r="AN78" i="19" s="1" a="1"/>
  <c r="AN78" i="19" s="1"/>
  <c r="AB78" i="19" a="1"/>
  <c r="AB78" i="19" s="1"/>
  <c r="R71" i="19"/>
  <c r="AB77" i="19"/>
  <c r="Z69" i="19"/>
  <c r="Z74" i="19"/>
  <c r="AB74" i="19"/>
  <c r="Z73" i="19"/>
  <c r="AB73" i="19"/>
  <c r="K69" i="19"/>
  <c r="AN69" i="19" s="1" a="1"/>
  <c r="AN69" i="19" s="1"/>
  <c r="AB69" i="19" a="1"/>
  <c r="AB69" i="19" s="1"/>
  <c r="AB70" i="19"/>
  <c r="Z70" i="19"/>
  <c r="Z71" i="19"/>
  <c r="AB71" i="19"/>
  <c r="R69" i="19"/>
  <c r="P69" i="19"/>
  <c r="K68" i="19"/>
  <c r="AN68" i="19" s="1" a="1"/>
  <c r="AN68" i="19" s="1"/>
  <c r="AB68" i="19" a="1"/>
  <c r="AB68" i="19" s="1"/>
  <c r="AB72" i="19"/>
  <c r="Z72" i="19"/>
  <c r="R73" i="19"/>
  <c r="R74" i="19"/>
  <c r="AB66" i="19"/>
  <c r="Z66" i="19"/>
  <c r="K66" i="19"/>
  <c r="AN66" i="19" s="1" a="1"/>
  <c r="AN66" i="19" s="1"/>
  <c r="R66" i="19" a="1"/>
  <c r="R66" i="19" s="1"/>
  <c r="R67" i="19"/>
  <c r="P67" i="19"/>
  <c r="AB67" i="19"/>
  <c r="Z67" i="19"/>
  <c r="AB65" i="19"/>
  <c r="AB61" i="19"/>
  <c r="AB60" i="19"/>
  <c r="AB59" i="19"/>
  <c r="Z59" i="19"/>
  <c r="R59" i="19"/>
  <c r="P59" i="19"/>
  <c r="Z58" i="19"/>
  <c r="AB58" i="19"/>
  <c r="T37" i="28"/>
  <c r="T38" i="28"/>
  <c r="U37" i="28"/>
  <c r="U38" i="28"/>
  <c r="R68" i="19"/>
  <c r="R60" i="19"/>
  <c r="R63" i="19"/>
  <c r="S63" i="19" s="1"/>
  <c r="T63" i="19" s="1"/>
  <c r="U63" i="19" s="1"/>
  <c r="R61" i="19"/>
  <c r="R64" i="19"/>
  <c r="S64" i="19" s="1"/>
  <c r="T64" i="19" s="1"/>
  <c r="U64" i="19" s="1"/>
  <c r="R77" i="19"/>
  <c r="Q99" i="19"/>
  <c r="R99" i="19" s="1"/>
  <c r="V115" i="19"/>
  <c r="R65" i="19"/>
  <c r="R58" i="19"/>
  <c r="V126" i="19"/>
  <c r="V131" i="19"/>
  <c r="V132" i="19"/>
  <c r="V133" i="19"/>
  <c r="V134" i="19"/>
  <c r="V135" i="19"/>
  <c r="V136" i="19"/>
  <c r="V137" i="19"/>
  <c r="V108" i="19"/>
  <c r="V107" i="19"/>
  <c r="V106" i="19"/>
  <c r="V119" i="19"/>
  <c r="Q100" i="19"/>
  <c r="J217" i="19"/>
  <c r="Q98" i="19"/>
  <c r="Q104" i="19"/>
  <c r="Q101" i="19"/>
  <c r="Q102" i="19"/>
  <c r="Q103" i="19"/>
  <c r="Q288" i="19"/>
  <c r="R289" i="19"/>
  <c r="S289" i="19" s="1"/>
  <c r="T289" i="19" s="1"/>
  <c r="U289" i="19" s="1"/>
  <c r="R290" i="19"/>
  <c r="S290" i="19" s="1"/>
  <c r="T290" i="19" s="1"/>
  <c r="U290" i="19" s="1"/>
  <c r="R287" i="19"/>
  <c r="S287" i="19" s="1"/>
  <c r="T287" i="19" s="1"/>
  <c r="U287" i="19" s="1"/>
  <c r="J285" i="19"/>
  <c r="Q285" i="19"/>
  <c r="P285" i="19" s="1"/>
  <c r="J286" i="19"/>
  <c r="Q286" i="19"/>
  <c r="P286" i="19" s="1"/>
  <c r="Q281" i="19"/>
  <c r="J283" i="19"/>
  <c r="Q283" i="19"/>
  <c r="P283" i="19" s="1"/>
  <c r="J282" i="19"/>
  <c r="Q282" i="19"/>
  <c r="P282" i="19" s="1"/>
  <c r="J284" i="19"/>
  <c r="J276" i="19"/>
  <c r="Q276" i="19"/>
  <c r="P276" i="19" s="1"/>
  <c r="J277" i="19"/>
  <c r="Q277" i="19"/>
  <c r="P277" i="19" s="1"/>
  <c r="Q278" i="19"/>
  <c r="P278" i="19" s="1"/>
  <c r="J278" i="19"/>
  <c r="J279" i="19"/>
  <c r="Q274" i="19"/>
  <c r="P274" i="19" s="1"/>
  <c r="J274" i="19"/>
  <c r="J270" i="19"/>
  <c r="Q270" i="19"/>
  <c r="P270" i="19" s="1"/>
  <c r="J269" i="19"/>
  <c r="Q269" i="19"/>
  <c r="P269" i="19" s="1"/>
  <c r="J271" i="19"/>
  <c r="Q271" i="19"/>
  <c r="P271" i="19" s="1"/>
  <c r="Q268" i="19"/>
  <c r="Q267" i="19"/>
  <c r="J272" i="19"/>
  <c r="Q264" i="19"/>
  <c r="R266" i="19"/>
  <c r="S266" i="19" s="1"/>
  <c r="T266" i="19" s="1"/>
  <c r="U266" i="19" s="1"/>
  <c r="Q235" i="19"/>
  <c r="AX234" i="19"/>
  <c r="AY234" i="19" s="1"/>
  <c r="AZ234" i="19" s="1"/>
  <c r="AF234" i="19"/>
  <c r="AF235" i="19"/>
  <c r="BA235" i="19"/>
  <c r="Q315" i="19"/>
  <c r="Q316" i="19"/>
  <c r="Q311" i="19"/>
  <c r="Q312" i="19"/>
  <c r="Q313" i="19"/>
  <c r="Q309" i="19"/>
  <c r="J310" i="19"/>
  <c r="Q310" i="19"/>
  <c r="P310" i="19" s="1"/>
  <c r="Q314" i="19"/>
  <c r="Q306" i="19"/>
  <c r="P306" i="19" s="1"/>
  <c r="J306" i="19"/>
  <c r="Q304" i="19"/>
  <c r="P304" i="19" s="1"/>
  <c r="J304" i="19"/>
  <c r="Q303" i="19"/>
  <c r="Q305" i="19"/>
  <c r="P305" i="19" s="1"/>
  <c r="J305" i="19"/>
  <c r="Q298" i="19"/>
  <c r="P298" i="19" s="1"/>
  <c r="J298" i="19"/>
  <c r="K298" i="19" s="1"/>
  <c r="L298" i="19" s="1"/>
  <c r="M298" i="19" s="1"/>
  <c r="Q307" i="19"/>
  <c r="J258" i="19"/>
  <c r="BA257" i="19"/>
  <c r="AF257" i="19"/>
  <c r="J259" i="19"/>
  <c r="Q259" i="19"/>
  <c r="P259" i="19" s="1"/>
  <c r="AF256" i="19"/>
  <c r="Q256" i="19"/>
  <c r="Q257" i="19"/>
  <c r="BA256" i="19"/>
  <c r="BA254" i="19"/>
  <c r="AD254" i="19"/>
  <c r="AE254" i="19" s="1"/>
  <c r="Q254" i="19"/>
  <c r="Q251" i="19"/>
  <c r="Q250" i="19"/>
  <c r="AX224" i="19"/>
  <c r="AY224" i="19" s="1"/>
  <c r="AZ224" i="19" s="1"/>
  <c r="AF224" i="19"/>
  <c r="AY265" i="19"/>
  <c r="AZ265" i="19" s="1"/>
  <c r="AX289" i="19"/>
  <c r="AY289" i="19" s="1"/>
  <c r="AZ289" i="19" s="1"/>
  <c r="AB265" i="19"/>
  <c r="AC265" i="19" s="1"/>
  <c r="AD265" i="19" s="1"/>
  <c r="AE265" i="19" s="1"/>
  <c r="AD275" i="19"/>
  <c r="AE275" i="19" s="1"/>
  <c r="AX264" i="19"/>
  <c r="AY264" i="19" s="1"/>
  <c r="AZ264" i="19" s="1"/>
  <c r="AB264" i="19"/>
  <c r="AC264" i="19" s="1"/>
  <c r="AD264" i="19" s="1"/>
  <c r="AE264" i="19" s="1"/>
  <c r="R265" i="19"/>
  <c r="S265" i="19" s="1"/>
  <c r="T265" i="19" s="1"/>
  <c r="U265" i="19" s="1"/>
  <c r="AB289" i="19"/>
  <c r="AC289" i="19" s="1"/>
  <c r="AD289" i="19" s="1"/>
  <c r="AE289" i="19" s="1"/>
  <c r="AW275" i="19"/>
  <c r="AX275" i="19" s="1"/>
  <c r="AY275" i="19" s="1"/>
  <c r="AZ275" i="19" s="1"/>
  <c r="AD250" i="19"/>
  <c r="AE250" i="19" s="1"/>
  <c r="AC251" i="19"/>
  <c r="AD251" i="19" s="1"/>
  <c r="AE251" i="19" s="1"/>
  <c r="AX251" i="19"/>
  <c r="AY251" i="19" s="1"/>
  <c r="AZ251" i="19" s="1"/>
  <c r="AW250" i="19"/>
  <c r="AX250" i="19" s="1"/>
  <c r="AY250" i="19" s="1"/>
  <c r="AZ250" i="19" s="1"/>
  <c r="AV233" i="19"/>
  <c r="AW233" i="19" s="1"/>
  <c r="AA233" i="19"/>
  <c r="N233" i="19"/>
  <c r="I233" i="19"/>
  <c r="AL233" i="19" s="1" a="1"/>
  <c r="AL233" i="19" s="1"/>
  <c r="AV232" i="19"/>
  <c r="AW232" i="19" s="1"/>
  <c r="AX232" i="19" s="1"/>
  <c r="AY232" i="19" s="1"/>
  <c r="AZ232" i="19" s="1"/>
  <c r="AA232" i="19"/>
  <c r="AB232" i="19" s="1"/>
  <c r="AC232" i="19" s="1"/>
  <c r="AD232" i="19" s="1"/>
  <c r="N232" i="19"/>
  <c r="I232" i="19"/>
  <c r="AL232" i="19" s="1" a="1"/>
  <c r="AL232" i="19" s="1"/>
  <c r="B15" i="26"/>
  <c r="K36" i="24"/>
  <c r="F36" i="24"/>
  <c r="K18" i="24"/>
  <c r="F18" i="24"/>
  <c r="AJ123" i="25"/>
  <c r="AJ121" i="25"/>
  <c r="AA121" i="25"/>
  <c r="R121" i="25"/>
  <c r="Q121" i="25"/>
  <c r="J121" i="25"/>
  <c r="Y117" i="25"/>
  <c r="Y116" i="25"/>
  <c r="Y115" i="25"/>
  <c r="Y114" i="25"/>
  <c r="Y113" i="25"/>
  <c r="Y112" i="25"/>
  <c r="Y111" i="25"/>
  <c r="Y109" i="25"/>
  <c r="Y108" i="25"/>
  <c r="Y107" i="25"/>
  <c r="Y106" i="25"/>
  <c r="Y105" i="25"/>
  <c r="Y104" i="25"/>
  <c r="Y103" i="25"/>
  <c r="Y102" i="25"/>
  <c r="Y101" i="25"/>
  <c r="Y100" i="25"/>
  <c r="Y121" i="25" s="1"/>
  <c r="AQ99" i="25"/>
  <c r="AH99" i="25"/>
  <c r="Q99" i="25"/>
  <c r="AQ98" i="25"/>
  <c r="AH98" i="25"/>
  <c r="Q98" i="25"/>
  <c r="AQ97" i="25"/>
  <c r="AH97" i="25"/>
  <c r="Q97" i="25"/>
  <c r="AQ96" i="25"/>
  <c r="AH96" i="25"/>
  <c r="Q96" i="25"/>
  <c r="AQ95" i="25"/>
  <c r="AH95" i="25"/>
  <c r="Q95" i="25"/>
  <c r="AQ94" i="25"/>
  <c r="AH94" i="25"/>
  <c r="Q94" i="25"/>
  <c r="AQ93" i="25"/>
  <c r="AH93" i="25"/>
  <c r="Q93" i="25"/>
  <c r="AQ92" i="25"/>
  <c r="AH92" i="25"/>
  <c r="AQ91" i="25"/>
  <c r="AH91" i="25"/>
  <c r="AQ90" i="25"/>
  <c r="AH90" i="25"/>
  <c r="AQ89" i="25"/>
  <c r="AQ121" i="25" s="1"/>
  <c r="AH89" i="25"/>
  <c r="AH121" i="25" s="1"/>
  <c r="R88" i="25"/>
  <c r="AL86" i="25"/>
  <c r="AJ86" i="25"/>
  <c r="AC86" i="25"/>
  <c r="AA86" i="25"/>
  <c r="T86" i="25"/>
  <c r="R86" i="25"/>
  <c r="L86" i="25"/>
  <c r="J86" i="25"/>
  <c r="AK83" i="25"/>
  <c r="I83" i="25"/>
  <c r="H83" i="25"/>
  <c r="G83" i="25"/>
  <c r="F83" i="25"/>
  <c r="E83" i="25"/>
  <c r="AB82" i="25"/>
  <c r="I82" i="25"/>
  <c r="H82" i="25"/>
  <c r="G82" i="25"/>
  <c r="F82" i="25"/>
  <c r="E82" i="25"/>
  <c r="S81" i="25"/>
  <c r="I81" i="25"/>
  <c r="H81" i="25"/>
  <c r="G81" i="25"/>
  <c r="F81" i="25"/>
  <c r="E81" i="25"/>
  <c r="K80" i="25"/>
  <c r="J80" i="25"/>
  <c r="I80" i="25"/>
  <c r="H80" i="25"/>
  <c r="G80" i="25"/>
  <c r="F80" i="25"/>
  <c r="E80" i="25"/>
  <c r="C80" i="25"/>
  <c r="AJ78" i="25"/>
  <c r="AA78" i="25"/>
  <c r="R78" i="25"/>
  <c r="J78" i="25"/>
  <c r="AL72" i="25"/>
  <c r="AM72" i="25" s="1"/>
  <c r="AD72" i="25"/>
  <c r="AE72" i="25" s="1"/>
  <c r="AF72" i="25" s="1"/>
  <c r="AG72" i="25" s="1"/>
  <c r="AH72" i="25" s="1"/>
  <c r="AC72" i="25"/>
  <c r="E72" i="25"/>
  <c r="F72" i="25" s="1"/>
  <c r="G72" i="25" s="1"/>
  <c r="H72" i="25" s="1"/>
  <c r="I72" i="25" s="1"/>
  <c r="AL71" i="25"/>
  <c r="AC71" i="25"/>
  <c r="AD71" i="25" s="1"/>
  <c r="AE71" i="25" s="1"/>
  <c r="AF71" i="25" s="1"/>
  <c r="AG71" i="25" s="1"/>
  <c r="F71" i="25"/>
  <c r="G71" i="25" s="1"/>
  <c r="H71" i="25" s="1"/>
  <c r="I71" i="25" s="1"/>
  <c r="E71" i="25"/>
  <c r="AM70" i="25"/>
  <c r="AL70" i="25"/>
  <c r="AC70" i="25"/>
  <c r="AD70" i="25" s="1"/>
  <c r="G70" i="25"/>
  <c r="H70" i="25" s="1"/>
  <c r="I70" i="25" s="1"/>
  <c r="F70" i="25"/>
  <c r="E70" i="25"/>
  <c r="AL69" i="25"/>
  <c r="AC69" i="25"/>
  <c r="H69" i="25"/>
  <c r="I69" i="25" s="1"/>
  <c r="G69" i="25"/>
  <c r="F69" i="25"/>
  <c r="E69" i="25"/>
  <c r="AO68" i="25"/>
  <c r="AP68" i="25" s="1"/>
  <c r="AM68" i="25"/>
  <c r="AN68" i="25" s="1"/>
  <c r="AL68" i="25"/>
  <c r="AD68" i="25"/>
  <c r="AC68" i="25"/>
  <c r="E68" i="25"/>
  <c r="F68" i="25" s="1"/>
  <c r="G68" i="25" s="1"/>
  <c r="H68" i="25" s="1"/>
  <c r="I68" i="25" s="1"/>
  <c r="AJ67" i="25"/>
  <c r="AA67" i="25"/>
  <c r="R67" i="25"/>
  <c r="AL65" i="25"/>
  <c r="AM65" i="25" s="1"/>
  <c r="AH65" i="25"/>
  <c r="AF65" i="25"/>
  <c r="AG65" i="25" s="1"/>
  <c r="AE65" i="25"/>
  <c r="AD65" i="25"/>
  <c r="AC65" i="25"/>
  <c r="O65" i="25"/>
  <c r="P65" i="25" s="1"/>
  <c r="M65" i="25"/>
  <c r="N65" i="25" s="1"/>
  <c r="L65" i="25"/>
  <c r="E65" i="25"/>
  <c r="F65" i="25" s="1"/>
  <c r="G65" i="25" s="1"/>
  <c r="H65" i="25" s="1"/>
  <c r="I65" i="25" s="1"/>
  <c r="X64" i="25"/>
  <c r="W64" i="25"/>
  <c r="V64" i="25"/>
  <c r="U64" i="25"/>
  <c r="T64" i="25"/>
  <c r="Y64" i="25" s="1"/>
  <c r="H64" i="25"/>
  <c r="I64" i="25" s="1"/>
  <c r="F64" i="25"/>
  <c r="G64" i="25" s="1"/>
  <c r="E64" i="25"/>
  <c r="AJ63" i="25"/>
  <c r="AA63" i="25"/>
  <c r="R63" i="25"/>
  <c r="X61" i="25"/>
  <c r="W61" i="25"/>
  <c r="V61" i="25"/>
  <c r="U61" i="25"/>
  <c r="T61" i="25"/>
  <c r="F61" i="25"/>
  <c r="G61" i="25" s="1"/>
  <c r="H61" i="25" s="1"/>
  <c r="I61" i="25" s="1"/>
  <c r="E61" i="25"/>
  <c r="AL60" i="25"/>
  <c r="AM60" i="25" s="1"/>
  <c r="AH60" i="25"/>
  <c r="AD60" i="25"/>
  <c r="AE60" i="25" s="1"/>
  <c r="AF60" i="25" s="1"/>
  <c r="AG60" i="25" s="1"/>
  <c r="AC60" i="25"/>
  <c r="X60" i="25"/>
  <c r="W60" i="25"/>
  <c r="V60" i="25"/>
  <c r="U60" i="25"/>
  <c r="T60" i="25"/>
  <c r="Y60" i="25" s="1"/>
  <c r="I60" i="25"/>
  <c r="E60" i="25"/>
  <c r="F60" i="25" s="1"/>
  <c r="G60" i="25" s="1"/>
  <c r="H60" i="25" s="1"/>
  <c r="AJ59" i="25"/>
  <c r="AA59" i="25"/>
  <c r="R59" i="25"/>
  <c r="Y57" i="25"/>
  <c r="X57" i="25"/>
  <c r="W57" i="25"/>
  <c r="V57" i="25"/>
  <c r="U57" i="25"/>
  <c r="T57" i="25"/>
  <c r="G57" i="25"/>
  <c r="H57" i="25" s="1"/>
  <c r="I57" i="25" s="1"/>
  <c r="E57" i="25"/>
  <c r="F57" i="25" s="1"/>
  <c r="AL56" i="25"/>
  <c r="AC56" i="25"/>
  <c r="X56" i="25"/>
  <c r="W56" i="25"/>
  <c r="V56" i="25"/>
  <c r="U56" i="25"/>
  <c r="T56" i="25"/>
  <c r="Y56" i="25" s="1"/>
  <c r="F56" i="25"/>
  <c r="G56" i="25" s="1"/>
  <c r="H56" i="25" s="1"/>
  <c r="I56" i="25" s="1"/>
  <c r="E56" i="25"/>
  <c r="X55" i="25"/>
  <c r="W55" i="25"/>
  <c r="V55" i="25"/>
  <c r="U55" i="25"/>
  <c r="T55" i="25"/>
  <c r="E55" i="25"/>
  <c r="F55" i="25" s="1"/>
  <c r="G55" i="25" s="1"/>
  <c r="H55" i="25" s="1"/>
  <c r="I55" i="25" s="1"/>
  <c r="X54" i="25"/>
  <c r="W54" i="25"/>
  <c r="V54" i="25"/>
  <c r="U54" i="25"/>
  <c r="T54" i="25"/>
  <c r="F54" i="25"/>
  <c r="G54" i="25" s="1"/>
  <c r="H54" i="25" s="1"/>
  <c r="I54" i="25" s="1"/>
  <c r="E54" i="25"/>
  <c r="Y53" i="25"/>
  <c r="X53" i="25"/>
  <c r="W53" i="25"/>
  <c r="V53" i="25"/>
  <c r="U53" i="25"/>
  <c r="T53" i="25"/>
  <c r="E53" i="25"/>
  <c r="F53" i="25" s="1"/>
  <c r="G53" i="25" s="1"/>
  <c r="H53" i="25" s="1"/>
  <c r="I53" i="25" s="1"/>
  <c r="X52" i="25"/>
  <c r="W52" i="25"/>
  <c r="V52" i="25"/>
  <c r="U52" i="25"/>
  <c r="T52" i="25"/>
  <c r="F52" i="25"/>
  <c r="G52" i="25" s="1"/>
  <c r="H52" i="25" s="1"/>
  <c r="I52" i="25" s="1"/>
  <c r="E52" i="25"/>
  <c r="Y51" i="25"/>
  <c r="X51" i="25"/>
  <c r="W51" i="25"/>
  <c r="V51" i="25"/>
  <c r="U51" i="25"/>
  <c r="T51" i="25"/>
  <c r="E51" i="25"/>
  <c r="F51" i="25" s="1"/>
  <c r="G51" i="25" s="1"/>
  <c r="H51" i="25" s="1"/>
  <c r="I51" i="25" s="1"/>
  <c r="AL50" i="25"/>
  <c r="AC50" i="25"/>
  <c r="X50" i="25"/>
  <c r="W50" i="25"/>
  <c r="V50" i="25"/>
  <c r="U50" i="25"/>
  <c r="T50" i="25"/>
  <c r="Y50" i="25" s="1"/>
  <c r="H50" i="25"/>
  <c r="I50" i="25" s="1"/>
  <c r="F50" i="25"/>
  <c r="G50" i="25" s="1"/>
  <c r="E50" i="25"/>
  <c r="AJ49" i="25"/>
  <c r="AA49" i="25"/>
  <c r="R49" i="25"/>
  <c r="X47" i="25"/>
  <c r="W47" i="25"/>
  <c r="V47" i="25"/>
  <c r="U47" i="25"/>
  <c r="T47" i="25"/>
  <c r="F47" i="25"/>
  <c r="G47" i="25" s="1"/>
  <c r="H47" i="25" s="1"/>
  <c r="I47" i="25" s="1"/>
  <c r="E47" i="25"/>
  <c r="AL46" i="25"/>
  <c r="AM46" i="25" s="1"/>
  <c r="AN46" i="25" s="1"/>
  <c r="AO46" i="25" s="1"/>
  <c r="AP46" i="25" s="1"/>
  <c r="AD46" i="25"/>
  <c r="AE46" i="25" s="1"/>
  <c r="AF46" i="25" s="1"/>
  <c r="AC46" i="25"/>
  <c r="E46" i="25"/>
  <c r="F46" i="25" s="1"/>
  <c r="G46" i="25" s="1"/>
  <c r="H46" i="25" s="1"/>
  <c r="I46" i="25" s="1"/>
  <c r="AJ45" i="25"/>
  <c r="AA45" i="25"/>
  <c r="R45" i="25"/>
  <c r="X43" i="25"/>
  <c r="W43" i="25"/>
  <c r="V43" i="25"/>
  <c r="U43" i="25"/>
  <c r="T43" i="25"/>
  <c r="Y43" i="25" s="1"/>
  <c r="E43" i="25"/>
  <c r="F43" i="25" s="1"/>
  <c r="G43" i="25" s="1"/>
  <c r="H43" i="25" s="1"/>
  <c r="I43" i="25" s="1"/>
  <c r="F42" i="25"/>
  <c r="E42" i="25"/>
  <c r="T42" i="25" s="1"/>
  <c r="AJ41" i="25"/>
  <c r="AA41" i="25"/>
  <c r="R41" i="25"/>
  <c r="AL39" i="25"/>
  <c r="AC39" i="25"/>
  <c r="E39" i="25"/>
  <c r="F39" i="25" s="1"/>
  <c r="G39" i="25" s="1"/>
  <c r="H39" i="25" s="1"/>
  <c r="I39" i="25" s="1"/>
  <c r="AQ38" i="25"/>
  <c r="AO38" i="25"/>
  <c r="AP38" i="25" s="1"/>
  <c r="AM38" i="25"/>
  <c r="AN38" i="25" s="1"/>
  <c r="AL38" i="25"/>
  <c r="AD38" i="25"/>
  <c r="AE38" i="25" s="1"/>
  <c r="AF38" i="25" s="1"/>
  <c r="AG38" i="25" s="1"/>
  <c r="AC38" i="25"/>
  <c r="E38" i="25"/>
  <c r="F38" i="25" s="1"/>
  <c r="G38" i="25" s="1"/>
  <c r="H38" i="25" s="1"/>
  <c r="I38" i="25" s="1"/>
  <c r="AL37" i="25"/>
  <c r="AM37" i="25" s="1"/>
  <c r="AN37" i="25" s="1"/>
  <c r="AO37" i="25" s="1"/>
  <c r="AP37" i="25" s="1"/>
  <c r="AC37" i="25"/>
  <c r="F37" i="25"/>
  <c r="G37" i="25" s="1"/>
  <c r="H37" i="25" s="1"/>
  <c r="I37" i="25" s="1"/>
  <c r="E37" i="25"/>
  <c r="AL36" i="25"/>
  <c r="AM36" i="25" s="1"/>
  <c r="AN36" i="25" s="1"/>
  <c r="AO36" i="25" s="1"/>
  <c r="AD36" i="25"/>
  <c r="AE36" i="25" s="1"/>
  <c r="AF36" i="25" s="1"/>
  <c r="AG36" i="25" s="1"/>
  <c r="AC36" i="25"/>
  <c r="E36" i="25"/>
  <c r="F36" i="25" s="1"/>
  <c r="G36" i="25" s="1"/>
  <c r="H36" i="25" s="1"/>
  <c r="I36" i="25" s="1"/>
  <c r="AL35" i="25"/>
  <c r="AC35" i="25"/>
  <c r="AD35" i="25" s="1"/>
  <c r="AE35" i="25" s="1"/>
  <c r="AF35" i="25" s="1"/>
  <c r="AG35" i="25" s="1"/>
  <c r="X35" i="25"/>
  <c r="W35" i="25"/>
  <c r="V35" i="25"/>
  <c r="U35" i="25"/>
  <c r="T35" i="25"/>
  <c r="F35" i="25"/>
  <c r="G35" i="25" s="1"/>
  <c r="H35" i="25" s="1"/>
  <c r="I35" i="25" s="1"/>
  <c r="E35" i="25"/>
  <c r="AJ34" i="25"/>
  <c r="AA34" i="25"/>
  <c r="R34" i="25"/>
  <c r="AL32" i="25"/>
  <c r="AC32" i="25"/>
  <c r="L32" i="25"/>
  <c r="M32" i="25" s="1"/>
  <c r="N32" i="25" s="1"/>
  <c r="O32" i="25" s="1"/>
  <c r="P32" i="25" s="1"/>
  <c r="F32" i="25"/>
  <c r="G32" i="25" s="1"/>
  <c r="H32" i="25" s="1"/>
  <c r="I32" i="25" s="1"/>
  <c r="E32" i="25"/>
  <c r="AL31" i="25"/>
  <c r="AM31" i="25" s="1"/>
  <c r="AN31" i="25" s="1"/>
  <c r="AO31" i="25" s="1"/>
  <c r="AP31" i="25" s="1"/>
  <c r="AC31" i="25"/>
  <c r="AD31" i="25" s="1"/>
  <c r="AE31" i="25" s="1"/>
  <c r="AF31" i="25" s="1"/>
  <c r="AG31" i="25" s="1"/>
  <c r="L31" i="25"/>
  <c r="M31" i="25" s="1"/>
  <c r="N31" i="25" s="1"/>
  <c r="O31" i="25" s="1"/>
  <c r="E31" i="25"/>
  <c r="F31" i="25" s="1"/>
  <c r="G31" i="25" s="1"/>
  <c r="H31" i="25" s="1"/>
  <c r="I31" i="25" s="1"/>
  <c r="AL30" i="25"/>
  <c r="AC30" i="25"/>
  <c r="AD30" i="25" s="1"/>
  <c r="AE30" i="25" s="1"/>
  <c r="AF30" i="25" s="1"/>
  <c r="AG30" i="25" s="1"/>
  <c r="L30" i="25"/>
  <c r="F30" i="25"/>
  <c r="G30" i="25" s="1"/>
  <c r="H30" i="25" s="1"/>
  <c r="I30" i="25" s="1"/>
  <c r="E30" i="25"/>
  <c r="AL29" i="25"/>
  <c r="AM29" i="25" s="1"/>
  <c r="AC29" i="25"/>
  <c r="AD29" i="25" s="1"/>
  <c r="AE29" i="25" s="1"/>
  <c r="AF29" i="25" s="1"/>
  <c r="AG29" i="25" s="1"/>
  <c r="L29" i="25"/>
  <c r="M29" i="25" s="1"/>
  <c r="N29" i="25" s="1"/>
  <c r="O29" i="25" s="1"/>
  <c r="E29" i="25"/>
  <c r="F29" i="25" s="1"/>
  <c r="G29" i="25" s="1"/>
  <c r="H29" i="25" s="1"/>
  <c r="I29" i="25" s="1"/>
  <c r="X28" i="25"/>
  <c r="W28" i="25"/>
  <c r="V28" i="25"/>
  <c r="U28" i="25"/>
  <c r="T28" i="25"/>
  <c r="F28" i="25"/>
  <c r="G28" i="25" s="1"/>
  <c r="H28" i="25" s="1"/>
  <c r="I28" i="25" s="1"/>
  <c r="E28" i="25"/>
  <c r="E27" i="25"/>
  <c r="F27" i="25" s="1"/>
  <c r="G27" i="25" s="1"/>
  <c r="H27" i="25" s="1"/>
  <c r="I27" i="25" s="1"/>
  <c r="F26" i="25"/>
  <c r="G26" i="25" s="1"/>
  <c r="H26" i="25" s="1"/>
  <c r="I26" i="25" s="1"/>
  <c r="E26" i="25"/>
  <c r="X25" i="25"/>
  <c r="W25" i="25"/>
  <c r="V25" i="25"/>
  <c r="U25" i="25"/>
  <c r="T25" i="25"/>
  <c r="Y25" i="25" s="1"/>
  <c r="E25" i="25"/>
  <c r="F25" i="25" s="1"/>
  <c r="G25" i="25" s="1"/>
  <c r="H25" i="25" s="1"/>
  <c r="I25" i="25" s="1"/>
  <c r="X24" i="25"/>
  <c r="W24" i="25"/>
  <c r="V24" i="25"/>
  <c r="U24" i="25"/>
  <c r="T24" i="25"/>
  <c r="Y24" i="25" s="1"/>
  <c r="F24" i="25"/>
  <c r="G24" i="25" s="1"/>
  <c r="H24" i="25" s="1"/>
  <c r="I24" i="25" s="1"/>
  <c r="E24" i="25"/>
  <c r="X23" i="25"/>
  <c r="W23" i="25"/>
  <c r="V23" i="25"/>
  <c r="U23" i="25"/>
  <c r="Y23" i="25" s="1"/>
  <c r="T23" i="25"/>
  <c r="G23" i="25"/>
  <c r="H23" i="25" s="1"/>
  <c r="I23" i="25" s="1"/>
  <c r="E23" i="25"/>
  <c r="F23" i="25" s="1"/>
  <c r="AJ22" i="25"/>
  <c r="AA22" i="25"/>
  <c r="R22" i="25"/>
  <c r="X20" i="25"/>
  <c r="W20" i="25"/>
  <c r="V20" i="25"/>
  <c r="U20" i="25"/>
  <c r="T20" i="25"/>
  <c r="X19" i="25"/>
  <c r="W19" i="25"/>
  <c r="V19" i="25"/>
  <c r="U19" i="25"/>
  <c r="Y19" i="25" s="1"/>
  <c r="T19" i="25"/>
  <c r="G19" i="25"/>
  <c r="H19" i="25" s="1"/>
  <c r="I19" i="25" s="1"/>
  <c r="E19" i="25"/>
  <c r="F19" i="25" s="1"/>
  <c r="X18" i="25"/>
  <c r="W18" i="25"/>
  <c r="V18" i="25"/>
  <c r="U18" i="25"/>
  <c r="T18" i="25"/>
  <c r="Y18" i="25" s="1"/>
  <c r="H18" i="25"/>
  <c r="I18" i="25" s="1"/>
  <c r="F18" i="25"/>
  <c r="G18" i="25" s="1"/>
  <c r="E18" i="25"/>
  <c r="R17" i="25"/>
  <c r="AC15" i="25"/>
  <c r="F15" i="25"/>
  <c r="G15" i="25" s="1"/>
  <c r="H15" i="25" s="1"/>
  <c r="I15" i="25" s="1"/>
  <c r="E15" i="25"/>
  <c r="AC14" i="25"/>
  <c r="AD14" i="25" s="1"/>
  <c r="AE14" i="25" s="1"/>
  <c r="AF14" i="25" s="1"/>
  <c r="E14" i="25"/>
  <c r="F14" i="25" s="1"/>
  <c r="G14" i="25" s="1"/>
  <c r="H14" i="25" s="1"/>
  <c r="I14" i="25" s="1"/>
  <c r="AC13" i="25"/>
  <c r="E13" i="25"/>
  <c r="F13" i="25" s="1"/>
  <c r="G13" i="25" s="1"/>
  <c r="H13" i="25" s="1"/>
  <c r="I13" i="25" s="1"/>
  <c r="AD12" i="25"/>
  <c r="AE12" i="25" s="1"/>
  <c r="AF12" i="25" s="1"/>
  <c r="AG12" i="25" s="1"/>
  <c r="AC12" i="25"/>
  <c r="X12" i="25"/>
  <c r="W12" i="25"/>
  <c r="V12" i="25"/>
  <c r="U12" i="25"/>
  <c r="T12" i="25"/>
  <c r="E12" i="25"/>
  <c r="F12" i="25" s="1"/>
  <c r="G12" i="25" s="1"/>
  <c r="H12" i="25" s="1"/>
  <c r="I12" i="25" s="1"/>
  <c r="AC11" i="25"/>
  <c r="AD11" i="25" s="1"/>
  <c r="AE11" i="25" s="1"/>
  <c r="AF11" i="25" s="1"/>
  <c r="AG11" i="25" s="1"/>
  <c r="X11" i="25"/>
  <c r="W11" i="25"/>
  <c r="V11" i="25"/>
  <c r="U11" i="25"/>
  <c r="T11" i="25"/>
  <c r="Y11" i="25" s="1"/>
  <c r="F11" i="25"/>
  <c r="G11" i="25" s="1"/>
  <c r="H11" i="25" s="1"/>
  <c r="I11" i="25" s="1"/>
  <c r="E11" i="25"/>
  <c r="Y10" i="25"/>
  <c r="X10" i="25"/>
  <c r="W10" i="25"/>
  <c r="V10" i="25"/>
  <c r="U10" i="25"/>
  <c r="T10" i="25"/>
  <c r="E10" i="25"/>
  <c r="F10" i="25" s="1"/>
  <c r="G10" i="25" s="1"/>
  <c r="H10" i="25" s="1"/>
  <c r="I10" i="25" s="1"/>
  <c r="AC9" i="25"/>
  <c r="X9" i="25"/>
  <c r="W9" i="25"/>
  <c r="V9" i="25"/>
  <c r="U9" i="25"/>
  <c r="T9" i="25"/>
  <c r="H9" i="25"/>
  <c r="I9" i="25" s="1"/>
  <c r="F9" i="25"/>
  <c r="G9" i="25" s="1"/>
  <c r="E9" i="25"/>
  <c r="R8" i="25"/>
  <c r="AJ5" i="25"/>
  <c r="AA5" i="25"/>
  <c r="R5" i="25"/>
  <c r="J5" i="25"/>
  <c r="C5" i="25"/>
  <c r="AJ4" i="25"/>
  <c r="C83" i="25" s="1"/>
  <c r="AJ83" i="25" s="1"/>
  <c r="AA4" i="25"/>
  <c r="C82" i="25" s="1"/>
  <c r="AA82" i="25" s="1"/>
  <c r="R4" i="25"/>
  <c r="C81" i="25" s="1"/>
  <c r="R81" i="25" s="1"/>
  <c r="J4" i="25"/>
  <c r="C4" i="25"/>
  <c r="AJ123" i="23"/>
  <c r="AJ78" i="23"/>
  <c r="AA78" i="23"/>
  <c r="AV255" i="19"/>
  <c r="AW255" i="19" s="1"/>
  <c r="AX255" i="19" s="1"/>
  <c r="AV295" i="19"/>
  <c r="AW295" i="19" s="1"/>
  <c r="AX295" i="19" s="1"/>
  <c r="AY295" i="19" s="1"/>
  <c r="AZ295" i="19" s="1"/>
  <c r="AV252" i="19"/>
  <c r="AW252" i="19" s="1"/>
  <c r="AX252" i="19" s="1"/>
  <c r="AY252" i="19" s="1"/>
  <c r="AZ252" i="19" s="1"/>
  <c r="AV253" i="19"/>
  <c r="AW253" i="19" s="1"/>
  <c r="AX253" i="19" s="1"/>
  <c r="AY253" i="19" s="1"/>
  <c r="AZ253" i="19" s="1"/>
  <c r="AV297" i="19"/>
  <c r="AW297" i="19" s="1"/>
  <c r="AV300" i="19"/>
  <c r="AW300" i="19" s="1"/>
  <c r="AX300" i="19" s="1"/>
  <c r="AY300" i="19" s="1"/>
  <c r="AZ300" i="19" s="1"/>
  <c r="AV301" i="19"/>
  <c r="AW301" i="19" s="1"/>
  <c r="AX301" i="19" s="1"/>
  <c r="AY301" i="19" s="1"/>
  <c r="AZ301" i="19" s="1"/>
  <c r="AV142" i="19"/>
  <c r="AW142" i="19" s="1"/>
  <c r="AV231" i="19"/>
  <c r="AW231" i="19" s="1"/>
  <c r="AX231" i="19" s="1"/>
  <c r="AV302" i="19"/>
  <c r="AW302" i="19" s="1"/>
  <c r="AX302" i="19" s="1"/>
  <c r="AY302" i="19" s="1"/>
  <c r="AZ302" i="19" s="1"/>
  <c r="AV334" i="19"/>
  <c r="AW334" i="19" s="1"/>
  <c r="AX334" i="19" s="1"/>
  <c r="AY334" i="19" s="1"/>
  <c r="AZ334" i="19" s="1"/>
  <c r="AA231" i="19"/>
  <c r="AB231" i="19" s="1"/>
  <c r="AC231" i="19" s="1"/>
  <c r="AD231" i="19" s="1"/>
  <c r="AE231" i="19" s="1"/>
  <c r="AA252" i="19"/>
  <c r="AB252" i="19" s="1"/>
  <c r="AC252" i="19" s="1"/>
  <c r="AD252" i="19" s="1"/>
  <c r="AE252" i="19" s="1"/>
  <c r="AA253" i="19"/>
  <c r="AB253" i="19" s="1"/>
  <c r="AC253" i="19" s="1"/>
  <c r="AD253" i="19" s="1"/>
  <c r="AE253" i="19" s="1"/>
  <c r="N142" i="19"/>
  <c r="N231" i="19"/>
  <c r="N302" i="19"/>
  <c r="N297" i="19"/>
  <c r="N300" i="19"/>
  <c r="N301" i="19"/>
  <c r="I300" i="19"/>
  <c r="AL300" i="19" s="1" a="1"/>
  <c r="AL300" i="19" s="1"/>
  <c r="I301" i="19"/>
  <c r="AL301" i="19" s="1" a="1"/>
  <c r="AL301" i="19" s="1"/>
  <c r="N295" i="19"/>
  <c r="N255" i="19"/>
  <c r="N252" i="19"/>
  <c r="N253" i="19"/>
  <c r="O41" i="24"/>
  <c r="N41" i="24"/>
  <c r="M41" i="24"/>
  <c r="Q14" i="24"/>
  <c r="Q13" i="24"/>
  <c r="Q12" i="24"/>
  <c r="P14" i="24"/>
  <c r="P13" i="24"/>
  <c r="P12" i="24"/>
  <c r="P11" i="24"/>
  <c r="P10" i="24"/>
  <c r="B37" i="15"/>
  <c r="B36" i="15"/>
  <c r="B35" i="15"/>
  <c r="B34" i="15"/>
  <c r="B33" i="15"/>
  <c r="K38" i="24"/>
  <c r="H38" i="24"/>
  <c r="F38" i="24"/>
  <c r="J39" i="24"/>
  <c r="E26" i="23"/>
  <c r="F26" i="23" s="1"/>
  <c r="G26" i="23" s="1"/>
  <c r="H26" i="23" s="1"/>
  <c r="I26" i="23" s="1"/>
  <c r="E13" i="23"/>
  <c r="F13" i="23" s="1"/>
  <c r="G13" i="23" s="1"/>
  <c r="H13" i="23" s="1"/>
  <c r="I13" i="23" s="1"/>
  <c r="E14" i="23"/>
  <c r="AC14" i="23" s="1"/>
  <c r="R17" i="23"/>
  <c r="E39" i="23"/>
  <c r="E38" i="23"/>
  <c r="E37" i="23"/>
  <c r="E36" i="23"/>
  <c r="E35" i="23"/>
  <c r="AJ34" i="23"/>
  <c r="AA34" i="23"/>
  <c r="R34" i="23"/>
  <c r="E28" i="23"/>
  <c r="F28" i="23" s="1"/>
  <c r="G28" i="23" s="1"/>
  <c r="H28" i="23" s="1"/>
  <c r="I28" i="23" s="1"/>
  <c r="E64" i="23"/>
  <c r="AJ63" i="23"/>
  <c r="AA63" i="23"/>
  <c r="R63" i="23"/>
  <c r="E27" i="23"/>
  <c r="F27" i="23" s="1"/>
  <c r="G27" i="23" s="1"/>
  <c r="H27" i="23" s="1"/>
  <c r="I27" i="23" s="1"/>
  <c r="L65" i="23"/>
  <c r="E65" i="23"/>
  <c r="E72" i="23"/>
  <c r="E71" i="23"/>
  <c r="AQ98" i="23"/>
  <c r="AQ99" i="23"/>
  <c r="AH99" i="23"/>
  <c r="Q99" i="23"/>
  <c r="E15" i="23"/>
  <c r="AC15" i="23" s="1"/>
  <c r="AD15" i="23" s="1"/>
  <c r="E70" i="23"/>
  <c r="AL70" i="23" s="1"/>
  <c r="E69" i="23"/>
  <c r="AL69" i="23" s="1"/>
  <c r="E68" i="23"/>
  <c r="AL68" i="23" s="1"/>
  <c r="AH98" i="23"/>
  <c r="Q98" i="23"/>
  <c r="K40" i="24"/>
  <c r="K20" i="24"/>
  <c r="AQ97" i="23"/>
  <c r="AH97" i="23"/>
  <c r="Q97" i="23"/>
  <c r="AQ96" i="23"/>
  <c r="AH96" i="23"/>
  <c r="Q96" i="23"/>
  <c r="AQ95" i="23"/>
  <c r="AH95" i="23"/>
  <c r="Q95" i="23"/>
  <c r="AQ94" i="23"/>
  <c r="AH94" i="23"/>
  <c r="Q94" i="23"/>
  <c r="AQ93" i="23"/>
  <c r="AH93" i="23"/>
  <c r="Q93" i="23"/>
  <c r="AQ92" i="23"/>
  <c r="AH92" i="23"/>
  <c r="D20" i="24"/>
  <c r="F20" i="24"/>
  <c r="H20" i="24"/>
  <c r="O37" i="24"/>
  <c r="N37" i="24"/>
  <c r="M37" i="24"/>
  <c r="O50" i="24"/>
  <c r="O49" i="24"/>
  <c r="N49" i="24"/>
  <c r="M49" i="24"/>
  <c r="J40" i="24"/>
  <c r="J22" i="24"/>
  <c r="J10" i="24" s="1"/>
  <c r="J14" i="24" s="1"/>
  <c r="AJ67" i="23"/>
  <c r="AA67" i="23"/>
  <c r="R67" i="23"/>
  <c r="AL32" i="23"/>
  <c r="AC32" i="23"/>
  <c r="L32" i="23"/>
  <c r="E32" i="23"/>
  <c r="F32" i="23" s="1"/>
  <c r="G32" i="23" s="1"/>
  <c r="H32" i="23" s="1"/>
  <c r="I32" i="23" s="1"/>
  <c r="L31" i="23"/>
  <c r="E31" i="23"/>
  <c r="L30" i="23"/>
  <c r="E30" i="23"/>
  <c r="L29" i="23"/>
  <c r="E29" i="23"/>
  <c r="AJ41" i="23"/>
  <c r="AA41" i="23"/>
  <c r="R41" i="23"/>
  <c r="AJ22" i="23"/>
  <c r="AA22" i="23"/>
  <c r="R22" i="23"/>
  <c r="AJ45" i="23"/>
  <c r="AA45" i="23"/>
  <c r="R45" i="23"/>
  <c r="AJ49" i="23"/>
  <c r="AA49" i="23"/>
  <c r="R49" i="23"/>
  <c r="AJ59" i="23"/>
  <c r="AA59" i="23"/>
  <c r="R59" i="23"/>
  <c r="E46" i="23"/>
  <c r="AL46" i="23" s="1"/>
  <c r="AJ121" i="23"/>
  <c r="AA121" i="23"/>
  <c r="R121" i="23"/>
  <c r="Q121" i="23"/>
  <c r="J121" i="23"/>
  <c r="Y117" i="23"/>
  <c r="Y116" i="23"/>
  <c r="Y115" i="23"/>
  <c r="Y114" i="23"/>
  <c r="Y113" i="23"/>
  <c r="Y112" i="23"/>
  <c r="Y111" i="23"/>
  <c r="Y109" i="23"/>
  <c r="Y108" i="23"/>
  <c r="Y107" i="23"/>
  <c r="Y106" i="23"/>
  <c r="Y105" i="23"/>
  <c r="Y104" i="23"/>
  <c r="Y103" i="23"/>
  <c r="Y102" i="23"/>
  <c r="Y101" i="23"/>
  <c r="Y100" i="23"/>
  <c r="AQ91" i="23"/>
  <c r="AH91" i="23"/>
  <c r="AQ90" i="23"/>
  <c r="AH90" i="23"/>
  <c r="AQ89" i="23"/>
  <c r="AH89" i="23"/>
  <c r="R88" i="23"/>
  <c r="AL86" i="23"/>
  <c r="AJ86" i="23"/>
  <c r="AC86" i="23"/>
  <c r="AA86" i="23"/>
  <c r="T86" i="23"/>
  <c r="R86" i="23"/>
  <c r="L86" i="23"/>
  <c r="J86" i="23"/>
  <c r="AK83" i="23"/>
  <c r="I83" i="23"/>
  <c r="H83" i="23"/>
  <c r="G83" i="23"/>
  <c r="F83" i="23"/>
  <c r="E83" i="23"/>
  <c r="AB82" i="23"/>
  <c r="I82" i="23"/>
  <c r="H82" i="23"/>
  <c r="G82" i="23"/>
  <c r="F82" i="23"/>
  <c r="E82" i="23"/>
  <c r="S81" i="23"/>
  <c r="I81" i="23"/>
  <c r="H81" i="23"/>
  <c r="G81" i="23"/>
  <c r="F81" i="23"/>
  <c r="E81" i="23"/>
  <c r="K80" i="23"/>
  <c r="I80" i="23"/>
  <c r="H80" i="23"/>
  <c r="G80" i="23"/>
  <c r="F80" i="23"/>
  <c r="E80" i="23"/>
  <c r="C80" i="23"/>
  <c r="J80" i="23" s="1"/>
  <c r="R78" i="23"/>
  <c r="J78" i="23"/>
  <c r="E43" i="23"/>
  <c r="E42" i="23"/>
  <c r="T42" i="23" s="1"/>
  <c r="E25" i="23"/>
  <c r="E24" i="23"/>
  <c r="E47" i="23"/>
  <c r="E23" i="23"/>
  <c r="E60" i="23"/>
  <c r="E61" i="23"/>
  <c r="E57" i="23"/>
  <c r="E56" i="23"/>
  <c r="E55" i="23"/>
  <c r="E54" i="23"/>
  <c r="E53" i="23"/>
  <c r="E52" i="23"/>
  <c r="E51" i="23"/>
  <c r="E50" i="23"/>
  <c r="E19" i="23"/>
  <c r="E18" i="23"/>
  <c r="E12" i="23"/>
  <c r="AC12" i="23" s="1"/>
  <c r="E11" i="23"/>
  <c r="AC11" i="23" s="1"/>
  <c r="E10" i="23"/>
  <c r="E9" i="23"/>
  <c r="AC9" i="23" s="1"/>
  <c r="R8" i="23"/>
  <c r="AJ5" i="23"/>
  <c r="AA5" i="23"/>
  <c r="R5" i="23"/>
  <c r="J5" i="23"/>
  <c r="C5" i="23"/>
  <c r="AJ4" i="23"/>
  <c r="C83" i="23" s="1"/>
  <c r="AJ83" i="23" s="1"/>
  <c r="AA4" i="23"/>
  <c r="C82" i="23" s="1"/>
  <c r="AA82" i="23" s="1"/>
  <c r="R4" i="23"/>
  <c r="C81" i="23" s="1"/>
  <c r="R81" i="23" s="1"/>
  <c r="J4" i="23"/>
  <c r="C4" i="23"/>
  <c r="AZ179" i="29" l="1"/>
  <c r="M19" i="33"/>
  <c r="M23" i="33" s="1"/>
  <c r="H13" i="26"/>
  <c r="S77" i="19"/>
  <c r="U130" i="29"/>
  <c r="V130" i="29" s="1"/>
  <c r="V148" i="29" s="1"/>
  <c r="U129" i="29"/>
  <c r="AO139" i="29"/>
  <c r="AE133" i="29"/>
  <c r="AE135" i="29" s="1"/>
  <c r="AF135" i="29" s="1"/>
  <c r="AF148" i="29" s="1"/>
  <c r="Q51" i="27"/>
  <c r="S67" i="19"/>
  <c r="S59" i="19"/>
  <c r="AC73" i="19"/>
  <c r="S74" i="19"/>
  <c r="AC74" i="19"/>
  <c r="S61" i="19"/>
  <c r="S73" i="19"/>
  <c r="AC70" i="19"/>
  <c r="S70" i="19"/>
  <c r="AC59" i="19"/>
  <c r="S71" i="19"/>
  <c r="AC72" i="19"/>
  <c r="AC80" i="19"/>
  <c r="S80" i="19"/>
  <c r="AK306" i="19"/>
  <c r="K283" i="19"/>
  <c r="AM283" i="19" a="1"/>
  <c r="AM283" i="19" s="1"/>
  <c r="L72" i="19"/>
  <c r="AN72" i="19" a="1"/>
  <c r="AN72" i="19" s="1"/>
  <c r="K289" i="19"/>
  <c r="AM289" i="19" a="1"/>
  <c r="AM289" i="19" s="1"/>
  <c r="AK310" i="19"/>
  <c r="K277" i="19"/>
  <c r="AM277" i="19" a="1"/>
  <c r="AM277" i="19" s="1"/>
  <c r="K102" i="19"/>
  <c r="AM102" i="19" a="1"/>
  <c r="AM102" i="19" s="1"/>
  <c r="AK226" i="19"/>
  <c r="K314" i="19"/>
  <c r="AM314" i="19" a="1"/>
  <c r="AM314" i="19" s="1"/>
  <c r="K307" i="19"/>
  <c r="AM307" i="19" a="1"/>
  <c r="AM307" i="19" s="1"/>
  <c r="AK250" i="19"/>
  <c r="AK258" i="19"/>
  <c r="AK268" i="19"/>
  <c r="AK256" i="19"/>
  <c r="AK254" i="19"/>
  <c r="L74" i="19"/>
  <c r="AN74" i="19" a="1"/>
  <c r="AN74" i="19" s="1"/>
  <c r="K257" i="19"/>
  <c r="AM257" i="19" a="1"/>
  <c r="AM257" i="19" s="1"/>
  <c r="K258" i="19"/>
  <c r="AM258" i="19" a="1"/>
  <c r="AM258" i="19" s="1"/>
  <c r="K217" i="19"/>
  <c r="AM217" i="19" a="1"/>
  <c r="AM217" i="19" s="1"/>
  <c r="K306" i="19"/>
  <c r="AM306" i="19" a="1"/>
  <c r="AM306" i="19" s="1"/>
  <c r="L70" i="19"/>
  <c r="AN70" i="19" a="1"/>
  <c r="AN70" i="19" s="1"/>
  <c r="L67" i="19"/>
  <c r="T67" i="19" s="1"/>
  <c r="AN67" i="19" a="1"/>
  <c r="AN67" i="19" s="1"/>
  <c r="L71" i="19"/>
  <c r="AN71" i="19" a="1"/>
  <c r="AN71" i="19" s="1"/>
  <c r="AK279" i="19"/>
  <c r="AK257" i="19"/>
  <c r="AK301" i="19"/>
  <c r="K272" i="19"/>
  <c r="AM272" i="19" a="1"/>
  <c r="AM272" i="19" s="1"/>
  <c r="K270" i="19"/>
  <c r="AM270" i="19" a="1"/>
  <c r="AM270" i="19" s="1"/>
  <c r="AA227" i="19"/>
  <c r="Z227" i="19" s="1"/>
  <c r="AL227" i="19" a="1"/>
  <c r="AL227" i="19" s="1"/>
  <c r="K309" i="19"/>
  <c r="AM309" i="19" a="1"/>
  <c r="AM309" i="19" s="1"/>
  <c r="L59" i="19"/>
  <c r="AN59" i="19" a="1"/>
  <c r="AN59" i="19" s="1"/>
  <c r="L61" i="19"/>
  <c r="AN61" i="19" a="1"/>
  <c r="AN61" i="19" s="1"/>
  <c r="K250" i="19"/>
  <c r="AM250" i="19" a="1"/>
  <c r="AM250" i="19" s="1"/>
  <c r="L73" i="19"/>
  <c r="AN73" i="19" a="1"/>
  <c r="AN73" i="19" s="1"/>
  <c r="K268" i="19"/>
  <c r="AM268" i="19" a="1"/>
  <c r="AM268" i="19" s="1"/>
  <c r="K256" i="19"/>
  <c r="AM256" i="19" a="1"/>
  <c r="AM256" i="19" s="1"/>
  <c r="K254" i="19"/>
  <c r="AM254" i="19" a="1"/>
  <c r="AM254" i="19" s="1"/>
  <c r="AK267" i="19"/>
  <c r="AK305" i="19"/>
  <c r="AK284" i="19"/>
  <c r="AK264" i="19"/>
  <c r="K315" i="19"/>
  <c r="AM315" i="19" a="1"/>
  <c r="AM315" i="19" s="1"/>
  <c r="K269" i="19"/>
  <c r="AM269" i="19" a="1"/>
  <c r="AM269" i="19" s="1"/>
  <c r="AK300" i="19"/>
  <c r="AK232" i="19"/>
  <c r="K305" i="19"/>
  <c r="AM305" i="19" a="1"/>
  <c r="AM305" i="19" s="1"/>
  <c r="K274" i="19"/>
  <c r="AM274" i="19" a="1"/>
  <c r="AM274" i="19" s="1"/>
  <c r="K276" i="19"/>
  <c r="AM276" i="19" a="1"/>
  <c r="AM276" i="19" s="1"/>
  <c r="K286" i="19"/>
  <c r="AM286" i="19" a="1"/>
  <c r="AM286" i="19" s="1"/>
  <c r="K101" i="19"/>
  <c r="AM101" i="19" a="1"/>
  <c r="AM101" i="19" s="1"/>
  <c r="K103" i="19"/>
  <c r="AM103" i="19" a="1"/>
  <c r="AM103" i="19" s="1"/>
  <c r="AK225" i="19"/>
  <c r="K313" i="19"/>
  <c r="AM313" i="19" a="1"/>
  <c r="AM313" i="19" s="1"/>
  <c r="AK272" i="19"/>
  <c r="AK265" i="19"/>
  <c r="AK288" i="19"/>
  <c r="AK290" i="19"/>
  <c r="AK235" i="19"/>
  <c r="AK251" i="19"/>
  <c r="K267" i="19"/>
  <c r="AM267" i="19" a="1"/>
  <c r="AM267" i="19" s="1"/>
  <c r="K264" i="19"/>
  <c r="AM264" i="19" a="1"/>
  <c r="AM264" i="19" s="1"/>
  <c r="AK233" i="19"/>
  <c r="K311" i="19"/>
  <c r="AM311" i="19" a="1"/>
  <c r="AM311" i="19" s="1"/>
  <c r="K259" i="19"/>
  <c r="AM259" i="19" a="1"/>
  <c r="AM259" i="19" s="1"/>
  <c r="K310" i="19"/>
  <c r="AM310" i="19" a="1"/>
  <c r="AM310" i="19" s="1"/>
  <c r="K284" i="19"/>
  <c r="AM284" i="19" a="1"/>
  <c r="AM284" i="19" s="1"/>
  <c r="AC71" i="19"/>
  <c r="S72" i="19"/>
  <c r="K303" i="19"/>
  <c r="AM303" i="19" a="1"/>
  <c r="AM303" i="19" s="1"/>
  <c r="L65" i="19"/>
  <c r="AN65" i="19" a="1"/>
  <c r="AN65" i="19" s="1"/>
  <c r="K265" i="19"/>
  <c r="AM265" i="19" a="1"/>
  <c r="AM265" i="19" s="1"/>
  <c r="K288" i="19"/>
  <c r="AM288" i="19" a="1"/>
  <c r="AM288" i="19" s="1"/>
  <c r="K290" i="19"/>
  <c r="AM290" i="19" a="1"/>
  <c r="AM290" i="19" s="1"/>
  <c r="K235" i="19"/>
  <c r="AM235" i="19" a="1"/>
  <c r="AM235" i="19" s="1"/>
  <c r="K251" i="19"/>
  <c r="AM251" i="19" a="1"/>
  <c r="AM251" i="19" s="1"/>
  <c r="AK273" i="19"/>
  <c r="AK266" i="19"/>
  <c r="AK289" i="19"/>
  <c r="K279" i="19"/>
  <c r="AM279" i="19" a="1"/>
  <c r="AM279" i="19" s="1"/>
  <c r="K285" i="19"/>
  <c r="AM285" i="19" a="1"/>
  <c r="AM285" i="19" s="1"/>
  <c r="S60" i="19"/>
  <c r="AC67" i="19"/>
  <c r="K104" i="19"/>
  <c r="AM104" i="19" a="1"/>
  <c r="AM104" i="19" s="1"/>
  <c r="AK238" i="19"/>
  <c r="K316" i="19"/>
  <c r="AM316" i="19" a="1"/>
  <c r="AM316" i="19" s="1"/>
  <c r="K312" i="19"/>
  <c r="AM312" i="19" a="1"/>
  <c r="AM312" i="19" s="1"/>
  <c r="AK287" i="19"/>
  <c r="AK281" i="19"/>
  <c r="L77" i="19"/>
  <c r="T77" i="19" s="1"/>
  <c r="AN77" i="19" a="1"/>
  <c r="AN77" i="19" s="1"/>
  <c r="K273" i="19"/>
  <c r="AM273" i="19" a="1"/>
  <c r="AM273" i="19" s="1"/>
  <c r="K266" i="19"/>
  <c r="AM266" i="19" a="1"/>
  <c r="AM266" i="19" s="1"/>
  <c r="K100" i="19"/>
  <c r="AM100" i="19" a="1"/>
  <c r="AM100" i="19" s="1"/>
  <c r="L60" i="19"/>
  <c r="AN60" i="19" a="1"/>
  <c r="AN60" i="19" s="1"/>
  <c r="K304" i="19"/>
  <c r="AM304" i="19" a="1"/>
  <c r="AM304" i="19" s="1"/>
  <c r="K271" i="19"/>
  <c r="AM271" i="19" a="1"/>
  <c r="AM271" i="19" s="1"/>
  <c r="K278" i="19"/>
  <c r="AM278" i="19" a="1"/>
  <c r="AM278" i="19" s="1"/>
  <c r="K282" i="19"/>
  <c r="AM282" i="19" a="1"/>
  <c r="AM282" i="19" s="1"/>
  <c r="J234" i="19"/>
  <c r="AL234" i="19" a="1"/>
  <c r="AL234" i="19" s="1"/>
  <c r="L80" i="19"/>
  <c r="AN80" i="19" a="1"/>
  <c r="AN80" i="19" s="1"/>
  <c r="L58" i="19"/>
  <c r="AN58" i="19" a="1"/>
  <c r="AN58" i="19" s="1"/>
  <c r="K287" i="19"/>
  <c r="AM287" i="19" a="1"/>
  <c r="AM287" i="19" s="1"/>
  <c r="K281" i="19"/>
  <c r="AM281" i="19" a="1"/>
  <c r="AM281" i="19" s="1"/>
  <c r="AK304" i="19"/>
  <c r="AC58" i="19"/>
  <c r="AB307" i="19"/>
  <c r="Z307" i="19"/>
  <c r="AB306" i="19"/>
  <c r="AB305" i="19"/>
  <c r="AB304" i="19"/>
  <c r="AB303" i="19"/>
  <c r="Z303" i="19"/>
  <c r="J301" i="19"/>
  <c r="AA301" i="19"/>
  <c r="J300" i="19"/>
  <c r="AA300" i="19"/>
  <c r="AB309" i="19"/>
  <c r="Z309" i="19"/>
  <c r="AB310" i="19"/>
  <c r="AB311" i="19"/>
  <c r="Z311" i="19"/>
  <c r="AB312" i="19"/>
  <c r="Z312" i="19"/>
  <c r="AB313" i="19"/>
  <c r="Z313" i="19"/>
  <c r="AB314" i="19"/>
  <c r="Z314" i="19"/>
  <c r="AB315" i="19"/>
  <c r="Z315" i="19"/>
  <c r="Z316" i="19"/>
  <c r="AB316" i="19"/>
  <c r="S58" i="19"/>
  <c r="R314" i="19"/>
  <c r="P314" i="19"/>
  <c r="R315" i="19"/>
  <c r="P315" i="19"/>
  <c r="R250" i="19"/>
  <c r="P250" i="19"/>
  <c r="R264" i="19"/>
  <c r="P264" i="19"/>
  <c r="R288" i="19"/>
  <c r="P288" i="19"/>
  <c r="R235" i="19"/>
  <c r="P235" i="19"/>
  <c r="R257" i="19"/>
  <c r="P257" i="19"/>
  <c r="R281" i="19"/>
  <c r="P281" i="19"/>
  <c r="R256" i="19"/>
  <c r="P256" i="19"/>
  <c r="R307" i="19"/>
  <c r="P307" i="19"/>
  <c r="R309" i="19"/>
  <c r="P309" i="19"/>
  <c r="R313" i="19"/>
  <c r="P313" i="19"/>
  <c r="R267" i="19"/>
  <c r="P267" i="19"/>
  <c r="R303" i="19"/>
  <c r="P303" i="19"/>
  <c r="R251" i="19"/>
  <c r="P251" i="19"/>
  <c r="R254" i="19"/>
  <c r="P254" i="19"/>
  <c r="R312" i="19"/>
  <c r="P312" i="19"/>
  <c r="R268" i="19"/>
  <c r="P268" i="19"/>
  <c r="R316" i="19"/>
  <c r="P316" i="19"/>
  <c r="R311" i="19"/>
  <c r="P311" i="19"/>
  <c r="Q234" i="19"/>
  <c r="J238" i="19"/>
  <c r="AA238" i="19"/>
  <c r="AA225" i="19"/>
  <c r="Z225" i="19" s="1"/>
  <c r="Q225" i="19"/>
  <c r="I228" i="19" a="1"/>
  <c r="I228" i="19" s="1"/>
  <c r="J226" i="19" a="1"/>
  <c r="J226" i="19" s="1"/>
  <c r="AM226" i="19" s="1" a="1"/>
  <c r="AM226" i="19" s="1"/>
  <c r="AA226" i="19"/>
  <c r="K224" i="19"/>
  <c r="AN224" i="19" s="1" a="1"/>
  <c r="AN224" i="19" s="1"/>
  <c r="J225" i="19"/>
  <c r="J227" i="19" a="1"/>
  <c r="J227" i="19" s="1"/>
  <c r="AM227" i="19" s="1" a="1"/>
  <c r="AM227" i="19" s="1"/>
  <c r="AB217" i="19"/>
  <c r="Z217" i="19"/>
  <c r="S83" i="19"/>
  <c r="S79" i="19"/>
  <c r="R102" i="19"/>
  <c r="P102" i="19"/>
  <c r="Z100" i="19"/>
  <c r="AB100" i="19"/>
  <c r="R101" i="19"/>
  <c r="P101" i="19"/>
  <c r="S99" i="19"/>
  <c r="T99" i="19" s="1"/>
  <c r="U99" i="19" s="1"/>
  <c r="P99" i="19"/>
  <c r="R103" i="19"/>
  <c r="P103" i="19"/>
  <c r="R100" i="19"/>
  <c r="P100" i="19"/>
  <c r="R104" i="19"/>
  <c r="P104" i="19"/>
  <c r="AB102" i="19"/>
  <c r="Z102" i="19"/>
  <c r="R98" i="19"/>
  <c r="S98" i="19" s="1"/>
  <c r="T98" i="19" s="1"/>
  <c r="U98" i="19" s="1"/>
  <c r="P98" i="19"/>
  <c r="AB104" i="19"/>
  <c r="Z104" i="19"/>
  <c r="AB101" i="19"/>
  <c r="Z101" i="19"/>
  <c r="AB103" i="19"/>
  <c r="Z103" i="19"/>
  <c r="S81" i="19"/>
  <c r="L82" i="19"/>
  <c r="AO82" i="19" s="1" a="1"/>
  <c r="AO82" i="19" s="1"/>
  <c r="AC82" i="19" a="1"/>
  <c r="AC82" i="19" s="1"/>
  <c r="S82" i="19"/>
  <c r="L83" i="19"/>
  <c r="AO83" i="19" s="1" a="1"/>
  <c r="AO83" i="19" s="1"/>
  <c r="AC83" i="19" a="1"/>
  <c r="AC83" i="19" s="1"/>
  <c r="L81" i="19"/>
  <c r="AO81" i="19" s="1" a="1"/>
  <c r="AO81" i="19" s="1"/>
  <c r="AC81" i="19" a="1"/>
  <c r="AC81" i="19" s="1"/>
  <c r="L79" i="19"/>
  <c r="AO79" i="19" s="1" a="1"/>
  <c r="AO79" i="19" s="1"/>
  <c r="AC79" i="19" a="1"/>
  <c r="AC79" i="19" s="1"/>
  <c r="S68" i="19"/>
  <c r="AC77" i="19"/>
  <c r="S69" i="19"/>
  <c r="L78" i="19"/>
  <c r="AO78" i="19" s="1" a="1"/>
  <c r="AO78" i="19" s="1"/>
  <c r="AC78" i="19" a="1"/>
  <c r="AC78" i="19" s="1"/>
  <c r="S78" i="19"/>
  <c r="L68" i="19"/>
  <c r="AO68" i="19" s="1" a="1"/>
  <c r="AO68" i="19" s="1"/>
  <c r="AC68" i="19" a="1"/>
  <c r="AC68" i="19" s="1"/>
  <c r="L69" i="19"/>
  <c r="AO69" i="19" s="1" a="1"/>
  <c r="AO69" i="19" s="1"/>
  <c r="AC69" i="19" a="1"/>
  <c r="AC69" i="19" s="1"/>
  <c r="AC66" i="19"/>
  <c r="L66" i="19"/>
  <c r="AO66" i="19" s="1" a="1"/>
  <c r="AO66" i="19" s="1"/>
  <c r="S66" i="19" a="1"/>
  <c r="S66" i="19" s="1"/>
  <c r="AC65" i="19"/>
  <c r="AC61" i="19"/>
  <c r="AC60" i="19"/>
  <c r="Z51" i="27"/>
  <c r="Z53" i="27" s="1"/>
  <c r="M53" i="27"/>
  <c r="S65" i="19"/>
  <c r="V63" i="19"/>
  <c r="V64" i="19"/>
  <c r="R217" i="19"/>
  <c r="R286" i="19"/>
  <c r="R285" i="19"/>
  <c r="R270" i="19"/>
  <c r="V289" i="19"/>
  <c r="V290" i="19"/>
  <c r="V287" i="19"/>
  <c r="R282" i="19"/>
  <c r="R284" i="19"/>
  <c r="R283" i="19"/>
  <c r="R271" i="19"/>
  <c r="R269" i="19"/>
  <c r="R279" i="19"/>
  <c r="R278" i="19"/>
  <c r="R277" i="19"/>
  <c r="R276" i="19"/>
  <c r="R274" i="19"/>
  <c r="V273" i="19"/>
  <c r="R272" i="19"/>
  <c r="V266" i="19"/>
  <c r="R310" i="19"/>
  <c r="J233" i="19"/>
  <c r="Q233" i="19"/>
  <c r="P233" i="19" s="1"/>
  <c r="J232" i="19"/>
  <c r="Q232" i="19"/>
  <c r="P232" i="19" s="1"/>
  <c r="BA234" i="19"/>
  <c r="R304" i="19"/>
  <c r="R306" i="19"/>
  <c r="R298" i="19"/>
  <c r="R305" i="19"/>
  <c r="R258" i="19"/>
  <c r="R259" i="19"/>
  <c r="Q300" i="19"/>
  <c r="AF254" i="19"/>
  <c r="BA224" i="19"/>
  <c r="BA275" i="19"/>
  <c r="BA251" i="19"/>
  <c r="AF275" i="19"/>
  <c r="AF265" i="19"/>
  <c r="BA289" i="19"/>
  <c r="AF289" i="19"/>
  <c r="BA264" i="19"/>
  <c r="V265" i="19"/>
  <c r="BA265" i="19"/>
  <c r="AF264" i="19"/>
  <c r="V275" i="19"/>
  <c r="AF251" i="19"/>
  <c r="AF250" i="19"/>
  <c r="BA250" i="19"/>
  <c r="AX233" i="19"/>
  <c r="AY233" i="19" s="1"/>
  <c r="AZ233" i="19" s="1"/>
  <c r="AE232" i="19"/>
  <c r="AF232" i="19" s="1"/>
  <c r="AB233" i="19"/>
  <c r="AC233" i="19" s="1"/>
  <c r="AD233" i="19" s="1"/>
  <c r="AE233" i="19" s="1"/>
  <c r="BA232" i="19"/>
  <c r="AQ31" i="25"/>
  <c r="D26" i="15"/>
  <c r="D16" i="15" s="1"/>
  <c r="Y20" i="25"/>
  <c r="AG46" i="25"/>
  <c r="AH46" i="25" s="1"/>
  <c r="AP36" i="25"/>
  <c r="AQ36" i="25" s="1"/>
  <c r="AG14" i="25"/>
  <c r="AH14" i="25" s="1"/>
  <c r="P31" i="25"/>
  <c r="Q31" i="25" s="1"/>
  <c r="AN60" i="25"/>
  <c r="AO60" i="25" s="1"/>
  <c r="AP60" i="25" s="1"/>
  <c r="P29" i="25"/>
  <c r="Q29" i="25" s="1"/>
  <c r="AD15" i="25"/>
  <c r="AE15" i="25" s="1"/>
  <c r="AF15" i="25" s="1"/>
  <c r="AG15" i="25" s="1"/>
  <c r="M30" i="25"/>
  <c r="AH38" i="25"/>
  <c r="AQ46" i="25"/>
  <c r="AM71" i="25"/>
  <c r="AN71" i="25" s="1"/>
  <c r="AO71" i="25" s="1"/>
  <c r="AP71" i="25" s="1"/>
  <c r="T76" i="25"/>
  <c r="U81" i="25" s="1"/>
  <c r="Y9" i="25"/>
  <c r="AH39" i="25"/>
  <c r="AD39" i="25"/>
  <c r="AE39" i="25" s="1"/>
  <c r="AF39" i="25" s="1"/>
  <c r="AG39" i="25" s="1"/>
  <c r="AE70" i="25"/>
  <c r="AF70" i="25" s="1"/>
  <c r="AG70" i="25" s="1"/>
  <c r="AH70" i="25"/>
  <c r="AH29" i="25"/>
  <c r="AD32" i="25"/>
  <c r="AE32" i="25" s="1"/>
  <c r="AF32" i="25" s="1"/>
  <c r="AG32" i="25" s="1"/>
  <c r="AH36" i="25"/>
  <c r="U42" i="25"/>
  <c r="U76" i="25" s="1"/>
  <c r="V81" i="25" s="1"/>
  <c r="V86" i="25" s="1"/>
  <c r="G42" i="25"/>
  <c r="Y52" i="25"/>
  <c r="Y55" i="25"/>
  <c r="AH68" i="25"/>
  <c r="AE68" i="25"/>
  <c r="AF68" i="25" s="1"/>
  <c r="AG68" i="25" s="1"/>
  <c r="AD69" i="25"/>
  <c r="AE69" i="25" s="1"/>
  <c r="AF69" i="25" s="1"/>
  <c r="AG69" i="25" s="1"/>
  <c r="AD37" i="25"/>
  <c r="AE37" i="25" s="1"/>
  <c r="AF37" i="25" s="1"/>
  <c r="AG37" i="25" s="1"/>
  <c r="AM56" i="25"/>
  <c r="AN56" i="25" s="1"/>
  <c r="AO56" i="25" s="1"/>
  <c r="AP56" i="25" s="1"/>
  <c r="AQ56" i="25"/>
  <c r="AH12" i="25"/>
  <c r="AN29" i="25"/>
  <c r="Y35" i="25"/>
  <c r="AM35" i="25"/>
  <c r="AN35" i="25" s="1"/>
  <c r="AO35" i="25" s="1"/>
  <c r="AP35" i="25" s="1"/>
  <c r="AM39" i="25"/>
  <c r="AN39" i="25" s="1"/>
  <c r="AO39" i="25" s="1"/>
  <c r="AP39" i="25" s="1"/>
  <c r="AQ39" i="25"/>
  <c r="Y47" i="25"/>
  <c r="AD50" i="25"/>
  <c r="AE50" i="25" s="1"/>
  <c r="AF50" i="25" s="1"/>
  <c r="AG50" i="25" s="1"/>
  <c r="Y54" i="25"/>
  <c r="Y61" i="25"/>
  <c r="AQ68" i="25"/>
  <c r="AN70" i="25"/>
  <c r="AO70" i="25" s="1"/>
  <c r="AP70" i="25" s="1"/>
  <c r="AD13" i="25"/>
  <c r="AE13" i="25" s="1"/>
  <c r="AF13" i="25" s="1"/>
  <c r="AG13" i="25" s="1"/>
  <c r="AH31" i="25"/>
  <c r="AN72" i="25"/>
  <c r="AO72" i="25" s="1"/>
  <c r="AP72" i="25" s="1"/>
  <c r="Y12" i="25"/>
  <c r="AC76" i="25"/>
  <c r="AD82" i="25" s="1"/>
  <c r="AD9" i="25"/>
  <c r="AM32" i="25"/>
  <c r="AN32" i="25" s="1"/>
  <c r="AO32" i="25" s="1"/>
  <c r="AP32" i="25" s="1"/>
  <c r="Q65" i="25"/>
  <c r="AN65" i="25"/>
  <c r="AO65" i="25" s="1"/>
  <c r="AP65" i="25" s="1"/>
  <c r="AQ65" i="25"/>
  <c r="AM30" i="25"/>
  <c r="AN30" i="25" s="1"/>
  <c r="AO30" i="25" s="1"/>
  <c r="AP30" i="25" s="1"/>
  <c r="Y28" i="25"/>
  <c r="AM50" i="25"/>
  <c r="AN50" i="25" s="1"/>
  <c r="AO50" i="25" s="1"/>
  <c r="AP50" i="25" s="1"/>
  <c r="AH11" i="25"/>
  <c r="AH30" i="25"/>
  <c r="Q32" i="25"/>
  <c r="AH35" i="25"/>
  <c r="AQ37" i="25"/>
  <c r="AD56" i="25"/>
  <c r="AE56" i="25" s="1"/>
  <c r="AF56" i="25" s="1"/>
  <c r="AG56" i="25" s="1"/>
  <c r="AM69" i="25"/>
  <c r="AN69" i="25" s="1"/>
  <c r="AO69" i="25" s="1"/>
  <c r="AP69" i="25" s="1"/>
  <c r="AH71" i="25"/>
  <c r="L76" i="25"/>
  <c r="M80" i="25" s="1"/>
  <c r="AL76" i="25"/>
  <c r="AM83" i="25" s="1"/>
  <c r="F14" i="23"/>
  <c r="G14" i="23" s="1"/>
  <c r="H14" i="23" s="1"/>
  <c r="I14" i="23" s="1"/>
  <c r="AC13" i="23"/>
  <c r="AD13" i="23" s="1"/>
  <c r="AE13" i="23" s="1"/>
  <c r="AF13" i="23" s="1"/>
  <c r="AG13" i="23" s="1"/>
  <c r="F15" i="23"/>
  <c r="G15" i="23" s="1"/>
  <c r="H15" i="23" s="1"/>
  <c r="I15" i="23" s="1"/>
  <c r="AQ121" i="23"/>
  <c r="Y121" i="23"/>
  <c r="F40" i="24" s="1"/>
  <c r="AH121" i="23"/>
  <c r="H40" i="24" s="1"/>
  <c r="AD14" i="23"/>
  <c r="AE14" i="23" s="1"/>
  <c r="AF14" i="23" s="1"/>
  <c r="AG14" i="23" s="1"/>
  <c r="AE15" i="23"/>
  <c r="AF15" i="23" s="1"/>
  <c r="AG15" i="23" s="1"/>
  <c r="L76" i="23"/>
  <c r="M80" i="23" s="1"/>
  <c r="M86" i="23" s="1"/>
  <c r="BA295" i="19"/>
  <c r="AY255" i="19"/>
  <c r="AZ255" i="19" s="1"/>
  <c r="BA253" i="19"/>
  <c r="BA252" i="19"/>
  <c r="AX297" i="19"/>
  <c r="AY297" i="19" s="1"/>
  <c r="AZ297" i="19" s="1"/>
  <c r="BA301" i="19"/>
  <c r="BA300" i="19"/>
  <c r="AY231" i="19"/>
  <c r="AZ231" i="19" s="1"/>
  <c r="AX142" i="19"/>
  <c r="AY142" i="19" s="1"/>
  <c r="AZ142" i="19" s="1"/>
  <c r="BA302" i="19"/>
  <c r="BA334" i="19"/>
  <c r="AF231" i="19"/>
  <c r="AF253" i="19"/>
  <c r="AF252" i="19"/>
  <c r="AL35" i="23"/>
  <c r="AC35" i="23"/>
  <c r="T35" i="23"/>
  <c r="F35" i="23"/>
  <c r="AL36" i="23"/>
  <c r="AC36" i="23"/>
  <c r="F36" i="23"/>
  <c r="G36" i="23" s="1"/>
  <c r="H36" i="23" s="1"/>
  <c r="I36" i="23" s="1"/>
  <c r="AL37" i="23"/>
  <c r="AC37" i="23"/>
  <c r="F37" i="23"/>
  <c r="G37" i="23" s="1"/>
  <c r="H37" i="23" s="1"/>
  <c r="I37" i="23" s="1"/>
  <c r="AL38" i="23"/>
  <c r="AC38" i="23"/>
  <c r="F38" i="23"/>
  <c r="G38" i="23" s="1"/>
  <c r="H38" i="23" s="1"/>
  <c r="I38" i="23" s="1"/>
  <c r="AL39" i="23"/>
  <c r="AC39" i="23"/>
  <c r="F39" i="23"/>
  <c r="G39" i="23" s="1"/>
  <c r="H39" i="23" s="1"/>
  <c r="I39" i="23" s="1"/>
  <c r="F64" i="23"/>
  <c r="T64" i="23"/>
  <c r="X28" i="23"/>
  <c r="W28" i="23"/>
  <c r="V28" i="23"/>
  <c r="U28" i="23"/>
  <c r="T28" i="23"/>
  <c r="AL65" i="23"/>
  <c r="AC65" i="23"/>
  <c r="F65" i="23"/>
  <c r="G65" i="23" s="1"/>
  <c r="H65" i="23" s="1"/>
  <c r="I65" i="23" s="1"/>
  <c r="M65" i="23"/>
  <c r="AL72" i="23"/>
  <c r="AC72" i="23"/>
  <c r="F72" i="23"/>
  <c r="G72" i="23" s="1"/>
  <c r="H72" i="23" s="1"/>
  <c r="I72" i="23" s="1"/>
  <c r="AL71" i="23"/>
  <c r="AC71" i="23"/>
  <c r="F71" i="23"/>
  <c r="G71" i="23" s="1"/>
  <c r="H71" i="23" s="1"/>
  <c r="I71" i="23" s="1"/>
  <c r="AM69" i="23"/>
  <c r="AN69" i="23" s="1"/>
  <c r="AO69" i="23" s="1"/>
  <c r="AP69" i="23" s="1"/>
  <c r="AM70" i="23"/>
  <c r="AN70" i="23" s="1"/>
  <c r="AO70" i="23" s="1"/>
  <c r="AP70" i="23" s="1"/>
  <c r="AM68" i="23"/>
  <c r="AC68" i="23"/>
  <c r="F68" i="23"/>
  <c r="G68" i="23" s="1"/>
  <c r="H68" i="23" s="1"/>
  <c r="I68" i="23" s="1"/>
  <c r="AC69" i="23"/>
  <c r="F69" i="23"/>
  <c r="G69" i="23" s="1"/>
  <c r="H69" i="23" s="1"/>
  <c r="I69" i="23" s="1"/>
  <c r="AC70" i="23"/>
  <c r="F70" i="23"/>
  <c r="G70" i="23" s="1"/>
  <c r="H70" i="23" s="1"/>
  <c r="I70" i="23" s="1"/>
  <c r="AD12" i="23"/>
  <c r="AE12" i="23" s="1"/>
  <c r="AF12" i="23" s="1"/>
  <c r="AG12" i="23" s="1"/>
  <c r="AL60" i="23"/>
  <c r="AC60" i="23"/>
  <c r="AL50" i="23"/>
  <c r="AC50" i="23"/>
  <c r="AL56" i="23"/>
  <c r="AC56" i="23"/>
  <c r="O51" i="24"/>
  <c r="J26" i="24"/>
  <c r="J31" i="24" s="1"/>
  <c r="J41" i="24" s="1"/>
  <c r="AL29" i="23"/>
  <c r="AC29" i="23"/>
  <c r="F29" i="23"/>
  <c r="G29" i="23" s="1"/>
  <c r="H29" i="23" s="1"/>
  <c r="I29" i="23" s="1"/>
  <c r="M29" i="23"/>
  <c r="AL30" i="23"/>
  <c r="AC30" i="23"/>
  <c r="F30" i="23"/>
  <c r="G30" i="23" s="1"/>
  <c r="H30" i="23" s="1"/>
  <c r="I30" i="23" s="1"/>
  <c r="M30" i="23"/>
  <c r="AL31" i="23"/>
  <c r="AC31" i="23"/>
  <c r="F31" i="23"/>
  <c r="G31" i="23" s="1"/>
  <c r="H31" i="23" s="1"/>
  <c r="I31" i="23" s="1"/>
  <c r="M31" i="23"/>
  <c r="M32" i="23"/>
  <c r="AD32" i="23"/>
  <c r="AM32" i="23"/>
  <c r="AC46" i="23"/>
  <c r="F46" i="23"/>
  <c r="T9" i="23"/>
  <c r="F9" i="23"/>
  <c r="AD9" i="23" s="1"/>
  <c r="T10" i="23"/>
  <c r="F10" i="23"/>
  <c r="T11" i="23"/>
  <c r="F11" i="23"/>
  <c r="AD11" i="23" s="1"/>
  <c r="T12" i="23"/>
  <c r="F12" i="23"/>
  <c r="T18" i="23"/>
  <c r="F18" i="23"/>
  <c r="T19" i="23"/>
  <c r="F19" i="23"/>
  <c r="T50" i="23"/>
  <c r="F50" i="23"/>
  <c r="T51" i="23"/>
  <c r="F51" i="23"/>
  <c r="T52" i="23"/>
  <c r="F52" i="23"/>
  <c r="T53" i="23"/>
  <c r="F53" i="23"/>
  <c r="T54" i="23"/>
  <c r="F54" i="23"/>
  <c r="T55" i="23"/>
  <c r="F55" i="23"/>
  <c r="T56" i="23"/>
  <c r="F56" i="23"/>
  <c r="T57" i="23"/>
  <c r="F57" i="23"/>
  <c r="T61" i="23"/>
  <c r="F61" i="23"/>
  <c r="T60" i="23"/>
  <c r="F60" i="23"/>
  <c r="T23" i="23"/>
  <c r="F23" i="23"/>
  <c r="T47" i="23"/>
  <c r="F47" i="23"/>
  <c r="T24" i="23"/>
  <c r="F24" i="23"/>
  <c r="T25" i="23"/>
  <c r="F25" i="23"/>
  <c r="F42" i="23"/>
  <c r="U42" i="23" s="1"/>
  <c r="T43" i="23"/>
  <c r="F43" i="23"/>
  <c r="O23" i="33" l="1"/>
  <c r="M27" i="33"/>
  <c r="M25" i="33"/>
  <c r="V179" i="29"/>
  <c r="C7" i="26" s="1"/>
  <c r="H7" i="26" s="1"/>
  <c r="AE134" i="29"/>
  <c r="AD80" i="19"/>
  <c r="T74" i="19"/>
  <c r="S316" i="19"/>
  <c r="AD74" i="19"/>
  <c r="S313" i="19"/>
  <c r="AC311" i="19"/>
  <c r="S282" i="19"/>
  <c r="AC103" i="19"/>
  <c r="S103" i="19"/>
  <c r="T73" i="19"/>
  <c r="T80" i="19"/>
  <c r="S274" i="19"/>
  <c r="S311" i="19"/>
  <c r="S251" i="19"/>
  <c r="S217" i="19"/>
  <c r="AD65" i="19"/>
  <c r="S254" i="19"/>
  <c r="S281" i="19"/>
  <c r="AC316" i="19"/>
  <c r="S278" i="19"/>
  <c r="AC217" i="19"/>
  <c r="S259" i="19"/>
  <c r="AC312" i="19"/>
  <c r="AC307" i="19"/>
  <c r="T61" i="19"/>
  <c r="S269" i="19"/>
  <c r="AD70" i="19"/>
  <c r="S309" i="19"/>
  <c r="S250" i="19"/>
  <c r="S271" i="19"/>
  <c r="S307" i="19"/>
  <c r="S286" i="19"/>
  <c r="AB227" i="19"/>
  <c r="S312" i="19"/>
  <c r="AC309" i="19"/>
  <c r="S276" i="19"/>
  <c r="S258" i="19"/>
  <c r="T65" i="19"/>
  <c r="AC101" i="19"/>
  <c r="S101" i="19"/>
  <c r="AD77" i="19"/>
  <c r="AD60" i="19"/>
  <c r="S235" i="19"/>
  <c r="AD72" i="19"/>
  <c r="AD67" i="19"/>
  <c r="S104" i="19"/>
  <c r="S102" i="19"/>
  <c r="T70" i="19"/>
  <c r="S267" i="19"/>
  <c r="S288" i="19"/>
  <c r="AC102" i="19"/>
  <c r="S264" i="19"/>
  <c r="S310" i="19"/>
  <c r="AC100" i="19"/>
  <c r="T72" i="19"/>
  <c r="S270" i="19"/>
  <c r="AC104" i="19"/>
  <c r="S100" i="19"/>
  <c r="AD61" i="19"/>
  <c r="S256" i="19"/>
  <c r="AC313" i="19"/>
  <c r="K300" i="19"/>
  <c r="AM300" i="19" a="1"/>
  <c r="AM300" i="19" s="1"/>
  <c r="L313" i="19"/>
  <c r="AN313" i="19" a="1"/>
  <c r="AN313" i="19" s="1"/>
  <c r="L272" i="19"/>
  <c r="AN272" i="19" a="1"/>
  <c r="AN272" i="19" s="1"/>
  <c r="S305" i="19"/>
  <c r="K233" i="19"/>
  <c r="AM233" i="19" a="1"/>
  <c r="AM233" i="19" s="1"/>
  <c r="S314" i="19"/>
  <c r="L281" i="19"/>
  <c r="AN281" i="19" a="1"/>
  <c r="AN281" i="19" s="1"/>
  <c r="K234" i="19"/>
  <c r="AM234" i="19" a="1"/>
  <c r="AM234" i="19" s="1"/>
  <c r="L271" i="19"/>
  <c r="AN271" i="19" a="1"/>
  <c r="AN271" i="19" s="1"/>
  <c r="L316" i="19"/>
  <c r="AN316" i="19" a="1"/>
  <c r="AN316" i="19" s="1"/>
  <c r="T60" i="19"/>
  <c r="L101" i="19"/>
  <c r="AN101" i="19" a="1"/>
  <c r="AN101" i="19" s="1"/>
  <c r="L274" i="19"/>
  <c r="AN274" i="19" a="1"/>
  <c r="AN274" i="19" s="1"/>
  <c r="L269" i="19"/>
  <c r="AN269" i="19" a="1"/>
  <c r="AN269" i="19" s="1"/>
  <c r="L270" i="19"/>
  <c r="AN270" i="19" a="1"/>
  <c r="AN270" i="19" s="1"/>
  <c r="L307" i="19"/>
  <c r="AN307" i="19" a="1"/>
  <c r="AN307" i="19" s="1"/>
  <c r="M72" i="19"/>
  <c r="AP72" i="19" s="1" a="1"/>
  <c r="AP72" i="19" s="1"/>
  <c r="AO72" i="19" a="1"/>
  <c r="AO72" i="19" s="1"/>
  <c r="L310" i="19"/>
  <c r="AN310" i="19" a="1"/>
  <c r="AN310" i="19" s="1"/>
  <c r="L268" i="19"/>
  <c r="AN268" i="19" a="1"/>
  <c r="AN268" i="19" s="1"/>
  <c r="L304" i="19"/>
  <c r="AN304" i="19" a="1"/>
  <c r="AN304" i="19" s="1"/>
  <c r="L315" i="19"/>
  <c r="AN315" i="19" a="1"/>
  <c r="AN315" i="19" s="1"/>
  <c r="M71" i="19"/>
  <c r="AP71" i="19" s="1" a="1"/>
  <c r="AP71" i="19" s="1"/>
  <c r="AO71" i="19" a="1"/>
  <c r="AO71" i="19" s="1"/>
  <c r="L314" i="19"/>
  <c r="AN314" i="19" a="1"/>
  <c r="AN314" i="19" s="1"/>
  <c r="S304" i="19"/>
  <c r="S285" i="19"/>
  <c r="AA228" i="19"/>
  <c r="Z228" i="19" s="1"/>
  <c r="AL228" i="19" a="1"/>
  <c r="AL228" i="19" s="1"/>
  <c r="L288" i="19"/>
  <c r="AN288" i="19" a="1"/>
  <c r="AN288" i="19" s="1"/>
  <c r="L259" i="19"/>
  <c r="AN259" i="19" a="1"/>
  <c r="AN259" i="19" s="1"/>
  <c r="M73" i="19"/>
  <c r="AP73" i="19" s="1" a="1"/>
  <c r="AP73" i="19" s="1"/>
  <c r="AO73" i="19" a="1"/>
  <c r="AO73" i="19" s="1"/>
  <c r="L309" i="19"/>
  <c r="AN309" i="19" a="1"/>
  <c r="AN309" i="19" s="1"/>
  <c r="M74" i="19"/>
  <c r="AP74" i="19" s="1" a="1"/>
  <c r="AP74" i="19" s="1"/>
  <c r="AO74" i="19" a="1"/>
  <c r="AO74" i="19" s="1"/>
  <c r="L257" i="19"/>
  <c r="AN257" i="19" a="1"/>
  <c r="AN257" i="19" s="1"/>
  <c r="S283" i="19"/>
  <c r="S257" i="19"/>
  <c r="K301" i="19"/>
  <c r="AM301" i="19" a="1"/>
  <c r="AM301" i="19" s="1"/>
  <c r="M58" i="19"/>
  <c r="AP58" i="19" s="1" a="1"/>
  <c r="AP58" i="19" s="1"/>
  <c r="AO58" i="19" a="1"/>
  <c r="AO58" i="19" s="1"/>
  <c r="L282" i="19"/>
  <c r="T282" i="19" s="1"/>
  <c r="AN282" i="19" a="1"/>
  <c r="AN282" i="19" s="1"/>
  <c r="M60" i="19"/>
  <c r="AP60" i="19" s="1" a="1"/>
  <c r="AP60" i="19" s="1"/>
  <c r="AO60" i="19" a="1"/>
  <c r="AO60" i="19" s="1"/>
  <c r="L273" i="19"/>
  <c r="AN273" i="19" a="1"/>
  <c r="AN273" i="19" s="1"/>
  <c r="L104" i="19"/>
  <c r="AN104" i="19" a="1"/>
  <c r="AN104" i="19" s="1"/>
  <c r="L279" i="19"/>
  <c r="AN279" i="19" a="1"/>
  <c r="AN279" i="19" s="1"/>
  <c r="AD71" i="19"/>
  <c r="L267" i="19"/>
  <c r="AN267" i="19" a="1"/>
  <c r="AN267" i="19" s="1"/>
  <c r="L286" i="19"/>
  <c r="AN286" i="19" a="1"/>
  <c r="AN286" i="19" s="1"/>
  <c r="AK227" i="19"/>
  <c r="M67" i="19"/>
  <c r="AP67" i="19" s="1" a="1"/>
  <c r="AP67" i="19" s="1"/>
  <c r="AO67" i="19" a="1"/>
  <c r="AO67" i="19" s="1"/>
  <c r="L290" i="19"/>
  <c r="AN290" i="19" a="1"/>
  <c r="AN290" i="19" s="1"/>
  <c r="L287" i="19"/>
  <c r="AN287" i="19" a="1"/>
  <c r="AN287" i="19" s="1"/>
  <c r="L283" i="19"/>
  <c r="AN283" i="19" a="1"/>
  <c r="AN283" i="19" s="1"/>
  <c r="AB225" i="19"/>
  <c r="AM225" i="19" a="1"/>
  <c r="AM225" i="19" s="1"/>
  <c r="AC315" i="19"/>
  <c r="T71" i="19"/>
  <c r="L251" i="19"/>
  <c r="AN251" i="19" a="1"/>
  <c r="AN251" i="19" s="1"/>
  <c r="L265" i="19"/>
  <c r="AN265" i="19" a="1"/>
  <c r="AN265" i="19" s="1"/>
  <c r="L311" i="19"/>
  <c r="AN311" i="19" a="1"/>
  <c r="AN311" i="19" s="1"/>
  <c r="L254" i="19"/>
  <c r="T254" i="19" s="1"/>
  <c r="AN254" i="19" a="1"/>
  <c r="AN254" i="19" s="1"/>
  <c r="L250" i="19"/>
  <c r="AN250" i="19" a="1"/>
  <c r="AN250" i="19" s="1"/>
  <c r="L217" i="19"/>
  <c r="AN217" i="19" a="1"/>
  <c r="AN217" i="19" s="1"/>
  <c r="M59" i="19"/>
  <c r="AP59" i="19" s="1" a="1"/>
  <c r="AP59" i="19" s="1"/>
  <c r="AO59" i="19" a="1"/>
  <c r="AO59" i="19" s="1"/>
  <c r="S306" i="19"/>
  <c r="T59" i="19"/>
  <c r="L266" i="19"/>
  <c r="AN266" i="19" a="1"/>
  <c r="AN266" i="19" s="1"/>
  <c r="L285" i="19"/>
  <c r="AN285" i="19" a="1"/>
  <c r="AN285" i="19" s="1"/>
  <c r="L264" i="19"/>
  <c r="AN264" i="19" a="1"/>
  <c r="AN264" i="19" s="1"/>
  <c r="L305" i="19"/>
  <c r="AN305" i="19" a="1"/>
  <c r="AN305" i="19" s="1"/>
  <c r="K232" i="19"/>
  <c r="AM232" i="19" a="1"/>
  <c r="AM232" i="19" s="1"/>
  <c r="S268" i="19"/>
  <c r="S303" i="19"/>
  <c r="S315" i="19"/>
  <c r="AC303" i="19"/>
  <c r="M80" i="19"/>
  <c r="AP80" i="19" s="1" a="1"/>
  <c r="AP80" i="19" s="1"/>
  <c r="AO80" i="19" a="1"/>
  <c r="AO80" i="19" s="1"/>
  <c r="L278" i="19"/>
  <c r="AN278" i="19" a="1"/>
  <c r="AN278" i="19" s="1"/>
  <c r="M77" i="19"/>
  <c r="AP77" i="19" s="1" a="1"/>
  <c r="AP77" i="19" s="1"/>
  <c r="AO77" i="19" a="1"/>
  <c r="AO77" i="19" s="1"/>
  <c r="L312" i="19"/>
  <c r="AN312" i="19" a="1"/>
  <c r="AN312" i="19" s="1"/>
  <c r="L103" i="19"/>
  <c r="AN103" i="19" a="1"/>
  <c r="AN103" i="19" s="1"/>
  <c r="L276" i="19"/>
  <c r="AN276" i="19" a="1"/>
  <c r="AN276" i="19" s="1"/>
  <c r="AD73" i="19"/>
  <c r="M70" i="19"/>
  <c r="AP70" i="19" s="1" a="1"/>
  <c r="AP70" i="19" s="1"/>
  <c r="AO70" i="19" a="1"/>
  <c r="AO70" i="19" s="1"/>
  <c r="L102" i="19"/>
  <c r="AN102" i="19" a="1"/>
  <c r="AN102" i="19" s="1"/>
  <c r="L289" i="19"/>
  <c r="AN289" i="19" a="1"/>
  <c r="AN289" i="19" s="1"/>
  <c r="L303" i="19"/>
  <c r="AN303" i="19" a="1"/>
  <c r="AN303" i="19" s="1"/>
  <c r="L306" i="19"/>
  <c r="AN306" i="19" a="1"/>
  <c r="AN306" i="19" s="1"/>
  <c r="L277" i="19"/>
  <c r="AN277" i="19" a="1"/>
  <c r="AN277" i="19" s="1"/>
  <c r="S277" i="19"/>
  <c r="K238" i="19"/>
  <c r="AM238" i="19" a="1"/>
  <c r="AM238" i="19" s="1"/>
  <c r="AC314" i="19"/>
  <c r="AK234" i="19"/>
  <c r="L100" i="19"/>
  <c r="AN100" i="19" a="1"/>
  <c r="AN100" i="19" s="1"/>
  <c r="L235" i="19"/>
  <c r="AN235" i="19" a="1"/>
  <c r="AN235" i="19" s="1"/>
  <c r="M65" i="19"/>
  <c r="AP65" i="19" s="1" a="1"/>
  <c r="AP65" i="19" s="1"/>
  <c r="AO65" i="19" a="1"/>
  <c r="AO65" i="19" s="1"/>
  <c r="L284" i="19"/>
  <c r="AN284" i="19" a="1"/>
  <c r="AN284" i="19" s="1"/>
  <c r="L256" i="19"/>
  <c r="AN256" i="19" a="1"/>
  <c r="AN256" i="19" s="1"/>
  <c r="M61" i="19"/>
  <c r="AP61" i="19" s="1" a="1"/>
  <c r="AP61" i="19" s="1"/>
  <c r="AO61" i="19" a="1"/>
  <c r="AO61" i="19" s="1"/>
  <c r="AD59" i="19"/>
  <c r="L258" i="19"/>
  <c r="AN258" i="19" a="1"/>
  <c r="AN258" i="19" s="1"/>
  <c r="AD58" i="19"/>
  <c r="AC306" i="19"/>
  <c r="AC305" i="19"/>
  <c r="AC304" i="19"/>
  <c r="AB301" i="19"/>
  <c r="Z301" i="19"/>
  <c r="AB300" i="19"/>
  <c r="Z300" i="19"/>
  <c r="AC310" i="19"/>
  <c r="T58" i="19"/>
  <c r="R234" i="19"/>
  <c r="P234" i="19"/>
  <c r="R300" i="19"/>
  <c r="P300" i="19"/>
  <c r="T79" i="19"/>
  <c r="AB238" i="19"/>
  <c r="Z238" i="19"/>
  <c r="R225" i="19"/>
  <c r="P225" i="19"/>
  <c r="AC227" i="19"/>
  <c r="Z226" i="19"/>
  <c r="AB226" i="19"/>
  <c r="L224" i="19"/>
  <c r="AO224" i="19" s="1" a="1"/>
  <c r="AO224" i="19" s="1"/>
  <c r="K225" i="19"/>
  <c r="K226" i="19" a="1"/>
  <c r="K226" i="19" s="1"/>
  <c r="AN226" i="19" s="1" a="1"/>
  <c r="AN226" i="19" s="1"/>
  <c r="K227" i="19" a="1"/>
  <c r="K227" i="19" s="1"/>
  <c r="AN227" i="19" s="1" a="1"/>
  <c r="AN227" i="19" s="1"/>
  <c r="J228" i="19" a="1"/>
  <c r="J228" i="19" s="1"/>
  <c r="T83" i="19"/>
  <c r="V98" i="19"/>
  <c r="V99" i="19"/>
  <c r="T81" i="19"/>
  <c r="T69" i="19"/>
  <c r="T82" i="19"/>
  <c r="M82" i="19"/>
  <c r="AD82" i="19" a="1"/>
  <c r="AD82" i="19" s="1"/>
  <c r="M81" i="19"/>
  <c r="AD81" i="19" a="1"/>
  <c r="AD81" i="19" s="1"/>
  <c r="M83" i="19"/>
  <c r="AD83" i="19" a="1"/>
  <c r="AD83" i="19" s="1"/>
  <c r="M79" i="19"/>
  <c r="AD79" i="19" a="1"/>
  <c r="AD79" i="19" s="1"/>
  <c r="T68" i="19"/>
  <c r="AD66" i="19"/>
  <c r="T78" i="19"/>
  <c r="M78" i="19"/>
  <c r="AD78" i="19" a="1"/>
  <c r="AD78" i="19" s="1"/>
  <c r="M68" i="19"/>
  <c r="AD68" i="19" a="1"/>
  <c r="AD68" i="19" s="1"/>
  <c r="M69" i="19"/>
  <c r="AD69" i="19" a="1"/>
  <c r="AD69" i="19" s="1"/>
  <c r="M66" i="19"/>
  <c r="T66" i="19" a="1"/>
  <c r="T66" i="19" s="1"/>
  <c r="Q53" i="27"/>
  <c r="R233" i="19"/>
  <c r="S284" i="19"/>
  <c r="S279" i="19"/>
  <c r="S272" i="19"/>
  <c r="R232" i="19"/>
  <c r="S298" i="19"/>
  <c r="T298" i="19" s="1"/>
  <c r="U298" i="19" s="1"/>
  <c r="BA233" i="19"/>
  <c r="AF233" i="19"/>
  <c r="AH32" i="25"/>
  <c r="AQ71" i="25"/>
  <c r="AQ72" i="25"/>
  <c r="AH15" i="25"/>
  <c r="AQ69" i="25"/>
  <c r="AQ50" i="25"/>
  <c r="AQ32" i="25"/>
  <c r="AQ35" i="25"/>
  <c r="AH37" i="25"/>
  <c r="V42" i="25"/>
  <c r="H42" i="25"/>
  <c r="AH56" i="25"/>
  <c r="AM76" i="25"/>
  <c r="AN83" i="25" s="1"/>
  <c r="AN86" i="25" s="1"/>
  <c r="M86" i="25"/>
  <c r="AD76" i="25"/>
  <c r="AE82" i="25" s="1"/>
  <c r="AE86" i="25" s="1"/>
  <c r="AE9" i="25"/>
  <c r="AM86" i="25"/>
  <c r="AQ30" i="25"/>
  <c r="AH13" i="25"/>
  <c r="AH50" i="25"/>
  <c r="AN76" i="25"/>
  <c r="AO83" i="25" s="1"/>
  <c r="AO86" i="25" s="1"/>
  <c r="AO29" i="25"/>
  <c r="AH69" i="25"/>
  <c r="AQ60" i="25"/>
  <c r="AD86" i="25"/>
  <c r="AQ70" i="25"/>
  <c r="U86" i="25"/>
  <c r="M76" i="25"/>
  <c r="N80" i="25" s="1"/>
  <c r="N86" i="25" s="1"/>
  <c r="N30" i="25"/>
  <c r="AH14" i="23"/>
  <c r="AH12" i="23"/>
  <c r="Y28" i="23"/>
  <c r="AQ70" i="23"/>
  <c r="AQ69" i="23"/>
  <c r="AH13" i="23"/>
  <c r="AH15" i="23"/>
  <c r="BA231" i="19"/>
  <c r="BA255" i="19"/>
  <c r="BA142" i="19"/>
  <c r="BA297" i="19"/>
  <c r="AD39" i="23"/>
  <c r="AM39" i="23"/>
  <c r="AD38" i="23"/>
  <c r="AM38" i="23"/>
  <c r="AD37" i="23"/>
  <c r="AM37" i="23"/>
  <c r="AD36" i="23"/>
  <c r="AM36" i="23"/>
  <c r="U35" i="23"/>
  <c r="G35" i="23"/>
  <c r="AD35" i="23"/>
  <c r="AM35" i="23"/>
  <c r="G64" i="23"/>
  <c r="U64" i="23"/>
  <c r="N65" i="23"/>
  <c r="O65" i="23" s="1"/>
  <c r="P65" i="23" s="1"/>
  <c r="AD65" i="23"/>
  <c r="AM65" i="23"/>
  <c r="AD72" i="23"/>
  <c r="AM72" i="23"/>
  <c r="AD71" i="23"/>
  <c r="AM71" i="23"/>
  <c r="AN68" i="23"/>
  <c r="AO68" i="23" s="1"/>
  <c r="AP68" i="23" s="1"/>
  <c r="AD70" i="23"/>
  <c r="AD69" i="23"/>
  <c r="AD68" i="23"/>
  <c r="AD60" i="23"/>
  <c r="AM60" i="23"/>
  <c r="AD56" i="23"/>
  <c r="AM56" i="23"/>
  <c r="AD50" i="23"/>
  <c r="AM50" i="23"/>
  <c r="AN32" i="23"/>
  <c r="AO32" i="23" s="1"/>
  <c r="AP32" i="23" s="1"/>
  <c r="AE32" i="23"/>
  <c r="AF32" i="23" s="1"/>
  <c r="AG32" i="23" s="1"/>
  <c r="N32" i="23"/>
  <c r="O32" i="23" s="1"/>
  <c r="P32" i="23" s="1"/>
  <c r="N31" i="23"/>
  <c r="O31" i="23" s="1"/>
  <c r="P31" i="23" s="1"/>
  <c r="AD31" i="23"/>
  <c r="AM31" i="23"/>
  <c r="N30" i="23"/>
  <c r="O30" i="23" s="1"/>
  <c r="P30" i="23" s="1"/>
  <c r="AD30" i="23"/>
  <c r="AM30" i="23"/>
  <c r="N29" i="23"/>
  <c r="O29" i="23" s="1"/>
  <c r="P29" i="23" s="1"/>
  <c r="AD29" i="23"/>
  <c r="AM29" i="23"/>
  <c r="M76" i="23"/>
  <c r="N80" i="23" s="1"/>
  <c r="G46" i="23"/>
  <c r="H46" i="23" s="1"/>
  <c r="I46" i="23" s="1"/>
  <c r="AM46" i="23"/>
  <c r="AD46" i="23"/>
  <c r="U43" i="23"/>
  <c r="G43" i="23"/>
  <c r="G42" i="23"/>
  <c r="V42" i="23" s="1"/>
  <c r="U25" i="23"/>
  <c r="G25" i="23"/>
  <c r="U24" i="23"/>
  <c r="G24" i="23"/>
  <c r="U47" i="23"/>
  <c r="G47" i="23"/>
  <c r="U23" i="23"/>
  <c r="G23" i="23"/>
  <c r="U60" i="23"/>
  <c r="G60" i="23"/>
  <c r="U61" i="23"/>
  <c r="G61" i="23"/>
  <c r="U57" i="23"/>
  <c r="G57" i="23"/>
  <c r="U56" i="23"/>
  <c r="G56" i="23"/>
  <c r="U55" i="23"/>
  <c r="G55" i="23"/>
  <c r="U54" i="23"/>
  <c r="G54" i="23"/>
  <c r="U53" i="23"/>
  <c r="G53" i="23"/>
  <c r="U52" i="23"/>
  <c r="G52" i="23"/>
  <c r="U51" i="23"/>
  <c r="G51" i="23"/>
  <c r="U50" i="23"/>
  <c r="G50" i="23"/>
  <c r="U19" i="23"/>
  <c r="G19" i="23"/>
  <c r="U18" i="23"/>
  <c r="G18" i="23"/>
  <c r="U12" i="23"/>
  <c r="G12" i="23"/>
  <c r="U11" i="23"/>
  <c r="G11" i="23"/>
  <c r="AE11" i="23" s="1"/>
  <c r="U10" i="23"/>
  <c r="G10" i="23"/>
  <c r="U9" i="23"/>
  <c r="G9" i="23"/>
  <c r="AE9" i="23" s="1"/>
  <c r="AC76" i="23"/>
  <c r="AD82" i="23" s="1"/>
  <c r="AL76" i="23"/>
  <c r="K39" i="24" s="1"/>
  <c r="AT5" i="19"/>
  <c r="AT4" i="19"/>
  <c r="AI5" i="19"/>
  <c r="AI4" i="19"/>
  <c r="X5" i="19"/>
  <c r="X4" i="19"/>
  <c r="N5" i="19"/>
  <c r="N4" i="19"/>
  <c r="C5" i="19"/>
  <c r="C4" i="19"/>
  <c r="O25" i="33" l="1"/>
  <c r="M28" i="33"/>
  <c r="S27" i="33"/>
  <c r="S31" i="33" s="1"/>
  <c r="S32" i="33" s="1"/>
  <c r="O27" i="33"/>
  <c r="AF179" i="29"/>
  <c r="T316" i="19"/>
  <c r="T278" i="19"/>
  <c r="T309" i="19"/>
  <c r="T274" i="19"/>
  <c r="T217" i="19"/>
  <c r="T286" i="19"/>
  <c r="AD103" i="19"/>
  <c r="AD100" i="19"/>
  <c r="T259" i="19"/>
  <c r="T271" i="19"/>
  <c r="T251" i="19"/>
  <c r="T307" i="19"/>
  <c r="AD101" i="19"/>
  <c r="T102" i="19"/>
  <c r="T281" i="19"/>
  <c r="T250" i="19"/>
  <c r="U72" i="19"/>
  <c r="V72" i="19" s="1"/>
  <c r="T267" i="19"/>
  <c r="AQ60" i="19"/>
  <c r="S234" i="19"/>
  <c r="T288" i="19"/>
  <c r="AQ74" i="19"/>
  <c r="AD307" i="19"/>
  <c r="S233" i="19"/>
  <c r="AC300" i="19"/>
  <c r="T258" i="19"/>
  <c r="T103" i="19"/>
  <c r="S300" i="19"/>
  <c r="AC301" i="19"/>
  <c r="AE60" i="19"/>
  <c r="AF60" i="19" s="1"/>
  <c r="T277" i="19"/>
  <c r="T104" i="19"/>
  <c r="AD305" i="19"/>
  <c r="T283" i="19"/>
  <c r="AQ71" i="19"/>
  <c r="AD309" i="19"/>
  <c r="AD316" i="19"/>
  <c r="AQ73" i="19"/>
  <c r="T310" i="19"/>
  <c r="AE72" i="19"/>
  <c r="AF72" i="19" s="1"/>
  <c r="T272" i="19"/>
  <c r="AC238" i="19"/>
  <c r="AQ80" i="19"/>
  <c r="AQ59" i="19"/>
  <c r="AQ72" i="19"/>
  <c r="T268" i="19"/>
  <c r="AQ65" i="19"/>
  <c r="T101" i="19"/>
  <c r="AD303" i="19"/>
  <c r="U74" i="19"/>
  <c r="V74" i="19" s="1"/>
  <c r="T257" i="19"/>
  <c r="AE74" i="19"/>
  <c r="AF74" i="19" s="1"/>
  <c r="AQ70" i="19"/>
  <c r="AQ77" i="19"/>
  <c r="M269" i="19"/>
  <c r="AP269" i="19" s="1" a="1"/>
  <c r="AP269" i="19" s="1"/>
  <c r="AO269" i="19" a="1"/>
  <c r="AO269" i="19" s="1"/>
  <c r="AD306" i="19"/>
  <c r="M312" i="19"/>
  <c r="AP312" i="19" s="1" a="1"/>
  <c r="AP312" i="19" s="1"/>
  <c r="AO312" i="19" a="1"/>
  <c r="AO312" i="19" s="1"/>
  <c r="M279" i="19"/>
  <c r="AP279" i="19" s="1" a="1"/>
  <c r="AP279" i="19" s="1"/>
  <c r="AO279" i="19" a="1"/>
  <c r="AO279" i="19" s="1"/>
  <c r="M304" i="19"/>
  <c r="AP304" i="19" s="1" a="1"/>
  <c r="AP304" i="19" s="1"/>
  <c r="AO304" i="19" a="1"/>
  <c r="AO304" i="19" s="1"/>
  <c r="M313" i="19"/>
  <c r="AP313" i="19" s="1" a="1"/>
  <c r="AP313" i="19" s="1"/>
  <c r="AO313" i="19" a="1"/>
  <c r="AO313" i="19" s="1"/>
  <c r="T284" i="19"/>
  <c r="AE69" i="19" a="1"/>
  <c r="AE69" i="19" s="1"/>
  <c r="AF69" i="19" s="1"/>
  <c r="AP69" i="19" a="1"/>
  <c r="AP69" i="19" s="1"/>
  <c r="AQ69" i="19" s="1"/>
  <c r="AD310" i="19"/>
  <c r="M256" i="19"/>
  <c r="AP256" i="19" s="1" a="1"/>
  <c r="AP256" i="19" s="1"/>
  <c r="AO256" i="19" a="1"/>
  <c r="AO256" i="19" s="1"/>
  <c r="M303" i="19"/>
  <c r="AP303" i="19" s="1" a="1"/>
  <c r="AP303" i="19" s="1"/>
  <c r="AO303" i="19" a="1"/>
  <c r="AO303" i="19" s="1"/>
  <c r="T315" i="19"/>
  <c r="M264" i="19"/>
  <c r="AP264" i="19" s="1" a="1"/>
  <c r="AP264" i="19" s="1"/>
  <c r="AO264" i="19" a="1"/>
  <c r="AO264" i="19" s="1"/>
  <c r="AE65" i="19"/>
  <c r="AF65" i="19" s="1"/>
  <c r="M217" i="19"/>
  <c r="AP217" i="19" s="1" a="1"/>
  <c r="AP217" i="19" s="1"/>
  <c r="AO217" i="19" a="1"/>
  <c r="AO217" i="19" s="1"/>
  <c r="M311" i="19"/>
  <c r="AP311" i="19" s="1" a="1"/>
  <c r="AP311" i="19" s="1"/>
  <c r="AO311" i="19" a="1"/>
  <c r="AO311" i="19" s="1"/>
  <c r="M257" i="19"/>
  <c r="AP257" i="19" s="1" a="1"/>
  <c r="AP257" i="19" s="1"/>
  <c r="AO257" i="19" a="1"/>
  <c r="AO257" i="19" s="1"/>
  <c r="U67" i="19"/>
  <c r="V67" i="19" s="1"/>
  <c r="AQ58" i="19"/>
  <c r="AD217" i="19"/>
  <c r="T264" i="19"/>
  <c r="M274" i="19"/>
  <c r="AP274" i="19" s="1" a="1"/>
  <c r="AP274" i="19" s="1"/>
  <c r="AO274" i="19" a="1"/>
  <c r="AO274" i="19" s="1"/>
  <c r="U77" i="19"/>
  <c r="V77" i="19" s="1"/>
  <c r="U71" i="19"/>
  <c r="V71" i="19" s="1"/>
  <c r="AK228" i="19"/>
  <c r="U65" i="19"/>
  <c r="V65" i="19" s="1"/>
  <c r="AE79" i="19" a="1"/>
  <c r="AE79" i="19" s="1"/>
  <c r="AF79" i="19" s="1"/>
  <c r="AP79" i="19" a="1"/>
  <c r="AP79" i="19" s="1"/>
  <c r="AQ79" i="19" s="1"/>
  <c r="M235" i="19"/>
  <c r="AP235" i="19" s="1" a="1"/>
  <c r="AP235" i="19" s="1"/>
  <c r="AO235" i="19" a="1"/>
  <c r="AO235" i="19" s="1"/>
  <c r="AD314" i="19"/>
  <c r="M277" i="19"/>
  <c r="AP277" i="19" s="1" a="1"/>
  <c r="AP277" i="19" s="1"/>
  <c r="AO277" i="19" a="1"/>
  <c r="AO277" i="19" s="1"/>
  <c r="M276" i="19"/>
  <c r="AP276" i="19" s="1" a="1"/>
  <c r="AP276" i="19" s="1"/>
  <c r="AO276" i="19" a="1"/>
  <c r="AO276" i="19" s="1"/>
  <c r="T235" i="19"/>
  <c r="T276" i="19"/>
  <c r="T306" i="19"/>
  <c r="M283" i="19"/>
  <c r="AP283" i="19" s="1" a="1"/>
  <c r="AP283" i="19" s="1"/>
  <c r="AO283" i="19" a="1"/>
  <c r="AO283" i="19" s="1"/>
  <c r="M290" i="19"/>
  <c r="AP290" i="19" s="1" a="1"/>
  <c r="AP290" i="19" s="1"/>
  <c r="AO290" i="19" a="1"/>
  <c r="AO290" i="19" s="1"/>
  <c r="M286" i="19"/>
  <c r="AP286" i="19" s="1" a="1"/>
  <c r="AP286" i="19" s="1"/>
  <c r="AO286" i="19" a="1"/>
  <c r="AO286" i="19" s="1"/>
  <c r="M104" i="19"/>
  <c r="AP104" i="19" s="1" a="1"/>
  <c r="AP104" i="19" s="1"/>
  <c r="AO104" i="19" a="1"/>
  <c r="AO104" i="19" s="1"/>
  <c r="T100" i="19"/>
  <c r="M271" i="19"/>
  <c r="AP271" i="19" s="1" a="1"/>
  <c r="AP271" i="19" s="1"/>
  <c r="AO271" i="19" a="1"/>
  <c r="AO271" i="19" s="1"/>
  <c r="T256" i="19"/>
  <c r="M305" i="19"/>
  <c r="AP305" i="19" s="1" a="1"/>
  <c r="AP305" i="19" s="1"/>
  <c r="AO305" i="19" a="1"/>
  <c r="AO305" i="19" s="1"/>
  <c r="M316" i="19"/>
  <c r="AP316" i="19" s="1" a="1"/>
  <c r="AP316" i="19" s="1"/>
  <c r="AO316" i="19" a="1"/>
  <c r="AO316" i="19" s="1"/>
  <c r="AE61" i="19"/>
  <c r="AF61" i="19" s="1"/>
  <c r="U80" i="19"/>
  <c r="V80" i="19" s="1"/>
  <c r="M282" i="19"/>
  <c r="AP282" i="19" s="1" a="1"/>
  <c r="AP282" i="19" s="1"/>
  <c r="AO282" i="19" a="1"/>
  <c r="AO282" i="19" s="1"/>
  <c r="T279" i="19"/>
  <c r="AE68" i="19" a="1"/>
  <c r="AE68" i="19" s="1"/>
  <c r="AF68" i="19" s="1"/>
  <c r="AP68" i="19" a="1"/>
  <c r="AP68" i="19" s="1"/>
  <c r="AQ68" i="19" s="1"/>
  <c r="AB228" i="19"/>
  <c r="AM228" i="19" a="1"/>
  <c r="AM228" i="19" s="1"/>
  <c r="M258" i="19"/>
  <c r="AP258" i="19" s="1" a="1"/>
  <c r="AP258" i="19" s="1"/>
  <c r="AO258" i="19" a="1"/>
  <c r="AO258" i="19" s="1"/>
  <c r="AE67" i="19"/>
  <c r="AF67" i="19" s="1"/>
  <c r="U61" i="19"/>
  <c r="V61" i="19" s="1"/>
  <c r="M289" i="19"/>
  <c r="AP289" i="19" s="1" a="1"/>
  <c r="AP289" i="19" s="1"/>
  <c r="AO289" i="19" a="1"/>
  <c r="AO289" i="19" s="1"/>
  <c r="M285" i="19"/>
  <c r="AP285" i="19" s="1" a="1"/>
  <c r="AP285" i="19" s="1"/>
  <c r="AO285" i="19" a="1"/>
  <c r="AO285" i="19" s="1"/>
  <c r="M250" i="19"/>
  <c r="AP250" i="19" s="1" a="1"/>
  <c r="AP250" i="19" s="1"/>
  <c r="AO250" i="19" a="1"/>
  <c r="AO250" i="19" s="1"/>
  <c r="AD311" i="19"/>
  <c r="AD313" i="19"/>
  <c r="AD104" i="19"/>
  <c r="M268" i="19"/>
  <c r="AP268" i="19" s="1" a="1"/>
  <c r="AP268" i="19" s="1"/>
  <c r="AO268" i="19" a="1"/>
  <c r="AO268" i="19" s="1"/>
  <c r="M307" i="19"/>
  <c r="AP307" i="19" s="1" a="1"/>
  <c r="AP307" i="19" s="1"/>
  <c r="AO307" i="19" a="1"/>
  <c r="AO307" i="19" s="1"/>
  <c r="M101" i="19"/>
  <c r="AP101" i="19" s="1" a="1"/>
  <c r="AP101" i="19" s="1"/>
  <c r="AO101" i="19" a="1"/>
  <c r="AO101" i="19" s="1"/>
  <c r="L233" i="19"/>
  <c r="AN233" i="19" a="1"/>
  <c r="AN233" i="19" s="1"/>
  <c r="L300" i="19"/>
  <c r="AN300" i="19" a="1"/>
  <c r="AN300" i="19" s="1"/>
  <c r="M306" i="19"/>
  <c r="AP306" i="19" s="1" a="1"/>
  <c r="AP306" i="19" s="1"/>
  <c r="AO306" i="19" a="1"/>
  <c r="AO306" i="19" s="1"/>
  <c r="M288" i="19"/>
  <c r="AP288" i="19" s="1" a="1"/>
  <c r="AP288" i="19" s="1"/>
  <c r="AO288" i="19" a="1"/>
  <c r="AO288" i="19" s="1"/>
  <c r="AE82" i="19" a="1"/>
  <c r="AE82" i="19" s="1"/>
  <c r="AF82" i="19" s="1"/>
  <c r="AP82" i="19" a="1"/>
  <c r="AP82" i="19" s="1"/>
  <c r="AQ82" i="19" s="1"/>
  <c r="AE73" i="19"/>
  <c r="AF73" i="19" s="1"/>
  <c r="M314" i="19"/>
  <c r="AP314" i="19" s="1" a="1"/>
  <c r="AP314" i="19" s="1"/>
  <c r="AO314" i="19" a="1"/>
  <c r="AO314" i="19" s="1"/>
  <c r="T314" i="19"/>
  <c r="AE83" i="19" a="1"/>
  <c r="AE83" i="19" s="1"/>
  <c r="AF83" i="19" s="1"/>
  <c r="AP83" i="19" a="1"/>
  <c r="AP83" i="19" s="1"/>
  <c r="AQ83" i="19" s="1"/>
  <c r="AE59" i="19"/>
  <c r="AF59" i="19" s="1"/>
  <c r="L238" i="19"/>
  <c r="AN238" i="19" a="1"/>
  <c r="AN238" i="19" s="1"/>
  <c r="M103" i="19"/>
  <c r="AP103" i="19" s="1" a="1"/>
  <c r="AP103" i="19" s="1"/>
  <c r="AO103" i="19" a="1"/>
  <c r="AO103" i="19" s="1"/>
  <c r="T303" i="19"/>
  <c r="L232" i="19"/>
  <c r="AN232" i="19" a="1"/>
  <c r="AN232" i="19" s="1"/>
  <c r="M265" i="19"/>
  <c r="AP265" i="19" s="1" a="1"/>
  <c r="AP265" i="19" s="1"/>
  <c r="AO265" i="19" a="1"/>
  <c r="AO265" i="19" s="1"/>
  <c r="AD315" i="19"/>
  <c r="M287" i="19"/>
  <c r="AP287" i="19" s="1" a="1"/>
  <c r="AP287" i="19" s="1"/>
  <c r="AO287" i="19" a="1"/>
  <c r="AO287" i="19" s="1"/>
  <c r="M267" i="19"/>
  <c r="AP267" i="19" s="1" a="1"/>
  <c r="AP267" i="19" s="1"/>
  <c r="AO267" i="19" a="1"/>
  <c r="AO267" i="19" s="1"/>
  <c r="M273" i="19"/>
  <c r="AP273" i="19" s="1" a="1"/>
  <c r="AP273" i="19" s="1"/>
  <c r="AO273" i="19" a="1"/>
  <c r="AO273" i="19" s="1"/>
  <c r="L301" i="19"/>
  <c r="AN301" i="19" a="1"/>
  <c r="AN301" i="19" s="1"/>
  <c r="AE77" i="19"/>
  <c r="AF77" i="19" s="1"/>
  <c r="M259" i="19"/>
  <c r="AP259" i="19" s="1" a="1"/>
  <c r="AP259" i="19" s="1"/>
  <c r="AO259" i="19" a="1"/>
  <c r="AO259" i="19" s="1"/>
  <c r="T285" i="19"/>
  <c r="L234" i="19"/>
  <c r="AN234" i="19" a="1"/>
  <c r="AN234" i="19" s="1"/>
  <c r="T312" i="19"/>
  <c r="T305" i="19"/>
  <c r="T311" i="19"/>
  <c r="AE78" i="19" a="1"/>
  <c r="AE78" i="19" s="1"/>
  <c r="AF78" i="19" s="1"/>
  <c r="AP78" i="19" a="1"/>
  <c r="AP78" i="19" s="1"/>
  <c r="AQ78" i="19" s="1"/>
  <c r="M102" i="19"/>
  <c r="AP102" i="19" s="1" a="1"/>
  <c r="AP102" i="19" s="1"/>
  <c r="AO102" i="19" a="1"/>
  <c r="AO102" i="19" s="1"/>
  <c r="U70" i="19"/>
  <c r="V70" i="19" s="1"/>
  <c r="M278" i="19"/>
  <c r="AP278" i="19" s="1" a="1"/>
  <c r="AP278" i="19" s="1"/>
  <c r="AO278" i="19" a="1"/>
  <c r="AO278" i="19" s="1"/>
  <c r="M266" i="19"/>
  <c r="AP266" i="19" s="1" a="1"/>
  <c r="AP266" i="19" s="1"/>
  <c r="AO266" i="19" a="1"/>
  <c r="AO266" i="19" s="1"/>
  <c r="M254" i="19"/>
  <c r="AP254" i="19" s="1" a="1"/>
  <c r="AP254" i="19" s="1"/>
  <c r="AO254" i="19" a="1"/>
  <c r="AO254" i="19" s="1"/>
  <c r="T313" i="19"/>
  <c r="AQ67" i="19"/>
  <c r="M315" i="19"/>
  <c r="AP315" i="19" s="1" a="1"/>
  <c r="AP315" i="19" s="1"/>
  <c r="AO315" i="19" a="1"/>
  <c r="AO315" i="19" s="1"/>
  <c r="M270" i="19"/>
  <c r="AP270" i="19" s="1" a="1"/>
  <c r="AP270" i="19" s="1"/>
  <c r="AO270" i="19" a="1"/>
  <c r="AO270" i="19" s="1"/>
  <c r="U60" i="19"/>
  <c r="V60" i="19" s="1"/>
  <c r="AD102" i="19"/>
  <c r="U66" i="19" a="1"/>
  <c r="U66" i="19" s="1"/>
  <c r="V66" i="19" s="1"/>
  <c r="AP66" i="19" a="1"/>
  <c r="AP66" i="19" s="1"/>
  <c r="AQ66" i="19" s="1"/>
  <c r="AE81" i="19" a="1"/>
  <c r="AE81" i="19" s="1"/>
  <c r="AF81" i="19" s="1"/>
  <c r="AP81" i="19" a="1"/>
  <c r="AP81" i="19" s="1"/>
  <c r="AQ81" i="19" s="1"/>
  <c r="AC225" i="19"/>
  <c r="AN225" i="19" a="1"/>
  <c r="AN225" i="19" s="1"/>
  <c r="AD304" i="19"/>
  <c r="AQ61" i="19"/>
  <c r="M284" i="19"/>
  <c r="AP284" i="19" s="1" a="1"/>
  <c r="AP284" i="19" s="1"/>
  <c r="AO284" i="19" a="1"/>
  <c r="AO284" i="19" s="1"/>
  <c r="M100" i="19"/>
  <c r="AP100" i="19" s="1" a="1"/>
  <c r="AP100" i="19" s="1"/>
  <c r="AO100" i="19" a="1"/>
  <c r="AO100" i="19" s="1"/>
  <c r="U73" i="19"/>
  <c r="V73" i="19" s="1"/>
  <c r="U59" i="19"/>
  <c r="V59" i="19" s="1"/>
  <c r="M251" i="19"/>
  <c r="AP251" i="19" s="1" a="1"/>
  <c r="AP251" i="19" s="1"/>
  <c r="AO251" i="19" a="1"/>
  <c r="AO251" i="19" s="1"/>
  <c r="T269" i="19"/>
  <c r="AE71" i="19"/>
  <c r="AF71" i="19" s="1"/>
  <c r="M309" i="19"/>
  <c r="AP309" i="19" s="1" a="1"/>
  <c r="AP309" i="19" s="1"/>
  <c r="AO309" i="19" a="1"/>
  <c r="AO309" i="19" s="1"/>
  <c r="AD312" i="19"/>
  <c r="T304" i="19"/>
  <c r="M310" i="19"/>
  <c r="AP310" i="19" s="1" a="1"/>
  <c r="AP310" i="19" s="1"/>
  <c r="AO310" i="19" a="1"/>
  <c r="AO310" i="19" s="1"/>
  <c r="M281" i="19"/>
  <c r="AP281" i="19" s="1" a="1"/>
  <c r="AP281" i="19" s="1"/>
  <c r="AO281" i="19" a="1"/>
  <c r="AO281" i="19" s="1"/>
  <c r="M272" i="19"/>
  <c r="AP272" i="19" s="1" a="1"/>
  <c r="AP272" i="19" s="1"/>
  <c r="AO272" i="19" a="1"/>
  <c r="AO272" i="19" s="1"/>
  <c r="T270" i="19"/>
  <c r="AE70" i="19"/>
  <c r="AF70" i="19" s="1"/>
  <c r="AE80" i="19"/>
  <c r="AF80" i="19" s="1"/>
  <c r="AE58" i="19"/>
  <c r="AF58" i="19" s="1"/>
  <c r="U58" i="19"/>
  <c r="V58" i="19" s="1"/>
  <c r="S225" i="19"/>
  <c r="AC226" i="19"/>
  <c r="AD226" i="19" s="1"/>
  <c r="K228" i="19" a="1"/>
  <c r="K228" i="19" s="1"/>
  <c r="M224" i="19"/>
  <c r="AP224" i="19" s="1" a="1"/>
  <c r="AP224" i="19" s="1"/>
  <c r="AQ224" i="19" s="1"/>
  <c r="L225" i="19"/>
  <c r="AO225" i="19" s="1" a="1"/>
  <c r="AO225" i="19" s="1"/>
  <c r="L226" i="19" a="1"/>
  <c r="L226" i="19" s="1"/>
  <c r="AO226" i="19" s="1" a="1"/>
  <c r="AO226" i="19" s="1"/>
  <c r="L227" i="19" a="1"/>
  <c r="L227" i="19" s="1"/>
  <c r="U82" i="19"/>
  <c r="V82" i="19" s="1"/>
  <c r="U81" i="19"/>
  <c r="V81" i="19" s="1"/>
  <c r="U83" i="19"/>
  <c r="V83" i="19" s="1"/>
  <c r="U78" i="19"/>
  <c r="V78" i="19" s="1"/>
  <c r="U69" i="19"/>
  <c r="V69" i="19" s="1"/>
  <c r="U79" i="19"/>
  <c r="V79" i="19" s="1"/>
  <c r="U68" i="19"/>
  <c r="V68" i="19" s="1"/>
  <c r="AE66" i="19"/>
  <c r="AF66" i="19" s="1"/>
  <c r="S232" i="19"/>
  <c r="V298" i="19"/>
  <c r="O30" i="25"/>
  <c r="N76" i="25"/>
  <c r="O80" i="25" s="1"/>
  <c r="O86" i="25" s="1"/>
  <c r="AP29" i="25"/>
  <c r="AP76" i="25" s="1"/>
  <c r="AO76" i="25"/>
  <c r="AP83" i="25" s="1"/>
  <c r="AP86" i="25" s="1"/>
  <c r="AQ86" i="25" s="1"/>
  <c r="AE76" i="25"/>
  <c r="AF82" i="25" s="1"/>
  <c r="AF9" i="25"/>
  <c r="W42" i="25"/>
  <c r="W76" i="25" s="1"/>
  <c r="X81" i="25" s="1"/>
  <c r="X86" i="25" s="1"/>
  <c r="I42" i="25"/>
  <c r="X42" i="25" s="1"/>
  <c r="X76" i="25" s="1"/>
  <c r="V76" i="25"/>
  <c r="W81" i="25" s="1"/>
  <c r="AQ32" i="23"/>
  <c r="Q65" i="23"/>
  <c r="AQ68" i="23"/>
  <c r="Q30" i="23"/>
  <c r="AH32" i="23"/>
  <c r="Q32" i="23"/>
  <c r="Q29" i="23"/>
  <c r="Q31" i="23"/>
  <c r="AN35" i="23"/>
  <c r="AE35" i="23"/>
  <c r="V35" i="23"/>
  <c r="H35" i="23"/>
  <c r="AN36" i="23"/>
  <c r="AO36" i="23" s="1"/>
  <c r="AP36" i="23" s="1"/>
  <c r="AE36" i="23"/>
  <c r="AF36" i="23" s="1"/>
  <c r="AG36" i="23" s="1"/>
  <c r="AN37" i="23"/>
  <c r="AO37" i="23" s="1"/>
  <c r="AP37" i="23" s="1"/>
  <c r="AE37" i="23"/>
  <c r="AF37" i="23" s="1"/>
  <c r="AG37" i="23" s="1"/>
  <c r="AN38" i="23"/>
  <c r="AO38" i="23" s="1"/>
  <c r="AP38" i="23" s="1"/>
  <c r="AE38" i="23"/>
  <c r="AF38" i="23" s="1"/>
  <c r="AG38" i="23" s="1"/>
  <c r="AN39" i="23"/>
  <c r="AO39" i="23" s="1"/>
  <c r="AP39" i="23" s="1"/>
  <c r="AE39" i="23"/>
  <c r="AF39" i="23" s="1"/>
  <c r="AG39" i="23" s="1"/>
  <c r="H64" i="23"/>
  <c r="V64" i="23"/>
  <c r="AN65" i="23"/>
  <c r="AO65" i="23" s="1"/>
  <c r="AP65" i="23" s="1"/>
  <c r="AE65" i="23"/>
  <c r="AF65" i="23" s="1"/>
  <c r="AG65" i="23" s="1"/>
  <c r="AN72" i="23"/>
  <c r="AO72" i="23" s="1"/>
  <c r="AP72" i="23" s="1"/>
  <c r="AE72" i="23"/>
  <c r="AF72" i="23" s="1"/>
  <c r="AG72" i="23" s="1"/>
  <c r="AN71" i="23"/>
  <c r="AO71" i="23" s="1"/>
  <c r="AP71" i="23" s="1"/>
  <c r="AE71" i="23"/>
  <c r="AF71" i="23" s="1"/>
  <c r="AG71" i="23" s="1"/>
  <c r="AE68" i="23"/>
  <c r="AF68" i="23" s="1"/>
  <c r="AG68" i="23" s="1"/>
  <c r="AE69" i="23"/>
  <c r="AF69" i="23" s="1"/>
  <c r="AG69" i="23" s="1"/>
  <c r="AE70" i="23"/>
  <c r="AF70" i="23" s="1"/>
  <c r="AG70" i="23" s="1"/>
  <c r="AM83" i="23"/>
  <c r="AM86" i="23" s="1"/>
  <c r="K41" i="24"/>
  <c r="AN60" i="23"/>
  <c r="AE60" i="23"/>
  <c r="AN50" i="23"/>
  <c r="AE50" i="23"/>
  <c r="AN56" i="23"/>
  <c r="AE56" i="23"/>
  <c r="N86" i="23"/>
  <c r="N76" i="23"/>
  <c r="O80" i="23" s="1"/>
  <c r="AN29" i="23"/>
  <c r="AO29" i="23" s="1"/>
  <c r="AP29" i="23" s="1"/>
  <c r="AE29" i="23"/>
  <c r="AF29" i="23" s="1"/>
  <c r="AG29" i="23" s="1"/>
  <c r="AN30" i="23"/>
  <c r="AO30" i="23" s="1"/>
  <c r="AP30" i="23" s="1"/>
  <c r="AE30" i="23"/>
  <c r="AF30" i="23" s="1"/>
  <c r="AG30" i="23" s="1"/>
  <c r="AN31" i="23"/>
  <c r="AO31" i="23" s="1"/>
  <c r="AP31" i="23" s="1"/>
  <c r="AE31" i="23"/>
  <c r="AF31" i="23" s="1"/>
  <c r="AG31" i="23" s="1"/>
  <c r="AN46" i="23"/>
  <c r="AO46" i="23" s="1"/>
  <c r="AP46" i="23" s="1"/>
  <c r="AE46" i="23"/>
  <c r="AF46" i="23" s="1"/>
  <c r="AG46" i="23" s="1"/>
  <c r="AM76" i="23"/>
  <c r="AN83" i="23" s="1"/>
  <c r="AN86" i="23" s="1"/>
  <c r="AD76" i="23"/>
  <c r="AE82" i="23" s="1"/>
  <c r="AE86" i="23" s="1"/>
  <c r="AD86" i="23"/>
  <c r="V9" i="23"/>
  <c r="H9" i="23"/>
  <c r="AF9" i="23" s="1"/>
  <c r="V10" i="23"/>
  <c r="H10" i="23"/>
  <c r="V11" i="23"/>
  <c r="H11" i="23"/>
  <c r="AF11" i="23" s="1"/>
  <c r="V12" i="23"/>
  <c r="H12" i="23"/>
  <c r="V18" i="23"/>
  <c r="H18" i="23"/>
  <c r="V19" i="23"/>
  <c r="H19" i="23"/>
  <c r="V50" i="23"/>
  <c r="H50" i="23"/>
  <c r="V51" i="23"/>
  <c r="H51" i="23"/>
  <c r="V52" i="23"/>
  <c r="H52" i="23"/>
  <c r="V53" i="23"/>
  <c r="H53" i="23"/>
  <c r="V54" i="23"/>
  <c r="H54" i="23"/>
  <c r="V55" i="23"/>
  <c r="H55" i="23"/>
  <c r="V56" i="23"/>
  <c r="H56" i="23"/>
  <c r="V57" i="23"/>
  <c r="H57" i="23"/>
  <c r="V61" i="23"/>
  <c r="H61" i="23"/>
  <c r="V60" i="23"/>
  <c r="H60" i="23"/>
  <c r="V23" i="23"/>
  <c r="H23" i="23"/>
  <c r="V47" i="23"/>
  <c r="H47" i="23"/>
  <c r="V24" i="23"/>
  <c r="H24" i="23"/>
  <c r="V25" i="23"/>
  <c r="H25" i="23"/>
  <c r="H42" i="23"/>
  <c r="W42" i="23" s="1"/>
  <c r="V43" i="23"/>
  <c r="H43" i="23"/>
  <c r="O28" i="33" l="1"/>
  <c r="S28" i="33"/>
  <c r="S34" i="33" s="1"/>
  <c r="S35" i="33" s="1"/>
  <c r="C10" i="26"/>
  <c r="H10" i="26" s="1"/>
  <c r="AF183" i="29"/>
  <c r="U283" i="19"/>
  <c r="V283" i="19" s="1"/>
  <c r="U257" i="19"/>
  <c r="V257" i="19" s="1"/>
  <c r="T234" i="19"/>
  <c r="AQ278" i="19"/>
  <c r="AQ267" i="19"/>
  <c r="U314" i="19"/>
  <c r="V314" i="19" s="1"/>
  <c r="AQ309" i="19"/>
  <c r="AQ310" i="19"/>
  <c r="AQ286" i="19"/>
  <c r="AQ217" i="19"/>
  <c r="AQ256" i="19"/>
  <c r="AQ304" i="19"/>
  <c r="U267" i="19"/>
  <c r="V267" i="19" s="1"/>
  <c r="T232" i="19"/>
  <c r="AQ266" i="19"/>
  <c r="AQ287" i="19"/>
  <c r="AQ265" i="19"/>
  <c r="AQ268" i="19"/>
  <c r="AQ100" i="19"/>
  <c r="U286" i="19"/>
  <c r="V286" i="19" s="1"/>
  <c r="AD238" i="19"/>
  <c r="AE303" i="19"/>
  <c r="AF303" i="19" s="1"/>
  <c r="AQ264" i="19"/>
  <c r="AQ102" i="19"/>
  <c r="T233" i="19"/>
  <c r="U279" i="19"/>
  <c r="V279" i="19" s="1"/>
  <c r="U101" i="19"/>
  <c r="V101" i="19" s="1"/>
  <c r="AQ290" i="19"/>
  <c r="U258" i="19"/>
  <c r="V258" i="19" s="1"/>
  <c r="AE101" i="19"/>
  <c r="AF101" i="19" s="1"/>
  <c r="AQ306" i="19"/>
  <c r="AQ277" i="19"/>
  <c r="AE304" i="19"/>
  <c r="AF304" i="19" s="1"/>
  <c r="AQ235" i="19"/>
  <c r="AQ257" i="19"/>
  <c r="AQ312" i="19"/>
  <c r="AE103" i="19"/>
  <c r="AF103" i="19" s="1"/>
  <c r="AQ303" i="19"/>
  <c r="AQ313" i="19"/>
  <c r="AQ269" i="19"/>
  <c r="AQ288" i="19"/>
  <c r="AQ282" i="19"/>
  <c r="AQ276" i="19"/>
  <c r="AQ285" i="19"/>
  <c r="AQ271" i="19"/>
  <c r="AQ281" i="19"/>
  <c r="AQ273" i="19"/>
  <c r="AQ289" i="19"/>
  <c r="AQ279" i="19"/>
  <c r="AQ316" i="19"/>
  <c r="U284" i="19"/>
  <c r="V284" i="19" s="1"/>
  <c r="AQ284" i="19"/>
  <c r="AQ315" i="19"/>
  <c r="AQ259" i="19"/>
  <c r="AQ103" i="19"/>
  <c r="AQ274" i="19"/>
  <c r="AQ311" i="19"/>
  <c r="U278" i="19"/>
  <c r="V278" i="19" s="1"/>
  <c r="U271" i="19"/>
  <c r="V271" i="19" s="1"/>
  <c r="AQ251" i="19"/>
  <c r="AQ314" i="19"/>
  <c r="AQ250" i="19"/>
  <c r="AQ258" i="19"/>
  <c r="U102" i="19"/>
  <c r="V102" i="19" s="1"/>
  <c r="AQ254" i="19"/>
  <c r="U311" i="19"/>
  <c r="V311" i="19" s="1"/>
  <c r="AQ307" i="19"/>
  <c r="U104" i="19"/>
  <c r="V104" i="19" s="1"/>
  <c r="AE305" i="19"/>
  <c r="AF305" i="19" s="1"/>
  <c r="AQ104" i="19"/>
  <c r="U306" i="19"/>
  <c r="V306" i="19" s="1"/>
  <c r="AE314" i="19"/>
  <c r="AF314" i="19" s="1"/>
  <c r="U103" i="19"/>
  <c r="V103" i="19" s="1"/>
  <c r="U288" i="19"/>
  <c r="V288" i="19" s="1"/>
  <c r="U282" i="19"/>
  <c r="V282" i="19" s="1"/>
  <c r="U276" i="19"/>
  <c r="V276" i="19" s="1"/>
  <c r="AE307" i="19"/>
  <c r="AF307" i="19" s="1"/>
  <c r="M301" i="19"/>
  <c r="AP301" i="19" s="1" a="1"/>
  <c r="AP301" i="19" s="1"/>
  <c r="AO301" i="19" a="1"/>
  <c r="AO301" i="19" s="1"/>
  <c r="U264" i="19"/>
  <c r="V264" i="19" s="1"/>
  <c r="AE306" i="19"/>
  <c r="AF306" i="19" s="1"/>
  <c r="M300" i="19"/>
  <c r="AP300" i="19" s="1" a="1"/>
  <c r="AP300" i="19" s="1"/>
  <c r="AO300" i="19" a="1"/>
  <c r="AO300" i="19" s="1"/>
  <c r="U256" i="19"/>
  <c r="V256" i="19" s="1"/>
  <c r="T300" i="19"/>
  <c r="AE217" i="19"/>
  <c r="AF217" i="19" s="1"/>
  <c r="U281" i="19"/>
  <c r="V281" i="19" s="1"/>
  <c r="U310" i="19"/>
  <c r="V310" i="19" s="1"/>
  <c r="AE100" i="19"/>
  <c r="AF100" i="19" s="1"/>
  <c r="U305" i="19"/>
  <c r="V305" i="19" s="1"/>
  <c r="U250" i="19"/>
  <c r="V250" i="19" s="1"/>
  <c r="U259" i="19"/>
  <c r="V259" i="19" s="1"/>
  <c r="AD301" i="19"/>
  <c r="M234" i="19"/>
  <c r="AP234" i="19" s="1" a="1"/>
  <c r="AP234" i="19" s="1"/>
  <c r="AO234" i="19" a="1"/>
  <c r="AO234" i="19" s="1"/>
  <c r="AE309" i="19"/>
  <c r="AF309" i="19" s="1"/>
  <c r="AE104" i="19"/>
  <c r="AF104" i="19" s="1"/>
  <c r="AD227" i="19"/>
  <c r="AO227" i="19" a="1"/>
  <c r="AO227" i="19" s="1"/>
  <c r="M238" i="19"/>
  <c r="AP238" i="19" s="1" a="1"/>
  <c r="AP238" i="19" s="1"/>
  <c r="AO238" i="19" a="1"/>
  <c r="AO238" i="19" s="1"/>
  <c r="U235" i="19"/>
  <c r="V235" i="19" s="1"/>
  <c r="AC228" i="19"/>
  <c r="AN228" i="19" a="1"/>
  <c r="AN228" i="19" s="1"/>
  <c r="U270" i="19"/>
  <c r="V270" i="19" s="1"/>
  <c r="U304" i="19"/>
  <c r="V304" i="19" s="1"/>
  <c r="U269" i="19"/>
  <c r="V269" i="19" s="1"/>
  <c r="AQ270" i="19"/>
  <c r="U268" i="19"/>
  <c r="V268" i="19" s="1"/>
  <c r="U285" i="19"/>
  <c r="V285" i="19" s="1"/>
  <c r="M232" i="19"/>
  <c r="AP232" i="19" s="1" a="1"/>
  <c r="AP232" i="19" s="1"/>
  <c r="AO232" i="19" a="1"/>
  <c r="AO232" i="19" s="1"/>
  <c r="U251" i="19"/>
  <c r="V251" i="19" s="1"/>
  <c r="M233" i="19"/>
  <c r="AP233" i="19" s="1" a="1"/>
  <c r="AP233" i="19" s="1"/>
  <c r="AO233" i="19" a="1"/>
  <c r="AO233" i="19" s="1"/>
  <c r="U307" i="19"/>
  <c r="V307" i="19" s="1"/>
  <c r="AD300" i="19"/>
  <c r="U309" i="19"/>
  <c r="V309" i="19" s="1"/>
  <c r="AE316" i="19"/>
  <c r="AF316" i="19" s="1"/>
  <c r="U316" i="19"/>
  <c r="V316" i="19" s="1"/>
  <c r="AE102" i="19"/>
  <c r="AF102" i="19" s="1"/>
  <c r="U312" i="19"/>
  <c r="V312" i="19" s="1"/>
  <c r="AQ272" i="19"/>
  <c r="AE312" i="19"/>
  <c r="AF312" i="19" s="1"/>
  <c r="U313" i="19"/>
  <c r="V313" i="19" s="1"/>
  <c r="U303" i="19"/>
  <c r="V303" i="19" s="1"/>
  <c r="U274" i="19"/>
  <c r="V274" i="19" s="1"/>
  <c r="AQ101" i="19"/>
  <c r="AE313" i="19"/>
  <c r="AF313" i="19" s="1"/>
  <c r="AQ305" i="19"/>
  <c r="AQ283" i="19"/>
  <c r="U272" i="19"/>
  <c r="V272" i="19" s="1"/>
  <c r="AE310" i="19"/>
  <c r="AF310" i="19" s="1"/>
  <c r="U217" i="19"/>
  <c r="V217" i="19" s="1"/>
  <c r="AE315" i="19"/>
  <c r="AF315" i="19" s="1"/>
  <c r="U315" i="19"/>
  <c r="V315" i="19" s="1"/>
  <c r="U254" i="19"/>
  <c r="V254" i="19" s="1"/>
  <c r="AE311" i="19"/>
  <c r="AF311" i="19" s="1"/>
  <c r="U100" i="19"/>
  <c r="V100" i="19" s="1"/>
  <c r="U277" i="19"/>
  <c r="V277" i="19" s="1"/>
  <c r="T225" i="19"/>
  <c r="L228" i="19" a="1"/>
  <c r="L228" i="19" s="1"/>
  <c r="M225" i="19"/>
  <c r="M226" i="19" a="1"/>
  <c r="M226" i="19" s="1"/>
  <c r="AD225" i="19"/>
  <c r="M227" i="19" a="1"/>
  <c r="M227" i="19" s="1"/>
  <c r="AQ29" i="25"/>
  <c r="AQ76" i="25" s="1"/>
  <c r="AQ123" i="25" s="1"/>
  <c r="P30" i="25"/>
  <c r="O76" i="25"/>
  <c r="P80" i="25" s="1"/>
  <c r="P86" i="25" s="1"/>
  <c r="Q86" i="25" s="1"/>
  <c r="Y42" i="25"/>
  <c r="Y76" i="25" s="1"/>
  <c r="AG9" i="25"/>
  <c r="AG76" i="25" s="1"/>
  <c r="AF76" i="25"/>
  <c r="AG82" i="25" s="1"/>
  <c r="AG86" i="25" s="1"/>
  <c r="AF86" i="25"/>
  <c r="W86" i="25"/>
  <c r="Y86" i="25" s="1"/>
  <c r="Y81" i="25"/>
  <c r="AQ83" i="25"/>
  <c r="AH70" i="23"/>
  <c r="AQ38" i="23"/>
  <c r="AH69" i="23"/>
  <c r="AH65" i="23"/>
  <c r="AQ39" i="23"/>
  <c r="AH68" i="23"/>
  <c r="AQ65" i="23"/>
  <c r="AH39" i="23"/>
  <c r="AH38" i="23"/>
  <c r="AH30" i="23"/>
  <c r="AH46" i="23"/>
  <c r="AH31" i="23"/>
  <c r="AH29" i="23"/>
  <c r="AQ71" i="23"/>
  <c r="AH36" i="23"/>
  <c r="AQ31" i="23"/>
  <c r="AQ29" i="23"/>
  <c r="AH72" i="23"/>
  <c r="AQ36" i="23"/>
  <c r="AQ72" i="23"/>
  <c r="AH37" i="23"/>
  <c r="AQ46" i="23"/>
  <c r="AQ30" i="23"/>
  <c r="AH71" i="23"/>
  <c r="AQ37" i="23"/>
  <c r="W35" i="23"/>
  <c r="I35" i="23"/>
  <c r="X35" i="23" s="1"/>
  <c r="AF35" i="23"/>
  <c r="AO35" i="23"/>
  <c r="I64" i="23"/>
  <c r="X64" i="23" s="1"/>
  <c r="W64" i="23"/>
  <c r="AF60" i="23"/>
  <c r="AO60" i="23"/>
  <c r="AF56" i="23"/>
  <c r="AO56" i="23"/>
  <c r="AF50" i="23"/>
  <c r="AO50" i="23"/>
  <c r="O86" i="23"/>
  <c r="P76" i="23"/>
  <c r="O76" i="23"/>
  <c r="P80" i="23" s="1"/>
  <c r="Q76" i="23"/>
  <c r="W43" i="23"/>
  <c r="I43" i="23"/>
  <c r="X43" i="23" s="1"/>
  <c r="I42" i="23"/>
  <c r="X42" i="23" s="1"/>
  <c r="Y42" i="23" s="1"/>
  <c r="W25" i="23"/>
  <c r="I25" i="23"/>
  <c r="X25" i="23" s="1"/>
  <c r="W24" i="23"/>
  <c r="I24" i="23"/>
  <c r="X24" i="23" s="1"/>
  <c r="W47" i="23"/>
  <c r="I47" i="23"/>
  <c r="X47" i="23" s="1"/>
  <c r="W23" i="23"/>
  <c r="I23" i="23"/>
  <c r="X23" i="23" s="1"/>
  <c r="W60" i="23"/>
  <c r="I60" i="23"/>
  <c r="X60" i="23" s="1"/>
  <c r="W61" i="23"/>
  <c r="I61" i="23"/>
  <c r="X61" i="23" s="1"/>
  <c r="W57" i="23"/>
  <c r="I57" i="23"/>
  <c r="X57" i="23" s="1"/>
  <c r="W56" i="23"/>
  <c r="I56" i="23"/>
  <c r="X56" i="23" s="1"/>
  <c r="W55" i="23"/>
  <c r="I55" i="23"/>
  <c r="X55" i="23" s="1"/>
  <c r="W54" i="23"/>
  <c r="I54" i="23"/>
  <c r="X54" i="23" s="1"/>
  <c r="W53" i="23"/>
  <c r="I53" i="23"/>
  <c r="X53" i="23" s="1"/>
  <c r="Y53" i="23" s="1"/>
  <c r="W52" i="23"/>
  <c r="I52" i="23"/>
  <c r="X52" i="23" s="1"/>
  <c r="W51" i="23"/>
  <c r="I51" i="23"/>
  <c r="X51" i="23" s="1"/>
  <c r="W50" i="23"/>
  <c r="I50" i="23"/>
  <c r="X50" i="23" s="1"/>
  <c r="W19" i="23"/>
  <c r="I19" i="23"/>
  <c r="X19" i="23" s="1"/>
  <c r="W18" i="23"/>
  <c r="I18" i="23"/>
  <c r="X18" i="23" s="1"/>
  <c r="W12" i="23"/>
  <c r="I12" i="23"/>
  <c r="X12" i="23" s="1"/>
  <c r="W11" i="23"/>
  <c r="I11" i="23"/>
  <c r="W10" i="23"/>
  <c r="I10" i="23"/>
  <c r="X10" i="23" s="1"/>
  <c r="W9" i="23"/>
  <c r="I9" i="23"/>
  <c r="AE76" i="23"/>
  <c r="AF82" i="23" s="1"/>
  <c r="AN76" i="23"/>
  <c r="AO83" i="23" s="1"/>
  <c r="C37" i="15"/>
  <c r="AT336" i="19"/>
  <c r="C36" i="15"/>
  <c r="C35" i="15"/>
  <c r="AP225" i="19" l="1" a="1"/>
  <c r="AP225" i="19" s="1"/>
  <c r="AQ225" i="19" s="1"/>
  <c r="AQ234" i="19"/>
  <c r="AQ301" i="19"/>
  <c r="AQ300" i="19"/>
  <c r="U233" i="19"/>
  <c r="V233" i="19" s="1"/>
  <c r="AQ233" i="19"/>
  <c r="AQ232" i="19"/>
  <c r="AE227" i="19"/>
  <c r="AF227" i="19" s="1"/>
  <c r="AP227" i="19" a="1"/>
  <c r="AP227" i="19" s="1"/>
  <c r="AQ227" i="19" s="1"/>
  <c r="AE226" i="19"/>
  <c r="AF226" i="19" s="1"/>
  <c r="AP226" i="19" a="1"/>
  <c r="AP226" i="19" s="1"/>
  <c r="AQ226" i="19" s="1"/>
  <c r="AE300" i="19"/>
  <c r="AF300" i="19" s="1"/>
  <c r="AE301" i="19"/>
  <c r="AF301" i="19" s="1"/>
  <c r="AD228" i="19"/>
  <c r="AO228" i="19" a="1"/>
  <c r="AO228" i="19" s="1"/>
  <c r="U234" i="19"/>
  <c r="V234" i="19" s="1"/>
  <c r="AE238" i="19"/>
  <c r="AQ239" i="19"/>
  <c r="AQ238" i="19"/>
  <c r="U232" i="19"/>
  <c r="V232" i="19" s="1"/>
  <c r="U300" i="19"/>
  <c r="V300" i="19" s="1"/>
  <c r="U225" i="19"/>
  <c r="V225" i="19" s="1"/>
  <c r="M228" i="19" a="1"/>
  <c r="M228" i="19" s="1"/>
  <c r="AE225" i="19"/>
  <c r="AF225" i="19" s="1"/>
  <c r="AH86" i="25"/>
  <c r="AH82" i="25"/>
  <c r="P76" i="25"/>
  <c r="Q30" i="25"/>
  <c r="Q76" i="25" s="1"/>
  <c r="AH9" i="25"/>
  <c r="AH76" i="25" s="1"/>
  <c r="Y123" i="25"/>
  <c r="Q80" i="25"/>
  <c r="Y24" i="23"/>
  <c r="Y52" i="23"/>
  <c r="Y56" i="23"/>
  <c r="Y10" i="23"/>
  <c r="Y64" i="23"/>
  <c r="Y55" i="23"/>
  <c r="Y60" i="23"/>
  <c r="Y25" i="23"/>
  <c r="Y54" i="23"/>
  <c r="Y47" i="23"/>
  <c r="Y23" i="23"/>
  <c r="Y50" i="23"/>
  <c r="Y43" i="23"/>
  <c r="Y51" i="23"/>
  <c r="Y61" i="23"/>
  <c r="Y57" i="23"/>
  <c r="Y35" i="23"/>
  <c r="Y18" i="23"/>
  <c r="Y19" i="23"/>
  <c r="Y12" i="23"/>
  <c r="AP35" i="23"/>
  <c r="AQ35" i="23" s="1"/>
  <c r="AG35" i="23"/>
  <c r="AH35" i="23" s="1"/>
  <c r="G14" i="15"/>
  <c r="X9" i="23"/>
  <c r="AG9" i="23"/>
  <c r="AH9" i="23" s="1"/>
  <c r="X11" i="23"/>
  <c r="Y11" i="23" s="1"/>
  <c r="AG11" i="23"/>
  <c r="AH11" i="23" s="1"/>
  <c r="AP60" i="23"/>
  <c r="AQ60" i="23" s="1"/>
  <c r="AG60" i="23"/>
  <c r="AH60" i="23" s="1"/>
  <c r="AP50" i="23"/>
  <c r="AQ50" i="23" s="1"/>
  <c r="AG50" i="23"/>
  <c r="AH50" i="23" s="1"/>
  <c r="AP56" i="23"/>
  <c r="AQ56" i="23" s="1"/>
  <c r="AG56" i="23"/>
  <c r="AH56" i="23" s="1"/>
  <c r="P86" i="23"/>
  <c r="Q86" i="23" s="1"/>
  <c r="Q80" i="23"/>
  <c r="AO76" i="23"/>
  <c r="AP83" i="23" s="1"/>
  <c r="AP86" i="23" s="1"/>
  <c r="AO86" i="23"/>
  <c r="AF76" i="23"/>
  <c r="AG82" i="23" s="1"/>
  <c r="AG86" i="23" s="1"/>
  <c r="AF86" i="23"/>
  <c r="X336" i="19"/>
  <c r="N337" i="19"/>
  <c r="AI336" i="19"/>
  <c r="Q301" i="19"/>
  <c r="I142" i="19"/>
  <c r="AL142" i="19" s="1" a="1"/>
  <c r="AL142" i="19" s="1"/>
  <c r="I302" i="19"/>
  <c r="I231" i="19"/>
  <c r="I255" i="19"/>
  <c r="AL255" i="19" s="1" a="1"/>
  <c r="AL255" i="19" s="1"/>
  <c r="I335" i="19"/>
  <c r="J335" i="19" s="1"/>
  <c r="K335" i="19" s="1"/>
  <c r="L335" i="19" s="1"/>
  <c r="M335" i="19" s="1"/>
  <c r="I252" i="19"/>
  <c r="I297" i="19"/>
  <c r="AL297" i="19" s="1" a="1"/>
  <c r="AL297" i="19" s="1"/>
  <c r="I253" i="19"/>
  <c r="J231" i="19" l="1"/>
  <c r="AL231" i="19" a="1"/>
  <c r="AL231" i="19" s="1"/>
  <c r="AA302" i="19"/>
  <c r="Z302" i="19" s="1"/>
  <c r="AL302" i="19" a="1"/>
  <c r="AL302" i="19" s="1"/>
  <c r="AK297" i="19"/>
  <c r="AK142" i="19"/>
  <c r="AE228" i="19"/>
  <c r="AF228" i="19" s="1"/>
  <c r="AP228" i="19" a="1"/>
  <c r="AP228" i="19" s="1"/>
  <c r="AQ228" i="19" s="1"/>
  <c r="J252" i="19"/>
  <c r="AL252" i="19" a="1"/>
  <c r="AL252" i="19" s="1"/>
  <c r="J253" i="19"/>
  <c r="AL253" i="19" a="1"/>
  <c r="AL253" i="19" s="1"/>
  <c r="AF239" i="19"/>
  <c r="AF238" i="19"/>
  <c r="AK255" i="19"/>
  <c r="R301" i="19"/>
  <c r="S301" i="19" s="1"/>
  <c r="T301" i="19" s="1"/>
  <c r="U301" i="19" s="1"/>
  <c r="P301" i="19"/>
  <c r="Q252" i="19"/>
  <c r="Q253" i="19"/>
  <c r="Q231" i="19"/>
  <c r="P231" i="19" s="1"/>
  <c r="AH123" i="25"/>
  <c r="AG76" i="23"/>
  <c r="AH76" i="23"/>
  <c r="H39" i="24" s="1"/>
  <c r="H41" i="24" s="1"/>
  <c r="AQ76" i="23"/>
  <c r="AP76" i="23"/>
  <c r="AH82" i="23"/>
  <c r="AH86" i="23"/>
  <c r="AQ83" i="23"/>
  <c r="AQ86" i="23"/>
  <c r="G12" i="15"/>
  <c r="K24" i="24"/>
  <c r="K12" i="24" s="1"/>
  <c r="Y9" i="23"/>
  <c r="F24" i="24"/>
  <c r="F12" i="24" s="1"/>
  <c r="G13" i="15"/>
  <c r="J302" i="19"/>
  <c r="J142" i="19"/>
  <c r="AA142" i="19"/>
  <c r="J297" i="19"/>
  <c r="AA297" i="19"/>
  <c r="Z297" i="19" s="1"/>
  <c r="AA295" i="19"/>
  <c r="J255" i="19"/>
  <c r="AA255" i="19"/>
  <c r="Q142" i="19"/>
  <c r="Q302" i="19"/>
  <c r="Q297" i="19"/>
  <c r="P297" i="19" s="1"/>
  <c r="Q255" i="19"/>
  <c r="P255" i="19" s="1"/>
  <c r="K253" i="19" l="1"/>
  <c r="AM253" i="19" a="1"/>
  <c r="AM253" i="19" s="1"/>
  <c r="K255" i="19"/>
  <c r="AM255" i="19" a="1"/>
  <c r="AM255" i="19" s="1"/>
  <c r="AK253" i="19"/>
  <c r="K252" i="19"/>
  <c r="AM252" i="19" a="1"/>
  <c r="AM252" i="19" s="1"/>
  <c r="K142" i="19"/>
  <c r="AM142" i="19" a="1"/>
  <c r="AM142" i="19" s="1"/>
  <c r="K297" i="19"/>
  <c r="AM297" i="19" a="1"/>
  <c r="AM297" i="19" s="1"/>
  <c r="AK302" i="19"/>
  <c r="AB302" i="19"/>
  <c r="AM302" i="19" a="1"/>
  <c r="AM302" i="19" s="1"/>
  <c r="AK231" i="19"/>
  <c r="AK252" i="19"/>
  <c r="AL336" i="19"/>
  <c r="AL350" i="19" s="1"/>
  <c r="AM351" i="19" s="1"/>
  <c r="AM353" i="19" s="1"/>
  <c r="K231" i="19"/>
  <c r="AM231" i="19" a="1"/>
  <c r="AM231" i="19" s="1"/>
  <c r="AA336" i="19"/>
  <c r="P302" i="19"/>
  <c r="Q336" i="19"/>
  <c r="R253" i="19"/>
  <c r="P253" i="19"/>
  <c r="R252" i="19"/>
  <c r="P252" i="19"/>
  <c r="R231" i="19"/>
  <c r="D24" i="15"/>
  <c r="D14" i="15" s="1"/>
  <c r="D22" i="15"/>
  <c r="D13" i="15" s="1"/>
  <c r="Q337" i="19"/>
  <c r="AH123" i="23"/>
  <c r="AQ123" i="23"/>
  <c r="T20" i="23"/>
  <c r="N50" i="24"/>
  <c r="N51" i="24" s="1"/>
  <c r="R297" i="19"/>
  <c r="K302" i="19"/>
  <c r="AV336" i="19"/>
  <c r="R142" i="19"/>
  <c r="R302" i="19"/>
  <c r="AB142" i="19"/>
  <c r="R255" i="19"/>
  <c r="AB297" i="19"/>
  <c r="AC297" i="19" s="1"/>
  <c r="AB295" i="19"/>
  <c r="AC295" i="19" s="1"/>
  <c r="AD295" i="19" s="1"/>
  <c r="AE295" i="19" s="1"/>
  <c r="AB255" i="19"/>
  <c r="AC255" i="19" s="1"/>
  <c r="AD255" i="19" s="1"/>
  <c r="AE255" i="19" s="1"/>
  <c r="D21" i="15"/>
  <c r="V301" i="19"/>
  <c r="AA345" i="19" l="1"/>
  <c r="AB346" i="19" s="1"/>
  <c r="Q340" i="19"/>
  <c r="R341" i="19" s="1"/>
  <c r="S255" i="19"/>
  <c r="S297" i="19"/>
  <c r="L252" i="19"/>
  <c r="AN252" i="19" a="1"/>
  <c r="AN252" i="19" s="1"/>
  <c r="L231" i="19"/>
  <c r="AN231" i="19" a="1"/>
  <c r="AN231" i="19" s="1"/>
  <c r="S252" i="19"/>
  <c r="L142" i="19"/>
  <c r="AN142" i="19" a="1"/>
  <c r="AN142" i="19" s="1"/>
  <c r="L253" i="19"/>
  <c r="AN253" i="19" a="1"/>
  <c r="AN253" i="19" s="1"/>
  <c r="L302" i="19"/>
  <c r="AN302" i="19" a="1"/>
  <c r="AN302" i="19" s="1"/>
  <c r="S253" i="19"/>
  <c r="L297" i="19"/>
  <c r="AD297" i="19" s="1"/>
  <c r="AN297" i="19" a="1"/>
  <c r="AN297" i="19" s="1"/>
  <c r="L255" i="19"/>
  <c r="AN255" i="19" a="1"/>
  <c r="AN255" i="19" s="1"/>
  <c r="AM336" i="19"/>
  <c r="AM350" i="19" s="1"/>
  <c r="AM352" i="19" s="1"/>
  <c r="AC142" i="19"/>
  <c r="AB336" i="19"/>
  <c r="AC302" i="19"/>
  <c r="S142" i="19"/>
  <c r="R336" i="19"/>
  <c r="S231" i="19"/>
  <c r="R337" i="19"/>
  <c r="U20" i="23"/>
  <c r="U76" i="23" s="1"/>
  <c r="V81" i="23" s="1"/>
  <c r="V86" i="23" s="1"/>
  <c r="T76" i="23"/>
  <c r="U81" i="23" s="1"/>
  <c r="D12" i="15"/>
  <c r="D24" i="24"/>
  <c r="D12" i="24" s="1"/>
  <c r="H24" i="24"/>
  <c r="H12" i="24" s="1"/>
  <c r="S302" i="19"/>
  <c r="AW336" i="19"/>
  <c r="AF295" i="19"/>
  <c r="AF255" i="19"/>
  <c r="T255" i="19" l="1"/>
  <c r="T302" i="19"/>
  <c r="R340" i="19"/>
  <c r="R342" i="19" s="1"/>
  <c r="AB345" i="19"/>
  <c r="AB347" i="19" s="1"/>
  <c r="R343" i="19"/>
  <c r="AB348" i="19"/>
  <c r="T252" i="19"/>
  <c r="M302" i="19"/>
  <c r="AP302" i="19" s="1" a="1"/>
  <c r="AP302" i="19" s="1"/>
  <c r="AO302" i="19" a="1"/>
  <c r="AO302" i="19" s="1"/>
  <c r="M231" i="19"/>
  <c r="AP231" i="19" s="1" a="1"/>
  <c r="AP231" i="19" s="1"/>
  <c r="AO231" i="19" a="1"/>
  <c r="AO231" i="19" s="1"/>
  <c r="AN336" i="19"/>
  <c r="AN350" i="19" s="1"/>
  <c r="M255" i="19"/>
  <c r="AP255" i="19" s="1" a="1"/>
  <c r="AP255" i="19" s="1"/>
  <c r="AO255" i="19" a="1"/>
  <c r="AO255" i="19" s="1"/>
  <c r="M253" i="19"/>
  <c r="AP253" i="19" s="1" a="1"/>
  <c r="AP253" i="19" s="1"/>
  <c r="AO253" i="19" a="1"/>
  <c r="AO253" i="19" s="1"/>
  <c r="AD302" i="19"/>
  <c r="M297" i="19"/>
  <c r="AP297" i="19" s="1" a="1"/>
  <c r="AP297" i="19" s="1"/>
  <c r="AO297" i="19" a="1"/>
  <c r="AO297" i="19" s="1"/>
  <c r="M142" i="19"/>
  <c r="AP142" i="19" s="1" a="1"/>
  <c r="AP142" i="19" s="1"/>
  <c r="AO142" i="19" a="1"/>
  <c r="AO142" i="19" s="1"/>
  <c r="M252" i="19"/>
  <c r="AP252" i="19" s="1" a="1"/>
  <c r="AP252" i="19" s="1"/>
  <c r="AO252" i="19" a="1"/>
  <c r="AO252" i="19" s="1"/>
  <c r="T253" i="19"/>
  <c r="T297" i="19"/>
  <c r="AD142" i="19"/>
  <c r="AC336" i="19"/>
  <c r="T142" i="19"/>
  <c r="S336" i="19"/>
  <c r="T231" i="19"/>
  <c r="S337" i="19"/>
  <c r="V20" i="23"/>
  <c r="U86" i="23"/>
  <c r="F14" i="15"/>
  <c r="F13" i="15"/>
  <c r="AC345" i="19" l="1"/>
  <c r="S340" i="19"/>
  <c r="AN351" i="19"/>
  <c r="AN352" i="19" s="1"/>
  <c r="AQ231" i="19"/>
  <c r="U253" i="19"/>
  <c r="V253" i="19" s="1"/>
  <c r="AQ297" i="19"/>
  <c r="AQ253" i="19"/>
  <c r="AE302" i="19"/>
  <c r="AF302" i="19" s="1"/>
  <c r="AQ302" i="19"/>
  <c r="AQ255" i="19"/>
  <c r="U255" i="19"/>
  <c r="V255" i="19" s="1"/>
  <c r="AO336" i="19"/>
  <c r="AO350" i="19" s="1"/>
  <c r="AQ142" i="19"/>
  <c r="BC142" i="19" s="1"/>
  <c r="AP336" i="19"/>
  <c r="AP350" i="19" s="1"/>
  <c r="U252" i="19"/>
  <c r="V252" i="19" s="1"/>
  <c r="U297" i="19"/>
  <c r="V297" i="19" s="1"/>
  <c r="T337" i="19"/>
  <c r="U302" i="19"/>
  <c r="V302" i="19" s="1"/>
  <c r="AQ252" i="19"/>
  <c r="AE297" i="19"/>
  <c r="AF297" i="19" s="1"/>
  <c r="AE142" i="19"/>
  <c r="AD336" i="19"/>
  <c r="U142" i="19"/>
  <c r="V142" i="19" s="1"/>
  <c r="T336" i="19"/>
  <c r="U231" i="19"/>
  <c r="W20" i="23"/>
  <c r="W76" i="23" s="1"/>
  <c r="X81" i="23" s="1"/>
  <c r="X86" i="23" s="1"/>
  <c r="X20" i="23"/>
  <c r="X76" i="23" s="1"/>
  <c r="V76" i="23"/>
  <c r="W81" i="23" s="1"/>
  <c r="AY336" i="19"/>
  <c r="AX336" i="19"/>
  <c r="BC141" i="19" l="1"/>
  <c r="BC143" i="19" s="1"/>
  <c r="AC346" i="19"/>
  <c r="T340" i="19"/>
  <c r="S341" i="19"/>
  <c r="AN353" i="19"/>
  <c r="AO351" i="19"/>
  <c r="AO353" i="19" s="1"/>
  <c r="AD345" i="19"/>
  <c r="AQ336" i="19"/>
  <c r="AE336" i="19"/>
  <c r="AF142" i="19"/>
  <c r="AF336" i="19" s="1"/>
  <c r="U336" i="19"/>
  <c r="V231" i="19"/>
  <c r="V336" i="19" s="1"/>
  <c r="U337" i="19"/>
  <c r="Y20" i="23"/>
  <c r="Y76" i="23" s="1"/>
  <c r="F39" i="24" s="1"/>
  <c r="F41" i="24" s="1"/>
  <c r="W86" i="23"/>
  <c r="Y86" i="23" s="1"/>
  <c r="Y81" i="23"/>
  <c r="AZ336" i="19"/>
  <c r="BC340" i="19" l="1"/>
  <c r="BC341" i="19" s="1"/>
  <c r="AE345" i="19"/>
  <c r="AO352" i="19"/>
  <c r="AP351" i="19" s="1"/>
  <c r="AP353" i="19" s="1"/>
  <c r="AC348" i="19"/>
  <c r="U340" i="19"/>
  <c r="AC347" i="19"/>
  <c r="AD346" i="19" s="1"/>
  <c r="S343" i="19"/>
  <c r="S342" i="19"/>
  <c r="T341" i="19" s="1"/>
  <c r="V337" i="19"/>
  <c r="D19" i="15" s="1"/>
  <c r="Y123" i="23"/>
  <c r="F22" i="24"/>
  <c r="F10" i="24" s="1"/>
  <c r="H22" i="24"/>
  <c r="H10" i="24" s="1"/>
  <c r="BA336" i="19"/>
  <c r="K22" i="24" s="1"/>
  <c r="AQ356" i="19" l="1"/>
  <c r="AQ380" i="19" s="1"/>
  <c r="T343" i="19"/>
  <c r="T342" i="19"/>
  <c r="U341" i="19" s="1"/>
  <c r="AD348" i="19"/>
  <c r="AD347" i="19"/>
  <c r="AE346" i="19" s="1"/>
  <c r="AP352" i="19"/>
  <c r="D22" i="24"/>
  <c r="D10" i="24" s="1"/>
  <c r="G11" i="15"/>
  <c r="K23" i="24"/>
  <c r="K11" i="24" s="1"/>
  <c r="K10" i="24"/>
  <c r="F25" i="15"/>
  <c r="H23" i="24"/>
  <c r="H11" i="24" s="1"/>
  <c r="BA380" i="19"/>
  <c r="E25" i="15"/>
  <c r="F10" i="15"/>
  <c r="C12" i="26" l="1"/>
  <c r="AQ384" i="19"/>
  <c r="AE348" i="19"/>
  <c r="AF348" i="19" s="1"/>
  <c r="AF356" i="19" s="1"/>
  <c r="AF380" i="19" s="1"/>
  <c r="C9" i="26" s="1"/>
  <c r="AE347" i="19"/>
  <c r="U342" i="19"/>
  <c r="U343" i="19"/>
  <c r="V343" i="19" s="1"/>
  <c r="F23" i="24"/>
  <c r="F11" i="24" s="1"/>
  <c r="D20" i="15"/>
  <c r="D11" i="15" s="1"/>
  <c r="D23" i="24"/>
  <c r="D11" i="24" s="1"/>
  <c r="K25" i="24"/>
  <c r="K13" i="24" s="1"/>
  <c r="K14" i="24" s="1"/>
  <c r="H25" i="24"/>
  <c r="H26" i="24" s="1"/>
  <c r="H31" i="24" s="1"/>
  <c r="D26" i="24"/>
  <c r="G25" i="15"/>
  <c r="G10" i="15"/>
  <c r="G15" i="15" s="1"/>
  <c r="H12" i="26" l="1"/>
  <c r="J12" i="26" s="1"/>
  <c r="L12" i="26" s="1"/>
  <c r="E12" i="26"/>
  <c r="K12" i="26" s="1"/>
  <c r="V356" i="19"/>
  <c r="V380" i="19" s="1"/>
  <c r="C6" i="26" s="1"/>
  <c r="H9" i="26"/>
  <c r="J9" i="26" s="1"/>
  <c r="AF384" i="19"/>
  <c r="F25" i="24"/>
  <c r="F13" i="24" s="1"/>
  <c r="D25" i="24"/>
  <c r="D13" i="24" s="1"/>
  <c r="D14" i="24" s="1"/>
  <c r="K15" i="24" s="1"/>
  <c r="K16" i="24" s="1"/>
  <c r="F26" i="24"/>
  <c r="F31" i="24" s="1"/>
  <c r="F14" i="24"/>
  <c r="H13" i="24"/>
  <c r="H14" i="24" s="1"/>
  <c r="K26" i="24"/>
  <c r="K31" i="24" s="1"/>
  <c r="J27" i="24"/>
  <c r="H27" i="24"/>
  <c r="D31" i="24"/>
  <c r="H32" i="24" s="1"/>
  <c r="H33" i="24" s="1"/>
  <c r="F12" i="15"/>
  <c r="E12" i="15"/>
  <c r="F12" i="26" l="1"/>
  <c r="L9" i="26"/>
  <c r="E6" i="26"/>
  <c r="H6" i="26"/>
  <c r="J6" i="26" s="1"/>
  <c r="L6" i="26" s="1"/>
  <c r="E9" i="26"/>
  <c r="J15" i="24"/>
  <c r="F15" i="24"/>
  <c r="F16" i="24" s="1"/>
  <c r="H15" i="24"/>
  <c r="H16" i="24" s="1"/>
  <c r="F27" i="24"/>
  <c r="K27" i="24"/>
  <c r="F32" i="24"/>
  <c r="F33" i="24" s="1"/>
  <c r="J32" i="24"/>
  <c r="J33" i="24" s="1"/>
  <c r="K32" i="24"/>
  <c r="K33" i="24" s="1"/>
  <c r="E11" i="15"/>
  <c r="F6" i="26" l="1"/>
  <c r="C11" i="32" s="1"/>
  <c r="D11" i="32" s="1"/>
  <c r="K6" i="26"/>
  <c r="F9" i="26"/>
  <c r="K9" i="26"/>
  <c r="C12" i="32" s="1"/>
  <c r="E13" i="15"/>
  <c r="E14" i="15"/>
  <c r="C13" i="32" l="1"/>
  <c r="C15" i="32" s="1"/>
  <c r="D12" i="32"/>
  <c r="D13" i="32" s="1"/>
  <c r="D10" i="15"/>
  <c r="D15" i="15" s="1"/>
  <c r="E10" i="15"/>
  <c r="E15" i="15" s="1"/>
  <c r="C14" i="32" l="1"/>
  <c r="D15" i="32"/>
  <c r="D14" i="32"/>
  <c r="F11" i="15"/>
  <c r="F15" i="15" s="1"/>
  <c r="D25" i="15"/>
  <c r="G28" i="15" l="1"/>
  <c r="G29" i="15" s="1"/>
  <c r="E28" i="15"/>
  <c r="E29" i="15" s="1"/>
  <c r="F28" i="15"/>
  <c r="F29"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JHuynh</author>
  </authors>
  <commentList>
    <comment ref="O9" authorId="0" shapeId="0" xr:uid="{6028C175-178C-4C98-9AC8-3310BDD656F7}">
      <text>
        <r>
          <rPr>
            <b/>
            <sz val="9"/>
            <color indexed="81"/>
            <rFont val="Tahoma"/>
            <family val="2"/>
          </rPr>
          <t>01/08/2024: Integration to Core and Other Host Systems - Supported extensions and workflows are dependent on available core and middleware functionality and can include:
&gt;&gt; Payments and funds transfer options,
&gt;&gt; User updates (including profile and address changes),
&gt;&gt; User Account Recovery,
&gt;&gt; User enrollment and statement preferences
Specific scope for each extension and workflow is outlined in the Solutions Blueprint document.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<sst xmlns="http://schemas.openxmlformats.org/spreadsheetml/2006/main" count="2677" uniqueCount="907">
  <si>
    <t>INTERNAL USE ONLY</t>
  </si>
  <si>
    <t>Arriba Advisors Data Entry Required in Blue Fields</t>
  </si>
  <si>
    <t>Additional Boxes for Custom Cell Linking:</t>
  </si>
  <si>
    <t>Client's Name</t>
  </si>
  <si>
    <t>First State Bank of Waynesboro</t>
  </si>
  <si>
    <t>Current Contract Effective Date</t>
  </si>
  <si>
    <t>Project Type (ex: Digital, CORE, etc.)</t>
  </si>
  <si>
    <t>CORE &amp; DIGITAL</t>
  </si>
  <si>
    <t>(Custom Entry)</t>
  </si>
  <si>
    <t>Current Contract End Date</t>
  </si>
  <si>
    <t>Early Term Savings (# of Months)</t>
  </si>
  <si>
    <t xml:space="preserve">What is our baseline? </t>
  </si>
  <si>
    <t>A)</t>
  </si>
  <si>
    <t>Baseline from Current Invoices</t>
  </si>
  <si>
    <t>Incumbent Vendor's Name</t>
  </si>
  <si>
    <t>Current (FIS Bankway)</t>
  </si>
  <si>
    <t>Prospective Vendor #1's Name</t>
  </si>
  <si>
    <t>FIS Horizon with D1 Flex</t>
  </si>
  <si>
    <t>Vendor #1 Proposal Date or Round</t>
  </si>
  <si>
    <t>Proposal Dated 12/13/2023</t>
  </si>
  <si>
    <t>Prospective Vendor #2's Name</t>
  </si>
  <si>
    <t>FIS Horizon WITHOUT D1 Flex</t>
  </si>
  <si>
    <t>Vendor #2 Proposal Date or Round</t>
  </si>
  <si>
    <t>Prospective Vendor #3's Name</t>
  </si>
  <si>
    <t>Vendor #3</t>
  </si>
  <si>
    <t>Vendor #3 Proposal Date or Round</t>
  </si>
  <si>
    <t>Month Year</t>
  </si>
  <si>
    <t>CORE: Monthly &amp; Annual Fees</t>
  </si>
  <si>
    <t>QTY YOY Growth %</t>
  </si>
  <si>
    <t>CPI Rates</t>
  </si>
  <si>
    <t>Current</t>
  </si>
  <si>
    <t>Vendor #1 Proposed</t>
  </si>
  <si>
    <t>Vendor #2 Proposed</t>
  </si>
  <si>
    <t>Vendor #3 Proposed</t>
  </si>
  <si>
    <t>Billing Category</t>
  </si>
  <si>
    <t>MONTHLY PROCESSING ITEMS</t>
  </si>
  <si>
    <t>Invoice #1 
(Sep/2023)</t>
  </si>
  <si>
    <t>Invoice #2 
(Aug/2023)</t>
  </si>
  <si>
    <t>Invoice #3 
(Jul/2023)</t>
  </si>
  <si>
    <t>Invoice #4 
(Jun/2023)</t>
  </si>
  <si>
    <t>Average Monthly QTY</t>
  </si>
  <si>
    <t>Year 1 Quantity</t>
  </si>
  <si>
    <t>Year 2 Quantity</t>
  </si>
  <si>
    <t>Year 3 Quantity</t>
  </si>
  <si>
    <t>Year 4 Quantity</t>
  </si>
  <si>
    <t>Year 5 Quantity</t>
  </si>
  <si>
    <t>Item Name</t>
  </si>
  <si>
    <t>Per Unit Rate</t>
  </si>
  <si>
    <t>Year 1 Cost</t>
  </si>
  <si>
    <t>Year 2 Cost</t>
  </si>
  <si>
    <t>Year 3 Cost</t>
  </si>
  <si>
    <t>Year 4 Cost</t>
  </si>
  <si>
    <t>Year 5 Cost</t>
  </si>
  <si>
    <t>Total Term Cost</t>
  </si>
  <si>
    <t>Line Item Note</t>
  </si>
  <si>
    <t>Product Name</t>
  </si>
  <si>
    <t>Year 1 Cost
(7/31/2025)</t>
  </si>
  <si>
    <t>Year 5 Cost 
(7/31/2030)</t>
  </si>
  <si>
    <t>Term Total Cost</t>
  </si>
  <si>
    <t>P/S Fee 
(if any)</t>
  </si>
  <si>
    <t>Year 1 by Month</t>
  </si>
  <si>
    <t>P/S Fee (if any)</t>
  </si>
  <si>
    <t>Core Banking Service:</t>
  </si>
  <si>
    <t>Bankway Core Banking System (Enterprise License)</t>
  </si>
  <si>
    <t>Cost Based on Asset Size increasing 5% Annually</t>
  </si>
  <si>
    <t>Bankway Core Banking System New Account Desk</t>
  </si>
  <si>
    <t>EFT Card Management</t>
  </si>
  <si>
    <t xml:space="preserve">Horizon Core Account Processing </t>
  </si>
  <si>
    <t>[Tiered] Base Monthly Processing 0 - 54,437 Accounts</t>
  </si>
  <si>
    <t>WAIVED</t>
  </si>
  <si>
    <t>FIS PROPOSAL MISSING PER UNIT RATE</t>
  </si>
  <si>
    <t>Waived</t>
  </si>
  <si>
    <t>[Tiered] Base Monthly Processing 54,438 - 100k Accounts</t>
  </si>
  <si>
    <t>[Tiered] Base Monthly Processing beyond 100k Accounts</t>
  </si>
  <si>
    <t>Monthly Minimum Item</t>
  </si>
  <si>
    <t>Core Module Per Account Fee Inclusions:</t>
  </si>
  <si>
    <t>Archived Accounts</t>
  </si>
  <si>
    <t>INCLUDED</t>
  </si>
  <si>
    <t>Credit Bureau Reporting (3 included)</t>
  </si>
  <si>
    <t>DDA/Savings History Retention</t>
  </si>
  <si>
    <t>Deposit Origination (DO)</t>
  </si>
  <si>
    <t>eSignature for Teller Capture</t>
  </si>
  <si>
    <t>General Ledger History Retention</t>
  </si>
  <si>
    <t>GL Posting Account/Branch/Center Processing</t>
  </si>
  <si>
    <t>HORIZON eAlert (email only)</t>
  </si>
  <si>
    <t>HORIZON Teller</t>
  </si>
  <si>
    <t>Multi-Tabbing</t>
  </si>
  <si>
    <t>Origination eSignature</t>
  </si>
  <si>
    <t>Relationship Management Accounts</t>
  </si>
  <si>
    <t>Teller Capture</t>
  </si>
  <si>
    <t>TellerReserve/Offline Processing</t>
  </si>
  <si>
    <t>XChange Messaging Middleware Base Fee</t>
  </si>
  <si>
    <t>Horizon Aggregated Products and Services</t>
  </si>
  <si>
    <t>ACH Activity</t>
  </si>
  <si>
    <t>Same Day ACH Settlement</t>
  </si>
  <si>
    <t>Same Day ACH Settlement Monthly Minimum</t>
  </si>
  <si>
    <t>Deposit Origination (DO) CSi Simplicity Hosting</t>
  </si>
  <si>
    <t>Deposit Origination (DO) SmartSign</t>
  </si>
  <si>
    <t>Horizon 360 BI Enterprise License</t>
  </si>
  <si>
    <t>Horizon 360 BI Web Administrator</t>
  </si>
  <si>
    <t>Third Party Interfaces:</t>
  </si>
  <si>
    <t>Equifax Cash Management</t>
  </si>
  <si>
    <t>Cornerstone for DR Host</t>
  </si>
  <si>
    <t>CASS Certification - WorksRight</t>
  </si>
  <si>
    <t>Internet Banking - Q2 eBanking</t>
  </si>
  <si>
    <t xml:space="preserve">ATM / EFT Services: </t>
  </si>
  <si>
    <t>PaymentsOne</t>
  </si>
  <si>
    <t>ATM/EFT Network Services (Debit Card Processing)</t>
  </si>
  <si>
    <t>Signature Based Authorizations</t>
  </si>
  <si>
    <t>PIN-Based Transaction Volumes</t>
  </si>
  <si>
    <t>Settlement/Clearing Based Transaction Volumes</t>
  </si>
  <si>
    <t>EMV/Chip Authorizations - Standard</t>
  </si>
  <si>
    <t>Card File Residency [QTY CALCULATIONS]</t>
  </si>
  <si>
    <t>Card File Residency [TIERED]</t>
  </si>
  <si>
    <t>[Tiered] Card File Residency 0 - 7,500</t>
  </si>
  <si>
    <t>[Tiered] Card File Residency Beyond 7,500</t>
  </si>
  <si>
    <t>Card Activation Processing</t>
  </si>
  <si>
    <t>ATM Monitoring User Interface</t>
  </si>
  <si>
    <t>NO CHARGE</t>
  </si>
  <si>
    <t>ATM Terminal Support</t>
  </si>
  <si>
    <t>Surcharged Transactions</t>
  </si>
  <si>
    <t>Stand-In Transactions</t>
  </si>
  <si>
    <t>PIN Select/Change at IVR</t>
  </si>
  <si>
    <t>Network Connection - CIRRUS</t>
  </si>
  <si>
    <t>Network Connection - NYCE</t>
  </si>
  <si>
    <t>Network Connection - PLUS</t>
  </si>
  <si>
    <t>Quarterly Reporting</t>
  </si>
  <si>
    <t>Billing Account Updater - Accounts on File (Need Estimated QTY)</t>
  </si>
  <si>
    <t>(Item is not in Invoices Currently)</t>
  </si>
  <si>
    <t>Billing Account Updater - Records on File (Need Estimated QTY)</t>
  </si>
  <si>
    <t>Lost/Stolen Card Reporting</t>
  </si>
  <si>
    <t>Lost/Stolen Services</t>
  </si>
  <si>
    <t>Electronic Journaling (EJ) Report</t>
  </si>
  <si>
    <t>Electronic Journaling (EJ) Support</t>
  </si>
  <si>
    <t>Debit Card Base-Consumer</t>
  </si>
  <si>
    <t>Affiliate Management Fee</t>
  </si>
  <si>
    <t>Automated General Ledger (GL) Entries</t>
  </si>
  <si>
    <t>CARD Access Services</t>
  </si>
  <si>
    <t>From 04/14/2023 Invoice#101101310</t>
  </si>
  <si>
    <t>File Delivery - File and Non Package File Handling (Need Estimated QTY)</t>
  </si>
  <si>
    <t>3D Secure</t>
  </si>
  <si>
    <t>3-D Secure Monthly Base Issuers Fee Hosted</t>
  </si>
  <si>
    <t>3-D Secure Authentication Transaction Fee</t>
  </si>
  <si>
    <t>3-D Secure One Time Passcode (OTP)</t>
  </si>
  <si>
    <t>Card Suite Lite Card Controls</t>
  </si>
  <si>
    <t>[Tiered] 0 - 50k</t>
  </si>
  <si>
    <t>[Tiered] 50,001 - 175k</t>
  </si>
  <si>
    <t>[Tiered] 175,001 - 500k</t>
  </si>
  <si>
    <t>[Tiered] Beyond 500k</t>
  </si>
  <si>
    <t>SecurLock (SL)</t>
  </si>
  <si>
    <t>[Tiered] SECURLOCK EQUIP - STANDARD 0 - 500</t>
  </si>
  <si>
    <t>(FIS DID NOT QUOTE)</t>
  </si>
  <si>
    <t>FIS DID NOT QUOTE</t>
  </si>
  <si>
    <t>[Tiered] SECURLOCK EQUIP - STANDARD Beyond 500</t>
  </si>
  <si>
    <t>Securlock (SL) Fraud Premium Accounts On File / Residency</t>
  </si>
  <si>
    <t>Securlock (SL) Fraud Case Investigation Sheets</t>
  </si>
  <si>
    <t>Securlock (SL) Fraud Transaction Scoring / Real-Time Scoring</t>
  </si>
  <si>
    <t>Securlock (SL) Block Self-Service Auth Fee</t>
  </si>
  <si>
    <t>Securlock (SL) Detect</t>
  </si>
  <si>
    <t>PAYMENTSONE</t>
  </si>
  <si>
    <t>BASE EFT CARD ISSUING PROC SUP</t>
  </si>
  <si>
    <t>PLUS MEMBERSHIP FEE</t>
  </si>
  <si>
    <t>CIRRUS MEMBERSHIP FEE</t>
  </si>
  <si>
    <t>MC-CN-ATM ACQUIRER SWITCH FEES</t>
  </si>
  <si>
    <t>MC-AB-ISSUER AUTHORIZATION</t>
  </si>
  <si>
    <t>MC-CM-ISSUER SWITCH FEES</t>
  </si>
  <si>
    <t>MC-MO-POS ISSUER SWITCH FEES</t>
  </si>
  <si>
    <t>MC CONNECTIVITY FEE</t>
  </si>
  <si>
    <t>MC-AM-ACCT MGMT SYSTEMS AMS</t>
  </si>
  <si>
    <t>MC-FE-FRANCHISE AND LICENSING</t>
  </si>
  <si>
    <t>534900 MC-FE-Franchise and Licensing</t>
  </si>
  <si>
    <t>MC-F1-ISS DECISION MGMT SVCS</t>
  </si>
  <si>
    <t>MC-F2-ACQ DECISION MGMT SVC</t>
  </si>
  <si>
    <t>MC-DC-NONCOMPLIANCE FEES MC-NC Fallback RT ATM 0200</t>
  </si>
  <si>
    <t>MC-C2-SINGLE MSG LIFECYCLE-ISS</t>
  </si>
  <si>
    <t>MC-DL-ISSUER CROSS BORDER</t>
  </si>
  <si>
    <t>MC-FM-FILE MAINTENANCE</t>
  </si>
  <si>
    <t>MC-GE-IPM ISSUER MC-OS-INVESTMENT FEES</t>
  </si>
  <si>
    <t>MC-GS-GLOBAL SERVICE</t>
  </si>
  <si>
    <t>MC-MW-MASTERCOM</t>
  </si>
  <si>
    <t>MC-RP-REPORTS</t>
  </si>
  <si>
    <t>MASTERCARD AFFILIATE RPT FEE</t>
  </si>
  <si>
    <t>534900 MASTERCARD AFFILIATE RPT FEE</t>
  </si>
  <si>
    <t xml:space="preserve">535095 MASTERCARD AFFILIATE RPT FEE </t>
  </si>
  <si>
    <t>MC-SN-ISSUER MONEY TRANSFER</t>
  </si>
  <si>
    <t>MC-TS-SINGLE MSG TRX MGR FEES</t>
  </si>
  <si>
    <t>MC-FA LICENSE</t>
  </si>
  <si>
    <t>BASE ATM TERMINAL DRIVING SUPP</t>
  </si>
  <si>
    <t>HOST INTERFACE-FIS-REALTIME</t>
  </si>
  <si>
    <t xml:space="preserve">DEBIT CARD BASE FEE - BUSINESS </t>
  </si>
  <si>
    <t>MC SAFE/VISA FRAUD REPORTING</t>
  </si>
  <si>
    <t>ACCESS CHARGES-ONLINE-PER USER</t>
  </si>
  <si>
    <t>Risk and Compliance Solutions:</t>
  </si>
  <si>
    <t>ChexSystems</t>
  </si>
  <si>
    <t>ID Verification (including OFAC) Transaction Volumes</t>
  </si>
  <si>
    <t>ID Verification (Qualified Rate) Monthly Minimum</t>
  </si>
  <si>
    <t>N/A</t>
  </si>
  <si>
    <t>OFAC Watch</t>
  </si>
  <si>
    <t>BizChex Inquiry Detail File Record Volumes</t>
  </si>
  <si>
    <t>BizChex Monthly Minimum</t>
  </si>
  <si>
    <t>Monthly Minimum</t>
  </si>
  <si>
    <t>QualiFile Advantage (Base Service) Transaction Volumes</t>
  </si>
  <si>
    <t>QualiFile Advantage (Base Service) Monthly Minimum</t>
  </si>
  <si>
    <t>Content Management:</t>
  </si>
  <si>
    <t>FIS Content Mgmt Services</t>
  </si>
  <si>
    <t>Document Management</t>
  </si>
  <si>
    <t>Document Management - Storage</t>
  </si>
  <si>
    <t>Reports Management</t>
  </si>
  <si>
    <t>Reports Management - Storage</t>
  </si>
  <si>
    <t>eStatements Management</t>
  </si>
  <si>
    <t>eStatements Management - Deposit eStatements Storage</t>
  </si>
  <si>
    <t>eStatements Management - API Access</t>
  </si>
  <si>
    <t>Subpoena Centre</t>
  </si>
  <si>
    <t>Horizon Content Mgmt Svcs</t>
  </si>
  <si>
    <t>[Tiered] Base Monthly Processing 0 - 23,700 Accounts</t>
  </si>
  <si>
    <t>[Tiered] Base Monthly Processing 23,701 - 35k Accounts</t>
  </si>
  <si>
    <t>[Tiered] Base Monthly Processing beyond 35k Accounts</t>
  </si>
  <si>
    <t>[PROPOSAL NOTES - Expand to View]</t>
  </si>
  <si>
    <t>Includes: (I.) Document Management and Imaging Module - Document Imaging, Print2Archive, Print2Archive training of application and Installer, Consultation on rollout, Workflow, Workflow Setup, Training GUI, Up to 8 hours guided build session, Unlimited forms support.
(II.) Document Management and Imaging Module (Continued) - (Enter #) Gigabytes Storage.
(III.) COLD+ Module - Cold+, Report Maintenance Subscription, Workflow, Report set ups for standard reports from FIS Core, Training on field definition set up extracts, application, (Enter #) Gigabytes Storage.
(IV.) eStatement Management Module - Deposit/Loan eStatements, Deposit/Loan eNotices, XAA Statements, eTax Forms, Retiremen eStatements/eNotices, (Enter #) pages of Storage.</t>
  </si>
  <si>
    <t>Document Imaging</t>
  </si>
  <si>
    <t>Document Imaging - Storage</t>
  </si>
  <si>
    <t>Document Imaging - Storage Overage</t>
  </si>
  <si>
    <t>Document Imaging - Print2Archive</t>
  </si>
  <si>
    <t>Document Imaging - Print2Archive Documents</t>
  </si>
  <si>
    <t>Reports Mgmt - COLD+ Subscription</t>
  </si>
  <si>
    <t>Reports Mgmt - COLD+ Storage</t>
  </si>
  <si>
    <t>Reports Mgmt - COLD+ Storage Overage</t>
  </si>
  <si>
    <t>Reports Mgmt - COLD+ Workflow</t>
  </si>
  <si>
    <t>Reports Mgmt - Maintenance Subscription</t>
  </si>
  <si>
    <t>eStatements Mgmt - Deposit eStatements Storage</t>
  </si>
  <si>
    <t>eStatements Mgmt - XAA Statements Storage</t>
  </si>
  <si>
    <t>eStatements Mgmt - Loan eStatements Storage</t>
  </si>
  <si>
    <t>eStatements Mgmt - Deposit eNOTICES Storage</t>
  </si>
  <si>
    <t>eStatements Mgmt - Loan eNOTICES Storage</t>
  </si>
  <si>
    <t>eStatements Mgmt - Retirement eStatements/eNotices Storage Overage</t>
  </si>
  <si>
    <t>eStatements Mgmt - eTax Forms Storage</t>
  </si>
  <si>
    <t>Item Processing:</t>
  </si>
  <si>
    <t>Capture Services</t>
  </si>
  <si>
    <t>CAR/LAR Recognition</t>
  </si>
  <si>
    <t>(See New Billing Structure Below)</t>
  </si>
  <si>
    <t>Over-the-Counter Image Processing</t>
  </si>
  <si>
    <t>Inclearing Image Processing</t>
  </si>
  <si>
    <t>CAR/LAR Reject Reentry</t>
  </si>
  <si>
    <t>Balancing Adjustment</t>
  </si>
  <si>
    <t>Back Office Services</t>
  </si>
  <si>
    <t>Outgoing Returns - Qualified Paper or Electronic</t>
  </si>
  <si>
    <t>Outgoing Returns - Unqualified Paper or Electronic</t>
  </si>
  <si>
    <t>Large Item Return Notification</t>
  </si>
  <si>
    <t>Incoming Adjustments</t>
  </si>
  <si>
    <t>Image Archive</t>
  </si>
  <si>
    <t>Online Image Archive (7 Years)</t>
  </si>
  <si>
    <t>Image Interface Access</t>
  </si>
  <si>
    <t>Image Exchange</t>
  </si>
  <si>
    <t>Outgoing Image Item Presentment - Non-Endpoint</t>
  </si>
  <si>
    <t>Incoming Image Item Presentment - Non-Endpoint</t>
  </si>
  <si>
    <t>Incoming Image Item Presentment - 3rd Party Remote Capture</t>
  </si>
  <si>
    <t xml:space="preserve">Incoming Image Item Presentment from 3rd Party Remote Capture (Merchant, Branch and/or Teller) </t>
  </si>
  <si>
    <t>Duplicate Item Assessment - Enterprise (Inclearings and Over-The-Counter - 30 Days)</t>
  </si>
  <si>
    <t>Disaster Recovery</t>
  </si>
  <si>
    <t>Remote Capture Disaster Recovery Assistance</t>
  </si>
  <si>
    <t>Horizon ImageCentre [NEW]</t>
  </si>
  <si>
    <t>Includes: (I.) Inclearing, POD (up to 2), Online Image Access, Image Statements - no customization
(II.) Setup CAR document definition (no on-site consulting), 10 standard image codes, Statement one DDA, one Savings, and HELOC Format 
(III.) Capture Services Module (Outsource) - OTC and Inclearing Image Processing, CAR/LAR Reject Reentry, Balancing Adjustment
(IV.) DirectLink Teller Capture: Teller Capture support for Core/Teller conversion teams, Item Capture including CAR/LAR fees, Scanner Interface, System Set Up for two branches online, installation, Testing, Training, Standard Branding
(V.) DirectLink Teller Capture (Continued): Software Staging, FIS Channelytics, Testing support with Item Processing, FIS DirectLink Software
(VI.) DirectLink Branch
(VII.) Back Office Services Module - Outgoing Returns, Large Item Return, Incoming Adjustments, Image Incoming Returns (Outsource)
(VIII.) Image Archive Module - Online Image Archive (7 Years), Image Interface Access (FIS) 
(IX.) Image Exchange Module - Outgoing and Incoming Image Item Presentment - Non Endpoint Exchange, Duplicate Item Assessment Enterprise (Inclearings and Over the Counter 30 Days)</t>
  </si>
  <si>
    <t>Branch Capture Xpress</t>
  </si>
  <si>
    <t>Branch Capture Express 1 - 15 Branches</t>
  </si>
  <si>
    <t>FIS Xpress Deposit - Consumer Remote Deposit Svcs</t>
  </si>
  <si>
    <t>[Static Tiered] Base Monthly Processing 0 - 2,500 Users</t>
  </si>
  <si>
    <t>Static Tier Formula In Use</t>
  </si>
  <si>
    <t>[Static Tiered] Base Monthly Processing 2,501 - 5k Users</t>
  </si>
  <si>
    <t>[Static Tiered] Base Monthly Processing beyond 5k Users</t>
  </si>
  <si>
    <t>Single Item Deposits (Smart Phone) (Graduated) [QTY CALCULATIONS YOY]</t>
  </si>
  <si>
    <t>Single Item Deposits (Smart Phone) [TIERED]</t>
  </si>
  <si>
    <t>[Tiered] 0 - 2,500</t>
  </si>
  <si>
    <t>[Tiered] 2,501 - 5k</t>
  </si>
  <si>
    <t>[Tiered] 5,001 - 10k</t>
  </si>
  <si>
    <t>[Tiered] Beyond 10k</t>
  </si>
  <si>
    <t>Merchant Services:</t>
  </si>
  <si>
    <t>Merchant Capture</t>
  </si>
  <si>
    <t>Custom Report Fee</t>
  </si>
  <si>
    <t>GETTING REPLACED BY DIRECTLINK MERCHANT</t>
  </si>
  <si>
    <t>Merchant Service Fee</t>
  </si>
  <si>
    <t>Image Key Entry</t>
  </si>
  <si>
    <t>Image Receive-Merchant Capture</t>
  </si>
  <si>
    <t>File Transfer Fee</t>
  </si>
  <si>
    <t>DirectLINK Merchant Capture</t>
  </si>
  <si>
    <t>Merchant Capture Monthly Unit Fee</t>
  </si>
  <si>
    <t>Merchant Capture Item Capture</t>
  </si>
  <si>
    <t>Merchant Capture Monthly Minimum</t>
  </si>
  <si>
    <t>Advanced Authentication - Base Fee</t>
  </si>
  <si>
    <t>Advanced Authentication - Per User Access Fee</t>
  </si>
  <si>
    <t>Advanced Authentication - Per Out of Band Call</t>
  </si>
  <si>
    <t>DirectLINK SSO Fee</t>
  </si>
  <si>
    <t>DirectLINK Teller Test Systems</t>
  </si>
  <si>
    <t>Network Services, NYCE, &amp; Other:</t>
  </si>
  <si>
    <t>Network Services - AI Manage</t>
  </si>
  <si>
    <t>AI Manage / Network Mgmt and Montoring</t>
  </si>
  <si>
    <t>Network Services - AI Transport</t>
  </si>
  <si>
    <t>AI Transport</t>
  </si>
  <si>
    <t>(See Itemized Below)</t>
  </si>
  <si>
    <t>AI Transport is NOT itemized in the proposal</t>
  </si>
  <si>
    <t>Network Services – MPLS or Ethernet</t>
  </si>
  <si>
    <t>AI Transport is Itemized in Invoices</t>
  </si>
  <si>
    <t>(Item is not itemized in proposal)</t>
  </si>
  <si>
    <t>POTs Services</t>
  </si>
  <si>
    <r>
      <t xml:space="preserve">Total Solution NM-Managed VPN </t>
    </r>
    <r>
      <rPr>
        <i/>
        <sz val="12"/>
        <rFont val="Calibri"/>
        <family val="2"/>
        <scheme val="minor"/>
      </rPr>
      <t>(708 Azalea Drive)</t>
    </r>
  </si>
  <si>
    <r>
      <t xml:space="preserve">Hardware Maintenance </t>
    </r>
    <r>
      <rPr>
        <i/>
        <sz val="12"/>
        <rFont val="Calibri"/>
        <family val="2"/>
        <scheme val="minor"/>
      </rPr>
      <t>(703 Spring ST)</t>
    </r>
  </si>
  <si>
    <r>
      <t xml:space="preserve">Hardware Usage </t>
    </r>
    <r>
      <rPr>
        <i/>
        <sz val="12"/>
        <rFont val="Calibri"/>
        <family val="2"/>
        <scheme val="minor"/>
      </rPr>
      <t>(703 Spring ST)</t>
    </r>
  </si>
  <si>
    <r>
      <t xml:space="preserve">Core Hardware &amp; Security Fee </t>
    </r>
    <r>
      <rPr>
        <i/>
        <sz val="12"/>
        <rFont val="Calibri"/>
        <family val="2"/>
        <scheme val="minor"/>
      </rPr>
      <t>(703 Spring ST)</t>
    </r>
  </si>
  <si>
    <r>
      <t xml:space="preserve">Core Network Access Fee </t>
    </r>
    <r>
      <rPr>
        <i/>
        <sz val="12"/>
        <rFont val="Calibri"/>
        <family val="2"/>
        <scheme val="minor"/>
      </rPr>
      <t>(703 Spring ST)</t>
    </r>
  </si>
  <si>
    <r>
      <t xml:space="preserve">Total Solution NM-Managed VPN </t>
    </r>
    <r>
      <rPr>
        <i/>
        <sz val="12"/>
        <rFont val="Calibri"/>
        <family val="2"/>
        <scheme val="minor"/>
      </rPr>
      <t>(703 Spring ST)</t>
    </r>
  </si>
  <si>
    <t>Rebate/Credit</t>
  </si>
  <si>
    <t>Monthly Relationship Credit</t>
  </si>
  <si>
    <t>NYCE:</t>
  </si>
  <si>
    <t>RISK MANAGEMENT SOLUTIONS</t>
  </si>
  <si>
    <t>Monthly Service Fee - Standard Package 85,001- 200,000</t>
  </si>
  <si>
    <t>Monthly Service Fee - Standard Package 1- 200,000</t>
  </si>
  <si>
    <t>NETWORK PARTICIPATION FEES</t>
  </si>
  <si>
    <t>Participant Monthly Fee</t>
  </si>
  <si>
    <t>ATM TRANSACTIONS</t>
  </si>
  <si>
    <t>Cardholder Transactions - Cardholder Net Transactions</t>
  </si>
  <si>
    <t>ATM Acquirer Transactions - Acquirer On-Premise Transactions</t>
  </si>
  <si>
    <t>Domestic Reciprocal Network -Cardholder Reciprocal Net Transactions</t>
  </si>
  <si>
    <t>Terminal Reciprocal Transactions - Terminal Reciprocal Net Transactions</t>
  </si>
  <si>
    <t>ATM Acquirer Security Fee - On-Premise ATM Acquirer Security Fee</t>
  </si>
  <si>
    <t>POS TRANSACTIONS</t>
  </si>
  <si>
    <t>POS Issuer Transactions - Cardholder transactions</t>
  </si>
  <si>
    <t>Cash-back Transaction Fee</t>
  </si>
  <si>
    <t>Infrastructure Assessment Fee - POS</t>
  </si>
  <si>
    <t>ON-DEMAND PAYMENT TRANSACTIONS</t>
  </si>
  <si>
    <t>NYCE Cardholder Side Switch Fee</t>
  </si>
  <si>
    <t>Pinless Debit Payment - Basis Points</t>
  </si>
  <si>
    <t>Pinless Debit Payment - Flat Rate</t>
  </si>
  <si>
    <t>Pinless Debit Payment (Denial or Reversal), Credit Payment</t>
  </si>
  <si>
    <t>Infrastructure Assessment Fee - On-Demand</t>
  </si>
  <si>
    <t>ECOMMERCE SOLUTIONS</t>
  </si>
  <si>
    <t>Cardholder eCommerce Switch Fee</t>
  </si>
  <si>
    <t>eCommerce Approved Purchase and Completions - Basis Points</t>
  </si>
  <si>
    <t>eCommerce Approved Purchase and Completions - Flat Rate</t>
  </si>
  <si>
    <t>eCommerce Other (Returns, Pre-Auth, Reversals, Denials)</t>
  </si>
  <si>
    <t>Infrastructure Assessment Fee - eCommerce</t>
  </si>
  <si>
    <t>OTHER CHARGES</t>
  </si>
  <si>
    <t>ATM Stand-In Authorization Fee</t>
  </si>
  <si>
    <t>POS Stand-In Authorization Fee</t>
  </si>
  <si>
    <t>GENERAL &amp; PROCESSING FEES</t>
  </si>
  <si>
    <t>Adjustments -Chargebacks - Issuer</t>
  </si>
  <si>
    <t>Representments to Chargebacks - Issuer</t>
  </si>
  <si>
    <t>Good Faith Adjustments - Issuer</t>
  </si>
  <si>
    <t>Late Adjustments &gt; 11-45 days - Issuer</t>
  </si>
  <si>
    <t>NYCE</t>
  </si>
  <si>
    <t>General &amp; Processing</t>
  </si>
  <si>
    <t>(Itemized in Invoices)</t>
  </si>
  <si>
    <t>NYCE Items are itemized in Invoices</t>
  </si>
  <si>
    <t>Item is NOT itemized in the proposal</t>
  </si>
  <si>
    <t>Switch</t>
  </si>
  <si>
    <t>CardPro Connect MC EMV:</t>
  </si>
  <si>
    <t>Card Production</t>
  </si>
  <si>
    <t>CardPro Connect - Monthly Program Fee</t>
  </si>
  <si>
    <t>Storage fee</t>
  </si>
  <si>
    <t>CardPro MC Consumer Debit EMV</t>
  </si>
  <si>
    <t>Card Prod - Secured</t>
  </si>
  <si>
    <t>Card Prod Setup - Secured</t>
  </si>
  <si>
    <t>Card Prod - CVC/CVV/Indent</t>
  </si>
  <si>
    <t>Card Prod - Carrier (S)</t>
  </si>
  <si>
    <t>Card Prod - Envelope (S)</t>
  </si>
  <si>
    <t>Contact Only Chip Personalization</t>
  </si>
  <si>
    <t>CFS Print On Demand Labels PerUnit</t>
  </si>
  <si>
    <t>Card - Pull &amp; Readdress</t>
  </si>
  <si>
    <t>CardPro MC Business Debit EMV</t>
  </si>
  <si>
    <t>CardPro Business Start Card</t>
  </si>
  <si>
    <t>Cards - Secured</t>
  </si>
  <si>
    <t>Tokenization (Recently Implemented)</t>
  </si>
  <si>
    <t>Tokenization (Debit)</t>
  </si>
  <si>
    <t>Token Provisioning Processing Fee</t>
  </si>
  <si>
    <t>FIS Step Up Authentication</t>
  </si>
  <si>
    <t>Customer Care - FIS Call Center Support - Base Monthly</t>
  </si>
  <si>
    <t>Customer Care - FIS Call Center Support - Per MINUTE</t>
  </si>
  <si>
    <t>Automated Customer Notification - Monthly</t>
  </si>
  <si>
    <t>Automated Customer Notification - Email Notices</t>
  </si>
  <si>
    <t>Automated Customer Notification - Post Card Notices</t>
  </si>
  <si>
    <t>Telephone Banking</t>
  </si>
  <si>
    <t>On-Call Server (Enterprise License) (Non-Hosted)</t>
  </si>
  <si>
    <t>Sum of Monthly Items</t>
  </si>
  <si>
    <t>Processing Fees Sum:</t>
  </si>
  <si>
    <t>CPI CALCULATIONS</t>
  </si>
  <si>
    <t>[CPI Calculation] Annual Revenue including Growth (if any)</t>
  </si>
  <si>
    <t>[Formula in Use]</t>
  </si>
  <si>
    <t>[CPI Calculation] Annual CPI Year by Year (No Growth)</t>
  </si>
  <si>
    <t>Begin Year 2</t>
  </si>
  <si>
    <t>[CPI Calculation] Annual Expenses &amp; CPI Year by Year</t>
  </si>
  <si>
    <t>Aggregate CPI</t>
  </si>
  <si>
    <t>[Use Cell J5]</t>
  </si>
  <si>
    <t>[Use Cell K5]</t>
  </si>
  <si>
    <t>[Use Cell L5]</t>
  </si>
  <si>
    <t>CPI Sum:</t>
  </si>
  <si>
    <t>Category</t>
  </si>
  <si>
    <t>ANNUAL AND QUARTERLY FEES</t>
  </si>
  <si>
    <t>Invoice Data</t>
  </si>
  <si>
    <t>Annual = 1
Qtly = 4</t>
  </si>
  <si>
    <t>CSI Simplicity Annual Items:</t>
  </si>
  <si>
    <t>Bankway Core Banking Services</t>
  </si>
  <si>
    <t>Forms Bankway CSi Simplicity Annual Fee Start 6/1/2023 Thru 5/31/2024</t>
  </si>
  <si>
    <t>Forms CSI TFA Compliance Services Start 6/1/2023 Thru 5/31/2024</t>
  </si>
  <si>
    <t>Forms CSI Simplicity Hosting Fee Start 6/1/2023 Thru 5/31/2024</t>
  </si>
  <si>
    <t>Forms CSI Annual IRA Stuff Subscription Fee</t>
  </si>
  <si>
    <t>[INTERNAL &amp; CLIENT ONLY]</t>
  </si>
  <si>
    <t>IN-HOUSE SOFTWARE FEES</t>
  </si>
  <si>
    <t>Invoice #</t>
  </si>
  <si>
    <t>Pmt Date</t>
  </si>
  <si>
    <t>QTY</t>
  </si>
  <si>
    <t>In-House Software Fees</t>
  </si>
  <si>
    <t>COBAL SUPPORT</t>
  </si>
  <si>
    <t>COBAL PLATINUM SUPPORT</t>
  </si>
  <si>
    <t>COBAL SUPPORT PLATINUM UPGRADE</t>
  </si>
  <si>
    <t>CORNERSTONE DR HOST</t>
  </si>
  <si>
    <t>CORNERSTONE MAINTENANCE</t>
  </si>
  <si>
    <t>IBM WEBSPHERE MQ PROCESSOR SUBSCRIPTION</t>
  </si>
  <si>
    <t>MTP SUPPORT FEES</t>
  </si>
  <si>
    <t>OMPLUS12 TECH SUPPORT</t>
  </si>
  <si>
    <t>T5 2 SERV CLERTY TPE MAINTENANCE</t>
  </si>
  <si>
    <t>Annual and Quarterly Fees Sum:</t>
  </si>
  <si>
    <t>Term Totals</t>
  </si>
  <si>
    <t>CORE: One Time Items</t>
  </si>
  <si>
    <t>One-Time Fees</t>
  </si>
  <si>
    <t>Baseline for One-Time Fees from Proposed Pre-Negotiation</t>
  </si>
  <si>
    <t>LoB</t>
  </si>
  <si>
    <t xml:space="preserve">IMPLEMENTATION, SETUP, DECONVERSION FEES </t>
  </si>
  <si>
    <t>Term Quantity</t>
  </si>
  <si>
    <t>Depreciation &amp; Amortization Term (months)</t>
  </si>
  <si>
    <t>% that can be Depreciated  Amortized</t>
  </si>
  <si>
    <t>RENEWAL FEES / CONVERSION FEES</t>
  </si>
  <si>
    <t>Horizon Core Service Bureau Processing</t>
  </si>
  <si>
    <t>Included</t>
  </si>
  <si>
    <t>Horizon Products and Services (Open/Closed) Graduated</t>
  </si>
  <si>
    <t>CSi Simplicity Hosting</t>
  </si>
  <si>
    <t>SmartSign</t>
  </si>
  <si>
    <t>3rd Party Interface: CASS Certification - WorksRight</t>
  </si>
  <si>
    <t>3rd Party Interface: Internet Banking - Q2 eBanking</t>
  </si>
  <si>
    <t>Item Processing Services (NEW Format)</t>
  </si>
  <si>
    <t>DirectLINK Merchant</t>
  </si>
  <si>
    <t>Network Services</t>
  </si>
  <si>
    <t>One time fee</t>
  </si>
  <si>
    <t>SOW One Time Investment Fees Itemized</t>
  </si>
  <si>
    <t>Mobile</t>
  </si>
  <si>
    <t>Itemized Breakdown of SOW Migration Fee</t>
  </si>
  <si>
    <t>OLB</t>
  </si>
  <si>
    <t>Bill Pay Consumer</t>
  </si>
  <si>
    <t>Content Management</t>
  </si>
  <si>
    <t>DL Merchant</t>
  </si>
  <si>
    <t>EFT</t>
  </si>
  <si>
    <t>Voice Response</t>
  </si>
  <si>
    <t>FXD</t>
  </si>
  <si>
    <t>IP</t>
  </si>
  <si>
    <t>Legacy Conversion</t>
  </si>
  <si>
    <t>TBD per Proposal</t>
  </si>
  <si>
    <t>Implementation and Setup Fees Sum:</t>
  </si>
  <si>
    <t>INCENTIVES, REBATES, TERM DISCOUNTS</t>
  </si>
  <si>
    <t>INCENTIVE</t>
  </si>
  <si>
    <t>ONE TIME CREDIT - TO OFFSET ONE TIME FEES OR ADDITIONAL COSTS</t>
  </si>
  <si>
    <t>ONE TIME CREDIT - REMAINING CAN BE APPLIED TO RECURRING COSTS</t>
  </si>
  <si>
    <t>MC BRAND FLIP - REMAINING CREDITS TO CONTINUE WITH RENEWAL</t>
  </si>
  <si>
    <t>EARLY RENEWAL - 17 MONTHS IF SIGNED MARCH 2024</t>
  </si>
  <si>
    <t>THIS ITEM IS CALCULATED IN ITS OWN WORKSHEET</t>
  </si>
  <si>
    <t>Incentives Sum:</t>
  </si>
  <si>
    <t>Monthly Estimations</t>
  </si>
  <si>
    <t>Optional Items - Desired/Must Haves</t>
  </si>
  <si>
    <t>Vendor</t>
  </si>
  <si>
    <t>Code</t>
  </si>
  <si>
    <t>Line Item Notes</t>
  </si>
  <si>
    <t>IHC ITEMS</t>
  </si>
  <si>
    <t>IHC - REWARDS UPGRADE</t>
  </si>
  <si>
    <t>APIs &amp; INTEGRATIONS</t>
  </si>
  <si>
    <t>TOKENS &amp; PROVISIONING</t>
  </si>
  <si>
    <t>INSIGHT CENTER WILL REPLACE TOTAL REVELATION PROGRAM</t>
  </si>
  <si>
    <t>EMV CONTACT TO EMV CONTACTLESS</t>
  </si>
  <si>
    <t>3D SECURE</t>
  </si>
  <si>
    <t>DIGITAL CARD ISSUANCE &amp; CARDNAV BRANDED TO CARDNAV COMPANION</t>
  </si>
  <si>
    <t>CONTACT CENTER / CALL CENTER</t>
  </si>
  <si>
    <t>OTHER</t>
  </si>
  <si>
    <t>Monthly Fees Sum:</t>
  </si>
  <si>
    <t>Item Note</t>
  </si>
  <si>
    <t>[Use Cell E5]</t>
  </si>
  <si>
    <t>[Use Cell F5]</t>
  </si>
  <si>
    <t>[Use Cell G5]</t>
  </si>
  <si>
    <t>[Use Cell H5]</t>
  </si>
  <si>
    <t>CPI for Optional Processing Sum:</t>
  </si>
  <si>
    <t>IMPLEMENTATION &amp; SETUP FEES 
(FOR OPTIONAL ITEMS)</t>
  </si>
  <si>
    <t>Implementation and Setup Fees for Optional Processing Sum:</t>
  </si>
  <si>
    <t>Optional Items - Unwanted</t>
  </si>
  <si>
    <t>DIGITAL: Monthly &amp; Annual Fees</t>
  </si>
  <si>
    <t>DIGITAL Q2</t>
  </si>
  <si>
    <t>Updated Proposal from February 2024</t>
  </si>
  <si>
    <t>P/S Fee
(if any)</t>
  </si>
  <si>
    <t>DIGITAL BANKING:</t>
  </si>
  <si>
    <t>Retail</t>
  </si>
  <si>
    <t>Retail Banking Module</t>
  </si>
  <si>
    <t>FIS to confirm these are replaced by D1 Flex</t>
  </si>
  <si>
    <t>D1 Retail (Devices)</t>
  </si>
  <si>
    <t>None</t>
  </si>
  <si>
    <t>Consumer Banking [QTY CALCULATIONS]</t>
  </si>
  <si>
    <t>Consumer Banking - Includes 12k Consumer Banking End Users</t>
  </si>
  <si>
    <t>Consumer Banking - Beyond 12k Consumer Banking End Users</t>
  </si>
  <si>
    <t>Data Migration from Legacy Retail Online Banking Provider - FIS Online Banking</t>
  </si>
  <si>
    <t>Third Party Services</t>
  </si>
  <si>
    <t>Q2 Contextual PFM (Aggregation Separate) (CPFM) [QTY CALCULATIONS]</t>
  </si>
  <si>
    <t>Q2 Contextual PFM Includes 2,400 CPFM Users</t>
  </si>
  <si>
    <t>Q2 Contextual Personal Financial Management™ (cPFM) directly integrates with digital banking, making it seamless for account holders to take charge of their finances.</t>
  </si>
  <si>
    <r>
      <t xml:space="preserve">Q2 Contextual PFM Includes </t>
    </r>
    <r>
      <rPr>
        <b/>
        <sz val="12"/>
        <color rgb="FFFF0000"/>
        <rFont val="Calibri"/>
        <family val="2"/>
        <scheme val="minor"/>
      </rPr>
      <t xml:space="preserve">1,000 </t>
    </r>
    <r>
      <rPr>
        <sz val="12"/>
        <rFont val="Calibri"/>
        <family val="2"/>
        <scheme val="minor"/>
      </rPr>
      <t>CPFM Users</t>
    </r>
  </si>
  <si>
    <t>Q2 Contextual PFM Beyond 2,400 CPFM Users</t>
  </si>
  <si>
    <t>Q2 Contextual PFM Beyond 1,000 CPFM Users</t>
  </si>
  <si>
    <t>Q2 Contextual PFM - Monthly Aggregation Users [QTY CALCULATIONS]</t>
  </si>
  <si>
    <t>Q2 Contextual PFM Aggregation Includes 1,200 CPFM</t>
  </si>
  <si>
    <t>Q2 Contextual PFM Aggregation Includes 500 CPFM</t>
  </si>
  <si>
    <t>Q2 Contextual PFM Aggregation Beyond 1,200 CPFM</t>
  </si>
  <si>
    <t>Q2 Contextual PFM Aggregation Beyond 500 CPFM</t>
  </si>
  <si>
    <t>Business</t>
  </si>
  <si>
    <t>D1 Small Business</t>
  </si>
  <si>
    <t>D1 Small Business - ACH</t>
  </si>
  <si>
    <t>Small Business and Professional Pacakge[QTY CALCULATIONS]</t>
  </si>
  <si>
    <t>Small Business and Professional Pacakge - Includes 200 Companies</t>
  </si>
  <si>
    <t>Small Business and Professional Pacakge - Beyond 200 Companies</t>
  </si>
  <si>
    <t>Data Migration from Legacy Business Online Banking Provider - FIS Online Banking</t>
  </si>
  <si>
    <t>Mobile Registered Devices [QTY CALCULATION YOY]</t>
  </si>
  <si>
    <t>Mobile Registered Devices [TIERED]</t>
  </si>
  <si>
    <t>Mobile Registered Devices Tier 1: Units 1 to 50,000</t>
  </si>
  <si>
    <t>GETTING REPLACED BY D1 FLEX</t>
  </si>
  <si>
    <t>Mobile Registered Devices Tier 2: Units 50,001 to 100,000</t>
  </si>
  <si>
    <t>Mobile Registered Devices Tier 3: Units 100,001 to 250,000</t>
  </si>
  <si>
    <t>Mobile Registered Devices Tier 4: Units 250,001 to 750,000</t>
  </si>
  <si>
    <t>Mobile Registered Devices Tier 5: Units 750,001 to 1,000,000</t>
  </si>
  <si>
    <t>Mobile Registered Devices Tier 6: Units Over 1,000,000</t>
  </si>
  <si>
    <t>MOBILE BANKING</t>
  </si>
  <si>
    <t>15% Discount</t>
  </si>
  <si>
    <t>Q2 Digital Banking</t>
  </si>
  <si>
    <t>Premium Digital Banking Platform</t>
  </si>
  <si>
    <t>Unified User Experience (UUX) Across Multiple Devices</t>
  </si>
  <si>
    <t>Mobile App Support for Apple (iOS), Android, and Apple Watch</t>
  </si>
  <si>
    <t>Flexible Data Spaces with User Experience</t>
  </si>
  <si>
    <t>Support for Multuple Authentication Methods included Face ID &amp; Touch ID</t>
  </si>
  <si>
    <t>Group Management and Feature-on-Demand Access</t>
  </si>
  <si>
    <t>Advanced Credential Stuffing Service</t>
  </si>
  <si>
    <t>Blockchain Data Tokenization / Protection</t>
  </si>
  <si>
    <t>Active Disaster Recovery</t>
  </si>
  <si>
    <t>Every Valuable Event (EVE) Extract</t>
  </si>
  <si>
    <t>Standard Security Extract</t>
  </si>
  <si>
    <t>OFAF Login Restriction Service</t>
  </si>
  <si>
    <t>Q2 Console and Co-Pilot Back Office Experience</t>
  </si>
  <si>
    <t>Staging and Permanent Test Environments</t>
  </si>
  <si>
    <t>ClickSWITCH [QTY CALCULATIONS]</t>
  </si>
  <si>
    <t>ClickSWITCH - includes 25 Switches per Month</t>
  </si>
  <si>
    <t>ClickSWITCH beyond 25 Switches per Month</t>
  </si>
  <si>
    <t>AUTHENTICATION ITEMS:</t>
  </si>
  <si>
    <t>Advanced Login Authentication Logins</t>
  </si>
  <si>
    <t>Out of Band Authentication</t>
  </si>
  <si>
    <t>DIGITAL ONE</t>
  </si>
  <si>
    <t>D1 Out of Band Authentication</t>
  </si>
  <si>
    <t>Bill Pay / iPay:</t>
  </si>
  <si>
    <t>BILL CONSOLIDATION AND PAYMENT SVCS</t>
  </si>
  <si>
    <t>Users</t>
  </si>
  <si>
    <t>NSFs</t>
  </si>
  <si>
    <t>Fraud Management</t>
  </si>
  <si>
    <t>Claims</t>
  </si>
  <si>
    <t>D1 Bill Pay Electronic Payment</t>
  </si>
  <si>
    <t>[INTERNAL &amp; CLIENT ONLY] BILL PAY SOLUTION</t>
  </si>
  <si>
    <t>D1 Bill Pay Check Payments</t>
  </si>
  <si>
    <t>Q2 Interfaces</t>
  </si>
  <si>
    <t>Interface to Consumer Bill Pay - FIS</t>
  </si>
  <si>
    <t>BILL PAY INTERFACE</t>
  </si>
  <si>
    <t>Interface to Business Bill Pay - FIS</t>
  </si>
  <si>
    <t>Cash Management Service:</t>
  </si>
  <si>
    <t>Cash Management</t>
  </si>
  <si>
    <t>Cash Management ACH (Per Company)</t>
  </si>
  <si>
    <t>Cash Management Alerts</t>
  </si>
  <si>
    <t>Cash Management Advanced Auth - Support Fee</t>
  </si>
  <si>
    <t>Cash Management Advanced Auth Per User Fee</t>
  </si>
  <si>
    <t>Cash Management Out-Of-Band Auth Request</t>
  </si>
  <si>
    <t>Monthly Cash Management (CM) Module</t>
  </si>
  <si>
    <t>FIS Cash Management is included in "Small Business"</t>
  </si>
  <si>
    <t>CentrixDTS: Regulation E Dispute Tracking System</t>
  </si>
  <si>
    <t>POSITIVE PAY</t>
  </si>
  <si>
    <t>DIGITAL ANALYTICS AND MARKETING:</t>
  </si>
  <si>
    <t>Metrics Intelligence Analytics</t>
  </si>
  <si>
    <t>mPromote</t>
  </si>
  <si>
    <t>Mobile - Metrics Intelligence Analytics</t>
  </si>
  <si>
    <t>Mobile - Digital Marketing Platform</t>
  </si>
  <si>
    <t>Q2 CardSwap</t>
  </si>
  <si>
    <t>CardSwap tracks the number of swaps that account holders make and which vendors' payment methods they've updated, allowing you to monitor revenue streams.</t>
  </si>
  <si>
    <t>Q2 CardSwap per Swap Fee</t>
  </si>
  <si>
    <t>Debit and Credit Card control</t>
  </si>
  <si>
    <t>Debit and Credit Card controls</t>
  </si>
  <si>
    <t>INTUIT / QUICKEN / QUICKBOOKS:</t>
  </si>
  <si>
    <t>ONLINE BANKING</t>
  </si>
  <si>
    <t>Webconnect Quicken</t>
  </si>
  <si>
    <t>D1 WebConnect Quicken</t>
  </si>
  <si>
    <t>Intuit QuickBooks and Quicken Web Connect and Direct Conenct</t>
  </si>
  <si>
    <t>Intuit OFX Service Conversion</t>
  </si>
  <si>
    <t>SECURITY &amp; ENCRYPTION:</t>
  </si>
  <si>
    <t>VeriSign</t>
  </si>
  <si>
    <t>VeriSign Standard SSL Encryption Certificate per Site (OLB)</t>
  </si>
  <si>
    <t>Verafin - Standard Security Extract</t>
  </si>
  <si>
    <t>SMS:</t>
  </si>
  <si>
    <t>SMS /Alerts</t>
  </si>
  <si>
    <t>Mobile SMS Messages [QTY CALCULATION YOY]</t>
  </si>
  <si>
    <t>Mobile SMS Messages [TIERED]</t>
  </si>
  <si>
    <t>Mobile SMS Messages Tier 1: Units 1 to 500,000</t>
  </si>
  <si>
    <t>Mobile SMS Messages Tier 2: Units 500,001 to 1,000,000</t>
  </si>
  <si>
    <t>Mobile SMS Messages Tier 3: Units 1,000,001 to 3,000,000</t>
  </si>
  <si>
    <t>Mobile SMS Messages Tier 4:Units 3,000,001 to 5,000,000</t>
  </si>
  <si>
    <t>Mobile SMS Messages Tier 5: Units Over 5,000,000</t>
  </si>
  <si>
    <t>D1 SMS Messages</t>
  </si>
  <si>
    <t>Telephone Banking Services:</t>
  </si>
  <si>
    <t>On-Call</t>
  </si>
  <si>
    <t>Oncall Monthly Maintanance</t>
  </si>
  <si>
    <t>2 Port Analog System (New On-Call Purchase)</t>
  </si>
  <si>
    <t>DIGITAL ITEMS - OTHER:</t>
  </si>
  <si>
    <t>Q2 Marketplace</t>
  </si>
  <si>
    <t>Marketplace allows third-parties to use Q2's software-development kit (SDK) to creaste innovative services and offer them direcrly to your account holder.</t>
  </si>
  <si>
    <t>RDC - Adapter</t>
  </si>
  <si>
    <t>Q2mobile RDC Adapter - Ensenta</t>
  </si>
  <si>
    <t>RFC - Interface</t>
  </si>
  <si>
    <t>Interface to RFC - FIS</t>
  </si>
  <si>
    <t>BillPay / iPay Annual Items:</t>
  </si>
  <si>
    <t>BillPay/iPay Bank Charges</t>
  </si>
  <si>
    <t>Maintenance 12/22 thru 11/23</t>
  </si>
  <si>
    <t>Bill Consolidation and Payment Svcs</t>
  </si>
  <si>
    <t>Verisign SSL Encryption Annual Items:</t>
  </si>
  <si>
    <t>Online Banking</t>
  </si>
  <si>
    <t>1 Verisign Standard SSL Encryption Certificate (Per Site)</t>
  </si>
  <si>
    <t>DISCOUNTS</t>
  </si>
  <si>
    <t>Monthly Discount</t>
  </si>
  <si>
    <t>Digital Banking Platform Monthly Fees Discount</t>
  </si>
  <si>
    <t>Adapters and Interfaces Monthly Fees Discount</t>
  </si>
  <si>
    <t>Retail Solutions Monthly Fees Discount</t>
  </si>
  <si>
    <t>Business Solutions Monthly Fees Discount</t>
  </si>
  <si>
    <t>Security Solutions Monthly Fees Discount</t>
  </si>
  <si>
    <t>Year 1 Monthly Discount</t>
  </si>
  <si>
    <t>Base Monthly Subscription Fee Discounts - Year 1</t>
  </si>
  <si>
    <t>Year 2 Monthly Discount</t>
  </si>
  <si>
    <t>Base Monthly Subscription Fee Discounts - Year 2</t>
  </si>
  <si>
    <t>DIGITAL: One Time Items</t>
  </si>
  <si>
    <t>Proposal from February 2024</t>
  </si>
  <si>
    <t>INTEGRATIONS AND EXTENSTIONS</t>
  </si>
  <si>
    <t>Real Time Hybrid Interface to Core</t>
  </si>
  <si>
    <t>TBD</t>
  </si>
  <si>
    <t>Interface to Check Image</t>
  </si>
  <si>
    <t>Item will be zero cost UNLESS client chooses a 3rd party OUTSIDE of the core provider standards.</t>
  </si>
  <si>
    <t>Interface to Statement Image</t>
  </si>
  <si>
    <t>Interface to Check Reorder - Mainstreet SSO</t>
  </si>
  <si>
    <t>Interface to Deposit Detail Image</t>
  </si>
  <si>
    <t>Q2 mobile RDC Adapter - Ensenta</t>
  </si>
  <si>
    <t>Interface to RDC - FIS</t>
  </si>
  <si>
    <t>One Time Fees</t>
  </si>
  <si>
    <t>Q2 Digital Banking Platform</t>
  </si>
  <si>
    <t>Premium Digital Banking Platform One Time Fee</t>
  </si>
  <si>
    <t>Verafin - Standard Security Extract One Time Fee</t>
  </si>
  <si>
    <t>Q2 CardSwap One Time Fee</t>
  </si>
  <si>
    <t>Professional Services</t>
  </si>
  <si>
    <t>Q2 Small Business Advisory Services</t>
  </si>
  <si>
    <t>Q2 Retail</t>
  </si>
  <si>
    <t>Consumer Banking One Time Fee</t>
  </si>
  <si>
    <t>Q2 Business</t>
  </si>
  <si>
    <t>Business Banking One Time Fee</t>
  </si>
  <si>
    <t>Q2 Secuirty Solutions</t>
  </si>
  <si>
    <t>Q2 Third Party Svcs</t>
  </si>
  <si>
    <t>Q2 Contextual PFM</t>
  </si>
  <si>
    <t>Intuit Quickbooks , Quicken Web Connect, Direct Connect</t>
  </si>
  <si>
    <t>Debit and Credit card controls</t>
  </si>
  <si>
    <t>DECONVERSION FEES</t>
  </si>
  <si>
    <t>Deconversion - Digital on 07/31/2025</t>
  </si>
  <si>
    <t>DECONVERSION</t>
  </si>
  <si>
    <t>Bill Pay - Payment Manager Consumer</t>
  </si>
  <si>
    <t>Termination of contracted Services, participation in turnover calls and miscellaneous administrative data.</t>
  </si>
  <si>
    <t>Bill Pay - Deconversion Cost for 500 - 999 End Users</t>
  </si>
  <si>
    <t>Includes 1 file template and 1 set of final files upon deconversion.</t>
  </si>
  <si>
    <t>Mobile Banking</t>
  </si>
  <si>
    <t>Fees required to deconvert the client from the Mobile Banking Platform.</t>
  </si>
  <si>
    <t>eBanking - Online Banking (OLB)</t>
  </si>
  <si>
    <t>Includes termination of contracted eBanking services, participation in turnover calls, miscellaneous administrative duties, does not include file data</t>
  </si>
  <si>
    <t>eBanking - Cash Management Internet Banking Data</t>
  </si>
  <si>
    <t>1 set of test files, and 1 set of final files upon deconversion</t>
  </si>
  <si>
    <t>eBanking - OLB Retail Internet Banking Data</t>
  </si>
  <si>
    <t>eBanking - Passmark - Advanced Authentication</t>
  </si>
  <si>
    <t>Includes termination of service. One (1) file available upon request.</t>
  </si>
  <si>
    <t>One Time Discount</t>
  </si>
  <si>
    <t>Digital Banking Platform One Time Fee Discount</t>
  </si>
  <si>
    <t>Adapters and Interfaces One Time Fee Discount</t>
  </si>
  <si>
    <t>Retail Solutions One Time Fee Discount</t>
  </si>
  <si>
    <t>Business Solutions One Time Fees Discount</t>
  </si>
  <si>
    <t>Security Solutions One Time Fees Discount</t>
  </si>
  <si>
    <t>CORE: OPTIONAL Monthly &amp; Annual Fees</t>
  </si>
  <si>
    <t>[NEW CORE SERVICES / SOLUTIONS IN PROPOSAL]</t>
  </si>
  <si>
    <t>[NEW]</t>
  </si>
  <si>
    <t>Core Processing</t>
  </si>
  <si>
    <t>Horizon - iColletions, HZ Profitability, Conditional Processing</t>
  </si>
  <si>
    <t>SecurLOCK Predict</t>
  </si>
  <si>
    <t>[UPGRADE]</t>
  </si>
  <si>
    <t>ATM / EFT</t>
  </si>
  <si>
    <t>CardSuite Pro</t>
  </si>
  <si>
    <t>SUM OF NEW OPTIONAL CORE SERVICES:</t>
  </si>
  <si>
    <t>[NEW DIGITAL SERVICES / SOLUTIONS IN PROPOSAL]</t>
  </si>
  <si>
    <t>Account Opening</t>
  </si>
  <si>
    <t>Online Account Opening</t>
  </si>
  <si>
    <t>Q2 Account Opening</t>
  </si>
  <si>
    <t>Q2 Gro Digital Sales Module</t>
  </si>
  <si>
    <t>Q2 Gro Enterprise Extension</t>
  </si>
  <si>
    <t>Q2 Gro Front Drivers License Capture</t>
  </si>
  <si>
    <t>Q2 Gro Retail Core Adapter (deposits only) - FIS Horizon via Xchange</t>
  </si>
  <si>
    <t>Q2 Gro Funding Adapter #1 (Card and/or ACH) - Vendor TBD</t>
  </si>
  <si>
    <t>Q2 Gro KYC/Identity Adapter - Vendor TBD</t>
  </si>
  <si>
    <t>Q2 Gro DDA Risk Adapter - Vendor TBD</t>
  </si>
  <si>
    <t xml:space="preserve"> </t>
  </si>
  <si>
    <t>FIS D1</t>
  </si>
  <si>
    <t>Personal Finance - MX</t>
  </si>
  <si>
    <t>Mobile - Banker on the Go</t>
  </si>
  <si>
    <t>Digital One Financial Wellness Suite: Banker on the Go, your one-stop digital branch, enables your customers to reach you any time, any place, with your mobile and online banking applications. In this course, you will take a guided tour of the Client and Banker experience, including Personal Banker, Live Support, Service Requests, and the Manage tab.</t>
  </si>
  <si>
    <t>Sensibill Spend Manager Extension (Consumer)</t>
  </si>
  <si>
    <t>Customer Data Platform to collect, synthesize, and action everyday consumer spend data and personalization.</t>
  </si>
  <si>
    <t>Sensibill Spend Manager Extension (SMB)</t>
  </si>
  <si>
    <t>OLB Quarterly User Purge</t>
  </si>
  <si>
    <t>Q2 SMART</t>
  </si>
  <si>
    <t>02/2024: MOVED ITEM FROM RECURRING TO OPTIONAL</t>
  </si>
  <si>
    <t>Mobile - Credit Insights</t>
  </si>
  <si>
    <t>SavvyMoney SDK Extenstion [QTY CALCULATIONS]</t>
  </si>
  <si>
    <t>SavvyMoney SDK Extenstion - includes 2,400 Active Users</t>
  </si>
  <si>
    <t>SavvyMoney SDK Extenstion - includes 1,000 Active Users</t>
  </si>
  <si>
    <t>SavvyMoney Active User Beyond 2,400</t>
  </si>
  <si>
    <t>SavvyMoney Active User Beyond 1,000</t>
  </si>
  <si>
    <t>Q2 DISCOVER</t>
  </si>
  <si>
    <t>Oncall IVR - Hosted</t>
  </si>
  <si>
    <t>Q2 Other</t>
  </si>
  <si>
    <t>Q2 Plaid Adapter - Account Opening</t>
  </si>
  <si>
    <t>Plaid is a data network that powers the tools millions of people rely on to live a healthier financial life. Plaid works with thousands of companies, several on the Fortune 500, and many of the largest banks to make it easy for people to connect their financial accounts to the apps and services they want to use.</t>
  </si>
  <si>
    <t>Q2 Plaid Adapter - Account Opening per verification</t>
  </si>
  <si>
    <t>Q2 Plaid Adapter - External Transfer</t>
  </si>
  <si>
    <t>Q2 Plaid Adapter - External Transfer per verification</t>
  </si>
  <si>
    <t>P2P / Zelle</t>
  </si>
  <si>
    <t>[PLACEHOLDER] FIS ZELLE QUOTE PENDING</t>
  </si>
  <si>
    <t>NOTE ABOUT ZELLE FOR Q2</t>
  </si>
  <si>
    <t>Q2 does not resell Zelle and Zelle is not pre-integrated. Once Bank confirms Zelle, Q2 can provide an integration cost. If an existing P2P vendor within Q2's suite is selected then there will be no integration fee.</t>
  </si>
  <si>
    <t>SUM OF NEW OPTIONAL DIGITAL SERVICES:</t>
  </si>
  <si>
    <t>CORE &amp; DIGITAL: PassThru Items</t>
  </si>
  <si>
    <t>AI Manage Transport Circuit:</t>
  </si>
  <si>
    <t>PASSTHRU</t>
  </si>
  <si>
    <t>AI CIRCUIT UCC</t>
  </si>
  <si>
    <t>Circuit UCC Charges-PassThru</t>
  </si>
  <si>
    <t>PassThru</t>
  </si>
  <si>
    <t>BILL PAY / IPAY</t>
  </si>
  <si>
    <t>Uncollected Funds - May</t>
  </si>
  <si>
    <t>Item not mentioned in Invoice #2 #3</t>
  </si>
  <si>
    <t>CARDPRO CONNECT MC EMV</t>
  </si>
  <si>
    <t>Postage - &lt;= 1oz</t>
  </si>
  <si>
    <t>Remote Deposit Image Center (RDC):</t>
  </si>
  <si>
    <t>BRANCH CAPTURE XPRESS - LR</t>
  </si>
  <si>
    <t>BRANCH CAPTURE XPRESS - PACKAG</t>
  </si>
  <si>
    <t>POSTAGE/FREIGHT- LR</t>
  </si>
  <si>
    <t>FREIGHT</t>
  </si>
  <si>
    <t>ChexSystems:</t>
  </si>
  <si>
    <t>CHEXSYSTEMS TRANSACTIONS</t>
  </si>
  <si>
    <t>Discounts - Temp Bus Concession</t>
  </si>
  <si>
    <t>Payments One (P1) MC SecurLock:</t>
  </si>
  <si>
    <t>10% ICBA BANCARD MEMBER DISC</t>
  </si>
  <si>
    <t>PULSE PASS THRU FEE</t>
  </si>
  <si>
    <t>MC-EQ-CONNECTIVITY/EQUIPMENT</t>
  </si>
  <si>
    <t>534900 MC Connectivity/Equip FEE</t>
  </si>
  <si>
    <t>535095 MC Connectivity/Equip FEE</t>
  </si>
  <si>
    <t>MC Aquirer Connectivity/Equip FEE</t>
  </si>
  <si>
    <t>534900 KEY MGT Serv 2EQ3400</t>
  </si>
  <si>
    <t>535095 KEY MGT Serv 2EQ3400</t>
  </si>
  <si>
    <t>PASSTHRU ITEMS CANNOT BE NEGOTIATED.</t>
  </si>
  <si>
    <t xml:space="preserve"> Total Cost of Ownership for 5 years</t>
  </si>
  <si>
    <t>Digital Pricing Analysis Summary</t>
  </si>
  <si>
    <t>5 Year Term</t>
  </si>
  <si>
    <t>No Optional Items</t>
  </si>
  <si>
    <t>Monthly Estimate</t>
  </si>
  <si>
    <t>Optional Items Included</t>
  </si>
  <si>
    <t>Monthly Estimate W/O Optional</t>
  </si>
  <si>
    <t>Monthly Estimate W Optional</t>
  </si>
  <si>
    <t>Current (FIS Bankway) Core Items- In house</t>
  </si>
  <si>
    <t>Current Digital Items</t>
  </si>
  <si>
    <t>Proposed Core with FIS Horizon- Outsource</t>
  </si>
  <si>
    <t>Proposed Digital with FIS D1</t>
  </si>
  <si>
    <t>Proposed Digital with Q2*</t>
  </si>
  <si>
    <t>Analytical Assumptions &amp; Notes:</t>
  </si>
  <si>
    <t>Growth of 5% to quantities applied year over year. CPI added as well</t>
  </si>
  <si>
    <t>Quantities in use are the averages from the bank's June, July, August, and September 2023 invoices. (More invoices may be added as they are billed.)</t>
  </si>
  <si>
    <t>* Q2 would like to emphasize that the proposal currently reflects pre-negotiated rates and discounts will apply in the next round of proposals.</t>
  </si>
  <si>
    <t>Q2 cost includes FIS Deconversion estimate fee of $42,900</t>
  </si>
  <si>
    <t>All proposed cost mentioned above are pre-negotiated</t>
  </si>
  <si>
    <t>FI Horizon cost includes - MC BRAND FLIP - Remaining credit of $260k</t>
  </si>
  <si>
    <t>Q2 note on Timing of Digital banking conversion-</t>
  </si>
  <si>
    <t>Regardless of what core FSB elects to convert to, they will have two options, that would affect the costs associated that election if coupled with a Q2 Platform decision. As discussed with the bank, we have experience with previous customers with both options, and although communication on the topic is very important, we have no true preference on which choice they make. We are happy to take the route they prefer.</t>
  </si>
  <si>
    <r>
      <rPr>
        <b/>
        <sz val="11"/>
        <color theme="1"/>
        <rFont val="Calibri"/>
        <family val="2"/>
        <scheme val="minor"/>
      </rPr>
      <t>Option One –</t>
    </r>
    <r>
      <rPr>
        <sz val="11"/>
        <color theme="1"/>
        <rFont val="Calibri"/>
        <family val="2"/>
        <scheme val="minor"/>
      </rPr>
      <t xml:space="preserve"> Convert to a new core prior to the initiation of a Q2 implementation.</t>
    </r>
  </si>
  <si>
    <r>
      <t xml:space="preserve">In this scenario the OTFs that are applied in the current proposal would simplistically become applicable to our implementation with the new core. Ther would be either a </t>
    </r>
    <r>
      <rPr>
        <i/>
        <sz val="11"/>
        <color theme="1"/>
        <rFont val="Calibri"/>
        <family val="2"/>
        <scheme val="minor"/>
      </rPr>
      <t>very</t>
    </r>
    <r>
      <rPr>
        <sz val="11"/>
        <color theme="1"/>
        <rFont val="Calibri"/>
        <family val="2"/>
        <scheme val="minor"/>
      </rPr>
      <t xml:space="preserve"> negligible amount of new OTFs or a zero difference in cost. </t>
    </r>
  </si>
  <si>
    <r>
      <rPr>
        <b/>
        <sz val="11"/>
        <color theme="1"/>
        <rFont val="Calibri"/>
        <family val="2"/>
        <scheme val="minor"/>
      </rPr>
      <t>Option Two –</t>
    </r>
    <r>
      <rPr>
        <sz val="11"/>
        <color theme="1"/>
        <rFont val="Calibri"/>
        <family val="2"/>
        <scheme val="minor"/>
      </rPr>
      <t xml:space="preserve"> Convert to Q2 on their current core and then implement Q2 a second time on the new core </t>
    </r>
  </si>
  <si>
    <t xml:space="preserve">In this scenario we would introduce an additional OTF of roughly 150k – 160k for the core conversion project/hours our adaptor team would have to complete to reintegrate our platform to the new core. This verbiage is typically placed in our MSO. </t>
  </si>
  <si>
    <t xml:space="preserve">Additionally important to mention – If they go Horizon with Xchange or AllLink then the proposal is whole. If FSB elects to change to a Horizon Core and also go forward with FIS’s newer adaptor/middleware (CodeConnect) we would need to introduce some custom dev work on the Q2 side. This would result in roughly an additional $80,000 in OTFs for FSB from Q2. </t>
  </si>
  <si>
    <t>This TCO summary DOES NOT reflect any current costs. The values show the difference between Q2's initial proposal versus their latest proposal.</t>
  </si>
  <si>
    <r>
      <rPr>
        <b/>
        <sz val="15"/>
        <color rgb="FFFF0000"/>
        <rFont val="Calibri"/>
        <family val="2"/>
        <scheme val="minor"/>
      </rPr>
      <t xml:space="preserve">Initial Proposed - Dec 2023: </t>
    </r>
    <r>
      <rPr>
        <b/>
        <sz val="15"/>
        <color theme="1"/>
        <rFont val="Calibri"/>
        <family val="2"/>
        <scheme val="minor"/>
      </rPr>
      <t xml:space="preserve">
</t>
    </r>
    <r>
      <rPr>
        <sz val="15"/>
        <color theme="1"/>
        <rFont val="Calibri"/>
        <family val="2"/>
        <scheme val="minor"/>
      </rPr>
      <t>FIS Horizon Outsource with Q2</t>
    </r>
  </si>
  <si>
    <t>Recurring Costs Over Term</t>
  </si>
  <si>
    <t>Recurring Costs Monthly Estimate</t>
  </si>
  <si>
    <t>One Time Fees Over Term</t>
  </si>
  <si>
    <t>Total Cost of Ownership</t>
  </si>
  <si>
    <r>
      <rPr>
        <b/>
        <sz val="15"/>
        <color rgb="FFFF0000"/>
        <rFont val="Calibri"/>
        <family val="2"/>
        <scheme val="minor"/>
      </rPr>
      <t xml:space="preserve">Newly Proposed - Feb 2024: </t>
    </r>
    <r>
      <rPr>
        <b/>
        <sz val="15"/>
        <color theme="1"/>
        <rFont val="Calibri"/>
        <family val="2"/>
        <scheme val="minor"/>
      </rPr>
      <t xml:space="preserve">
</t>
    </r>
    <r>
      <rPr>
        <sz val="15"/>
        <color theme="1"/>
        <rFont val="Calibri"/>
        <family val="2"/>
        <scheme val="minor"/>
      </rPr>
      <t>FIS Horizon Outsource with Q2</t>
    </r>
  </si>
  <si>
    <t>CORE</t>
  </si>
  <si>
    <t>Proposed Core with FIS Horizon - Outsource</t>
  </si>
  <si>
    <t>Core Recurring Costs</t>
  </si>
  <si>
    <t>Core CPI Costs</t>
  </si>
  <si>
    <t>Core One Time Incentives</t>
  </si>
  <si>
    <r>
      <t xml:space="preserve">CORE Costs </t>
    </r>
    <r>
      <rPr>
        <sz val="15"/>
        <color theme="1"/>
        <rFont val="Calibri"/>
        <family val="2"/>
        <scheme val="minor"/>
      </rPr>
      <t>(excluding Optional Products)</t>
    </r>
  </si>
  <si>
    <t>Core New/Optional Costs</t>
  </si>
  <si>
    <r>
      <t xml:space="preserve">CORE Costs </t>
    </r>
    <r>
      <rPr>
        <sz val="15"/>
        <color theme="1"/>
        <rFont val="Calibri"/>
        <family val="2"/>
        <scheme val="minor"/>
      </rPr>
      <t>(including Optional Products)</t>
    </r>
  </si>
  <si>
    <t>DIGITAL</t>
  </si>
  <si>
    <t>Proposed Digital with Q2 Proposal Dec2023</t>
  </si>
  <si>
    <t>Proposed Digital with Q2 Proposal Feb2024</t>
  </si>
  <si>
    <t>Digital Recurring Costs</t>
  </si>
  <si>
    <t>Digital CPI Costs</t>
  </si>
  <si>
    <t>Digital Recurring Discounts</t>
  </si>
  <si>
    <t>Digital Deconversion Fees</t>
  </si>
  <si>
    <t>Digital One Time Incentives</t>
  </si>
  <si>
    <r>
      <t xml:space="preserve">DIGITAL Costs </t>
    </r>
    <r>
      <rPr>
        <sz val="15"/>
        <color theme="1"/>
        <rFont val="Calibri"/>
        <family val="2"/>
        <scheme val="minor"/>
      </rPr>
      <t>(excluding Optional Products)</t>
    </r>
  </si>
  <si>
    <t>Digital New/Optional Costs</t>
  </si>
  <si>
    <r>
      <t xml:space="preserve">DIGITAL Costs </t>
    </r>
    <r>
      <rPr>
        <sz val="15"/>
        <color theme="1"/>
        <rFont val="Calibri"/>
        <family val="2"/>
        <scheme val="minor"/>
      </rPr>
      <t>(including Optional Products)</t>
    </r>
  </si>
  <si>
    <t>Proposed Core + Digital (no Optional Products)</t>
  </si>
  <si>
    <t>Proposed Core + Digital (with Optional Products)</t>
  </si>
  <si>
    <t>Difference between Dec to Feb</t>
  </si>
  <si>
    <t>Difference between Dec to Feb (with Optionals)</t>
  </si>
  <si>
    <t>Growth of 2% to quantities applied year over year. CPI added as well</t>
  </si>
  <si>
    <r>
      <rPr>
        <b/>
        <sz val="12"/>
        <color theme="1"/>
        <rFont val="Calibri"/>
        <family val="2"/>
        <scheme val="minor"/>
      </rPr>
      <t>Option One –</t>
    </r>
    <r>
      <rPr>
        <sz val="12"/>
        <color theme="1"/>
        <rFont val="Calibri"/>
        <family val="2"/>
        <scheme val="minor"/>
      </rPr>
      <t xml:space="preserve"> Convert to a new core prior to the initiation of a Q2 implementation.</t>
    </r>
  </si>
  <si>
    <r>
      <t xml:space="preserve">In this scenario the OTFs that are applied in the current proposal would simplistically become applicable to our implementation with the new core. Ther would be either a </t>
    </r>
    <r>
      <rPr>
        <i/>
        <sz val="12"/>
        <color theme="1"/>
        <rFont val="Calibri"/>
        <family val="2"/>
        <scheme val="minor"/>
      </rPr>
      <t>very</t>
    </r>
    <r>
      <rPr>
        <sz val="12"/>
        <color theme="1"/>
        <rFont val="Calibri"/>
        <family val="2"/>
        <scheme val="minor"/>
      </rPr>
      <t xml:space="preserve"> negligible amount of new OTFs or a zero difference in cost. </t>
    </r>
  </si>
  <si>
    <r>
      <rPr>
        <b/>
        <sz val="12"/>
        <color theme="1"/>
        <rFont val="Calibri"/>
        <family val="2"/>
        <scheme val="minor"/>
      </rPr>
      <t>Option Two –</t>
    </r>
    <r>
      <rPr>
        <sz val="12"/>
        <color theme="1"/>
        <rFont val="Calibri"/>
        <family val="2"/>
        <scheme val="minor"/>
      </rPr>
      <t xml:space="preserve"> Convert to Q2 on their current core and then implement Q2 a second time on the new core </t>
    </r>
  </si>
  <si>
    <t>Pricing Analysis for Early Renewal Calculations</t>
  </si>
  <si>
    <t>Current Contract Expiration</t>
  </si>
  <si>
    <t>&lt;&lt; Static, No Editing</t>
  </si>
  <si>
    <t>Contract Renewal Date (Anticipated)</t>
  </si>
  <si>
    <t>&lt;&lt; Change this value if needed</t>
  </si>
  <si>
    <t>Early Renewal Period (Computation)</t>
  </si>
  <si>
    <t>Early Renewal Period (in Months)</t>
  </si>
  <si>
    <t>&lt;&lt; Computation, No Editing</t>
  </si>
  <si>
    <t>Monthly</t>
  </si>
  <si>
    <t>Current Cost</t>
  </si>
  <si>
    <t>&lt;&lt; Linked to Vendor TCO Worksheet, No Editing</t>
  </si>
  <si>
    <t>Proposed Cost with D1</t>
  </si>
  <si>
    <t>Savings with with OPTIONAL ITEMS</t>
  </si>
  <si>
    <t>First State Bank of Louise</t>
  </si>
  <si>
    <t>Monthly Summary</t>
  </si>
  <si>
    <t>Current via CO-OP</t>
  </si>
  <si>
    <t>CO-OP 
Debit &amp; IHC</t>
  </si>
  <si>
    <t>Fiserv
Debit &amp; IHC</t>
  </si>
  <si>
    <t>Fiserv
Debit &amp; Agent</t>
  </si>
  <si>
    <t>Recurring Monthly Fees</t>
  </si>
  <si>
    <t>Monthly: CPI Estimations</t>
  </si>
  <si>
    <t>Monthly: Annual &amp; Quarterly Fees</t>
  </si>
  <si>
    <t>Monthly: Implementation, Setup, &amp; Deconversion Fees</t>
  </si>
  <si>
    <t>Monthly: Incentives, Rebates, &amp; Discounts</t>
  </si>
  <si>
    <t>Monthly Total Expense for Digital</t>
  </si>
  <si>
    <t xml:space="preserve">Monthly PassThrough Estimations </t>
  </si>
  <si>
    <t>Term Summary</t>
  </si>
  <si>
    <t>Current (Q2)</t>
  </si>
  <si>
    <t>Proposed Vendor #1</t>
  </si>
  <si>
    <t>Proposed Vendor #2</t>
  </si>
  <si>
    <t>Proposed Vendor #3</t>
  </si>
  <si>
    <t>Recurring Monthly Fees (Over Term)</t>
  </si>
  <si>
    <t>Term: CPI Estimations</t>
  </si>
  <si>
    <t>Term: Annual &amp; Quarterly Fees</t>
  </si>
  <si>
    <t>Term: Implementation, Setup Fees</t>
  </si>
  <si>
    <t>Deconversion Fee</t>
  </si>
  <si>
    <t>Term: Incentives, Rebates, &amp; Discounts</t>
  </si>
  <si>
    <t>Term Total Cost of Ownership for Digital</t>
  </si>
  <si>
    <t>Term PassThrough Estimations</t>
  </si>
  <si>
    <t>Projected Savings Over Term:</t>
  </si>
  <si>
    <t>Percentage of Savings Over Term:</t>
  </si>
  <si>
    <t>Reference to Rates in Use:</t>
  </si>
  <si>
    <t>Growth Percentage Applied to Quantities YOY</t>
  </si>
  <si>
    <t xml:space="preserve">Current CPI </t>
  </si>
  <si>
    <t>(Bank Logo Here)</t>
  </si>
  <si>
    <t>Proposed</t>
  </si>
  <si>
    <t>Document Key</t>
  </si>
  <si>
    <t>Q2</t>
  </si>
  <si>
    <t>(Vendor #1)</t>
  </si>
  <si>
    <t>(Vendor #2)</t>
  </si>
  <si>
    <t>Fiserv</t>
  </si>
  <si>
    <t>(Vendor #3)</t>
  </si>
  <si>
    <t>Debit Processing Recurring Expenses</t>
  </si>
  <si>
    <t>Debit Processing: CPI Estimations</t>
  </si>
  <si>
    <t>Debit Processing Annual &amp; Quarterly Fees</t>
  </si>
  <si>
    <t>Total Monthly Expenses for Debit Processing</t>
  </si>
  <si>
    <t>Total Monthly Expenses (Debit &amp; Credit)</t>
  </si>
  <si>
    <t>Proposed Monthly Expenses Savings vs. Current</t>
  </si>
  <si>
    <t>Percentage of Improvement Proposed vs. Current</t>
  </si>
  <si>
    <t>Color Coding in Use:</t>
  </si>
  <si>
    <t>"Apples to Apples" Values</t>
  </si>
  <si>
    <t>Summarized "Apples to Apples" Values</t>
  </si>
  <si>
    <t>Total Term Expenses for Debit Processing</t>
  </si>
  <si>
    <t>Savings Calculations</t>
  </si>
  <si>
    <t>Total Term Expenses (Debit &amp; Credit)</t>
  </si>
  <si>
    <t>Passthru: IHC Interchange &amp; Redemption Expenses</t>
  </si>
  <si>
    <t>Proposed Term Expenses Savings vs. Current</t>
  </si>
  <si>
    <t>Summarized Passthru IHC Interchange &amp; Expenses</t>
  </si>
  <si>
    <t>Implementation &amp; Setup Fees</t>
  </si>
  <si>
    <t>Desired Optional Items / New Product Values</t>
  </si>
  <si>
    <t>Incentives</t>
  </si>
  <si>
    <t>Summarized Cost of Optional Items / New Products</t>
  </si>
  <si>
    <t xml:space="preserve">Deconversion Fees: </t>
  </si>
  <si>
    <t>Total Improvement Over Term vs. Current</t>
  </si>
  <si>
    <t>Percentage of Improvement Over Term vs. Current</t>
  </si>
  <si>
    <t>Desired Optional Item Cost Summary</t>
  </si>
  <si>
    <t>Term Cost of Optional Line Items</t>
  </si>
  <si>
    <t>Term Cost of Optional One Time Fees</t>
  </si>
  <si>
    <t>Total Term Cost of ONLY Optional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</si>
</sst>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0_);_(* \(#,##0.000\);_(* &quot;-&quot;???_);_(@_)"/>
    <numFmt numFmtId="165" formatCode="0\ &quot;Month Term&quot;"/>
    <numFmt numFmtId="166" formatCode="_(* #,##0.00_);_(* \(#,##0.00\);_(* &quot;-&quot;_);_(@_)"/>
    <numFmt numFmtId="167" formatCode="_(&quot;$&quot;* #,##0_);_(&quot;$&quot;* \(#,##0\);_(&quot;$&quot;* &quot;-&quot;??_);_(@_)"/>
    <numFmt numFmtId="168" formatCode="_(* #,##0_);_(* \(#,##0\);_(* &quot;-&quot;??_);_(@_)"/>
    <numFmt numFmtId="169" formatCode="0.0000"/>
    <numFmt numFmtId="170" formatCode="_(* #,##0.0000_);_(* \(#,##0.0000\);_(* &quot;-&quot;??_);_(@_)"/>
    <numFmt numFmtId="171" formatCode="0.0%"/>
    <numFmt numFmtId="172" formatCode="&quot;CPI Rate Current:&quot;\ 0.00%"/>
    <numFmt numFmtId="173" formatCode="&quot;CPI Rate Proposed (Jack Henry):&quot;\ 0.00%"/>
    <numFmt numFmtId="174" formatCode="_(* #,##0.000_);_(* \(#,##0.000\);_(* &quot;-&quot;??_);_(@_)"/>
    <numFmt numFmtId="175" formatCode="_(* #,##0.00000_);_(* \(#,##0.00000\);_(* &quot;-&quot;??_);_(@_)"/>
    <numFmt numFmtId="176" formatCode="_([$$-409]* #,##0_);_([$$-409]* \(#,##0\);_([$$-409]* &quot;-&quot;??_);_(@_)"/>
    <numFmt numFmtId="177" formatCode="_(* #,##0.0_);_(* \(#,##0.0\);_(* &quot;-&quot;??_);_(@_)"/>
    <numFmt numFmtId="178" formatCode="_(* #,##0.0000_);_(* \(#,##0.0000\);_(* &quot;-&quot;???_);_(@_)"/>
    <numFmt numFmtId="179" formatCode="_(* #,##0.00000_);_(* \(#,##0.00000\);_(* &quot;-&quot;???_);_(@_)"/>
    <numFmt numFmtId="180" formatCode="0.00000"/>
    <numFmt numFmtId="181" formatCode="_(* #,##0_);_(* \(#,##0\);_(* &quot;-&quot;???_);_(@_)"/>
    <numFmt numFmtId="182" formatCode="_(&quot;$&quot;* #,##0.00_);_(&quot;$&quot;* \(#,##0.00\);_(&quot;$&quot;* &quot;-&quot;_);_(@_)"/>
  </numFmts>
  <fonts count="100" x14ac:knownFonts="1">
    <font>
      <sz val="11"/>
      <color theme="1"/>
      <name val="Calibri"/>
      <family val="2"/>
      <scheme val="minor"/>
    </font>
    <font>
      <b/>
      <sz val="14"/>
      <color theme="1"/>
      <name val="Calibri"/>
      <family val="2"/>
      <scheme val="minor"/>
    </font>
    <font>
      <b/>
      <i/>
      <sz val="12"/>
      <color theme="1"/>
      <name val="Calibri"/>
      <family val="2"/>
      <scheme val="minor"/>
    </font>
    <font>
      <b/>
      <i/>
      <sz val="14"/>
      <color theme="1"/>
      <name val="Calibri"/>
      <family val="2"/>
      <scheme val="minor"/>
    </font>
    <font>
      <b/>
      <sz val="12"/>
      <color theme="1"/>
      <name val="Calibri"/>
      <family val="2"/>
      <scheme val="minor"/>
    </font>
    <font>
      <sz val="12"/>
      <color theme="1"/>
      <name val="Calibri"/>
      <family val="2"/>
      <scheme val="minor"/>
    </font>
    <font>
      <b/>
      <sz val="14"/>
      <name val="Calibri"/>
      <family val="2"/>
      <scheme val="minor"/>
    </font>
    <font>
      <sz val="12"/>
      <color rgb="FFFF0000"/>
      <name val="Calibri"/>
      <family val="2"/>
      <scheme val="minor"/>
    </font>
    <font>
      <sz val="12"/>
      <name val="Calibri"/>
      <family val="2"/>
      <scheme val="minor"/>
    </font>
    <font>
      <sz val="11"/>
      <color theme="1"/>
      <name val="Calibri"/>
      <family val="2"/>
      <scheme val="minor"/>
    </font>
    <font>
      <b/>
      <u/>
      <sz val="20"/>
      <color theme="1"/>
      <name val="Calibri"/>
      <family val="2"/>
      <scheme val="minor"/>
    </font>
    <font>
      <b/>
      <sz val="16"/>
      <color theme="1"/>
      <name val="Calibri"/>
      <family val="2"/>
      <scheme val="minor"/>
    </font>
    <font>
      <sz val="11"/>
      <color rgb="FFFF0000"/>
      <name val="Calibri"/>
      <family val="2"/>
      <scheme val="minor"/>
    </font>
    <font>
      <b/>
      <sz val="18"/>
      <color rgb="FFFF0000"/>
      <name val="Calibri"/>
      <family val="2"/>
      <scheme val="minor"/>
    </font>
    <font>
      <u/>
      <sz val="14"/>
      <color theme="1"/>
      <name val="Calibri"/>
      <family val="2"/>
      <scheme val="minor"/>
    </font>
    <font>
      <u/>
      <sz val="11"/>
      <color theme="1"/>
      <name val="Calibri"/>
      <family val="2"/>
      <scheme val="minor"/>
    </font>
    <font>
      <sz val="11"/>
      <color theme="0" tint="-0.499984740745262"/>
      <name val="Calibri"/>
      <family val="2"/>
      <scheme val="minor"/>
    </font>
    <font>
      <b/>
      <i/>
      <u/>
      <sz val="14"/>
      <color theme="1"/>
      <name val="Calibri"/>
      <family val="2"/>
      <scheme val="minor"/>
    </font>
    <font>
      <b/>
      <sz val="16"/>
      <color theme="0"/>
      <name val="Calibri"/>
      <family val="2"/>
      <scheme val="minor"/>
    </font>
    <font>
      <sz val="20"/>
      <color theme="1"/>
      <name val="Calibri"/>
      <family val="2"/>
      <scheme val="minor"/>
    </font>
    <font>
      <sz val="20"/>
      <color rgb="FFFF0000"/>
      <name val="Calibri"/>
      <family val="2"/>
      <scheme val="minor"/>
    </font>
    <font>
      <b/>
      <sz val="14"/>
      <color rgb="FFC00000"/>
      <name val="Calibri"/>
      <family val="2"/>
      <scheme val="minor"/>
    </font>
    <font>
      <sz val="8"/>
      <name val="Calibri"/>
      <family val="2"/>
      <scheme val="minor"/>
    </font>
    <font>
      <b/>
      <sz val="12"/>
      <name val="Calibri"/>
      <family val="2"/>
      <scheme val="minor"/>
    </font>
    <font>
      <sz val="10"/>
      <color theme="1"/>
      <name val="Calibri"/>
      <family val="2"/>
    </font>
    <font>
      <u/>
      <sz val="12"/>
      <color theme="1"/>
      <name val="Calibri"/>
      <family val="2"/>
      <scheme val="minor"/>
    </font>
    <font>
      <b/>
      <sz val="10"/>
      <color theme="1"/>
      <name val="Calibri"/>
      <family val="2"/>
      <scheme val="minor"/>
    </font>
    <font>
      <b/>
      <sz val="12"/>
      <color rgb="FF002060"/>
      <name val="Calibri"/>
      <family val="2"/>
      <scheme val="minor"/>
    </font>
    <font>
      <b/>
      <sz val="8"/>
      <name val="Calibri"/>
      <family val="2"/>
      <scheme val="minor"/>
    </font>
    <font>
      <i/>
      <sz val="12"/>
      <color theme="1"/>
      <name val="Calibri"/>
      <family val="2"/>
      <scheme val="minor"/>
    </font>
    <font>
      <i/>
      <sz val="10"/>
      <name val="Calibri"/>
      <family val="2"/>
      <scheme val="minor"/>
    </font>
    <font>
      <u/>
      <sz val="12"/>
      <color rgb="FFFF0000"/>
      <name val="Calibri"/>
      <family val="2"/>
      <scheme val="minor"/>
    </font>
    <font>
      <sz val="12"/>
      <color rgb="FF000000"/>
      <name val="Calibri"/>
      <family val="2"/>
      <scheme val="minor"/>
    </font>
    <font>
      <sz val="11"/>
      <name val="Calibri"/>
      <family val="2"/>
      <scheme val="minor"/>
    </font>
    <font>
      <sz val="12"/>
      <color theme="0"/>
      <name val="Calibri"/>
      <family val="2"/>
      <scheme val="minor"/>
    </font>
    <font>
      <b/>
      <sz val="20"/>
      <color theme="1"/>
      <name val="Calibri"/>
      <family val="2"/>
      <scheme val="minor"/>
    </font>
    <font>
      <sz val="10"/>
      <color rgb="FF000000"/>
      <name val="Calibri"/>
      <family val="2"/>
      <scheme val="minor"/>
    </font>
    <font>
      <b/>
      <sz val="12"/>
      <color rgb="FFC00000"/>
      <name val="Calibri"/>
      <family val="2"/>
      <scheme val="minor"/>
    </font>
    <font>
      <i/>
      <sz val="10"/>
      <color theme="1"/>
      <name val="Calibri"/>
      <family val="2"/>
      <scheme val="minor"/>
    </font>
    <font>
      <b/>
      <i/>
      <sz val="10"/>
      <color theme="1"/>
      <name val="Calibri"/>
      <family val="2"/>
      <scheme val="minor"/>
    </font>
    <font>
      <b/>
      <i/>
      <sz val="10"/>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b/>
      <sz val="12"/>
      <color theme="0"/>
      <name val="Calibri"/>
      <family val="2"/>
      <scheme val="minor"/>
    </font>
    <font>
      <b/>
      <sz val="10"/>
      <name val="Calibri"/>
      <family val="2"/>
      <scheme val="minor"/>
    </font>
    <font>
      <u/>
      <sz val="10"/>
      <color theme="1"/>
      <name val="Calibri"/>
      <family val="2"/>
      <scheme val="minor"/>
    </font>
    <font>
      <b/>
      <sz val="16"/>
      <name val="Calibri"/>
      <family val="2"/>
      <scheme val="minor"/>
    </font>
    <font>
      <b/>
      <sz val="15"/>
      <color theme="1"/>
      <name val="Calibri"/>
      <family val="2"/>
      <scheme val="minor"/>
    </font>
    <font>
      <sz val="15"/>
      <color theme="1"/>
      <name val="Calibri"/>
      <family val="2"/>
      <scheme val="minor"/>
    </font>
    <font>
      <b/>
      <sz val="20"/>
      <color rgb="FFFFFF00"/>
      <name val="Calibri"/>
      <family val="2"/>
      <scheme val="minor"/>
    </font>
    <font>
      <sz val="20"/>
      <color rgb="FFFFFF00"/>
      <name val="Calibri"/>
      <family val="2"/>
      <scheme val="minor"/>
    </font>
    <font>
      <sz val="15"/>
      <color rgb="FFFF0000"/>
      <name val="Calibri"/>
      <family val="2"/>
      <scheme val="minor"/>
    </font>
    <font>
      <sz val="10"/>
      <name val="Calibri"/>
      <family val="2"/>
      <scheme val="minor"/>
    </font>
    <font>
      <b/>
      <sz val="10"/>
      <color rgb="FF002060"/>
      <name val="Calibri"/>
      <family val="2"/>
      <scheme val="minor"/>
    </font>
    <font>
      <i/>
      <sz val="12"/>
      <name val="Calibri"/>
      <family val="2"/>
      <scheme val="minor"/>
    </font>
    <font>
      <sz val="12"/>
      <color rgb="FFC00000"/>
      <name val="Calibri"/>
      <family val="2"/>
      <scheme val="minor"/>
    </font>
    <font>
      <i/>
      <sz val="11"/>
      <color theme="1"/>
      <name val="Calibri"/>
      <family val="2"/>
      <scheme val="minor"/>
    </font>
    <font>
      <b/>
      <sz val="12"/>
      <color rgb="FFFF33CC"/>
      <name val="Calibri"/>
      <family val="2"/>
      <scheme val="minor"/>
    </font>
    <font>
      <b/>
      <sz val="11"/>
      <color theme="0" tint="-0.499984740745262"/>
      <name val="Calibri"/>
      <family val="2"/>
      <scheme val="minor"/>
    </font>
    <font>
      <i/>
      <sz val="11"/>
      <color theme="0" tint="-0.499984740745262"/>
      <name val="Calibri"/>
      <family val="2"/>
      <scheme val="minor"/>
    </font>
    <font>
      <sz val="12"/>
      <color theme="0" tint="-0.499984740745262"/>
      <name val="Calibri"/>
      <family val="2"/>
      <scheme val="minor"/>
    </font>
    <font>
      <b/>
      <sz val="14"/>
      <color theme="0" tint="-0.499984740745262"/>
      <name val="Calibri"/>
      <family val="2"/>
      <scheme val="minor"/>
    </font>
    <font>
      <b/>
      <sz val="12"/>
      <color theme="0" tint="-0.499984740745262"/>
      <name val="Calibri"/>
      <family val="2"/>
      <scheme val="minor"/>
    </font>
    <font>
      <i/>
      <sz val="12"/>
      <color theme="0" tint="-0.499984740745262"/>
      <name val="Calibri"/>
      <family val="2"/>
      <scheme val="minor"/>
    </font>
    <font>
      <b/>
      <i/>
      <sz val="12"/>
      <color theme="0" tint="-0.499984740745262"/>
      <name val="Calibri"/>
      <family val="2"/>
      <scheme val="minor"/>
    </font>
    <font>
      <sz val="10"/>
      <color theme="0" tint="-0.499984740745262"/>
      <name val="Calibri"/>
      <family val="2"/>
      <scheme val="minor"/>
    </font>
    <font>
      <b/>
      <sz val="10"/>
      <color theme="0" tint="-0.499984740745262"/>
      <name val="Calibri"/>
      <family val="2"/>
      <scheme val="minor"/>
    </font>
    <font>
      <b/>
      <i/>
      <sz val="11"/>
      <color rgb="FFFF33CC"/>
      <name val="Calibri"/>
      <family val="2"/>
      <scheme val="minor"/>
    </font>
    <font>
      <b/>
      <sz val="11"/>
      <name val="Calibri"/>
      <family val="2"/>
      <scheme val="minor"/>
    </font>
    <font>
      <i/>
      <sz val="10"/>
      <color theme="0" tint="-0.499984740745262"/>
      <name val="Calibri"/>
      <family val="2"/>
      <scheme val="minor"/>
    </font>
    <font>
      <b/>
      <i/>
      <sz val="12"/>
      <name val="Calibri"/>
      <family val="2"/>
      <scheme val="minor"/>
    </font>
    <font>
      <b/>
      <sz val="9"/>
      <color indexed="81"/>
      <name val="Tahoma"/>
      <family val="2"/>
    </font>
    <font>
      <i/>
      <sz val="10"/>
      <color theme="0"/>
      <name val="Calibri"/>
      <family val="2"/>
      <scheme val="minor"/>
    </font>
    <font>
      <b/>
      <i/>
      <sz val="11"/>
      <color theme="1"/>
      <name val="Calibri"/>
      <family val="2"/>
      <scheme val="minor"/>
    </font>
    <font>
      <b/>
      <sz val="16"/>
      <color theme="0" tint="-0.499984740745262"/>
      <name val="Calibri"/>
      <family val="2"/>
      <scheme val="minor"/>
    </font>
    <font>
      <b/>
      <i/>
      <sz val="16"/>
      <name val="Calibri"/>
      <family val="2"/>
      <scheme val="minor"/>
    </font>
    <font>
      <b/>
      <sz val="26"/>
      <color rgb="FF002060"/>
      <name val="Calibri"/>
      <family val="2"/>
      <scheme val="minor"/>
    </font>
    <font>
      <sz val="12"/>
      <color rgb="FF002060"/>
      <name val="Calibri"/>
      <family val="2"/>
      <scheme val="minor"/>
    </font>
    <font>
      <sz val="15"/>
      <color rgb="FF002060"/>
      <name val="Calibri"/>
      <family val="2"/>
      <scheme val="minor"/>
    </font>
    <font>
      <b/>
      <u/>
      <sz val="11"/>
      <color rgb="FF002060"/>
      <name val="Calibri"/>
      <family val="2"/>
      <scheme val="minor"/>
    </font>
    <font>
      <sz val="26"/>
      <color rgb="FF002060"/>
      <name val="Calibri"/>
      <family val="2"/>
      <scheme val="minor"/>
    </font>
    <font>
      <sz val="11"/>
      <color rgb="FF002060"/>
      <name val="Calibri"/>
      <family val="2"/>
      <scheme val="minor"/>
    </font>
    <font>
      <sz val="9"/>
      <color rgb="FF002060"/>
      <name val="Calibri"/>
      <family val="2"/>
      <scheme val="minor"/>
    </font>
    <font>
      <sz val="22"/>
      <color rgb="FF002060"/>
      <name val="Calibri"/>
      <family val="2"/>
      <scheme val="minor"/>
    </font>
    <font>
      <b/>
      <u/>
      <sz val="12"/>
      <color theme="1"/>
      <name val="Calibri"/>
      <family val="2"/>
      <scheme val="minor"/>
    </font>
    <font>
      <sz val="10"/>
      <color rgb="FF4A4A4A"/>
      <name val="Titillium Web"/>
    </font>
    <font>
      <b/>
      <u/>
      <sz val="15"/>
      <color theme="1"/>
      <name val="Calibri"/>
      <family val="2"/>
      <scheme val="minor"/>
    </font>
    <font>
      <b/>
      <sz val="12"/>
      <color rgb="FF7030A0"/>
      <name val="Calibri"/>
      <family val="2"/>
      <scheme val="minor"/>
    </font>
    <font>
      <b/>
      <sz val="10"/>
      <color rgb="FF7030A0"/>
      <name val="Calibri"/>
      <family val="2"/>
      <scheme val="minor"/>
    </font>
    <font>
      <b/>
      <i/>
      <sz val="10"/>
      <color rgb="FF7030A0"/>
      <name val="Calibri"/>
      <family val="2"/>
      <scheme val="minor"/>
    </font>
    <font>
      <b/>
      <sz val="12"/>
      <color rgb="FFFF0000"/>
      <name val="Calibri"/>
      <family val="2"/>
      <scheme val="minor"/>
    </font>
    <font>
      <sz val="15"/>
      <color theme="1" tint="0.499984740745262"/>
      <name val="Calibri"/>
      <family val="2"/>
      <scheme val="minor"/>
    </font>
    <font>
      <sz val="12"/>
      <color theme="1" tint="0.499984740745262"/>
      <name val="Calibri"/>
      <family val="2"/>
      <scheme val="minor"/>
    </font>
    <font>
      <b/>
      <sz val="18"/>
      <color theme="1"/>
      <name val="Calibri"/>
      <family val="2"/>
      <scheme val="minor"/>
    </font>
    <font>
      <b/>
      <sz val="15"/>
      <color theme="0"/>
      <name val="Calibri"/>
      <family val="2"/>
      <scheme val="minor"/>
    </font>
    <font>
      <sz val="15"/>
      <color theme="0"/>
      <name val="Calibri"/>
      <family val="2"/>
      <scheme val="minor"/>
    </font>
    <font>
      <b/>
      <sz val="15"/>
      <color rgb="FFFF0000"/>
      <name val="Calibri"/>
      <family val="2"/>
      <scheme val="minor"/>
    </font>
    <font>
      <b/>
      <sz val="15"/>
      <color theme="1" tint="0.499984740745262"/>
      <name val="Calibri"/>
      <family val="2"/>
      <scheme val="minor"/>
    </font>
    <font>
      <sz val="14"/>
      <color theme="1"/>
      <name val="Calibri"/>
      <family val="2"/>
      <scheme val="minor"/>
    </font>
  </fonts>
  <fills count="39">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0070C0"/>
        <bgColor indexed="64"/>
      </patternFill>
    </fill>
    <fill>
      <patternFill patternType="solid">
        <fgColor theme="8" tint="0.39997558519241921"/>
        <bgColor indexed="64"/>
      </patternFill>
    </fill>
    <fill>
      <patternFill patternType="solid">
        <fgColor theme="8"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002060"/>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2"/>
        <bgColor indexed="64"/>
      </patternFill>
    </fill>
    <fill>
      <patternFill patternType="solid">
        <fgColor theme="1" tint="0.499984740745262"/>
        <bgColor indexed="64"/>
      </patternFill>
    </fill>
    <fill>
      <patternFill patternType="solid">
        <fgColor rgb="FFCCFFCC"/>
        <bgColor indexed="64"/>
      </patternFill>
    </fill>
    <fill>
      <patternFill patternType="solid">
        <fgColor rgb="FFFF33CC"/>
        <bgColor indexed="64"/>
      </patternFill>
    </fill>
    <fill>
      <patternFill patternType="solid">
        <fgColor rgb="FFC00000"/>
        <bgColor indexed="64"/>
      </patternFill>
    </fill>
    <fill>
      <patternFill patternType="solid">
        <fgColor rgb="FFFFDDFF"/>
        <bgColor indexed="64"/>
      </patternFill>
    </fill>
    <fill>
      <patternFill patternType="solid">
        <fgColor rgb="FFA3E2F0"/>
        <bgColor indexed="64"/>
      </patternFill>
    </fill>
    <fill>
      <patternFill patternType="solid">
        <fgColor rgb="FFFFFF00"/>
        <bgColor indexed="64"/>
      </patternFill>
    </fill>
    <fill>
      <patternFill patternType="solid">
        <fgColor rgb="FFCC99FF"/>
        <bgColor indexed="64"/>
      </patternFill>
    </fill>
    <fill>
      <patternFill patternType="solid">
        <fgColor theme="0" tint="-0.499984740745262"/>
        <bgColor indexed="64"/>
      </patternFill>
    </fill>
    <fill>
      <patternFill patternType="solid">
        <fgColor theme="3"/>
        <bgColor indexed="64"/>
      </patternFill>
    </fill>
    <fill>
      <patternFill patternType="solid">
        <fgColor theme="7"/>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59999389629810485"/>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right style="thin">
        <color theme="0"/>
      </right>
      <top style="thin">
        <color theme="0"/>
      </top>
      <bottom style="thin">
        <color theme="0"/>
      </bottom>
      <diagonal/>
    </border>
    <border>
      <left/>
      <right style="thin">
        <color theme="0"/>
      </right>
      <top style="thin">
        <color indexed="64"/>
      </top>
      <bottom style="thin">
        <color theme="0"/>
      </bottom>
      <diagonal/>
    </border>
    <border>
      <left/>
      <right style="thin">
        <color theme="0"/>
      </right>
      <top style="thin">
        <color theme="0"/>
      </top>
      <bottom style="thin">
        <color indexed="64"/>
      </bottom>
      <diagonal/>
    </border>
    <border>
      <left style="thin">
        <color indexed="64"/>
      </left>
      <right style="thin">
        <color theme="0"/>
      </right>
      <top/>
      <bottom style="thin">
        <color theme="0"/>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rgb="FF000000"/>
      </left>
      <right style="medium">
        <color rgb="FF000000"/>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rgb="FF000000"/>
      </left>
      <right style="medium">
        <color rgb="FF000000"/>
      </right>
      <top style="medium">
        <color indexed="64"/>
      </top>
      <bottom style="medium">
        <color indexed="64"/>
      </bottom>
      <diagonal/>
    </border>
    <border>
      <left style="thin">
        <color indexed="64"/>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theme="0"/>
      </right>
      <top/>
      <bottom style="thin">
        <color theme="0"/>
      </bottom>
      <diagonal/>
    </border>
    <border>
      <left style="medium">
        <color rgb="FF000000"/>
      </left>
      <right style="medium">
        <color rgb="FF000000"/>
      </right>
      <top/>
      <bottom style="medium">
        <color indexed="64"/>
      </bottom>
      <diagonal/>
    </border>
    <border>
      <left/>
      <right style="medium">
        <color indexed="64"/>
      </right>
      <top/>
      <bottom style="medium">
        <color indexed="64"/>
      </bottom>
      <diagonal/>
    </border>
    <border>
      <left style="medium">
        <color rgb="FF000000"/>
      </left>
      <right style="medium">
        <color rgb="FF000000"/>
      </right>
      <top/>
      <bottom style="thin">
        <color indexed="64"/>
      </bottom>
      <diagonal/>
    </border>
    <border>
      <left/>
      <right style="medium">
        <color indexed="64"/>
      </right>
      <top/>
      <bottom style="thin">
        <color indexed="64"/>
      </bottom>
      <diagonal/>
    </border>
    <border>
      <left/>
      <right style="medium">
        <color indexed="64"/>
      </right>
      <top/>
      <bottom style="thin">
        <color rgb="FF000000"/>
      </bottom>
      <diagonal/>
    </border>
    <border>
      <left/>
      <right/>
      <top style="thin">
        <color theme="0"/>
      </top>
      <bottom style="thin">
        <color theme="0"/>
      </bottom>
      <diagonal/>
    </border>
    <border>
      <left/>
      <right/>
      <top style="thin">
        <color theme="0"/>
      </top>
      <bottom style="thin">
        <color indexed="64"/>
      </bottom>
      <diagonal/>
    </border>
    <border>
      <left/>
      <right/>
      <top style="thin">
        <color indexed="64"/>
      </top>
      <bottom style="thin">
        <color theme="0"/>
      </bottom>
      <diagonal/>
    </border>
    <border>
      <left/>
      <right/>
      <top/>
      <bottom style="medium">
        <color indexed="64"/>
      </bottom>
      <diagonal/>
    </border>
    <border>
      <left style="thin">
        <color indexed="64"/>
      </left>
      <right/>
      <top/>
      <bottom style="thin">
        <color theme="0"/>
      </bottom>
      <diagonal/>
    </border>
    <border>
      <left/>
      <right/>
      <top/>
      <bottom style="thin">
        <color theme="0"/>
      </bottom>
      <diagonal/>
    </border>
    <border>
      <left/>
      <right style="thin">
        <color indexed="64"/>
      </right>
      <top/>
      <bottom style="thin">
        <color theme="0"/>
      </bottom>
      <diagonal/>
    </border>
    <border>
      <left style="thin">
        <color theme="0"/>
      </left>
      <right/>
      <top style="thin">
        <color theme="0"/>
      </top>
      <bottom style="thin">
        <color theme="0"/>
      </bottom>
      <diagonal/>
    </border>
    <border>
      <left/>
      <right style="thin">
        <color indexed="64"/>
      </right>
      <top style="thin">
        <color theme="0"/>
      </top>
      <bottom style="thin">
        <color theme="0"/>
      </bottom>
      <diagonal/>
    </border>
    <border>
      <left style="thin">
        <color theme="0"/>
      </left>
      <right style="thin">
        <color indexed="64"/>
      </right>
      <top style="thin">
        <color theme="0"/>
      </top>
      <bottom/>
      <diagonal/>
    </border>
    <border>
      <left/>
      <right style="thin">
        <color indexed="64"/>
      </right>
      <top style="thin">
        <color indexed="64"/>
      </top>
      <bottom style="thin">
        <color theme="0"/>
      </bottom>
      <diagonal/>
    </border>
    <border>
      <left/>
      <right style="thin">
        <color indexed="64"/>
      </right>
      <top style="thin">
        <color theme="0"/>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s>
  <cellStyleXfs count="4">
    <xf numFmtId="0" fontId="0" fillId="0" borderId="0"/>
    <xf numFmtId="44" fontId="9"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372">
    <xf numFmtId="0" fontId="0" fillId="0" borderId="0" xfId="0"/>
    <xf numFmtId="43" fontId="5" fillId="2" borderId="0" xfId="0" applyNumberFormat="1" applyFont="1" applyFill="1" applyAlignment="1" applyProtection="1">
      <alignment vertical="top"/>
      <protection locked="0"/>
    </xf>
    <xf numFmtId="0" fontId="5" fillId="2" borderId="0" xfId="0" applyFont="1" applyFill="1" applyAlignment="1" applyProtection="1">
      <alignment vertical="top"/>
      <protection locked="0"/>
    </xf>
    <xf numFmtId="3" fontId="5" fillId="2" borderId="0" xfId="0" applyNumberFormat="1" applyFont="1" applyFill="1" applyAlignment="1" applyProtection="1">
      <alignment vertical="top"/>
      <protection locked="0"/>
    </xf>
    <xf numFmtId="0" fontId="5" fillId="4" borderId="0" xfId="0" applyFont="1" applyFill="1" applyAlignment="1" applyProtection="1">
      <alignment vertical="top" wrapText="1"/>
      <protection locked="0"/>
    </xf>
    <xf numFmtId="164" fontId="5" fillId="4" borderId="0" xfId="0" applyNumberFormat="1" applyFont="1" applyFill="1" applyAlignment="1" applyProtection="1">
      <alignment vertical="top"/>
      <protection locked="0"/>
    </xf>
    <xf numFmtId="41" fontId="5" fillId="4" borderId="0" xfId="0" applyNumberFormat="1" applyFont="1" applyFill="1" applyAlignment="1" applyProtection="1">
      <alignment vertical="top"/>
      <protection locked="0"/>
    </xf>
    <xf numFmtId="0" fontId="5" fillId="3" borderId="0" xfId="0" applyFont="1" applyFill="1" applyAlignment="1" applyProtection="1">
      <alignment vertical="top" wrapText="1"/>
      <protection locked="0"/>
    </xf>
    <xf numFmtId="43" fontId="5" fillId="3" borderId="0" xfId="0" applyNumberFormat="1" applyFont="1" applyFill="1" applyAlignment="1" applyProtection="1">
      <alignment vertical="top"/>
      <protection locked="0"/>
    </xf>
    <xf numFmtId="41" fontId="5" fillId="3" borderId="0" xfId="0" applyNumberFormat="1" applyFont="1" applyFill="1" applyAlignment="1" applyProtection="1">
      <alignment vertical="top"/>
      <protection locked="0"/>
    </xf>
    <xf numFmtId="0" fontId="5" fillId="5" borderId="0" xfId="0" applyFont="1" applyFill="1" applyAlignment="1" applyProtection="1">
      <alignment vertical="top" wrapText="1"/>
      <protection locked="0"/>
    </xf>
    <xf numFmtId="43" fontId="5" fillId="5" borderId="0" xfId="0" applyNumberFormat="1" applyFont="1" applyFill="1" applyAlignment="1" applyProtection="1">
      <alignment vertical="top"/>
      <protection locked="0"/>
    </xf>
    <xf numFmtId="41" fontId="5" fillId="5" borderId="0" xfId="0" applyNumberFormat="1" applyFont="1" applyFill="1" applyAlignment="1" applyProtection="1">
      <alignment vertical="top"/>
      <protection locked="0"/>
    </xf>
    <xf numFmtId="44" fontId="4" fillId="2" borderId="0" xfId="0" applyNumberFormat="1" applyFont="1" applyFill="1" applyAlignment="1" applyProtection="1">
      <alignment vertical="top"/>
      <protection locked="0"/>
    </xf>
    <xf numFmtId="0" fontId="2" fillId="2" borderId="0" xfId="0" applyFont="1" applyFill="1" applyAlignment="1" applyProtection="1">
      <alignment vertical="top"/>
      <protection locked="0"/>
    </xf>
    <xf numFmtId="0" fontId="6" fillId="2" borderId="0" xfId="0" applyFont="1" applyFill="1" applyAlignment="1" applyProtection="1">
      <alignment wrapText="1"/>
      <protection locked="0"/>
    </xf>
    <xf numFmtId="0" fontId="5" fillId="6" borderId="1" xfId="0" applyFont="1" applyFill="1" applyBorder="1" applyAlignment="1" applyProtection="1">
      <alignment vertical="top" wrapText="1"/>
      <protection locked="0"/>
    </xf>
    <xf numFmtId="41" fontId="5" fillId="6" borderId="1" xfId="0" applyNumberFormat="1" applyFont="1" applyFill="1" applyBorder="1" applyAlignment="1">
      <alignment vertical="top"/>
    </xf>
    <xf numFmtId="3" fontId="5" fillId="6" borderId="1" xfId="0" applyNumberFormat="1" applyFont="1" applyFill="1" applyBorder="1" applyAlignment="1" applyProtection="1">
      <alignment vertical="top"/>
      <protection locked="0"/>
    </xf>
    <xf numFmtId="164" fontId="5" fillId="6" borderId="1" xfId="0" applyNumberFormat="1" applyFont="1" applyFill="1" applyBorder="1" applyAlignment="1" applyProtection="1">
      <alignment vertical="top"/>
      <protection locked="0"/>
    </xf>
    <xf numFmtId="43" fontId="5" fillId="6" borderId="1" xfId="0" applyNumberFormat="1" applyFont="1" applyFill="1" applyBorder="1" applyAlignment="1" applyProtection="1">
      <alignment vertical="top"/>
      <protection locked="0"/>
    </xf>
    <xf numFmtId="41" fontId="5" fillId="6" borderId="1" xfId="0" applyNumberFormat="1" applyFont="1" applyFill="1" applyBorder="1" applyAlignment="1" applyProtection="1">
      <alignment vertical="top"/>
      <protection locked="0"/>
    </xf>
    <xf numFmtId="43" fontId="5" fillId="6" borderId="4" xfId="0" applyNumberFormat="1" applyFont="1" applyFill="1" applyBorder="1" applyAlignment="1" applyProtection="1">
      <alignment vertical="top"/>
      <protection locked="0"/>
    </xf>
    <xf numFmtId="0" fontId="5" fillId="6" borderId="0" xfId="0" applyFont="1" applyFill="1" applyAlignment="1" applyProtection="1">
      <alignment vertical="top"/>
      <protection locked="0"/>
    </xf>
    <xf numFmtId="0" fontId="10" fillId="2" borderId="0" xfId="0" applyFont="1" applyFill="1" applyAlignment="1" applyProtection="1">
      <alignment horizontal="center" vertical="top"/>
      <protection locked="0"/>
    </xf>
    <xf numFmtId="0" fontId="6" fillId="2" borderId="0" xfId="0" applyFont="1" applyFill="1" applyAlignment="1">
      <alignment horizontal="center" vertical="top" wrapText="1"/>
    </xf>
    <xf numFmtId="0" fontId="6" fillId="2" borderId="9" xfId="0" applyFont="1" applyFill="1" applyBorder="1" applyAlignment="1">
      <alignment horizontal="center" vertical="top" wrapText="1"/>
    </xf>
    <xf numFmtId="43" fontId="5" fillId="0" borderId="0" xfId="0" applyNumberFormat="1" applyFont="1" applyAlignment="1" applyProtection="1">
      <alignment vertical="top"/>
      <protection locked="0"/>
    </xf>
    <xf numFmtId="0" fontId="6" fillId="2" borderId="1" xfId="0" applyFont="1" applyFill="1" applyBorder="1" applyAlignment="1" applyProtection="1">
      <alignment wrapText="1"/>
      <protection locked="0"/>
    </xf>
    <xf numFmtId="0" fontId="6" fillId="4" borderId="1" xfId="0" applyFont="1" applyFill="1" applyBorder="1" applyAlignment="1" applyProtection="1">
      <alignment wrapText="1"/>
      <protection locked="0"/>
    </xf>
    <xf numFmtId="41" fontId="6" fillId="4" borderId="1" xfId="0" applyNumberFormat="1" applyFont="1" applyFill="1" applyBorder="1" applyAlignment="1" applyProtection="1">
      <alignment horizontal="center" wrapText="1"/>
      <protection locked="0"/>
    </xf>
    <xf numFmtId="41" fontId="6" fillId="3" borderId="1" xfId="0" applyNumberFormat="1" applyFont="1" applyFill="1" applyBorder="1" applyAlignment="1" applyProtection="1">
      <alignment horizontal="center" wrapText="1"/>
      <protection locked="0"/>
    </xf>
    <xf numFmtId="0" fontId="6" fillId="5" borderId="1" xfId="0" applyFont="1" applyFill="1" applyBorder="1" applyAlignment="1" applyProtection="1">
      <alignment horizontal="center" wrapText="1"/>
      <protection locked="0"/>
    </xf>
    <xf numFmtId="41" fontId="6" fillId="5" borderId="1" xfId="0" applyNumberFormat="1" applyFont="1" applyFill="1" applyBorder="1" applyAlignment="1" applyProtection="1">
      <alignment horizontal="center" wrapText="1"/>
      <protection locked="0"/>
    </xf>
    <xf numFmtId="0" fontId="5" fillId="0" borderId="0" xfId="0" applyFont="1" applyAlignment="1" applyProtection="1">
      <alignment vertical="top" wrapText="1"/>
      <protection locked="0"/>
    </xf>
    <xf numFmtId="41" fontId="5" fillId="0" borderId="0" xfId="0" applyNumberFormat="1" applyFont="1" applyAlignment="1" applyProtection="1">
      <alignment vertical="top"/>
      <protection locked="0"/>
    </xf>
    <xf numFmtId="0" fontId="5" fillId="0" borderId="0" xfId="0" applyFont="1" applyAlignment="1" applyProtection="1">
      <alignment vertical="top"/>
      <protection locked="0"/>
    </xf>
    <xf numFmtId="43" fontId="6" fillId="8" borderId="1" xfId="0" applyNumberFormat="1" applyFont="1" applyFill="1" applyBorder="1" applyAlignment="1" applyProtection="1">
      <alignment wrapText="1"/>
      <protection locked="0"/>
    </xf>
    <xf numFmtId="3" fontId="5" fillId="0" borderId="0" xfId="0" applyNumberFormat="1" applyFont="1" applyAlignment="1" applyProtection="1">
      <alignment vertical="top"/>
      <protection locked="0"/>
    </xf>
    <xf numFmtId="0" fontId="13" fillId="0" borderId="0" xfId="0" applyFont="1" applyAlignment="1">
      <alignment horizontal="center"/>
    </xf>
    <xf numFmtId="0" fontId="14" fillId="0" borderId="0" xfId="0" applyFont="1"/>
    <xf numFmtId="0" fontId="0" fillId="0" borderId="5" xfId="0" applyBorder="1" applyAlignment="1">
      <alignment horizontal="right"/>
    </xf>
    <xf numFmtId="0" fontId="0" fillId="7" borderId="10" xfId="0" applyFill="1"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7" borderId="7" xfId="0" applyFill="1" applyBorder="1" applyAlignment="1">
      <alignment horizontal="right"/>
    </xf>
    <xf numFmtId="0" fontId="0" fillId="9" borderId="7" xfId="0" applyFill="1" applyBorder="1" applyAlignment="1">
      <alignment horizontal="right"/>
    </xf>
    <xf numFmtId="0" fontId="0" fillId="0" borderId="3" xfId="0" applyBorder="1" applyAlignment="1">
      <alignment horizontal="right"/>
    </xf>
    <xf numFmtId="0" fontId="0" fillId="9" borderId="11" xfId="0" applyFill="1" applyBorder="1" applyAlignment="1">
      <alignment horizontal="right"/>
    </xf>
    <xf numFmtId="0" fontId="0" fillId="0" borderId="0" xfId="0" applyAlignment="1">
      <alignment horizontal="right"/>
    </xf>
    <xf numFmtId="0" fontId="15" fillId="0" borderId="0" xfId="0" applyFont="1" applyAlignment="1">
      <alignment horizontal="left"/>
    </xf>
    <xf numFmtId="0" fontId="0" fillId="0" borderId="0" xfId="0" applyAlignment="1">
      <alignment horizontal="left"/>
    </xf>
    <xf numFmtId="22" fontId="0" fillId="0" borderId="0" xfId="0" applyNumberFormat="1"/>
    <xf numFmtId="0" fontId="5" fillId="4" borderId="16" xfId="0" applyFont="1" applyFill="1" applyBorder="1" applyAlignment="1" applyProtection="1">
      <alignment vertical="top" wrapText="1"/>
      <protection locked="0"/>
    </xf>
    <xf numFmtId="41" fontId="5" fillId="4" borderId="17" xfId="0" applyNumberFormat="1" applyFont="1" applyFill="1" applyBorder="1" applyAlignment="1" applyProtection="1">
      <alignment vertical="top"/>
      <protection locked="0"/>
    </xf>
    <xf numFmtId="41" fontId="5" fillId="4" borderId="17" xfId="0" applyNumberFormat="1" applyFont="1" applyFill="1" applyBorder="1" applyAlignment="1">
      <alignment vertical="top"/>
    </xf>
    <xf numFmtId="0" fontId="5" fillId="4" borderId="19" xfId="0" applyFont="1" applyFill="1" applyBorder="1" applyAlignment="1" applyProtection="1">
      <alignment vertical="top" wrapText="1"/>
      <protection locked="0"/>
    </xf>
    <xf numFmtId="164" fontId="5" fillId="4" borderId="20" xfId="0" applyNumberFormat="1" applyFont="1" applyFill="1" applyBorder="1" applyAlignment="1" applyProtection="1">
      <alignment vertical="top"/>
      <protection locked="0"/>
    </xf>
    <xf numFmtId="164" fontId="4" fillId="4" borderId="17" xfId="0" applyNumberFormat="1" applyFont="1" applyFill="1" applyBorder="1" applyAlignment="1" applyProtection="1">
      <alignment vertical="top"/>
      <protection locked="0"/>
    </xf>
    <xf numFmtId="44" fontId="4" fillId="4" borderId="16" xfId="0" applyNumberFormat="1" applyFont="1" applyFill="1" applyBorder="1" applyAlignment="1" applyProtection="1">
      <alignment vertical="top" wrapText="1"/>
      <protection locked="0"/>
    </xf>
    <xf numFmtId="41" fontId="4" fillId="4" borderId="17" xfId="0" applyNumberFormat="1" applyFont="1" applyFill="1" applyBorder="1" applyAlignment="1">
      <alignment vertical="top"/>
    </xf>
    <xf numFmtId="41" fontId="5" fillId="4" borderId="20" xfId="0" applyNumberFormat="1" applyFont="1" applyFill="1" applyBorder="1" applyAlignment="1" applyProtection="1">
      <alignment vertical="top"/>
      <protection locked="0"/>
    </xf>
    <xf numFmtId="0" fontId="5" fillId="3" borderId="16" xfId="0" applyFont="1" applyFill="1" applyBorder="1" applyAlignment="1" applyProtection="1">
      <alignment vertical="top" wrapText="1"/>
      <protection locked="0"/>
    </xf>
    <xf numFmtId="41" fontId="5" fillId="3" borderId="17" xfId="0" applyNumberFormat="1" applyFont="1" applyFill="1" applyBorder="1" applyAlignment="1" applyProtection="1">
      <alignment vertical="top"/>
      <protection locked="0"/>
    </xf>
    <xf numFmtId="41" fontId="5" fillId="3" borderId="17" xfId="0" applyNumberFormat="1" applyFont="1" applyFill="1" applyBorder="1" applyAlignment="1">
      <alignment vertical="top"/>
    </xf>
    <xf numFmtId="0" fontId="5" fillId="3" borderId="19" xfId="0" applyFont="1" applyFill="1" applyBorder="1" applyAlignment="1" applyProtection="1">
      <alignment vertical="top" wrapText="1"/>
      <protection locked="0"/>
    </xf>
    <xf numFmtId="0" fontId="3" fillId="2" borderId="16" xfId="0" applyFont="1" applyFill="1" applyBorder="1" applyAlignment="1" applyProtection="1">
      <alignment vertical="top"/>
      <protection locked="0"/>
    </xf>
    <xf numFmtId="0" fontId="5" fillId="2" borderId="16" xfId="0" applyFont="1" applyFill="1" applyBorder="1" applyAlignment="1" applyProtection="1">
      <alignment vertical="top"/>
      <protection locked="0"/>
    </xf>
    <xf numFmtId="3" fontId="4" fillId="2" borderId="17" xfId="0" applyNumberFormat="1" applyFont="1" applyFill="1" applyBorder="1" applyAlignment="1" applyProtection="1">
      <alignment vertical="top"/>
      <protection locked="0"/>
    </xf>
    <xf numFmtId="3" fontId="4" fillId="2" borderId="18" xfId="0" applyNumberFormat="1" applyFont="1" applyFill="1" applyBorder="1" applyAlignment="1" applyProtection="1">
      <alignment vertical="top"/>
      <protection locked="0"/>
    </xf>
    <xf numFmtId="0" fontId="5" fillId="2" borderId="16" xfId="0" applyFont="1" applyFill="1" applyBorder="1" applyAlignment="1" applyProtection="1">
      <alignment vertical="top" wrapText="1"/>
      <protection locked="0"/>
    </xf>
    <xf numFmtId="3" fontId="5" fillId="2" borderId="17" xfId="0" applyNumberFormat="1" applyFont="1" applyFill="1" applyBorder="1" applyAlignment="1" applyProtection="1">
      <alignment vertical="top"/>
      <protection locked="0"/>
    </xf>
    <xf numFmtId="3" fontId="5" fillId="2" borderId="18" xfId="0" applyNumberFormat="1" applyFont="1" applyFill="1" applyBorder="1" applyAlignment="1" applyProtection="1">
      <alignment vertical="top"/>
      <protection locked="0"/>
    </xf>
    <xf numFmtId="3" fontId="5" fillId="2" borderId="20" xfId="0" applyNumberFormat="1" applyFont="1" applyFill="1" applyBorder="1" applyAlignment="1" applyProtection="1">
      <alignment vertical="top"/>
      <protection locked="0"/>
    </xf>
    <xf numFmtId="3" fontId="5" fillId="2" borderId="21" xfId="0" applyNumberFormat="1" applyFont="1" applyFill="1" applyBorder="1" applyAlignment="1" applyProtection="1">
      <alignment vertical="top"/>
      <protection locked="0"/>
    </xf>
    <xf numFmtId="3" fontId="2" fillId="2" borderId="17" xfId="0" applyNumberFormat="1" applyFont="1" applyFill="1" applyBorder="1" applyAlignment="1" applyProtection="1">
      <alignment vertical="top"/>
      <protection locked="0"/>
    </xf>
    <xf numFmtId="3" fontId="2" fillId="2" borderId="18" xfId="0" applyNumberFormat="1" applyFont="1" applyFill="1" applyBorder="1" applyAlignment="1" applyProtection="1">
      <alignment vertical="top"/>
      <protection locked="0"/>
    </xf>
    <xf numFmtId="0" fontId="4" fillId="2" borderId="13" xfId="0" applyFont="1" applyFill="1" applyBorder="1" applyAlignment="1" applyProtection="1">
      <alignment horizontal="right" vertical="top"/>
      <protection locked="0"/>
    </xf>
    <xf numFmtId="0" fontId="1" fillId="2" borderId="16" xfId="0" applyFont="1" applyFill="1" applyBorder="1" applyAlignment="1" applyProtection="1">
      <alignment horizontal="left" vertical="top"/>
      <protection locked="0"/>
    </xf>
    <xf numFmtId="44" fontId="5" fillId="2" borderId="19" xfId="0" applyNumberFormat="1" applyFont="1" applyFill="1" applyBorder="1" applyAlignment="1" applyProtection="1">
      <alignment vertical="top"/>
      <protection locked="0"/>
    </xf>
    <xf numFmtId="0" fontId="2" fillId="3" borderId="16" xfId="0" applyFont="1" applyFill="1" applyBorder="1" applyAlignment="1" applyProtection="1">
      <alignment vertical="top" wrapText="1"/>
      <protection locked="0"/>
    </xf>
    <xf numFmtId="0" fontId="7" fillId="3" borderId="16" xfId="0" applyFont="1" applyFill="1" applyBorder="1" applyAlignment="1" applyProtection="1">
      <alignment vertical="top" wrapText="1"/>
      <protection locked="0"/>
    </xf>
    <xf numFmtId="44" fontId="4" fillId="3" borderId="16" xfId="0" applyNumberFormat="1" applyFont="1" applyFill="1" applyBorder="1" applyAlignment="1" applyProtection="1">
      <alignment vertical="top" wrapText="1"/>
      <protection locked="0"/>
    </xf>
    <xf numFmtId="41" fontId="5" fillId="3" borderId="20" xfId="0" applyNumberFormat="1" applyFont="1" applyFill="1" applyBorder="1" applyAlignment="1" applyProtection="1">
      <alignment vertical="top"/>
      <protection locked="0"/>
    </xf>
    <xf numFmtId="43" fontId="2" fillId="8" borderId="16" xfId="0" applyNumberFormat="1" applyFont="1" applyFill="1" applyBorder="1" applyAlignment="1" applyProtection="1">
      <alignment vertical="top"/>
      <protection locked="0"/>
    </xf>
    <xf numFmtId="43" fontId="2" fillId="8" borderId="17" xfId="0" applyNumberFormat="1" applyFont="1" applyFill="1" applyBorder="1" applyAlignment="1" applyProtection="1">
      <alignment vertical="top"/>
      <protection locked="0"/>
    </xf>
    <xf numFmtId="43" fontId="5" fillId="8" borderId="16" xfId="0" applyNumberFormat="1" applyFont="1" applyFill="1" applyBorder="1" applyAlignment="1" applyProtection="1">
      <alignment vertical="top"/>
      <protection locked="0"/>
    </xf>
    <xf numFmtId="43" fontId="5" fillId="8" borderId="17" xfId="0" applyNumberFormat="1" applyFont="1" applyFill="1" applyBorder="1" applyAlignment="1" applyProtection="1">
      <alignment vertical="top"/>
      <protection locked="0"/>
    </xf>
    <xf numFmtId="41" fontId="5" fillId="8" borderId="17" xfId="0" applyNumberFormat="1" applyFont="1" applyFill="1" applyBorder="1" applyAlignment="1">
      <alignment vertical="top"/>
    </xf>
    <xf numFmtId="41" fontId="5" fillId="8" borderId="17" xfId="0" applyNumberFormat="1" applyFont="1" applyFill="1" applyBorder="1" applyAlignment="1" applyProtection="1">
      <alignment vertical="top"/>
      <protection locked="0"/>
    </xf>
    <xf numFmtId="44" fontId="4" fillId="8" borderId="16" xfId="0" applyNumberFormat="1" applyFont="1" applyFill="1" applyBorder="1" applyAlignment="1" applyProtection="1">
      <alignment vertical="top"/>
      <protection locked="0"/>
    </xf>
    <xf numFmtId="44" fontId="4" fillId="8" borderId="17" xfId="0" applyNumberFormat="1" applyFont="1" applyFill="1" applyBorder="1" applyAlignment="1" applyProtection="1">
      <alignment vertical="top"/>
      <protection locked="0"/>
    </xf>
    <xf numFmtId="43" fontId="5" fillId="8" borderId="19" xfId="0" applyNumberFormat="1" applyFont="1" applyFill="1" applyBorder="1" applyAlignment="1" applyProtection="1">
      <alignment vertical="top"/>
      <protection locked="0"/>
    </xf>
    <xf numFmtId="43" fontId="5" fillId="8" borderId="20" xfId="0" applyNumberFormat="1" applyFont="1" applyFill="1" applyBorder="1" applyAlignment="1" applyProtection="1">
      <alignment vertical="top"/>
      <protection locked="0"/>
    </xf>
    <xf numFmtId="0" fontId="2" fillId="5" borderId="16" xfId="0" applyFont="1" applyFill="1" applyBorder="1" applyAlignment="1" applyProtection="1">
      <alignment vertical="top" wrapText="1"/>
      <protection locked="0"/>
    </xf>
    <xf numFmtId="41" fontId="5" fillId="5" borderId="17" xfId="0" applyNumberFormat="1" applyFont="1" applyFill="1" applyBorder="1" applyAlignment="1" applyProtection="1">
      <alignment vertical="top"/>
      <protection locked="0"/>
    </xf>
    <xf numFmtId="0" fontId="5" fillId="5" borderId="16" xfId="0" applyFont="1" applyFill="1" applyBorder="1" applyAlignment="1" applyProtection="1">
      <alignment vertical="top" wrapText="1"/>
      <protection locked="0"/>
    </xf>
    <xf numFmtId="41" fontId="5" fillId="5" borderId="17" xfId="0" applyNumberFormat="1" applyFont="1" applyFill="1" applyBorder="1" applyAlignment="1">
      <alignment vertical="top"/>
    </xf>
    <xf numFmtId="44" fontId="4" fillId="5" borderId="16" xfId="0" applyNumberFormat="1" applyFont="1" applyFill="1" applyBorder="1" applyAlignment="1" applyProtection="1">
      <alignment vertical="top" wrapText="1"/>
      <protection locked="0"/>
    </xf>
    <xf numFmtId="0" fontId="5" fillId="5" borderId="19" xfId="0" applyFont="1" applyFill="1" applyBorder="1" applyAlignment="1" applyProtection="1">
      <alignment vertical="top" wrapText="1"/>
      <protection locked="0"/>
    </xf>
    <xf numFmtId="41" fontId="5" fillId="5" borderId="20" xfId="0" applyNumberFormat="1" applyFont="1" applyFill="1" applyBorder="1" applyAlignment="1" applyProtection="1">
      <alignment vertical="top"/>
      <protection locked="0"/>
    </xf>
    <xf numFmtId="0" fontId="6" fillId="2" borderId="1" xfId="0" applyFont="1" applyFill="1" applyBorder="1" applyAlignment="1" applyProtection="1">
      <alignment horizontal="center" wrapText="1"/>
      <protection locked="0"/>
    </xf>
    <xf numFmtId="0" fontId="8" fillId="3" borderId="16" xfId="0" applyFont="1" applyFill="1" applyBorder="1" applyAlignment="1" applyProtection="1">
      <alignment vertical="top" wrapText="1"/>
      <protection locked="0"/>
    </xf>
    <xf numFmtId="41" fontId="8" fillId="3" borderId="17" xfId="0" applyNumberFormat="1" applyFont="1" applyFill="1" applyBorder="1" applyAlignment="1">
      <alignment vertical="top"/>
    </xf>
    <xf numFmtId="0" fontId="8" fillId="5" borderId="16" xfId="0" applyFont="1" applyFill="1" applyBorder="1" applyAlignment="1" applyProtection="1">
      <alignment vertical="top" wrapText="1"/>
      <protection locked="0"/>
    </xf>
    <xf numFmtId="41" fontId="8" fillId="5" borderId="17" xfId="0" applyNumberFormat="1" applyFont="1" applyFill="1" applyBorder="1" applyAlignment="1">
      <alignment vertical="top"/>
    </xf>
    <xf numFmtId="43" fontId="8" fillId="8" borderId="16" xfId="0" applyNumberFormat="1" applyFont="1" applyFill="1" applyBorder="1" applyAlignment="1" applyProtection="1">
      <alignment vertical="top"/>
      <protection locked="0"/>
    </xf>
    <xf numFmtId="43" fontId="8" fillId="8" borderId="17" xfId="0" applyNumberFormat="1" applyFont="1" applyFill="1" applyBorder="1" applyAlignment="1" applyProtection="1">
      <alignment vertical="top"/>
      <protection locked="0"/>
    </xf>
    <xf numFmtId="41" fontId="8" fillId="8" borderId="17" xfId="0" applyNumberFormat="1" applyFont="1" applyFill="1" applyBorder="1" applyAlignment="1">
      <alignment vertical="top"/>
    </xf>
    <xf numFmtId="0" fontId="8" fillId="2" borderId="0" xfId="0" applyFont="1" applyFill="1" applyAlignment="1" applyProtection="1">
      <alignment vertical="top"/>
      <protection locked="0"/>
    </xf>
    <xf numFmtId="0" fontId="17" fillId="2" borderId="16" xfId="0" applyFont="1" applyFill="1" applyBorder="1" applyAlignment="1" applyProtection="1">
      <alignment vertical="top"/>
      <protection locked="0"/>
    </xf>
    <xf numFmtId="0" fontId="8" fillId="2" borderId="2" xfId="0" applyFont="1" applyFill="1" applyBorder="1" applyAlignment="1" applyProtection="1">
      <alignment horizontal="center" vertical="top" wrapText="1"/>
      <protection locked="0"/>
    </xf>
    <xf numFmtId="0" fontId="17" fillId="2" borderId="22" xfId="0" applyFont="1" applyFill="1" applyBorder="1" applyAlignment="1" applyProtection="1">
      <alignment vertical="top"/>
      <protection locked="0"/>
    </xf>
    <xf numFmtId="0" fontId="5" fillId="2" borderId="22" xfId="0" applyFont="1" applyFill="1" applyBorder="1" applyAlignment="1" applyProtection="1">
      <alignment vertical="top" wrapText="1"/>
      <protection locked="0"/>
    </xf>
    <xf numFmtId="0" fontId="5" fillId="2" borderId="22" xfId="0" applyFont="1" applyFill="1" applyBorder="1" applyAlignment="1" applyProtection="1">
      <alignment vertical="top"/>
      <protection locked="0"/>
    </xf>
    <xf numFmtId="0" fontId="4" fillId="2" borderId="23" xfId="0" applyFont="1" applyFill="1" applyBorder="1" applyAlignment="1" applyProtection="1">
      <alignment horizontal="right" vertical="top"/>
      <protection locked="0"/>
    </xf>
    <xf numFmtId="0" fontId="1" fillId="2" borderId="22" xfId="0" applyFont="1" applyFill="1" applyBorder="1" applyAlignment="1" applyProtection="1">
      <alignment horizontal="left" vertical="top"/>
      <protection locked="0"/>
    </xf>
    <xf numFmtId="44" fontId="5" fillId="2" borderId="24" xfId="0" applyNumberFormat="1" applyFont="1" applyFill="1" applyBorder="1" applyAlignment="1" applyProtection="1">
      <alignment vertical="top"/>
      <protection locked="0"/>
    </xf>
    <xf numFmtId="166" fontId="8" fillId="4" borderId="17" xfId="0" applyNumberFormat="1" applyFont="1" applyFill="1" applyBorder="1" applyAlignment="1">
      <alignment vertical="top"/>
    </xf>
    <xf numFmtId="14" fontId="0" fillId="9" borderId="10" xfId="0" applyNumberFormat="1" applyFill="1" applyBorder="1" applyAlignment="1">
      <alignment horizontal="right"/>
    </xf>
    <xf numFmtId="49" fontId="0" fillId="7" borderId="11" xfId="0" applyNumberFormat="1" applyFill="1" applyBorder="1" applyAlignment="1">
      <alignment horizontal="right"/>
    </xf>
    <xf numFmtId="0" fontId="8" fillId="4" borderId="25" xfId="0" applyFont="1" applyFill="1" applyBorder="1" applyAlignment="1" applyProtection="1">
      <alignment vertical="top"/>
      <protection locked="0"/>
    </xf>
    <xf numFmtId="41" fontId="6" fillId="10" borderId="1" xfId="0" applyNumberFormat="1" applyFont="1" applyFill="1" applyBorder="1" applyAlignment="1" applyProtection="1">
      <alignment wrapText="1"/>
      <protection locked="0"/>
    </xf>
    <xf numFmtId="41" fontId="8" fillId="10" borderId="18" xfId="0" applyNumberFormat="1" applyFont="1" applyFill="1" applyBorder="1" applyAlignment="1">
      <alignment vertical="top"/>
    </xf>
    <xf numFmtId="41" fontId="5" fillId="10" borderId="18" xfId="0" applyNumberFormat="1" applyFont="1" applyFill="1" applyBorder="1" applyAlignment="1" applyProtection="1">
      <alignment vertical="top"/>
      <protection locked="0"/>
    </xf>
    <xf numFmtId="41" fontId="5" fillId="10" borderId="18" xfId="0" applyNumberFormat="1" applyFont="1" applyFill="1" applyBorder="1" applyAlignment="1">
      <alignment vertical="top"/>
    </xf>
    <xf numFmtId="41" fontId="5" fillId="10" borderId="21" xfId="0" applyNumberFormat="1" applyFont="1" applyFill="1" applyBorder="1" applyAlignment="1" applyProtection="1">
      <alignment vertical="top"/>
      <protection locked="0"/>
    </xf>
    <xf numFmtId="168" fontId="8" fillId="2" borderId="2" xfId="2" applyNumberFormat="1" applyFont="1" applyFill="1" applyBorder="1" applyAlignment="1">
      <alignment vertical="top"/>
    </xf>
    <xf numFmtId="168" fontId="8" fillId="2" borderId="2" xfId="2" applyNumberFormat="1" applyFont="1" applyFill="1" applyBorder="1" applyAlignment="1" applyProtection="1">
      <alignment horizontal="center" vertical="top"/>
      <protection locked="0"/>
    </xf>
    <xf numFmtId="41" fontId="8" fillId="4" borderId="17" xfId="0" applyNumberFormat="1" applyFont="1" applyFill="1" applyBorder="1" applyAlignment="1">
      <alignment vertical="top"/>
    </xf>
    <xf numFmtId="167" fontId="4" fillId="10" borderId="18" xfId="1" applyNumberFormat="1" applyFont="1" applyFill="1" applyBorder="1" applyAlignment="1">
      <alignment vertical="top"/>
    </xf>
    <xf numFmtId="0" fontId="5" fillId="5" borderId="16" xfId="0" applyFont="1" applyFill="1" applyBorder="1" applyAlignment="1">
      <alignment vertical="top" wrapText="1"/>
    </xf>
    <xf numFmtId="0" fontId="8" fillId="8" borderId="17" xfId="0" applyFont="1" applyFill="1" applyBorder="1" applyAlignment="1" applyProtection="1">
      <alignment vertical="top"/>
      <protection locked="0"/>
    </xf>
    <xf numFmtId="43" fontId="5" fillId="14" borderId="17" xfId="0" applyNumberFormat="1" applyFont="1" applyFill="1" applyBorder="1" applyAlignment="1" applyProtection="1">
      <alignment vertical="top"/>
      <protection locked="0"/>
    </xf>
    <xf numFmtId="41" fontId="19" fillId="0" borderId="0" xfId="0" applyNumberFormat="1" applyFont="1" applyAlignment="1" applyProtection="1">
      <alignment horizontal="centerContinuous" vertical="center"/>
      <protection locked="0"/>
    </xf>
    <xf numFmtId="164" fontId="5" fillId="0" borderId="0" xfId="0" applyNumberFormat="1" applyFont="1" applyAlignment="1" applyProtection="1">
      <alignment horizontal="centerContinuous" vertical="top"/>
      <protection locked="0"/>
    </xf>
    <xf numFmtId="41" fontId="5" fillId="0" borderId="0" xfId="0" applyNumberFormat="1" applyFont="1" applyAlignment="1" applyProtection="1">
      <alignment horizontal="centerContinuous" vertical="top"/>
      <protection locked="0"/>
    </xf>
    <xf numFmtId="41" fontId="20" fillId="0" borderId="0" xfId="0" applyNumberFormat="1" applyFont="1" applyAlignment="1" applyProtection="1">
      <alignment horizontal="centerContinuous" vertical="center"/>
      <protection locked="0"/>
    </xf>
    <xf numFmtId="0" fontId="4" fillId="3" borderId="13" xfId="0" applyFont="1" applyFill="1" applyBorder="1" applyAlignment="1" applyProtection="1">
      <alignment vertical="top" wrapText="1"/>
      <protection locked="0"/>
    </xf>
    <xf numFmtId="41" fontId="4" fillId="3" borderId="17" xfId="0" applyNumberFormat="1" applyFont="1" applyFill="1" applyBorder="1" applyAlignment="1">
      <alignment vertical="center"/>
    </xf>
    <xf numFmtId="0" fontId="4" fillId="4" borderId="13" xfId="0" applyFont="1" applyFill="1" applyBorder="1" applyAlignment="1" applyProtection="1">
      <alignment vertical="top" wrapText="1"/>
      <protection locked="0"/>
    </xf>
    <xf numFmtId="44" fontId="1" fillId="4" borderId="16" xfId="0" applyNumberFormat="1" applyFont="1" applyFill="1" applyBorder="1" applyAlignment="1" applyProtection="1">
      <alignment vertical="center" wrapText="1"/>
      <protection locked="0"/>
    </xf>
    <xf numFmtId="44" fontId="1" fillId="3" borderId="16" xfId="0" applyNumberFormat="1" applyFont="1" applyFill="1" applyBorder="1" applyAlignment="1" applyProtection="1">
      <alignment vertical="center" wrapText="1"/>
      <protection locked="0"/>
    </xf>
    <xf numFmtId="41" fontId="4" fillId="4" borderId="17" xfId="0" applyNumberFormat="1" applyFont="1" applyFill="1" applyBorder="1" applyAlignment="1">
      <alignment vertical="center"/>
    </xf>
    <xf numFmtId="3" fontId="4" fillId="2" borderId="14" xfId="0" applyNumberFormat="1" applyFont="1" applyFill="1" applyBorder="1" applyAlignment="1" applyProtection="1">
      <alignment vertical="top"/>
      <protection locked="0"/>
    </xf>
    <xf numFmtId="3" fontId="4" fillId="2" borderId="15" xfId="0" applyNumberFormat="1" applyFont="1" applyFill="1" applyBorder="1" applyAlignment="1" applyProtection="1">
      <alignment vertical="top"/>
      <protection locked="0"/>
    </xf>
    <xf numFmtId="41" fontId="4" fillId="4" borderId="14" xfId="0" applyNumberFormat="1" applyFont="1" applyFill="1" applyBorder="1" applyAlignment="1">
      <alignment vertical="top"/>
    </xf>
    <xf numFmtId="41" fontId="4" fillId="3" borderId="14" xfId="0" applyNumberFormat="1" applyFont="1" applyFill="1" applyBorder="1" applyAlignment="1">
      <alignment vertical="top"/>
    </xf>
    <xf numFmtId="0" fontId="4" fillId="5" borderId="13" xfId="0" applyFont="1" applyFill="1" applyBorder="1" applyAlignment="1" applyProtection="1">
      <alignment vertical="top" wrapText="1"/>
      <protection locked="0"/>
    </xf>
    <xf numFmtId="43" fontId="4" fillId="8" borderId="13" xfId="0" applyNumberFormat="1" applyFont="1" applyFill="1" applyBorder="1" applyAlignment="1" applyProtection="1">
      <alignment vertical="top"/>
      <protection locked="0"/>
    </xf>
    <xf numFmtId="43" fontId="4" fillId="8" borderId="14" xfId="0" applyNumberFormat="1" applyFont="1" applyFill="1" applyBorder="1" applyAlignment="1" applyProtection="1">
      <alignment vertical="top"/>
      <protection locked="0"/>
    </xf>
    <xf numFmtId="0" fontId="4" fillId="2" borderId="0" xfId="0" applyFont="1" applyFill="1" applyAlignment="1" applyProtection="1">
      <alignment vertical="top"/>
      <protection locked="0"/>
    </xf>
    <xf numFmtId="171" fontId="5" fillId="2" borderId="17" xfId="3" applyNumberFormat="1" applyFont="1" applyFill="1" applyBorder="1" applyAlignment="1" applyProtection="1">
      <alignment vertical="top"/>
    </xf>
    <xf numFmtId="41" fontId="4" fillId="5" borderId="14" xfId="0" applyNumberFormat="1" applyFont="1" applyFill="1" applyBorder="1" applyAlignment="1">
      <alignment vertical="top"/>
    </xf>
    <xf numFmtId="41" fontId="4" fillId="5" borderId="17" xfId="0" applyNumberFormat="1" applyFont="1" applyFill="1" applyBorder="1" applyAlignment="1">
      <alignment vertical="center"/>
    </xf>
    <xf numFmtId="43" fontId="4" fillId="8" borderId="14" xfId="0" applyNumberFormat="1" applyFont="1" applyFill="1" applyBorder="1" applyAlignment="1">
      <alignment vertical="top"/>
    </xf>
    <xf numFmtId="43" fontId="5" fillId="8" borderId="16" xfId="0" applyNumberFormat="1" applyFont="1" applyFill="1" applyBorder="1" applyAlignment="1">
      <alignment vertical="top"/>
    </xf>
    <xf numFmtId="41" fontId="6" fillId="14" borderId="1" xfId="0" applyNumberFormat="1" applyFont="1" applyFill="1" applyBorder="1" applyAlignment="1" applyProtection="1">
      <alignment wrapText="1"/>
      <protection locked="0"/>
    </xf>
    <xf numFmtId="41" fontId="8" fillId="14" borderId="18" xfId="0" applyNumberFormat="1" applyFont="1" applyFill="1" applyBorder="1" applyAlignment="1">
      <alignment vertical="top"/>
    </xf>
    <xf numFmtId="41" fontId="5" fillId="14" borderId="18" xfId="0" applyNumberFormat="1" applyFont="1" applyFill="1" applyBorder="1" applyAlignment="1" applyProtection="1">
      <alignment vertical="top"/>
      <protection locked="0"/>
    </xf>
    <xf numFmtId="41" fontId="5" fillId="14" borderId="18" xfId="0" applyNumberFormat="1" applyFont="1" applyFill="1" applyBorder="1" applyAlignment="1">
      <alignment vertical="top"/>
    </xf>
    <xf numFmtId="41" fontId="4" fillId="14" borderId="18" xfId="0" applyNumberFormat="1" applyFont="1" applyFill="1" applyBorder="1" applyAlignment="1">
      <alignment vertical="top"/>
    </xf>
    <xf numFmtId="41" fontId="5" fillId="14" borderId="21" xfId="0" applyNumberFormat="1" applyFont="1" applyFill="1" applyBorder="1" applyAlignment="1" applyProtection="1">
      <alignment vertical="top"/>
      <protection locked="0"/>
    </xf>
    <xf numFmtId="41" fontId="4" fillId="14" borderId="15" xfId="0" applyNumberFormat="1" applyFont="1" applyFill="1" applyBorder="1" applyAlignment="1">
      <alignment vertical="top"/>
    </xf>
    <xf numFmtId="43" fontId="6" fillId="15" borderId="1" xfId="0" applyNumberFormat="1" applyFont="1" applyFill="1" applyBorder="1" applyAlignment="1" applyProtection="1">
      <alignment wrapText="1"/>
      <protection locked="0"/>
    </xf>
    <xf numFmtId="41" fontId="8" fillId="15" borderId="18" xfId="0" applyNumberFormat="1" applyFont="1" applyFill="1" applyBorder="1" applyAlignment="1">
      <alignment vertical="top"/>
    </xf>
    <xf numFmtId="43" fontId="4" fillId="15" borderId="15" xfId="0" applyNumberFormat="1" applyFont="1" applyFill="1" applyBorder="1" applyAlignment="1">
      <alignment vertical="top"/>
    </xf>
    <xf numFmtId="43" fontId="2" fillId="15" borderId="18" xfId="0" applyNumberFormat="1" applyFont="1" applyFill="1" applyBorder="1" applyAlignment="1" applyProtection="1">
      <alignment vertical="top"/>
      <protection locked="0"/>
    </xf>
    <xf numFmtId="41" fontId="5" fillId="15" borderId="18" xfId="0" applyNumberFormat="1" applyFont="1" applyFill="1" applyBorder="1" applyAlignment="1">
      <alignment vertical="top"/>
    </xf>
    <xf numFmtId="41" fontId="5" fillId="15" borderId="18" xfId="0" applyNumberFormat="1" applyFont="1" applyFill="1" applyBorder="1" applyAlignment="1" applyProtection="1">
      <alignment vertical="top"/>
      <protection locked="0"/>
    </xf>
    <xf numFmtId="41" fontId="4" fillId="15" borderId="18" xfId="0" applyNumberFormat="1" applyFont="1" applyFill="1" applyBorder="1" applyAlignment="1">
      <alignment vertical="top"/>
    </xf>
    <xf numFmtId="43" fontId="5" fillId="15" borderId="21" xfId="0" applyNumberFormat="1" applyFont="1" applyFill="1" applyBorder="1" applyAlignment="1" applyProtection="1">
      <alignment vertical="top"/>
      <protection locked="0"/>
    </xf>
    <xf numFmtId="0" fontId="5" fillId="0" borderId="0" xfId="0" applyFont="1"/>
    <xf numFmtId="0" fontId="5" fillId="0" borderId="28" xfId="0" applyFont="1" applyBorder="1"/>
    <xf numFmtId="0" fontId="5" fillId="0" borderId="29" xfId="0" applyFont="1" applyBorder="1"/>
    <xf numFmtId="0" fontId="5" fillId="0" borderId="30" xfId="0" applyFont="1" applyBorder="1"/>
    <xf numFmtId="0" fontId="5" fillId="0" borderId="31" xfId="0" applyFont="1" applyBorder="1"/>
    <xf numFmtId="0" fontId="5" fillId="0" borderId="32" xfId="0" applyFont="1" applyBorder="1"/>
    <xf numFmtId="0" fontId="5" fillId="0" borderId="31" xfId="0" applyFont="1" applyBorder="1" applyAlignment="1">
      <alignment vertical="center"/>
    </xf>
    <xf numFmtId="0" fontId="5" fillId="0" borderId="32" xfId="0" applyFont="1" applyBorder="1" applyAlignment="1">
      <alignment vertical="center"/>
    </xf>
    <xf numFmtId="43" fontId="5" fillId="0" borderId="0" xfId="0" applyNumberFormat="1" applyFont="1" applyAlignment="1">
      <alignment vertical="center"/>
    </xf>
    <xf numFmtId="0" fontId="5" fillId="0" borderId="0" xfId="0" applyFont="1" applyAlignment="1">
      <alignment vertical="center"/>
    </xf>
    <xf numFmtId="43" fontId="5" fillId="0" borderId="0" xfId="0" applyNumberFormat="1" applyFont="1"/>
    <xf numFmtId="172" fontId="5" fillId="2" borderId="16" xfId="0" applyNumberFormat="1" applyFont="1" applyFill="1" applyBorder="1" applyAlignment="1">
      <alignment horizontal="left" vertical="top" wrapText="1"/>
    </xf>
    <xf numFmtId="172" fontId="5" fillId="3" borderId="16" xfId="0" applyNumberFormat="1" applyFont="1" applyFill="1" applyBorder="1" applyAlignment="1">
      <alignment horizontal="left" vertical="top" wrapText="1"/>
    </xf>
    <xf numFmtId="173" fontId="5" fillId="2" borderId="16" xfId="0" applyNumberFormat="1" applyFont="1" applyFill="1" applyBorder="1" applyAlignment="1">
      <alignment horizontal="left" vertical="top" wrapText="1"/>
    </xf>
    <xf numFmtId="173" fontId="5" fillId="8" borderId="16" xfId="0" applyNumberFormat="1" applyFont="1" applyFill="1" applyBorder="1" applyAlignment="1">
      <alignment horizontal="left" vertical="top"/>
    </xf>
    <xf numFmtId="173" fontId="5" fillId="5" borderId="16" xfId="0" applyNumberFormat="1" applyFont="1" applyFill="1" applyBorder="1" applyAlignment="1">
      <alignment horizontal="left" vertical="top" wrapText="1"/>
    </xf>
    <xf numFmtId="172" fontId="5" fillId="4" borderId="16" xfId="0" applyNumberFormat="1" applyFont="1" applyFill="1" applyBorder="1" applyAlignment="1">
      <alignment horizontal="left" vertical="top" wrapText="1"/>
    </xf>
    <xf numFmtId="0" fontId="1" fillId="2" borderId="16" xfId="0" applyFont="1" applyFill="1" applyBorder="1" applyAlignment="1" applyProtection="1">
      <alignment horizontal="left" vertical="center"/>
      <protection locked="0"/>
    </xf>
    <xf numFmtId="0" fontId="1" fillId="2" borderId="22" xfId="0" applyFont="1" applyFill="1" applyBorder="1" applyAlignment="1" applyProtection="1">
      <alignment horizontal="left" vertical="center"/>
      <protection locked="0"/>
    </xf>
    <xf numFmtId="3" fontId="4" fillId="2" borderId="17" xfId="0" applyNumberFormat="1" applyFont="1" applyFill="1" applyBorder="1" applyAlignment="1" applyProtection="1">
      <alignment vertical="center"/>
      <protection locked="0"/>
    </xf>
    <xf numFmtId="3" fontId="4" fillId="2" borderId="18" xfId="0" applyNumberFormat="1" applyFont="1" applyFill="1" applyBorder="1" applyAlignment="1" applyProtection="1">
      <alignment vertical="center"/>
      <protection locked="0"/>
    </xf>
    <xf numFmtId="167" fontId="11" fillId="11" borderId="18" xfId="1" applyNumberFormat="1" applyFont="1" applyFill="1" applyBorder="1" applyAlignment="1">
      <alignment vertical="center"/>
    </xf>
    <xf numFmtId="167" fontId="11" fillId="12" borderId="18" xfId="1" applyNumberFormat="1" applyFont="1" applyFill="1" applyBorder="1" applyAlignment="1">
      <alignment vertical="center"/>
    </xf>
    <xf numFmtId="44" fontId="4" fillId="8" borderId="16" xfId="0" applyNumberFormat="1" applyFont="1" applyFill="1" applyBorder="1" applyAlignment="1" applyProtection="1">
      <alignment vertical="center"/>
      <protection locked="0"/>
    </xf>
    <xf numFmtId="44" fontId="4" fillId="8" borderId="17" xfId="0" applyNumberFormat="1" applyFont="1" applyFill="1" applyBorder="1" applyAlignment="1" applyProtection="1">
      <alignment vertical="center"/>
      <protection locked="0"/>
    </xf>
    <xf numFmtId="41" fontId="4" fillId="8" borderId="17" xfId="0" applyNumberFormat="1" applyFont="1" applyFill="1" applyBorder="1" applyAlignment="1">
      <alignment vertical="center"/>
    </xf>
    <xf numFmtId="167" fontId="11" fillId="13" borderId="18" xfId="1" applyNumberFormat="1" applyFont="1" applyFill="1" applyBorder="1" applyAlignment="1">
      <alignment vertical="center"/>
    </xf>
    <xf numFmtId="44" fontId="4" fillId="2" borderId="0" xfId="0" applyNumberFormat="1" applyFont="1" applyFill="1" applyAlignment="1" applyProtection="1">
      <alignment vertical="center"/>
      <protection locked="0"/>
    </xf>
    <xf numFmtId="0" fontId="8" fillId="2" borderId="2" xfId="0" applyFont="1" applyFill="1" applyBorder="1" applyAlignment="1" applyProtection="1">
      <alignment horizontal="left" vertical="top" indent="1"/>
      <protection locked="0"/>
    </xf>
    <xf numFmtId="171" fontId="5" fillId="2" borderId="18" xfId="3" applyNumberFormat="1" applyFont="1" applyFill="1" applyBorder="1" applyAlignment="1" applyProtection="1">
      <alignment vertical="top"/>
    </xf>
    <xf numFmtId="41" fontId="4" fillId="10" borderId="27" xfId="0" applyNumberFormat="1" applyFont="1" applyFill="1" applyBorder="1" applyAlignment="1">
      <alignment vertical="top"/>
    </xf>
    <xf numFmtId="167" fontId="5" fillId="0" borderId="0" xfId="0" applyNumberFormat="1" applyFont="1"/>
    <xf numFmtId="43" fontId="5" fillId="0" borderId="32" xfId="2" applyFont="1" applyBorder="1" applyAlignment="1">
      <alignment vertical="center"/>
    </xf>
    <xf numFmtId="0" fontId="1" fillId="0" borderId="0" xfId="0" applyFont="1" applyAlignment="1">
      <alignment horizontal="center"/>
    </xf>
    <xf numFmtId="0" fontId="4" fillId="0" borderId="0" xfId="0" applyFont="1"/>
    <xf numFmtId="165" fontId="21" fillId="0" borderId="0" xfId="0" applyNumberFormat="1" applyFont="1" applyAlignment="1">
      <alignment horizontal="center"/>
    </xf>
    <xf numFmtId="41" fontId="6" fillId="17" borderId="1" xfId="0" applyNumberFormat="1" applyFont="1" applyFill="1" applyBorder="1" applyAlignment="1" applyProtection="1">
      <alignment horizontal="center" wrapText="1"/>
      <protection locked="0"/>
    </xf>
    <xf numFmtId="168" fontId="8" fillId="17" borderId="18" xfId="2" applyNumberFormat="1" applyFont="1" applyFill="1" applyBorder="1" applyAlignment="1">
      <alignment vertical="top"/>
    </xf>
    <xf numFmtId="41" fontId="4" fillId="17" borderId="15" xfId="0" applyNumberFormat="1" applyFont="1" applyFill="1" applyBorder="1" applyAlignment="1">
      <alignment vertical="top"/>
    </xf>
    <xf numFmtId="41" fontId="5" fillId="17" borderId="18" xfId="0" applyNumberFormat="1" applyFont="1" applyFill="1" applyBorder="1" applyAlignment="1" applyProtection="1">
      <alignment vertical="top"/>
      <protection locked="0"/>
    </xf>
    <xf numFmtId="41" fontId="5" fillId="17" borderId="18" xfId="0" applyNumberFormat="1" applyFont="1" applyFill="1" applyBorder="1" applyAlignment="1">
      <alignment vertical="top"/>
    </xf>
    <xf numFmtId="167" fontId="4" fillId="17" borderId="18" xfId="1" applyNumberFormat="1" applyFont="1" applyFill="1" applyBorder="1" applyAlignment="1">
      <alignment vertical="top"/>
    </xf>
    <xf numFmtId="166" fontId="5" fillId="17" borderId="21" xfId="0" applyNumberFormat="1" applyFont="1" applyFill="1" applyBorder="1" applyAlignment="1" applyProtection="1">
      <alignment vertical="top"/>
      <protection locked="0"/>
    </xf>
    <xf numFmtId="167" fontId="18" fillId="18" borderId="18" xfId="1" applyNumberFormat="1" applyFont="1" applyFill="1" applyBorder="1" applyAlignment="1">
      <alignment vertical="center"/>
    </xf>
    <xf numFmtId="164" fontId="5" fillId="0" borderId="0" xfId="0" applyNumberFormat="1" applyFont="1" applyAlignment="1" applyProtection="1">
      <alignment vertical="top"/>
      <protection locked="0"/>
    </xf>
    <xf numFmtId="3" fontId="6" fillId="2" borderId="2" xfId="0" applyNumberFormat="1" applyFont="1" applyFill="1" applyBorder="1" applyAlignment="1" applyProtection="1">
      <alignment horizontal="center" wrapText="1"/>
      <protection locked="0"/>
    </xf>
    <xf numFmtId="9" fontId="5" fillId="0" borderId="0" xfId="0" applyNumberFormat="1" applyFont="1"/>
    <xf numFmtId="43" fontId="5" fillId="0" borderId="42" xfId="2" applyFont="1" applyBorder="1" applyAlignment="1">
      <alignment vertical="center"/>
    </xf>
    <xf numFmtId="43" fontId="5" fillId="0" borderId="31" xfId="2" applyFont="1" applyBorder="1" applyAlignment="1">
      <alignment vertical="center"/>
    </xf>
    <xf numFmtId="0" fontId="8" fillId="5" borderId="16" xfId="0" applyFont="1" applyFill="1" applyBorder="1" applyAlignment="1" applyProtection="1">
      <alignment vertical="top"/>
      <protection locked="0"/>
    </xf>
    <xf numFmtId="0" fontId="8" fillId="3" borderId="16" xfId="0" applyFont="1" applyFill="1" applyBorder="1" applyAlignment="1" applyProtection="1">
      <alignment vertical="top"/>
      <protection locked="0"/>
    </xf>
    <xf numFmtId="10" fontId="5" fillId="9" borderId="33" xfId="3" applyNumberFormat="1" applyFont="1" applyFill="1" applyBorder="1" applyAlignment="1" applyProtection="1">
      <alignment horizontal="center" vertical="top"/>
      <protection locked="0"/>
    </xf>
    <xf numFmtId="9" fontId="5" fillId="9" borderId="37" xfId="3" applyFont="1" applyFill="1" applyBorder="1" applyAlignment="1" applyProtection="1">
      <alignment horizontal="center" vertical="top"/>
      <protection locked="0"/>
    </xf>
    <xf numFmtId="3" fontId="26" fillId="4" borderId="31" xfId="0" applyNumberFormat="1" applyFont="1" applyFill="1" applyBorder="1" applyAlignment="1" applyProtection="1">
      <alignment horizontal="center" vertical="center"/>
      <protection locked="0"/>
    </xf>
    <xf numFmtId="3" fontId="26" fillId="3" borderId="5" xfId="0" applyNumberFormat="1" applyFont="1" applyFill="1" applyBorder="1" applyAlignment="1" applyProtection="1">
      <alignment horizontal="center" vertical="center" wrapText="1"/>
      <protection locked="0"/>
    </xf>
    <xf numFmtId="10" fontId="5" fillId="9" borderId="47" xfId="3" applyNumberFormat="1" applyFont="1" applyFill="1" applyBorder="1" applyAlignment="1" applyProtection="1">
      <alignment horizontal="center" vertical="top"/>
      <protection locked="0"/>
    </xf>
    <xf numFmtId="3" fontId="26" fillId="5" borderId="5" xfId="0" applyNumberFormat="1" applyFont="1" applyFill="1" applyBorder="1" applyAlignment="1" applyProtection="1">
      <alignment horizontal="center" vertical="center" wrapText="1"/>
      <protection locked="0"/>
    </xf>
    <xf numFmtId="3" fontId="26" fillId="8" borderId="48" xfId="0" applyNumberFormat="1" applyFont="1" applyFill="1" applyBorder="1" applyAlignment="1" applyProtection="1">
      <alignment horizontal="center" vertical="center" wrapText="1"/>
      <protection locked="0"/>
    </xf>
    <xf numFmtId="10" fontId="5" fillId="9" borderId="35" xfId="3" applyNumberFormat="1" applyFont="1" applyFill="1" applyBorder="1" applyAlignment="1" applyProtection="1">
      <alignment horizontal="center" vertical="top"/>
      <protection locked="0"/>
    </xf>
    <xf numFmtId="0" fontId="10" fillId="2" borderId="41" xfId="0" applyFont="1" applyFill="1" applyBorder="1" applyAlignment="1" applyProtection="1">
      <alignment horizontal="center" vertical="top"/>
      <protection locked="0"/>
    </xf>
    <xf numFmtId="0" fontId="6" fillId="2" borderId="0" xfId="0" applyFont="1" applyFill="1" applyAlignment="1">
      <alignment horizontal="center" vertical="center" wrapText="1"/>
    </xf>
    <xf numFmtId="0" fontId="5" fillId="2" borderId="0" xfId="0" applyFont="1" applyFill="1" applyAlignment="1" applyProtection="1">
      <alignment vertical="center"/>
      <protection locked="0"/>
    </xf>
    <xf numFmtId="10" fontId="5" fillId="8" borderId="17" xfId="0" applyNumberFormat="1" applyFont="1" applyFill="1" applyBorder="1" applyAlignment="1" applyProtection="1">
      <alignment vertical="top"/>
      <protection locked="0"/>
    </xf>
    <xf numFmtId="0" fontId="6" fillId="3" borderId="1" xfId="0" applyFont="1" applyFill="1" applyBorder="1" applyAlignment="1" applyProtection="1">
      <alignment horizontal="center" wrapText="1"/>
      <protection locked="0"/>
    </xf>
    <xf numFmtId="43" fontId="6" fillId="8" borderId="1" xfId="0" applyNumberFormat="1" applyFont="1" applyFill="1" applyBorder="1" applyAlignment="1" applyProtection="1">
      <alignment horizontal="center" wrapText="1"/>
      <protection locked="0"/>
    </xf>
    <xf numFmtId="165" fontId="23" fillId="0" borderId="0" xfId="0" applyNumberFormat="1" applyFont="1" applyAlignment="1">
      <alignment horizontal="center"/>
    </xf>
    <xf numFmtId="0" fontId="4" fillId="4" borderId="34" xfId="0" applyFont="1" applyFill="1" applyBorder="1" applyAlignment="1">
      <alignment horizontal="center" wrapText="1"/>
    </xf>
    <xf numFmtId="0" fontId="4" fillId="5" borderId="38" xfId="0" applyFont="1" applyFill="1" applyBorder="1" applyAlignment="1">
      <alignment horizontal="center" wrapText="1"/>
    </xf>
    <xf numFmtId="165" fontId="4" fillId="0" borderId="0" xfId="0" applyNumberFormat="1" applyFont="1"/>
    <xf numFmtId="0" fontId="4" fillId="3" borderId="49" xfId="0" applyFont="1" applyFill="1" applyBorder="1" applyAlignment="1">
      <alignment horizontal="center" wrapText="1"/>
    </xf>
    <xf numFmtId="0" fontId="27" fillId="19" borderId="4" xfId="0" applyFont="1" applyFill="1" applyBorder="1" applyAlignment="1" applyProtection="1">
      <alignment vertical="top"/>
      <protection locked="0"/>
    </xf>
    <xf numFmtId="0" fontId="27" fillId="19" borderId="51" xfId="0" applyFont="1" applyFill="1" applyBorder="1" applyAlignment="1" applyProtection="1">
      <alignment vertical="top"/>
      <protection locked="0"/>
    </xf>
    <xf numFmtId="0" fontId="27" fillId="19" borderId="26" xfId="0" applyFont="1" applyFill="1" applyBorder="1" applyAlignment="1" applyProtection="1">
      <alignment vertical="top"/>
      <protection locked="0"/>
    </xf>
    <xf numFmtId="0" fontId="8" fillId="4" borderId="25" xfId="0" applyFont="1" applyFill="1" applyBorder="1" applyAlignment="1">
      <alignment vertical="top"/>
    </xf>
    <xf numFmtId="169" fontId="8" fillId="7" borderId="17" xfId="0" applyNumberFormat="1" applyFont="1" applyFill="1" applyBorder="1" applyAlignment="1" applyProtection="1">
      <alignment vertical="top"/>
      <protection locked="0"/>
    </xf>
    <xf numFmtId="164" fontId="8" fillId="7" borderId="17" xfId="0" applyNumberFormat="1" applyFont="1" applyFill="1" applyBorder="1" applyAlignment="1" applyProtection="1">
      <alignment vertical="top"/>
      <protection locked="0"/>
    </xf>
    <xf numFmtId="164" fontId="2" fillId="7" borderId="17" xfId="0" applyNumberFormat="1" applyFont="1" applyFill="1" applyBorder="1" applyAlignment="1" applyProtection="1">
      <alignment vertical="top"/>
      <protection locked="0"/>
    </xf>
    <xf numFmtId="10" fontId="5" fillId="7" borderId="17" xfId="3" applyNumberFormat="1" applyFont="1" applyFill="1" applyBorder="1" applyAlignment="1" applyProtection="1">
      <alignment vertical="top"/>
      <protection locked="0"/>
    </xf>
    <xf numFmtId="164" fontId="5" fillId="7" borderId="17" xfId="0" applyNumberFormat="1" applyFont="1" applyFill="1" applyBorder="1" applyAlignment="1" applyProtection="1">
      <alignment vertical="top"/>
      <protection locked="0"/>
    </xf>
    <xf numFmtId="168" fontId="8" fillId="2" borderId="2" xfId="2" applyNumberFormat="1" applyFont="1" applyFill="1" applyBorder="1" applyAlignment="1" applyProtection="1">
      <alignment horizontal="center" vertical="top"/>
    </xf>
    <xf numFmtId="0" fontId="27" fillId="19" borderId="4" xfId="0" applyFont="1" applyFill="1" applyBorder="1" applyAlignment="1">
      <alignment vertical="top"/>
    </xf>
    <xf numFmtId="0" fontId="8" fillId="0" borderId="2" xfId="0" applyFont="1" applyBorder="1" applyAlignment="1" applyProtection="1">
      <alignment horizontal="center" vertical="top" wrapText="1"/>
      <protection locked="0"/>
    </xf>
    <xf numFmtId="0" fontId="6" fillId="14" borderId="1" xfId="0" applyFont="1" applyFill="1" applyBorder="1" applyAlignment="1" applyProtection="1">
      <alignment horizontal="center" wrapText="1"/>
      <protection locked="0"/>
    </xf>
    <xf numFmtId="43" fontId="8" fillId="14" borderId="17" xfId="0" applyNumberFormat="1" applyFont="1" applyFill="1" applyBorder="1" applyAlignment="1" applyProtection="1">
      <alignment vertical="top"/>
      <protection locked="0"/>
    </xf>
    <xf numFmtId="43" fontId="4" fillId="14" borderId="14" xfId="0" applyNumberFormat="1" applyFont="1" applyFill="1" applyBorder="1" applyAlignment="1" applyProtection="1">
      <alignment vertical="top"/>
      <protection locked="0"/>
    </xf>
    <xf numFmtId="43" fontId="2" fillId="14" borderId="17" xfId="0" applyNumberFormat="1" applyFont="1" applyFill="1" applyBorder="1" applyAlignment="1" applyProtection="1">
      <alignment vertical="top"/>
      <protection locked="0"/>
    </xf>
    <xf numFmtId="10" fontId="5" fillId="14" borderId="17" xfId="0" applyNumberFormat="1" applyFont="1" applyFill="1" applyBorder="1" applyAlignment="1" applyProtection="1">
      <alignment vertical="top"/>
      <protection locked="0"/>
    </xf>
    <xf numFmtId="44" fontId="4" fillId="14" borderId="17" xfId="0" applyNumberFormat="1" applyFont="1" applyFill="1" applyBorder="1" applyAlignment="1" applyProtection="1">
      <alignment vertical="center"/>
      <protection locked="0"/>
    </xf>
    <xf numFmtId="44" fontId="4" fillId="14" borderId="17" xfId="0" applyNumberFormat="1" applyFont="1" applyFill="1" applyBorder="1" applyAlignment="1" applyProtection="1">
      <alignment vertical="top"/>
      <protection locked="0"/>
    </xf>
    <xf numFmtId="43" fontId="5" fillId="14" borderId="20" xfId="0" applyNumberFormat="1" applyFont="1" applyFill="1" applyBorder="1" applyAlignment="1" applyProtection="1">
      <alignment vertical="top"/>
      <protection locked="0"/>
    </xf>
    <xf numFmtId="0" fontId="5" fillId="5" borderId="0" xfId="0" applyFont="1" applyFill="1" applyAlignment="1" applyProtection="1">
      <alignment vertical="top"/>
      <protection locked="0"/>
    </xf>
    <xf numFmtId="0" fontId="5" fillId="6" borderId="1" xfId="0" applyFont="1" applyFill="1" applyBorder="1" applyAlignment="1" applyProtection="1">
      <alignment vertical="top"/>
      <protection locked="0"/>
    </xf>
    <xf numFmtId="0" fontId="2" fillId="5" borderId="16" xfId="0" applyFont="1" applyFill="1" applyBorder="1" applyAlignment="1" applyProtection="1">
      <alignment vertical="top"/>
      <protection locked="0"/>
    </xf>
    <xf numFmtId="0" fontId="5" fillId="5" borderId="16" xfId="0" applyFont="1" applyFill="1" applyBorder="1" applyAlignment="1">
      <alignment vertical="top"/>
    </xf>
    <xf numFmtId="0" fontId="5" fillId="5" borderId="16" xfId="0" applyFont="1" applyFill="1" applyBorder="1" applyAlignment="1" applyProtection="1">
      <alignment vertical="top"/>
      <protection locked="0"/>
    </xf>
    <xf numFmtId="44" fontId="4" fillId="5" borderId="16" xfId="0" applyNumberFormat="1" applyFont="1" applyFill="1" applyBorder="1" applyAlignment="1" applyProtection="1">
      <alignment vertical="center"/>
      <protection locked="0"/>
    </xf>
    <xf numFmtId="0" fontId="5" fillId="5" borderId="19" xfId="0" applyFont="1" applyFill="1" applyBorder="1" applyAlignment="1" applyProtection="1">
      <alignment vertical="top"/>
      <protection locked="0"/>
    </xf>
    <xf numFmtId="174" fontId="8" fillId="14" borderId="17" xfId="0" applyNumberFormat="1" applyFont="1" applyFill="1" applyBorder="1" applyAlignment="1" applyProtection="1">
      <alignment vertical="top"/>
      <protection locked="0"/>
    </xf>
    <xf numFmtId="170" fontId="8" fillId="14" borderId="17" xfId="0" applyNumberFormat="1" applyFont="1" applyFill="1" applyBorder="1" applyAlignment="1" applyProtection="1">
      <alignment vertical="top"/>
      <protection locked="0"/>
    </xf>
    <xf numFmtId="43" fontId="8" fillId="14" borderId="17" xfId="0" applyNumberFormat="1" applyFont="1" applyFill="1" applyBorder="1" applyAlignment="1" applyProtection="1">
      <alignment horizontal="right" vertical="top"/>
      <protection locked="0"/>
    </xf>
    <xf numFmtId="0" fontId="8" fillId="5" borderId="16" xfId="0" applyFont="1" applyFill="1" applyBorder="1" applyAlignment="1">
      <alignment vertical="top"/>
    </xf>
    <xf numFmtId="0" fontId="6" fillId="2" borderId="0" xfId="0" applyFont="1" applyFill="1" applyAlignment="1">
      <alignment horizontal="center" vertical="top"/>
    </xf>
    <xf numFmtId="0" fontId="5" fillId="4" borderId="16" xfId="0" applyFont="1" applyFill="1" applyBorder="1" applyAlignment="1" applyProtection="1">
      <alignment wrapText="1"/>
      <protection locked="0"/>
    </xf>
    <xf numFmtId="41" fontId="5" fillId="4" borderId="17" xfId="0" applyNumberFormat="1" applyFont="1" applyFill="1" applyBorder="1" applyAlignment="1" applyProtection="1">
      <alignment wrapText="1"/>
      <protection locked="0"/>
    </xf>
    <xf numFmtId="41" fontId="5" fillId="17" borderId="18" xfId="0" applyNumberFormat="1" applyFont="1" applyFill="1" applyBorder="1" applyAlignment="1" applyProtection="1">
      <alignment wrapText="1"/>
      <protection locked="0"/>
    </xf>
    <xf numFmtId="41" fontId="5" fillId="3" borderId="17" xfId="0" applyNumberFormat="1" applyFont="1" applyFill="1" applyBorder="1" applyAlignment="1">
      <alignment wrapText="1"/>
    </xf>
    <xf numFmtId="41" fontId="5" fillId="5" borderId="17" xfId="0" applyNumberFormat="1" applyFont="1" applyFill="1" applyBorder="1" applyAlignment="1" applyProtection="1">
      <alignment wrapText="1"/>
      <protection locked="0"/>
    </xf>
    <xf numFmtId="41" fontId="5" fillId="8" borderId="17" xfId="0" applyNumberFormat="1" applyFont="1" applyFill="1" applyBorder="1" applyAlignment="1" applyProtection="1">
      <alignment wrapText="1"/>
      <protection locked="0"/>
    </xf>
    <xf numFmtId="0" fontId="5" fillId="2" borderId="0" xfId="0" applyFont="1" applyFill="1" applyAlignment="1" applyProtection="1">
      <alignment wrapText="1"/>
      <protection locked="0"/>
    </xf>
    <xf numFmtId="0" fontId="6" fillId="2" borderId="52" xfId="0" applyFont="1" applyFill="1" applyBorder="1" applyAlignment="1" applyProtection="1">
      <alignment horizontal="center" wrapText="1"/>
      <protection locked="0"/>
    </xf>
    <xf numFmtId="3" fontId="28" fillId="2" borderId="6" xfId="0" applyNumberFormat="1" applyFont="1" applyFill="1" applyBorder="1" applyAlignment="1" applyProtection="1">
      <alignment horizontal="center" wrapText="1"/>
      <protection locked="0"/>
    </xf>
    <xf numFmtId="0" fontId="5" fillId="2" borderId="1" xfId="0" applyFont="1" applyFill="1" applyBorder="1" applyAlignment="1" applyProtection="1">
      <alignment vertical="top"/>
      <protection locked="0"/>
    </xf>
    <xf numFmtId="0" fontId="5" fillId="2" borderId="1" xfId="0" applyFont="1" applyFill="1" applyBorder="1" applyAlignment="1" applyProtection="1">
      <alignment horizontal="center" vertical="top"/>
      <protection locked="0"/>
    </xf>
    <xf numFmtId="3" fontId="5" fillId="2" borderId="1" xfId="0" applyNumberFormat="1" applyFont="1" applyFill="1" applyBorder="1" applyAlignment="1" applyProtection="1">
      <alignment horizontal="center" vertical="top"/>
      <protection locked="0"/>
    </xf>
    <xf numFmtId="9" fontId="5" fillId="2" borderId="1" xfId="3" applyFont="1" applyFill="1" applyBorder="1" applyAlignment="1" applyProtection="1">
      <alignment horizontal="center" vertical="top"/>
      <protection locked="0"/>
    </xf>
    <xf numFmtId="0" fontId="1" fillId="2" borderId="50" xfId="0" applyFont="1" applyFill="1" applyBorder="1" applyAlignment="1" applyProtection="1">
      <alignment wrapText="1"/>
      <protection locked="0"/>
    </xf>
    <xf numFmtId="0" fontId="8" fillId="0" borderId="1" xfId="0" applyFont="1" applyBorder="1" applyAlignment="1" applyProtection="1">
      <alignment vertical="top"/>
      <protection locked="0"/>
    </xf>
    <xf numFmtId="3" fontId="5" fillId="2" borderId="5" xfId="0" applyNumberFormat="1" applyFont="1" applyFill="1" applyBorder="1" applyAlignment="1" applyProtection="1">
      <alignment wrapText="1"/>
      <protection locked="0"/>
    </xf>
    <xf numFmtId="3" fontId="5" fillId="2" borderId="12" xfId="0" applyNumberFormat="1" applyFont="1" applyFill="1" applyBorder="1" applyAlignment="1" applyProtection="1">
      <alignment wrapText="1"/>
      <protection locked="0"/>
    </xf>
    <xf numFmtId="3" fontId="5" fillId="2" borderId="10" xfId="0" applyNumberFormat="1" applyFont="1" applyFill="1" applyBorder="1" applyAlignment="1" applyProtection="1">
      <alignment wrapText="1"/>
      <protection locked="0"/>
    </xf>
    <xf numFmtId="3" fontId="5" fillId="2" borderId="8" xfId="0" applyNumberFormat="1" applyFont="1" applyFill="1" applyBorder="1" applyAlignment="1" applyProtection="1">
      <alignment wrapText="1"/>
      <protection locked="0"/>
    </xf>
    <xf numFmtId="3" fontId="5" fillId="2" borderId="0" xfId="0" applyNumberFormat="1" applyFont="1" applyFill="1" applyAlignment="1" applyProtection="1">
      <alignment wrapText="1"/>
      <protection locked="0"/>
    </xf>
    <xf numFmtId="3" fontId="5" fillId="2" borderId="7" xfId="0" applyNumberFormat="1" applyFont="1" applyFill="1" applyBorder="1" applyAlignment="1" applyProtection="1">
      <alignment wrapText="1"/>
      <protection locked="0"/>
    </xf>
    <xf numFmtId="0" fontId="5" fillId="2" borderId="4" xfId="0" applyFont="1" applyFill="1" applyBorder="1" applyAlignment="1" applyProtection="1">
      <alignment wrapText="1"/>
      <protection locked="0"/>
    </xf>
    <xf numFmtId="0" fontId="11" fillId="5" borderId="1" xfId="0" applyFont="1" applyFill="1" applyBorder="1" applyAlignment="1">
      <alignment horizontal="center" wrapText="1"/>
    </xf>
    <xf numFmtId="3" fontId="28" fillId="2" borderId="0" xfId="0" applyNumberFormat="1" applyFont="1" applyFill="1" applyAlignment="1" applyProtection="1">
      <alignment horizontal="center" wrapText="1"/>
      <protection locked="0"/>
    </xf>
    <xf numFmtId="0" fontId="4" fillId="2" borderId="13" xfId="0" applyFont="1" applyFill="1" applyBorder="1" applyAlignment="1" applyProtection="1">
      <alignment horizontal="left" vertical="top"/>
      <protection locked="0"/>
    </xf>
    <xf numFmtId="0" fontId="4" fillId="5" borderId="13" xfId="0" applyFont="1" applyFill="1" applyBorder="1" applyAlignment="1">
      <alignment vertical="top"/>
    </xf>
    <xf numFmtId="0" fontId="11" fillId="4" borderId="1" xfId="0" applyFont="1" applyFill="1" applyBorder="1" applyAlignment="1">
      <alignment horizontal="center" wrapText="1"/>
    </xf>
    <xf numFmtId="0" fontId="6" fillId="7" borderId="1" xfId="0" applyFont="1" applyFill="1" applyBorder="1" applyAlignment="1" applyProtection="1">
      <alignment horizontal="center" wrapText="1"/>
      <protection locked="0"/>
    </xf>
    <xf numFmtId="164" fontId="4" fillId="7" borderId="17" xfId="0" applyNumberFormat="1" applyFont="1" applyFill="1" applyBorder="1" applyAlignment="1" applyProtection="1">
      <alignment vertical="center"/>
      <protection locked="0"/>
    </xf>
    <xf numFmtId="164" fontId="4" fillId="7" borderId="14" xfId="0" applyNumberFormat="1" applyFont="1" applyFill="1" applyBorder="1" applyAlignment="1" applyProtection="1">
      <alignment vertical="top"/>
      <protection locked="0"/>
    </xf>
    <xf numFmtId="0" fontId="4" fillId="4" borderId="13" xfId="0" applyFont="1" applyFill="1" applyBorder="1" applyAlignment="1">
      <alignment vertical="top"/>
    </xf>
    <xf numFmtId="167" fontId="4" fillId="14" borderId="15" xfId="1" applyNumberFormat="1" applyFont="1" applyFill="1" applyBorder="1" applyAlignment="1">
      <alignment vertical="top"/>
    </xf>
    <xf numFmtId="168" fontId="5" fillId="14" borderId="17" xfId="0" applyNumberFormat="1" applyFont="1" applyFill="1" applyBorder="1" applyAlignment="1" applyProtection="1">
      <alignment vertical="top"/>
      <protection locked="0"/>
    </xf>
    <xf numFmtId="44" fontId="5" fillId="5" borderId="16" xfId="0" applyNumberFormat="1" applyFont="1" applyFill="1" applyBorder="1" applyAlignment="1" applyProtection="1">
      <alignment vertical="top"/>
      <protection locked="0"/>
    </xf>
    <xf numFmtId="0" fontId="17" fillId="2" borderId="25" xfId="0" applyFont="1" applyFill="1" applyBorder="1" applyAlignment="1" applyProtection="1">
      <alignment vertical="top"/>
      <protection locked="0"/>
    </xf>
    <xf numFmtId="0" fontId="6" fillId="2" borderId="0" xfId="0" applyFont="1" applyFill="1" applyAlignment="1">
      <alignment horizontal="center" vertical="center"/>
    </xf>
    <xf numFmtId="0" fontId="8" fillId="2" borderId="2" xfId="0" applyFont="1" applyFill="1" applyBorder="1" applyAlignment="1" applyProtection="1">
      <alignment horizontal="left" vertical="top"/>
      <protection locked="0"/>
    </xf>
    <xf numFmtId="0" fontId="11" fillId="2" borderId="26" xfId="0" applyFont="1" applyFill="1" applyBorder="1" applyAlignment="1" applyProtection="1">
      <alignment horizontal="center"/>
      <protection locked="0"/>
    </xf>
    <xf numFmtId="172" fontId="5" fillId="2" borderId="16" xfId="0" applyNumberFormat="1" applyFont="1" applyFill="1" applyBorder="1" applyAlignment="1">
      <alignment horizontal="left" vertical="top"/>
    </xf>
    <xf numFmtId="173" fontId="5" fillId="2" borderId="16" xfId="0" applyNumberFormat="1" applyFont="1" applyFill="1" applyBorder="1" applyAlignment="1">
      <alignment horizontal="left" vertical="top"/>
    </xf>
    <xf numFmtId="0" fontId="11" fillId="5" borderId="1" xfId="0" applyFont="1" applyFill="1" applyBorder="1" applyAlignment="1">
      <alignment horizontal="center"/>
    </xf>
    <xf numFmtId="0" fontId="5" fillId="5" borderId="25" xfId="0" applyFont="1" applyFill="1" applyBorder="1" applyAlignment="1">
      <alignment vertical="top"/>
    </xf>
    <xf numFmtId="0" fontId="17" fillId="2" borderId="53" xfId="0" applyFont="1" applyFill="1" applyBorder="1" applyAlignment="1" applyProtection="1">
      <alignment vertical="top"/>
      <protection locked="0"/>
    </xf>
    <xf numFmtId="0" fontId="23" fillId="2" borderId="1" xfId="0" applyFont="1" applyFill="1" applyBorder="1" applyAlignment="1" applyProtection="1">
      <alignment horizontal="center" vertical="center" wrapText="1"/>
      <protection locked="0"/>
    </xf>
    <xf numFmtId="43" fontId="4" fillId="8" borderId="13" xfId="0" applyNumberFormat="1" applyFont="1" applyFill="1" applyBorder="1" applyAlignment="1">
      <alignment vertical="top"/>
    </xf>
    <xf numFmtId="0" fontId="4" fillId="3" borderId="13" xfId="0" applyFont="1" applyFill="1" applyBorder="1" applyAlignment="1">
      <alignment vertical="top" wrapText="1"/>
    </xf>
    <xf numFmtId="0" fontId="4" fillId="3" borderId="13" xfId="0" applyFont="1" applyFill="1" applyBorder="1" applyAlignment="1">
      <alignment vertical="top"/>
    </xf>
    <xf numFmtId="164" fontId="4" fillId="7" borderId="17" xfId="0" applyNumberFormat="1" applyFont="1" applyFill="1" applyBorder="1" applyAlignment="1" applyProtection="1">
      <alignment vertical="top"/>
      <protection locked="0"/>
    </xf>
    <xf numFmtId="164" fontId="5" fillId="7" borderId="20" xfId="0" applyNumberFormat="1" applyFont="1" applyFill="1" applyBorder="1" applyAlignment="1" applyProtection="1">
      <alignment vertical="top"/>
      <protection locked="0"/>
    </xf>
    <xf numFmtId="0" fontId="6" fillId="10" borderId="1" xfId="0" applyFont="1" applyFill="1" applyBorder="1" applyAlignment="1" applyProtection="1">
      <alignment wrapText="1"/>
      <protection locked="0"/>
    </xf>
    <xf numFmtId="43" fontId="8" fillId="10" borderId="17" xfId="0" applyNumberFormat="1" applyFont="1" applyFill="1" applyBorder="1" applyAlignment="1" applyProtection="1">
      <alignment vertical="top"/>
      <protection locked="0"/>
    </xf>
    <xf numFmtId="170" fontId="8" fillId="10" borderId="17" xfId="0" applyNumberFormat="1" applyFont="1" applyFill="1" applyBorder="1" applyAlignment="1" applyProtection="1">
      <alignment vertical="top"/>
      <protection locked="0"/>
    </xf>
    <xf numFmtId="43" fontId="4" fillId="10" borderId="14" xfId="0" applyNumberFormat="1" applyFont="1" applyFill="1" applyBorder="1" applyAlignment="1" applyProtection="1">
      <alignment vertical="top"/>
      <protection locked="0"/>
    </xf>
    <xf numFmtId="43" fontId="2" fillId="10" borderId="17" xfId="0" applyNumberFormat="1" applyFont="1" applyFill="1" applyBorder="1" applyAlignment="1" applyProtection="1">
      <alignment vertical="top"/>
      <protection locked="0"/>
    </xf>
    <xf numFmtId="43" fontId="5" fillId="10" borderId="17" xfId="0" applyNumberFormat="1" applyFont="1" applyFill="1" applyBorder="1" applyAlignment="1" applyProtection="1">
      <alignment vertical="top"/>
      <protection locked="0"/>
    </xf>
    <xf numFmtId="44" fontId="4" fillId="10" borderId="17" xfId="0" applyNumberFormat="1" applyFont="1" applyFill="1" applyBorder="1" applyAlignment="1" applyProtection="1">
      <alignment vertical="center"/>
      <protection locked="0"/>
    </xf>
    <xf numFmtId="44" fontId="4" fillId="10" borderId="17" xfId="0" applyNumberFormat="1" applyFont="1" applyFill="1" applyBorder="1" applyAlignment="1" applyProtection="1">
      <alignment vertical="top"/>
      <protection locked="0"/>
    </xf>
    <xf numFmtId="43" fontId="5" fillId="10" borderId="20" xfId="0" applyNumberFormat="1" applyFont="1" applyFill="1" applyBorder="1" applyAlignment="1" applyProtection="1">
      <alignment vertical="top"/>
      <protection locked="0"/>
    </xf>
    <xf numFmtId="0" fontId="11" fillId="3" borderId="1" xfId="0" applyFont="1" applyFill="1" applyBorder="1" applyAlignment="1">
      <alignment horizontal="center" wrapText="1"/>
    </xf>
    <xf numFmtId="10" fontId="5" fillId="10" borderId="17" xfId="0" applyNumberFormat="1" applyFont="1" applyFill="1" applyBorder="1" applyAlignment="1">
      <alignment vertical="top"/>
    </xf>
    <xf numFmtId="0" fontId="6" fillId="3" borderId="1" xfId="0" applyFont="1" applyFill="1" applyBorder="1" applyAlignment="1">
      <alignment horizontal="center" wrapText="1"/>
    </xf>
    <xf numFmtId="175" fontId="8" fillId="10" borderId="17" xfId="0" applyNumberFormat="1" applyFont="1" applyFill="1" applyBorder="1" applyAlignment="1" applyProtection="1">
      <alignment vertical="top"/>
      <protection locked="0"/>
    </xf>
    <xf numFmtId="0" fontId="5" fillId="3" borderId="16" xfId="0" applyFont="1" applyFill="1" applyBorder="1" applyAlignment="1" applyProtection="1">
      <alignment vertical="top"/>
      <protection locked="0"/>
    </xf>
    <xf numFmtId="0" fontId="5" fillId="3" borderId="16" xfId="0" applyFont="1" applyFill="1" applyBorder="1" applyAlignment="1">
      <alignment vertical="top" wrapText="1"/>
    </xf>
    <xf numFmtId="0" fontId="6" fillId="7" borderId="1" xfId="0" applyFont="1" applyFill="1" applyBorder="1" applyAlignment="1" applyProtection="1">
      <alignment wrapText="1"/>
      <protection locked="0"/>
    </xf>
    <xf numFmtId="164" fontId="5" fillId="7" borderId="17" xfId="0" applyNumberFormat="1" applyFont="1" applyFill="1" applyBorder="1" applyAlignment="1" applyProtection="1">
      <alignment wrapText="1"/>
      <protection locked="0"/>
    </xf>
    <xf numFmtId="44" fontId="1" fillId="5" borderId="16" xfId="0" applyNumberFormat="1" applyFont="1" applyFill="1" applyBorder="1" applyAlignment="1" applyProtection="1">
      <alignment vertical="center" wrapText="1"/>
      <protection locked="0"/>
    </xf>
    <xf numFmtId="0" fontId="5" fillId="2" borderId="1" xfId="0" applyFont="1" applyFill="1" applyBorder="1" applyAlignment="1" applyProtection="1">
      <alignment horizontal="left" vertical="top" indent="1"/>
      <protection locked="0"/>
    </xf>
    <xf numFmtId="0" fontId="5" fillId="3" borderId="16" xfId="0" applyFont="1" applyFill="1" applyBorder="1" applyAlignment="1" applyProtection="1">
      <alignment horizontal="left" vertical="top" indent="1"/>
      <protection locked="0"/>
    </xf>
    <xf numFmtId="0" fontId="5" fillId="3" borderId="16" xfId="0" applyFont="1" applyFill="1" applyBorder="1" applyAlignment="1">
      <alignment horizontal="left" vertical="top" wrapText="1" indent="1"/>
    </xf>
    <xf numFmtId="0" fontId="5" fillId="0" borderId="1" xfId="0" applyFont="1" applyBorder="1" applyAlignment="1" applyProtection="1">
      <alignment horizontal="center" vertical="top"/>
      <protection locked="0"/>
    </xf>
    <xf numFmtId="0" fontId="5" fillId="3" borderId="16" xfId="0" applyFont="1" applyFill="1" applyBorder="1" applyAlignment="1" applyProtection="1">
      <alignment horizontal="left" vertical="top"/>
      <protection locked="0"/>
    </xf>
    <xf numFmtId="41" fontId="29" fillId="3" borderId="17" xfId="0" applyNumberFormat="1" applyFont="1" applyFill="1" applyBorder="1" applyAlignment="1">
      <alignment vertical="top"/>
    </xf>
    <xf numFmtId="43" fontId="5" fillId="0" borderId="39" xfId="2" applyFont="1" applyBorder="1" applyAlignment="1">
      <alignment vertical="center"/>
    </xf>
    <xf numFmtId="43" fontId="5" fillId="0" borderId="56" xfId="2" applyFont="1" applyBorder="1" applyAlignment="1">
      <alignment vertical="center"/>
    </xf>
    <xf numFmtId="43" fontId="5" fillId="0" borderId="57" xfId="2" applyFont="1" applyBorder="1" applyAlignment="1">
      <alignment vertical="center"/>
    </xf>
    <xf numFmtId="0" fontId="5" fillId="0" borderId="31" xfId="0" applyFont="1" applyBorder="1" applyAlignment="1">
      <alignment horizontal="left" vertical="center" indent="1"/>
    </xf>
    <xf numFmtId="0" fontId="5" fillId="0" borderId="39" xfId="0" applyFont="1" applyBorder="1" applyAlignment="1">
      <alignment horizontal="left" vertical="center" indent="1"/>
    </xf>
    <xf numFmtId="44" fontId="5" fillId="0" borderId="0" xfId="0" applyNumberFormat="1" applyFont="1"/>
    <xf numFmtId="43" fontId="8" fillId="8" borderId="17" xfId="0" applyNumberFormat="1" applyFont="1" applyFill="1" applyBorder="1" applyAlignment="1" applyProtection="1">
      <alignment horizontal="right" vertical="top"/>
      <protection locked="0"/>
    </xf>
    <xf numFmtId="41" fontId="6" fillId="8" borderId="1" xfId="0" applyNumberFormat="1" applyFont="1" applyFill="1" applyBorder="1" applyAlignment="1" applyProtection="1">
      <alignment horizontal="center" wrapText="1"/>
      <protection locked="0"/>
    </xf>
    <xf numFmtId="41" fontId="6" fillId="15" borderId="1" xfId="0" applyNumberFormat="1" applyFont="1" applyFill="1" applyBorder="1" applyAlignment="1" applyProtection="1">
      <alignment wrapText="1"/>
      <protection locked="0"/>
    </xf>
    <xf numFmtId="41" fontId="29" fillId="8" borderId="17" xfId="0" applyNumberFormat="1" applyFont="1" applyFill="1" applyBorder="1" applyAlignment="1" applyProtection="1">
      <alignment vertical="top"/>
      <protection locked="0"/>
    </xf>
    <xf numFmtId="168" fontId="5" fillId="8" borderId="17" xfId="0" applyNumberFormat="1" applyFont="1" applyFill="1" applyBorder="1" applyAlignment="1" applyProtection="1">
      <alignment vertical="top"/>
      <protection locked="0"/>
    </xf>
    <xf numFmtId="0" fontId="10" fillId="2" borderId="32" xfId="0" applyFont="1" applyFill="1" applyBorder="1" applyAlignment="1" applyProtection="1">
      <alignment horizontal="center" vertical="top"/>
      <protection locked="0"/>
    </xf>
    <xf numFmtId="0" fontId="6" fillId="4" borderId="1" xfId="0" applyFont="1" applyFill="1" applyBorder="1" applyAlignment="1" applyProtection="1">
      <alignment horizontal="center" wrapText="1"/>
      <protection locked="0"/>
    </xf>
    <xf numFmtId="0" fontId="4" fillId="15" borderId="38" xfId="0" applyFont="1" applyFill="1" applyBorder="1" applyAlignment="1">
      <alignment horizontal="center" wrapText="1"/>
    </xf>
    <xf numFmtId="43" fontId="5" fillId="0" borderId="58" xfId="2" applyFont="1" applyBorder="1" applyAlignment="1">
      <alignment vertical="center"/>
    </xf>
    <xf numFmtId="41" fontId="8" fillId="3" borderId="59" xfId="0" applyNumberFormat="1" applyFont="1" applyFill="1" applyBorder="1" applyAlignment="1">
      <alignment vertical="top"/>
    </xf>
    <xf numFmtId="41" fontId="4" fillId="3" borderId="12" xfId="0" applyNumberFormat="1" applyFont="1" applyFill="1" applyBorder="1" applyAlignment="1">
      <alignment vertical="top"/>
    </xf>
    <xf numFmtId="41" fontId="5" fillId="3" borderId="59" xfId="0" applyNumberFormat="1" applyFont="1" applyFill="1" applyBorder="1" applyAlignment="1" applyProtection="1">
      <alignment vertical="top"/>
      <protection locked="0"/>
    </xf>
    <xf numFmtId="41" fontId="5" fillId="3" borderId="59" xfId="0" applyNumberFormat="1" applyFont="1" applyFill="1" applyBorder="1" applyAlignment="1">
      <alignment vertical="top"/>
    </xf>
    <xf numFmtId="41" fontId="5" fillId="3" borderId="0" xfId="0" applyNumberFormat="1" applyFont="1" applyFill="1" applyAlignment="1">
      <alignment vertical="top"/>
    </xf>
    <xf numFmtId="167" fontId="11" fillId="3" borderId="59" xfId="1" applyNumberFormat="1" applyFont="1" applyFill="1" applyBorder="1" applyAlignment="1">
      <alignment vertical="center"/>
    </xf>
    <xf numFmtId="167" fontId="4" fillId="3" borderId="59" xfId="1" applyNumberFormat="1" applyFont="1" applyFill="1" applyBorder="1" applyAlignment="1">
      <alignment vertical="top"/>
    </xf>
    <xf numFmtId="41" fontId="5" fillId="3" borderId="60" xfId="0" applyNumberFormat="1" applyFont="1" applyFill="1" applyBorder="1" applyAlignment="1" applyProtection="1">
      <alignment vertical="top"/>
      <protection locked="0"/>
    </xf>
    <xf numFmtId="41" fontId="30" fillId="3" borderId="59" xfId="0" applyNumberFormat="1" applyFont="1" applyFill="1" applyBorder="1" applyAlignment="1">
      <alignment vertical="top"/>
    </xf>
    <xf numFmtId="0" fontId="1" fillId="3" borderId="12" xfId="0" applyFont="1" applyFill="1" applyBorder="1" applyAlignment="1">
      <alignment horizontal="center" vertical="center"/>
    </xf>
    <xf numFmtId="0" fontId="1" fillId="3" borderId="9" xfId="0" applyFont="1" applyFill="1" applyBorder="1" applyAlignment="1">
      <alignment horizontal="center" vertical="top"/>
    </xf>
    <xf numFmtId="41" fontId="6" fillId="3" borderId="1" xfId="0" applyNumberFormat="1" applyFont="1" applyFill="1" applyBorder="1" applyAlignment="1" applyProtection="1">
      <alignment horizontal="center"/>
      <protection locked="0"/>
    </xf>
    <xf numFmtId="0" fontId="8" fillId="0" borderId="3" xfId="0" applyFont="1" applyBorder="1" applyAlignment="1" applyProtection="1">
      <alignment horizontal="center" vertical="top" wrapText="1"/>
      <protection locked="0"/>
    </xf>
    <xf numFmtId="0" fontId="5" fillId="2" borderId="51" xfId="0" applyFont="1" applyFill="1" applyBorder="1" applyAlignment="1" applyProtection="1">
      <alignment wrapText="1"/>
      <protection locked="0"/>
    </xf>
    <xf numFmtId="0" fontId="12" fillId="7" borderId="0" xfId="0" applyFont="1" applyFill="1" applyAlignment="1">
      <alignment horizontal="right"/>
    </xf>
    <xf numFmtId="0" fontId="16" fillId="0" borderId="0" xfId="0" applyFont="1" applyAlignment="1">
      <alignment horizontal="right"/>
    </xf>
    <xf numFmtId="0" fontId="7" fillId="0" borderId="0" xfId="0" applyFont="1"/>
    <xf numFmtId="0" fontId="31" fillId="0" borderId="0" xfId="0" applyFont="1"/>
    <xf numFmtId="170" fontId="8" fillId="8" borderId="17" xfId="0" applyNumberFormat="1" applyFont="1" applyFill="1" applyBorder="1" applyAlignment="1" applyProtection="1">
      <alignment vertical="top"/>
      <protection locked="0"/>
    </xf>
    <xf numFmtId="168" fontId="5" fillId="10" borderId="17" xfId="0" applyNumberFormat="1" applyFont="1" applyFill="1" applyBorder="1" applyAlignment="1" applyProtection="1">
      <alignment vertical="top"/>
      <protection locked="0"/>
    </xf>
    <xf numFmtId="175" fontId="5" fillId="3" borderId="0" xfId="0" applyNumberFormat="1" applyFont="1" applyFill="1" applyAlignment="1" applyProtection="1">
      <alignment vertical="top"/>
      <protection locked="0"/>
    </xf>
    <xf numFmtId="175" fontId="5" fillId="0" borderId="0" xfId="0" applyNumberFormat="1" applyFont="1" applyAlignment="1" applyProtection="1">
      <alignment horizontal="centerContinuous" vertical="top"/>
      <protection locked="0"/>
    </xf>
    <xf numFmtId="175" fontId="6" fillId="10" borderId="1" xfId="0" applyNumberFormat="1" applyFont="1" applyFill="1" applyBorder="1" applyAlignment="1" applyProtection="1">
      <alignment wrapText="1"/>
      <protection locked="0"/>
    </xf>
    <xf numFmtId="175" fontId="5" fillId="6" borderId="1" xfId="0" applyNumberFormat="1" applyFont="1" applyFill="1" applyBorder="1" applyAlignment="1" applyProtection="1">
      <alignment vertical="top"/>
      <protection locked="0"/>
    </xf>
    <xf numFmtId="175" fontId="27" fillId="19" borderId="51" xfId="0" applyNumberFormat="1" applyFont="1" applyFill="1" applyBorder="1" applyAlignment="1" applyProtection="1">
      <alignment vertical="top"/>
      <protection locked="0"/>
    </xf>
    <xf numFmtId="175" fontId="4" fillId="10" borderId="14" xfId="0" applyNumberFormat="1" applyFont="1" applyFill="1" applyBorder="1" applyAlignment="1" applyProtection="1">
      <alignment vertical="top"/>
      <protection locked="0"/>
    </xf>
    <xf numFmtId="175" fontId="2" fillId="10" borderId="17" xfId="0" applyNumberFormat="1" applyFont="1" applyFill="1" applyBorder="1" applyAlignment="1" applyProtection="1">
      <alignment vertical="top"/>
      <protection locked="0"/>
    </xf>
    <xf numFmtId="175" fontId="5" fillId="10" borderId="17" xfId="0" applyNumberFormat="1" applyFont="1" applyFill="1" applyBorder="1" applyAlignment="1" applyProtection="1">
      <alignment vertical="top"/>
      <protection locked="0"/>
    </xf>
    <xf numFmtId="175" fontId="5" fillId="10" borderId="17" xfId="0" applyNumberFormat="1" applyFont="1" applyFill="1" applyBorder="1" applyAlignment="1">
      <alignment vertical="top"/>
    </xf>
    <xf numFmtId="175" fontId="4" fillId="3" borderId="14" xfId="0" applyNumberFormat="1" applyFont="1" applyFill="1" applyBorder="1" applyAlignment="1" applyProtection="1">
      <alignment vertical="top"/>
      <protection locked="0"/>
    </xf>
    <xf numFmtId="175" fontId="4" fillId="10" borderId="17" xfId="0" applyNumberFormat="1" applyFont="1" applyFill="1" applyBorder="1" applyAlignment="1" applyProtection="1">
      <alignment vertical="center"/>
      <protection locked="0"/>
    </xf>
    <xf numFmtId="175" fontId="4" fillId="10" borderId="17" xfId="0" applyNumberFormat="1" applyFont="1" applyFill="1" applyBorder="1" applyAlignment="1" applyProtection="1">
      <alignment vertical="top"/>
      <protection locked="0"/>
    </xf>
    <xf numFmtId="175" fontId="5" fillId="10" borderId="20" xfId="0" applyNumberFormat="1" applyFont="1" applyFill="1" applyBorder="1" applyAlignment="1" applyProtection="1">
      <alignment vertical="top"/>
      <protection locked="0"/>
    </xf>
    <xf numFmtId="175" fontId="5" fillId="0" borderId="0" xfId="0" applyNumberFormat="1" applyFont="1" applyAlignment="1" applyProtection="1">
      <alignment vertical="top"/>
      <protection locked="0"/>
    </xf>
    <xf numFmtId="0" fontId="5" fillId="0" borderId="0" xfId="0" applyFont="1" applyAlignment="1">
      <alignment horizontal="left"/>
    </xf>
    <xf numFmtId="3" fontId="5" fillId="0" borderId="0" xfId="0" applyNumberFormat="1" applyFont="1"/>
    <xf numFmtId="43" fontId="33" fillId="8" borderId="16" xfId="0" applyNumberFormat="1" applyFont="1" applyFill="1" applyBorder="1" applyAlignment="1" applyProtection="1">
      <alignment vertical="top"/>
      <protection locked="0"/>
    </xf>
    <xf numFmtId="0" fontId="5" fillId="2" borderId="1" xfId="0" applyFont="1" applyFill="1" applyBorder="1" applyAlignment="1" applyProtection="1">
      <alignment horizontal="left" vertical="top"/>
      <protection locked="0"/>
    </xf>
    <xf numFmtId="8" fontId="5" fillId="10" borderId="17" xfId="0" applyNumberFormat="1" applyFont="1" applyFill="1" applyBorder="1" applyAlignment="1" applyProtection="1">
      <alignment vertical="top"/>
      <protection locked="0"/>
    </xf>
    <xf numFmtId="175" fontId="8" fillId="10" borderId="17" xfId="0" applyNumberFormat="1" applyFont="1" applyFill="1" applyBorder="1" applyAlignment="1" applyProtection="1">
      <alignment horizontal="right" vertical="top"/>
      <protection locked="0"/>
    </xf>
    <xf numFmtId="0" fontId="34" fillId="16" borderId="36" xfId="0" applyFont="1" applyFill="1" applyBorder="1" applyAlignment="1">
      <alignment vertical="center"/>
    </xf>
    <xf numFmtId="167" fontId="34" fillId="16" borderId="36" xfId="1" applyNumberFormat="1" applyFont="1" applyFill="1" applyBorder="1" applyAlignment="1">
      <alignment horizontal="right" vertical="center"/>
    </xf>
    <xf numFmtId="0" fontId="34" fillId="16" borderId="37" xfId="0" applyFont="1" applyFill="1" applyBorder="1" applyAlignment="1">
      <alignment vertical="center"/>
    </xf>
    <xf numFmtId="9" fontId="34" fillId="16" borderId="37" xfId="3" applyFont="1" applyFill="1" applyBorder="1" applyAlignment="1">
      <alignment horizontal="right" vertical="center"/>
    </xf>
    <xf numFmtId="0" fontId="35" fillId="0" borderId="34" xfId="0" applyFont="1" applyBorder="1" applyAlignment="1">
      <alignment horizontal="center" vertical="center" wrapText="1"/>
    </xf>
    <xf numFmtId="0" fontId="32" fillId="0" borderId="3" xfId="0" applyFont="1" applyBorder="1" applyAlignment="1" applyProtection="1">
      <alignment horizontal="left" vertical="top" indent="1"/>
      <protection locked="0"/>
    </xf>
    <xf numFmtId="165" fontId="37" fillId="0" borderId="0" xfId="0" applyNumberFormat="1" applyFont="1"/>
    <xf numFmtId="166" fontId="4" fillId="14" borderId="15" xfId="0" applyNumberFormat="1" applyFont="1" applyFill="1" applyBorder="1" applyAlignment="1">
      <alignment vertical="top"/>
    </xf>
    <xf numFmtId="41" fontId="38" fillId="3" borderId="0" xfId="0" applyNumberFormat="1" applyFont="1" applyFill="1" applyAlignment="1" applyProtection="1">
      <alignment vertical="top"/>
      <protection locked="0"/>
    </xf>
    <xf numFmtId="41" fontId="38" fillId="0" borderId="0" xfId="0" applyNumberFormat="1" applyFont="1" applyAlignment="1" applyProtection="1">
      <alignment horizontal="centerContinuous" vertical="top"/>
      <protection locked="0"/>
    </xf>
    <xf numFmtId="41" fontId="38" fillId="6" borderId="1" xfId="0" applyNumberFormat="1" applyFont="1" applyFill="1" applyBorder="1" applyAlignment="1" applyProtection="1">
      <alignment vertical="top"/>
      <protection locked="0"/>
    </xf>
    <xf numFmtId="41" fontId="38" fillId="0" borderId="0" xfId="0" applyNumberFormat="1" applyFont="1" applyAlignment="1" applyProtection="1">
      <alignment vertical="top"/>
      <protection locked="0"/>
    </xf>
    <xf numFmtId="0" fontId="8" fillId="5" borderId="16" xfId="0" applyFont="1" applyFill="1" applyBorder="1" applyAlignment="1">
      <alignment horizontal="left" vertical="top" indent="1"/>
    </xf>
    <xf numFmtId="0" fontId="5" fillId="4" borderId="16" xfId="0" applyFont="1" applyFill="1" applyBorder="1" applyAlignment="1" applyProtection="1">
      <alignment vertical="top"/>
      <protection locked="0"/>
    </xf>
    <xf numFmtId="0" fontId="5" fillId="3" borderId="16" xfId="0" applyFont="1" applyFill="1" applyBorder="1" applyAlignment="1">
      <alignment vertical="top"/>
    </xf>
    <xf numFmtId="0" fontId="4" fillId="0" borderId="0" xfId="0" applyFont="1" applyAlignment="1">
      <alignment horizontal="center" vertical="center"/>
    </xf>
    <xf numFmtId="165" fontId="4" fillId="0" borderId="0" xfId="0" applyNumberFormat="1" applyFont="1" applyAlignment="1">
      <alignment horizontal="center" vertical="center"/>
    </xf>
    <xf numFmtId="0" fontId="42" fillId="20" borderId="0" xfId="0" applyFont="1" applyFill="1" applyAlignment="1">
      <alignment horizontal="center"/>
    </xf>
    <xf numFmtId="0" fontId="0" fillId="4" borderId="0" xfId="0" applyFill="1"/>
    <xf numFmtId="37" fontId="0" fillId="4" borderId="0" xfId="2" applyNumberFormat="1" applyFont="1" applyFill="1"/>
    <xf numFmtId="0" fontId="41" fillId="16" borderId="0" xfId="0" applyFont="1" applyFill="1"/>
    <xf numFmtId="0" fontId="41" fillId="0" borderId="0" xfId="0" applyFont="1"/>
    <xf numFmtId="167" fontId="41" fillId="16" borderId="0" xfId="1" applyNumberFormat="1" applyFont="1" applyFill="1"/>
    <xf numFmtId="37" fontId="0" fillId="0" borderId="0" xfId="0" applyNumberFormat="1"/>
    <xf numFmtId="0" fontId="42" fillId="0" borderId="0" xfId="0" applyFont="1"/>
    <xf numFmtId="0" fontId="0" fillId="3" borderId="0" xfId="0" applyFill="1"/>
    <xf numFmtId="37" fontId="0" fillId="3" borderId="0" xfId="0" applyNumberFormat="1" applyFill="1"/>
    <xf numFmtId="0" fontId="42" fillId="10" borderId="0" xfId="0" applyFont="1" applyFill="1"/>
    <xf numFmtId="167" fontId="42" fillId="10" borderId="0" xfId="1" applyNumberFormat="1" applyFont="1" applyFill="1"/>
    <xf numFmtId="41" fontId="43" fillId="22" borderId="5" xfId="0" applyNumberFormat="1" applyFont="1" applyFill="1" applyBorder="1"/>
    <xf numFmtId="41" fontId="43" fillId="22" borderId="12" xfId="0" applyNumberFormat="1" applyFont="1" applyFill="1" applyBorder="1"/>
    <xf numFmtId="41" fontId="43" fillId="22" borderId="10" xfId="0" applyNumberFormat="1" applyFont="1" applyFill="1" applyBorder="1"/>
    <xf numFmtId="41" fontId="43" fillId="22" borderId="8" xfId="0" applyNumberFormat="1" applyFont="1" applyFill="1" applyBorder="1"/>
    <xf numFmtId="41" fontId="43" fillId="22" borderId="0" xfId="0" applyNumberFormat="1" applyFont="1" applyFill="1"/>
    <xf numFmtId="41" fontId="43" fillId="22" borderId="7" xfId="0" applyNumberFormat="1" applyFont="1" applyFill="1" applyBorder="1"/>
    <xf numFmtId="0" fontId="42" fillId="20" borderId="0" xfId="0" applyFont="1" applyFill="1"/>
    <xf numFmtId="0" fontId="4" fillId="0" borderId="0" xfId="0" applyFont="1" applyAlignment="1">
      <alignment horizontal="center"/>
    </xf>
    <xf numFmtId="37" fontId="42" fillId="4" borderId="0" xfId="2" applyNumberFormat="1" applyFont="1" applyFill="1"/>
    <xf numFmtId="0" fontId="42" fillId="4" borderId="0" xfId="0" applyFont="1" applyFill="1" applyAlignment="1">
      <alignment horizontal="left"/>
    </xf>
    <xf numFmtId="0" fontId="42" fillId="4" borderId="0" xfId="0" applyFont="1" applyFill="1"/>
    <xf numFmtId="167" fontId="42" fillId="4" borderId="0" xfId="1" applyNumberFormat="1" applyFont="1" applyFill="1"/>
    <xf numFmtId="167" fontId="42" fillId="0" borderId="0" xfId="1" applyNumberFormat="1" applyFont="1"/>
    <xf numFmtId="0" fontId="8" fillId="0" borderId="2" xfId="0" applyFont="1" applyBorder="1" applyAlignment="1" applyProtection="1">
      <alignment horizontal="left" vertical="top" indent="1"/>
      <protection locked="0"/>
    </xf>
    <xf numFmtId="0" fontId="8" fillId="0" borderId="2" xfId="0" applyFont="1" applyBorder="1" applyAlignment="1" applyProtection="1">
      <alignment horizontal="center" vertical="top"/>
      <protection locked="0"/>
    </xf>
    <xf numFmtId="176" fontId="42" fillId="4" borderId="0" xfId="2" applyNumberFormat="1" applyFont="1" applyFill="1"/>
    <xf numFmtId="176" fontId="42" fillId="0" borderId="0" xfId="0" applyNumberFormat="1" applyFont="1"/>
    <xf numFmtId="37" fontId="0" fillId="4" borderId="0" xfId="2" applyNumberFormat="1" applyFont="1" applyFill="1" applyAlignment="1">
      <alignment horizontal="right"/>
    </xf>
    <xf numFmtId="0" fontId="44" fillId="21" borderId="0" xfId="0" applyFont="1" applyFill="1" applyAlignment="1">
      <alignment vertical="center"/>
    </xf>
    <xf numFmtId="0" fontId="44" fillId="0" borderId="0" xfId="0" applyFont="1" applyAlignment="1">
      <alignment vertical="center"/>
    </xf>
    <xf numFmtId="167" fontId="44" fillId="21" borderId="0" xfId="1" applyNumberFormat="1" applyFont="1" applyFill="1" applyAlignment="1">
      <alignment vertical="center"/>
    </xf>
    <xf numFmtId="167" fontId="0" fillId="0" borderId="0" xfId="0" applyNumberFormat="1"/>
    <xf numFmtId="0" fontId="32" fillId="0" borderId="2" xfId="0" applyFont="1" applyBorder="1" applyAlignment="1" applyProtection="1">
      <alignment horizontal="left" vertical="top" indent="1"/>
      <protection locked="0"/>
    </xf>
    <xf numFmtId="0" fontId="32" fillId="2" borderId="2" xfId="0" applyFont="1" applyFill="1" applyBorder="1" applyAlignment="1" applyProtection="1">
      <alignment horizontal="left" vertical="top" indent="1"/>
      <protection locked="0"/>
    </xf>
    <xf numFmtId="0" fontId="26" fillId="0" borderId="0" xfId="0" applyFont="1"/>
    <xf numFmtId="37" fontId="26" fillId="5" borderId="0" xfId="0" applyNumberFormat="1" applyFont="1" applyFill="1"/>
    <xf numFmtId="0" fontId="26" fillId="5" borderId="0" xfId="0" applyFont="1" applyFill="1" applyAlignment="1">
      <alignment vertical="center"/>
    </xf>
    <xf numFmtId="0" fontId="26" fillId="0" borderId="0" xfId="0" applyFont="1" applyAlignment="1">
      <alignment vertical="center"/>
    </xf>
    <xf numFmtId="167" fontId="26" fillId="5" borderId="0" xfId="0" applyNumberFormat="1" applyFont="1" applyFill="1" applyAlignment="1">
      <alignment vertical="center"/>
    </xf>
    <xf numFmtId="37" fontId="26" fillId="5" borderId="0" xfId="0" applyNumberFormat="1" applyFont="1" applyFill="1" applyAlignment="1">
      <alignment vertical="center"/>
    </xf>
    <xf numFmtId="44" fontId="0" fillId="0" borderId="0" xfId="0" applyNumberFormat="1" applyAlignment="1">
      <alignment vertical="center"/>
    </xf>
    <xf numFmtId="0" fontId="0" fillId="0" borderId="0" xfId="0" applyAlignment="1">
      <alignment vertical="center"/>
    </xf>
    <xf numFmtId="9" fontId="26" fillId="5" borderId="0" xfId="0" applyNumberFormat="1" applyFont="1" applyFill="1" applyAlignment="1">
      <alignment vertical="center"/>
    </xf>
    <xf numFmtId="0" fontId="45" fillId="5" borderId="0" xfId="0" applyFont="1" applyFill="1"/>
    <xf numFmtId="0" fontId="45" fillId="0" borderId="0" xfId="0" applyFont="1"/>
    <xf numFmtId="171" fontId="45" fillId="5" borderId="0" xfId="3" applyNumberFormat="1" applyFont="1" applyFill="1"/>
    <xf numFmtId="37" fontId="0" fillId="4" borderId="0" xfId="0" applyNumberFormat="1" applyFill="1"/>
    <xf numFmtId="37" fontId="0" fillId="4" borderId="0" xfId="1" applyNumberFormat="1" applyFont="1" applyFill="1"/>
    <xf numFmtId="37" fontId="16" fillId="4" borderId="0" xfId="0" applyNumberFormat="1" applyFont="1" applyFill="1"/>
    <xf numFmtId="37" fontId="16" fillId="0" borderId="0" xfId="0" applyNumberFormat="1" applyFont="1"/>
    <xf numFmtId="0" fontId="1" fillId="5" borderId="9" xfId="0" applyFont="1" applyFill="1" applyBorder="1" applyAlignment="1">
      <alignment horizontal="center" vertical="top" wrapText="1"/>
    </xf>
    <xf numFmtId="0" fontId="1" fillId="5" borderId="12" xfId="0" applyFont="1" applyFill="1" applyBorder="1" applyAlignment="1">
      <alignment horizontal="center" vertical="center" wrapText="1"/>
    </xf>
    <xf numFmtId="41" fontId="30" fillId="5" borderId="59" xfId="0" applyNumberFormat="1" applyFont="1" applyFill="1" applyBorder="1" applyAlignment="1">
      <alignment vertical="top"/>
    </xf>
    <xf numFmtId="41" fontId="38" fillId="5" borderId="0" xfId="0" applyNumberFormat="1" applyFont="1" applyFill="1" applyAlignment="1" applyProtection="1">
      <alignment vertical="top"/>
      <protection locked="0"/>
    </xf>
    <xf numFmtId="0" fontId="39" fillId="5" borderId="12" xfId="0" applyFont="1" applyFill="1" applyBorder="1" applyAlignment="1">
      <alignment horizontal="center" vertical="center"/>
    </xf>
    <xf numFmtId="41" fontId="40" fillId="5" borderId="1" xfId="0" applyNumberFormat="1" applyFont="1" applyFill="1" applyBorder="1" applyAlignment="1" applyProtection="1">
      <alignment horizontal="center"/>
      <protection locked="0"/>
    </xf>
    <xf numFmtId="41" fontId="39" fillId="5" borderId="12" xfId="0" applyNumberFormat="1" applyFont="1" applyFill="1" applyBorder="1" applyAlignment="1">
      <alignment vertical="top"/>
    </xf>
    <xf numFmtId="41" fontId="38" fillId="5" borderId="59" xfId="0" applyNumberFormat="1" applyFont="1" applyFill="1" applyBorder="1" applyAlignment="1" applyProtection="1">
      <alignment vertical="top"/>
      <protection locked="0"/>
    </xf>
    <xf numFmtId="41" fontId="38" fillId="5" borderId="59" xfId="0" applyNumberFormat="1" applyFont="1" applyFill="1" applyBorder="1" applyAlignment="1">
      <alignment vertical="top"/>
    </xf>
    <xf numFmtId="41" fontId="38" fillId="5" borderId="0" xfId="0" applyNumberFormat="1" applyFont="1" applyFill="1" applyAlignment="1">
      <alignment vertical="top"/>
    </xf>
    <xf numFmtId="167" fontId="39" fillId="5" borderId="59" xfId="1" applyNumberFormat="1" applyFont="1" applyFill="1" applyBorder="1" applyAlignment="1">
      <alignment vertical="center"/>
    </xf>
    <xf numFmtId="167" fontId="39" fillId="5" borderId="59" xfId="1" applyNumberFormat="1" applyFont="1" applyFill="1" applyBorder="1" applyAlignment="1">
      <alignment vertical="top"/>
    </xf>
    <xf numFmtId="41" fontId="38" fillId="5" borderId="60" xfId="0" applyNumberFormat="1" applyFont="1" applyFill="1" applyBorder="1" applyAlignment="1" applyProtection="1">
      <alignment vertical="top"/>
      <protection locked="0"/>
    </xf>
    <xf numFmtId="0" fontId="4" fillId="5" borderId="9" xfId="0" applyFont="1" applyFill="1" applyBorder="1" applyAlignment="1">
      <alignment horizontal="center" vertical="top"/>
    </xf>
    <xf numFmtId="0" fontId="1" fillId="5" borderId="9" xfId="0" applyFont="1" applyFill="1" applyBorder="1" applyAlignment="1">
      <alignment horizontal="center"/>
    </xf>
    <xf numFmtId="41" fontId="30" fillId="5" borderId="0" xfId="0" applyNumberFormat="1" applyFont="1" applyFill="1" applyAlignment="1">
      <alignment vertical="top"/>
    </xf>
    <xf numFmtId="41" fontId="38" fillId="5" borderId="61" xfId="0" applyNumberFormat="1" applyFont="1" applyFill="1" applyBorder="1" applyAlignment="1">
      <alignment vertical="top"/>
    </xf>
    <xf numFmtId="41" fontId="30" fillId="5" borderId="1" xfId="0" applyNumberFormat="1" applyFont="1" applyFill="1" applyBorder="1" applyAlignment="1" applyProtection="1">
      <alignment wrapText="1"/>
      <protection locked="0"/>
    </xf>
    <xf numFmtId="167" fontId="38" fillId="5" borderId="61" xfId="1" applyNumberFormat="1" applyFont="1" applyFill="1" applyBorder="1" applyAlignment="1">
      <alignment vertical="top"/>
    </xf>
    <xf numFmtId="167" fontId="38" fillId="5" borderId="59" xfId="1" applyNumberFormat="1" applyFont="1" applyFill="1" applyBorder="1" applyAlignment="1">
      <alignment vertical="center"/>
    </xf>
    <xf numFmtId="0" fontId="11" fillId="8" borderId="1" xfId="0" applyFont="1" applyFill="1" applyBorder="1" applyAlignment="1">
      <alignment horizontal="left"/>
    </xf>
    <xf numFmtId="0" fontId="8" fillId="0" borderId="2" xfId="0" applyFont="1" applyBorder="1" applyAlignment="1" applyProtection="1">
      <alignment horizontal="left" vertical="top"/>
      <protection locked="0"/>
    </xf>
    <xf numFmtId="0" fontId="5" fillId="0" borderId="0" xfId="0" applyFont="1" applyAlignment="1" applyProtection="1">
      <alignment vertical="center"/>
      <protection locked="0"/>
    </xf>
    <xf numFmtId="0" fontId="6" fillId="0" borderId="0" xfId="0" applyFont="1" applyAlignment="1" applyProtection="1">
      <alignment wrapText="1"/>
      <protection locked="0"/>
    </xf>
    <xf numFmtId="0" fontId="8" fillId="0" borderId="0" xfId="0" applyFont="1" applyAlignment="1" applyProtection="1">
      <alignment vertical="top"/>
      <protection locked="0"/>
    </xf>
    <xf numFmtId="0" fontId="4" fillId="0" borderId="0" xfId="0" applyFont="1" applyAlignment="1" applyProtection="1">
      <alignment vertical="top"/>
      <protection locked="0"/>
    </xf>
    <xf numFmtId="0" fontId="5" fillId="0" borderId="0" xfId="0" applyFont="1" applyAlignment="1" applyProtection="1">
      <alignment wrapText="1"/>
      <protection locked="0"/>
    </xf>
    <xf numFmtId="0" fontId="2" fillId="0" borderId="0" xfId="0" applyFont="1" applyAlignment="1" applyProtection="1">
      <alignment vertical="top"/>
      <protection locked="0"/>
    </xf>
    <xf numFmtId="44" fontId="4" fillId="0" borderId="0" xfId="0" applyNumberFormat="1" applyFont="1" applyAlignment="1" applyProtection="1">
      <alignment vertical="center"/>
      <protection locked="0"/>
    </xf>
    <xf numFmtId="44" fontId="4" fillId="0" borderId="0" xfId="0" applyNumberFormat="1" applyFont="1" applyAlignment="1" applyProtection="1">
      <alignment vertical="top"/>
      <protection locked="0"/>
    </xf>
    <xf numFmtId="43" fontId="8" fillId="14" borderId="17" xfId="0" applyNumberFormat="1" applyFont="1" applyFill="1" applyBorder="1" applyAlignment="1" applyProtection="1">
      <alignment horizontal="left" vertical="top"/>
      <protection locked="0"/>
    </xf>
    <xf numFmtId="41" fontId="29" fillId="3" borderId="59" xfId="0" applyNumberFormat="1" applyFont="1" applyFill="1" applyBorder="1" applyAlignment="1">
      <alignment vertical="top"/>
    </xf>
    <xf numFmtId="0" fontId="12" fillId="0" borderId="0" xfId="0" applyFont="1" applyAlignment="1">
      <alignment vertical="top" wrapText="1"/>
    </xf>
    <xf numFmtId="0" fontId="0" fillId="3" borderId="0" xfId="0" applyFill="1" applyAlignment="1">
      <alignment horizontal="left" indent="1"/>
    </xf>
    <xf numFmtId="0" fontId="42" fillId="10" borderId="0" xfId="0" applyFont="1" applyFill="1" applyAlignment="1">
      <alignment horizontal="left" indent="1"/>
    </xf>
    <xf numFmtId="0" fontId="5" fillId="24" borderId="0" xfId="0" applyFont="1" applyFill="1"/>
    <xf numFmtId="10" fontId="24" fillId="24" borderId="0" xfId="0" applyNumberFormat="1" applyFont="1" applyFill="1" applyAlignment="1">
      <alignment horizontal="left" indent="1"/>
    </xf>
    <xf numFmtId="9" fontId="24" fillId="24" borderId="0" xfId="0" applyNumberFormat="1" applyFont="1" applyFill="1" applyAlignment="1">
      <alignment horizontal="left"/>
    </xf>
    <xf numFmtId="9" fontId="46" fillId="24" borderId="0" xfId="0" applyNumberFormat="1" applyFont="1" applyFill="1" applyAlignment="1">
      <alignment horizontal="left"/>
    </xf>
    <xf numFmtId="0" fontId="0" fillId="23" borderId="0" xfId="0" applyFill="1"/>
    <xf numFmtId="0" fontId="41" fillId="25" borderId="0" xfId="0" applyFont="1" applyFill="1"/>
    <xf numFmtId="9" fontId="46" fillId="0" borderId="0" xfId="0" applyNumberFormat="1" applyFont="1"/>
    <xf numFmtId="43" fontId="5" fillId="0" borderId="42" xfId="2" applyFont="1" applyFill="1" applyBorder="1" applyAlignment="1">
      <alignment vertical="center"/>
    </xf>
    <xf numFmtId="43" fontId="5" fillId="0" borderId="32" xfId="2" applyFont="1" applyFill="1" applyBorder="1" applyAlignment="1">
      <alignment vertical="center"/>
    </xf>
    <xf numFmtId="43" fontId="5" fillId="0" borderId="56" xfId="2" applyFont="1" applyFill="1" applyBorder="1" applyAlignment="1">
      <alignment vertical="center"/>
    </xf>
    <xf numFmtId="43" fontId="5" fillId="0" borderId="57" xfId="2" applyFont="1" applyFill="1" applyBorder="1" applyAlignment="1">
      <alignment vertical="center"/>
    </xf>
    <xf numFmtId="167" fontId="5" fillId="0" borderId="0" xfId="0" applyNumberFormat="1" applyFont="1" applyAlignment="1">
      <alignment vertical="center"/>
    </xf>
    <xf numFmtId="168" fontId="8" fillId="0" borderId="2" xfId="2" applyNumberFormat="1" applyFont="1" applyFill="1" applyBorder="1" applyAlignment="1" applyProtection="1">
      <alignment horizontal="center" vertical="top"/>
      <protection locked="0"/>
    </xf>
    <xf numFmtId="0" fontId="26" fillId="5" borderId="0" xfId="0" applyFont="1" applyFill="1"/>
    <xf numFmtId="0" fontId="24" fillId="24" borderId="0" xfId="0" applyFont="1" applyFill="1" applyAlignment="1">
      <alignment horizontal="left" vertical="center"/>
    </xf>
    <xf numFmtId="0" fontId="24" fillId="0" borderId="0" xfId="0" applyFont="1" applyAlignment="1">
      <alignment horizontal="left" vertical="center" indent="1"/>
    </xf>
    <xf numFmtId="0" fontId="24" fillId="0" borderId="0" xfId="0" applyFont="1" applyAlignment="1">
      <alignment horizontal="left" indent="1"/>
    </xf>
    <xf numFmtId="0" fontId="24" fillId="0" borderId="0" xfId="0" applyFont="1" applyAlignment="1">
      <alignment horizontal="left" vertical="top" indent="1"/>
    </xf>
    <xf numFmtId="0" fontId="1" fillId="4" borderId="12" xfId="0" applyFont="1" applyFill="1" applyBorder="1" applyAlignment="1">
      <alignment horizontal="center" vertical="center"/>
    </xf>
    <xf numFmtId="0" fontId="1" fillId="4" borderId="9" xfId="0" applyFont="1" applyFill="1" applyBorder="1" applyAlignment="1">
      <alignment horizontal="center" vertical="top"/>
    </xf>
    <xf numFmtId="41" fontId="6" fillId="4" borderId="1" xfId="0" applyNumberFormat="1" applyFont="1" applyFill="1" applyBorder="1" applyAlignment="1" applyProtection="1">
      <alignment horizontal="center"/>
      <protection locked="0"/>
    </xf>
    <xf numFmtId="41" fontId="8" fillId="4" borderId="59" xfId="0" applyNumberFormat="1" applyFont="1" applyFill="1" applyBorder="1" applyAlignment="1">
      <alignment vertical="top"/>
    </xf>
    <xf numFmtId="41" fontId="30" fillId="4" borderId="59" xfId="0" applyNumberFormat="1" applyFont="1" applyFill="1" applyBorder="1" applyAlignment="1">
      <alignment vertical="top"/>
    </xf>
    <xf numFmtId="0" fontId="1" fillId="8" borderId="12" xfId="0" applyFont="1" applyFill="1" applyBorder="1" applyAlignment="1">
      <alignment horizontal="center" vertical="center" wrapText="1"/>
    </xf>
    <xf numFmtId="0" fontId="1" fillId="8" borderId="9" xfId="0" applyFont="1" applyFill="1" applyBorder="1" applyAlignment="1">
      <alignment horizontal="center" vertical="top" wrapText="1"/>
    </xf>
    <xf numFmtId="41" fontId="30" fillId="8" borderId="59" xfId="0" applyNumberFormat="1" applyFont="1" applyFill="1" applyBorder="1" applyAlignment="1">
      <alignment vertical="top"/>
    </xf>
    <xf numFmtId="41" fontId="30" fillId="8" borderId="0" xfId="0" applyNumberFormat="1" applyFont="1" applyFill="1" applyAlignment="1">
      <alignment vertical="top"/>
    </xf>
    <xf numFmtId="41" fontId="38" fillId="8" borderId="61" xfId="0" applyNumberFormat="1" applyFont="1" applyFill="1" applyBorder="1" applyAlignment="1">
      <alignment vertical="top"/>
    </xf>
    <xf numFmtId="41" fontId="30" fillId="8" borderId="1" xfId="0" applyNumberFormat="1" applyFont="1" applyFill="1" applyBorder="1" applyAlignment="1" applyProtection="1">
      <alignment wrapText="1"/>
      <protection locked="0"/>
    </xf>
    <xf numFmtId="41" fontId="38" fillId="8" borderId="59" xfId="0" applyNumberFormat="1" applyFont="1" applyFill="1" applyBorder="1" applyAlignment="1" applyProtection="1">
      <alignment vertical="top"/>
      <protection locked="0"/>
    </xf>
    <xf numFmtId="41" fontId="38" fillId="8" borderId="59" xfId="0" applyNumberFormat="1" applyFont="1" applyFill="1" applyBorder="1" applyAlignment="1">
      <alignment vertical="top"/>
    </xf>
    <xf numFmtId="167" fontId="38" fillId="8" borderId="61" xfId="1" applyNumberFormat="1" applyFont="1" applyFill="1" applyBorder="1" applyAlignment="1">
      <alignment vertical="top"/>
    </xf>
    <xf numFmtId="167" fontId="38" fillId="8" borderId="59" xfId="1" applyNumberFormat="1" applyFont="1" applyFill="1" applyBorder="1" applyAlignment="1">
      <alignment vertical="center"/>
    </xf>
    <xf numFmtId="41" fontId="38" fillId="8" borderId="60" xfId="0" applyNumberFormat="1" applyFont="1" applyFill="1" applyBorder="1" applyAlignment="1" applyProtection="1">
      <alignment vertical="top"/>
      <protection locked="0"/>
    </xf>
    <xf numFmtId="10" fontId="5" fillId="7" borderId="17" xfId="3" applyNumberFormat="1" applyFont="1" applyFill="1" applyBorder="1" applyAlignment="1" applyProtection="1">
      <alignment vertical="top"/>
    </xf>
    <xf numFmtId="0" fontId="5" fillId="0" borderId="1" xfId="0" applyFont="1" applyBorder="1" applyAlignment="1" applyProtection="1">
      <alignment vertical="top"/>
      <protection locked="0"/>
    </xf>
    <xf numFmtId="0" fontId="5" fillId="0" borderId="1" xfId="0" applyFont="1" applyBorder="1" applyAlignment="1" applyProtection="1">
      <alignment wrapText="1"/>
      <protection locked="0"/>
    </xf>
    <xf numFmtId="41" fontId="4" fillId="8" borderId="17" xfId="0" applyNumberFormat="1" applyFont="1" applyFill="1" applyBorder="1" applyAlignment="1" applyProtection="1">
      <alignment wrapText="1"/>
      <protection locked="0"/>
    </xf>
    <xf numFmtId="0" fontId="4" fillId="2" borderId="0" xfId="0" applyFont="1" applyFill="1" applyAlignment="1" applyProtection="1">
      <alignment wrapText="1"/>
      <protection locked="0"/>
    </xf>
    <xf numFmtId="43" fontId="47" fillId="8" borderId="1" xfId="0" applyNumberFormat="1" applyFont="1" applyFill="1" applyBorder="1" applyAlignment="1" applyProtection="1">
      <alignment horizontal="center" wrapText="1"/>
      <protection locked="0"/>
    </xf>
    <xf numFmtId="44" fontId="4" fillId="8" borderId="16" xfId="0" applyNumberFormat="1" applyFont="1" applyFill="1" applyBorder="1" applyAlignment="1">
      <alignment vertical="center"/>
    </xf>
    <xf numFmtId="173" fontId="5" fillId="8" borderId="16" xfId="0" applyNumberFormat="1" applyFont="1" applyFill="1" applyBorder="1" applyAlignment="1">
      <alignment vertical="top"/>
    </xf>
    <xf numFmtId="0" fontId="39" fillId="8" borderId="12" xfId="0" applyFont="1" applyFill="1" applyBorder="1" applyAlignment="1">
      <alignment horizontal="center" vertical="center"/>
    </xf>
    <xf numFmtId="0" fontId="4" fillId="8" borderId="9" xfId="0" applyFont="1" applyFill="1" applyBorder="1" applyAlignment="1">
      <alignment horizontal="center" vertical="top"/>
    </xf>
    <xf numFmtId="0" fontId="1" fillId="8" borderId="9" xfId="0" applyFont="1" applyFill="1" applyBorder="1" applyAlignment="1">
      <alignment horizontal="center"/>
    </xf>
    <xf numFmtId="41" fontId="39" fillId="8" borderId="12" xfId="0" applyNumberFormat="1" applyFont="1" applyFill="1" applyBorder="1" applyAlignment="1">
      <alignment vertical="top"/>
    </xf>
    <xf numFmtId="41" fontId="40" fillId="8" borderId="1" xfId="0" applyNumberFormat="1" applyFont="1" applyFill="1" applyBorder="1" applyAlignment="1" applyProtection="1">
      <alignment horizontal="center"/>
      <protection locked="0"/>
    </xf>
    <xf numFmtId="41" fontId="38" fillId="8" borderId="0" xfId="0" applyNumberFormat="1" applyFont="1" applyFill="1" applyAlignment="1">
      <alignment vertical="top"/>
    </xf>
    <xf numFmtId="167" fontId="39" fillId="8" borderId="59" xfId="1" applyNumberFormat="1" applyFont="1" applyFill="1" applyBorder="1" applyAlignment="1">
      <alignment vertical="center"/>
    </xf>
    <xf numFmtId="167" fontId="39" fillId="8" borderId="59" xfId="1" applyNumberFormat="1" applyFont="1" applyFill="1" applyBorder="1" applyAlignment="1">
      <alignment vertical="top"/>
    </xf>
    <xf numFmtId="0" fontId="42" fillId="0" borderId="0" xfId="0" applyFont="1" applyAlignment="1">
      <alignment horizontal="center" vertical="center"/>
    </xf>
    <xf numFmtId="0" fontId="5" fillId="19" borderId="28" xfId="0" applyFont="1" applyFill="1" applyBorder="1"/>
    <xf numFmtId="0" fontId="5" fillId="19" borderId="29" xfId="0" applyFont="1" applyFill="1" applyBorder="1"/>
    <xf numFmtId="9" fontId="5" fillId="19" borderId="29" xfId="0" applyNumberFormat="1" applyFont="1" applyFill="1" applyBorder="1"/>
    <xf numFmtId="0" fontId="5" fillId="19" borderId="30" xfId="0" applyFont="1" applyFill="1" applyBorder="1"/>
    <xf numFmtId="9" fontId="25" fillId="19" borderId="31" xfId="0" applyNumberFormat="1" applyFont="1" applyFill="1" applyBorder="1" applyAlignment="1">
      <alignment horizontal="left"/>
    </xf>
    <xf numFmtId="0" fontId="5" fillId="19" borderId="0" xfId="0" applyFont="1" applyFill="1"/>
    <xf numFmtId="0" fontId="25" fillId="19" borderId="0" xfId="0" applyFont="1" applyFill="1"/>
    <xf numFmtId="0" fontId="5" fillId="19" borderId="32" xfId="0" applyFont="1" applyFill="1" applyBorder="1"/>
    <xf numFmtId="10" fontId="24" fillId="19" borderId="31" xfId="0" applyNumberFormat="1" applyFont="1" applyFill="1" applyBorder="1" applyAlignment="1">
      <alignment horizontal="left" indent="1"/>
    </xf>
    <xf numFmtId="0" fontId="24" fillId="19" borderId="0" xfId="0" applyFont="1" applyFill="1" applyAlignment="1">
      <alignment horizontal="left" vertical="center"/>
    </xf>
    <xf numFmtId="9" fontId="24" fillId="19" borderId="0" xfId="0" applyNumberFormat="1" applyFont="1" applyFill="1" applyAlignment="1">
      <alignment horizontal="left"/>
    </xf>
    <xf numFmtId="0" fontId="5" fillId="19" borderId="0" xfId="0" applyFont="1" applyFill="1" applyAlignment="1">
      <alignment horizontal="center"/>
    </xf>
    <xf numFmtId="0" fontId="5" fillId="19" borderId="33" xfId="0" applyFont="1" applyFill="1" applyBorder="1"/>
    <xf numFmtId="0" fontId="5" fillId="19" borderId="62" xfId="0" applyFont="1" applyFill="1" applyBorder="1"/>
    <xf numFmtId="0" fontId="5" fillId="19" borderId="55" xfId="0" applyFont="1" applyFill="1" applyBorder="1"/>
    <xf numFmtId="0" fontId="48" fillId="0" borderId="0" xfId="0" applyFont="1"/>
    <xf numFmtId="0" fontId="49" fillId="0" borderId="0" xfId="0" applyFont="1"/>
    <xf numFmtId="0" fontId="49" fillId="4" borderId="0" xfId="0" applyFont="1" applyFill="1"/>
    <xf numFmtId="42" fontId="49" fillId="4" borderId="0" xfId="0" applyNumberFormat="1" applyFont="1" applyFill="1"/>
    <xf numFmtId="0" fontId="50" fillId="0" borderId="0" xfId="0" applyFont="1"/>
    <xf numFmtId="42" fontId="49" fillId="0" borderId="0" xfId="0" applyNumberFormat="1" applyFont="1"/>
    <xf numFmtId="0" fontId="51" fillId="0" borderId="0" xfId="0" applyFont="1"/>
    <xf numFmtId="0" fontId="49" fillId="3" borderId="0" xfId="0" applyFont="1" applyFill="1"/>
    <xf numFmtId="42" fontId="49" fillId="3" borderId="0" xfId="0" applyNumberFormat="1" applyFont="1" applyFill="1"/>
    <xf numFmtId="0" fontId="49" fillId="5" borderId="0" xfId="0" applyFont="1" applyFill="1"/>
    <xf numFmtId="42" fontId="49" fillId="5" borderId="0" xfId="0" applyNumberFormat="1" applyFont="1" applyFill="1"/>
    <xf numFmtId="0" fontId="52" fillId="0" borderId="0" xfId="0" applyFont="1"/>
    <xf numFmtId="0" fontId="49" fillId="8" borderId="0" xfId="0" applyFont="1" applyFill="1"/>
    <xf numFmtId="42" fontId="49" fillId="8" borderId="0" xfId="0" applyNumberFormat="1" applyFont="1" applyFill="1"/>
    <xf numFmtId="0" fontId="8" fillId="7" borderId="17" xfId="0" applyFont="1" applyFill="1" applyBorder="1" applyAlignment="1" applyProtection="1">
      <alignment vertical="top"/>
      <protection locked="0"/>
    </xf>
    <xf numFmtId="0" fontId="5" fillId="9" borderId="0" xfId="0" applyFont="1" applyFill="1"/>
    <xf numFmtId="44" fontId="5" fillId="9" borderId="0" xfId="1" applyFont="1" applyFill="1" applyBorder="1"/>
    <xf numFmtId="44" fontId="5" fillId="9" borderId="0" xfId="1" applyFont="1" applyFill="1" applyBorder="1" applyAlignment="1">
      <alignment horizontal="right"/>
    </xf>
    <xf numFmtId="0" fontId="4" fillId="0" borderId="33" xfId="0" applyFont="1" applyBorder="1"/>
    <xf numFmtId="44" fontId="4" fillId="4" borderId="33" xfId="1" applyFont="1" applyFill="1" applyBorder="1" applyAlignment="1">
      <alignment horizontal="right"/>
    </xf>
    <xf numFmtId="44" fontId="4" fillId="3" borderId="54" xfId="1" applyFont="1" applyFill="1" applyBorder="1" applyAlignment="1">
      <alignment horizontal="right"/>
    </xf>
    <xf numFmtId="44" fontId="4" fillId="5" borderId="55" xfId="1" applyFont="1" applyFill="1" applyBorder="1" applyAlignment="1">
      <alignment horizontal="right"/>
    </xf>
    <xf numFmtId="44" fontId="4" fillId="15" borderId="55" xfId="1" applyFont="1" applyFill="1" applyBorder="1" applyAlignment="1">
      <alignment horizontal="right"/>
    </xf>
    <xf numFmtId="44" fontId="4" fillId="4" borderId="33" xfId="1" applyFont="1" applyFill="1" applyBorder="1"/>
    <xf numFmtId="44" fontId="4" fillId="3" borderId="54" xfId="1" applyFont="1" applyFill="1" applyBorder="1"/>
    <xf numFmtId="44" fontId="4" fillId="5" borderId="55" xfId="1" applyFont="1" applyFill="1" applyBorder="1"/>
    <xf numFmtId="44" fontId="4" fillId="15" borderId="55" xfId="1" applyFont="1" applyFill="1" applyBorder="1"/>
    <xf numFmtId="0" fontId="5" fillId="2" borderId="4" xfId="0" applyFont="1" applyFill="1" applyBorder="1" applyAlignment="1" applyProtection="1">
      <alignment vertical="top"/>
      <protection locked="0"/>
    </xf>
    <xf numFmtId="0" fontId="5" fillId="2" borderId="26" xfId="0" applyFont="1" applyFill="1" applyBorder="1" applyAlignment="1" applyProtection="1">
      <alignment horizontal="center" vertical="top"/>
      <protection locked="0"/>
    </xf>
    <xf numFmtId="0" fontId="8" fillId="0" borderId="4" xfId="0" applyFont="1" applyBorder="1" applyAlignment="1" applyProtection="1">
      <alignment vertical="top"/>
      <protection locked="0"/>
    </xf>
    <xf numFmtId="0" fontId="11" fillId="2" borderId="51" xfId="0" applyFont="1" applyFill="1" applyBorder="1" applyAlignment="1" applyProtection="1">
      <alignment horizontal="center"/>
      <protection locked="0"/>
    </xf>
    <xf numFmtId="0" fontId="8" fillId="2" borderId="1" xfId="0" applyFont="1" applyFill="1" applyBorder="1" applyAlignment="1" applyProtection="1">
      <alignment horizontal="center" wrapText="1"/>
      <protection locked="0"/>
    </xf>
    <xf numFmtId="168" fontId="53" fillId="2" borderId="2" xfId="2" applyNumberFormat="1" applyFont="1" applyFill="1" applyBorder="1" applyAlignment="1" applyProtection="1">
      <alignment horizontal="center" vertical="top"/>
      <protection locked="0"/>
    </xf>
    <xf numFmtId="0" fontId="5" fillId="2" borderId="0" xfId="0" applyFont="1" applyFill="1" applyAlignment="1" applyProtection="1">
      <alignment horizontal="center" vertical="top"/>
      <protection locked="0"/>
    </xf>
    <xf numFmtId="0" fontId="5" fillId="2" borderId="0" xfId="0" applyFont="1" applyFill="1" applyAlignment="1" applyProtection="1">
      <alignment horizontal="center" vertical="center"/>
      <protection locked="0"/>
    </xf>
    <xf numFmtId="0" fontId="5" fillId="6" borderId="1" xfId="0" applyFont="1" applyFill="1" applyBorder="1" applyAlignment="1" applyProtection="1">
      <alignment horizontal="center" vertical="top" wrapText="1"/>
      <protection locked="0"/>
    </xf>
    <xf numFmtId="0" fontId="27" fillId="19" borderId="51" xfId="0" applyFont="1" applyFill="1" applyBorder="1" applyAlignment="1" applyProtection="1">
      <alignment horizontal="center" vertical="top"/>
      <protection locked="0"/>
    </xf>
    <xf numFmtId="0" fontId="54" fillId="19" borderId="51" xfId="0" applyFont="1" applyFill="1" applyBorder="1" applyAlignment="1" applyProtection="1">
      <alignment horizontal="center" vertical="top"/>
      <protection locked="0"/>
    </xf>
    <xf numFmtId="0" fontId="4" fillId="2" borderId="23" xfId="0" applyFont="1" applyFill="1" applyBorder="1" applyAlignment="1" applyProtection="1">
      <alignment horizontal="center" vertical="top"/>
      <protection locked="0"/>
    </xf>
    <xf numFmtId="0" fontId="17" fillId="2" borderId="53" xfId="0" applyFont="1" applyFill="1" applyBorder="1" applyAlignment="1" applyProtection="1">
      <alignment horizontal="center" vertical="top"/>
      <protection locked="0"/>
    </xf>
    <xf numFmtId="0" fontId="5" fillId="2" borderId="22" xfId="0" applyFont="1" applyFill="1" applyBorder="1" applyAlignment="1" applyProtection="1">
      <alignment horizontal="center" vertical="top" wrapText="1"/>
      <protection locked="0"/>
    </xf>
    <xf numFmtId="0" fontId="5" fillId="2" borderId="22" xfId="0" applyFont="1" applyFill="1" applyBorder="1" applyAlignment="1" applyProtection="1">
      <alignment horizontal="center" vertical="top"/>
      <protection locked="0"/>
    </xf>
    <xf numFmtId="0" fontId="1" fillId="2" borderId="22" xfId="0" applyFont="1" applyFill="1" applyBorder="1" applyAlignment="1" applyProtection="1">
      <alignment horizontal="center" vertical="center"/>
      <protection locked="0"/>
    </xf>
    <xf numFmtId="0" fontId="1" fillId="2" borderId="22" xfId="0" applyFont="1" applyFill="1" applyBorder="1" applyAlignment="1" applyProtection="1">
      <alignment horizontal="center" vertical="top"/>
      <protection locked="0"/>
    </xf>
    <xf numFmtId="44" fontId="5" fillId="2" borderId="24" xfId="0" applyNumberFormat="1" applyFont="1" applyFill="1" applyBorder="1" applyAlignment="1" applyProtection="1">
      <alignment horizontal="center" vertical="top"/>
      <protection locked="0"/>
    </xf>
    <xf numFmtId="0" fontId="5" fillId="0" borderId="0" xfId="0" applyFont="1" applyAlignment="1" applyProtection="1">
      <alignment horizontal="center" vertical="top"/>
      <protection locked="0"/>
    </xf>
    <xf numFmtId="177" fontId="8" fillId="4" borderId="2" xfId="2" applyNumberFormat="1" applyFont="1" applyFill="1" applyBorder="1" applyAlignment="1" applyProtection="1">
      <alignment horizontal="center" vertical="top"/>
    </xf>
    <xf numFmtId="177" fontId="27" fillId="19" borderId="51" xfId="0" applyNumberFormat="1" applyFont="1" applyFill="1" applyBorder="1" applyAlignment="1" applyProtection="1">
      <alignment vertical="top"/>
      <protection locked="0"/>
    </xf>
    <xf numFmtId="0" fontId="23" fillId="2" borderId="2" xfId="0" applyFont="1" applyFill="1" applyBorder="1" applyAlignment="1" applyProtection="1">
      <alignment horizontal="left" vertical="top"/>
      <protection locked="0"/>
    </xf>
    <xf numFmtId="41" fontId="55" fillId="4" borderId="59" xfId="0" applyNumberFormat="1" applyFont="1" applyFill="1" applyBorder="1" applyAlignment="1">
      <alignment vertical="top"/>
    </xf>
    <xf numFmtId="168" fontId="53" fillId="2" borderId="1" xfId="2" applyNumberFormat="1" applyFont="1" applyFill="1" applyBorder="1" applyAlignment="1" applyProtection="1">
      <alignment horizontal="center" vertical="top"/>
      <protection locked="0"/>
    </xf>
    <xf numFmtId="0" fontId="23" fillId="0" borderId="2" xfId="0" applyFont="1" applyBorder="1" applyAlignment="1" applyProtection="1">
      <alignment horizontal="left" vertical="top"/>
      <protection locked="0"/>
    </xf>
    <xf numFmtId="41" fontId="8" fillId="3" borderId="0" xfId="0" applyNumberFormat="1" applyFont="1" applyFill="1" applyAlignment="1">
      <alignment vertical="top"/>
    </xf>
    <xf numFmtId="0" fontId="8" fillId="5" borderId="8" xfId="0" applyFont="1" applyFill="1" applyBorder="1" applyAlignment="1">
      <alignment vertical="top"/>
    </xf>
    <xf numFmtId="43" fontId="8" fillId="14" borderId="0" xfId="0" applyNumberFormat="1" applyFont="1" applyFill="1" applyAlignment="1" applyProtection="1">
      <alignment horizontal="right" vertical="top"/>
      <protection locked="0"/>
    </xf>
    <xf numFmtId="41" fontId="8" fillId="5" borderId="0" xfId="0" applyNumberFormat="1" applyFont="1" applyFill="1" applyAlignment="1">
      <alignment vertical="top"/>
    </xf>
    <xf numFmtId="43" fontId="8" fillId="8" borderId="8" xfId="0" applyNumberFormat="1" applyFont="1" applyFill="1" applyBorder="1" applyAlignment="1" applyProtection="1">
      <alignment vertical="top"/>
      <protection locked="0"/>
    </xf>
    <xf numFmtId="43" fontId="8" fillId="8" borderId="0" xfId="0" applyNumberFormat="1" applyFont="1" applyFill="1" applyAlignment="1" applyProtection="1">
      <alignment vertical="top"/>
      <protection locked="0"/>
    </xf>
    <xf numFmtId="41" fontId="8" fillId="8" borderId="0" xfId="0" applyNumberFormat="1" applyFont="1" applyFill="1" applyAlignment="1">
      <alignment vertical="top"/>
    </xf>
    <xf numFmtId="0" fontId="8" fillId="0" borderId="1" xfId="0" applyFont="1" applyBorder="1" applyAlignment="1" applyProtection="1">
      <alignment horizontal="left" vertical="top"/>
      <protection locked="0"/>
    </xf>
    <xf numFmtId="0" fontId="8" fillId="0" borderId="3" xfId="0" applyFont="1" applyBorder="1" applyAlignment="1" applyProtection="1">
      <alignment horizontal="left" vertical="top"/>
      <protection locked="0"/>
    </xf>
    <xf numFmtId="0" fontId="4" fillId="6" borderId="13" xfId="0" applyFont="1" applyFill="1" applyBorder="1" applyAlignment="1" applyProtection="1">
      <alignment horizontal="left" vertical="top"/>
      <protection locked="0"/>
    </xf>
    <xf numFmtId="0" fontId="4" fillId="6" borderId="23" xfId="0" applyFont="1" applyFill="1" applyBorder="1" applyAlignment="1" applyProtection="1">
      <alignment horizontal="center" vertical="top"/>
      <protection locked="0"/>
    </xf>
    <xf numFmtId="0" fontId="4" fillId="6" borderId="23" xfId="0" applyFont="1" applyFill="1" applyBorder="1" applyAlignment="1" applyProtection="1">
      <alignment horizontal="right" vertical="top"/>
      <protection locked="0"/>
    </xf>
    <xf numFmtId="3" fontId="4" fillId="6" borderId="14" xfId="0" applyNumberFormat="1" applyFont="1" applyFill="1" applyBorder="1" applyAlignment="1" applyProtection="1">
      <alignment vertical="top"/>
      <protection locked="0"/>
    </xf>
    <xf numFmtId="3" fontId="4" fillId="6" borderId="15" xfId="0" applyNumberFormat="1" applyFont="1" applyFill="1" applyBorder="1" applyAlignment="1" applyProtection="1">
      <alignment vertical="top"/>
      <protection locked="0"/>
    </xf>
    <xf numFmtId="0" fontId="4" fillId="6" borderId="13" xfId="0" applyFont="1" applyFill="1" applyBorder="1" applyAlignment="1">
      <alignment vertical="top" wrapText="1"/>
    </xf>
    <xf numFmtId="164" fontId="4" fillId="6" borderId="14" xfId="0" applyNumberFormat="1" applyFont="1" applyFill="1" applyBorder="1" applyAlignment="1" applyProtection="1">
      <alignment vertical="top"/>
      <protection locked="0"/>
    </xf>
    <xf numFmtId="41" fontId="4" fillId="6" borderId="14" xfId="0" applyNumberFormat="1" applyFont="1" applyFill="1" applyBorder="1" applyAlignment="1">
      <alignment vertical="top"/>
    </xf>
    <xf numFmtId="41" fontId="4" fillId="6" borderId="15" xfId="0" applyNumberFormat="1" applyFont="1" applyFill="1" applyBorder="1" applyAlignment="1">
      <alignment vertical="top"/>
    </xf>
    <xf numFmtId="0" fontId="5" fillId="6" borderId="16" xfId="0" applyFont="1" applyFill="1" applyBorder="1" applyAlignment="1" applyProtection="1">
      <alignment vertical="top"/>
      <protection locked="0"/>
    </xf>
    <xf numFmtId="0" fontId="5" fillId="6" borderId="22" xfId="0" applyFont="1" applyFill="1" applyBorder="1" applyAlignment="1" applyProtection="1">
      <alignment horizontal="center" vertical="top"/>
      <protection locked="0"/>
    </xf>
    <xf numFmtId="0" fontId="5" fillId="6" borderId="22" xfId="0" applyFont="1" applyFill="1" applyBorder="1" applyAlignment="1" applyProtection="1">
      <alignment vertical="top"/>
      <protection locked="0"/>
    </xf>
    <xf numFmtId="3" fontId="5" fillId="6" borderId="17" xfId="0" applyNumberFormat="1" applyFont="1" applyFill="1" applyBorder="1" applyAlignment="1" applyProtection="1">
      <alignment vertical="top"/>
      <protection locked="0"/>
    </xf>
    <xf numFmtId="3" fontId="5" fillId="6" borderId="18" xfId="0" applyNumberFormat="1" applyFont="1" applyFill="1" applyBorder="1" applyAlignment="1" applyProtection="1">
      <alignment vertical="top"/>
      <protection locked="0"/>
    </xf>
    <xf numFmtId="0" fontId="5" fillId="6" borderId="16" xfId="0" applyFont="1" applyFill="1" applyBorder="1" applyAlignment="1" applyProtection="1">
      <alignment vertical="top" wrapText="1"/>
      <protection locked="0"/>
    </xf>
    <xf numFmtId="164" fontId="5" fillId="6" borderId="17" xfId="0" applyNumberFormat="1" applyFont="1" applyFill="1" applyBorder="1" applyAlignment="1" applyProtection="1">
      <alignment vertical="top"/>
      <protection locked="0"/>
    </xf>
    <xf numFmtId="41" fontId="5" fillId="6" borderId="17" xfId="0" applyNumberFormat="1" applyFont="1" applyFill="1" applyBorder="1" applyAlignment="1">
      <alignment vertical="top"/>
    </xf>
    <xf numFmtId="41" fontId="5" fillId="6" borderId="18" xfId="0" applyNumberFormat="1" applyFont="1" applyFill="1" applyBorder="1" applyAlignment="1">
      <alignment vertical="top"/>
    </xf>
    <xf numFmtId="0" fontId="4" fillId="2" borderId="4" xfId="0" applyFont="1" applyFill="1" applyBorder="1" applyAlignment="1" applyProtection="1">
      <alignment vertical="top"/>
      <protection locked="0"/>
    </xf>
    <xf numFmtId="4" fontId="5" fillId="2" borderId="1" xfId="0" applyNumberFormat="1" applyFont="1" applyFill="1" applyBorder="1" applyAlignment="1" applyProtection="1">
      <alignment horizontal="center" vertical="top"/>
      <protection locked="0"/>
    </xf>
    <xf numFmtId="0" fontId="23" fillId="0" borderId="2" xfId="0" applyFont="1" applyBorder="1" applyAlignment="1" applyProtection="1">
      <alignment horizontal="left" vertical="top" wrapText="1"/>
      <protection locked="0"/>
    </xf>
    <xf numFmtId="0" fontId="4" fillId="2" borderId="1" xfId="0" applyFont="1" applyFill="1" applyBorder="1" applyAlignment="1" applyProtection="1">
      <alignment vertical="top"/>
      <protection locked="0"/>
    </xf>
    <xf numFmtId="0" fontId="23" fillId="0" borderId="3" xfId="0" applyFont="1" applyBorder="1" applyAlignment="1" applyProtection="1">
      <alignment horizontal="center" vertical="top" wrapText="1"/>
      <protection locked="0"/>
    </xf>
    <xf numFmtId="0" fontId="23" fillId="0" borderId="2" xfId="0" applyFont="1" applyBorder="1" applyAlignment="1" applyProtection="1">
      <alignment horizontal="center" vertical="top" wrapText="1"/>
      <protection locked="0"/>
    </xf>
    <xf numFmtId="0" fontId="23" fillId="0" borderId="2" xfId="0" applyFont="1" applyBorder="1" applyAlignment="1" applyProtection="1">
      <alignment horizontal="center" vertical="center" wrapText="1"/>
      <protection locked="0"/>
    </xf>
    <xf numFmtId="0" fontId="23" fillId="0" borderId="1" xfId="0" applyFont="1" applyBorder="1" applyAlignment="1" applyProtection="1">
      <alignment horizontal="center" vertical="center" wrapText="1"/>
      <protection locked="0"/>
    </xf>
    <xf numFmtId="0" fontId="5" fillId="4" borderId="16" xfId="0" applyFont="1" applyFill="1" applyBorder="1" applyAlignment="1">
      <alignment vertical="top" wrapText="1"/>
    </xf>
    <xf numFmtId="0" fontId="5" fillId="4" borderId="16" xfId="0" applyFont="1" applyFill="1" applyBorder="1" applyAlignment="1">
      <alignment vertical="top"/>
    </xf>
    <xf numFmtId="3" fontId="28" fillId="2" borderId="5" xfId="0" applyNumberFormat="1" applyFont="1" applyFill="1" applyBorder="1" applyAlignment="1" applyProtection="1">
      <alignment horizontal="center" wrapText="1"/>
      <protection locked="0"/>
    </xf>
    <xf numFmtId="3" fontId="28" fillId="2" borderId="12" xfId="0" applyNumberFormat="1" applyFont="1" applyFill="1" applyBorder="1" applyAlignment="1" applyProtection="1">
      <alignment horizontal="center" wrapText="1"/>
      <protection locked="0"/>
    </xf>
    <xf numFmtId="3" fontId="28" fillId="2" borderId="8" xfId="0" applyNumberFormat="1" applyFont="1" applyFill="1" applyBorder="1" applyAlignment="1" applyProtection="1">
      <alignment horizontal="center" wrapText="1"/>
      <protection locked="0"/>
    </xf>
    <xf numFmtId="3" fontId="28" fillId="2" borderId="63" xfId="0" applyNumberFormat="1" applyFont="1" applyFill="1" applyBorder="1" applyAlignment="1" applyProtection="1">
      <alignment horizontal="center" wrapText="1"/>
      <protection locked="0"/>
    </xf>
    <xf numFmtId="3" fontId="28" fillId="2" borderId="64" xfId="0" applyNumberFormat="1" applyFont="1" applyFill="1" applyBorder="1" applyAlignment="1" applyProtection="1">
      <alignment horizontal="center" wrapText="1"/>
      <protection locked="0"/>
    </xf>
    <xf numFmtId="3" fontId="5" fillId="2" borderId="64" xfId="0" applyNumberFormat="1" applyFont="1" applyFill="1" applyBorder="1" applyAlignment="1" applyProtection="1">
      <alignment wrapText="1"/>
      <protection locked="0"/>
    </xf>
    <xf numFmtId="3" fontId="5" fillId="2" borderId="65" xfId="0" applyNumberFormat="1" applyFont="1" applyFill="1" applyBorder="1" applyAlignment="1" applyProtection="1">
      <alignment wrapText="1"/>
      <protection locked="0"/>
    </xf>
    <xf numFmtId="0" fontId="8" fillId="2" borderId="26" xfId="0" applyFont="1" applyFill="1" applyBorder="1" applyAlignment="1" applyProtection="1">
      <alignment horizontal="center" wrapText="1"/>
      <protection locked="0"/>
    </xf>
    <xf numFmtId="0" fontId="6" fillId="2" borderId="4" xfId="0" applyFont="1" applyFill="1" applyBorder="1" applyAlignment="1" applyProtection="1">
      <alignment horizontal="center" wrapText="1"/>
      <protection locked="0"/>
    </xf>
    <xf numFmtId="3" fontId="26" fillId="0" borderId="0" xfId="0" applyNumberFormat="1" applyFont="1" applyAlignment="1" applyProtection="1">
      <alignment horizontal="center" vertical="center"/>
      <protection locked="0"/>
    </xf>
    <xf numFmtId="3" fontId="26" fillId="0" borderId="0" xfId="0" applyNumberFormat="1" applyFont="1" applyAlignment="1" applyProtection="1">
      <alignment horizontal="center" vertical="center" wrapText="1"/>
      <protection locked="0"/>
    </xf>
    <xf numFmtId="3" fontId="26" fillId="0" borderId="32" xfId="0" applyNumberFormat="1" applyFont="1" applyBorder="1" applyAlignment="1" applyProtection="1">
      <alignment horizontal="center" vertical="center" wrapText="1"/>
      <protection locked="0"/>
    </xf>
    <xf numFmtId="9" fontId="5" fillId="0" borderId="33" xfId="3" applyFont="1" applyFill="1" applyBorder="1" applyAlignment="1" applyProtection="1">
      <alignment horizontal="center" vertical="top"/>
      <protection locked="0"/>
    </xf>
    <xf numFmtId="10" fontId="5" fillId="0" borderId="62" xfId="3" applyNumberFormat="1" applyFont="1" applyFill="1" applyBorder="1" applyAlignment="1" applyProtection="1">
      <alignment horizontal="center" vertical="top"/>
      <protection locked="0"/>
    </xf>
    <xf numFmtId="10" fontId="5" fillId="0" borderId="55" xfId="3" applyNumberFormat="1" applyFont="1" applyFill="1" applyBorder="1" applyAlignment="1" applyProtection="1">
      <alignment horizontal="center" vertical="top"/>
      <protection locked="0"/>
    </xf>
    <xf numFmtId="0" fontId="55" fillId="2" borderId="2" xfId="0" applyFont="1" applyFill="1" applyBorder="1" applyAlignment="1" applyProtection="1">
      <alignment horizontal="left" vertical="top"/>
      <protection locked="0"/>
    </xf>
    <xf numFmtId="0" fontId="4" fillId="2" borderId="13" xfId="0" applyFont="1" applyFill="1" applyBorder="1" applyAlignment="1" applyProtection="1">
      <alignment horizontal="center" vertical="top"/>
      <protection locked="0"/>
    </xf>
    <xf numFmtId="0" fontId="5" fillId="2" borderId="16" xfId="0" applyFont="1" applyFill="1" applyBorder="1" applyAlignment="1" applyProtection="1">
      <alignment horizontal="center" vertical="top" wrapText="1"/>
      <protection locked="0"/>
    </xf>
    <xf numFmtId="0" fontId="5" fillId="2" borderId="16" xfId="0" applyFont="1" applyFill="1" applyBorder="1" applyAlignment="1" applyProtection="1">
      <alignment horizontal="center" vertical="top"/>
      <protection locked="0"/>
    </xf>
    <xf numFmtId="0" fontId="1" fillId="2" borderId="16" xfId="0" applyFont="1" applyFill="1" applyBorder="1" applyAlignment="1" applyProtection="1">
      <alignment horizontal="center" vertical="center"/>
      <protection locked="0"/>
    </xf>
    <xf numFmtId="41" fontId="57" fillId="4" borderId="17" xfId="0" applyNumberFormat="1" applyFont="1" applyFill="1" applyBorder="1" applyAlignment="1">
      <alignment vertical="top"/>
    </xf>
    <xf numFmtId="0" fontId="5" fillId="4" borderId="16" xfId="0" applyFont="1" applyFill="1" applyBorder="1" applyAlignment="1" applyProtection="1">
      <alignment horizontal="center" vertical="top" wrapText="1"/>
      <protection locked="0"/>
    </xf>
    <xf numFmtId="0" fontId="56" fillId="4" borderId="16" xfId="0" applyFont="1" applyFill="1" applyBorder="1" applyAlignment="1" applyProtection="1">
      <alignment vertical="top" wrapText="1"/>
      <protection locked="0"/>
    </xf>
    <xf numFmtId="172" fontId="5" fillId="4" borderId="16" xfId="0" applyNumberFormat="1" applyFont="1" applyFill="1" applyBorder="1" applyAlignment="1">
      <alignment horizontal="left" vertical="top"/>
    </xf>
    <xf numFmtId="0" fontId="5" fillId="4" borderId="22" xfId="0" applyFont="1" applyFill="1" applyBorder="1" applyAlignment="1" applyProtection="1">
      <alignment horizontal="center" vertical="top" wrapText="1"/>
      <protection locked="0"/>
    </xf>
    <xf numFmtId="171" fontId="5" fillId="4" borderId="17" xfId="3" applyNumberFormat="1" applyFont="1" applyFill="1" applyBorder="1" applyAlignment="1" applyProtection="1">
      <alignment vertical="top"/>
    </xf>
    <xf numFmtId="171" fontId="5" fillId="4" borderId="18" xfId="3" applyNumberFormat="1" applyFont="1" applyFill="1" applyBorder="1" applyAlignment="1" applyProtection="1">
      <alignment vertical="top"/>
    </xf>
    <xf numFmtId="178" fontId="8" fillId="7" borderId="17" xfId="0" applyNumberFormat="1" applyFont="1" applyFill="1" applyBorder="1" applyAlignment="1" applyProtection="1">
      <alignment vertical="top"/>
      <protection locked="0"/>
    </xf>
    <xf numFmtId="0" fontId="5" fillId="26" borderId="0" xfId="0" applyFont="1" applyFill="1" applyAlignment="1" applyProtection="1">
      <alignment horizontal="center" vertical="top"/>
      <protection locked="0"/>
    </xf>
    <xf numFmtId="0" fontId="5" fillId="26" borderId="0" xfId="0" applyFont="1" applyFill="1" applyAlignment="1" applyProtection="1">
      <alignment vertical="top"/>
      <protection locked="0"/>
    </xf>
    <xf numFmtId="3" fontId="5" fillId="26" borderId="0" xfId="0" applyNumberFormat="1" applyFont="1" applyFill="1" applyAlignment="1" applyProtection="1">
      <alignment vertical="top"/>
      <protection locked="0"/>
    </xf>
    <xf numFmtId="0" fontId="5" fillId="26" borderId="0" xfId="0" applyFont="1" applyFill="1" applyAlignment="1" applyProtection="1">
      <alignment vertical="top" wrapText="1"/>
      <protection locked="0"/>
    </xf>
    <xf numFmtId="164" fontId="5" fillId="26" borderId="0" xfId="0" applyNumberFormat="1" applyFont="1" applyFill="1" applyAlignment="1" applyProtection="1">
      <alignment vertical="top"/>
      <protection locked="0"/>
    </xf>
    <xf numFmtId="41" fontId="5" fillId="26" borderId="0" xfId="0" applyNumberFormat="1" applyFont="1" applyFill="1" applyAlignment="1" applyProtection="1">
      <alignment vertical="top"/>
      <protection locked="0"/>
    </xf>
    <xf numFmtId="43" fontId="5" fillId="26" borderId="0" xfId="0" applyNumberFormat="1" applyFont="1" applyFill="1" applyAlignment="1" applyProtection="1">
      <alignment vertical="top"/>
      <protection locked="0"/>
    </xf>
    <xf numFmtId="0" fontId="55" fillId="0" borderId="2" xfId="0" applyFont="1" applyBorder="1" applyAlignment="1" applyProtection="1">
      <alignment horizontal="left" vertical="top"/>
      <protection locked="0"/>
    </xf>
    <xf numFmtId="43" fontId="49" fillId="0" borderId="0" xfId="2" applyFont="1"/>
    <xf numFmtId="3" fontId="28" fillId="2" borderId="1" xfId="0" applyNumberFormat="1" applyFont="1" applyFill="1" applyBorder="1" applyAlignment="1" applyProtection="1">
      <alignment horizontal="center" wrapText="1"/>
      <protection locked="0"/>
    </xf>
    <xf numFmtId="177" fontId="8" fillId="0" borderId="2" xfId="2" applyNumberFormat="1" applyFont="1" applyFill="1" applyBorder="1" applyAlignment="1" applyProtection="1">
      <alignment horizontal="center" vertical="top"/>
    </xf>
    <xf numFmtId="0" fontId="8" fillId="10" borderId="2" xfId="0" applyFont="1" applyFill="1" applyBorder="1" applyAlignment="1" applyProtection="1">
      <alignment horizontal="center" vertical="top"/>
      <protection locked="0"/>
    </xf>
    <xf numFmtId="0" fontId="8" fillId="3" borderId="16" xfId="0" applyFont="1" applyFill="1" applyBorder="1" applyAlignment="1" applyProtection="1">
      <alignment horizontal="left" vertical="top" indent="1"/>
      <protection locked="0"/>
    </xf>
    <xf numFmtId="170" fontId="5" fillId="3" borderId="0" xfId="0" applyNumberFormat="1" applyFont="1" applyFill="1" applyAlignment="1" applyProtection="1">
      <alignment vertical="top"/>
      <protection locked="0"/>
    </xf>
    <xf numFmtId="170" fontId="5" fillId="26" borderId="0" xfId="0" applyNumberFormat="1" applyFont="1" applyFill="1" applyAlignment="1" applyProtection="1">
      <alignment vertical="top"/>
      <protection locked="0"/>
    </xf>
    <xf numFmtId="170" fontId="5" fillId="0" borderId="0" xfId="0" applyNumberFormat="1" applyFont="1" applyAlignment="1" applyProtection="1">
      <alignment horizontal="centerContinuous" vertical="top"/>
      <protection locked="0"/>
    </xf>
    <xf numFmtId="170" fontId="6" fillId="10" borderId="1" xfId="0" applyNumberFormat="1" applyFont="1" applyFill="1" applyBorder="1" applyAlignment="1" applyProtection="1">
      <alignment wrapText="1"/>
      <protection locked="0"/>
    </xf>
    <xf numFmtId="170" fontId="5" fillId="6" borderId="1" xfId="0" applyNumberFormat="1" applyFont="1" applyFill="1" applyBorder="1" applyAlignment="1" applyProtection="1">
      <alignment vertical="top"/>
      <protection locked="0"/>
    </xf>
    <xf numFmtId="170" fontId="27" fillId="19" borderId="51" xfId="0" applyNumberFormat="1" applyFont="1" applyFill="1" applyBorder="1" applyAlignment="1" applyProtection="1">
      <alignment vertical="top"/>
      <protection locked="0"/>
    </xf>
    <xf numFmtId="170" fontId="8" fillId="10" borderId="0" xfId="0" applyNumberFormat="1" applyFont="1" applyFill="1" applyAlignment="1" applyProtection="1">
      <alignment vertical="top"/>
      <protection locked="0"/>
    </xf>
    <xf numFmtId="170" fontId="4" fillId="10" borderId="17" xfId="0" applyNumberFormat="1" applyFont="1" applyFill="1" applyBorder="1" applyAlignment="1" applyProtection="1">
      <alignment vertical="center"/>
      <protection locked="0"/>
    </xf>
    <xf numFmtId="170" fontId="5" fillId="0" borderId="0" xfId="0" applyNumberFormat="1" applyFont="1" applyAlignment="1" applyProtection="1">
      <alignment vertical="top"/>
      <protection locked="0"/>
    </xf>
    <xf numFmtId="41" fontId="58" fillId="3" borderId="59" xfId="0" applyNumberFormat="1" applyFont="1" applyFill="1" applyBorder="1" applyAlignment="1">
      <alignment vertical="top"/>
    </xf>
    <xf numFmtId="0" fontId="55" fillId="2" borderId="2" xfId="0" applyFont="1" applyFill="1" applyBorder="1" applyAlignment="1" applyProtection="1">
      <alignment horizontal="left" vertical="top" indent="1"/>
      <protection locked="0"/>
    </xf>
    <xf numFmtId="0" fontId="55" fillId="3" borderId="16" xfId="0" applyFont="1" applyFill="1" applyBorder="1" applyAlignment="1" applyProtection="1">
      <alignment horizontal="left" vertical="top" indent="1"/>
      <protection locked="0"/>
    </xf>
    <xf numFmtId="0" fontId="55" fillId="10" borderId="2" xfId="0" applyFont="1" applyFill="1" applyBorder="1" applyAlignment="1" applyProtection="1">
      <alignment horizontal="center" vertical="top"/>
      <protection locked="0"/>
    </xf>
    <xf numFmtId="168" fontId="30" fillId="2" borderId="2" xfId="2" applyNumberFormat="1" applyFont="1" applyFill="1" applyBorder="1" applyAlignment="1" applyProtection="1">
      <alignment horizontal="center" vertical="top"/>
      <protection locked="0"/>
    </xf>
    <xf numFmtId="177" fontId="55" fillId="4" borderId="2" xfId="2" applyNumberFormat="1" applyFont="1" applyFill="1" applyBorder="1" applyAlignment="1" applyProtection="1">
      <alignment horizontal="center" vertical="top"/>
    </xf>
    <xf numFmtId="168" fontId="55" fillId="2" borderId="2" xfId="2" applyNumberFormat="1" applyFont="1" applyFill="1" applyBorder="1" applyAlignment="1">
      <alignment vertical="top"/>
    </xf>
    <xf numFmtId="0" fontId="55" fillId="4" borderId="25" xfId="0" applyFont="1" applyFill="1" applyBorder="1" applyAlignment="1">
      <alignment vertical="top"/>
    </xf>
    <xf numFmtId="0" fontId="55" fillId="7" borderId="17" xfId="0" applyFont="1" applyFill="1" applyBorder="1" applyAlignment="1" applyProtection="1">
      <alignment vertical="top"/>
      <protection locked="0"/>
    </xf>
    <xf numFmtId="41" fontId="55" fillId="4" borderId="17" xfId="0" applyNumberFormat="1" applyFont="1" applyFill="1" applyBorder="1" applyAlignment="1">
      <alignment vertical="top"/>
    </xf>
    <xf numFmtId="168" fontId="55" fillId="17" borderId="18" xfId="2" applyNumberFormat="1" applyFont="1" applyFill="1" applyBorder="1" applyAlignment="1">
      <alignment vertical="top"/>
    </xf>
    <xf numFmtId="170" fontId="55" fillId="10" borderId="17" xfId="0" applyNumberFormat="1" applyFont="1" applyFill="1" applyBorder="1" applyAlignment="1" applyProtection="1">
      <alignment vertical="top"/>
      <protection locked="0"/>
    </xf>
    <xf numFmtId="41" fontId="55" fillId="3" borderId="17" xfId="0" applyNumberFormat="1" applyFont="1" applyFill="1" applyBorder="1" applyAlignment="1">
      <alignment vertical="top"/>
    </xf>
    <xf numFmtId="41" fontId="55" fillId="10" borderId="18" xfId="0" applyNumberFormat="1" applyFont="1" applyFill="1" applyBorder="1" applyAlignment="1">
      <alignment vertical="top"/>
    </xf>
    <xf numFmtId="41" fontId="55" fillId="3" borderId="59" xfId="0" applyNumberFormat="1" applyFont="1" applyFill="1" applyBorder="1" applyAlignment="1">
      <alignment vertical="top"/>
    </xf>
    <xf numFmtId="0" fontId="55" fillId="5" borderId="16" xfId="0" applyFont="1" applyFill="1" applyBorder="1" applyAlignment="1" applyProtection="1">
      <alignment vertical="top"/>
      <protection locked="0"/>
    </xf>
    <xf numFmtId="41" fontId="55" fillId="5" borderId="17" xfId="0" applyNumberFormat="1" applyFont="1" applyFill="1" applyBorder="1" applyAlignment="1">
      <alignment vertical="top"/>
    </xf>
    <xf numFmtId="43" fontId="55" fillId="8" borderId="16" xfId="0" applyNumberFormat="1" applyFont="1" applyFill="1" applyBorder="1" applyAlignment="1" applyProtection="1">
      <alignment vertical="top"/>
      <protection locked="0"/>
    </xf>
    <xf numFmtId="43" fontId="55" fillId="8" borderId="17" xfId="0" applyNumberFormat="1" applyFont="1" applyFill="1" applyBorder="1" applyAlignment="1" applyProtection="1">
      <alignment vertical="top"/>
      <protection locked="0"/>
    </xf>
    <xf numFmtId="41" fontId="55" fillId="8" borderId="17" xfId="0" applyNumberFormat="1" applyFont="1" applyFill="1" applyBorder="1" applyAlignment="1">
      <alignment vertical="top"/>
    </xf>
    <xf numFmtId="41" fontId="55" fillId="15" borderId="18" xfId="0" applyNumberFormat="1" applyFont="1" applyFill="1" applyBorder="1" applyAlignment="1">
      <alignment vertical="top"/>
    </xf>
    <xf numFmtId="0" fontId="55" fillId="0" borderId="0" xfId="0" applyFont="1" applyAlignment="1" applyProtection="1">
      <alignment vertical="top"/>
      <protection locked="0"/>
    </xf>
    <xf numFmtId="170" fontId="8" fillId="10" borderId="17" xfId="0" applyNumberFormat="1" applyFont="1" applyFill="1" applyBorder="1" applyAlignment="1" applyProtection="1">
      <alignment horizontal="right" vertical="top"/>
      <protection locked="0"/>
    </xf>
    <xf numFmtId="0" fontId="55" fillId="3" borderId="16" xfId="0" applyFont="1" applyFill="1" applyBorder="1" applyAlignment="1" applyProtection="1">
      <alignment vertical="top"/>
      <protection locked="0"/>
    </xf>
    <xf numFmtId="177" fontId="23" fillId="27" borderId="2" xfId="2" applyNumberFormat="1" applyFont="1" applyFill="1" applyBorder="1" applyAlignment="1" applyProtection="1">
      <alignment horizontal="center" vertical="top"/>
    </xf>
    <xf numFmtId="168" fontId="16" fillId="3" borderId="0" xfId="2" applyNumberFormat="1" applyFont="1" applyFill="1" applyAlignment="1" applyProtection="1">
      <alignment horizontal="center" vertical="top"/>
      <protection locked="0"/>
    </xf>
    <xf numFmtId="168" fontId="16" fillId="0" borderId="0" xfId="2" applyNumberFormat="1" applyFont="1" applyAlignment="1" applyProtection="1">
      <alignment horizontal="center" vertical="top"/>
      <protection locked="0"/>
    </xf>
    <xf numFmtId="168" fontId="59" fillId="3" borderId="12" xfId="2" applyNumberFormat="1" applyFont="1" applyFill="1" applyBorder="1" applyAlignment="1">
      <alignment horizontal="center" vertical="center" wrapText="1"/>
    </xf>
    <xf numFmtId="168" fontId="59" fillId="3" borderId="9" xfId="2" applyNumberFormat="1" applyFont="1" applyFill="1" applyBorder="1" applyAlignment="1">
      <alignment horizontal="center" vertical="top" wrapText="1"/>
    </xf>
    <xf numFmtId="168" fontId="59" fillId="3" borderId="1" xfId="2" applyNumberFormat="1" applyFont="1" applyFill="1" applyBorder="1" applyAlignment="1" applyProtection="1">
      <alignment horizontal="center" wrapText="1"/>
      <protection locked="0"/>
    </xf>
    <xf numFmtId="168" fontId="16" fillId="6" borderId="1" xfId="2" applyNumberFormat="1" applyFont="1" applyFill="1" applyBorder="1" applyAlignment="1" applyProtection="1">
      <alignment horizontal="center" vertical="top"/>
      <protection locked="0"/>
    </xf>
    <xf numFmtId="168" fontId="59" fillId="19" borderId="4" xfId="2" applyNumberFormat="1" applyFont="1" applyFill="1" applyBorder="1" applyAlignment="1" applyProtection="1">
      <alignment horizontal="center" vertical="top"/>
      <protection locked="0"/>
    </xf>
    <xf numFmtId="168" fontId="16" fillId="3" borderId="17" xfId="2" applyNumberFormat="1" applyFont="1" applyFill="1" applyBorder="1" applyAlignment="1">
      <alignment horizontal="center" vertical="top"/>
    </xf>
    <xf numFmtId="168" fontId="60" fillId="3" borderId="17" xfId="2" applyNumberFormat="1" applyFont="1" applyFill="1" applyBorder="1" applyAlignment="1">
      <alignment horizontal="center" vertical="top"/>
    </xf>
    <xf numFmtId="168" fontId="59" fillId="19" borderId="26" xfId="2" applyNumberFormat="1" applyFont="1" applyFill="1" applyBorder="1" applyAlignment="1" applyProtection="1">
      <alignment horizontal="center" vertical="top"/>
      <protection locked="0"/>
    </xf>
    <xf numFmtId="168" fontId="16" fillId="3" borderId="0" xfId="2" applyNumberFormat="1" applyFont="1" applyFill="1" applyAlignment="1">
      <alignment horizontal="center" vertical="top"/>
    </xf>
    <xf numFmtId="168" fontId="59" fillId="3" borderId="17" xfId="2" applyNumberFormat="1" applyFont="1" applyFill="1" applyBorder="1" applyAlignment="1">
      <alignment horizontal="center" vertical="center"/>
    </xf>
    <xf numFmtId="179" fontId="8" fillId="7" borderId="17" xfId="0" applyNumberFormat="1" applyFont="1" applyFill="1" applyBorder="1" applyAlignment="1" applyProtection="1">
      <alignment vertical="top"/>
      <protection locked="0"/>
    </xf>
    <xf numFmtId="180" fontId="8" fillId="7" borderId="17" xfId="0" applyNumberFormat="1" applyFont="1" applyFill="1" applyBorder="1" applyAlignment="1" applyProtection="1">
      <alignment vertical="top"/>
      <protection locked="0"/>
    </xf>
    <xf numFmtId="0" fontId="8" fillId="4" borderId="25" xfId="0" applyFont="1" applyFill="1" applyBorder="1" applyAlignment="1">
      <alignment horizontal="left" vertical="top" indent="1"/>
    </xf>
    <xf numFmtId="164" fontId="61" fillId="4" borderId="0" xfId="0" applyNumberFormat="1" applyFont="1" applyFill="1" applyAlignment="1" applyProtection="1">
      <alignment vertical="top"/>
      <protection locked="0"/>
    </xf>
    <xf numFmtId="164" fontId="61" fillId="26" borderId="0" xfId="0" applyNumberFormat="1" applyFont="1" applyFill="1" applyAlignment="1" applyProtection="1">
      <alignment vertical="top"/>
      <protection locked="0"/>
    </xf>
    <xf numFmtId="164" fontId="61" fillId="0" borderId="0" xfId="0" applyNumberFormat="1" applyFont="1" applyAlignment="1" applyProtection="1">
      <alignment horizontal="centerContinuous" vertical="top"/>
      <protection locked="0"/>
    </xf>
    <xf numFmtId="0" fontId="62" fillId="4" borderId="1" xfId="0" applyFont="1" applyFill="1" applyBorder="1" applyAlignment="1" applyProtection="1">
      <alignment horizontal="center" wrapText="1"/>
      <protection locked="0"/>
    </xf>
    <xf numFmtId="164" fontId="61" fillId="6" borderId="1" xfId="0" applyNumberFormat="1" applyFont="1" applyFill="1" applyBorder="1" applyAlignment="1" applyProtection="1">
      <alignment vertical="top"/>
      <protection locked="0"/>
    </xf>
    <xf numFmtId="0" fontId="63" fillId="19" borderId="51" xfId="0" applyFont="1" applyFill="1" applyBorder="1" applyAlignment="1" applyProtection="1">
      <alignment vertical="top"/>
      <protection locked="0"/>
    </xf>
    <xf numFmtId="43" fontId="61" fillId="7" borderId="17" xfId="0" applyNumberFormat="1" applyFont="1" applyFill="1" applyBorder="1" applyAlignment="1" applyProtection="1">
      <alignment vertical="top"/>
      <protection locked="0"/>
    </xf>
    <xf numFmtId="43" fontId="64" fillId="7" borderId="17" xfId="0" applyNumberFormat="1" applyFont="1" applyFill="1" applyBorder="1" applyAlignment="1" applyProtection="1">
      <alignment vertical="top"/>
      <protection locked="0"/>
    </xf>
    <xf numFmtId="0" fontId="61" fillId="7" borderId="17" xfId="0" applyFont="1" applyFill="1" applyBorder="1" applyAlignment="1" applyProtection="1">
      <alignment vertical="top"/>
      <protection locked="0"/>
    </xf>
    <xf numFmtId="164" fontId="61" fillId="7" borderId="17" xfId="0" applyNumberFormat="1" applyFont="1" applyFill="1" applyBorder="1" applyAlignment="1" applyProtection="1">
      <alignment vertical="top"/>
      <protection locked="0"/>
    </xf>
    <xf numFmtId="0" fontId="61" fillId="6" borderId="1" xfId="0" applyFont="1" applyFill="1" applyBorder="1" applyAlignment="1" applyProtection="1">
      <alignment vertical="top" wrapText="1"/>
      <protection locked="0"/>
    </xf>
    <xf numFmtId="164" fontId="63" fillId="7" borderId="14" xfId="0" applyNumberFormat="1" applyFont="1" applyFill="1" applyBorder="1" applyAlignment="1" applyProtection="1">
      <alignment vertical="top"/>
      <protection locked="0"/>
    </xf>
    <xf numFmtId="164" fontId="63" fillId="6" borderId="14" xfId="0" applyNumberFormat="1" applyFont="1" applyFill="1" applyBorder="1" applyAlignment="1" applyProtection="1">
      <alignment vertical="top"/>
      <protection locked="0"/>
    </xf>
    <xf numFmtId="0" fontId="62" fillId="7" borderId="1" xfId="0" applyFont="1" applyFill="1" applyBorder="1" applyAlignment="1" applyProtection="1">
      <alignment horizontal="center" wrapText="1"/>
      <protection locked="0"/>
    </xf>
    <xf numFmtId="164" fontId="65" fillId="7" borderId="17" xfId="0" applyNumberFormat="1" applyFont="1" applyFill="1" applyBorder="1" applyAlignment="1" applyProtection="1">
      <alignment vertical="top"/>
      <protection locked="0"/>
    </xf>
    <xf numFmtId="10" fontId="61" fillId="7" borderId="17" xfId="3" applyNumberFormat="1" applyFont="1" applyFill="1" applyBorder="1" applyAlignment="1" applyProtection="1">
      <alignment vertical="top"/>
    </xf>
    <xf numFmtId="164" fontId="61" fillId="6" borderId="17" xfId="0" applyNumberFormat="1" applyFont="1" applyFill="1" applyBorder="1" applyAlignment="1" applyProtection="1">
      <alignment vertical="top"/>
      <protection locked="0"/>
    </xf>
    <xf numFmtId="164" fontId="63" fillId="7" borderId="17" xfId="0" applyNumberFormat="1" applyFont="1" applyFill="1" applyBorder="1" applyAlignment="1" applyProtection="1">
      <alignment vertical="center"/>
      <protection locked="0"/>
    </xf>
    <xf numFmtId="164" fontId="61" fillId="0" borderId="0" xfId="0" applyNumberFormat="1" applyFont="1" applyAlignment="1" applyProtection="1">
      <alignment vertical="top"/>
      <protection locked="0"/>
    </xf>
    <xf numFmtId="43" fontId="61" fillId="3" borderId="0" xfId="0" applyNumberFormat="1" applyFont="1" applyFill="1" applyAlignment="1" applyProtection="1">
      <alignment vertical="top"/>
      <protection locked="0"/>
    </xf>
    <xf numFmtId="43" fontId="61" fillId="26" borderId="0" xfId="0" applyNumberFormat="1" applyFont="1" applyFill="1" applyAlignment="1" applyProtection="1">
      <alignment vertical="top"/>
      <protection locked="0"/>
    </xf>
    <xf numFmtId="0" fontId="62" fillId="10" borderId="1" xfId="0" applyFont="1" applyFill="1" applyBorder="1" applyAlignment="1" applyProtection="1">
      <alignment wrapText="1"/>
      <protection locked="0"/>
    </xf>
    <xf numFmtId="43" fontId="61" fillId="6" borderId="1" xfId="0" applyNumberFormat="1" applyFont="1" applyFill="1" applyBorder="1" applyAlignment="1" applyProtection="1">
      <alignment vertical="top"/>
      <protection locked="0"/>
    </xf>
    <xf numFmtId="43" fontId="61" fillId="10" borderId="17" xfId="0" applyNumberFormat="1" applyFont="1" applyFill="1" applyBorder="1" applyAlignment="1" applyProtection="1">
      <alignment vertical="top"/>
      <protection locked="0"/>
    </xf>
    <xf numFmtId="43" fontId="64" fillId="10" borderId="17" xfId="0" applyNumberFormat="1" applyFont="1" applyFill="1" applyBorder="1" applyAlignment="1" applyProtection="1">
      <alignment vertical="top"/>
      <protection locked="0"/>
    </xf>
    <xf numFmtId="43" fontId="61" fillId="10" borderId="0" xfId="0" applyNumberFormat="1" applyFont="1" applyFill="1" applyAlignment="1" applyProtection="1">
      <alignment vertical="top"/>
      <protection locked="0"/>
    </xf>
    <xf numFmtId="43" fontId="65" fillId="10" borderId="17" xfId="0" applyNumberFormat="1" applyFont="1" applyFill="1" applyBorder="1" applyAlignment="1" applyProtection="1">
      <alignment vertical="top"/>
      <protection locked="0"/>
    </xf>
    <xf numFmtId="43" fontId="63" fillId="10" borderId="14" xfId="0" applyNumberFormat="1" applyFont="1" applyFill="1" applyBorder="1" applyAlignment="1" applyProtection="1">
      <alignment vertical="top"/>
      <protection locked="0"/>
    </xf>
    <xf numFmtId="44" fontId="63" fillId="10" borderId="17" xfId="0" applyNumberFormat="1" applyFont="1" applyFill="1" applyBorder="1" applyAlignment="1" applyProtection="1">
      <alignment vertical="center"/>
      <protection locked="0"/>
    </xf>
    <xf numFmtId="43" fontId="61" fillId="0" borderId="0" xfId="0" applyNumberFormat="1" applyFont="1" applyAlignment="1" applyProtection="1">
      <alignment vertical="top"/>
      <protection locked="0"/>
    </xf>
    <xf numFmtId="164" fontId="8" fillId="7" borderId="17" xfId="0" applyNumberFormat="1" applyFont="1" applyFill="1" applyBorder="1" applyAlignment="1" applyProtection="1">
      <alignment horizontal="right" vertical="top"/>
      <protection locked="0"/>
    </xf>
    <xf numFmtId="177" fontId="8" fillId="27" borderId="2" xfId="2" applyNumberFormat="1" applyFont="1" applyFill="1" applyBorder="1" applyAlignment="1" applyProtection="1">
      <alignment horizontal="center" vertical="top"/>
    </xf>
    <xf numFmtId="170" fontId="7" fillId="10" borderId="17" xfId="0" applyNumberFormat="1" applyFont="1" applyFill="1" applyBorder="1" applyAlignment="1" applyProtection="1">
      <alignment vertical="top"/>
      <protection locked="0"/>
    </xf>
    <xf numFmtId="0" fontId="55" fillId="0" borderId="2" xfId="0" applyFont="1" applyBorder="1" applyAlignment="1" applyProtection="1">
      <alignment horizontal="center" vertical="top"/>
      <protection locked="0"/>
    </xf>
    <xf numFmtId="179" fontId="55" fillId="7" borderId="17" xfId="0" applyNumberFormat="1" applyFont="1" applyFill="1" applyBorder="1" applyAlignment="1" applyProtection="1">
      <alignment vertical="top"/>
      <protection locked="0"/>
    </xf>
    <xf numFmtId="179" fontId="55" fillId="7" borderId="17" xfId="0" applyNumberFormat="1" applyFont="1" applyFill="1" applyBorder="1" applyAlignment="1" applyProtection="1">
      <alignment horizontal="right" vertical="top"/>
      <protection locked="0"/>
    </xf>
    <xf numFmtId="0" fontId="8" fillId="17" borderId="2" xfId="0" applyFont="1" applyFill="1" applyBorder="1" applyAlignment="1" applyProtection="1">
      <alignment horizontal="center" vertical="top"/>
      <protection locked="0"/>
    </xf>
    <xf numFmtId="14" fontId="53" fillId="2" borderId="2" xfId="2" applyNumberFormat="1" applyFont="1" applyFill="1" applyBorder="1" applyAlignment="1" applyProtection="1">
      <alignment horizontal="center" vertical="top"/>
      <protection locked="0"/>
    </xf>
    <xf numFmtId="41" fontId="23" fillId="10" borderId="18" xfId="0" applyNumberFormat="1" applyFont="1" applyFill="1" applyBorder="1" applyAlignment="1">
      <alignment vertical="top"/>
    </xf>
    <xf numFmtId="41" fontId="5" fillId="4" borderId="14" xfId="0" applyNumberFormat="1" applyFont="1" applyFill="1" applyBorder="1" applyAlignment="1">
      <alignment vertical="top"/>
    </xf>
    <xf numFmtId="0" fontId="5" fillId="10" borderId="16" xfId="0" applyFont="1" applyFill="1" applyBorder="1" applyAlignment="1" applyProtection="1">
      <alignment horizontal="center" vertical="top" wrapText="1"/>
      <protection locked="0"/>
    </xf>
    <xf numFmtId="0" fontId="56" fillId="10" borderId="16" xfId="0" applyFont="1" applyFill="1" applyBorder="1" applyAlignment="1" applyProtection="1">
      <alignment vertical="top" wrapText="1"/>
      <protection locked="0"/>
    </xf>
    <xf numFmtId="172" fontId="5" fillId="10" borderId="16" xfId="0" applyNumberFormat="1" applyFont="1" applyFill="1" applyBorder="1" applyAlignment="1">
      <alignment horizontal="left" vertical="top"/>
    </xf>
    <xf numFmtId="0" fontId="5" fillId="10" borderId="22" xfId="0" applyFont="1" applyFill="1" applyBorder="1" applyAlignment="1" applyProtection="1">
      <alignment horizontal="center" vertical="top" wrapText="1"/>
      <protection locked="0"/>
    </xf>
    <xf numFmtId="0" fontId="5" fillId="10" borderId="22" xfId="0" applyFont="1" applyFill="1" applyBorder="1" applyAlignment="1" applyProtection="1">
      <alignment vertical="top" wrapText="1"/>
      <protection locked="0"/>
    </xf>
    <xf numFmtId="3" fontId="5" fillId="0" borderId="46" xfId="0" applyNumberFormat="1" applyFont="1" applyBorder="1" applyAlignment="1" applyProtection="1">
      <alignment vertical="top"/>
      <protection locked="0"/>
    </xf>
    <xf numFmtId="171" fontId="5" fillId="10" borderId="17" xfId="3" applyNumberFormat="1" applyFont="1" applyFill="1" applyBorder="1" applyAlignment="1" applyProtection="1">
      <alignment vertical="top"/>
    </xf>
    <xf numFmtId="171" fontId="5" fillId="10" borderId="18" xfId="3" applyNumberFormat="1" applyFont="1" applyFill="1" applyBorder="1" applyAlignment="1" applyProtection="1">
      <alignment vertical="top"/>
    </xf>
    <xf numFmtId="43" fontId="7" fillId="10" borderId="17" xfId="0" applyNumberFormat="1" applyFont="1" applyFill="1" applyBorder="1" applyAlignment="1" applyProtection="1">
      <alignment vertical="top"/>
      <protection locked="0"/>
    </xf>
    <xf numFmtId="0" fontId="1" fillId="4" borderId="1" xfId="0" applyFont="1" applyFill="1" applyBorder="1" applyAlignment="1">
      <alignment horizontal="center" wrapText="1"/>
    </xf>
    <xf numFmtId="0" fontId="1" fillId="2" borderId="51" xfId="0" applyFont="1" applyFill="1" applyBorder="1" applyAlignment="1" applyProtection="1">
      <alignment horizontal="center" wrapText="1"/>
      <protection locked="0"/>
    </xf>
    <xf numFmtId="44" fontId="4" fillId="10" borderId="27" xfId="1" applyFont="1" applyFill="1" applyBorder="1" applyAlignment="1">
      <alignment vertical="top"/>
    </xf>
    <xf numFmtId="0" fontId="1" fillId="5" borderId="1" xfId="0" applyFont="1" applyFill="1" applyBorder="1" applyAlignment="1">
      <alignment horizontal="center" wrapText="1"/>
    </xf>
    <xf numFmtId="0" fontId="8" fillId="11" borderId="2" xfId="0" applyFont="1" applyFill="1" applyBorder="1" applyAlignment="1" applyProtection="1">
      <alignment horizontal="center" vertical="top"/>
      <protection locked="0"/>
    </xf>
    <xf numFmtId="168" fontId="67" fillId="3" borderId="12" xfId="2" applyNumberFormat="1" applyFont="1" applyFill="1" applyBorder="1" applyAlignment="1">
      <alignment horizontal="center" vertical="center" wrapText="1"/>
    </xf>
    <xf numFmtId="168" fontId="67" fillId="3" borderId="9" xfId="2" applyNumberFormat="1" applyFont="1" applyFill="1" applyBorder="1" applyAlignment="1">
      <alignment horizontal="center" vertical="top" wrapText="1"/>
    </xf>
    <xf numFmtId="41" fontId="67" fillId="3" borderId="1" xfId="0" applyNumberFormat="1" applyFont="1" applyFill="1" applyBorder="1" applyAlignment="1" applyProtection="1">
      <alignment horizontal="center" wrapText="1"/>
      <protection locked="0"/>
    </xf>
    <xf numFmtId="0" fontId="67" fillId="19" borderId="51" xfId="0" applyFont="1" applyFill="1" applyBorder="1" applyAlignment="1" applyProtection="1">
      <alignment vertical="top"/>
      <protection locked="0"/>
    </xf>
    <xf numFmtId="41" fontId="66" fillId="0" borderId="0" xfId="0" applyNumberFormat="1" applyFont="1" applyAlignment="1" applyProtection="1">
      <alignment horizontal="center" vertical="center"/>
      <protection locked="0"/>
    </xf>
    <xf numFmtId="41" fontId="66" fillId="3" borderId="0" xfId="0" applyNumberFormat="1" applyFont="1" applyFill="1" applyAlignment="1" applyProtection="1">
      <alignment horizontal="center" vertical="top"/>
      <protection locked="0"/>
    </xf>
    <xf numFmtId="41" fontId="66" fillId="6" borderId="1" xfId="0" applyNumberFormat="1" applyFont="1" applyFill="1" applyBorder="1" applyAlignment="1" applyProtection="1">
      <alignment horizontal="center" vertical="top"/>
      <protection locked="0"/>
    </xf>
    <xf numFmtId="0" fontId="67" fillId="19" borderId="51" xfId="0" applyFont="1" applyFill="1" applyBorder="1" applyAlignment="1" applyProtection="1">
      <alignment horizontal="center" vertical="top"/>
      <protection locked="0"/>
    </xf>
    <xf numFmtId="41" fontId="66" fillId="3" borderId="17" xfId="0" applyNumberFormat="1" applyFont="1" applyFill="1" applyBorder="1" applyAlignment="1">
      <alignment horizontal="center" vertical="top"/>
    </xf>
    <xf numFmtId="41" fontId="66" fillId="3" borderId="17" xfId="0" applyNumberFormat="1" applyFont="1" applyFill="1" applyBorder="1" applyAlignment="1" applyProtection="1">
      <alignment horizontal="center" vertical="top"/>
      <protection locked="0"/>
    </xf>
    <xf numFmtId="41" fontId="67" fillId="3" borderId="14" xfId="0" applyNumberFormat="1" applyFont="1" applyFill="1" applyBorder="1" applyAlignment="1">
      <alignment horizontal="center" vertical="top"/>
    </xf>
    <xf numFmtId="41" fontId="67" fillId="3" borderId="17" xfId="0" applyNumberFormat="1" applyFont="1" applyFill="1" applyBorder="1" applyAlignment="1">
      <alignment horizontal="center" vertical="center"/>
    </xf>
    <xf numFmtId="41" fontId="66" fillId="0" borderId="0" xfId="0" applyNumberFormat="1" applyFont="1" applyAlignment="1" applyProtection="1">
      <alignment horizontal="center" vertical="top"/>
      <protection locked="0"/>
    </xf>
    <xf numFmtId="41" fontId="68" fillId="3" borderId="59" xfId="0" applyNumberFormat="1" applyFont="1" applyFill="1" applyBorder="1" applyAlignment="1">
      <alignment vertical="top"/>
    </xf>
    <xf numFmtId="3" fontId="28" fillId="2" borderId="8" xfId="0" applyNumberFormat="1" applyFont="1" applyFill="1" applyBorder="1" applyAlignment="1" applyProtection="1">
      <alignment horizontal="center"/>
      <protection locked="0"/>
    </xf>
    <xf numFmtId="3" fontId="28" fillId="2" borderId="0" xfId="0" applyNumberFormat="1" applyFont="1" applyFill="1" applyAlignment="1" applyProtection="1">
      <alignment horizontal="center"/>
      <protection locked="0"/>
    </xf>
    <xf numFmtId="3" fontId="5" fillId="2" borderId="0" xfId="0" applyNumberFormat="1" applyFont="1" applyFill="1" applyProtection="1">
      <protection locked="0"/>
    </xf>
    <xf numFmtId="3" fontId="5" fillId="2" borderId="7" xfId="0" applyNumberFormat="1" applyFont="1" applyFill="1" applyBorder="1" applyProtection="1">
      <protection locked="0"/>
    </xf>
    <xf numFmtId="0" fontId="23" fillId="2" borderId="52" xfId="0" applyFont="1" applyFill="1" applyBorder="1" applyAlignment="1" applyProtection="1">
      <alignment horizontal="center" wrapText="1"/>
      <protection locked="0"/>
    </xf>
    <xf numFmtId="41" fontId="69" fillId="3" borderId="1" xfId="0" applyNumberFormat="1" applyFont="1" applyFill="1" applyBorder="1" applyAlignment="1" applyProtection="1">
      <alignment horizontal="center" vertical="top" wrapText="1"/>
      <protection locked="0"/>
    </xf>
    <xf numFmtId="181" fontId="5" fillId="7" borderId="17" xfId="0" applyNumberFormat="1" applyFont="1" applyFill="1" applyBorder="1" applyAlignment="1" applyProtection="1">
      <alignment vertical="top"/>
      <protection locked="0"/>
    </xf>
    <xf numFmtId="0" fontId="5" fillId="2" borderId="0" xfId="0" applyFont="1" applyFill="1" applyAlignment="1" applyProtection="1">
      <alignment horizontal="left" vertical="top"/>
      <protection locked="0"/>
    </xf>
    <xf numFmtId="0" fontId="10" fillId="2" borderId="0" xfId="0" applyFont="1" applyFill="1" applyAlignment="1" applyProtection="1">
      <alignment horizontal="left" vertical="top"/>
      <protection locked="0"/>
    </xf>
    <xf numFmtId="0" fontId="6" fillId="2" borderId="0" xfId="0" applyFont="1" applyFill="1" applyAlignment="1">
      <alignment horizontal="left" vertical="center" wrapText="1"/>
    </xf>
    <xf numFmtId="0" fontId="6" fillId="2" borderId="0" xfId="0" applyFont="1" applyFill="1" applyAlignment="1">
      <alignment horizontal="left" vertical="top" wrapText="1"/>
    </xf>
    <xf numFmtId="0" fontId="5" fillId="6" borderId="1" xfId="0" applyFont="1" applyFill="1" applyBorder="1" applyAlignment="1" applyProtection="1">
      <alignment horizontal="left" vertical="top" wrapText="1"/>
      <protection locked="0"/>
    </xf>
    <xf numFmtId="0" fontId="8" fillId="0" borderId="2" xfId="0" applyFont="1" applyBorder="1" applyAlignment="1" applyProtection="1">
      <alignment horizontal="left" vertical="top" wrapText="1"/>
      <protection locked="0"/>
    </xf>
    <xf numFmtId="0" fontId="27" fillId="19" borderId="4" xfId="0" applyFont="1" applyFill="1" applyBorder="1" applyAlignment="1" applyProtection="1">
      <alignment horizontal="left" vertical="top"/>
      <protection locked="0"/>
    </xf>
    <xf numFmtId="0" fontId="5" fillId="2" borderId="51" xfId="0" applyFont="1" applyFill="1" applyBorder="1" applyAlignment="1" applyProtection="1">
      <alignment horizontal="left" wrapText="1"/>
      <protection locked="0"/>
    </xf>
    <xf numFmtId="44" fontId="5" fillId="2" borderId="19" xfId="0" applyNumberFormat="1" applyFont="1" applyFill="1" applyBorder="1" applyAlignment="1" applyProtection="1">
      <alignment horizontal="left" vertical="top"/>
      <protection locked="0"/>
    </xf>
    <xf numFmtId="0" fontId="5" fillId="0" borderId="0" xfId="0" applyFont="1" applyAlignment="1" applyProtection="1">
      <alignment horizontal="left" vertical="top"/>
      <protection locked="0"/>
    </xf>
    <xf numFmtId="43" fontId="5" fillId="14" borderId="17" xfId="0" applyNumberFormat="1" applyFont="1" applyFill="1" applyBorder="1" applyAlignment="1" applyProtection="1">
      <alignment horizontal="right" vertical="top"/>
      <protection locked="0"/>
    </xf>
    <xf numFmtId="0" fontId="61" fillId="0" borderId="2" xfId="0" applyFont="1" applyBorder="1" applyAlignment="1" applyProtection="1">
      <alignment horizontal="center" vertical="top" wrapText="1"/>
      <protection locked="0"/>
    </xf>
    <xf numFmtId="0" fontId="61" fillId="0" borderId="4" xfId="0" applyFont="1" applyBorder="1" applyAlignment="1" applyProtection="1">
      <alignment vertical="top"/>
      <protection locked="0"/>
    </xf>
    <xf numFmtId="0" fontId="61" fillId="0" borderId="4" xfId="0" applyFont="1" applyBorder="1" applyAlignment="1" applyProtection="1">
      <alignment horizontal="left" vertical="top" indent="2"/>
      <protection locked="0"/>
    </xf>
    <xf numFmtId="0" fontId="61" fillId="2" borderId="1" xfId="0" applyFont="1" applyFill="1" applyBorder="1" applyAlignment="1" applyProtection="1">
      <alignment horizontal="center" vertical="top"/>
      <protection locked="0"/>
    </xf>
    <xf numFmtId="3" fontId="61" fillId="2" borderId="1" xfId="0" applyNumberFormat="1" applyFont="1" applyFill="1" applyBorder="1" applyAlignment="1" applyProtection="1">
      <alignment horizontal="center" vertical="top"/>
      <protection locked="0"/>
    </xf>
    <xf numFmtId="9" fontId="61" fillId="2" borderId="1" xfId="3" applyFont="1" applyFill="1" applyBorder="1" applyAlignment="1" applyProtection="1">
      <alignment horizontal="center" vertical="top"/>
      <protection locked="0"/>
    </xf>
    <xf numFmtId="41" fontId="61" fillId="17" borderId="18" xfId="0" applyNumberFormat="1" applyFont="1" applyFill="1" applyBorder="1" applyAlignment="1">
      <alignment vertical="top"/>
    </xf>
    <xf numFmtId="41" fontId="70" fillId="4" borderId="59" xfId="0" applyNumberFormat="1" applyFont="1" applyFill="1" applyBorder="1" applyAlignment="1">
      <alignment vertical="top"/>
    </xf>
    <xf numFmtId="0" fontId="61" fillId="3" borderId="16" xfId="0" applyFont="1" applyFill="1" applyBorder="1" applyAlignment="1" applyProtection="1">
      <alignment horizontal="left" vertical="top" wrapText="1" indent="2"/>
      <protection locked="0"/>
    </xf>
    <xf numFmtId="41" fontId="61" fillId="10" borderId="18" xfId="0" applyNumberFormat="1" applyFont="1" applyFill="1" applyBorder="1" applyAlignment="1">
      <alignment vertical="top"/>
    </xf>
    <xf numFmtId="41" fontId="70" fillId="3" borderId="59" xfId="0" applyNumberFormat="1" applyFont="1" applyFill="1" applyBorder="1" applyAlignment="1">
      <alignment vertical="top"/>
    </xf>
    <xf numFmtId="43" fontId="61" fillId="14" borderId="17" xfId="0" applyNumberFormat="1" applyFont="1" applyFill="1" applyBorder="1" applyAlignment="1" applyProtection="1">
      <alignment vertical="top"/>
      <protection locked="0"/>
    </xf>
    <xf numFmtId="41" fontId="61" fillId="14" borderId="18" xfId="0" applyNumberFormat="1" applyFont="1" applyFill="1" applyBorder="1" applyAlignment="1">
      <alignment vertical="top"/>
    </xf>
    <xf numFmtId="41" fontId="70" fillId="5" borderId="59" xfId="0" applyNumberFormat="1" applyFont="1" applyFill="1" applyBorder="1" applyAlignment="1">
      <alignment vertical="top"/>
    </xf>
    <xf numFmtId="43" fontId="61" fillId="8" borderId="16" xfId="0" applyNumberFormat="1" applyFont="1" applyFill="1" applyBorder="1" applyAlignment="1" applyProtection="1">
      <alignment vertical="top"/>
      <protection locked="0"/>
    </xf>
    <xf numFmtId="43" fontId="61" fillId="8" borderId="17" xfId="0" applyNumberFormat="1" applyFont="1" applyFill="1" applyBorder="1" applyAlignment="1" applyProtection="1">
      <alignment vertical="top"/>
      <protection locked="0"/>
    </xf>
    <xf numFmtId="41" fontId="61" fillId="8" borderId="17" xfId="0" applyNumberFormat="1" applyFont="1" applyFill="1" applyBorder="1" applyAlignment="1" applyProtection="1">
      <alignment vertical="top"/>
      <protection locked="0"/>
    </xf>
    <xf numFmtId="41" fontId="61" fillId="15" borderId="18" xfId="0" applyNumberFormat="1" applyFont="1" applyFill="1" applyBorder="1" applyAlignment="1">
      <alignment vertical="top"/>
    </xf>
    <xf numFmtId="41" fontId="70" fillId="8" borderId="59" xfId="0" applyNumberFormat="1" applyFont="1" applyFill="1" applyBorder="1" applyAlignment="1">
      <alignment vertical="top"/>
    </xf>
    <xf numFmtId="0" fontId="61" fillId="0" borderId="0" xfId="0" applyFont="1" applyAlignment="1" applyProtection="1">
      <alignment vertical="top"/>
      <protection locked="0"/>
    </xf>
    <xf numFmtId="0" fontId="61" fillId="0" borderId="2" xfId="0" applyFont="1" applyBorder="1" applyAlignment="1" applyProtection="1">
      <alignment horizontal="center" vertical="top"/>
      <protection locked="0"/>
    </xf>
    <xf numFmtId="0" fontId="61" fillId="3" borderId="16" xfId="0" applyFont="1" applyFill="1" applyBorder="1" applyAlignment="1" applyProtection="1">
      <alignment horizontal="left" vertical="top" indent="2"/>
      <protection locked="0"/>
    </xf>
    <xf numFmtId="0" fontId="61" fillId="4" borderId="16" xfId="0" applyFont="1" applyFill="1" applyBorder="1" applyAlignment="1" applyProtection="1">
      <alignment horizontal="left" vertical="top" wrapText="1" indent="2"/>
      <protection locked="0"/>
    </xf>
    <xf numFmtId="0" fontId="61" fillId="5" borderId="25" xfId="0" applyFont="1" applyFill="1" applyBorder="1" applyAlignment="1">
      <alignment horizontal="left" vertical="top" indent="2"/>
    </xf>
    <xf numFmtId="181" fontId="61" fillId="7" borderId="17" xfId="0" applyNumberFormat="1" applyFont="1" applyFill="1" applyBorder="1" applyAlignment="1" applyProtection="1">
      <alignment vertical="top"/>
      <protection locked="0"/>
    </xf>
    <xf numFmtId="168" fontId="5" fillId="10" borderId="17" xfId="0" applyNumberFormat="1" applyFont="1" applyFill="1" applyBorder="1" applyAlignment="1" applyProtection="1">
      <alignment horizontal="right" vertical="top"/>
      <protection locked="0"/>
    </xf>
    <xf numFmtId="168" fontId="61" fillId="10" borderId="17" xfId="0" applyNumberFormat="1" applyFont="1" applyFill="1" applyBorder="1" applyAlignment="1" applyProtection="1">
      <alignment vertical="top"/>
      <protection locked="0"/>
    </xf>
    <xf numFmtId="168" fontId="5" fillId="14" borderId="17" xfId="0" applyNumberFormat="1" applyFont="1" applyFill="1" applyBorder="1" applyAlignment="1" applyProtection="1">
      <alignment horizontal="right" vertical="top"/>
      <protection locked="0"/>
    </xf>
    <xf numFmtId="168" fontId="61" fillId="14" borderId="17" xfId="0" applyNumberFormat="1" applyFont="1" applyFill="1" applyBorder="1" applyAlignment="1" applyProtection="1">
      <alignment vertical="top"/>
      <protection locked="0"/>
    </xf>
    <xf numFmtId="164" fontId="7" fillId="7" borderId="17" xfId="0" applyNumberFormat="1" applyFont="1" applyFill="1" applyBorder="1" applyAlignment="1" applyProtection="1">
      <alignment horizontal="right" vertical="top"/>
      <protection locked="0"/>
    </xf>
    <xf numFmtId="43" fontId="7" fillId="14" borderId="17" xfId="0" applyNumberFormat="1" applyFont="1" applyFill="1" applyBorder="1" applyAlignment="1" applyProtection="1">
      <alignment horizontal="right" vertical="top"/>
      <protection locked="0"/>
    </xf>
    <xf numFmtId="41" fontId="16" fillId="5" borderId="0" xfId="0" applyNumberFormat="1" applyFont="1" applyFill="1" applyAlignment="1" applyProtection="1">
      <alignment horizontal="center" vertical="top"/>
      <protection locked="0"/>
    </xf>
    <xf numFmtId="41" fontId="16" fillId="0" borderId="0" xfId="0" applyNumberFormat="1" applyFont="1" applyAlignment="1" applyProtection="1">
      <alignment horizontal="center" vertical="center"/>
      <protection locked="0"/>
    </xf>
    <xf numFmtId="0" fontId="59" fillId="5" borderId="12" xfId="0" applyFont="1" applyFill="1" applyBorder="1" applyAlignment="1">
      <alignment horizontal="center" vertical="center" wrapText="1"/>
    </xf>
    <xf numFmtId="0" fontId="59" fillId="5" borderId="9" xfId="0" applyFont="1" applyFill="1" applyBorder="1" applyAlignment="1">
      <alignment horizontal="center" vertical="top" wrapText="1"/>
    </xf>
    <xf numFmtId="41" fontId="59" fillId="5" borderId="1" xfId="0" applyNumberFormat="1" applyFont="1" applyFill="1" applyBorder="1" applyAlignment="1" applyProtection="1">
      <alignment horizontal="center" wrapText="1"/>
      <protection locked="0"/>
    </xf>
    <xf numFmtId="41" fontId="16" fillId="6" borderId="1" xfId="0" applyNumberFormat="1" applyFont="1" applyFill="1" applyBorder="1" applyAlignment="1" applyProtection="1">
      <alignment horizontal="center" vertical="top"/>
      <protection locked="0"/>
    </xf>
    <xf numFmtId="0" fontId="59" fillId="19" borderId="51" xfId="0" applyFont="1" applyFill="1" applyBorder="1" applyAlignment="1" applyProtection="1">
      <alignment horizontal="center" vertical="top"/>
      <protection locked="0"/>
    </xf>
    <xf numFmtId="41" fontId="16" fillId="5" borderId="17" xfId="0" applyNumberFormat="1" applyFont="1" applyFill="1" applyBorder="1" applyAlignment="1">
      <alignment horizontal="center" vertical="top"/>
    </xf>
    <xf numFmtId="41" fontId="60" fillId="5" borderId="17" xfId="0" applyNumberFormat="1" applyFont="1" applyFill="1" applyBorder="1" applyAlignment="1">
      <alignment horizontal="center" vertical="top"/>
    </xf>
    <xf numFmtId="41" fontId="16" fillId="5" borderId="0" xfId="0" applyNumberFormat="1" applyFont="1" applyFill="1" applyAlignment="1">
      <alignment horizontal="center" vertical="top"/>
    </xf>
    <xf numFmtId="41" fontId="59" fillId="5" borderId="17" xfId="0" applyNumberFormat="1" applyFont="1" applyFill="1" applyBorder="1" applyAlignment="1">
      <alignment horizontal="center" vertical="center"/>
    </xf>
    <xf numFmtId="41" fontId="16" fillId="0" borderId="0" xfId="0" applyNumberFormat="1" applyFont="1" applyAlignment="1" applyProtection="1">
      <alignment horizontal="center" vertical="top"/>
      <protection locked="0"/>
    </xf>
    <xf numFmtId="0" fontId="8" fillId="5" borderId="16" xfId="0" applyFont="1" applyFill="1" applyBorder="1" applyAlignment="1" applyProtection="1">
      <alignment horizontal="left" vertical="top" indent="1"/>
      <protection locked="0"/>
    </xf>
    <xf numFmtId="0" fontId="71" fillId="0" borderId="2" xfId="0" applyFont="1" applyBorder="1" applyAlignment="1" applyProtection="1">
      <alignment horizontal="left" vertical="top"/>
      <protection locked="0"/>
    </xf>
    <xf numFmtId="0" fontId="55" fillId="5" borderId="16" xfId="0" applyFont="1" applyFill="1" applyBorder="1" applyAlignment="1" applyProtection="1">
      <alignment horizontal="left" vertical="top" indent="1"/>
      <protection locked="0"/>
    </xf>
    <xf numFmtId="170" fontId="5" fillId="5" borderId="0" xfId="0" applyNumberFormat="1" applyFont="1" applyFill="1" applyAlignment="1" applyProtection="1">
      <alignment vertical="top"/>
      <protection locked="0"/>
    </xf>
    <xf numFmtId="170" fontId="6" fillId="14" borderId="1" xfId="0" applyNumberFormat="1" applyFont="1" applyFill="1" applyBorder="1" applyAlignment="1" applyProtection="1">
      <alignment horizontal="center" wrapText="1"/>
      <protection locked="0"/>
    </xf>
    <xf numFmtId="170" fontId="55" fillId="14" borderId="17" xfId="0" applyNumberFormat="1" applyFont="1" applyFill="1" applyBorder="1" applyAlignment="1" applyProtection="1">
      <alignment vertical="top"/>
      <protection locked="0"/>
    </xf>
    <xf numFmtId="170" fontId="8" fillId="14" borderId="17" xfId="0" applyNumberFormat="1" applyFont="1" applyFill="1" applyBorder="1" applyAlignment="1" applyProtection="1">
      <alignment horizontal="right" vertical="top"/>
      <protection locked="0"/>
    </xf>
    <xf numFmtId="170" fontId="8" fillId="14" borderId="0" xfId="0" applyNumberFormat="1" applyFont="1" applyFill="1" applyAlignment="1" applyProtection="1">
      <alignment horizontal="right" vertical="top"/>
      <protection locked="0"/>
    </xf>
    <xf numFmtId="170" fontId="4" fillId="14" borderId="17" xfId="0" applyNumberFormat="1" applyFont="1" applyFill="1" applyBorder="1" applyAlignment="1" applyProtection="1">
      <alignment vertical="center"/>
      <protection locked="0"/>
    </xf>
    <xf numFmtId="41" fontId="58" fillId="5" borderId="59" xfId="0" applyNumberFormat="1" applyFont="1" applyFill="1" applyBorder="1" applyAlignment="1">
      <alignment vertical="top"/>
    </xf>
    <xf numFmtId="0" fontId="8" fillId="12" borderId="2" xfId="0" applyFont="1" applyFill="1" applyBorder="1" applyAlignment="1" applyProtection="1">
      <alignment horizontal="center" vertical="top"/>
      <protection locked="0"/>
    </xf>
    <xf numFmtId="170" fontId="8" fillId="14" borderId="17" xfId="0" applyNumberFormat="1" applyFont="1" applyFill="1" applyBorder="1" applyAlignment="1" applyProtection="1">
      <alignment horizontal="left" vertical="top"/>
      <protection locked="0"/>
    </xf>
    <xf numFmtId="43" fontId="61" fillId="5" borderId="0" xfId="0" applyNumberFormat="1" applyFont="1" applyFill="1" applyAlignment="1" applyProtection="1">
      <alignment vertical="top"/>
      <protection locked="0"/>
    </xf>
    <xf numFmtId="43" fontId="61" fillId="0" borderId="0" xfId="0" applyNumberFormat="1" applyFont="1" applyAlignment="1" applyProtection="1">
      <alignment horizontal="centerContinuous" vertical="top"/>
      <protection locked="0"/>
    </xf>
    <xf numFmtId="43" fontId="62" fillId="14" borderId="1" xfId="0" applyNumberFormat="1" applyFont="1" applyFill="1" applyBorder="1" applyAlignment="1" applyProtection="1">
      <alignment horizontal="center" wrapText="1"/>
      <protection locked="0"/>
    </xf>
    <xf numFmtId="43" fontId="63" fillId="19" borderId="51" xfId="0" applyNumberFormat="1" applyFont="1" applyFill="1" applyBorder="1" applyAlignment="1" applyProtection="1">
      <alignment vertical="top"/>
      <protection locked="0"/>
    </xf>
    <xf numFmtId="43" fontId="61" fillId="14" borderId="17" xfId="0" applyNumberFormat="1" applyFont="1" applyFill="1" applyBorder="1" applyAlignment="1" applyProtection="1">
      <alignment horizontal="right" vertical="top"/>
      <protection locked="0"/>
    </xf>
    <xf numFmtId="43" fontId="63" fillId="14" borderId="17" xfId="0" applyNumberFormat="1" applyFont="1" applyFill="1" applyBorder="1" applyAlignment="1" applyProtection="1">
      <alignment vertical="center"/>
      <protection locked="0"/>
    </xf>
    <xf numFmtId="43" fontId="64" fillId="14" borderId="17" xfId="0" applyNumberFormat="1" applyFont="1" applyFill="1" applyBorder="1" applyAlignment="1" applyProtection="1">
      <alignment horizontal="right" vertical="top"/>
      <protection locked="0"/>
    </xf>
    <xf numFmtId="170" fontId="7" fillId="14" borderId="17" xfId="0" applyNumberFormat="1" applyFont="1" applyFill="1" applyBorder="1" applyAlignment="1" applyProtection="1">
      <alignment horizontal="left" vertical="top"/>
      <protection locked="0"/>
    </xf>
    <xf numFmtId="170" fontId="55" fillId="14" borderId="17" xfId="0" applyNumberFormat="1" applyFont="1" applyFill="1" applyBorder="1" applyAlignment="1" applyProtection="1">
      <alignment horizontal="right" vertical="top"/>
      <protection locked="0"/>
    </xf>
    <xf numFmtId="0" fontId="8" fillId="5" borderId="8" xfId="0" applyFont="1" applyFill="1" applyBorder="1" applyAlignment="1">
      <alignment horizontal="left" vertical="top" indent="1"/>
    </xf>
    <xf numFmtId="167" fontId="4" fillId="10" borderId="27" xfId="1" applyNumberFormat="1" applyFont="1" applyFill="1" applyBorder="1" applyAlignment="1">
      <alignment vertical="top"/>
    </xf>
    <xf numFmtId="0" fontId="23" fillId="0" borderId="2" xfId="0" applyFont="1" applyBorder="1" applyAlignment="1" applyProtection="1">
      <alignment horizontal="center" vertical="top"/>
      <protection locked="0"/>
    </xf>
    <xf numFmtId="166" fontId="8" fillId="10" borderId="18" xfId="0" applyNumberFormat="1" applyFont="1" applyFill="1" applyBorder="1" applyAlignment="1">
      <alignment vertical="top"/>
    </xf>
    <xf numFmtId="166" fontId="8" fillId="14" borderId="18" xfId="0" applyNumberFormat="1" applyFont="1" applyFill="1" applyBorder="1" applyAlignment="1">
      <alignment vertical="top"/>
    </xf>
    <xf numFmtId="0" fontId="8" fillId="6" borderId="16" xfId="0" applyFont="1" applyFill="1" applyBorder="1" applyAlignment="1" applyProtection="1">
      <alignment vertical="top" wrapText="1"/>
      <protection locked="0"/>
    </xf>
    <xf numFmtId="170" fontId="8" fillId="6" borderId="17" xfId="0" applyNumberFormat="1" applyFont="1" applyFill="1" applyBorder="1" applyAlignment="1" applyProtection="1">
      <alignment vertical="top"/>
      <protection locked="0"/>
    </xf>
    <xf numFmtId="43" fontId="61" fillId="6" borderId="17" xfId="0" applyNumberFormat="1" applyFont="1" applyFill="1" applyBorder="1" applyAlignment="1" applyProtection="1">
      <alignment vertical="top"/>
      <protection locked="0"/>
    </xf>
    <xf numFmtId="41" fontId="8" fillId="6" borderId="17" xfId="0" applyNumberFormat="1" applyFont="1" applyFill="1" applyBorder="1" applyAlignment="1">
      <alignment vertical="top"/>
    </xf>
    <xf numFmtId="41" fontId="8" fillId="6" borderId="18" xfId="0" applyNumberFormat="1" applyFont="1" applyFill="1" applyBorder="1" applyAlignment="1">
      <alignment vertical="top"/>
    </xf>
    <xf numFmtId="168" fontId="16" fillId="6" borderId="17" xfId="2" applyNumberFormat="1" applyFont="1" applyFill="1" applyBorder="1" applyAlignment="1">
      <alignment horizontal="center" vertical="top"/>
    </xf>
    <xf numFmtId="41" fontId="30" fillId="6" borderId="59" xfId="0" applyNumberFormat="1" applyFont="1" applyFill="1" applyBorder="1" applyAlignment="1">
      <alignment vertical="top"/>
    </xf>
    <xf numFmtId="0" fontId="8" fillId="6" borderId="16" xfId="0" applyFont="1" applyFill="1" applyBorder="1" applyAlignment="1" applyProtection="1">
      <alignment vertical="top"/>
      <protection locked="0"/>
    </xf>
    <xf numFmtId="170" fontId="8" fillId="6" borderId="17" xfId="0" applyNumberFormat="1" applyFont="1" applyFill="1" applyBorder="1" applyAlignment="1" applyProtection="1">
      <alignment horizontal="right" vertical="top"/>
      <protection locked="0"/>
    </xf>
    <xf numFmtId="43" fontId="61" fillId="6" borderId="17" xfId="0" applyNumberFormat="1" applyFont="1" applyFill="1" applyBorder="1" applyAlignment="1" applyProtection="1">
      <alignment horizontal="right" vertical="top"/>
      <protection locked="0"/>
    </xf>
    <xf numFmtId="41" fontId="16" fillId="6" borderId="17" xfId="0" applyNumberFormat="1" applyFont="1" applyFill="1" applyBorder="1" applyAlignment="1">
      <alignment horizontal="center" vertical="top"/>
    </xf>
    <xf numFmtId="0" fontId="5" fillId="6" borderId="19" xfId="0" applyFont="1" applyFill="1" applyBorder="1" applyAlignment="1" applyProtection="1">
      <alignment vertical="top" wrapText="1"/>
      <protection locked="0"/>
    </xf>
    <xf numFmtId="170" fontId="5" fillId="6" borderId="20" xfId="0" applyNumberFormat="1" applyFont="1" applyFill="1" applyBorder="1" applyAlignment="1" applyProtection="1">
      <alignment vertical="top"/>
      <protection locked="0"/>
    </xf>
    <xf numFmtId="43" fontId="61" fillId="6" borderId="20" xfId="0" applyNumberFormat="1" applyFont="1" applyFill="1" applyBorder="1" applyAlignment="1" applyProtection="1">
      <alignment vertical="top"/>
      <protection locked="0"/>
    </xf>
    <xf numFmtId="41" fontId="5" fillId="6" borderId="20" xfId="0" applyNumberFormat="1" applyFont="1" applyFill="1" applyBorder="1" applyAlignment="1" applyProtection="1">
      <alignment vertical="top"/>
      <protection locked="0"/>
    </xf>
    <xf numFmtId="41" fontId="5" fillId="6" borderId="21" xfId="0" applyNumberFormat="1" applyFont="1" applyFill="1" applyBorder="1" applyAlignment="1" applyProtection="1">
      <alignment vertical="top"/>
      <protection locked="0"/>
    </xf>
    <xf numFmtId="168" fontId="16" fillId="6" borderId="20" xfId="2" applyNumberFormat="1" applyFont="1" applyFill="1" applyBorder="1" applyAlignment="1" applyProtection="1">
      <alignment horizontal="center" vertical="top"/>
      <protection locked="0"/>
    </xf>
    <xf numFmtId="0" fontId="5" fillId="6" borderId="19" xfId="0" applyFont="1" applyFill="1" applyBorder="1" applyAlignment="1" applyProtection="1">
      <alignment vertical="top"/>
      <protection locked="0"/>
    </xf>
    <xf numFmtId="41" fontId="16" fillId="6" borderId="20" xfId="0" applyNumberFormat="1" applyFont="1" applyFill="1" applyBorder="1" applyAlignment="1" applyProtection="1">
      <alignment horizontal="center" vertical="top"/>
      <protection locked="0"/>
    </xf>
    <xf numFmtId="41" fontId="38" fillId="6" borderId="60" xfId="0" applyNumberFormat="1" applyFont="1" applyFill="1" applyBorder="1" applyAlignment="1" applyProtection="1">
      <alignment vertical="top"/>
      <protection locked="0"/>
    </xf>
    <xf numFmtId="0" fontId="67" fillId="5" borderId="12" xfId="0" applyFont="1" applyFill="1" applyBorder="1" applyAlignment="1">
      <alignment horizontal="center" vertical="center" wrapText="1"/>
    </xf>
    <xf numFmtId="0" fontId="67" fillId="5" borderId="9" xfId="0" applyFont="1" applyFill="1" applyBorder="1" applyAlignment="1">
      <alignment horizontal="center" vertical="top" wrapText="1"/>
    </xf>
    <xf numFmtId="41" fontId="67" fillId="5" borderId="1" xfId="0" applyNumberFormat="1" applyFont="1" applyFill="1" applyBorder="1" applyAlignment="1" applyProtection="1">
      <alignment horizontal="center" wrapText="1"/>
      <protection locked="0"/>
    </xf>
    <xf numFmtId="41" fontId="66" fillId="5" borderId="0" xfId="0" applyNumberFormat="1" applyFont="1" applyFill="1" applyAlignment="1" applyProtection="1">
      <alignment horizontal="center" vertical="top"/>
      <protection locked="0"/>
    </xf>
    <xf numFmtId="41" fontId="66" fillId="5" borderId="17" xfId="0" applyNumberFormat="1" applyFont="1" applyFill="1" applyBorder="1" applyAlignment="1">
      <alignment horizontal="center" vertical="top"/>
    </xf>
    <xf numFmtId="41" fontId="66" fillId="5" borderId="0" xfId="0" applyNumberFormat="1" applyFont="1" applyFill="1" applyAlignment="1">
      <alignment horizontal="center" vertical="top"/>
    </xf>
    <xf numFmtId="41" fontId="66" fillId="5" borderId="17" xfId="0" applyNumberFormat="1" applyFont="1" applyFill="1" applyBorder="1" applyAlignment="1" applyProtection="1">
      <alignment horizontal="center" vertical="top"/>
      <protection locked="0"/>
    </xf>
    <xf numFmtId="41" fontId="67" fillId="5" borderId="14" xfId="0" applyNumberFormat="1" applyFont="1" applyFill="1" applyBorder="1" applyAlignment="1">
      <alignment horizontal="center" vertical="top"/>
    </xf>
    <xf numFmtId="41" fontId="67" fillId="5" borderId="17" xfId="0" applyNumberFormat="1" applyFont="1" applyFill="1" applyBorder="1" applyAlignment="1">
      <alignment horizontal="center" vertical="center"/>
    </xf>
    <xf numFmtId="0" fontId="5" fillId="17" borderId="1" xfId="0" applyFont="1" applyFill="1" applyBorder="1" applyAlignment="1" applyProtection="1">
      <alignment horizontal="center" vertical="top"/>
      <protection locked="0"/>
    </xf>
    <xf numFmtId="0" fontId="8" fillId="17" borderId="2" xfId="0" applyFont="1" applyFill="1" applyBorder="1" applyAlignment="1" applyProtection="1">
      <alignment horizontal="center" vertical="top" wrapText="1"/>
      <protection locked="0"/>
    </xf>
    <xf numFmtId="14" fontId="5" fillId="2" borderId="26" xfId="0" applyNumberFormat="1" applyFont="1" applyFill="1" applyBorder="1" applyAlignment="1" applyProtection="1">
      <alignment horizontal="center" vertical="top"/>
      <protection locked="0"/>
    </xf>
    <xf numFmtId="0" fontId="8" fillId="12" borderId="2" xfId="0" applyFont="1" applyFill="1" applyBorder="1" applyAlignment="1" applyProtection="1">
      <alignment horizontal="center" vertical="top" wrapText="1"/>
      <protection locked="0"/>
    </xf>
    <xf numFmtId="0" fontId="5" fillId="14" borderId="16" xfId="0" applyFont="1" applyFill="1" applyBorder="1" applyAlignment="1" applyProtection="1">
      <alignment horizontal="center" vertical="top" wrapText="1"/>
      <protection locked="0"/>
    </xf>
    <xf numFmtId="0" fontId="56" fillId="14" borderId="16" xfId="0" applyFont="1" applyFill="1" applyBorder="1" applyAlignment="1" applyProtection="1">
      <alignment vertical="top" wrapText="1"/>
      <protection locked="0"/>
    </xf>
    <xf numFmtId="172" fontId="5" fillId="14" borderId="16" xfId="0" applyNumberFormat="1" applyFont="1" applyFill="1" applyBorder="1" applyAlignment="1">
      <alignment horizontal="left" vertical="top"/>
    </xf>
    <xf numFmtId="0" fontId="5" fillId="14" borderId="22" xfId="0" applyFont="1" applyFill="1" applyBorder="1" applyAlignment="1" applyProtection="1">
      <alignment horizontal="center" vertical="top" wrapText="1"/>
      <protection locked="0"/>
    </xf>
    <xf numFmtId="171" fontId="5" fillId="14" borderId="17" xfId="3" applyNumberFormat="1" applyFont="1" applyFill="1" applyBorder="1" applyAlignment="1" applyProtection="1">
      <alignment vertical="top"/>
    </xf>
    <xf numFmtId="171" fontId="5" fillId="14" borderId="18" xfId="3" applyNumberFormat="1" applyFont="1" applyFill="1" applyBorder="1" applyAlignment="1" applyProtection="1">
      <alignment vertical="top"/>
    </xf>
    <xf numFmtId="172" fontId="5" fillId="5" borderId="16" xfId="0" applyNumberFormat="1" applyFont="1" applyFill="1" applyBorder="1" applyAlignment="1">
      <alignment vertical="top"/>
    </xf>
    <xf numFmtId="0" fontId="44" fillId="28" borderId="3" xfId="0" applyFont="1" applyFill="1" applyBorder="1" applyAlignment="1" applyProtection="1">
      <alignment horizontal="center" vertical="top" wrapText="1"/>
      <protection locked="0"/>
    </xf>
    <xf numFmtId="0" fontId="5" fillId="29" borderId="0" xfId="0" applyFont="1" applyFill="1" applyAlignment="1" applyProtection="1">
      <alignment horizontal="center" vertical="top"/>
      <protection locked="0"/>
    </xf>
    <xf numFmtId="0" fontId="5" fillId="29" borderId="0" xfId="0" applyFont="1" applyFill="1" applyAlignment="1" applyProtection="1">
      <alignment vertical="top"/>
      <protection locked="0"/>
    </xf>
    <xf numFmtId="3" fontId="5" fillId="29" borderId="0" xfId="0" applyNumberFormat="1" applyFont="1" applyFill="1" applyAlignment="1" applyProtection="1">
      <alignment vertical="top"/>
      <protection locked="0"/>
    </xf>
    <xf numFmtId="0" fontId="5" fillId="29" borderId="0" xfId="0" applyFont="1" applyFill="1" applyAlignment="1" applyProtection="1">
      <alignment vertical="top" wrapText="1"/>
      <protection locked="0"/>
    </xf>
    <xf numFmtId="164" fontId="5" fillId="29" borderId="0" xfId="0" applyNumberFormat="1" applyFont="1" applyFill="1" applyAlignment="1" applyProtection="1">
      <alignment vertical="top"/>
      <protection locked="0"/>
    </xf>
    <xf numFmtId="164" fontId="61" fillId="29" borderId="0" xfId="0" applyNumberFormat="1" applyFont="1" applyFill="1" applyAlignment="1" applyProtection="1">
      <alignment vertical="top"/>
      <protection locked="0"/>
    </xf>
    <xf numFmtId="41" fontId="5" fillId="29" borderId="0" xfId="0" applyNumberFormat="1" applyFont="1" applyFill="1" applyAlignment="1" applyProtection="1">
      <alignment vertical="top"/>
      <protection locked="0"/>
    </xf>
    <xf numFmtId="43" fontId="5" fillId="29" borderId="0" xfId="0" applyNumberFormat="1" applyFont="1" applyFill="1" applyAlignment="1" applyProtection="1">
      <alignment vertical="top"/>
      <protection locked="0"/>
    </xf>
    <xf numFmtId="43" fontId="61" fillId="29" borderId="0" xfId="0" applyNumberFormat="1" applyFont="1" applyFill="1" applyAlignment="1" applyProtection="1">
      <alignment vertical="top"/>
      <protection locked="0"/>
    </xf>
    <xf numFmtId="41" fontId="66" fillId="29" borderId="0" xfId="0" applyNumberFormat="1" applyFont="1" applyFill="1" applyAlignment="1" applyProtection="1">
      <alignment horizontal="center" vertical="top"/>
      <protection locked="0"/>
    </xf>
    <xf numFmtId="0" fontId="5" fillId="29" borderId="0" xfId="0" applyFont="1" applyFill="1" applyAlignment="1" applyProtection="1">
      <alignment horizontal="left" vertical="top"/>
      <protection locked="0"/>
    </xf>
    <xf numFmtId="0" fontId="5" fillId="30" borderId="0" xfId="0" applyFont="1" applyFill="1" applyAlignment="1" applyProtection="1">
      <alignment horizontal="center" vertical="top"/>
      <protection locked="0"/>
    </xf>
    <xf numFmtId="0" fontId="5" fillId="30" borderId="0" xfId="0" applyFont="1" applyFill="1" applyAlignment="1" applyProtection="1">
      <alignment vertical="top"/>
      <protection locked="0"/>
    </xf>
    <xf numFmtId="3" fontId="5" fillId="30" borderId="0" xfId="0" applyNumberFormat="1" applyFont="1" applyFill="1" applyAlignment="1" applyProtection="1">
      <alignment vertical="top"/>
      <protection locked="0"/>
    </xf>
    <xf numFmtId="0" fontId="5" fillId="30" borderId="0" xfId="0" applyFont="1" applyFill="1" applyAlignment="1" applyProtection="1">
      <alignment vertical="top" wrapText="1"/>
      <protection locked="0"/>
    </xf>
    <xf numFmtId="164" fontId="5" fillId="30" borderId="0" xfId="0" applyNumberFormat="1" applyFont="1" applyFill="1" applyAlignment="1" applyProtection="1">
      <alignment vertical="top"/>
      <protection locked="0"/>
    </xf>
    <xf numFmtId="164" fontId="61" fillId="30" borderId="0" xfId="0" applyNumberFormat="1" applyFont="1" applyFill="1" applyAlignment="1" applyProtection="1">
      <alignment vertical="top"/>
      <protection locked="0"/>
    </xf>
    <xf numFmtId="41" fontId="5" fillId="30" borderId="0" xfId="0" applyNumberFormat="1" applyFont="1" applyFill="1" applyAlignment="1" applyProtection="1">
      <alignment vertical="top"/>
      <protection locked="0"/>
    </xf>
    <xf numFmtId="170" fontId="5" fillId="30" borderId="0" xfId="0" applyNumberFormat="1" applyFont="1" applyFill="1" applyAlignment="1" applyProtection="1">
      <alignment vertical="top"/>
      <protection locked="0"/>
    </xf>
    <xf numFmtId="43" fontId="61" fillId="30" borderId="0" xfId="0" applyNumberFormat="1" applyFont="1" applyFill="1" applyAlignment="1" applyProtection="1">
      <alignment vertical="top"/>
      <protection locked="0"/>
    </xf>
    <xf numFmtId="168" fontId="16" fillId="30" borderId="0" xfId="2" applyNumberFormat="1" applyFont="1" applyFill="1" applyAlignment="1" applyProtection="1">
      <alignment horizontal="center" vertical="top"/>
      <protection locked="0"/>
    </xf>
    <xf numFmtId="41" fontId="16" fillId="30" borderId="0" xfId="0" applyNumberFormat="1" applyFont="1" applyFill="1" applyAlignment="1" applyProtection="1">
      <alignment horizontal="center" vertical="top"/>
      <protection locked="0"/>
    </xf>
    <xf numFmtId="43" fontId="5" fillId="30" borderId="0" xfId="0" applyNumberFormat="1" applyFont="1" applyFill="1" applyAlignment="1" applyProtection="1">
      <alignment vertical="top"/>
      <protection locked="0"/>
    </xf>
    <xf numFmtId="41" fontId="8" fillId="5" borderId="17" xfId="0" applyNumberFormat="1" applyFont="1" applyFill="1" applyBorder="1" applyAlignment="1">
      <alignment horizontal="right" vertical="top"/>
    </xf>
    <xf numFmtId="41" fontId="8" fillId="10" borderId="18" xfId="0" applyNumberFormat="1" applyFont="1" applyFill="1" applyBorder="1" applyAlignment="1">
      <alignment horizontal="right" vertical="top"/>
    </xf>
    <xf numFmtId="41" fontId="67" fillId="19" borderId="51" xfId="0" applyNumberFormat="1" applyFont="1" applyFill="1" applyBorder="1" applyAlignment="1" applyProtection="1">
      <alignment horizontal="center" vertical="top"/>
      <protection locked="0"/>
    </xf>
    <xf numFmtId="49" fontId="67" fillId="19" borderId="51" xfId="0" applyNumberFormat="1" applyFont="1" applyFill="1" applyBorder="1" applyAlignment="1" applyProtection="1">
      <alignment horizontal="center" vertical="top"/>
      <protection locked="0"/>
    </xf>
    <xf numFmtId="41" fontId="73" fillId="28" borderId="59" xfId="0" applyNumberFormat="1" applyFont="1" applyFill="1" applyBorder="1" applyAlignment="1">
      <alignment vertical="top"/>
    </xf>
    <xf numFmtId="177" fontId="23" fillId="4" borderId="2" xfId="2" applyNumberFormat="1" applyFont="1" applyFill="1" applyBorder="1" applyAlignment="1" applyProtection="1">
      <alignment horizontal="center" vertical="top"/>
    </xf>
    <xf numFmtId="0" fontId="4" fillId="10" borderId="16" xfId="0" applyFont="1" applyFill="1" applyBorder="1" applyAlignment="1" applyProtection="1">
      <alignment horizontal="center" vertical="top" wrapText="1"/>
      <protection locked="0"/>
    </xf>
    <xf numFmtId="0" fontId="37" fillId="10" borderId="16" xfId="0" applyFont="1" applyFill="1" applyBorder="1" applyAlignment="1" applyProtection="1">
      <alignment vertical="top" wrapText="1"/>
      <protection locked="0"/>
    </xf>
    <xf numFmtId="172" fontId="4" fillId="10" borderId="16" xfId="0" applyNumberFormat="1" applyFont="1" applyFill="1" applyBorder="1" applyAlignment="1">
      <alignment horizontal="left" vertical="top"/>
    </xf>
    <xf numFmtId="0" fontId="4" fillId="10" borderId="22" xfId="0" applyFont="1" applyFill="1" applyBorder="1" applyAlignment="1" applyProtection="1">
      <alignment horizontal="center" vertical="top" wrapText="1"/>
      <protection locked="0"/>
    </xf>
    <xf numFmtId="171" fontId="4" fillId="10" borderId="17" xfId="3" applyNumberFormat="1" applyFont="1" applyFill="1" applyBorder="1" applyAlignment="1" applyProtection="1">
      <alignment vertical="top"/>
    </xf>
    <xf numFmtId="171" fontId="4" fillId="10" borderId="18" xfId="3" applyNumberFormat="1" applyFont="1" applyFill="1" applyBorder="1" applyAlignment="1" applyProtection="1">
      <alignment vertical="top"/>
    </xf>
    <xf numFmtId="172" fontId="4" fillId="4" borderId="16" xfId="0" applyNumberFormat="1" applyFont="1" applyFill="1" applyBorder="1" applyAlignment="1">
      <alignment horizontal="left" vertical="top" wrapText="1"/>
    </xf>
    <xf numFmtId="10" fontId="4" fillId="7" borderId="17" xfId="3" applyNumberFormat="1" applyFont="1" applyFill="1" applyBorder="1" applyAlignment="1" applyProtection="1">
      <alignment vertical="top"/>
    </xf>
    <xf numFmtId="10" fontId="63" fillId="7" borderId="17" xfId="3" applyNumberFormat="1" applyFont="1" applyFill="1" applyBorder="1" applyAlignment="1" applyProtection="1">
      <alignment vertical="top"/>
    </xf>
    <xf numFmtId="41" fontId="74" fillId="4" borderId="17" xfId="0" applyNumberFormat="1" applyFont="1" applyFill="1" applyBorder="1" applyAlignment="1">
      <alignment vertical="top"/>
    </xf>
    <xf numFmtId="41" fontId="4" fillId="17" borderId="18" xfId="0" applyNumberFormat="1" applyFont="1" applyFill="1" applyBorder="1" applyAlignment="1">
      <alignment vertical="top"/>
    </xf>
    <xf numFmtId="41" fontId="40" fillId="4" borderId="59" xfId="0" applyNumberFormat="1" applyFont="1" applyFill="1" applyBorder="1" applyAlignment="1">
      <alignment vertical="top"/>
    </xf>
    <xf numFmtId="172" fontId="4" fillId="3" borderId="16" xfId="0" applyNumberFormat="1" applyFont="1" applyFill="1" applyBorder="1" applyAlignment="1">
      <alignment horizontal="left" vertical="top" wrapText="1"/>
    </xf>
    <xf numFmtId="10" fontId="4" fillId="10" borderId="17" xfId="0" applyNumberFormat="1" applyFont="1" applyFill="1" applyBorder="1" applyAlignment="1">
      <alignment vertical="top"/>
    </xf>
    <xf numFmtId="43" fontId="63" fillId="10" borderId="17" xfId="0" applyNumberFormat="1" applyFont="1" applyFill="1" applyBorder="1" applyAlignment="1" applyProtection="1">
      <alignment vertical="top"/>
      <protection locked="0"/>
    </xf>
    <xf numFmtId="41" fontId="4" fillId="3" borderId="17" xfId="0" applyNumberFormat="1" applyFont="1" applyFill="1" applyBorder="1" applyAlignment="1">
      <alignment vertical="top"/>
    </xf>
    <xf numFmtId="41" fontId="4" fillId="10" borderId="18" xfId="0" applyNumberFormat="1" applyFont="1" applyFill="1" applyBorder="1" applyAlignment="1">
      <alignment vertical="top"/>
    </xf>
    <xf numFmtId="41" fontId="67" fillId="3" borderId="0" xfId="0" applyNumberFormat="1" applyFont="1" applyFill="1" applyAlignment="1" applyProtection="1">
      <alignment horizontal="center" vertical="top"/>
      <protection locked="0"/>
    </xf>
    <xf numFmtId="41" fontId="40" fillId="3" borderId="59" xfId="0" applyNumberFormat="1" applyFont="1" applyFill="1" applyBorder="1" applyAlignment="1">
      <alignment vertical="top"/>
    </xf>
    <xf numFmtId="0" fontId="4" fillId="5" borderId="16" xfId="0" applyFont="1" applyFill="1" applyBorder="1" applyAlignment="1">
      <alignment vertical="top"/>
    </xf>
    <xf numFmtId="43" fontId="4" fillId="14" borderId="17" xfId="0" applyNumberFormat="1" applyFont="1" applyFill="1" applyBorder="1" applyAlignment="1" applyProtection="1">
      <alignment vertical="top"/>
      <protection locked="0"/>
    </xf>
    <xf numFmtId="41" fontId="4" fillId="5" borderId="17" xfId="0" applyNumberFormat="1" applyFont="1" applyFill="1" applyBorder="1" applyAlignment="1">
      <alignment vertical="top"/>
    </xf>
    <xf numFmtId="41" fontId="67" fillId="5" borderId="17" xfId="0" applyNumberFormat="1" applyFont="1" applyFill="1" applyBorder="1" applyAlignment="1">
      <alignment horizontal="center" vertical="top"/>
    </xf>
    <xf numFmtId="41" fontId="39" fillId="5" borderId="59" xfId="0" applyNumberFormat="1" applyFont="1" applyFill="1" applyBorder="1" applyAlignment="1">
      <alignment vertical="top"/>
    </xf>
    <xf numFmtId="173" fontId="4" fillId="8" borderId="16" xfId="0" applyNumberFormat="1" applyFont="1" applyFill="1" applyBorder="1" applyAlignment="1">
      <alignment horizontal="left" vertical="top"/>
    </xf>
    <xf numFmtId="43" fontId="4" fillId="8" borderId="17" xfId="0" applyNumberFormat="1" applyFont="1" applyFill="1" applyBorder="1" applyAlignment="1" applyProtection="1">
      <alignment vertical="top"/>
      <protection locked="0"/>
    </xf>
    <xf numFmtId="41" fontId="4" fillId="8" borderId="17" xfId="0" applyNumberFormat="1" applyFont="1" applyFill="1" applyBorder="1" applyAlignment="1">
      <alignment vertical="top"/>
    </xf>
    <xf numFmtId="41" fontId="39" fillId="8" borderId="59" xfId="0" applyNumberFormat="1" applyFont="1" applyFill="1" applyBorder="1" applyAlignment="1">
      <alignment vertical="top"/>
    </xf>
    <xf numFmtId="0" fontId="5" fillId="10" borderId="22" xfId="0" applyFont="1" applyFill="1" applyBorder="1" applyAlignment="1" applyProtection="1">
      <alignment vertical="top"/>
      <protection locked="0"/>
    </xf>
    <xf numFmtId="0" fontId="4" fillId="4" borderId="16" xfId="0" applyFont="1" applyFill="1" applyBorder="1" applyAlignment="1" applyProtection="1">
      <alignment horizontal="center" vertical="top" wrapText="1"/>
      <protection locked="0"/>
    </xf>
    <xf numFmtId="0" fontId="37" fillId="4" borderId="16" xfId="0" applyFont="1" applyFill="1" applyBorder="1" applyAlignment="1" applyProtection="1">
      <alignment vertical="top" wrapText="1"/>
      <protection locked="0"/>
    </xf>
    <xf numFmtId="172" fontId="4" fillId="4" borderId="16" xfId="0" applyNumberFormat="1" applyFont="1" applyFill="1" applyBorder="1" applyAlignment="1">
      <alignment horizontal="left" vertical="top"/>
    </xf>
    <xf numFmtId="0" fontId="4" fillId="4" borderId="22" xfId="0" applyFont="1" applyFill="1" applyBorder="1" applyAlignment="1" applyProtection="1">
      <alignment horizontal="center" vertical="top" wrapText="1"/>
      <protection locked="0"/>
    </xf>
    <xf numFmtId="0" fontId="4" fillId="4" borderId="22" xfId="0" applyFont="1" applyFill="1" applyBorder="1" applyAlignment="1" applyProtection="1">
      <alignment vertical="top" wrapText="1"/>
      <protection locked="0"/>
    </xf>
    <xf numFmtId="171" fontId="4" fillId="4" borderId="17" xfId="3" applyNumberFormat="1" applyFont="1" applyFill="1" applyBorder="1" applyAlignment="1" applyProtection="1">
      <alignment vertical="top"/>
    </xf>
    <xf numFmtId="171" fontId="4" fillId="4" borderId="18" xfId="3" applyNumberFormat="1" applyFont="1" applyFill="1" applyBorder="1" applyAlignment="1" applyProtection="1">
      <alignment vertical="top"/>
    </xf>
    <xf numFmtId="0" fontId="5" fillId="4" borderId="22" xfId="0" applyFont="1" applyFill="1" applyBorder="1" applyAlignment="1" applyProtection="1">
      <alignment vertical="top"/>
      <protection locked="0"/>
    </xf>
    <xf numFmtId="172" fontId="4" fillId="5" borderId="16" xfId="0" applyNumberFormat="1" applyFont="1" applyFill="1" applyBorder="1" applyAlignment="1">
      <alignment vertical="top"/>
    </xf>
    <xf numFmtId="10" fontId="4" fillId="14" borderId="17" xfId="0" applyNumberFormat="1" applyFont="1" applyFill="1" applyBorder="1" applyAlignment="1" applyProtection="1">
      <alignment vertical="top"/>
      <protection locked="0"/>
    </xf>
    <xf numFmtId="0" fontId="5" fillId="14" borderId="22" xfId="0" applyFont="1" applyFill="1" applyBorder="1" applyAlignment="1" applyProtection="1">
      <alignment vertical="top"/>
      <protection locked="0"/>
    </xf>
    <xf numFmtId="0" fontId="4" fillId="14" borderId="16" xfId="0" applyFont="1" applyFill="1" applyBorder="1" applyAlignment="1" applyProtection="1">
      <alignment horizontal="center" vertical="top" wrapText="1"/>
      <protection locked="0"/>
    </xf>
    <xf numFmtId="0" fontId="37" fillId="14" borderId="16" xfId="0" applyFont="1" applyFill="1" applyBorder="1" applyAlignment="1" applyProtection="1">
      <alignment vertical="top" wrapText="1"/>
      <protection locked="0"/>
    </xf>
    <xf numFmtId="172" fontId="4" fillId="14" borderId="16" xfId="0" applyNumberFormat="1" applyFont="1" applyFill="1" applyBorder="1" applyAlignment="1">
      <alignment horizontal="left" vertical="top"/>
    </xf>
    <xf numFmtId="0" fontId="4" fillId="14" borderId="22" xfId="0" applyFont="1" applyFill="1" applyBorder="1" applyAlignment="1" applyProtection="1">
      <alignment horizontal="center" vertical="top" wrapText="1"/>
      <protection locked="0"/>
    </xf>
    <xf numFmtId="0" fontId="4" fillId="14" borderId="22" xfId="0" applyFont="1" applyFill="1" applyBorder="1" applyAlignment="1" applyProtection="1">
      <alignment vertical="top" wrapText="1"/>
      <protection locked="0"/>
    </xf>
    <xf numFmtId="171" fontId="4" fillId="14" borderId="17" xfId="3" applyNumberFormat="1" applyFont="1" applyFill="1" applyBorder="1" applyAlignment="1" applyProtection="1">
      <alignment vertical="top"/>
    </xf>
    <xf numFmtId="171" fontId="4" fillId="14" borderId="18" xfId="3" applyNumberFormat="1" applyFont="1" applyFill="1" applyBorder="1" applyAlignment="1" applyProtection="1">
      <alignment vertical="top"/>
    </xf>
    <xf numFmtId="0" fontId="11" fillId="2" borderId="13" xfId="0" applyFont="1" applyFill="1" applyBorder="1" applyAlignment="1" applyProtection="1">
      <alignment horizontal="center" vertical="top"/>
      <protection locked="0"/>
    </xf>
    <xf numFmtId="0" fontId="11" fillId="2" borderId="13" xfId="0" applyFont="1" applyFill="1" applyBorder="1" applyAlignment="1" applyProtection="1">
      <alignment horizontal="right" vertical="top"/>
      <protection locked="0"/>
    </xf>
    <xf numFmtId="0" fontId="11" fillId="2" borderId="13" xfId="0" applyFont="1" applyFill="1" applyBorder="1" applyAlignment="1" applyProtection="1">
      <alignment horizontal="left" vertical="top"/>
      <protection locked="0"/>
    </xf>
    <xf numFmtId="0" fontId="11" fillId="2" borderId="23" xfId="0" applyFont="1" applyFill="1" applyBorder="1" applyAlignment="1" applyProtection="1">
      <alignment horizontal="center" vertical="top"/>
      <protection locked="0"/>
    </xf>
    <xf numFmtId="0" fontId="11" fillId="2" borderId="23" xfId="0" applyFont="1" applyFill="1" applyBorder="1" applyAlignment="1" applyProtection="1">
      <alignment horizontal="right" vertical="top"/>
      <protection locked="0"/>
    </xf>
    <xf numFmtId="3" fontId="47" fillId="2" borderId="63" xfId="0" applyNumberFormat="1" applyFont="1" applyFill="1" applyBorder="1" applyAlignment="1" applyProtection="1">
      <alignment horizontal="center" wrapText="1"/>
      <protection locked="0"/>
    </xf>
    <xf numFmtId="3" fontId="47" fillId="2" borderId="64" xfId="0" applyNumberFormat="1" applyFont="1" applyFill="1" applyBorder="1" applyAlignment="1" applyProtection="1">
      <alignment horizontal="center" wrapText="1"/>
      <protection locked="0"/>
    </xf>
    <xf numFmtId="3" fontId="11" fillId="2" borderId="64" xfId="0" applyNumberFormat="1" applyFont="1" applyFill="1" applyBorder="1" applyAlignment="1" applyProtection="1">
      <alignment wrapText="1"/>
      <protection locked="0"/>
    </xf>
    <xf numFmtId="3" fontId="11" fillId="2" borderId="65" xfId="0" applyNumberFormat="1" applyFont="1" applyFill="1" applyBorder="1" applyAlignment="1" applyProtection="1">
      <alignment wrapText="1"/>
      <protection locked="0"/>
    </xf>
    <xf numFmtId="0" fontId="11" fillId="4" borderId="13" xfId="0" applyFont="1" applyFill="1" applyBorder="1" applyAlignment="1">
      <alignment vertical="top"/>
    </xf>
    <xf numFmtId="164" fontId="11" fillId="7" borderId="14" xfId="0" applyNumberFormat="1" applyFont="1" applyFill="1" applyBorder="1" applyAlignment="1" applyProtection="1">
      <alignment vertical="top"/>
      <protection locked="0"/>
    </xf>
    <xf numFmtId="164" fontId="75" fillId="7" borderId="14" xfId="0" applyNumberFormat="1" applyFont="1" applyFill="1" applyBorder="1" applyAlignment="1" applyProtection="1">
      <alignment vertical="top"/>
      <protection locked="0"/>
    </xf>
    <xf numFmtId="41" fontId="11" fillId="4" borderId="14" xfId="0" applyNumberFormat="1" applyFont="1" applyFill="1" applyBorder="1" applyAlignment="1">
      <alignment vertical="top"/>
    </xf>
    <xf numFmtId="41" fontId="11" fillId="17" borderId="15" xfId="0" applyNumberFormat="1" applyFont="1" applyFill="1" applyBorder="1" applyAlignment="1">
      <alignment vertical="top"/>
    </xf>
    <xf numFmtId="41" fontId="76" fillId="4" borderId="59" xfId="0" applyNumberFormat="1" applyFont="1" applyFill="1" applyBorder="1" applyAlignment="1">
      <alignment vertical="top"/>
    </xf>
    <xf numFmtId="0" fontId="47" fillId="3" borderId="16" xfId="0" applyFont="1" applyFill="1" applyBorder="1" applyAlignment="1" applyProtection="1">
      <alignment vertical="top" wrapText="1"/>
      <protection locked="0"/>
    </xf>
    <xf numFmtId="170" fontId="47" fillId="10" borderId="17" xfId="0" applyNumberFormat="1" applyFont="1" applyFill="1" applyBorder="1" applyAlignment="1" applyProtection="1">
      <alignment vertical="top"/>
      <protection locked="0"/>
    </xf>
    <xf numFmtId="43" fontId="75" fillId="10" borderId="17" xfId="0" applyNumberFormat="1" applyFont="1" applyFill="1" applyBorder="1" applyAlignment="1" applyProtection="1">
      <alignment vertical="top"/>
      <protection locked="0"/>
    </xf>
    <xf numFmtId="41" fontId="47" fillId="3" borderId="17" xfId="0" applyNumberFormat="1" applyFont="1" applyFill="1" applyBorder="1" applyAlignment="1">
      <alignment vertical="top"/>
    </xf>
    <xf numFmtId="167" fontId="47" fillId="10" borderId="18" xfId="1" applyNumberFormat="1" applyFont="1" applyFill="1" applyBorder="1" applyAlignment="1">
      <alignment vertical="top"/>
    </xf>
    <xf numFmtId="41" fontId="47" fillId="10" borderId="18" xfId="0" applyNumberFormat="1" applyFont="1" applyFill="1" applyBorder="1" applyAlignment="1">
      <alignment vertical="top"/>
    </xf>
    <xf numFmtId="41" fontId="76" fillId="3" borderId="59" xfId="0" applyNumberFormat="1" applyFont="1" applyFill="1" applyBorder="1" applyAlignment="1">
      <alignment vertical="top"/>
    </xf>
    <xf numFmtId="0" fontId="47" fillId="5" borderId="16" xfId="0" applyFont="1" applyFill="1" applyBorder="1" applyAlignment="1" applyProtection="1">
      <alignment vertical="top"/>
      <protection locked="0"/>
    </xf>
    <xf numFmtId="170" fontId="47" fillId="14" borderId="17" xfId="0" applyNumberFormat="1" applyFont="1" applyFill="1" applyBorder="1" applyAlignment="1" applyProtection="1">
      <alignment horizontal="right" vertical="top"/>
      <protection locked="0"/>
    </xf>
    <xf numFmtId="43" fontId="75" fillId="14" borderId="17" xfId="0" applyNumberFormat="1" applyFont="1" applyFill="1" applyBorder="1" applyAlignment="1" applyProtection="1">
      <alignment horizontal="right" vertical="top"/>
      <protection locked="0"/>
    </xf>
    <xf numFmtId="41" fontId="47" fillId="5" borderId="17" xfId="0" applyNumberFormat="1" applyFont="1" applyFill="1" applyBorder="1" applyAlignment="1">
      <alignment vertical="top"/>
    </xf>
    <xf numFmtId="167" fontId="47" fillId="14" borderId="18" xfId="1" applyNumberFormat="1" applyFont="1" applyFill="1" applyBorder="1" applyAlignment="1">
      <alignment vertical="top"/>
    </xf>
    <xf numFmtId="41" fontId="76" fillId="5" borderId="59" xfId="0" applyNumberFormat="1" applyFont="1" applyFill="1" applyBorder="1" applyAlignment="1">
      <alignment vertical="top"/>
    </xf>
    <xf numFmtId="43" fontId="47" fillId="8" borderId="16" xfId="0" applyNumberFormat="1" applyFont="1" applyFill="1" applyBorder="1" applyAlignment="1" applyProtection="1">
      <alignment vertical="top"/>
      <protection locked="0"/>
    </xf>
    <xf numFmtId="41" fontId="47" fillId="8" borderId="17" xfId="0" applyNumberFormat="1" applyFont="1" applyFill="1" applyBorder="1" applyAlignment="1">
      <alignment vertical="top"/>
    </xf>
    <xf numFmtId="41" fontId="47" fillId="15" borderId="18" xfId="0" applyNumberFormat="1" applyFont="1" applyFill="1" applyBorder="1" applyAlignment="1">
      <alignment vertical="top"/>
    </xf>
    <xf numFmtId="41" fontId="76" fillId="8" borderId="59" xfId="0" applyNumberFormat="1" applyFont="1" applyFill="1" applyBorder="1" applyAlignment="1">
      <alignment vertical="top"/>
    </xf>
    <xf numFmtId="0" fontId="47" fillId="0" borderId="0" xfId="0" applyFont="1" applyAlignment="1" applyProtection="1">
      <alignment vertical="top"/>
      <protection locked="0"/>
    </xf>
    <xf numFmtId="49" fontId="30" fillId="5" borderId="68" xfId="0" applyNumberFormat="1" applyFont="1" applyFill="1" applyBorder="1" applyAlignment="1">
      <alignment vertical="top"/>
    </xf>
    <xf numFmtId="49" fontId="30" fillId="3" borderId="59" xfId="0" applyNumberFormat="1" applyFont="1" applyFill="1" applyBorder="1" applyAlignment="1">
      <alignment vertical="top"/>
    </xf>
    <xf numFmtId="3" fontId="6" fillId="2" borderId="1" xfId="0" applyNumberFormat="1" applyFont="1" applyFill="1" applyBorder="1" applyAlignment="1" applyProtection="1">
      <alignment horizontal="center" wrapText="1"/>
      <protection locked="0"/>
    </xf>
    <xf numFmtId="168" fontId="8" fillId="4" borderId="2" xfId="2" applyNumberFormat="1" applyFont="1" applyFill="1" applyBorder="1" applyAlignment="1">
      <alignment vertical="top"/>
    </xf>
    <xf numFmtId="0" fontId="8" fillId="5" borderId="16" xfId="0" applyFont="1" applyFill="1" applyBorder="1" applyAlignment="1" applyProtection="1">
      <alignment horizontal="left" vertical="top"/>
      <protection locked="0"/>
    </xf>
    <xf numFmtId="43" fontId="8" fillId="7" borderId="17" xfId="0" applyNumberFormat="1" applyFont="1" applyFill="1" applyBorder="1" applyAlignment="1" applyProtection="1">
      <alignment vertical="top"/>
      <protection locked="0"/>
    </xf>
    <xf numFmtId="0" fontId="78" fillId="0" borderId="0" xfId="0" applyFont="1" applyAlignment="1">
      <alignment vertical="center"/>
    </xf>
    <xf numFmtId="0" fontId="79" fillId="0" borderId="0" xfId="0" applyFont="1" applyAlignment="1">
      <alignment vertical="center"/>
    </xf>
    <xf numFmtId="0" fontId="80" fillId="0" borderId="0" xfId="0" applyFont="1" applyAlignment="1">
      <alignment vertical="center"/>
    </xf>
    <xf numFmtId="0" fontId="81" fillId="0" borderId="0" xfId="0" applyFont="1" applyAlignment="1">
      <alignment vertical="center"/>
    </xf>
    <xf numFmtId="0" fontId="81" fillId="0" borderId="0" xfId="0" applyFont="1" applyAlignment="1">
      <alignment horizontal="right" vertical="center"/>
    </xf>
    <xf numFmtId="0" fontId="82" fillId="0" borderId="0" xfId="0" applyFont="1" applyAlignment="1">
      <alignment vertical="center"/>
    </xf>
    <xf numFmtId="14" fontId="81" fillId="0" borderId="0" xfId="0" applyNumberFormat="1" applyFont="1" applyAlignment="1">
      <alignment horizontal="right" vertical="center"/>
    </xf>
    <xf numFmtId="0" fontId="78" fillId="0" borderId="0" xfId="0" applyFont="1" applyAlignment="1">
      <alignment horizontal="left" vertical="center"/>
    </xf>
    <xf numFmtId="14" fontId="81" fillId="29" borderId="0" xfId="0" applyNumberFormat="1" applyFont="1" applyFill="1" applyAlignment="1">
      <alignment horizontal="right" vertical="center"/>
    </xf>
    <xf numFmtId="0" fontId="78" fillId="29" borderId="0" xfId="0" applyFont="1" applyFill="1" applyAlignment="1">
      <alignment horizontal="left" vertical="center"/>
    </xf>
    <xf numFmtId="2" fontId="81" fillId="0" borderId="0" xfId="0" applyNumberFormat="1" applyFont="1" applyAlignment="1">
      <alignment horizontal="right" vertical="center"/>
    </xf>
    <xf numFmtId="0" fontId="83" fillId="0" borderId="0" xfId="0" applyFont="1" applyAlignment="1">
      <alignment vertical="center"/>
    </xf>
    <xf numFmtId="1" fontId="81" fillId="0" borderId="0" xfId="0" applyNumberFormat="1" applyFont="1" applyAlignment="1">
      <alignment horizontal="right" vertical="center"/>
    </xf>
    <xf numFmtId="0" fontId="77" fillId="0" borderId="0" xfId="0" applyFont="1" applyAlignment="1">
      <alignment horizontal="right" vertical="center"/>
    </xf>
    <xf numFmtId="168" fontId="81" fillId="0" borderId="0" xfId="2" applyNumberFormat="1" applyFont="1" applyAlignment="1">
      <alignment horizontal="right" vertical="center"/>
    </xf>
    <xf numFmtId="168" fontId="81" fillId="0" borderId="0" xfId="2" applyNumberFormat="1" applyFont="1" applyAlignment="1">
      <alignment vertical="center"/>
    </xf>
    <xf numFmtId="0" fontId="81" fillId="14" borderId="0" xfId="0" applyFont="1" applyFill="1" applyAlignment="1">
      <alignment vertical="center"/>
    </xf>
    <xf numFmtId="167" fontId="77" fillId="14" borderId="0" xfId="1" applyNumberFormat="1" applyFont="1" applyFill="1" applyAlignment="1">
      <alignment horizontal="right" vertical="center"/>
    </xf>
    <xf numFmtId="167" fontId="77" fillId="14" borderId="0" xfId="0" applyNumberFormat="1" applyFont="1" applyFill="1" applyAlignment="1">
      <alignment vertical="center"/>
    </xf>
    <xf numFmtId="0" fontId="81" fillId="5" borderId="0" xfId="0" applyFont="1" applyFill="1" applyAlignment="1">
      <alignment vertical="center"/>
    </xf>
    <xf numFmtId="171" fontId="84" fillId="5" borderId="0" xfId="3" applyNumberFormat="1" applyFont="1" applyFill="1" applyAlignment="1">
      <alignment vertical="center"/>
    </xf>
    <xf numFmtId="0" fontId="84" fillId="0" borderId="0" xfId="0" applyFont="1" applyAlignment="1">
      <alignment vertical="center"/>
    </xf>
    <xf numFmtId="0" fontId="82" fillId="0" borderId="0" xfId="0" applyFont="1" applyAlignment="1">
      <alignment horizontal="right" vertical="center"/>
    </xf>
    <xf numFmtId="167" fontId="49" fillId="0" borderId="0" xfId="0" applyNumberFormat="1" applyFont="1" applyAlignment="1">
      <alignment vertical="center"/>
    </xf>
    <xf numFmtId="41" fontId="53" fillId="3" borderId="17" xfId="0" applyNumberFormat="1" applyFont="1" applyFill="1" applyBorder="1" applyAlignment="1">
      <alignment horizontal="center" vertical="top"/>
    </xf>
    <xf numFmtId="41" fontId="53" fillId="5" borderId="17" xfId="0" applyNumberFormat="1" applyFont="1" applyFill="1" applyBorder="1" applyAlignment="1">
      <alignment horizontal="center" vertical="top"/>
    </xf>
    <xf numFmtId="168" fontId="5" fillId="0" borderId="0" xfId="2" applyNumberFormat="1" applyFont="1" applyAlignment="1" applyProtection="1">
      <alignment vertical="top" wrapText="1"/>
      <protection locked="0"/>
    </xf>
    <xf numFmtId="167" fontId="5" fillId="0" borderId="0" xfId="0" applyNumberFormat="1" applyFont="1" applyAlignment="1" applyProtection="1">
      <alignment vertical="top" wrapText="1"/>
      <protection locked="0"/>
    </xf>
    <xf numFmtId="167" fontId="5" fillId="0" borderId="0" xfId="2" applyNumberFormat="1" applyFont="1" applyAlignment="1" applyProtection="1">
      <alignment vertical="top" wrapText="1"/>
      <protection locked="0"/>
    </xf>
    <xf numFmtId="42" fontId="0" fillId="0" borderId="0" xfId="0" applyNumberFormat="1"/>
    <xf numFmtId="0" fontId="85" fillId="0" borderId="0" xfId="0" applyFont="1"/>
    <xf numFmtId="0" fontId="4" fillId="10" borderId="22" xfId="0" applyFont="1" applyFill="1" applyBorder="1" applyAlignment="1" applyProtection="1">
      <alignment vertical="top" wrapText="1"/>
      <protection locked="0"/>
    </xf>
    <xf numFmtId="168" fontId="49" fillId="0" borderId="0" xfId="2" applyNumberFormat="1" applyFont="1"/>
    <xf numFmtId="41" fontId="8" fillId="31" borderId="18" xfId="0" applyNumberFormat="1" applyFont="1" applyFill="1" applyBorder="1" applyAlignment="1">
      <alignment vertical="top"/>
    </xf>
    <xf numFmtId="43" fontId="5" fillId="0" borderId="0" xfId="2" applyFont="1" applyAlignment="1" applyProtection="1">
      <alignment vertical="top"/>
      <protection locked="0"/>
    </xf>
    <xf numFmtId="168" fontId="8" fillId="0" borderId="0" xfId="0" applyNumberFormat="1" applyFont="1" applyAlignment="1" applyProtection="1">
      <alignment vertical="top"/>
      <protection locked="0"/>
    </xf>
    <xf numFmtId="41" fontId="8" fillId="0" borderId="0" xfId="0" applyNumberFormat="1" applyFont="1" applyAlignment="1" applyProtection="1">
      <alignment vertical="top"/>
      <protection locked="0"/>
    </xf>
    <xf numFmtId="168" fontId="8" fillId="0" borderId="0" xfId="2" applyNumberFormat="1" applyFont="1" applyAlignment="1" applyProtection="1">
      <alignment vertical="top"/>
      <protection locked="0"/>
    </xf>
    <xf numFmtId="3" fontId="8" fillId="0" borderId="0" xfId="0" applyNumberFormat="1" applyFont="1" applyAlignment="1" applyProtection="1">
      <alignment vertical="top"/>
      <protection locked="0"/>
    </xf>
    <xf numFmtId="43" fontId="8" fillId="0" borderId="0" xfId="0" applyNumberFormat="1" applyFont="1" applyAlignment="1" applyProtection="1">
      <alignment vertical="top"/>
      <protection locked="0"/>
    </xf>
    <xf numFmtId="164" fontId="8" fillId="14" borderId="17" xfId="0" applyNumberFormat="1" applyFont="1" applyFill="1" applyBorder="1" applyAlignment="1" applyProtection="1">
      <alignment horizontal="left" vertical="top"/>
      <protection locked="0"/>
    </xf>
    <xf numFmtId="168" fontId="55" fillId="0" borderId="0" xfId="0" applyNumberFormat="1" applyFont="1" applyAlignment="1" applyProtection="1">
      <alignment vertical="top"/>
      <protection locked="0"/>
    </xf>
    <xf numFmtId="168" fontId="5" fillId="0" borderId="0" xfId="2" applyNumberFormat="1" applyFont="1" applyAlignment="1" applyProtection="1">
      <alignment vertical="top"/>
      <protection locked="0"/>
    </xf>
    <xf numFmtId="166" fontId="5" fillId="0" borderId="0" xfId="0" applyNumberFormat="1" applyFont="1" applyAlignment="1" applyProtection="1">
      <alignment vertical="top"/>
      <protection locked="0"/>
    </xf>
    <xf numFmtId="41" fontId="53" fillId="4" borderId="59" xfId="0" applyNumberFormat="1" applyFont="1" applyFill="1" applyBorder="1" applyAlignment="1">
      <alignment vertical="top"/>
    </xf>
    <xf numFmtId="0" fontId="86" fillId="0" borderId="0" xfId="0" applyFont="1"/>
    <xf numFmtId="9" fontId="5" fillId="0" borderId="0" xfId="0" applyNumberFormat="1" applyFont="1" applyAlignment="1" applyProtection="1">
      <alignment vertical="top"/>
      <protection locked="0"/>
    </xf>
    <xf numFmtId="0" fontId="0" fillId="0" borderId="0" xfId="0" applyAlignment="1">
      <alignment horizontal="left" vertical="center" indent="1"/>
    </xf>
    <xf numFmtId="0" fontId="0" fillId="0" borderId="0" xfId="0" applyAlignment="1">
      <alignment horizontal="left" vertical="center" indent="2"/>
    </xf>
    <xf numFmtId="0" fontId="87" fillId="0" borderId="0" xfId="0" applyFont="1"/>
    <xf numFmtId="0" fontId="88" fillId="0" borderId="2" xfId="0" applyFont="1" applyBorder="1" applyAlignment="1" applyProtection="1">
      <alignment horizontal="left" vertical="top"/>
      <protection locked="0"/>
    </xf>
    <xf numFmtId="0" fontId="88" fillId="11" borderId="2" xfId="0" applyFont="1" applyFill="1" applyBorder="1" applyAlignment="1" applyProtection="1">
      <alignment horizontal="center" vertical="top"/>
      <protection locked="0"/>
    </xf>
    <xf numFmtId="0" fontId="88" fillId="2" borderId="2" xfId="0" applyFont="1" applyFill="1" applyBorder="1" applyAlignment="1" applyProtection="1">
      <alignment horizontal="left" vertical="top"/>
      <protection locked="0"/>
    </xf>
    <xf numFmtId="168" fontId="89" fillId="2" borderId="2" xfId="2" applyNumberFormat="1" applyFont="1" applyFill="1" applyBorder="1" applyAlignment="1" applyProtection="1">
      <alignment horizontal="center" vertical="top"/>
      <protection locked="0"/>
    </xf>
    <xf numFmtId="177" fontId="88" fillId="4" borderId="2" xfId="2" applyNumberFormat="1" applyFont="1" applyFill="1" applyBorder="1" applyAlignment="1" applyProtection="1">
      <alignment horizontal="center" vertical="top"/>
    </xf>
    <xf numFmtId="168" fontId="88" fillId="2" borderId="2" xfId="2" applyNumberFormat="1" applyFont="1" applyFill="1" applyBorder="1" applyAlignment="1">
      <alignment vertical="top"/>
    </xf>
    <xf numFmtId="0" fontId="88" fillId="4" borderId="25" xfId="0" applyFont="1" applyFill="1" applyBorder="1" applyAlignment="1">
      <alignment vertical="top"/>
    </xf>
    <xf numFmtId="0" fontId="88" fillId="7" borderId="17" xfId="0" applyFont="1" applyFill="1" applyBorder="1" applyAlignment="1" applyProtection="1">
      <alignment vertical="top"/>
      <protection locked="0"/>
    </xf>
    <xf numFmtId="43" fontId="88" fillId="7" borderId="17" xfId="0" applyNumberFormat="1" applyFont="1" applyFill="1" applyBorder="1" applyAlignment="1" applyProtection="1">
      <alignment vertical="top"/>
      <protection locked="0"/>
    </xf>
    <xf numFmtId="41" fontId="88" fillId="4" borderId="17" xfId="0" applyNumberFormat="1" applyFont="1" applyFill="1" applyBorder="1" applyAlignment="1">
      <alignment vertical="top"/>
    </xf>
    <xf numFmtId="168" fontId="88" fillId="17" borderId="18" xfId="2" applyNumberFormat="1" applyFont="1" applyFill="1" applyBorder="1" applyAlignment="1">
      <alignment vertical="top"/>
    </xf>
    <xf numFmtId="41" fontId="90" fillId="4" borderId="59" xfId="0" applyNumberFormat="1" applyFont="1" applyFill="1" applyBorder="1" applyAlignment="1">
      <alignment vertical="top"/>
    </xf>
    <xf numFmtId="0" fontId="88" fillId="3" borderId="16" xfId="0" applyFont="1" applyFill="1" applyBorder="1" applyAlignment="1" applyProtection="1">
      <alignment vertical="top"/>
      <protection locked="0"/>
    </xf>
    <xf numFmtId="170" fontId="88" fillId="32" borderId="17" xfId="0" applyNumberFormat="1" applyFont="1" applyFill="1" applyBorder="1" applyAlignment="1" applyProtection="1">
      <alignment vertical="top"/>
      <protection locked="0"/>
    </xf>
    <xf numFmtId="43" fontId="88" fillId="10" borderId="17" xfId="0" applyNumberFormat="1" applyFont="1" applyFill="1" applyBorder="1" applyAlignment="1" applyProtection="1">
      <alignment vertical="top"/>
      <protection locked="0"/>
    </xf>
    <xf numFmtId="41" fontId="88" fillId="3" borderId="17" xfId="0" applyNumberFormat="1" applyFont="1" applyFill="1" applyBorder="1" applyAlignment="1">
      <alignment vertical="top"/>
    </xf>
    <xf numFmtId="41" fontId="88" fillId="10" borderId="18" xfId="0" applyNumberFormat="1" applyFont="1" applyFill="1" applyBorder="1" applyAlignment="1">
      <alignment vertical="top"/>
    </xf>
    <xf numFmtId="41" fontId="90" fillId="3" borderId="59" xfId="0" applyNumberFormat="1" applyFont="1" applyFill="1" applyBorder="1" applyAlignment="1">
      <alignment vertical="top"/>
    </xf>
    <xf numFmtId="0" fontId="88" fillId="5" borderId="16" xfId="0" applyFont="1" applyFill="1" applyBorder="1" applyAlignment="1" applyProtection="1">
      <alignment vertical="top"/>
      <protection locked="0"/>
    </xf>
    <xf numFmtId="43" fontId="88" fillId="14" borderId="17" xfId="0" applyNumberFormat="1" applyFont="1" applyFill="1" applyBorder="1" applyAlignment="1" applyProtection="1">
      <alignment horizontal="right" vertical="top"/>
      <protection locked="0"/>
    </xf>
    <xf numFmtId="41" fontId="88" fillId="5" borderId="17" xfId="0" applyNumberFormat="1" applyFont="1" applyFill="1" applyBorder="1" applyAlignment="1">
      <alignment vertical="top"/>
    </xf>
    <xf numFmtId="41" fontId="88" fillId="14" borderId="18" xfId="0" applyNumberFormat="1" applyFont="1" applyFill="1" applyBorder="1" applyAlignment="1">
      <alignment vertical="top"/>
    </xf>
    <xf numFmtId="41" fontId="90" fillId="5" borderId="59" xfId="0" applyNumberFormat="1" applyFont="1" applyFill="1" applyBorder="1" applyAlignment="1">
      <alignment vertical="top"/>
    </xf>
    <xf numFmtId="43" fontId="88" fillId="8" borderId="16" xfId="0" applyNumberFormat="1" applyFont="1" applyFill="1" applyBorder="1" applyAlignment="1" applyProtection="1">
      <alignment vertical="top"/>
      <protection locked="0"/>
    </xf>
    <xf numFmtId="41" fontId="88" fillId="8" borderId="17" xfId="0" applyNumberFormat="1" applyFont="1" applyFill="1" applyBorder="1" applyAlignment="1">
      <alignment vertical="top"/>
    </xf>
    <xf numFmtId="41" fontId="90" fillId="8" borderId="59" xfId="0" applyNumberFormat="1" applyFont="1" applyFill="1" applyBorder="1" applyAlignment="1">
      <alignment vertical="top"/>
    </xf>
    <xf numFmtId="0" fontId="88" fillId="0" borderId="0" xfId="0" applyFont="1" applyAlignment="1" applyProtection="1">
      <alignment vertical="top"/>
      <protection locked="0"/>
    </xf>
    <xf numFmtId="170" fontId="88" fillId="32" borderId="17" xfId="0" applyNumberFormat="1" applyFont="1" applyFill="1" applyBorder="1" applyAlignment="1" applyProtection="1">
      <alignment horizontal="right" vertical="top"/>
      <protection locked="0"/>
    </xf>
    <xf numFmtId="0" fontId="0" fillId="0" borderId="0" xfId="0" applyAlignment="1">
      <alignment horizontal="right" wrapText="1"/>
    </xf>
    <xf numFmtId="167" fontId="49" fillId="0" borderId="0" xfId="0" applyNumberFormat="1" applyFont="1"/>
    <xf numFmtId="3" fontId="0" fillId="0" borderId="0" xfId="0" applyNumberFormat="1"/>
    <xf numFmtId="3" fontId="49" fillId="0" borderId="0" xfId="0" applyNumberFormat="1" applyFont="1"/>
    <xf numFmtId="164" fontId="7" fillId="10" borderId="17" xfId="0" applyNumberFormat="1" applyFont="1" applyFill="1" applyBorder="1" applyAlignment="1" applyProtection="1">
      <alignment vertical="top"/>
      <protection locked="0"/>
    </xf>
    <xf numFmtId="164" fontId="8" fillId="10" borderId="17" xfId="0" applyNumberFormat="1" applyFont="1" applyFill="1" applyBorder="1" applyAlignment="1" applyProtection="1">
      <alignment vertical="top"/>
      <protection locked="0"/>
    </xf>
    <xf numFmtId="43" fontId="5" fillId="31" borderId="17" xfId="0" applyNumberFormat="1" applyFont="1" applyFill="1" applyBorder="1" applyAlignment="1" applyProtection="1">
      <alignment horizontal="right" vertical="top"/>
      <protection locked="0"/>
    </xf>
    <xf numFmtId="6" fontId="5" fillId="14" borderId="17" xfId="0" applyNumberFormat="1" applyFont="1" applyFill="1" applyBorder="1" applyAlignment="1" applyProtection="1">
      <alignment horizontal="right" vertical="top"/>
      <protection locked="0"/>
    </xf>
    <xf numFmtId="0" fontId="8" fillId="31" borderId="16" xfId="0" applyFont="1" applyFill="1" applyBorder="1" applyAlignment="1" applyProtection="1">
      <alignment vertical="top"/>
      <protection locked="0"/>
    </xf>
    <xf numFmtId="0" fontId="8" fillId="31" borderId="16" xfId="0" applyFont="1" applyFill="1" applyBorder="1" applyAlignment="1" applyProtection="1">
      <alignment horizontal="left" vertical="top" indent="1"/>
      <protection locked="0"/>
    </xf>
    <xf numFmtId="170" fontId="8" fillId="31" borderId="17" xfId="0" applyNumberFormat="1" applyFont="1" applyFill="1" applyBorder="1" applyAlignment="1" applyProtection="1">
      <alignment vertical="top"/>
      <protection locked="0"/>
    </xf>
    <xf numFmtId="43" fontId="61" fillId="31" borderId="17" xfId="0" applyNumberFormat="1" applyFont="1" applyFill="1" applyBorder="1" applyAlignment="1" applyProtection="1">
      <alignment vertical="top"/>
      <protection locked="0"/>
    </xf>
    <xf numFmtId="41" fontId="8" fillId="31" borderId="17" xfId="0" applyNumberFormat="1" applyFont="1" applyFill="1" applyBorder="1" applyAlignment="1">
      <alignment vertical="top"/>
    </xf>
    <xf numFmtId="43" fontId="0" fillId="0" borderId="0" xfId="2" applyFont="1"/>
    <xf numFmtId="43" fontId="8" fillId="31" borderId="17" xfId="0" applyNumberFormat="1" applyFont="1" applyFill="1" applyBorder="1" applyAlignment="1" applyProtection="1">
      <alignment vertical="top"/>
      <protection locked="0"/>
    </xf>
    <xf numFmtId="43" fontId="61" fillId="31" borderId="17" xfId="0" applyNumberFormat="1" applyFont="1" applyFill="1" applyBorder="1" applyAlignment="1" applyProtection="1">
      <alignment horizontal="right" vertical="top"/>
      <protection locked="0"/>
    </xf>
    <xf numFmtId="182" fontId="49" fillId="0" borderId="0" xfId="0" applyNumberFormat="1" applyFont="1"/>
    <xf numFmtId="168" fontId="5" fillId="0" borderId="0" xfId="0" applyNumberFormat="1" applyFont="1" applyAlignment="1" applyProtection="1">
      <alignment vertical="top"/>
      <protection locked="0"/>
    </xf>
    <xf numFmtId="168" fontId="0" fillId="0" borderId="0" xfId="2" applyNumberFormat="1" applyFont="1"/>
    <xf numFmtId="168" fontId="0" fillId="0" borderId="0" xfId="0" applyNumberFormat="1"/>
    <xf numFmtId="0" fontId="48" fillId="5" borderId="0" xfId="0" applyFont="1" applyFill="1"/>
    <xf numFmtId="42" fontId="48" fillId="5" borderId="0" xfId="0" applyNumberFormat="1" applyFont="1" applyFill="1"/>
    <xf numFmtId="43" fontId="8" fillId="6" borderId="16" xfId="0" applyNumberFormat="1" applyFont="1" applyFill="1" applyBorder="1" applyAlignment="1" applyProtection="1">
      <alignment vertical="top"/>
      <protection locked="0"/>
    </xf>
    <xf numFmtId="43" fontId="8" fillId="6" borderId="17" xfId="0" applyNumberFormat="1" applyFont="1" applyFill="1" applyBorder="1" applyAlignment="1" applyProtection="1">
      <alignment horizontal="right" vertical="top"/>
      <protection locked="0"/>
    </xf>
    <xf numFmtId="43" fontId="5" fillId="6" borderId="19" xfId="0" applyNumberFormat="1" applyFont="1" applyFill="1" applyBorder="1" applyAlignment="1" applyProtection="1">
      <alignment vertical="top"/>
      <protection locked="0"/>
    </xf>
    <xf numFmtId="43" fontId="5" fillId="6" borderId="20" xfId="0" applyNumberFormat="1" applyFont="1" applyFill="1" applyBorder="1" applyAlignment="1" applyProtection="1">
      <alignment vertical="top"/>
      <protection locked="0"/>
    </xf>
    <xf numFmtId="43" fontId="5" fillId="6" borderId="21" xfId="0" applyNumberFormat="1" applyFont="1" applyFill="1" applyBorder="1" applyAlignment="1" applyProtection="1">
      <alignment vertical="top"/>
      <protection locked="0"/>
    </xf>
    <xf numFmtId="0" fontId="5" fillId="13" borderId="16" xfId="0" applyFont="1" applyFill="1" applyBorder="1" applyAlignment="1" applyProtection="1">
      <alignment horizontal="center" vertical="top" wrapText="1"/>
      <protection locked="0"/>
    </xf>
    <xf numFmtId="0" fontId="56" fillId="13" borderId="16" xfId="0" applyFont="1" applyFill="1" applyBorder="1" applyAlignment="1" applyProtection="1">
      <alignment vertical="top" wrapText="1"/>
      <protection locked="0"/>
    </xf>
    <xf numFmtId="172" fontId="5" fillId="13" borderId="16" xfId="0" applyNumberFormat="1" applyFont="1" applyFill="1" applyBorder="1" applyAlignment="1">
      <alignment horizontal="left" vertical="top"/>
    </xf>
    <xf numFmtId="0" fontId="5" fillId="13" borderId="22" xfId="0" applyFont="1" applyFill="1" applyBorder="1" applyAlignment="1" applyProtection="1">
      <alignment horizontal="center" vertical="top" wrapText="1"/>
      <protection locked="0"/>
    </xf>
    <xf numFmtId="0" fontId="5" fillId="13" borderId="22" xfId="0" applyFont="1" applyFill="1" applyBorder="1" applyAlignment="1" applyProtection="1">
      <alignment vertical="top"/>
      <protection locked="0"/>
    </xf>
    <xf numFmtId="171" fontId="5" fillId="13" borderId="17" xfId="3" applyNumberFormat="1" applyFont="1" applyFill="1" applyBorder="1" applyAlignment="1" applyProtection="1">
      <alignment vertical="top"/>
    </xf>
    <xf numFmtId="171" fontId="5" fillId="13" borderId="18" xfId="3" applyNumberFormat="1" applyFont="1" applyFill="1" applyBorder="1" applyAlignment="1" applyProtection="1">
      <alignment vertical="top"/>
    </xf>
    <xf numFmtId="0" fontId="4" fillId="13" borderId="16" xfId="0" applyFont="1" applyFill="1" applyBorder="1" applyAlignment="1" applyProtection="1">
      <alignment horizontal="center" vertical="top" wrapText="1"/>
      <protection locked="0"/>
    </xf>
    <xf numFmtId="0" fontId="37" fillId="13" borderId="16" xfId="0" applyFont="1" applyFill="1" applyBorder="1" applyAlignment="1" applyProtection="1">
      <alignment vertical="top" wrapText="1"/>
      <protection locked="0"/>
    </xf>
    <xf numFmtId="172" fontId="4" fillId="13" borderId="16" xfId="0" applyNumberFormat="1" applyFont="1" applyFill="1" applyBorder="1" applyAlignment="1">
      <alignment horizontal="left" vertical="top"/>
    </xf>
    <xf numFmtId="0" fontId="4" fillId="13" borderId="22" xfId="0" applyFont="1" applyFill="1" applyBorder="1" applyAlignment="1" applyProtection="1">
      <alignment horizontal="center" vertical="top" wrapText="1"/>
      <protection locked="0"/>
    </xf>
    <xf numFmtId="0" fontId="4" fillId="13" borderId="22" xfId="0" applyFont="1" applyFill="1" applyBorder="1" applyAlignment="1" applyProtection="1">
      <alignment vertical="top" wrapText="1"/>
      <protection locked="0"/>
    </xf>
    <xf numFmtId="171" fontId="4" fillId="13" borderId="17" xfId="3" applyNumberFormat="1" applyFont="1" applyFill="1" applyBorder="1" applyAlignment="1" applyProtection="1">
      <alignment vertical="top"/>
    </xf>
    <xf numFmtId="171" fontId="4" fillId="13" borderId="18" xfId="3" applyNumberFormat="1" applyFont="1" applyFill="1" applyBorder="1" applyAlignment="1" applyProtection="1">
      <alignment vertical="top"/>
    </xf>
    <xf numFmtId="43" fontId="8" fillId="8" borderId="16" xfId="0" applyNumberFormat="1" applyFont="1" applyFill="1" applyBorder="1" applyAlignment="1" applyProtection="1">
      <alignment horizontal="left" vertical="top" indent="1"/>
      <protection locked="0"/>
    </xf>
    <xf numFmtId="41" fontId="61" fillId="5" borderId="0" xfId="0" applyNumberFormat="1" applyFont="1" applyFill="1" applyAlignment="1" applyProtection="1">
      <alignment vertical="top"/>
      <protection locked="0"/>
    </xf>
    <xf numFmtId="41" fontId="61" fillId="29" borderId="0" xfId="0" applyNumberFormat="1" applyFont="1" applyFill="1" applyAlignment="1" applyProtection="1">
      <alignment vertical="top"/>
      <protection locked="0"/>
    </xf>
    <xf numFmtId="41" fontId="61" fillId="0" borderId="0" xfId="0" applyNumberFormat="1" applyFont="1" applyAlignment="1" applyProtection="1">
      <alignment horizontal="centerContinuous" vertical="top"/>
      <protection locked="0"/>
    </xf>
    <xf numFmtId="0" fontId="62" fillId="8" borderId="12" xfId="0" applyFont="1" applyFill="1" applyBorder="1" applyAlignment="1">
      <alignment horizontal="center" vertical="center" wrapText="1"/>
    </xf>
    <xf numFmtId="0" fontId="62" fillId="8" borderId="9" xfId="0" applyFont="1" applyFill="1" applyBorder="1" applyAlignment="1">
      <alignment horizontal="center" vertical="top" wrapText="1"/>
    </xf>
    <xf numFmtId="41" fontId="62" fillId="8" borderId="1" xfId="0" applyNumberFormat="1" applyFont="1" applyFill="1" applyBorder="1" applyAlignment="1" applyProtection="1">
      <alignment horizontal="center" wrapText="1"/>
      <protection locked="0"/>
    </xf>
    <xf numFmtId="41" fontId="61" fillId="6" borderId="1" xfId="0" applyNumberFormat="1" applyFont="1" applyFill="1" applyBorder="1" applyAlignment="1" applyProtection="1">
      <alignment vertical="top"/>
      <protection locked="0"/>
    </xf>
    <xf numFmtId="41" fontId="66" fillId="8" borderId="0" xfId="0" applyNumberFormat="1" applyFont="1" applyFill="1" applyAlignment="1">
      <alignment vertical="top"/>
    </xf>
    <xf numFmtId="41" fontId="66" fillId="8" borderId="59" xfId="0" applyNumberFormat="1" applyFont="1" applyFill="1" applyBorder="1" applyAlignment="1">
      <alignment vertical="top"/>
    </xf>
    <xf numFmtId="41" fontId="66" fillId="8" borderId="59" xfId="0" applyNumberFormat="1" applyFont="1" applyFill="1" applyBorder="1" applyAlignment="1" applyProtection="1">
      <alignment vertical="top"/>
      <protection locked="0"/>
    </xf>
    <xf numFmtId="41" fontId="67" fillId="8" borderId="59" xfId="0" applyNumberFormat="1" applyFont="1" applyFill="1" applyBorder="1" applyAlignment="1">
      <alignment vertical="top"/>
    </xf>
    <xf numFmtId="41" fontId="66" fillId="8" borderId="61" xfId="0" applyNumberFormat="1" applyFont="1" applyFill="1" applyBorder="1" applyAlignment="1">
      <alignment vertical="top"/>
    </xf>
    <xf numFmtId="41" fontId="66" fillId="6" borderId="59" xfId="0" applyNumberFormat="1" applyFont="1" applyFill="1" applyBorder="1" applyAlignment="1">
      <alignment vertical="top"/>
    </xf>
    <xf numFmtId="41" fontId="66" fillId="6" borderId="60" xfId="0" applyNumberFormat="1" applyFont="1" applyFill="1" applyBorder="1" applyAlignment="1" applyProtection="1">
      <alignment vertical="top"/>
      <protection locked="0"/>
    </xf>
    <xf numFmtId="167" fontId="66" fillId="8" borderId="59" xfId="1" applyNumberFormat="1" applyFont="1" applyFill="1" applyBorder="1" applyAlignment="1">
      <alignment vertical="center"/>
    </xf>
    <xf numFmtId="41" fontId="61" fillId="0" borderId="0" xfId="0" applyNumberFormat="1" applyFont="1" applyAlignment="1" applyProtection="1">
      <alignment vertical="top"/>
      <protection locked="0"/>
    </xf>
    <xf numFmtId="41" fontId="67" fillId="8" borderId="1" xfId="0" applyNumberFormat="1" applyFont="1" applyFill="1" applyBorder="1" applyAlignment="1" applyProtection="1">
      <alignment horizontal="center" wrapText="1"/>
      <protection locked="0"/>
    </xf>
    <xf numFmtId="44" fontId="4" fillId="15" borderId="17" xfId="0" applyNumberFormat="1" applyFont="1" applyFill="1" applyBorder="1" applyAlignment="1" applyProtection="1">
      <alignment vertical="center"/>
      <protection locked="0"/>
    </xf>
    <xf numFmtId="43" fontId="8" fillId="15" borderId="17" xfId="0" applyNumberFormat="1" applyFont="1" applyFill="1" applyBorder="1" applyAlignment="1" applyProtection="1">
      <alignment horizontal="right" vertical="top"/>
      <protection locked="0"/>
    </xf>
    <xf numFmtId="43" fontId="6" fillId="15" borderId="1" xfId="0" applyNumberFormat="1" applyFont="1" applyFill="1" applyBorder="1" applyAlignment="1" applyProtection="1">
      <alignment horizontal="center" wrapText="1"/>
      <protection locked="0"/>
    </xf>
    <xf numFmtId="43" fontId="4" fillId="15" borderId="14" xfId="0" applyNumberFormat="1" applyFont="1" applyFill="1" applyBorder="1" applyAlignment="1" applyProtection="1">
      <alignment vertical="top"/>
      <protection locked="0"/>
    </xf>
    <xf numFmtId="43" fontId="2" fillId="15" borderId="17" xfId="0" applyNumberFormat="1" applyFont="1" applyFill="1" applyBorder="1" applyAlignment="1" applyProtection="1">
      <alignment vertical="top"/>
      <protection locked="0"/>
    </xf>
    <xf numFmtId="43" fontId="5" fillId="15" borderId="17" xfId="0" applyNumberFormat="1" applyFont="1" applyFill="1" applyBorder="1" applyAlignment="1" applyProtection="1">
      <alignment vertical="top"/>
      <protection locked="0"/>
    </xf>
    <xf numFmtId="43" fontId="4" fillId="15" borderId="17" xfId="0" applyNumberFormat="1" applyFont="1" applyFill="1" applyBorder="1" applyAlignment="1" applyProtection="1">
      <alignment vertical="top"/>
      <protection locked="0"/>
    </xf>
    <xf numFmtId="171" fontId="4" fillId="15" borderId="17" xfId="3" applyNumberFormat="1" applyFont="1" applyFill="1" applyBorder="1" applyAlignment="1" applyProtection="1">
      <alignment vertical="top"/>
      <protection locked="0"/>
    </xf>
    <xf numFmtId="43" fontId="8" fillId="15" borderId="17" xfId="0" applyNumberFormat="1" applyFont="1" applyFill="1" applyBorder="1" applyAlignment="1" applyProtection="1">
      <alignment vertical="top"/>
      <protection locked="0"/>
    </xf>
    <xf numFmtId="43" fontId="8" fillId="15" borderId="0" xfId="0" applyNumberFormat="1" applyFont="1" applyFill="1" applyAlignment="1" applyProtection="1">
      <alignment vertical="top"/>
      <protection locked="0"/>
    </xf>
    <xf numFmtId="43" fontId="23" fillId="15" borderId="17" xfId="0" applyNumberFormat="1" applyFont="1" applyFill="1" applyBorder="1" applyAlignment="1" applyProtection="1">
      <alignment vertical="top"/>
      <protection locked="0"/>
    </xf>
    <xf numFmtId="0" fontId="1" fillId="8" borderId="10" xfId="0" applyFont="1" applyFill="1" applyBorder="1" applyAlignment="1">
      <alignment horizontal="center" vertical="center" wrapText="1"/>
    </xf>
    <xf numFmtId="0" fontId="1" fillId="8" borderId="11" xfId="0" applyFont="1" applyFill="1" applyBorder="1" applyAlignment="1">
      <alignment horizontal="center" vertical="top" wrapText="1"/>
    </xf>
    <xf numFmtId="0" fontId="67" fillId="19" borderId="26" xfId="0" applyFont="1" applyFill="1" applyBorder="1" applyAlignment="1" applyProtection="1">
      <alignment horizontal="center" vertical="top"/>
      <protection locked="0"/>
    </xf>
    <xf numFmtId="41" fontId="30" fillId="8" borderId="7" xfId="0" applyNumberFormat="1" applyFont="1" applyFill="1" applyBorder="1" applyAlignment="1">
      <alignment vertical="top"/>
    </xf>
    <xf numFmtId="41" fontId="30" fillId="8" borderId="67" xfId="0" applyNumberFormat="1" applyFont="1" applyFill="1" applyBorder="1" applyAlignment="1">
      <alignment vertical="top"/>
    </xf>
    <xf numFmtId="41" fontId="38" fillId="8" borderId="67" xfId="0" applyNumberFormat="1" applyFont="1" applyFill="1" applyBorder="1" applyAlignment="1" applyProtection="1">
      <alignment vertical="top"/>
      <protection locked="0"/>
    </xf>
    <xf numFmtId="41" fontId="38" fillId="8" borderId="67" xfId="0" applyNumberFormat="1" applyFont="1" applyFill="1" applyBorder="1" applyAlignment="1">
      <alignment vertical="top"/>
    </xf>
    <xf numFmtId="41" fontId="39" fillId="8" borderId="67" xfId="0" applyNumberFormat="1" applyFont="1" applyFill="1" applyBorder="1" applyAlignment="1">
      <alignment vertical="top"/>
    </xf>
    <xf numFmtId="41" fontId="38" fillId="8" borderId="69" xfId="0" applyNumberFormat="1" applyFont="1" applyFill="1" applyBorder="1" applyAlignment="1">
      <alignment vertical="top"/>
    </xf>
    <xf numFmtId="41" fontId="30" fillId="6" borderId="67" xfId="0" applyNumberFormat="1" applyFont="1" applyFill="1" applyBorder="1" applyAlignment="1">
      <alignment vertical="top"/>
    </xf>
    <xf numFmtId="41" fontId="38" fillId="6" borderId="70" xfId="0" applyNumberFormat="1" applyFont="1" applyFill="1" applyBorder="1" applyAlignment="1" applyProtection="1">
      <alignment vertical="top"/>
      <protection locked="0"/>
    </xf>
    <xf numFmtId="167" fontId="38" fillId="8" borderId="67" xfId="1" applyNumberFormat="1" applyFont="1" applyFill="1" applyBorder="1" applyAlignment="1">
      <alignment vertical="center"/>
    </xf>
    <xf numFmtId="3" fontId="23" fillId="2" borderId="1" xfId="0" applyNumberFormat="1" applyFont="1" applyFill="1" applyBorder="1" applyAlignment="1" applyProtection="1">
      <alignment horizontal="center" wrapText="1"/>
      <protection locked="0"/>
    </xf>
    <xf numFmtId="3" fontId="23" fillId="2" borderId="2" xfId="0" applyNumberFormat="1" applyFont="1" applyFill="1" applyBorder="1" applyAlignment="1" applyProtection="1">
      <alignment horizontal="center" wrapText="1"/>
      <protection locked="0"/>
    </xf>
    <xf numFmtId="168" fontId="4" fillId="15" borderId="15" xfId="0" applyNumberFormat="1" applyFont="1" applyFill="1" applyBorder="1" applyAlignment="1">
      <alignment vertical="top"/>
    </xf>
    <xf numFmtId="43" fontId="5" fillId="8" borderId="17" xfId="0" applyNumberFormat="1" applyFont="1" applyFill="1" applyBorder="1" applyAlignment="1" applyProtection="1">
      <alignment horizontal="right" vertical="top"/>
      <protection locked="0"/>
    </xf>
    <xf numFmtId="168" fontId="8" fillId="33" borderId="2" xfId="2" applyNumberFormat="1" applyFont="1" applyFill="1" applyBorder="1" applyAlignment="1">
      <alignment vertical="top"/>
    </xf>
    <xf numFmtId="0" fontId="59" fillId="8" borderId="12" xfId="0" applyFont="1" applyFill="1" applyBorder="1" applyAlignment="1">
      <alignment horizontal="center" vertical="center" wrapText="1"/>
    </xf>
    <xf numFmtId="0" fontId="59" fillId="8" borderId="9" xfId="0" applyFont="1" applyFill="1" applyBorder="1" applyAlignment="1">
      <alignment horizontal="center" vertical="top" wrapText="1"/>
    </xf>
    <xf numFmtId="41" fontId="8" fillId="8" borderId="17" xfId="0" applyNumberFormat="1" applyFont="1" applyFill="1" applyBorder="1" applyAlignment="1">
      <alignment horizontal="right" vertical="top"/>
    </xf>
    <xf numFmtId="43" fontId="47" fillId="15" borderId="17" xfId="0" applyNumberFormat="1" applyFont="1" applyFill="1" applyBorder="1" applyAlignment="1" applyProtection="1">
      <alignment horizontal="right" vertical="top"/>
      <protection locked="0"/>
    </xf>
    <xf numFmtId="43" fontId="88" fillId="15" borderId="17" xfId="0" applyNumberFormat="1" applyFont="1" applyFill="1" applyBorder="1" applyAlignment="1" applyProtection="1">
      <alignment horizontal="right" vertical="top"/>
      <protection locked="0"/>
    </xf>
    <xf numFmtId="41" fontId="23" fillId="8" borderId="17" xfId="0" applyNumberFormat="1" applyFont="1" applyFill="1" applyBorder="1" applyAlignment="1">
      <alignment vertical="top"/>
    </xf>
    <xf numFmtId="43" fontId="23" fillId="15" borderId="17" xfId="0" applyNumberFormat="1" applyFont="1" applyFill="1" applyBorder="1" applyAlignment="1" applyProtection="1">
      <alignment horizontal="right" vertical="top"/>
      <protection locked="0"/>
    </xf>
    <xf numFmtId="0" fontId="48" fillId="5" borderId="0" xfId="0" applyFont="1" applyFill="1" applyAlignment="1">
      <alignment horizontal="right" indent="1"/>
    </xf>
    <xf numFmtId="0" fontId="92" fillId="0" borderId="0" xfId="0" applyFont="1" applyAlignment="1">
      <alignment horizontal="right" indent="1"/>
    </xf>
    <xf numFmtId="42" fontId="92" fillId="0" borderId="0" xfId="0" applyNumberFormat="1" applyFont="1"/>
    <xf numFmtId="0" fontId="92" fillId="0" borderId="0" xfId="0" applyFont="1"/>
    <xf numFmtId="167" fontId="92" fillId="0" borderId="0" xfId="1" applyNumberFormat="1" applyFont="1"/>
    <xf numFmtId="42" fontId="92" fillId="0" borderId="0" xfId="0" applyNumberFormat="1" applyFont="1" applyAlignment="1">
      <alignment horizontal="right"/>
    </xf>
    <xf numFmtId="0" fontId="93" fillId="0" borderId="0" xfId="0" applyFont="1"/>
    <xf numFmtId="167" fontId="5" fillId="5" borderId="0" xfId="0" applyNumberFormat="1" applyFont="1" applyFill="1"/>
    <xf numFmtId="167" fontId="48" fillId="5" borderId="0" xfId="0" applyNumberFormat="1" applyFont="1" applyFill="1"/>
    <xf numFmtId="0" fontId="48" fillId="5" borderId="0" xfId="0" applyFont="1" applyFill="1" applyAlignment="1">
      <alignment horizontal="right"/>
    </xf>
    <xf numFmtId="0" fontId="48" fillId="14" borderId="0" xfId="0" applyFont="1" applyFill="1"/>
    <xf numFmtId="42" fontId="49" fillId="14" borderId="0" xfId="0" applyNumberFormat="1" applyFont="1" applyFill="1"/>
    <xf numFmtId="0" fontId="49" fillId="14" borderId="0" xfId="0" applyFont="1" applyFill="1"/>
    <xf numFmtId="167" fontId="5" fillId="14" borderId="0" xfId="0" applyNumberFormat="1" applyFont="1" applyFill="1"/>
    <xf numFmtId="167" fontId="49" fillId="14" borderId="0" xfId="0" applyNumberFormat="1" applyFont="1" applyFill="1"/>
    <xf numFmtId="41" fontId="92" fillId="0" borderId="0" xfId="0" applyNumberFormat="1" applyFont="1"/>
    <xf numFmtId="42" fontId="95" fillId="34" borderId="0" xfId="0" applyNumberFormat="1" applyFont="1" applyFill="1"/>
    <xf numFmtId="167" fontId="34" fillId="34" borderId="0" xfId="0" applyNumberFormat="1" applyFont="1" applyFill="1"/>
    <xf numFmtId="0" fontId="48" fillId="35" borderId="0" xfId="0" applyFont="1" applyFill="1" applyAlignment="1">
      <alignment horizontal="right"/>
    </xf>
    <xf numFmtId="42" fontId="48" fillId="35" borderId="0" xfId="0" applyNumberFormat="1" applyFont="1" applyFill="1"/>
    <xf numFmtId="0" fontId="49" fillId="35" borderId="0" xfId="0" applyFont="1" applyFill="1"/>
    <xf numFmtId="167" fontId="5" fillId="35" borderId="0" xfId="0" applyNumberFormat="1" applyFont="1" applyFill="1"/>
    <xf numFmtId="0" fontId="48" fillId="35" borderId="0" xfId="0" applyFont="1" applyFill="1" applyAlignment="1">
      <alignment horizontal="right" indent="1"/>
    </xf>
    <xf numFmtId="0" fontId="96" fillId="36" borderId="0" xfId="0" applyFont="1" applyFill="1"/>
    <xf numFmtId="42" fontId="95" fillId="36" borderId="0" xfId="0" applyNumberFormat="1" applyFont="1" applyFill="1"/>
    <xf numFmtId="167" fontId="34" fillId="36" borderId="0" xfId="0" applyNumberFormat="1" applyFont="1" applyFill="1"/>
    <xf numFmtId="167" fontId="95" fillId="36" borderId="0" xfId="0" applyNumberFormat="1" applyFont="1" applyFill="1"/>
    <xf numFmtId="42" fontId="48" fillId="0" borderId="9" xfId="0" applyNumberFormat="1" applyFont="1" applyBorder="1" applyAlignment="1">
      <alignment horizontal="center" wrapText="1"/>
    </xf>
    <xf numFmtId="0" fontId="48" fillId="0" borderId="9" xfId="0" applyFont="1" applyBorder="1" applyAlignment="1">
      <alignment horizontal="center" wrapText="1"/>
    </xf>
    <xf numFmtId="0" fontId="5" fillId="0" borderId="9" xfId="0" applyFont="1" applyBorder="1" applyAlignment="1">
      <alignment horizontal="center" wrapText="1"/>
    </xf>
    <xf numFmtId="0" fontId="49" fillId="0" borderId="9" xfId="0" applyFont="1" applyBorder="1" applyAlignment="1">
      <alignment horizontal="center" wrapText="1"/>
    </xf>
    <xf numFmtId="0" fontId="95" fillId="36" borderId="0" xfId="0" applyFont="1" applyFill="1" applyAlignment="1">
      <alignment horizontal="left" indent="1"/>
    </xf>
    <xf numFmtId="0" fontId="48" fillId="35" borderId="0" xfId="0" applyFont="1" applyFill="1" applyAlignment="1">
      <alignment horizontal="left" indent="1"/>
    </xf>
    <xf numFmtId="0" fontId="48" fillId="0" borderId="9" xfId="0" applyFont="1" applyBorder="1" applyAlignment="1">
      <alignment horizontal="center" vertical="center" wrapText="1"/>
    </xf>
    <xf numFmtId="0" fontId="48" fillId="15" borderId="0" xfId="0" applyFont="1" applyFill="1"/>
    <xf numFmtId="42" fontId="49" fillId="15" borderId="0" xfId="0" applyNumberFormat="1" applyFont="1" applyFill="1"/>
    <xf numFmtId="167" fontId="5" fillId="15" borderId="0" xfId="0" applyNumberFormat="1" applyFont="1" applyFill="1"/>
    <xf numFmtId="167" fontId="49" fillId="15" borderId="0" xfId="0" applyNumberFormat="1" applyFont="1" applyFill="1"/>
    <xf numFmtId="0" fontId="48" fillId="8" borderId="0" xfId="0" applyFont="1" applyFill="1" applyAlignment="1">
      <alignment horizontal="right"/>
    </xf>
    <xf numFmtId="42" fontId="48" fillId="8" borderId="0" xfId="0" applyNumberFormat="1" applyFont="1" applyFill="1"/>
    <xf numFmtId="167" fontId="5" fillId="8" borderId="0" xfId="0" applyNumberFormat="1" applyFont="1" applyFill="1"/>
    <xf numFmtId="167" fontId="48" fillId="8" borderId="0" xfId="0" applyNumberFormat="1" applyFont="1" applyFill="1"/>
    <xf numFmtId="0" fontId="48" fillId="8" borderId="0" xfId="0" applyFont="1" applyFill="1" applyAlignment="1">
      <alignment horizontal="right" indent="1"/>
    </xf>
    <xf numFmtId="0" fontId="95" fillId="37" borderId="0" xfId="0" applyFont="1" applyFill="1" applyAlignment="1">
      <alignment horizontal="left" indent="1"/>
    </xf>
    <xf numFmtId="42" fontId="95" fillId="37" borderId="0" xfId="0" applyNumberFormat="1" applyFont="1" applyFill="1"/>
    <xf numFmtId="167" fontId="34" fillId="37" borderId="0" xfId="0" applyNumberFormat="1" applyFont="1" applyFill="1"/>
    <xf numFmtId="167" fontId="95" fillId="37" borderId="0" xfId="0" applyNumberFormat="1" applyFont="1" applyFill="1"/>
    <xf numFmtId="0" fontId="48" fillId="38" borderId="0" xfId="0" applyFont="1" applyFill="1" applyAlignment="1">
      <alignment horizontal="right"/>
    </xf>
    <xf numFmtId="42" fontId="48" fillId="38" borderId="0" xfId="0" applyNumberFormat="1" applyFont="1" applyFill="1"/>
    <xf numFmtId="167" fontId="5" fillId="38" borderId="0" xfId="0" applyNumberFormat="1" applyFont="1" applyFill="1"/>
    <xf numFmtId="0" fontId="48" fillId="38" borderId="0" xfId="0" applyFont="1" applyFill="1" applyAlignment="1">
      <alignment horizontal="right" indent="1"/>
    </xf>
    <xf numFmtId="0" fontId="95" fillId="34" borderId="0" xfId="0" applyFont="1" applyFill="1" applyAlignment="1">
      <alignment horizontal="left" indent="1"/>
    </xf>
    <xf numFmtId="0" fontId="48" fillId="0" borderId="71" xfId="0" applyFont="1" applyBorder="1" applyAlignment="1">
      <alignment horizontal="center" wrapText="1"/>
    </xf>
    <xf numFmtId="42" fontId="94" fillId="0" borderId="37" xfId="0" applyNumberFormat="1" applyFont="1" applyBorder="1"/>
    <xf numFmtId="171" fontId="49" fillId="0" borderId="0" xfId="3" applyNumberFormat="1" applyFont="1"/>
    <xf numFmtId="0" fontId="49" fillId="0" borderId="0" xfId="0" applyFont="1" applyAlignment="1">
      <alignment horizontal="right"/>
    </xf>
    <xf numFmtId="0" fontId="97" fillId="0" borderId="0" xfId="0" applyFont="1"/>
    <xf numFmtId="42" fontId="94" fillId="0" borderId="36" xfId="0" applyNumberFormat="1" applyFont="1" applyBorder="1"/>
    <xf numFmtId="182" fontId="5" fillId="0" borderId="0" xfId="0" applyNumberFormat="1" applyFont="1"/>
    <xf numFmtId="168" fontId="5" fillId="0" borderId="0" xfId="2" applyNumberFormat="1" applyFont="1"/>
    <xf numFmtId="42" fontId="5" fillId="0" borderId="0" xfId="0" applyNumberFormat="1" applyFont="1"/>
    <xf numFmtId="168" fontId="5" fillId="0" borderId="0" xfId="0" applyNumberFormat="1" applyFont="1"/>
    <xf numFmtId="43" fontId="5" fillId="0" borderId="0" xfId="2" applyFont="1"/>
    <xf numFmtId="0" fontId="5" fillId="0" borderId="0" xfId="0" applyFont="1" applyAlignment="1">
      <alignment horizontal="left" vertical="center" indent="1"/>
    </xf>
    <xf numFmtId="0" fontId="5" fillId="0" borderId="0" xfId="0" applyFont="1" applyAlignment="1">
      <alignment horizontal="left" vertical="center" indent="2"/>
    </xf>
    <xf numFmtId="0" fontId="92" fillId="0" borderId="72" xfId="0" applyFont="1" applyBorder="1"/>
    <xf numFmtId="42" fontId="92" fillId="0" borderId="72" xfId="0" applyNumberFormat="1" applyFont="1" applyBorder="1"/>
    <xf numFmtId="42" fontId="98" fillId="0" borderId="72" xfId="0" applyNumberFormat="1" applyFont="1" applyBorder="1"/>
    <xf numFmtId="168" fontId="92" fillId="0" borderId="72" xfId="2" applyNumberFormat="1" applyFont="1" applyBorder="1"/>
    <xf numFmtId="43" fontId="5" fillId="31" borderId="17" xfId="0" applyNumberFormat="1" applyFont="1" applyFill="1" applyBorder="1" applyAlignment="1" applyProtection="1">
      <alignment vertical="top"/>
      <protection locked="0"/>
    </xf>
    <xf numFmtId="2" fontId="49" fillId="0" borderId="0" xfId="0" applyNumberFormat="1" applyFont="1"/>
    <xf numFmtId="168" fontId="99" fillId="0" borderId="0" xfId="2" applyNumberFormat="1" applyFont="1"/>
    <xf numFmtId="41" fontId="73" fillId="28" borderId="67" xfId="0" applyNumberFormat="1" applyFont="1" applyFill="1" applyBorder="1" applyAlignment="1">
      <alignment vertical="top"/>
    </xf>
    <xf numFmtId="0" fontId="8" fillId="28" borderId="2" xfId="0" applyFont="1" applyFill="1" applyBorder="1" applyAlignment="1" applyProtection="1">
      <alignment horizontal="center" vertical="top"/>
      <protection locked="0"/>
    </xf>
    <xf numFmtId="8" fontId="49" fillId="0" borderId="0" xfId="0" applyNumberFormat="1" applyFont="1"/>
    <xf numFmtId="43" fontId="1" fillId="8" borderId="3" xfId="0" applyNumberFormat="1" applyFont="1" applyFill="1" applyBorder="1" applyAlignment="1">
      <alignment horizontal="center" vertical="top"/>
    </xf>
    <xf numFmtId="43" fontId="1" fillId="8" borderId="9" xfId="0" applyNumberFormat="1" applyFont="1" applyFill="1" applyBorder="1" applyAlignment="1">
      <alignment horizontal="center" vertical="top"/>
    </xf>
    <xf numFmtId="43" fontId="1" fillId="8" borderId="11" xfId="0" applyNumberFormat="1" applyFont="1" applyFill="1" applyBorder="1" applyAlignment="1">
      <alignment horizontal="center" vertical="top"/>
    </xf>
    <xf numFmtId="0" fontId="6" fillId="2" borderId="36" xfId="0" applyFont="1" applyFill="1" applyBorder="1" applyAlignment="1">
      <alignment horizontal="center" vertical="center" wrapText="1"/>
    </xf>
    <xf numFmtId="0" fontId="6" fillId="2" borderId="46" xfId="0" applyFont="1" applyFill="1" applyBorder="1" applyAlignment="1">
      <alignment horizontal="center" vertical="center" wrapText="1"/>
    </xf>
    <xf numFmtId="3" fontId="11" fillId="2" borderId="43" xfId="0" applyNumberFormat="1" applyFont="1" applyFill="1" applyBorder="1" applyAlignment="1" applyProtection="1">
      <alignment horizontal="center" vertical="center"/>
      <protection locked="0"/>
    </xf>
    <xf numFmtId="3" fontId="11" fillId="2" borderId="44" xfId="0" applyNumberFormat="1" applyFont="1" applyFill="1" applyBorder="1" applyAlignment="1" applyProtection="1">
      <alignment horizontal="center" vertical="center"/>
      <protection locked="0"/>
    </xf>
    <xf numFmtId="3" fontId="11" fillId="2" borderId="45" xfId="0" applyNumberFormat="1" applyFont="1" applyFill="1" applyBorder="1" applyAlignment="1" applyProtection="1">
      <alignment horizontal="center" vertical="center"/>
      <protection locked="0"/>
    </xf>
    <xf numFmtId="0" fontId="1" fillId="4" borderId="40"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1" fillId="5" borderId="10" xfId="0" applyFont="1" applyFill="1" applyBorder="1" applyAlignment="1">
      <alignment horizontal="center" vertical="center" wrapText="1"/>
    </xf>
    <xf numFmtId="43" fontId="1" fillId="8" borderId="5" xfId="0" applyNumberFormat="1" applyFont="1" applyFill="1" applyBorder="1" applyAlignment="1">
      <alignment horizontal="center" vertical="center"/>
    </xf>
    <xf numFmtId="43" fontId="1" fillId="8" borderId="12" xfId="0" applyNumberFormat="1" applyFont="1" applyFill="1" applyBorder="1" applyAlignment="1">
      <alignment horizontal="center" vertical="center"/>
    </xf>
    <xf numFmtId="43" fontId="1" fillId="8" borderId="10" xfId="0" applyNumberFormat="1" applyFont="1" applyFill="1" applyBorder="1" applyAlignment="1">
      <alignment horizontal="center" vertical="center"/>
    </xf>
    <xf numFmtId="49" fontId="30" fillId="3" borderId="66" xfId="0" applyNumberFormat="1" applyFont="1" applyFill="1" applyBorder="1" applyAlignment="1" applyProtection="1">
      <alignment horizontal="left" vertical="top" wrapText="1" readingOrder="1"/>
      <protection locked="0"/>
    </xf>
    <xf numFmtId="49" fontId="30" fillId="3" borderId="59" xfId="0" applyNumberFormat="1" applyFont="1" applyFill="1" applyBorder="1" applyAlignment="1" applyProtection="1">
      <alignment horizontal="left" vertical="top" wrapText="1" readingOrder="1"/>
      <protection locked="0"/>
    </xf>
    <xf numFmtId="49" fontId="30" fillId="3" borderId="67" xfId="0" applyNumberFormat="1" applyFont="1" applyFill="1" applyBorder="1" applyAlignment="1" applyProtection="1">
      <alignment horizontal="left" vertical="top" wrapText="1" readingOrder="1"/>
      <protection locked="0"/>
    </xf>
    <xf numFmtId="0" fontId="1" fillId="4" borderId="39" xfId="0" applyFont="1" applyFill="1" applyBorder="1" applyAlignment="1">
      <alignment horizontal="center" vertical="top" wrapText="1"/>
    </xf>
    <xf numFmtId="0" fontId="1" fillId="4" borderId="9" xfId="0" applyFont="1" applyFill="1" applyBorder="1" applyAlignment="1">
      <alignment horizontal="center" vertical="top" wrapText="1"/>
    </xf>
    <xf numFmtId="0" fontId="1" fillId="4" borderId="11" xfId="0" applyFont="1" applyFill="1" applyBorder="1" applyAlignment="1">
      <alignment horizontal="center" vertical="top" wrapText="1"/>
    </xf>
    <xf numFmtId="0" fontId="1" fillId="3" borderId="3" xfId="0" applyFont="1" applyFill="1" applyBorder="1" applyAlignment="1">
      <alignment horizontal="center" vertical="top" wrapText="1"/>
    </xf>
    <xf numFmtId="0" fontId="1" fillId="3" borderId="9" xfId="0" applyFont="1" applyFill="1" applyBorder="1" applyAlignment="1">
      <alignment horizontal="center" vertical="top" wrapText="1"/>
    </xf>
    <xf numFmtId="0" fontId="1" fillId="3" borderId="11" xfId="0" applyFont="1" applyFill="1" applyBorder="1" applyAlignment="1">
      <alignment horizontal="center" vertical="top" wrapText="1"/>
    </xf>
    <xf numFmtId="0" fontId="1" fillId="5" borderId="3" xfId="0" applyFont="1" applyFill="1" applyBorder="1" applyAlignment="1">
      <alignment horizontal="center" vertical="top" wrapText="1"/>
    </xf>
    <xf numFmtId="0" fontId="1" fillId="5" borderId="9" xfId="0" applyFont="1" applyFill="1" applyBorder="1" applyAlignment="1">
      <alignment horizontal="center" vertical="top" wrapText="1"/>
    </xf>
    <xf numFmtId="0" fontId="1" fillId="5" borderId="11" xfId="0" applyFont="1" applyFill="1" applyBorder="1" applyAlignment="1">
      <alignment horizontal="center" vertical="top" wrapText="1"/>
    </xf>
    <xf numFmtId="49" fontId="53" fillId="5" borderId="66" xfId="0" applyNumberFormat="1" applyFont="1" applyFill="1" applyBorder="1" applyAlignment="1" applyProtection="1">
      <alignment horizontal="left" vertical="top" wrapText="1"/>
      <protection locked="0"/>
    </xf>
    <xf numFmtId="49" fontId="53" fillId="5" borderId="59" xfId="0" applyNumberFormat="1" applyFont="1" applyFill="1" applyBorder="1" applyAlignment="1" applyProtection="1">
      <alignment horizontal="left" vertical="top" wrapText="1"/>
      <protection locked="0"/>
    </xf>
    <xf numFmtId="49" fontId="53" fillId="5" borderId="67" xfId="0" applyNumberFormat="1" applyFont="1" applyFill="1" applyBorder="1" applyAlignment="1" applyProtection="1">
      <alignment horizontal="left" vertical="top" wrapText="1"/>
      <protection locked="0"/>
    </xf>
    <xf numFmtId="49" fontId="53" fillId="5" borderId="59" xfId="0" applyNumberFormat="1" applyFont="1" applyFill="1" applyBorder="1" applyAlignment="1" applyProtection="1">
      <alignment horizontal="left" vertical="top"/>
      <protection locked="0"/>
    </xf>
    <xf numFmtId="49" fontId="53" fillId="5" borderId="67" xfId="0" applyNumberFormat="1" applyFont="1" applyFill="1" applyBorder="1" applyAlignment="1" applyProtection="1">
      <alignment horizontal="left" vertical="top"/>
      <protection locked="0"/>
    </xf>
    <xf numFmtId="0" fontId="6" fillId="0" borderId="28" xfId="0" applyFont="1" applyBorder="1" applyAlignment="1">
      <alignment horizontal="center" vertical="center" wrapText="1"/>
    </xf>
    <xf numFmtId="0" fontId="6" fillId="0" borderId="31" xfId="0" applyFont="1" applyBorder="1" applyAlignment="1">
      <alignment horizontal="center" vertical="center" wrapText="1"/>
    </xf>
    <xf numFmtId="3" fontId="11" fillId="0" borderId="29" xfId="0" applyNumberFormat="1" applyFont="1" applyBorder="1" applyAlignment="1" applyProtection="1">
      <alignment horizontal="center" vertical="center"/>
      <protection locked="0"/>
    </xf>
    <xf numFmtId="3" fontId="11" fillId="0" borderId="30" xfId="0" applyNumberFormat="1" applyFont="1" applyBorder="1" applyAlignment="1" applyProtection="1">
      <alignment horizontal="center" vertical="center"/>
      <protection locked="0"/>
    </xf>
    <xf numFmtId="0" fontId="10" fillId="0" borderId="0" xfId="0" applyFont="1" applyAlignment="1">
      <alignment horizontal="center"/>
    </xf>
    <xf numFmtId="0" fontId="11" fillId="0" borderId="0" xfId="0" applyFont="1" applyAlignment="1">
      <alignment horizontal="center"/>
    </xf>
    <xf numFmtId="42" fontId="48" fillId="17" borderId="0" xfId="0" applyNumberFormat="1" applyFont="1" applyFill="1" applyAlignment="1">
      <alignment horizontal="center" vertical="center"/>
    </xf>
    <xf numFmtId="0" fontId="48" fillId="17" borderId="0" xfId="0" applyFont="1" applyFill="1" applyAlignment="1">
      <alignment horizontal="center" vertical="center"/>
    </xf>
    <xf numFmtId="42" fontId="48" fillId="11" borderId="0" xfId="0" applyNumberFormat="1" applyFont="1" applyFill="1" applyAlignment="1">
      <alignment horizontal="center" vertical="center"/>
    </xf>
    <xf numFmtId="0" fontId="48" fillId="11" borderId="0" xfId="0" applyFont="1" applyFill="1" applyAlignment="1">
      <alignment horizontal="center" vertical="center"/>
    </xf>
    <xf numFmtId="42" fontId="1" fillId="0" borderId="0" xfId="0" applyNumberFormat="1" applyFont="1" applyAlignment="1">
      <alignment horizontal="center"/>
    </xf>
    <xf numFmtId="42" fontId="48" fillId="12" borderId="0" xfId="0" applyNumberFormat="1" applyFont="1" applyFill="1" applyAlignment="1">
      <alignment horizontal="center" vertical="center"/>
    </xf>
    <xf numFmtId="0" fontId="48" fillId="12" borderId="0" xfId="0" applyFont="1" applyFill="1" applyAlignment="1">
      <alignment horizontal="center" vertical="center"/>
    </xf>
    <xf numFmtId="42" fontId="4" fillId="0" borderId="0" xfId="0" applyNumberFormat="1" applyFont="1" applyAlignment="1">
      <alignment horizontal="center" vertical="center" wrapText="1"/>
    </xf>
    <xf numFmtId="0" fontId="35" fillId="0" borderId="10" xfId="0" applyFont="1" applyBorder="1" applyAlignment="1">
      <alignment horizontal="center" vertical="center" textRotation="90"/>
    </xf>
    <xf numFmtId="0" fontId="35" fillId="0" borderId="7" xfId="0" applyFont="1" applyBorder="1" applyAlignment="1">
      <alignment horizontal="center" vertical="center" textRotation="90"/>
    </xf>
    <xf numFmtId="0" fontId="35" fillId="0" borderId="11" xfId="0" applyFont="1" applyBorder="1" applyAlignment="1">
      <alignment horizontal="center" vertical="center" textRotation="90"/>
    </xf>
    <xf numFmtId="0" fontId="35" fillId="0" borderId="52" xfId="0" applyFont="1" applyBorder="1" applyAlignment="1">
      <alignment horizontal="center" vertical="center" textRotation="90"/>
    </xf>
    <xf numFmtId="0" fontId="35" fillId="0" borderId="6" xfId="0" applyFont="1" applyBorder="1" applyAlignment="1">
      <alignment horizontal="center" vertical="center" textRotation="90"/>
    </xf>
    <xf numFmtId="0" fontId="35" fillId="0" borderId="2" xfId="0" applyFont="1" applyBorder="1" applyAlignment="1">
      <alignment horizontal="center" vertical="center" textRotation="90"/>
    </xf>
    <xf numFmtId="0" fontId="77" fillId="0" borderId="0" xfId="0" applyFont="1" applyAlignment="1">
      <alignment horizontal="center" vertical="center"/>
    </xf>
    <xf numFmtId="0" fontId="36" fillId="19" borderId="0" xfId="0" applyFont="1" applyFill="1" applyAlignment="1">
      <alignment horizontal="left" vertical="top" wrapText="1"/>
    </xf>
    <xf numFmtId="0" fontId="36" fillId="19" borderId="0" xfId="0" applyFont="1" applyFill="1" applyAlignment="1">
      <alignment horizontal="left" vertical="top"/>
    </xf>
    <xf numFmtId="0" fontId="42" fillId="20" borderId="0" xfId="0" applyFont="1" applyFill="1" applyAlignment="1">
      <alignment horizontal="center"/>
    </xf>
    <xf numFmtId="0" fontId="42" fillId="10" borderId="0" xfId="0" applyFont="1" applyFill="1" applyAlignment="1">
      <alignment horizontal="center" indent="1"/>
    </xf>
    <xf numFmtId="0" fontId="42" fillId="24" borderId="0" xfId="0" applyFont="1" applyFill="1" applyAlignment="1">
      <alignment horizontal="center"/>
    </xf>
  </cellXfs>
  <cellStyles count="4">
    <cellStyle name="Comma" xfId="2" builtinId="3"/>
    <cellStyle name="Currency" xfId="1" builtinId="4"/>
    <cellStyle name="Normal" xfId="0" builtinId="0"/>
    <cellStyle name="Percent" xfId="3" builtinId="5"/>
  </cellStyles>
  <dxfs count="36">
    <dxf>
      <font>
        <color rgb="FFFF0000"/>
      </font>
    </dxf>
    <dxf>
      <font>
        <color rgb="FF9C5700"/>
      </font>
      <fill>
        <patternFill>
          <bgColor rgb="FFFFEB9C"/>
        </patternFill>
      </fill>
    </dxf>
    <dxf>
      <font>
        <color rgb="FF006100"/>
      </font>
      <fill>
        <patternFill>
          <bgColor rgb="FFCCFFCC"/>
        </patternFill>
      </fill>
    </dxf>
    <dxf>
      <fill>
        <patternFill>
          <bgColor rgb="FFCC99FF"/>
        </patternFill>
      </fill>
    </dxf>
    <dxf>
      <font>
        <color rgb="FF006100"/>
      </font>
      <fill>
        <patternFill>
          <bgColor rgb="FFCCFFCC"/>
        </patternFill>
      </fill>
    </dxf>
    <dxf>
      <fill>
        <patternFill>
          <bgColor rgb="FFCC99FF"/>
        </patternFill>
      </fill>
    </dxf>
    <dxf>
      <font>
        <color rgb="FF9C5700"/>
      </font>
      <fill>
        <patternFill>
          <bgColor rgb="FFFFEB9C"/>
        </patternFill>
      </fill>
    </dxf>
    <dxf>
      <font>
        <color rgb="FFFF0000"/>
      </font>
    </dxf>
    <dxf>
      <font>
        <color rgb="FF9C5700"/>
      </font>
      <fill>
        <patternFill>
          <bgColor rgb="FFFFEB9C"/>
        </patternFill>
      </fill>
    </dxf>
    <dxf>
      <font>
        <color rgb="FF006100"/>
      </font>
      <fill>
        <patternFill>
          <bgColor rgb="FFCCFFCC"/>
        </patternFill>
      </fill>
    </dxf>
    <dxf>
      <fill>
        <patternFill>
          <bgColor rgb="FFCC99FF"/>
        </patternFill>
      </fill>
    </dxf>
    <dxf>
      <font>
        <color rgb="FF9C5700"/>
      </font>
      <fill>
        <patternFill>
          <bgColor rgb="FFFFEB9C"/>
        </patternFill>
      </fill>
    </dxf>
    <dxf>
      <font>
        <color rgb="FF006100"/>
      </font>
      <fill>
        <patternFill>
          <bgColor rgb="FFCCFFCC"/>
        </patternFill>
      </fill>
    </dxf>
    <dxf>
      <fill>
        <patternFill>
          <bgColor rgb="FFCC99FF"/>
        </patternFill>
      </fill>
    </dxf>
    <dxf>
      <font>
        <color rgb="FF9C5700"/>
      </font>
      <fill>
        <patternFill>
          <bgColor rgb="FFFFEB9C"/>
        </patternFill>
      </fill>
    </dxf>
    <dxf>
      <font>
        <color rgb="FF9C5700"/>
      </font>
      <fill>
        <patternFill>
          <bgColor rgb="FFFFEB9C"/>
        </patternFill>
      </fill>
    </dxf>
    <dxf>
      <font>
        <color rgb="FF006100"/>
      </font>
      <fill>
        <patternFill>
          <bgColor rgb="FFCCFFCC"/>
        </patternFill>
      </fill>
    </dxf>
    <dxf>
      <fill>
        <patternFill>
          <bgColor rgb="FFCC99FF"/>
        </patternFill>
      </fill>
    </dxf>
    <dxf>
      <font>
        <color rgb="FF9C5700"/>
      </font>
      <fill>
        <patternFill>
          <bgColor rgb="FFFFEB9C"/>
        </patternFill>
      </fill>
    </dxf>
    <dxf>
      <font>
        <color rgb="FFFF0000"/>
      </font>
    </dxf>
    <dxf>
      <font>
        <color rgb="FFFF0000"/>
      </font>
    </dxf>
    <dxf>
      <font>
        <color rgb="FFFF0000"/>
      </font>
    </dxf>
    <dxf>
      <font>
        <color rgb="FF006100"/>
      </font>
      <fill>
        <patternFill>
          <bgColor rgb="FFCCFFCC"/>
        </patternFill>
      </fill>
    </dxf>
    <dxf>
      <fill>
        <patternFill>
          <bgColor rgb="FFCC99FF"/>
        </patternFill>
      </fill>
    </dxf>
    <dxf>
      <font>
        <color rgb="FF9C5700"/>
      </font>
      <fill>
        <patternFill>
          <bgColor rgb="FFFFEB9C"/>
        </patternFill>
      </fill>
    </dxf>
    <dxf>
      <font>
        <color rgb="FF9C5700"/>
      </font>
      <fill>
        <patternFill>
          <bgColor rgb="FFFFEB9C"/>
        </patternFill>
      </fill>
    </dxf>
    <dxf>
      <font>
        <color rgb="FF006100"/>
      </font>
      <fill>
        <patternFill>
          <bgColor rgb="FFCCFFCC"/>
        </patternFill>
      </fill>
    </dxf>
    <dxf>
      <fill>
        <patternFill>
          <bgColor rgb="FFCC99FF"/>
        </patternFill>
      </fill>
    </dxf>
    <dxf>
      <font>
        <color rgb="FFFF0000"/>
      </font>
    </dxf>
    <dxf>
      <font>
        <color rgb="FFFF0000"/>
      </font>
    </dxf>
    <dxf>
      <font>
        <color rgb="FF9C5700"/>
      </font>
      <fill>
        <patternFill>
          <bgColor rgb="FFFFEB9C"/>
        </patternFill>
      </fill>
    </dxf>
    <dxf>
      <font>
        <color rgb="FFFF0000"/>
      </font>
    </dxf>
    <dxf>
      <font>
        <color rgb="FFFF0000"/>
      </font>
    </dxf>
    <dxf>
      <font>
        <color rgb="FF006100"/>
      </font>
      <fill>
        <patternFill>
          <bgColor rgb="FFCCFFCC"/>
        </patternFill>
      </fill>
    </dxf>
    <dxf>
      <fill>
        <patternFill>
          <bgColor rgb="FFCC99FF"/>
        </patternFill>
      </fill>
    </dxf>
    <dxf>
      <font>
        <color rgb="FF9C5700"/>
      </font>
      <fill>
        <patternFill>
          <bgColor rgb="FFFFEB9C"/>
        </patternFill>
      </fill>
    </dxf>
  </dxfs>
  <tableStyles count="0" defaultTableStyle="TableStyleMedium2" defaultPivotStyle="PivotStyleLight16"/>
  <colors>
    <mruColors>
      <color rgb="FFCC99FF"/>
      <color rgb="FF047891"/>
      <color rgb="FFA3E2F0"/>
      <color rgb="FFFFDDFF"/>
      <color rgb="FFFF33CC"/>
      <color rgb="FFFF93FF"/>
      <color rgb="FFCCFFCC"/>
      <color rgb="FF0AA8CC"/>
      <color rgb="FFFF66CC"/>
      <color rgb="FFD0EE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TCO for 5 years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1"/>
          <c:order val="0"/>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'Vendor TCO'!$B$6:$B$15</c:f>
              <c:strCache>
                <c:ptCount val="8"/>
                <c:pt idx="0">
                  <c:v>Current (FIS Bankway) Core Items- In house</c:v>
                </c:pt>
                <c:pt idx="1">
                  <c:v>Current Digital Items</c:v>
                </c:pt>
                <c:pt idx="3">
                  <c:v>Proposed Core with FIS Horizon- Outsource</c:v>
                </c:pt>
                <c:pt idx="4">
                  <c:v>Proposed Digital with FIS D1</c:v>
                </c:pt>
                <c:pt idx="6">
                  <c:v>Proposed Core with FIS Horizon- Outsource</c:v>
                </c:pt>
                <c:pt idx="7">
                  <c:v>Proposed Digital with Q2*</c:v>
                </c:pt>
              </c:strCache>
            </c:strRef>
          </c:cat>
          <c:val>
            <c:numRef>
              <c:f>'Vendor TCO'!$C$6:$C$15</c:f>
              <c:numCache>
                <c:formatCode>_("$"* #,##0_);_("$"* \(#,##0\);_("$"* "-"_);_(@_)</c:formatCode>
                <c:ptCount val="9"/>
                <c:pt idx="0">
                  <c:v>7345092.3693088545</c:v>
                </c:pt>
                <c:pt idx="1">
                  <c:v>3655368.603114964</c:v>
                </c:pt>
                <c:pt idx="3">
                  <c:v>6492853.6676755892</c:v>
                </c:pt>
                <c:pt idx="4">
                  <c:v>2198932.2399227754</c:v>
                </c:pt>
                <c:pt idx="6">
                  <c:v>6856555.9068731638</c:v>
                </c:pt>
                <c:pt idx="7">
                  <c:v>3276433.8293324704</c:v>
                </c:pt>
              </c:numCache>
            </c:numRef>
          </c:val>
          <c:extLst>
            <c:ext xmlns:c16="http://schemas.microsoft.com/office/drawing/2014/chart" uri="{C3380CC4-5D6E-409C-BE32-E72D297353CC}">
              <c16:uniqueId val="{00000000-0C24-4B4D-836C-A552B3F165D6}"/>
            </c:ext>
          </c:extLst>
        </c:ser>
        <c:dLbls>
          <c:showLegendKey val="0"/>
          <c:showVal val="1"/>
          <c:showCatName val="0"/>
          <c:showSerName val="0"/>
          <c:showPercent val="0"/>
          <c:showBubbleSize val="0"/>
        </c:dLbls>
        <c:gapWidth val="65"/>
        <c:axId val="87277568"/>
        <c:axId val="87279104"/>
      </c:barChart>
      <c:catAx>
        <c:axId val="872775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279104"/>
        <c:crosses val="autoZero"/>
        <c:auto val="1"/>
        <c:lblAlgn val="ctr"/>
        <c:lblOffset val="100"/>
        <c:noMultiLvlLbl val="0"/>
      </c:catAx>
      <c:valAx>
        <c:axId val="872791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727756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000000000000022" l="0.70000000000000018" r="0.70000000000000018" t="0.75000000000000022" header="0.3000000000000001" footer="0.3000000000000001"/>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5</xdr:col>
      <xdr:colOff>1746757</xdr:colOff>
      <xdr:row>50</xdr:row>
      <xdr:rowOff>101814</xdr:rowOff>
    </xdr:to>
    <xdr:pic>
      <xdr:nvPicPr>
        <xdr:cNvPr id="3" name="Picture 2">
          <a:extLst>
            <a:ext uri="{FF2B5EF4-FFF2-40B4-BE49-F238E27FC236}">
              <a16:creationId xmlns:a16="http://schemas.microsoft.com/office/drawing/2014/main" id="{07BA8F1C-EC68-76BC-8AFE-7AF49814CDDF}"/>
            </a:ext>
          </a:extLst>
        </xdr:cNvPr>
        <xdr:cNvPicPr>
          <a:picLocks noChangeAspect="1"/>
        </xdr:cNvPicPr>
      </xdr:nvPicPr>
      <xdr:blipFill>
        <a:blip xmlns:r="http://schemas.openxmlformats.org/officeDocument/2006/relationships" r:embed="rId1"/>
        <a:stretch>
          <a:fillRect/>
        </a:stretch>
      </xdr:blipFill>
      <xdr:spPr>
        <a:xfrm>
          <a:off x="375227" y="7342909"/>
          <a:ext cx="9874757" cy="41658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178229</xdr:colOff>
      <xdr:row>3</xdr:row>
      <xdr:rowOff>45458</xdr:rowOff>
    </xdr:from>
    <xdr:to>
      <xdr:col>29</xdr:col>
      <xdr:colOff>75043</xdr:colOff>
      <xdr:row>15</xdr:row>
      <xdr:rowOff>161636</xdr:rowOff>
    </xdr:to>
    <xdr:graphicFrame macro="">
      <xdr:nvGraphicFramePr>
        <xdr:cNvPr id="2" name="Chart 1">
          <a:extLst>
            <a:ext uri="{FF2B5EF4-FFF2-40B4-BE49-F238E27FC236}">
              <a16:creationId xmlns:a16="http://schemas.microsoft.com/office/drawing/2014/main" id="{975D7D43-4246-4249-9A52-1E6C11D07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2</xdr:col>
      <xdr:colOff>2000736</xdr:colOff>
      <xdr:row>33</xdr:row>
      <xdr:rowOff>65397</xdr:rowOff>
    </xdr:to>
    <xdr:pic>
      <xdr:nvPicPr>
        <xdr:cNvPr id="2" name="Picture 1">
          <a:extLst>
            <a:ext uri="{FF2B5EF4-FFF2-40B4-BE49-F238E27FC236}">
              <a16:creationId xmlns:a16="http://schemas.microsoft.com/office/drawing/2014/main" id="{890F177C-2C42-5895-8AE7-BA15636974B8}"/>
            </a:ext>
          </a:extLst>
        </xdr:cNvPr>
        <xdr:cNvPicPr>
          <a:picLocks noChangeAspect="1"/>
        </xdr:cNvPicPr>
      </xdr:nvPicPr>
      <xdr:blipFill>
        <a:blip xmlns:r="http://schemas.openxmlformats.org/officeDocument/2006/relationships" r:embed="rId1"/>
        <a:stretch>
          <a:fillRect/>
        </a:stretch>
      </xdr:blipFill>
      <xdr:spPr>
        <a:xfrm>
          <a:off x="649432" y="6425045"/>
          <a:ext cx="7286678" cy="304802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744538</xdr:colOff>
      <xdr:row>31</xdr:row>
      <xdr:rowOff>169862</xdr:rowOff>
    </xdr:from>
    <xdr:to>
      <xdr:col>18</xdr:col>
      <xdr:colOff>49213</xdr:colOff>
      <xdr:row>50</xdr:row>
      <xdr:rowOff>23812</xdr:rowOff>
    </xdr:to>
    <xdr:sp macro="" textlink="">
      <xdr:nvSpPr>
        <xdr:cNvPr id="2" name="TextBox 1">
          <a:extLst>
            <a:ext uri="{FF2B5EF4-FFF2-40B4-BE49-F238E27FC236}">
              <a16:creationId xmlns:a16="http://schemas.microsoft.com/office/drawing/2014/main" id="{CC5BF68C-8395-60BC-AD6D-1229A2740084}"/>
            </a:ext>
            <a:ext uri="{147F2762-F138-4A5C-976F-8EAC2B608ADB}">
              <a16:predDERef xmlns:a16="http://schemas.microsoft.com/office/drawing/2014/main" pred="{CF61D3A7-1A7C-447C-8872-7F4A6C30DD8B}"/>
            </a:ext>
          </a:extLst>
        </xdr:cNvPr>
        <xdr:cNvSpPr txBox="1"/>
      </xdr:nvSpPr>
      <xdr:spPr>
        <a:xfrm>
          <a:off x="10356851" y="5884862"/>
          <a:ext cx="6289675" cy="1862138"/>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000" b="1" i="0" u="sng" strike="noStrike">
              <a:solidFill>
                <a:srgbClr val="000000"/>
              </a:solidFill>
              <a:latin typeface="Calibri" panose="020F0502020204030204" pitchFamily="34" charset="0"/>
              <a:cs typeface="Calibri" panose="020F0502020204030204" pitchFamily="34" charset="0"/>
            </a:rPr>
            <a:t>Analytical Notes:</a:t>
          </a:r>
          <a:endParaRPr lang="en-US" sz="900" b="0" i="1" u="none" strike="noStrike">
            <a:solidFill>
              <a:srgbClr val="000000"/>
            </a:solidFill>
            <a:latin typeface="+mn-lt"/>
            <a:ea typeface="+mn-lt"/>
            <a:cs typeface="+mn-lt"/>
          </a:endParaRPr>
        </a:p>
        <a:p>
          <a:pPr marL="0" indent="0" algn="l"/>
          <a:r>
            <a:rPr lang="en-US" sz="900" i="1">
              <a:latin typeface="+mn-lt"/>
              <a:ea typeface="+mn-lt"/>
              <a:cs typeface="+mn-lt"/>
            </a:rPr>
            <a:t>1. Based on reports provided by CO-OP, the average interchange from DWCU's IHC program is -$10,471 but we are using -$9,970 as a conservative monthly estimate. This yields an interchange of -$598,200 over a 60 month term.</a:t>
          </a:r>
          <a:endParaRPr lang="en-US" sz="900" b="0" i="1" u="none" strike="noStrike">
            <a:solidFill>
              <a:srgbClr val="000000"/>
            </a:solidFill>
            <a:latin typeface="Calibri" panose="020F0502020204030204" pitchFamily="34" charset="0"/>
            <a:cs typeface="Calibri" panose="020F0502020204030204" pitchFamily="34" charset="0"/>
          </a:endParaRPr>
        </a:p>
        <a:p>
          <a:pPr marL="0" indent="0" algn="l"/>
          <a:endParaRPr lang="en-US" sz="900" b="0" i="1" u="none" strike="noStrike">
            <a:solidFill>
              <a:srgbClr val="000000"/>
            </a:solidFill>
            <a:latin typeface="Calibri" panose="020F0502020204030204" pitchFamily="34" charset="0"/>
            <a:cs typeface="Calibri" panose="020F0502020204030204" pitchFamily="34" charset="0"/>
          </a:endParaRPr>
        </a:p>
        <a:p>
          <a:pPr marL="0" indent="0" algn="l"/>
          <a:r>
            <a:rPr lang="en-US" sz="900" b="0" i="1" u="none" strike="noStrike">
              <a:solidFill>
                <a:srgbClr val="000000"/>
              </a:solidFill>
              <a:latin typeface="Calibri" panose="020F0502020204030204" pitchFamily="34" charset="0"/>
              <a:cs typeface="Calibri" panose="020F0502020204030204" pitchFamily="34" charset="0"/>
            </a:rPr>
            <a:t>2. CO-OP's Innovation Credit Value is formulated to offset the cost of new (optional) products desired. Any addition or removal of optional products will result in cell F38 adjusting accordingly up to a maximum of $100k.</a:t>
          </a:r>
        </a:p>
        <a:p>
          <a:pPr marL="0" indent="0" algn="l"/>
          <a:endParaRPr lang="en-US" sz="900" b="0" i="1" u="none" strike="noStrike">
            <a:solidFill>
              <a:srgbClr val="000000"/>
            </a:solidFill>
            <a:latin typeface="Calibri" panose="020F0502020204030204" pitchFamily="34" charset="0"/>
            <a:cs typeface="Calibri" panose="020F0502020204030204" pitchFamily="34" charset="0"/>
          </a:endParaRPr>
        </a:p>
        <a:p>
          <a:pPr marL="0" indent="0" algn="l"/>
          <a:r>
            <a:rPr lang="en-US" sz="900" b="0" i="1" u="none" strike="noStrike">
              <a:solidFill>
                <a:srgbClr val="000000"/>
              </a:solidFill>
              <a:latin typeface="Calibri" panose="020F0502020204030204" pitchFamily="34" charset="0"/>
              <a:cs typeface="Calibri" panose="020F0502020204030204" pitchFamily="34" charset="0"/>
            </a:rPr>
            <a:t>3. Passthrough values were retrieved from incumbent invoices and its estimated value in Baseline/Current is carried through across all proposals. Doing this serves to (1) paint a clearer picture of the term costs beyond the items in negotiation, and (2) outline the IHC Interchange and Rewards Redemption Expenses should DWCU decide to move to an Agent Credit program.</a:t>
          </a:r>
        </a:p>
        <a:p>
          <a:pPr marL="0" indent="0" algn="l"/>
          <a:endParaRPr lang="en-US" sz="900" b="0" i="1" u="none" strike="noStrike">
            <a:solidFill>
              <a:srgbClr val="000000"/>
            </a:solidFill>
            <a:latin typeface="Calibri" panose="020F0502020204030204" pitchFamily="34" charset="0"/>
            <a:cs typeface="Calibri" panose="020F0502020204030204" pitchFamily="34" charset="0"/>
          </a:endParaRPr>
        </a:p>
        <a:p>
          <a:pPr marL="0" indent="0" algn="l"/>
          <a:r>
            <a:rPr lang="en-US" sz="900" b="0" i="1" u="none" strike="noStrike">
              <a:solidFill>
                <a:srgbClr val="000000"/>
              </a:solidFill>
              <a:latin typeface="Calibri" panose="020F0502020204030204" pitchFamily="34" charset="0"/>
              <a:cs typeface="Calibri" panose="020F0502020204030204" pitchFamily="34" charset="0"/>
            </a:rPr>
            <a:t>4. Baseline/Current quantities were averaged from DWCU's incumbent invoices billed from January 2023 through June 2023. Most current rates from the June 2023 invoice was used for each line item modeled.</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Users\JHuynh\Arriba%20Advisors\Arriba%20Advisors%20Team%20Site%20-%20Documents\Arriba%20Home\1.%20Clients\US%20Clients\First%20State%20Bank%20-%20Waynesboro\10.%20Financial%20Analysis\FSB%20Waynesboro_TCO_Core+Digital_2024.01.11%20(Q2%20REVIEW).xlsx" TargetMode="External"/><Relationship Id="rId2" Type="http://schemas.microsoft.com/office/2019/04/relationships/externalLinkLongPath" Target="FSB%20Waynesboro_TCO_Core+Digital_2024.01.11%20(Q2%20REVIEW).xlsx?CB6D8299" TargetMode="External"/><Relationship Id="rId1" Type="http://schemas.openxmlformats.org/officeDocument/2006/relationships/externalLinkPath" Target="file:///\\CB6D8299\FSB%20Waynesboro_TCO_Core+Digital_2024.01.11%20(Q2%20REVIEW).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C:\Users\JHuynh\Downloads\FBW%20Card%20Processing%205%20yr%20TCO-8-3-2023_FEE.xlsx" TargetMode="External"/><Relationship Id="rId2" Type="http://schemas.microsoft.com/office/2019/04/relationships/externalLinkLongPath" Target="FBW%20Card%20Processing%205%20yr%20TCO-8-3-2023_FEE.xlsx?CB6D8299" TargetMode="External"/><Relationship Id="rId1" Type="http://schemas.openxmlformats.org/officeDocument/2006/relationships/externalLinkPath" Target="file:///\\CB6D8299\FBW%20Card%20Processing%205%20yr%20TCO-8-3-2023_FE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Optional Items - DESIRED"/>
      <sheetName val="Optional Items - Unwanted"/>
      <sheetName val="DGTL Recurring Items"/>
      <sheetName val="DGTL One Time Items"/>
      <sheetName val="Optional Items"/>
      <sheetName val="PassThru Items"/>
      <sheetName val="Vendor TCO"/>
      <sheetName val="Summary Report - Simple"/>
      <sheetName val="Summary Report - Detailed"/>
    </sheetNames>
    <sheetDataSet>
      <sheetData sheetId="0" refreshError="1"/>
      <sheetData sheetId="1" refreshError="1"/>
      <sheetData sheetId="2" refreshError="1">
        <row r="5">
          <cell r="D5">
            <v>0.05</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endor name"/>
      <sheetName val="CPI"/>
      <sheetName val="Upfront License &amp; HW"/>
      <sheetName val="Monthly processing fee"/>
      <sheetName val="Monthly processing PASS THROUGH"/>
      <sheetName val="Monthly Optionals"/>
      <sheetName val="Summary Report (03.16.23)"/>
      <sheetName val="Volume-Avrg"/>
      <sheetName val="Cards INV-all"/>
      <sheetName val="Finastra-Inv.Recon."/>
      <sheetName val="EMV INV-all"/>
      <sheetName val="Secure Lock-INV all"/>
      <sheetName val="Finastra-Backer"/>
      <sheetName val="Finastra-Sticker-EMV-Inv."/>
      <sheetName val="Finastra-Cards-Jan Inv."/>
      <sheetName val="INVOICE Notes"/>
      <sheetName val="FINAL SUMMARY"/>
      <sheetName val="TCO summary"/>
      <sheetName val="FINAL with Optional"/>
    </sheetNames>
    <sheetDataSet>
      <sheetData sheetId="0"/>
      <sheetData sheetId="1"/>
      <sheetData sheetId="2">
        <row r="32">
          <cell r="K32">
            <v>15900</v>
          </cell>
        </row>
        <row r="50">
          <cell r="O50">
            <v>11500</v>
          </cell>
        </row>
        <row r="75">
          <cell r="K75">
            <v>61800</v>
          </cell>
          <cell r="O75">
            <v>127373.58</v>
          </cell>
        </row>
      </sheetData>
      <sheetData sheetId="3">
        <row r="141">
          <cell r="N141">
            <v>4548127.9543498652</v>
          </cell>
          <cell r="W141">
            <v>1448191.8279104005</v>
          </cell>
          <cell r="AE141">
            <v>2067309.8457323876</v>
          </cell>
        </row>
      </sheetData>
      <sheetData sheetId="4">
        <row r="31">
          <cell r="O31">
            <v>910329.55064161506</v>
          </cell>
          <cell r="X31">
            <v>884868.74018599</v>
          </cell>
          <cell r="AF31">
            <v>859437.69568598992</v>
          </cell>
        </row>
      </sheetData>
      <sheetData sheetId="5">
        <row r="34">
          <cell r="O34">
            <v>109866.5638875</v>
          </cell>
          <cell r="X34">
            <v>51487.560000000005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2013 - 2022 Theme">
  <a:themeElements>
    <a:clrScheme name="COLOR PT2">
      <a:dk1>
        <a:sysClr val="windowText" lastClr="000000"/>
      </a:dk1>
      <a:lt1>
        <a:sysClr val="window" lastClr="FFFFFF"/>
      </a:lt1>
      <a:dk2>
        <a:srgbClr val="44546A"/>
      </a:dk2>
      <a:lt2>
        <a:srgbClr val="E7E6E6"/>
      </a:lt2>
      <a:accent1>
        <a:srgbClr val="D56841"/>
      </a:accent1>
      <a:accent2>
        <a:srgbClr val="BF76E8"/>
      </a:accent2>
      <a:accent3>
        <a:srgbClr val="F39595"/>
      </a:accent3>
      <a:accent4>
        <a:srgbClr val="E6BF00"/>
      </a:accent4>
      <a:accent5>
        <a:srgbClr val="2289DF"/>
      </a:accent5>
      <a:accent6>
        <a:srgbClr val="2F9F5F"/>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5B389-760C-4D44-AA94-E890EAA30790}">
  <sheetPr codeName="Sheet1">
    <tabColor rgb="FFC00000"/>
  </sheetPr>
  <dimension ref="A2:H27"/>
  <sheetViews>
    <sheetView showGridLines="0" view="pageBreakPreview" zoomScale="110" zoomScaleNormal="100" zoomScaleSheetLayoutView="110" workbookViewId="0">
      <selection activeCell="F22" sqref="F22"/>
    </sheetView>
  </sheetViews>
  <sheetFormatPr defaultColWidth="9" defaultRowHeight="15" x14ac:dyDescent="0.25"/>
  <cols>
    <col min="1" max="1" width="5.28515625" customWidth="1"/>
    <col min="2" max="2" width="36" customWidth="1"/>
    <col min="3" max="3" width="32" customWidth="1"/>
    <col min="4" max="4" width="5" customWidth="1"/>
    <col min="5" max="5" width="40.7109375" customWidth="1"/>
    <col min="6" max="6" width="35.28515625" customWidth="1"/>
    <col min="7" max="7" width="5.7109375" customWidth="1"/>
    <col min="8" max="8" width="5" customWidth="1"/>
    <col min="9" max="9" width="14" customWidth="1"/>
  </cols>
  <sheetData>
    <row r="2" spans="1:6" ht="23.25" x14ac:dyDescent="0.35">
      <c r="B2" s="39" t="s">
        <v>0</v>
      </c>
    </row>
    <row r="4" spans="1:6" ht="18.75" x14ac:dyDescent="0.3">
      <c r="B4" s="40" t="s">
        <v>1</v>
      </c>
    </row>
    <row r="5" spans="1:6" ht="18.75" x14ac:dyDescent="0.3">
      <c r="B5" s="40"/>
    </row>
    <row r="6" spans="1:6" x14ac:dyDescent="0.25">
      <c r="E6" t="s">
        <v>2</v>
      </c>
    </row>
    <row r="7" spans="1:6" ht="22.5" customHeight="1" x14ac:dyDescent="0.25">
      <c r="B7" s="41" t="s">
        <v>3</v>
      </c>
      <c r="C7" s="42" t="s">
        <v>4</v>
      </c>
      <c r="E7" s="41" t="s">
        <v>5</v>
      </c>
      <c r="F7" s="119"/>
    </row>
    <row r="8" spans="1:6" ht="22.5" customHeight="1" x14ac:dyDescent="0.25">
      <c r="B8" s="43"/>
      <c r="C8" s="44"/>
      <c r="E8" s="43"/>
      <c r="F8" s="44"/>
    </row>
    <row r="9" spans="1:6" ht="22.5" customHeight="1" x14ac:dyDescent="0.25">
      <c r="B9" s="43" t="s">
        <v>6</v>
      </c>
      <c r="C9" s="45" t="s">
        <v>7</v>
      </c>
      <c r="E9" s="43" t="s">
        <v>8</v>
      </c>
      <c r="F9" s="46"/>
    </row>
    <row r="10" spans="1:6" ht="22.5" customHeight="1" x14ac:dyDescent="0.25">
      <c r="B10" s="43"/>
      <c r="C10" s="44"/>
      <c r="E10" s="43"/>
      <c r="F10" s="44"/>
    </row>
    <row r="11" spans="1:6" ht="22.5" customHeight="1" x14ac:dyDescent="0.25">
      <c r="B11" s="47" t="s">
        <v>9</v>
      </c>
      <c r="C11" s="120"/>
      <c r="E11" s="47" t="s">
        <v>10</v>
      </c>
      <c r="F11" s="48"/>
    </row>
    <row r="12" spans="1:6" ht="22.5" customHeight="1" x14ac:dyDescent="0.25">
      <c r="B12" s="49"/>
    </row>
    <row r="13" spans="1:6" ht="22.5" customHeight="1" x14ac:dyDescent="0.25">
      <c r="B13" s="50" t="s">
        <v>11</v>
      </c>
    </row>
    <row r="14" spans="1:6" ht="22.5" customHeight="1" x14ac:dyDescent="0.25">
      <c r="A14" s="49" t="s">
        <v>12</v>
      </c>
      <c r="B14" s="51" t="s">
        <v>13</v>
      </c>
    </row>
    <row r="15" spans="1:6" ht="22.5" customHeight="1" x14ac:dyDescent="0.25">
      <c r="A15" s="49"/>
      <c r="B15" s="51"/>
    </row>
    <row r="16" spans="1:6" ht="22.5" customHeight="1" x14ac:dyDescent="0.25">
      <c r="B16" s="49"/>
      <c r="C16" s="49"/>
    </row>
    <row r="17" spans="2:8" ht="22.5" customHeight="1" x14ac:dyDescent="0.25">
      <c r="B17" s="49" t="s">
        <v>14</v>
      </c>
      <c r="C17" s="376" t="s">
        <v>15</v>
      </c>
      <c r="E17" s="377"/>
      <c r="F17" s="377"/>
    </row>
    <row r="18" spans="2:8" ht="22.15" customHeight="1" x14ac:dyDescent="0.25">
      <c r="C18" s="49"/>
      <c r="F18" s="49"/>
    </row>
    <row r="19" spans="2:8" ht="22.5" customHeight="1" x14ac:dyDescent="0.25">
      <c r="B19" s="49" t="s">
        <v>16</v>
      </c>
      <c r="C19" s="376" t="s">
        <v>17</v>
      </c>
      <c r="E19" s="49" t="s">
        <v>18</v>
      </c>
      <c r="F19" s="376" t="s">
        <v>19</v>
      </c>
      <c r="G19" s="49"/>
      <c r="H19" s="49"/>
    </row>
    <row r="20" spans="2:8" ht="22.5" customHeight="1" x14ac:dyDescent="0.25">
      <c r="C20" s="49"/>
      <c r="E20" s="49"/>
      <c r="F20" s="49"/>
    </row>
    <row r="21" spans="2:8" ht="22.5" customHeight="1" x14ac:dyDescent="0.25">
      <c r="B21" s="49" t="s">
        <v>20</v>
      </c>
      <c r="C21" s="376" t="s">
        <v>21</v>
      </c>
      <c r="E21" s="49" t="s">
        <v>22</v>
      </c>
      <c r="F21" s="376" t="s">
        <v>19</v>
      </c>
      <c r="G21" s="49"/>
      <c r="H21" s="49"/>
    </row>
    <row r="22" spans="2:8" ht="22.5" customHeight="1" x14ac:dyDescent="0.25">
      <c r="C22" s="49"/>
      <c r="E22" s="49"/>
      <c r="F22" s="49"/>
    </row>
    <row r="23" spans="2:8" ht="22.5" customHeight="1" x14ac:dyDescent="0.25">
      <c r="B23" s="49" t="s">
        <v>23</v>
      </c>
      <c r="C23" s="376" t="s">
        <v>24</v>
      </c>
      <c r="E23" s="49" t="s">
        <v>25</v>
      </c>
      <c r="F23" s="376" t="s">
        <v>26</v>
      </c>
      <c r="G23" s="49"/>
      <c r="H23" s="49"/>
    </row>
    <row r="24" spans="2:8" ht="22.5" customHeight="1" x14ac:dyDescent="0.25">
      <c r="C24" s="49"/>
      <c r="E24" s="49"/>
      <c r="F24" s="49"/>
    </row>
    <row r="25" spans="2:8" ht="22.5" customHeight="1" x14ac:dyDescent="0.25">
      <c r="C25" s="49"/>
      <c r="E25" s="49"/>
      <c r="F25" s="49"/>
    </row>
    <row r="27" spans="2:8" x14ac:dyDescent="0.25">
      <c r="B27" s="52"/>
    </row>
  </sheetData>
  <pageMargins left="0.7" right="0.7" top="0.75" bottom="0.75" header="0.3" footer="0.3"/>
  <pageSetup scale="5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816EF-A8AE-48EA-9EF7-0954F85CB4A5}">
  <sheetPr codeName="Sheet2">
    <tabColor rgb="FFA3E2F0"/>
  </sheetPr>
  <dimension ref="A1:BE421"/>
  <sheetViews>
    <sheetView showGridLines="0" tabSelected="1" topLeftCell="A2" zoomScale="85" zoomScaleNormal="85" zoomScaleSheetLayoutView="90" workbookViewId="0">
      <pane xSplit="8" ySplit="6" topLeftCell="AD8" activePane="bottomRight" state="frozen"/>
      <selection pane="topRight" activeCell="D2" sqref="D2"/>
      <selection pane="bottomLeft" activeCell="B8" sqref="B8"/>
      <selection pane="bottomRight" activeCell="AM13" sqref="AM13"/>
    </sheetView>
  </sheetViews>
  <sheetFormatPr defaultColWidth="9.28515625" defaultRowHeight="15.75" outlineLevelRow="2" outlineLevelCol="1" x14ac:dyDescent="0.25"/>
  <cols>
    <col min="1" max="1" width="8.85546875" style="617" customWidth="1"/>
    <col min="2" max="2" width="29.85546875" style="36" customWidth="1"/>
    <col min="3" max="3" width="63.5703125" style="36" customWidth="1"/>
    <col min="4" max="7" width="12.140625" style="617" hidden="1" customWidth="1" outlineLevel="1"/>
    <col min="8" max="8" width="14.85546875" style="36" customWidth="1" collapsed="1"/>
    <col min="9" max="9" width="14.42578125" style="38" hidden="1" customWidth="1" outlineLevel="1"/>
    <col min="10" max="10" width="14.140625" style="38" hidden="1" customWidth="1" outlineLevel="1"/>
    <col min="11" max="11" width="13.85546875" style="38" hidden="1" customWidth="1" outlineLevel="1"/>
    <col min="12" max="12" width="14.28515625" style="38" hidden="1" customWidth="1" outlineLevel="1"/>
    <col min="13" max="13" width="13.7109375" style="38" hidden="1" customWidth="1" outlineLevel="1"/>
    <col min="14" max="14" width="72.7109375" style="34" bestFit="1" customWidth="1" collapsed="1"/>
    <col min="15" max="15" width="15.5703125" style="216" bestFit="1" customWidth="1"/>
    <col min="16" max="16" width="12.28515625" style="769" customWidth="1"/>
    <col min="17" max="21" width="12" style="35" customWidth="1"/>
    <col min="22" max="22" width="18.5703125" style="35" customWidth="1"/>
    <col min="23" max="23" width="40.140625" style="35" customWidth="1"/>
    <col min="24" max="24" width="93.42578125" style="34" customWidth="1"/>
    <col min="25" max="25" width="16.7109375" style="710" customWidth="1"/>
    <col min="26" max="26" width="12.5703125" style="780" customWidth="1"/>
    <col min="27" max="31" width="12" style="35" customWidth="1"/>
    <col min="32" max="32" width="18.28515625" style="35" customWidth="1"/>
    <col min="33" max="33" width="11.85546875" style="737" customWidth="1" outlineLevel="1"/>
    <col min="34" max="34" width="44.7109375" style="35" customWidth="1"/>
    <col min="35" max="35" width="52.140625" style="36" customWidth="1"/>
    <col min="36" max="36" width="16.5703125" style="710" customWidth="1"/>
    <col min="37" max="37" width="14" style="780" customWidth="1"/>
    <col min="38" max="42" width="12" style="35" customWidth="1"/>
    <col min="43" max="43" width="18.42578125" style="35" customWidth="1"/>
    <col min="44" max="44" width="9.85546875" style="879" customWidth="1"/>
    <col min="45" max="45" width="41.5703125" style="35" customWidth="1"/>
    <col min="46" max="46" width="47" style="27" hidden="1" customWidth="1"/>
    <col min="47" max="47" width="13" style="27" hidden="1" customWidth="1"/>
    <col min="48" max="52" width="12.85546875" style="27" hidden="1" customWidth="1"/>
    <col min="53" max="53" width="18.85546875" style="27" hidden="1" customWidth="1"/>
    <col min="54" max="54" width="41.5703125" style="35" hidden="1" customWidth="1"/>
    <col min="55" max="55" width="14.5703125" style="36" bestFit="1" customWidth="1"/>
    <col min="56" max="56" width="12.42578125" style="36" bestFit="1" customWidth="1"/>
    <col min="57" max="16384" width="9.28515625" style="36"/>
  </cols>
  <sheetData>
    <row r="1" spans="1:56" x14ac:dyDescent="0.25">
      <c r="A1" s="605"/>
      <c r="B1" s="2"/>
      <c r="C1" s="2"/>
      <c r="D1" s="605"/>
      <c r="E1" s="605"/>
      <c r="F1" s="605"/>
      <c r="G1" s="605"/>
      <c r="H1" s="2"/>
      <c r="I1" s="3"/>
      <c r="J1" s="3"/>
      <c r="K1" s="3"/>
      <c r="L1" s="3"/>
      <c r="M1" s="3"/>
      <c r="N1" s="4"/>
      <c r="O1" s="5"/>
      <c r="P1" s="751"/>
      <c r="Q1" s="6"/>
      <c r="R1" s="6"/>
      <c r="S1" s="6"/>
      <c r="T1" s="6"/>
      <c r="U1" s="6"/>
      <c r="V1" s="6"/>
      <c r="W1" s="9"/>
      <c r="X1" s="7"/>
      <c r="Y1" s="702"/>
      <c r="Z1" s="770"/>
      <c r="AA1" s="9"/>
      <c r="AB1" s="9"/>
      <c r="AC1" s="9"/>
      <c r="AD1" s="9"/>
      <c r="AE1" s="9"/>
      <c r="AF1" s="9"/>
      <c r="AG1" s="736"/>
      <c r="AH1" s="9"/>
      <c r="AI1" s="262"/>
      <c r="AJ1" s="883"/>
      <c r="AK1" s="892"/>
      <c r="AL1" s="12"/>
      <c r="AM1" s="12"/>
      <c r="AN1" s="12"/>
      <c r="AO1" s="12"/>
      <c r="AP1" s="12"/>
      <c r="AQ1" s="12"/>
      <c r="AR1" s="868"/>
      <c r="AS1" s="12"/>
      <c r="AT1" s="1"/>
      <c r="AU1" s="1"/>
      <c r="BB1" s="12"/>
    </row>
    <row r="2" spans="1:56" s="959" customFormat="1" x14ac:dyDescent="0.25">
      <c r="A2" s="958"/>
      <c r="D2" s="958"/>
      <c r="E2" s="958"/>
      <c r="F2" s="958"/>
      <c r="G2" s="958"/>
      <c r="I2" s="960"/>
      <c r="J2" s="960"/>
      <c r="K2" s="960"/>
      <c r="L2" s="960"/>
      <c r="M2" s="960"/>
      <c r="N2" s="961"/>
      <c r="O2" s="962"/>
      <c r="P2" s="963"/>
      <c r="Q2" s="964"/>
      <c r="R2" s="964"/>
      <c r="S2" s="964"/>
      <c r="T2" s="964"/>
      <c r="U2" s="964"/>
      <c r="V2" s="964"/>
      <c r="W2" s="964"/>
      <c r="X2" s="961"/>
      <c r="Y2" s="965"/>
      <c r="Z2" s="966"/>
      <c r="AA2" s="964"/>
      <c r="AB2" s="964"/>
      <c r="AC2" s="964"/>
      <c r="AD2" s="964"/>
      <c r="AE2" s="964"/>
      <c r="AF2" s="964"/>
      <c r="AG2" s="967"/>
      <c r="AH2" s="964"/>
      <c r="AJ2" s="965"/>
      <c r="AK2" s="966"/>
      <c r="AL2" s="964"/>
      <c r="AM2" s="964"/>
      <c r="AN2" s="964"/>
      <c r="AO2" s="964"/>
      <c r="AP2" s="964"/>
      <c r="AQ2" s="964"/>
      <c r="AR2" s="968"/>
      <c r="AS2" s="964"/>
      <c r="AT2" s="969"/>
      <c r="AU2" s="969"/>
      <c r="AV2" s="969"/>
      <c r="AW2" s="969"/>
      <c r="AX2" s="969"/>
      <c r="AY2" s="969"/>
      <c r="AZ2" s="969"/>
      <c r="BA2" s="969"/>
      <c r="BB2" s="964"/>
    </row>
    <row r="3" spans="1:56" ht="26.25" x14ac:dyDescent="0.25">
      <c r="A3" s="24"/>
      <c r="B3" s="24"/>
      <c r="C3" s="24" t="s">
        <v>27</v>
      </c>
      <c r="D3" s="24"/>
      <c r="E3" s="24"/>
      <c r="F3" s="24"/>
      <c r="G3" s="24"/>
      <c r="H3" s="1312" t="s">
        <v>28</v>
      </c>
      <c r="J3" s="1314" t="s">
        <v>29</v>
      </c>
      <c r="K3" s="1315"/>
      <c r="L3" s="1315"/>
      <c r="M3" s="1316"/>
      <c r="N3" s="137"/>
      <c r="O3" s="135"/>
      <c r="P3" s="753"/>
      <c r="Q3" s="134"/>
      <c r="R3" s="136"/>
      <c r="S3" s="136"/>
      <c r="T3" s="136"/>
      <c r="U3" s="136"/>
      <c r="V3" s="136"/>
      <c r="W3" s="136"/>
      <c r="X3" s="137"/>
      <c r="Y3" s="704"/>
      <c r="Z3" s="753"/>
      <c r="AA3" s="134"/>
      <c r="AB3" s="136"/>
      <c r="AC3" s="136"/>
      <c r="AD3" s="136"/>
      <c r="AE3" s="136"/>
      <c r="AF3" s="136"/>
      <c r="AH3" s="136"/>
      <c r="AI3" s="137"/>
      <c r="AJ3" s="704"/>
      <c r="AK3" s="893"/>
      <c r="AL3" s="134"/>
      <c r="AM3" s="136"/>
      <c r="AN3" s="136"/>
      <c r="AO3" s="136"/>
      <c r="AP3" s="136"/>
      <c r="AQ3" s="136"/>
      <c r="AR3" s="869"/>
      <c r="AS3" s="136"/>
      <c r="AT3" s="137"/>
      <c r="AU3" s="135"/>
      <c r="AV3" s="134"/>
      <c r="AW3" s="136"/>
      <c r="AX3" s="136"/>
      <c r="AY3" s="136"/>
      <c r="AZ3" s="136"/>
      <c r="BA3" s="136"/>
      <c r="BB3" s="136"/>
    </row>
    <row r="4" spans="1:56" s="493" customFormat="1" ht="26.25" customHeight="1" x14ac:dyDescent="0.25">
      <c r="A4" s="232"/>
      <c r="B4" s="232"/>
      <c r="C4" s="309" t="str">
        <f>'(INTERNAL) Basic Entry '!$C$7</f>
        <v>First State Bank of Waynesboro</v>
      </c>
      <c r="D4" s="606"/>
      <c r="E4" s="606"/>
      <c r="F4" s="606"/>
      <c r="G4" s="606"/>
      <c r="H4" s="1313"/>
      <c r="J4" s="225" t="s">
        <v>30</v>
      </c>
      <c r="K4" s="226" t="s">
        <v>31</v>
      </c>
      <c r="L4" s="228" t="s">
        <v>32</v>
      </c>
      <c r="M4" s="229" t="s">
        <v>33</v>
      </c>
      <c r="N4" s="1317" t="str">
        <f>'(INTERNAL) Basic Entry '!$C$17</f>
        <v>Current (FIS Bankway)</v>
      </c>
      <c r="O4" s="1318"/>
      <c r="P4" s="1318"/>
      <c r="Q4" s="1318"/>
      <c r="R4" s="1318"/>
      <c r="S4" s="1318"/>
      <c r="T4" s="1318"/>
      <c r="U4" s="1318"/>
      <c r="V4" s="1319"/>
      <c r="W4" s="524"/>
      <c r="X4" s="1320" t="str">
        <f>'(INTERNAL) Basic Entry '!$C$19</f>
        <v>FIS Horizon with D1 Flex</v>
      </c>
      <c r="Y4" s="1321"/>
      <c r="Z4" s="1321"/>
      <c r="AA4" s="1321"/>
      <c r="AB4" s="1321"/>
      <c r="AC4" s="1321"/>
      <c r="AD4" s="1321"/>
      <c r="AE4" s="1321"/>
      <c r="AF4" s="1322"/>
      <c r="AG4" s="738"/>
      <c r="AH4" s="371"/>
      <c r="AI4" s="1323" t="str">
        <f>'(INTERNAL) Basic Entry '!C21</f>
        <v>FIS Horizon WITHOUT D1 Flex</v>
      </c>
      <c r="AJ4" s="1324"/>
      <c r="AK4" s="1324"/>
      <c r="AL4" s="1324"/>
      <c r="AM4" s="1324"/>
      <c r="AN4" s="1324"/>
      <c r="AO4" s="1324"/>
      <c r="AP4" s="1324"/>
      <c r="AQ4" s="1325"/>
      <c r="AR4" s="870"/>
      <c r="AS4" s="472"/>
      <c r="AT4" s="1326" t="str">
        <f>'(INTERNAL) Basic Entry '!C23</f>
        <v>Vendor #3</v>
      </c>
      <c r="AU4" s="1327"/>
      <c r="AV4" s="1327"/>
      <c r="AW4" s="1327"/>
      <c r="AX4" s="1327"/>
      <c r="AY4" s="1327"/>
      <c r="AZ4" s="1327"/>
      <c r="BA4" s="1328"/>
      <c r="BB4" s="529"/>
    </row>
    <row r="5" spans="1:56" ht="18.399999999999999" customHeight="1" thickBot="1" x14ac:dyDescent="0.3">
      <c r="A5" s="26"/>
      <c r="B5" s="25"/>
      <c r="C5" s="273" t="str">
        <f>'(INTERNAL) Basic Entry '!$C$9&amp;" Pricing Analysis"</f>
        <v>CORE &amp; DIGITAL Pricing Analysis</v>
      </c>
      <c r="D5" s="605"/>
      <c r="E5" s="605"/>
      <c r="F5" s="605"/>
      <c r="G5" s="605"/>
      <c r="H5" s="224">
        <v>0.05</v>
      </c>
      <c r="I5" s="796"/>
      <c r="J5" s="223">
        <v>4.6699999999999998E-2</v>
      </c>
      <c r="K5" s="227">
        <v>4.6699999999999998E-2</v>
      </c>
      <c r="L5" s="227">
        <v>4.6699999999999998E-2</v>
      </c>
      <c r="M5" s="230">
        <v>0</v>
      </c>
      <c r="N5" s="1332" t="str">
        <f>'(INTERNAL) Basic Entry '!$B$14</f>
        <v>Baseline from Current Invoices</v>
      </c>
      <c r="O5" s="1333"/>
      <c r="P5" s="1333"/>
      <c r="Q5" s="1333"/>
      <c r="R5" s="1333"/>
      <c r="S5" s="1333"/>
      <c r="T5" s="1333"/>
      <c r="U5" s="1333"/>
      <c r="V5" s="1334"/>
      <c r="W5" s="525"/>
      <c r="X5" s="1335" t="str">
        <f>'(INTERNAL) Basic Entry '!F19</f>
        <v>Proposal Dated 12/13/2023</v>
      </c>
      <c r="Y5" s="1336"/>
      <c r="Z5" s="1336"/>
      <c r="AA5" s="1336"/>
      <c r="AB5" s="1336"/>
      <c r="AC5" s="1336"/>
      <c r="AD5" s="1336"/>
      <c r="AE5" s="1336"/>
      <c r="AF5" s="1337"/>
      <c r="AG5" s="739"/>
      <c r="AH5" s="372"/>
      <c r="AI5" s="1338" t="str">
        <f>'(INTERNAL) Basic Entry '!F21</f>
        <v>Proposal Dated 12/13/2023</v>
      </c>
      <c r="AJ5" s="1339"/>
      <c r="AK5" s="1339"/>
      <c r="AL5" s="1339"/>
      <c r="AM5" s="1339"/>
      <c r="AN5" s="1339"/>
      <c r="AO5" s="1339"/>
      <c r="AP5" s="1339"/>
      <c r="AQ5" s="1340"/>
      <c r="AR5" s="871"/>
      <c r="AS5" s="471"/>
      <c r="AT5" s="1309" t="str">
        <f>'(INTERNAL) Basic Entry '!F23</f>
        <v>Month Year</v>
      </c>
      <c r="AU5" s="1310"/>
      <c r="AV5" s="1310"/>
      <c r="AW5" s="1310"/>
      <c r="AX5" s="1310"/>
      <c r="AY5" s="1310"/>
      <c r="AZ5" s="1310"/>
      <c r="BA5" s="1311"/>
      <c r="BB5" s="530"/>
    </row>
    <row r="6" spans="1:56" s="494" customFormat="1" ht="56.25" x14ac:dyDescent="0.3">
      <c r="A6" s="101"/>
      <c r="B6" s="101" t="s">
        <v>34</v>
      </c>
      <c r="C6" s="101" t="s">
        <v>35</v>
      </c>
      <c r="D6" s="603" t="s">
        <v>36</v>
      </c>
      <c r="E6" s="603" t="s">
        <v>37</v>
      </c>
      <c r="F6" s="603" t="s">
        <v>38</v>
      </c>
      <c r="G6" s="603" t="s">
        <v>39</v>
      </c>
      <c r="H6" s="359" t="s">
        <v>40</v>
      </c>
      <c r="I6" s="217" t="s">
        <v>41</v>
      </c>
      <c r="J6" s="217" t="s">
        <v>42</v>
      </c>
      <c r="K6" s="217" t="s">
        <v>43</v>
      </c>
      <c r="L6" s="217" t="s">
        <v>44</v>
      </c>
      <c r="M6" s="217" t="s">
        <v>45</v>
      </c>
      <c r="N6" s="29" t="s">
        <v>46</v>
      </c>
      <c r="O6" s="359" t="s">
        <v>47</v>
      </c>
      <c r="P6" s="754"/>
      <c r="Q6" s="30" t="s">
        <v>48</v>
      </c>
      <c r="R6" s="30" t="s">
        <v>49</v>
      </c>
      <c r="S6" s="30" t="s">
        <v>50</v>
      </c>
      <c r="T6" s="30" t="s">
        <v>51</v>
      </c>
      <c r="U6" s="30" t="s">
        <v>52</v>
      </c>
      <c r="V6" s="208" t="s">
        <v>53</v>
      </c>
      <c r="W6" s="526" t="s">
        <v>54</v>
      </c>
      <c r="X6" s="235" t="s">
        <v>55</v>
      </c>
      <c r="Y6" s="705" t="s">
        <v>47</v>
      </c>
      <c r="Z6" s="772"/>
      <c r="AA6" s="824" t="s">
        <v>56</v>
      </c>
      <c r="AB6" s="824" t="s">
        <v>49</v>
      </c>
      <c r="AC6" s="824" t="s">
        <v>50</v>
      </c>
      <c r="AD6" s="824" t="s">
        <v>51</v>
      </c>
      <c r="AE6" s="824" t="s">
        <v>57</v>
      </c>
      <c r="AF6" s="122" t="s">
        <v>58</v>
      </c>
      <c r="AG6" s="740" t="s">
        <v>59</v>
      </c>
      <c r="AH6" s="373" t="s">
        <v>54</v>
      </c>
      <c r="AI6" s="32" t="s">
        <v>55</v>
      </c>
      <c r="AJ6" s="884" t="s">
        <v>47</v>
      </c>
      <c r="AK6" s="894" t="s">
        <v>60</v>
      </c>
      <c r="AL6" s="33" t="s">
        <v>48</v>
      </c>
      <c r="AM6" s="33" t="s">
        <v>49</v>
      </c>
      <c r="AN6" s="33" t="s">
        <v>50</v>
      </c>
      <c r="AO6" s="33" t="s">
        <v>51</v>
      </c>
      <c r="AP6" s="33" t="s">
        <v>52</v>
      </c>
      <c r="AQ6" s="157" t="s">
        <v>58</v>
      </c>
      <c r="AR6" s="872" t="s">
        <v>61</v>
      </c>
      <c r="AS6" s="33" t="s">
        <v>54</v>
      </c>
      <c r="AT6" s="236" t="s">
        <v>55</v>
      </c>
      <c r="AU6" s="236" t="s">
        <v>47</v>
      </c>
      <c r="AV6" s="37" t="s">
        <v>48</v>
      </c>
      <c r="AW6" s="37" t="s">
        <v>49</v>
      </c>
      <c r="AX6" s="37" t="s">
        <v>50</v>
      </c>
      <c r="AY6" s="37" t="s">
        <v>51</v>
      </c>
      <c r="AZ6" s="37" t="s">
        <v>52</v>
      </c>
      <c r="BA6" s="164" t="s">
        <v>58</v>
      </c>
      <c r="BB6" s="354" t="s">
        <v>54</v>
      </c>
    </row>
    <row r="7" spans="1:56" ht="3.75" customHeight="1" x14ac:dyDescent="0.25">
      <c r="A7" s="607"/>
      <c r="B7" s="16"/>
      <c r="C7" s="263"/>
      <c r="D7" s="607"/>
      <c r="E7" s="607"/>
      <c r="F7" s="607"/>
      <c r="G7" s="607"/>
      <c r="H7" s="16"/>
      <c r="I7" s="18"/>
      <c r="J7" s="18"/>
      <c r="K7" s="18"/>
      <c r="L7" s="18"/>
      <c r="M7" s="18"/>
      <c r="N7" s="16"/>
      <c r="O7" s="19"/>
      <c r="P7" s="755"/>
      <c r="Q7" s="17"/>
      <c r="R7" s="17"/>
      <c r="S7" s="17"/>
      <c r="T7" s="17"/>
      <c r="U7" s="17"/>
      <c r="V7" s="17"/>
      <c r="W7" s="21"/>
      <c r="X7" s="16"/>
      <c r="Y7" s="706"/>
      <c r="Z7" s="773"/>
      <c r="AA7" s="21"/>
      <c r="AB7" s="21"/>
      <c r="AC7" s="21"/>
      <c r="AD7" s="21"/>
      <c r="AE7" s="21"/>
      <c r="AF7" s="21"/>
      <c r="AG7" s="741"/>
      <c r="AH7" s="21"/>
      <c r="AI7" s="263"/>
      <c r="AJ7" s="706"/>
      <c r="AK7" s="773"/>
      <c r="AL7" s="21"/>
      <c r="AM7" s="21"/>
      <c r="AN7" s="21"/>
      <c r="AO7" s="21"/>
      <c r="AP7" s="21"/>
      <c r="AQ7" s="21"/>
      <c r="AR7" s="873"/>
      <c r="AS7" s="21"/>
      <c r="AT7" s="20"/>
      <c r="AU7" s="20"/>
      <c r="AV7" s="20"/>
      <c r="AW7" s="20"/>
      <c r="AX7" s="20"/>
      <c r="AY7" s="20"/>
      <c r="AZ7" s="20"/>
      <c r="BA7" s="22"/>
      <c r="BB7" s="21"/>
    </row>
    <row r="8" spans="1:56" s="495" customFormat="1" outlineLevel="1" x14ac:dyDescent="0.25">
      <c r="A8" s="445"/>
      <c r="B8" s="252" t="str">
        <f>C8</f>
        <v>Core Banking Service:</v>
      </c>
      <c r="C8" s="242" t="s">
        <v>62</v>
      </c>
      <c r="D8" s="608"/>
      <c r="E8" s="608"/>
      <c r="F8" s="608"/>
      <c r="G8" s="608"/>
      <c r="H8" s="243"/>
      <c r="I8" s="243"/>
      <c r="J8" s="243"/>
      <c r="K8" s="243"/>
      <c r="L8" s="243"/>
      <c r="M8" s="244"/>
      <c r="N8" s="252" t="str">
        <f>C8</f>
        <v>Core Banking Service:</v>
      </c>
      <c r="O8" s="243"/>
      <c r="P8" s="756"/>
      <c r="Q8" s="243"/>
      <c r="R8" s="243"/>
      <c r="S8" s="243"/>
      <c r="T8" s="243"/>
      <c r="U8" s="244"/>
      <c r="V8" s="209"/>
      <c r="W8" s="527"/>
      <c r="X8" s="252" t="str">
        <f>C8</f>
        <v>Core Banking Service:</v>
      </c>
      <c r="Y8" s="707"/>
      <c r="Z8" s="756"/>
      <c r="AA8" s="243"/>
      <c r="AB8" s="243"/>
      <c r="AC8" s="243"/>
      <c r="AD8" s="243"/>
      <c r="AE8" s="244"/>
      <c r="AF8" s="123"/>
      <c r="AG8" s="742"/>
      <c r="AH8" s="244"/>
      <c r="AI8" s="252" t="str">
        <f>C8</f>
        <v>Core Banking Service:</v>
      </c>
      <c r="AJ8" s="707"/>
      <c r="AK8" s="895"/>
      <c r="AL8" s="243"/>
      <c r="AM8" s="243"/>
      <c r="AN8" s="243"/>
      <c r="AO8" s="243"/>
      <c r="AP8" s="244"/>
      <c r="AQ8" s="158"/>
      <c r="AR8" s="874"/>
      <c r="AS8" s="874"/>
      <c r="AT8" s="252" t="str">
        <f>C8</f>
        <v>Core Banking Service:</v>
      </c>
      <c r="AU8" s="243"/>
      <c r="AV8" s="243"/>
      <c r="AW8" s="243"/>
      <c r="AX8" s="243"/>
      <c r="AY8" s="243"/>
      <c r="AZ8" s="244"/>
      <c r="BA8" s="165"/>
      <c r="BB8" s="532"/>
    </row>
    <row r="9" spans="1:56" s="495" customFormat="1" outlineLevel="1" x14ac:dyDescent="0.25">
      <c r="A9" s="445"/>
      <c r="B9" s="623"/>
      <c r="C9" s="310" t="s">
        <v>63</v>
      </c>
      <c r="D9" s="604">
        <v>1</v>
      </c>
      <c r="E9" s="604">
        <v>1</v>
      </c>
      <c r="F9" s="604">
        <v>1</v>
      </c>
      <c r="G9" s="604">
        <v>1</v>
      </c>
      <c r="H9" s="618">
        <f>IFERROR(AVERAGE(D9:G9),0)</f>
        <v>1</v>
      </c>
      <c r="I9" s="127">
        <f>H9*12</f>
        <v>12</v>
      </c>
      <c r="J9" s="127">
        <f>((I9)*$H$5)+I9</f>
        <v>12.6</v>
      </c>
      <c r="K9" s="127">
        <f t="shared" ref="K9:M9" si="0">((J9)*$H$5)+J9</f>
        <v>13.23</v>
      </c>
      <c r="L9" s="127">
        <f t="shared" si="0"/>
        <v>13.891500000000001</v>
      </c>
      <c r="M9" s="127">
        <f t="shared" si="0"/>
        <v>14.586075000000001</v>
      </c>
      <c r="N9" s="245" t="str">
        <f>IF(C9="","",C9)</f>
        <v>Bankway Core Banking System (Enterprise License)</v>
      </c>
      <c r="O9" s="586">
        <v>25697.928333</v>
      </c>
      <c r="P9" s="757">
        <f t="shared" ref="P9:P48" si="1">Q9/12</f>
        <v>25697.928333</v>
      </c>
      <c r="Q9" s="129">
        <f t="shared" ref="Q9" si="2">IF(O9&gt;0,PRODUCT(I9,$O9),0)</f>
        <v>308375.13999599998</v>
      </c>
      <c r="R9" s="129">
        <f t="shared" ref="R9" si="3">IF(Q9&gt;0,PRODUCT(J9,$O9),0)</f>
        <v>323793.89699579997</v>
      </c>
      <c r="S9" s="129">
        <f t="shared" ref="S9" si="4">IF(R9&gt;0,PRODUCT(K9,$O9),0)</f>
        <v>339983.59184558998</v>
      </c>
      <c r="T9" s="129">
        <f t="shared" ref="T9" si="5">IF(S9&gt;0,PRODUCT(L9,$O9),0)</f>
        <v>356982.77143786952</v>
      </c>
      <c r="U9" s="129">
        <f t="shared" ref="U9" si="6">IF(T9&gt;0,PRODUCT(M9,$O9),0)</f>
        <v>374831.91000976297</v>
      </c>
      <c r="V9" s="209">
        <f t="shared" ref="V9:V48" si="7">SUM(Q9:U9)</f>
        <v>1703967.3102850222</v>
      </c>
      <c r="W9" s="1106" t="s">
        <v>64</v>
      </c>
      <c r="X9" s="222"/>
      <c r="Y9" s="325"/>
      <c r="Z9" s="774">
        <f t="shared" ref="Z9:Z48" si="8">AA9/12</f>
        <v>0</v>
      </c>
      <c r="AA9" s="103">
        <f t="shared" ref="AA9:AA48" si="9">IF(Y9&gt;0,PRODUCT(I9,$Y9),0)</f>
        <v>0</v>
      </c>
      <c r="AB9" s="103">
        <f t="shared" ref="AB9:AB48" si="10">IF(AA9&gt;0,PRODUCT(J9,$Y9),0)</f>
        <v>0</v>
      </c>
      <c r="AC9" s="103">
        <f t="shared" ref="AC9:AC48" si="11">IF(AB9&gt;0,PRODUCT(K9,$Y9),0)</f>
        <v>0</v>
      </c>
      <c r="AD9" s="103">
        <f t="shared" ref="AD9:AD48" si="12">IF(AC9&gt;0,PRODUCT(L9,$Y9),0)</f>
        <v>0</v>
      </c>
      <c r="AE9" s="103">
        <f t="shared" ref="AE9:AE48" si="13">IF(AD9&gt;0,PRODUCT(M9,$Y9),0)</f>
        <v>0</v>
      </c>
      <c r="AF9" s="123">
        <f t="shared" ref="AF9:AF40" si="14">SUM(AA9:AE9)</f>
        <v>0</v>
      </c>
      <c r="AG9" s="743"/>
      <c r="AH9" s="370"/>
      <c r="AI9" s="221"/>
      <c r="AJ9" s="270"/>
      <c r="AK9" s="896">
        <f t="shared" ref="AK9:AK48" si="15">AL9/12</f>
        <v>0</v>
      </c>
      <c r="AL9" s="105" cm="1">
        <f t="array" ref="AL9">_xlfn.IFS(AJ9="NO CHARGE",0,AJ9=0,0,AJ9&gt;0,PRODUCT(I9,$AJ9))</f>
        <v>0</v>
      </c>
      <c r="AM9" s="105" cm="1">
        <f t="array" ref="AM9">_xlfn.IFS(AK9="NO CHARGE",0,AK9=0,0,AK9&gt;0,PRODUCT(J9,$AJ9))</f>
        <v>0</v>
      </c>
      <c r="AN9" s="105" cm="1">
        <f t="array" ref="AN9">_xlfn.IFS(AL9="NO CHARGE",0,AL9=0,0,AL9&gt;0,PRODUCT(K9,$AJ9))</f>
        <v>0</v>
      </c>
      <c r="AO9" s="105" cm="1">
        <f t="array" ref="AO9">_xlfn.IFS(AM9="NO CHARGE",0,AM9=0,0,AM9&gt;0,PRODUCT(L9,$AJ9))</f>
        <v>0</v>
      </c>
      <c r="AP9" s="105" cm="1">
        <f t="array" ref="AP9">_xlfn.IFS(AN9="NO CHARGE",0,AN9=0,0,AN9&gt;0,PRODUCT(M9,$AJ9))</f>
        <v>0</v>
      </c>
      <c r="AQ9" s="158">
        <f t="shared" ref="AQ9:AQ40" si="16">SUM(AL9:AP9)</f>
        <v>0</v>
      </c>
      <c r="AR9" s="875"/>
      <c r="AS9" s="473"/>
      <c r="AT9" s="106"/>
      <c r="AU9" s="107"/>
      <c r="AV9" s="108">
        <f t="shared" ref="AV9:AV48" si="17">IF(AU9&gt;0,PRODUCT(I9,$AU9),0)</f>
        <v>0</v>
      </c>
      <c r="AW9" s="108">
        <f t="shared" ref="AW9:AW48" si="18">IF(AV9&gt;0,PRODUCT(J9,$AU9),0)</f>
        <v>0</v>
      </c>
      <c r="AX9" s="108">
        <f t="shared" ref="AX9:AX48" si="19">IF(AW9&gt;0,PRODUCT(K9,$AU9),0)</f>
        <v>0</v>
      </c>
      <c r="AY9" s="108">
        <f t="shared" ref="AY9:AY48" si="20">IF(AX9&gt;0,PRODUCT(L9,$AU9),0)</f>
        <v>0</v>
      </c>
      <c r="AZ9" s="108">
        <f t="shared" ref="AZ9:AZ48" si="21">IF(AY9&gt;0,PRODUCT(M9,$AU9),0)</f>
        <v>0</v>
      </c>
      <c r="BA9" s="165">
        <f t="shared" ref="BA9:BA48" si="22">SUM(AV9:AZ9)</f>
        <v>0</v>
      </c>
      <c r="BB9" s="531"/>
    </row>
    <row r="10" spans="1:56" s="495" customFormat="1" outlineLevel="1" x14ac:dyDescent="0.25">
      <c r="A10" s="445"/>
      <c r="B10" s="623"/>
      <c r="C10" s="310" t="s">
        <v>65</v>
      </c>
      <c r="D10" s="604">
        <v>1</v>
      </c>
      <c r="E10" s="604">
        <v>1</v>
      </c>
      <c r="F10" s="604">
        <v>1</v>
      </c>
      <c r="G10" s="604">
        <v>1</v>
      </c>
      <c r="H10" s="618">
        <f>IFERROR(AVERAGE(D10:G10),0)</f>
        <v>1</v>
      </c>
      <c r="I10" s="127">
        <f>H10*12</f>
        <v>12</v>
      </c>
      <c r="J10" s="127">
        <f t="shared" ref="J10:M12" si="23">IF(I10&gt;12,(((I10)*$H$5)+I10),(I10*1))</f>
        <v>12</v>
      </c>
      <c r="K10" s="127">
        <f t="shared" si="23"/>
        <v>12</v>
      </c>
      <c r="L10" s="127">
        <f t="shared" si="23"/>
        <v>12</v>
      </c>
      <c r="M10" s="127">
        <f t="shared" si="23"/>
        <v>12</v>
      </c>
      <c r="N10" s="245" t="str">
        <f>IF(C10="","",C10)</f>
        <v>Bankway Core Banking System New Account Desk</v>
      </c>
      <c r="O10" s="586">
        <v>817.53583300000003</v>
      </c>
      <c r="P10" s="757">
        <f t="shared" si="1"/>
        <v>817.53583300000003</v>
      </c>
      <c r="Q10" s="129">
        <f t="shared" ref="Q10:Q48" si="24">IF(O10&gt;0,PRODUCT(I10,$O10),0)</f>
        <v>9810.4299960000008</v>
      </c>
      <c r="R10" s="129">
        <f t="shared" ref="R10:R48" si="25">IF(Q10&gt;0,PRODUCT(J10,$O10),0)</f>
        <v>9810.4299960000008</v>
      </c>
      <c r="S10" s="129">
        <f t="shared" ref="S10:S48" si="26">IF(R10&gt;0,PRODUCT(K10,$O10),0)</f>
        <v>9810.4299960000008</v>
      </c>
      <c r="T10" s="129">
        <f t="shared" ref="T10:T48" si="27">IF(S10&gt;0,PRODUCT(L10,$O10),0)</f>
        <v>9810.4299960000008</v>
      </c>
      <c r="U10" s="129">
        <f t="shared" ref="U10:U48" si="28">IF(T10&gt;0,PRODUCT(M10,$O10),0)</f>
        <v>9810.4299960000008</v>
      </c>
      <c r="V10" s="209">
        <f t="shared" si="7"/>
        <v>49052.149980000002</v>
      </c>
      <c r="W10" s="528"/>
      <c r="X10" s="222"/>
      <c r="Y10" s="325"/>
      <c r="Z10" s="774">
        <f t="shared" si="8"/>
        <v>0</v>
      </c>
      <c r="AA10" s="103">
        <f t="shared" si="9"/>
        <v>0</v>
      </c>
      <c r="AB10" s="103">
        <f t="shared" si="10"/>
        <v>0</v>
      </c>
      <c r="AC10" s="103">
        <f t="shared" si="11"/>
        <v>0</v>
      </c>
      <c r="AD10" s="103">
        <f t="shared" si="12"/>
        <v>0</v>
      </c>
      <c r="AE10" s="103">
        <f t="shared" si="13"/>
        <v>0</v>
      </c>
      <c r="AF10" s="123">
        <f t="shared" si="14"/>
        <v>0</v>
      </c>
      <c r="AG10" s="743"/>
      <c r="AH10" s="370"/>
      <c r="AI10" s="221"/>
      <c r="AJ10" s="270"/>
      <c r="AK10" s="896">
        <f t="shared" si="15"/>
        <v>0</v>
      </c>
      <c r="AL10" s="105" cm="1">
        <f t="array" ref="AL10">_xlfn.IFS(AJ10="NO CHARGE",0,AJ10=0,0,AJ10&gt;0,PRODUCT(I10,$AJ10))</f>
        <v>0</v>
      </c>
      <c r="AM10" s="105" cm="1">
        <f t="array" ref="AM10">_xlfn.IFS(AK10="NO CHARGE",0,AK10=0,0,AK10&gt;0,PRODUCT(J10,$AJ10))</f>
        <v>0</v>
      </c>
      <c r="AN10" s="105" cm="1">
        <f t="array" ref="AN10">_xlfn.IFS(AL10="NO CHARGE",0,AL10=0,0,AL10&gt;0,PRODUCT(K10,$AJ10))</f>
        <v>0</v>
      </c>
      <c r="AO10" s="105" cm="1">
        <f t="array" ref="AO10">_xlfn.IFS(AM10="NO CHARGE",0,AM10=0,0,AM10&gt;0,PRODUCT(L10,$AJ10))</f>
        <v>0</v>
      </c>
      <c r="AP10" s="105" cm="1">
        <f t="array" ref="AP10">_xlfn.IFS(AN10="NO CHARGE",0,AN10=0,0,AN10&gt;0,PRODUCT(M10,$AJ10))</f>
        <v>0</v>
      </c>
      <c r="AQ10" s="158">
        <f t="shared" si="16"/>
        <v>0</v>
      </c>
      <c r="AR10" s="875"/>
      <c r="AS10" s="473"/>
      <c r="AT10" s="106"/>
      <c r="AU10" s="107"/>
      <c r="AV10" s="108">
        <f t="shared" si="17"/>
        <v>0</v>
      </c>
      <c r="AW10" s="108">
        <f t="shared" si="18"/>
        <v>0</v>
      </c>
      <c r="AX10" s="108">
        <f t="shared" si="19"/>
        <v>0</v>
      </c>
      <c r="AY10" s="108">
        <f t="shared" si="20"/>
        <v>0</v>
      </c>
      <c r="AZ10" s="108">
        <f t="shared" si="21"/>
        <v>0</v>
      </c>
      <c r="BA10" s="165">
        <f t="shared" si="22"/>
        <v>0</v>
      </c>
      <c r="BB10" s="531"/>
    </row>
    <row r="11" spans="1:56" s="495" customFormat="1" outlineLevel="1" x14ac:dyDescent="0.25">
      <c r="A11" s="445"/>
      <c r="B11" s="623"/>
      <c r="C11" s="310" t="s">
        <v>66</v>
      </c>
      <c r="D11" s="604">
        <v>1</v>
      </c>
      <c r="E11" s="604">
        <v>1</v>
      </c>
      <c r="F11" s="604">
        <v>1</v>
      </c>
      <c r="G11" s="604">
        <v>1</v>
      </c>
      <c r="H11" s="618">
        <f>IFERROR(AVERAGE(D11:G11),0)</f>
        <v>1</v>
      </c>
      <c r="I11" s="127">
        <f>H11*12</f>
        <v>12</v>
      </c>
      <c r="J11" s="127">
        <f t="shared" si="23"/>
        <v>12</v>
      </c>
      <c r="K11" s="127">
        <f t="shared" si="23"/>
        <v>12</v>
      </c>
      <c r="L11" s="127">
        <f t="shared" si="23"/>
        <v>12</v>
      </c>
      <c r="M11" s="127">
        <f t="shared" si="23"/>
        <v>12</v>
      </c>
      <c r="N11" s="245" t="str">
        <f>IF(C11="","",C11)</f>
        <v>EFT Card Management</v>
      </c>
      <c r="O11" s="586">
        <v>1502.9425000000001</v>
      </c>
      <c r="P11" s="757">
        <f t="shared" si="1"/>
        <v>1502.9425000000001</v>
      </c>
      <c r="Q11" s="129">
        <f t="shared" si="24"/>
        <v>18035.310000000001</v>
      </c>
      <c r="R11" s="129">
        <f t="shared" si="25"/>
        <v>18035.310000000001</v>
      </c>
      <c r="S11" s="129">
        <f t="shared" si="26"/>
        <v>18035.310000000001</v>
      </c>
      <c r="T11" s="129">
        <f t="shared" si="27"/>
        <v>18035.310000000001</v>
      </c>
      <c r="U11" s="129">
        <f t="shared" si="28"/>
        <v>18035.310000000001</v>
      </c>
      <c r="V11" s="209">
        <f t="shared" si="7"/>
        <v>90176.55</v>
      </c>
      <c r="W11" s="528"/>
      <c r="X11" s="222"/>
      <c r="Y11" s="325"/>
      <c r="Z11" s="774">
        <f t="shared" si="8"/>
        <v>0</v>
      </c>
      <c r="AA11" s="103">
        <f t="shared" si="9"/>
        <v>0</v>
      </c>
      <c r="AB11" s="103">
        <f t="shared" si="10"/>
        <v>0</v>
      </c>
      <c r="AC11" s="103">
        <f t="shared" si="11"/>
        <v>0</v>
      </c>
      <c r="AD11" s="103">
        <f t="shared" si="12"/>
        <v>0</v>
      </c>
      <c r="AE11" s="103">
        <f t="shared" si="13"/>
        <v>0</v>
      </c>
      <c r="AF11" s="123">
        <f t="shared" si="14"/>
        <v>0</v>
      </c>
      <c r="AG11" s="743"/>
      <c r="AH11" s="370"/>
      <c r="AI11" s="221"/>
      <c r="AJ11" s="270"/>
      <c r="AK11" s="896">
        <f t="shared" si="15"/>
        <v>0</v>
      </c>
      <c r="AL11" s="105" cm="1">
        <f t="array" ref="AL11">_xlfn.IFS(AJ11="NO CHARGE",0,AJ11=0,0,AJ11&gt;0,PRODUCT(I11,$AJ11))</f>
        <v>0</v>
      </c>
      <c r="AM11" s="105" cm="1">
        <f t="array" ref="AM11">_xlfn.IFS(AK11="NO CHARGE",0,AK11=0,0,AK11&gt;0,PRODUCT(J11,$AJ11))</f>
        <v>0</v>
      </c>
      <c r="AN11" s="105" cm="1">
        <f t="array" ref="AN11">_xlfn.IFS(AL11="NO CHARGE",0,AL11=0,0,AL11&gt;0,PRODUCT(K11,$AJ11))</f>
        <v>0</v>
      </c>
      <c r="AO11" s="105" cm="1">
        <f t="array" ref="AO11">_xlfn.IFS(AM11="NO CHARGE",0,AM11=0,0,AM11&gt;0,PRODUCT(L11,$AJ11))</f>
        <v>0</v>
      </c>
      <c r="AP11" s="105" cm="1">
        <f t="array" ref="AP11">_xlfn.IFS(AN11="NO CHARGE",0,AN11=0,0,AN11&gt;0,PRODUCT(M11,$AJ11))</f>
        <v>0</v>
      </c>
      <c r="AQ11" s="158">
        <f t="shared" si="16"/>
        <v>0</v>
      </c>
      <c r="AR11" s="875"/>
      <c r="AS11" s="473"/>
      <c r="AT11" s="106"/>
      <c r="AU11" s="107"/>
      <c r="AV11" s="108">
        <f t="shared" si="17"/>
        <v>0</v>
      </c>
      <c r="AW11" s="108">
        <f t="shared" si="18"/>
        <v>0</v>
      </c>
      <c r="AX11" s="108">
        <f t="shared" si="19"/>
        <v>0</v>
      </c>
      <c r="AY11" s="108">
        <f t="shared" si="20"/>
        <v>0</v>
      </c>
      <c r="AZ11" s="108">
        <f t="shared" si="21"/>
        <v>0</v>
      </c>
      <c r="BA11" s="165">
        <f t="shared" si="22"/>
        <v>0</v>
      </c>
      <c r="BB11" s="531"/>
      <c r="BC11" s="1097"/>
      <c r="BD11" s="1098"/>
    </row>
    <row r="12" spans="1:56" s="495" customFormat="1" outlineLevel="1" x14ac:dyDescent="0.25">
      <c r="A12" s="700"/>
      <c r="B12" s="623" t="s">
        <v>67</v>
      </c>
      <c r="C12" s="310" t="str">
        <f>B12&amp;" [QTY CALCULATIONS YOY]"</f>
        <v>Horizon Core Account Processing  [QTY CALCULATIONS YOY]</v>
      </c>
      <c r="D12" s="604"/>
      <c r="E12" s="604"/>
      <c r="F12" s="604"/>
      <c r="G12" s="604"/>
      <c r="H12" s="618">
        <v>54437</v>
      </c>
      <c r="I12" s="127">
        <f>H12*12</f>
        <v>653244</v>
      </c>
      <c r="J12" s="127">
        <f t="shared" si="23"/>
        <v>685906.2</v>
      </c>
      <c r="K12" s="127">
        <f t="shared" si="23"/>
        <v>720201.51</v>
      </c>
      <c r="L12" s="127">
        <f t="shared" si="23"/>
        <v>756211.58550000004</v>
      </c>
      <c r="M12" s="127">
        <f t="shared" si="23"/>
        <v>794022.16477500007</v>
      </c>
      <c r="N12" s="245"/>
      <c r="O12" s="586"/>
      <c r="P12" s="757">
        <f t="shared" si="1"/>
        <v>0</v>
      </c>
      <c r="Q12" s="129">
        <f t="shared" si="24"/>
        <v>0</v>
      </c>
      <c r="R12" s="129">
        <f t="shared" si="25"/>
        <v>0</v>
      </c>
      <c r="S12" s="129">
        <f t="shared" si="26"/>
        <v>0</v>
      </c>
      <c r="T12" s="129">
        <f t="shared" si="27"/>
        <v>0</v>
      </c>
      <c r="U12" s="129">
        <f t="shared" si="28"/>
        <v>0</v>
      </c>
      <c r="V12" s="209">
        <f t="shared" si="7"/>
        <v>0</v>
      </c>
      <c r="W12" s="528"/>
      <c r="X12" s="222" t="str">
        <f>B12&amp;" [TIERED]"</f>
        <v>Horizon Core Account Processing  [TIERED]</v>
      </c>
      <c r="Y12" s="325"/>
      <c r="Z12" s="774">
        <f t="shared" si="8"/>
        <v>0</v>
      </c>
      <c r="AA12" s="103">
        <f t="shared" si="9"/>
        <v>0</v>
      </c>
      <c r="AB12" s="103">
        <f t="shared" si="10"/>
        <v>0</v>
      </c>
      <c r="AC12" s="103">
        <f t="shared" si="11"/>
        <v>0</v>
      </c>
      <c r="AD12" s="103">
        <f t="shared" si="12"/>
        <v>0</v>
      </c>
      <c r="AE12" s="103">
        <f t="shared" si="13"/>
        <v>0</v>
      </c>
      <c r="AF12" s="123">
        <f t="shared" si="14"/>
        <v>0</v>
      </c>
      <c r="AG12" s="743"/>
      <c r="AH12" s="370"/>
      <c r="AI12" s="221" t="str">
        <f>X12</f>
        <v>Horizon Core Account Processing  [TIERED]</v>
      </c>
      <c r="AJ12" s="270"/>
      <c r="AK12" s="896">
        <f t="shared" si="15"/>
        <v>0</v>
      </c>
      <c r="AL12" s="105" cm="1">
        <f t="array" ref="AL12">_xlfn.IFS(AJ12="NO CHARGE",0,AJ12=0,0,AJ12&gt;0,PRODUCT(I12,$AJ12))</f>
        <v>0</v>
      </c>
      <c r="AM12" s="105" cm="1">
        <f t="array" ref="AM12">_xlfn.IFS(AK12="NO CHARGE",0,AK12=0,0,AK12&gt;0,PRODUCT(J12,$AJ12))</f>
        <v>0</v>
      </c>
      <c r="AN12" s="105" cm="1">
        <f t="array" ref="AN12">_xlfn.IFS(AL12="NO CHARGE",0,AL12=0,0,AL12&gt;0,PRODUCT(K12,$AJ12))</f>
        <v>0</v>
      </c>
      <c r="AO12" s="105" cm="1">
        <f t="array" ref="AO12">_xlfn.IFS(AM12="NO CHARGE",0,AM12=0,0,AM12&gt;0,PRODUCT(L12,$AJ12))</f>
        <v>0</v>
      </c>
      <c r="AP12" s="105" cm="1">
        <f t="array" ref="AP12">_xlfn.IFS(AN12="NO CHARGE",0,AN12=0,0,AN12&gt;0,PRODUCT(M12,$AJ12))</f>
        <v>0</v>
      </c>
      <c r="AQ12" s="158">
        <f t="shared" si="16"/>
        <v>0</v>
      </c>
      <c r="AR12" s="875"/>
      <c r="AS12" s="473"/>
      <c r="AT12" s="106"/>
      <c r="AU12" s="107"/>
      <c r="AV12" s="108">
        <f t="shared" si="17"/>
        <v>0</v>
      </c>
      <c r="AW12" s="108">
        <f t="shared" si="18"/>
        <v>0</v>
      </c>
      <c r="AX12" s="108">
        <f t="shared" si="19"/>
        <v>0</v>
      </c>
      <c r="AY12" s="108">
        <f t="shared" si="20"/>
        <v>0</v>
      </c>
      <c r="AZ12" s="108">
        <f t="shared" si="21"/>
        <v>0</v>
      </c>
      <c r="BA12" s="165">
        <f t="shared" si="22"/>
        <v>0</v>
      </c>
      <c r="BB12" s="531"/>
      <c r="BC12" s="1099"/>
      <c r="BD12" s="1099"/>
    </row>
    <row r="13" spans="1:56" s="495" customFormat="1" outlineLevel="1" x14ac:dyDescent="0.25">
      <c r="A13" s="700"/>
      <c r="B13" s="623" t="s">
        <v>67</v>
      </c>
      <c r="C13" s="200" t="s">
        <v>68</v>
      </c>
      <c r="D13" s="604"/>
      <c r="E13" s="604"/>
      <c r="F13" s="604"/>
      <c r="G13" s="604"/>
      <c r="H13" s="699">
        <v>54437</v>
      </c>
      <c r="I13" s="127">
        <f>IF(I12&gt;($H13*12),$H13*12,I12)</f>
        <v>653244</v>
      </c>
      <c r="J13" s="127">
        <f>IF(J12&gt;($H13*12),$H13*12,J12)</f>
        <v>653244</v>
      </c>
      <c r="K13" s="127">
        <f>IF(K12&gt;($H13*12),$H13*12,K12)</f>
        <v>653244</v>
      </c>
      <c r="L13" s="127">
        <f>IF(L12&gt;($H13*12),$H13*12,L12)</f>
        <v>653244</v>
      </c>
      <c r="M13" s="127">
        <f>IF(M12&gt;($H13*12),$H13*12,M12)</f>
        <v>653244</v>
      </c>
      <c r="N13" s="245"/>
      <c r="O13" s="586"/>
      <c r="P13" s="757">
        <f t="shared" si="1"/>
        <v>0</v>
      </c>
      <c r="Q13" s="129">
        <f t="shared" si="24"/>
        <v>0</v>
      </c>
      <c r="R13" s="129">
        <f t="shared" si="25"/>
        <v>0</v>
      </c>
      <c r="S13" s="129">
        <f t="shared" si="26"/>
        <v>0</v>
      </c>
      <c r="T13" s="129">
        <f t="shared" si="27"/>
        <v>0</v>
      </c>
      <c r="U13" s="129">
        <f t="shared" si="28"/>
        <v>0</v>
      </c>
      <c r="V13" s="209">
        <f t="shared" si="7"/>
        <v>0</v>
      </c>
      <c r="W13" s="621"/>
      <c r="X13" s="701" t="str">
        <f>C13</f>
        <v>[Tiered] Base Monthly Processing 0 - 54,437 Accounts</v>
      </c>
      <c r="Y13" s="325">
        <f>28853.62/54437</f>
        <v>0.5300369234160589</v>
      </c>
      <c r="Z13" s="774">
        <f t="shared" si="8"/>
        <v>28853.62</v>
      </c>
      <c r="AA13" s="103">
        <f t="shared" si="9"/>
        <v>346243.44</v>
      </c>
      <c r="AB13" s="103">
        <f t="shared" si="10"/>
        <v>346243.44</v>
      </c>
      <c r="AC13" s="103">
        <f t="shared" si="11"/>
        <v>346243.44</v>
      </c>
      <c r="AD13" s="103">
        <f t="shared" si="12"/>
        <v>346243.44</v>
      </c>
      <c r="AE13" s="103">
        <f t="shared" si="13"/>
        <v>346243.44</v>
      </c>
      <c r="AF13" s="123">
        <f t="shared" si="14"/>
        <v>1731217.2</v>
      </c>
      <c r="AG13" s="743" t="s">
        <v>69</v>
      </c>
      <c r="AH13" s="711" t="s">
        <v>70</v>
      </c>
      <c r="AI13" s="880" t="str">
        <f>C13</f>
        <v>[Tiered] Base Monthly Processing 0 - 54,437 Accounts</v>
      </c>
      <c r="AJ13" s="270">
        <f>28853.62/54437</f>
        <v>0.5300369234160589</v>
      </c>
      <c r="AK13" s="896">
        <f t="shared" si="15"/>
        <v>28853.62</v>
      </c>
      <c r="AL13" s="105" cm="1">
        <f t="array" ref="AL13">_xlfn.IFS($AJ13="NO CHARGE",0,$AJ13=0,0,$AJ13&gt;0,PRODUCT(I13,$AJ13))</f>
        <v>346243.44</v>
      </c>
      <c r="AM13" s="105" cm="1">
        <f t="array" ref="AM13">_xlfn.IFS($AJ13="NO CHARGE",0,$AJ13=0,0,$AJ13&gt;0,PRODUCT(J13,$AJ13))</f>
        <v>346243.44</v>
      </c>
      <c r="AN13" s="105" cm="1">
        <f t="array" ref="AN13">_xlfn.IFS($AJ13="NO CHARGE",0,$AJ13=0,0,$AJ13&gt;0,PRODUCT(K13,$AJ13))</f>
        <v>346243.44</v>
      </c>
      <c r="AO13" s="105" cm="1">
        <f t="array" ref="AO13">_xlfn.IFS($AJ13="NO CHARGE",0,$AJ13=0,0,$AJ13&gt;0,PRODUCT(L13,$AJ13))</f>
        <v>346243.44</v>
      </c>
      <c r="AP13" s="105" cm="1">
        <f t="array" ref="AP13">_xlfn.IFS($AJ13="NO CHARGE",0,$AJ13=0,0,$AJ13&gt;0,PRODUCT(M13,$AJ13))</f>
        <v>346243.44</v>
      </c>
      <c r="AQ13" s="158">
        <f t="shared" si="16"/>
        <v>1731217.2</v>
      </c>
      <c r="AR13" s="875" t="s">
        <v>71</v>
      </c>
      <c r="AS13" s="889" t="s">
        <v>70</v>
      </c>
      <c r="AT13" s="106"/>
      <c r="AU13" s="107"/>
      <c r="AV13" s="108">
        <f t="shared" si="17"/>
        <v>0</v>
      </c>
      <c r="AW13" s="108">
        <f t="shared" si="18"/>
        <v>0</v>
      </c>
      <c r="AX13" s="108">
        <f t="shared" si="19"/>
        <v>0</v>
      </c>
      <c r="AY13" s="108">
        <f t="shared" si="20"/>
        <v>0</v>
      </c>
      <c r="AZ13" s="108">
        <f t="shared" si="21"/>
        <v>0</v>
      </c>
      <c r="BA13" s="165">
        <f t="shared" si="22"/>
        <v>0</v>
      </c>
      <c r="BB13" s="531"/>
      <c r="BC13" s="1098"/>
    </row>
    <row r="14" spans="1:56" s="495" customFormat="1" outlineLevel="1" x14ac:dyDescent="0.25">
      <c r="A14" s="700"/>
      <c r="B14" s="623" t="s">
        <v>67</v>
      </c>
      <c r="C14" s="200" t="s">
        <v>72</v>
      </c>
      <c r="D14" s="604"/>
      <c r="E14" s="604"/>
      <c r="F14" s="604"/>
      <c r="G14" s="604"/>
      <c r="H14" s="699">
        <f>100000-54438</f>
        <v>45562</v>
      </c>
      <c r="I14" s="127" cm="1">
        <f t="array" ref="I14">_xlfn.IFS(I12&gt;(($H13*12)+($H14*12)),$H14*12, I12&lt;(($H13*12)+($H14*12)),I12-I13, I12=(($H13*12)+($H14*12)),I12-I13)</f>
        <v>0</v>
      </c>
      <c r="J14" s="127" cm="1">
        <f t="array" ref="J14">_xlfn.IFS(J12&gt;(($H13*12)+($H14*12)),$H14*12, J12&lt;(($H13*12)+($H14*12)),J12-J13, J12=(($H13*12)+($H14*12)),J12-J13)</f>
        <v>32662.199999999953</v>
      </c>
      <c r="K14" s="127" cm="1">
        <f t="array" ref="K14">_xlfn.IFS(K12&gt;(($H13*12)+($H14*12)),$H14*12, K12&lt;(($H13*12)+($H14*12)),K12-K13, K12=(($H13*12)+($H14*12)),K12-K13)</f>
        <v>66957.510000000009</v>
      </c>
      <c r="L14" s="127" cm="1">
        <f t="array" ref="L14">_xlfn.IFS(L12&gt;(($H13*12)+($H14*12)),$H14*12, L12&lt;(($H13*12)+($H14*12)),L12-L13, L12=(($H13*12)+($H14*12)),L12-L13)</f>
        <v>102967.58550000004</v>
      </c>
      <c r="M14" s="127" cm="1">
        <f t="array" ref="M14">_xlfn.IFS(M12&gt;(($H13*12)+($H14*12)),$H14*12, M12&lt;(($H13*12)+($H14*12)),M12-M13, M12=(($H13*12)+($H14*12)),M12-M13)</f>
        <v>140778.16477500007</v>
      </c>
      <c r="N14" s="245"/>
      <c r="O14" s="586"/>
      <c r="P14" s="757">
        <f t="shared" si="1"/>
        <v>0</v>
      </c>
      <c r="Q14" s="129">
        <f t="shared" si="24"/>
        <v>0</v>
      </c>
      <c r="R14" s="129">
        <f t="shared" si="25"/>
        <v>0</v>
      </c>
      <c r="S14" s="129">
        <f t="shared" si="26"/>
        <v>0</v>
      </c>
      <c r="T14" s="129">
        <f t="shared" si="27"/>
        <v>0</v>
      </c>
      <c r="U14" s="129">
        <f t="shared" si="28"/>
        <v>0</v>
      </c>
      <c r="V14" s="209">
        <f t="shared" si="7"/>
        <v>0</v>
      </c>
      <c r="W14" s="621"/>
      <c r="X14" s="701" t="str">
        <f>C14</f>
        <v>[Tiered] Base Monthly Processing 54,438 - 100k Accounts</v>
      </c>
      <c r="Y14" s="325">
        <v>0.5</v>
      </c>
      <c r="Z14" s="774">
        <f t="shared" si="8"/>
        <v>0</v>
      </c>
      <c r="AA14" s="103">
        <f t="shared" si="9"/>
        <v>0</v>
      </c>
      <c r="AB14" s="103" cm="1">
        <f t="array" ref="AB14">_xlfn.IFS($AJ14="NO CHARGE",0,$AJ14=0,0,$AJ14&gt;0,PRODUCT(J14,$AJ14))</f>
        <v>16331.099999999977</v>
      </c>
      <c r="AC14" s="103">
        <f t="shared" si="11"/>
        <v>33478.755000000005</v>
      </c>
      <c r="AD14" s="103">
        <f t="shared" si="12"/>
        <v>51483.792750000022</v>
      </c>
      <c r="AE14" s="103">
        <f t="shared" si="13"/>
        <v>70389.082387500035</v>
      </c>
      <c r="AF14" s="123">
        <f t="shared" si="14"/>
        <v>171682.73013750004</v>
      </c>
      <c r="AG14" s="743"/>
      <c r="AH14" s="362"/>
      <c r="AI14" s="880" t="str">
        <f>C14</f>
        <v>[Tiered] Base Monthly Processing 54,438 - 100k Accounts</v>
      </c>
      <c r="AJ14" s="270">
        <v>0.5</v>
      </c>
      <c r="AK14" s="896">
        <f t="shared" si="15"/>
        <v>0</v>
      </c>
      <c r="AL14" s="105" cm="1">
        <f t="array" ref="AL14">_xlfn.IFS($AJ14="NO CHARGE",0,$AJ14=0,0,$AJ14&gt;0,PRODUCT(I14,$AJ14))</f>
        <v>0</v>
      </c>
      <c r="AM14" s="105" cm="1">
        <f t="array" ref="AM14">_xlfn.IFS($AJ14="NO CHARGE",0,$AJ14=0,0,$AJ14&gt;0,PRODUCT(J14,$AJ14))</f>
        <v>16331.099999999977</v>
      </c>
      <c r="AN14" s="105" cm="1">
        <f t="array" ref="AN14">_xlfn.IFS($AJ14="NO CHARGE",0,$AJ14=0,0,$AJ14&gt;0,PRODUCT(K14,$AJ14))</f>
        <v>33478.755000000005</v>
      </c>
      <c r="AO14" s="105" cm="1">
        <f t="array" ref="AO14">_xlfn.IFS($AJ14="NO CHARGE",0,$AJ14=0,0,$AJ14&gt;0,PRODUCT(L14,$AJ14))</f>
        <v>51483.792750000022</v>
      </c>
      <c r="AP14" s="105" cm="1">
        <f t="array" ref="AP14">_xlfn.IFS($AJ14="NO CHARGE",0,$AJ14=0,0,$AJ14&gt;0,PRODUCT(M14,$AJ14))</f>
        <v>70389.082387500035</v>
      </c>
      <c r="AQ14" s="158">
        <f t="shared" si="16"/>
        <v>171682.73013750004</v>
      </c>
      <c r="AR14" s="875"/>
      <c r="AS14" s="473"/>
      <c r="AT14" s="106"/>
      <c r="AU14" s="107"/>
      <c r="AV14" s="108">
        <f t="shared" si="17"/>
        <v>0</v>
      </c>
      <c r="AW14" s="108">
        <f t="shared" si="18"/>
        <v>0</v>
      </c>
      <c r="AX14" s="108">
        <f t="shared" si="19"/>
        <v>0</v>
      </c>
      <c r="AY14" s="108">
        <f t="shared" si="20"/>
        <v>0</v>
      </c>
      <c r="AZ14" s="108">
        <f t="shared" si="21"/>
        <v>0</v>
      </c>
      <c r="BA14" s="165">
        <f t="shared" si="22"/>
        <v>0</v>
      </c>
      <c r="BB14" s="531"/>
      <c r="BC14" s="1101"/>
    </row>
    <row r="15" spans="1:56" s="495" customFormat="1" outlineLevel="1" x14ac:dyDescent="0.25">
      <c r="A15" s="700"/>
      <c r="B15" s="623" t="s">
        <v>67</v>
      </c>
      <c r="C15" s="200" t="s">
        <v>73</v>
      </c>
      <c r="D15" s="604"/>
      <c r="E15" s="604"/>
      <c r="F15" s="604"/>
      <c r="G15" s="604"/>
      <c r="H15" s="699"/>
      <c r="I15" s="127" cm="1">
        <f t="array" ref="I15">_xlfn.IFS(I12&gt;(($H13+$H14)*12),I12-I13-I14, I12&lt;(($H13+$H14)*12),0, I12=(($H13+$H14)*12),0)</f>
        <v>0</v>
      </c>
      <c r="J15" s="127" cm="1">
        <f t="array" ref="J15">_xlfn.IFS(J12&gt;(($H13+$H14)*12),J12-J13-J14, J12&lt;(($H13+$H14)*12),0, J12=(($H13+$H14)*12),0)</f>
        <v>0</v>
      </c>
      <c r="K15" s="127" cm="1">
        <f t="array" ref="K15">_xlfn.IFS(K12&gt;(($H13+$H14)*12),K12-K13-K14, K12&lt;(($H13+$H14)*12),0, K12=(($H13+$H14)*12),0)</f>
        <v>0</v>
      </c>
      <c r="L15" s="127" cm="1">
        <f t="array" ref="L15">_xlfn.IFS(L12&gt;(($H13+$H14)*12),L12-L13-L14, L12&lt;(($H13+$H14)*12),0, L12=(($H13+$H14)*12),0)</f>
        <v>0</v>
      </c>
      <c r="M15" s="127" cm="1">
        <f t="array" ref="M15">_xlfn.IFS(M12&gt;(($H13+$H14)*12),M12-M13-M14, M12&lt;(($H13+$H14)*12),0, M12=(($H13+$H14)*12),0)</f>
        <v>0</v>
      </c>
      <c r="N15" s="245"/>
      <c r="O15" s="586"/>
      <c r="P15" s="757">
        <f t="shared" si="1"/>
        <v>0</v>
      </c>
      <c r="Q15" s="129">
        <f t="shared" si="24"/>
        <v>0</v>
      </c>
      <c r="R15" s="129">
        <f t="shared" si="25"/>
        <v>0</v>
      </c>
      <c r="S15" s="129">
        <f t="shared" si="26"/>
        <v>0</v>
      </c>
      <c r="T15" s="129">
        <f t="shared" si="27"/>
        <v>0</v>
      </c>
      <c r="U15" s="129">
        <f t="shared" si="28"/>
        <v>0</v>
      </c>
      <c r="V15" s="209">
        <f t="shared" si="7"/>
        <v>0</v>
      </c>
      <c r="W15" s="528"/>
      <c r="X15" s="701" t="str">
        <f>C15</f>
        <v>[Tiered] Base Monthly Processing beyond 100k Accounts</v>
      </c>
      <c r="Y15" s="325">
        <v>0.48</v>
      </c>
      <c r="Z15" s="774">
        <f t="shared" si="8"/>
        <v>0</v>
      </c>
      <c r="AA15" s="103">
        <f t="shared" si="9"/>
        <v>0</v>
      </c>
      <c r="AB15" s="103">
        <f t="shared" si="10"/>
        <v>0</v>
      </c>
      <c r="AC15" s="103">
        <f t="shared" si="11"/>
        <v>0</v>
      </c>
      <c r="AD15" s="103">
        <f t="shared" si="12"/>
        <v>0</v>
      </c>
      <c r="AE15" s="103">
        <f t="shared" si="13"/>
        <v>0</v>
      </c>
      <c r="AF15" s="123">
        <f t="shared" si="14"/>
        <v>0</v>
      </c>
      <c r="AG15" s="743"/>
      <c r="AH15" s="362"/>
      <c r="AI15" s="880" t="str">
        <f>C15</f>
        <v>[Tiered] Base Monthly Processing beyond 100k Accounts</v>
      </c>
      <c r="AJ15" s="270">
        <v>0.48</v>
      </c>
      <c r="AK15" s="896">
        <f t="shared" si="15"/>
        <v>0</v>
      </c>
      <c r="AL15" s="105" cm="1">
        <f t="array" ref="AL15">_xlfn.IFS($AJ15="NO CHARGE",0,$AJ15=0,0,$AJ15&gt;0,PRODUCT(I15,$AJ15))</f>
        <v>0</v>
      </c>
      <c r="AM15" s="105" cm="1">
        <f t="array" ref="AM15">_xlfn.IFS($AJ15="NO CHARGE",0,$AJ15=0,0,$AJ15&gt;0,PRODUCT(J15,$AJ15))</f>
        <v>0</v>
      </c>
      <c r="AN15" s="105" cm="1">
        <f t="array" ref="AN15">_xlfn.IFS($AJ15="NO CHARGE",0,$AJ15=0,0,$AJ15&gt;0,PRODUCT(K15,$AJ15))</f>
        <v>0</v>
      </c>
      <c r="AO15" s="105" cm="1">
        <f t="array" ref="AO15">_xlfn.IFS($AJ15="NO CHARGE",0,$AJ15=0,0,$AJ15&gt;0,PRODUCT(L15,$AJ15))</f>
        <v>0</v>
      </c>
      <c r="AP15" s="105" cm="1">
        <f t="array" ref="AP15">_xlfn.IFS($AJ15="NO CHARGE",0,$AJ15=0,0,$AJ15&gt;0,PRODUCT(M15,$AJ15))</f>
        <v>0</v>
      </c>
      <c r="AQ15" s="158">
        <f t="shared" si="16"/>
        <v>0</v>
      </c>
      <c r="AR15" s="875"/>
      <c r="AS15" s="473"/>
      <c r="AT15" s="106"/>
      <c r="AU15" s="107"/>
      <c r="AV15" s="108">
        <f t="shared" si="17"/>
        <v>0</v>
      </c>
      <c r="AW15" s="108">
        <f t="shared" si="18"/>
        <v>0</v>
      </c>
      <c r="AX15" s="108">
        <f t="shared" si="19"/>
        <v>0</v>
      </c>
      <c r="AY15" s="108">
        <f t="shared" si="20"/>
        <v>0</v>
      </c>
      <c r="AZ15" s="108">
        <f t="shared" si="21"/>
        <v>0</v>
      </c>
      <c r="BA15" s="165">
        <f t="shared" si="22"/>
        <v>0</v>
      </c>
      <c r="BB15" s="531"/>
      <c r="BC15" s="1099"/>
    </row>
    <row r="16" spans="1:56" s="732" customFormat="1" outlineLevel="1" x14ac:dyDescent="0.25">
      <c r="A16" s="714"/>
      <c r="B16" s="881" t="s">
        <v>67</v>
      </c>
      <c r="C16" s="712" t="str">
        <f>B16&amp;" Monthly Minimum"</f>
        <v>Horizon Core Account Processing  Monthly Minimum</v>
      </c>
      <c r="D16" s="715"/>
      <c r="E16" s="715"/>
      <c r="F16" s="715"/>
      <c r="G16" s="715"/>
      <c r="H16" s="716">
        <v>0</v>
      </c>
      <c r="I16" s="717">
        <f t="shared" ref="I16:I35" si="29">H16*12</f>
        <v>0</v>
      </c>
      <c r="J16" s="717">
        <f t="shared" ref="J16:M35" si="30">IF(I16&gt;12,(((I16)*$H$5)+I16),(I16*1))</f>
        <v>0</v>
      </c>
      <c r="K16" s="717">
        <f t="shared" si="30"/>
        <v>0</v>
      </c>
      <c r="L16" s="717">
        <f t="shared" si="30"/>
        <v>0</v>
      </c>
      <c r="M16" s="717">
        <f t="shared" si="30"/>
        <v>0</v>
      </c>
      <c r="N16" s="718"/>
      <c r="O16" s="719"/>
      <c r="P16" s="758">
        <f t="shared" si="1"/>
        <v>0</v>
      </c>
      <c r="Q16" s="720">
        <f t="shared" si="24"/>
        <v>0</v>
      </c>
      <c r="R16" s="720">
        <f t="shared" si="25"/>
        <v>0</v>
      </c>
      <c r="S16" s="720">
        <f t="shared" si="26"/>
        <v>0</v>
      </c>
      <c r="T16" s="720">
        <f t="shared" si="27"/>
        <v>0</v>
      </c>
      <c r="U16" s="720">
        <f t="shared" si="28"/>
        <v>0</v>
      </c>
      <c r="V16" s="721">
        <f t="shared" si="7"/>
        <v>0</v>
      </c>
      <c r="W16" s="621"/>
      <c r="X16" s="713" t="str">
        <f>C16</f>
        <v>Horizon Core Account Processing  Monthly Minimum</v>
      </c>
      <c r="Y16" s="722">
        <v>26000</v>
      </c>
      <c r="Z16" s="775">
        <f t="shared" si="8"/>
        <v>0</v>
      </c>
      <c r="AA16" s="723">
        <f t="shared" si="9"/>
        <v>0</v>
      </c>
      <c r="AB16" s="723">
        <f t="shared" si="10"/>
        <v>0</v>
      </c>
      <c r="AC16" s="723">
        <f t="shared" si="11"/>
        <v>0</v>
      </c>
      <c r="AD16" s="723">
        <f t="shared" si="12"/>
        <v>0</v>
      </c>
      <c r="AE16" s="723">
        <f t="shared" si="13"/>
        <v>0</v>
      </c>
      <c r="AF16" s="724">
        <f t="shared" si="14"/>
        <v>0</v>
      </c>
      <c r="AG16" s="744"/>
      <c r="AH16" s="725" t="s">
        <v>74</v>
      </c>
      <c r="AI16" s="882" t="str">
        <f>C16</f>
        <v>Horizon Core Account Processing  Monthly Minimum</v>
      </c>
      <c r="AJ16" s="885">
        <v>26000</v>
      </c>
      <c r="AK16" s="896">
        <f t="shared" si="15"/>
        <v>0</v>
      </c>
      <c r="AL16" s="105" cm="1">
        <f t="array" ref="AL16">_xlfn.IFS($AJ16="NO CHARGE",0,$AJ16=0,0,$AJ16&gt;0,PRODUCT(I16,$AJ16))</f>
        <v>0</v>
      </c>
      <c r="AM16" s="105" cm="1">
        <f t="array" ref="AM16">_xlfn.IFS($AJ16="NO CHARGE",0,$AJ16=0,0,$AJ16&gt;0,PRODUCT(J16,$AJ16))</f>
        <v>0</v>
      </c>
      <c r="AN16" s="105" cm="1">
        <f t="array" ref="AN16">_xlfn.IFS($AJ16="NO CHARGE",0,$AJ16=0,0,$AJ16&gt;0,PRODUCT(K16,$AJ16))</f>
        <v>0</v>
      </c>
      <c r="AO16" s="105" cm="1">
        <f t="array" ref="AO16">_xlfn.IFS($AJ16="NO CHARGE",0,$AJ16=0,0,$AJ16&gt;0,PRODUCT(L16,$AJ16))</f>
        <v>0</v>
      </c>
      <c r="AP16" s="105" cm="1">
        <f t="array" ref="AP16">_xlfn.IFS($AJ16="NO CHARGE",0,$AJ16=0,0,$AJ16&gt;0,PRODUCT(M16,$AJ16))</f>
        <v>0</v>
      </c>
      <c r="AQ16" s="158">
        <f t="shared" si="16"/>
        <v>0</v>
      </c>
      <c r="AR16" s="876"/>
      <c r="AS16" s="473" t="s">
        <v>74</v>
      </c>
      <c r="AT16" s="728"/>
      <c r="AU16" s="729"/>
      <c r="AV16" s="730">
        <f t="shared" si="17"/>
        <v>0</v>
      </c>
      <c r="AW16" s="730">
        <f t="shared" si="18"/>
        <v>0</v>
      </c>
      <c r="AX16" s="730">
        <f t="shared" si="19"/>
        <v>0</v>
      </c>
      <c r="AY16" s="730">
        <f t="shared" si="20"/>
        <v>0</v>
      </c>
      <c r="AZ16" s="730">
        <f t="shared" si="21"/>
        <v>0</v>
      </c>
      <c r="BA16" s="731">
        <f t="shared" si="22"/>
        <v>0</v>
      </c>
      <c r="BB16" s="531"/>
    </row>
    <row r="17" spans="1:55" s="495" customFormat="1" outlineLevel="2" x14ac:dyDescent="0.25">
      <c r="A17" s="445"/>
      <c r="B17" s="623"/>
      <c r="C17" s="310"/>
      <c r="D17" s="604"/>
      <c r="E17" s="604"/>
      <c r="F17" s="604"/>
      <c r="G17" s="604"/>
      <c r="H17" s="618">
        <f t="shared" ref="H17:H34" si="31">IFERROR(AVERAGE(D17:G17),0)</f>
        <v>0</v>
      </c>
      <c r="I17" s="127">
        <f t="shared" si="29"/>
        <v>0</v>
      </c>
      <c r="J17" s="127">
        <f t="shared" si="30"/>
        <v>0</v>
      </c>
      <c r="K17" s="127">
        <f t="shared" si="30"/>
        <v>0</v>
      </c>
      <c r="L17" s="127">
        <f t="shared" si="30"/>
        <v>0</v>
      </c>
      <c r="M17" s="127">
        <f t="shared" si="30"/>
        <v>0</v>
      </c>
      <c r="N17" s="245" t="str">
        <f>IF(C17="","",C17)</f>
        <v/>
      </c>
      <c r="O17" s="586"/>
      <c r="P17" s="757">
        <f t="shared" si="1"/>
        <v>0</v>
      </c>
      <c r="Q17" s="129">
        <f t="shared" si="24"/>
        <v>0</v>
      </c>
      <c r="R17" s="129">
        <f t="shared" si="25"/>
        <v>0</v>
      </c>
      <c r="S17" s="129">
        <f t="shared" si="26"/>
        <v>0</v>
      </c>
      <c r="T17" s="129">
        <f t="shared" si="27"/>
        <v>0</v>
      </c>
      <c r="U17" s="129">
        <f t="shared" si="28"/>
        <v>0</v>
      </c>
      <c r="V17" s="209">
        <f t="shared" si="7"/>
        <v>0</v>
      </c>
      <c r="W17" s="621"/>
      <c r="X17" s="222"/>
      <c r="Y17" s="325"/>
      <c r="Z17" s="774">
        <f t="shared" si="8"/>
        <v>0</v>
      </c>
      <c r="AA17" s="103">
        <f t="shared" si="9"/>
        <v>0</v>
      </c>
      <c r="AB17" s="103">
        <f t="shared" si="10"/>
        <v>0</v>
      </c>
      <c r="AC17" s="103">
        <f t="shared" si="11"/>
        <v>0</v>
      </c>
      <c r="AD17" s="103">
        <f t="shared" si="12"/>
        <v>0</v>
      </c>
      <c r="AE17" s="103">
        <f t="shared" si="13"/>
        <v>0</v>
      </c>
      <c r="AF17" s="123">
        <f t="shared" si="14"/>
        <v>0</v>
      </c>
      <c r="AG17" s="743"/>
      <c r="AH17" s="362"/>
      <c r="AI17" s="221"/>
      <c r="AJ17" s="270"/>
      <c r="AK17" s="896">
        <f t="shared" si="15"/>
        <v>0</v>
      </c>
      <c r="AL17" s="105" cm="1">
        <f t="array" ref="AL17">_xlfn.IFS($AJ17="NO CHARGE",0,$AJ17=0,0,$AJ17&gt;0,PRODUCT(I17,$AJ17))</f>
        <v>0</v>
      </c>
      <c r="AM17" s="105" cm="1">
        <f t="array" ref="AM17">_xlfn.IFS($AJ17="NO CHARGE",0,$AJ17=0,0,$AJ17&gt;0,PRODUCT(J17,$AJ17))</f>
        <v>0</v>
      </c>
      <c r="AN17" s="105" cm="1">
        <f t="array" ref="AN17">_xlfn.IFS($AJ17="NO CHARGE",0,$AJ17=0,0,$AJ17&gt;0,PRODUCT(K17,$AJ17))</f>
        <v>0</v>
      </c>
      <c r="AO17" s="105" cm="1">
        <f t="array" ref="AO17">_xlfn.IFS($AJ17="NO CHARGE",0,$AJ17=0,0,$AJ17&gt;0,PRODUCT(L17,$AJ17))</f>
        <v>0</v>
      </c>
      <c r="AP17" s="105" cm="1">
        <f t="array" ref="AP17">_xlfn.IFS($AJ17="NO CHARGE",0,$AJ17=0,0,$AJ17&gt;0,PRODUCT(M17,$AJ17))</f>
        <v>0</v>
      </c>
      <c r="AQ17" s="158">
        <f t="shared" si="16"/>
        <v>0</v>
      </c>
      <c r="AR17" s="875"/>
      <c r="AS17" s="473"/>
      <c r="AT17" s="106"/>
      <c r="AU17" s="107"/>
      <c r="AV17" s="108">
        <f t="shared" si="17"/>
        <v>0</v>
      </c>
      <c r="AW17" s="108">
        <f t="shared" si="18"/>
        <v>0</v>
      </c>
      <c r="AX17" s="108">
        <f t="shared" si="19"/>
        <v>0</v>
      </c>
      <c r="AY17" s="108">
        <f t="shared" si="20"/>
        <v>0</v>
      </c>
      <c r="AZ17" s="108">
        <f t="shared" si="21"/>
        <v>0</v>
      </c>
      <c r="BA17" s="165">
        <f t="shared" si="22"/>
        <v>0</v>
      </c>
      <c r="BB17" s="531"/>
    </row>
    <row r="18" spans="1:55" s="495" customFormat="1" outlineLevel="2" x14ac:dyDescent="0.25">
      <c r="A18" s="714"/>
      <c r="B18" s="623"/>
      <c r="C18" s="310" t="s">
        <v>75</v>
      </c>
      <c r="D18" s="604"/>
      <c r="E18" s="604"/>
      <c r="F18" s="604"/>
      <c r="G18" s="604"/>
      <c r="H18" s="618">
        <f t="shared" si="31"/>
        <v>0</v>
      </c>
      <c r="I18" s="127">
        <f t="shared" si="29"/>
        <v>0</v>
      </c>
      <c r="J18" s="127">
        <f t="shared" si="30"/>
        <v>0</v>
      </c>
      <c r="K18" s="127">
        <f t="shared" si="30"/>
        <v>0</v>
      </c>
      <c r="L18" s="127">
        <f t="shared" si="30"/>
        <v>0</v>
      </c>
      <c r="M18" s="127">
        <f t="shared" si="30"/>
        <v>0</v>
      </c>
      <c r="N18" s="245"/>
      <c r="O18" s="586"/>
      <c r="P18" s="757">
        <f t="shared" si="1"/>
        <v>0</v>
      </c>
      <c r="Q18" s="129">
        <f t="shared" si="24"/>
        <v>0</v>
      </c>
      <c r="R18" s="129">
        <f t="shared" si="25"/>
        <v>0</v>
      </c>
      <c r="S18" s="129">
        <f t="shared" si="26"/>
        <v>0</v>
      </c>
      <c r="T18" s="129">
        <f t="shared" si="27"/>
        <v>0</v>
      </c>
      <c r="U18" s="129">
        <f t="shared" si="28"/>
        <v>0</v>
      </c>
      <c r="V18" s="209">
        <f t="shared" si="7"/>
        <v>0</v>
      </c>
      <c r="W18" s="621"/>
      <c r="X18" s="222" t="str">
        <f t="shared" ref="X18:X33" si="32">C18</f>
        <v>Core Module Per Account Fee Inclusions:</v>
      </c>
      <c r="Y18" s="325"/>
      <c r="Z18" s="774">
        <f t="shared" si="8"/>
        <v>0</v>
      </c>
      <c r="AA18" s="103">
        <f t="shared" si="9"/>
        <v>0</v>
      </c>
      <c r="AB18" s="103">
        <f t="shared" si="10"/>
        <v>0</v>
      </c>
      <c r="AC18" s="103">
        <f t="shared" si="11"/>
        <v>0</v>
      </c>
      <c r="AD18" s="103">
        <f t="shared" si="12"/>
        <v>0</v>
      </c>
      <c r="AE18" s="103">
        <f t="shared" si="13"/>
        <v>0</v>
      </c>
      <c r="AF18" s="123">
        <f t="shared" si="14"/>
        <v>0</v>
      </c>
      <c r="AG18" s="743"/>
      <c r="AH18" s="362"/>
      <c r="AI18" s="221" t="s">
        <v>75</v>
      </c>
      <c r="AJ18" s="270"/>
      <c r="AK18" s="896">
        <f t="shared" si="15"/>
        <v>0</v>
      </c>
      <c r="AL18" s="105" cm="1">
        <f t="array" ref="AL18">_xlfn.IFS($AJ18="NO CHARGE",0,$AJ18=0,0,$AJ18&gt;0,PRODUCT(I18,$AJ18))</f>
        <v>0</v>
      </c>
      <c r="AM18" s="105" cm="1">
        <f t="array" ref="AM18">_xlfn.IFS($AJ18="NO CHARGE",0,$AJ18=0,0,$AJ18&gt;0,PRODUCT(J18,$AJ18))</f>
        <v>0</v>
      </c>
      <c r="AN18" s="105" cm="1">
        <f t="array" ref="AN18">_xlfn.IFS($AJ18="NO CHARGE",0,$AJ18=0,0,$AJ18&gt;0,PRODUCT(K18,$AJ18))</f>
        <v>0</v>
      </c>
      <c r="AO18" s="105" cm="1">
        <f t="array" ref="AO18">_xlfn.IFS($AJ18="NO CHARGE",0,$AJ18=0,0,$AJ18&gt;0,PRODUCT(L18,$AJ18))</f>
        <v>0</v>
      </c>
      <c r="AP18" s="105" cm="1">
        <f t="array" ref="AP18">_xlfn.IFS($AJ18="NO CHARGE",0,$AJ18=0,0,$AJ18&gt;0,PRODUCT(M18,$AJ18))</f>
        <v>0</v>
      </c>
      <c r="AQ18" s="158">
        <f t="shared" si="16"/>
        <v>0</v>
      </c>
      <c r="AR18" s="875"/>
      <c r="AS18" s="473"/>
      <c r="AT18" s="106"/>
      <c r="AU18" s="107"/>
      <c r="AV18" s="108">
        <f t="shared" si="17"/>
        <v>0</v>
      </c>
      <c r="AW18" s="108">
        <f t="shared" si="18"/>
        <v>0</v>
      </c>
      <c r="AX18" s="108">
        <f t="shared" si="19"/>
        <v>0</v>
      </c>
      <c r="AY18" s="108">
        <f t="shared" si="20"/>
        <v>0</v>
      </c>
      <c r="AZ18" s="108">
        <f t="shared" si="21"/>
        <v>0</v>
      </c>
      <c r="BA18" s="165">
        <f t="shared" si="22"/>
        <v>0</v>
      </c>
      <c r="BB18" s="531"/>
    </row>
    <row r="19" spans="1:55" s="495" customFormat="1" outlineLevel="2" x14ac:dyDescent="0.25">
      <c r="A19" s="714"/>
      <c r="B19" s="623"/>
      <c r="C19" s="200" t="s">
        <v>76</v>
      </c>
      <c r="D19" s="604"/>
      <c r="E19" s="604"/>
      <c r="F19" s="604"/>
      <c r="G19" s="604"/>
      <c r="H19" s="618">
        <f t="shared" si="31"/>
        <v>0</v>
      </c>
      <c r="I19" s="127">
        <f t="shared" si="29"/>
        <v>0</v>
      </c>
      <c r="J19" s="127">
        <f t="shared" si="30"/>
        <v>0</v>
      </c>
      <c r="K19" s="127">
        <f t="shared" si="30"/>
        <v>0</v>
      </c>
      <c r="L19" s="127">
        <f t="shared" si="30"/>
        <v>0</v>
      </c>
      <c r="M19" s="127">
        <f t="shared" si="30"/>
        <v>0</v>
      </c>
      <c r="N19" s="245"/>
      <c r="O19" s="586"/>
      <c r="P19" s="757">
        <f t="shared" si="1"/>
        <v>0</v>
      </c>
      <c r="Q19" s="129">
        <f t="shared" si="24"/>
        <v>0</v>
      </c>
      <c r="R19" s="129">
        <f t="shared" si="25"/>
        <v>0</v>
      </c>
      <c r="S19" s="129">
        <f t="shared" si="26"/>
        <v>0</v>
      </c>
      <c r="T19" s="129">
        <f t="shared" si="27"/>
        <v>0</v>
      </c>
      <c r="U19" s="129">
        <f t="shared" si="28"/>
        <v>0</v>
      </c>
      <c r="V19" s="209">
        <f t="shared" si="7"/>
        <v>0</v>
      </c>
      <c r="W19" s="621"/>
      <c r="X19" s="701" t="str">
        <f t="shared" si="32"/>
        <v>Archived Accounts</v>
      </c>
      <c r="Y19" s="733" t="s">
        <v>77</v>
      </c>
      <c r="Z19" s="774">
        <f t="shared" si="8"/>
        <v>0</v>
      </c>
      <c r="AA19" s="103">
        <f t="shared" si="9"/>
        <v>0</v>
      </c>
      <c r="AB19" s="103">
        <f t="shared" si="10"/>
        <v>0</v>
      </c>
      <c r="AC19" s="103">
        <f t="shared" si="11"/>
        <v>0</v>
      </c>
      <c r="AD19" s="103">
        <f t="shared" si="12"/>
        <v>0</v>
      </c>
      <c r="AE19" s="103">
        <f t="shared" si="13"/>
        <v>0</v>
      </c>
      <c r="AF19" s="123">
        <f t="shared" si="14"/>
        <v>0</v>
      </c>
      <c r="AG19" s="743"/>
      <c r="AH19" s="362"/>
      <c r="AI19" s="880" t="s">
        <v>76</v>
      </c>
      <c r="AJ19" s="270"/>
      <c r="AK19" s="896">
        <f t="shared" si="15"/>
        <v>0</v>
      </c>
      <c r="AL19" s="105" cm="1">
        <f t="array" ref="AL19">_xlfn.IFS($AJ19="NO CHARGE",0,$AJ19=0,0,$AJ19&gt;0,PRODUCT(I19,$AJ19))</f>
        <v>0</v>
      </c>
      <c r="AM19" s="105" cm="1">
        <f t="array" ref="AM19">_xlfn.IFS($AJ19="NO CHARGE",0,$AJ19=0,0,$AJ19&gt;0,PRODUCT(J19,$AJ19))</f>
        <v>0</v>
      </c>
      <c r="AN19" s="105" cm="1">
        <f t="array" ref="AN19">_xlfn.IFS($AJ19="NO CHARGE",0,$AJ19=0,0,$AJ19&gt;0,PRODUCT(K19,$AJ19))</f>
        <v>0</v>
      </c>
      <c r="AO19" s="105" cm="1">
        <f t="array" ref="AO19">_xlfn.IFS($AJ19="NO CHARGE",0,$AJ19=0,0,$AJ19&gt;0,PRODUCT(L19,$AJ19))</f>
        <v>0</v>
      </c>
      <c r="AP19" s="105" cm="1">
        <f t="array" ref="AP19">_xlfn.IFS($AJ19="NO CHARGE",0,$AJ19=0,0,$AJ19&gt;0,PRODUCT(M19,$AJ19))</f>
        <v>0</v>
      </c>
      <c r="AQ19" s="158">
        <f t="shared" si="16"/>
        <v>0</v>
      </c>
      <c r="AR19" s="875"/>
      <c r="AS19" s="473"/>
      <c r="AT19" s="106"/>
      <c r="AU19" s="107"/>
      <c r="AV19" s="108">
        <f t="shared" si="17"/>
        <v>0</v>
      </c>
      <c r="AW19" s="108">
        <f t="shared" si="18"/>
        <v>0</v>
      </c>
      <c r="AX19" s="108">
        <f t="shared" si="19"/>
        <v>0</v>
      </c>
      <c r="AY19" s="108">
        <f t="shared" si="20"/>
        <v>0</v>
      </c>
      <c r="AZ19" s="108">
        <f t="shared" si="21"/>
        <v>0</v>
      </c>
      <c r="BA19" s="165">
        <f t="shared" si="22"/>
        <v>0</v>
      </c>
      <c r="BB19" s="531"/>
    </row>
    <row r="20" spans="1:55" s="495" customFormat="1" outlineLevel="2" x14ac:dyDescent="0.25">
      <c r="A20" s="714"/>
      <c r="B20" s="623"/>
      <c r="C20" s="200" t="s">
        <v>78</v>
      </c>
      <c r="D20" s="604"/>
      <c r="E20" s="604"/>
      <c r="F20" s="604"/>
      <c r="G20" s="604"/>
      <c r="H20" s="618">
        <f t="shared" si="31"/>
        <v>0</v>
      </c>
      <c r="I20" s="127">
        <f t="shared" si="29"/>
        <v>0</v>
      </c>
      <c r="J20" s="127">
        <f t="shared" si="30"/>
        <v>0</v>
      </c>
      <c r="K20" s="127">
        <f t="shared" si="30"/>
        <v>0</v>
      </c>
      <c r="L20" s="127">
        <f t="shared" si="30"/>
        <v>0</v>
      </c>
      <c r="M20" s="127">
        <f t="shared" si="30"/>
        <v>0</v>
      </c>
      <c r="N20" s="245"/>
      <c r="O20" s="586"/>
      <c r="P20" s="757">
        <f t="shared" si="1"/>
        <v>0</v>
      </c>
      <c r="Q20" s="129">
        <f t="shared" si="24"/>
        <v>0</v>
      </c>
      <c r="R20" s="129">
        <f t="shared" si="25"/>
        <v>0</v>
      </c>
      <c r="S20" s="129">
        <f t="shared" si="26"/>
        <v>0</v>
      </c>
      <c r="T20" s="129">
        <f t="shared" si="27"/>
        <v>0</v>
      </c>
      <c r="U20" s="129">
        <f t="shared" si="28"/>
        <v>0</v>
      </c>
      <c r="V20" s="209">
        <f t="shared" si="7"/>
        <v>0</v>
      </c>
      <c r="W20" s="621"/>
      <c r="X20" s="701" t="str">
        <f t="shared" si="32"/>
        <v>Credit Bureau Reporting (3 included)</v>
      </c>
      <c r="Y20" s="733" t="s">
        <v>77</v>
      </c>
      <c r="Z20" s="774">
        <f t="shared" si="8"/>
        <v>0</v>
      </c>
      <c r="AA20" s="103">
        <f t="shared" si="9"/>
        <v>0</v>
      </c>
      <c r="AB20" s="103">
        <f t="shared" si="10"/>
        <v>0</v>
      </c>
      <c r="AC20" s="103">
        <f t="shared" si="11"/>
        <v>0</v>
      </c>
      <c r="AD20" s="103">
        <f t="shared" si="12"/>
        <v>0</v>
      </c>
      <c r="AE20" s="103">
        <f t="shared" si="13"/>
        <v>0</v>
      </c>
      <c r="AF20" s="123">
        <f t="shared" si="14"/>
        <v>0</v>
      </c>
      <c r="AG20" s="743"/>
      <c r="AH20" s="362"/>
      <c r="AI20" s="880" t="s">
        <v>78</v>
      </c>
      <c r="AJ20" s="270"/>
      <c r="AK20" s="896">
        <f t="shared" si="15"/>
        <v>0</v>
      </c>
      <c r="AL20" s="105" cm="1">
        <f t="array" ref="AL20">_xlfn.IFS($AJ20="NO CHARGE",0,$AJ20=0,0,$AJ20&gt;0,PRODUCT(I20,$AJ20))</f>
        <v>0</v>
      </c>
      <c r="AM20" s="105" cm="1">
        <f t="array" ref="AM20">_xlfn.IFS($AJ20="NO CHARGE",0,$AJ20=0,0,$AJ20&gt;0,PRODUCT(J20,$AJ20))</f>
        <v>0</v>
      </c>
      <c r="AN20" s="105" cm="1">
        <f t="array" ref="AN20">_xlfn.IFS($AJ20="NO CHARGE",0,$AJ20=0,0,$AJ20&gt;0,PRODUCT(K20,$AJ20))</f>
        <v>0</v>
      </c>
      <c r="AO20" s="105" cm="1">
        <f t="array" ref="AO20">_xlfn.IFS($AJ20="NO CHARGE",0,$AJ20=0,0,$AJ20&gt;0,PRODUCT(L20,$AJ20))</f>
        <v>0</v>
      </c>
      <c r="AP20" s="105" cm="1">
        <f t="array" ref="AP20">_xlfn.IFS($AJ20="NO CHARGE",0,$AJ20=0,0,$AJ20&gt;0,PRODUCT(M20,$AJ20))</f>
        <v>0</v>
      </c>
      <c r="AQ20" s="158">
        <f t="shared" si="16"/>
        <v>0</v>
      </c>
      <c r="AR20" s="875"/>
      <c r="AS20" s="473"/>
      <c r="AT20" s="106"/>
      <c r="AU20" s="107"/>
      <c r="AV20" s="108">
        <f t="shared" si="17"/>
        <v>0</v>
      </c>
      <c r="AW20" s="108">
        <f t="shared" si="18"/>
        <v>0</v>
      </c>
      <c r="AX20" s="108">
        <f t="shared" si="19"/>
        <v>0</v>
      </c>
      <c r="AY20" s="108">
        <f t="shared" si="20"/>
        <v>0</v>
      </c>
      <c r="AZ20" s="108">
        <f t="shared" si="21"/>
        <v>0</v>
      </c>
      <c r="BA20" s="165">
        <f t="shared" si="22"/>
        <v>0</v>
      </c>
      <c r="BB20" s="531"/>
    </row>
    <row r="21" spans="1:55" s="495" customFormat="1" outlineLevel="2" x14ac:dyDescent="0.25">
      <c r="A21" s="714"/>
      <c r="B21" s="623"/>
      <c r="C21" s="200" t="s">
        <v>79</v>
      </c>
      <c r="D21" s="604"/>
      <c r="E21" s="604"/>
      <c r="F21" s="604"/>
      <c r="G21" s="604"/>
      <c r="H21" s="618">
        <f t="shared" si="31"/>
        <v>0</v>
      </c>
      <c r="I21" s="127">
        <f t="shared" si="29"/>
        <v>0</v>
      </c>
      <c r="J21" s="127">
        <f t="shared" si="30"/>
        <v>0</v>
      </c>
      <c r="K21" s="127">
        <f t="shared" si="30"/>
        <v>0</v>
      </c>
      <c r="L21" s="127">
        <f t="shared" si="30"/>
        <v>0</v>
      </c>
      <c r="M21" s="127">
        <f t="shared" si="30"/>
        <v>0</v>
      </c>
      <c r="N21" s="245"/>
      <c r="O21" s="586"/>
      <c r="P21" s="757">
        <f t="shared" si="1"/>
        <v>0</v>
      </c>
      <c r="Q21" s="129">
        <f t="shared" si="24"/>
        <v>0</v>
      </c>
      <c r="R21" s="129">
        <f t="shared" si="25"/>
        <v>0</v>
      </c>
      <c r="S21" s="129">
        <f t="shared" si="26"/>
        <v>0</v>
      </c>
      <c r="T21" s="129">
        <f t="shared" si="27"/>
        <v>0</v>
      </c>
      <c r="U21" s="129">
        <f t="shared" si="28"/>
        <v>0</v>
      </c>
      <c r="V21" s="209">
        <f t="shared" si="7"/>
        <v>0</v>
      </c>
      <c r="W21" s="621"/>
      <c r="X21" s="701" t="str">
        <f t="shared" si="32"/>
        <v>DDA/Savings History Retention</v>
      </c>
      <c r="Y21" s="733" t="s">
        <v>77</v>
      </c>
      <c r="Z21" s="774">
        <f t="shared" si="8"/>
        <v>0</v>
      </c>
      <c r="AA21" s="103">
        <f t="shared" si="9"/>
        <v>0</v>
      </c>
      <c r="AB21" s="103">
        <f t="shared" si="10"/>
        <v>0</v>
      </c>
      <c r="AC21" s="103">
        <f t="shared" si="11"/>
        <v>0</v>
      </c>
      <c r="AD21" s="103">
        <f t="shared" si="12"/>
        <v>0</v>
      </c>
      <c r="AE21" s="103">
        <f t="shared" si="13"/>
        <v>0</v>
      </c>
      <c r="AF21" s="123">
        <f t="shared" si="14"/>
        <v>0</v>
      </c>
      <c r="AG21" s="743"/>
      <c r="AH21" s="362"/>
      <c r="AI21" s="880" t="s">
        <v>79</v>
      </c>
      <c r="AJ21" s="270"/>
      <c r="AK21" s="896">
        <f t="shared" si="15"/>
        <v>0</v>
      </c>
      <c r="AL21" s="105" cm="1">
        <f t="array" ref="AL21">_xlfn.IFS($AJ21="NO CHARGE",0,$AJ21=0,0,$AJ21&gt;0,PRODUCT(I21,$AJ21))</f>
        <v>0</v>
      </c>
      <c r="AM21" s="105" cm="1">
        <f t="array" ref="AM21">_xlfn.IFS($AJ21="NO CHARGE",0,$AJ21=0,0,$AJ21&gt;0,PRODUCT(J21,$AJ21))</f>
        <v>0</v>
      </c>
      <c r="AN21" s="105" cm="1">
        <f t="array" ref="AN21">_xlfn.IFS($AJ21="NO CHARGE",0,$AJ21=0,0,$AJ21&gt;0,PRODUCT(K21,$AJ21))</f>
        <v>0</v>
      </c>
      <c r="AO21" s="105" cm="1">
        <f t="array" ref="AO21">_xlfn.IFS($AJ21="NO CHARGE",0,$AJ21=0,0,$AJ21&gt;0,PRODUCT(L21,$AJ21))</f>
        <v>0</v>
      </c>
      <c r="AP21" s="105" cm="1">
        <f t="array" ref="AP21">_xlfn.IFS($AJ21="NO CHARGE",0,$AJ21=0,0,$AJ21&gt;0,PRODUCT(M21,$AJ21))</f>
        <v>0</v>
      </c>
      <c r="AQ21" s="158">
        <f t="shared" si="16"/>
        <v>0</v>
      </c>
      <c r="AR21" s="875"/>
      <c r="AS21" s="473"/>
      <c r="AT21" s="106"/>
      <c r="AU21" s="107"/>
      <c r="AV21" s="108">
        <f t="shared" si="17"/>
        <v>0</v>
      </c>
      <c r="AW21" s="108">
        <f t="shared" si="18"/>
        <v>0</v>
      </c>
      <c r="AX21" s="108">
        <f t="shared" si="19"/>
        <v>0</v>
      </c>
      <c r="AY21" s="108">
        <f t="shared" si="20"/>
        <v>0</v>
      </c>
      <c r="AZ21" s="108">
        <f t="shared" si="21"/>
        <v>0</v>
      </c>
      <c r="BA21" s="165">
        <f t="shared" si="22"/>
        <v>0</v>
      </c>
      <c r="BB21" s="531"/>
    </row>
    <row r="22" spans="1:55" s="495" customFormat="1" outlineLevel="2" x14ac:dyDescent="0.25">
      <c r="A22" s="714"/>
      <c r="B22" s="623"/>
      <c r="C22" s="200" t="s">
        <v>80</v>
      </c>
      <c r="D22" s="604"/>
      <c r="E22" s="604"/>
      <c r="F22" s="604"/>
      <c r="G22" s="604"/>
      <c r="H22" s="618">
        <f t="shared" si="31"/>
        <v>0</v>
      </c>
      <c r="I22" s="127">
        <f t="shared" si="29"/>
        <v>0</v>
      </c>
      <c r="J22" s="127">
        <f t="shared" si="30"/>
        <v>0</v>
      </c>
      <c r="K22" s="127">
        <f t="shared" si="30"/>
        <v>0</v>
      </c>
      <c r="L22" s="127">
        <f t="shared" si="30"/>
        <v>0</v>
      </c>
      <c r="M22" s="127">
        <f t="shared" si="30"/>
        <v>0</v>
      </c>
      <c r="N22" s="245"/>
      <c r="O22" s="586"/>
      <c r="P22" s="757">
        <f t="shared" si="1"/>
        <v>0</v>
      </c>
      <c r="Q22" s="129">
        <f t="shared" si="24"/>
        <v>0</v>
      </c>
      <c r="R22" s="129">
        <f t="shared" si="25"/>
        <v>0</v>
      </c>
      <c r="S22" s="129">
        <f t="shared" si="26"/>
        <v>0</v>
      </c>
      <c r="T22" s="129">
        <f t="shared" si="27"/>
        <v>0</v>
      </c>
      <c r="U22" s="129">
        <f t="shared" si="28"/>
        <v>0</v>
      </c>
      <c r="V22" s="209">
        <f t="shared" si="7"/>
        <v>0</v>
      </c>
      <c r="W22" s="621"/>
      <c r="X22" s="701" t="str">
        <f t="shared" si="32"/>
        <v>Deposit Origination (DO)</v>
      </c>
      <c r="Y22" s="733" t="s">
        <v>77</v>
      </c>
      <c r="Z22" s="774">
        <f t="shared" si="8"/>
        <v>0</v>
      </c>
      <c r="AA22" s="103">
        <f t="shared" si="9"/>
        <v>0</v>
      </c>
      <c r="AB22" s="103">
        <f t="shared" si="10"/>
        <v>0</v>
      </c>
      <c r="AC22" s="103">
        <f t="shared" si="11"/>
        <v>0</v>
      </c>
      <c r="AD22" s="103">
        <f t="shared" si="12"/>
        <v>0</v>
      </c>
      <c r="AE22" s="103">
        <f t="shared" si="13"/>
        <v>0</v>
      </c>
      <c r="AF22" s="123">
        <f t="shared" si="14"/>
        <v>0</v>
      </c>
      <c r="AG22" s="743"/>
      <c r="AH22" s="362"/>
      <c r="AI22" s="880" t="s">
        <v>80</v>
      </c>
      <c r="AJ22" s="270"/>
      <c r="AK22" s="896">
        <f t="shared" si="15"/>
        <v>0</v>
      </c>
      <c r="AL22" s="105" cm="1">
        <f t="array" ref="AL22">_xlfn.IFS($AJ22="NO CHARGE",0,$AJ22=0,0,$AJ22&gt;0,PRODUCT(I22,$AJ22))</f>
        <v>0</v>
      </c>
      <c r="AM22" s="105" cm="1">
        <f t="array" ref="AM22">_xlfn.IFS($AJ22="NO CHARGE",0,$AJ22=0,0,$AJ22&gt;0,PRODUCT(J22,$AJ22))</f>
        <v>0</v>
      </c>
      <c r="AN22" s="105" cm="1">
        <f t="array" ref="AN22">_xlfn.IFS($AJ22="NO CHARGE",0,$AJ22=0,0,$AJ22&gt;0,PRODUCT(K22,$AJ22))</f>
        <v>0</v>
      </c>
      <c r="AO22" s="105" cm="1">
        <f t="array" ref="AO22">_xlfn.IFS($AJ22="NO CHARGE",0,$AJ22=0,0,$AJ22&gt;0,PRODUCT(L22,$AJ22))</f>
        <v>0</v>
      </c>
      <c r="AP22" s="105" cm="1">
        <f t="array" ref="AP22">_xlfn.IFS($AJ22="NO CHARGE",0,$AJ22=0,0,$AJ22&gt;0,PRODUCT(M22,$AJ22))</f>
        <v>0</v>
      </c>
      <c r="AQ22" s="158">
        <f t="shared" si="16"/>
        <v>0</v>
      </c>
      <c r="AR22" s="875"/>
      <c r="AS22" s="473"/>
      <c r="AT22" s="106"/>
      <c r="AU22" s="107"/>
      <c r="AV22" s="108">
        <f t="shared" si="17"/>
        <v>0</v>
      </c>
      <c r="AW22" s="108">
        <f t="shared" si="18"/>
        <v>0</v>
      </c>
      <c r="AX22" s="108">
        <f t="shared" si="19"/>
        <v>0</v>
      </c>
      <c r="AY22" s="108">
        <f t="shared" si="20"/>
        <v>0</v>
      </c>
      <c r="AZ22" s="108">
        <f t="shared" si="21"/>
        <v>0</v>
      </c>
      <c r="BA22" s="165">
        <f t="shared" si="22"/>
        <v>0</v>
      </c>
      <c r="BB22" s="531"/>
    </row>
    <row r="23" spans="1:55" s="495" customFormat="1" outlineLevel="2" x14ac:dyDescent="0.25">
      <c r="A23" s="714"/>
      <c r="B23" s="623"/>
      <c r="C23" s="200" t="s">
        <v>81</v>
      </c>
      <c r="D23" s="604"/>
      <c r="E23" s="604"/>
      <c r="F23" s="604"/>
      <c r="G23" s="604"/>
      <c r="H23" s="618">
        <f t="shared" si="31"/>
        <v>0</v>
      </c>
      <c r="I23" s="127">
        <f t="shared" si="29"/>
        <v>0</v>
      </c>
      <c r="J23" s="127">
        <f t="shared" si="30"/>
        <v>0</v>
      </c>
      <c r="K23" s="127">
        <f t="shared" si="30"/>
        <v>0</v>
      </c>
      <c r="L23" s="127">
        <f t="shared" si="30"/>
        <v>0</v>
      </c>
      <c r="M23" s="127">
        <f t="shared" si="30"/>
        <v>0</v>
      </c>
      <c r="N23" s="245"/>
      <c r="O23" s="586"/>
      <c r="P23" s="757">
        <f t="shared" si="1"/>
        <v>0</v>
      </c>
      <c r="Q23" s="129">
        <f t="shared" si="24"/>
        <v>0</v>
      </c>
      <c r="R23" s="129">
        <f t="shared" si="25"/>
        <v>0</v>
      </c>
      <c r="S23" s="129">
        <f t="shared" si="26"/>
        <v>0</v>
      </c>
      <c r="T23" s="129">
        <f t="shared" si="27"/>
        <v>0</v>
      </c>
      <c r="U23" s="129">
        <f t="shared" si="28"/>
        <v>0</v>
      </c>
      <c r="V23" s="209">
        <f t="shared" si="7"/>
        <v>0</v>
      </c>
      <c r="W23" s="621"/>
      <c r="X23" s="701" t="str">
        <f t="shared" si="32"/>
        <v>eSignature for Teller Capture</v>
      </c>
      <c r="Y23" s="733" t="s">
        <v>77</v>
      </c>
      <c r="Z23" s="774">
        <f t="shared" si="8"/>
        <v>0</v>
      </c>
      <c r="AA23" s="103">
        <f t="shared" si="9"/>
        <v>0</v>
      </c>
      <c r="AB23" s="103">
        <f t="shared" si="10"/>
        <v>0</v>
      </c>
      <c r="AC23" s="103">
        <f t="shared" si="11"/>
        <v>0</v>
      </c>
      <c r="AD23" s="103">
        <f t="shared" si="12"/>
        <v>0</v>
      </c>
      <c r="AE23" s="103">
        <f t="shared" si="13"/>
        <v>0</v>
      </c>
      <c r="AF23" s="123">
        <f t="shared" si="14"/>
        <v>0</v>
      </c>
      <c r="AG23" s="743"/>
      <c r="AH23" s="362"/>
      <c r="AI23" s="880" t="s">
        <v>81</v>
      </c>
      <c r="AJ23" s="270"/>
      <c r="AK23" s="896">
        <f t="shared" si="15"/>
        <v>0</v>
      </c>
      <c r="AL23" s="105" cm="1">
        <f t="array" ref="AL23">_xlfn.IFS($AJ23="NO CHARGE",0,$AJ23=0,0,$AJ23&gt;0,PRODUCT(I23,$AJ23))</f>
        <v>0</v>
      </c>
      <c r="AM23" s="105" cm="1">
        <f t="array" ref="AM23">_xlfn.IFS($AJ23="NO CHARGE",0,$AJ23=0,0,$AJ23&gt;0,PRODUCT(J23,$AJ23))</f>
        <v>0</v>
      </c>
      <c r="AN23" s="105" cm="1">
        <f t="array" ref="AN23">_xlfn.IFS($AJ23="NO CHARGE",0,$AJ23=0,0,$AJ23&gt;0,PRODUCT(K23,$AJ23))</f>
        <v>0</v>
      </c>
      <c r="AO23" s="105" cm="1">
        <f t="array" ref="AO23">_xlfn.IFS($AJ23="NO CHARGE",0,$AJ23=0,0,$AJ23&gt;0,PRODUCT(L23,$AJ23))</f>
        <v>0</v>
      </c>
      <c r="AP23" s="105" cm="1">
        <f t="array" ref="AP23">_xlfn.IFS($AJ23="NO CHARGE",0,$AJ23=0,0,$AJ23&gt;0,PRODUCT(M23,$AJ23))</f>
        <v>0</v>
      </c>
      <c r="AQ23" s="158">
        <f t="shared" si="16"/>
        <v>0</v>
      </c>
      <c r="AR23" s="875"/>
      <c r="AS23" s="473"/>
      <c r="AT23" s="106"/>
      <c r="AU23" s="107"/>
      <c r="AV23" s="108">
        <f t="shared" si="17"/>
        <v>0</v>
      </c>
      <c r="AW23" s="108">
        <f t="shared" si="18"/>
        <v>0</v>
      </c>
      <c r="AX23" s="108">
        <f t="shared" si="19"/>
        <v>0</v>
      </c>
      <c r="AY23" s="108">
        <f t="shared" si="20"/>
        <v>0</v>
      </c>
      <c r="AZ23" s="108">
        <f t="shared" si="21"/>
        <v>0</v>
      </c>
      <c r="BA23" s="165">
        <f t="shared" si="22"/>
        <v>0</v>
      </c>
      <c r="BB23" s="531"/>
    </row>
    <row r="24" spans="1:55" s="495" customFormat="1" outlineLevel="2" x14ac:dyDescent="0.25">
      <c r="A24" s="714"/>
      <c r="B24" s="623"/>
      <c r="C24" s="200" t="s">
        <v>82</v>
      </c>
      <c r="D24" s="604"/>
      <c r="E24" s="604"/>
      <c r="F24" s="604"/>
      <c r="G24" s="604"/>
      <c r="H24" s="618">
        <f t="shared" si="31"/>
        <v>0</v>
      </c>
      <c r="I24" s="127">
        <f t="shared" si="29"/>
        <v>0</v>
      </c>
      <c r="J24" s="127">
        <f t="shared" si="30"/>
        <v>0</v>
      </c>
      <c r="K24" s="127">
        <f t="shared" si="30"/>
        <v>0</v>
      </c>
      <c r="L24" s="127">
        <f t="shared" si="30"/>
        <v>0</v>
      </c>
      <c r="M24" s="127">
        <f t="shared" si="30"/>
        <v>0</v>
      </c>
      <c r="N24" s="245"/>
      <c r="O24" s="586"/>
      <c r="P24" s="757">
        <f t="shared" si="1"/>
        <v>0</v>
      </c>
      <c r="Q24" s="129">
        <f t="shared" si="24"/>
        <v>0</v>
      </c>
      <c r="R24" s="129">
        <f t="shared" si="25"/>
        <v>0</v>
      </c>
      <c r="S24" s="129">
        <f t="shared" si="26"/>
        <v>0</v>
      </c>
      <c r="T24" s="129">
        <f t="shared" si="27"/>
        <v>0</v>
      </c>
      <c r="U24" s="129">
        <f t="shared" si="28"/>
        <v>0</v>
      </c>
      <c r="V24" s="209">
        <f t="shared" si="7"/>
        <v>0</v>
      </c>
      <c r="W24" s="621"/>
      <c r="X24" s="701" t="str">
        <f t="shared" si="32"/>
        <v>General Ledger History Retention</v>
      </c>
      <c r="Y24" s="733" t="s">
        <v>77</v>
      </c>
      <c r="Z24" s="774">
        <f t="shared" si="8"/>
        <v>0</v>
      </c>
      <c r="AA24" s="103">
        <f t="shared" si="9"/>
        <v>0</v>
      </c>
      <c r="AB24" s="103">
        <f t="shared" si="10"/>
        <v>0</v>
      </c>
      <c r="AC24" s="103">
        <f t="shared" si="11"/>
        <v>0</v>
      </c>
      <c r="AD24" s="103">
        <f t="shared" si="12"/>
        <v>0</v>
      </c>
      <c r="AE24" s="103">
        <f t="shared" si="13"/>
        <v>0</v>
      </c>
      <c r="AF24" s="123">
        <f t="shared" si="14"/>
        <v>0</v>
      </c>
      <c r="AG24" s="743"/>
      <c r="AH24" s="362"/>
      <c r="AI24" s="880" t="s">
        <v>82</v>
      </c>
      <c r="AJ24" s="270"/>
      <c r="AK24" s="896">
        <f t="shared" si="15"/>
        <v>0</v>
      </c>
      <c r="AL24" s="105" cm="1">
        <f t="array" ref="AL24">_xlfn.IFS($AJ24="NO CHARGE",0,$AJ24=0,0,$AJ24&gt;0,PRODUCT(I24,$AJ24))</f>
        <v>0</v>
      </c>
      <c r="AM24" s="105" cm="1">
        <f t="array" ref="AM24">_xlfn.IFS($AJ24="NO CHARGE",0,$AJ24=0,0,$AJ24&gt;0,PRODUCT(J24,$AJ24))</f>
        <v>0</v>
      </c>
      <c r="AN24" s="105" cm="1">
        <f t="array" ref="AN24">_xlfn.IFS($AJ24="NO CHARGE",0,$AJ24=0,0,$AJ24&gt;0,PRODUCT(K24,$AJ24))</f>
        <v>0</v>
      </c>
      <c r="AO24" s="105" cm="1">
        <f t="array" ref="AO24">_xlfn.IFS($AJ24="NO CHARGE",0,$AJ24=0,0,$AJ24&gt;0,PRODUCT(L24,$AJ24))</f>
        <v>0</v>
      </c>
      <c r="AP24" s="105" cm="1">
        <f t="array" ref="AP24">_xlfn.IFS($AJ24="NO CHARGE",0,$AJ24=0,0,$AJ24&gt;0,PRODUCT(M24,$AJ24))</f>
        <v>0</v>
      </c>
      <c r="AQ24" s="158">
        <f t="shared" si="16"/>
        <v>0</v>
      </c>
      <c r="AR24" s="875"/>
      <c r="AS24" s="473"/>
      <c r="AT24" s="106"/>
      <c r="AU24" s="107"/>
      <c r="AV24" s="108">
        <f t="shared" si="17"/>
        <v>0</v>
      </c>
      <c r="AW24" s="108">
        <f t="shared" si="18"/>
        <v>0</v>
      </c>
      <c r="AX24" s="108">
        <f t="shared" si="19"/>
        <v>0</v>
      </c>
      <c r="AY24" s="108">
        <f t="shared" si="20"/>
        <v>0</v>
      </c>
      <c r="AZ24" s="108">
        <f t="shared" si="21"/>
        <v>0</v>
      </c>
      <c r="BA24" s="165">
        <f t="shared" si="22"/>
        <v>0</v>
      </c>
      <c r="BB24" s="531"/>
    </row>
    <row r="25" spans="1:55" s="495" customFormat="1" outlineLevel="2" x14ac:dyDescent="0.25">
      <c r="A25" s="714"/>
      <c r="B25" s="623"/>
      <c r="C25" s="200" t="s">
        <v>83</v>
      </c>
      <c r="D25" s="604"/>
      <c r="E25" s="604"/>
      <c r="F25" s="604"/>
      <c r="G25" s="604"/>
      <c r="H25" s="618">
        <f t="shared" si="31"/>
        <v>0</v>
      </c>
      <c r="I25" s="127">
        <f t="shared" si="29"/>
        <v>0</v>
      </c>
      <c r="J25" s="127">
        <f t="shared" si="30"/>
        <v>0</v>
      </c>
      <c r="K25" s="127">
        <f t="shared" si="30"/>
        <v>0</v>
      </c>
      <c r="L25" s="127">
        <f t="shared" si="30"/>
        <v>0</v>
      </c>
      <c r="M25" s="127">
        <f t="shared" si="30"/>
        <v>0</v>
      </c>
      <c r="N25" s="245"/>
      <c r="O25" s="586"/>
      <c r="P25" s="757">
        <f t="shared" si="1"/>
        <v>0</v>
      </c>
      <c r="Q25" s="129">
        <f t="shared" si="24"/>
        <v>0</v>
      </c>
      <c r="R25" s="129">
        <f t="shared" si="25"/>
        <v>0</v>
      </c>
      <c r="S25" s="129">
        <f t="shared" si="26"/>
        <v>0</v>
      </c>
      <c r="T25" s="129">
        <f t="shared" si="27"/>
        <v>0</v>
      </c>
      <c r="U25" s="129">
        <f t="shared" si="28"/>
        <v>0</v>
      </c>
      <c r="V25" s="209">
        <f t="shared" si="7"/>
        <v>0</v>
      </c>
      <c r="W25" s="621"/>
      <c r="X25" s="701" t="str">
        <f t="shared" si="32"/>
        <v>GL Posting Account/Branch/Center Processing</v>
      </c>
      <c r="Y25" s="733" t="s">
        <v>77</v>
      </c>
      <c r="Z25" s="774">
        <f t="shared" si="8"/>
        <v>0</v>
      </c>
      <c r="AA25" s="103">
        <f t="shared" si="9"/>
        <v>0</v>
      </c>
      <c r="AB25" s="103">
        <f t="shared" si="10"/>
        <v>0</v>
      </c>
      <c r="AC25" s="103">
        <f t="shared" si="11"/>
        <v>0</v>
      </c>
      <c r="AD25" s="103">
        <f t="shared" si="12"/>
        <v>0</v>
      </c>
      <c r="AE25" s="103">
        <f t="shared" si="13"/>
        <v>0</v>
      </c>
      <c r="AF25" s="123">
        <f t="shared" si="14"/>
        <v>0</v>
      </c>
      <c r="AG25" s="743"/>
      <c r="AH25" s="362"/>
      <c r="AI25" s="880" t="s">
        <v>83</v>
      </c>
      <c r="AJ25" s="270"/>
      <c r="AK25" s="896">
        <f t="shared" si="15"/>
        <v>0</v>
      </c>
      <c r="AL25" s="105" cm="1">
        <f t="array" ref="AL25">_xlfn.IFS($AJ25="NO CHARGE",0,$AJ25=0,0,$AJ25&gt;0,PRODUCT(I25,$AJ25))</f>
        <v>0</v>
      </c>
      <c r="AM25" s="105" cm="1">
        <f t="array" ref="AM25">_xlfn.IFS($AJ25="NO CHARGE",0,$AJ25=0,0,$AJ25&gt;0,PRODUCT(J25,$AJ25))</f>
        <v>0</v>
      </c>
      <c r="AN25" s="105" cm="1">
        <f t="array" ref="AN25">_xlfn.IFS($AJ25="NO CHARGE",0,$AJ25=0,0,$AJ25&gt;0,PRODUCT(K25,$AJ25))</f>
        <v>0</v>
      </c>
      <c r="AO25" s="105" cm="1">
        <f t="array" ref="AO25">_xlfn.IFS($AJ25="NO CHARGE",0,$AJ25=0,0,$AJ25&gt;0,PRODUCT(L25,$AJ25))</f>
        <v>0</v>
      </c>
      <c r="AP25" s="105" cm="1">
        <f t="array" ref="AP25">_xlfn.IFS($AJ25="NO CHARGE",0,$AJ25=0,0,$AJ25&gt;0,PRODUCT(M25,$AJ25))</f>
        <v>0</v>
      </c>
      <c r="AQ25" s="158">
        <f t="shared" si="16"/>
        <v>0</v>
      </c>
      <c r="AR25" s="875"/>
      <c r="AS25" s="473"/>
      <c r="AT25" s="106"/>
      <c r="AU25" s="107"/>
      <c r="AV25" s="108">
        <f t="shared" si="17"/>
        <v>0</v>
      </c>
      <c r="AW25" s="108">
        <f t="shared" si="18"/>
        <v>0</v>
      </c>
      <c r="AX25" s="108">
        <f t="shared" si="19"/>
        <v>0</v>
      </c>
      <c r="AY25" s="108">
        <f t="shared" si="20"/>
        <v>0</v>
      </c>
      <c r="AZ25" s="108">
        <f t="shared" si="21"/>
        <v>0</v>
      </c>
      <c r="BA25" s="165">
        <f t="shared" si="22"/>
        <v>0</v>
      </c>
      <c r="BB25" s="531"/>
    </row>
    <row r="26" spans="1:55" s="495" customFormat="1" outlineLevel="2" x14ac:dyDescent="0.25">
      <c r="A26" s="714"/>
      <c r="B26" s="623"/>
      <c r="C26" s="200" t="s">
        <v>84</v>
      </c>
      <c r="D26" s="604"/>
      <c r="E26" s="604"/>
      <c r="F26" s="604"/>
      <c r="G26" s="604"/>
      <c r="H26" s="618">
        <f t="shared" si="31"/>
        <v>0</v>
      </c>
      <c r="I26" s="127">
        <f t="shared" si="29"/>
        <v>0</v>
      </c>
      <c r="J26" s="127">
        <f t="shared" si="30"/>
        <v>0</v>
      </c>
      <c r="K26" s="127">
        <f t="shared" si="30"/>
        <v>0</v>
      </c>
      <c r="L26" s="127">
        <f t="shared" si="30"/>
        <v>0</v>
      </c>
      <c r="M26" s="127">
        <f t="shared" si="30"/>
        <v>0</v>
      </c>
      <c r="N26" s="245"/>
      <c r="O26" s="586"/>
      <c r="P26" s="757">
        <f t="shared" si="1"/>
        <v>0</v>
      </c>
      <c r="Q26" s="129">
        <f t="shared" si="24"/>
        <v>0</v>
      </c>
      <c r="R26" s="129">
        <f t="shared" si="25"/>
        <v>0</v>
      </c>
      <c r="S26" s="129">
        <f t="shared" si="26"/>
        <v>0</v>
      </c>
      <c r="T26" s="129">
        <f t="shared" si="27"/>
        <v>0</v>
      </c>
      <c r="U26" s="129">
        <f t="shared" si="28"/>
        <v>0</v>
      </c>
      <c r="V26" s="209">
        <f t="shared" si="7"/>
        <v>0</v>
      </c>
      <c r="W26" s="621"/>
      <c r="X26" s="701" t="str">
        <f t="shared" si="32"/>
        <v>HORIZON eAlert (email only)</v>
      </c>
      <c r="Y26" s="733" t="s">
        <v>77</v>
      </c>
      <c r="Z26" s="774">
        <f t="shared" si="8"/>
        <v>0</v>
      </c>
      <c r="AA26" s="103">
        <f t="shared" si="9"/>
        <v>0</v>
      </c>
      <c r="AB26" s="103">
        <f t="shared" si="10"/>
        <v>0</v>
      </c>
      <c r="AC26" s="103">
        <f t="shared" si="11"/>
        <v>0</v>
      </c>
      <c r="AD26" s="103">
        <f t="shared" si="12"/>
        <v>0</v>
      </c>
      <c r="AE26" s="103">
        <f t="shared" si="13"/>
        <v>0</v>
      </c>
      <c r="AF26" s="123">
        <f t="shared" si="14"/>
        <v>0</v>
      </c>
      <c r="AG26" s="743"/>
      <c r="AH26" s="362"/>
      <c r="AI26" s="880" t="s">
        <v>84</v>
      </c>
      <c r="AJ26" s="270"/>
      <c r="AK26" s="896">
        <f t="shared" si="15"/>
        <v>0</v>
      </c>
      <c r="AL26" s="105" cm="1">
        <f t="array" ref="AL26">_xlfn.IFS($AJ26="NO CHARGE",0,$AJ26=0,0,$AJ26&gt;0,PRODUCT(I26,$AJ26))</f>
        <v>0</v>
      </c>
      <c r="AM26" s="105" cm="1">
        <f t="array" ref="AM26">_xlfn.IFS($AJ26="NO CHARGE",0,$AJ26=0,0,$AJ26&gt;0,PRODUCT(J26,$AJ26))</f>
        <v>0</v>
      </c>
      <c r="AN26" s="105" cm="1">
        <f t="array" ref="AN26">_xlfn.IFS($AJ26="NO CHARGE",0,$AJ26=0,0,$AJ26&gt;0,PRODUCT(K26,$AJ26))</f>
        <v>0</v>
      </c>
      <c r="AO26" s="105" cm="1">
        <f t="array" ref="AO26">_xlfn.IFS($AJ26="NO CHARGE",0,$AJ26=0,0,$AJ26&gt;0,PRODUCT(L26,$AJ26))</f>
        <v>0</v>
      </c>
      <c r="AP26" s="105" cm="1">
        <f t="array" ref="AP26">_xlfn.IFS($AJ26="NO CHARGE",0,$AJ26=0,0,$AJ26&gt;0,PRODUCT(M26,$AJ26))</f>
        <v>0</v>
      </c>
      <c r="AQ26" s="158">
        <f t="shared" si="16"/>
        <v>0</v>
      </c>
      <c r="AR26" s="875"/>
      <c r="AS26" s="473"/>
      <c r="AT26" s="106"/>
      <c r="AU26" s="107"/>
      <c r="AV26" s="108">
        <f t="shared" si="17"/>
        <v>0</v>
      </c>
      <c r="AW26" s="108">
        <f t="shared" si="18"/>
        <v>0</v>
      </c>
      <c r="AX26" s="108">
        <f t="shared" si="19"/>
        <v>0</v>
      </c>
      <c r="AY26" s="108">
        <f t="shared" si="20"/>
        <v>0</v>
      </c>
      <c r="AZ26" s="108">
        <f t="shared" si="21"/>
        <v>0</v>
      </c>
      <c r="BA26" s="165">
        <f t="shared" si="22"/>
        <v>0</v>
      </c>
      <c r="BB26" s="531"/>
      <c r="BC26" s="1098"/>
    </row>
    <row r="27" spans="1:55" s="495" customFormat="1" outlineLevel="2" x14ac:dyDescent="0.25">
      <c r="A27" s="714"/>
      <c r="B27" s="623"/>
      <c r="C27" s="200" t="s">
        <v>85</v>
      </c>
      <c r="D27" s="604"/>
      <c r="E27" s="604"/>
      <c r="F27" s="604"/>
      <c r="G27" s="604"/>
      <c r="H27" s="618">
        <f t="shared" si="31"/>
        <v>0</v>
      </c>
      <c r="I27" s="127">
        <f t="shared" si="29"/>
        <v>0</v>
      </c>
      <c r="J27" s="127">
        <f t="shared" si="30"/>
        <v>0</v>
      </c>
      <c r="K27" s="127">
        <f t="shared" si="30"/>
        <v>0</v>
      </c>
      <c r="L27" s="127">
        <f t="shared" si="30"/>
        <v>0</v>
      </c>
      <c r="M27" s="127">
        <f t="shared" si="30"/>
        <v>0</v>
      </c>
      <c r="N27" s="245"/>
      <c r="O27" s="586"/>
      <c r="P27" s="757">
        <f t="shared" si="1"/>
        <v>0</v>
      </c>
      <c r="Q27" s="129">
        <f t="shared" si="24"/>
        <v>0</v>
      </c>
      <c r="R27" s="129">
        <f t="shared" si="25"/>
        <v>0</v>
      </c>
      <c r="S27" s="129">
        <f t="shared" si="26"/>
        <v>0</v>
      </c>
      <c r="T27" s="129">
        <f t="shared" si="27"/>
        <v>0</v>
      </c>
      <c r="U27" s="129">
        <f t="shared" si="28"/>
        <v>0</v>
      </c>
      <c r="V27" s="209">
        <f t="shared" si="7"/>
        <v>0</v>
      </c>
      <c r="W27" s="621"/>
      <c r="X27" s="701" t="str">
        <f t="shared" si="32"/>
        <v>HORIZON Teller</v>
      </c>
      <c r="Y27" s="733" t="s">
        <v>77</v>
      </c>
      <c r="Z27" s="774">
        <f t="shared" si="8"/>
        <v>0</v>
      </c>
      <c r="AA27" s="103">
        <f t="shared" si="9"/>
        <v>0</v>
      </c>
      <c r="AB27" s="103">
        <f t="shared" si="10"/>
        <v>0</v>
      </c>
      <c r="AC27" s="103">
        <f t="shared" si="11"/>
        <v>0</v>
      </c>
      <c r="AD27" s="103">
        <f t="shared" si="12"/>
        <v>0</v>
      </c>
      <c r="AE27" s="103">
        <f t="shared" si="13"/>
        <v>0</v>
      </c>
      <c r="AF27" s="123">
        <f t="shared" si="14"/>
        <v>0</v>
      </c>
      <c r="AG27" s="743"/>
      <c r="AH27" s="362"/>
      <c r="AI27" s="880" t="s">
        <v>85</v>
      </c>
      <c r="AJ27" s="270"/>
      <c r="AK27" s="896">
        <f t="shared" si="15"/>
        <v>0</v>
      </c>
      <c r="AL27" s="105" cm="1">
        <f t="array" ref="AL27">_xlfn.IFS($AJ27="NO CHARGE",0,$AJ27=0,0,$AJ27&gt;0,PRODUCT(I27,$AJ27))</f>
        <v>0</v>
      </c>
      <c r="AM27" s="105" cm="1">
        <f t="array" ref="AM27">_xlfn.IFS($AJ27="NO CHARGE",0,$AJ27=0,0,$AJ27&gt;0,PRODUCT(J27,$AJ27))</f>
        <v>0</v>
      </c>
      <c r="AN27" s="105" cm="1">
        <f t="array" ref="AN27">_xlfn.IFS($AJ27="NO CHARGE",0,$AJ27=0,0,$AJ27&gt;0,PRODUCT(K27,$AJ27))</f>
        <v>0</v>
      </c>
      <c r="AO27" s="105" cm="1">
        <f t="array" ref="AO27">_xlfn.IFS($AJ27="NO CHARGE",0,$AJ27=0,0,$AJ27&gt;0,PRODUCT(L27,$AJ27))</f>
        <v>0</v>
      </c>
      <c r="AP27" s="105" cm="1">
        <f t="array" ref="AP27">_xlfn.IFS($AJ27="NO CHARGE",0,$AJ27=0,0,$AJ27&gt;0,PRODUCT(M27,$AJ27))</f>
        <v>0</v>
      </c>
      <c r="AQ27" s="158">
        <f t="shared" si="16"/>
        <v>0</v>
      </c>
      <c r="AR27" s="875"/>
      <c r="AS27" s="473"/>
      <c r="AT27" s="106"/>
      <c r="AU27" s="107"/>
      <c r="AV27" s="108">
        <f t="shared" si="17"/>
        <v>0</v>
      </c>
      <c r="AW27" s="108">
        <f t="shared" si="18"/>
        <v>0</v>
      </c>
      <c r="AX27" s="108">
        <f t="shared" si="19"/>
        <v>0</v>
      </c>
      <c r="AY27" s="108">
        <f t="shared" si="20"/>
        <v>0</v>
      </c>
      <c r="AZ27" s="108">
        <f t="shared" si="21"/>
        <v>0</v>
      </c>
      <c r="BA27" s="165">
        <f t="shared" si="22"/>
        <v>0</v>
      </c>
      <c r="BB27" s="531"/>
    </row>
    <row r="28" spans="1:55" s="495" customFormat="1" outlineLevel="2" x14ac:dyDescent="0.25">
      <c r="A28" s="714"/>
      <c r="B28" s="623"/>
      <c r="C28" s="200" t="s">
        <v>86</v>
      </c>
      <c r="D28" s="604"/>
      <c r="E28" s="604"/>
      <c r="F28" s="604"/>
      <c r="G28" s="604"/>
      <c r="H28" s="618">
        <f t="shared" si="31"/>
        <v>0</v>
      </c>
      <c r="I28" s="127">
        <f t="shared" si="29"/>
        <v>0</v>
      </c>
      <c r="J28" s="127">
        <f t="shared" si="30"/>
        <v>0</v>
      </c>
      <c r="K28" s="127">
        <f t="shared" si="30"/>
        <v>0</v>
      </c>
      <c r="L28" s="127">
        <f t="shared" si="30"/>
        <v>0</v>
      </c>
      <c r="M28" s="127">
        <f t="shared" si="30"/>
        <v>0</v>
      </c>
      <c r="N28" s="245"/>
      <c r="O28" s="586"/>
      <c r="P28" s="757">
        <f t="shared" si="1"/>
        <v>0</v>
      </c>
      <c r="Q28" s="129">
        <f t="shared" si="24"/>
        <v>0</v>
      </c>
      <c r="R28" s="129">
        <f t="shared" si="25"/>
        <v>0</v>
      </c>
      <c r="S28" s="129">
        <f t="shared" si="26"/>
        <v>0</v>
      </c>
      <c r="T28" s="129">
        <f t="shared" si="27"/>
        <v>0</v>
      </c>
      <c r="U28" s="129">
        <f t="shared" si="28"/>
        <v>0</v>
      </c>
      <c r="V28" s="209">
        <f t="shared" si="7"/>
        <v>0</v>
      </c>
      <c r="W28" s="621"/>
      <c r="X28" s="701" t="str">
        <f t="shared" si="32"/>
        <v>Multi-Tabbing</v>
      </c>
      <c r="Y28" s="733" t="s">
        <v>77</v>
      </c>
      <c r="Z28" s="774">
        <f t="shared" si="8"/>
        <v>0</v>
      </c>
      <c r="AA28" s="103">
        <f t="shared" si="9"/>
        <v>0</v>
      </c>
      <c r="AB28" s="103">
        <f t="shared" si="10"/>
        <v>0</v>
      </c>
      <c r="AC28" s="103">
        <f t="shared" si="11"/>
        <v>0</v>
      </c>
      <c r="AD28" s="103">
        <f t="shared" si="12"/>
        <v>0</v>
      </c>
      <c r="AE28" s="103">
        <f t="shared" si="13"/>
        <v>0</v>
      </c>
      <c r="AF28" s="123">
        <f t="shared" si="14"/>
        <v>0</v>
      </c>
      <c r="AG28" s="743"/>
      <c r="AH28" s="362"/>
      <c r="AI28" s="880" t="s">
        <v>86</v>
      </c>
      <c r="AJ28" s="270"/>
      <c r="AK28" s="896">
        <f t="shared" si="15"/>
        <v>0</v>
      </c>
      <c r="AL28" s="105" cm="1">
        <f t="array" ref="AL28">_xlfn.IFS($AJ28="NO CHARGE",0,$AJ28=0,0,$AJ28&gt;0,PRODUCT(I28,$AJ28))</f>
        <v>0</v>
      </c>
      <c r="AM28" s="105" cm="1">
        <f t="array" ref="AM28">_xlfn.IFS($AJ28="NO CHARGE",0,$AJ28=0,0,$AJ28&gt;0,PRODUCT(J28,$AJ28))</f>
        <v>0</v>
      </c>
      <c r="AN28" s="105" cm="1">
        <f t="array" ref="AN28">_xlfn.IFS($AJ28="NO CHARGE",0,$AJ28=0,0,$AJ28&gt;0,PRODUCT(K28,$AJ28))</f>
        <v>0</v>
      </c>
      <c r="AO28" s="105" cm="1">
        <f t="array" ref="AO28">_xlfn.IFS($AJ28="NO CHARGE",0,$AJ28=0,0,$AJ28&gt;0,PRODUCT(L28,$AJ28))</f>
        <v>0</v>
      </c>
      <c r="AP28" s="105" cm="1">
        <f t="array" ref="AP28">_xlfn.IFS($AJ28="NO CHARGE",0,$AJ28=0,0,$AJ28&gt;0,PRODUCT(M28,$AJ28))</f>
        <v>0</v>
      </c>
      <c r="AQ28" s="158">
        <f t="shared" si="16"/>
        <v>0</v>
      </c>
      <c r="AR28" s="875"/>
      <c r="AS28" s="473"/>
      <c r="AT28" s="106"/>
      <c r="AU28" s="107"/>
      <c r="AV28" s="108">
        <f t="shared" si="17"/>
        <v>0</v>
      </c>
      <c r="AW28" s="108">
        <f t="shared" si="18"/>
        <v>0</v>
      </c>
      <c r="AX28" s="108">
        <f t="shared" si="19"/>
        <v>0</v>
      </c>
      <c r="AY28" s="108">
        <f t="shared" si="20"/>
        <v>0</v>
      </c>
      <c r="AZ28" s="108">
        <f t="shared" si="21"/>
        <v>0</v>
      </c>
      <c r="BA28" s="165">
        <f t="shared" si="22"/>
        <v>0</v>
      </c>
      <c r="BB28" s="531"/>
    </row>
    <row r="29" spans="1:55" s="495" customFormat="1" outlineLevel="2" x14ac:dyDescent="0.25">
      <c r="A29" s="714"/>
      <c r="B29" s="623"/>
      <c r="C29" s="200" t="s">
        <v>87</v>
      </c>
      <c r="D29" s="604"/>
      <c r="E29" s="604"/>
      <c r="F29" s="604"/>
      <c r="G29" s="604"/>
      <c r="H29" s="618">
        <f t="shared" si="31"/>
        <v>0</v>
      </c>
      <c r="I29" s="127">
        <f t="shared" si="29"/>
        <v>0</v>
      </c>
      <c r="J29" s="127">
        <f t="shared" si="30"/>
        <v>0</v>
      </c>
      <c r="K29" s="127">
        <f t="shared" si="30"/>
        <v>0</v>
      </c>
      <c r="L29" s="127">
        <f t="shared" si="30"/>
        <v>0</v>
      </c>
      <c r="M29" s="127">
        <f t="shared" si="30"/>
        <v>0</v>
      </c>
      <c r="N29" s="245"/>
      <c r="O29" s="586"/>
      <c r="P29" s="757">
        <f t="shared" si="1"/>
        <v>0</v>
      </c>
      <c r="Q29" s="129">
        <f t="shared" si="24"/>
        <v>0</v>
      </c>
      <c r="R29" s="129">
        <f t="shared" si="25"/>
        <v>0</v>
      </c>
      <c r="S29" s="129">
        <f t="shared" si="26"/>
        <v>0</v>
      </c>
      <c r="T29" s="129">
        <f t="shared" si="27"/>
        <v>0</v>
      </c>
      <c r="U29" s="129">
        <f t="shared" si="28"/>
        <v>0</v>
      </c>
      <c r="V29" s="209">
        <f t="shared" si="7"/>
        <v>0</v>
      </c>
      <c r="W29" s="621"/>
      <c r="X29" s="701" t="str">
        <f t="shared" si="32"/>
        <v>Origination eSignature</v>
      </c>
      <c r="Y29" s="733" t="s">
        <v>77</v>
      </c>
      <c r="Z29" s="774">
        <f t="shared" si="8"/>
        <v>0</v>
      </c>
      <c r="AA29" s="103">
        <f t="shared" si="9"/>
        <v>0</v>
      </c>
      <c r="AB29" s="103">
        <f t="shared" si="10"/>
        <v>0</v>
      </c>
      <c r="AC29" s="103">
        <f t="shared" si="11"/>
        <v>0</v>
      </c>
      <c r="AD29" s="103">
        <f t="shared" si="12"/>
        <v>0</v>
      </c>
      <c r="AE29" s="103">
        <f t="shared" si="13"/>
        <v>0</v>
      </c>
      <c r="AF29" s="123">
        <f t="shared" si="14"/>
        <v>0</v>
      </c>
      <c r="AG29" s="743"/>
      <c r="AH29" s="362"/>
      <c r="AI29" s="880" t="s">
        <v>87</v>
      </c>
      <c r="AJ29" s="270"/>
      <c r="AK29" s="896">
        <f t="shared" si="15"/>
        <v>0</v>
      </c>
      <c r="AL29" s="105" cm="1">
        <f t="array" ref="AL29">_xlfn.IFS($AJ29="NO CHARGE",0,$AJ29=0,0,$AJ29&gt;0,PRODUCT(I29,$AJ29))</f>
        <v>0</v>
      </c>
      <c r="AM29" s="105" cm="1">
        <f t="array" ref="AM29">_xlfn.IFS($AJ29="NO CHARGE",0,$AJ29=0,0,$AJ29&gt;0,PRODUCT(J29,$AJ29))</f>
        <v>0</v>
      </c>
      <c r="AN29" s="105" cm="1">
        <f t="array" ref="AN29">_xlfn.IFS($AJ29="NO CHARGE",0,$AJ29=0,0,$AJ29&gt;0,PRODUCT(K29,$AJ29))</f>
        <v>0</v>
      </c>
      <c r="AO29" s="105" cm="1">
        <f t="array" ref="AO29">_xlfn.IFS($AJ29="NO CHARGE",0,$AJ29=0,0,$AJ29&gt;0,PRODUCT(L29,$AJ29))</f>
        <v>0</v>
      </c>
      <c r="AP29" s="105" cm="1">
        <f t="array" ref="AP29">_xlfn.IFS($AJ29="NO CHARGE",0,$AJ29=0,0,$AJ29&gt;0,PRODUCT(M29,$AJ29))</f>
        <v>0</v>
      </c>
      <c r="AQ29" s="158">
        <f t="shared" si="16"/>
        <v>0</v>
      </c>
      <c r="AR29" s="875"/>
      <c r="AS29" s="473"/>
      <c r="AT29" s="106"/>
      <c r="AU29" s="107"/>
      <c r="AV29" s="108">
        <f t="shared" si="17"/>
        <v>0</v>
      </c>
      <c r="AW29" s="108">
        <f t="shared" si="18"/>
        <v>0</v>
      </c>
      <c r="AX29" s="108">
        <f t="shared" si="19"/>
        <v>0</v>
      </c>
      <c r="AY29" s="108">
        <f t="shared" si="20"/>
        <v>0</v>
      </c>
      <c r="AZ29" s="108">
        <f t="shared" si="21"/>
        <v>0</v>
      </c>
      <c r="BA29" s="165">
        <f t="shared" si="22"/>
        <v>0</v>
      </c>
      <c r="BB29" s="531"/>
      <c r="BC29" s="1100"/>
    </row>
    <row r="30" spans="1:55" s="495" customFormat="1" outlineLevel="2" x14ac:dyDescent="0.25">
      <c r="A30" s="714"/>
      <c r="B30" s="623"/>
      <c r="C30" s="200" t="s">
        <v>88</v>
      </c>
      <c r="D30" s="604"/>
      <c r="E30" s="604"/>
      <c r="F30" s="604"/>
      <c r="G30" s="604"/>
      <c r="H30" s="618">
        <f t="shared" si="31"/>
        <v>0</v>
      </c>
      <c r="I30" s="127">
        <f t="shared" si="29"/>
        <v>0</v>
      </c>
      <c r="J30" s="127">
        <f t="shared" si="30"/>
        <v>0</v>
      </c>
      <c r="K30" s="127">
        <f t="shared" si="30"/>
        <v>0</v>
      </c>
      <c r="L30" s="127">
        <f t="shared" si="30"/>
        <v>0</v>
      </c>
      <c r="M30" s="127">
        <f t="shared" si="30"/>
        <v>0</v>
      </c>
      <c r="N30" s="245"/>
      <c r="O30" s="586"/>
      <c r="P30" s="757">
        <f t="shared" si="1"/>
        <v>0</v>
      </c>
      <c r="Q30" s="129">
        <f t="shared" si="24"/>
        <v>0</v>
      </c>
      <c r="R30" s="129">
        <f t="shared" si="25"/>
        <v>0</v>
      </c>
      <c r="S30" s="129">
        <f t="shared" si="26"/>
        <v>0</v>
      </c>
      <c r="T30" s="129">
        <f t="shared" si="27"/>
        <v>0</v>
      </c>
      <c r="U30" s="129">
        <f t="shared" si="28"/>
        <v>0</v>
      </c>
      <c r="V30" s="209">
        <f t="shared" si="7"/>
        <v>0</v>
      </c>
      <c r="W30" s="621"/>
      <c r="X30" s="701" t="str">
        <f t="shared" si="32"/>
        <v>Relationship Management Accounts</v>
      </c>
      <c r="Y30" s="733" t="s">
        <v>77</v>
      </c>
      <c r="Z30" s="774">
        <f t="shared" si="8"/>
        <v>0</v>
      </c>
      <c r="AA30" s="103">
        <f t="shared" si="9"/>
        <v>0</v>
      </c>
      <c r="AB30" s="103">
        <f t="shared" si="10"/>
        <v>0</v>
      </c>
      <c r="AC30" s="103">
        <f t="shared" si="11"/>
        <v>0</v>
      </c>
      <c r="AD30" s="103">
        <f t="shared" si="12"/>
        <v>0</v>
      </c>
      <c r="AE30" s="103">
        <f t="shared" si="13"/>
        <v>0</v>
      </c>
      <c r="AF30" s="123">
        <f t="shared" si="14"/>
        <v>0</v>
      </c>
      <c r="AG30" s="743"/>
      <c r="AH30" s="362"/>
      <c r="AI30" s="880" t="s">
        <v>88</v>
      </c>
      <c r="AJ30" s="270"/>
      <c r="AK30" s="896">
        <f t="shared" si="15"/>
        <v>0</v>
      </c>
      <c r="AL30" s="105" cm="1">
        <f t="array" ref="AL30">_xlfn.IFS($AJ30="NO CHARGE",0,$AJ30=0,0,$AJ30&gt;0,PRODUCT(I30,$AJ30))</f>
        <v>0</v>
      </c>
      <c r="AM30" s="105" cm="1">
        <f t="array" ref="AM30">_xlfn.IFS($AJ30="NO CHARGE",0,$AJ30=0,0,$AJ30&gt;0,PRODUCT(J30,$AJ30))</f>
        <v>0</v>
      </c>
      <c r="AN30" s="105" cm="1">
        <f t="array" ref="AN30">_xlfn.IFS($AJ30="NO CHARGE",0,$AJ30=0,0,$AJ30&gt;0,PRODUCT(K30,$AJ30))</f>
        <v>0</v>
      </c>
      <c r="AO30" s="105" cm="1">
        <f t="array" ref="AO30">_xlfn.IFS($AJ30="NO CHARGE",0,$AJ30=0,0,$AJ30&gt;0,PRODUCT(L30,$AJ30))</f>
        <v>0</v>
      </c>
      <c r="AP30" s="105" cm="1">
        <f t="array" ref="AP30">_xlfn.IFS($AJ30="NO CHARGE",0,$AJ30=0,0,$AJ30&gt;0,PRODUCT(M30,$AJ30))</f>
        <v>0</v>
      </c>
      <c r="AQ30" s="158">
        <f t="shared" si="16"/>
        <v>0</v>
      </c>
      <c r="AR30" s="875"/>
      <c r="AS30" s="473"/>
      <c r="AT30" s="106"/>
      <c r="AU30" s="107"/>
      <c r="AV30" s="108">
        <f t="shared" si="17"/>
        <v>0</v>
      </c>
      <c r="AW30" s="108">
        <f t="shared" si="18"/>
        <v>0</v>
      </c>
      <c r="AX30" s="108">
        <f t="shared" si="19"/>
        <v>0</v>
      </c>
      <c r="AY30" s="108">
        <f t="shared" si="20"/>
        <v>0</v>
      </c>
      <c r="AZ30" s="108">
        <f t="shared" si="21"/>
        <v>0</v>
      </c>
      <c r="BA30" s="165">
        <f t="shared" si="22"/>
        <v>0</v>
      </c>
      <c r="BB30" s="531"/>
      <c r="BC30" s="1100"/>
    </row>
    <row r="31" spans="1:55" s="495" customFormat="1" outlineLevel="2" x14ac:dyDescent="0.25">
      <c r="A31" s="714"/>
      <c r="B31" s="623"/>
      <c r="C31" s="200" t="s">
        <v>89</v>
      </c>
      <c r="D31" s="604"/>
      <c r="E31" s="604"/>
      <c r="F31" s="604"/>
      <c r="G31" s="604"/>
      <c r="H31" s="618">
        <f t="shared" si="31"/>
        <v>0</v>
      </c>
      <c r="I31" s="127">
        <f t="shared" si="29"/>
        <v>0</v>
      </c>
      <c r="J31" s="127">
        <f t="shared" si="30"/>
        <v>0</v>
      </c>
      <c r="K31" s="127">
        <f t="shared" si="30"/>
        <v>0</v>
      </c>
      <c r="L31" s="127">
        <f t="shared" si="30"/>
        <v>0</v>
      </c>
      <c r="M31" s="127">
        <f t="shared" si="30"/>
        <v>0</v>
      </c>
      <c r="N31" s="245"/>
      <c r="O31" s="586"/>
      <c r="P31" s="757">
        <f t="shared" si="1"/>
        <v>0</v>
      </c>
      <c r="Q31" s="129">
        <f t="shared" si="24"/>
        <v>0</v>
      </c>
      <c r="R31" s="129">
        <f t="shared" si="25"/>
        <v>0</v>
      </c>
      <c r="S31" s="129">
        <f t="shared" si="26"/>
        <v>0</v>
      </c>
      <c r="T31" s="129">
        <f t="shared" si="27"/>
        <v>0</v>
      </c>
      <c r="U31" s="129">
        <f t="shared" si="28"/>
        <v>0</v>
      </c>
      <c r="V31" s="209">
        <f t="shared" si="7"/>
        <v>0</v>
      </c>
      <c r="W31" s="621"/>
      <c r="X31" s="701" t="str">
        <f t="shared" si="32"/>
        <v>Teller Capture</v>
      </c>
      <c r="Y31" s="733" t="s">
        <v>77</v>
      </c>
      <c r="Z31" s="774">
        <f t="shared" si="8"/>
        <v>0</v>
      </c>
      <c r="AA31" s="103">
        <f t="shared" si="9"/>
        <v>0</v>
      </c>
      <c r="AB31" s="103">
        <f t="shared" si="10"/>
        <v>0</v>
      </c>
      <c r="AC31" s="103">
        <f t="shared" si="11"/>
        <v>0</v>
      </c>
      <c r="AD31" s="103">
        <f t="shared" si="12"/>
        <v>0</v>
      </c>
      <c r="AE31" s="103">
        <f t="shared" si="13"/>
        <v>0</v>
      </c>
      <c r="AF31" s="123">
        <f t="shared" si="14"/>
        <v>0</v>
      </c>
      <c r="AG31" s="743"/>
      <c r="AH31" s="362"/>
      <c r="AI31" s="880" t="s">
        <v>89</v>
      </c>
      <c r="AJ31" s="270"/>
      <c r="AK31" s="896">
        <f t="shared" si="15"/>
        <v>0</v>
      </c>
      <c r="AL31" s="105" cm="1">
        <f t="array" ref="AL31">_xlfn.IFS($AJ31="NO CHARGE",0,$AJ31=0,0,$AJ31&gt;0,PRODUCT(I31,$AJ31))</f>
        <v>0</v>
      </c>
      <c r="AM31" s="105" cm="1">
        <f t="array" ref="AM31">_xlfn.IFS($AJ31="NO CHARGE",0,$AJ31=0,0,$AJ31&gt;0,PRODUCT(J31,$AJ31))</f>
        <v>0</v>
      </c>
      <c r="AN31" s="105" cm="1">
        <f t="array" ref="AN31">_xlfn.IFS($AJ31="NO CHARGE",0,$AJ31=0,0,$AJ31&gt;0,PRODUCT(K31,$AJ31))</f>
        <v>0</v>
      </c>
      <c r="AO31" s="105" cm="1">
        <f t="array" ref="AO31">_xlfn.IFS($AJ31="NO CHARGE",0,$AJ31=0,0,$AJ31&gt;0,PRODUCT(L31,$AJ31))</f>
        <v>0</v>
      </c>
      <c r="AP31" s="105" cm="1">
        <f t="array" ref="AP31">_xlfn.IFS($AJ31="NO CHARGE",0,$AJ31=0,0,$AJ31&gt;0,PRODUCT(M31,$AJ31))</f>
        <v>0</v>
      </c>
      <c r="AQ31" s="158">
        <f t="shared" si="16"/>
        <v>0</v>
      </c>
      <c r="AR31" s="875"/>
      <c r="AS31" s="473"/>
      <c r="AT31" s="106"/>
      <c r="AU31" s="107"/>
      <c r="AV31" s="108">
        <f t="shared" si="17"/>
        <v>0</v>
      </c>
      <c r="AW31" s="108">
        <f t="shared" si="18"/>
        <v>0</v>
      </c>
      <c r="AX31" s="108">
        <f t="shared" si="19"/>
        <v>0</v>
      </c>
      <c r="AY31" s="108">
        <f t="shared" si="20"/>
        <v>0</v>
      </c>
      <c r="AZ31" s="108">
        <f t="shared" si="21"/>
        <v>0</v>
      </c>
      <c r="BA31" s="165">
        <f t="shared" si="22"/>
        <v>0</v>
      </c>
      <c r="BB31" s="531"/>
    </row>
    <row r="32" spans="1:55" s="495" customFormat="1" outlineLevel="2" x14ac:dyDescent="0.25">
      <c r="A32" s="714"/>
      <c r="B32" s="623"/>
      <c r="C32" s="200" t="s">
        <v>90</v>
      </c>
      <c r="D32" s="604"/>
      <c r="E32" s="604"/>
      <c r="F32" s="604"/>
      <c r="G32" s="604"/>
      <c r="H32" s="618">
        <f t="shared" si="31"/>
        <v>0</v>
      </c>
      <c r="I32" s="127">
        <f t="shared" si="29"/>
        <v>0</v>
      </c>
      <c r="J32" s="127">
        <f t="shared" si="30"/>
        <v>0</v>
      </c>
      <c r="K32" s="127">
        <f t="shared" si="30"/>
        <v>0</v>
      </c>
      <c r="L32" s="127">
        <f t="shared" si="30"/>
        <v>0</v>
      </c>
      <c r="M32" s="127">
        <f t="shared" si="30"/>
        <v>0</v>
      </c>
      <c r="N32" s="245"/>
      <c r="O32" s="586"/>
      <c r="P32" s="757">
        <f t="shared" si="1"/>
        <v>0</v>
      </c>
      <c r="Q32" s="129">
        <f t="shared" si="24"/>
        <v>0</v>
      </c>
      <c r="R32" s="129">
        <f t="shared" si="25"/>
        <v>0</v>
      </c>
      <c r="S32" s="129">
        <f t="shared" si="26"/>
        <v>0</v>
      </c>
      <c r="T32" s="129">
        <f t="shared" si="27"/>
        <v>0</v>
      </c>
      <c r="U32" s="129">
        <f t="shared" si="28"/>
        <v>0</v>
      </c>
      <c r="V32" s="209">
        <f t="shared" si="7"/>
        <v>0</v>
      </c>
      <c r="W32" s="621"/>
      <c r="X32" s="701" t="str">
        <f t="shared" si="32"/>
        <v>TellerReserve/Offline Processing</v>
      </c>
      <c r="Y32" s="733" t="s">
        <v>77</v>
      </c>
      <c r="Z32" s="774">
        <f t="shared" si="8"/>
        <v>0</v>
      </c>
      <c r="AA32" s="103">
        <f t="shared" si="9"/>
        <v>0</v>
      </c>
      <c r="AB32" s="103">
        <f t="shared" si="10"/>
        <v>0</v>
      </c>
      <c r="AC32" s="103">
        <f t="shared" si="11"/>
        <v>0</v>
      </c>
      <c r="AD32" s="103">
        <f t="shared" si="12"/>
        <v>0</v>
      </c>
      <c r="AE32" s="103">
        <f t="shared" si="13"/>
        <v>0</v>
      </c>
      <c r="AF32" s="123">
        <f t="shared" si="14"/>
        <v>0</v>
      </c>
      <c r="AG32" s="743"/>
      <c r="AH32" s="362"/>
      <c r="AI32" s="880" t="s">
        <v>90</v>
      </c>
      <c r="AJ32" s="270"/>
      <c r="AK32" s="896">
        <f t="shared" si="15"/>
        <v>0</v>
      </c>
      <c r="AL32" s="105" cm="1">
        <f t="array" ref="AL32">_xlfn.IFS($AJ32="NO CHARGE",0,$AJ32=0,0,$AJ32&gt;0,PRODUCT(I32,$AJ32))</f>
        <v>0</v>
      </c>
      <c r="AM32" s="105" cm="1">
        <f t="array" ref="AM32">_xlfn.IFS($AJ32="NO CHARGE",0,$AJ32=0,0,$AJ32&gt;0,PRODUCT(J32,$AJ32))</f>
        <v>0</v>
      </c>
      <c r="AN32" s="105" cm="1">
        <f t="array" ref="AN32">_xlfn.IFS($AJ32="NO CHARGE",0,$AJ32=0,0,$AJ32&gt;0,PRODUCT(K32,$AJ32))</f>
        <v>0</v>
      </c>
      <c r="AO32" s="105" cm="1">
        <f t="array" ref="AO32">_xlfn.IFS($AJ32="NO CHARGE",0,$AJ32=0,0,$AJ32&gt;0,PRODUCT(L32,$AJ32))</f>
        <v>0</v>
      </c>
      <c r="AP32" s="105" cm="1">
        <f t="array" ref="AP32">_xlfn.IFS($AJ32="NO CHARGE",0,$AJ32=0,0,$AJ32&gt;0,PRODUCT(M32,$AJ32))</f>
        <v>0</v>
      </c>
      <c r="AQ32" s="158">
        <f t="shared" si="16"/>
        <v>0</v>
      </c>
      <c r="AR32" s="875"/>
      <c r="AS32" s="473"/>
      <c r="AT32" s="106"/>
      <c r="AU32" s="107"/>
      <c r="AV32" s="108">
        <f t="shared" si="17"/>
        <v>0</v>
      </c>
      <c r="AW32" s="108">
        <f t="shared" si="18"/>
        <v>0</v>
      </c>
      <c r="AX32" s="108">
        <f t="shared" si="19"/>
        <v>0</v>
      </c>
      <c r="AY32" s="108">
        <f t="shared" si="20"/>
        <v>0</v>
      </c>
      <c r="AZ32" s="108">
        <f t="shared" si="21"/>
        <v>0</v>
      </c>
      <c r="BA32" s="165">
        <f t="shared" si="22"/>
        <v>0</v>
      </c>
      <c r="BB32" s="531"/>
    </row>
    <row r="33" spans="1:54" s="495" customFormat="1" outlineLevel="2" x14ac:dyDescent="0.25">
      <c r="A33" s="714"/>
      <c r="B33" s="623"/>
      <c r="C33" s="200" t="s">
        <v>91</v>
      </c>
      <c r="D33" s="604"/>
      <c r="E33" s="604"/>
      <c r="F33" s="604"/>
      <c r="G33" s="604"/>
      <c r="H33" s="618">
        <f t="shared" si="31"/>
        <v>0</v>
      </c>
      <c r="I33" s="127">
        <f t="shared" si="29"/>
        <v>0</v>
      </c>
      <c r="J33" s="127">
        <f t="shared" si="30"/>
        <v>0</v>
      </c>
      <c r="K33" s="127">
        <f t="shared" si="30"/>
        <v>0</v>
      </c>
      <c r="L33" s="127">
        <f t="shared" si="30"/>
        <v>0</v>
      </c>
      <c r="M33" s="127">
        <f t="shared" si="30"/>
        <v>0</v>
      </c>
      <c r="N33" s="245"/>
      <c r="O33" s="586"/>
      <c r="P33" s="757">
        <f t="shared" si="1"/>
        <v>0</v>
      </c>
      <c r="Q33" s="129">
        <f t="shared" si="24"/>
        <v>0</v>
      </c>
      <c r="R33" s="129">
        <f t="shared" si="25"/>
        <v>0</v>
      </c>
      <c r="S33" s="129">
        <f t="shared" si="26"/>
        <v>0</v>
      </c>
      <c r="T33" s="129">
        <f t="shared" si="27"/>
        <v>0</v>
      </c>
      <c r="U33" s="129">
        <f t="shared" si="28"/>
        <v>0</v>
      </c>
      <c r="V33" s="209">
        <f t="shared" si="7"/>
        <v>0</v>
      </c>
      <c r="W33" s="621"/>
      <c r="X33" s="701" t="str">
        <f t="shared" si="32"/>
        <v>XChange Messaging Middleware Base Fee</v>
      </c>
      <c r="Y33" s="733" t="s">
        <v>77</v>
      </c>
      <c r="Z33" s="774">
        <f t="shared" si="8"/>
        <v>0</v>
      </c>
      <c r="AA33" s="103">
        <f t="shared" si="9"/>
        <v>0</v>
      </c>
      <c r="AB33" s="103">
        <f t="shared" si="10"/>
        <v>0</v>
      </c>
      <c r="AC33" s="103">
        <f t="shared" si="11"/>
        <v>0</v>
      </c>
      <c r="AD33" s="103">
        <f t="shared" si="12"/>
        <v>0</v>
      </c>
      <c r="AE33" s="103">
        <f t="shared" si="13"/>
        <v>0</v>
      </c>
      <c r="AF33" s="123">
        <f t="shared" si="14"/>
        <v>0</v>
      </c>
      <c r="AG33" s="743"/>
      <c r="AH33" s="362"/>
      <c r="AI33" s="880" t="s">
        <v>91</v>
      </c>
      <c r="AJ33" s="270"/>
      <c r="AK33" s="896">
        <f t="shared" si="15"/>
        <v>0</v>
      </c>
      <c r="AL33" s="105" cm="1">
        <f t="array" ref="AL33">_xlfn.IFS($AJ33="NO CHARGE",0,$AJ33=0,0,$AJ33&gt;0,PRODUCT(I33,$AJ33))</f>
        <v>0</v>
      </c>
      <c r="AM33" s="105" cm="1">
        <f t="array" ref="AM33">_xlfn.IFS($AJ33="NO CHARGE",0,$AJ33=0,0,$AJ33&gt;0,PRODUCT(J33,$AJ33))</f>
        <v>0</v>
      </c>
      <c r="AN33" s="105" cm="1">
        <f t="array" ref="AN33">_xlfn.IFS($AJ33="NO CHARGE",0,$AJ33=0,0,$AJ33&gt;0,PRODUCT(K33,$AJ33))</f>
        <v>0</v>
      </c>
      <c r="AO33" s="105" cm="1">
        <f t="array" ref="AO33">_xlfn.IFS($AJ33="NO CHARGE",0,$AJ33=0,0,$AJ33&gt;0,PRODUCT(L33,$AJ33))</f>
        <v>0</v>
      </c>
      <c r="AP33" s="105" cm="1">
        <f t="array" ref="AP33">_xlfn.IFS($AJ33="NO CHARGE",0,$AJ33=0,0,$AJ33&gt;0,PRODUCT(M33,$AJ33))</f>
        <v>0</v>
      </c>
      <c r="AQ33" s="158">
        <f t="shared" si="16"/>
        <v>0</v>
      </c>
      <c r="AR33" s="875"/>
      <c r="AS33" s="473"/>
      <c r="AT33" s="106"/>
      <c r="AU33" s="107"/>
      <c r="AV33" s="108">
        <f t="shared" si="17"/>
        <v>0</v>
      </c>
      <c r="AW33" s="108">
        <f t="shared" si="18"/>
        <v>0</v>
      </c>
      <c r="AX33" s="108">
        <f t="shared" si="19"/>
        <v>0</v>
      </c>
      <c r="AY33" s="108">
        <f t="shared" si="20"/>
        <v>0</v>
      </c>
      <c r="AZ33" s="108">
        <f t="shared" si="21"/>
        <v>0</v>
      </c>
      <c r="BA33" s="165">
        <f t="shared" si="22"/>
        <v>0</v>
      </c>
      <c r="BB33" s="531"/>
    </row>
    <row r="34" spans="1:54" s="495" customFormat="1" outlineLevel="1" x14ac:dyDescent="0.25">
      <c r="A34" s="445"/>
      <c r="B34" s="623"/>
      <c r="C34" s="310"/>
      <c r="D34" s="604"/>
      <c r="E34" s="604"/>
      <c r="F34" s="604"/>
      <c r="G34" s="604"/>
      <c r="H34" s="618">
        <f t="shared" si="31"/>
        <v>0</v>
      </c>
      <c r="I34" s="127">
        <f t="shared" si="29"/>
        <v>0</v>
      </c>
      <c r="J34" s="127">
        <f t="shared" si="30"/>
        <v>0</v>
      </c>
      <c r="K34" s="127">
        <f t="shared" si="30"/>
        <v>0</v>
      </c>
      <c r="L34" s="127">
        <f t="shared" si="30"/>
        <v>0</v>
      </c>
      <c r="M34" s="127">
        <f t="shared" si="30"/>
        <v>0</v>
      </c>
      <c r="N34" s="245" t="str">
        <f>IF(C34="","",C34)</f>
        <v/>
      </c>
      <c r="O34" s="586"/>
      <c r="P34" s="757">
        <f t="shared" si="1"/>
        <v>0</v>
      </c>
      <c r="Q34" s="129">
        <f t="shared" si="24"/>
        <v>0</v>
      </c>
      <c r="R34" s="129">
        <f t="shared" si="25"/>
        <v>0</v>
      </c>
      <c r="S34" s="129">
        <f t="shared" si="26"/>
        <v>0</v>
      </c>
      <c r="T34" s="129">
        <f t="shared" si="27"/>
        <v>0</v>
      </c>
      <c r="U34" s="129">
        <f t="shared" si="28"/>
        <v>0</v>
      </c>
      <c r="V34" s="209">
        <f t="shared" si="7"/>
        <v>0</v>
      </c>
      <c r="W34" s="621"/>
      <c r="X34" s="222"/>
      <c r="Y34" s="325"/>
      <c r="Z34" s="774">
        <f t="shared" si="8"/>
        <v>0</v>
      </c>
      <c r="AA34" s="103">
        <f t="shared" si="9"/>
        <v>0</v>
      </c>
      <c r="AB34" s="103">
        <f t="shared" si="10"/>
        <v>0</v>
      </c>
      <c r="AC34" s="103">
        <f t="shared" si="11"/>
        <v>0</v>
      </c>
      <c r="AD34" s="103">
        <f t="shared" si="12"/>
        <v>0</v>
      </c>
      <c r="AE34" s="103">
        <f t="shared" si="13"/>
        <v>0</v>
      </c>
      <c r="AF34" s="123">
        <f t="shared" si="14"/>
        <v>0</v>
      </c>
      <c r="AG34" s="743"/>
      <c r="AH34" s="362"/>
      <c r="AI34" s="880"/>
      <c r="AJ34" s="270"/>
      <c r="AK34" s="896">
        <f t="shared" si="15"/>
        <v>0</v>
      </c>
      <c r="AL34" s="105" cm="1">
        <f t="array" ref="AL34">_xlfn.IFS($AJ34="NO CHARGE",0,$AJ34=0,0,$AJ34&gt;0,PRODUCT(I34,$AJ34))</f>
        <v>0</v>
      </c>
      <c r="AM34" s="105" cm="1">
        <f t="array" ref="AM34">_xlfn.IFS($AJ34="NO CHARGE",0,$AJ34=0,0,$AJ34&gt;0,PRODUCT(J34,$AJ34))</f>
        <v>0</v>
      </c>
      <c r="AN34" s="105" cm="1">
        <f t="array" ref="AN34">_xlfn.IFS($AJ34="NO CHARGE",0,$AJ34=0,0,$AJ34&gt;0,PRODUCT(K34,$AJ34))</f>
        <v>0</v>
      </c>
      <c r="AO34" s="105" cm="1">
        <f t="array" ref="AO34">_xlfn.IFS($AJ34="NO CHARGE",0,$AJ34=0,0,$AJ34&gt;0,PRODUCT(L34,$AJ34))</f>
        <v>0</v>
      </c>
      <c r="AP34" s="105" cm="1">
        <f t="array" ref="AP34">_xlfn.IFS($AJ34="NO CHARGE",0,$AJ34=0,0,$AJ34&gt;0,PRODUCT(M34,$AJ34))</f>
        <v>0</v>
      </c>
      <c r="AQ34" s="158">
        <f t="shared" si="16"/>
        <v>0</v>
      </c>
      <c r="AR34" s="875"/>
      <c r="AS34" s="473"/>
      <c r="AT34" s="106"/>
      <c r="AU34" s="107"/>
      <c r="AV34" s="108">
        <f t="shared" si="17"/>
        <v>0</v>
      </c>
      <c r="AW34" s="108">
        <f t="shared" si="18"/>
        <v>0</v>
      </c>
      <c r="AX34" s="108">
        <f t="shared" si="19"/>
        <v>0</v>
      </c>
      <c r="AY34" s="108">
        <f t="shared" si="20"/>
        <v>0</v>
      </c>
      <c r="AZ34" s="108">
        <f t="shared" si="21"/>
        <v>0</v>
      </c>
      <c r="BA34" s="165">
        <f t="shared" si="22"/>
        <v>0</v>
      </c>
      <c r="BB34" s="531"/>
    </row>
    <row r="35" spans="1:54" s="495" customFormat="1" outlineLevel="1" x14ac:dyDescent="0.25">
      <c r="A35" s="700"/>
      <c r="B35" s="623" t="s">
        <v>92</v>
      </c>
      <c r="C35" s="310" t="str">
        <f>B35&amp;" [QTY CALCULATIONS YOY]"</f>
        <v>Horizon Aggregated Products and Services [QTY CALCULATIONS YOY]</v>
      </c>
      <c r="D35" s="604"/>
      <c r="E35" s="604"/>
      <c r="F35" s="604"/>
      <c r="G35" s="604"/>
      <c r="H35" s="618">
        <v>54437</v>
      </c>
      <c r="I35" s="127">
        <f t="shared" si="29"/>
        <v>653244</v>
      </c>
      <c r="J35" s="127">
        <f t="shared" si="30"/>
        <v>685906.2</v>
      </c>
      <c r="K35" s="127">
        <f t="shared" si="30"/>
        <v>720201.51</v>
      </c>
      <c r="L35" s="127">
        <f t="shared" si="30"/>
        <v>756211.58550000004</v>
      </c>
      <c r="M35" s="127">
        <f t="shared" si="30"/>
        <v>794022.16477500007</v>
      </c>
      <c r="N35" s="245"/>
      <c r="O35" s="586"/>
      <c r="P35" s="757">
        <f t="shared" si="1"/>
        <v>0</v>
      </c>
      <c r="Q35" s="129">
        <f t="shared" si="24"/>
        <v>0</v>
      </c>
      <c r="R35" s="129">
        <f t="shared" si="25"/>
        <v>0</v>
      </c>
      <c r="S35" s="129">
        <f t="shared" si="26"/>
        <v>0</v>
      </c>
      <c r="T35" s="129">
        <f t="shared" si="27"/>
        <v>0</v>
      </c>
      <c r="U35" s="129">
        <f t="shared" si="28"/>
        <v>0</v>
      </c>
      <c r="V35" s="209">
        <f t="shared" si="7"/>
        <v>0</v>
      </c>
      <c r="W35" s="528"/>
      <c r="X35" s="222" t="str">
        <f>B35&amp;" [TIERED]"</f>
        <v>Horizon Aggregated Products and Services [TIERED]</v>
      </c>
      <c r="Y35" s="325"/>
      <c r="Z35" s="774">
        <f t="shared" si="8"/>
        <v>0</v>
      </c>
      <c r="AA35" s="103">
        <f t="shared" si="9"/>
        <v>0</v>
      </c>
      <c r="AB35" s="103">
        <f t="shared" si="10"/>
        <v>0</v>
      </c>
      <c r="AC35" s="103">
        <f t="shared" si="11"/>
        <v>0</v>
      </c>
      <c r="AD35" s="103">
        <f t="shared" si="12"/>
        <v>0</v>
      </c>
      <c r="AE35" s="103">
        <f t="shared" si="13"/>
        <v>0</v>
      </c>
      <c r="AF35" s="123">
        <f t="shared" si="14"/>
        <v>0</v>
      </c>
      <c r="AG35" s="743"/>
      <c r="AH35" s="370"/>
      <c r="AI35" s="221" t="str">
        <f>X35</f>
        <v>Horizon Aggregated Products and Services [TIERED]</v>
      </c>
      <c r="AJ35" s="270"/>
      <c r="AK35" s="896">
        <f t="shared" si="15"/>
        <v>0</v>
      </c>
      <c r="AL35" s="105" cm="1">
        <f t="array" ref="AL35">_xlfn.IFS($AJ35="NO CHARGE",0,$AJ35=0,0,$AJ35&gt;0,PRODUCT(I35,$AJ35))</f>
        <v>0</v>
      </c>
      <c r="AM35" s="105" cm="1">
        <f t="array" ref="AM35">_xlfn.IFS($AJ35="NO CHARGE",0,$AJ35=0,0,$AJ35&gt;0,PRODUCT(J35,$AJ35))</f>
        <v>0</v>
      </c>
      <c r="AN35" s="105" cm="1">
        <f t="array" ref="AN35">_xlfn.IFS($AJ35="NO CHARGE",0,$AJ35=0,0,$AJ35&gt;0,PRODUCT(K35,$AJ35))</f>
        <v>0</v>
      </c>
      <c r="AO35" s="105" cm="1">
        <f t="array" ref="AO35">_xlfn.IFS($AJ35="NO CHARGE",0,$AJ35=0,0,$AJ35&gt;0,PRODUCT(L35,$AJ35))</f>
        <v>0</v>
      </c>
      <c r="AP35" s="105" cm="1">
        <f t="array" ref="AP35">_xlfn.IFS($AJ35="NO CHARGE",0,$AJ35=0,0,$AJ35&gt;0,PRODUCT(M35,$AJ35))</f>
        <v>0</v>
      </c>
      <c r="AQ35" s="158">
        <f t="shared" si="16"/>
        <v>0</v>
      </c>
      <c r="AR35" s="875"/>
      <c r="AS35" s="473"/>
      <c r="AT35" s="106"/>
      <c r="AU35" s="107"/>
      <c r="AV35" s="108">
        <f t="shared" si="17"/>
        <v>0</v>
      </c>
      <c r="AW35" s="108">
        <f t="shared" si="18"/>
        <v>0</v>
      </c>
      <c r="AX35" s="108">
        <f t="shared" si="19"/>
        <v>0</v>
      </c>
      <c r="AY35" s="108">
        <f t="shared" si="20"/>
        <v>0</v>
      </c>
      <c r="AZ35" s="108">
        <f t="shared" si="21"/>
        <v>0</v>
      </c>
      <c r="BA35" s="165">
        <f t="shared" si="22"/>
        <v>0</v>
      </c>
      <c r="BB35" s="531"/>
    </row>
    <row r="36" spans="1:54" s="495" customFormat="1" outlineLevel="1" x14ac:dyDescent="0.25">
      <c r="A36" s="700"/>
      <c r="B36" s="623" t="s">
        <v>92</v>
      </c>
      <c r="C36" s="200" t="s">
        <v>68</v>
      </c>
      <c r="D36" s="604"/>
      <c r="E36" s="604"/>
      <c r="F36" s="604"/>
      <c r="G36" s="604"/>
      <c r="H36" s="699">
        <v>54437</v>
      </c>
      <c r="I36" s="127">
        <f>IF(I35&gt;($H36*12),$H36*12,I35)</f>
        <v>653244</v>
      </c>
      <c r="J36" s="127">
        <f>IF(J35&gt;($H36*12),$H36*12,J35)</f>
        <v>653244</v>
      </c>
      <c r="K36" s="127">
        <f>IF(K35&gt;($H36*12),$H36*12,K35)</f>
        <v>653244</v>
      </c>
      <c r="L36" s="127">
        <f>IF(L35&gt;($H36*12),$H36*12,L35)</f>
        <v>653244</v>
      </c>
      <c r="M36" s="127">
        <f>IF(M35&gt;($H36*12),$H36*12,M35)</f>
        <v>653244</v>
      </c>
      <c r="N36" s="245"/>
      <c r="O36" s="586"/>
      <c r="P36" s="757">
        <f t="shared" si="1"/>
        <v>0</v>
      </c>
      <c r="Q36" s="129">
        <f t="shared" si="24"/>
        <v>0</v>
      </c>
      <c r="R36" s="129">
        <f t="shared" si="25"/>
        <v>0</v>
      </c>
      <c r="S36" s="129">
        <f t="shared" si="26"/>
        <v>0</v>
      </c>
      <c r="T36" s="129">
        <f t="shared" si="27"/>
        <v>0</v>
      </c>
      <c r="U36" s="129">
        <f t="shared" si="28"/>
        <v>0</v>
      </c>
      <c r="V36" s="209">
        <f t="shared" si="7"/>
        <v>0</v>
      </c>
      <c r="W36" s="621"/>
      <c r="X36" s="701" t="str">
        <f>C36</f>
        <v>[Tiered] Base Monthly Processing 0 - 54,437 Accounts</v>
      </c>
      <c r="Y36" s="325">
        <f>2775.26/54437</f>
        <v>5.098113415507835E-2</v>
      </c>
      <c r="Z36" s="774">
        <f t="shared" si="8"/>
        <v>2775.26</v>
      </c>
      <c r="AA36" s="103">
        <f t="shared" si="9"/>
        <v>33303.120000000003</v>
      </c>
      <c r="AB36" s="103">
        <f t="shared" si="10"/>
        <v>33303.120000000003</v>
      </c>
      <c r="AC36" s="103">
        <f t="shared" si="11"/>
        <v>33303.120000000003</v>
      </c>
      <c r="AD36" s="103">
        <f t="shared" si="12"/>
        <v>33303.120000000003</v>
      </c>
      <c r="AE36" s="103">
        <f t="shared" si="13"/>
        <v>33303.120000000003</v>
      </c>
      <c r="AF36" s="123">
        <f t="shared" si="14"/>
        <v>166515.6</v>
      </c>
      <c r="AG36" s="743" t="s">
        <v>69</v>
      </c>
      <c r="AH36" s="711" t="s">
        <v>70</v>
      </c>
      <c r="AI36" s="880" t="str">
        <f>C36</f>
        <v>[Tiered] Base Monthly Processing 0 - 54,437 Accounts</v>
      </c>
      <c r="AJ36" s="270">
        <f>2775.26/54437</f>
        <v>5.098113415507835E-2</v>
      </c>
      <c r="AK36" s="896">
        <f t="shared" si="15"/>
        <v>2775.26</v>
      </c>
      <c r="AL36" s="105" cm="1">
        <f t="array" ref="AL36">_xlfn.IFS($AJ36="NO CHARGE",0,$AJ36=0,0,$AJ36&gt;0,PRODUCT(I36,$AJ36))</f>
        <v>33303.120000000003</v>
      </c>
      <c r="AM36" s="105" cm="1">
        <f t="array" ref="AM36">_xlfn.IFS($AJ36="NO CHARGE",0,$AJ36=0,0,$AJ36&gt;0,PRODUCT(J36,$AJ36))</f>
        <v>33303.120000000003</v>
      </c>
      <c r="AN36" s="105" cm="1">
        <f t="array" ref="AN36">_xlfn.IFS($AJ36="NO CHARGE",0,$AJ36=0,0,$AJ36&gt;0,PRODUCT(K36,$AJ36))</f>
        <v>33303.120000000003</v>
      </c>
      <c r="AO36" s="105" cm="1">
        <f t="array" ref="AO36">_xlfn.IFS($AJ36="NO CHARGE",0,$AJ36=0,0,$AJ36&gt;0,PRODUCT(L36,$AJ36))</f>
        <v>33303.120000000003</v>
      </c>
      <c r="AP36" s="105" cm="1">
        <f t="array" ref="AP36">_xlfn.IFS($AJ36="NO CHARGE",0,$AJ36=0,0,$AJ36&gt;0,PRODUCT(M36,$AJ36))</f>
        <v>33303.120000000003</v>
      </c>
      <c r="AQ36" s="158">
        <f t="shared" si="16"/>
        <v>166515.6</v>
      </c>
      <c r="AR36" s="875" t="s">
        <v>71</v>
      </c>
      <c r="AS36" s="889" t="s">
        <v>70</v>
      </c>
      <c r="AT36" s="106"/>
      <c r="AU36" s="107"/>
      <c r="AV36" s="108">
        <f t="shared" si="17"/>
        <v>0</v>
      </c>
      <c r="AW36" s="108">
        <f t="shared" si="18"/>
        <v>0</v>
      </c>
      <c r="AX36" s="108">
        <f t="shared" si="19"/>
        <v>0</v>
      </c>
      <c r="AY36" s="108">
        <f t="shared" si="20"/>
        <v>0</v>
      </c>
      <c r="AZ36" s="108">
        <f t="shared" si="21"/>
        <v>0</v>
      </c>
      <c r="BA36" s="165">
        <f t="shared" si="22"/>
        <v>0</v>
      </c>
      <c r="BB36" s="531"/>
    </row>
    <row r="37" spans="1:54" s="495" customFormat="1" outlineLevel="1" x14ac:dyDescent="0.25">
      <c r="A37" s="700"/>
      <c r="B37" s="623" t="s">
        <v>92</v>
      </c>
      <c r="C37" s="200" t="s">
        <v>72</v>
      </c>
      <c r="D37" s="604"/>
      <c r="E37" s="604"/>
      <c r="F37" s="604"/>
      <c r="G37" s="604"/>
      <c r="H37" s="699">
        <f>100000-54438</f>
        <v>45562</v>
      </c>
      <c r="I37" s="127" cm="1">
        <f t="array" ref="I37">_xlfn.IFS(I35&gt;(($H36*12)+($H37*12)),$H37*12, I35&lt;(($H36*12)+($H37*12)),I35-I36, I35=(($H36*12)+($H37*12)),I35-I36)</f>
        <v>0</v>
      </c>
      <c r="J37" s="127" cm="1">
        <f t="array" ref="J37">_xlfn.IFS(J35&gt;(($H36*12)+($H37*12)),$H37*12, J35&lt;(($H36*12)+($H37*12)),J35-J36, J35=(($H36*12)+($H37*12)),J35-J36)</f>
        <v>32662.199999999953</v>
      </c>
      <c r="K37" s="127" cm="1">
        <f t="array" ref="K37">_xlfn.IFS(K35&gt;(($H36*12)+($H37*12)),$H37*12, K35&lt;(($H36*12)+($H37*12)),K35-K36, K35=(($H36*12)+($H37*12)),K35-K36)</f>
        <v>66957.510000000009</v>
      </c>
      <c r="L37" s="127" cm="1">
        <f t="array" ref="L37">_xlfn.IFS(L35&gt;(($H36*12)+($H37*12)),$H37*12, L35&lt;(($H36*12)+($H37*12)),L35-L36, L35=(($H36*12)+($H37*12)),L35-L36)</f>
        <v>102967.58550000004</v>
      </c>
      <c r="M37" s="127" cm="1">
        <f t="array" ref="M37">_xlfn.IFS(M35&gt;(($H36*12)+($H37*12)),$H37*12, M35&lt;(($H36*12)+($H37*12)),M35-M36, M35=(($H36*12)+($H37*12)),M35-M36)</f>
        <v>140778.16477500007</v>
      </c>
      <c r="N37" s="245"/>
      <c r="O37" s="586"/>
      <c r="P37" s="757">
        <f t="shared" si="1"/>
        <v>0</v>
      </c>
      <c r="Q37" s="129">
        <f t="shared" si="24"/>
        <v>0</v>
      </c>
      <c r="R37" s="129">
        <f t="shared" si="25"/>
        <v>0</v>
      </c>
      <c r="S37" s="129">
        <f t="shared" si="26"/>
        <v>0</v>
      </c>
      <c r="T37" s="129">
        <f t="shared" si="27"/>
        <v>0</v>
      </c>
      <c r="U37" s="129">
        <f t="shared" si="28"/>
        <v>0</v>
      </c>
      <c r="V37" s="209">
        <f t="shared" si="7"/>
        <v>0</v>
      </c>
      <c r="W37" s="621"/>
      <c r="X37" s="701" t="str">
        <f>C37</f>
        <v>[Tiered] Base Monthly Processing 54,438 - 100k Accounts</v>
      </c>
      <c r="Y37" s="325">
        <v>4.8000000000000001E-2</v>
      </c>
      <c r="Z37" s="774">
        <f t="shared" si="8"/>
        <v>0</v>
      </c>
      <c r="AA37" s="103">
        <f t="shared" si="9"/>
        <v>0</v>
      </c>
      <c r="AB37" s="103" cm="1">
        <f t="array" ref="AB37">_xlfn.IFS($AJ37="NO CHARGE",0,$AJ37=0,0,$AJ37&gt;0,PRODUCT(J37,$AJ37))</f>
        <v>1567.7855999999979</v>
      </c>
      <c r="AC37" s="103">
        <f t="shared" si="11"/>
        <v>3213.9604800000006</v>
      </c>
      <c r="AD37" s="103">
        <f t="shared" si="12"/>
        <v>4942.444104000002</v>
      </c>
      <c r="AE37" s="103">
        <f t="shared" si="13"/>
        <v>6757.3519092000033</v>
      </c>
      <c r="AF37" s="123">
        <f t="shared" si="14"/>
        <v>16481.542093200005</v>
      </c>
      <c r="AG37" s="743"/>
      <c r="AH37" s="362"/>
      <c r="AI37" s="880" t="str">
        <f>C37</f>
        <v>[Tiered] Base Monthly Processing 54,438 - 100k Accounts</v>
      </c>
      <c r="AJ37" s="270">
        <v>4.8000000000000001E-2</v>
      </c>
      <c r="AK37" s="896">
        <f t="shared" si="15"/>
        <v>0</v>
      </c>
      <c r="AL37" s="105" cm="1">
        <f t="array" ref="AL37">_xlfn.IFS($AJ37="NO CHARGE",0,$AJ37=0,0,$AJ37&gt;0,PRODUCT(I37,$AJ37))</f>
        <v>0</v>
      </c>
      <c r="AM37" s="105" cm="1">
        <f t="array" ref="AM37">_xlfn.IFS($AJ37="NO CHARGE",0,$AJ37=0,0,$AJ37&gt;0,PRODUCT(J37,$AJ37))</f>
        <v>1567.7855999999979</v>
      </c>
      <c r="AN37" s="105" cm="1">
        <f t="array" ref="AN37">_xlfn.IFS($AJ37="NO CHARGE",0,$AJ37=0,0,$AJ37&gt;0,PRODUCT(K37,$AJ37))</f>
        <v>3213.9604800000006</v>
      </c>
      <c r="AO37" s="105" cm="1">
        <f t="array" ref="AO37">_xlfn.IFS($AJ37="NO CHARGE",0,$AJ37=0,0,$AJ37&gt;0,PRODUCT(L37,$AJ37))</f>
        <v>4942.444104000002</v>
      </c>
      <c r="AP37" s="105" cm="1">
        <f t="array" ref="AP37">_xlfn.IFS($AJ37="NO CHARGE",0,$AJ37=0,0,$AJ37&gt;0,PRODUCT(M37,$AJ37))</f>
        <v>6757.3519092000033</v>
      </c>
      <c r="AQ37" s="158">
        <f t="shared" si="16"/>
        <v>16481.542093200005</v>
      </c>
      <c r="AR37" s="875"/>
      <c r="AS37" s="473"/>
      <c r="AT37" s="106"/>
      <c r="AU37" s="107"/>
      <c r="AV37" s="108">
        <f t="shared" si="17"/>
        <v>0</v>
      </c>
      <c r="AW37" s="108">
        <f t="shared" si="18"/>
        <v>0</v>
      </c>
      <c r="AX37" s="108">
        <f t="shared" si="19"/>
        <v>0</v>
      </c>
      <c r="AY37" s="108">
        <f t="shared" si="20"/>
        <v>0</v>
      </c>
      <c r="AZ37" s="108">
        <f t="shared" si="21"/>
        <v>0</v>
      </c>
      <c r="BA37" s="165">
        <f t="shared" si="22"/>
        <v>0</v>
      </c>
      <c r="BB37" s="531"/>
    </row>
    <row r="38" spans="1:54" s="495" customFormat="1" outlineLevel="1" x14ac:dyDescent="0.25">
      <c r="A38" s="700"/>
      <c r="B38" s="623" t="s">
        <v>92</v>
      </c>
      <c r="C38" s="200" t="s">
        <v>73</v>
      </c>
      <c r="D38" s="604"/>
      <c r="E38" s="604"/>
      <c r="F38" s="604"/>
      <c r="G38" s="604"/>
      <c r="H38" s="699"/>
      <c r="I38" s="127" cm="1">
        <f t="array" ref="I38">_xlfn.IFS(I35&gt;(($H36+$H37)*12),I35-I36-I37, I35&lt;(($H36+$H37)*12),0, I35=(($H36+$H37)*12),0)</f>
        <v>0</v>
      </c>
      <c r="J38" s="127" cm="1">
        <f t="array" ref="J38">_xlfn.IFS(J35&gt;(($H36+$H37)*12),J35-J36-J37, J35&lt;(($H36+$H37)*12),0, J35=(($H36+$H37)*12),0)</f>
        <v>0</v>
      </c>
      <c r="K38" s="127" cm="1">
        <f t="array" ref="K38">_xlfn.IFS(K35&gt;(($H36+$H37)*12),K35-K36-K37, K35&lt;(($H36+$H37)*12),0, K35=(($H36+$H37)*12),0)</f>
        <v>0</v>
      </c>
      <c r="L38" s="127" cm="1">
        <f t="array" ref="L38">_xlfn.IFS(L35&gt;(($H36+$H37)*12),L35-L36-L37, L35&lt;(($H36+$H37)*12),0, L35=(($H36+$H37)*12),0)</f>
        <v>0</v>
      </c>
      <c r="M38" s="127" cm="1">
        <f t="array" ref="M38">_xlfn.IFS(M35&gt;(($H36+$H37)*12),M35-M36-M37, M35&lt;(($H36+$H37)*12),0, M35=(($H36+$H37)*12),0)</f>
        <v>0</v>
      </c>
      <c r="N38" s="245"/>
      <c r="O38" s="586"/>
      <c r="P38" s="757">
        <f t="shared" si="1"/>
        <v>0</v>
      </c>
      <c r="Q38" s="129">
        <f t="shared" si="24"/>
        <v>0</v>
      </c>
      <c r="R38" s="129">
        <f t="shared" si="25"/>
        <v>0</v>
      </c>
      <c r="S38" s="129">
        <f t="shared" si="26"/>
        <v>0</v>
      </c>
      <c r="T38" s="129">
        <f t="shared" si="27"/>
        <v>0</v>
      </c>
      <c r="U38" s="129">
        <f t="shared" si="28"/>
        <v>0</v>
      </c>
      <c r="V38" s="209">
        <f t="shared" si="7"/>
        <v>0</v>
      </c>
      <c r="W38" s="528"/>
      <c r="X38" s="701" t="str">
        <f>C38</f>
        <v>[Tiered] Base Monthly Processing beyond 100k Accounts</v>
      </c>
      <c r="Y38" s="325">
        <v>4.5999999999999999E-2</v>
      </c>
      <c r="Z38" s="774">
        <f t="shared" si="8"/>
        <v>0</v>
      </c>
      <c r="AA38" s="103">
        <f t="shared" si="9"/>
        <v>0</v>
      </c>
      <c r="AB38" s="103">
        <f t="shared" si="10"/>
        <v>0</v>
      </c>
      <c r="AC38" s="103">
        <f t="shared" si="11"/>
        <v>0</v>
      </c>
      <c r="AD38" s="103">
        <f t="shared" si="12"/>
        <v>0</v>
      </c>
      <c r="AE38" s="103">
        <f t="shared" si="13"/>
        <v>0</v>
      </c>
      <c r="AF38" s="123">
        <f t="shared" si="14"/>
        <v>0</v>
      </c>
      <c r="AG38" s="743"/>
      <c r="AH38" s="362"/>
      <c r="AI38" s="880" t="str">
        <f>C38</f>
        <v>[Tiered] Base Monthly Processing beyond 100k Accounts</v>
      </c>
      <c r="AJ38" s="270">
        <v>4.5999999999999999E-2</v>
      </c>
      <c r="AK38" s="896">
        <f t="shared" si="15"/>
        <v>0</v>
      </c>
      <c r="AL38" s="105" cm="1">
        <f t="array" ref="AL38">_xlfn.IFS($AJ38="NO CHARGE",0,$AJ38=0,0,$AJ38&gt;0,PRODUCT(I38,$AJ38))</f>
        <v>0</v>
      </c>
      <c r="AM38" s="105" cm="1">
        <f t="array" ref="AM38">_xlfn.IFS($AJ38="NO CHARGE",0,$AJ38=0,0,$AJ38&gt;0,PRODUCT(J38,$AJ38))</f>
        <v>0</v>
      </c>
      <c r="AN38" s="105" cm="1">
        <f t="array" ref="AN38">_xlfn.IFS($AJ38="NO CHARGE",0,$AJ38=0,0,$AJ38&gt;0,PRODUCT(K38,$AJ38))</f>
        <v>0</v>
      </c>
      <c r="AO38" s="105" cm="1">
        <f t="array" ref="AO38">_xlfn.IFS($AJ38="NO CHARGE",0,$AJ38=0,0,$AJ38&gt;0,PRODUCT(L38,$AJ38))</f>
        <v>0</v>
      </c>
      <c r="AP38" s="105" cm="1">
        <f t="array" ref="AP38">_xlfn.IFS($AJ38="NO CHARGE",0,$AJ38=0,0,$AJ38&gt;0,PRODUCT(M38,$AJ38))</f>
        <v>0</v>
      </c>
      <c r="AQ38" s="158">
        <f t="shared" si="16"/>
        <v>0</v>
      </c>
      <c r="AR38" s="875"/>
      <c r="AS38" s="473"/>
      <c r="AT38" s="106"/>
      <c r="AU38" s="107"/>
      <c r="AV38" s="108">
        <f t="shared" si="17"/>
        <v>0</v>
      </c>
      <c r="AW38" s="108">
        <f t="shared" si="18"/>
        <v>0</v>
      </c>
      <c r="AX38" s="108">
        <f t="shared" si="19"/>
        <v>0</v>
      </c>
      <c r="AY38" s="108">
        <f t="shared" si="20"/>
        <v>0</v>
      </c>
      <c r="AZ38" s="108">
        <f t="shared" si="21"/>
        <v>0</v>
      </c>
      <c r="BA38" s="165">
        <f t="shared" si="22"/>
        <v>0</v>
      </c>
      <c r="BB38" s="531"/>
    </row>
    <row r="39" spans="1:54" s="495" customFormat="1" outlineLevel="1" x14ac:dyDescent="0.25">
      <c r="A39" s="445"/>
      <c r="B39" s="623"/>
      <c r="C39" s="310"/>
      <c r="D39" s="604"/>
      <c r="E39" s="604"/>
      <c r="F39" s="604"/>
      <c r="G39" s="604"/>
      <c r="H39" s="618">
        <f>IFERROR(AVERAGE(D39:G39),0)</f>
        <v>0</v>
      </c>
      <c r="I39" s="127">
        <f t="shared" ref="I39:I48" si="33">H39*12</f>
        <v>0</v>
      </c>
      <c r="J39" s="127">
        <f t="shared" ref="J39:M48" si="34">IF(I39&gt;12,(((I39)*$H$5)+I39),(I39*1))</f>
        <v>0</v>
      </c>
      <c r="K39" s="127">
        <f t="shared" si="34"/>
        <v>0</v>
      </c>
      <c r="L39" s="127">
        <f t="shared" si="34"/>
        <v>0</v>
      </c>
      <c r="M39" s="127">
        <f t="shared" si="34"/>
        <v>0</v>
      </c>
      <c r="N39" s="245"/>
      <c r="O39" s="586"/>
      <c r="P39" s="757">
        <f t="shared" si="1"/>
        <v>0</v>
      </c>
      <c r="Q39" s="129">
        <f t="shared" si="24"/>
        <v>0</v>
      </c>
      <c r="R39" s="129">
        <f t="shared" si="25"/>
        <v>0</v>
      </c>
      <c r="S39" s="129">
        <f t="shared" si="26"/>
        <v>0</v>
      </c>
      <c r="T39" s="129">
        <f t="shared" si="27"/>
        <v>0</v>
      </c>
      <c r="U39" s="129">
        <f t="shared" si="28"/>
        <v>0</v>
      </c>
      <c r="V39" s="209">
        <f t="shared" si="7"/>
        <v>0</v>
      </c>
      <c r="W39" s="621"/>
      <c r="X39" s="222"/>
      <c r="Y39" s="325"/>
      <c r="Z39" s="774">
        <f t="shared" si="8"/>
        <v>0</v>
      </c>
      <c r="AA39" s="103">
        <f t="shared" si="9"/>
        <v>0</v>
      </c>
      <c r="AB39" s="103">
        <f t="shared" si="10"/>
        <v>0</v>
      </c>
      <c r="AC39" s="103">
        <f t="shared" si="11"/>
        <v>0</v>
      </c>
      <c r="AD39" s="103">
        <f t="shared" si="12"/>
        <v>0</v>
      </c>
      <c r="AE39" s="103">
        <f t="shared" si="13"/>
        <v>0</v>
      </c>
      <c r="AF39" s="123">
        <f t="shared" si="14"/>
        <v>0</v>
      </c>
      <c r="AG39" s="743"/>
      <c r="AH39" s="362"/>
      <c r="AI39" s="221"/>
      <c r="AJ39" s="270"/>
      <c r="AK39" s="896">
        <f t="shared" si="15"/>
        <v>0</v>
      </c>
      <c r="AL39" s="105" cm="1">
        <f t="array" ref="AL39">_xlfn.IFS($AJ39="NO CHARGE",0,$AJ39=0,0,$AJ39&gt;0,PRODUCT(I39,$AJ39))</f>
        <v>0</v>
      </c>
      <c r="AM39" s="105" cm="1">
        <f t="array" ref="AM39">_xlfn.IFS($AJ39="NO CHARGE",0,$AJ39=0,0,$AJ39&gt;0,PRODUCT(J39,$AJ39))</f>
        <v>0</v>
      </c>
      <c r="AN39" s="105" cm="1">
        <f t="array" ref="AN39">_xlfn.IFS($AJ39="NO CHARGE",0,$AJ39=0,0,$AJ39&gt;0,PRODUCT(K39,$AJ39))</f>
        <v>0</v>
      </c>
      <c r="AO39" s="105" cm="1">
        <f t="array" ref="AO39">_xlfn.IFS($AJ39="NO CHARGE",0,$AJ39=0,0,$AJ39&gt;0,PRODUCT(L39,$AJ39))</f>
        <v>0</v>
      </c>
      <c r="AP39" s="105" cm="1">
        <f t="array" ref="AP39">_xlfn.IFS($AJ39="NO CHARGE",0,$AJ39=0,0,$AJ39&gt;0,PRODUCT(M39,$AJ39))</f>
        <v>0</v>
      </c>
      <c r="AQ39" s="158">
        <f t="shared" si="16"/>
        <v>0</v>
      </c>
      <c r="AR39" s="875"/>
      <c r="AS39" s="473"/>
      <c r="AT39" s="106"/>
      <c r="AU39" s="107"/>
      <c r="AV39" s="108">
        <f t="shared" si="17"/>
        <v>0</v>
      </c>
      <c r="AW39" s="108">
        <f t="shared" si="18"/>
        <v>0</v>
      </c>
      <c r="AX39" s="108">
        <f t="shared" si="19"/>
        <v>0</v>
      </c>
      <c r="AY39" s="108">
        <f t="shared" si="20"/>
        <v>0</v>
      </c>
      <c r="AZ39" s="108">
        <f t="shared" si="21"/>
        <v>0</v>
      </c>
      <c r="BA39" s="165">
        <f t="shared" si="22"/>
        <v>0</v>
      </c>
      <c r="BB39" s="531"/>
    </row>
    <row r="40" spans="1:54" s="495" customFormat="1" outlineLevel="1" x14ac:dyDescent="0.25">
      <c r="A40" s="700"/>
      <c r="B40" s="623" t="s">
        <v>92</v>
      </c>
      <c r="C40" s="310" t="s">
        <v>93</v>
      </c>
      <c r="D40" s="604"/>
      <c r="E40" s="604"/>
      <c r="F40" s="604"/>
      <c r="G40" s="604"/>
      <c r="H40" s="618">
        <v>10611</v>
      </c>
      <c r="I40" s="127">
        <f t="shared" si="33"/>
        <v>127332</v>
      </c>
      <c r="J40" s="127">
        <f t="shared" si="34"/>
        <v>133698.6</v>
      </c>
      <c r="K40" s="127">
        <f t="shared" si="34"/>
        <v>140383.53</v>
      </c>
      <c r="L40" s="127">
        <f t="shared" si="34"/>
        <v>147402.7065</v>
      </c>
      <c r="M40" s="127">
        <f t="shared" si="34"/>
        <v>154772.84182500001</v>
      </c>
      <c r="N40" s="245"/>
      <c r="O40" s="586"/>
      <c r="P40" s="757">
        <f t="shared" si="1"/>
        <v>0</v>
      </c>
      <c r="Q40" s="129">
        <f t="shared" si="24"/>
        <v>0</v>
      </c>
      <c r="R40" s="129">
        <f t="shared" si="25"/>
        <v>0</v>
      </c>
      <c r="S40" s="129">
        <f t="shared" si="26"/>
        <v>0</v>
      </c>
      <c r="T40" s="129">
        <f t="shared" si="27"/>
        <v>0</v>
      </c>
      <c r="U40" s="129">
        <f t="shared" si="28"/>
        <v>0</v>
      </c>
      <c r="V40" s="209">
        <f t="shared" si="7"/>
        <v>0</v>
      </c>
      <c r="W40" s="621"/>
      <c r="X40" s="222" t="str">
        <f t="shared" ref="X40:X46" si="35">C40</f>
        <v>ACH Activity</v>
      </c>
      <c r="Y40" s="325">
        <v>5.0000000000000001E-3</v>
      </c>
      <c r="Z40" s="774">
        <f t="shared" si="8"/>
        <v>53.055</v>
      </c>
      <c r="AA40" s="103">
        <f t="shared" si="9"/>
        <v>636.66</v>
      </c>
      <c r="AB40" s="103">
        <f t="shared" si="10"/>
        <v>668.49300000000005</v>
      </c>
      <c r="AC40" s="103">
        <f t="shared" si="11"/>
        <v>701.91764999999998</v>
      </c>
      <c r="AD40" s="103">
        <f t="shared" si="12"/>
        <v>737.0135325</v>
      </c>
      <c r="AE40" s="103">
        <f t="shared" si="13"/>
        <v>773.86420912500012</v>
      </c>
      <c r="AF40" s="123">
        <f t="shared" si="14"/>
        <v>3517.9483916250001</v>
      </c>
      <c r="AG40" s="743"/>
      <c r="AH40" s="362"/>
      <c r="AI40" s="221" t="str">
        <f t="shared" ref="AI40:AI46" si="36">C40</f>
        <v>ACH Activity</v>
      </c>
      <c r="AJ40" s="270">
        <v>5.0000000000000001E-3</v>
      </c>
      <c r="AK40" s="896">
        <f t="shared" si="15"/>
        <v>53.055</v>
      </c>
      <c r="AL40" s="105" cm="1">
        <f t="array" ref="AL40">_xlfn.IFS($AJ40="NO CHARGE",0,$AJ40=0,0,$AJ40&gt;0,PRODUCT(I40,$AJ40))</f>
        <v>636.66</v>
      </c>
      <c r="AM40" s="105" cm="1">
        <f t="array" ref="AM40">_xlfn.IFS($AJ40="NO CHARGE",0,$AJ40=0,0,$AJ40&gt;0,PRODUCT(J40,$AJ40))</f>
        <v>668.49300000000005</v>
      </c>
      <c r="AN40" s="105" cm="1">
        <f t="array" ref="AN40">_xlfn.IFS($AJ40="NO CHARGE",0,$AJ40=0,0,$AJ40&gt;0,PRODUCT(K40,$AJ40))</f>
        <v>701.91764999999998</v>
      </c>
      <c r="AO40" s="105" cm="1">
        <f t="array" ref="AO40">_xlfn.IFS($AJ40="NO CHARGE",0,$AJ40=0,0,$AJ40&gt;0,PRODUCT(L40,$AJ40))</f>
        <v>737.0135325</v>
      </c>
      <c r="AP40" s="105" cm="1">
        <f t="array" ref="AP40">_xlfn.IFS($AJ40="NO CHARGE",0,$AJ40=0,0,$AJ40&gt;0,PRODUCT(M40,$AJ40))</f>
        <v>773.86420912500012</v>
      </c>
      <c r="AQ40" s="158">
        <f t="shared" si="16"/>
        <v>3517.9483916250001</v>
      </c>
      <c r="AR40" s="875"/>
      <c r="AS40" s="473"/>
      <c r="AT40" s="106"/>
      <c r="AU40" s="107"/>
      <c r="AV40" s="108">
        <f t="shared" si="17"/>
        <v>0</v>
      </c>
      <c r="AW40" s="108">
        <f t="shared" si="18"/>
        <v>0</v>
      </c>
      <c r="AX40" s="108">
        <f t="shared" si="19"/>
        <v>0</v>
      </c>
      <c r="AY40" s="108">
        <f t="shared" si="20"/>
        <v>0</v>
      </c>
      <c r="AZ40" s="108">
        <f t="shared" si="21"/>
        <v>0</v>
      </c>
      <c r="BA40" s="165">
        <f t="shared" si="22"/>
        <v>0</v>
      </c>
      <c r="BB40" s="531"/>
    </row>
    <row r="41" spans="1:54" s="495" customFormat="1" outlineLevel="1" x14ac:dyDescent="0.25">
      <c r="A41" s="700"/>
      <c r="B41" s="623" t="s">
        <v>92</v>
      </c>
      <c r="C41" s="310" t="s">
        <v>94</v>
      </c>
      <c r="D41" s="604"/>
      <c r="E41" s="604"/>
      <c r="F41" s="604"/>
      <c r="G41" s="604"/>
      <c r="H41" s="735">
        <v>1</v>
      </c>
      <c r="I41" s="127">
        <f t="shared" si="33"/>
        <v>12</v>
      </c>
      <c r="J41" s="127">
        <f t="shared" si="34"/>
        <v>12</v>
      </c>
      <c r="K41" s="127">
        <f t="shared" si="34"/>
        <v>12</v>
      </c>
      <c r="L41" s="127">
        <f t="shared" si="34"/>
        <v>12</v>
      </c>
      <c r="M41" s="127">
        <f t="shared" si="34"/>
        <v>12</v>
      </c>
      <c r="N41" s="245"/>
      <c r="O41" s="586"/>
      <c r="P41" s="757">
        <f t="shared" si="1"/>
        <v>0</v>
      </c>
      <c r="Q41" s="129">
        <f t="shared" si="24"/>
        <v>0</v>
      </c>
      <c r="R41" s="129">
        <f t="shared" si="25"/>
        <v>0</v>
      </c>
      <c r="S41" s="129">
        <f t="shared" si="26"/>
        <v>0</v>
      </c>
      <c r="T41" s="129">
        <f t="shared" si="27"/>
        <v>0</v>
      </c>
      <c r="U41" s="129">
        <f t="shared" si="28"/>
        <v>0</v>
      </c>
      <c r="V41" s="209">
        <f t="shared" si="7"/>
        <v>0</v>
      </c>
      <c r="W41" s="621"/>
      <c r="X41" s="222" t="str">
        <f t="shared" si="35"/>
        <v>Same Day ACH Settlement</v>
      </c>
      <c r="Y41" s="325">
        <v>0.01</v>
      </c>
      <c r="Z41" s="774">
        <f t="shared" si="8"/>
        <v>0.01</v>
      </c>
      <c r="AA41" s="103">
        <f t="shared" si="9"/>
        <v>0.12</v>
      </c>
      <c r="AB41" s="103">
        <f t="shared" si="10"/>
        <v>0.12</v>
      </c>
      <c r="AC41" s="103">
        <f t="shared" si="11"/>
        <v>0.12</v>
      </c>
      <c r="AD41" s="103">
        <f t="shared" si="12"/>
        <v>0.12</v>
      </c>
      <c r="AE41" s="103">
        <f t="shared" si="13"/>
        <v>0.12</v>
      </c>
      <c r="AF41" s="123">
        <f>IF((SUM(AA41:AE41))&lt;(Y42*60),0,(SUM(AA41:AE41)))</f>
        <v>0</v>
      </c>
      <c r="AG41" s="743" t="s">
        <v>69</v>
      </c>
      <c r="AH41" s="362"/>
      <c r="AI41" s="221" t="str">
        <f t="shared" si="36"/>
        <v>Same Day ACH Settlement</v>
      </c>
      <c r="AJ41" s="270">
        <v>0.01</v>
      </c>
      <c r="AK41" s="896">
        <f t="shared" si="15"/>
        <v>0.01</v>
      </c>
      <c r="AL41" s="105" cm="1">
        <f t="array" ref="AL41">_xlfn.IFS($AJ41="NO CHARGE",0,$AJ41=0,0,$AJ41&gt;0,PRODUCT(I41,$AJ41))</f>
        <v>0.12</v>
      </c>
      <c r="AM41" s="105" cm="1">
        <f t="array" ref="AM41">_xlfn.IFS($AJ41="NO CHARGE",0,$AJ41=0,0,$AJ41&gt;0,PRODUCT(J41,$AJ41))</f>
        <v>0.12</v>
      </c>
      <c r="AN41" s="105" cm="1">
        <f t="array" ref="AN41">_xlfn.IFS($AJ41="NO CHARGE",0,$AJ41=0,0,$AJ41&gt;0,PRODUCT(K41,$AJ41))</f>
        <v>0.12</v>
      </c>
      <c r="AO41" s="105" cm="1">
        <f t="array" ref="AO41">_xlfn.IFS($AJ41="NO CHARGE",0,$AJ41=0,0,$AJ41&gt;0,PRODUCT(L41,$AJ41))</f>
        <v>0.12</v>
      </c>
      <c r="AP41" s="105" cm="1">
        <f t="array" ref="AP41">_xlfn.IFS($AJ41="NO CHARGE",0,$AJ41=0,0,$AJ41&gt;0,PRODUCT(M41,$AJ41))</f>
        <v>0.12</v>
      </c>
      <c r="AQ41" s="158">
        <f>IF((SUM(AL41:AP41))&lt;(AJ42*60),0,(SUM(AL41:AP41)))</f>
        <v>0</v>
      </c>
      <c r="AR41" s="875" t="s">
        <v>71</v>
      </c>
      <c r="AS41" s="473"/>
      <c r="AT41" s="106"/>
      <c r="AU41" s="107"/>
      <c r="AV41" s="108">
        <f t="shared" si="17"/>
        <v>0</v>
      </c>
      <c r="AW41" s="108">
        <f t="shared" si="18"/>
        <v>0</v>
      </c>
      <c r="AX41" s="108">
        <f t="shared" si="19"/>
        <v>0</v>
      </c>
      <c r="AY41" s="108">
        <f t="shared" si="20"/>
        <v>0</v>
      </c>
      <c r="AZ41" s="108">
        <f t="shared" si="21"/>
        <v>0</v>
      </c>
      <c r="BA41" s="165">
        <f t="shared" si="22"/>
        <v>0</v>
      </c>
      <c r="BB41" s="531"/>
    </row>
    <row r="42" spans="1:54" s="732" customFormat="1" outlineLevel="1" x14ac:dyDescent="0.25">
      <c r="A42" s="700"/>
      <c r="B42" s="623" t="s">
        <v>92</v>
      </c>
      <c r="C42" s="676" t="s">
        <v>95</v>
      </c>
      <c r="D42" s="715"/>
      <c r="E42" s="715"/>
      <c r="F42" s="715"/>
      <c r="G42" s="715"/>
      <c r="H42" s="716">
        <v>1</v>
      </c>
      <c r="I42" s="717">
        <f t="shared" si="33"/>
        <v>12</v>
      </c>
      <c r="J42" s="717">
        <f t="shared" si="34"/>
        <v>12</v>
      </c>
      <c r="K42" s="717">
        <f t="shared" si="34"/>
        <v>12</v>
      </c>
      <c r="L42" s="717">
        <f t="shared" si="34"/>
        <v>12</v>
      </c>
      <c r="M42" s="717">
        <f t="shared" si="34"/>
        <v>12</v>
      </c>
      <c r="N42" s="718"/>
      <c r="O42" s="719"/>
      <c r="P42" s="758">
        <f t="shared" si="1"/>
        <v>0</v>
      </c>
      <c r="Q42" s="720">
        <f t="shared" si="24"/>
        <v>0</v>
      </c>
      <c r="R42" s="720">
        <f t="shared" si="25"/>
        <v>0</v>
      </c>
      <c r="S42" s="720">
        <f t="shared" si="26"/>
        <v>0</v>
      </c>
      <c r="T42" s="720">
        <f t="shared" si="27"/>
        <v>0</v>
      </c>
      <c r="U42" s="720">
        <f t="shared" si="28"/>
        <v>0</v>
      </c>
      <c r="V42" s="721">
        <f t="shared" si="7"/>
        <v>0</v>
      </c>
      <c r="W42" s="621"/>
      <c r="X42" s="734" t="str">
        <f t="shared" si="35"/>
        <v>Same Day ACH Settlement Monthly Minimum</v>
      </c>
      <c r="Y42" s="722">
        <v>250</v>
      </c>
      <c r="Z42" s="775">
        <f t="shared" si="8"/>
        <v>250</v>
      </c>
      <c r="AA42" s="723">
        <f t="shared" si="9"/>
        <v>3000</v>
      </c>
      <c r="AB42" s="723">
        <f t="shared" si="10"/>
        <v>3000</v>
      </c>
      <c r="AC42" s="723">
        <f t="shared" si="11"/>
        <v>3000</v>
      </c>
      <c r="AD42" s="723">
        <f t="shared" si="12"/>
        <v>3000</v>
      </c>
      <c r="AE42" s="723">
        <f t="shared" si="13"/>
        <v>3000</v>
      </c>
      <c r="AF42" s="724">
        <f>IF((SUM(AA42:AE42))&lt;(SUM(AA41:AE41)), 0, SUM(AA42:AE42))</f>
        <v>15000</v>
      </c>
      <c r="AG42" s="744"/>
      <c r="AH42" s="725" t="s">
        <v>74</v>
      </c>
      <c r="AI42" s="221" t="str">
        <f t="shared" si="36"/>
        <v>Same Day ACH Settlement Monthly Minimum</v>
      </c>
      <c r="AJ42" s="885">
        <v>250</v>
      </c>
      <c r="AK42" s="896">
        <f t="shared" si="15"/>
        <v>250</v>
      </c>
      <c r="AL42" s="105" cm="1">
        <f t="array" ref="AL42">_xlfn.IFS($AJ42="NO CHARGE",0,$AJ42=0,0,$AJ42&gt;0,PRODUCT(I42,$AJ42))</f>
        <v>3000</v>
      </c>
      <c r="AM42" s="105" cm="1">
        <f t="array" ref="AM42">_xlfn.IFS($AJ42="NO CHARGE",0,$AJ42=0,0,$AJ42&gt;0,PRODUCT(J42,$AJ42))</f>
        <v>3000</v>
      </c>
      <c r="AN42" s="105" cm="1">
        <f t="array" ref="AN42">_xlfn.IFS($AJ42="NO CHARGE",0,$AJ42=0,0,$AJ42&gt;0,PRODUCT(K42,$AJ42))</f>
        <v>3000</v>
      </c>
      <c r="AO42" s="105" cm="1">
        <f t="array" ref="AO42">_xlfn.IFS($AJ42="NO CHARGE",0,$AJ42=0,0,$AJ42&gt;0,PRODUCT(L42,$AJ42))</f>
        <v>3000</v>
      </c>
      <c r="AP42" s="105" cm="1">
        <f t="array" ref="AP42">_xlfn.IFS($AJ42="NO CHARGE",0,$AJ42=0,0,$AJ42&gt;0,PRODUCT(M42,$AJ42))</f>
        <v>3000</v>
      </c>
      <c r="AQ42" s="158">
        <f>IF((SUM(AL42:AP42))&lt;(SUM(AL41:AP41)), 0, SUM(AL42:AP42))</f>
        <v>15000</v>
      </c>
      <c r="AR42" s="876"/>
      <c r="AS42" s="473" t="s">
        <v>74</v>
      </c>
      <c r="AT42" s="728"/>
      <c r="AU42" s="729"/>
      <c r="AV42" s="730">
        <f t="shared" si="17"/>
        <v>0</v>
      </c>
      <c r="AW42" s="730">
        <f t="shared" si="18"/>
        <v>0</v>
      </c>
      <c r="AX42" s="730">
        <f t="shared" si="19"/>
        <v>0</v>
      </c>
      <c r="AY42" s="730">
        <f t="shared" si="20"/>
        <v>0</v>
      </c>
      <c r="AZ42" s="730">
        <f t="shared" si="21"/>
        <v>0</v>
      </c>
      <c r="BA42" s="731">
        <f t="shared" si="22"/>
        <v>0</v>
      </c>
      <c r="BB42" s="531"/>
    </row>
    <row r="43" spans="1:54" s="495" customFormat="1" outlineLevel="1" x14ac:dyDescent="0.25">
      <c r="A43" s="700"/>
      <c r="B43" s="623" t="s">
        <v>92</v>
      </c>
      <c r="C43" s="310" t="s">
        <v>96</v>
      </c>
      <c r="D43" s="604"/>
      <c r="E43" s="604"/>
      <c r="F43" s="604"/>
      <c r="G43" s="604"/>
      <c r="H43" s="618">
        <v>1</v>
      </c>
      <c r="I43" s="127">
        <f t="shared" si="33"/>
        <v>12</v>
      </c>
      <c r="J43" s="127">
        <f t="shared" si="34"/>
        <v>12</v>
      </c>
      <c r="K43" s="127">
        <f t="shared" si="34"/>
        <v>12</v>
      </c>
      <c r="L43" s="127">
        <f t="shared" si="34"/>
        <v>12</v>
      </c>
      <c r="M43" s="127">
        <f t="shared" si="34"/>
        <v>12</v>
      </c>
      <c r="N43" s="245"/>
      <c r="O43" s="586"/>
      <c r="P43" s="757">
        <f t="shared" si="1"/>
        <v>0</v>
      </c>
      <c r="Q43" s="129">
        <f t="shared" si="24"/>
        <v>0</v>
      </c>
      <c r="R43" s="129">
        <f t="shared" si="25"/>
        <v>0</v>
      </c>
      <c r="S43" s="129">
        <f t="shared" si="26"/>
        <v>0</v>
      </c>
      <c r="T43" s="129">
        <f t="shared" si="27"/>
        <v>0</v>
      </c>
      <c r="U43" s="129">
        <f t="shared" si="28"/>
        <v>0</v>
      </c>
      <c r="V43" s="209">
        <f t="shared" si="7"/>
        <v>0</v>
      </c>
      <c r="W43" s="621"/>
      <c r="X43" s="222" t="str">
        <f t="shared" si="35"/>
        <v>Deposit Origination (DO) CSi Simplicity Hosting</v>
      </c>
      <c r="Y43" s="325">
        <v>120</v>
      </c>
      <c r="Z43" s="774">
        <f t="shared" si="8"/>
        <v>120</v>
      </c>
      <c r="AA43" s="103">
        <f t="shared" si="9"/>
        <v>1440</v>
      </c>
      <c r="AB43" s="103">
        <f t="shared" si="10"/>
        <v>1440</v>
      </c>
      <c r="AC43" s="103">
        <f t="shared" si="11"/>
        <v>1440</v>
      </c>
      <c r="AD43" s="103">
        <f t="shared" si="12"/>
        <v>1440</v>
      </c>
      <c r="AE43" s="103">
        <f t="shared" si="13"/>
        <v>1440</v>
      </c>
      <c r="AF43" s="123">
        <f t="shared" ref="AF43:AF48" si="37">SUM(AA43:AE43)</f>
        <v>7200</v>
      </c>
      <c r="AG43" s="743" t="s">
        <v>69</v>
      </c>
      <c r="AH43" s="362"/>
      <c r="AI43" s="221" t="str">
        <f t="shared" si="36"/>
        <v>Deposit Origination (DO) CSi Simplicity Hosting</v>
      </c>
      <c r="AJ43" s="270">
        <v>120</v>
      </c>
      <c r="AK43" s="896">
        <f t="shared" si="15"/>
        <v>120</v>
      </c>
      <c r="AL43" s="105" cm="1">
        <f t="array" ref="AL43">_xlfn.IFS($AJ43="NO CHARGE",0,$AJ43=0,0,$AJ43&gt;0,PRODUCT(I43,$AJ43))</f>
        <v>1440</v>
      </c>
      <c r="AM43" s="105" cm="1">
        <f t="array" ref="AM43">_xlfn.IFS($AJ43="NO CHARGE",0,$AJ43=0,0,$AJ43&gt;0,PRODUCT(J43,$AJ43))</f>
        <v>1440</v>
      </c>
      <c r="AN43" s="105" cm="1">
        <f t="array" ref="AN43">_xlfn.IFS($AJ43="NO CHARGE",0,$AJ43=0,0,$AJ43&gt;0,PRODUCT(K43,$AJ43))</f>
        <v>1440</v>
      </c>
      <c r="AO43" s="105" cm="1">
        <f t="array" ref="AO43">_xlfn.IFS($AJ43="NO CHARGE",0,$AJ43=0,0,$AJ43&gt;0,PRODUCT(L43,$AJ43))</f>
        <v>1440</v>
      </c>
      <c r="AP43" s="105" cm="1">
        <f t="array" ref="AP43">_xlfn.IFS($AJ43="NO CHARGE",0,$AJ43=0,0,$AJ43&gt;0,PRODUCT(M43,$AJ43))</f>
        <v>1440</v>
      </c>
      <c r="AQ43" s="158">
        <f t="shared" ref="AQ43:AQ74" si="38">SUM(AL43:AP43)</f>
        <v>7200</v>
      </c>
      <c r="AR43" s="875" t="s">
        <v>71</v>
      </c>
      <c r="AS43" s="473"/>
      <c r="AT43" s="106"/>
      <c r="AU43" s="107"/>
      <c r="AV43" s="108">
        <f t="shared" si="17"/>
        <v>0</v>
      </c>
      <c r="AW43" s="108">
        <f t="shared" si="18"/>
        <v>0</v>
      </c>
      <c r="AX43" s="108">
        <f t="shared" si="19"/>
        <v>0</v>
      </c>
      <c r="AY43" s="108">
        <f t="shared" si="20"/>
        <v>0</v>
      </c>
      <c r="AZ43" s="108">
        <f t="shared" si="21"/>
        <v>0</v>
      </c>
      <c r="BA43" s="165">
        <f t="shared" si="22"/>
        <v>0</v>
      </c>
      <c r="BB43" s="531"/>
    </row>
    <row r="44" spans="1:54" s="495" customFormat="1" outlineLevel="1" x14ac:dyDescent="0.25">
      <c r="A44" s="700"/>
      <c r="B44" s="623" t="s">
        <v>92</v>
      </c>
      <c r="C44" s="310" t="s">
        <v>97</v>
      </c>
      <c r="D44" s="604"/>
      <c r="E44" s="604"/>
      <c r="F44" s="604"/>
      <c r="G44" s="604"/>
      <c r="H44" s="618">
        <v>1</v>
      </c>
      <c r="I44" s="127">
        <f t="shared" si="33"/>
        <v>12</v>
      </c>
      <c r="J44" s="127">
        <f t="shared" si="34"/>
        <v>12</v>
      </c>
      <c r="K44" s="127">
        <f t="shared" si="34"/>
        <v>12</v>
      </c>
      <c r="L44" s="127">
        <f t="shared" si="34"/>
        <v>12</v>
      </c>
      <c r="M44" s="127">
        <f t="shared" si="34"/>
        <v>12</v>
      </c>
      <c r="N44" s="245"/>
      <c r="O44" s="586"/>
      <c r="P44" s="757">
        <f t="shared" si="1"/>
        <v>0</v>
      </c>
      <c r="Q44" s="129">
        <f t="shared" si="24"/>
        <v>0</v>
      </c>
      <c r="R44" s="129">
        <f t="shared" si="25"/>
        <v>0</v>
      </c>
      <c r="S44" s="129">
        <f t="shared" si="26"/>
        <v>0</v>
      </c>
      <c r="T44" s="129">
        <f t="shared" si="27"/>
        <v>0</v>
      </c>
      <c r="U44" s="129">
        <f t="shared" si="28"/>
        <v>0</v>
      </c>
      <c r="V44" s="209">
        <f t="shared" si="7"/>
        <v>0</v>
      </c>
      <c r="W44" s="621"/>
      <c r="X44" s="222" t="str">
        <f t="shared" si="35"/>
        <v>Deposit Origination (DO) SmartSign</v>
      </c>
      <c r="Y44" s="325">
        <v>1531.2</v>
      </c>
      <c r="Z44" s="774">
        <f t="shared" si="8"/>
        <v>1531.2</v>
      </c>
      <c r="AA44" s="103">
        <f t="shared" si="9"/>
        <v>18374.400000000001</v>
      </c>
      <c r="AB44" s="103">
        <f t="shared" si="10"/>
        <v>18374.400000000001</v>
      </c>
      <c r="AC44" s="103">
        <f t="shared" si="11"/>
        <v>18374.400000000001</v>
      </c>
      <c r="AD44" s="103">
        <f t="shared" si="12"/>
        <v>18374.400000000001</v>
      </c>
      <c r="AE44" s="103">
        <f t="shared" si="13"/>
        <v>18374.400000000001</v>
      </c>
      <c r="AF44" s="123">
        <f t="shared" si="37"/>
        <v>91872</v>
      </c>
      <c r="AG44" s="743">
        <v>9000</v>
      </c>
      <c r="AH44" s="362"/>
      <c r="AI44" s="221" t="str">
        <f t="shared" si="36"/>
        <v>Deposit Origination (DO) SmartSign</v>
      </c>
      <c r="AJ44" s="270">
        <v>1531.2</v>
      </c>
      <c r="AK44" s="896">
        <f t="shared" si="15"/>
        <v>1531.2</v>
      </c>
      <c r="AL44" s="105" cm="1">
        <f t="array" ref="AL44">_xlfn.IFS($AJ44="NO CHARGE",0,$AJ44=0,0,$AJ44&gt;0,PRODUCT(I44,$AJ44))</f>
        <v>18374.400000000001</v>
      </c>
      <c r="AM44" s="105" cm="1">
        <f t="array" ref="AM44">_xlfn.IFS($AJ44="NO CHARGE",0,$AJ44=0,0,$AJ44&gt;0,PRODUCT(J44,$AJ44))</f>
        <v>18374.400000000001</v>
      </c>
      <c r="AN44" s="105" cm="1">
        <f t="array" ref="AN44">_xlfn.IFS($AJ44="NO CHARGE",0,$AJ44=0,0,$AJ44&gt;0,PRODUCT(K44,$AJ44))</f>
        <v>18374.400000000001</v>
      </c>
      <c r="AO44" s="105" cm="1">
        <f t="array" ref="AO44">_xlfn.IFS($AJ44="NO CHARGE",0,$AJ44=0,0,$AJ44&gt;0,PRODUCT(L44,$AJ44))</f>
        <v>18374.400000000001</v>
      </c>
      <c r="AP44" s="105" cm="1">
        <f t="array" ref="AP44">_xlfn.IFS($AJ44="NO CHARGE",0,$AJ44=0,0,$AJ44&gt;0,PRODUCT(M44,$AJ44))</f>
        <v>18374.400000000001</v>
      </c>
      <c r="AQ44" s="158">
        <f t="shared" si="38"/>
        <v>91872</v>
      </c>
      <c r="AR44" s="875">
        <v>9000</v>
      </c>
      <c r="AS44" s="473"/>
      <c r="AT44" s="106"/>
      <c r="AU44" s="107"/>
      <c r="AV44" s="108">
        <f t="shared" si="17"/>
        <v>0</v>
      </c>
      <c r="AW44" s="108">
        <f t="shared" si="18"/>
        <v>0</v>
      </c>
      <c r="AX44" s="108">
        <f t="shared" si="19"/>
        <v>0</v>
      </c>
      <c r="AY44" s="108">
        <f t="shared" si="20"/>
        <v>0</v>
      </c>
      <c r="AZ44" s="108">
        <f t="shared" si="21"/>
        <v>0</v>
      </c>
      <c r="BA44" s="165">
        <f t="shared" si="22"/>
        <v>0</v>
      </c>
      <c r="BB44" s="531"/>
    </row>
    <row r="45" spans="1:54" s="495" customFormat="1" outlineLevel="1" x14ac:dyDescent="0.25">
      <c r="A45" s="700"/>
      <c r="B45" s="623" t="s">
        <v>92</v>
      </c>
      <c r="C45" s="310" t="s">
        <v>98</v>
      </c>
      <c r="D45" s="604"/>
      <c r="E45" s="604"/>
      <c r="F45" s="604"/>
      <c r="G45" s="604"/>
      <c r="H45" s="618">
        <v>1</v>
      </c>
      <c r="I45" s="127">
        <f t="shared" si="33"/>
        <v>12</v>
      </c>
      <c r="J45" s="127">
        <f t="shared" si="34"/>
        <v>12</v>
      </c>
      <c r="K45" s="127">
        <f t="shared" si="34"/>
        <v>12</v>
      </c>
      <c r="L45" s="127">
        <f t="shared" si="34"/>
        <v>12</v>
      </c>
      <c r="M45" s="127">
        <f t="shared" si="34"/>
        <v>12</v>
      </c>
      <c r="N45" s="245" t="str">
        <f>IF(C45="","",C45)</f>
        <v>Horizon 360 BI Enterprise License</v>
      </c>
      <c r="O45" s="586"/>
      <c r="P45" s="757">
        <f t="shared" si="1"/>
        <v>0</v>
      </c>
      <c r="Q45" s="129">
        <f t="shared" si="24"/>
        <v>0</v>
      </c>
      <c r="R45" s="129">
        <f t="shared" si="25"/>
        <v>0</v>
      </c>
      <c r="S45" s="129">
        <f t="shared" si="26"/>
        <v>0</v>
      </c>
      <c r="T45" s="129">
        <f t="shared" si="27"/>
        <v>0</v>
      </c>
      <c r="U45" s="129">
        <f t="shared" si="28"/>
        <v>0</v>
      </c>
      <c r="V45" s="209">
        <f t="shared" si="7"/>
        <v>0</v>
      </c>
      <c r="W45" s="621"/>
      <c r="X45" s="222" t="str">
        <f t="shared" si="35"/>
        <v>Horizon 360 BI Enterprise License</v>
      </c>
      <c r="Y45" s="325">
        <v>1350</v>
      </c>
      <c r="Z45" s="774">
        <f t="shared" si="8"/>
        <v>1350</v>
      </c>
      <c r="AA45" s="103">
        <f t="shared" si="9"/>
        <v>16200</v>
      </c>
      <c r="AB45" s="103">
        <f t="shared" si="10"/>
        <v>16200</v>
      </c>
      <c r="AC45" s="103">
        <f t="shared" si="11"/>
        <v>16200</v>
      </c>
      <c r="AD45" s="103">
        <f t="shared" si="12"/>
        <v>16200</v>
      </c>
      <c r="AE45" s="103">
        <f t="shared" si="13"/>
        <v>16200</v>
      </c>
      <c r="AF45" s="123">
        <f t="shared" si="37"/>
        <v>81000</v>
      </c>
      <c r="AG45" s="743">
        <v>19159</v>
      </c>
      <c r="AH45" s="362"/>
      <c r="AI45" s="221" t="str">
        <f t="shared" si="36"/>
        <v>Horizon 360 BI Enterprise License</v>
      </c>
      <c r="AJ45" s="270">
        <v>1350</v>
      </c>
      <c r="AK45" s="896">
        <f t="shared" si="15"/>
        <v>1350</v>
      </c>
      <c r="AL45" s="105" cm="1">
        <f t="array" ref="AL45">_xlfn.IFS($AJ45="NO CHARGE",0,$AJ45=0,0,$AJ45&gt;0,PRODUCT(I45,$AJ45))</f>
        <v>16200</v>
      </c>
      <c r="AM45" s="105" cm="1">
        <f t="array" ref="AM45">_xlfn.IFS($AJ45="NO CHARGE",0,$AJ45=0,0,$AJ45&gt;0,PRODUCT(J45,$AJ45))</f>
        <v>16200</v>
      </c>
      <c r="AN45" s="105" cm="1">
        <f t="array" ref="AN45">_xlfn.IFS($AJ45="NO CHARGE",0,$AJ45=0,0,$AJ45&gt;0,PRODUCT(K45,$AJ45))</f>
        <v>16200</v>
      </c>
      <c r="AO45" s="105" cm="1">
        <f t="array" ref="AO45">_xlfn.IFS($AJ45="NO CHARGE",0,$AJ45=0,0,$AJ45&gt;0,PRODUCT(L45,$AJ45))</f>
        <v>16200</v>
      </c>
      <c r="AP45" s="105" cm="1">
        <f t="array" ref="AP45">_xlfn.IFS($AJ45="NO CHARGE",0,$AJ45=0,0,$AJ45&gt;0,PRODUCT(M45,$AJ45))</f>
        <v>16200</v>
      </c>
      <c r="AQ45" s="158">
        <f t="shared" si="38"/>
        <v>81000</v>
      </c>
      <c r="AR45" s="875">
        <v>19159</v>
      </c>
      <c r="AS45" s="473"/>
      <c r="AT45" s="106"/>
      <c r="AU45" s="107"/>
      <c r="AV45" s="108">
        <f t="shared" si="17"/>
        <v>0</v>
      </c>
      <c r="AW45" s="108">
        <f t="shared" si="18"/>
        <v>0</v>
      </c>
      <c r="AX45" s="108">
        <f t="shared" si="19"/>
        <v>0</v>
      </c>
      <c r="AY45" s="108">
        <f t="shared" si="20"/>
        <v>0</v>
      </c>
      <c r="AZ45" s="108">
        <f t="shared" si="21"/>
        <v>0</v>
      </c>
      <c r="BA45" s="165">
        <f t="shared" si="22"/>
        <v>0</v>
      </c>
      <c r="BB45" s="531"/>
    </row>
    <row r="46" spans="1:54" s="495" customFormat="1" outlineLevel="1" x14ac:dyDescent="0.25">
      <c r="A46" s="700"/>
      <c r="B46" s="623" t="s">
        <v>92</v>
      </c>
      <c r="C46" s="310" t="s">
        <v>99</v>
      </c>
      <c r="D46" s="604"/>
      <c r="E46" s="604"/>
      <c r="F46" s="604"/>
      <c r="G46" s="604"/>
      <c r="H46" s="618">
        <v>1</v>
      </c>
      <c r="I46" s="127">
        <f t="shared" si="33"/>
        <v>12</v>
      </c>
      <c r="J46" s="127">
        <f t="shared" si="34"/>
        <v>12</v>
      </c>
      <c r="K46" s="127">
        <f t="shared" si="34"/>
        <v>12</v>
      </c>
      <c r="L46" s="127">
        <f t="shared" si="34"/>
        <v>12</v>
      </c>
      <c r="M46" s="127">
        <f t="shared" si="34"/>
        <v>12</v>
      </c>
      <c r="N46" s="245" t="str">
        <f>IF(C46="","",C46)</f>
        <v>Horizon 360 BI Web Administrator</v>
      </c>
      <c r="O46" s="586"/>
      <c r="P46" s="757">
        <f t="shared" si="1"/>
        <v>0</v>
      </c>
      <c r="Q46" s="129">
        <f t="shared" si="24"/>
        <v>0</v>
      </c>
      <c r="R46" s="129">
        <f t="shared" si="25"/>
        <v>0</v>
      </c>
      <c r="S46" s="129">
        <f t="shared" si="26"/>
        <v>0</v>
      </c>
      <c r="T46" s="129">
        <f t="shared" si="27"/>
        <v>0</v>
      </c>
      <c r="U46" s="129">
        <f t="shared" si="28"/>
        <v>0</v>
      </c>
      <c r="V46" s="209">
        <f t="shared" si="7"/>
        <v>0</v>
      </c>
      <c r="W46" s="621"/>
      <c r="X46" s="222" t="str">
        <f t="shared" si="35"/>
        <v>Horizon 360 BI Web Administrator</v>
      </c>
      <c r="Y46" s="325">
        <v>469</v>
      </c>
      <c r="Z46" s="774">
        <f t="shared" si="8"/>
        <v>469</v>
      </c>
      <c r="AA46" s="103">
        <f t="shared" si="9"/>
        <v>5628</v>
      </c>
      <c r="AB46" s="103">
        <f t="shared" si="10"/>
        <v>5628</v>
      </c>
      <c r="AC46" s="103">
        <f t="shared" si="11"/>
        <v>5628</v>
      </c>
      <c r="AD46" s="103">
        <f t="shared" si="12"/>
        <v>5628</v>
      </c>
      <c r="AE46" s="103">
        <f t="shared" si="13"/>
        <v>5628</v>
      </c>
      <c r="AF46" s="123">
        <f t="shared" si="37"/>
        <v>28140</v>
      </c>
      <c r="AG46" s="743">
        <v>11250</v>
      </c>
      <c r="AH46" s="362"/>
      <c r="AI46" s="221" t="str">
        <f t="shared" si="36"/>
        <v>Horizon 360 BI Web Administrator</v>
      </c>
      <c r="AJ46" s="270">
        <v>469</v>
      </c>
      <c r="AK46" s="896">
        <f t="shared" si="15"/>
        <v>469</v>
      </c>
      <c r="AL46" s="105" cm="1">
        <f t="array" ref="AL46">_xlfn.IFS($AJ46="NO CHARGE",0,$AJ46=0,0,$AJ46&gt;0,PRODUCT(I46,$AJ46))</f>
        <v>5628</v>
      </c>
      <c r="AM46" s="105" cm="1">
        <f t="array" ref="AM46">_xlfn.IFS($AJ46="NO CHARGE",0,$AJ46=0,0,$AJ46&gt;0,PRODUCT(J46,$AJ46))</f>
        <v>5628</v>
      </c>
      <c r="AN46" s="105" cm="1">
        <f t="array" ref="AN46">_xlfn.IFS($AJ46="NO CHARGE",0,$AJ46=0,0,$AJ46&gt;0,PRODUCT(K46,$AJ46))</f>
        <v>5628</v>
      </c>
      <c r="AO46" s="105" cm="1">
        <f t="array" ref="AO46">_xlfn.IFS($AJ46="NO CHARGE",0,$AJ46=0,0,$AJ46&gt;0,PRODUCT(L46,$AJ46))</f>
        <v>5628</v>
      </c>
      <c r="AP46" s="105" cm="1">
        <f t="array" ref="AP46">_xlfn.IFS($AJ46="NO CHARGE",0,$AJ46=0,0,$AJ46&gt;0,PRODUCT(M46,$AJ46))</f>
        <v>5628</v>
      </c>
      <c r="AQ46" s="158">
        <f t="shared" si="38"/>
        <v>28140</v>
      </c>
      <c r="AR46" s="875">
        <v>11250</v>
      </c>
      <c r="AS46" s="473"/>
      <c r="AT46" s="106"/>
      <c r="AU46" s="107"/>
      <c r="AV46" s="108">
        <f t="shared" si="17"/>
        <v>0</v>
      </c>
      <c r="AW46" s="108">
        <f t="shared" si="18"/>
        <v>0</v>
      </c>
      <c r="AX46" s="108">
        <f t="shared" si="19"/>
        <v>0</v>
      </c>
      <c r="AY46" s="108">
        <f t="shared" si="20"/>
        <v>0</v>
      </c>
      <c r="AZ46" s="108">
        <f t="shared" si="21"/>
        <v>0</v>
      </c>
      <c r="BA46" s="165">
        <f t="shared" si="22"/>
        <v>0</v>
      </c>
      <c r="BB46" s="531"/>
    </row>
    <row r="47" spans="1:54" s="495" customFormat="1" outlineLevel="1" x14ac:dyDescent="0.25">
      <c r="A47" s="445"/>
      <c r="B47" s="623"/>
      <c r="C47" s="310"/>
      <c r="D47" s="604"/>
      <c r="E47" s="604"/>
      <c r="F47" s="604"/>
      <c r="G47" s="604"/>
      <c r="H47" s="618">
        <f>IFERROR(AVERAGE(D47:G47),0)</f>
        <v>0</v>
      </c>
      <c r="I47" s="127">
        <f t="shared" si="33"/>
        <v>0</v>
      </c>
      <c r="J47" s="127">
        <f t="shared" si="34"/>
        <v>0</v>
      </c>
      <c r="K47" s="127">
        <f t="shared" si="34"/>
        <v>0</v>
      </c>
      <c r="L47" s="127">
        <f t="shared" si="34"/>
        <v>0</v>
      </c>
      <c r="M47" s="127">
        <f t="shared" si="34"/>
        <v>0</v>
      </c>
      <c r="N47" s="245" t="str">
        <f>IF(C47="","",C47)</f>
        <v/>
      </c>
      <c r="O47" s="586"/>
      <c r="P47" s="757">
        <f t="shared" si="1"/>
        <v>0</v>
      </c>
      <c r="Q47" s="129">
        <f t="shared" si="24"/>
        <v>0</v>
      </c>
      <c r="R47" s="129">
        <f t="shared" si="25"/>
        <v>0</v>
      </c>
      <c r="S47" s="129">
        <f t="shared" si="26"/>
        <v>0</v>
      </c>
      <c r="T47" s="129">
        <f t="shared" si="27"/>
        <v>0</v>
      </c>
      <c r="U47" s="129">
        <f t="shared" si="28"/>
        <v>0</v>
      </c>
      <c r="V47" s="209">
        <f t="shared" si="7"/>
        <v>0</v>
      </c>
      <c r="W47" s="621"/>
      <c r="X47" s="222"/>
      <c r="Y47" s="325"/>
      <c r="Z47" s="774">
        <f t="shared" si="8"/>
        <v>0</v>
      </c>
      <c r="AA47" s="103">
        <f t="shared" si="9"/>
        <v>0</v>
      </c>
      <c r="AB47" s="103">
        <f t="shared" si="10"/>
        <v>0</v>
      </c>
      <c r="AC47" s="103">
        <f t="shared" si="11"/>
        <v>0</v>
      </c>
      <c r="AD47" s="103">
        <f t="shared" si="12"/>
        <v>0</v>
      </c>
      <c r="AE47" s="103">
        <f t="shared" si="13"/>
        <v>0</v>
      </c>
      <c r="AF47" s="123">
        <f t="shared" si="37"/>
        <v>0</v>
      </c>
      <c r="AG47" s="743"/>
      <c r="AH47" s="362"/>
      <c r="AI47" s="221"/>
      <c r="AJ47" s="270"/>
      <c r="AK47" s="896">
        <f t="shared" si="15"/>
        <v>0</v>
      </c>
      <c r="AL47" s="105" cm="1">
        <f t="array" ref="AL47">_xlfn.IFS($AJ47="NO CHARGE",0,$AJ47=0,0,$AJ47&gt;0,PRODUCT(I47,$AJ47))</f>
        <v>0</v>
      </c>
      <c r="AM47" s="105" cm="1">
        <f t="array" ref="AM47">_xlfn.IFS($AJ47="NO CHARGE",0,$AJ47=0,0,$AJ47&gt;0,PRODUCT(J47,$AJ47))</f>
        <v>0</v>
      </c>
      <c r="AN47" s="105" cm="1">
        <f t="array" ref="AN47">_xlfn.IFS($AJ47="NO CHARGE",0,$AJ47=0,0,$AJ47&gt;0,PRODUCT(K47,$AJ47))</f>
        <v>0</v>
      </c>
      <c r="AO47" s="105" cm="1">
        <f t="array" ref="AO47">_xlfn.IFS($AJ47="NO CHARGE",0,$AJ47=0,0,$AJ47&gt;0,PRODUCT(L47,$AJ47))</f>
        <v>0</v>
      </c>
      <c r="AP47" s="105" cm="1">
        <f t="array" ref="AP47">_xlfn.IFS($AJ47="NO CHARGE",0,$AJ47=0,0,$AJ47&gt;0,PRODUCT(M47,$AJ47))</f>
        <v>0</v>
      </c>
      <c r="AQ47" s="158">
        <f t="shared" si="38"/>
        <v>0</v>
      </c>
      <c r="AR47" s="875"/>
      <c r="AS47" s="473"/>
      <c r="AT47" s="106"/>
      <c r="AU47" s="107"/>
      <c r="AV47" s="108">
        <f t="shared" si="17"/>
        <v>0</v>
      </c>
      <c r="AW47" s="108">
        <f t="shared" si="18"/>
        <v>0</v>
      </c>
      <c r="AX47" s="108">
        <f t="shared" si="19"/>
        <v>0</v>
      </c>
      <c r="AY47" s="108">
        <f t="shared" si="20"/>
        <v>0</v>
      </c>
      <c r="AZ47" s="108">
        <f t="shared" si="21"/>
        <v>0</v>
      </c>
      <c r="BA47" s="165">
        <f t="shared" si="22"/>
        <v>0</v>
      </c>
      <c r="BB47" s="531"/>
    </row>
    <row r="48" spans="1:54" s="495" customFormat="1" outlineLevel="1" x14ac:dyDescent="0.25">
      <c r="A48" s="445"/>
      <c r="B48" s="623"/>
      <c r="C48" s="310"/>
      <c r="D48" s="604"/>
      <c r="E48" s="604"/>
      <c r="F48" s="604"/>
      <c r="G48" s="604"/>
      <c r="H48" s="618">
        <f>IFERROR(AVERAGE(D48:G48),0)</f>
        <v>0</v>
      </c>
      <c r="I48" s="127">
        <f t="shared" si="33"/>
        <v>0</v>
      </c>
      <c r="J48" s="127">
        <f t="shared" si="34"/>
        <v>0</v>
      </c>
      <c r="K48" s="127">
        <f t="shared" si="34"/>
        <v>0</v>
      </c>
      <c r="L48" s="127">
        <f t="shared" si="34"/>
        <v>0</v>
      </c>
      <c r="M48" s="127">
        <f t="shared" si="34"/>
        <v>0</v>
      </c>
      <c r="N48" s="245" t="str">
        <f>IF(C48="","",C48)</f>
        <v/>
      </c>
      <c r="O48" s="586"/>
      <c r="P48" s="757">
        <f t="shared" si="1"/>
        <v>0</v>
      </c>
      <c r="Q48" s="129">
        <f t="shared" si="24"/>
        <v>0</v>
      </c>
      <c r="R48" s="129">
        <f t="shared" si="25"/>
        <v>0</v>
      </c>
      <c r="S48" s="129">
        <f t="shared" si="26"/>
        <v>0</v>
      </c>
      <c r="T48" s="129">
        <f t="shared" si="27"/>
        <v>0</v>
      </c>
      <c r="U48" s="129">
        <f t="shared" si="28"/>
        <v>0</v>
      </c>
      <c r="V48" s="209">
        <f t="shared" si="7"/>
        <v>0</v>
      </c>
      <c r="W48" s="621"/>
      <c r="X48" s="222"/>
      <c r="Y48" s="325"/>
      <c r="Z48" s="774">
        <f t="shared" si="8"/>
        <v>0</v>
      </c>
      <c r="AA48" s="103">
        <f t="shared" si="9"/>
        <v>0</v>
      </c>
      <c r="AB48" s="103">
        <f t="shared" si="10"/>
        <v>0</v>
      </c>
      <c r="AC48" s="103">
        <f t="shared" si="11"/>
        <v>0</v>
      </c>
      <c r="AD48" s="103">
        <f t="shared" si="12"/>
        <v>0</v>
      </c>
      <c r="AE48" s="103">
        <f t="shared" si="13"/>
        <v>0</v>
      </c>
      <c r="AF48" s="123">
        <f t="shared" si="37"/>
        <v>0</v>
      </c>
      <c r="AG48" s="743"/>
      <c r="AH48" s="362"/>
      <c r="AI48" s="221"/>
      <c r="AJ48" s="270"/>
      <c r="AK48" s="896">
        <f t="shared" si="15"/>
        <v>0</v>
      </c>
      <c r="AL48" s="105" cm="1">
        <f t="array" ref="AL48">_xlfn.IFS($AJ48="NO CHARGE",0,$AJ48=0,0,$AJ48&gt;0,PRODUCT(I48,$AJ48))</f>
        <v>0</v>
      </c>
      <c r="AM48" s="105" cm="1">
        <f t="array" ref="AM48">_xlfn.IFS($AJ48="NO CHARGE",0,$AJ48=0,0,$AJ48&gt;0,PRODUCT(J48,$AJ48))</f>
        <v>0</v>
      </c>
      <c r="AN48" s="105" cm="1">
        <f t="array" ref="AN48">_xlfn.IFS($AJ48="NO CHARGE",0,$AJ48=0,0,$AJ48&gt;0,PRODUCT(K48,$AJ48))</f>
        <v>0</v>
      </c>
      <c r="AO48" s="105" cm="1">
        <f t="array" ref="AO48">_xlfn.IFS($AJ48="NO CHARGE",0,$AJ48=0,0,$AJ48&gt;0,PRODUCT(L48,$AJ48))</f>
        <v>0</v>
      </c>
      <c r="AP48" s="105" cm="1">
        <f t="array" ref="AP48">_xlfn.IFS($AJ48="NO CHARGE",0,$AJ48=0,0,$AJ48&gt;0,PRODUCT(M48,$AJ48))</f>
        <v>0</v>
      </c>
      <c r="AQ48" s="158">
        <f t="shared" si="38"/>
        <v>0</v>
      </c>
      <c r="AR48" s="875"/>
      <c r="AS48" s="473"/>
      <c r="AT48" s="106"/>
      <c r="AU48" s="107"/>
      <c r="AV48" s="108">
        <f t="shared" si="17"/>
        <v>0</v>
      </c>
      <c r="AW48" s="108">
        <f t="shared" si="18"/>
        <v>0</v>
      </c>
      <c r="AX48" s="108">
        <f t="shared" si="19"/>
        <v>0</v>
      </c>
      <c r="AY48" s="108">
        <f t="shared" si="20"/>
        <v>0</v>
      </c>
      <c r="AZ48" s="108">
        <f t="shared" si="21"/>
        <v>0</v>
      </c>
      <c r="BA48" s="165">
        <f t="shared" si="22"/>
        <v>0</v>
      </c>
      <c r="BB48" s="531"/>
    </row>
    <row r="49" spans="1:55" s="495" customFormat="1" outlineLevel="1" x14ac:dyDescent="0.25">
      <c r="A49" s="445"/>
      <c r="B49" s="252" t="str">
        <f>C49</f>
        <v>Third Party Interfaces:</v>
      </c>
      <c r="C49" s="242" t="s">
        <v>100</v>
      </c>
      <c r="D49" s="608"/>
      <c r="E49" s="608"/>
      <c r="F49" s="608"/>
      <c r="G49" s="608"/>
      <c r="H49" s="243"/>
      <c r="I49" s="243"/>
      <c r="J49" s="243"/>
      <c r="K49" s="243"/>
      <c r="L49" s="243"/>
      <c r="M49" s="244"/>
      <c r="N49" s="252" t="str">
        <f>C49</f>
        <v>Third Party Interfaces:</v>
      </c>
      <c r="O49" s="243"/>
      <c r="P49" s="756"/>
      <c r="Q49" s="243"/>
      <c r="R49" s="243"/>
      <c r="S49" s="243"/>
      <c r="T49" s="243"/>
      <c r="U49" s="244"/>
      <c r="V49" s="209"/>
      <c r="W49" s="527"/>
      <c r="X49" s="252" t="str">
        <f>C49</f>
        <v>Third Party Interfaces:</v>
      </c>
      <c r="Y49" s="707"/>
      <c r="Z49" s="756"/>
      <c r="AA49" s="243"/>
      <c r="AB49" s="243"/>
      <c r="AC49" s="243"/>
      <c r="AD49" s="243"/>
      <c r="AE49" s="244"/>
      <c r="AF49" s="123"/>
      <c r="AG49" s="742"/>
      <c r="AH49" s="244"/>
      <c r="AI49" s="252" t="str">
        <f>C49</f>
        <v>Third Party Interfaces:</v>
      </c>
      <c r="AJ49" s="707"/>
      <c r="AK49" s="895"/>
      <c r="AL49" s="243"/>
      <c r="AM49" s="243"/>
      <c r="AN49" s="243"/>
      <c r="AO49" s="243"/>
      <c r="AP49" s="244"/>
      <c r="AQ49" s="158">
        <f t="shared" si="38"/>
        <v>0</v>
      </c>
      <c r="AR49" s="874"/>
      <c r="AS49" s="874"/>
      <c r="AT49" s="252" t="str">
        <f>C49</f>
        <v>Third Party Interfaces:</v>
      </c>
      <c r="AU49" s="243"/>
      <c r="AV49" s="243"/>
      <c r="AW49" s="243"/>
      <c r="AX49" s="243"/>
      <c r="AY49" s="243"/>
      <c r="AZ49" s="244"/>
      <c r="BA49" s="165"/>
      <c r="BB49" s="532"/>
    </row>
    <row r="50" spans="1:55" s="495" customFormat="1" outlineLevel="1" x14ac:dyDescent="0.25">
      <c r="A50" s="445"/>
      <c r="B50" s="623"/>
      <c r="C50" s="310" t="s">
        <v>101</v>
      </c>
      <c r="D50" s="604">
        <v>1</v>
      </c>
      <c r="E50" s="604">
        <v>1</v>
      </c>
      <c r="F50" s="604">
        <v>1</v>
      </c>
      <c r="G50" s="604">
        <v>1</v>
      </c>
      <c r="H50" s="618">
        <f>IFERROR(AVERAGE(D50:G50),0)</f>
        <v>1</v>
      </c>
      <c r="I50" s="127">
        <f t="shared" ref="I50:I55" si="39">H50*12</f>
        <v>12</v>
      </c>
      <c r="J50" s="127">
        <f t="shared" ref="J50:M55" si="40">IF(I50&gt;12,(((I50)*$H$5)+I50),(I50*1))</f>
        <v>12</v>
      </c>
      <c r="K50" s="127">
        <f t="shared" si="40"/>
        <v>12</v>
      </c>
      <c r="L50" s="127">
        <f t="shared" si="40"/>
        <v>12</v>
      </c>
      <c r="M50" s="127">
        <f t="shared" si="40"/>
        <v>12</v>
      </c>
      <c r="N50" s="245" t="str">
        <f>IF(C50="","",C50)</f>
        <v>Equifax Cash Management</v>
      </c>
      <c r="O50" s="586">
        <v>45.833333000000003</v>
      </c>
      <c r="P50" s="757">
        <f t="shared" ref="P50:P55" si="41">Q50/12</f>
        <v>45.833333000000003</v>
      </c>
      <c r="Q50" s="129">
        <f t="shared" ref="Q50:Q55" si="42">IF(O50&gt;0,PRODUCT(I50,$O50),0)</f>
        <v>549.99999600000001</v>
      </c>
      <c r="R50" s="129">
        <f t="shared" ref="R50:U55" si="43">IF(Q50&gt;0,PRODUCT(J50,$O50),0)</f>
        <v>549.99999600000001</v>
      </c>
      <c r="S50" s="129">
        <f t="shared" si="43"/>
        <v>549.99999600000001</v>
      </c>
      <c r="T50" s="129">
        <f t="shared" si="43"/>
        <v>549.99999600000001</v>
      </c>
      <c r="U50" s="129">
        <f t="shared" si="43"/>
        <v>549.99999600000001</v>
      </c>
      <c r="V50" s="209">
        <f t="shared" ref="V50:V55" si="44">SUM(Q50:U50)</f>
        <v>2749.9999800000001</v>
      </c>
      <c r="W50" s="621"/>
      <c r="X50" s="222"/>
      <c r="Y50" s="325"/>
      <c r="Z50" s="774">
        <f t="shared" ref="Z50:Z55" si="45">AA50/12</f>
        <v>0</v>
      </c>
      <c r="AA50" s="103">
        <f t="shared" ref="AA50:AA55" si="46">IF(Y50&gt;0,PRODUCT(I50,$Y50),0)</f>
        <v>0</v>
      </c>
      <c r="AB50" s="103">
        <f t="shared" ref="AB50:AE55" si="47">IF(AA50&gt;0,PRODUCT(J50,$Y50),0)</f>
        <v>0</v>
      </c>
      <c r="AC50" s="103">
        <f t="shared" si="47"/>
        <v>0</v>
      </c>
      <c r="AD50" s="103">
        <f t="shared" si="47"/>
        <v>0</v>
      </c>
      <c r="AE50" s="103">
        <f t="shared" si="47"/>
        <v>0</v>
      </c>
      <c r="AF50" s="123">
        <f t="shared" ref="AF50:AF55" si="48">SUM(AA50:AE50)</f>
        <v>0</v>
      </c>
      <c r="AG50" s="743"/>
      <c r="AH50" s="362"/>
      <c r="AI50" s="221"/>
      <c r="AJ50" s="270"/>
      <c r="AK50" s="896">
        <f t="shared" ref="AK50:AK55" si="49">AL50/12</f>
        <v>0</v>
      </c>
      <c r="AL50" s="105" cm="1">
        <f t="array" ref="AL50">_xlfn.IFS($AJ50="NO CHARGE",0,$AJ50=0,0,$AJ50&gt;0,PRODUCT(I50,$AJ50))</f>
        <v>0</v>
      </c>
      <c r="AM50" s="105" cm="1">
        <f t="array" ref="AM50">_xlfn.IFS($AJ50="NO CHARGE",0,$AJ50=0,0,$AJ50&gt;0,PRODUCT(J50,$AJ50))</f>
        <v>0</v>
      </c>
      <c r="AN50" s="105" cm="1">
        <f t="array" ref="AN50">_xlfn.IFS($AJ50="NO CHARGE",0,$AJ50=0,0,$AJ50&gt;0,PRODUCT(K50,$AJ50))</f>
        <v>0</v>
      </c>
      <c r="AO50" s="105" cm="1">
        <f t="array" ref="AO50">_xlfn.IFS($AJ50="NO CHARGE",0,$AJ50=0,0,$AJ50&gt;0,PRODUCT(L50,$AJ50))</f>
        <v>0</v>
      </c>
      <c r="AP50" s="105" cm="1">
        <f t="array" ref="AP50">_xlfn.IFS($AJ50="NO CHARGE",0,$AJ50=0,0,$AJ50&gt;0,PRODUCT(M50,$AJ50))</f>
        <v>0</v>
      </c>
      <c r="AQ50" s="158">
        <f t="shared" si="38"/>
        <v>0</v>
      </c>
      <c r="AR50" s="875"/>
      <c r="AS50" s="473"/>
      <c r="AT50" s="106"/>
      <c r="AU50" s="107"/>
      <c r="AV50" s="108">
        <f t="shared" ref="AV50:AZ55" si="50">IF(AU50&gt;0,PRODUCT(I50,$AU50),0)</f>
        <v>0</v>
      </c>
      <c r="AW50" s="108">
        <f t="shared" si="50"/>
        <v>0</v>
      </c>
      <c r="AX50" s="108">
        <f t="shared" si="50"/>
        <v>0</v>
      </c>
      <c r="AY50" s="108">
        <f t="shared" si="50"/>
        <v>0</v>
      </c>
      <c r="AZ50" s="108">
        <f t="shared" si="50"/>
        <v>0</v>
      </c>
      <c r="BA50" s="165">
        <f t="shared" ref="BA50:BA55" si="51">SUM(AV50:AZ50)</f>
        <v>0</v>
      </c>
      <c r="BB50" s="531"/>
    </row>
    <row r="51" spans="1:55" s="495" customFormat="1" outlineLevel="1" x14ac:dyDescent="0.25">
      <c r="A51" s="445"/>
      <c r="B51" s="623"/>
      <c r="C51" s="310" t="s">
        <v>102</v>
      </c>
      <c r="D51" s="604">
        <v>1</v>
      </c>
      <c r="E51" s="604">
        <v>1</v>
      </c>
      <c r="F51" s="604">
        <v>1</v>
      </c>
      <c r="G51" s="604">
        <v>1</v>
      </c>
      <c r="H51" s="618">
        <f>IFERROR(AVERAGE(D51:G51),0)</f>
        <v>1</v>
      </c>
      <c r="I51" s="127">
        <f t="shared" si="39"/>
        <v>12</v>
      </c>
      <c r="J51" s="127">
        <f t="shared" si="40"/>
        <v>12</v>
      </c>
      <c r="K51" s="127">
        <f t="shared" si="40"/>
        <v>12</v>
      </c>
      <c r="L51" s="127">
        <f t="shared" si="40"/>
        <v>12</v>
      </c>
      <c r="M51" s="127">
        <f t="shared" si="40"/>
        <v>12</v>
      </c>
      <c r="N51" s="245" t="str">
        <f>IF(C51="","",C51)</f>
        <v>Cornerstone for DR Host</v>
      </c>
      <c r="O51" s="586">
        <v>838.43166699999995</v>
      </c>
      <c r="P51" s="757">
        <f t="shared" si="41"/>
        <v>838.43166699999995</v>
      </c>
      <c r="Q51" s="129">
        <f t="shared" si="42"/>
        <v>10061.180004</v>
      </c>
      <c r="R51" s="129">
        <f t="shared" si="43"/>
        <v>10061.180004</v>
      </c>
      <c r="S51" s="129">
        <f t="shared" si="43"/>
        <v>10061.180004</v>
      </c>
      <c r="T51" s="129">
        <f t="shared" si="43"/>
        <v>10061.180004</v>
      </c>
      <c r="U51" s="129">
        <f t="shared" si="43"/>
        <v>10061.180004</v>
      </c>
      <c r="V51" s="209">
        <f t="shared" si="44"/>
        <v>50305.900020000001</v>
      </c>
      <c r="W51" s="621"/>
      <c r="X51" s="222"/>
      <c r="Y51" s="325"/>
      <c r="Z51" s="774">
        <f t="shared" si="45"/>
        <v>0</v>
      </c>
      <c r="AA51" s="103">
        <f t="shared" si="46"/>
        <v>0</v>
      </c>
      <c r="AB51" s="103">
        <f t="shared" si="47"/>
        <v>0</v>
      </c>
      <c r="AC51" s="103">
        <f t="shared" si="47"/>
        <v>0</v>
      </c>
      <c r="AD51" s="103">
        <f t="shared" si="47"/>
        <v>0</v>
      </c>
      <c r="AE51" s="103">
        <f t="shared" si="47"/>
        <v>0</v>
      </c>
      <c r="AF51" s="123">
        <f t="shared" si="48"/>
        <v>0</v>
      </c>
      <c r="AG51" s="743"/>
      <c r="AH51" s="362"/>
      <c r="AI51" s="221"/>
      <c r="AJ51" s="270"/>
      <c r="AK51" s="896">
        <f t="shared" si="49"/>
        <v>0</v>
      </c>
      <c r="AL51" s="105" cm="1">
        <f t="array" ref="AL51">_xlfn.IFS($AJ51="NO CHARGE",0,$AJ51=0,0,$AJ51&gt;0,PRODUCT(I51,$AJ51))</f>
        <v>0</v>
      </c>
      <c r="AM51" s="105" cm="1">
        <f t="array" ref="AM51">_xlfn.IFS($AJ51="NO CHARGE",0,$AJ51=0,0,$AJ51&gt;0,PRODUCT(J51,$AJ51))</f>
        <v>0</v>
      </c>
      <c r="AN51" s="105" cm="1">
        <f t="array" ref="AN51">_xlfn.IFS($AJ51="NO CHARGE",0,$AJ51=0,0,$AJ51&gt;0,PRODUCT(K51,$AJ51))</f>
        <v>0</v>
      </c>
      <c r="AO51" s="105" cm="1">
        <f t="array" ref="AO51">_xlfn.IFS($AJ51="NO CHARGE",0,$AJ51=0,0,$AJ51&gt;0,PRODUCT(L51,$AJ51))</f>
        <v>0</v>
      </c>
      <c r="AP51" s="105" cm="1">
        <f t="array" ref="AP51">_xlfn.IFS($AJ51="NO CHARGE",0,$AJ51=0,0,$AJ51&gt;0,PRODUCT(M51,$AJ51))</f>
        <v>0</v>
      </c>
      <c r="AQ51" s="158">
        <f t="shared" si="38"/>
        <v>0</v>
      </c>
      <c r="AR51" s="875"/>
      <c r="AS51" s="473"/>
      <c r="AT51" s="106"/>
      <c r="AU51" s="107"/>
      <c r="AV51" s="108">
        <f t="shared" si="50"/>
        <v>0</v>
      </c>
      <c r="AW51" s="108">
        <f t="shared" si="50"/>
        <v>0</v>
      </c>
      <c r="AX51" s="108">
        <f t="shared" si="50"/>
        <v>0</v>
      </c>
      <c r="AY51" s="108">
        <f t="shared" si="50"/>
        <v>0</v>
      </c>
      <c r="AZ51" s="108">
        <f t="shared" si="50"/>
        <v>0</v>
      </c>
      <c r="BA51" s="165">
        <f t="shared" si="51"/>
        <v>0</v>
      </c>
      <c r="BB51" s="531"/>
    </row>
    <row r="52" spans="1:55" s="495" customFormat="1" outlineLevel="1" x14ac:dyDescent="0.25">
      <c r="A52" s="700"/>
      <c r="B52" s="623"/>
      <c r="C52" s="310" t="s">
        <v>103</v>
      </c>
      <c r="D52" s="604"/>
      <c r="E52" s="604"/>
      <c r="F52" s="604"/>
      <c r="G52" s="604"/>
      <c r="H52" s="618">
        <v>1</v>
      </c>
      <c r="I52" s="127">
        <f t="shared" si="39"/>
        <v>12</v>
      </c>
      <c r="J52" s="127">
        <f t="shared" si="40"/>
        <v>12</v>
      </c>
      <c r="K52" s="127">
        <f t="shared" si="40"/>
        <v>12</v>
      </c>
      <c r="L52" s="127">
        <f t="shared" si="40"/>
        <v>12</v>
      </c>
      <c r="M52" s="127">
        <f t="shared" si="40"/>
        <v>12</v>
      </c>
      <c r="N52" s="245"/>
      <c r="O52" s="586"/>
      <c r="P52" s="757">
        <f t="shared" si="41"/>
        <v>0</v>
      </c>
      <c r="Q52" s="129">
        <f t="shared" si="42"/>
        <v>0</v>
      </c>
      <c r="R52" s="129">
        <f t="shared" si="43"/>
        <v>0</v>
      </c>
      <c r="S52" s="129">
        <f t="shared" si="43"/>
        <v>0</v>
      </c>
      <c r="T52" s="129">
        <f t="shared" si="43"/>
        <v>0</v>
      </c>
      <c r="U52" s="129">
        <f t="shared" si="43"/>
        <v>0</v>
      </c>
      <c r="V52" s="209">
        <f t="shared" si="44"/>
        <v>0</v>
      </c>
      <c r="W52" s="621"/>
      <c r="X52" s="222" t="str">
        <f>C52</f>
        <v>CASS Certification - WorksRight</v>
      </c>
      <c r="Y52" s="325">
        <v>416.46</v>
      </c>
      <c r="Z52" s="774">
        <f t="shared" si="45"/>
        <v>416.46</v>
      </c>
      <c r="AA52" s="103">
        <f t="shared" si="46"/>
        <v>4997.5199999999995</v>
      </c>
      <c r="AB52" s="103">
        <f t="shared" si="47"/>
        <v>4997.5199999999995</v>
      </c>
      <c r="AC52" s="103">
        <f t="shared" si="47"/>
        <v>4997.5199999999995</v>
      </c>
      <c r="AD52" s="103">
        <f t="shared" si="47"/>
        <v>4997.5199999999995</v>
      </c>
      <c r="AE52" s="103">
        <f t="shared" si="47"/>
        <v>4997.5199999999995</v>
      </c>
      <c r="AF52" s="123">
        <f t="shared" si="48"/>
        <v>24987.599999999999</v>
      </c>
      <c r="AG52" s="743">
        <v>2500</v>
      </c>
      <c r="AH52" s="362"/>
      <c r="AI52" s="221"/>
      <c r="AJ52" s="270"/>
      <c r="AK52" s="896">
        <f t="shared" si="49"/>
        <v>0</v>
      </c>
      <c r="AL52" s="105" cm="1">
        <f t="array" ref="AL52">_xlfn.IFS($AJ52="NO CHARGE",0,$AJ52=0,0,$AJ52&gt;0,PRODUCT(I52,$AJ52))</f>
        <v>0</v>
      </c>
      <c r="AM52" s="105" cm="1">
        <f t="array" ref="AM52">_xlfn.IFS($AJ52="NO CHARGE",0,$AJ52=0,0,$AJ52&gt;0,PRODUCT(J52,$AJ52))</f>
        <v>0</v>
      </c>
      <c r="AN52" s="105" cm="1">
        <f t="array" ref="AN52">_xlfn.IFS($AJ52="NO CHARGE",0,$AJ52=0,0,$AJ52&gt;0,PRODUCT(K52,$AJ52))</f>
        <v>0</v>
      </c>
      <c r="AO52" s="105" cm="1">
        <f t="array" ref="AO52">_xlfn.IFS($AJ52="NO CHARGE",0,$AJ52=0,0,$AJ52&gt;0,PRODUCT(L52,$AJ52))</f>
        <v>0</v>
      </c>
      <c r="AP52" s="105" cm="1">
        <f t="array" ref="AP52">_xlfn.IFS($AJ52="NO CHARGE",0,$AJ52=0,0,$AJ52&gt;0,PRODUCT(M52,$AJ52))</f>
        <v>0</v>
      </c>
      <c r="AQ52" s="158">
        <f t="shared" si="38"/>
        <v>0</v>
      </c>
      <c r="AR52" s="875"/>
      <c r="AS52" s="473"/>
      <c r="AT52" s="106"/>
      <c r="AU52" s="107"/>
      <c r="AV52" s="108">
        <f t="shared" si="50"/>
        <v>0</v>
      </c>
      <c r="AW52" s="108">
        <f t="shared" si="50"/>
        <v>0</v>
      </c>
      <c r="AX52" s="108">
        <f t="shared" si="50"/>
        <v>0</v>
      </c>
      <c r="AY52" s="108">
        <f t="shared" si="50"/>
        <v>0</v>
      </c>
      <c r="AZ52" s="108">
        <f t="shared" si="50"/>
        <v>0</v>
      </c>
      <c r="BA52" s="165">
        <f t="shared" si="51"/>
        <v>0</v>
      </c>
      <c r="BB52" s="531"/>
    </row>
    <row r="53" spans="1:55" s="495" customFormat="1" outlineLevel="1" x14ac:dyDescent="0.25">
      <c r="A53" s="890"/>
      <c r="B53" s="623"/>
      <c r="C53" s="310" t="s">
        <v>103</v>
      </c>
      <c r="D53" s="604"/>
      <c r="E53" s="604"/>
      <c r="F53" s="604"/>
      <c r="G53" s="604"/>
      <c r="H53" s="618">
        <v>1</v>
      </c>
      <c r="I53" s="127">
        <f t="shared" si="39"/>
        <v>12</v>
      </c>
      <c r="J53" s="127">
        <f t="shared" si="40"/>
        <v>12</v>
      </c>
      <c r="K53" s="127">
        <f t="shared" si="40"/>
        <v>12</v>
      </c>
      <c r="L53" s="127">
        <f t="shared" si="40"/>
        <v>12</v>
      </c>
      <c r="M53" s="127">
        <f t="shared" si="40"/>
        <v>12</v>
      </c>
      <c r="N53" s="245"/>
      <c r="O53" s="586"/>
      <c r="P53" s="757">
        <f t="shared" si="41"/>
        <v>0</v>
      </c>
      <c r="Q53" s="129">
        <f t="shared" si="42"/>
        <v>0</v>
      </c>
      <c r="R53" s="129">
        <f t="shared" si="43"/>
        <v>0</v>
      </c>
      <c r="S53" s="129">
        <f t="shared" si="43"/>
        <v>0</v>
      </c>
      <c r="T53" s="129">
        <f t="shared" si="43"/>
        <v>0</v>
      </c>
      <c r="U53" s="129">
        <f t="shared" si="43"/>
        <v>0</v>
      </c>
      <c r="V53" s="209">
        <f t="shared" si="44"/>
        <v>0</v>
      </c>
      <c r="W53" s="621"/>
      <c r="X53" s="222"/>
      <c r="Y53" s="325"/>
      <c r="Z53" s="774">
        <f t="shared" si="45"/>
        <v>0</v>
      </c>
      <c r="AA53" s="103">
        <f t="shared" si="46"/>
        <v>0</v>
      </c>
      <c r="AB53" s="103">
        <f t="shared" si="47"/>
        <v>0</v>
      </c>
      <c r="AC53" s="103">
        <f t="shared" si="47"/>
        <v>0</v>
      </c>
      <c r="AD53" s="103">
        <f t="shared" si="47"/>
        <v>0</v>
      </c>
      <c r="AE53" s="103">
        <f t="shared" si="47"/>
        <v>0</v>
      </c>
      <c r="AF53" s="123">
        <f t="shared" si="48"/>
        <v>0</v>
      </c>
      <c r="AG53" s="743"/>
      <c r="AH53" s="362"/>
      <c r="AI53" s="221" t="str">
        <f>C53</f>
        <v>CASS Certification - WorksRight</v>
      </c>
      <c r="AJ53" s="270">
        <v>416.46</v>
      </c>
      <c r="AK53" s="896">
        <f t="shared" si="49"/>
        <v>416.46</v>
      </c>
      <c r="AL53" s="105" cm="1">
        <f t="array" ref="AL53">_xlfn.IFS($AJ53="NO CHARGE",0,$AJ53=0,0,$AJ53&gt;0,PRODUCT(I53,$AJ53))</f>
        <v>4997.5199999999995</v>
      </c>
      <c r="AM53" s="105" cm="1">
        <f t="array" ref="AM53">_xlfn.IFS($AJ53="NO CHARGE",0,$AJ53=0,0,$AJ53&gt;0,PRODUCT(J53,$AJ53))</f>
        <v>4997.5199999999995</v>
      </c>
      <c r="AN53" s="105" cm="1">
        <f t="array" ref="AN53">_xlfn.IFS($AJ53="NO CHARGE",0,$AJ53=0,0,$AJ53&gt;0,PRODUCT(K53,$AJ53))</f>
        <v>4997.5199999999995</v>
      </c>
      <c r="AO53" s="105" cm="1">
        <f t="array" ref="AO53">_xlfn.IFS($AJ53="NO CHARGE",0,$AJ53=0,0,$AJ53&gt;0,PRODUCT(L53,$AJ53))</f>
        <v>4997.5199999999995</v>
      </c>
      <c r="AP53" s="105" cm="1">
        <f t="array" ref="AP53">_xlfn.IFS($AJ53="NO CHARGE",0,$AJ53=0,0,$AJ53&gt;0,PRODUCT(M53,$AJ53))</f>
        <v>4997.5199999999995</v>
      </c>
      <c r="AQ53" s="158">
        <f t="shared" si="38"/>
        <v>24987.599999999999</v>
      </c>
      <c r="AR53" s="875" t="s">
        <v>71</v>
      </c>
      <c r="AS53" s="473"/>
      <c r="AT53" s="106"/>
      <c r="AU53" s="107"/>
      <c r="AV53" s="108">
        <f t="shared" si="50"/>
        <v>0</v>
      </c>
      <c r="AW53" s="108">
        <f t="shared" si="50"/>
        <v>0</v>
      </c>
      <c r="AX53" s="108">
        <f t="shared" si="50"/>
        <v>0</v>
      </c>
      <c r="AY53" s="108">
        <f t="shared" si="50"/>
        <v>0</v>
      </c>
      <c r="AZ53" s="108">
        <f t="shared" si="50"/>
        <v>0</v>
      </c>
      <c r="BA53" s="165">
        <f t="shared" si="51"/>
        <v>0</v>
      </c>
      <c r="BB53" s="531"/>
    </row>
    <row r="54" spans="1:55" s="495" customFormat="1" outlineLevel="1" x14ac:dyDescent="0.25">
      <c r="A54" s="890"/>
      <c r="B54" s="623"/>
      <c r="C54" s="310" t="s">
        <v>104</v>
      </c>
      <c r="D54" s="604"/>
      <c r="E54" s="604"/>
      <c r="F54" s="604"/>
      <c r="G54" s="604"/>
      <c r="H54" s="618">
        <v>1</v>
      </c>
      <c r="I54" s="127">
        <f t="shared" si="39"/>
        <v>12</v>
      </c>
      <c r="J54" s="127">
        <f t="shared" si="40"/>
        <v>12</v>
      </c>
      <c r="K54" s="127">
        <f t="shared" si="40"/>
        <v>12</v>
      </c>
      <c r="L54" s="127">
        <f t="shared" si="40"/>
        <v>12</v>
      </c>
      <c r="M54" s="127">
        <f t="shared" si="40"/>
        <v>12</v>
      </c>
      <c r="N54" s="245"/>
      <c r="O54" s="586"/>
      <c r="P54" s="757">
        <f t="shared" si="41"/>
        <v>0</v>
      </c>
      <c r="Q54" s="129">
        <f t="shared" si="42"/>
        <v>0</v>
      </c>
      <c r="R54" s="129">
        <f t="shared" si="43"/>
        <v>0</v>
      </c>
      <c r="S54" s="129">
        <f t="shared" si="43"/>
        <v>0</v>
      </c>
      <c r="T54" s="129">
        <f t="shared" si="43"/>
        <v>0</v>
      </c>
      <c r="U54" s="129">
        <f t="shared" si="43"/>
        <v>0</v>
      </c>
      <c r="V54" s="209">
        <f t="shared" si="44"/>
        <v>0</v>
      </c>
      <c r="W54" s="621"/>
      <c r="X54" s="222"/>
      <c r="Y54" s="325"/>
      <c r="Z54" s="774">
        <f t="shared" si="45"/>
        <v>0</v>
      </c>
      <c r="AA54" s="103">
        <f t="shared" si="46"/>
        <v>0</v>
      </c>
      <c r="AB54" s="103">
        <f t="shared" si="47"/>
        <v>0</v>
      </c>
      <c r="AC54" s="103">
        <f t="shared" si="47"/>
        <v>0</v>
      </c>
      <c r="AD54" s="103">
        <f t="shared" si="47"/>
        <v>0</v>
      </c>
      <c r="AE54" s="103">
        <f t="shared" si="47"/>
        <v>0</v>
      </c>
      <c r="AF54" s="123">
        <f t="shared" si="48"/>
        <v>0</v>
      </c>
      <c r="AG54" s="743"/>
      <c r="AH54" s="362"/>
      <c r="AI54" s="221" t="str">
        <f>C54</f>
        <v>Internet Banking - Q2 eBanking</v>
      </c>
      <c r="AJ54" s="270">
        <v>1194</v>
      </c>
      <c r="AK54" s="896">
        <f t="shared" si="49"/>
        <v>1194</v>
      </c>
      <c r="AL54" s="105" cm="1">
        <f t="array" ref="AL54">_xlfn.IFS($AJ54="NO CHARGE",0,$AJ54=0,0,$AJ54&gt;0,PRODUCT(I54,$AJ54))</f>
        <v>14328</v>
      </c>
      <c r="AM54" s="105" cm="1">
        <f t="array" ref="AM54">_xlfn.IFS($AJ54="NO CHARGE",0,$AJ54=0,0,$AJ54&gt;0,PRODUCT(J54,$AJ54))</f>
        <v>14328</v>
      </c>
      <c r="AN54" s="105" cm="1">
        <f t="array" ref="AN54">_xlfn.IFS($AJ54="NO CHARGE",0,$AJ54=0,0,$AJ54&gt;0,PRODUCT(K54,$AJ54))</f>
        <v>14328</v>
      </c>
      <c r="AO54" s="105" cm="1">
        <f t="array" ref="AO54">_xlfn.IFS($AJ54="NO CHARGE",0,$AJ54=0,0,$AJ54&gt;0,PRODUCT(L54,$AJ54))</f>
        <v>14328</v>
      </c>
      <c r="AP54" s="105" cm="1">
        <f t="array" ref="AP54">_xlfn.IFS($AJ54="NO CHARGE",0,$AJ54=0,0,$AJ54&gt;0,PRODUCT(M54,$AJ54))</f>
        <v>14328</v>
      </c>
      <c r="AQ54" s="158">
        <f t="shared" si="38"/>
        <v>71640</v>
      </c>
      <c r="AR54" s="875">
        <v>22500</v>
      </c>
      <c r="AS54" s="473"/>
      <c r="AT54" s="106"/>
      <c r="AU54" s="107"/>
      <c r="AV54" s="108">
        <f t="shared" si="50"/>
        <v>0</v>
      </c>
      <c r="AW54" s="108">
        <f t="shared" si="50"/>
        <v>0</v>
      </c>
      <c r="AX54" s="108">
        <f t="shared" si="50"/>
        <v>0</v>
      </c>
      <c r="AY54" s="108">
        <f t="shared" si="50"/>
        <v>0</v>
      </c>
      <c r="AZ54" s="108">
        <f t="shared" si="50"/>
        <v>0</v>
      </c>
      <c r="BA54" s="165">
        <f t="shared" si="51"/>
        <v>0</v>
      </c>
      <c r="BB54" s="531"/>
    </row>
    <row r="55" spans="1:55" s="495" customFormat="1" outlineLevel="1" x14ac:dyDescent="0.25">
      <c r="A55" s="445"/>
      <c r="B55" s="623"/>
      <c r="C55" s="310"/>
      <c r="D55" s="604"/>
      <c r="E55" s="604"/>
      <c r="F55" s="604"/>
      <c r="G55" s="604"/>
      <c r="H55" s="618">
        <f>IFERROR(AVERAGE(D55:G55),0)</f>
        <v>0</v>
      </c>
      <c r="I55" s="127">
        <f t="shared" si="39"/>
        <v>0</v>
      </c>
      <c r="J55" s="127">
        <f t="shared" si="40"/>
        <v>0</v>
      </c>
      <c r="K55" s="127">
        <f t="shared" si="40"/>
        <v>0</v>
      </c>
      <c r="L55" s="127">
        <f t="shared" si="40"/>
        <v>0</v>
      </c>
      <c r="M55" s="127">
        <f t="shared" si="40"/>
        <v>0</v>
      </c>
      <c r="N55" s="245"/>
      <c r="O55" s="586"/>
      <c r="P55" s="757">
        <f t="shared" si="41"/>
        <v>0</v>
      </c>
      <c r="Q55" s="129">
        <f t="shared" si="42"/>
        <v>0</v>
      </c>
      <c r="R55" s="129">
        <f t="shared" si="43"/>
        <v>0</v>
      </c>
      <c r="S55" s="129">
        <f t="shared" si="43"/>
        <v>0</v>
      </c>
      <c r="T55" s="129">
        <f t="shared" si="43"/>
        <v>0</v>
      </c>
      <c r="U55" s="129">
        <f t="shared" si="43"/>
        <v>0</v>
      </c>
      <c r="V55" s="209">
        <f t="shared" si="44"/>
        <v>0</v>
      </c>
      <c r="W55" s="621"/>
      <c r="X55" s="222"/>
      <c r="Y55" s="325"/>
      <c r="Z55" s="774">
        <f t="shared" si="45"/>
        <v>0</v>
      </c>
      <c r="AA55" s="103">
        <f t="shared" si="46"/>
        <v>0</v>
      </c>
      <c r="AB55" s="103">
        <f t="shared" si="47"/>
        <v>0</v>
      </c>
      <c r="AC55" s="103">
        <f t="shared" si="47"/>
        <v>0</v>
      </c>
      <c r="AD55" s="103">
        <f t="shared" si="47"/>
        <v>0</v>
      </c>
      <c r="AE55" s="103">
        <f t="shared" si="47"/>
        <v>0</v>
      </c>
      <c r="AF55" s="123">
        <f t="shared" si="48"/>
        <v>0</v>
      </c>
      <c r="AG55" s="743"/>
      <c r="AH55" s="362"/>
      <c r="AI55" s="221"/>
      <c r="AJ55" s="270"/>
      <c r="AK55" s="896">
        <f t="shared" si="49"/>
        <v>0</v>
      </c>
      <c r="AL55" s="105" cm="1">
        <f t="array" ref="AL55">_xlfn.IFS($AJ55="NO CHARGE",0,$AJ55=0,0,$AJ55&gt;0,PRODUCT(I55,$AJ55))</f>
        <v>0</v>
      </c>
      <c r="AM55" s="105" cm="1">
        <f t="array" ref="AM55">_xlfn.IFS($AJ55="NO CHARGE",0,$AJ55=0,0,$AJ55&gt;0,PRODUCT(J55,$AJ55))</f>
        <v>0</v>
      </c>
      <c r="AN55" s="105" cm="1">
        <f t="array" ref="AN55">_xlfn.IFS($AJ55="NO CHARGE",0,$AJ55=0,0,$AJ55&gt;0,PRODUCT(K55,$AJ55))</f>
        <v>0</v>
      </c>
      <c r="AO55" s="105" cm="1">
        <f t="array" ref="AO55">_xlfn.IFS($AJ55="NO CHARGE",0,$AJ55=0,0,$AJ55&gt;0,PRODUCT(L55,$AJ55))</f>
        <v>0</v>
      </c>
      <c r="AP55" s="105" cm="1">
        <f t="array" ref="AP55">_xlfn.IFS($AJ55="NO CHARGE",0,$AJ55=0,0,$AJ55&gt;0,PRODUCT(M55,$AJ55))</f>
        <v>0</v>
      </c>
      <c r="AQ55" s="158">
        <f t="shared" si="38"/>
        <v>0</v>
      </c>
      <c r="AR55" s="875"/>
      <c r="AS55" s="473"/>
      <c r="AT55" s="106"/>
      <c r="AU55" s="107"/>
      <c r="AV55" s="108">
        <f t="shared" si="50"/>
        <v>0</v>
      </c>
      <c r="AW55" s="108">
        <f t="shared" si="50"/>
        <v>0</v>
      </c>
      <c r="AX55" s="108">
        <f t="shared" si="50"/>
        <v>0</v>
      </c>
      <c r="AY55" s="108">
        <f t="shared" si="50"/>
        <v>0</v>
      </c>
      <c r="AZ55" s="108">
        <f t="shared" si="50"/>
        <v>0</v>
      </c>
      <c r="BA55" s="165">
        <f t="shared" si="51"/>
        <v>0</v>
      </c>
      <c r="BB55" s="531"/>
    </row>
    <row r="56" spans="1:55" s="495" customFormat="1" outlineLevel="1" x14ac:dyDescent="0.25">
      <c r="A56" s="445"/>
      <c r="B56" s="252" t="str">
        <f>C56</f>
        <v xml:space="preserve">ATM / EFT Services: </v>
      </c>
      <c r="C56" s="242" t="s">
        <v>105</v>
      </c>
      <c r="D56" s="608"/>
      <c r="E56" s="608"/>
      <c r="F56" s="608"/>
      <c r="G56" s="608"/>
      <c r="H56" s="243"/>
      <c r="I56" s="243"/>
      <c r="J56" s="243"/>
      <c r="K56" s="243"/>
      <c r="L56" s="243"/>
      <c r="M56" s="244"/>
      <c r="N56" s="252" t="str">
        <f>C56</f>
        <v xml:space="preserve">ATM / EFT Services: </v>
      </c>
      <c r="O56" s="243"/>
      <c r="P56" s="756"/>
      <c r="Q56" s="243"/>
      <c r="R56" s="243"/>
      <c r="S56" s="243"/>
      <c r="T56" s="243"/>
      <c r="U56" s="244"/>
      <c r="V56" s="209"/>
      <c r="W56" s="527"/>
      <c r="X56" s="252" t="str">
        <f t="shared" ref="X56:X61" si="52">C56</f>
        <v xml:space="preserve">ATM / EFT Services: </v>
      </c>
      <c r="Y56" s="707"/>
      <c r="Z56" s="756"/>
      <c r="AA56" s="243"/>
      <c r="AB56" s="243"/>
      <c r="AC56" s="243"/>
      <c r="AD56" s="243"/>
      <c r="AE56" s="244"/>
      <c r="AF56" s="123"/>
      <c r="AG56" s="742"/>
      <c r="AH56" s="244"/>
      <c r="AI56" s="252" t="str">
        <f t="shared" ref="AI56:AI85" si="53">C56</f>
        <v xml:space="preserve">ATM / EFT Services: </v>
      </c>
      <c r="AJ56" s="707"/>
      <c r="AK56" s="895"/>
      <c r="AL56" s="243"/>
      <c r="AM56" s="243"/>
      <c r="AN56" s="243"/>
      <c r="AO56" s="243"/>
      <c r="AP56" s="244"/>
      <c r="AQ56" s="158">
        <f t="shared" si="38"/>
        <v>0</v>
      </c>
      <c r="AR56" s="874"/>
      <c r="AS56" s="874"/>
      <c r="AT56" s="252" t="str">
        <f>C56</f>
        <v xml:space="preserve">ATM / EFT Services: </v>
      </c>
      <c r="AU56" s="243"/>
      <c r="AV56" s="243"/>
      <c r="AW56" s="243"/>
      <c r="AX56" s="243"/>
      <c r="AY56" s="243"/>
      <c r="AZ56" s="244"/>
      <c r="BA56" s="165"/>
      <c r="BB56" s="532"/>
    </row>
    <row r="57" spans="1:55" s="495" customFormat="1" outlineLevel="1" x14ac:dyDescent="0.25">
      <c r="A57" s="445"/>
      <c r="B57" s="623" t="s">
        <v>106</v>
      </c>
      <c r="C57" s="310" t="s">
        <v>107</v>
      </c>
      <c r="D57" s="604"/>
      <c r="E57" s="604"/>
      <c r="F57" s="604"/>
      <c r="G57" s="604"/>
      <c r="H57" s="618">
        <v>1</v>
      </c>
      <c r="I57" s="127">
        <f t="shared" ref="I57:I62" si="54">H57*12</f>
        <v>12</v>
      </c>
      <c r="J57" s="127">
        <f t="shared" ref="J57:M62" si="55">IF(I57&gt;12,(((I57)*$H$5)+I57),(I57*1))</f>
        <v>12</v>
      </c>
      <c r="K57" s="127">
        <f t="shared" si="55"/>
        <v>12</v>
      </c>
      <c r="L57" s="127">
        <f t="shared" si="55"/>
        <v>12</v>
      </c>
      <c r="M57" s="127">
        <f t="shared" si="55"/>
        <v>12</v>
      </c>
      <c r="N57" s="245" t="str">
        <f>IF(C57="","",C57)</f>
        <v>ATM/EFT Network Services (Debit Card Processing)</v>
      </c>
      <c r="O57" s="749">
        <v>269.42</v>
      </c>
      <c r="P57" s="757">
        <f t="shared" ref="P57:P88" si="56">Q57/12</f>
        <v>269.42</v>
      </c>
      <c r="Q57" s="129">
        <f t="shared" ref="Q57:Q65" si="57">IF(O57&gt;0,PRODUCT(I57,$O57),0)</f>
        <v>3233.04</v>
      </c>
      <c r="R57" s="129">
        <f t="shared" ref="R57:R65" si="58">IF(Q57&gt;0,PRODUCT(J57,$O57),0)</f>
        <v>3233.04</v>
      </c>
      <c r="S57" s="129">
        <f t="shared" ref="S57:S65" si="59">IF(R57&gt;0,PRODUCT(K57,$O57),0)</f>
        <v>3233.04</v>
      </c>
      <c r="T57" s="129">
        <f t="shared" ref="T57:T65" si="60">IF(S57&gt;0,PRODUCT(L57,$O57),0)</f>
        <v>3233.04</v>
      </c>
      <c r="U57" s="129">
        <f t="shared" ref="U57:U65" si="61">IF(T57&gt;0,PRODUCT(M57,$O57),0)</f>
        <v>3233.04</v>
      </c>
      <c r="V57" s="209">
        <f t="shared" ref="V57:V88" si="62">SUM(Q57:U57)</f>
        <v>16165.2</v>
      </c>
      <c r="W57" s="528"/>
      <c r="X57" s="222" t="str">
        <f t="shared" si="52"/>
        <v>ATM/EFT Network Services (Debit Card Processing)</v>
      </c>
      <c r="Y57" s="325">
        <v>350</v>
      </c>
      <c r="Z57" s="774">
        <f t="shared" ref="Z57:Z96" si="63">AA57/12</f>
        <v>350</v>
      </c>
      <c r="AA57" s="103">
        <f t="shared" ref="AA57:AA67" si="64">IF(Y57&gt;0,PRODUCT(I57,$Y57),0)</f>
        <v>4200</v>
      </c>
      <c r="AB57" s="103">
        <f t="shared" ref="AB57:AB67" si="65">IF(AA57&gt;0,PRODUCT(J57,$Y57),0)</f>
        <v>4200</v>
      </c>
      <c r="AC57" s="103">
        <f t="shared" ref="AC57:AC67" si="66">IF(AB57&gt;0,PRODUCT(K57,$Y57),0)</f>
        <v>4200</v>
      </c>
      <c r="AD57" s="103">
        <f t="shared" ref="AD57:AD67" si="67">IF(AC57&gt;0,PRODUCT(L57,$Y57),0)</f>
        <v>4200</v>
      </c>
      <c r="AE57" s="103">
        <f t="shared" ref="AE57:AE67" si="68">IF(AD57&gt;0,PRODUCT(M57,$Y57),0)</f>
        <v>4200</v>
      </c>
      <c r="AF57" s="123">
        <f t="shared" ref="AF57:AF96" si="69">SUM(AA57:AE57)</f>
        <v>21000</v>
      </c>
      <c r="AG57" s="743"/>
      <c r="AH57" s="370"/>
      <c r="AI57" s="221" t="str">
        <f t="shared" si="53"/>
        <v>ATM/EFT Network Services (Debit Card Processing)</v>
      </c>
      <c r="AJ57" s="886">
        <v>450</v>
      </c>
      <c r="AK57" s="896">
        <f t="shared" ref="AK57:AK97" si="70">AL57/12</f>
        <v>450</v>
      </c>
      <c r="AL57" s="105" cm="1">
        <f t="array" ref="AL57">_xlfn.IFS($AJ57="NO CHARGE",0,$AJ57=0,0,$AJ57&gt;0,PRODUCT(I57,$AJ57))</f>
        <v>5400</v>
      </c>
      <c r="AM57" s="105" cm="1">
        <f t="array" ref="AM57">_xlfn.IFS($AJ57="NO CHARGE",0,$AJ57=0,0,$AJ57&gt;0,PRODUCT(J57,$AJ57))</f>
        <v>5400</v>
      </c>
      <c r="AN57" s="105" cm="1">
        <f t="array" ref="AN57">_xlfn.IFS($AJ57="NO CHARGE",0,$AJ57=0,0,$AJ57&gt;0,PRODUCT(K57,$AJ57))</f>
        <v>5400</v>
      </c>
      <c r="AO57" s="105" cm="1">
        <f t="array" ref="AO57">_xlfn.IFS($AJ57="NO CHARGE",0,$AJ57=0,0,$AJ57&gt;0,PRODUCT(L57,$AJ57))</f>
        <v>5400</v>
      </c>
      <c r="AP57" s="105" cm="1">
        <f t="array" ref="AP57">_xlfn.IFS($AJ57="NO CHARGE",0,$AJ57=0,0,$AJ57&gt;0,PRODUCT(M57,$AJ57))</f>
        <v>5400</v>
      </c>
      <c r="AQ57" s="158">
        <f t="shared" si="38"/>
        <v>27000</v>
      </c>
      <c r="AR57" s="875"/>
      <c r="AS57" s="473"/>
      <c r="AT57" s="106"/>
      <c r="AU57" s="107"/>
      <c r="AV57" s="108">
        <f>IF(AU57&gt;0,PRODUCT(I57,$AU57),0)</f>
        <v>0</v>
      </c>
      <c r="AW57" s="108">
        <f>IF(AV57&gt;0,PRODUCT(J57,$AU57),0)</f>
        <v>0</v>
      </c>
      <c r="AX57" s="108">
        <f>IF(AW57&gt;0,PRODUCT(K57,$AU57),0)</f>
        <v>0</v>
      </c>
      <c r="AY57" s="108">
        <f>IF(AX57&gt;0,PRODUCT(L57,$AU57),0)</f>
        <v>0</v>
      </c>
      <c r="AZ57" s="108">
        <f>IF(AY57&gt;0,PRODUCT(M57,$AU57),0)</f>
        <v>0</v>
      </c>
      <c r="BA57" s="165">
        <f>SUM(AV57:AZ57)</f>
        <v>0</v>
      </c>
      <c r="BB57" s="531"/>
    </row>
    <row r="58" spans="1:55" s="495" customFormat="1" outlineLevel="1" x14ac:dyDescent="0.25">
      <c r="A58" s="445"/>
      <c r="B58" s="623" t="s">
        <v>106</v>
      </c>
      <c r="C58" s="310" t="s">
        <v>108</v>
      </c>
      <c r="D58" s="604"/>
      <c r="E58" s="604">
        <v>203292</v>
      </c>
      <c r="F58" s="604">
        <v>195453</v>
      </c>
      <c r="G58" s="604">
        <v>197668</v>
      </c>
      <c r="H58" s="618">
        <f>AVERAGE(E58:G58)</f>
        <v>198804.33333333334</v>
      </c>
      <c r="I58" s="127">
        <f t="shared" si="54"/>
        <v>2385652</v>
      </c>
      <c r="J58" s="127">
        <f t="shared" si="55"/>
        <v>2504934.6</v>
      </c>
      <c r="K58" s="127">
        <f t="shared" si="55"/>
        <v>2630181.33</v>
      </c>
      <c r="L58" s="127">
        <f t="shared" si="55"/>
        <v>2761690.3965000003</v>
      </c>
      <c r="M58" s="127">
        <f t="shared" si="55"/>
        <v>2899774.9163250001</v>
      </c>
      <c r="N58" s="245" t="str">
        <f>IF(C58="","",C58)</f>
        <v>Signature Based Authorizations</v>
      </c>
      <c r="O58" s="748">
        <v>2.1554E-2</v>
      </c>
      <c r="P58" s="757">
        <f t="shared" si="56"/>
        <v>4285.0286006666665</v>
      </c>
      <c r="Q58" s="129">
        <f t="shared" si="57"/>
        <v>51420.343207999998</v>
      </c>
      <c r="R58" s="129">
        <f t="shared" si="58"/>
        <v>53991.360368400005</v>
      </c>
      <c r="S58" s="129">
        <f t="shared" si="59"/>
        <v>56690.92838682</v>
      </c>
      <c r="T58" s="129">
        <f t="shared" si="60"/>
        <v>59525.474806161008</v>
      </c>
      <c r="U58" s="129">
        <f t="shared" si="61"/>
        <v>62501.748546469054</v>
      </c>
      <c r="V58" s="209">
        <f t="shared" si="62"/>
        <v>284129.85531585012</v>
      </c>
      <c r="W58" s="528"/>
      <c r="X58" s="222" t="str">
        <f t="shared" si="52"/>
        <v>Signature Based Authorizations</v>
      </c>
      <c r="Y58" s="325">
        <v>1.7500000000000002E-2</v>
      </c>
      <c r="Z58" s="774">
        <f t="shared" si="63"/>
        <v>3479.0758333333338</v>
      </c>
      <c r="AA58" s="103">
        <f t="shared" si="64"/>
        <v>41748.910000000003</v>
      </c>
      <c r="AB58" s="103">
        <f t="shared" si="65"/>
        <v>43836.355500000005</v>
      </c>
      <c r="AC58" s="103">
        <f t="shared" si="66"/>
        <v>46028.173275000008</v>
      </c>
      <c r="AD58" s="103">
        <f t="shared" si="67"/>
        <v>48329.581938750009</v>
      </c>
      <c r="AE58" s="103">
        <f t="shared" si="68"/>
        <v>50746.061035687504</v>
      </c>
      <c r="AF58" s="123">
        <f t="shared" si="69"/>
        <v>230689.08174943755</v>
      </c>
      <c r="AG58" s="743"/>
      <c r="AH58" s="370"/>
      <c r="AI58" s="221" t="str">
        <f t="shared" si="53"/>
        <v>Signature Based Authorizations</v>
      </c>
      <c r="AJ58" s="886">
        <v>1.7500000000000002E-2</v>
      </c>
      <c r="AK58" s="896">
        <f t="shared" si="70"/>
        <v>3479.0758333333338</v>
      </c>
      <c r="AL58" s="105" cm="1">
        <f t="array" ref="AL58">_xlfn.IFS($AJ58="NO CHARGE",0,$AJ58=0,0,$AJ58&gt;0,PRODUCT(I58,$AJ58))</f>
        <v>41748.910000000003</v>
      </c>
      <c r="AM58" s="105" cm="1">
        <f t="array" ref="AM58">_xlfn.IFS($AJ58="NO CHARGE",0,$AJ58=0,0,$AJ58&gt;0,PRODUCT(J58,$AJ58))</f>
        <v>43836.355500000005</v>
      </c>
      <c r="AN58" s="105" cm="1">
        <f t="array" ref="AN58">_xlfn.IFS($AJ58="NO CHARGE",0,$AJ58=0,0,$AJ58&gt;0,PRODUCT(K58,$AJ58))</f>
        <v>46028.173275000008</v>
      </c>
      <c r="AO58" s="105" cm="1">
        <f t="array" ref="AO58">_xlfn.IFS($AJ58="NO CHARGE",0,$AJ58=0,0,$AJ58&gt;0,PRODUCT(L58,$AJ58))</f>
        <v>48329.581938750009</v>
      </c>
      <c r="AP58" s="105" cm="1">
        <f t="array" ref="AP58">_xlfn.IFS($AJ58="NO CHARGE",0,$AJ58=0,0,$AJ58&gt;0,PRODUCT(M58,$AJ58))</f>
        <v>50746.061035687504</v>
      </c>
      <c r="AQ58" s="158">
        <f t="shared" si="38"/>
        <v>230689.08174943755</v>
      </c>
      <c r="AR58" s="875"/>
      <c r="AS58" s="473"/>
      <c r="AT58" s="106"/>
      <c r="AU58" s="107"/>
      <c r="AV58" s="108"/>
      <c r="AW58" s="108"/>
      <c r="AX58" s="108"/>
      <c r="AY58" s="108"/>
      <c r="AZ58" s="108"/>
      <c r="BA58" s="165"/>
      <c r="BB58" s="531"/>
    </row>
    <row r="59" spans="1:55" s="495" customFormat="1" outlineLevel="1" x14ac:dyDescent="0.25">
      <c r="A59" s="445"/>
      <c r="B59" s="623" t="s">
        <v>106</v>
      </c>
      <c r="C59" s="310" t="s">
        <v>109</v>
      </c>
      <c r="D59" s="604"/>
      <c r="E59" s="604">
        <v>144259</v>
      </c>
      <c r="F59" s="604">
        <v>139967</v>
      </c>
      <c r="G59" s="604">
        <v>146274</v>
      </c>
      <c r="H59" s="618">
        <f>AVERAGE(E59:G59)</f>
        <v>143500</v>
      </c>
      <c r="I59" s="127">
        <f t="shared" si="54"/>
        <v>1722000</v>
      </c>
      <c r="J59" s="127">
        <f t="shared" si="55"/>
        <v>1808100</v>
      </c>
      <c r="K59" s="127">
        <f t="shared" si="55"/>
        <v>1898505</v>
      </c>
      <c r="L59" s="127">
        <f t="shared" si="55"/>
        <v>1993430.25</v>
      </c>
      <c r="M59" s="127">
        <f t="shared" si="55"/>
        <v>2093101.7625</v>
      </c>
      <c r="N59" s="245" t="str">
        <f>IF(C59="","",C59)</f>
        <v>PIN-Based Transaction Volumes</v>
      </c>
      <c r="O59" s="748">
        <v>2.1554E-2</v>
      </c>
      <c r="P59" s="757">
        <f t="shared" si="56"/>
        <v>3092.9989999999998</v>
      </c>
      <c r="Q59" s="129">
        <f t="shared" si="57"/>
        <v>37115.987999999998</v>
      </c>
      <c r="R59" s="129">
        <f t="shared" si="58"/>
        <v>38971.787400000001</v>
      </c>
      <c r="S59" s="129">
        <f t="shared" si="59"/>
        <v>40920.376770000003</v>
      </c>
      <c r="T59" s="129">
        <f t="shared" si="60"/>
        <v>42966.395608500003</v>
      </c>
      <c r="U59" s="129">
        <f t="shared" si="61"/>
        <v>45114.715388924997</v>
      </c>
      <c r="V59" s="209">
        <f t="shared" si="62"/>
        <v>205089.263167425</v>
      </c>
      <c r="W59" s="528"/>
      <c r="X59" s="222" t="str">
        <f t="shared" si="52"/>
        <v>PIN-Based Transaction Volumes</v>
      </c>
      <c r="Y59" s="325">
        <v>1.7500000000000002E-2</v>
      </c>
      <c r="Z59" s="774">
        <f t="shared" si="63"/>
        <v>2511.2500000000005</v>
      </c>
      <c r="AA59" s="103">
        <f t="shared" si="64"/>
        <v>30135.000000000004</v>
      </c>
      <c r="AB59" s="103">
        <f t="shared" si="65"/>
        <v>31641.750000000004</v>
      </c>
      <c r="AC59" s="103">
        <f t="shared" si="66"/>
        <v>33223.837500000001</v>
      </c>
      <c r="AD59" s="103">
        <f t="shared" si="67"/>
        <v>34885.029375000006</v>
      </c>
      <c r="AE59" s="103">
        <f t="shared" si="68"/>
        <v>36629.280843750006</v>
      </c>
      <c r="AF59" s="123">
        <f t="shared" si="69"/>
        <v>166514.89771875</v>
      </c>
      <c r="AG59" s="743"/>
      <c r="AH59" s="370"/>
      <c r="AI59" s="221" t="str">
        <f t="shared" si="53"/>
        <v>PIN-Based Transaction Volumes</v>
      </c>
      <c r="AJ59" s="886">
        <v>1.9E-2</v>
      </c>
      <c r="AK59" s="896">
        <f t="shared" si="70"/>
        <v>2726.5</v>
      </c>
      <c r="AL59" s="105" cm="1">
        <f t="array" ref="AL59">_xlfn.IFS($AJ59="NO CHARGE",0,$AJ59=0,0,$AJ59&gt;0,PRODUCT(I59,$AJ59))</f>
        <v>32718</v>
      </c>
      <c r="AM59" s="105" cm="1">
        <f t="array" ref="AM59">_xlfn.IFS($AJ59="NO CHARGE",0,$AJ59=0,0,$AJ59&gt;0,PRODUCT(J59,$AJ59))</f>
        <v>34353.9</v>
      </c>
      <c r="AN59" s="105" cm="1">
        <f t="array" ref="AN59">_xlfn.IFS($AJ59="NO CHARGE",0,$AJ59=0,0,$AJ59&gt;0,PRODUCT(K59,$AJ59))</f>
        <v>36071.595000000001</v>
      </c>
      <c r="AO59" s="105" cm="1">
        <f t="array" ref="AO59">_xlfn.IFS($AJ59="NO CHARGE",0,$AJ59=0,0,$AJ59&gt;0,PRODUCT(L59,$AJ59))</f>
        <v>37875.174749999998</v>
      </c>
      <c r="AP59" s="105" cm="1">
        <f t="array" ref="AP59">_xlfn.IFS($AJ59="NO CHARGE",0,$AJ59=0,0,$AJ59&gt;0,PRODUCT(M59,$AJ59))</f>
        <v>39768.933487499999</v>
      </c>
      <c r="AQ59" s="158">
        <f t="shared" si="38"/>
        <v>180787.60323750001</v>
      </c>
      <c r="AR59" s="875"/>
      <c r="AS59" s="473"/>
      <c r="AT59" s="106"/>
      <c r="AU59" s="107"/>
      <c r="AV59" s="108"/>
      <c r="AW59" s="108"/>
      <c r="AX59" s="108"/>
      <c r="AY59" s="108"/>
      <c r="AZ59" s="108"/>
      <c r="BA59" s="165"/>
      <c r="BB59" s="531"/>
    </row>
    <row r="60" spans="1:55" s="495" customFormat="1" outlineLevel="1" x14ac:dyDescent="0.25">
      <c r="A60" s="445"/>
      <c r="B60" s="623" t="s">
        <v>106</v>
      </c>
      <c r="C60" s="310" t="s">
        <v>110</v>
      </c>
      <c r="D60" s="604"/>
      <c r="E60" s="604">
        <v>224162</v>
      </c>
      <c r="F60" s="604">
        <v>211184</v>
      </c>
      <c r="G60" s="604">
        <v>216309</v>
      </c>
      <c r="H60" s="618">
        <f>AVERAGE(E60:G60)</f>
        <v>217218.33333333334</v>
      </c>
      <c r="I60" s="127">
        <f t="shared" si="54"/>
        <v>2606620</v>
      </c>
      <c r="J60" s="127">
        <f t="shared" si="55"/>
        <v>2736951</v>
      </c>
      <c r="K60" s="127">
        <f t="shared" si="55"/>
        <v>2873798.55</v>
      </c>
      <c r="L60" s="127">
        <f t="shared" si="55"/>
        <v>3017488.4775</v>
      </c>
      <c r="M60" s="127">
        <f t="shared" si="55"/>
        <v>3168362.9013749999</v>
      </c>
      <c r="N60" s="245" t="str">
        <f>IF(C60="","",C60)</f>
        <v>Settlement/Clearing Based Transaction Volumes</v>
      </c>
      <c r="O60" s="748">
        <v>1.07768E-2</v>
      </c>
      <c r="P60" s="757">
        <f t="shared" si="56"/>
        <v>2340.9185346666668</v>
      </c>
      <c r="Q60" s="129">
        <f t="shared" si="57"/>
        <v>28091.022416</v>
      </c>
      <c r="R60" s="129">
        <f t="shared" si="58"/>
        <v>29495.573536799999</v>
      </c>
      <c r="S60" s="129">
        <f t="shared" si="59"/>
        <v>30970.352213639995</v>
      </c>
      <c r="T60" s="129">
        <f t="shared" si="60"/>
        <v>32518.869824321999</v>
      </c>
      <c r="U60" s="129">
        <f t="shared" si="61"/>
        <v>34144.8133155381</v>
      </c>
      <c r="V60" s="209">
        <f t="shared" si="62"/>
        <v>155220.63130630009</v>
      </c>
      <c r="W60" s="528"/>
      <c r="X60" s="222" t="str">
        <f t="shared" si="52"/>
        <v>Settlement/Clearing Based Transaction Volumes</v>
      </c>
      <c r="Y60" s="325">
        <v>8.9999999999999993E-3</v>
      </c>
      <c r="Z60" s="774">
        <f t="shared" si="63"/>
        <v>1954.9649999999999</v>
      </c>
      <c r="AA60" s="103">
        <f t="shared" si="64"/>
        <v>23459.579999999998</v>
      </c>
      <c r="AB60" s="103">
        <f t="shared" si="65"/>
        <v>24632.558999999997</v>
      </c>
      <c r="AC60" s="103">
        <f t="shared" si="66"/>
        <v>25864.186949999996</v>
      </c>
      <c r="AD60" s="103">
        <f t="shared" si="67"/>
        <v>27157.396297499999</v>
      </c>
      <c r="AE60" s="103">
        <f t="shared" si="68"/>
        <v>28515.266112374997</v>
      </c>
      <c r="AF60" s="123">
        <f t="shared" si="69"/>
        <v>129628.988359875</v>
      </c>
      <c r="AG60" s="743"/>
      <c r="AH60" s="370"/>
      <c r="AI60" s="221" t="str">
        <f t="shared" si="53"/>
        <v>Settlement/Clearing Based Transaction Volumes</v>
      </c>
      <c r="AJ60" s="886">
        <v>8.9999999999999993E-3</v>
      </c>
      <c r="AK60" s="896">
        <f t="shared" si="70"/>
        <v>1954.9649999999999</v>
      </c>
      <c r="AL60" s="105" cm="1">
        <f t="array" ref="AL60">_xlfn.IFS($AJ60="NO CHARGE",0,$AJ60=0,0,$AJ60&gt;0,PRODUCT(I60,$AJ60))</f>
        <v>23459.579999999998</v>
      </c>
      <c r="AM60" s="105" cm="1">
        <f t="array" ref="AM60">_xlfn.IFS($AJ60="NO CHARGE",0,$AJ60=0,0,$AJ60&gt;0,PRODUCT(J60,$AJ60))</f>
        <v>24632.558999999997</v>
      </c>
      <c r="AN60" s="105" cm="1">
        <f t="array" ref="AN60">_xlfn.IFS($AJ60="NO CHARGE",0,$AJ60=0,0,$AJ60&gt;0,PRODUCT(K60,$AJ60))</f>
        <v>25864.186949999996</v>
      </c>
      <c r="AO60" s="105" cm="1">
        <f t="array" ref="AO60">_xlfn.IFS($AJ60="NO CHARGE",0,$AJ60=0,0,$AJ60&gt;0,PRODUCT(L60,$AJ60))</f>
        <v>27157.396297499999</v>
      </c>
      <c r="AP60" s="105" cm="1">
        <f t="array" ref="AP60">_xlfn.IFS($AJ60="NO CHARGE",0,$AJ60=0,0,$AJ60&gt;0,PRODUCT(M60,$AJ60))</f>
        <v>28515.266112374997</v>
      </c>
      <c r="AQ60" s="158">
        <f t="shared" si="38"/>
        <v>129628.988359875</v>
      </c>
      <c r="AR60" s="875"/>
      <c r="AS60" s="473"/>
      <c r="AT60" s="106"/>
      <c r="AU60" s="107"/>
      <c r="AV60" s="108"/>
      <c r="AW60" s="108"/>
      <c r="AX60" s="108"/>
      <c r="AY60" s="108"/>
      <c r="AZ60" s="108"/>
      <c r="BA60" s="165"/>
      <c r="BB60" s="531"/>
      <c r="BC60" s="1100"/>
    </row>
    <row r="61" spans="1:55" s="495" customFormat="1" outlineLevel="1" x14ac:dyDescent="0.25">
      <c r="A61" s="445"/>
      <c r="B61" s="623" t="s">
        <v>106</v>
      </c>
      <c r="C61" s="310" t="s">
        <v>111</v>
      </c>
      <c r="D61" s="604"/>
      <c r="E61" s="604">
        <v>285217</v>
      </c>
      <c r="F61" s="604">
        <v>275794</v>
      </c>
      <c r="G61" s="604">
        <v>282378</v>
      </c>
      <c r="H61" s="618">
        <f>AVERAGE(E61:G61)</f>
        <v>281129.66666666669</v>
      </c>
      <c r="I61" s="127">
        <f t="shared" si="54"/>
        <v>3373556</v>
      </c>
      <c r="J61" s="127">
        <f t="shared" si="55"/>
        <v>3542233.8</v>
      </c>
      <c r="K61" s="127">
        <f t="shared" si="55"/>
        <v>3719345.4899999998</v>
      </c>
      <c r="L61" s="127">
        <f t="shared" si="55"/>
        <v>3905312.7644999996</v>
      </c>
      <c r="M61" s="127">
        <f t="shared" si="55"/>
        <v>4100578.4027249995</v>
      </c>
      <c r="N61" s="245" t="str">
        <f>IF(C61="","",C61)</f>
        <v>EMV/Chip Authorizations - Standard</v>
      </c>
      <c r="O61" s="748">
        <v>1.8320000000000001E-3</v>
      </c>
      <c r="P61" s="757">
        <f t="shared" si="56"/>
        <v>515.02954933333342</v>
      </c>
      <c r="Q61" s="129">
        <f t="shared" si="57"/>
        <v>6180.3545920000006</v>
      </c>
      <c r="R61" s="129">
        <f t="shared" si="58"/>
        <v>6489.3723215999999</v>
      </c>
      <c r="S61" s="129">
        <f t="shared" si="59"/>
        <v>6813.84093768</v>
      </c>
      <c r="T61" s="129">
        <f t="shared" si="60"/>
        <v>7154.5329845639999</v>
      </c>
      <c r="U61" s="129">
        <f t="shared" si="61"/>
        <v>7512.2596337921996</v>
      </c>
      <c r="V61" s="209">
        <f t="shared" si="62"/>
        <v>34150.360469636202</v>
      </c>
      <c r="W61" s="528"/>
      <c r="X61" s="222" t="str">
        <f t="shared" si="52"/>
        <v>EMV/Chip Authorizations - Standard</v>
      </c>
      <c r="Y61" s="325">
        <v>1E-3</v>
      </c>
      <c r="Z61" s="774">
        <f t="shared" si="63"/>
        <v>281.12966666666665</v>
      </c>
      <c r="AA61" s="103">
        <f t="shared" si="64"/>
        <v>3373.556</v>
      </c>
      <c r="AB61" s="103">
        <f t="shared" si="65"/>
        <v>3542.2338</v>
      </c>
      <c r="AC61" s="103">
        <f t="shared" si="66"/>
        <v>3719.3454899999997</v>
      </c>
      <c r="AD61" s="103">
        <f t="shared" si="67"/>
        <v>3905.3127644999995</v>
      </c>
      <c r="AE61" s="103">
        <f t="shared" si="68"/>
        <v>4100.5784027249993</v>
      </c>
      <c r="AF61" s="123">
        <f t="shared" si="69"/>
        <v>18641.026457225002</v>
      </c>
      <c r="AG61" s="743"/>
      <c r="AH61" s="370"/>
      <c r="AI61" s="221" t="str">
        <f t="shared" si="53"/>
        <v>EMV/Chip Authorizations - Standard</v>
      </c>
      <c r="AJ61" s="886">
        <v>1E-3</v>
      </c>
      <c r="AK61" s="896">
        <f t="shared" si="70"/>
        <v>281.12966666666665</v>
      </c>
      <c r="AL61" s="105" cm="1">
        <f t="array" ref="AL61">_xlfn.IFS($AJ61="NO CHARGE",0,$AJ61=0,0,$AJ61&gt;0,PRODUCT(I61,$AJ61))</f>
        <v>3373.556</v>
      </c>
      <c r="AM61" s="105" cm="1">
        <f t="array" ref="AM61">_xlfn.IFS($AJ61="NO CHARGE",0,$AJ61=0,0,$AJ61&gt;0,PRODUCT(J61,$AJ61))</f>
        <v>3542.2338</v>
      </c>
      <c r="AN61" s="105" cm="1">
        <f t="array" ref="AN61">_xlfn.IFS($AJ61="NO CHARGE",0,$AJ61=0,0,$AJ61&gt;0,PRODUCT(K61,$AJ61))</f>
        <v>3719.3454899999997</v>
      </c>
      <c r="AO61" s="105" cm="1">
        <f t="array" ref="AO61">_xlfn.IFS($AJ61="NO CHARGE",0,$AJ61=0,0,$AJ61&gt;0,PRODUCT(L61,$AJ61))</f>
        <v>3905.3127644999995</v>
      </c>
      <c r="AP61" s="105" cm="1">
        <f t="array" ref="AP61">_xlfn.IFS($AJ61="NO CHARGE",0,$AJ61=0,0,$AJ61&gt;0,PRODUCT(M61,$AJ61))</f>
        <v>4100.5784027249993</v>
      </c>
      <c r="AQ61" s="158">
        <f t="shared" si="38"/>
        <v>18641.026457225002</v>
      </c>
      <c r="AR61" s="875"/>
      <c r="AS61" s="473"/>
      <c r="AT61" s="106"/>
      <c r="AU61" s="107"/>
      <c r="AV61" s="108"/>
      <c r="AW61" s="108"/>
      <c r="AX61" s="108"/>
      <c r="AY61" s="108"/>
      <c r="AZ61" s="108"/>
      <c r="BA61" s="165"/>
      <c r="BB61" s="531"/>
    </row>
    <row r="62" spans="1:55" s="495" customFormat="1" outlineLevel="1" x14ac:dyDescent="0.25">
      <c r="A62" s="445"/>
      <c r="B62" s="623" t="s">
        <v>106</v>
      </c>
      <c r="C62" s="310" t="s">
        <v>112</v>
      </c>
      <c r="D62" s="604"/>
      <c r="E62" s="604">
        <f>SUM(E63:E64)</f>
        <v>20227</v>
      </c>
      <c r="F62" s="604">
        <f>SUM(F63:F64)</f>
        <v>19794</v>
      </c>
      <c r="G62" s="604">
        <f>SUM(G63:G64)</f>
        <v>19301</v>
      </c>
      <c r="H62" s="618">
        <f>AVERAGE(E62:G62)</f>
        <v>19774</v>
      </c>
      <c r="I62" s="127">
        <f t="shared" si="54"/>
        <v>237288</v>
      </c>
      <c r="J62" s="127">
        <f t="shared" si="55"/>
        <v>249152.4</v>
      </c>
      <c r="K62" s="127">
        <f t="shared" si="55"/>
        <v>261610.02</v>
      </c>
      <c r="L62" s="127">
        <f t="shared" si="55"/>
        <v>274690.52100000001</v>
      </c>
      <c r="M62" s="127">
        <f t="shared" si="55"/>
        <v>288425.04704999999</v>
      </c>
      <c r="N62" s="245" t="s">
        <v>113</v>
      </c>
      <c r="O62" s="748"/>
      <c r="P62" s="757">
        <f t="shared" si="56"/>
        <v>0</v>
      </c>
      <c r="Q62" s="129">
        <f t="shared" si="57"/>
        <v>0</v>
      </c>
      <c r="R62" s="129">
        <f t="shared" si="58"/>
        <v>0</v>
      </c>
      <c r="S62" s="129">
        <f t="shared" si="59"/>
        <v>0</v>
      </c>
      <c r="T62" s="129">
        <f t="shared" si="60"/>
        <v>0</v>
      </c>
      <c r="U62" s="129">
        <f t="shared" si="61"/>
        <v>0</v>
      </c>
      <c r="V62" s="209">
        <f t="shared" si="62"/>
        <v>0</v>
      </c>
      <c r="W62" s="621"/>
      <c r="X62" s="222" t="s">
        <v>113</v>
      </c>
      <c r="Y62" s="325"/>
      <c r="Z62" s="774">
        <f t="shared" si="63"/>
        <v>0</v>
      </c>
      <c r="AA62" s="103">
        <f t="shared" si="64"/>
        <v>0</v>
      </c>
      <c r="AB62" s="103">
        <f t="shared" si="65"/>
        <v>0</v>
      </c>
      <c r="AC62" s="103">
        <f t="shared" si="66"/>
        <v>0</v>
      </c>
      <c r="AD62" s="103">
        <f t="shared" si="67"/>
        <v>0</v>
      </c>
      <c r="AE62" s="103">
        <f t="shared" si="68"/>
        <v>0</v>
      </c>
      <c r="AF62" s="123">
        <f t="shared" si="69"/>
        <v>0</v>
      </c>
      <c r="AG62" s="743"/>
      <c r="AH62" s="362"/>
      <c r="AI62" s="221" t="str">
        <f t="shared" si="53"/>
        <v>Card File Residency [QTY CALCULATIONS]</v>
      </c>
      <c r="AJ62" s="886"/>
      <c r="AK62" s="896">
        <f t="shared" si="70"/>
        <v>0</v>
      </c>
      <c r="AL62" s="105" cm="1">
        <f t="array" ref="AL62">_xlfn.IFS($AJ62="NO CHARGE",0,$AJ62=0,0,$AJ62&gt;0,PRODUCT(I62,$AJ62))</f>
        <v>0</v>
      </c>
      <c r="AM62" s="105" cm="1">
        <f t="array" ref="AM62">_xlfn.IFS($AJ62="NO CHARGE",0,$AJ62=0,0,$AJ62&gt;0,PRODUCT(J62,$AJ62))</f>
        <v>0</v>
      </c>
      <c r="AN62" s="105" cm="1">
        <f t="array" ref="AN62">_xlfn.IFS($AJ62="NO CHARGE",0,$AJ62=0,0,$AJ62&gt;0,PRODUCT(K62,$AJ62))</f>
        <v>0</v>
      </c>
      <c r="AO62" s="105" cm="1">
        <f t="array" ref="AO62">_xlfn.IFS($AJ62="NO CHARGE",0,$AJ62=0,0,$AJ62&gt;0,PRODUCT(L62,$AJ62))</f>
        <v>0</v>
      </c>
      <c r="AP62" s="105" cm="1">
        <f t="array" ref="AP62">_xlfn.IFS($AJ62="NO CHARGE",0,$AJ62=0,0,$AJ62&gt;0,PRODUCT(M62,$AJ62))</f>
        <v>0</v>
      </c>
      <c r="AQ62" s="158">
        <f t="shared" si="38"/>
        <v>0</v>
      </c>
      <c r="AR62" s="875"/>
      <c r="AS62" s="473"/>
      <c r="AT62" s="106"/>
      <c r="AU62" s="107"/>
      <c r="AV62" s="108">
        <f>IF(AU62&gt;0,PRODUCT(I62,$AU62),0)</f>
        <v>0</v>
      </c>
      <c r="AW62" s="108">
        <f>IF(AV62&gt;0,PRODUCT(J62,$AU62),0)</f>
        <v>0</v>
      </c>
      <c r="AX62" s="108">
        <f>IF(AW62&gt;0,PRODUCT(K62,$AU62),0)</f>
        <v>0</v>
      </c>
      <c r="AY62" s="108">
        <f>IF(AX62&gt;0,PRODUCT(L62,$AU62),0)</f>
        <v>0</v>
      </c>
      <c r="AZ62" s="108">
        <f>IF(AY62&gt;0,PRODUCT(M62,$AU62),0)</f>
        <v>0</v>
      </c>
      <c r="BA62" s="165">
        <f>SUM(AV62:AZ62)</f>
        <v>0</v>
      </c>
      <c r="BB62" s="531"/>
      <c r="BC62" s="1098"/>
    </row>
    <row r="63" spans="1:55" s="495" customFormat="1" outlineLevel="1" x14ac:dyDescent="0.25">
      <c r="A63" s="445"/>
      <c r="B63" s="623" t="s">
        <v>106</v>
      </c>
      <c r="C63" s="200" t="s">
        <v>114</v>
      </c>
      <c r="D63" s="604"/>
      <c r="E63" s="604">
        <v>7500</v>
      </c>
      <c r="F63" s="604">
        <v>7500</v>
      </c>
      <c r="G63" s="604">
        <v>7500</v>
      </c>
      <c r="H63" s="699">
        <v>7500</v>
      </c>
      <c r="I63" s="127">
        <f>IF(I62&gt;($H63*12),$H63*12,I62)</f>
        <v>90000</v>
      </c>
      <c r="J63" s="127">
        <f>IF(J62&gt;($H63*12),$H63*12,J62)</f>
        <v>90000</v>
      </c>
      <c r="K63" s="127">
        <f>IF(K62&gt;($H63*12),$H63*12,K62)</f>
        <v>90000</v>
      </c>
      <c r="L63" s="127">
        <f>IF(L62&gt;($H63*12),$H63*12,L62)</f>
        <v>90000</v>
      </c>
      <c r="M63" s="127">
        <f>IF(M62&gt;($H63*12),$H63*12,M62)</f>
        <v>90000</v>
      </c>
      <c r="N63" s="750" t="str">
        <f t="shared" ref="N63:N74" si="71">IF(C63="","",C63)</f>
        <v>[Tiered] Card File Residency 0 - 7,500</v>
      </c>
      <c r="O63" s="748">
        <v>2.69421E-2</v>
      </c>
      <c r="P63" s="757">
        <f t="shared" si="56"/>
        <v>202.06575000000001</v>
      </c>
      <c r="Q63" s="129">
        <f t="shared" si="57"/>
        <v>2424.7890000000002</v>
      </c>
      <c r="R63" s="129">
        <f t="shared" si="58"/>
        <v>2424.7890000000002</v>
      </c>
      <c r="S63" s="129">
        <f t="shared" si="59"/>
        <v>2424.7890000000002</v>
      </c>
      <c r="T63" s="129">
        <f t="shared" si="60"/>
        <v>2424.7890000000002</v>
      </c>
      <c r="U63" s="129">
        <f t="shared" si="61"/>
        <v>2424.7890000000002</v>
      </c>
      <c r="V63" s="209">
        <f t="shared" si="62"/>
        <v>12123.945000000002</v>
      </c>
      <c r="W63" s="528"/>
      <c r="X63" s="701" t="str">
        <f t="shared" ref="X63:X85" si="72">C63</f>
        <v>[Tiered] Card File Residency 0 - 7,500</v>
      </c>
      <c r="Y63" s="325">
        <v>0.02</v>
      </c>
      <c r="Z63" s="774">
        <f t="shared" si="63"/>
        <v>150</v>
      </c>
      <c r="AA63" s="103">
        <f t="shared" si="64"/>
        <v>1800</v>
      </c>
      <c r="AB63" s="103">
        <f t="shared" si="65"/>
        <v>1800</v>
      </c>
      <c r="AC63" s="103">
        <f t="shared" si="66"/>
        <v>1800</v>
      </c>
      <c r="AD63" s="103">
        <f t="shared" si="67"/>
        <v>1800</v>
      </c>
      <c r="AE63" s="103">
        <f t="shared" si="68"/>
        <v>1800</v>
      </c>
      <c r="AF63" s="123">
        <f t="shared" si="69"/>
        <v>9000</v>
      </c>
      <c r="AG63" s="743"/>
      <c r="AH63" s="370"/>
      <c r="AI63" s="880" t="str">
        <f t="shared" si="53"/>
        <v>[Tiered] Card File Residency 0 - 7,500</v>
      </c>
      <c r="AJ63" s="886">
        <v>0.02</v>
      </c>
      <c r="AK63" s="896">
        <f t="shared" si="70"/>
        <v>150</v>
      </c>
      <c r="AL63" s="105" cm="1">
        <f t="array" ref="AL63">_xlfn.IFS($AJ63="NO CHARGE",0,$AJ63=0,0,$AJ63&gt;0,PRODUCT(I63,$AJ63))</f>
        <v>1800</v>
      </c>
      <c r="AM63" s="105" cm="1">
        <f t="array" ref="AM63">_xlfn.IFS($AJ63="NO CHARGE",0,$AJ63=0,0,$AJ63&gt;0,PRODUCT(J63,$AJ63))</f>
        <v>1800</v>
      </c>
      <c r="AN63" s="105" cm="1">
        <f t="array" ref="AN63">_xlfn.IFS($AJ63="NO CHARGE",0,$AJ63=0,0,$AJ63&gt;0,PRODUCT(K63,$AJ63))</f>
        <v>1800</v>
      </c>
      <c r="AO63" s="105" cm="1">
        <f t="array" ref="AO63">_xlfn.IFS($AJ63="NO CHARGE",0,$AJ63=0,0,$AJ63&gt;0,PRODUCT(L63,$AJ63))</f>
        <v>1800</v>
      </c>
      <c r="AP63" s="105" cm="1">
        <f t="array" ref="AP63">_xlfn.IFS($AJ63="NO CHARGE",0,$AJ63=0,0,$AJ63&gt;0,PRODUCT(M63,$AJ63))</f>
        <v>1800</v>
      </c>
      <c r="AQ63" s="158">
        <f t="shared" si="38"/>
        <v>9000</v>
      </c>
      <c r="AR63" s="875"/>
      <c r="AS63" s="473"/>
      <c r="AT63" s="106"/>
      <c r="AU63" s="107"/>
      <c r="AV63" s="108"/>
      <c r="AW63" s="108"/>
      <c r="AX63" s="108"/>
      <c r="AY63" s="108"/>
      <c r="AZ63" s="108"/>
      <c r="BA63" s="165"/>
      <c r="BB63" s="531"/>
      <c r="BC63" s="1100"/>
    </row>
    <row r="64" spans="1:55" s="495" customFormat="1" outlineLevel="1" x14ac:dyDescent="0.25">
      <c r="A64" s="445"/>
      <c r="B64" s="623" t="s">
        <v>106</v>
      </c>
      <c r="C64" s="200" t="s">
        <v>115</v>
      </c>
      <c r="D64" s="604"/>
      <c r="E64" s="604">
        <v>12727</v>
      </c>
      <c r="F64" s="604">
        <v>12294</v>
      </c>
      <c r="G64" s="604">
        <v>11801</v>
      </c>
      <c r="H64" s="699"/>
      <c r="I64" s="127" cm="1">
        <f t="array" ref="I64">_xlfn.IFS(I62&gt;(($H63)*12),I62-I63, I62&lt;(($H63)*12),0, I62=(($H63)*12),0)</f>
        <v>147288</v>
      </c>
      <c r="J64" s="127" cm="1">
        <f t="array" ref="J64">_xlfn.IFS(J62&gt;(($H63)*12),J62-J63, J62&lt;(($H63)*12),0, J62=(($H63)*12),0)</f>
        <v>159152.4</v>
      </c>
      <c r="K64" s="127" cm="1">
        <f t="array" ref="K64">_xlfn.IFS(K62&gt;(($H63)*12),K62-K63, K62&lt;(($H63)*12),0, K62=(($H63)*12),0)</f>
        <v>171610.02</v>
      </c>
      <c r="L64" s="127" cm="1">
        <f t="array" ref="L64">_xlfn.IFS(L62&gt;(($H63)*12),L62-L63, L62&lt;(($H63)*12),0, L62=(($H63)*12),0)</f>
        <v>184690.52100000001</v>
      </c>
      <c r="M64" s="127" cm="1">
        <f t="array" ref="M64">_xlfn.IFS(M62&gt;(($H63)*12),M62-M63, M62&lt;(($H63)*12),0, M62=(($H63)*12),0)</f>
        <v>198425.04704999999</v>
      </c>
      <c r="N64" s="750" t="str">
        <f t="shared" si="71"/>
        <v>[Tiered] Card File Residency Beyond 7,500</v>
      </c>
      <c r="O64" s="748">
        <v>2.4247899999999999E-2</v>
      </c>
      <c r="P64" s="757">
        <f t="shared" si="56"/>
        <v>297.61872460000001</v>
      </c>
      <c r="Q64" s="129">
        <f t="shared" si="57"/>
        <v>3571.4246951999999</v>
      </c>
      <c r="R64" s="129">
        <f t="shared" si="58"/>
        <v>3859.1114799599995</v>
      </c>
      <c r="S64" s="129">
        <f t="shared" si="59"/>
        <v>4161.1826039580001</v>
      </c>
      <c r="T64" s="129">
        <f t="shared" si="60"/>
        <v>4478.3572841558998</v>
      </c>
      <c r="U64" s="129">
        <f t="shared" si="61"/>
        <v>4811.3906983636944</v>
      </c>
      <c r="V64" s="209">
        <f t="shared" si="62"/>
        <v>20881.466761637595</v>
      </c>
      <c r="W64" s="528"/>
      <c r="X64" s="701" t="str">
        <f t="shared" si="72"/>
        <v>[Tiered] Card File Residency Beyond 7,500</v>
      </c>
      <c r="Y64" s="325">
        <v>0.02</v>
      </c>
      <c r="Z64" s="774">
        <f t="shared" si="63"/>
        <v>245.48000000000002</v>
      </c>
      <c r="AA64" s="103">
        <f t="shared" si="64"/>
        <v>2945.76</v>
      </c>
      <c r="AB64" s="103">
        <f t="shared" si="65"/>
        <v>3183.0479999999998</v>
      </c>
      <c r="AC64" s="103">
        <f t="shared" si="66"/>
        <v>3432.2003999999997</v>
      </c>
      <c r="AD64" s="103">
        <f t="shared" si="67"/>
        <v>3693.8104200000002</v>
      </c>
      <c r="AE64" s="103">
        <f t="shared" si="68"/>
        <v>3968.5009409999998</v>
      </c>
      <c r="AF64" s="123">
        <f t="shared" si="69"/>
        <v>17223.319760999999</v>
      </c>
      <c r="AG64" s="743"/>
      <c r="AH64" s="711" t="s">
        <v>70</v>
      </c>
      <c r="AI64" s="880" t="str">
        <f t="shared" si="53"/>
        <v>[Tiered] Card File Residency Beyond 7,500</v>
      </c>
      <c r="AJ64" s="886">
        <v>0.02</v>
      </c>
      <c r="AK64" s="896">
        <f t="shared" si="70"/>
        <v>245.48000000000002</v>
      </c>
      <c r="AL64" s="105" cm="1">
        <f t="array" ref="AL64">_xlfn.IFS($AJ64="NO CHARGE",0,$AJ64=0,0,$AJ64&gt;0,PRODUCT(I64,$AJ64))</f>
        <v>2945.76</v>
      </c>
      <c r="AM64" s="105" cm="1">
        <f t="array" ref="AM64">_xlfn.IFS($AJ64="NO CHARGE",0,$AJ64=0,0,$AJ64&gt;0,PRODUCT(J64,$AJ64))</f>
        <v>3183.0479999999998</v>
      </c>
      <c r="AN64" s="105" cm="1">
        <f t="array" ref="AN64">_xlfn.IFS($AJ64="NO CHARGE",0,$AJ64=0,0,$AJ64&gt;0,PRODUCT(K64,$AJ64))</f>
        <v>3432.2003999999997</v>
      </c>
      <c r="AO64" s="105" cm="1">
        <f t="array" ref="AO64">_xlfn.IFS($AJ64="NO CHARGE",0,$AJ64=0,0,$AJ64&gt;0,PRODUCT(L64,$AJ64))</f>
        <v>3693.8104200000002</v>
      </c>
      <c r="AP64" s="105" cm="1">
        <f t="array" ref="AP64">_xlfn.IFS($AJ64="NO CHARGE",0,$AJ64=0,0,$AJ64&gt;0,PRODUCT(M64,$AJ64))</f>
        <v>3968.5009409999998</v>
      </c>
      <c r="AQ64" s="158">
        <f t="shared" si="38"/>
        <v>17223.319760999999</v>
      </c>
      <c r="AR64" s="875"/>
      <c r="AS64" s="889" t="s">
        <v>70</v>
      </c>
      <c r="AT64" s="106"/>
      <c r="AU64" s="107"/>
      <c r="AV64" s="108"/>
      <c r="AW64" s="108"/>
      <c r="AX64" s="108"/>
      <c r="AY64" s="108"/>
      <c r="AZ64" s="108"/>
      <c r="BA64" s="165"/>
      <c r="BB64" s="531"/>
      <c r="BC64" s="1100"/>
    </row>
    <row r="65" spans="1:55" s="495" customFormat="1" outlineLevel="1" x14ac:dyDescent="0.25">
      <c r="A65" s="445"/>
      <c r="B65" s="623" t="s">
        <v>106</v>
      </c>
      <c r="C65" s="310" t="s">
        <v>116</v>
      </c>
      <c r="D65" s="604"/>
      <c r="E65" s="604">
        <v>883</v>
      </c>
      <c r="F65" s="604">
        <v>849</v>
      </c>
      <c r="G65" s="604">
        <v>979</v>
      </c>
      <c r="H65" s="618">
        <f t="shared" ref="H65:H74" si="73">IFERROR(AVERAGE(D65:G65),0)</f>
        <v>903.66666666666663</v>
      </c>
      <c r="I65" s="127">
        <f t="shared" ref="I65:I91" si="74">H65*12</f>
        <v>10844</v>
      </c>
      <c r="J65" s="127">
        <f t="shared" ref="J65:M91" si="75">IF(I65&gt;12,(((I65)*$H$5)+I65),(I65*1))</f>
        <v>11386.2</v>
      </c>
      <c r="K65" s="127">
        <f t="shared" si="75"/>
        <v>11955.51</v>
      </c>
      <c r="L65" s="127">
        <f t="shared" si="75"/>
        <v>12553.2855</v>
      </c>
      <c r="M65" s="127">
        <f t="shared" si="75"/>
        <v>13180.949775000001</v>
      </c>
      <c r="N65" s="245" t="str">
        <f t="shared" si="71"/>
        <v>Card Activation Processing</v>
      </c>
      <c r="O65" s="748">
        <v>0.53884120000000002</v>
      </c>
      <c r="P65" s="757">
        <f t="shared" si="56"/>
        <v>486.93283106666672</v>
      </c>
      <c r="Q65" s="129">
        <f t="shared" si="57"/>
        <v>5843.1939728000007</v>
      </c>
      <c r="R65" s="129">
        <f t="shared" si="58"/>
        <v>6135.3536714400007</v>
      </c>
      <c r="S65" s="129">
        <f t="shared" si="59"/>
        <v>6442.1213550120001</v>
      </c>
      <c r="T65" s="129">
        <f t="shared" si="60"/>
        <v>6764.2274227626003</v>
      </c>
      <c r="U65" s="129">
        <f t="shared" si="61"/>
        <v>7102.4387939007311</v>
      </c>
      <c r="V65" s="209">
        <f t="shared" si="62"/>
        <v>32287.335215915333</v>
      </c>
      <c r="W65" s="528"/>
      <c r="X65" s="222" t="str">
        <f t="shared" si="72"/>
        <v>Card Activation Processing</v>
      </c>
      <c r="Y65" s="325">
        <v>0.53879999999999995</v>
      </c>
      <c r="Z65" s="774">
        <f t="shared" si="63"/>
        <v>486.8956</v>
      </c>
      <c r="AA65" s="103">
        <f t="shared" si="64"/>
        <v>5842.7471999999998</v>
      </c>
      <c r="AB65" s="103">
        <f t="shared" si="65"/>
        <v>6134.8845599999995</v>
      </c>
      <c r="AC65" s="103">
        <f t="shared" si="66"/>
        <v>6441.6287879999991</v>
      </c>
      <c r="AD65" s="103">
        <f t="shared" si="67"/>
        <v>6763.710227399999</v>
      </c>
      <c r="AE65" s="103">
        <f t="shared" si="68"/>
        <v>7101.8957387700002</v>
      </c>
      <c r="AF65" s="123">
        <f t="shared" si="69"/>
        <v>32284.866514169997</v>
      </c>
      <c r="AG65" s="743"/>
      <c r="AH65" s="370"/>
      <c r="AI65" s="221" t="str">
        <f t="shared" si="53"/>
        <v>Card Activation Processing</v>
      </c>
      <c r="AJ65" s="886">
        <v>0.53879999999999995</v>
      </c>
      <c r="AK65" s="896">
        <f t="shared" si="70"/>
        <v>486.8956</v>
      </c>
      <c r="AL65" s="105" cm="1">
        <f t="array" ref="AL65">_xlfn.IFS($AJ65="NO CHARGE",0,$AJ65=0,0,$AJ65&gt;0,PRODUCT(I65,$AJ65))</f>
        <v>5842.7471999999998</v>
      </c>
      <c r="AM65" s="105" cm="1">
        <f t="array" ref="AM65">_xlfn.IFS($AJ65="NO CHARGE",0,$AJ65=0,0,$AJ65&gt;0,PRODUCT(J65,$AJ65))</f>
        <v>6134.8845599999995</v>
      </c>
      <c r="AN65" s="105" cm="1">
        <f t="array" ref="AN65">_xlfn.IFS($AJ65="NO CHARGE",0,$AJ65=0,0,$AJ65&gt;0,PRODUCT(K65,$AJ65))</f>
        <v>6441.6287879999991</v>
      </c>
      <c r="AO65" s="105" cm="1">
        <f t="array" ref="AO65">_xlfn.IFS($AJ65="NO CHARGE",0,$AJ65=0,0,$AJ65&gt;0,PRODUCT(L65,$AJ65))</f>
        <v>6763.710227399999</v>
      </c>
      <c r="AP65" s="105" cm="1">
        <f t="array" ref="AP65">_xlfn.IFS($AJ65="NO CHARGE",0,$AJ65=0,0,$AJ65&gt;0,PRODUCT(M65,$AJ65))</f>
        <v>7101.8957387700002</v>
      </c>
      <c r="AQ65" s="158">
        <f t="shared" si="38"/>
        <v>32284.866514169997</v>
      </c>
      <c r="AR65" s="875"/>
      <c r="AS65" s="473"/>
      <c r="AT65" s="106"/>
      <c r="AU65" s="107"/>
      <c r="AV65" s="108"/>
      <c r="AW65" s="108"/>
      <c r="AX65" s="108"/>
      <c r="AY65" s="108"/>
      <c r="AZ65" s="108"/>
      <c r="BA65" s="165"/>
      <c r="BB65" s="531"/>
    </row>
    <row r="66" spans="1:55" s="495" customFormat="1" outlineLevel="1" x14ac:dyDescent="0.25">
      <c r="A66" s="445"/>
      <c r="B66" s="623" t="s">
        <v>106</v>
      </c>
      <c r="C66" s="310" t="s">
        <v>117</v>
      </c>
      <c r="D66" s="604"/>
      <c r="E66" s="604">
        <v>10</v>
      </c>
      <c r="F66" s="604">
        <v>10</v>
      </c>
      <c r="G66" s="604">
        <v>10</v>
      </c>
      <c r="H66" s="618">
        <f t="shared" si="73"/>
        <v>10</v>
      </c>
      <c r="I66" s="127">
        <f t="shared" si="74"/>
        <v>120</v>
      </c>
      <c r="J66" s="127">
        <f t="shared" si="75"/>
        <v>126</v>
      </c>
      <c r="K66" s="127">
        <f t="shared" si="75"/>
        <v>132.30000000000001</v>
      </c>
      <c r="L66" s="127">
        <f t="shared" si="75"/>
        <v>138.91500000000002</v>
      </c>
      <c r="M66" s="127">
        <f t="shared" si="75"/>
        <v>145.86075000000002</v>
      </c>
      <c r="N66" s="245" t="str">
        <f t="shared" si="71"/>
        <v>ATM Monitoring User Interface</v>
      </c>
      <c r="O66" s="781" t="s">
        <v>118</v>
      </c>
      <c r="P66" s="757">
        <f t="shared" si="56"/>
        <v>0</v>
      </c>
      <c r="Q66" s="129" cm="1">
        <f t="array" ref="Q66">_xlfn.IFS($O66="NO CHARGE",0,$O66&gt;0,$O66*I66)</f>
        <v>0</v>
      </c>
      <c r="R66" s="129" cm="1">
        <f t="array" ref="R66">_xlfn.IFS($O66="NO CHARGE",0,$O66&gt;0,$O66*J66)</f>
        <v>0</v>
      </c>
      <c r="S66" s="129" cm="1">
        <f t="array" ref="S66">_xlfn.IFS($O66="NO CHARGE",0,$O66&gt;0,$O66*K66)</f>
        <v>0</v>
      </c>
      <c r="T66" s="129" cm="1">
        <f t="array" ref="T66">_xlfn.IFS($O66="NO CHARGE",0,$O66&gt;0,$O66*L66)</f>
        <v>0</v>
      </c>
      <c r="U66" s="129" cm="1">
        <f t="array" ref="U66">_xlfn.IFS($O66="NO CHARGE",0,$O66&gt;0,$O66*M66)</f>
        <v>0</v>
      </c>
      <c r="V66" s="209">
        <f t="shared" si="62"/>
        <v>0</v>
      </c>
      <c r="W66" s="528"/>
      <c r="X66" s="222" t="str">
        <f t="shared" si="72"/>
        <v>ATM Monitoring User Interface</v>
      </c>
      <c r="Y66" s="325">
        <v>10</v>
      </c>
      <c r="Z66" s="774">
        <f t="shared" si="63"/>
        <v>100</v>
      </c>
      <c r="AA66" s="103">
        <f t="shared" si="64"/>
        <v>1200</v>
      </c>
      <c r="AB66" s="103">
        <f t="shared" si="65"/>
        <v>1260</v>
      </c>
      <c r="AC66" s="103">
        <f t="shared" si="66"/>
        <v>1323</v>
      </c>
      <c r="AD66" s="103">
        <f t="shared" si="67"/>
        <v>1389.15</v>
      </c>
      <c r="AE66" s="103">
        <f t="shared" si="68"/>
        <v>1458.6075000000003</v>
      </c>
      <c r="AF66" s="123">
        <f t="shared" si="69"/>
        <v>6630.7574999999997</v>
      </c>
      <c r="AG66" s="743"/>
      <c r="AH66" s="370"/>
      <c r="AI66" s="221" t="str">
        <f t="shared" si="53"/>
        <v>ATM Monitoring User Interface</v>
      </c>
      <c r="AJ66" s="886">
        <v>10</v>
      </c>
      <c r="AK66" s="896">
        <f t="shared" si="70"/>
        <v>100</v>
      </c>
      <c r="AL66" s="105" cm="1">
        <f t="array" ref="AL66">_xlfn.IFS($AJ66="NO CHARGE",0,$AJ66=0,0,$AJ66&gt;0,PRODUCT(I66,$AJ66))</f>
        <v>1200</v>
      </c>
      <c r="AM66" s="105" cm="1">
        <f t="array" ref="AM66">_xlfn.IFS($AJ66="NO CHARGE",0,$AJ66=0,0,$AJ66&gt;0,PRODUCT(J66,$AJ66))</f>
        <v>1260</v>
      </c>
      <c r="AN66" s="105" cm="1">
        <f t="array" ref="AN66">_xlfn.IFS($AJ66="NO CHARGE",0,$AJ66=0,0,$AJ66&gt;0,PRODUCT(K66,$AJ66))</f>
        <v>1323</v>
      </c>
      <c r="AO66" s="105" cm="1">
        <f t="array" ref="AO66">_xlfn.IFS($AJ66="NO CHARGE",0,$AJ66=0,0,$AJ66&gt;0,PRODUCT(L66,$AJ66))</f>
        <v>1389.15</v>
      </c>
      <c r="AP66" s="105" cm="1">
        <f t="array" ref="AP66">_xlfn.IFS($AJ66="NO CHARGE",0,$AJ66=0,0,$AJ66&gt;0,PRODUCT(M66,$AJ66))</f>
        <v>1458.6075000000003</v>
      </c>
      <c r="AQ66" s="158">
        <f t="shared" si="38"/>
        <v>6630.7574999999997</v>
      </c>
      <c r="AR66" s="875"/>
      <c r="AS66" s="473"/>
      <c r="AT66" s="106"/>
      <c r="AU66" s="107"/>
      <c r="AV66" s="108"/>
      <c r="AW66" s="108"/>
      <c r="AX66" s="108"/>
      <c r="AY66" s="108"/>
      <c r="AZ66" s="108"/>
      <c r="BA66" s="165"/>
      <c r="BB66" s="531"/>
    </row>
    <row r="67" spans="1:55" s="495" customFormat="1" outlineLevel="1" x14ac:dyDescent="0.25">
      <c r="A67" s="445"/>
      <c r="B67" s="623" t="s">
        <v>106</v>
      </c>
      <c r="C67" s="310" t="s">
        <v>119</v>
      </c>
      <c r="D67" s="604"/>
      <c r="E67" s="604">
        <v>10</v>
      </c>
      <c r="F67" s="604">
        <v>10</v>
      </c>
      <c r="G67" s="604">
        <v>10</v>
      </c>
      <c r="H67" s="618">
        <f t="shared" si="73"/>
        <v>10</v>
      </c>
      <c r="I67" s="127">
        <f t="shared" si="74"/>
        <v>120</v>
      </c>
      <c r="J67" s="127">
        <f t="shared" si="75"/>
        <v>126</v>
      </c>
      <c r="K67" s="127">
        <f t="shared" si="75"/>
        <v>132.30000000000001</v>
      </c>
      <c r="L67" s="127">
        <f t="shared" si="75"/>
        <v>138.91500000000002</v>
      </c>
      <c r="M67" s="127">
        <f t="shared" si="75"/>
        <v>145.86075000000002</v>
      </c>
      <c r="N67" s="245" t="str">
        <f t="shared" si="71"/>
        <v>ATM Terminal Support</v>
      </c>
      <c r="O67" s="247">
        <v>43.107292800000003</v>
      </c>
      <c r="P67" s="757">
        <f t="shared" si="56"/>
        <v>431.07292800000005</v>
      </c>
      <c r="Q67" s="129">
        <f t="shared" ref="Q67:Q108" si="76">IF(O67&gt;0,PRODUCT(I67,$O67),0)</f>
        <v>5172.8751360000006</v>
      </c>
      <c r="R67" s="129">
        <f t="shared" ref="R67:R108" si="77">IF(Q67&gt;0,PRODUCT(J67,$O67),0)</f>
        <v>5431.5188928000007</v>
      </c>
      <c r="S67" s="129">
        <f t="shared" ref="S67:S108" si="78">IF(R67&gt;0,PRODUCT(K67,$O67),0)</f>
        <v>5703.0948374400014</v>
      </c>
      <c r="T67" s="129">
        <f t="shared" ref="T67:T108" si="79">IF(S67&gt;0,PRODUCT(L67,$O67),0)</f>
        <v>5988.2495793120015</v>
      </c>
      <c r="U67" s="129">
        <f t="shared" ref="U67:U108" si="80">IF(T67&gt;0,PRODUCT(M67,$O67),0)</f>
        <v>6287.6620582776013</v>
      </c>
      <c r="V67" s="209">
        <f t="shared" si="62"/>
        <v>28583.400503829605</v>
      </c>
      <c r="W67" s="528"/>
      <c r="X67" s="222" t="str">
        <f t="shared" si="72"/>
        <v>ATM Terminal Support</v>
      </c>
      <c r="Y67" s="325">
        <v>43.107300000000002</v>
      </c>
      <c r="Z67" s="774">
        <f t="shared" si="63"/>
        <v>431.07300000000004</v>
      </c>
      <c r="AA67" s="103">
        <f t="shared" si="64"/>
        <v>5172.8760000000002</v>
      </c>
      <c r="AB67" s="103">
        <f t="shared" si="65"/>
        <v>5431.5198</v>
      </c>
      <c r="AC67" s="103">
        <f t="shared" si="66"/>
        <v>5703.0957900000012</v>
      </c>
      <c r="AD67" s="103">
        <f t="shared" si="67"/>
        <v>5988.2505795000015</v>
      </c>
      <c r="AE67" s="103">
        <f t="shared" si="68"/>
        <v>6287.6631084750015</v>
      </c>
      <c r="AF67" s="123">
        <f t="shared" si="69"/>
        <v>28583.405277975002</v>
      </c>
      <c r="AG67" s="743"/>
      <c r="AH67" s="370"/>
      <c r="AI67" s="221" t="str">
        <f t="shared" si="53"/>
        <v>ATM Terminal Support</v>
      </c>
      <c r="AJ67" s="886">
        <v>43.107300000000002</v>
      </c>
      <c r="AK67" s="896">
        <f t="shared" si="70"/>
        <v>431.07300000000004</v>
      </c>
      <c r="AL67" s="105" cm="1">
        <f t="array" ref="AL67">_xlfn.IFS($AJ67="NO CHARGE",0,$AJ67=0,0,$AJ67&gt;0,PRODUCT(I67,$AJ67))</f>
        <v>5172.8760000000002</v>
      </c>
      <c r="AM67" s="105" cm="1">
        <f t="array" ref="AM67">_xlfn.IFS($AJ67="NO CHARGE",0,$AJ67=0,0,$AJ67&gt;0,PRODUCT(J67,$AJ67))</f>
        <v>5431.5198</v>
      </c>
      <c r="AN67" s="105" cm="1">
        <f t="array" ref="AN67">_xlfn.IFS($AJ67="NO CHARGE",0,$AJ67=0,0,$AJ67&gt;0,PRODUCT(K67,$AJ67))</f>
        <v>5703.0957900000012</v>
      </c>
      <c r="AO67" s="105" cm="1">
        <f t="array" ref="AO67">_xlfn.IFS($AJ67="NO CHARGE",0,$AJ67=0,0,$AJ67&gt;0,PRODUCT(L67,$AJ67))</f>
        <v>5988.2505795000015</v>
      </c>
      <c r="AP67" s="105" cm="1">
        <f t="array" ref="AP67">_xlfn.IFS($AJ67="NO CHARGE",0,$AJ67=0,0,$AJ67&gt;0,PRODUCT(M67,$AJ67))</f>
        <v>6287.6631084750015</v>
      </c>
      <c r="AQ67" s="158">
        <f t="shared" si="38"/>
        <v>28583.405277975002</v>
      </c>
      <c r="AR67" s="875"/>
      <c r="AS67" s="473"/>
      <c r="AT67" s="106"/>
      <c r="AU67" s="107"/>
      <c r="AV67" s="108"/>
      <c r="AW67" s="108"/>
      <c r="AX67" s="108"/>
      <c r="AY67" s="108"/>
      <c r="AZ67" s="108"/>
      <c r="BA67" s="165"/>
      <c r="BB67" s="531"/>
      <c r="BC67" s="1100"/>
    </row>
    <row r="68" spans="1:55" s="495" customFormat="1" outlineLevel="1" x14ac:dyDescent="0.25">
      <c r="A68" s="445"/>
      <c r="B68" s="623" t="s">
        <v>106</v>
      </c>
      <c r="C68" s="310" t="s">
        <v>120</v>
      </c>
      <c r="D68" s="604"/>
      <c r="E68" s="604">
        <v>4789</v>
      </c>
      <c r="F68" s="604">
        <v>4618</v>
      </c>
      <c r="G68" s="604">
        <v>4763</v>
      </c>
      <c r="H68" s="618">
        <f t="shared" si="73"/>
        <v>4723.333333333333</v>
      </c>
      <c r="I68" s="127">
        <f t="shared" si="74"/>
        <v>56680</v>
      </c>
      <c r="J68" s="127">
        <f t="shared" si="75"/>
        <v>59514</v>
      </c>
      <c r="K68" s="127">
        <f t="shared" si="75"/>
        <v>62489.7</v>
      </c>
      <c r="L68" s="127">
        <f t="shared" si="75"/>
        <v>65614.184999999998</v>
      </c>
      <c r="M68" s="127">
        <f t="shared" si="75"/>
        <v>68894.894249999998</v>
      </c>
      <c r="N68" s="245" t="str">
        <f t="shared" si="71"/>
        <v>Surcharged Transactions</v>
      </c>
      <c r="O68" s="247">
        <v>2.69421E-2</v>
      </c>
      <c r="P68" s="757">
        <f t="shared" si="56"/>
        <v>127.25651900000001</v>
      </c>
      <c r="Q68" s="129">
        <f t="shared" si="76"/>
        <v>1527.0782280000001</v>
      </c>
      <c r="R68" s="129">
        <f t="shared" si="77"/>
        <v>1603.4321394000001</v>
      </c>
      <c r="S68" s="129">
        <f t="shared" si="78"/>
        <v>1683.60374637</v>
      </c>
      <c r="T68" s="129">
        <f t="shared" si="79"/>
        <v>1767.7839336884999</v>
      </c>
      <c r="U68" s="129">
        <f t="shared" si="80"/>
        <v>1856.173130372925</v>
      </c>
      <c r="V68" s="209">
        <f t="shared" si="62"/>
        <v>8438.0711778314253</v>
      </c>
      <c r="W68" s="528"/>
      <c r="X68" s="222" t="str">
        <f t="shared" si="72"/>
        <v>Surcharged Transactions</v>
      </c>
      <c r="Y68" s="733" t="s">
        <v>118</v>
      </c>
      <c r="Z68" s="774">
        <f t="shared" si="63"/>
        <v>0</v>
      </c>
      <c r="AA68" s="103" cm="1">
        <f t="array" ref="AA68">_xlfn.IFS($Y68="NO CHARGE",0,$Y68&gt;0,$Y68*I68)</f>
        <v>0</v>
      </c>
      <c r="AB68" s="103" cm="1">
        <f t="array" ref="AB68">_xlfn.IFS($Y68="NO CHARGE",0,$Y68&gt;0,$Y68*J68)</f>
        <v>0</v>
      </c>
      <c r="AC68" s="103" cm="1">
        <f t="array" ref="AC68">_xlfn.IFS($Y68="NO CHARGE",0,$Y68&gt;0,$Y68*K68)</f>
        <v>0</v>
      </c>
      <c r="AD68" s="103" cm="1">
        <f t="array" ref="AD68">_xlfn.IFS($Y68="NO CHARGE",0,$Y68&gt;0,$Y68*L68)</f>
        <v>0</v>
      </c>
      <c r="AE68" s="103" cm="1">
        <f t="array" ref="AE68">_xlfn.IFS($Y68="NO CHARGE",0,$Y68&gt;0,$Y68*M68)</f>
        <v>0</v>
      </c>
      <c r="AF68" s="123">
        <f t="shared" si="69"/>
        <v>0</v>
      </c>
      <c r="AG68" s="743"/>
      <c r="AH68" s="370"/>
      <c r="AI68" s="221" t="str">
        <f t="shared" si="53"/>
        <v>Surcharged Transactions</v>
      </c>
      <c r="AJ68" s="886" t="s">
        <v>118</v>
      </c>
      <c r="AK68" s="896">
        <f t="shared" si="70"/>
        <v>0</v>
      </c>
      <c r="AL68" s="105" cm="1">
        <f t="array" ref="AL68">_xlfn.IFS($AJ68="NO CHARGE",0,$AJ68=0,0,$AJ68&gt;0,PRODUCT(I68,$AJ68))</f>
        <v>0</v>
      </c>
      <c r="AM68" s="105" cm="1">
        <f t="array" ref="AM68">_xlfn.IFS($AJ68="NO CHARGE",0,$AJ68=0,0,$AJ68&gt;0,PRODUCT(J68,$AJ68))</f>
        <v>0</v>
      </c>
      <c r="AN68" s="105" cm="1">
        <f t="array" ref="AN68">_xlfn.IFS($AJ68="NO CHARGE",0,$AJ68=0,0,$AJ68&gt;0,PRODUCT(K68,$AJ68))</f>
        <v>0</v>
      </c>
      <c r="AO68" s="105" cm="1">
        <f t="array" ref="AO68">_xlfn.IFS($AJ68="NO CHARGE",0,$AJ68=0,0,$AJ68&gt;0,PRODUCT(L68,$AJ68))</f>
        <v>0</v>
      </c>
      <c r="AP68" s="105" cm="1">
        <f t="array" ref="AP68">_xlfn.IFS($AJ68="NO CHARGE",0,$AJ68=0,0,$AJ68&gt;0,PRODUCT(M68,$AJ68))</f>
        <v>0</v>
      </c>
      <c r="AQ68" s="158">
        <f t="shared" si="38"/>
        <v>0</v>
      </c>
      <c r="AR68" s="875"/>
      <c r="AS68" s="473"/>
      <c r="AT68" s="106"/>
      <c r="AU68" s="107"/>
      <c r="AV68" s="108"/>
      <c r="AW68" s="108"/>
      <c r="AX68" s="108"/>
      <c r="AY68" s="108"/>
      <c r="AZ68" s="108"/>
      <c r="BA68" s="165"/>
      <c r="BB68" s="531"/>
    </row>
    <row r="69" spans="1:55" s="495" customFormat="1" outlineLevel="1" x14ac:dyDescent="0.25">
      <c r="A69" s="445"/>
      <c r="B69" s="623" t="s">
        <v>106</v>
      </c>
      <c r="C69" s="310" t="s">
        <v>121</v>
      </c>
      <c r="D69" s="604"/>
      <c r="E69" s="604">
        <v>16006</v>
      </c>
      <c r="F69" s="604">
        <v>2580</v>
      </c>
      <c r="G69" s="604">
        <v>4654</v>
      </c>
      <c r="H69" s="618">
        <f t="shared" si="73"/>
        <v>7746.666666666667</v>
      </c>
      <c r="I69" s="127">
        <f t="shared" si="74"/>
        <v>92960</v>
      </c>
      <c r="J69" s="127">
        <f t="shared" si="75"/>
        <v>97608</v>
      </c>
      <c r="K69" s="127">
        <f t="shared" si="75"/>
        <v>102488.4</v>
      </c>
      <c r="L69" s="127">
        <f t="shared" si="75"/>
        <v>107612.81999999999</v>
      </c>
      <c r="M69" s="127">
        <f t="shared" si="75"/>
        <v>112993.461</v>
      </c>
      <c r="N69" s="245" t="str">
        <f t="shared" si="71"/>
        <v>Stand-In Transactions</v>
      </c>
      <c r="O69" s="247">
        <v>2.69421E-2</v>
      </c>
      <c r="P69" s="757">
        <f t="shared" si="56"/>
        <v>208.711468</v>
      </c>
      <c r="Q69" s="129">
        <f t="shared" si="76"/>
        <v>2504.5376160000001</v>
      </c>
      <c r="R69" s="129">
        <f t="shared" si="77"/>
        <v>2629.7644968</v>
      </c>
      <c r="S69" s="129">
        <f t="shared" si="78"/>
        <v>2761.2527216399999</v>
      </c>
      <c r="T69" s="129">
        <f t="shared" si="79"/>
        <v>2899.3153577219996</v>
      </c>
      <c r="U69" s="129">
        <f t="shared" si="80"/>
        <v>3044.2811256081</v>
      </c>
      <c r="V69" s="209">
        <f t="shared" si="62"/>
        <v>13839.1513177701</v>
      </c>
      <c r="W69" s="528"/>
      <c r="X69" s="222" t="str">
        <f t="shared" si="72"/>
        <v>Stand-In Transactions</v>
      </c>
      <c r="Y69" s="733" t="s">
        <v>118</v>
      </c>
      <c r="Z69" s="774">
        <f t="shared" si="63"/>
        <v>0</v>
      </c>
      <c r="AA69" s="103" cm="1">
        <f t="array" ref="AA69">_xlfn.IFS($Y69="NO CHARGE",0,$Y69&gt;0,$Y69*I69)</f>
        <v>0</v>
      </c>
      <c r="AB69" s="103" cm="1">
        <f t="array" ref="AB69">_xlfn.IFS($Y69="NO CHARGE",0,$Y69&gt;0,$Y69*J69)</f>
        <v>0</v>
      </c>
      <c r="AC69" s="103" cm="1">
        <f t="array" ref="AC69">_xlfn.IFS($Y69="NO CHARGE",0,$Y69&gt;0,$Y69*K69)</f>
        <v>0</v>
      </c>
      <c r="AD69" s="103" cm="1">
        <f t="array" ref="AD69">_xlfn.IFS($Y69="NO CHARGE",0,$Y69&gt;0,$Y69*L69)</f>
        <v>0</v>
      </c>
      <c r="AE69" s="103" cm="1">
        <f t="array" ref="AE69">_xlfn.IFS($Y69="NO CHARGE",0,$Y69&gt;0,$Y69*M69)</f>
        <v>0</v>
      </c>
      <c r="AF69" s="123">
        <f t="shared" si="69"/>
        <v>0</v>
      </c>
      <c r="AG69" s="743"/>
      <c r="AH69" s="370"/>
      <c r="AI69" s="221" t="str">
        <f t="shared" si="53"/>
        <v>Stand-In Transactions</v>
      </c>
      <c r="AJ69" s="886" t="s">
        <v>118</v>
      </c>
      <c r="AK69" s="896">
        <f t="shared" si="70"/>
        <v>0</v>
      </c>
      <c r="AL69" s="105" cm="1">
        <f t="array" ref="AL69">_xlfn.IFS($AJ69="NO CHARGE",0,$AJ69=0,0,$AJ69&gt;0,PRODUCT(I69,$AJ69))</f>
        <v>0</v>
      </c>
      <c r="AM69" s="105" cm="1">
        <f t="array" ref="AM69">_xlfn.IFS($AJ69="NO CHARGE",0,$AJ69=0,0,$AJ69&gt;0,PRODUCT(J69,$AJ69))</f>
        <v>0</v>
      </c>
      <c r="AN69" s="105" cm="1">
        <f t="array" ref="AN69">_xlfn.IFS($AJ69="NO CHARGE",0,$AJ69=0,0,$AJ69&gt;0,PRODUCT(K69,$AJ69))</f>
        <v>0</v>
      </c>
      <c r="AO69" s="105" cm="1">
        <f t="array" ref="AO69">_xlfn.IFS($AJ69="NO CHARGE",0,$AJ69=0,0,$AJ69&gt;0,PRODUCT(L69,$AJ69))</f>
        <v>0</v>
      </c>
      <c r="AP69" s="105" cm="1">
        <f t="array" ref="AP69">_xlfn.IFS($AJ69="NO CHARGE",0,$AJ69=0,0,$AJ69&gt;0,PRODUCT(M69,$AJ69))</f>
        <v>0</v>
      </c>
      <c r="AQ69" s="158">
        <f t="shared" si="38"/>
        <v>0</v>
      </c>
      <c r="AR69" s="875"/>
      <c r="AS69" s="473"/>
      <c r="AT69" s="106"/>
      <c r="AU69" s="107"/>
      <c r="AV69" s="108"/>
      <c r="AW69" s="108"/>
      <c r="AX69" s="108"/>
      <c r="AY69" s="108"/>
      <c r="AZ69" s="108"/>
      <c r="BA69" s="165"/>
      <c r="BB69" s="531"/>
    </row>
    <row r="70" spans="1:55" s="495" customFormat="1" outlineLevel="1" x14ac:dyDescent="0.25">
      <c r="A70" s="445"/>
      <c r="B70" s="623" t="s">
        <v>106</v>
      </c>
      <c r="C70" s="310" t="s">
        <v>122</v>
      </c>
      <c r="D70" s="604"/>
      <c r="E70" s="604">
        <v>556</v>
      </c>
      <c r="F70" s="604">
        <v>573</v>
      </c>
      <c r="G70" s="604">
        <v>710</v>
      </c>
      <c r="H70" s="618">
        <f t="shared" si="73"/>
        <v>613</v>
      </c>
      <c r="I70" s="127">
        <f t="shared" si="74"/>
        <v>7356</v>
      </c>
      <c r="J70" s="127">
        <f t="shared" si="75"/>
        <v>7723.8</v>
      </c>
      <c r="K70" s="127">
        <f t="shared" si="75"/>
        <v>8109.99</v>
      </c>
      <c r="L70" s="127">
        <f t="shared" si="75"/>
        <v>8515.4894999999997</v>
      </c>
      <c r="M70" s="127">
        <f t="shared" si="75"/>
        <v>8941.2639749999998</v>
      </c>
      <c r="N70" s="245" t="str">
        <f t="shared" si="71"/>
        <v>PIN Select/Change at IVR</v>
      </c>
      <c r="O70" s="247">
        <v>0.53884100000000001</v>
      </c>
      <c r="P70" s="757">
        <f t="shared" si="56"/>
        <v>330.30953300000004</v>
      </c>
      <c r="Q70" s="129">
        <f t="shared" si="76"/>
        <v>3963.7143960000003</v>
      </c>
      <c r="R70" s="129">
        <f t="shared" si="77"/>
        <v>4161.9001158000001</v>
      </c>
      <c r="S70" s="129">
        <f t="shared" si="78"/>
        <v>4369.9951215900001</v>
      </c>
      <c r="T70" s="129">
        <f t="shared" si="79"/>
        <v>4588.4948776695001</v>
      </c>
      <c r="U70" s="129">
        <f t="shared" si="80"/>
        <v>4817.9196215529746</v>
      </c>
      <c r="V70" s="209">
        <f t="shared" si="62"/>
        <v>21902.024132612474</v>
      </c>
      <c r="W70" s="528"/>
      <c r="X70" s="222" t="str">
        <f t="shared" si="72"/>
        <v>PIN Select/Change at IVR</v>
      </c>
      <c r="Y70" s="325">
        <v>0.53879999999999995</v>
      </c>
      <c r="Z70" s="774">
        <f t="shared" si="63"/>
        <v>330.28439999999995</v>
      </c>
      <c r="AA70" s="103">
        <f t="shared" ref="AA70:AA77" si="81">IF(Y70&gt;0,PRODUCT(I70,$Y70),0)</f>
        <v>3963.4127999999996</v>
      </c>
      <c r="AB70" s="103">
        <f t="shared" ref="AB70:AE77" si="82">IF(AA70&gt;0,PRODUCT(J70,$Y70),0)</f>
        <v>4161.5834399999994</v>
      </c>
      <c r="AC70" s="103">
        <f t="shared" si="82"/>
        <v>4369.6626119999992</v>
      </c>
      <c r="AD70" s="103">
        <f t="shared" si="82"/>
        <v>4588.1457425999997</v>
      </c>
      <c r="AE70" s="103">
        <f t="shared" si="82"/>
        <v>4817.5530297299993</v>
      </c>
      <c r="AF70" s="123">
        <f t="shared" si="69"/>
        <v>21900.357624329998</v>
      </c>
      <c r="AG70" s="743"/>
      <c r="AH70" s="370"/>
      <c r="AI70" s="221" t="str">
        <f t="shared" si="53"/>
        <v>PIN Select/Change at IVR</v>
      </c>
      <c r="AJ70" s="886">
        <v>0.53879999999999995</v>
      </c>
      <c r="AK70" s="896">
        <f t="shared" si="70"/>
        <v>330.28439999999995</v>
      </c>
      <c r="AL70" s="105" cm="1">
        <f t="array" ref="AL70">_xlfn.IFS($AJ70="NO CHARGE",0,$AJ70=0,0,$AJ70&gt;0,PRODUCT(I70,$AJ70))</f>
        <v>3963.4127999999996</v>
      </c>
      <c r="AM70" s="105" cm="1">
        <f t="array" ref="AM70">_xlfn.IFS($AJ70="NO CHARGE",0,$AJ70=0,0,$AJ70&gt;0,PRODUCT(J70,$AJ70))</f>
        <v>4161.5834399999994</v>
      </c>
      <c r="AN70" s="105" cm="1">
        <f t="array" ref="AN70">_xlfn.IFS($AJ70="NO CHARGE",0,$AJ70=0,0,$AJ70&gt;0,PRODUCT(K70,$AJ70))</f>
        <v>4369.6626119999992</v>
      </c>
      <c r="AO70" s="105" cm="1">
        <f t="array" ref="AO70">_xlfn.IFS($AJ70="NO CHARGE",0,$AJ70=0,0,$AJ70&gt;0,PRODUCT(L70,$AJ70))</f>
        <v>4588.1457425999997</v>
      </c>
      <c r="AP70" s="105" cm="1">
        <f t="array" ref="AP70">_xlfn.IFS($AJ70="NO CHARGE",0,$AJ70=0,0,$AJ70&gt;0,PRODUCT(M70,$AJ70))</f>
        <v>4817.5530297299993</v>
      </c>
      <c r="AQ70" s="158">
        <f t="shared" si="38"/>
        <v>21900.357624329998</v>
      </c>
      <c r="AR70" s="875"/>
      <c r="AS70" s="473"/>
      <c r="AT70" s="106"/>
      <c r="AU70" s="107"/>
      <c r="AV70" s="108"/>
      <c r="AW70" s="108"/>
      <c r="AX70" s="108"/>
      <c r="AY70" s="108"/>
      <c r="AZ70" s="108"/>
      <c r="BA70" s="165"/>
      <c r="BB70" s="531"/>
      <c r="BC70" s="1100"/>
    </row>
    <row r="71" spans="1:55" s="495" customFormat="1" outlineLevel="1" x14ac:dyDescent="0.25">
      <c r="A71" s="445"/>
      <c r="B71" s="623" t="s">
        <v>106</v>
      </c>
      <c r="C71" s="310" t="s">
        <v>123</v>
      </c>
      <c r="D71" s="604"/>
      <c r="E71" s="604">
        <v>1</v>
      </c>
      <c r="F71" s="604">
        <v>1</v>
      </c>
      <c r="G71" s="604">
        <v>1</v>
      </c>
      <c r="H71" s="618">
        <f t="shared" si="73"/>
        <v>1</v>
      </c>
      <c r="I71" s="127">
        <f t="shared" si="74"/>
        <v>12</v>
      </c>
      <c r="J71" s="127">
        <f t="shared" si="75"/>
        <v>12</v>
      </c>
      <c r="K71" s="127">
        <f t="shared" si="75"/>
        <v>12</v>
      </c>
      <c r="L71" s="127">
        <f t="shared" si="75"/>
        <v>12</v>
      </c>
      <c r="M71" s="127">
        <f t="shared" si="75"/>
        <v>12</v>
      </c>
      <c r="N71" s="245" t="str">
        <f t="shared" si="71"/>
        <v>Network Connection - CIRRUS</v>
      </c>
      <c r="O71" s="247">
        <v>53.88</v>
      </c>
      <c r="P71" s="757">
        <f t="shared" si="56"/>
        <v>53.88</v>
      </c>
      <c r="Q71" s="129">
        <f t="shared" si="76"/>
        <v>646.56000000000006</v>
      </c>
      <c r="R71" s="129">
        <f t="shared" si="77"/>
        <v>646.56000000000006</v>
      </c>
      <c r="S71" s="129">
        <f t="shared" si="78"/>
        <v>646.56000000000006</v>
      </c>
      <c r="T71" s="129">
        <f t="shared" si="79"/>
        <v>646.56000000000006</v>
      </c>
      <c r="U71" s="129">
        <f t="shared" si="80"/>
        <v>646.56000000000006</v>
      </c>
      <c r="V71" s="209">
        <f t="shared" si="62"/>
        <v>3232.8</v>
      </c>
      <c r="W71" s="528"/>
      <c r="X71" s="222" t="str">
        <f t="shared" si="72"/>
        <v>Network Connection - CIRRUS</v>
      </c>
      <c r="Y71" s="325">
        <v>53.88</v>
      </c>
      <c r="Z71" s="774">
        <f t="shared" si="63"/>
        <v>53.88</v>
      </c>
      <c r="AA71" s="103">
        <f t="shared" si="81"/>
        <v>646.56000000000006</v>
      </c>
      <c r="AB71" s="103">
        <f t="shared" si="82"/>
        <v>646.56000000000006</v>
      </c>
      <c r="AC71" s="103">
        <f t="shared" si="82"/>
        <v>646.56000000000006</v>
      </c>
      <c r="AD71" s="103">
        <f t="shared" si="82"/>
        <v>646.56000000000006</v>
      </c>
      <c r="AE71" s="103">
        <f t="shared" si="82"/>
        <v>646.56000000000006</v>
      </c>
      <c r="AF71" s="123">
        <f t="shared" si="69"/>
        <v>3232.8</v>
      </c>
      <c r="AG71" s="743"/>
      <c r="AH71" s="370"/>
      <c r="AI71" s="221" t="str">
        <f t="shared" si="53"/>
        <v>Network Connection - CIRRUS</v>
      </c>
      <c r="AJ71" s="886">
        <v>53.88</v>
      </c>
      <c r="AK71" s="896">
        <f t="shared" si="70"/>
        <v>53.88</v>
      </c>
      <c r="AL71" s="105" cm="1">
        <f t="array" ref="AL71">_xlfn.IFS($AJ71="NO CHARGE",0,$AJ71=0,0,$AJ71&gt;0,PRODUCT(I71,$AJ71))</f>
        <v>646.56000000000006</v>
      </c>
      <c r="AM71" s="105" cm="1">
        <f t="array" ref="AM71">_xlfn.IFS($AJ71="NO CHARGE",0,$AJ71=0,0,$AJ71&gt;0,PRODUCT(J71,$AJ71))</f>
        <v>646.56000000000006</v>
      </c>
      <c r="AN71" s="105" cm="1">
        <f t="array" ref="AN71">_xlfn.IFS($AJ71="NO CHARGE",0,$AJ71=0,0,$AJ71&gt;0,PRODUCT(K71,$AJ71))</f>
        <v>646.56000000000006</v>
      </c>
      <c r="AO71" s="105" cm="1">
        <f t="array" ref="AO71">_xlfn.IFS($AJ71="NO CHARGE",0,$AJ71=0,0,$AJ71&gt;0,PRODUCT(L71,$AJ71))</f>
        <v>646.56000000000006</v>
      </c>
      <c r="AP71" s="105" cm="1">
        <f t="array" ref="AP71">_xlfn.IFS($AJ71="NO CHARGE",0,$AJ71=0,0,$AJ71&gt;0,PRODUCT(M71,$AJ71))</f>
        <v>646.56000000000006</v>
      </c>
      <c r="AQ71" s="158">
        <f t="shared" si="38"/>
        <v>3232.8</v>
      </c>
      <c r="AR71" s="875"/>
      <c r="AS71" s="473"/>
      <c r="AT71" s="106"/>
      <c r="AU71" s="107"/>
      <c r="AV71" s="108"/>
      <c r="AW71" s="108"/>
      <c r="AX71" s="108"/>
      <c r="AY71" s="108"/>
      <c r="AZ71" s="108"/>
      <c r="BA71" s="165"/>
      <c r="BB71" s="531"/>
      <c r="BC71" s="1100"/>
    </row>
    <row r="72" spans="1:55" s="495" customFormat="1" outlineLevel="1" x14ac:dyDescent="0.25">
      <c r="A72" s="445"/>
      <c r="B72" s="623" t="s">
        <v>106</v>
      </c>
      <c r="C72" s="310" t="s">
        <v>124</v>
      </c>
      <c r="D72" s="604"/>
      <c r="E72" s="604">
        <v>1</v>
      </c>
      <c r="F72" s="604">
        <v>1</v>
      </c>
      <c r="G72" s="604">
        <v>1</v>
      </c>
      <c r="H72" s="618">
        <f t="shared" si="73"/>
        <v>1</v>
      </c>
      <c r="I72" s="127">
        <f t="shared" si="74"/>
        <v>12</v>
      </c>
      <c r="J72" s="127">
        <f t="shared" si="75"/>
        <v>12</v>
      </c>
      <c r="K72" s="127">
        <f t="shared" si="75"/>
        <v>12</v>
      </c>
      <c r="L72" s="127">
        <f t="shared" si="75"/>
        <v>12</v>
      </c>
      <c r="M72" s="127">
        <f t="shared" si="75"/>
        <v>12</v>
      </c>
      <c r="N72" s="245" t="str">
        <f t="shared" si="71"/>
        <v>Network Connection - NYCE</v>
      </c>
      <c r="O72" s="247">
        <v>53.88</v>
      </c>
      <c r="P72" s="757">
        <f t="shared" si="56"/>
        <v>53.88</v>
      </c>
      <c r="Q72" s="129">
        <f t="shared" si="76"/>
        <v>646.56000000000006</v>
      </c>
      <c r="R72" s="129">
        <f t="shared" si="77"/>
        <v>646.56000000000006</v>
      </c>
      <c r="S72" s="129">
        <f t="shared" si="78"/>
        <v>646.56000000000006</v>
      </c>
      <c r="T72" s="129">
        <f t="shared" si="79"/>
        <v>646.56000000000006</v>
      </c>
      <c r="U72" s="129">
        <f t="shared" si="80"/>
        <v>646.56000000000006</v>
      </c>
      <c r="V72" s="209">
        <f t="shared" si="62"/>
        <v>3232.8</v>
      </c>
      <c r="W72" s="528"/>
      <c r="X72" s="222" t="str">
        <f t="shared" si="72"/>
        <v>Network Connection - NYCE</v>
      </c>
      <c r="Y72" s="325">
        <v>53.88</v>
      </c>
      <c r="Z72" s="774">
        <f t="shared" si="63"/>
        <v>53.88</v>
      </c>
      <c r="AA72" s="103">
        <f t="shared" si="81"/>
        <v>646.56000000000006</v>
      </c>
      <c r="AB72" s="103">
        <f t="shared" si="82"/>
        <v>646.56000000000006</v>
      </c>
      <c r="AC72" s="103">
        <f t="shared" si="82"/>
        <v>646.56000000000006</v>
      </c>
      <c r="AD72" s="103">
        <f t="shared" si="82"/>
        <v>646.56000000000006</v>
      </c>
      <c r="AE72" s="103">
        <f t="shared" si="82"/>
        <v>646.56000000000006</v>
      </c>
      <c r="AF72" s="123">
        <f t="shared" si="69"/>
        <v>3232.8</v>
      </c>
      <c r="AG72" s="743"/>
      <c r="AH72" s="370"/>
      <c r="AI72" s="221" t="str">
        <f t="shared" si="53"/>
        <v>Network Connection - NYCE</v>
      </c>
      <c r="AJ72" s="886">
        <v>53.88</v>
      </c>
      <c r="AK72" s="896">
        <f t="shared" si="70"/>
        <v>53.88</v>
      </c>
      <c r="AL72" s="105" cm="1">
        <f t="array" ref="AL72">_xlfn.IFS($AJ72="NO CHARGE",0,$AJ72=0,0,$AJ72&gt;0,PRODUCT(I72,$AJ72))</f>
        <v>646.56000000000006</v>
      </c>
      <c r="AM72" s="105" cm="1">
        <f t="array" ref="AM72">_xlfn.IFS($AJ72="NO CHARGE",0,$AJ72=0,0,$AJ72&gt;0,PRODUCT(J72,$AJ72))</f>
        <v>646.56000000000006</v>
      </c>
      <c r="AN72" s="105" cm="1">
        <f t="array" ref="AN72">_xlfn.IFS($AJ72="NO CHARGE",0,$AJ72=0,0,$AJ72&gt;0,PRODUCT(K72,$AJ72))</f>
        <v>646.56000000000006</v>
      </c>
      <c r="AO72" s="105" cm="1">
        <f t="array" ref="AO72">_xlfn.IFS($AJ72="NO CHARGE",0,$AJ72=0,0,$AJ72&gt;0,PRODUCT(L72,$AJ72))</f>
        <v>646.56000000000006</v>
      </c>
      <c r="AP72" s="105" cm="1">
        <f t="array" ref="AP72">_xlfn.IFS($AJ72="NO CHARGE",0,$AJ72=0,0,$AJ72&gt;0,PRODUCT(M72,$AJ72))</f>
        <v>646.56000000000006</v>
      </c>
      <c r="AQ72" s="158">
        <f t="shared" si="38"/>
        <v>3232.8</v>
      </c>
      <c r="AR72" s="875"/>
      <c r="AS72" s="473"/>
      <c r="AT72" s="106"/>
      <c r="AU72" s="107"/>
      <c r="AV72" s="108"/>
      <c r="AW72" s="108"/>
      <c r="AX72" s="108"/>
      <c r="AY72" s="108"/>
      <c r="AZ72" s="108"/>
      <c r="BA72" s="165"/>
      <c r="BB72" s="531"/>
      <c r="BC72" s="1100"/>
    </row>
    <row r="73" spans="1:55" s="495" customFormat="1" outlineLevel="1" x14ac:dyDescent="0.25">
      <c r="A73" s="445"/>
      <c r="B73" s="623" t="s">
        <v>106</v>
      </c>
      <c r="C73" s="310" t="s">
        <v>125</v>
      </c>
      <c r="D73" s="604"/>
      <c r="E73" s="604">
        <v>1</v>
      </c>
      <c r="F73" s="604">
        <v>1</v>
      </c>
      <c r="G73" s="604">
        <v>1</v>
      </c>
      <c r="H73" s="618">
        <f t="shared" si="73"/>
        <v>1</v>
      </c>
      <c r="I73" s="127">
        <f t="shared" si="74"/>
        <v>12</v>
      </c>
      <c r="J73" s="127">
        <f t="shared" si="75"/>
        <v>12</v>
      </c>
      <c r="K73" s="127">
        <f t="shared" si="75"/>
        <v>12</v>
      </c>
      <c r="L73" s="127">
        <f t="shared" si="75"/>
        <v>12</v>
      </c>
      <c r="M73" s="127">
        <f t="shared" si="75"/>
        <v>12</v>
      </c>
      <c r="N73" s="245" t="str">
        <f t="shared" si="71"/>
        <v>Network Connection - PLUS</v>
      </c>
      <c r="O73" s="247">
        <v>53.88</v>
      </c>
      <c r="P73" s="757">
        <f t="shared" si="56"/>
        <v>53.88</v>
      </c>
      <c r="Q73" s="129">
        <f t="shared" si="76"/>
        <v>646.56000000000006</v>
      </c>
      <c r="R73" s="129">
        <f t="shared" si="77"/>
        <v>646.56000000000006</v>
      </c>
      <c r="S73" s="129">
        <f t="shared" si="78"/>
        <v>646.56000000000006</v>
      </c>
      <c r="T73" s="129">
        <f t="shared" si="79"/>
        <v>646.56000000000006</v>
      </c>
      <c r="U73" s="129">
        <f t="shared" si="80"/>
        <v>646.56000000000006</v>
      </c>
      <c r="V73" s="209">
        <f t="shared" si="62"/>
        <v>3232.8</v>
      </c>
      <c r="W73" s="528"/>
      <c r="X73" s="222" t="str">
        <f t="shared" si="72"/>
        <v>Network Connection - PLUS</v>
      </c>
      <c r="Y73" s="325">
        <v>53.88</v>
      </c>
      <c r="Z73" s="774">
        <f t="shared" si="63"/>
        <v>53.88</v>
      </c>
      <c r="AA73" s="103">
        <f t="shared" si="81"/>
        <v>646.56000000000006</v>
      </c>
      <c r="AB73" s="103">
        <f t="shared" si="82"/>
        <v>646.56000000000006</v>
      </c>
      <c r="AC73" s="103">
        <f t="shared" si="82"/>
        <v>646.56000000000006</v>
      </c>
      <c r="AD73" s="103">
        <f t="shared" si="82"/>
        <v>646.56000000000006</v>
      </c>
      <c r="AE73" s="103">
        <f t="shared" si="82"/>
        <v>646.56000000000006</v>
      </c>
      <c r="AF73" s="123">
        <f t="shared" si="69"/>
        <v>3232.8</v>
      </c>
      <c r="AG73" s="743"/>
      <c r="AH73" s="370"/>
      <c r="AI73" s="221" t="str">
        <f t="shared" si="53"/>
        <v>Network Connection - PLUS</v>
      </c>
      <c r="AJ73" s="886">
        <v>53.88</v>
      </c>
      <c r="AK73" s="896">
        <f t="shared" si="70"/>
        <v>53.88</v>
      </c>
      <c r="AL73" s="105" cm="1">
        <f t="array" ref="AL73">_xlfn.IFS($AJ73="NO CHARGE",0,$AJ73=0,0,$AJ73&gt;0,PRODUCT(I73,$AJ73))</f>
        <v>646.56000000000006</v>
      </c>
      <c r="AM73" s="105" cm="1">
        <f t="array" ref="AM73">_xlfn.IFS($AJ73="NO CHARGE",0,$AJ73=0,0,$AJ73&gt;0,PRODUCT(J73,$AJ73))</f>
        <v>646.56000000000006</v>
      </c>
      <c r="AN73" s="105" cm="1">
        <f t="array" ref="AN73">_xlfn.IFS($AJ73="NO CHARGE",0,$AJ73=0,0,$AJ73&gt;0,PRODUCT(K73,$AJ73))</f>
        <v>646.56000000000006</v>
      </c>
      <c r="AO73" s="105" cm="1">
        <f t="array" ref="AO73">_xlfn.IFS($AJ73="NO CHARGE",0,$AJ73=0,0,$AJ73&gt;0,PRODUCT(L73,$AJ73))</f>
        <v>646.56000000000006</v>
      </c>
      <c r="AP73" s="105" cm="1">
        <f t="array" ref="AP73">_xlfn.IFS($AJ73="NO CHARGE",0,$AJ73=0,0,$AJ73&gt;0,PRODUCT(M73,$AJ73))</f>
        <v>646.56000000000006</v>
      </c>
      <c r="AQ73" s="158">
        <f t="shared" si="38"/>
        <v>3232.8</v>
      </c>
      <c r="AR73" s="875"/>
      <c r="AS73" s="473"/>
      <c r="AT73" s="106"/>
      <c r="AU73" s="107"/>
      <c r="AV73" s="108"/>
      <c r="AW73" s="108"/>
      <c r="AX73" s="108"/>
      <c r="AY73" s="108"/>
      <c r="AZ73" s="108"/>
      <c r="BA73" s="165"/>
      <c r="BB73" s="531"/>
    </row>
    <row r="74" spans="1:55" s="495" customFormat="1" outlineLevel="1" x14ac:dyDescent="0.25">
      <c r="A74" s="445"/>
      <c r="B74" s="623" t="s">
        <v>106</v>
      </c>
      <c r="C74" s="310" t="s">
        <v>126</v>
      </c>
      <c r="D74" s="604"/>
      <c r="E74" s="604">
        <v>1</v>
      </c>
      <c r="F74" s="604">
        <v>1</v>
      </c>
      <c r="G74" s="604">
        <v>1</v>
      </c>
      <c r="H74" s="618">
        <f t="shared" si="73"/>
        <v>1</v>
      </c>
      <c r="I74" s="127">
        <f t="shared" si="74"/>
        <v>12</v>
      </c>
      <c r="J74" s="127">
        <f t="shared" si="75"/>
        <v>12</v>
      </c>
      <c r="K74" s="127">
        <f t="shared" si="75"/>
        <v>12</v>
      </c>
      <c r="L74" s="127">
        <f t="shared" si="75"/>
        <v>12</v>
      </c>
      <c r="M74" s="127">
        <f t="shared" si="75"/>
        <v>12</v>
      </c>
      <c r="N74" s="245" t="str">
        <f t="shared" si="71"/>
        <v>Quarterly Reporting</v>
      </c>
      <c r="O74" s="247">
        <v>35.92</v>
      </c>
      <c r="P74" s="757">
        <f t="shared" si="56"/>
        <v>35.92</v>
      </c>
      <c r="Q74" s="129">
        <f t="shared" si="76"/>
        <v>431.04</v>
      </c>
      <c r="R74" s="129">
        <f t="shared" si="77"/>
        <v>431.04</v>
      </c>
      <c r="S74" s="129">
        <f t="shared" si="78"/>
        <v>431.04</v>
      </c>
      <c r="T74" s="129">
        <f t="shared" si="79"/>
        <v>431.04</v>
      </c>
      <c r="U74" s="129">
        <f t="shared" si="80"/>
        <v>431.04</v>
      </c>
      <c r="V74" s="209">
        <f t="shared" si="62"/>
        <v>2155.2000000000003</v>
      </c>
      <c r="W74" s="528"/>
      <c r="X74" s="222" t="str">
        <f t="shared" si="72"/>
        <v>Quarterly Reporting</v>
      </c>
      <c r="Y74" s="325">
        <v>35.92</v>
      </c>
      <c r="Z74" s="774">
        <f t="shared" si="63"/>
        <v>35.92</v>
      </c>
      <c r="AA74" s="103">
        <f t="shared" si="81"/>
        <v>431.04</v>
      </c>
      <c r="AB74" s="103">
        <f t="shared" si="82"/>
        <v>431.04</v>
      </c>
      <c r="AC74" s="103">
        <f t="shared" si="82"/>
        <v>431.04</v>
      </c>
      <c r="AD74" s="103">
        <f t="shared" si="82"/>
        <v>431.04</v>
      </c>
      <c r="AE74" s="103">
        <f t="shared" si="82"/>
        <v>431.04</v>
      </c>
      <c r="AF74" s="123">
        <f t="shared" si="69"/>
        <v>2155.2000000000003</v>
      </c>
      <c r="AG74" s="743"/>
      <c r="AH74" s="370"/>
      <c r="AI74" s="221" t="str">
        <f t="shared" si="53"/>
        <v>Quarterly Reporting</v>
      </c>
      <c r="AJ74" s="886">
        <v>35.92</v>
      </c>
      <c r="AK74" s="896">
        <f t="shared" si="70"/>
        <v>35.92</v>
      </c>
      <c r="AL74" s="105" cm="1">
        <f t="array" ref="AL74">_xlfn.IFS($AJ74="NO CHARGE",0,$AJ74=0,0,$AJ74&gt;0,PRODUCT(I74,$AJ74))</f>
        <v>431.04</v>
      </c>
      <c r="AM74" s="105" cm="1">
        <f t="array" ref="AM74">_xlfn.IFS($AJ74="NO CHARGE",0,$AJ74=0,0,$AJ74&gt;0,PRODUCT(J74,$AJ74))</f>
        <v>431.04</v>
      </c>
      <c r="AN74" s="105" cm="1">
        <f t="array" ref="AN74">_xlfn.IFS($AJ74="NO CHARGE",0,$AJ74=0,0,$AJ74&gt;0,PRODUCT(K74,$AJ74))</f>
        <v>431.04</v>
      </c>
      <c r="AO74" s="105" cm="1">
        <f t="array" ref="AO74">_xlfn.IFS($AJ74="NO CHARGE",0,$AJ74=0,0,$AJ74&gt;0,PRODUCT(L74,$AJ74))</f>
        <v>431.04</v>
      </c>
      <c r="AP74" s="105" cm="1">
        <f t="array" ref="AP74">_xlfn.IFS($AJ74="NO CHARGE",0,$AJ74=0,0,$AJ74&gt;0,PRODUCT(M74,$AJ74))</f>
        <v>431.04</v>
      </c>
      <c r="AQ74" s="158">
        <f t="shared" si="38"/>
        <v>2155.2000000000003</v>
      </c>
      <c r="AR74" s="875"/>
      <c r="AS74" s="473"/>
      <c r="AT74" s="106"/>
      <c r="AU74" s="107"/>
      <c r="AV74" s="108"/>
      <c r="AW74" s="108"/>
      <c r="AX74" s="108"/>
      <c r="AY74" s="108"/>
      <c r="AZ74" s="108"/>
      <c r="BA74" s="165"/>
      <c r="BB74" s="531"/>
    </row>
    <row r="75" spans="1:55" s="495" customFormat="1" outlineLevel="1" x14ac:dyDescent="0.25">
      <c r="A75" s="700"/>
      <c r="B75" s="623" t="s">
        <v>106</v>
      </c>
      <c r="C75" s="310" t="s">
        <v>127</v>
      </c>
      <c r="D75" s="604"/>
      <c r="E75" s="604"/>
      <c r="F75" s="604"/>
      <c r="G75" s="604"/>
      <c r="H75" s="735">
        <v>1</v>
      </c>
      <c r="I75" s="127">
        <f t="shared" si="74"/>
        <v>12</v>
      </c>
      <c r="J75" s="127">
        <f t="shared" si="75"/>
        <v>12</v>
      </c>
      <c r="K75" s="127">
        <f t="shared" si="75"/>
        <v>12</v>
      </c>
      <c r="L75" s="127">
        <f t="shared" si="75"/>
        <v>12</v>
      </c>
      <c r="M75" s="127">
        <f t="shared" si="75"/>
        <v>12</v>
      </c>
      <c r="N75" s="245" t="s">
        <v>128</v>
      </c>
      <c r="O75" s="748"/>
      <c r="P75" s="757">
        <f t="shared" si="56"/>
        <v>0</v>
      </c>
      <c r="Q75" s="129">
        <f t="shared" si="76"/>
        <v>0</v>
      </c>
      <c r="R75" s="129">
        <f t="shared" si="77"/>
        <v>0</v>
      </c>
      <c r="S75" s="129">
        <f t="shared" si="78"/>
        <v>0</v>
      </c>
      <c r="T75" s="129">
        <f t="shared" si="79"/>
        <v>0</v>
      </c>
      <c r="U75" s="129">
        <f t="shared" si="80"/>
        <v>0</v>
      </c>
      <c r="V75" s="209">
        <f t="shared" si="62"/>
        <v>0</v>
      </c>
      <c r="W75" s="621"/>
      <c r="X75" s="222" t="str">
        <f t="shared" si="72"/>
        <v>Billing Account Updater - Accounts on File (Need Estimated QTY)</v>
      </c>
      <c r="Y75" s="325">
        <v>5.8999999999999999E-3</v>
      </c>
      <c r="Z75" s="774">
        <f t="shared" si="63"/>
        <v>5.8999999999999999E-3</v>
      </c>
      <c r="AA75" s="103">
        <f t="shared" si="81"/>
        <v>7.0800000000000002E-2</v>
      </c>
      <c r="AB75" s="103">
        <f t="shared" si="82"/>
        <v>7.0800000000000002E-2</v>
      </c>
      <c r="AC75" s="103">
        <f t="shared" si="82"/>
        <v>7.0800000000000002E-2</v>
      </c>
      <c r="AD75" s="103">
        <f t="shared" si="82"/>
        <v>7.0800000000000002E-2</v>
      </c>
      <c r="AE75" s="103">
        <f t="shared" si="82"/>
        <v>7.0800000000000002E-2</v>
      </c>
      <c r="AF75" s="904">
        <f t="shared" si="69"/>
        <v>0.35399999999999998</v>
      </c>
      <c r="AG75" s="743"/>
      <c r="AH75" s="362"/>
      <c r="AI75" s="221" t="str">
        <f t="shared" si="53"/>
        <v>Billing Account Updater - Accounts on File (Need Estimated QTY)</v>
      </c>
      <c r="AJ75" s="886">
        <v>5.8999999999999999E-3</v>
      </c>
      <c r="AK75" s="896">
        <f t="shared" si="70"/>
        <v>5.8999999999999999E-3</v>
      </c>
      <c r="AL75" s="105" cm="1">
        <f t="array" ref="AL75">_xlfn.IFS($AJ75="NO CHARGE",0,$AJ75=0,0,$AJ75&gt;0,PRODUCT(I75,$AJ75))</f>
        <v>7.0800000000000002E-2</v>
      </c>
      <c r="AM75" s="105" cm="1">
        <f t="array" ref="AM75">_xlfn.IFS($AJ75="NO CHARGE",0,$AJ75=0,0,$AJ75&gt;0,PRODUCT(J75,$AJ75))</f>
        <v>7.0800000000000002E-2</v>
      </c>
      <c r="AN75" s="105" cm="1">
        <f t="array" ref="AN75">_xlfn.IFS($AJ75="NO CHARGE",0,$AJ75=0,0,$AJ75&gt;0,PRODUCT(K75,$AJ75))</f>
        <v>7.0800000000000002E-2</v>
      </c>
      <c r="AO75" s="105" cm="1">
        <f t="array" ref="AO75">_xlfn.IFS($AJ75="NO CHARGE",0,$AJ75=0,0,$AJ75&gt;0,PRODUCT(L75,$AJ75))</f>
        <v>7.0800000000000002E-2</v>
      </c>
      <c r="AP75" s="105" cm="1">
        <f t="array" ref="AP75">_xlfn.IFS($AJ75="NO CHARGE",0,$AJ75=0,0,$AJ75&gt;0,PRODUCT(M75,$AJ75))</f>
        <v>7.0800000000000002E-2</v>
      </c>
      <c r="AQ75" s="905">
        <f t="shared" ref="AQ75:AQ97" si="83">SUM(AL75:AP75)</f>
        <v>0.35399999999999998</v>
      </c>
      <c r="AR75" s="875"/>
      <c r="AS75" s="473"/>
      <c r="AT75" s="106"/>
      <c r="AU75" s="107"/>
      <c r="AV75" s="108">
        <f t="shared" ref="AV75:AZ76" si="84">IF(AU75&gt;0,PRODUCT(I75,$AU75),0)</f>
        <v>0</v>
      </c>
      <c r="AW75" s="108">
        <f t="shared" si="84"/>
        <v>0</v>
      </c>
      <c r="AX75" s="108">
        <f t="shared" si="84"/>
        <v>0</v>
      </c>
      <c r="AY75" s="108">
        <f t="shared" si="84"/>
        <v>0</v>
      </c>
      <c r="AZ75" s="108">
        <f t="shared" si="84"/>
        <v>0</v>
      </c>
      <c r="BA75" s="165">
        <f>SUM(AV75:AZ75)</f>
        <v>0</v>
      </c>
      <c r="BB75" s="531"/>
    </row>
    <row r="76" spans="1:55" s="495" customFormat="1" outlineLevel="1" x14ac:dyDescent="0.25">
      <c r="A76" s="700"/>
      <c r="B76" s="623" t="s">
        <v>106</v>
      </c>
      <c r="C76" s="310" t="s">
        <v>129</v>
      </c>
      <c r="D76" s="604"/>
      <c r="E76" s="604"/>
      <c r="F76" s="604"/>
      <c r="G76" s="604"/>
      <c r="H76" s="735">
        <v>1</v>
      </c>
      <c r="I76" s="127">
        <f t="shared" si="74"/>
        <v>12</v>
      </c>
      <c r="J76" s="127">
        <f t="shared" si="75"/>
        <v>12</v>
      </c>
      <c r="K76" s="127">
        <f t="shared" si="75"/>
        <v>12</v>
      </c>
      <c r="L76" s="127">
        <f t="shared" si="75"/>
        <v>12</v>
      </c>
      <c r="M76" s="127">
        <f t="shared" si="75"/>
        <v>12</v>
      </c>
      <c r="N76" s="245" t="s">
        <v>128</v>
      </c>
      <c r="O76" s="748"/>
      <c r="P76" s="757">
        <f t="shared" si="56"/>
        <v>0</v>
      </c>
      <c r="Q76" s="129">
        <f t="shared" si="76"/>
        <v>0</v>
      </c>
      <c r="R76" s="129">
        <f t="shared" si="77"/>
        <v>0</v>
      </c>
      <c r="S76" s="129">
        <f t="shared" si="78"/>
        <v>0</v>
      </c>
      <c r="T76" s="129">
        <f t="shared" si="79"/>
        <v>0</v>
      </c>
      <c r="U76" s="129">
        <f t="shared" si="80"/>
        <v>0</v>
      </c>
      <c r="V76" s="209">
        <f t="shared" si="62"/>
        <v>0</v>
      </c>
      <c r="W76" s="528"/>
      <c r="X76" s="222" t="str">
        <f t="shared" si="72"/>
        <v>Billing Account Updater - Records on File (Need Estimated QTY)</v>
      </c>
      <c r="Y76" s="325">
        <v>6.6000000000000003E-2</v>
      </c>
      <c r="Z76" s="774">
        <f t="shared" si="63"/>
        <v>6.6000000000000003E-2</v>
      </c>
      <c r="AA76" s="103">
        <f t="shared" si="81"/>
        <v>0.79200000000000004</v>
      </c>
      <c r="AB76" s="103">
        <f t="shared" si="82"/>
        <v>0.79200000000000004</v>
      </c>
      <c r="AC76" s="103">
        <f t="shared" si="82"/>
        <v>0.79200000000000004</v>
      </c>
      <c r="AD76" s="103">
        <f t="shared" si="82"/>
        <v>0.79200000000000004</v>
      </c>
      <c r="AE76" s="103">
        <f t="shared" si="82"/>
        <v>0.79200000000000004</v>
      </c>
      <c r="AF76" s="904">
        <f t="shared" si="69"/>
        <v>3.96</v>
      </c>
      <c r="AG76" s="743"/>
      <c r="AH76" s="370"/>
      <c r="AI76" s="221" t="str">
        <f t="shared" si="53"/>
        <v>Billing Account Updater - Records on File (Need Estimated QTY)</v>
      </c>
      <c r="AJ76" s="886">
        <v>6.6000000000000003E-2</v>
      </c>
      <c r="AK76" s="896">
        <f t="shared" si="70"/>
        <v>6.6000000000000003E-2</v>
      </c>
      <c r="AL76" s="105" cm="1">
        <f t="array" ref="AL76">_xlfn.IFS($AJ76="NO CHARGE",0,$AJ76=0,0,$AJ76&gt;0,PRODUCT(I76,$AJ76))</f>
        <v>0.79200000000000004</v>
      </c>
      <c r="AM76" s="105" cm="1">
        <f t="array" ref="AM76">_xlfn.IFS($AJ76="NO CHARGE",0,$AJ76=0,0,$AJ76&gt;0,PRODUCT(J76,$AJ76))</f>
        <v>0.79200000000000004</v>
      </c>
      <c r="AN76" s="105" cm="1">
        <f t="array" ref="AN76">_xlfn.IFS($AJ76="NO CHARGE",0,$AJ76=0,0,$AJ76&gt;0,PRODUCT(K76,$AJ76))</f>
        <v>0.79200000000000004</v>
      </c>
      <c r="AO76" s="105" cm="1">
        <f t="array" ref="AO76">_xlfn.IFS($AJ76="NO CHARGE",0,$AJ76=0,0,$AJ76&gt;0,PRODUCT(L76,$AJ76))</f>
        <v>0.79200000000000004</v>
      </c>
      <c r="AP76" s="105" cm="1">
        <f t="array" ref="AP76">_xlfn.IFS($AJ76="NO CHARGE",0,$AJ76=0,0,$AJ76&gt;0,PRODUCT(M76,$AJ76))</f>
        <v>0.79200000000000004</v>
      </c>
      <c r="AQ76" s="905">
        <f t="shared" si="83"/>
        <v>3.96</v>
      </c>
      <c r="AR76" s="875"/>
      <c r="AS76" s="473"/>
      <c r="AT76" s="106"/>
      <c r="AU76" s="107"/>
      <c r="AV76" s="108">
        <f t="shared" si="84"/>
        <v>0</v>
      </c>
      <c r="AW76" s="108">
        <f t="shared" si="84"/>
        <v>0</v>
      </c>
      <c r="AX76" s="108">
        <f t="shared" si="84"/>
        <v>0</v>
      </c>
      <c r="AY76" s="108">
        <f t="shared" si="84"/>
        <v>0</v>
      </c>
      <c r="AZ76" s="108">
        <f t="shared" si="84"/>
        <v>0</v>
      </c>
      <c r="BA76" s="165">
        <f>SUM(AV76:AZ76)</f>
        <v>0</v>
      </c>
      <c r="BB76" s="531"/>
    </row>
    <row r="77" spans="1:55" s="495" customFormat="1" outlineLevel="1" x14ac:dyDescent="0.25">
      <c r="A77" s="445"/>
      <c r="B77" s="623" t="s">
        <v>106</v>
      </c>
      <c r="C77" s="310" t="s">
        <v>130</v>
      </c>
      <c r="D77" s="604"/>
      <c r="E77" s="604">
        <v>13</v>
      </c>
      <c r="F77" s="604">
        <v>12</v>
      </c>
      <c r="G77" s="604">
        <v>8</v>
      </c>
      <c r="H77" s="618">
        <f>IFERROR(AVERAGE(D77:G77),0)</f>
        <v>11</v>
      </c>
      <c r="I77" s="127">
        <f t="shared" si="74"/>
        <v>132</v>
      </c>
      <c r="J77" s="127">
        <f t="shared" si="75"/>
        <v>138.6</v>
      </c>
      <c r="K77" s="127">
        <f t="shared" si="75"/>
        <v>145.53</v>
      </c>
      <c r="L77" s="127">
        <f t="shared" si="75"/>
        <v>152.8065</v>
      </c>
      <c r="M77" s="127">
        <f t="shared" si="75"/>
        <v>160.44682499999999</v>
      </c>
      <c r="N77" s="245" t="str">
        <f t="shared" ref="N77:N84" si="85">IF(C77="","",C77)</f>
        <v>Lost/Stolen Card Reporting</v>
      </c>
      <c r="O77" s="247">
        <v>8.8908790999999994</v>
      </c>
      <c r="P77" s="757">
        <f t="shared" si="56"/>
        <v>97.7996701</v>
      </c>
      <c r="Q77" s="129">
        <f t="shared" si="76"/>
        <v>1173.5960411999999</v>
      </c>
      <c r="R77" s="129">
        <f t="shared" si="77"/>
        <v>1232.2758432599999</v>
      </c>
      <c r="S77" s="129">
        <f t="shared" si="78"/>
        <v>1293.8896354229998</v>
      </c>
      <c r="T77" s="129">
        <f t="shared" si="79"/>
        <v>1358.5841171941499</v>
      </c>
      <c r="U77" s="129">
        <f t="shared" si="80"/>
        <v>1426.5133230538572</v>
      </c>
      <c r="V77" s="209">
        <f t="shared" si="62"/>
        <v>6484.8589601310068</v>
      </c>
      <c r="W77" s="528"/>
      <c r="X77" s="222" t="str">
        <f t="shared" si="72"/>
        <v>Lost/Stolen Card Reporting</v>
      </c>
      <c r="Y77" s="325">
        <v>8.8909000000000002</v>
      </c>
      <c r="Z77" s="774">
        <f t="shared" si="63"/>
        <v>97.799899999999994</v>
      </c>
      <c r="AA77" s="103">
        <f t="shared" si="81"/>
        <v>1173.5988</v>
      </c>
      <c r="AB77" s="103">
        <f t="shared" si="82"/>
        <v>1232.27874</v>
      </c>
      <c r="AC77" s="103">
        <f t="shared" si="82"/>
        <v>1293.892677</v>
      </c>
      <c r="AD77" s="103">
        <f t="shared" si="82"/>
        <v>1358.58731085</v>
      </c>
      <c r="AE77" s="103">
        <f t="shared" si="82"/>
        <v>1426.5166763924999</v>
      </c>
      <c r="AF77" s="123">
        <f t="shared" si="69"/>
        <v>6484.8742042425001</v>
      </c>
      <c r="AG77" s="743"/>
      <c r="AH77" s="370"/>
      <c r="AI77" s="221" t="str">
        <f t="shared" si="53"/>
        <v>Lost/Stolen Card Reporting</v>
      </c>
      <c r="AJ77" s="886">
        <v>8.8909000000000002</v>
      </c>
      <c r="AK77" s="896">
        <f t="shared" si="70"/>
        <v>97.799899999999994</v>
      </c>
      <c r="AL77" s="105" cm="1">
        <f t="array" ref="AL77">_xlfn.IFS($AJ77="NO CHARGE",0,$AJ77=0,0,$AJ77&gt;0,PRODUCT(I77,$AJ77))</f>
        <v>1173.5988</v>
      </c>
      <c r="AM77" s="105" cm="1">
        <f t="array" ref="AM77">_xlfn.IFS($AJ77="NO CHARGE",0,$AJ77=0,0,$AJ77&gt;0,PRODUCT(J77,$AJ77))</f>
        <v>1232.27874</v>
      </c>
      <c r="AN77" s="105" cm="1">
        <f t="array" ref="AN77">_xlfn.IFS($AJ77="NO CHARGE",0,$AJ77=0,0,$AJ77&gt;0,PRODUCT(K77,$AJ77))</f>
        <v>1293.892677</v>
      </c>
      <c r="AO77" s="105" cm="1">
        <f t="array" ref="AO77">_xlfn.IFS($AJ77="NO CHARGE",0,$AJ77=0,0,$AJ77&gt;0,PRODUCT(L77,$AJ77))</f>
        <v>1358.58731085</v>
      </c>
      <c r="AP77" s="105" cm="1">
        <f t="array" ref="AP77">_xlfn.IFS($AJ77="NO CHARGE",0,$AJ77=0,0,$AJ77&gt;0,PRODUCT(M77,$AJ77))</f>
        <v>1426.5166763924999</v>
      </c>
      <c r="AQ77" s="158">
        <f t="shared" si="83"/>
        <v>6484.8742042425001</v>
      </c>
      <c r="AR77" s="875"/>
      <c r="AS77" s="473"/>
      <c r="AT77" s="106"/>
      <c r="AU77" s="107"/>
      <c r="AV77" s="108"/>
      <c r="AW77" s="108"/>
      <c r="AX77" s="108"/>
      <c r="AY77" s="108"/>
      <c r="AZ77" s="108"/>
      <c r="BA77" s="165"/>
      <c r="BB77" s="531"/>
    </row>
    <row r="78" spans="1:55" s="495" customFormat="1" outlineLevel="1" x14ac:dyDescent="0.25">
      <c r="A78" s="445"/>
      <c r="B78" s="623" t="s">
        <v>106</v>
      </c>
      <c r="C78" s="310" t="s">
        <v>131</v>
      </c>
      <c r="D78" s="604"/>
      <c r="E78" s="604">
        <v>1</v>
      </c>
      <c r="F78" s="604">
        <v>1</v>
      </c>
      <c r="G78" s="604">
        <v>1</v>
      </c>
      <c r="H78" s="618">
        <f>IFERROR(AVERAGE(D78:G78),0)</f>
        <v>1</v>
      </c>
      <c r="I78" s="127">
        <f t="shared" si="74"/>
        <v>12</v>
      </c>
      <c r="J78" s="127">
        <f t="shared" si="75"/>
        <v>12</v>
      </c>
      <c r="K78" s="127">
        <f t="shared" si="75"/>
        <v>12</v>
      </c>
      <c r="L78" s="127">
        <f t="shared" si="75"/>
        <v>12</v>
      </c>
      <c r="M78" s="127">
        <f t="shared" si="75"/>
        <v>12</v>
      </c>
      <c r="N78" s="245" t="str">
        <f t="shared" si="85"/>
        <v>Lost/Stolen Services</v>
      </c>
      <c r="O78" s="247">
        <v>26.94</v>
      </c>
      <c r="P78" s="757">
        <f t="shared" si="56"/>
        <v>26.94</v>
      </c>
      <c r="Q78" s="129">
        <f t="shared" si="76"/>
        <v>323.28000000000003</v>
      </c>
      <c r="R78" s="129">
        <f t="shared" si="77"/>
        <v>323.28000000000003</v>
      </c>
      <c r="S78" s="129">
        <f t="shared" si="78"/>
        <v>323.28000000000003</v>
      </c>
      <c r="T78" s="129">
        <f t="shared" si="79"/>
        <v>323.28000000000003</v>
      </c>
      <c r="U78" s="129">
        <f t="shared" si="80"/>
        <v>323.28000000000003</v>
      </c>
      <c r="V78" s="209">
        <f t="shared" si="62"/>
        <v>1616.4</v>
      </c>
      <c r="W78" s="528"/>
      <c r="X78" s="222" t="str">
        <f t="shared" si="72"/>
        <v>Lost/Stolen Services</v>
      </c>
      <c r="Y78" s="733" t="s">
        <v>118</v>
      </c>
      <c r="Z78" s="774">
        <f t="shared" si="63"/>
        <v>0</v>
      </c>
      <c r="AA78" s="103" cm="1">
        <f t="array" ref="AA78">_xlfn.IFS($Y78="NO CHARGE",0,$Y78&gt;0,$Y78*I78)</f>
        <v>0</v>
      </c>
      <c r="AB78" s="103" cm="1">
        <f t="array" ref="AB78">_xlfn.IFS($Y78="NO CHARGE",0,$Y78&gt;0,$Y78*J78)</f>
        <v>0</v>
      </c>
      <c r="AC78" s="103" cm="1">
        <f t="array" ref="AC78">_xlfn.IFS($Y78="NO CHARGE",0,$Y78&gt;0,$Y78*K78)</f>
        <v>0</v>
      </c>
      <c r="AD78" s="103" cm="1">
        <f t="array" ref="AD78">_xlfn.IFS($Y78="NO CHARGE",0,$Y78&gt;0,$Y78*L78)</f>
        <v>0</v>
      </c>
      <c r="AE78" s="103" cm="1">
        <f t="array" ref="AE78">_xlfn.IFS($Y78="NO CHARGE",0,$Y78&gt;0,$Y78*M78)</f>
        <v>0</v>
      </c>
      <c r="AF78" s="123">
        <f t="shared" si="69"/>
        <v>0</v>
      </c>
      <c r="AG78" s="743"/>
      <c r="AH78" s="370"/>
      <c r="AI78" s="221" t="str">
        <f t="shared" si="53"/>
        <v>Lost/Stolen Services</v>
      </c>
      <c r="AJ78" s="886" t="s">
        <v>118</v>
      </c>
      <c r="AK78" s="896">
        <f t="shared" si="70"/>
        <v>0</v>
      </c>
      <c r="AL78" s="105" cm="1">
        <f t="array" ref="AL78">_xlfn.IFS($AJ78="NO CHARGE",0,$AJ78=0,0,$AJ78&gt;0,PRODUCT(I78,$AJ78))</f>
        <v>0</v>
      </c>
      <c r="AM78" s="105" cm="1">
        <f t="array" ref="AM78">_xlfn.IFS($AJ78="NO CHARGE",0,$AJ78=0,0,$AJ78&gt;0,PRODUCT(J78,$AJ78))</f>
        <v>0</v>
      </c>
      <c r="AN78" s="105" cm="1">
        <f t="array" ref="AN78">_xlfn.IFS($AJ78="NO CHARGE",0,$AJ78=0,0,$AJ78&gt;0,PRODUCT(K78,$AJ78))</f>
        <v>0</v>
      </c>
      <c r="AO78" s="105" cm="1">
        <f t="array" ref="AO78">_xlfn.IFS($AJ78="NO CHARGE",0,$AJ78=0,0,$AJ78&gt;0,PRODUCT(L78,$AJ78))</f>
        <v>0</v>
      </c>
      <c r="AP78" s="105" cm="1">
        <f t="array" ref="AP78">_xlfn.IFS($AJ78="NO CHARGE",0,$AJ78=0,0,$AJ78&gt;0,PRODUCT(M78,$AJ78))</f>
        <v>0</v>
      </c>
      <c r="AQ78" s="158">
        <f t="shared" si="83"/>
        <v>0</v>
      </c>
      <c r="AR78" s="875"/>
      <c r="AS78" s="473"/>
      <c r="AT78" s="106"/>
      <c r="AU78" s="107"/>
      <c r="AV78" s="108"/>
      <c r="AW78" s="108"/>
      <c r="AX78" s="108"/>
      <c r="AY78" s="108"/>
      <c r="AZ78" s="108"/>
      <c r="BA78" s="165"/>
      <c r="BB78" s="531"/>
    </row>
    <row r="79" spans="1:55" s="495" customFormat="1" outlineLevel="1" x14ac:dyDescent="0.25">
      <c r="A79" s="445"/>
      <c r="B79" s="623" t="s">
        <v>106</v>
      </c>
      <c r="C79" s="310" t="s">
        <v>132</v>
      </c>
      <c r="D79" s="604"/>
      <c r="E79" s="604">
        <v>1</v>
      </c>
      <c r="F79" s="604">
        <v>1</v>
      </c>
      <c r="G79" s="604">
        <v>1</v>
      </c>
      <c r="H79" s="618">
        <f>IFERROR(AVERAGE(D79:G79),0)</f>
        <v>1</v>
      </c>
      <c r="I79" s="127">
        <f t="shared" si="74"/>
        <v>12</v>
      </c>
      <c r="J79" s="127">
        <f t="shared" si="75"/>
        <v>12</v>
      </c>
      <c r="K79" s="127">
        <f t="shared" si="75"/>
        <v>12</v>
      </c>
      <c r="L79" s="127">
        <f t="shared" si="75"/>
        <v>12</v>
      </c>
      <c r="M79" s="127">
        <f t="shared" si="75"/>
        <v>12</v>
      </c>
      <c r="N79" s="245" t="str">
        <f t="shared" si="85"/>
        <v>Electronic Journaling (EJ) Report</v>
      </c>
      <c r="O79" s="247">
        <v>8.890879</v>
      </c>
      <c r="P79" s="757">
        <f t="shared" si="56"/>
        <v>8.890879</v>
      </c>
      <c r="Q79" s="129">
        <f t="shared" si="76"/>
        <v>106.69054800000001</v>
      </c>
      <c r="R79" s="129">
        <f t="shared" si="77"/>
        <v>106.69054800000001</v>
      </c>
      <c r="S79" s="129">
        <f t="shared" si="78"/>
        <v>106.69054800000001</v>
      </c>
      <c r="T79" s="129">
        <f t="shared" si="79"/>
        <v>106.69054800000001</v>
      </c>
      <c r="U79" s="129">
        <f t="shared" si="80"/>
        <v>106.69054800000001</v>
      </c>
      <c r="V79" s="209">
        <f t="shared" si="62"/>
        <v>533.45274000000006</v>
      </c>
      <c r="W79" s="528"/>
      <c r="X79" s="222" t="str">
        <f t="shared" si="72"/>
        <v>Electronic Journaling (EJ) Report</v>
      </c>
      <c r="Y79" s="733" t="s">
        <v>118</v>
      </c>
      <c r="Z79" s="774">
        <f t="shared" si="63"/>
        <v>0</v>
      </c>
      <c r="AA79" s="103" cm="1">
        <f t="array" ref="AA79">_xlfn.IFS($Y79="NO CHARGE",0,$Y79&gt;0,$Y79*I79)</f>
        <v>0</v>
      </c>
      <c r="AB79" s="103" cm="1">
        <f t="array" ref="AB79">_xlfn.IFS($Y79="NO CHARGE",0,$Y79&gt;0,$Y79*J79)</f>
        <v>0</v>
      </c>
      <c r="AC79" s="103" cm="1">
        <f t="array" ref="AC79">_xlfn.IFS($Y79="NO CHARGE",0,$Y79&gt;0,$Y79*K79)</f>
        <v>0</v>
      </c>
      <c r="AD79" s="103" cm="1">
        <f t="array" ref="AD79">_xlfn.IFS($Y79="NO CHARGE",0,$Y79&gt;0,$Y79*L79)</f>
        <v>0</v>
      </c>
      <c r="AE79" s="103" cm="1">
        <f t="array" ref="AE79">_xlfn.IFS($Y79="NO CHARGE",0,$Y79&gt;0,$Y79*M79)</f>
        <v>0</v>
      </c>
      <c r="AF79" s="123">
        <f t="shared" si="69"/>
        <v>0</v>
      </c>
      <c r="AG79" s="743"/>
      <c r="AH79" s="370"/>
      <c r="AI79" s="221" t="str">
        <f t="shared" si="53"/>
        <v>Electronic Journaling (EJ) Report</v>
      </c>
      <c r="AJ79" s="886" t="s">
        <v>118</v>
      </c>
      <c r="AK79" s="896">
        <f t="shared" si="70"/>
        <v>0</v>
      </c>
      <c r="AL79" s="105" cm="1">
        <f t="array" ref="AL79">_xlfn.IFS($AJ79="NO CHARGE",0,$AJ79=0,0,$AJ79&gt;0,PRODUCT(I79,$AJ79))</f>
        <v>0</v>
      </c>
      <c r="AM79" s="105" cm="1">
        <f t="array" ref="AM79">_xlfn.IFS($AJ79="NO CHARGE",0,$AJ79=0,0,$AJ79&gt;0,PRODUCT(J79,$AJ79))</f>
        <v>0</v>
      </c>
      <c r="AN79" s="105" cm="1">
        <f t="array" ref="AN79">_xlfn.IFS($AJ79="NO CHARGE",0,$AJ79=0,0,$AJ79&gt;0,PRODUCT(K79,$AJ79))</f>
        <v>0</v>
      </c>
      <c r="AO79" s="105" cm="1">
        <f t="array" ref="AO79">_xlfn.IFS($AJ79="NO CHARGE",0,$AJ79=0,0,$AJ79&gt;0,PRODUCT(L79,$AJ79))</f>
        <v>0</v>
      </c>
      <c r="AP79" s="105" cm="1">
        <f t="array" ref="AP79">_xlfn.IFS($AJ79="NO CHARGE",0,$AJ79=0,0,$AJ79&gt;0,PRODUCT(M79,$AJ79))</f>
        <v>0</v>
      </c>
      <c r="AQ79" s="158">
        <f t="shared" si="83"/>
        <v>0</v>
      </c>
      <c r="AR79" s="875"/>
      <c r="AS79" s="473"/>
      <c r="AT79" s="106"/>
      <c r="AU79" s="107"/>
      <c r="AV79" s="108"/>
      <c r="AW79" s="108"/>
      <c r="AX79" s="108"/>
      <c r="AY79" s="108"/>
      <c r="AZ79" s="108"/>
      <c r="BA79" s="165"/>
      <c r="BB79" s="531"/>
    </row>
    <row r="80" spans="1:55" s="495" customFormat="1" outlineLevel="1" x14ac:dyDescent="0.25">
      <c r="A80" s="445"/>
      <c r="B80" s="623" t="s">
        <v>106</v>
      </c>
      <c r="C80" s="310" t="s">
        <v>133</v>
      </c>
      <c r="D80" s="604"/>
      <c r="E80" s="604">
        <v>7</v>
      </c>
      <c r="F80" s="604">
        <v>7</v>
      </c>
      <c r="G80" s="604">
        <v>7</v>
      </c>
      <c r="H80" s="618">
        <f>IFERROR(AVERAGE(D80:G80),0)</f>
        <v>7</v>
      </c>
      <c r="I80" s="127">
        <f t="shared" si="74"/>
        <v>84</v>
      </c>
      <c r="J80" s="127">
        <f t="shared" si="75"/>
        <v>88.2</v>
      </c>
      <c r="K80" s="127">
        <f t="shared" si="75"/>
        <v>92.61</v>
      </c>
      <c r="L80" s="127">
        <f t="shared" si="75"/>
        <v>97.240499999999997</v>
      </c>
      <c r="M80" s="127">
        <f t="shared" si="75"/>
        <v>102.102525</v>
      </c>
      <c r="N80" s="245" t="str">
        <f t="shared" si="85"/>
        <v>Electronic Journaling (EJ) Support</v>
      </c>
      <c r="O80" s="247">
        <v>10.776823200000001</v>
      </c>
      <c r="P80" s="757">
        <f t="shared" si="56"/>
        <v>75.437762400000011</v>
      </c>
      <c r="Q80" s="129">
        <f t="shared" si="76"/>
        <v>905.25314880000008</v>
      </c>
      <c r="R80" s="129">
        <f t="shared" si="77"/>
        <v>950.51580624000007</v>
      </c>
      <c r="S80" s="129">
        <f t="shared" si="78"/>
        <v>998.0415965520001</v>
      </c>
      <c r="T80" s="129">
        <f t="shared" si="79"/>
        <v>1047.9436763796</v>
      </c>
      <c r="U80" s="129">
        <f t="shared" si="80"/>
        <v>1100.34086019858</v>
      </c>
      <c r="V80" s="209">
        <f t="shared" si="62"/>
        <v>5002.0950881701801</v>
      </c>
      <c r="W80" s="528"/>
      <c r="X80" s="222" t="str">
        <f t="shared" si="72"/>
        <v>Electronic Journaling (EJ) Support</v>
      </c>
      <c r="Y80" s="325">
        <v>10.7768</v>
      </c>
      <c r="Z80" s="774">
        <f t="shared" si="63"/>
        <v>75.437599999999989</v>
      </c>
      <c r="AA80" s="103">
        <f>IF(Y80&gt;0,PRODUCT(I80,$Y80),0)</f>
        <v>905.25119999999993</v>
      </c>
      <c r="AB80" s="103">
        <f>IF(AA80&gt;0,PRODUCT(J80,$Y80),0)</f>
        <v>950.51376000000005</v>
      </c>
      <c r="AC80" s="103">
        <f>IF(AB80&gt;0,PRODUCT(K80,$Y80),0)</f>
        <v>998.03944799999999</v>
      </c>
      <c r="AD80" s="103">
        <f>IF(AC80&gt;0,PRODUCT(L80,$Y80),0)</f>
        <v>1047.9414204</v>
      </c>
      <c r="AE80" s="103">
        <f>IF(AD80&gt;0,PRODUCT(M80,$Y80),0)</f>
        <v>1100.3384914200001</v>
      </c>
      <c r="AF80" s="123">
        <f t="shared" si="69"/>
        <v>5002.08431982</v>
      </c>
      <c r="AG80" s="743"/>
      <c r="AH80" s="370"/>
      <c r="AI80" s="221" t="str">
        <f t="shared" si="53"/>
        <v>Electronic Journaling (EJ) Support</v>
      </c>
      <c r="AJ80" s="886">
        <v>10.7768</v>
      </c>
      <c r="AK80" s="896">
        <f t="shared" si="70"/>
        <v>75.437599999999989</v>
      </c>
      <c r="AL80" s="105" cm="1">
        <f t="array" ref="AL80">_xlfn.IFS($AJ80="NO CHARGE",0,$AJ80=0,0,$AJ80&gt;0,PRODUCT(I80,$AJ80))</f>
        <v>905.25119999999993</v>
      </c>
      <c r="AM80" s="105" cm="1">
        <f t="array" ref="AM80">_xlfn.IFS($AJ80="NO CHARGE",0,$AJ80=0,0,$AJ80&gt;0,PRODUCT(J80,$AJ80))</f>
        <v>950.51376000000005</v>
      </c>
      <c r="AN80" s="105" cm="1">
        <f t="array" ref="AN80">_xlfn.IFS($AJ80="NO CHARGE",0,$AJ80=0,0,$AJ80&gt;0,PRODUCT(K80,$AJ80))</f>
        <v>998.03944799999999</v>
      </c>
      <c r="AO80" s="105" cm="1">
        <f t="array" ref="AO80">_xlfn.IFS($AJ80="NO CHARGE",0,$AJ80=0,0,$AJ80&gt;0,PRODUCT(L80,$AJ80))</f>
        <v>1047.9414204</v>
      </c>
      <c r="AP80" s="105" cm="1">
        <f t="array" ref="AP80">_xlfn.IFS($AJ80="NO CHARGE",0,$AJ80=0,0,$AJ80&gt;0,PRODUCT(M80,$AJ80))</f>
        <v>1100.3384914200001</v>
      </c>
      <c r="AQ80" s="158">
        <f t="shared" si="83"/>
        <v>5002.08431982</v>
      </c>
      <c r="AR80" s="875"/>
      <c r="AS80" s="473"/>
      <c r="AT80" s="106"/>
      <c r="AU80" s="107"/>
      <c r="AV80" s="108"/>
      <c r="AW80" s="108"/>
      <c r="AX80" s="108"/>
      <c r="AY80" s="108"/>
      <c r="AZ80" s="108"/>
      <c r="BA80" s="165"/>
      <c r="BB80" s="531"/>
    </row>
    <row r="81" spans="1:57" s="495" customFormat="1" outlineLevel="1" x14ac:dyDescent="0.25">
      <c r="A81" s="445"/>
      <c r="B81" s="623" t="s">
        <v>106</v>
      </c>
      <c r="C81" s="310" t="s">
        <v>134</v>
      </c>
      <c r="D81" s="604"/>
      <c r="E81" s="604">
        <v>3</v>
      </c>
      <c r="F81" s="604">
        <v>3</v>
      </c>
      <c r="G81" s="604">
        <v>3</v>
      </c>
      <c r="H81" s="618">
        <f>IFERROR(AVERAGE(D81:G81),0)</f>
        <v>3</v>
      </c>
      <c r="I81" s="127">
        <f t="shared" si="74"/>
        <v>36</v>
      </c>
      <c r="J81" s="127">
        <f t="shared" si="75"/>
        <v>37.799999999999997</v>
      </c>
      <c r="K81" s="127">
        <f t="shared" si="75"/>
        <v>39.69</v>
      </c>
      <c r="L81" s="127">
        <f t="shared" si="75"/>
        <v>41.674499999999995</v>
      </c>
      <c r="M81" s="127">
        <f t="shared" si="75"/>
        <v>43.758224999999996</v>
      </c>
      <c r="N81" s="245" t="str">
        <f t="shared" si="85"/>
        <v>Debit Card Base-Consumer</v>
      </c>
      <c r="O81" s="247">
        <v>96.99</v>
      </c>
      <c r="P81" s="757">
        <f t="shared" si="56"/>
        <v>290.96999999999997</v>
      </c>
      <c r="Q81" s="129">
        <f t="shared" si="76"/>
        <v>3491.64</v>
      </c>
      <c r="R81" s="129">
        <f t="shared" si="77"/>
        <v>3666.2219999999998</v>
      </c>
      <c r="S81" s="129">
        <f t="shared" si="78"/>
        <v>3849.5330999999996</v>
      </c>
      <c r="T81" s="129">
        <f t="shared" si="79"/>
        <v>4042.0097549999991</v>
      </c>
      <c r="U81" s="129">
        <f t="shared" si="80"/>
        <v>4244.1102427499991</v>
      </c>
      <c r="V81" s="209">
        <f t="shared" si="62"/>
        <v>19293.515097749994</v>
      </c>
      <c r="W81" s="528"/>
      <c r="X81" s="222" t="str">
        <f t="shared" si="72"/>
        <v>Debit Card Base-Consumer</v>
      </c>
      <c r="Y81" s="733" t="s">
        <v>118</v>
      </c>
      <c r="Z81" s="774">
        <f t="shared" si="63"/>
        <v>0</v>
      </c>
      <c r="AA81" s="103" cm="1">
        <f t="array" ref="AA81">_xlfn.IFS($Y81="NO CHARGE",0,$Y81&gt;0,$Y81*I81)</f>
        <v>0</v>
      </c>
      <c r="AB81" s="103" cm="1">
        <f t="array" ref="AB81">_xlfn.IFS($Y81="NO CHARGE",0,$Y81&gt;0,$Y81*J81)</f>
        <v>0</v>
      </c>
      <c r="AC81" s="103" cm="1">
        <f t="array" ref="AC81">_xlfn.IFS($Y81="NO CHARGE",0,$Y81&gt;0,$Y81*K81)</f>
        <v>0</v>
      </c>
      <c r="AD81" s="103" cm="1">
        <f t="array" ref="AD81">_xlfn.IFS($Y81="NO CHARGE",0,$Y81&gt;0,$Y81*L81)</f>
        <v>0</v>
      </c>
      <c r="AE81" s="103" cm="1">
        <f t="array" ref="AE81">_xlfn.IFS($Y81="NO CHARGE",0,$Y81&gt;0,$Y81*M81)</f>
        <v>0</v>
      </c>
      <c r="AF81" s="123">
        <f t="shared" si="69"/>
        <v>0</v>
      </c>
      <c r="AG81" s="743"/>
      <c r="AH81" s="370"/>
      <c r="AI81" s="221" t="str">
        <f t="shared" si="53"/>
        <v>Debit Card Base-Consumer</v>
      </c>
      <c r="AJ81" s="886" t="s">
        <v>118</v>
      </c>
      <c r="AK81" s="896">
        <f t="shared" si="70"/>
        <v>0</v>
      </c>
      <c r="AL81" s="105" cm="1">
        <f t="array" ref="AL81">_xlfn.IFS($AJ81="NO CHARGE",0,$AJ81=0,0,$AJ81&gt;0,PRODUCT(I81,$AJ81))</f>
        <v>0</v>
      </c>
      <c r="AM81" s="105" cm="1">
        <f t="array" ref="AM81">_xlfn.IFS($AJ81="NO CHARGE",0,$AJ81=0,0,$AJ81&gt;0,PRODUCT(J81,$AJ81))</f>
        <v>0</v>
      </c>
      <c r="AN81" s="105" cm="1">
        <f t="array" ref="AN81">_xlfn.IFS($AJ81="NO CHARGE",0,$AJ81=0,0,$AJ81&gt;0,PRODUCT(K81,$AJ81))</f>
        <v>0</v>
      </c>
      <c r="AO81" s="105" cm="1">
        <f t="array" ref="AO81">_xlfn.IFS($AJ81="NO CHARGE",0,$AJ81=0,0,$AJ81&gt;0,PRODUCT(L81,$AJ81))</f>
        <v>0</v>
      </c>
      <c r="AP81" s="105" cm="1">
        <f t="array" ref="AP81">_xlfn.IFS($AJ81="NO CHARGE",0,$AJ81=0,0,$AJ81&gt;0,PRODUCT(M81,$AJ81))</f>
        <v>0</v>
      </c>
      <c r="AQ81" s="158">
        <f t="shared" si="83"/>
        <v>0</v>
      </c>
      <c r="AR81" s="875"/>
      <c r="AS81" s="473"/>
      <c r="AT81" s="106"/>
      <c r="AU81" s="107"/>
      <c r="AV81" s="108"/>
      <c r="AW81" s="108"/>
      <c r="AX81" s="108"/>
      <c r="AY81" s="108"/>
      <c r="AZ81" s="108"/>
      <c r="BA81" s="165"/>
      <c r="BB81" s="531"/>
    </row>
    <row r="82" spans="1:57" s="495" customFormat="1" outlineLevel="1" x14ac:dyDescent="0.25">
      <c r="A82" s="445"/>
      <c r="B82" s="623" t="s">
        <v>106</v>
      </c>
      <c r="C82" s="310" t="s">
        <v>135</v>
      </c>
      <c r="D82" s="604"/>
      <c r="E82" s="604">
        <v>224162</v>
      </c>
      <c r="F82" s="604">
        <v>211184</v>
      </c>
      <c r="G82" s="604">
        <v>216309</v>
      </c>
      <c r="H82" s="618">
        <v>1</v>
      </c>
      <c r="I82" s="127">
        <f t="shared" si="74"/>
        <v>12</v>
      </c>
      <c r="J82" s="127">
        <f t="shared" si="75"/>
        <v>12</v>
      </c>
      <c r="K82" s="127">
        <f t="shared" si="75"/>
        <v>12</v>
      </c>
      <c r="L82" s="127">
        <f t="shared" si="75"/>
        <v>12</v>
      </c>
      <c r="M82" s="127">
        <f t="shared" si="75"/>
        <v>12</v>
      </c>
      <c r="N82" s="245" t="str">
        <f t="shared" si="85"/>
        <v>Affiliate Management Fee</v>
      </c>
      <c r="O82" s="247">
        <v>26.94</v>
      </c>
      <c r="P82" s="757">
        <f t="shared" si="56"/>
        <v>26.94</v>
      </c>
      <c r="Q82" s="129">
        <f t="shared" si="76"/>
        <v>323.28000000000003</v>
      </c>
      <c r="R82" s="129">
        <f t="shared" si="77"/>
        <v>323.28000000000003</v>
      </c>
      <c r="S82" s="129">
        <f t="shared" si="78"/>
        <v>323.28000000000003</v>
      </c>
      <c r="T82" s="129">
        <f t="shared" si="79"/>
        <v>323.28000000000003</v>
      </c>
      <c r="U82" s="129">
        <f t="shared" si="80"/>
        <v>323.28000000000003</v>
      </c>
      <c r="V82" s="209">
        <f t="shared" si="62"/>
        <v>1616.4</v>
      </c>
      <c r="W82" s="528"/>
      <c r="X82" s="222" t="str">
        <f t="shared" si="72"/>
        <v>Affiliate Management Fee</v>
      </c>
      <c r="Y82" s="733" t="s">
        <v>118</v>
      </c>
      <c r="Z82" s="774">
        <f t="shared" si="63"/>
        <v>0</v>
      </c>
      <c r="AA82" s="103" cm="1">
        <f t="array" ref="AA82">_xlfn.IFS($Y82="NO CHARGE",0,$Y82&gt;0,$Y82*I82)</f>
        <v>0</v>
      </c>
      <c r="AB82" s="103" cm="1">
        <f t="array" ref="AB82">_xlfn.IFS($Y82="NO CHARGE",0,$Y82&gt;0,$Y82*J82)</f>
        <v>0</v>
      </c>
      <c r="AC82" s="103" cm="1">
        <f t="array" ref="AC82">_xlfn.IFS($Y82="NO CHARGE",0,$Y82&gt;0,$Y82*K82)</f>
        <v>0</v>
      </c>
      <c r="AD82" s="103" cm="1">
        <f t="array" ref="AD82">_xlfn.IFS($Y82="NO CHARGE",0,$Y82&gt;0,$Y82*L82)</f>
        <v>0</v>
      </c>
      <c r="AE82" s="103" cm="1">
        <f t="array" ref="AE82">_xlfn.IFS($Y82="NO CHARGE",0,$Y82&gt;0,$Y82*M82)</f>
        <v>0</v>
      </c>
      <c r="AF82" s="123">
        <f t="shared" si="69"/>
        <v>0</v>
      </c>
      <c r="AG82" s="743"/>
      <c r="AH82" s="370"/>
      <c r="AI82" s="221" t="str">
        <f t="shared" si="53"/>
        <v>Affiliate Management Fee</v>
      </c>
      <c r="AJ82" s="886" t="s">
        <v>118</v>
      </c>
      <c r="AK82" s="896">
        <f t="shared" si="70"/>
        <v>0</v>
      </c>
      <c r="AL82" s="105" cm="1">
        <f t="array" ref="AL82">_xlfn.IFS($AJ82="NO CHARGE",0,$AJ82=0,0,$AJ82&gt;0,PRODUCT(I82,$AJ82))</f>
        <v>0</v>
      </c>
      <c r="AM82" s="105" cm="1">
        <f t="array" ref="AM82">_xlfn.IFS($AJ82="NO CHARGE",0,$AJ82=0,0,$AJ82&gt;0,PRODUCT(J82,$AJ82))</f>
        <v>0</v>
      </c>
      <c r="AN82" s="105" cm="1">
        <f t="array" ref="AN82">_xlfn.IFS($AJ82="NO CHARGE",0,$AJ82=0,0,$AJ82&gt;0,PRODUCT(K82,$AJ82))</f>
        <v>0</v>
      </c>
      <c r="AO82" s="105" cm="1">
        <f t="array" ref="AO82">_xlfn.IFS($AJ82="NO CHARGE",0,$AJ82=0,0,$AJ82&gt;0,PRODUCT(L82,$AJ82))</f>
        <v>0</v>
      </c>
      <c r="AP82" s="105" cm="1">
        <f t="array" ref="AP82">_xlfn.IFS($AJ82="NO CHARGE",0,$AJ82=0,0,$AJ82&gt;0,PRODUCT(M82,$AJ82))</f>
        <v>0</v>
      </c>
      <c r="AQ82" s="158">
        <f t="shared" si="83"/>
        <v>0</v>
      </c>
      <c r="AR82" s="875"/>
      <c r="AS82" s="473"/>
      <c r="AT82" s="106"/>
      <c r="AU82" s="107"/>
      <c r="AV82" s="108"/>
      <c r="AW82" s="108"/>
      <c r="AX82" s="108"/>
      <c r="AY82" s="108"/>
      <c r="AZ82" s="108"/>
      <c r="BA82" s="165"/>
      <c r="BB82" s="531"/>
    </row>
    <row r="83" spans="1:57" s="495" customFormat="1" outlineLevel="1" x14ac:dyDescent="0.25">
      <c r="A83" s="445"/>
      <c r="B83" s="623" t="s">
        <v>106</v>
      </c>
      <c r="C83" s="310" t="s">
        <v>136</v>
      </c>
      <c r="D83" s="604"/>
      <c r="E83" s="604">
        <v>1</v>
      </c>
      <c r="F83" s="604">
        <v>1</v>
      </c>
      <c r="G83" s="604">
        <v>1</v>
      </c>
      <c r="H83" s="618">
        <f>IFERROR(AVERAGE(D83:G83),0)</f>
        <v>1</v>
      </c>
      <c r="I83" s="127">
        <f t="shared" si="74"/>
        <v>12</v>
      </c>
      <c r="J83" s="127">
        <f t="shared" si="75"/>
        <v>12</v>
      </c>
      <c r="K83" s="127">
        <f t="shared" si="75"/>
        <v>12</v>
      </c>
      <c r="L83" s="127">
        <f t="shared" si="75"/>
        <v>12</v>
      </c>
      <c r="M83" s="127">
        <f t="shared" si="75"/>
        <v>12</v>
      </c>
      <c r="N83" s="245" t="str">
        <f t="shared" si="85"/>
        <v>Automated General Ledger (GL) Entries</v>
      </c>
      <c r="O83" s="247">
        <v>53.88</v>
      </c>
      <c r="P83" s="757">
        <f t="shared" si="56"/>
        <v>53.88</v>
      </c>
      <c r="Q83" s="129">
        <f t="shared" si="76"/>
        <v>646.56000000000006</v>
      </c>
      <c r="R83" s="129">
        <f t="shared" si="77"/>
        <v>646.56000000000006</v>
      </c>
      <c r="S83" s="129">
        <f t="shared" si="78"/>
        <v>646.56000000000006</v>
      </c>
      <c r="T83" s="129">
        <f t="shared" si="79"/>
        <v>646.56000000000006</v>
      </c>
      <c r="U83" s="129">
        <f t="shared" si="80"/>
        <v>646.56000000000006</v>
      </c>
      <c r="V83" s="209">
        <f t="shared" si="62"/>
        <v>3232.8</v>
      </c>
      <c r="W83" s="528"/>
      <c r="X83" s="222" t="str">
        <f t="shared" si="72"/>
        <v>Automated General Ledger (GL) Entries</v>
      </c>
      <c r="Y83" s="733" t="s">
        <v>118</v>
      </c>
      <c r="Z83" s="774">
        <f t="shared" si="63"/>
        <v>0</v>
      </c>
      <c r="AA83" s="103" cm="1">
        <f t="array" ref="AA83">_xlfn.IFS($Y83="NO CHARGE",0,$Y83&gt;0,$Y83*I83)</f>
        <v>0</v>
      </c>
      <c r="AB83" s="103" cm="1">
        <f t="array" ref="AB83">_xlfn.IFS($Y83="NO CHARGE",0,$Y83&gt;0,$Y83*J83)</f>
        <v>0</v>
      </c>
      <c r="AC83" s="103" cm="1">
        <f t="array" ref="AC83">_xlfn.IFS($Y83="NO CHARGE",0,$Y83&gt;0,$Y83*K83)</f>
        <v>0</v>
      </c>
      <c r="AD83" s="103" cm="1">
        <f t="array" ref="AD83">_xlfn.IFS($Y83="NO CHARGE",0,$Y83&gt;0,$Y83*L83)</f>
        <v>0</v>
      </c>
      <c r="AE83" s="103" cm="1">
        <f t="array" ref="AE83">_xlfn.IFS($Y83="NO CHARGE",0,$Y83&gt;0,$Y83*M83)</f>
        <v>0</v>
      </c>
      <c r="AF83" s="123">
        <f t="shared" si="69"/>
        <v>0</v>
      </c>
      <c r="AG83" s="743"/>
      <c r="AH83" s="370"/>
      <c r="AI83" s="221" t="str">
        <f t="shared" si="53"/>
        <v>Automated General Ledger (GL) Entries</v>
      </c>
      <c r="AJ83" s="886" t="s">
        <v>118</v>
      </c>
      <c r="AK83" s="896">
        <f t="shared" si="70"/>
        <v>0</v>
      </c>
      <c r="AL83" s="105" cm="1">
        <f t="array" ref="AL83">_xlfn.IFS($AJ83="NO CHARGE",0,$AJ83=0,0,$AJ83&gt;0,PRODUCT(I83,$AJ83))</f>
        <v>0</v>
      </c>
      <c r="AM83" s="105" cm="1">
        <f t="array" ref="AM83">_xlfn.IFS($AJ83="NO CHARGE",0,$AJ83=0,0,$AJ83&gt;0,PRODUCT(J83,$AJ83))</f>
        <v>0</v>
      </c>
      <c r="AN83" s="105" cm="1">
        <f t="array" ref="AN83">_xlfn.IFS($AJ83="NO CHARGE",0,$AJ83=0,0,$AJ83&gt;0,PRODUCT(K83,$AJ83))</f>
        <v>0</v>
      </c>
      <c r="AO83" s="105" cm="1">
        <f t="array" ref="AO83">_xlfn.IFS($AJ83="NO CHARGE",0,$AJ83=0,0,$AJ83&gt;0,PRODUCT(L83,$AJ83))</f>
        <v>0</v>
      </c>
      <c r="AP83" s="105" cm="1">
        <f t="array" ref="AP83">_xlfn.IFS($AJ83="NO CHARGE",0,$AJ83=0,0,$AJ83&gt;0,PRODUCT(M83,$AJ83))</f>
        <v>0</v>
      </c>
      <c r="AQ83" s="158">
        <f t="shared" si="83"/>
        <v>0</v>
      </c>
      <c r="AR83" s="875"/>
      <c r="AS83" s="473"/>
      <c r="AT83" s="106"/>
      <c r="AU83" s="107"/>
      <c r="AV83" s="108"/>
      <c r="AW83" s="108"/>
      <c r="AX83" s="108"/>
      <c r="AY83" s="108"/>
      <c r="AZ83" s="108"/>
      <c r="BA83" s="165"/>
      <c r="BB83" s="531"/>
    </row>
    <row r="84" spans="1:57" s="495" customFormat="1" outlineLevel="1" x14ac:dyDescent="0.25">
      <c r="A84" s="445"/>
      <c r="B84" s="623" t="s">
        <v>106</v>
      </c>
      <c r="C84" s="310" t="s">
        <v>137</v>
      </c>
      <c r="D84" s="604"/>
      <c r="E84" s="604"/>
      <c r="F84" s="604"/>
      <c r="G84" s="604"/>
      <c r="H84" s="618">
        <v>1</v>
      </c>
      <c r="I84" s="127">
        <f t="shared" si="74"/>
        <v>12</v>
      </c>
      <c r="J84" s="127">
        <f t="shared" si="75"/>
        <v>12</v>
      </c>
      <c r="K84" s="127">
        <f t="shared" si="75"/>
        <v>12</v>
      </c>
      <c r="L84" s="127">
        <f t="shared" si="75"/>
        <v>12</v>
      </c>
      <c r="M84" s="127">
        <f t="shared" si="75"/>
        <v>12</v>
      </c>
      <c r="N84" s="245" t="str">
        <f t="shared" si="85"/>
        <v>CARD Access Services</v>
      </c>
      <c r="O84" s="748">
        <v>107.77</v>
      </c>
      <c r="P84" s="757">
        <f t="shared" si="56"/>
        <v>107.77</v>
      </c>
      <c r="Q84" s="129">
        <f t="shared" si="76"/>
        <v>1293.24</v>
      </c>
      <c r="R84" s="129">
        <f t="shared" si="77"/>
        <v>1293.24</v>
      </c>
      <c r="S84" s="129">
        <f t="shared" si="78"/>
        <v>1293.24</v>
      </c>
      <c r="T84" s="129">
        <f t="shared" si="79"/>
        <v>1293.24</v>
      </c>
      <c r="U84" s="129">
        <f t="shared" si="80"/>
        <v>1293.24</v>
      </c>
      <c r="V84" s="209">
        <f t="shared" si="62"/>
        <v>6466.2</v>
      </c>
      <c r="W84" s="621" t="s">
        <v>138</v>
      </c>
      <c r="X84" s="222" t="str">
        <f t="shared" si="72"/>
        <v>CARD Access Services</v>
      </c>
      <c r="Y84" s="733" t="s">
        <v>118</v>
      </c>
      <c r="Z84" s="774">
        <f t="shared" si="63"/>
        <v>0</v>
      </c>
      <c r="AA84" s="103" cm="1">
        <f t="array" ref="AA84">_xlfn.IFS($Y84="NO CHARGE",0,$Y84&gt;0,$Y84*I84)</f>
        <v>0</v>
      </c>
      <c r="AB84" s="103" cm="1">
        <f t="array" ref="AB84">_xlfn.IFS($Y84="NO CHARGE",0,$Y84&gt;0,$Y84*J84)</f>
        <v>0</v>
      </c>
      <c r="AC84" s="103" cm="1">
        <f t="array" ref="AC84">_xlfn.IFS($Y84="NO CHARGE",0,$Y84&gt;0,$Y84*K84)</f>
        <v>0</v>
      </c>
      <c r="AD84" s="103" cm="1">
        <f t="array" ref="AD84">_xlfn.IFS($Y84="NO CHARGE",0,$Y84&gt;0,$Y84*L84)</f>
        <v>0</v>
      </c>
      <c r="AE84" s="103" cm="1">
        <f t="array" ref="AE84">_xlfn.IFS($Y84="NO CHARGE",0,$Y84&gt;0,$Y84*M84)</f>
        <v>0</v>
      </c>
      <c r="AF84" s="123">
        <f t="shared" si="69"/>
        <v>0</v>
      </c>
      <c r="AG84" s="743"/>
      <c r="AH84" s="362"/>
      <c r="AI84" s="221" t="str">
        <f t="shared" si="53"/>
        <v>CARD Access Services</v>
      </c>
      <c r="AJ84" s="886" t="s">
        <v>118</v>
      </c>
      <c r="AK84" s="896">
        <f t="shared" si="70"/>
        <v>0</v>
      </c>
      <c r="AL84" s="105" cm="1">
        <f t="array" ref="AL84">_xlfn.IFS($AJ84="NO CHARGE",0,$AJ84=0,0,$AJ84&gt;0,PRODUCT(I84,$AJ84))</f>
        <v>0</v>
      </c>
      <c r="AM84" s="105" cm="1">
        <f t="array" ref="AM84">_xlfn.IFS($AJ84="NO CHARGE",0,$AJ84=0,0,$AJ84&gt;0,PRODUCT(J84,$AJ84))</f>
        <v>0</v>
      </c>
      <c r="AN84" s="105" cm="1">
        <f t="array" ref="AN84">_xlfn.IFS($AJ84="NO CHARGE",0,$AJ84=0,0,$AJ84&gt;0,PRODUCT(K84,$AJ84))</f>
        <v>0</v>
      </c>
      <c r="AO84" s="105" cm="1">
        <f t="array" ref="AO84">_xlfn.IFS($AJ84="NO CHARGE",0,$AJ84=0,0,$AJ84&gt;0,PRODUCT(L84,$AJ84))</f>
        <v>0</v>
      </c>
      <c r="AP84" s="105" cm="1">
        <f t="array" ref="AP84">_xlfn.IFS($AJ84="NO CHARGE",0,$AJ84=0,0,$AJ84&gt;0,PRODUCT(M84,$AJ84))</f>
        <v>0</v>
      </c>
      <c r="AQ84" s="158">
        <f t="shared" si="83"/>
        <v>0</v>
      </c>
      <c r="AR84" s="875"/>
      <c r="AS84" s="473"/>
      <c r="AT84" s="106"/>
      <c r="AU84" s="107"/>
      <c r="AV84" s="108">
        <f t="shared" ref="AV84:AV97" si="86">IF(AU84&gt;0,PRODUCT(I84,$AU84),0)</f>
        <v>0</v>
      </c>
      <c r="AW84" s="108">
        <f t="shared" ref="AW84:AW97" si="87">IF(AV84&gt;0,PRODUCT(J84,$AU84),0)</f>
        <v>0</v>
      </c>
      <c r="AX84" s="108">
        <f t="shared" ref="AX84:AX97" si="88">IF(AW84&gt;0,PRODUCT(K84,$AU84),0)</f>
        <v>0</v>
      </c>
      <c r="AY84" s="108">
        <f t="shared" ref="AY84:AY97" si="89">IF(AX84&gt;0,PRODUCT(L84,$AU84),0)</f>
        <v>0</v>
      </c>
      <c r="AZ84" s="108">
        <f t="shared" ref="AZ84:AZ97" si="90">IF(AY84&gt;0,PRODUCT(M84,$AU84),0)</f>
        <v>0</v>
      </c>
      <c r="BA84" s="165">
        <f t="shared" ref="BA84:BA97" si="91">SUM(AV84:AZ84)</f>
        <v>0</v>
      </c>
      <c r="BB84" s="531"/>
    </row>
    <row r="85" spans="1:57" s="495" customFormat="1" outlineLevel="1" x14ac:dyDescent="0.25">
      <c r="A85" s="700"/>
      <c r="B85" s="623" t="s">
        <v>106</v>
      </c>
      <c r="C85" s="310" t="s">
        <v>139</v>
      </c>
      <c r="D85" s="604"/>
      <c r="E85" s="604"/>
      <c r="F85" s="604"/>
      <c r="G85" s="604"/>
      <c r="H85" s="735">
        <v>1</v>
      </c>
      <c r="I85" s="127">
        <f t="shared" si="74"/>
        <v>12</v>
      </c>
      <c r="J85" s="127">
        <f t="shared" si="75"/>
        <v>12</v>
      </c>
      <c r="K85" s="127">
        <f t="shared" si="75"/>
        <v>12</v>
      </c>
      <c r="L85" s="127">
        <f t="shared" si="75"/>
        <v>12</v>
      </c>
      <c r="M85" s="127">
        <f t="shared" si="75"/>
        <v>12</v>
      </c>
      <c r="N85" s="245" t="s">
        <v>128</v>
      </c>
      <c r="O85" s="748"/>
      <c r="P85" s="757">
        <f t="shared" si="56"/>
        <v>0</v>
      </c>
      <c r="Q85" s="129">
        <f t="shared" si="76"/>
        <v>0</v>
      </c>
      <c r="R85" s="129">
        <f t="shared" si="77"/>
        <v>0</v>
      </c>
      <c r="S85" s="129">
        <f t="shared" si="78"/>
        <v>0</v>
      </c>
      <c r="T85" s="129">
        <f t="shared" si="79"/>
        <v>0</v>
      </c>
      <c r="U85" s="129">
        <f t="shared" si="80"/>
        <v>0</v>
      </c>
      <c r="V85" s="209">
        <f t="shared" si="62"/>
        <v>0</v>
      </c>
      <c r="W85" s="621"/>
      <c r="X85" s="222" t="str">
        <f t="shared" si="72"/>
        <v>File Delivery - File and Non Package File Handling (Need Estimated QTY)</v>
      </c>
      <c r="Y85" s="325">
        <v>10</v>
      </c>
      <c r="Z85" s="774">
        <f t="shared" si="63"/>
        <v>10</v>
      </c>
      <c r="AA85" s="103">
        <f t="shared" ref="AA85:AA96" si="92">IF(Y85&gt;0,PRODUCT(I85,$Y85),0)</f>
        <v>120</v>
      </c>
      <c r="AB85" s="103">
        <f t="shared" ref="AB85:AB96" si="93">IF(AA85&gt;0,PRODUCT(J85,$Y85),0)</f>
        <v>120</v>
      </c>
      <c r="AC85" s="103">
        <f t="shared" ref="AC85:AC96" si="94">IF(AB85&gt;0,PRODUCT(K85,$Y85),0)</f>
        <v>120</v>
      </c>
      <c r="AD85" s="103">
        <f t="shared" ref="AD85:AD96" si="95">IF(AC85&gt;0,PRODUCT(L85,$Y85),0)</f>
        <v>120</v>
      </c>
      <c r="AE85" s="103">
        <f t="shared" ref="AE85:AE96" si="96">IF(AD85&gt;0,PRODUCT(M85,$Y85),0)</f>
        <v>120</v>
      </c>
      <c r="AF85" s="123">
        <f t="shared" si="69"/>
        <v>600</v>
      </c>
      <c r="AG85" s="743"/>
      <c r="AH85" s="362"/>
      <c r="AI85" s="221" t="str">
        <f t="shared" si="53"/>
        <v>File Delivery - File and Non Package File Handling (Need Estimated QTY)</v>
      </c>
      <c r="AJ85" s="886">
        <v>10</v>
      </c>
      <c r="AK85" s="896">
        <f t="shared" si="70"/>
        <v>10</v>
      </c>
      <c r="AL85" s="105" cm="1">
        <f t="array" ref="AL85">_xlfn.IFS($AJ85="NO CHARGE",0,$AJ85=0,0,$AJ85&gt;0,PRODUCT(I85,$AJ85))</f>
        <v>120</v>
      </c>
      <c r="AM85" s="105" cm="1">
        <f t="array" ref="AM85">_xlfn.IFS($AJ85="NO CHARGE",0,$AJ85=0,0,$AJ85&gt;0,PRODUCT(J85,$AJ85))</f>
        <v>120</v>
      </c>
      <c r="AN85" s="105" cm="1">
        <f t="array" ref="AN85">_xlfn.IFS($AJ85="NO CHARGE",0,$AJ85=0,0,$AJ85&gt;0,PRODUCT(K85,$AJ85))</f>
        <v>120</v>
      </c>
      <c r="AO85" s="105" cm="1">
        <f t="array" ref="AO85">_xlfn.IFS($AJ85="NO CHARGE",0,$AJ85=0,0,$AJ85&gt;0,PRODUCT(L85,$AJ85))</f>
        <v>120</v>
      </c>
      <c r="AP85" s="105" cm="1">
        <f t="array" ref="AP85">_xlfn.IFS($AJ85="NO CHARGE",0,$AJ85=0,0,$AJ85&gt;0,PRODUCT(M85,$AJ85))</f>
        <v>120</v>
      </c>
      <c r="AQ85" s="158">
        <f t="shared" si="83"/>
        <v>600</v>
      </c>
      <c r="AR85" s="875"/>
      <c r="AS85" s="473"/>
      <c r="AT85" s="106"/>
      <c r="AU85" s="107"/>
      <c r="AV85" s="108">
        <f t="shared" si="86"/>
        <v>0</v>
      </c>
      <c r="AW85" s="108">
        <f t="shared" si="87"/>
        <v>0</v>
      </c>
      <c r="AX85" s="108">
        <f t="shared" si="88"/>
        <v>0</v>
      </c>
      <c r="AY85" s="108">
        <f t="shared" si="89"/>
        <v>0</v>
      </c>
      <c r="AZ85" s="108">
        <f t="shared" si="90"/>
        <v>0</v>
      </c>
      <c r="BA85" s="165">
        <f t="shared" si="91"/>
        <v>0</v>
      </c>
      <c r="BB85" s="531"/>
    </row>
    <row r="86" spans="1:57" s="495" customFormat="1" outlineLevel="1" x14ac:dyDescent="0.25">
      <c r="A86" s="445"/>
      <c r="B86" s="623"/>
      <c r="C86" s="310"/>
      <c r="D86" s="604"/>
      <c r="E86" s="604"/>
      <c r="F86" s="604"/>
      <c r="G86" s="604"/>
      <c r="H86" s="618">
        <f>IFERROR(AVERAGE(D86:G86),0)</f>
        <v>0</v>
      </c>
      <c r="I86" s="127">
        <f t="shared" si="74"/>
        <v>0</v>
      </c>
      <c r="J86" s="127">
        <f t="shared" si="75"/>
        <v>0</v>
      </c>
      <c r="K86" s="127">
        <f t="shared" si="75"/>
        <v>0</v>
      </c>
      <c r="L86" s="127">
        <f t="shared" si="75"/>
        <v>0</v>
      </c>
      <c r="M86" s="127">
        <f t="shared" si="75"/>
        <v>0</v>
      </c>
      <c r="N86" s="245" t="str">
        <f>IF(C86="","",C86)</f>
        <v/>
      </c>
      <c r="O86" s="748"/>
      <c r="P86" s="757">
        <f t="shared" si="56"/>
        <v>0</v>
      </c>
      <c r="Q86" s="129">
        <f t="shared" si="76"/>
        <v>0</v>
      </c>
      <c r="R86" s="129">
        <f t="shared" si="77"/>
        <v>0</v>
      </c>
      <c r="S86" s="129">
        <f t="shared" si="78"/>
        <v>0</v>
      </c>
      <c r="T86" s="129">
        <f t="shared" si="79"/>
        <v>0</v>
      </c>
      <c r="U86" s="129">
        <f t="shared" si="80"/>
        <v>0</v>
      </c>
      <c r="V86" s="209">
        <f t="shared" si="62"/>
        <v>0</v>
      </c>
      <c r="W86" s="528"/>
      <c r="X86" s="222"/>
      <c r="Y86" s="325"/>
      <c r="Z86" s="774">
        <f t="shared" si="63"/>
        <v>0</v>
      </c>
      <c r="AA86" s="103">
        <f t="shared" si="92"/>
        <v>0</v>
      </c>
      <c r="AB86" s="103">
        <f t="shared" si="93"/>
        <v>0</v>
      </c>
      <c r="AC86" s="103">
        <f t="shared" si="94"/>
        <v>0</v>
      </c>
      <c r="AD86" s="103">
        <f t="shared" si="95"/>
        <v>0</v>
      </c>
      <c r="AE86" s="103">
        <f t="shared" si="96"/>
        <v>0</v>
      </c>
      <c r="AF86" s="123">
        <f t="shared" si="69"/>
        <v>0</v>
      </c>
      <c r="AG86" s="743"/>
      <c r="AH86" s="370"/>
      <c r="AI86" s="221"/>
      <c r="AJ86" s="886"/>
      <c r="AK86" s="896">
        <f t="shared" si="70"/>
        <v>0</v>
      </c>
      <c r="AL86" s="105" cm="1">
        <f t="array" ref="AL86">_xlfn.IFS($AJ86="NO CHARGE",0,$AJ86=0,0,$AJ86&gt;0,PRODUCT(I86,$AJ86))</f>
        <v>0</v>
      </c>
      <c r="AM86" s="105" cm="1">
        <f t="array" ref="AM86">_xlfn.IFS($AJ86="NO CHARGE",0,$AJ86=0,0,$AJ86&gt;0,PRODUCT(J86,$AJ86))</f>
        <v>0</v>
      </c>
      <c r="AN86" s="105" cm="1">
        <f t="array" ref="AN86">_xlfn.IFS($AJ86="NO CHARGE",0,$AJ86=0,0,$AJ86&gt;0,PRODUCT(K86,$AJ86))</f>
        <v>0</v>
      </c>
      <c r="AO86" s="105" cm="1">
        <f t="array" ref="AO86">_xlfn.IFS($AJ86="NO CHARGE",0,$AJ86=0,0,$AJ86&gt;0,PRODUCT(L86,$AJ86))</f>
        <v>0</v>
      </c>
      <c r="AP86" s="105" cm="1">
        <f t="array" ref="AP86">_xlfn.IFS($AJ86="NO CHARGE",0,$AJ86=0,0,$AJ86&gt;0,PRODUCT(M86,$AJ86))</f>
        <v>0</v>
      </c>
      <c r="AQ86" s="158">
        <f t="shared" si="83"/>
        <v>0</v>
      </c>
      <c r="AR86" s="875"/>
      <c r="AS86" s="473"/>
      <c r="AT86" s="106"/>
      <c r="AU86" s="107"/>
      <c r="AV86" s="108">
        <f t="shared" si="86"/>
        <v>0</v>
      </c>
      <c r="AW86" s="108">
        <f t="shared" si="87"/>
        <v>0</v>
      </c>
      <c r="AX86" s="108">
        <f t="shared" si="88"/>
        <v>0</v>
      </c>
      <c r="AY86" s="108">
        <f t="shared" si="89"/>
        <v>0</v>
      </c>
      <c r="AZ86" s="108">
        <f t="shared" si="90"/>
        <v>0</v>
      </c>
      <c r="BA86" s="165">
        <f t="shared" si="91"/>
        <v>0</v>
      </c>
      <c r="BB86" s="531"/>
    </row>
    <row r="87" spans="1:57" s="495" customFormat="1" outlineLevel="1" x14ac:dyDescent="0.25">
      <c r="A87" s="700"/>
      <c r="B87" s="623" t="s">
        <v>140</v>
      </c>
      <c r="C87" s="310" t="s">
        <v>141</v>
      </c>
      <c r="D87" s="604"/>
      <c r="E87" s="604"/>
      <c r="F87" s="604"/>
      <c r="G87" s="604"/>
      <c r="H87" s="618">
        <v>1</v>
      </c>
      <c r="I87" s="127">
        <f t="shared" si="74"/>
        <v>12</v>
      </c>
      <c r="J87" s="127">
        <f t="shared" si="75"/>
        <v>12</v>
      </c>
      <c r="K87" s="127">
        <f t="shared" si="75"/>
        <v>12</v>
      </c>
      <c r="L87" s="127">
        <f t="shared" si="75"/>
        <v>12</v>
      </c>
      <c r="M87" s="127">
        <f t="shared" si="75"/>
        <v>12</v>
      </c>
      <c r="N87" s="245" t="s">
        <v>128</v>
      </c>
      <c r="O87" s="748"/>
      <c r="P87" s="757">
        <f t="shared" si="56"/>
        <v>0</v>
      </c>
      <c r="Q87" s="129">
        <f t="shared" si="76"/>
        <v>0</v>
      </c>
      <c r="R87" s="129">
        <f t="shared" si="77"/>
        <v>0</v>
      </c>
      <c r="S87" s="129">
        <f t="shared" si="78"/>
        <v>0</v>
      </c>
      <c r="T87" s="129">
        <f t="shared" si="79"/>
        <v>0</v>
      </c>
      <c r="U87" s="129">
        <f t="shared" si="80"/>
        <v>0</v>
      </c>
      <c r="V87" s="209">
        <f t="shared" si="62"/>
        <v>0</v>
      </c>
      <c r="W87" s="621"/>
      <c r="X87" s="222" t="str">
        <f>C87</f>
        <v>3-D Secure Monthly Base Issuers Fee Hosted</v>
      </c>
      <c r="Y87" s="325">
        <v>150</v>
      </c>
      <c r="Z87" s="774">
        <f t="shared" si="63"/>
        <v>150</v>
      </c>
      <c r="AA87" s="103">
        <f t="shared" si="92"/>
        <v>1800</v>
      </c>
      <c r="AB87" s="103">
        <f t="shared" si="93"/>
        <v>1800</v>
      </c>
      <c r="AC87" s="103">
        <f t="shared" si="94"/>
        <v>1800</v>
      </c>
      <c r="AD87" s="103">
        <f t="shared" si="95"/>
        <v>1800</v>
      </c>
      <c r="AE87" s="103">
        <f t="shared" si="96"/>
        <v>1800</v>
      </c>
      <c r="AF87" s="123">
        <f t="shared" si="69"/>
        <v>9000</v>
      </c>
      <c r="AG87" s="743"/>
      <c r="AH87" s="362"/>
      <c r="AI87" s="221" t="str">
        <f>C87</f>
        <v>3-D Secure Monthly Base Issuers Fee Hosted</v>
      </c>
      <c r="AJ87" s="886">
        <v>150</v>
      </c>
      <c r="AK87" s="896">
        <f t="shared" si="70"/>
        <v>150</v>
      </c>
      <c r="AL87" s="105" cm="1">
        <f t="array" ref="AL87">_xlfn.IFS($AJ87="NO CHARGE",0,$AJ87=0,0,$AJ87&gt;0,PRODUCT(I87,$AJ87))</f>
        <v>1800</v>
      </c>
      <c r="AM87" s="105" cm="1">
        <f t="array" ref="AM87">_xlfn.IFS($AJ87="NO CHARGE",0,$AJ87=0,0,$AJ87&gt;0,PRODUCT(J87,$AJ87))</f>
        <v>1800</v>
      </c>
      <c r="AN87" s="105" cm="1">
        <f t="array" ref="AN87">_xlfn.IFS($AJ87="NO CHARGE",0,$AJ87=0,0,$AJ87&gt;0,PRODUCT(K87,$AJ87))</f>
        <v>1800</v>
      </c>
      <c r="AO87" s="105" cm="1">
        <f t="array" ref="AO87">_xlfn.IFS($AJ87="NO CHARGE",0,$AJ87=0,0,$AJ87&gt;0,PRODUCT(L87,$AJ87))</f>
        <v>1800</v>
      </c>
      <c r="AP87" s="105" cm="1">
        <f t="array" ref="AP87">_xlfn.IFS($AJ87="NO CHARGE",0,$AJ87=0,0,$AJ87&gt;0,PRODUCT(M87,$AJ87))</f>
        <v>1800</v>
      </c>
      <c r="AQ87" s="158">
        <f t="shared" si="83"/>
        <v>9000</v>
      </c>
      <c r="AR87" s="875"/>
      <c r="AS87" s="473"/>
      <c r="AT87" s="106"/>
      <c r="AU87" s="107"/>
      <c r="AV87" s="108">
        <f t="shared" si="86"/>
        <v>0</v>
      </c>
      <c r="AW87" s="108">
        <f t="shared" si="87"/>
        <v>0</v>
      </c>
      <c r="AX87" s="108">
        <f t="shared" si="88"/>
        <v>0</v>
      </c>
      <c r="AY87" s="108">
        <f t="shared" si="89"/>
        <v>0</v>
      </c>
      <c r="AZ87" s="108">
        <f t="shared" si="90"/>
        <v>0</v>
      </c>
      <c r="BA87" s="165">
        <f t="shared" si="91"/>
        <v>0</v>
      </c>
      <c r="BB87" s="531"/>
    </row>
    <row r="88" spans="1:57" s="495" customFormat="1" outlineLevel="1" x14ac:dyDescent="0.25">
      <c r="A88" s="700"/>
      <c r="B88" s="623" t="s">
        <v>140</v>
      </c>
      <c r="C88" s="310" t="s">
        <v>142</v>
      </c>
      <c r="D88" s="604"/>
      <c r="E88" s="604"/>
      <c r="F88" s="604"/>
      <c r="G88" s="604"/>
      <c r="H88" s="618">
        <v>2717</v>
      </c>
      <c r="I88" s="127">
        <f t="shared" si="74"/>
        <v>32604</v>
      </c>
      <c r="J88" s="127">
        <f t="shared" si="75"/>
        <v>34234.199999999997</v>
      </c>
      <c r="K88" s="127">
        <f t="shared" si="75"/>
        <v>35945.909999999996</v>
      </c>
      <c r="L88" s="127">
        <f t="shared" si="75"/>
        <v>37743.205499999996</v>
      </c>
      <c r="M88" s="127">
        <f t="shared" si="75"/>
        <v>39630.365774999998</v>
      </c>
      <c r="N88" s="245" t="s">
        <v>128</v>
      </c>
      <c r="O88" s="748"/>
      <c r="P88" s="757">
        <f t="shared" si="56"/>
        <v>0</v>
      </c>
      <c r="Q88" s="129">
        <f t="shared" si="76"/>
        <v>0</v>
      </c>
      <c r="R88" s="129">
        <f t="shared" si="77"/>
        <v>0</v>
      </c>
      <c r="S88" s="129">
        <f t="shared" si="78"/>
        <v>0</v>
      </c>
      <c r="T88" s="129">
        <f t="shared" si="79"/>
        <v>0</v>
      </c>
      <c r="U88" s="129">
        <f t="shared" si="80"/>
        <v>0</v>
      </c>
      <c r="V88" s="209">
        <f t="shared" si="62"/>
        <v>0</v>
      </c>
      <c r="W88" s="528"/>
      <c r="X88" s="222" t="str">
        <f>C88</f>
        <v>3-D Secure Authentication Transaction Fee</v>
      </c>
      <c r="Y88" s="325">
        <v>0.1</v>
      </c>
      <c r="Z88" s="774">
        <f t="shared" si="63"/>
        <v>271.7</v>
      </c>
      <c r="AA88" s="103">
        <f t="shared" si="92"/>
        <v>3260.4</v>
      </c>
      <c r="AB88" s="103">
        <f t="shared" si="93"/>
        <v>3423.42</v>
      </c>
      <c r="AC88" s="103">
        <f t="shared" si="94"/>
        <v>3594.5909999999999</v>
      </c>
      <c r="AD88" s="103">
        <f t="shared" si="95"/>
        <v>3774.3205499999999</v>
      </c>
      <c r="AE88" s="103">
        <f t="shared" si="96"/>
        <v>3963.0365775</v>
      </c>
      <c r="AF88" s="123">
        <f t="shared" si="69"/>
        <v>18015.7681275</v>
      </c>
      <c r="AG88" s="743"/>
      <c r="AH88" s="370"/>
      <c r="AI88" s="221" t="str">
        <f>C88</f>
        <v>3-D Secure Authentication Transaction Fee</v>
      </c>
      <c r="AJ88" s="886">
        <v>0.1</v>
      </c>
      <c r="AK88" s="896">
        <f t="shared" si="70"/>
        <v>271.7</v>
      </c>
      <c r="AL88" s="105" cm="1">
        <f t="array" ref="AL88">_xlfn.IFS($AJ88="NO CHARGE",0,$AJ88=0,0,$AJ88&gt;0,PRODUCT(I88,$AJ88))</f>
        <v>3260.4</v>
      </c>
      <c r="AM88" s="105" cm="1">
        <f t="array" ref="AM88">_xlfn.IFS($AJ88="NO CHARGE",0,$AJ88=0,0,$AJ88&gt;0,PRODUCT(J88,$AJ88))</f>
        <v>3423.42</v>
      </c>
      <c r="AN88" s="105" cm="1">
        <f t="array" ref="AN88">_xlfn.IFS($AJ88="NO CHARGE",0,$AJ88=0,0,$AJ88&gt;0,PRODUCT(K88,$AJ88))</f>
        <v>3594.5909999999999</v>
      </c>
      <c r="AO88" s="105" cm="1">
        <f t="array" ref="AO88">_xlfn.IFS($AJ88="NO CHARGE",0,$AJ88=0,0,$AJ88&gt;0,PRODUCT(L88,$AJ88))</f>
        <v>3774.3205499999999</v>
      </c>
      <c r="AP88" s="105" cm="1">
        <f t="array" ref="AP88">_xlfn.IFS($AJ88="NO CHARGE",0,$AJ88=0,0,$AJ88&gt;0,PRODUCT(M88,$AJ88))</f>
        <v>3963.0365775</v>
      </c>
      <c r="AQ88" s="158">
        <f t="shared" si="83"/>
        <v>18015.7681275</v>
      </c>
      <c r="AR88" s="875"/>
      <c r="AS88" s="473"/>
      <c r="AT88" s="106"/>
      <c r="AU88" s="107"/>
      <c r="AV88" s="108">
        <f t="shared" si="86"/>
        <v>0</v>
      </c>
      <c r="AW88" s="108">
        <f t="shared" si="87"/>
        <v>0</v>
      </c>
      <c r="AX88" s="108">
        <f t="shared" si="88"/>
        <v>0</v>
      </c>
      <c r="AY88" s="108">
        <f t="shared" si="89"/>
        <v>0</v>
      </c>
      <c r="AZ88" s="108">
        <f t="shared" si="90"/>
        <v>0</v>
      </c>
      <c r="BA88" s="165">
        <f t="shared" si="91"/>
        <v>0</v>
      </c>
      <c r="BB88" s="531"/>
    </row>
    <row r="89" spans="1:57" s="495" customFormat="1" outlineLevel="1" x14ac:dyDescent="0.25">
      <c r="A89" s="445"/>
      <c r="B89" s="623" t="s">
        <v>140</v>
      </c>
      <c r="C89" s="310" t="s">
        <v>143</v>
      </c>
      <c r="D89" s="604"/>
      <c r="E89" s="604"/>
      <c r="F89" s="604"/>
      <c r="G89" s="604"/>
      <c r="H89" s="618">
        <v>271</v>
      </c>
      <c r="I89" s="127">
        <f t="shared" si="74"/>
        <v>3252</v>
      </c>
      <c r="J89" s="127">
        <f t="shared" si="75"/>
        <v>3414.6</v>
      </c>
      <c r="K89" s="127">
        <f t="shared" si="75"/>
        <v>3585.33</v>
      </c>
      <c r="L89" s="127">
        <f t="shared" si="75"/>
        <v>3764.5965000000001</v>
      </c>
      <c r="M89" s="127">
        <f t="shared" si="75"/>
        <v>3952.826325</v>
      </c>
      <c r="N89" s="245" t="str">
        <f>IF(C89="","",C89)</f>
        <v>3-D Secure One Time Passcode (OTP)</v>
      </c>
      <c r="O89" s="748">
        <v>2.1553599999999999E-2</v>
      </c>
      <c r="P89" s="757">
        <f t="shared" ref="P89:P105" si="97">Q89/12</f>
        <v>5.8410255999999992</v>
      </c>
      <c r="Q89" s="129">
        <f t="shared" si="76"/>
        <v>70.092307199999993</v>
      </c>
      <c r="R89" s="129">
        <f t="shared" si="77"/>
        <v>73.596922559999996</v>
      </c>
      <c r="S89" s="129">
        <f t="shared" si="78"/>
        <v>77.27676868799999</v>
      </c>
      <c r="T89" s="129">
        <f t="shared" si="79"/>
        <v>81.140607122399999</v>
      </c>
      <c r="U89" s="129">
        <f t="shared" si="80"/>
        <v>85.197637478519994</v>
      </c>
      <c r="V89" s="209">
        <f t="shared" ref="V89:V108" si="98">SUM(Q89:U89)</f>
        <v>387.30424304892</v>
      </c>
      <c r="W89" s="621"/>
      <c r="X89" s="222" t="str">
        <f>C89</f>
        <v>3-D Secure One Time Passcode (OTP)</v>
      </c>
      <c r="Y89" s="325">
        <v>0.05</v>
      </c>
      <c r="Z89" s="774">
        <f t="shared" si="63"/>
        <v>13.550000000000002</v>
      </c>
      <c r="AA89" s="103">
        <f t="shared" si="92"/>
        <v>162.60000000000002</v>
      </c>
      <c r="AB89" s="103">
        <f t="shared" si="93"/>
        <v>170.73000000000002</v>
      </c>
      <c r="AC89" s="103">
        <f t="shared" si="94"/>
        <v>179.26650000000001</v>
      </c>
      <c r="AD89" s="103">
        <f t="shared" si="95"/>
        <v>188.22982500000001</v>
      </c>
      <c r="AE89" s="103">
        <f t="shared" si="96"/>
        <v>197.64131625000002</v>
      </c>
      <c r="AF89" s="123">
        <f t="shared" si="69"/>
        <v>898.46764125000016</v>
      </c>
      <c r="AG89" s="743"/>
      <c r="AH89" s="362"/>
      <c r="AI89" s="221" t="str">
        <f>C89</f>
        <v>3-D Secure One Time Passcode (OTP)</v>
      </c>
      <c r="AJ89" s="886">
        <v>0.05</v>
      </c>
      <c r="AK89" s="896">
        <f t="shared" si="70"/>
        <v>13.550000000000002</v>
      </c>
      <c r="AL89" s="105" cm="1">
        <f t="array" ref="AL89">_xlfn.IFS($AJ89="NO CHARGE",0,$AJ89=0,0,$AJ89&gt;0,PRODUCT(I89,$AJ89))</f>
        <v>162.60000000000002</v>
      </c>
      <c r="AM89" s="105" cm="1">
        <f t="array" ref="AM89">_xlfn.IFS($AJ89="NO CHARGE",0,$AJ89=0,0,$AJ89&gt;0,PRODUCT(J89,$AJ89))</f>
        <v>170.73000000000002</v>
      </c>
      <c r="AN89" s="105" cm="1">
        <f t="array" ref="AN89">_xlfn.IFS($AJ89="NO CHARGE",0,$AJ89=0,0,$AJ89&gt;0,PRODUCT(K89,$AJ89))</f>
        <v>179.26650000000001</v>
      </c>
      <c r="AO89" s="105" cm="1">
        <f t="array" ref="AO89">_xlfn.IFS($AJ89="NO CHARGE",0,$AJ89=0,0,$AJ89&gt;0,PRODUCT(L89,$AJ89))</f>
        <v>188.22982500000001</v>
      </c>
      <c r="AP89" s="105" cm="1">
        <f t="array" ref="AP89">_xlfn.IFS($AJ89="NO CHARGE",0,$AJ89=0,0,$AJ89&gt;0,PRODUCT(M89,$AJ89))</f>
        <v>197.64131625000002</v>
      </c>
      <c r="AQ89" s="158">
        <f t="shared" si="83"/>
        <v>898.46764125000016</v>
      </c>
      <c r="AR89" s="875"/>
      <c r="AS89" s="473"/>
      <c r="AT89" s="106"/>
      <c r="AU89" s="107"/>
      <c r="AV89" s="108">
        <f t="shared" si="86"/>
        <v>0</v>
      </c>
      <c r="AW89" s="108">
        <f t="shared" si="87"/>
        <v>0</v>
      </c>
      <c r="AX89" s="108">
        <f t="shared" si="88"/>
        <v>0</v>
      </c>
      <c r="AY89" s="108">
        <f t="shared" si="89"/>
        <v>0</v>
      </c>
      <c r="AZ89" s="108">
        <f t="shared" si="90"/>
        <v>0</v>
      </c>
      <c r="BA89" s="165">
        <f t="shared" si="91"/>
        <v>0</v>
      </c>
      <c r="BB89" s="531"/>
    </row>
    <row r="90" spans="1:57" s="495" customFormat="1" outlineLevel="1" x14ac:dyDescent="0.25">
      <c r="A90" s="445"/>
      <c r="B90" s="623"/>
      <c r="C90" s="310"/>
      <c r="D90" s="604"/>
      <c r="E90" s="604"/>
      <c r="F90" s="604"/>
      <c r="G90" s="604"/>
      <c r="H90" s="618">
        <f>IFERROR(AVERAGE(D90:G90),0)</f>
        <v>0</v>
      </c>
      <c r="I90" s="127">
        <f t="shared" si="74"/>
        <v>0</v>
      </c>
      <c r="J90" s="127">
        <f t="shared" si="75"/>
        <v>0</v>
      </c>
      <c r="K90" s="127">
        <f t="shared" si="75"/>
        <v>0</v>
      </c>
      <c r="L90" s="127">
        <f t="shared" si="75"/>
        <v>0</v>
      </c>
      <c r="M90" s="127">
        <f t="shared" si="75"/>
        <v>0</v>
      </c>
      <c r="N90" s="245" t="str">
        <f>IF(C90="","",C90)</f>
        <v/>
      </c>
      <c r="O90" s="748"/>
      <c r="P90" s="757">
        <f t="shared" si="97"/>
        <v>0</v>
      </c>
      <c r="Q90" s="129">
        <f t="shared" si="76"/>
        <v>0</v>
      </c>
      <c r="R90" s="129">
        <f t="shared" si="77"/>
        <v>0</v>
      </c>
      <c r="S90" s="129">
        <f t="shared" si="78"/>
        <v>0</v>
      </c>
      <c r="T90" s="129">
        <f t="shared" si="79"/>
        <v>0</v>
      </c>
      <c r="U90" s="129">
        <f t="shared" si="80"/>
        <v>0</v>
      </c>
      <c r="V90" s="209">
        <f t="shared" si="98"/>
        <v>0</v>
      </c>
      <c r="W90" s="621"/>
      <c r="X90" s="222"/>
      <c r="Y90" s="325"/>
      <c r="Z90" s="774">
        <f t="shared" si="63"/>
        <v>0</v>
      </c>
      <c r="AA90" s="103">
        <f t="shared" si="92"/>
        <v>0</v>
      </c>
      <c r="AB90" s="103">
        <f t="shared" si="93"/>
        <v>0</v>
      </c>
      <c r="AC90" s="103">
        <f t="shared" si="94"/>
        <v>0</v>
      </c>
      <c r="AD90" s="103">
        <f t="shared" si="95"/>
        <v>0</v>
      </c>
      <c r="AE90" s="103">
        <f t="shared" si="96"/>
        <v>0</v>
      </c>
      <c r="AF90" s="123">
        <f t="shared" si="69"/>
        <v>0</v>
      </c>
      <c r="AG90" s="743"/>
      <c r="AH90" s="362"/>
      <c r="AI90" s="221"/>
      <c r="AJ90" s="886"/>
      <c r="AK90" s="896">
        <f t="shared" si="70"/>
        <v>0</v>
      </c>
      <c r="AL90" s="105" cm="1">
        <f t="array" ref="AL90">_xlfn.IFS($AJ90="NO CHARGE",0,$AJ90=0,0,$AJ90&gt;0,PRODUCT(I90,$AJ90))</f>
        <v>0</v>
      </c>
      <c r="AM90" s="105" cm="1">
        <f t="array" ref="AM90">_xlfn.IFS($AJ90="NO CHARGE",0,$AJ90=0,0,$AJ90&gt;0,PRODUCT(J90,$AJ90))</f>
        <v>0</v>
      </c>
      <c r="AN90" s="105" cm="1">
        <f t="array" ref="AN90">_xlfn.IFS($AJ90="NO CHARGE",0,$AJ90=0,0,$AJ90&gt;0,PRODUCT(K90,$AJ90))</f>
        <v>0</v>
      </c>
      <c r="AO90" s="105" cm="1">
        <f t="array" ref="AO90">_xlfn.IFS($AJ90="NO CHARGE",0,$AJ90=0,0,$AJ90&gt;0,PRODUCT(L90,$AJ90))</f>
        <v>0</v>
      </c>
      <c r="AP90" s="105" cm="1">
        <f t="array" ref="AP90">_xlfn.IFS($AJ90="NO CHARGE",0,$AJ90=0,0,$AJ90&gt;0,PRODUCT(M90,$AJ90))</f>
        <v>0</v>
      </c>
      <c r="AQ90" s="158">
        <f t="shared" si="83"/>
        <v>0</v>
      </c>
      <c r="AR90" s="875"/>
      <c r="AS90" s="473"/>
      <c r="AT90" s="106"/>
      <c r="AU90" s="107"/>
      <c r="AV90" s="108">
        <f t="shared" si="86"/>
        <v>0</v>
      </c>
      <c r="AW90" s="108">
        <f t="shared" si="87"/>
        <v>0</v>
      </c>
      <c r="AX90" s="108">
        <f t="shared" si="88"/>
        <v>0</v>
      </c>
      <c r="AY90" s="108">
        <f t="shared" si="89"/>
        <v>0</v>
      </c>
      <c r="AZ90" s="108">
        <f t="shared" si="90"/>
        <v>0</v>
      </c>
      <c r="BA90" s="165">
        <f t="shared" si="91"/>
        <v>0</v>
      </c>
      <c r="BB90" s="531"/>
      <c r="BD90" s="1100"/>
      <c r="BE90" s="1100"/>
    </row>
    <row r="91" spans="1:57" s="495" customFormat="1" outlineLevel="1" x14ac:dyDescent="0.25">
      <c r="A91" s="445"/>
      <c r="B91" s="623" t="s">
        <v>144</v>
      </c>
      <c r="C91" s="310" t="str">
        <f>B91&amp;" [QTY CALCULATIONS YOY]"</f>
        <v>Card Suite Lite Card Controls [QTY CALCULATIONS YOY]</v>
      </c>
      <c r="D91" s="604"/>
      <c r="E91" s="604"/>
      <c r="F91" s="604"/>
      <c r="G91" s="604"/>
      <c r="H91" s="618">
        <v>1110</v>
      </c>
      <c r="I91" s="127">
        <f t="shared" si="74"/>
        <v>13320</v>
      </c>
      <c r="J91" s="127">
        <f t="shared" si="75"/>
        <v>13986</v>
      </c>
      <c r="K91" s="127">
        <f t="shared" si="75"/>
        <v>14685.3</v>
      </c>
      <c r="L91" s="127">
        <f t="shared" si="75"/>
        <v>15419.564999999999</v>
      </c>
      <c r="M91" s="127">
        <f t="shared" si="75"/>
        <v>16190.543249999999</v>
      </c>
      <c r="N91" s="245" t="str">
        <f>B91&amp;" [TIERED]"</f>
        <v>Card Suite Lite Card Controls [TIERED]</v>
      </c>
      <c r="O91" s="586"/>
      <c r="P91" s="757">
        <f t="shared" si="97"/>
        <v>0</v>
      </c>
      <c r="Q91" s="129">
        <f t="shared" si="76"/>
        <v>0</v>
      </c>
      <c r="R91" s="129">
        <f t="shared" si="77"/>
        <v>0</v>
      </c>
      <c r="S91" s="129">
        <f t="shared" si="78"/>
        <v>0</v>
      </c>
      <c r="T91" s="129">
        <f t="shared" si="79"/>
        <v>0</v>
      </c>
      <c r="U91" s="129">
        <f t="shared" si="80"/>
        <v>0</v>
      </c>
      <c r="V91" s="209">
        <f t="shared" si="98"/>
        <v>0</v>
      </c>
      <c r="W91" s="528"/>
      <c r="X91" s="222" t="str">
        <f>B91&amp;" [TIERED]"</f>
        <v>Card Suite Lite Card Controls [TIERED]</v>
      </c>
      <c r="Y91" s="325"/>
      <c r="Z91" s="774">
        <f t="shared" si="63"/>
        <v>0</v>
      </c>
      <c r="AA91" s="103">
        <f t="shared" si="92"/>
        <v>0</v>
      </c>
      <c r="AB91" s="103">
        <f t="shared" si="93"/>
        <v>0</v>
      </c>
      <c r="AC91" s="103">
        <f t="shared" si="94"/>
        <v>0</v>
      </c>
      <c r="AD91" s="103">
        <f t="shared" si="95"/>
        <v>0</v>
      </c>
      <c r="AE91" s="103">
        <f t="shared" si="96"/>
        <v>0</v>
      </c>
      <c r="AF91" s="123">
        <f t="shared" si="69"/>
        <v>0</v>
      </c>
      <c r="AG91" s="743"/>
      <c r="AH91" s="370"/>
      <c r="AI91" s="221" t="str">
        <f>C91</f>
        <v>Card Suite Lite Card Controls [QTY CALCULATIONS YOY]</v>
      </c>
      <c r="AJ91" s="886"/>
      <c r="AK91" s="896">
        <f t="shared" si="70"/>
        <v>0</v>
      </c>
      <c r="AL91" s="105" cm="1">
        <f t="array" ref="AL91">_xlfn.IFS($AJ91="NO CHARGE",0,$AJ91=0,0,$AJ91&gt;0,PRODUCT(I91,$AJ91))</f>
        <v>0</v>
      </c>
      <c r="AM91" s="105" cm="1">
        <f t="array" ref="AM91">_xlfn.IFS($AJ91="NO CHARGE",0,$AJ91=0,0,$AJ91&gt;0,PRODUCT(J91,$AJ91))</f>
        <v>0</v>
      </c>
      <c r="AN91" s="105" cm="1">
        <f t="array" ref="AN91">_xlfn.IFS($AJ91="NO CHARGE",0,$AJ91=0,0,$AJ91&gt;0,PRODUCT(K91,$AJ91))</f>
        <v>0</v>
      </c>
      <c r="AO91" s="105" cm="1">
        <f t="array" ref="AO91">_xlfn.IFS($AJ91="NO CHARGE",0,$AJ91=0,0,$AJ91&gt;0,PRODUCT(L91,$AJ91))</f>
        <v>0</v>
      </c>
      <c r="AP91" s="105" cm="1">
        <f t="array" ref="AP91">_xlfn.IFS($AJ91="NO CHARGE",0,$AJ91=0,0,$AJ91&gt;0,PRODUCT(M91,$AJ91))</f>
        <v>0</v>
      </c>
      <c r="AQ91" s="158">
        <f t="shared" si="83"/>
        <v>0</v>
      </c>
      <c r="AR91" s="875"/>
      <c r="AS91" s="473"/>
      <c r="AT91" s="106"/>
      <c r="AU91" s="107"/>
      <c r="AV91" s="108">
        <f t="shared" si="86"/>
        <v>0</v>
      </c>
      <c r="AW91" s="108">
        <f t="shared" si="87"/>
        <v>0</v>
      </c>
      <c r="AX91" s="108">
        <f t="shared" si="88"/>
        <v>0</v>
      </c>
      <c r="AY91" s="108">
        <f t="shared" si="89"/>
        <v>0</v>
      </c>
      <c r="AZ91" s="108">
        <f t="shared" si="90"/>
        <v>0</v>
      </c>
      <c r="BA91" s="165">
        <f t="shared" si="91"/>
        <v>0</v>
      </c>
      <c r="BB91" s="531"/>
    </row>
    <row r="92" spans="1:57" s="495" customFormat="1" outlineLevel="1" x14ac:dyDescent="0.25">
      <c r="A92" s="445"/>
      <c r="B92" s="623" t="s">
        <v>144</v>
      </c>
      <c r="C92" s="200" t="s">
        <v>145</v>
      </c>
      <c r="D92" s="604"/>
      <c r="E92" s="604"/>
      <c r="F92" s="604"/>
      <c r="G92" s="604"/>
      <c r="H92" s="699">
        <v>50000</v>
      </c>
      <c r="I92" s="127">
        <f>IF(I91&gt;($H92*12),$H92*12,I91)</f>
        <v>13320</v>
      </c>
      <c r="J92" s="127">
        <f>IF(J91&gt;($H92*12),$H92*12,J91)</f>
        <v>13986</v>
      </c>
      <c r="K92" s="127">
        <f>IF(K91&gt;($H92*12),$H92*12,K91)</f>
        <v>14685.3</v>
      </c>
      <c r="L92" s="127">
        <f>IF(L91&gt;($H92*12),$H92*12,L91)</f>
        <v>15419.564999999999</v>
      </c>
      <c r="M92" s="127">
        <f>IF(M91&gt;($H92*12),$H92*12,M91)</f>
        <v>16190.543249999999</v>
      </c>
      <c r="N92" s="750" t="str">
        <f>C92</f>
        <v>[Tiered] 0 - 50k</v>
      </c>
      <c r="O92" s="586">
        <v>0.59272499999999995</v>
      </c>
      <c r="P92" s="757">
        <f t="shared" si="97"/>
        <v>657.9247499999999</v>
      </c>
      <c r="Q92" s="129">
        <f t="shared" si="76"/>
        <v>7895.0969999999988</v>
      </c>
      <c r="R92" s="129">
        <f t="shared" si="77"/>
        <v>8289.8518499999991</v>
      </c>
      <c r="S92" s="129">
        <f t="shared" si="78"/>
        <v>8704.344442499998</v>
      </c>
      <c r="T92" s="129">
        <f t="shared" si="79"/>
        <v>9139.5616646249982</v>
      </c>
      <c r="U92" s="129">
        <f t="shared" si="80"/>
        <v>9596.5397478562481</v>
      </c>
      <c r="V92" s="209">
        <f t="shared" si="98"/>
        <v>43625.394704981241</v>
      </c>
      <c r="W92" s="621"/>
      <c r="X92" s="701" t="str">
        <f>C92</f>
        <v>[Tiered] 0 - 50k</v>
      </c>
      <c r="Y92" s="325">
        <v>0.5927</v>
      </c>
      <c r="Z92" s="774">
        <f t="shared" si="63"/>
        <v>657.89700000000005</v>
      </c>
      <c r="AA92" s="103">
        <f t="shared" si="92"/>
        <v>7894.7640000000001</v>
      </c>
      <c r="AB92" s="103">
        <f t="shared" si="93"/>
        <v>8289.5022000000008</v>
      </c>
      <c r="AC92" s="103">
        <f t="shared" si="94"/>
        <v>8703.9773100000002</v>
      </c>
      <c r="AD92" s="103">
        <f t="shared" si="95"/>
        <v>9139.1761754999989</v>
      </c>
      <c r="AE92" s="103">
        <f t="shared" si="96"/>
        <v>9596.1349842749987</v>
      </c>
      <c r="AF92" s="123">
        <f t="shared" si="69"/>
        <v>43623.554669774996</v>
      </c>
      <c r="AG92" s="743"/>
      <c r="AH92" s="711"/>
      <c r="AI92" s="880" t="str">
        <f>C92</f>
        <v>[Tiered] 0 - 50k</v>
      </c>
      <c r="AJ92" s="886">
        <v>0.5927</v>
      </c>
      <c r="AK92" s="896">
        <f t="shared" si="70"/>
        <v>657.89700000000005</v>
      </c>
      <c r="AL92" s="105" cm="1">
        <f t="array" ref="AL92">_xlfn.IFS($AJ92="NO CHARGE",0,$AJ92=0,0,$AJ92&gt;0,PRODUCT(I92,$AJ92))</f>
        <v>7894.7640000000001</v>
      </c>
      <c r="AM92" s="105" cm="1">
        <f t="array" ref="AM92">_xlfn.IFS($AJ92="NO CHARGE",0,$AJ92=0,0,$AJ92&gt;0,PRODUCT(J92,$AJ92))</f>
        <v>8289.5022000000008</v>
      </c>
      <c r="AN92" s="105" cm="1">
        <f t="array" ref="AN92">_xlfn.IFS($AJ92="NO CHARGE",0,$AJ92=0,0,$AJ92&gt;0,PRODUCT(K92,$AJ92))</f>
        <v>8703.9773100000002</v>
      </c>
      <c r="AO92" s="105" cm="1">
        <f t="array" ref="AO92">_xlfn.IFS($AJ92="NO CHARGE",0,$AJ92=0,0,$AJ92&gt;0,PRODUCT(L92,$AJ92))</f>
        <v>9139.1761754999989</v>
      </c>
      <c r="AP92" s="105" cm="1">
        <f t="array" ref="AP92">_xlfn.IFS($AJ92="NO CHARGE",0,$AJ92=0,0,$AJ92&gt;0,PRODUCT(M92,$AJ92))</f>
        <v>9596.1349842749987</v>
      </c>
      <c r="AQ92" s="158">
        <f t="shared" si="83"/>
        <v>43623.554669774996</v>
      </c>
      <c r="AR92" s="875"/>
      <c r="AS92" s="473"/>
      <c r="AT92" s="106"/>
      <c r="AU92" s="107"/>
      <c r="AV92" s="108">
        <f t="shared" si="86"/>
        <v>0</v>
      </c>
      <c r="AW92" s="108">
        <f t="shared" si="87"/>
        <v>0</v>
      </c>
      <c r="AX92" s="108">
        <f t="shared" si="88"/>
        <v>0</v>
      </c>
      <c r="AY92" s="108">
        <f t="shared" si="89"/>
        <v>0</v>
      </c>
      <c r="AZ92" s="108">
        <f t="shared" si="90"/>
        <v>0</v>
      </c>
      <c r="BA92" s="165">
        <f t="shared" si="91"/>
        <v>0</v>
      </c>
      <c r="BB92" s="531"/>
    </row>
    <row r="93" spans="1:57" s="495" customFormat="1" outlineLevel="1" x14ac:dyDescent="0.25">
      <c r="A93" s="445"/>
      <c r="B93" s="623" t="s">
        <v>144</v>
      </c>
      <c r="C93" s="200" t="s">
        <v>146</v>
      </c>
      <c r="D93" s="604"/>
      <c r="E93" s="604"/>
      <c r="F93" s="604"/>
      <c r="G93" s="604"/>
      <c r="H93" s="699">
        <f>175000-50001</f>
        <v>124999</v>
      </c>
      <c r="I93" s="127" cm="1">
        <f t="array" ref="I93">_xlfn.IFS(I91&gt;(SUM($H92:$H93)*12),$H93*12, I91&lt;(SUM(H92:H93)*12),0, I91=(SUM(H92:H93*12)),0)</f>
        <v>0</v>
      </c>
      <c r="J93" s="127" cm="1">
        <f t="array" ref="J93">_xlfn.IFS(J91&gt;(SUM($H92:$H93)*12),$H93*12, J91&lt;(SUM(I92:I93)*12),0, J91=(SUM(I92:I93*12)),0)</f>
        <v>0</v>
      </c>
      <c r="K93" s="127" cm="1">
        <f t="array" ref="K93">_xlfn.IFS(K91&gt;(SUM($H92:$H93)*12),$H93*12, K91&lt;(SUM(J92:J93)*12),0, K91=(SUM(J92:J93*12)),0)</f>
        <v>0</v>
      </c>
      <c r="L93" s="127" cm="1">
        <f t="array" ref="L93">_xlfn.IFS(L91&gt;(SUM($H92:$H93)*12),$H93*12, L91&lt;(SUM(K92:K93)*12),0, L91=(SUM(K92:K93*12)),0)</f>
        <v>0</v>
      </c>
      <c r="M93" s="127" cm="1">
        <f t="array" ref="M93">_xlfn.IFS(M91&gt;(SUM($H92:$H93)*12),$H93*12, M91&lt;(SUM(L92:L93)*12),0, M91=(SUM(L92:L93*12)),0)</f>
        <v>0</v>
      </c>
      <c r="N93" s="750" t="str">
        <f>C93</f>
        <v>[Tiered] 50,001 - 175k</v>
      </c>
      <c r="O93" s="586">
        <v>0.59272999999999998</v>
      </c>
      <c r="P93" s="757">
        <f t="shared" si="97"/>
        <v>0</v>
      </c>
      <c r="Q93" s="129">
        <f t="shared" si="76"/>
        <v>0</v>
      </c>
      <c r="R93" s="129">
        <f t="shared" si="77"/>
        <v>0</v>
      </c>
      <c r="S93" s="129">
        <f t="shared" si="78"/>
        <v>0</v>
      </c>
      <c r="T93" s="129">
        <f t="shared" si="79"/>
        <v>0</v>
      </c>
      <c r="U93" s="129">
        <f t="shared" si="80"/>
        <v>0</v>
      </c>
      <c r="V93" s="209">
        <f t="shared" si="98"/>
        <v>0</v>
      </c>
      <c r="W93" s="621"/>
      <c r="X93" s="701" t="str">
        <f>C93</f>
        <v>[Tiered] 50,001 - 175k</v>
      </c>
      <c r="Y93" s="325">
        <v>0.5927</v>
      </c>
      <c r="Z93" s="774">
        <f t="shared" si="63"/>
        <v>0</v>
      </c>
      <c r="AA93" s="103">
        <f t="shared" si="92"/>
        <v>0</v>
      </c>
      <c r="AB93" s="103">
        <f t="shared" si="93"/>
        <v>0</v>
      </c>
      <c r="AC93" s="103">
        <f t="shared" si="94"/>
        <v>0</v>
      </c>
      <c r="AD93" s="103">
        <f t="shared" si="95"/>
        <v>0</v>
      </c>
      <c r="AE93" s="103">
        <f t="shared" si="96"/>
        <v>0</v>
      </c>
      <c r="AF93" s="123">
        <f t="shared" si="69"/>
        <v>0</v>
      </c>
      <c r="AG93" s="743"/>
      <c r="AH93" s="362"/>
      <c r="AI93" s="880" t="str">
        <f>C93</f>
        <v>[Tiered] 50,001 - 175k</v>
      </c>
      <c r="AJ93" s="886">
        <v>0.5927</v>
      </c>
      <c r="AK93" s="896">
        <f t="shared" si="70"/>
        <v>0</v>
      </c>
      <c r="AL93" s="105" cm="1">
        <f t="array" ref="AL93">_xlfn.IFS($AJ93="NO CHARGE",0,$AJ93=0,0,$AJ93&gt;0,PRODUCT(I93,$AJ93))</f>
        <v>0</v>
      </c>
      <c r="AM93" s="105" cm="1">
        <f t="array" ref="AM93">_xlfn.IFS($AJ93="NO CHARGE",0,$AJ93=0,0,$AJ93&gt;0,PRODUCT(J93,$AJ93))</f>
        <v>0</v>
      </c>
      <c r="AN93" s="105" cm="1">
        <f t="array" ref="AN93">_xlfn.IFS($AJ93="NO CHARGE",0,$AJ93=0,0,$AJ93&gt;0,PRODUCT(K93,$AJ93))</f>
        <v>0</v>
      </c>
      <c r="AO93" s="105" cm="1">
        <f t="array" ref="AO93">_xlfn.IFS($AJ93="NO CHARGE",0,$AJ93=0,0,$AJ93&gt;0,PRODUCT(L93,$AJ93))</f>
        <v>0</v>
      </c>
      <c r="AP93" s="105" cm="1">
        <f t="array" ref="AP93">_xlfn.IFS($AJ93="NO CHARGE",0,$AJ93=0,0,$AJ93&gt;0,PRODUCT(M93,$AJ93))</f>
        <v>0</v>
      </c>
      <c r="AQ93" s="158">
        <f t="shared" si="83"/>
        <v>0</v>
      </c>
      <c r="AR93" s="875"/>
      <c r="AS93" s="473"/>
      <c r="AT93" s="106"/>
      <c r="AU93" s="107"/>
      <c r="AV93" s="108">
        <f t="shared" si="86"/>
        <v>0</v>
      </c>
      <c r="AW93" s="108">
        <f t="shared" si="87"/>
        <v>0</v>
      </c>
      <c r="AX93" s="108">
        <f t="shared" si="88"/>
        <v>0</v>
      </c>
      <c r="AY93" s="108">
        <f t="shared" si="89"/>
        <v>0</v>
      </c>
      <c r="AZ93" s="108">
        <f t="shared" si="90"/>
        <v>0</v>
      </c>
      <c r="BA93" s="165">
        <f t="shared" si="91"/>
        <v>0</v>
      </c>
      <c r="BB93" s="531"/>
      <c r="BD93" s="1100"/>
      <c r="BE93" s="1100"/>
    </row>
    <row r="94" spans="1:57" s="495" customFormat="1" outlineLevel="1" x14ac:dyDescent="0.25">
      <c r="A94" s="445"/>
      <c r="B94" s="623" t="s">
        <v>144</v>
      </c>
      <c r="C94" s="200" t="s">
        <v>147</v>
      </c>
      <c r="D94" s="604"/>
      <c r="E94" s="604"/>
      <c r="F94" s="604"/>
      <c r="G94" s="604"/>
      <c r="H94" s="699">
        <f>500000-175001</f>
        <v>324999</v>
      </c>
      <c r="I94" s="127" cm="1">
        <f t="array" ref="I94">_xlfn.IFS(I91&gt;(SUM($H92:$H94)*12),$H94*12, I91&lt;(SUM(H92:H94)*12),0, I91=(SUM(H92:H94*12)),0)</f>
        <v>0</v>
      </c>
      <c r="J94" s="127" cm="1">
        <f t="array" ref="J94">_xlfn.IFS(J91&gt;(SUM($H92:$H94)*12),$H94*12, J91&lt;(SUM(I92:I94)*12),0, J91=(SUM(I92:I94*12)),0)</f>
        <v>0</v>
      </c>
      <c r="K94" s="127" cm="1">
        <f t="array" ref="K94">_xlfn.IFS(K91&gt;(SUM($H92:$H94)*12),$H94*12, K91&lt;(SUM(J92:J94)*12),0, K91=(SUM(J92:J94*12)),0)</f>
        <v>0</v>
      </c>
      <c r="L94" s="127" cm="1">
        <f t="array" ref="L94">_xlfn.IFS(L91&gt;(SUM($H92:$H94)*12),$H94*12, L91&lt;(SUM(K92:K94)*12),0, L91=(SUM(K92:K94*12)),0)</f>
        <v>0</v>
      </c>
      <c r="M94" s="127" cm="1">
        <f t="array" ref="M94">_xlfn.IFS(M91&gt;(SUM($H92:$H94)*12),$H94*12, M91&lt;(SUM(L92:L94)*12),0, M91=(SUM(L92:L94*12)),0)</f>
        <v>0</v>
      </c>
      <c r="N94" s="750" t="str">
        <f>C94</f>
        <v>[Tiered] 175,001 - 500k</v>
      </c>
      <c r="O94" s="586"/>
      <c r="P94" s="757">
        <f t="shared" si="97"/>
        <v>0</v>
      </c>
      <c r="Q94" s="129">
        <f t="shared" si="76"/>
        <v>0</v>
      </c>
      <c r="R94" s="129">
        <f t="shared" si="77"/>
        <v>0</v>
      </c>
      <c r="S94" s="129">
        <f t="shared" si="78"/>
        <v>0</v>
      </c>
      <c r="T94" s="129">
        <f t="shared" si="79"/>
        <v>0</v>
      </c>
      <c r="U94" s="129">
        <f t="shared" si="80"/>
        <v>0</v>
      </c>
      <c r="V94" s="209">
        <f t="shared" si="98"/>
        <v>0</v>
      </c>
      <c r="W94" s="528"/>
      <c r="X94" s="701" t="str">
        <f>C94</f>
        <v>[Tiered] 175,001 - 500k</v>
      </c>
      <c r="Y94" s="325">
        <v>0.45</v>
      </c>
      <c r="Z94" s="774">
        <f t="shared" si="63"/>
        <v>0</v>
      </c>
      <c r="AA94" s="103">
        <f t="shared" si="92"/>
        <v>0</v>
      </c>
      <c r="AB94" s="103">
        <f t="shared" si="93"/>
        <v>0</v>
      </c>
      <c r="AC94" s="103">
        <f t="shared" si="94"/>
        <v>0</v>
      </c>
      <c r="AD94" s="103">
        <f t="shared" si="95"/>
        <v>0</v>
      </c>
      <c r="AE94" s="103">
        <f t="shared" si="96"/>
        <v>0</v>
      </c>
      <c r="AF94" s="123">
        <f t="shared" si="69"/>
        <v>0</v>
      </c>
      <c r="AG94" s="743"/>
      <c r="AH94" s="362"/>
      <c r="AI94" s="880" t="str">
        <f>C94</f>
        <v>[Tiered] 175,001 - 500k</v>
      </c>
      <c r="AJ94" s="886">
        <v>0.45</v>
      </c>
      <c r="AK94" s="896">
        <f t="shared" si="70"/>
        <v>0</v>
      </c>
      <c r="AL94" s="105" cm="1">
        <f t="array" ref="AL94">_xlfn.IFS($AJ94="NO CHARGE",0,$AJ94=0,0,$AJ94&gt;0,PRODUCT(I94,$AJ94))</f>
        <v>0</v>
      </c>
      <c r="AM94" s="105" cm="1">
        <f t="array" ref="AM94">_xlfn.IFS($AJ94="NO CHARGE",0,$AJ94=0,0,$AJ94&gt;0,PRODUCT(J94,$AJ94))</f>
        <v>0</v>
      </c>
      <c r="AN94" s="105" cm="1">
        <f t="array" ref="AN94">_xlfn.IFS($AJ94="NO CHARGE",0,$AJ94=0,0,$AJ94&gt;0,PRODUCT(K94,$AJ94))</f>
        <v>0</v>
      </c>
      <c r="AO94" s="105" cm="1">
        <f t="array" ref="AO94">_xlfn.IFS($AJ94="NO CHARGE",0,$AJ94=0,0,$AJ94&gt;0,PRODUCT(L94,$AJ94))</f>
        <v>0</v>
      </c>
      <c r="AP94" s="105" cm="1">
        <f t="array" ref="AP94">_xlfn.IFS($AJ94="NO CHARGE",0,$AJ94=0,0,$AJ94&gt;0,PRODUCT(M94,$AJ94))</f>
        <v>0</v>
      </c>
      <c r="AQ94" s="158">
        <f t="shared" si="83"/>
        <v>0</v>
      </c>
      <c r="AR94" s="875"/>
      <c r="AS94" s="473"/>
      <c r="AT94" s="106"/>
      <c r="AU94" s="107"/>
      <c r="AV94" s="108">
        <f t="shared" si="86"/>
        <v>0</v>
      </c>
      <c r="AW94" s="108">
        <f t="shared" si="87"/>
        <v>0</v>
      </c>
      <c r="AX94" s="108">
        <f t="shared" si="88"/>
        <v>0</v>
      </c>
      <c r="AY94" s="108">
        <f t="shared" si="89"/>
        <v>0</v>
      </c>
      <c r="AZ94" s="108">
        <f t="shared" si="90"/>
        <v>0</v>
      </c>
      <c r="BA94" s="165">
        <f t="shared" si="91"/>
        <v>0</v>
      </c>
      <c r="BB94" s="531"/>
      <c r="BD94" s="1100"/>
      <c r="BE94" s="1100"/>
    </row>
    <row r="95" spans="1:57" s="495" customFormat="1" outlineLevel="1" x14ac:dyDescent="0.25">
      <c r="A95" s="445"/>
      <c r="B95" s="623" t="s">
        <v>144</v>
      </c>
      <c r="C95" s="200" t="s">
        <v>148</v>
      </c>
      <c r="D95" s="604"/>
      <c r="E95" s="604"/>
      <c r="F95" s="604"/>
      <c r="G95" s="604"/>
      <c r="H95" s="699"/>
      <c r="I95" s="127" cm="1">
        <f t="array" ref="I95">_xlfn.IFS(I91&gt;SUM($H92:$H94)*12, I91-SUM(I92:I94), I91&lt;SUM($H92:$H94)*12, 0, I91=SUM($H92:$H94)*12,0)</f>
        <v>0</v>
      </c>
      <c r="J95" s="127" cm="1">
        <f t="array" ref="J95">_xlfn.IFS(J91&gt;SUM($H92:$H94)*12, J91-SUM(J92:J94), J91&lt;SUM($H92:$H94)*12, 0, J91=SUM($H92:$H94)*12,0)</f>
        <v>0</v>
      </c>
      <c r="K95" s="127" cm="1">
        <f t="array" ref="K95">_xlfn.IFS(K91&gt;SUM($H92:$H94)*12, K91-SUM(K92:K94), K91&lt;SUM($H92:$H94)*12, 0, K91=SUM($H92:$H94)*12,0)</f>
        <v>0</v>
      </c>
      <c r="L95" s="127" cm="1">
        <f t="array" ref="L95">_xlfn.IFS(L91&gt;SUM($H92:$H94)*12, L91-SUM(L92:L94), L91&lt;SUM($H92:$H94)*12, 0, L91=SUM($H92:$H94)*12,0)</f>
        <v>0</v>
      </c>
      <c r="M95" s="127" cm="1">
        <f t="array" ref="M95">_xlfn.IFS(M91&gt;SUM($H92:$H94)*12, M91-SUM(M92:M94), M91&lt;SUM($H92:$H94)*12, 0, M91=SUM($H92:$H94)*12,0)</f>
        <v>0</v>
      </c>
      <c r="N95" s="750" t="str">
        <f>C95</f>
        <v>[Tiered] Beyond 500k</v>
      </c>
      <c r="O95" s="586"/>
      <c r="P95" s="757">
        <f t="shared" si="97"/>
        <v>0</v>
      </c>
      <c r="Q95" s="129">
        <f t="shared" si="76"/>
        <v>0</v>
      </c>
      <c r="R95" s="129">
        <f t="shared" si="77"/>
        <v>0</v>
      </c>
      <c r="S95" s="129">
        <f t="shared" si="78"/>
        <v>0</v>
      </c>
      <c r="T95" s="129">
        <f t="shared" si="79"/>
        <v>0</v>
      </c>
      <c r="U95" s="129">
        <f t="shared" si="80"/>
        <v>0</v>
      </c>
      <c r="V95" s="209">
        <f t="shared" si="98"/>
        <v>0</v>
      </c>
      <c r="W95" s="528"/>
      <c r="X95" s="701" t="str">
        <f>C95</f>
        <v>[Tiered] Beyond 500k</v>
      </c>
      <c r="Y95" s="325">
        <v>0.45</v>
      </c>
      <c r="Z95" s="774">
        <f t="shared" si="63"/>
        <v>0</v>
      </c>
      <c r="AA95" s="103">
        <f t="shared" si="92"/>
        <v>0</v>
      </c>
      <c r="AB95" s="103">
        <f t="shared" si="93"/>
        <v>0</v>
      </c>
      <c r="AC95" s="103">
        <f t="shared" si="94"/>
        <v>0</v>
      </c>
      <c r="AD95" s="103">
        <f t="shared" si="95"/>
        <v>0</v>
      </c>
      <c r="AE95" s="103">
        <f t="shared" si="96"/>
        <v>0</v>
      </c>
      <c r="AF95" s="123">
        <f t="shared" si="69"/>
        <v>0</v>
      </c>
      <c r="AG95" s="743"/>
      <c r="AH95" s="362"/>
      <c r="AI95" s="880" t="str">
        <f>C95</f>
        <v>[Tiered] Beyond 500k</v>
      </c>
      <c r="AJ95" s="886">
        <v>0.4</v>
      </c>
      <c r="AK95" s="896">
        <f t="shared" si="70"/>
        <v>0</v>
      </c>
      <c r="AL95" s="105" cm="1">
        <f t="array" ref="AL95">_xlfn.IFS($AJ95="NO CHARGE",0,$AJ95=0,0,$AJ95&gt;0,PRODUCT(I95,$AJ95))</f>
        <v>0</v>
      </c>
      <c r="AM95" s="105" cm="1">
        <f t="array" ref="AM95">_xlfn.IFS($AJ95="NO CHARGE",0,$AJ95=0,0,$AJ95&gt;0,PRODUCT(J95,$AJ95))</f>
        <v>0</v>
      </c>
      <c r="AN95" s="105" cm="1">
        <f t="array" ref="AN95">_xlfn.IFS($AJ95="NO CHARGE",0,$AJ95=0,0,$AJ95&gt;0,PRODUCT(K95,$AJ95))</f>
        <v>0</v>
      </c>
      <c r="AO95" s="105" cm="1">
        <f t="array" ref="AO95">_xlfn.IFS($AJ95="NO CHARGE",0,$AJ95=0,0,$AJ95&gt;0,PRODUCT(L95,$AJ95))</f>
        <v>0</v>
      </c>
      <c r="AP95" s="105" cm="1">
        <f t="array" ref="AP95">_xlfn.IFS($AJ95="NO CHARGE",0,$AJ95=0,0,$AJ95&gt;0,PRODUCT(M95,$AJ95))</f>
        <v>0</v>
      </c>
      <c r="AQ95" s="158">
        <f t="shared" si="83"/>
        <v>0</v>
      </c>
      <c r="AR95" s="875"/>
      <c r="AS95" s="473"/>
      <c r="AT95" s="106"/>
      <c r="AU95" s="107"/>
      <c r="AV95" s="108">
        <f t="shared" si="86"/>
        <v>0</v>
      </c>
      <c r="AW95" s="108">
        <f t="shared" si="87"/>
        <v>0</v>
      </c>
      <c r="AX95" s="108">
        <f t="shared" si="88"/>
        <v>0</v>
      </c>
      <c r="AY95" s="108">
        <f t="shared" si="89"/>
        <v>0</v>
      </c>
      <c r="AZ95" s="108">
        <f t="shared" si="90"/>
        <v>0</v>
      </c>
      <c r="BA95" s="165">
        <f t="shared" si="91"/>
        <v>0</v>
      </c>
      <c r="BB95" s="531"/>
      <c r="BE95" s="1100"/>
    </row>
    <row r="96" spans="1:57" s="495" customFormat="1" outlineLevel="1" x14ac:dyDescent="0.25">
      <c r="A96" s="445"/>
      <c r="B96" s="623"/>
      <c r="C96" s="310"/>
      <c r="D96" s="604"/>
      <c r="E96" s="604"/>
      <c r="F96" s="604"/>
      <c r="G96" s="604"/>
      <c r="H96" s="618">
        <f>IFERROR(AVERAGE(D96:G96),0)</f>
        <v>0</v>
      </c>
      <c r="I96" s="127">
        <f>H96*12</f>
        <v>0</v>
      </c>
      <c r="J96" s="127">
        <f t="shared" ref="J96:M97" si="99">IF(I96&gt;12,(((I96)*$H$5)+I96),(I96*1))</f>
        <v>0</v>
      </c>
      <c r="K96" s="127">
        <f t="shared" si="99"/>
        <v>0</v>
      </c>
      <c r="L96" s="127">
        <f t="shared" si="99"/>
        <v>0</v>
      </c>
      <c r="M96" s="127">
        <f t="shared" si="99"/>
        <v>0</v>
      </c>
      <c r="N96" s="245" t="str">
        <f>IF(C96="","",C96)</f>
        <v/>
      </c>
      <c r="O96" s="748"/>
      <c r="P96" s="757">
        <f t="shared" si="97"/>
        <v>0</v>
      </c>
      <c r="Q96" s="129">
        <f t="shared" si="76"/>
        <v>0</v>
      </c>
      <c r="R96" s="129">
        <f t="shared" si="77"/>
        <v>0</v>
      </c>
      <c r="S96" s="129">
        <f t="shared" si="78"/>
        <v>0</v>
      </c>
      <c r="T96" s="129">
        <f t="shared" si="79"/>
        <v>0</v>
      </c>
      <c r="U96" s="129">
        <f t="shared" si="80"/>
        <v>0</v>
      </c>
      <c r="V96" s="209">
        <f t="shared" si="98"/>
        <v>0</v>
      </c>
      <c r="W96" s="621"/>
      <c r="X96" s="222"/>
      <c r="Y96" s="325"/>
      <c r="Z96" s="774">
        <f t="shared" si="63"/>
        <v>0</v>
      </c>
      <c r="AA96" s="103">
        <f t="shared" si="92"/>
        <v>0</v>
      </c>
      <c r="AB96" s="103">
        <f t="shared" si="93"/>
        <v>0</v>
      </c>
      <c r="AC96" s="103">
        <f t="shared" si="94"/>
        <v>0</v>
      </c>
      <c r="AD96" s="103">
        <f t="shared" si="95"/>
        <v>0</v>
      </c>
      <c r="AE96" s="103">
        <f t="shared" si="96"/>
        <v>0</v>
      </c>
      <c r="AF96" s="123">
        <f t="shared" si="69"/>
        <v>0</v>
      </c>
      <c r="AG96" s="743"/>
      <c r="AH96" s="362"/>
      <c r="AI96" s="221"/>
      <c r="AJ96" s="886"/>
      <c r="AK96" s="896">
        <f t="shared" si="70"/>
        <v>0</v>
      </c>
      <c r="AL96" s="105" cm="1">
        <f t="array" ref="AL96">_xlfn.IFS($AJ96="NO CHARGE",0,$AJ96=0,0,$AJ96&gt;0,PRODUCT(I96,$AJ96))</f>
        <v>0</v>
      </c>
      <c r="AM96" s="105" cm="1">
        <f t="array" ref="AM96">_xlfn.IFS($AJ96="NO CHARGE",0,$AJ96=0,0,$AJ96&gt;0,PRODUCT(J96,$AJ96))</f>
        <v>0</v>
      </c>
      <c r="AN96" s="105" cm="1">
        <f t="array" ref="AN96">_xlfn.IFS($AJ96="NO CHARGE",0,$AJ96=0,0,$AJ96&gt;0,PRODUCT(K96,$AJ96))</f>
        <v>0</v>
      </c>
      <c r="AO96" s="105" cm="1">
        <f t="array" ref="AO96">_xlfn.IFS($AJ96="NO CHARGE",0,$AJ96=0,0,$AJ96&gt;0,PRODUCT(L96,$AJ96))</f>
        <v>0</v>
      </c>
      <c r="AP96" s="105" cm="1">
        <f t="array" ref="AP96">_xlfn.IFS($AJ96="NO CHARGE",0,$AJ96=0,0,$AJ96&gt;0,PRODUCT(M96,$AJ96))</f>
        <v>0</v>
      </c>
      <c r="AQ96" s="158">
        <f t="shared" si="83"/>
        <v>0</v>
      </c>
      <c r="AR96" s="875"/>
      <c r="AS96" s="473"/>
      <c r="AT96" s="106"/>
      <c r="AU96" s="107"/>
      <c r="AV96" s="108">
        <f t="shared" si="86"/>
        <v>0</v>
      </c>
      <c r="AW96" s="108">
        <f t="shared" si="87"/>
        <v>0</v>
      </c>
      <c r="AX96" s="108">
        <f t="shared" si="88"/>
        <v>0</v>
      </c>
      <c r="AY96" s="108">
        <f t="shared" si="89"/>
        <v>0</v>
      </c>
      <c r="AZ96" s="108">
        <f t="shared" si="90"/>
        <v>0</v>
      </c>
      <c r="BA96" s="165">
        <f t="shared" si="91"/>
        <v>0</v>
      </c>
      <c r="BB96" s="531"/>
    </row>
    <row r="97" spans="1:54" s="495" customFormat="1" outlineLevel="1" x14ac:dyDescent="0.25">
      <c r="A97" s="445"/>
      <c r="B97" s="620" t="s">
        <v>149</v>
      </c>
      <c r="C97" s="310" t="str">
        <f>B97&amp;" [QTY CALCULATIONS YOY]"</f>
        <v>SecurLock (SL) [QTY CALCULATIONS YOY]</v>
      </c>
      <c r="D97" s="604"/>
      <c r="E97" s="604">
        <f>SUM(E98:E99)</f>
        <v>1128</v>
      </c>
      <c r="F97" s="604">
        <f>SUM(F98:F99)</f>
        <v>1130</v>
      </c>
      <c r="G97" s="604">
        <f>SUM(G98:G99)</f>
        <v>1089</v>
      </c>
      <c r="H97" s="618">
        <f>IFERROR(AVERAGE(D97:G97),0)</f>
        <v>1115.6666666666667</v>
      </c>
      <c r="I97" s="127">
        <f>H97*12</f>
        <v>13388</v>
      </c>
      <c r="J97" s="127">
        <f t="shared" si="99"/>
        <v>14057.4</v>
      </c>
      <c r="K97" s="127">
        <f t="shared" si="99"/>
        <v>14760.27</v>
      </c>
      <c r="L97" s="127">
        <f t="shared" si="99"/>
        <v>15498.283500000001</v>
      </c>
      <c r="M97" s="127">
        <f t="shared" si="99"/>
        <v>16273.197675000001</v>
      </c>
      <c r="N97" s="245" t="str">
        <f>B97&amp;" [TIERED]"</f>
        <v>SecurLock (SL) [TIERED]</v>
      </c>
      <c r="O97" s="748"/>
      <c r="P97" s="757">
        <f t="shared" si="97"/>
        <v>0</v>
      </c>
      <c r="Q97" s="129">
        <f t="shared" si="76"/>
        <v>0</v>
      </c>
      <c r="R97" s="129">
        <f t="shared" si="77"/>
        <v>0</v>
      </c>
      <c r="S97" s="129">
        <f t="shared" si="78"/>
        <v>0</v>
      </c>
      <c r="T97" s="129">
        <f t="shared" si="79"/>
        <v>0</v>
      </c>
      <c r="U97" s="129">
        <f t="shared" si="80"/>
        <v>0</v>
      </c>
      <c r="V97" s="209">
        <f t="shared" si="98"/>
        <v>0</v>
      </c>
      <c r="W97" s="528"/>
      <c r="X97" s="222" t="str">
        <f>B97&amp;" [TIERED]"</f>
        <v>SecurLock (SL) [TIERED]</v>
      </c>
      <c r="Y97" s="325"/>
      <c r="Z97" s="774"/>
      <c r="AA97" s="103"/>
      <c r="AB97" s="103"/>
      <c r="AC97" s="103"/>
      <c r="AD97" s="103"/>
      <c r="AE97" s="103"/>
      <c r="AF97" s="123"/>
      <c r="AG97" s="743"/>
      <c r="AH97" s="370"/>
      <c r="AI97" s="221" t="str">
        <f t="shared" ref="AI97:AI104" si="100">C97</f>
        <v>SecurLock (SL) [QTY CALCULATIONS YOY]</v>
      </c>
      <c r="AJ97" s="886"/>
      <c r="AK97" s="896">
        <f t="shared" si="70"/>
        <v>0</v>
      </c>
      <c r="AL97" s="105" cm="1">
        <f t="array" ref="AL97">_xlfn.IFS($AJ97="NO CHARGE",0,$AJ97=0,0,$AJ97&gt;0,PRODUCT(I97,$AJ97))</f>
        <v>0</v>
      </c>
      <c r="AM97" s="105" cm="1">
        <f t="array" ref="AM97">_xlfn.IFS($AJ97="NO CHARGE",0,$AJ97=0,0,$AJ97&gt;0,PRODUCT(J97,$AJ97))</f>
        <v>0</v>
      </c>
      <c r="AN97" s="105" cm="1">
        <f t="array" ref="AN97">_xlfn.IFS($AJ97="NO CHARGE",0,$AJ97=0,0,$AJ97&gt;0,PRODUCT(K97,$AJ97))</f>
        <v>0</v>
      </c>
      <c r="AO97" s="105" cm="1">
        <f t="array" ref="AO97">_xlfn.IFS($AJ97="NO CHARGE",0,$AJ97=0,0,$AJ97&gt;0,PRODUCT(L97,$AJ97))</f>
        <v>0</v>
      </c>
      <c r="AP97" s="105" cm="1">
        <f t="array" ref="AP97">_xlfn.IFS($AJ97="NO CHARGE",0,$AJ97=0,0,$AJ97&gt;0,PRODUCT(M97,$AJ97))</f>
        <v>0</v>
      </c>
      <c r="AQ97" s="158">
        <f t="shared" si="83"/>
        <v>0</v>
      </c>
      <c r="AR97" s="875"/>
      <c r="AS97" s="473"/>
      <c r="AT97" s="106"/>
      <c r="AU97" s="107"/>
      <c r="AV97" s="108">
        <f t="shared" si="86"/>
        <v>0</v>
      </c>
      <c r="AW97" s="108">
        <f t="shared" si="87"/>
        <v>0</v>
      </c>
      <c r="AX97" s="108">
        <f t="shared" si="88"/>
        <v>0</v>
      </c>
      <c r="AY97" s="108">
        <f t="shared" si="89"/>
        <v>0</v>
      </c>
      <c r="AZ97" s="108">
        <f t="shared" si="90"/>
        <v>0</v>
      </c>
      <c r="BA97" s="165">
        <f t="shared" si="91"/>
        <v>0</v>
      </c>
      <c r="BB97" s="531"/>
    </row>
    <row r="98" spans="1:54" s="495" customFormat="1" outlineLevel="1" x14ac:dyDescent="0.25">
      <c r="A98" s="445"/>
      <c r="B98" s="620" t="s">
        <v>149</v>
      </c>
      <c r="C98" s="200" t="s">
        <v>150</v>
      </c>
      <c r="D98" s="604"/>
      <c r="E98" s="604">
        <v>500</v>
      </c>
      <c r="F98" s="604">
        <v>500</v>
      </c>
      <c r="G98" s="604">
        <v>500</v>
      </c>
      <c r="H98" s="699">
        <v>500</v>
      </c>
      <c r="I98" s="127">
        <f>IF(I97&gt;($H98*12),$H98*12,I97)</f>
        <v>6000</v>
      </c>
      <c r="J98" s="127">
        <f>IF(J97&gt;($H98*12),$H98*12,J97)</f>
        <v>6000</v>
      </c>
      <c r="K98" s="127">
        <f>IF(K97&gt;($H98*12),$H98*12,K97)</f>
        <v>6000</v>
      </c>
      <c r="L98" s="127">
        <f>IF(L97&gt;($H98*12),$H98*12,L97)</f>
        <v>6000</v>
      </c>
      <c r="M98" s="127">
        <f>IF(M97&gt;($H98*12),$H98*12,M97)</f>
        <v>6000</v>
      </c>
      <c r="N98" s="750" t="str">
        <f t="shared" ref="N98:N138" si="101">IF(C98="","",C98)</f>
        <v>[Tiered] SECURLOCK EQUIP - STANDARD 0 - 500</v>
      </c>
      <c r="O98" s="247">
        <v>0</v>
      </c>
      <c r="P98" s="757">
        <f t="shared" si="97"/>
        <v>0</v>
      </c>
      <c r="Q98" s="129">
        <f t="shared" si="76"/>
        <v>0</v>
      </c>
      <c r="R98" s="129">
        <f t="shared" si="77"/>
        <v>0</v>
      </c>
      <c r="S98" s="129">
        <f t="shared" si="78"/>
        <v>0</v>
      </c>
      <c r="T98" s="129">
        <f t="shared" si="79"/>
        <v>0</v>
      </c>
      <c r="U98" s="129">
        <f t="shared" si="80"/>
        <v>0</v>
      </c>
      <c r="V98" s="209">
        <f t="shared" si="98"/>
        <v>0</v>
      </c>
      <c r="W98" s="528"/>
      <c r="X98" s="701" t="str">
        <f t="shared" ref="X98:X104" si="102">C98</f>
        <v>[Tiered] SECURLOCK EQUIP - STANDARD 0 - 500</v>
      </c>
      <c r="Y98" s="783" t="s">
        <v>151</v>
      </c>
      <c r="Z98" s="774"/>
      <c r="AA98" s="103"/>
      <c r="AB98" s="103"/>
      <c r="AC98" s="103"/>
      <c r="AD98" s="103"/>
      <c r="AE98" s="103"/>
      <c r="AF98" s="123"/>
      <c r="AG98" s="743"/>
      <c r="AH98" s="370" t="s">
        <v>152</v>
      </c>
      <c r="AI98" s="880" t="str">
        <f t="shared" si="100"/>
        <v>[Tiered] SECURLOCK EQUIP - STANDARD 0 - 500</v>
      </c>
      <c r="AJ98" s="899"/>
      <c r="AK98" s="896"/>
      <c r="AL98" s="105"/>
      <c r="AM98" s="105"/>
      <c r="AN98" s="105"/>
      <c r="AO98" s="105"/>
      <c r="AP98" s="105"/>
      <c r="AQ98" s="158"/>
      <c r="AR98" s="875"/>
      <c r="AS98" s="473"/>
      <c r="AT98" s="106"/>
      <c r="AU98" s="107"/>
      <c r="AV98" s="108"/>
      <c r="AW98" s="108"/>
      <c r="AX98" s="108"/>
      <c r="AY98" s="108"/>
      <c r="AZ98" s="108"/>
      <c r="BA98" s="165"/>
      <c r="BB98" s="531"/>
    </row>
    <row r="99" spans="1:54" s="495" customFormat="1" outlineLevel="1" x14ac:dyDescent="0.25">
      <c r="A99" s="445"/>
      <c r="B99" s="620" t="s">
        <v>149</v>
      </c>
      <c r="C99" s="200" t="s">
        <v>153</v>
      </c>
      <c r="D99" s="604"/>
      <c r="E99" s="604">
        <v>628</v>
      </c>
      <c r="F99" s="604">
        <v>630</v>
      </c>
      <c r="G99" s="604">
        <v>589</v>
      </c>
      <c r="H99" s="699"/>
      <c r="I99" s="127" cm="1">
        <f t="array" ref="I99">_xlfn.IFS(I97&gt;(($H98)*12),I97-I98, I97&lt;(($H98)*12),0, I97=(($H98)*12),0)</f>
        <v>7388</v>
      </c>
      <c r="J99" s="127" cm="1">
        <f t="array" ref="J99">_xlfn.IFS(J97&gt;(($H98)*12),J97-J98, J97&lt;(($H98)*12),0, J97=(($H98)*12),0)</f>
        <v>8057.4</v>
      </c>
      <c r="K99" s="127" cm="1">
        <f t="array" ref="K99">_xlfn.IFS(K97&gt;(($H98)*12),K97-K98, K97&lt;(($H98)*12),0, K97=(($H98)*12),0)</f>
        <v>8760.27</v>
      </c>
      <c r="L99" s="127" cm="1">
        <f t="array" ref="L99">_xlfn.IFS(L97&gt;(($H98)*12),L97-L98, L97&lt;(($H98)*12),0, L97=(($H98)*12),0)</f>
        <v>9498.2835000000014</v>
      </c>
      <c r="M99" s="127" cm="1">
        <f t="array" ref="M99">_xlfn.IFS(M97&gt;(($H98)*12),M97-M98, M97&lt;(($H98)*12),0, M97=(($H98)*12),0)</f>
        <v>10273.197675000001</v>
      </c>
      <c r="N99" s="750" t="str">
        <f t="shared" si="101"/>
        <v>[Tiered] SECURLOCK EQUIP - STANDARD Beyond 500</v>
      </c>
      <c r="O99" s="247">
        <v>0.59272530000000001</v>
      </c>
      <c r="P99" s="757">
        <f t="shared" si="97"/>
        <v>364.92120970000002</v>
      </c>
      <c r="Q99" s="129">
        <f t="shared" si="76"/>
        <v>4379.0545164000005</v>
      </c>
      <c r="R99" s="129">
        <f>IF(Q99&gt;0,PRODUCT(J99,$O99),0)</f>
        <v>4775.8248322199997</v>
      </c>
      <c r="S99" s="129">
        <f t="shared" si="78"/>
        <v>5192.4336638310006</v>
      </c>
      <c r="T99" s="129">
        <f t="shared" si="79"/>
        <v>5629.872937022551</v>
      </c>
      <c r="U99" s="129">
        <f t="shared" si="80"/>
        <v>6089.1841738736784</v>
      </c>
      <c r="V99" s="209">
        <f t="shared" si="98"/>
        <v>26066.370123347231</v>
      </c>
      <c r="W99" s="528"/>
      <c r="X99" s="701" t="str">
        <f t="shared" si="102"/>
        <v>[Tiered] SECURLOCK EQUIP - STANDARD Beyond 500</v>
      </c>
      <c r="Y99" s="1144">
        <v>0.59272530000000001</v>
      </c>
      <c r="Z99" s="774">
        <f t="shared" ref="Z99:Z105" si="103">AA99/12</f>
        <v>364.92120970000002</v>
      </c>
      <c r="AA99" s="103">
        <f>IF(AJ99&gt;0,PRODUCT(I99,$O99),0)</f>
        <v>4379.0545164000005</v>
      </c>
      <c r="AB99" s="103">
        <f>IF(AK99&gt;0,PRODUCT(J99,$O99),0)</f>
        <v>4775.8248322199997</v>
      </c>
      <c r="AC99" s="103">
        <f>IF(AL99&gt;0,PRODUCT(K99,$O99),0)</f>
        <v>5192.4336638310006</v>
      </c>
      <c r="AD99" s="103">
        <f>IF(AM99&gt;0,PRODUCT(L99,$O99),0)</f>
        <v>5629.872937022551</v>
      </c>
      <c r="AE99" s="103">
        <f>IF(AN99&gt;0,PRODUCT(M99,$O99),0)</f>
        <v>6089.1841738736784</v>
      </c>
      <c r="AF99" s="123">
        <f t="shared" ref="AF99:AF105" si="104">SUM(AA99:AE99)</f>
        <v>26066.370123347231</v>
      </c>
      <c r="AG99" s="743"/>
      <c r="AH99" s="370" t="s">
        <v>152</v>
      </c>
      <c r="AI99" s="880" t="str">
        <f t="shared" si="100"/>
        <v>[Tiered] SECURLOCK EQUIP - STANDARD Beyond 500</v>
      </c>
      <c r="AJ99" s="1102">
        <v>0.59272530000000001</v>
      </c>
      <c r="AK99" s="896">
        <f>+AL99/12</f>
        <v>364.92120970000002</v>
      </c>
      <c r="AL99" s="105">
        <f>IF(AJ99&gt;0,PRODUCT(I99,$O99),0)</f>
        <v>4379.0545164000005</v>
      </c>
      <c r="AM99" s="105">
        <f>IF(AL99&gt;0,PRODUCT(J99,$AJ99),0)</f>
        <v>4775.8248322199997</v>
      </c>
      <c r="AN99" s="105">
        <f>IF(AM99&gt;0,PRODUCT(K99,$AJ99),0)</f>
        <v>5192.4336638310006</v>
      </c>
      <c r="AO99" s="105">
        <f>IF(AN99&gt;0,PRODUCT(L99,$AJ99),0)</f>
        <v>5629.872937022551</v>
      </c>
      <c r="AP99" s="105">
        <f>IF(AO99&gt;0,PRODUCT(M99,$AJ99),0)</f>
        <v>6089.1841738736784</v>
      </c>
      <c r="AQ99" s="158">
        <f t="shared" ref="AQ99:AQ139" si="105">SUM(AL99:AP99)</f>
        <v>26066.370123347231</v>
      </c>
      <c r="AR99" s="875"/>
      <c r="AS99" s="473"/>
      <c r="AT99" s="106"/>
      <c r="AU99" s="107"/>
      <c r="AV99" s="108"/>
      <c r="AW99" s="108"/>
      <c r="AX99" s="108"/>
      <c r="AY99" s="108"/>
      <c r="AZ99" s="108"/>
      <c r="BA99" s="165"/>
      <c r="BB99" s="531"/>
    </row>
    <row r="100" spans="1:54" s="495" customFormat="1" outlineLevel="1" x14ac:dyDescent="0.25">
      <c r="A100" s="445"/>
      <c r="B100" s="620" t="s">
        <v>149</v>
      </c>
      <c r="C100" s="310" t="s">
        <v>154</v>
      </c>
      <c r="D100" s="604"/>
      <c r="E100" s="604">
        <v>33749</v>
      </c>
      <c r="F100" s="604">
        <v>33645</v>
      </c>
      <c r="G100" s="604">
        <v>33410</v>
      </c>
      <c r="H100" s="618">
        <f t="shared" ref="H100:H105" si="106">IFERROR(AVERAGE(D100:G100),0)</f>
        <v>33601.333333333336</v>
      </c>
      <c r="I100" s="127">
        <f t="shared" ref="I100:I108" si="107">H100*12</f>
        <v>403216</v>
      </c>
      <c r="J100" s="127">
        <f t="shared" ref="J100:M108" si="108">IF(I100&gt;12,(((I100)*$H$5)+I100),(I100*1))</f>
        <v>423376.8</v>
      </c>
      <c r="K100" s="127">
        <f t="shared" si="108"/>
        <v>444545.64</v>
      </c>
      <c r="L100" s="127">
        <f t="shared" si="108"/>
        <v>466772.92200000002</v>
      </c>
      <c r="M100" s="127">
        <f t="shared" si="108"/>
        <v>490111.56810000003</v>
      </c>
      <c r="N100" s="245" t="str">
        <f t="shared" si="101"/>
        <v>Securlock (SL) Fraud Premium Accounts On File / Residency</v>
      </c>
      <c r="O100" s="247">
        <v>4.1868000000000002E-2</v>
      </c>
      <c r="P100" s="757">
        <f t="shared" si="97"/>
        <v>1406.820624</v>
      </c>
      <c r="Q100" s="129">
        <f t="shared" si="76"/>
        <v>16881.847487999999</v>
      </c>
      <c r="R100" s="129">
        <f t="shared" si="77"/>
        <v>17725.939862400002</v>
      </c>
      <c r="S100" s="129">
        <f t="shared" si="78"/>
        <v>18612.236855520001</v>
      </c>
      <c r="T100" s="129">
        <f t="shared" si="79"/>
        <v>19542.848698296002</v>
      </c>
      <c r="U100" s="129">
        <f t="shared" si="80"/>
        <v>20519.991133210802</v>
      </c>
      <c r="V100" s="209">
        <f t="shared" si="98"/>
        <v>93282.8640374268</v>
      </c>
      <c r="W100" s="528"/>
      <c r="X100" s="222" t="str">
        <f t="shared" si="102"/>
        <v>Securlock (SL) Fraud Premium Accounts On File / Residency</v>
      </c>
      <c r="Y100" s="325">
        <v>4.19E-2</v>
      </c>
      <c r="Z100" s="774">
        <f t="shared" si="103"/>
        <v>1407.8958666666667</v>
      </c>
      <c r="AA100" s="103">
        <f t="shared" ref="AA100:AA105" si="109">IF(Y100&gt;0,PRODUCT(I100,$Y100),0)</f>
        <v>16894.750400000001</v>
      </c>
      <c r="AB100" s="103">
        <f t="shared" ref="AB100:AE105" si="110">IF(AA100&gt;0,PRODUCT(J100,$Y100),0)</f>
        <v>17739.48792</v>
      </c>
      <c r="AC100" s="103">
        <f t="shared" si="110"/>
        <v>18626.462316000001</v>
      </c>
      <c r="AD100" s="103">
        <f t="shared" si="110"/>
        <v>19557.785431799999</v>
      </c>
      <c r="AE100" s="103">
        <f t="shared" si="110"/>
        <v>20535.674703390003</v>
      </c>
      <c r="AF100" s="123">
        <f t="shared" si="104"/>
        <v>93354.160771190014</v>
      </c>
      <c r="AG100" s="743"/>
      <c r="AH100" s="370"/>
      <c r="AI100" s="221" t="str">
        <f t="shared" si="100"/>
        <v>Securlock (SL) Fraud Premium Accounts On File / Residency</v>
      </c>
      <c r="AJ100" s="886">
        <v>4.19E-2</v>
      </c>
      <c r="AK100" s="896">
        <f t="shared" ref="AK100:AK105" si="111">AL100/12</f>
        <v>1407.8958666666667</v>
      </c>
      <c r="AL100" s="105" cm="1">
        <f t="array" ref="AL100">_xlfn.IFS($AJ100="NO CHARGE",0,$AJ100=0,0,$AJ100&gt;0,PRODUCT(I100,$AJ100))</f>
        <v>16894.750400000001</v>
      </c>
      <c r="AM100" s="105" cm="1">
        <f t="array" ref="AM100">_xlfn.IFS($AJ100="NO CHARGE",0,$AJ100=0,0,$AJ100&gt;0,PRODUCT(J100,$AJ100))</f>
        <v>17739.48792</v>
      </c>
      <c r="AN100" s="105" cm="1">
        <f t="array" ref="AN100">_xlfn.IFS($AJ100="NO CHARGE",0,$AJ100=0,0,$AJ100&gt;0,PRODUCT(K100,$AJ100))</f>
        <v>18626.462316000001</v>
      </c>
      <c r="AO100" s="105" cm="1">
        <f t="array" ref="AO100">_xlfn.IFS($AJ100="NO CHARGE",0,$AJ100=0,0,$AJ100&gt;0,PRODUCT(L100,$AJ100))</f>
        <v>19557.785431799999</v>
      </c>
      <c r="AP100" s="105" cm="1">
        <f t="array" ref="AP100">_xlfn.IFS($AJ100="NO CHARGE",0,$AJ100=0,0,$AJ100&gt;0,PRODUCT(M100,$AJ100))</f>
        <v>20535.674703390003</v>
      </c>
      <c r="AQ100" s="158">
        <f t="shared" si="105"/>
        <v>93354.160771190014</v>
      </c>
      <c r="AR100" s="875"/>
      <c r="AS100" s="473"/>
      <c r="AT100" s="106"/>
      <c r="AU100" s="107"/>
      <c r="AV100" s="108"/>
      <c r="AW100" s="108"/>
      <c r="AX100" s="108"/>
      <c r="AY100" s="108"/>
      <c r="AZ100" s="108"/>
      <c r="BA100" s="165"/>
      <c r="BB100" s="531"/>
    </row>
    <row r="101" spans="1:54" s="495" customFormat="1" outlineLevel="1" x14ac:dyDescent="0.25">
      <c r="A101" s="445"/>
      <c r="B101" s="620" t="s">
        <v>149</v>
      </c>
      <c r="C101" s="310" t="s">
        <v>155</v>
      </c>
      <c r="D101" s="604"/>
      <c r="E101" s="604">
        <v>622</v>
      </c>
      <c r="F101" s="604">
        <v>815</v>
      </c>
      <c r="G101" s="604">
        <v>655</v>
      </c>
      <c r="H101" s="618">
        <f t="shared" si="106"/>
        <v>697.33333333333337</v>
      </c>
      <c r="I101" s="127">
        <f t="shared" si="107"/>
        <v>8368</v>
      </c>
      <c r="J101" s="127">
        <f t="shared" si="108"/>
        <v>8786.4</v>
      </c>
      <c r="K101" s="127">
        <f t="shared" si="108"/>
        <v>9225.7199999999993</v>
      </c>
      <c r="L101" s="127">
        <f t="shared" si="108"/>
        <v>9687.0059999999994</v>
      </c>
      <c r="M101" s="127">
        <f t="shared" si="108"/>
        <v>10171.356299999999</v>
      </c>
      <c r="N101" s="245" t="str">
        <f t="shared" si="101"/>
        <v>Securlock (SL) Fraud Case Investigation Sheets</v>
      </c>
      <c r="O101" s="247">
        <v>10.467000000000001</v>
      </c>
      <c r="P101" s="757">
        <f t="shared" si="97"/>
        <v>7298.9880000000003</v>
      </c>
      <c r="Q101" s="129">
        <f t="shared" si="76"/>
        <v>87587.856</v>
      </c>
      <c r="R101" s="129">
        <f t="shared" si="77"/>
        <v>91967.248800000001</v>
      </c>
      <c r="S101" s="129">
        <f t="shared" si="78"/>
        <v>96565.611239999998</v>
      </c>
      <c r="T101" s="129">
        <f t="shared" si="79"/>
        <v>101393.891802</v>
      </c>
      <c r="U101" s="129">
        <f t="shared" si="80"/>
        <v>106463.5863921</v>
      </c>
      <c r="V101" s="209">
        <f t="shared" si="98"/>
        <v>483978.19423409994</v>
      </c>
      <c r="W101" s="528"/>
      <c r="X101" s="222" t="str">
        <f t="shared" si="102"/>
        <v>Securlock (SL) Fraud Case Investigation Sheets</v>
      </c>
      <c r="Y101" s="325">
        <v>8</v>
      </c>
      <c r="Z101" s="774">
        <f t="shared" si="103"/>
        <v>5578.666666666667</v>
      </c>
      <c r="AA101" s="103">
        <f t="shared" si="109"/>
        <v>66944</v>
      </c>
      <c r="AB101" s="103">
        <f t="shared" si="110"/>
        <v>70291.199999999997</v>
      </c>
      <c r="AC101" s="103">
        <f t="shared" si="110"/>
        <v>73805.759999999995</v>
      </c>
      <c r="AD101" s="103">
        <f t="shared" si="110"/>
        <v>77496.047999999995</v>
      </c>
      <c r="AE101" s="103">
        <f t="shared" si="110"/>
        <v>81370.850399999996</v>
      </c>
      <c r="AF101" s="123">
        <f t="shared" si="104"/>
        <v>369907.85840000003</v>
      </c>
      <c r="AG101" s="743"/>
      <c r="AH101" s="370"/>
      <c r="AI101" s="221" t="str">
        <f t="shared" si="100"/>
        <v>Securlock (SL) Fraud Case Investigation Sheets</v>
      </c>
      <c r="AJ101" s="886">
        <v>8.5</v>
      </c>
      <c r="AK101" s="896">
        <f t="shared" si="111"/>
        <v>5927.333333333333</v>
      </c>
      <c r="AL101" s="105" cm="1">
        <f t="array" ref="AL101">_xlfn.IFS($AJ101="NO CHARGE",0,$AJ101=0,0,$AJ101&gt;0,PRODUCT(I101,$AJ101))</f>
        <v>71128</v>
      </c>
      <c r="AM101" s="105" cm="1">
        <f t="array" ref="AM101">_xlfn.IFS($AJ101="NO CHARGE",0,$AJ101=0,0,$AJ101&gt;0,PRODUCT(J101,$AJ101))</f>
        <v>74684.399999999994</v>
      </c>
      <c r="AN101" s="105" cm="1">
        <f t="array" ref="AN101">_xlfn.IFS($AJ101="NO CHARGE",0,$AJ101=0,0,$AJ101&gt;0,PRODUCT(K101,$AJ101))</f>
        <v>78418.62</v>
      </c>
      <c r="AO101" s="105" cm="1">
        <f t="array" ref="AO101">_xlfn.IFS($AJ101="NO CHARGE",0,$AJ101=0,0,$AJ101&gt;0,PRODUCT(L101,$AJ101))</f>
        <v>82339.550999999992</v>
      </c>
      <c r="AP101" s="105" cm="1">
        <f t="array" ref="AP101">_xlfn.IFS($AJ101="NO CHARGE",0,$AJ101=0,0,$AJ101&gt;0,PRODUCT(M101,$AJ101))</f>
        <v>86456.528549999988</v>
      </c>
      <c r="AQ101" s="158">
        <f t="shared" si="105"/>
        <v>393027.09954999998</v>
      </c>
      <c r="AR101" s="875"/>
      <c r="AS101" s="473"/>
      <c r="AT101" s="106"/>
      <c r="AU101" s="107"/>
      <c r="AV101" s="108"/>
      <c r="AW101" s="108"/>
      <c r="AX101" s="108"/>
      <c r="AY101" s="108"/>
      <c r="AZ101" s="108"/>
      <c r="BA101" s="165"/>
      <c r="BB101" s="531"/>
    </row>
    <row r="102" spans="1:54" s="495" customFormat="1" outlineLevel="1" x14ac:dyDescent="0.25">
      <c r="A102" s="445"/>
      <c r="B102" s="620" t="s">
        <v>149</v>
      </c>
      <c r="C102" s="310" t="s">
        <v>156</v>
      </c>
      <c r="D102" s="604"/>
      <c r="E102" s="604">
        <v>376348</v>
      </c>
      <c r="F102" s="604">
        <v>363876</v>
      </c>
      <c r="G102" s="604">
        <v>375804</v>
      </c>
      <c r="H102" s="618">
        <f t="shared" si="106"/>
        <v>372009.33333333331</v>
      </c>
      <c r="I102" s="127">
        <f t="shared" si="107"/>
        <v>4464112</v>
      </c>
      <c r="J102" s="127">
        <f t="shared" si="108"/>
        <v>4687317.5999999996</v>
      </c>
      <c r="K102" s="127">
        <f t="shared" si="108"/>
        <v>4921683.4799999995</v>
      </c>
      <c r="L102" s="127">
        <f t="shared" si="108"/>
        <v>5167767.6539999992</v>
      </c>
      <c r="M102" s="127">
        <f t="shared" si="108"/>
        <v>5426156.0366999991</v>
      </c>
      <c r="N102" s="245" t="str">
        <f t="shared" si="101"/>
        <v>Securlock (SL) Fraud Transaction Scoring / Real-Time Scoring</v>
      </c>
      <c r="O102" s="247">
        <v>1.0467000000000001E-2</v>
      </c>
      <c r="P102" s="757">
        <f t="shared" si="97"/>
        <v>3893.821692</v>
      </c>
      <c r="Q102" s="129">
        <f t="shared" si="76"/>
        <v>46725.860304000002</v>
      </c>
      <c r="R102" s="129">
        <f t="shared" si="77"/>
        <v>49062.153319199999</v>
      </c>
      <c r="S102" s="129">
        <f t="shared" si="78"/>
        <v>51515.260985159999</v>
      </c>
      <c r="T102" s="129">
        <f t="shared" si="79"/>
        <v>54091.024034417991</v>
      </c>
      <c r="U102" s="129">
        <f t="shared" si="80"/>
        <v>56795.575236138895</v>
      </c>
      <c r="V102" s="209">
        <f t="shared" si="98"/>
        <v>258189.8738789169</v>
      </c>
      <c r="W102" s="528"/>
      <c r="X102" s="222" t="str">
        <f t="shared" si="102"/>
        <v>Securlock (SL) Fraud Transaction Scoring / Real-Time Scoring</v>
      </c>
      <c r="Y102" s="325">
        <v>1.0500000000000001E-2</v>
      </c>
      <c r="Z102" s="774">
        <f t="shared" si="103"/>
        <v>3906.098</v>
      </c>
      <c r="AA102" s="103">
        <f t="shared" si="109"/>
        <v>46873.175999999999</v>
      </c>
      <c r="AB102" s="103">
        <f t="shared" si="110"/>
        <v>49216.834799999997</v>
      </c>
      <c r="AC102" s="103">
        <f t="shared" si="110"/>
        <v>51677.67654</v>
      </c>
      <c r="AD102" s="103">
        <f t="shared" si="110"/>
        <v>54261.560366999998</v>
      </c>
      <c r="AE102" s="103">
        <f t="shared" si="110"/>
        <v>56974.638385349994</v>
      </c>
      <c r="AF102" s="123">
        <f t="shared" si="104"/>
        <v>259003.88609235</v>
      </c>
      <c r="AG102" s="743"/>
      <c r="AH102" s="370"/>
      <c r="AI102" s="221" t="str">
        <f t="shared" si="100"/>
        <v>Securlock (SL) Fraud Transaction Scoring / Real-Time Scoring</v>
      </c>
      <c r="AJ102" s="886">
        <v>1.0500000000000001E-2</v>
      </c>
      <c r="AK102" s="896">
        <f t="shared" si="111"/>
        <v>3906.098</v>
      </c>
      <c r="AL102" s="105" cm="1">
        <f t="array" ref="AL102">_xlfn.IFS($AJ102="NO CHARGE",0,$AJ102=0,0,$AJ102&gt;0,PRODUCT(I102,$AJ102))</f>
        <v>46873.175999999999</v>
      </c>
      <c r="AM102" s="105" cm="1">
        <f t="array" ref="AM102">_xlfn.IFS($AJ102="NO CHARGE",0,$AJ102=0,0,$AJ102&gt;0,PRODUCT(J102,$AJ102))</f>
        <v>49216.834799999997</v>
      </c>
      <c r="AN102" s="105" cm="1">
        <f t="array" ref="AN102">_xlfn.IFS($AJ102="NO CHARGE",0,$AJ102=0,0,$AJ102&gt;0,PRODUCT(K102,$AJ102))</f>
        <v>51677.67654</v>
      </c>
      <c r="AO102" s="105" cm="1">
        <f t="array" ref="AO102">_xlfn.IFS($AJ102="NO CHARGE",0,$AJ102=0,0,$AJ102&gt;0,PRODUCT(L102,$AJ102))</f>
        <v>54261.560366999998</v>
      </c>
      <c r="AP102" s="105" cm="1">
        <f t="array" ref="AP102">_xlfn.IFS($AJ102="NO CHARGE",0,$AJ102=0,0,$AJ102&gt;0,PRODUCT(M102,$AJ102))</f>
        <v>56974.638385349994</v>
      </c>
      <c r="AQ102" s="158">
        <f t="shared" si="105"/>
        <v>259003.88609235</v>
      </c>
      <c r="AR102" s="875"/>
      <c r="AS102" s="473"/>
      <c r="AT102" s="106"/>
      <c r="AU102" s="107"/>
      <c r="AV102" s="108"/>
      <c r="AW102" s="108"/>
      <c r="AX102" s="108"/>
      <c r="AY102" s="108"/>
      <c r="AZ102" s="108"/>
      <c r="BA102" s="165"/>
      <c r="BB102" s="531"/>
    </row>
    <row r="103" spans="1:54" s="495" customFormat="1" outlineLevel="1" x14ac:dyDescent="0.25">
      <c r="A103" s="445"/>
      <c r="B103" s="620" t="s">
        <v>149</v>
      </c>
      <c r="C103" s="310" t="s">
        <v>157</v>
      </c>
      <c r="D103" s="604"/>
      <c r="E103" s="604">
        <v>376348</v>
      </c>
      <c r="F103" s="604">
        <v>363876</v>
      </c>
      <c r="G103" s="604">
        <v>375804</v>
      </c>
      <c r="H103" s="618">
        <f t="shared" si="106"/>
        <v>372009.33333333331</v>
      </c>
      <c r="I103" s="127">
        <f t="shared" si="107"/>
        <v>4464112</v>
      </c>
      <c r="J103" s="127">
        <f t="shared" si="108"/>
        <v>4687317.5999999996</v>
      </c>
      <c r="K103" s="127">
        <f t="shared" si="108"/>
        <v>4921683.4799999995</v>
      </c>
      <c r="L103" s="127">
        <f t="shared" si="108"/>
        <v>5167767.6539999992</v>
      </c>
      <c r="M103" s="127">
        <f t="shared" si="108"/>
        <v>5426156.0366999991</v>
      </c>
      <c r="N103" s="245" t="str">
        <f t="shared" si="101"/>
        <v>Securlock (SL) Block Self-Service Auth Fee</v>
      </c>
      <c r="O103" s="247">
        <v>1.5701000000000001E-3</v>
      </c>
      <c r="P103" s="757">
        <f t="shared" si="97"/>
        <v>584.0918542666667</v>
      </c>
      <c r="Q103" s="129">
        <f t="shared" si="76"/>
        <v>7009.1022512</v>
      </c>
      <c r="R103" s="129">
        <f t="shared" si="77"/>
        <v>7359.55736376</v>
      </c>
      <c r="S103" s="129">
        <f t="shared" si="78"/>
        <v>7727.5352319479998</v>
      </c>
      <c r="T103" s="129">
        <f t="shared" si="79"/>
        <v>8113.9119935453991</v>
      </c>
      <c r="U103" s="129">
        <f t="shared" si="80"/>
        <v>8519.6075932226686</v>
      </c>
      <c r="V103" s="209">
        <f t="shared" si="98"/>
        <v>38729.714433676068</v>
      </c>
      <c r="W103" s="528"/>
      <c r="X103" s="222" t="str">
        <f t="shared" si="102"/>
        <v>Securlock (SL) Block Self-Service Auth Fee</v>
      </c>
      <c r="Y103" s="325">
        <v>1.6000000000000001E-3</v>
      </c>
      <c r="Z103" s="774">
        <f t="shared" si="103"/>
        <v>595.21493333333331</v>
      </c>
      <c r="AA103" s="103">
        <f t="shared" si="109"/>
        <v>7142.5792000000001</v>
      </c>
      <c r="AB103" s="103">
        <f t="shared" si="110"/>
        <v>7499.7081600000001</v>
      </c>
      <c r="AC103" s="103">
        <f t="shared" si="110"/>
        <v>7874.6935679999997</v>
      </c>
      <c r="AD103" s="103">
        <f t="shared" si="110"/>
        <v>8268.4282463999989</v>
      </c>
      <c r="AE103" s="103">
        <f t="shared" si="110"/>
        <v>8681.8496587199988</v>
      </c>
      <c r="AF103" s="123">
        <f t="shared" si="104"/>
        <v>39467.258833119995</v>
      </c>
      <c r="AG103" s="743"/>
      <c r="AH103" s="370"/>
      <c r="AI103" s="221" t="str">
        <f t="shared" si="100"/>
        <v>Securlock (SL) Block Self-Service Auth Fee</v>
      </c>
      <c r="AJ103" s="886">
        <v>1.6000000000000001E-3</v>
      </c>
      <c r="AK103" s="896">
        <f t="shared" si="111"/>
        <v>595.21493333333331</v>
      </c>
      <c r="AL103" s="105" cm="1">
        <f t="array" ref="AL103">_xlfn.IFS($AJ103="NO CHARGE",0,$AJ103=0,0,$AJ103&gt;0,PRODUCT(I103,$AJ103))</f>
        <v>7142.5792000000001</v>
      </c>
      <c r="AM103" s="105" cm="1">
        <f t="array" ref="AM103">_xlfn.IFS($AJ103="NO CHARGE",0,$AJ103=0,0,$AJ103&gt;0,PRODUCT(J103,$AJ103))</f>
        <v>7499.7081600000001</v>
      </c>
      <c r="AN103" s="105" cm="1">
        <f t="array" ref="AN103">_xlfn.IFS($AJ103="NO CHARGE",0,$AJ103=0,0,$AJ103&gt;0,PRODUCT(K103,$AJ103))</f>
        <v>7874.6935679999997</v>
      </c>
      <c r="AO103" s="105" cm="1">
        <f t="array" ref="AO103">_xlfn.IFS($AJ103="NO CHARGE",0,$AJ103=0,0,$AJ103&gt;0,PRODUCT(L103,$AJ103))</f>
        <v>8268.4282463999989</v>
      </c>
      <c r="AP103" s="105" cm="1">
        <f t="array" ref="AP103">_xlfn.IFS($AJ103="NO CHARGE",0,$AJ103=0,0,$AJ103&gt;0,PRODUCT(M103,$AJ103))</f>
        <v>8681.8496587199988</v>
      </c>
      <c r="AQ103" s="158">
        <f t="shared" si="105"/>
        <v>39467.258833119995</v>
      </c>
      <c r="AR103" s="875"/>
      <c r="AS103" s="473"/>
      <c r="AT103" s="106"/>
      <c r="AU103" s="107"/>
      <c r="AV103" s="108"/>
      <c r="AW103" s="108"/>
      <c r="AX103" s="108"/>
      <c r="AY103" s="108"/>
      <c r="AZ103" s="108"/>
      <c r="BA103" s="165"/>
      <c r="BB103" s="531"/>
    </row>
    <row r="104" spans="1:54" s="495" customFormat="1" outlineLevel="1" x14ac:dyDescent="0.25">
      <c r="A104" s="445"/>
      <c r="B104" s="620" t="s">
        <v>149</v>
      </c>
      <c r="C104" s="310" t="s">
        <v>158</v>
      </c>
      <c r="D104" s="604"/>
      <c r="E104" s="604">
        <v>376348</v>
      </c>
      <c r="F104" s="604">
        <v>363876</v>
      </c>
      <c r="G104" s="604">
        <v>375804</v>
      </c>
      <c r="H104" s="618">
        <f t="shared" si="106"/>
        <v>372009.33333333331</v>
      </c>
      <c r="I104" s="127">
        <f t="shared" si="107"/>
        <v>4464112</v>
      </c>
      <c r="J104" s="127">
        <f t="shared" si="108"/>
        <v>4687317.5999999996</v>
      </c>
      <c r="K104" s="127">
        <f t="shared" si="108"/>
        <v>4921683.4799999995</v>
      </c>
      <c r="L104" s="127">
        <f t="shared" si="108"/>
        <v>5167767.6539999992</v>
      </c>
      <c r="M104" s="127">
        <f t="shared" si="108"/>
        <v>5426156.0366999991</v>
      </c>
      <c r="N104" s="245" t="str">
        <f t="shared" si="101"/>
        <v>Securlock (SL) Detect</v>
      </c>
      <c r="O104" s="247">
        <v>2.8019999999999998E-3</v>
      </c>
      <c r="P104" s="757">
        <f t="shared" si="97"/>
        <v>1042.370152</v>
      </c>
      <c r="Q104" s="129">
        <f t="shared" si="76"/>
        <v>12508.441824</v>
      </c>
      <c r="R104" s="129">
        <f t="shared" si="77"/>
        <v>13133.863915199998</v>
      </c>
      <c r="S104" s="129">
        <f t="shared" si="78"/>
        <v>13790.557110959997</v>
      </c>
      <c r="T104" s="129">
        <f t="shared" si="79"/>
        <v>14480.084966507997</v>
      </c>
      <c r="U104" s="129">
        <f t="shared" si="80"/>
        <v>15204.089214833397</v>
      </c>
      <c r="V104" s="209">
        <f t="shared" si="98"/>
        <v>69117.037031501386</v>
      </c>
      <c r="W104" s="528"/>
      <c r="X104" s="222" t="str">
        <f t="shared" si="102"/>
        <v>Securlock (SL) Detect</v>
      </c>
      <c r="Y104" s="325">
        <v>2.8E-3</v>
      </c>
      <c r="Z104" s="774">
        <f t="shared" si="103"/>
        <v>1041.6261333333334</v>
      </c>
      <c r="AA104" s="103">
        <f t="shared" si="109"/>
        <v>12499.5136</v>
      </c>
      <c r="AB104" s="103">
        <f t="shared" si="110"/>
        <v>13124.489279999998</v>
      </c>
      <c r="AC104" s="103">
        <f t="shared" si="110"/>
        <v>13780.713743999999</v>
      </c>
      <c r="AD104" s="103">
        <f t="shared" si="110"/>
        <v>14469.749431199998</v>
      </c>
      <c r="AE104" s="103">
        <f t="shared" si="110"/>
        <v>15193.236902759998</v>
      </c>
      <c r="AF104" s="123">
        <f t="shared" si="104"/>
        <v>69067.702957959991</v>
      </c>
      <c r="AG104" s="743"/>
      <c r="AH104" s="370"/>
      <c r="AI104" s="221" t="str">
        <f t="shared" si="100"/>
        <v>Securlock (SL) Detect</v>
      </c>
      <c r="AJ104" s="886">
        <v>2.8E-3</v>
      </c>
      <c r="AK104" s="896">
        <f t="shared" si="111"/>
        <v>1041.6261333333334</v>
      </c>
      <c r="AL104" s="105" cm="1">
        <f t="array" ref="AL104">_xlfn.IFS($AJ104="NO CHARGE",0,$AJ104=0,0,$AJ104&gt;0,PRODUCT(I104,$AJ104))</f>
        <v>12499.5136</v>
      </c>
      <c r="AM104" s="105" cm="1">
        <f t="array" ref="AM104">_xlfn.IFS($AJ104="NO CHARGE",0,$AJ104=0,0,$AJ104&gt;0,PRODUCT(J104,$AJ104))</f>
        <v>13124.489279999998</v>
      </c>
      <c r="AN104" s="105" cm="1">
        <f t="array" ref="AN104">_xlfn.IFS($AJ104="NO CHARGE",0,$AJ104=0,0,$AJ104&gt;0,PRODUCT(K104,$AJ104))</f>
        <v>13780.713743999999</v>
      </c>
      <c r="AO104" s="105" cm="1">
        <f t="array" ref="AO104">_xlfn.IFS($AJ104="NO CHARGE",0,$AJ104=0,0,$AJ104&gt;0,PRODUCT(L104,$AJ104))</f>
        <v>14469.749431199998</v>
      </c>
      <c r="AP104" s="105" cm="1">
        <f t="array" ref="AP104">_xlfn.IFS($AJ104="NO CHARGE",0,$AJ104=0,0,$AJ104&gt;0,PRODUCT(M104,$AJ104))</f>
        <v>15193.236902759998</v>
      </c>
      <c r="AQ104" s="158">
        <f t="shared" si="105"/>
        <v>69067.702957959991</v>
      </c>
      <c r="AR104" s="875"/>
      <c r="AS104" s="473"/>
      <c r="AT104" s="106"/>
      <c r="AU104" s="107"/>
      <c r="AV104" s="108"/>
      <c r="AW104" s="108"/>
      <c r="AX104" s="108"/>
      <c r="AY104" s="108"/>
      <c r="AZ104" s="108"/>
      <c r="BA104" s="165"/>
      <c r="BB104" s="531"/>
    </row>
    <row r="105" spans="1:54" s="495" customFormat="1" outlineLevel="1" x14ac:dyDescent="0.25">
      <c r="A105" s="445"/>
      <c r="B105" s="623"/>
      <c r="C105" s="310"/>
      <c r="D105" s="604"/>
      <c r="E105" s="604"/>
      <c r="F105" s="604"/>
      <c r="G105" s="604"/>
      <c r="H105" s="618">
        <f t="shared" si="106"/>
        <v>0</v>
      </c>
      <c r="I105" s="127">
        <f t="shared" si="107"/>
        <v>0</v>
      </c>
      <c r="J105" s="127">
        <f t="shared" si="108"/>
        <v>0</v>
      </c>
      <c r="K105" s="127">
        <f t="shared" si="108"/>
        <v>0</v>
      </c>
      <c r="L105" s="127">
        <f t="shared" si="108"/>
        <v>0</v>
      </c>
      <c r="M105" s="127">
        <f t="shared" si="108"/>
        <v>0</v>
      </c>
      <c r="N105" s="245" t="str">
        <f t="shared" si="101"/>
        <v/>
      </c>
      <c r="O105" s="748"/>
      <c r="P105" s="757">
        <f t="shared" si="97"/>
        <v>0</v>
      </c>
      <c r="Q105" s="129">
        <f t="shared" si="76"/>
        <v>0</v>
      </c>
      <c r="R105" s="129">
        <f t="shared" si="77"/>
        <v>0</v>
      </c>
      <c r="S105" s="129">
        <f t="shared" si="78"/>
        <v>0</v>
      </c>
      <c r="T105" s="129">
        <f t="shared" si="79"/>
        <v>0</v>
      </c>
      <c r="U105" s="129">
        <f t="shared" si="80"/>
        <v>0</v>
      </c>
      <c r="V105" s="209">
        <f t="shared" si="98"/>
        <v>0</v>
      </c>
      <c r="W105" s="528"/>
      <c r="X105" s="222"/>
      <c r="Y105" s="325"/>
      <c r="Z105" s="774">
        <f t="shared" si="103"/>
        <v>0</v>
      </c>
      <c r="AA105" s="103">
        <f t="shared" si="109"/>
        <v>0</v>
      </c>
      <c r="AB105" s="103">
        <f t="shared" si="110"/>
        <v>0</v>
      </c>
      <c r="AC105" s="103">
        <f t="shared" si="110"/>
        <v>0</v>
      </c>
      <c r="AD105" s="103">
        <f t="shared" si="110"/>
        <v>0</v>
      </c>
      <c r="AE105" s="103">
        <f t="shared" si="110"/>
        <v>0</v>
      </c>
      <c r="AF105" s="123">
        <f t="shared" si="104"/>
        <v>0</v>
      </c>
      <c r="AG105" s="743"/>
      <c r="AH105" s="370"/>
      <c r="AI105" s="221"/>
      <c r="AJ105" s="270"/>
      <c r="AK105" s="896">
        <f t="shared" si="111"/>
        <v>0</v>
      </c>
      <c r="AL105" s="105" cm="1">
        <f t="array" ref="AL105">_xlfn.IFS($AJ105="NO CHARGE",0,$AJ105=0,0,$AJ105&gt;0,PRODUCT(I105,$AJ105))</f>
        <v>0</v>
      </c>
      <c r="AM105" s="105" cm="1">
        <f t="array" ref="AM105">_xlfn.IFS($AJ105="NO CHARGE",0,$AJ105=0,0,$AJ105&gt;0,PRODUCT(J105,$AJ105))</f>
        <v>0</v>
      </c>
      <c r="AN105" s="105" cm="1">
        <f t="array" ref="AN105">_xlfn.IFS($AJ105="NO CHARGE",0,$AJ105=0,0,$AJ105&gt;0,PRODUCT(K105,$AJ105))</f>
        <v>0</v>
      </c>
      <c r="AO105" s="105" cm="1">
        <f t="array" ref="AO105">_xlfn.IFS($AJ105="NO CHARGE",0,$AJ105=0,0,$AJ105&gt;0,PRODUCT(L105,$AJ105))</f>
        <v>0</v>
      </c>
      <c r="AP105" s="105" cm="1">
        <f t="array" ref="AP105">_xlfn.IFS($AJ105="NO CHARGE",0,$AJ105=0,0,$AJ105&gt;0,PRODUCT(M105,$AJ105))</f>
        <v>0</v>
      </c>
      <c r="AQ105" s="158">
        <f t="shared" si="105"/>
        <v>0</v>
      </c>
      <c r="AR105" s="875"/>
      <c r="AS105" s="473"/>
      <c r="AT105" s="106"/>
      <c r="AU105" s="107"/>
      <c r="AV105" s="108">
        <f>IF(AU105&gt;0,PRODUCT(I105,$AU105),0)</f>
        <v>0</v>
      </c>
      <c r="AW105" s="108">
        <f>IF(AV105&gt;0,PRODUCT(J105,$AU105),0)</f>
        <v>0</v>
      </c>
      <c r="AX105" s="108">
        <f>IF(AW105&gt;0,PRODUCT(K105,$AU105),0)</f>
        <v>0</v>
      </c>
      <c r="AY105" s="108">
        <f>IF(AX105&gt;0,PRODUCT(L105,$AU105),0)</f>
        <v>0</v>
      </c>
      <c r="AZ105" s="108">
        <f>IF(AY105&gt;0,PRODUCT(M105,$AU105),0)</f>
        <v>0</v>
      </c>
      <c r="BA105" s="165">
        <f>SUM(AV105:AZ105)</f>
        <v>0</v>
      </c>
      <c r="BB105" s="531"/>
    </row>
    <row r="106" spans="1:54" s="495" customFormat="1" hidden="1" outlineLevel="2" x14ac:dyDescent="0.25">
      <c r="A106" s="445"/>
      <c r="B106" s="620" t="s">
        <v>159</v>
      </c>
      <c r="C106" s="310" t="s">
        <v>160</v>
      </c>
      <c r="D106" s="604"/>
      <c r="E106" s="604">
        <v>1</v>
      </c>
      <c r="F106" s="604">
        <v>1</v>
      </c>
      <c r="G106" s="604">
        <v>1</v>
      </c>
      <c r="H106" s="618">
        <f>AVERAGE(E106:G106)</f>
        <v>1</v>
      </c>
      <c r="I106" s="127">
        <f t="shared" si="107"/>
        <v>12</v>
      </c>
      <c r="J106" s="127">
        <f t="shared" si="108"/>
        <v>12</v>
      </c>
      <c r="K106" s="127">
        <f t="shared" si="108"/>
        <v>12</v>
      </c>
      <c r="L106" s="127">
        <f t="shared" si="108"/>
        <v>12</v>
      </c>
      <c r="M106" s="127">
        <f t="shared" si="108"/>
        <v>12</v>
      </c>
      <c r="N106" s="245" t="str">
        <f t="shared" si="101"/>
        <v>BASE EFT CARD ISSUING PROC SUP</v>
      </c>
      <c r="O106" s="247">
        <v>0</v>
      </c>
      <c r="P106" s="760"/>
      <c r="Q106" s="129">
        <f t="shared" si="76"/>
        <v>0</v>
      </c>
      <c r="R106" s="129">
        <f t="shared" si="77"/>
        <v>0</v>
      </c>
      <c r="S106" s="129">
        <f t="shared" si="78"/>
        <v>0</v>
      </c>
      <c r="T106" s="129">
        <f t="shared" si="79"/>
        <v>0</v>
      </c>
      <c r="U106" s="129">
        <f t="shared" si="80"/>
        <v>0</v>
      </c>
      <c r="V106" s="209">
        <f t="shared" si="98"/>
        <v>0</v>
      </c>
      <c r="W106" s="528"/>
      <c r="X106" s="222"/>
      <c r="Y106" s="325"/>
      <c r="Z106" s="774"/>
      <c r="AA106" s="103"/>
      <c r="AB106" s="103"/>
      <c r="AC106" s="103"/>
      <c r="AD106" s="103"/>
      <c r="AE106" s="103"/>
      <c r="AF106" s="123"/>
      <c r="AG106" s="743"/>
      <c r="AH106" s="370"/>
      <c r="AI106" s="221"/>
      <c r="AJ106" s="270"/>
      <c r="AK106" s="848"/>
      <c r="AL106" s="105"/>
      <c r="AM106" s="105"/>
      <c r="AN106" s="105"/>
      <c r="AO106" s="105"/>
      <c r="AP106" s="105"/>
      <c r="AQ106" s="158">
        <f t="shared" si="105"/>
        <v>0</v>
      </c>
      <c r="AR106" s="875"/>
      <c r="AS106" s="473"/>
      <c r="AT106" s="106"/>
      <c r="AU106" s="107"/>
      <c r="AV106" s="108"/>
      <c r="AW106" s="108"/>
      <c r="AX106" s="108"/>
      <c r="AY106" s="108"/>
      <c r="AZ106" s="108"/>
      <c r="BA106" s="165"/>
      <c r="BB106" s="531"/>
    </row>
    <row r="107" spans="1:54" s="495" customFormat="1" hidden="1" outlineLevel="2" x14ac:dyDescent="0.25">
      <c r="A107" s="445"/>
      <c r="B107" s="620" t="s">
        <v>159</v>
      </c>
      <c r="C107" s="310" t="s">
        <v>161</v>
      </c>
      <c r="D107" s="604"/>
      <c r="E107" s="604">
        <v>1</v>
      </c>
      <c r="F107" s="604">
        <v>1</v>
      </c>
      <c r="G107" s="604">
        <v>1</v>
      </c>
      <c r="H107" s="618">
        <f>IFERROR(AVERAGE(D107:G107),0)</f>
        <v>1</v>
      </c>
      <c r="I107" s="127">
        <f t="shared" si="107"/>
        <v>12</v>
      </c>
      <c r="J107" s="127">
        <f t="shared" si="108"/>
        <v>12</v>
      </c>
      <c r="K107" s="127">
        <f t="shared" si="108"/>
        <v>12</v>
      </c>
      <c r="L107" s="127">
        <f t="shared" si="108"/>
        <v>12</v>
      </c>
      <c r="M107" s="127">
        <f t="shared" si="108"/>
        <v>12</v>
      </c>
      <c r="N107" s="245" t="str">
        <f t="shared" si="101"/>
        <v>PLUS MEMBERSHIP FEE</v>
      </c>
      <c r="O107" s="247">
        <v>0</v>
      </c>
      <c r="P107" s="760"/>
      <c r="Q107" s="129">
        <f t="shared" si="76"/>
        <v>0</v>
      </c>
      <c r="R107" s="129">
        <f t="shared" si="77"/>
        <v>0</v>
      </c>
      <c r="S107" s="129">
        <f t="shared" si="78"/>
        <v>0</v>
      </c>
      <c r="T107" s="129">
        <f t="shared" si="79"/>
        <v>0</v>
      </c>
      <c r="U107" s="129">
        <f t="shared" si="80"/>
        <v>0</v>
      </c>
      <c r="V107" s="209">
        <f t="shared" si="98"/>
        <v>0</v>
      </c>
      <c r="W107" s="528"/>
      <c r="X107" s="222"/>
      <c r="Y107" s="325"/>
      <c r="Z107" s="774"/>
      <c r="AA107" s="103"/>
      <c r="AB107" s="103"/>
      <c r="AC107" s="103"/>
      <c r="AD107" s="103"/>
      <c r="AE107" s="103"/>
      <c r="AF107" s="123"/>
      <c r="AG107" s="743"/>
      <c r="AH107" s="370"/>
      <c r="AI107" s="221"/>
      <c r="AJ107" s="270"/>
      <c r="AK107" s="848"/>
      <c r="AL107" s="105"/>
      <c r="AM107" s="105"/>
      <c r="AN107" s="105"/>
      <c r="AO107" s="105"/>
      <c r="AP107" s="105"/>
      <c r="AQ107" s="158">
        <f t="shared" si="105"/>
        <v>0</v>
      </c>
      <c r="AR107" s="875"/>
      <c r="AS107" s="473"/>
      <c r="AT107" s="106"/>
      <c r="AU107" s="107"/>
      <c r="AV107" s="108"/>
      <c r="AW107" s="108"/>
      <c r="AX107" s="108"/>
      <c r="AY107" s="108"/>
      <c r="AZ107" s="108"/>
      <c r="BA107" s="165"/>
      <c r="BB107" s="531"/>
    </row>
    <row r="108" spans="1:54" s="495" customFormat="1" hidden="1" outlineLevel="2" x14ac:dyDescent="0.25">
      <c r="A108" s="445"/>
      <c r="B108" s="620" t="s">
        <v>159</v>
      </c>
      <c r="C108" s="310" t="s">
        <v>162</v>
      </c>
      <c r="D108" s="604"/>
      <c r="E108" s="604">
        <v>1</v>
      </c>
      <c r="F108" s="604">
        <v>1</v>
      </c>
      <c r="G108" s="604">
        <v>1</v>
      </c>
      <c r="H108" s="618">
        <f>IFERROR(AVERAGE(D108:G108),0)</f>
        <v>1</v>
      </c>
      <c r="I108" s="127">
        <f t="shared" si="107"/>
        <v>12</v>
      </c>
      <c r="J108" s="127">
        <f t="shared" si="108"/>
        <v>12</v>
      </c>
      <c r="K108" s="127">
        <f t="shared" si="108"/>
        <v>12</v>
      </c>
      <c r="L108" s="127">
        <f t="shared" si="108"/>
        <v>12</v>
      </c>
      <c r="M108" s="127">
        <f t="shared" si="108"/>
        <v>12</v>
      </c>
      <c r="N108" s="245" t="str">
        <f t="shared" si="101"/>
        <v>CIRRUS MEMBERSHIP FEE</v>
      </c>
      <c r="O108" s="247">
        <v>0</v>
      </c>
      <c r="P108" s="760"/>
      <c r="Q108" s="129">
        <f t="shared" si="76"/>
        <v>0</v>
      </c>
      <c r="R108" s="129">
        <f t="shared" si="77"/>
        <v>0</v>
      </c>
      <c r="S108" s="129">
        <f t="shared" si="78"/>
        <v>0</v>
      </c>
      <c r="T108" s="129">
        <f t="shared" si="79"/>
        <v>0</v>
      </c>
      <c r="U108" s="129">
        <f t="shared" si="80"/>
        <v>0</v>
      </c>
      <c r="V108" s="209">
        <f t="shared" si="98"/>
        <v>0</v>
      </c>
      <c r="W108" s="528"/>
      <c r="X108" s="222"/>
      <c r="Y108" s="325"/>
      <c r="Z108" s="774"/>
      <c r="AA108" s="103"/>
      <c r="AB108" s="103"/>
      <c r="AC108" s="103"/>
      <c r="AD108" s="103"/>
      <c r="AE108" s="103"/>
      <c r="AF108" s="123"/>
      <c r="AG108" s="743"/>
      <c r="AH108" s="370"/>
      <c r="AI108" s="221"/>
      <c r="AJ108" s="270"/>
      <c r="AK108" s="848"/>
      <c r="AL108" s="105"/>
      <c r="AM108" s="105"/>
      <c r="AN108" s="105"/>
      <c r="AO108" s="105"/>
      <c r="AP108" s="105"/>
      <c r="AQ108" s="158">
        <f t="shared" si="105"/>
        <v>0</v>
      </c>
      <c r="AR108" s="875"/>
      <c r="AS108" s="473"/>
      <c r="AT108" s="106"/>
      <c r="AU108" s="107"/>
      <c r="AV108" s="108"/>
      <c r="AW108" s="108"/>
      <c r="AX108" s="108"/>
      <c r="AY108" s="108"/>
      <c r="AZ108" s="108"/>
      <c r="BA108" s="165"/>
      <c r="BB108" s="531"/>
    </row>
    <row r="109" spans="1:54" s="495" customFormat="1" hidden="1" outlineLevel="2" x14ac:dyDescent="0.25">
      <c r="A109" s="445"/>
      <c r="B109" s="620" t="s">
        <v>159</v>
      </c>
      <c r="C109" s="492" t="s">
        <v>163</v>
      </c>
      <c r="D109" s="604"/>
      <c r="E109" s="604"/>
      <c r="F109" s="604"/>
      <c r="G109" s="604"/>
      <c r="H109" s="618"/>
      <c r="I109" s="127"/>
      <c r="J109" s="127"/>
      <c r="K109" s="127"/>
      <c r="L109" s="127"/>
      <c r="M109" s="127"/>
      <c r="N109" s="245" t="str">
        <f t="shared" si="101"/>
        <v>MC-CN-ATM ACQUIRER SWITCH FEES</v>
      </c>
      <c r="O109" s="247"/>
      <c r="P109" s="760"/>
      <c r="Q109" s="129"/>
      <c r="R109" s="129"/>
      <c r="S109" s="129"/>
      <c r="T109" s="129"/>
      <c r="U109" s="129"/>
      <c r="V109" s="209"/>
      <c r="W109" s="528"/>
      <c r="X109" s="222"/>
      <c r="Y109" s="325"/>
      <c r="Z109" s="774"/>
      <c r="AA109" s="103"/>
      <c r="AB109" s="103"/>
      <c r="AC109" s="103"/>
      <c r="AD109" s="103"/>
      <c r="AE109" s="103"/>
      <c r="AF109" s="123"/>
      <c r="AG109" s="743"/>
      <c r="AH109" s="370"/>
      <c r="AI109" s="221"/>
      <c r="AJ109" s="270"/>
      <c r="AK109" s="848"/>
      <c r="AL109" s="105"/>
      <c r="AM109" s="105"/>
      <c r="AN109" s="105"/>
      <c r="AO109" s="105"/>
      <c r="AP109" s="105"/>
      <c r="AQ109" s="158">
        <f t="shared" si="105"/>
        <v>0</v>
      </c>
      <c r="AR109" s="875"/>
      <c r="AS109" s="473"/>
      <c r="AT109" s="106"/>
      <c r="AU109" s="107"/>
      <c r="AV109" s="108"/>
      <c r="AW109" s="108"/>
      <c r="AX109" s="108"/>
      <c r="AY109" s="108"/>
      <c r="AZ109" s="108"/>
      <c r="BA109" s="165"/>
      <c r="BB109" s="531"/>
    </row>
    <row r="110" spans="1:54" s="495" customFormat="1" hidden="1" outlineLevel="2" x14ac:dyDescent="0.25">
      <c r="A110" s="445"/>
      <c r="B110" s="620" t="s">
        <v>159</v>
      </c>
      <c r="C110" s="492" t="s">
        <v>164</v>
      </c>
      <c r="D110" s="604"/>
      <c r="E110" s="604"/>
      <c r="F110" s="604"/>
      <c r="G110" s="604"/>
      <c r="H110" s="618"/>
      <c r="I110" s="127"/>
      <c r="J110" s="127"/>
      <c r="K110" s="127"/>
      <c r="L110" s="127"/>
      <c r="M110" s="127"/>
      <c r="N110" s="245" t="str">
        <f t="shared" si="101"/>
        <v>MC-AB-ISSUER AUTHORIZATION</v>
      </c>
      <c r="O110" s="247"/>
      <c r="P110" s="760"/>
      <c r="Q110" s="129"/>
      <c r="R110" s="129"/>
      <c r="S110" s="129"/>
      <c r="T110" s="129"/>
      <c r="U110" s="129"/>
      <c r="V110" s="209"/>
      <c r="W110" s="528"/>
      <c r="X110" s="222"/>
      <c r="Y110" s="325"/>
      <c r="Z110" s="774"/>
      <c r="AA110" s="103"/>
      <c r="AB110" s="103"/>
      <c r="AC110" s="103"/>
      <c r="AD110" s="103"/>
      <c r="AE110" s="103"/>
      <c r="AF110" s="123"/>
      <c r="AG110" s="743"/>
      <c r="AH110" s="370"/>
      <c r="AI110" s="221"/>
      <c r="AJ110" s="270"/>
      <c r="AK110" s="848"/>
      <c r="AL110" s="105"/>
      <c r="AM110" s="105"/>
      <c r="AN110" s="105"/>
      <c r="AO110" s="105"/>
      <c r="AP110" s="105"/>
      <c r="AQ110" s="158">
        <f t="shared" si="105"/>
        <v>0</v>
      </c>
      <c r="AR110" s="875"/>
      <c r="AS110" s="473"/>
      <c r="AT110" s="106"/>
      <c r="AU110" s="107"/>
      <c r="AV110" s="108"/>
      <c r="AW110" s="108"/>
      <c r="AX110" s="108"/>
      <c r="AY110" s="108"/>
      <c r="AZ110" s="108"/>
      <c r="BA110" s="165"/>
      <c r="BB110" s="531"/>
    </row>
    <row r="111" spans="1:54" s="495" customFormat="1" hidden="1" outlineLevel="2" x14ac:dyDescent="0.25">
      <c r="A111" s="445"/>
      <c r="B111" s="620" t="s">
        <v>159</v>
      </c>
      <c r="C111" s="492" t="s">
        <v>165</v>
      </c>
      <c r="D111" s="604"/>
      <c r="E111" s="604"/>
      <c r="F111" s="604"/>
      <c r="G111" s="604"/>
      <c r="H111" s="618"/>
      <c r="I111" s="127"/>
      <c r="J111" s="127"/>
      <c r="K111" s="127"/>
      <c r="L111" s="127"/>
      <c r="M111" s="127"/>
      <c r="N111" s="245" t="str">
        <f t="shared" si="101"/>
        <v>MC-CM-ISSUER SWITCH FEES</v>
      </c>
      <c r="O111" s="247"/>
      <c r="P111" s="760"/>
      <c r="Q111" s="129"/>
      <c r="R111" s="129"/>
      <c r="S111" s="129"/>
      <c r="T111" s="129"/>
      <c r="U111" s="129"/>
      <c r="V111" s="209"/>
      <c r="W111" s="528"/>
      <c r="X111" s="222"/>
      <c r="Y111" s="325"/>
      <c r="Z111" s="774"/>
      <c r="AA111" s="103"/>
      <c r="AB111" s="103"/>
      <c r="AC111" s="103"/>
      <c r="AD111" s="103"/>
      <c r="AE111" s="103"/>
      <c r="AF111" s="123"/>
      <c r="AG111" s="743"/>
      <c r="AH111" s="370"/>
      <c r="AI111" s="221"/>
      <c r="AJ111" s="270"/>
      <c r="AK111" s="848"/>
      <c r="AL111" s="105"/>
      <c r="AM111" s="105"/>
      <c r="AN111" s="105"/>
      <c r="AO111" s="105"/>
      <c r="AP111" s="105"/>
      <c r="AQ111" s="158">
        <f t="shared" si="105"/>
        <v>0</v>
      </c>
      <c r="AR111" s="875"/>
      <c r="AS111" s="473"/>
      <c r="AT111" s="106"/>
      <c r="AU111" s="107"/>
      <c r="AV111" s="108"/>
      <c r="AW111" s="108"/>
      <c r="AX111" s="108"/>
      <c r="AY111" s="108"/>
      <c r="AZ111" s="108"/>
      <c r="BA111" s="165"/>
      <c r="BB111" s="531"/>
    </row>
    <row r="112" spans="1:54" s="495" customFormat="1" hidden="1" outlineLevel="2" x14ac:dyDescent="0.25">
      <c r="A112" s="445"/>
      <c r="B112" s="620" t="s">
        <v>159</v>
      </c>
      <c r="C112" s="492" t="s">
        <v>166</v>
      </c>
      <c r="D112" s="604"/>
      <c r="E112" s="604"/>
      <c r="F112" s="604"/>
      <c r="G112" s="604"/>
      <c r="H112" s="618"/>
      <c r="I112" s="127"/>
      <c r="J112" s="127"/>
      <c r="K112" s="127"/>
      <c r="L112" s="127"/>
      <c r="M112" s="127"/>
      <c r="N112" s="245" t="str">
        <f t="shared" si="101"/>
        <v>MC-MO-POS ISSUER SWITCH FEES</v>
      </c>
      <c r="O112" s="247"/>
      <c r="P112" s="760"/>
      <c r="Q112" s="129"/>
      <c r="R112" s="129"/>
      <c r="S112" s="129"/>
      <c r="T112" s="129"/>
      <c r="U112" s="129"/>
      <c r="V112" s="209"/>
      <c r="W112" s="528"/>
      <c r="X112" s="222"/>
      <c r="Y112" s="325"/>
      <c r="Z112" s="774"/>
      <c r="AA112" s="103"/>
      <c r="AB112" s="103"/>
      <c r="AC112" s="103"/>
      <c r="AD112" s="103"/>
      <c r="AE112" s="103"/>
      <c r="AF112" s="123"/>
      <c r="AG112" s="743"/>
      <c r="AH112" s="370"/>
      <c r="AI112" s="221"/>
      <c r="AJ112" s="270"/>
      <c r="AK112" s="848"/>
      <c r="AL112" s="105"/>
      <c r="AM112" s="105"/>
      <c r="AN112" s="105"/>
      <c r="AO112" s="105"/>
      <c r="AP112" s="105"/>
      <c r="AQ112" s="158">
        <f t="shared" si="105"/>
        <v>0</v>
      </c>
      <c r="AR112" s="875"/>
      <c r="AS112" s="473"/>
      <c r="AT112" s="106"/>
      <c r="AU112" s="107"/>
      <c r="AV112" s="108"/>
      <c r="AW112" s="108"/>
      <c r="AX112" s="108"/>
      <c r="AY112" s="108"/>
      <c r="AZ112" s="108"/>
      <c r="BA112" s="165"/>
      <c r="BB112" s="531"/>
    </row>
    <row r="113" spans="1:54" s="495" customFormat="1" hidden="1" outlineLevel="2" x14ac:dyDescent="0.25">
      <c r="A113" s="445"/>
      <c r="B113" s="620" t="s">
        <v>159</v>
      </c>
      <c r="C113" s="492" t="s">
        <v>167</v>
      </c>
      <c r="D113" s="604"/>
      <c r="E113" s="604"/>
      <c r="F113" s="604"/>
      <c r="G113" s="604"/>
      <c r="H113" s="618"/>
      <c r="I113" s="127"/>
      <c r="J113" s="127"/>
      <c r="K113" s="127"/>
      <c r="L113" s="127"/>
      <c r="M113" s="127"/>
      <c r="N113" s="245" t="str">
        <f t="shared" si="101"/>
        <v>MC CONNECTIVITY FEE</v>
      </c>
      <c r="O113" s="247"/>
      <c r="P113" s="760"/>
      <c r="Q113" s="129"/>
      <c r="R113" s="129"/>
      <c r="S113" s="129"/>
      <c r="T113" s="129"/>
      <c r="U113" s="129"/>
      <c r="V113" s="209"/>
      <c r="W113" s="528"/>
      <c r="X113" s="222"/>
      <c r="Y113" s="325"/>
      <c r="Z113" s="774"/>
      <c r="AA113" s="103"/>
      <c r="AB113" s="103"/>
      <c r="AC113" s="103"/>
      <c r="AD113" s="103"/>
      <c r="AE113" s="103"/>
      <c r="AF113" s="123"/>
      <c r="AG113" s="743"/>
      <c r="AH113" s="370"/>
      <c r="AI113" s="221"/>
      <c r="AJ113" s="270"/>
      <c r="AK113" s="848"/>
      <c r="AL113" s="105"/>
      <c r="AM113" s="105"/>
      <c r="AN113" s="105"/>
      <c r="AO113" s="105"/>
      <c r="AP113" s="105"/>
      <c r="AQ113" s="158">
        <f t="shared" si="105"/>
        <v>0</v>
      </c>
      <c r="AR113" s="875"/>
      <c r="AS113" s="473"/>
      <c r="AT113" s="106"/>
      <c r="AU113" s="107"/>
      <c r="AV113" s="108"/>
      <c r="AW113" s="108"/>
      <c r="AX113" s="108"/>
      <c r="AY113" s="108"/>
      <c r="AZ113" s="108"/>
      <c r="BA113" s="165"/>
      <c r="BB113" s="531"/>
    </row>
    <row r="114" spans="1:54" s="495" customFormat="1" hidden="1" outlineLevel="2" x14ac:dyDescent="0.25">
      <c r="A114" s="445"/>
      <c r="B114" s="620" t="s">
        <v>159</v>
      </c>
      <c r="C114" s="492" t="s">
        <v>168</v>
      </c>
      <c r="D114" s="604"/>
      <c r="E114" s="604"/>
      <c r="F114" s="604"/>
      <c r="G114" s="604"/>
      <c r="H114" s="618"/>
      <c r="I114" s="127"/>
      <c r="J114" s="127"/>
      <c r="K114" s="127"/>
      <c r="L114" s="127"/>
      <c r="M114" s="127"/>
      <c r="N114" s="245" t="str">
        <f t="shared" si="101"/>
        <v>MC-AM-ACCT MGMT SYSTEMS AMS</v>
      </c>
      <c r="O114" s="247"/>
      <c r="P114" s="760"/>
      <c r="Q114" s="129"/>
      <c r="R114" s="129"/>
      <c r="S114" s="129"/>
      <c r="T114" s="129"/>
      <c r="U114" s="129"/>
      <c r="V114" s="209"/>
      <c r="W114" s="528"/>
      <c r="X114" s="222"/>
      <c r="Y114" s="325"/>
      <c r="Z114" s="774"/>
      <c r="AA114" s="103"/>
      <c r="AB114" s="103"/>
      <c r="AC114" s="103"/>
      <c r="AD114" s="103"/>
      <c r="AE114" s="103"/>
      <c r="AF114" s="123"/>
      <c r="AG114" s="743"/>
      <c r="AH114" s="370"/>
      <c r="AI114" s="221"/>
      <c r="AJ114" s="270"/>
      <c r="AK114" s="848"/>
      <c r="AL114" s="105"/>
      <c r="AM114" s="105"/>
      <c r="AN114" s="105"/>
      <c r="AO114" s="105"/>
      <c r="AP114" s="105"/>
      <c r="AQ114" s="158">
        <f t="shared" si="105"/>
        <v>0</v>
      </c>
      <c r="AR114" s="875"/>
      <c r="AS114" s="473"/>
      <c r="AT114" s="106"/>
      <c r="AU114" s="107"/>
      <c r="AV114" s="108"/>
      <c r="AW114" s="108"/>
      <c r="AX114" s="108"/>
      <c r="AY114" s="108"/>
      <c r="AZ114" s="108"/>
      <c r="BA114" s="165"/>
      <c r="BB114" s="531"/>
    </row>
    <row r="115" spans="1:54" s="495" customFormat="1" hidden="1" outlineLevel="2" x14ac:dyDescent="0.25">
      <c r="A115" s="445"/>
      <c r="B115" s="620" t="s">
        <v>159</v>
      </c>
      <c r="C115" s="492" t="s">
        <v>169</v>
      </c>
      <c r="D115" s="604"/>
      <c r="E115" s="604">
        <v>2</v>
      </c>
      <c r="F115" s="604">
        <v>2</v>
      </c>
      <c r="G115" s="604">
        <v>2</v>
      </c>
      <c r="H115" s="618">
        <f>IFERROR(AVERAGE(D115:G115),0)</f>
        <v>2</v>
      </c>
      <c r="I115" s="127">
        <f>H115*12</f>
        <v>24</v>
      </c>
      <c r="J115" s="127">
        <f>IF(I115&gt;12,(((I115)*$H$5)+I115),(I115*1))</f>
        <v>25.2</v>
      </c>
      <c r="K115" s="127">
        <f>IF(J115&gt;12,(((J115)*$H$5)+J115),(J115*1))</f>
        <v>26.46</v>
      </c>
      <c r="L115" s="127">
        <f>IF(K115&gt;12,(((K115)*$H$5)+K115),(K115*1))</f>
        <v>27.783000000000001</v>
      </c>
      <c r="M115" s="127">
        <f>IF(L115&gt;12,(((L115)*$H$5)+L115),(L115*1))</f>
        <v>29.172150000000002</v>
      </c>
      <c r="N115" s="245" t="str">
        <f t="shared" si="101"/>
        <v>MC-FE-FRANCHISE AND LICENSING</v>
      </c>
      <c r="O115" s="247">
        <v>0</v>
      </c>
      <c r="P115" s="760"/>
      <c r="Q115" s="129"/>
      <c r="R115" s="129">
        <f>IF(Q115&gt;0,PRODUCT(J115,$O115),0)</f>
        <v>0</v>
      </c>
      <c r="S115" s="129">
        <f>IF(R115&gt;0,PRODUCT(K115,$O115),0)</f>
        <v>0</v>
      </c>
      <c r="T115" s="129">
        <f>IF(S115&gt;0,PRODUCT(L115,$O115),0)</f>
        <v>0</v>
      </c>
      <c r="U115" s="129">
        <f>IF(T115&gt;0,PRODUCT(M115,$O115),0)</f>
        <v>0</v>
      </c>
      <c r="V115" s="209">
        <f>SUM(Q115:U115)</f>
        <v>0</v>
      </c>
      <c r="W115" s="528"/>
      <c r="X115" s="222"/>
      <c r="Y115" s="325"/>
      <c r="Z115" s="774"/>
      <c r="AA115" s="103"/>
      <c r="AB115" s="103"/>
      <c r="AC115" s="103"/>
      <c r="AD115" s="103"/>
      <c r="AE115" s="103"/>
      <c r="AF115" s="123"/>
      <c r="AG115" s="743"/>
      <c r="AH115" s="370"/>
      <c r="AI115" s="221"/>
      <c r="AJ115" s="270"/>
      <c r="AK115" s="848"/>
      <c r="AL115" s="105"/>
      <c r="AM115" s="105"/>
      <c r="AN115" s="105"/>
      <c r="AO115" s="105"/>
      <c r="AP115" s="105"/>
      <c r="AQ115" s="158">
        <f t="shared" si="105"/>
        <v>0</v>
      </c>
      <c r="AR115" s="875"/>
      <c r="AS115" s="473"/>
      <c r="AT115" s="106"/>
      <c r="AU115" s="107"/>
      <c r="AV115" s="108"/>
      <c r="AW115" s="108"/>
      <c r="AX115" s="108"/>
      <c r="AY115" s="108"/>
      <c r="AZ115" s="108"/>
      <c r="BA115" s="165"/>
      <c r="BB115" s="531"/>
    </row>
    <row r="116" spans="1:54" s="495" customFormat="1" hidden="1" outlineLevel="2" x14ac:dyDescent="0.25">
      <c r="A116" s="445"/>
      <c r="B116" s="620" t="s">
        <v>159</v>
      </c>
      <c r="C116" s="696" t="s">
        <v>170</v>
      </c>
      <c r="D116" s="604"/>
      <c r="E116" s="604"/>
      <c r="F116" s="604"/>
      <c r="G116" s="604"/>
      <c r="H116" s="618"/>
      <c r="I116" s="127"/>
      <c r="J116" s="127"/>
      <c r="K116" s="127"/>
      <c r="L116" s="127"/>
      <c r="M116" s="127"/>
      <c r="N116" s="245" t="str">
        <f t="shared" si="101"/>
        <v>534900 MC-FE-Franchise and Licensing</v>
      </c>
      <c r="O116" s="247"/>
      <c r="P116" s="760"/>
      <c r="Q116" s="129"/>
      <c r="R116" s="129"/>
      <c r="S116" s="129"/>
      <c r="T116" s="129"/>
      <c r="U116" s="129"/>
      <c r="V116" s="209"/>
      <c r="W116" s="528"/>
      <c r="X116" s="222"/>
      <c r="Y116" s="325"/>
      <c r="Z116" s="774"/>
      <c r="AA116" s="103"/>
      <c r="AB116" s="103"/>
      <c r="AC116" s="103"/>
      <c r="AD116" s="103"/>
      <c r="AE116" s="103"/>
      <c r="AF116" s="123"/>
      <c r="AG116" s="743"/>
      <c r="AH116" s="370"/>
      <c r="AI116" s="221"/>
      <c r="AJ116" s="270"/>
      <c r="AK116" s="848"/>
      <c r="AL116" s="105"/>
      <c r="AM116" s="105"/>
      <c r="AN116" s="105"/>
      <c r="AO116" s="105"/>
      <c r="AP116" s="105"/>
      <c r="AQ116" s="158">
        <f t="shared" si="105"/>
        <v>0</v>
      </c>
      <c r="AR116" s="875"/>
      <c r="AS116" s="473"/>
      <c r="AT116" s="106"/>
      <c r="AU116" s="107"/>
      <c r="AV116" s="108"/>
      <c r="AW116" s="108"/>
      <c r="AX116" s="108"/>
      <c r="AY116" s="108"/>
      <c r="AZ116" s="108"/>
      <c r="BA116" s="165"/>
      <c r="BB116" s="531"/>
    </row>
    <row r="117" spans="1:54" s="495" customFormat="1" hidden="1" outlineLevel="2" x14ac:dyDescent="0.25">
      <c r="A117" s="445"/>
      <c r="B117" s="620" t="s">
        <v>159</v>
      </c>
      <c r="C117" s="492" t="s">
        <v>171</v>
      </c>
      <c r="D117" s="604"/>
      <c r="E117" s="604"/>
      <c r="F117" s="604"/>
      <c r="G117" s="604"/>
      <c r="H117" s="618"/>
      <c r="I117" s="127"/>
      <c r="J117" s="127"/>
      <c r="K117" s="127"/>
      <c r="L117" s="127"/>
      <c r="M117" s="127"/>
      <c r="N117" s="245" t="str">
        <f t="shared" si="101"/>
        <v>MC-F1-ISS DECISION MGMT SVCS</v>
      </c>
      <c r="O117" s="247"/>
      <c r="P117" s="760"/>
      <c r="Q117" s="129"/>
      <c r="R117" s="129"/>
      <c r="S117" s="129"/>
      <c r="T117" s="129"/>
      <c r="U117" s="129"/>
      <c r="V117" s="209"/>
      <c r="W117" s="528"/>
      <c r="X117" s="222"/>
      <c r="Y117" s="325"/>
      <c r="Z117" s="774"/>
      <c r="AA117" s="103"/>
      <c r="AB117" s="103"/>
      <c r="AC117" s="103"/>
      <c r="AD117" s="103"/>
      <c r="AE117" s="103"/>
      <c r="AF117" s="123"/>
      <c r="AG117" s="743"/>
      <c r="AH117" s="370"/>
      <c r="AI117" s="221"/>
      <c r="AJ117" s="270"/>
      <c r="AK117" s="848"/>
      <c r="AL117" s="105"/>
      <c r="AM117" s="105"/>
      <c r="AN117" s="105"/>
      <c r="AO117" s="105"/>
      <c r="AP117" s="105"/>
      <c r="AQ117" s="158">
        <f t="shared" si="105"/>
        <v>0</v>
      </c>
      <c r="AR117" s="875"/>
      <c r="AS117" s="473"/>
      <c r="AT117" s="106"/>
      <c r="AU117" s="107"/>
      <c r="AV117" s="108"/>
      <c r="AW117" s="108"/>
      <c r="AX117" s="108"/>
      <c r="AY117" s="108"/>
      <c r="AZ117" s="108"/>
      <c r="BA117" s="165"/>
      <c r="BB117" s="531"/>
    </row>
    <row r="118" spans="1:54" s="495" customFormat="1" hidden="1" outlineLevel="2" x14ac:dyDescent="0.25">
      <c r="A118" s="445"/>
      <c r="B118" s="620" t="s">
        <v>159</v>
      </c>
      <c r="C118" s="492" t="s">
        <v>172</v>
      </c>
      <c r="D118" s="604"/>
      <c r="E118" s="604"/>
      <c r="F118" s="604"/>
      <c r="G118" s="604"/>
      <c r="H118" s="618"/>
      <c r="I118" s="127"/>
      <c r="J118" s="127"/>
      <c r="K118" s="127"/>
      <c r="L118" s="127"/>
      <c r="M118" s="127"/>
      <c r="N118" s="245" t="str">
        <f t="shared" si="101"/>
        <v>MC-F2-ACQ DECISION MGMT SVC</v>
      </c>
      <c r="O118" s="247"/>
      <c r="P118" s="760"/>
      <c r="Q118" s="129"/>
      <c r="R118" s="129"/>
      <c r="S118" s="129"/>
      <c r="T118" s="129"/>
      <c r="U118" s="129"/>
      <c r="V118" s="209"/>
      <c r="W118" s="528"/>
      <c r="X118" s="222"/>
      <c r="Y118" s="325"/>
      <c r="Z118" s="774"/>
      <c r="AA118" s="103"/>
      <c r="AB118" s="103"/>
      <c r="AC118" s="103"/>
      <c r="AD118" s="103"/>
      <c r="AE118" s="103"/>
      <c r="AF118" s="123"/>
      <c r="AG118" s="743"/>
      <c r="AH118" s="370"/>
      <c r="AI118" s="221"/>
      <c r="AJ118" s="270"/>
      <c r="AK118" s="848"/>
      <c r="AL118" s="105"/>
      <c r="AM118" s="105"/>
      <c r="AN118" s="105"/>
      <c r="AO118" s="105"/>
      <c r="AP118" s="105"/>
      <c r="AQ118" s="158">
        <f t="shared" si="105"/>
        <v>0</v>
      </c>
      <c r="AR118" s="875"/>
      <c r="AS118" s="473"/>
      <c r="AT118" s="106"/>
      <c r="AU118" s="107"/>
      <c r="AV118" s="108"/>
      <c r="AW118" s="108"/>
      <c r="AX118" s="108"/>
      <c r="AY118" s="108"/>
      <c r="AZ118" s="108"/>
      <c r="BA118" s="165"/>
      <c r="BB118" s="531"/>
    </row>
    <row r="119" spans="1:54" s="495" customFormat="1" hidden="1" outlineLevel="2" x14ac:dyDescent="0.25">
      <c r="A119" s="445"/>
      <c r="B119" s="620" t="s">
        <v>159</v>
      </c>
      <c r="C119" s="492" t="s">
        <v>173</v>
      </c>
      <c r="D119" s="604"/>
      <c r="E119" s="604">
        <v>1</v>
      </c>
      <c r="F119" s="604">
        <v>3</v>
      </c>
      <c r="G119" s="604">
        <v>2</v>
      </c>
      <c r="H119" s="618">
        <f>IFERROR(AVERAGE(D119:G119),0)</f>
        <v>2</v>
      </c>
      <c r="I119" s="127">
        <f>H119*12</f>
        <v>24</v>
      </c>
      <c r="J119" s="127">
        <f>IF(I119&gt;12,(((I119)*$H$5)+I119),(I119*1))</f>
        <v>25.2</v>
      </c>
      <c r="K119" s="127">
        <f>IF(J119&gt;12,(((J119)*$H$5)+J119),(J119*1))</f>
        <v>26.46</v>
      </c>
      <c r="L119" s="127">
        <f>IF(K119&gt;12,(((K119)*$H$5)+K119),(K119*1))</f>
        <v>27.783000000000001</v>
      </c>
      <c r="M119" s="127">
        <f>IF(L119&gt;12,(((L119)*$H$5)+L119),(L119*1))</f>
        <v>29.172150000000002</v>
      </c>
      <c r="N119" s="245" t="str">
        <f t="shared" si="101"/>
        <v>MC-DC-NONCOMPLIANCE FEES MC-NC Fallback RT ATM 0200</v>
      </c>
      <c r="O119" s="247"/>
      <c r="P119" s="760"/>
      <c r="Q119" s="129"/>
      <c r="R119" s="129">
        <f>IF(Q119&gt;0,PRODUCT(J119,$O119),0)</f>
        <v>0</v>
      </c>
      <c r="S119" s="129">
        <f>IF(R119&gt;0,PRODUCT(K119,$O119),0)</f>
        <v>0</v>
      </c>
      <c r="T119" s="129">
        <f>IF(S119&gt;0,PRODUCT(L119,$O119),0)</f>
        <v>0</v>
      </c>
      <c r="U119" s="129">
        <f>IF(T119&gt;0,PRODUCT(M119,$O119),0)</f>
        <v>0</v>
      </c>
      <c r="V119" s="209">
        <f>SUM(Q119:U119)</f>
        <v>0</v>
      </c>
      <c r="W119" s="528"/>
      <c r="X119" s="222"/>
      <c r="Y119" s="325"/>
      <c r="Z119" s="774"/>
      <c r="AA119" s="103"/>
      <c r="AB119" s="103"/>
      <c r="AC119" s="103"/>
      <c r="AD119" s="103"/>
      <c r="AE119" s="103"/>
      <c r="AF119" s="123"/>
      <c r="AG119" s="743"/>
      <c r="AH119" s="370"/>
      <c r="AI119" s="221"/>
      <c r="AJ119" s="270"/>
      <c r="AK119" s="848"/>
      <c r="AL119" s="105"/>
      <c r="AM119" s="105"/>
      <c r="AN119" s="105"/>
      <c r="AO119" s="105"/>
      <c r="AP119" s="105"/>
      <c r="AQ119" s="158">
        <f t="shared" si="105"/>
        <v>0</v>
      </c>
      <c r="AR119" s="875"/>
      <c r="AS119" s="473"/>
      <c r="AT119" s="106"/>
      <c r="AU119" s="107"/>
      <c r="AV119" s="108"/>
      <c r="AW119" s="108"/>
      <c r="AX119" s="108"/>
      <c r="AY119" s="108"/>
      <c r="AZ119" s="108"/>
      <c r="BA119" s="165"/>
      <c r="BB119" s="531"/>
    </row>
    <row r="120" spans="1:54" s="495" customFormat="1" hidden="1" outlineLevel="2" x14ac:dyDescent="0.25">
      <c r="A120" s="445"/>
      <c r="B120" s="620" t="s">
        <v>159</v>
      </c>
      <c r="C120" s="492" t="s">
        <v>174</v>
      </c>
      <c r="D120" s="604"/>
      <c r="E120" s="604"/>
      <c r="F120" s="604"/>
      <c r="G120" s="604"/>
      <c r="H120" s="618"/>
      <c r="I120" s="127"/>
      <c r="J120" s="127"/>
      <c r="K120" s="127"/>
      <c r="L120" s="127"/>
      <c r="M120" s="127"/>
      <c r="N120" s="245" t="str">
        <f t="shared" si="101"/>
        <v>MC-C2-SINGLE MSG LIFECYCLE-ISS</v>
      </c>
      <c r="O120" s="247"/>
      <c r="P120" s="760"/>
      <c r="Q120" s="129"/>
      <c r="R120" s="129"/>
      <c r="S120" s="129"/>
      <c r="T120" s="129"/>
      <c r="U120" s="129"/>
      <c r="V120" s="209"/>
      <c r="W120" s="528"/>
      <c r="X120" s="222"/>
      <c r="Y120" s="325"/>
      <c r="Z120" s="774"/>
      <c r="AA120" s="103"/>
      <c r="AB120" s="103"/>
      <c r="AC120" s="103"/>
      <c r="AD120" s="103"/>
      <c r="AE120" s="103"/>
      <c r="AF120" s="123"/>
      <c r="AG120" s="743"/>
      <c r="AH120" s="370"/>
      <c r="AI120" s="221"/>
      <c r="AJ120" s="270"/>
      <c r="AK120" s="848"/>
      <c r="AL120" s="105"/>
      <c r="AM120" s="105"/>
      <c r="AN120" s="105"/>
      <c r="AO120" s="105"/>
      <c r="AP120" s="105"/>
      <c r="AQ120" s="158">
        <f t="shared" si="105"/>
        <v>0</v>
      </c>
      <c r="AR120" s="875"/>
      <c r="AS120" s="473"/>
      <c r="AT120" s="106"/>
      <c r="AU120" s="107"/>
      <c r="AV120" s="108"/>
      <c r="AW120" s="108"/>
      <c r="AX120" s="108"/>
      <c r="AY120" s="108"/>
      <c r="AZ120" s="108"/>
      <c r="BA120" s="165"/>
      <c r="BB120" s="531"/>
    </row>
    <row r="121" spans="1:54" s="495" customFormat="1" hidden="1" outlineLevel="2" x14ac:dyDescent="0.25">
      <c r="A121" s="445"/>
      <c r="B121" s="620" t="s">
        <v>159</v>
      </c>
      <c r="C121" s="492" t="s">
        <v>175</v>
      </c>
      <c r="D121" s="604"/>
      <c r="E121" s="604"/>
      <c r="F121" s="604"/>
      <c r="G121" s="604"/>
      <c r="H121" s="618"/>
      <c r="I121" s="127"/>
      <c r="J121" s="127"/>
      <c r="K121" s="127"/>
      <c r="L121" s="127"/>
      <c r="M121" s="127"/>
      <c r="N121" s="245" t="str">
        <f t="shared" si="101"/>
        <v>MC-DL-ISSUER CROSS BORDER</v>
      </c>
      <c r="O121" s="247"/>
      <c r="P121" s="760"/>
      <c r="Q121" s="129"/>
      <c r="R121" s="129"/>
      <c r="S121" s="129"/>
      <c r="T121" s="129"/>
      <c r="U121" s="129"/>
      <c r="V121" s="209"/>
      <c r="W121" s="528"/>
      <c r="X121" s="222"/>
      <c r="Y121" s="325"/>
      <c r="Z121" s="774"/>
      <c r="AA121" s="103"/>
      <c r="AB121" s="103"/>
      <c r="AC121" s="103"/>
      <c r="AD121" s="103"/>
      <c r="AE121" s="103"/>
      <c r="AF121" s="123"/>
      <c r="AG121" s="743"/>
      <c r="AH121" s="370"/>
      <c r="AI121" s="221"/>
      <c r="AJ121" s="270"/>
      <c r="AK121" s="848"/>
      <c r="AL121" s="105"/>
      <c r="AM121" s="105"/>
      <c r="AN121" s="105"/>
      <c r="AO121" s="105"/>
      <c r="AP121" s="105"/>
      <c r="AQ121" s="158">
        <f t="shared" si="105"/>
        <v>0</v>
      </c>
      <c r="AR121" s="875"/>
      <c r="AS121" s="473"/>
      <c r="AT121" s="106"/>
      <c r="AU121" s="107"/>
      <c r="AV121" s="108"/>
      <c r="AW121" s="108"/>
      <c r="AX121" s="108"/>
      <c r="AY121" s="108"/>
      <c r="AZ121" s="108"/>
      <c r="BA121" s="165"/>
      <c r="BB121" s="531"/>
    </row>
    <row r="122" spans="1:54" s="495" customFormat="1" hidden="1" outlineLevel="2" x14ac:dyDescent="0.25">
      <c r="A122" s="445"/>
      <c r="B122" s="620" t="s">
        <v>159</v>
      </c>
      <c r="C122" s="492" t="s">
        <v>176</v>
      </c>
      <c r="D122" s="604"/>
      <c r="E122" s="604"/>
      <c r="F122" s="604"/>
      <c r="G122" s="604"/>
      <c r="H122" s="618"/>
      <c r="I122" s="127"/>
      <c r="J122" s="127"/>
      <c r="K122" s="127"/>
      <c r="L122" s="127"/>
      <c r="M122" s="127"/>
      <c r="N122" s="245" t="str">
        <f t="shared" si="101"/>
        <v>MC-FM-FILE MAINTENANCE</v>
      </c>
      <c r="O122" s="247"/>
      <c r="P122" s="760"/>
      <c r="Q122" s="129"/>
      <c r="R122" s="129"/>
      <c r="S122" s="129"/>
      <c r="T122" s="129"/>
      <c r="U122" s="129"/>
      <c r="V122" s="209"/>
      <c r="W122" s="528"/>
      <c r="X122" s="222"/>
      <c r="Y122" s="325"/>
      <c r="Z122" s="774"/>
      <c r="AA122" s="103"/>
      <c r="AB122" s="103"/>
      <c r="AC122" s="103"/>
      <c r="AD122" s="103"/>
      <c r="AE122" s="103"/>
      <c r="AF122" s="123"/>
      <c r="AG122" s="743"/>
      <c r="AH122" s="370"/>
      <c r="AI122" s="221"/>
      <c r="AJ122" s="270"/>
      <c r="AK122" s="848"/>
      <c r="AL122" s="105"/>
      <c r="AM122" s="105"/>
      <c r="AN122" s="105"/>
      <c r="AO122" s="105"/>
      <c r="AP122" s="105"/>
      <c r="AQ122" s="158">
        <f t="shared" si="105"/>
        <v>0</v>
      </c>
      <c r="AR122" s="875"/>
      <c r="AS122" s="473"/>
      <c r="AT122" s="106"/>
      <c r="AU122" s="107"/>
      <c r="AV122" s="108"/>
      <c r="AW122" s="108"/>
      <c r="AX122" s="108"/>
      <c r="AY122" s="108"/>
      <c r="AZ122" s="108"/>
      <c r="BA122" s="165"/>
      <c r="BB122" s="531"/>
    </row>
    <row r="123" spans="1:54" s="495" customFormat="1" hidden="1" outlineLevel="2" x14ac:dyDescent="0.25">
      <c r="A123" s="445"/>
      <c r="B123" s="620" t="s">
        <v>159</v>
      </c>
      <c r="C123" s="492" t="s">
        <v>177</v>
      </c>
      <c r="D123" s="604"/>
      <c r="E123" s="604"/>
      <c r="F123" s="604"/>
      <c r="G123" s="604"/>
      <c r="H123" s="618"/>
      <c r="I123" s="127"/>
      <c r="J123" s="127"/>
      <c r="K123" s="127"/>
      <c r="L123" s="127"/>
      <c r="M123" s="127"/>
      <c r="N123" s="245" t="str">
        <f t="shared" si="101"/>
        <v>MC-GE-IPM ISSUER MC-OS-INVESTMENT FEES</v>
      </c>
      <c r="O123" s="247"/>
      <c r="P123" s="760"/>
      <c r="Q123" s="129"/>
      <c r="R123" s="129"/>
      <c r="S123" s="129"/>
      <c r="T123" s="129"/>
      <c r="U123" s="129"/>
      <c r="V123" s="209"/>
      <c r="W123" s="528"/>
      <c r="X123" s="222"/>
      <c r="Y123" s="325"/>
      <c r="Z123" s="774"/>
      <c r="AA123" s="103"/>
      <c r="AB123" s="103"/>
      <c r="AC123" s="103"/>
      <c r="AD123" s="103"/>
      <c r="AE123" s="103"/>
      <c r="AF123" s="123"/>
      <c r="AG123" s="743"/>
      <c r="AH123" s="370"/>
      <c r="AI123" s="221"/>
      <c r="AJ123" s="270"/>
      <c r="AK123" s="848"/>
      <c r="AL123" s="105"/>
      <c r="AM123" s="105"/>
      <c r="AN123" s="105"/>
      <c r="AO123" s="105"/>
      <c r="AP123" s="105"/>
      <c r="AQ123" s="158">
        <f t="shared" si="105"/>
        <v>0</v>
      </c>
      <c r="AR123" s="875"/>
      <c r="AS123" s="473"/>
      <c r="AT123" s="106"/>
      <c r="AU123" s="107"/>
      <c r="AV123" s="108"/>
      <c r="AW123" s="108"/>
      <c r="AX123" s="108"/>
      <c r="AY123" s="108"/>
      <c r="AZ123" s="108"/>
      <c r="BA123" s="165"/>
      <c r="BB123" s="531"/>
    </row>
    <row r="124" spans="1:54" s="495" customFormat="1" hidden="1" outlineLevel="2" x14ac:dyDescent="0.25">
      <c r="A124" s="445"/>
      <c r="B124" s="620" t="s">
        <v>159</v>
      </c>
      <c r="C124" s="492" t="s">
        <v>178</v>
      </c>
      <c r="D124" s="604"/>
      <c r="E124" s="604"/>
      <c r="F124" s="604"/>
      <c r="G124" s="604"/>
      <c r="H124" s="618"/>
      <c r="I124" s="127"/>
      <c r="J124" s="127"/>
      <c r="K124" s="127"/>
      <c r="L124" s="127"/>
      <c r="M124" s="127"/>
      <c r="N124" s="245" t="str">
        <f t="shared" si="101"/>
        <v>MC-GS-GLOBAL SERVICE</v>
      </c>
      <c r="O124" s="247"/>
      <c r="P124" s="760"/>
      <c r="Q124" s="129"/>
      <c r="R124" s="129"/>
      <c r="S124" s="129"/>
      <c r="T124" s="129"/>
      <c r="U124" s="129"/>
      <c r="V124" s="209"/>
      <c r="W124" s="528"/>
      <c r="X124" s="222"/>
      <c r="Y124" s="325"/>
      <c r="Z124" s="774"/>
      <c r="AA124" s="103"/>
      <c r="AB124" s="103"/>
      <c r="AC124" s="103"/>
      <c r="AD124" s="103"/>
      <c r="AE124" s="103"/>
      <c r="AF124" s="123"/>
      <c r="AG124" s="743"/>
      <c r="AH124" s="370"/>
      <c r="AI124" s="221"/>
      <c r="AJ124" s="270"/>
      <c r="AK124" s="848"/>
      <c r="AL124" s="105"/>
      <c r="AM124" s="105"/>
      <c r="AN124" s="105"/>
      <c r="AO124" s="105"/>
      <c r="AP124" s="105"/>
      <c r="AQ124" s="158">
        <f t="shared" si="105"/>
        <v>0</v>
      </c>
      <c r="AR124" s="875"/>
      <c r="AS124" s="473"/>
      <c r="AT124" s="106"/>
      <c r="AU124" s="107"/>
      <c r="AV124" s="108"/>
      <c r="AW124" s="108"/>
      <c r="AX124" s="108"/>
      <c r="AY124" s="108"/>
      <c r="AZ124" s="108"/>
      <c r="BA124" s="165"/>
      <c r="BB124" s="531"/>
    </row>
    <row r="125" spans="1:54" s="495" customFormat="1" hidden="1" outlineLevel="2" x14ac:dyDescent="0.25">
      <c r="A125" s="445"/>
      <c r="B125" s="620" t="s">
        <v>159</v>
      </c>
      <c r="C125" s="492" t="s">
        <v>179</v>
      </c>
      <c r="D125" s="604"/>
      <c r="E125" s="604"/>
      <c r="F125" s="604"/>
      <c r="G125" s="604"/>
      <c r="H125" s="618"/>
      <c r="I125" s="127"/>
      <c r="J125" s="127"/>
      <c r="K125" s="127"/>
      <c r="L125" s="127"/>
      <c r="M125" s="127"/>
      <c r="N125" s="245" t="str">
        <f t="shared" si="101"/>
        <v>MC-MW-MASTERCOM</v>
      </c>
      <c r="O125" s="247"/>
      <c r="P125" s="760"/>
      <c r="Q125" s="129"/>
      <c r="R125" s="129"/>
      <c r="S125" s="129"/>
      <c r="T125" s="129"/>
      <c r="U125" s="129"/>
      <c r="V125" s="209"/>
      <c r="W125" s="528"/>
      <c r="X125" s="222"/>
      <c r="Y125" s="325"/>
      <c r="Z125" s="774"/>
      <c r="AA125" s="103"/>
      <c r="AB125" s="103"/>
      <c r="AC125" s="103"/>
      <c r="AD125" s="103"/>
      <c r="AE125" s="103"/>
      <c r="AF125" s="123"/>
      <c r="AG125" s="743"/>
      <c r="AH125" s="370"/>
      <c r="AI125" s="221"/>
      <c r="AJ125" s="270"/>
      <c r="AK125" s="848"/>
      <c r="AL125" s="105"/>
      <c r="AM125" s="105"/>
      <c r="AN125" s="105"/>
      <c r="AO125" s="105"/>
      <c r="AP125" s="105"/>
      <c r="AQ125" s="158">
        <f t="shared" si="105"/>
        <v>0</v>
      </c>
      <c r="AR125" s="875"/>
      <c r="AS125" s="473"/>
      <c r="AT125" s="106"/>
      <c r="AU125" s="107"/>
      <c r="AV125" s="108"/>
      <c r="AW125" s="108"/>
      <c r="AX125" s="108"/>
      <c r="AY125" s="108"/>
      <c r="AZ125" s="108"/>
      <c r="BA125" s="165"/>
      <c r="BB125" s="531"/>
    </row>
    <row r="126" spans="1:54" s="495" customFormat="1" hidden="1" outlineLevel="2" x14ac:dyDescent="0.25">
      <c r="A126" s="445"/>
      <c r="B126" s="620" t="s">
        <v>159</v>
      </c>
      <c r="C126" s="310" t="s">
        <v>180</v>
      </c>
      <c r="D126" s="604"/>
      <c r="E126" s="604">
        <v>3</v>
      </c>
      <c r="F126" s="604">
        <v>3</v>
      </c>
      <c r="G126" s="604">
        <v>3</v>
      </c>
      <c r="H126" s="618">
        <f>IFERROR(AVERAGE(D126:G126),0)</f>
        <v>3</v>
      </c>
      <c r="I126" s="127">
        <f>H126*12</f>
        <v>36</v>
      </c>
      <c r="J126" s="127">
        <f>IF(I126&gt;12,(((I126)*$H$5)+I126),(I126*1))</f>
        <v>37.799999999999997</v>
      </c>
      <c r="K126" s="127">
        <f>IF(J126&gt;12,(((J126)*$H$5)+J126),(J126*1))</f>
        <v>39.69</v>
      </c>
      <c r="L126" s="127">
        <f>IF(K126&gt;12,(((K126)*$H$5)+K126),(K126*1))</f>
        <v>41.674499999999995</v>
      </c>
      <c r="M126" s="127">
        <f>IF(L126&gt;12,(((L126)*$H$5)+L126),(L126*1))</f>
        <v>43.758224999999996</v>
      </c>
      <c r="N126" s="245" t="str">
        <f t="shared" si="101"/>
        <v>MC-RP-REPORTS</v>
      </c>
      <c r="O126" s="247"/>
      <c r="P126" s="760"/>
      <c r="Q126" s="129">
        <f>IF(O126&gt;0,PRODUCT(I126,$O126),0)</f>
        <v>0</v>
      </c>
      <c r="R126" s="129">
        <f>IF(Q126&gt;0,PRODUCT(J126,$O126),0)</f>
        <v>0</v>
      </c>
      <c r="S126" s="129">
        <f>IF(R126&gt;0,PRODUCT(K126,$O126),0)</f>
        <v>0</v>
      </c>
      <c r="T126" s="129">
        <f>IF(S126&gt;0,PRODUCT(L126,$O126),0)</f>
        <v>0</v>
      </c>
      <c r="U126" s="129">
        <f>IF(T126&gt;0,PRODUCT(M126,$O126),0)</f>
        <v>0</v>
      </c>
      <c r="V126" s="209">
        <f>SUM(Q126:U126)</f>
        <v>0</v>
      </c>
      <c r="W126" s="528"/>
      <c r="X126" s="222"/>
      <c r="Y126" s="325"/>
      <c r="Z126" s="774"/>
      <c r="AA126" s="103"/>
      <c r="AB126" s="103"/>
      <c r="AC126" s="103"/>
      <c r="AD126" s="103"/>
      <c r="AE126" s="103"/>
      <c r="AF126" s="123"/>
      <c r="AG126" s="743"/>
      <c r="AH126" s="370"/>
      <c r="AI126" s="221"/>
      <c r="AJ126" s="270"/>
      <c r="AK126" s="848"/>
      <c r="AL126" s="105"/>
      <c r="AM126" s="105"/>
      <c r="AN126" s="105"/>
      <c r="AO126" s="105"/>
      <c r="AP126" s="105"/>
      <c r="AQ126" s="158">
        <f t="shared" si="105"/>
        <v>0</v>
      </c>
      <c r="AR126" s="875"/>
      <c r="AS126" s="473"/>
      <c r="AT126" s="106"/>
      <c r="AU126" s="107"/>
      <c r="AV126" s="108"/>
      <c r="AW126" s="108"/>
      <c r="AX126" s="108"/>
      <c r="AY126" s="108"/>
      <c r="AZ126" s="108"/>
      <c r="BA126" s="165"/>
      <c r="BB126" s="531"/>
    </row>
    <row r="127" spans="1:54" s="495" customFormat="1" hidden="1" outlineLevel="2" x14ac:dyDescent="0.25">
      <c r="A127" s="445"/>
      <c r="B127" s="620" t="s">
        <v>159</v>
      </c>
      <c r="C127" s="676" t="s">
        <v>181</v>
      </c>
      <c r="D127" s="604"/>
      <c r="E127" s="604"/>
      <c r="F127" s="604"/>
      <c r="G127" s="604"/>
      <c r="H127" s="618"/>
      <c r="I127" s="127"/>
      <c r="J127" s="127"/>
      <c r="K127" s="127"/>
      <c r="L127" s="127"/>
      <c r="M127" s="127"/>
      <c r="N127" s="245" t="str">
        <f t="shared" si="101"/>
        <v>MASTERCARD AFFILIATE RPT FEE</v>
      </c>
      <c r="O127" s="247"/>
      <c r="P127" s="760"/>
      <c r="Q127" s="129"/>
      <c r="R127" s="129"/>
      <c r="S127" s="129"/>
      <c r="T127" s="129"/>
      <c r="U127" s="129"/>
      <c r="V127" s="209"/>
      <c r="W127" s="528"/>
      <c r="X127" s="222"/>
      <c r="Y127" s="325"/>
      <c r="Z127" s="774"/>
      <c r="AA127" s="103"/>
      <c r="AB127" s="103"/>
      <c r="AC127" s="103"/>
      <c r="AD127" s="103"/>
      <c r="AE127" s="103"/>
      <c r="AF127" s="123"/>
      <c r="AG127" s="743"/>
      <c r="AH127" s="370"/>
      <c r="AI127" s="221"/>
      <c r="AJ127" s="270"/>
      <c r="AK127" s="848"/>
      <c r="AL127" s="105"/>
      <c r="AM127" s="105"/>
      <c r="AN127" s="105"/>
      <c r="AO127" s="105"/>
      <c r="AP127" s="105"/>
      <c r="AQ127" s="158">
        <f t="shared" si="105"/>
        <v>0</v>
      </c>
      <c r="AR127" s="875"/>
      <c r="AS127" s="473"/>
      <c r="AT127" s="106"/>
      <c r="AU127" s="107"/>
      <c r="AV127" s="108"/>
      <c r="AW127" s="108"/>
      <c r="AX127" s="108"/>
      <c r="AY127" s="108"/>
      <c r="AZ127" s="108"/>
      <c r="BA127" s="165"/>
      <c r="BB127" s="531"/>
    </row>
    <row r="128" spans="1:54" s="495" customFormat="1" hidden="1" outlineLevel="2" x14ac:dyDescent="0.25">
      <c r="A128" s="445"/>
      <c r="B128" s="620" t="s">
        <v>159</v>
      </c>
      <c r="C128" s="676" t="s">
        <v>182</v>
      </c>
      <c r="D128" s="604"/>
      <c r="E128" s="604"/>
      <c r="F128" s="604"/>
      <c r="G128" s="604"/>
      <c r="H128" s="618"/>
      <c r="I128" s="127"/>
      <c r="J128" s="127"/>
      <c r="K128" s="127"/>
      <c r="L128" s="127"/>
      <c r="M128" s="127"/>
      <c r="N128" s="245" t="str">
        <f t="shared" si="101"/>
        <v>534900 MASTERCARD AFFILIATE RPT FEE</v>
      </c>
      <c r="O128" s="247"/>
      <c r="P128" s="760"/>
      <c r="Q128" s="129"/>
      <c r="R128" s="129"/>
      <c r="S128" s="129"/>
      <c r="T128" s="129"/>
      <c r="U128" s="129"/>
      <c r="V128" s="209"/>
      <c r="W128" s="528"/>
      <c r="X128" s="222"/>
      <c r="Y128" s="325"/>
      <c r="Z128" s="774"/>
      <c r="AA128" s="103"/>
      <c r="AB128" s="103"/>
      <c r="AC128" s="103"/>
      <c r="AD128" s="103"/>
      <c r="AE128" s="103"/>
      <c r="AF128" s="123"/>
      <c r="AG128" s="743"/>
      <c r="AH128" s="370"/>
      <c r="AI128" s="221"/>
      <c r="AJ128" s="270"/>
      <c r="AK128" s="848"/>
      <c r="AL128" s="105"/>
      <c r="AM128" s="105"/>
      <c r="AN128" s="105"/>
      <c r="AO128" s="105"/>
      <c r="AP128" s="105"/>
      <c r="AQ128" s="158">
        <f t="shared" si="105"/>
        <v>0</v>
      </c>
      <c r="AR128" s="875"/>
      <c r="AS128" s="473"/>
      <c r="AT128" s="106"/>
      <c r="AU128" s="107"/>
      <c r="AV128" s="108"/>
      <c r="AW128" s="108"/>
      <c r="AX128" s="108"/>
      <c r="AY128" s="108"/>
      <c r="AZ128" s="108"/>
      <c r="BA128" s="165"/>
      <c r="BB128" s="531"/>
    </row>
    <row r="129" spans="1:55" s="495" customFormat="1" hidden="1" outlineLevel="2" x14ac:dyDescent="0.25">
      <c r="A129" s="445"/>
      <c r="B129" s="620" t="s">
        <v>159</v>
      </c>
      <c r="C129" s="676" t="s">
        <v>183</v>
      </c>
      <c r="D129" s="604"/>
      <c r="E129" s="604"/>
      <c r="F129" s="604"/>
      <c r="G129" s="604"/>
      <c r="H129" s="618"/>
      <c r="I129" s="127"/>
      <c r="J129" s="127"/>
      <c r="K129" s="127"/>
      <c r="L129" s="127"/>
      <c r="M129" s="127"/>
      <c r="N129" s="245" t="str">
        <f t="shared" si="101"/>
        <v xml:space="preserve">535095 MASTERCARD AFFILIATE RPT FEE </v>
      </c>
      <c r="O129" s="247"/>
      <c r="P129" s="760"/>
      <c r="Q129" s="129"/>
      <c r="R129" s="129"/>
      <c r="S129" s="129"/>
      <c r="T129" s="129"/>
      <c r="U129" s="129"/>
      <c r="V129" s="209"/>
      <c r="W129" s="528"/>
      <c r="X129" s="222"/>
      <c r="Y129" s="325"/>
      <c r="Z129" s="774"/>
      <c r="AA129" s="103"/>
      <c r="AB129" s="103"/>
      <c r="AC129" s="103"/>
      <c r="AD129" s="103"/>
      <c r="AE129" s="103"/>
      <c r="AF129" s="123"/>
      <c r="AG129" s="743"/>
      <c r="AH129" s="370"/>
      <c r="AI129" s="221"/>
      <c r="AJ129" s="270"/>
      <c r="AK129" s="848"/>
      <c r="AL129" s="105"/>
      <c r="AM129" s="105"/>
      <c r="AN129" s="105"/>
      <c r="AO129" s="105"/>
      <c r="AP129" s="105"/>
      <c r="AQ129" s="158">
        <f t="shared" si="105"/>
        <v>0</v>
      </c>
      <c r="AR129" s="875"/>
      <c r="AS129" s="473"/>
      <c r="AT129" s="106"/>
      <c r="AU129" s="107"/>
      <c r="AV129" s="108"/>
      <c r="AW129" s="108"/>
      <c r="AX129" s="108"/>
      <c r="AY129" s="108"/>
      <c r="AZ129" s="108"/>
      <c r="BA129" s="165"/>
      <c r="BB129" s="531"/>
    </row>
    <row r="130" spans="1:55" s="495" customFormat="1" hidden="1" outlineLevel="2" x14ac:dyDescent="0.25">
      <c r="A130" s="445"/>
      <c r="B130" s="620" t="s">
        <v>159</v>
      </c>
      <c r="C130" s="676" t="s">
        <v>184</v>
      </c>
      <c r="D130" s="604"/>
      <c r="E130" s="604"/>
      <c r="F130" s="604"/>
      <c r="G130" s="604"/>
      <c r="H130" s="618"/>
      <c r="I130" s="127"/>
      <c r="J130" s="127"/>
      <c r="K130" s="127"/>
      <c r="L130" s="127"/>
      <c r="M130" s="127"/>
      <c r="N130" s="245" t="str">
        <f t="shared" si="101"/>
        <v>MC-SN-ISSUER MONEY TRANSFER</v>
      </c>
      <c r="O130" s="247"/>
      <c r="P130" s="760"/>
      <c r="Q130" s="129"/>
      <c r="R130" s="129"/>
      <c r="S130" s="129"/>
      <c r="T130" s="129"/>
      <c r="U130" s="129"/>
      <c r="V130" s="209"/>
      <c r="W130" s="528"/>
      <c r="X130" s="222"/>
      <c r="Y130" s="325"/>
      <c r="Z130" s="774"/>
      <c r="AA130" s="103"/>
      <c r="AB130" s="103"/>
      <c r="AC130" s="103"/>
      <c r="AD130" s="103"/>
      <c r="AE130" s="103"/>
      <c r="AF130" s="123"/>
      <c r="AG130" s="743"/>
      <c r="AH130" s="370"/>
      <c r="AI130" s="221"/>
      <c r="AJ130" s="270"/>
      <c r="AK130" s="848"/>
      <c r="AL130" s="105"/>
      <c r="AM130" s="105"/>
      <c r="AN130" s="105"/>
      <c r="AO130" s="105"/>
      <c r="AP130" s="105"/>
      <c r="AQ130" s="158">
        <f t="shared" si="105"/>
        <v>0</v>
      </c>
      <c r="AR130" s="875"/>
      <c r="AS130" s="473"/>
      <c r="AT130" s="106"/>
      <c r="AU130" s="107"/>
      <c r="AV130" s="108"/>
      <c r="AW130" s="108"/>
      <c r="AX130" s="108"/>
      <c r="AY130" s="108"/>
      <c r="AZ130" s="108"/>
      <c r="BA130" s="165"/>
      <c r="BB130" s="531"/>
    </row>
    <row r="131" spans="1:55" s="495" customFormat="1" hidden="1" outlineLevel="2" x14ac:dyDescent="0.25">
      <c r="A131" s="445"/>
      <c r="B131" s="620" t="s">
        <v>159</v>
      </c>
      <c r="C131" s="310" t="s">
        <v>185</v>
      </c>
      <c r="D131" s="604"/>
      <c r="E131" s="604">
        <v>1</v>
      </c>
      <c r="F131" s="604">
        <v>1</v>
      </c>
      <c r="G131" s="604">
        <v>1</v>
      </c>
      <c r="H131" s="618">
        <f t="shared" ref="H131:H138" si="112">IFERROR(AVERAGE(D131:G131),0)</f>
        <v>1</v>
      </c>
      <c r="I131" s="127">
        <f t="shared" ref="I131:I138" si="113">H131*12</f>
        <v>12</v>
      </c>
      <c r="J131" s="127">
        <f t="shared" ref="J131:M138" si="114">IF(I131&gt;12,(((I131)*$H$5)+I131),(I131*1))</f>
        <v>12</v>
      </c>
      <c r="K131" s="127">
        <f t="shared" si="114"/>
        <v>12</v>
      </c>
      <c r="L131" s="127">
        <f t="shared" si="114"/>
        <v>12</v>
      </c>
      <c r="M131" s="127">
        <f t="shared" si="114"/>
        <v>12</v>
      </c>
      <c r="N131" s="245" t="str">
        <f t="shared" si="101"/>
        <v>MC-TS-SINGLE MSG TRX MGR FEES</v>
      </c>
      <c r="O131" s="247"/>
      <c r="P131" s="760"/>
      <c r="Q131" s="129">
        <f t="shared" ref="Q131:Q138" si="115">IF(O131&gt;0,PRODUCT(I131,$O131),0)</f>
        <v>0</v>
      </c>
      <c r="R131" s="129">
        <f t="shared" ref="R131:U138" si="116">IF(Q131&gt;0,PRODUCT(J131,$O131),0)</f>
        <v>0</v>
      </c>
      <c r="S131" s="129">
        <f t="shared" si="116"/>
        <v>0</v>
      </c>
      <c r="T131" s="129">
        <f t="shared" si="116"/>
        <v>0</v>
      </c>
      <c r="U131" s="129">
        <f t="shared" si="116"/>
        <v>0</v>
      </c>
      <c r="V131" s="209">
        <f t="shared" ref="V131:V138" si="117">SUM(Q131:U131)</f>
        <v>0</v>
      </c>
      <c r="W131" s="528"/>
      <c r="X131" s="222"/>
      <c r="Y131" s="325"/>
      <c r="Z131" s="774"/>
      <c r="AA131" s="103"/>
      <c r="AB131" s="103"/>
      <c r="AC131" s="103"/>
      <c r="AD131" s="103"/>
      <c r="AE131" s="103"/>
      <c r="AF131" s="123"/>
      <c r="AG131" s="743"/>
      <c r="AH131" s="370"/>
      <c r="AI131" s="221"/>
      <c r="AJ131" s="270"/>
      <c r="AK131" s="848"/>
      <c r="AL131" s="105"/>
      <c r="AM131" s="105"/>
      <c r="AN131" s="105"/>
      <c r="AO131" s="105"/>
      <c r="AP131" s="105"/>
      <c r="AQ131" s="158">
        <f t="shared" si="105"/>
        <v>0</v>
      </c>
      <c r="AR131" s="875"/>
      <c r="AS131" s="473"/>
      <c r="AT131" s="106"/>
      <c r="AU131" s="107"/>
      <c r="AV131" s="108"/>
      <c r="AW131" s="108"/>
      <c r="AX131" s="108"/>
      <c r="AY131" s="108"/>
      <c r="AZ131" s="108"/>
      <c r="BA131" s="165"/>
      <c r="BB131" s="531"/>
    </row>
    <row r="132" spans="1:55" s="495" customFormat="1" hidden="1" outlineLevel="2" x14ac:dyDescent="0.25">
      <c r="A132" s="445"/>
      <c r="B132" s="620" t="s">
        <v>159</v>
      </c>
      <c r="C132" s="310" t="s">
        <v>186</v>
      </c>
      <c r="D132" s="604"/>
      <c r="E132" s="604">
        <v>1</v>
      </c>
      <c r="F132" s="604">
        <v>1</v>
      </c>
      <c r="G132" s="604">
        <v>1</v>
      </c>
      <c r="H132" s="618">
        <f t="shared" si="112"/>
        <v>1</v>
      </c>
      <c r="I132" s="127">
        <f t="shared" si="113"/>
        <v>12</v>
      </c>
      <c r="J132" s="127">
        <f t="shared" si="114"/>
        <v>12</v>
      </c>
      <c r="K132" s="127">
        <f t="shared" si="114"/>
        <v>12</v>
      </c>
      <c r="L132" s="127">
        <f t="shared" si="114"/>
        <v>12</v>
      </c>
      <c r="M132" s="127">
        <f t="shared" si="114"/>
        <v>12</v>
      </c>
      <c r="N132" s="245" t="str">
        <f t="shared" si="101"/>
        <v>MC-FA LICENSE</v>
      </c>
      <c r="O132" s="247"/>
      <c r="P132" s="760"/>
      <c r="Q132" s="129">
        <f t="shared" si="115"/>
        <v>0</v>
      </c>
      <c r="R132" s="129">
        <f t="shared" si="116"/>
        <v>0</v>
      </c>
      <c r="S132" s="129">
        <f t="shared" si="116"/>
        <v>0</v>
      </c>
      <c r="T132" s="129">
        <f t="shared" si="116"/>
        <v>0</v>
      </c>
      <c r="U132" s="129">
        <f t="shared" si="116"/>
        <v>0</v>
      </c>
      <c r="V132" s="209">
        <f t="shared" si="117"/>
        <v>0</v>
      </c>
      <c r="W132" s="528"/>
      <c r="X132" s="222"/>
      <c r="Y132" s="325"/>
      <c r="Z132" s="774"/>
      <c r="AA132" s="103"/>
      <c r="AB132" s="103"/>
      <c r="AC132" s="103"/>
      <c r="AD132" s="103"/>
      <c r="AE132" s="103"/>
      <c r="AF132" s="123"/>
      <c r="AG132" s="743"/>
      <c r="AH132" s="370"/>
      <c r="AI132" s="221"/>
      <c r="AJ132" s="270"/>
      <c r="AK132" s="848"/>
      <c r="AL132" s="105"/>
      <c r="AM132" s="105"/>
      <c r="AN132" s="105"/>
      <c r="AO132" s="105"/>
      <c r="AP132" s="105"/>
      <c r="AQ132" s="158">
        <f t="shared" si="105"/>
        <v>0</v>
      </c>
      <c r="AR132" s="875"/>
      <c r="AS132" s="473"/>
      <c r="AT132" s="106"/>
      <c r="AU132" s="107"/>
      <c r="AV132" s="108"/>
      <c r="AW132" s="108"/>
      <c r="AX132" s="108"/>
      <c r="AY132" s="108"/>
      <c r="AZ132" s="108"/>
      <c r="BA132" s="165"/>
      <c r="BB132" s="531"/>
    </row>
    <row r="133" spans="1:55" s="495" customFormat="1" hidden="1" outlineLevel="2" x14ac:dyDescent="0.25">
      <c r="A133" s="445"/>
      <c r="B133" s="620" t="s">
        <v>159</v>
      </c>
      <c r="C133" s="310" t="s">
        <v>187</v>
      </c>
      <c r="D133" s="604"/>
      <c r="E133" s="604">
        <v>1</v>
      </c>
      <c r="F133" s="604">
        <v>1</v>
      </c>
      <c r="G133" s="604">
        <v>1</v>
      </c>
      <c r="H133" s="618">
        <f t="shared" si="112"/>
        <v>1</v>
      </c>
      <c r="I133" s="127">
        <f t="shared" si="113"/>
        <v>12</v>
      </c>
      <c r="J133" s="127">
        <f t="shared" si="114"/>
        <v>12</v>
      </c>
      <c r="K133" s="127">
        <f t="shared" si="114"/>
        <v>12</v>
      </c>
      <c r="L133" s="127">
        <f t="shared" si="114"/>
        <v>12</v>
      </c>
      <c r="M133" s="127">
        <f t="shared" si="114"/>
        <v>12</v>
      </c>
      <c r="N133" s="245" t="str">
        <f t="shared" si="101"/>
        <v>BASE ATM TERMINAL DRIVING SUPP</v>
      </c>
      <c r="O133" s="247"/>
      <c r="P133" s="760"/>
      <c r="Q133" s="129">
        <f t="shared" si="115"/>
        <v>0</v>
      </c>
      <c r="R133" s="129">
        <f t="shared" si="116"/>
        <v>0</v>
      </c>
      <c r="S133" s="129">
        <f t="shared" si="116"/>
        <v>0</v>
      </c>
      <c r="T133" s="129">
        <f t="shared" si="116"/>
        <v>0</v>
      </c>
      <c r="U133" s="129">
        <f t="shared" si="116"/>
        <v>0</v>
      </c>
      <c r="V133" s="209">
        <f t="shared" si="117"/>
        <v>0</v>
      </c>
      <c r="W133" s="528"/>
      <c r="X133" s="222"/>
      <c r="Y133" s="325"/>
      <c r="Z133" s="774"/>
      <c r="AA133" s="103"/>
      <c r="AB133" s="103"/>
      <c r="AC133" s="103"/>
      <c r="AD133" s="103"/>
      <c r="AE133" s="103"/>
      <c r="AF133" s="123"/>
      <c r="AG133" s="743"/>
      <c r="AH133" s="370"/>
      <c r="AI133" s="221"/>
      <c r="AJ133" s="270"/>
      <c r="AK133" s="848"/>
      <c r="AL133" s="105"/>
      <c r="AM133" s="105"/>
      <c r="AN133" s="105"/>
      <c r="AO133" s="105"/>
      <c r="AP133" s="105"/>
      <c r="AQ133" s="158">
        <f t="shared" si="105"/>
        <v>0</v>
      </c>
      <c r="AR133" s="875"/>
      <c r="AS133" s="473"/>
      <c r="AT133" s="106"/>
      <c r="AU133" s="107"/>
      <c r="AV133" s="108"/>
      <c r="AW133" s="108"/>
      <c r="AX133" s="108"/>
      <c r="AY133" s="108"/>
      <c r="AZ133" s="108"/>
      <c r="BA133" s="165"/>
      <c r="BB133" s="531"/>
    </row>
    <row r="134" spans="1:55" s="495" customFormat="1" hidden="1" outlineLevel="2" x14ac:dyDescent="0.25">
      <c r="A134" s="445"/>
      <c r="B134" s="620" t="s">
        <v>159</v>
      </c>
      <c r="C134" s="310" t="s">
        <v>188</v>
      </c>
      <c r="D134" s="604"/>
      <c r="E134" s="604">
        <v>1</v>
      </c>
      <c r="F134" s="604">
        <v>1</v>
      </c>
      <c r="G134" s="604">
        <v>1</v>
      </c>
      <c r="H134" s="618">
        <f t="shared" si="112"/>
        <v>1</v>
      </c>
      <c r="I134" s="127">
        <f t="shared" si="113"/>
        <v>12</v>
      </c>
      <c r="J134" s="127">
        <f t="shared" si="114"/>
        <v>12</v>
      </c>
      <c r="K134" s="127">
        <f t="shared" si="114"/>
        <v>12</v>
      </c>
      <c r="L134" s="127">
        <f t="shared" si="114"/>
        <v>12</v>
      </c>
      <c r="M134" s="127">
        <f t="shared" si="114"/>
        <v>12</v>
      </c>
      <c r="N134" s="245" t="str">
        <f t="shared" si="101"/>
        <v>HOST INTERFACE-FIS-REALTIME</v>
      </c>
      <c r="O134" s="247"/>
      <c r="P134" s="760"/>
      <c r="Q134" s="129">
        <f t="shared" si="115"/>
        <v>0</v>
      </c>
      <c r="R134" s="129">
        <f t="shared" si="116"/>
        <v>0</v>
      </c>
      <c r="S134" s="129">
        <f t="shared" si="116"/>
        <v>0</v>
      </c>
      <c r="T134" s="129">
        <f t="shared" si="116"/>
        <v>0</v>
      </c>
      <c r="U134" s="129">
        <f t="shared" si="116"/>
        <v>0</v>
      </c>
      <c r="V134" s="209">
        <f t="shared" si="117"/>
        <v>0</v>
      </c>
      <c r="W134" s="528"/>
      <c r="X134" s="222"/>
      <c r="Y134" s="325"/>
      <c r="Z134" s="774"/>
      <c r="AA134" s="103"/>
      <c r="AB134" s="103"/>
      <c r="AC134" s="103"/>
      <c r="AD134" s="103"/>
      <c r="AE134" s="103"/>
      <c r="AF134" s="123"/>
      <c r="AG134" s="743"/>
      <c r="AH134" s="370"/>
      <c r="AI134" s="221"/>
      <c r="AJ134" s="270"/>
      <c r="AK134" s="848"/>
      <c r="AL134" s="105"/>
      <c r="AM134" s="105"/>
      <c r="AN134" s="105"/>
      <c r="AO134" s="105"/>
      <c r="AP134" s="105"/>
      <c r="AQ134" s="158">
        <f t="shared" si="105"/>
        <v>0</v>
      </c>
      <c r="AR134" s="875"/>
      <c r="AS134" s="473"/>
      <c r="AT134" s="106"/>
      <c r="AU134" s="107"/>
      <c r="AV134" s="108"/>
      <c r="AW134" s="108"/>
      <c r="AX134" s="108"/>
      <c r="AY134" s="108"/>
      <c r="AZ134" s="108"/>
      <c r="BA134" s="165"/>
      <c r="BB134" s="531"/>
    </row>
    <row r="135" spans="1:55" s="495" customFormat="1" hidden="1" outlineLevel="2" x14ac:dyDescent="0.25">
      <c r="A135" s="445"/>
      <c r="B135" s="620" t="s">
        <v>159</v>
      </c>
      <c r="C135" s="310" t="s">
        <v>189</v>
      </c>
      <c r="D135" s="604"/>
      <c r="E135" s="604">
        <v>1</v>
      </c>
      <c r="F135" s="604">
        <v>1</v>
      </c>
      <c r="G135" s="604">
        <v>1</v>
      </c>
      <c r="H135" s="618">
        <f t="shared" si="112"/>
        <v>1</v>
      </c>
      <c r="I135" s="127">
        <f t="shared" si="113"/>
        <v>12</v>
      </c>
      <c r="J135" s="127">
        <f t="shared" si="114"/>
        <v>12</v>
      </c>
      <c r="K135" s="127">
        <f t="shared" si="114"/>
        <v>12</v>
      </c>
      <c r="L135" s="127">
        <f t="shared" si="114"/>
        <v>12</v>
      </c>
      <c r="M135" s="127">
        <f t="shared" si="114"/>
        <v>12</v>
      </c>
      <c r="N135" s="245" t="str">
        <f t="shared" si="101"/>
        <v xml:space="preserve">DEBIT CARD BASE FEE - BUSINESS </v>
      </c>
      <c r="O135" s="247"/>
      <c r="P135" s="760"/>
      <c r="Q135" s="129">
        <f t="shared" si="115"/>
        <v>0</v>
      </c>
      <c r="R135" s="129">
        <f t="shared" si="116"/>
        <v>0</v>
      </c>
      <c r="S135" s="129">
        <f t="shared" si="116"/>
        <v>0</v>
      </c>
      <c r="T135" s="129">
        <f t="shared" si="116"/>
        <v>0</v>
      </c>
      <c r="U135" s="129">
        <f t="shared" si="116"/>
        <v>0</v>
      </c>
      <c r="V135" s="209">
        <f t="shared" si="117"/>
        <v>0</v>
      </c>
      <c r="W135" s="528"/>
      <c r="X135" s="222"/>
      <c r="Y135" s="325"/>
      <c r="Z135" s="774"/>
      <c r="AA135" s="103"/>
      <c r="AB135" s="103"/>
      <c r="AC135" s="103"/>
      <c r="AD135" s="103"/>
      <c r="AE135" s="103"/>
      <c r="AF135" s="123"/>
      <c r="AG135" s="743"/>
      <c r="AH135" s="370"/>
      <c r="AI135" s="221"/>
      <c r="AJ135" s="270"/>
      <c r="AK135" s="848"/>
      <c r="AL135" s="105"/>
      <c r="AM135" s="105"/>
      <c r="AN135" s="105"/>
      <c r="AO135" s="105"/>
      <c r="AP135" s="105"/>
      <c r="AQ135" s="158">
        <f t="shared" si="105"/>
        <v>0</v>
      </c>
      <c r="AR135" s="875"/>
      <c r="AS135" s="473"/>
      <c r="AT135" s="106"/>
      <c r="AU135" s="107"/>
      <c r="AV135" s="108"/>
      <c r="AW135" s="108"/>
      <c r="AX135" s="108"/>
      <c r="AY135" s="108"/>
      <c r="AZ135" s="108"/>
      <c r="BA135" s="165"/>
      <c r="BB135" s="531"/>
    </row>
    <row r="136" spans="1:55" s="495" customFormat="1" hidden="1" outlineLevel="2" x14ac:dyDescent="0.25">
      <c r="A136" s="445"/>
      <c r="B136" s="620" t="s">
        <v>159</v>
      </c>
      <c r="C136" s="310" t="s">
        <v>190</v>
      </c>
      <c r="D136" s="604"/>
      <c r="E136" s="604">
        <v>1</v>
      </c>
      <c r="F136" s="604">
        <v>1</v>
      </c>
      <c r="G136" s="604">
        <v>1</v>
      </c>
      <c r="H136" s="618">
        <f t="shared" si="112"/>
        <v>1</v>
      </c>
      <c r="I136" s="127">
        <f t="shared" si="113"/>
        <v>12</v>
      </c>
      <c r="J136" s="127">
        <f t="shared" si="114"/>
        <v>12</v>
      </c>
      <c r="K136" s="127">
        <f t="shared" si="114"/>
        <v>12</v>
      </c>
      <c r="L136" s="127">
        <f t="shared" si="114"/>
        <v>12</v>
      </c>
      <c r="M136" s="127">
        <f t="shared" si="114"/>
        <v>12</v>
      </c>
      <c r="N136" s="245" t="str">
        <f t="shared" si="101"/>
        <v>MC SAFE/VISA FRAUD REPORTING</v>
      </c>
      <c r="O136" s="247"/>
      <c r="P136" s="760"/>
      <c r="Q136" s="129">
        <f t="shared" si="115"/>
        <v>0</v>
      </c>
      <c r="R136" s="129">
        <f t="shared" si="116"/>
        <v>0</v>
      </c>
      <c r="S136" s="129">
        <f t="shared" si="116"/>
        <v>0</v>
      </c>
      <c r="T136" s="129">
        <f t="shared" si="116"/>
        <v>0</v>
      </c>
      <c r="U136" s="129">
        <f t="shared" si="116"/>
        <v>0</v>
      </c>
      <c r="V136" s="209">
        <f t="shared" si="117"/>
        <v>0</v>
      </c>
      <c r="W136" s="528"/>
      <c r="X136" s="222"/>
      <c r="Y136" s="325"/>
      <c r="Z136" s="774"/>
      <c r="AA136" s="103"/>
      <c r="AB136" s="103"/>
      <c r="AC136" s="103"/>
      <c r="AD136" s="103"/>
      <c r="AE136" s="103"/>
      <c r="AF136" s="123"/>
      <c r="AG136" s="743"/>
      <c r="AH136" s="370"/>
      <c r="AI136" s="221"/>
      <c r="AJ136" s="270"/>
      <c r="AK136" s="848"/>
      <c r="AL136" s="105"/>
      <c r="AM136" s="105"/>
      <c r="AN136" s="105"/>
      <c r="AO136" s="105"/>
      <c r="AP136" s="105"/>
      <c r="AQ136" s="158">
        <f t="shared" si="105"/>
        <v>0</v>
      </c>
      <c r="AR136" s="875"/>
      <c r="AS136" s="473"/>
      <c r="AT136" s="106"/>
      <c r="AU136" s="107"/>
      <c r="AV136" s="108"/>
      <c r="AW136" s="108"/>
      <c r="AX136" s="108"/>
      <c r="AY136" s="108"/>
      <c r="AZ136" s="108"/>
      <c r="BA136" s="165"/>
      <c r="BB136" s="531"/>
    </row>
    <row r="137" spans="1:55" s="495" customFormat="1" hidden="1" outlineLevel="2" x14ac:dyDescent="0.25">
      <c r="A137" s="445"/>
      <c r="B137" s="620" t="s">
        <v>159</v>
      </c>
      <c r="C137" s="310" t="s">
        <v>191</v>
      </c>
      <c r="D137" s="604"/>
      <c r="E137" s="604">
        <v>1</v>
      </c>
      <c r="F137" s="604">
        <v>1</v>
      </c>
      <c r="G137" s="604">
        <v>1</v>
      </c>
      <c r="H137" s="618">
        <f t="shared" si="112"/>
        <v>1</v>
      </c>
      <c r="I137" s="127">
        <f t="shared" si="113"/>
        <v>12</v>
      </c>
      <c r="J137" s="127">
        <f t="shared" si="114"/>
        <v>12</v>
      </c>
      <c r="K137" s="127">
        <f t="shared" si="114"/>
        <v>12</v>
      </c>
      <c r="L137" s="127">
        <f t="shared" si="114"/>
        <v>12</v>
      </c>
      <c r="M137" s="127">
        <f t="shared" si="114"/>
        <v>12</v>
      </c>
      <c r="N137" s="245" t="str">
        <f t="shared" si="101"/>
        <v>ACCESS CHARGES-ONLINE-PER USER</v>
      </c>
      <c r="O137" s="247"/>
      <c r="P137" s="760"/>
      <c r="Q137" s="129">
        <f t="shared" si="115"/>
        <v>0</v>
      </c>
      <c r="R137" s="129">
        <f t="shared" si="116"/>
        <v>0</v>
      </c>
      <c r="S137" s="129">
        <f t="shared" si="116"/>
        <v>0</v>
      </c>
      <c r="T137" s="129">
        <f t="shared" si="116"/>
        <v>0</v>
      </c>
      <c r="U137" s="129">
        <f t="shared" si="116"/>
        <v>0</v>
      </c>
      <c r="V137" s="209">
        <f t="shared" si="117"/>
        <v>0</v>
      </c>
      <c r="W137" s="528"/>
      <c r="X137" s="222"/>
      <c r="Y137" s="325"/>
      <c r="Z137" s="774"/>
      <c r="AA137" s="103"/>
      <c r="AB137" s="103"/>
      <c r="AC137" s="103"/>
      <c r="AD137" s="103"/>
      <c r="AE137" s="103"/>
      <c r="AF137" s="123"/>
      <c r="AG137" s="743"/>
      <c r="AH137" s="370"/>
      <c r="AI137" s="221"/>
      <c r="AJ137" s="270"/>
      <c r="AK137" s="848"/>
      <c r="AL137" s="105"/>
      <c r="AM137" s="105"/>
      <c r="AN137" s="105"/>
      <c r="AO137" s="105"/>
      <c r="AP137" s="105"/>
      <c r="AQ137" s="158">
        <f t="shared" si="105"/>
        <v>0</v>
      </c>
      <c r="AR137" s="875"/>
      <c r="AS137" s="473"/>
      <c r="AT137" s="106"/>
      <c r="AU137" s="107"/>
      <c r="AV137" s="108"/>
      <c r="AW137" s="108"/>
      <c r="AX137" s="108"/>
      <c r="AY137" s="108"/>
      <c r="AZ137" s="108"/>
      <c r="BA137" s="165"/>
      <c r="BB137" s="531"/>
    </row>
    <row r="138" spans="1:55" s="495" customFormat="1" hidden="1" outlineLevel="2" x14ac:dyDescent="0.25">
      <c r="A138" s="445"/>
      <c r="B138" s="623"/>
      <c r="C138" s="310"/>
      <c r="D138" s="604"/>
      <c r="E138" s="604"/>
      <c r="F138" s="604"/>
      <c r="G138" s="604"/>
      <c r="H138" s="618">
        <f t="shared" si="112"/>
        <v>0</v>
      </c>
      <c r="I138" s="127">
        <f t="shared" si="113"/>
        <v>0</v>
      </c>
      <c r="J138" s="127">
        <f t="shared" si="114"/>
        <v>0</v>
      </c>
      <c r="K138" s="127">
        <f t="shared" si="114"/>
        <v>0</v>
      </c>
      <c r="L138" s="127">
        <f t="shared" si="114"/>
        <v>0</v>
      </c>
      <c r="M138" s="127">
        <f t="shared" si="114"/>
        <v>0</v>
      </c>
      <c r="N138" s="245" t="str">
        <f t="shared" si="101"/>
        <v/>
      </c>
      <c r="O138" s="748"/>
      <c r="P138" s="757">
        <f>Q138/12</f>
        <v>0</v>
      </c>
      <c r="Q138" s="129">
        <f t="shared" si="115"/>
        <v>0</v>
      </c>
      <c r="R138" s="129">
        <f t="shared" si="116"/>
        <v>0</v>
      </c>
      <c r="S138" s="129">
        <f t="shared" si="116"/>
        <v>0</v>
      </c>
      <c r="T138" s="129">
        <f t="shared" si="116"/>
        <v>0</v>
      </c>
      <c r="U138" s="129">
        <f t="shared" si="116"/>
        <v>0</v>
      </c>
      <c r="V138" s="209">
        <f t="shared" si="117"/>
        <v>0</v>
      </c>
      <c r="W138" s="528"/>
      <c r="X138" s="222"/>
      <c r="Y138" s="325"/>
      <c r="Z138" s="774">
        <f>AA138/12</f>
        <v>0</v>
      </c>
      <c r="AA138" s="103">
        <f>IF(Y138&gt;0,PRODUCT(I138,$Y138),0)</f>
        <v>0</v>
      </c>
      <c r="AB138" s="103">
        <f>IF(AA138&gt;0,PRODUCT(J138,$Y138),0)</f>
        <v>0</v>
      </c>
      <c r="AC138" s="103">
        <f>IF(AB138&gt;0,PRODUCT(K138,$Y138),0)</f>
        <v>0</v>
      </c>
      <c r="AD138" s="103">
        <f>IF(AC138&gt;0,PRODUCT(L138,$Y138),0)</f>
        <v>0</v>
      </c>
      <c r="AE138" s="103">
        <f>IF(AD138&gt;0,PRODUCT(M138,$Y138),0)</f>
        <v>0</v>
      </c>
      <c r="AF138" s="123">
        <f>SUM(AA138:AE138)</f>
        <v>0</v>
      </c>
      <c r="AG138" s="743"/>
      <c r="AH138" s="370"/>
      <c r="AI138" s="221"/>
      <c r="AJ138" s="270"/>
      <c r="AK138" s="848"/>
      <c r="AL138" s="105">
        <f>IF(AJ138&gt;0,PRODUCT(I138,$AJ138),0)</f>
        <v>0</v>
      </c>
      <c r="AM138" s="105">
        <f>IF(AL138&gt;0,PRODUCT(J138,$AJ138),0)</f>
        <v>0</v>
      </c>
      <c r="AN138" s="105">
        <f>IF(AM138&gt;0,PRODUCT(K138,$AJ138),0)</f>
        <v>0</v>
      </c>
      <c r="AO138" s="105">
        <f>IF(AN138&gt;0,PRODUCT(L138,$AJ138),0)</f>
        <v>0</v>
      </c>
      <c r="AP138" s="105">
        <f>IF(AO138&gt;0,PRODUCT(M138,$AJ138),0)</f>
        <v>0</v>
      </c>
      <c r="AQ138" s="158">
        <f t="shared" si="105"/>
        <v>0</v>
      </c>
      <c r="AR138" s="875"/>
      <c r="AS138" s="473"/>
      <c r="AT138" s="106"/>
      <c r="AU138" s="107"/>
      <c r="AV138" s="108">
        <f>IF(AU138&gt;0,PRODUCT(I138,$AU138),0)</f>
        <v>0</v>
      </c>
      <c r="AW138" s="108">
        <f>IF(AV138&gt;0,PRODUCT(J138,$AU138),0)</f>
        <v>0</v>
      </c>
      <c r="AX138" s="108">
        <f>IF(AW138&gt;0,PRODUCT(K138,$AU138),0)</f>
        <v>0</v>
      </c>
      <c r="AY138" s="108">
        <f>IF(AX138&gt;0,PRODUCT(L138,$AU138),0)</f>
        <v>0</v>
      </c>
      <c r="AZ138" s="108">
        <f>IF(AY138&gt;0,PRODUCT(M138,$AU138),0)</f>
        <v>0</v>
      </c>
      <c r="BA138" s="165">
        <f>SUM(AV138:AZ138)</f>
        <v>0</v>
      </c>
      <c r="BB138" s="531"/>
    </row>
    <row r="139" spans="1:55" s="495" customFormat="1" outlineLevel="1" collapsed="1" x14ac:dyDescent="0.25">
      <c r="A139" s="445"/>
      <c r="B139" s="252" t="str">
        <f>C139</f>
        <v>Risk and Compliance Solutions:</v>
      </c>
      <c r="C139" s="242" t="s">
        <v>192</v>
      </c>
      <c r="D139" s="252"/>
      <c r="E139" s="608"/>
      <c r="F139" s="608"/>
      <c r="G139" s="608"/>
      <c r="H139" s="243"/>
      <c r="I139" s="243"/>
      <c r="J139" s="243"/>
      <c r="K139" s="243"/>
      <c r="L139" s="243"/>
      <c r="M139" s="244"/>
      <c r="N139" s="252" t="str">
        <f>C139</f>
        <v>Risk and Compliance Solutions:</v>
      </c>
      <c r="O139" s="243"/>
      <c r="P139" s="756"/>
      <c r="Q139" s="243"/>
      <c r="R139" s="243"/>
      <c r="S139" s="243"/>
      <c r="T139" s="243"/>
      <c r="U139" s="244"/>
      <c r="V139" s="209"/>
      <c r="W139" s="527"/>
      <c r="X139" s="252" t="str">
        <f t="shared" ref="X139:X146" si="118">C139</f>
        <v>Risk and Compliance Solutions:</v>
      </c>
      <c r="Y139" s="707"/>
      <c r="Z139" s="756"/>
      <c r="AA139" s="243"/>
      <c r="AB139" s="243"/>
      <c r="AC139" s="243"/>
      <c r="AD139" s="243"/>
      <c r="AE139" s="244"/>
      <c r="AF139" s="123"/>
      <c r="AG139" s="742"/>
      <c r="AH139" s="244"/>
      <c r="AI139" s="252" t="str">
        <f t="shared" ref="AI139:AI146" si="119">C139</f>
        <v>Risk and Compliance Solutions:</v>
      </c>
      <c r="AJ139" s="707"/>
      <c r="AK139" s="895"/>
      <c r="AL139" s="243"/>
      <c r="AM139" s="243"/>
      <c r="AN139" s="243"/>
      <c r="AO139" s="243"/>
      <c r="AP139" s="244"/>
      <c r="AQ139" s="158">
        <f t="shared" si="105"/>
        <v>0</v>
      </c>
      <c r="AR139" s="874"/>
      <c r="AS139" s="874"/>
      <c r="AT139" s="252" t="str">
        <f>C139</f>
        <v>Risk and Compliance Solutions:</v>
      </c>
      <c r="AU139" s="243"/>
      <c r="AV139" s="243"/>
      <c r="AW139" s="243"/>
      <c r="AX139" s="243"/>
      <c r="AY139" s="243"/>
      <c r="AZ139" s="244"/>
      <c r="BA139" s="165"/>
      <c r="BB139" s="532"/>
    </row>
    <row r="140" spans="1:55" s="495" customFormat="1" outlineLevel="1" x14ac:dyDescent="0.25">
      <c r="A140" s="445"/>
      <c r="B140" s="623" t="s">
        <v>193</v>
      </c>
      <c r="C140" s="310" t="s">
        <v>194</v>
      </c>
      <c r="D140" s="604"/>
      <c r="E140" s="604">
        <v>149</v>
      </c>
      <c r="F140" s="604">
        <v>168</v>
      </c>
      <c r="G140" s="604">
        <v>154</v>
      </c>
      <c r="H140" s="618">
        <f>IFERROR(AVERAGE(D140:G140),0)</f>
        <v>157</v>
      </c>
      <c r="I140" s="127">
        <f t="shared" ref="I140:I147" si="120">H140*12</f>
        <v>1884</v>
      </c>
      <c r="J140" s="127">
        <f t="shared" ref="J140:M147" si="121">IF(I140&gt;12,(((I140)*$H$5)+I140),(I140*1))</f>
        <v>1978.2</v>
      </c>
      <c r="K140" s="127">
        <f t="shared" si="121"/>
        <v>2077.11</v>
      </c>
      <c r="L140" s="127">
        <f t="shared" si="121"/>
        <v>2180.9655000000002</v>
      </c>
      <c r="M140" s="127">
        <f t="shared" si="121"/>
        <v>2290.0137750000004</v>
      </c>
      <c r="N140" s="245" t="str">
        <f t="shared" ref="N140:N147" si="122">IF(C140="","",C140)</f>
        <v>ID Verification (including OFAC) Transaction Volumes</v>
      </c>
      <c r="O140" s="748">
        <v>3.25</v>
      </c>
      <c r="P140" s="757">
        <f>Q140/12</f>
        <v>510.25</v>
      </c>
      <c r="Q140" s="129">
        <f>IF(O140&gt;0,PRODUCT(I140,$O140),0)</f>
        <v>6123</v>
      </c>
      <c r="R140" s="129">
        <f>IF(Q140&gt;0,PRODUCT(J140,$O140),0)</f>
        <v>6429.1500000000005</v>
      </c>
      <c r="S140" s="129">
        <f>IF(R140&gt;0,PRODUCT(K140,$O140),0)</f>
        <v>6750.6075000000001</v>
      </c>
      <c r="T140" s="129">
        <f>IF(S140&gt;0,PRODUCT(L140,$O140),0)</f>
        <v>7088.1378750000003</v>
      </c>
      <c r="U140" s="129">
        <f>IF(T140&gt;0,PRODUCT(M140,$O140),0)</f>
        <v>7442.5447687500009</v>
      </c>
      <c r="V140" s="209">
        <f>SUM(Q140:U140)</f>
        <v>33833.440143749998</v>
      </c>
      <c r="W140" s="621"/>
      <c r="X140" s="222" t="str">
        <f t="shared" si="118"/>
        <v>ID Verification (including OFAC) Transaction Volumes</v>
      </c>
      <c r="Y140" s="325">
        <v>2.8826000000000001</v>
      </c>
      <c r="Z140" s="774">
        <f>AA140/12</f>
        <v>452.56819999999999</v>
      </c>
      <c r="AA140" s="103">
        <f t="shared" ref="AA140:AA147" si="123">IF(Y140&gt;0,PRODUCT(I140,$Y140),0)</f>
        <v>5430.8184000000001</v>
      </c>
      <c r="AB140" s="103">
        <f t="shared" ref="AB140:AE147" si="124">IF(AA140&gt;0,PRODUCT(J140,$Y140),0)</f>
        <v>5702.3593200000005</v>
      </c>
      <c r="AC140" s="103">
        <f t="shared" si="124"/>
        <v>5987.4772860000003</v>
      </c>
      <c r="AD140" s="103">
        <f t="shared" si="124"/>
        <v>6286.8511503000009</v>
      </c>
      <c r="AE140" s="103">
        <f t="shared" si="124"/>
        <v>6601.1937078150013</v>
      </c>
      <c r="AF140" s="123">
        <f>IF((SUM(AA140:AE140))&lt;(Y141*60),0,(SUM(AA140:AE140)))</f>
        <v>0</v>
      </c>
      <c r="AG140" s="743"/>
      <c r="AH140" s="362"/>
      <c r="AI140" s="221" t="str">
        <f t="shared" si="119"/>
        <v>ID Verification (including OFAC) Transaction Volumes</v>
      </c>
      <c r="AJ140" s="270">
        <v>2.8826000000000001</v>
      </c>
      <c r="AK140" s="896">
        <f t="shared" ref="AK140:AK147" si="125">AL140/12</f>
        <v>452.56819999999999</v>
      </c>
      <c r="AL140" s="105" cm="1">
        <f t="array" ref="AL140">_xlfn.IFS($AJ140="NO CHARGE",0,$AJ140=0,0,$AJ140&gt;0,PRODUCT(I140,$AJ140))</f>
        <v>5430.8184000000001</v>
      </c>
      <c r="AM140" s="105" cm="1">
        <f t="array" ref="AM140">_xlfn.IFS($AJ140="NO CHARGE",0,$AJ140=0,0,$AJ140&gt;0,PRODUCT(J140,$AJ140))</f>
        <v>5702.3593200000005</v>
      </c>
      <c r="AN140" s="105" cm="1">
        <f t="array" ref="AN140">_xlfn.IFS($AJ140="NO CHARGE",0,$AJ140=0,0,$AJ140&gt;0,PRODUCT(K140,$AJ140))</f>
        <v>5987.4772860000003</v>
      </c>
      <c r="AO140" s="105" cm="1">
        <f t="array" ref="AO140">_xlfn.IFS($AJ140="NO CHARGE",0,$AJ140=0,0,$AJ140&gt;0,PRODUCT(L140,$AJ140))</f>
        <v>6286.8511503000009</v>
      </c>
      <c r="AP140" s="105" cm="1">
        <f t="array" ref="AP140">_xlfn.IFS($AJ140="NO CHARGE",0,$AJ140=0,0,$AJ140&gt;0,PRODUCT(M140,$AJ140))</f>
        <v>6601.1937078150013</v>
      </c>
      <c r="AQ140" s="158">
        <f>IF((SUM(AL140:AP140))&lt;(AJ141*60),0,(SUM(AL140:AP140)))</f>
        <v>0</v>
      </c>
      <c r="AR140" s="875"/>
      <c r="AS140" s="473"/>
      <c r="AT140" s="106"/>
      <c r="AU140" s="107"/>
      <c r="AV140" s="108">
        <f t="shared" ref="AV140:AZ147" si="126">IF(AU140&gt;0,PRODUCT(I140,$AU140),0)</f>
        <v>0</v>
      </c>
      <c r="AW140" s="108">
        <f t="shared" si="126"/>
        <v>0</v>
      </c>
      <c r="AX140" s="108">
        <f t="shared" si="126"/>
        <v>0</v>
      </c>
      <c r="AY140" s="108">
        <f t="shared" si="126"/>
        <v>0</v>
      </c>
      <c r="AZ140" s="108">
        <f t="shared" si="126"/>
        <v>0</v>
      </c>
      <c r="BA140" s="165">
        <f t="shared" ref="BA140:BA147" si="127">SUM(AV140:AZ140)</f>
        <v>0</v>
      </c>
      <c r="BB140" s="531"/>
    </row>
    <row r="141" spans="1:55" s="732" customFormat="1" outlineLevel="1" x14ac:dyDescent="0.25">
      <c r="A141" s="784"/>
      <c r="B141" s="881" t="s">
        <v>193</v>
      </c>
      <c r="C141" s="676" t="s">
        <v>195</v>
      </c>
      <c r="D141" s="715"/>
      <c r="E141" s="715"/>
      <c r="F141" s="715"/>
      <c r="G141" s="715"/>
      <c r="H141" s="716">
        <v>1</v>
      </c>
      <c r="I141" s="717">
        <f t="shared" si="120"/>
        <v>12</v>
      </c>
      <c r="J141" s="717">
        <f t="shared" si="121"/>
        <v>12</v>
      </c>
      <c r="K141" s="717">
        <f t="shared" si="121"/>
        <v>12</v>
      </c>
      <c r="L141" s="717">
        <f t="shared" si="121"/>
        <v>12</v>
      </c>
      <c r="M141" s="717">
        <f t="shared" si="121"/>
        <v>12</v>
      </c>
      <c r="N141" s="718" t="str">
        <f t="shared" si="122"/>
        <v>ID Verification (Qualified Rate) Monthly Minimum</v>
      </c>
      <c r="O141" s="786" t="s">
        <v>196</v>
      </c>
      <c r="P141" s="758">
        <f>Q141/12</f>
        <v>0</v>
      </c>
      <c r="Q141" s="720" cm="1">
        <f t="array" ref="Q141">_xlfn.IFS($O141="N/A",0, $O141="NO CHARGE",0,$O141&gt;0,$O141*I141)</f>
        <v>0</v>
      </c>
      <c r="R141" s="720" cm="1">
        <f t="array" ref="R141">_xlfn.IFS($O141="N/A",0, $O141="NO CHARGE",0,$O141&gt;0,$O141*J141)</f>
        <v>0</v>
      </c>
      <c r="S141" s="720" cm="1">
        <f t="array" ref="S141">_xlfn.IFS($O141="N/A",0, $O141="NO CHARGE",0,$O141&gt;0,$O141*K141)</f>
        <v>0</v>
      </c>
      <c r="T141" s="720" cm="1">
        <f t="array" ref="T141">_xlfn.IFS($O141="N/A",0, $O141="NO CHARGE",0,$O141&gt;0,$O141*L141)</f>
        <v>0</v>
      </c>
      <c r="U141" s="720" cm="1">
        <f t="array" ref="U141">_xlfn.IFS($O141="N/A",0, $O141="NO CHARGE",0,$O141&gt;0,$O141*M141)</f>
        <v>0</v>
      </c>
      <c r="V141" s="721">
        <f>SUM(Q141:U141)</f>
        <v>0</v>
      </c>
      <c r="W141" s="528"/>
      <c r="X141" s="734" t="str">
        <f t="shared" si="118"/>
        <v>ID Verification (Qualified Rate) Monthly Minimum</v>
      </c>
      <c r="Y141" s="722">
        <v>504.51</v>
      </c>
      <c r="Z141" s="775">
        <f>AA141/12</f>
        <v>504.51</v>
      </c>
      <c r="AA141" s="723">
        <f t="shared" si="123"/>
        <v>6054.12</v>
      </c>
      <c r="AB141" s="723">
        <f t="shared" si="124"/>
        <v>6054.12</v>
      </c>
      <c r="AC141" s="723">
        <f t="shared" si="124"/>
        <v>6054.12</v>
      </c>
      <c r="AD141" s="723">
        <f t="shared" si="124"/>
        <v>6054.12</v>
      </c>
      <c r="AE141" s="723">
        <f t="shared" si="124"/>
        <v>6054.12</v>
      </c>
      <c r="AF141" s="724">
        <f>IF((SUM(AA141:AE141))&lt;(SUM(AA140:AE140)), 0, SUM(AA141:AE141))</f>
        <v>30270.6</v>
      </c>
      <c r="AG141" s="744"/>
      <c r="AH141" s="725" t="s">
        <v>74</v>
      </c>
      <c r="AI141" s="726" t="str">
        <f t="shared" si="119"/>
        <v>ID Verification (Qualified Rate) Monthly Minimum</v>
      </c>
      <c r="AJ141" s="885">
        <v>504.51</v>
      </c>
      <c r="AK141" s="898">
        <f t="shared" si="125"/>
        <v>504.51</v>
      </c>
      <c r="AL141" s="727" cm="1">
        <f t="array" ref="AL141">_xlfn.IFS($AJ141="NO CHARGE",0,$AJ141=0,0,$AJ141&gt;0,PRODUCT(I141,$AJ141))</f>
        <v>6054.12</v>
      </c>
      <c r="AM141" s="727" cm="1">
        <f t="array" ref="AM141">_xlfn.IFS($AJ141="NO CHARGE",0,$AJ141=0,0,$AJ141&gt;0,PRODUCT(J141,$AJ141))</f>
        <v>6054.12</v>
      </c>
      <c r="AN141" s="727" cm="1">
        <f t="array" ref="AN141">_xlfn.IFS($AJ141="NO CHARGE",0,$AJ141=0,0,$AJ141&gt;0,PRODUCT(K141,$AJ141))</f>
        <v>6054.12</v>
      </c>
      <c r="AO141" s="727" cm="1">
        <f t="array" ref="AO141">_xlfn.IFS($AJ141="NO CHARGE",0,$AJ141=0,0,$AJ141&gt;0,PRODUCT(L141,$AJ141))</f>
        <v>6054.12</v>
      </c>
      <c r="AP141" s="727" cm="1">
        <f t="array" ref="AP141">_xlfn.IFS($AJ141="NO CHARGE",0,$AJ141=0,0,$AJ141&gt;0,PRODUCT(M141,$AJ141))</f>
        <v>6054.12</v>
      </c>
      <c r="AQ141" s="158">
        <f>IF((SUM(AL141:AP141))&lt;(SUM(AL140:AP140)), 0, SUM(AL141:AP141))</f>
        <v>30270.6</v>
      </c>
      <c r="AR141" s="876"/>
      <c r="AS141" s="473" t="s">
        <v>74</v>
      </c>
      <c r="AT141" s="728"/>
      <c r="AU141" s="729"/>
      <c r="AV141" s="730">
        <f t="shared" si="126"/>
        <v>0</v>
      </c>
      <c r="AW141" s="730">
        <f t="shared" si="126"/>
        <v>0</v>
      </c>
      <c r="AX141" s="730">
        <f t="shared" si="126"/>
        <v>0</v>
      </c>
      <c r="AY141" s="730">
        <f t="shared" si="126"/>
        <v>0</v>
      </c>
      <c r="AZ141" s="730">
        <f t="shared" si="126"/>
        <v>0</v>
      </c>
      <c r="BA141" s="731">
        <f t="shared" si="127"/>
        <v>0</v>
      </c>
      <c r="BB141" s="531"/>
      <c r="BC141" s="1103">
        <f>+SUM(V140:V146)</f>
        <v>592533.55223525013</v>
      </c>
    </row>
    <row r="142" spans="1:55" s="495" customFormat="1" outlineLevel="1" x14ac:dyDescent="0.25">
      <c r="A142" s="445"/>
      <c r="B142" s="623" t="s">
        <v>193</v>
      </c>
      <c r="C142" s="310" t="s">
        <v>197</v>
      </c>
      <c r="D142" s="604"/>
      <c r="E142" s="604">
        <v>56</v>
      </c>
      <c r="F142" s="604">
        <v>66</v>
      </c>
      <c r="G142" s="604">
        <v>48</v>
      </c>
      <c r="H142" s="618">
        <f>IFERROR(AVERAGE(D142:G142),0)</f>
        <v>56.666666666666664</v>
      </c>
      <c r="I142" s="127">
        <f t="shared" si="120"/>
        <v>680</v>
      </c>
      <c r="J142" s="127">
        <f t="shared" si="121"/>
        <v>714</v>
      </c>
      <c r="K142" s="127">
        <f t="shared" si="121"/>
        <v>749.7</v>
      </c>
      <c r="L142" s="127">
        <f t="shared" si="121"/>
        <v>787.18500000000006</v>
      </c>
      <c r="M142" s="127">
        <f t="shared" si="121"/>
        <v>826.54425000000003</v>
      </c>
      <c r="N142" s="245" t="str">
        <f t="shared" si="122"/>
        <v>OFAC Watch</v>
      </c>
      <c r="O142" s="586">
        <v>133.15</v>
      </c>
      <c r="P142" s="759"/>
      <c r="Q142" s="129">
        <f t="shared" ref="Q142:Q147" si="128">IF(O142&gt;0,PRODUCT(I142,$O142),0)</f>
        <v>90542</v>
      </c>
      <c r="R142" s="129">
        <f t="shared" ref="R142:U147" si="129">IF(Q142&gt;0,PRODUCT(J142,$O142),0)</f>
        <v>95069.1</v>
      </c>
      <c r="S142" s="129">
        <f t="shared" si="129"/>
        <v>99822.555000000008</v>
      </c>
      <c r="T142" s="129">
        <f t="shared" si="129"/>
        <v>104813.68275000001</v>
      </c>
      <c r="U142" s="129">
        <f t="shared" si="129"/>
        <v>110054.36688750001</v>
      </c>
      <c r="V142" s="209">
        <f>SUM(Q142:U142)</f>
        <v>500301.70463750011</v>
      </c>
      <c r="W142" s="528"/>
      <c r="X142" s="222" t="str">
        <f t="shared" si="118"/>
        <v>OFAC Watch</v>
      </c>
      <c r="Y142" s="325">
        <v>118.46550000000001</v>
      </c>
      <c r="Z142" s="774"/>
      <c r="AA142" s="103">
        <f t="shared" si="123"/>
        <v>80556.540000000008</v>
      </c>
      <c r="AB142" s="103">
        <f t="shared" si="124"/>
        <v>84584.366999999998</v>
      </c>
      <c r="AC142" s="103">
        <f t="shared" si="124"/>
        <v>88813.585350000008</v>
      </c>
      <c r="AD142" s="103">
        <f t="shared" si="124"/>
        <v>93254.264617500012</v>
      </c>
      <c r="AE142" s="103">
        <f t="shared" si="124"/>
        <v>97916.977848375012</v>
      </c>
      <c r="AF142" s="123">
        <f>SUM(AA142:AE142)</f>
        <v>445125.73481587507</v>
      </c>
      <c r="AG142" s="743"/>
      <c r="AH142" s="370"/>
      <c r="AI142" s="221" t="str">
        <f t="shared" si="119"/>
        <v>OFAC Watch</v>
      </c>
      <c r="AJ142" s="270">
        <v>118.46550000000001</v>
      </c>
      <c r="AK142" s="896">
        <f t="shared" si="125"/>
        <v>6713.045000000001</v>
      </c>
      <c r="AL142" s="105" cm="1">
        <f t="array" ref="AL142">_xlfn.IFS($AJ142="NO CHARGE",0,$AJ142=0,0,$AJ142&gt;0,PRODUCT(I142,$AJ142))</f>
        <v>80556.540000000008</v>
      </c>
      <c r="AM142" s="105" cm="1">
        <f t="array" ref="AM142">_xlfn.IFS($AJ142="NO CHARGE",0,$AJ142=0,0,$AJ142&gt;0,PRODUCT(J142,$AJ142))</f>
        <v>84584.366999999998</v>
      </c>
      <c r="AN142" s="105" cm="1">
        <f t="array" ref="AN142">_xlfn.IFS($AJ142="NO CHARGE",0,$AJ142=0,0,$AJ142&gt;0,PRODUCT(K142,$AJ142))</f>
        <v>88813.585350000008</v>
      </c>
      <c r="AO142" s="105" cm="1">
        <f t="array" ref="AO142">_xlfn.IFS($AJ142="NO CHARGE",0,$AJ142=0,0,$AJ142&gt;0,PRODUCT(L142,$AJ142))</f>
        <v>93254.264617500012</v>
      </c>
      <c r="AP142" s="105" cm="1">
        <f t="array" ref="AP142">_xlfn.IFS($AJ142="NO CHARGE",0,$AJ142=0,0,$AJ142&gt;0,PRODUCT(M142,$AJ142))</f>
        <v>97916.977848375012</v>
      </c>
      <c r="AQ142" s="158">
        <f>SUM(AL142:AP142)</f>
        <v>445125.73481587507</v>
      </c>
      <c r="AR142" s="875"/>
      <c r="AS142" s="473"/>
      <c r="AT142" s="106"/>
      <c r="AU142" s="107"/>
      <c r="AV142" s="108">
        <f t="shared" si="126"/>
        <v>0</v>
      </c>
      <c r="AW142" s="108">
        <f t="shared" si="126"/>
        <v>0</v>
      </c>
      <c r="AX142" s="108">
        <f t="shared" si="126"/>
        <v>0</v>
      </c>
      <c r="AY142" s="108">
        <f t="shared" si="126"/>
        <v>0</v>
      </c>
      <c r="AZ142" s="108">
        <f t="shared" si="126"/>
        <v>0</v>
      </c>
      <c r="BA142" s="165">
        <f t="shared" si="127"/>
        <v>0</v>
      </c>
      <c r="BB142" s="531"/>
      <c r="BC142" s="1098">
        <f>+SUM(AQ141:AQ146)</f>
        <v>529739.04828601005</v>
      </c>
    </row>
    <row r="143" spans="1:55" s="495" customFormat="1" outlineLevel="1" x14ac:dyDescent="0.25">
      <c r="A143" s="445"/>
      <c r="B143" s="623" t="s">
        <v>193</v>
      </c>
      <c r="C143" s="310" t="s">
        <v>198</v>
      </c>
      <c r="D143" s="604"/>
      <c r="E143" s="604">
        <v>23</v>
      </c>
      <c r="F143" s="604">
        <v>13</v>
      </c>
      <c r="G143" s="604">
        <v>11</v>
      </c>
      <c r="H143" s="618">
        <f>IFERROR(AVERAGE(D143:G143),0)</f>
        <v>15.666666666666666</v>
      </c>
      <c r="I143" s="127">
        <f t="shared" si="120"/>
        <v>188</v>
      </c>
      <c r="J143" s="127">
        <f t="shared" si="121"/>
        <v>197.4</v>
      </c>
      <c r="K143" s="127">
        <f t="shared" si="121"/>
        <v>207.27</v>
      </c>
      <c r="L143" s="127">
        <f t="shared" si="121"/>
        <v>217.63350000000003</v>
      </c>
      <c r="M143" s="127">
        <f t="shared" si="121"/>
        <v>228.51517500000003</v>
      </c>
      <c r="N143" s="245" t="str">
        <f t="shared" si="122"/>
        <v>BizChex Inquiry Detail File Record Volumes</v>
      </c>
      <c r="O143" s="748">
        <v>14.63</v>
      </c>
      <c r="P143" s="757">
        <f>Q143/12</f>
        <v>229.20333333333335</v>
      </c>
      <c r="Q143" s="129">
        <f t="shared" si="128"/>
        <v>2750.44</v>
      </c>
      <c r="R143" s="129">
        <f t="shared" si="129"/>
        <v>2887.9620000000004</v>
      </c>
      <c r="S143" s="129">
        <f t="shared" si="129"/>
        <v>3032.3601000000003</v>
      </c>
      <c r="T143" s="129">
        <f t="shared" si="129"/>
        <v>3183.9781050000006</v>
      </c>
      <c r="U143" s="129">
        <f t="shared" si="129"/>
        <v>3343.1770102500004</v>
      </c>
      <c r="V143" s="209">
        <f>IF((SUM(Q143:U143))&lt;(O143*60),0,(SUM(Q143:U143)))</f>
        <v>15197.91721525</v>
      </c>
      <c r="W143" s="621"/>
      <c r="X143" s="222" t="str">
        <f t="shared" si="118"/>
        <v>BizChex Inquiry Detail File Record Volumes</v>
      </c>
      <c r="Y143" s="325">
        <v>15.3132</v>
      </c>
      <c r="Z143" s="774">
        <f>AA143/12</f>
        <v>239.9068</v>
      </c>
      <c r="AA143" s="103">
        <f t="shared" si="123"/>
        <v>2878.8816000000002</v>
      </c>
      <c r="AB143" s="103">
        <f t="shared" si="124"/>
        <v>3022.8256799999999</v>
      </c>
      <c r="AC143" s="103">
        <f t="shared" si="124"/>
        <v>3173.9669640000002</v>
      </c>
      <c r="AD143" s="103">
        <f t="shared" si="124"/>
        <v>3332.6653122000002</v>
      </c>
      <c r="AE143" s="103">
        <f t="shared" si="124"/>
        <v>3499.2985778100006</v>
      </c>
      <c r="AF143" s="123">
        <f>IF((SUM(AA143:AE143))&lt;(Y144*60),0,(SUM(AA143:AE143)))</f>
        <v>15907.638134010003</v>
      </c>
      <c r="AG143" s="743"/>
      <c r="AH143" s="362"/>
      <c r="AI143" s="221" t="str">
        <f t="shared" si="119"/>
        <v>BizChex Inquiry Detail File Record Volumes</v>
      </c>
      <c r="AJ143" s="270">
        <v>15.3132</v>
      </c>
      <c r="AK143" s="896">
        <f t="shared" si="125"/>
        <v>239.9068</v>
      </c>
      <c r="AL143" s="105" cm="1">
        <f t="array" ref="AL143">_xlfn.IFS($AJ143="NO CHARGE",0,$AJ143=0,0,$AJ143&gt;0,PRODUCT(I143,$AJ143))</f>
        <v>2878.8816000000002</v>
      </c>
      <c r="AM143" s="105" cm="1">
        <f t="array" ref="AM143">_xlfn.IFS($AJ143="NO CHARGE",0,$AJ143=0,0,$AJ143&gt;0,PRODUCT(J143,$AJ143))</f>
        <v>3022.8256799999999</v>
      </c>
      <c r="AN143" s="105" cm="1">
        <f t="array" ref="AN143">_xlfn.IFS($AJ143="NO CHARGE",0,$AJ143=0,0,$AJ143&gt;0,PRODUCT(K143,$AJ143))</f>
        <v>3173.9669640000002</v>
      </c>
      <c r="AO143" s="105" cm="1">
        <f t="array" ref="AO143">_xlfn.IFS($AJ143="NO CHARGE",0,$AJ143=0,0,$AJ143&gt;0,PRODUCT(L143,$AJ143))</f>
        <v>3332.6653122000002</v>
      </c>
      <c r="AP143" s="105" cm="1">
        <f t="array" ref="AP143">_xlfn.IFS($AJ143="NO CHARGE",0,$AJ143=0,0,$AJ143&gt;0,PRODUCT(M143,$AJ143))</f>
        <v>3499.2985778100006</v>
      </c>
      <c r="AQ143" s="158">
        <f>IF((SUM(AL143:AP143))&lt;(AJ144*60),0,(SUM(AL143:AP143)))</f>
        <v>15907.638134010003</v>
      </c>
      <c r="AR143" s="875"/>
      <c r="AS143" s="473"/>
      <c r="AT143" s="106"/>
      <c r="AU143" s="107"/>
      <c r="AV143" s="108">
        <f t="shared" si="126"/>
        <v>0</v>
      </c>
      <c r="AW143" s="108">
        <f t="shared" si="126"/>
        <v>0</v>
      </c>
      <c r="AX143" s="108">
        <f t="shared" si="126"/>
        <v>0</v>
      </c>
      <c r="AY143" s="108">
        <f t="shared" si="126"/>
        <v>0</v>
      </c>
      <c r="AZ143" s="108">
        <f t="shared" si="126"/>
        <v>0</v>
      </c>
      <c r="BA143" s="165">
        <f t="shared" si="127"/>
        <v>0</v>
      </c>
      <c r="BB143" s="531"/>
      <c r="BC143" s="1101">
        <f>+BC141-BC142</f>
        <v>62794.503949240083</v>
      </c>
    </row>
    <row r="144" spans="1:55" s="732" customFormat="1" outlineLevel="1" x14ac:dyDescent="0.25">
      <c r="A144" s="784"/>
      <c r="B144" s="881" t="s">
        <v>193</v>
      </c>
      <c r="C144" s="676" t="s">
        <v>199</v>
      </c>
      <c r="D144" s="715"/>
      <c r="E144" s="715"/>
      <c r="F144" s="715"/>
      <c r="G144" s="715"/>
      <c r="H144" s="716">
        <v>1</v>
      </c>
      <c r="I144" s="717">
        <f t="shared" si="120"/>
        <v>12</v>
      </c>
      <c r="J144" s="717">
        <f t="shared" si="121"/>
        <v>12</v>
      </c>
      <c r="K144" s="717">
        <f t="shared" si="121"/>
        <v>12</v>
      </c>
      <c r="L144" s="717">
        <f t="shared" si="121"/>
        <v>12</v>
      </c>
      <c r="M144" s="717">
        <f t="shared" si="121"/>
        <v>12</v>
      </c>
      <c r="N144" s="718" t="str">
        <f t="shared" si="122"/>
        <v>BizChex Monthly Minimum</v>
      </c>
      <c r="O144" s="785">
        <v>132</v>
      </c>
      <c r="P144" s="758">
        <f>Q144/12</f>
        <v>132</v>
      </c>
      <c r="Q144" s="720">
        <f t="shared" si="128"/>
        <v>1584</v>
      </c>
      <c r="R144" s="720">
        <f t="shared" si="129"/>
        <v>1584</v>
      </c>
      <c r="S144" s="720">
        <f t="shared" si="129"/>
        <v>1584</v>
      </c>
      <c r="T144" s="720">
        <f t="shared" si="129"/>
        <v>1584</v>
      </c>
      <c r="U144" s="720">
        <f t="shared" si="129"/>
        <v>1584</v>
      </c>
      <c r="V144" s="209"/>
      <c r="W144" s="621" t="s">
        <v>200</v>
      </c>
      <c r="X144" s="734" t="str">
        <f t="shared" si="118"/>
        <v>BizChex Monthly Minimum</v>
      </c>
      <c r="Y144" s="722">
        <v>117.4397</v>
      </c>
      <c r="Z144" s="775">
        <f>AA144/12</f>
        <v>117.4397</v>
      </c>
      <c r="AA144" s="723">
        <f t="shared" si="123"/>
        <v>1409.2764</v>
      </c>
      <c r="AB144" s="723">
        <f t="shared" si="124"/>
        <v>1409.2764</v>
      </c>
      <c r="AC144" s="723">
        <f t="shared" si="124"/>
        <v>1409.2764</v>
      </c>
      <c r="AD144" s="723">
        <f t="shared" si="124"/>
        <v>1409.2764</v>
      </c>
      <c r="AE144" s="723">
        <f t="shared" si="124"/>
        <v>1409.2764</v>
      </c>
      <c r="AF144" s="724">
        <f>IF((SUM(AA144:AE144))&lt;(SUM(AA143:AE143)), 0, SUM(AA144:AE144))</f>
        <v>0</v>
      </c>
      <c r="AG144" s="744"/>
      <c r="AH144" s="725" t="s">
        <v>74</v>
      </c>
      <c r="AI144" s="726" t="str">
        <f t="shared" si="119"/>
        <v>BizChex Monthly Minimum</v>
      </c>
      <c r="AJ144" s="885">
        <v>117.23</v>
      </c>
      <c r="AK144" s="898">
        <f t="shared" si="125"/>
        <v>117.23</v>
      </c>
      <c r="AL144" s="727" cm="1">
        <f t="array" ref="AL144">_xlfn.IFS($AJ144="NO CHARGE",0,$AJ144=0,0,$AJ144&gt;0,PRODUCT(I144,$AJ144))</f>
        <v>1406.76</v>
      </c>
      <c r="AM144" s="727" cm="1">
        <f t="array" ref="AM144">_xlfn.IFS($AJ144="NO CHARGE",0,$AJ144=0,0,$AJ144&gt;0,PRODUCT(J144,$AJ144))</f>
        <v>1406.76</v>
      </c>
      <c r="AN144" s="727" cm="1">
        <f t="array" ref="AN144">_xlfn.IFS($AJ144="NO CHARGE",0,$AJ144=0,0,$AJ144&gt;0,PRODUCT(K144,$AJ144))</f>
        <v>1406.76</v>
      </c>
      <c r="AO144" s="727" cm="1">
        <f t="array" ref="AO144">_xlfn.IFS($AJ144="NO CHARGE",0,$AJ144=0,0,$AJ144&gt;0,PRODUCT(L144,$AJ144))</f>
        <v>1406.76</v>
      </c>
      <c r="AP144" s="727" cm="1">
        <f t="array" ref="AP144">_xlfn.IFS($AJ144="NO CHARGE",0,$AJ144=0,0,$AJ144&gt;0,PRODUCT(M144,$AJ144))</f>
        <v>1406.76</v>
      </c>
      <c r="AQ144" s="158">
        <f>IF((SUM(AL144:AP144))&lt;(SUM(AL143:AP143)), 0, SUM(AL144:AP144))</f>
        <v>0</v>
      </c>
      <c r="AR144" s="876"/>
      <c r="AS144" s="473" t="s">
        <v>74</v>
      </c>
      <c r="AT144" s="728"/>
      <c r="AU144" s="729"/>
      <c r="AV144" s="730">
        <f t="shared" si="126"/>
        <v>0</v>
      </c>
      <c r="AW144" s="730">
        <f t="shared" si="126"/>
        <v>0</v>
      </c>
      <c r="AX144" s="730">
        <f t="shared" si="126"/>
        <v>0</v>
      </c>
      <c r="AY144" s="730">
        <f t="shared" si="126"/>
        <v>0</v>
      </c>
      <c r="AZ144" s="730">
        <f t="shared" si="126"/>
        <v>0</v>
      </c>
      <c r="BA144" s="731">
        <f t="shared" si="127"/>
        <v>0</v>
      </c>
      <c r="BB144" s="531"/>
    </row>
    <row r="145" spans="1:54" s="495" customFormat="1" outlineLevel="1" x14ac:dyDescent="0.25">
      <c r="A145" s="445"/>
      <c r="B145" s="623" t="s">
        <v>193</v>
      </c>
      <c r="C145" s="310" t="s">
        <v>201</v>
      </c>
      <c r="D145" s="604"/>
      <c r="E145" s="604">
        <v>129</v>
      </c>
      <c r="F145" s="604">
        <v>150</v>
      </c>
      <c r="G145" s="604">
        <v>124</v>
      </c>
      <c r="H145" s="618">
        <f>IFERROR(AVERAGE(D145:G145),0)</f>
        <v>134.33333333333334</v>
      </c>
      <c r="I145" s="127">
        <f t="shared" si="120"/>
        <v>1612</v>
      </c>
      <c r="J145" s="127">
        <f t="shared" si="121"/>
        <v>1692.6</v>
      </c>
      <c r="K145" s="127">
        <f t="shared" si="121"/>
        <v>1777.23</v>
      </c>
      <c r="L145" s="127">
        <f t="shared" si="121"/>
        <v>1866.0915</v>
      </c>
      <c r="M145" s="127">
        <f t="shared" si="121"/>
        <v>1959.3960750000001</v>
      </c>
      <c r="N145" s="245" t="str">
        <f t="shared" si="122"/>
        <v>QualiFile Advantage (Base Service) Transaction Volumes</v>
      </c>
      <c r="O145" s="748">
        <v>4.8499999999999996</v>
      </c>
      <c r="P145" s="757">
        <f>Q145/12</f>
        <v>651.51666666666665</v>
      </c>
      <c r="Q145" s="129">
        <f t="shared" si="128"/>
        <v>7818.2</v>
      </c>
      <c r="R145" s="129">
        <f t="shared" si="129"/>
        <v>8209.1099999999988</v>
      </c>
      <c r="S145" s="129">
        <f t="shared" si="129"/>
        <v>8619.5654999999988</v>
      </c>
      <c r="T145" s="129">
        <f t="shared" si="129"/>
        <v>9050.5437750000001</v>
      </c>
      <c r="U145" s="129">
        <f t="shared" si="129"/>
        <v>9503.0709637500004</v>
      </c>
      <c r="V145" s="209">
        <f>IF((SUM(Q145:U145))&lt;(O145*60),0,(SUM(Q145:U145)))</f>
        <v>43200.49023874999</v>
      </c>
      <c r="W145" s="528"/>
      <c r="X145" s="222" t="str">
        <f t="shared" si="118"/>
        <v>QualiFile Advantage (Base Service) Transaction Volumes</v>
      </c>
      <c r="Y145" s="325">
        <v>4.3150000000000004</v>
      </c>
      <c r="Z145" s="774">
        <f>AA145/12</f>
        <v>579.64833333333343</v>
      </c>
      <c r="AA145" s="103">
        <f t="shared" si="123"/>
        <v>6955.7800000000007</v>
      </c>
      <c r="AB145" s="103">
        <f t="shared" si="124"/>
        <v>7303.5690000000004</v>
      </c>
      <c r="AC145" s="103">
        <f t="shared" si="124"/>
        <v>7668.7474500000008</v>
      </c>
      <c r="AD145" s="103">
        <f t="shared" si="124"/>
        <v>8052.1848225000003</v>
      </c>
      <c r="AE145" s="103">
        <f t="shared" si="124"/>
        <v>8454.7940636250005</v>
      </c>
      <c r="AF145" s="123">
        <f>IF((SUM(AA145:AE145))&lt;(Y146*60),0,(SUM(AA145:AE145)))</f>
        <v>38435.075336125003</v>
      </c>
      <c r="AG145" s="743"/>
      <c r="AH145" s="370"/>
      <c r="AI145" s="221" t="str">
        <f t="shared" si="119"/>
        <v>QualiFile Advantage (Base Service) Transaction Volumes</v>
      </c>
      <c r="AJ145" s="270">
        <v>4.3150000000000004</v>
      </c>
      <c r="AK145" s="896">
        <f t="shared" si="125"/>
        <v>579.64833333333343</v>
      </c>
      <c r="AL145" s="105" cm="1">
        <f t="array" ref="AL145">_xlfn.IFS($AJ145="NO CHARGE",0,$AJ145=0,0,$AJ145&gt;0,PRODUCT(I145,$AJ145))</f>
        <v>6955.7800000000007</v>
      </c>
      <c r="AM145" s="105" cm="1">
        <f t="array" ref="AM145">_xlfn.IFS($AJ145="NO CHARGE",0,$AJ145=0,0,$AJ145&gt;0,PRODUCT(J145,$AJ145))</f>
        <v>7303.5690000000004</v>
      </c>
      <c r="AN145" s="105" cm="1">
        <f t="array" ref="AN145">_xlfn.IFS($AJ145="NO CHARGE",0,$AJ145=0,0,$AJ145&gt;0,PRODUCT(K145,$AJ145))</f>
        <v>7668.7474500000008</v>
      </c>
      <c r="AO145" s="105" cm="1">
        <f t="array" ref="AO145">_xlfn.IFS($AJ145="NO CHARGE",0,$AJ145=0,0,$AJ145&gt;0,PRODUCT(L145,$AJ145))</f>
        <v>8052.1848225000003</v>
      </c>
      <c r="AP145" s="105" cm="1">
        <f t="array" ref="AP145">_xlfn.IFS($AJ145="NO CHARGE",0,$AJ145=0,0,$AJ145&gt;0,PRODUCT(M145,$AJ145))</f>
        <v>8454.7940636250005</v>
      </c>
      <c r="AQ145" s="158">
        <f>IF((SUM(AL145:AP145))&lt;(AJ146*60),0,(SUM(AL145:AP145)))</f>
        <v>38435.075336125003</v>
      </c>
      <c r="AR145" s="875"/>
      <c r="AS145" s="473"/>
      <c r="AT145" s="106"/>
      <c r="AU145" s="107"/>
      <c r="AV145" s="108">
        <f t="shared" si="126"/>
        <v>0</v>
      </c>
      <c r="AW145" s="108">
        <f t="shared" si="126"/>
        <v>0</v>
      </c>
      <c r="AX145" s="108">
        <f t="shared" si="126"/>
        <v>0</v>
      </c>
      <c r="AY145" s="108">
        <f t="shared" si="126"/>
        <v>0</v>
      </c>
      <c r="AZ145" s="108">
        <f t="shared" si="126"/>
        <v>0</v>
      </c>
      <c r="BA145" s="165">
        <f t="shared" si="127"/>
        <v>0</v>
      </c>
      <c r="BB145" s="531"/>
    </row>
    <row r="146" spans="1:54" s="732" customFormat="1" outlineLevel="1" x14ac:dyDescent="0.25">
      <c r="A146" s="784"/>
      <c r="B146" s="881" t="s">
        <v>193</v>
      </c>
      <c r="C146" s="676" t="s">
        <v>202</v>
      </c>
      <c r="D146" s="715"/>
      <c r="E146" s="715"/>
      <c r="F146" s="715"/>
      <c r="G146" s="715"/>
      <c r="H146" s="716">
        <v>1</v>
      </c>
      <c r="I146" s="717">
        <f t="shared" si="120"/>
        <v>12</v>
      </c>
      <c r="J146" s="717">
        <f t="shared" si="121"/>
        <v>12</v>
      </c>
      <c r="K146" s="717">
        <f t="shared" si="121"/>
        <v>12</v>
      </c>
      <c r="L146" s="717">
        <f t="shared" si="121"/>
        <v>12</v>
      </c>
      <c r="M146" s="717">
        <f t="shared" si="121"/>
        <v>12</v>
      </c>
      <c r="N146" s="718" t="str">
        <f t="shared" si="122"/>
        <v>QualiFile Advantage (Base Service) Monthly Minimum</v>
      </c>
      <c r="O146" s="785">
        <v>596.62</v>
      </c>
      <c r="P146" s="758">
        <f>Q146/12</f>
        <v>596.62</v>
      </c>
      <c r="Q146" s="720">
        <f t="shared" si="128"/>
        <v>7159.4400000000005</v>
      </c>
      <c r="R146" s="720">
        <f t="shared" si="129"/>
        <v>7159.4400000000005</v>
      </c>
      <c r="S146" s="720">
        <f t="shared" si="129"/>
        <v>7159.4400000000005</v>
      </c>
      <c r="T146" s="720">
        <f t="shared" si="129"/>
        <v>7159.4400000000005</v>
      </c>
      <c r="U146" s="720">
        <f t="shared" si="129"/>
        <v>7159.4400000000005</v>
      </c>
      <c r="V146" s="209"/>
      <c r="W146" s="621" t="s">
        <v>200</v>
      </c>
      <c r="X146" s="734" t="str">
        <f t="shared" si="118"/>
        <v>QualiFile Advantage (Base Service) Monthly Minimum</v>
      </c>
      <c r="Y146" s="722">
        <v>596.62</v>
      </c>
      <c r="Z146" s="775">
        <f>AA146/12</f>
        <v>596.62</v>
      </c>
      <c r="AA146" s="723">
        <f t="shared" si="123"/>
        <v>7159.4400000000005</v>
      </c>
      <c r="AB146" s="723">
        <f t="shared" si="124"/>
        <v>7159.4400000000005</v>
      </c>
      <c r="AC146" s="723">
        <f t="shared" si="124"/>
        <v>7159.4400000000005</v>
      </c>
      <c r="AD146" s="723">
        <f t="shared" si="124"/>
        <v>7159.4400000000005</v>
      </c>
      <c r="AE146" s="723">
        <f t="shared" si="124"/>
        <v>7159.4400000000005</v>
      </c>
      <c r="AF146" s="724">
        <f>IF((SUM(AA146:AE146))&lt;(SUM(AA145:AE145)), 0, SUM(AA146:AE146))</f>
        <v>0</v>
      </c>
      <c r="AG146" s="744"/>
      <c r="AH146" s="725" t="s">
        <v>74</v>
      </c>
      <c r="AI146" s="726" t="str">
        <f t="shared" si="119"/>
        <v>QualiFile Advantage (Base Service) Monthly Minimum</v>
      </c>
      <c r="AJ146" s="885">
        <v>562</v>
      </c>
      <c r="AK146" s="898">
        <f t="shared" si="125"/>
        <v>562</v>
      </c>
      <c r="AL146" s="727" cm="1">
        <f t="array" ref="AL146">_xlfn.IFS($AJ146="NO CHARGE",0,$AJ146=0,0,$AJ146&gt;0,PRODUCT(I146,$AJ146))</f>
        <v>6744</v>
      </c>
      <c r="AM146" s="727" cm="1">
        <f t="array" ref="AM146">_xlfn.IFS($AJ146="NO CHARGE",0,$AJ146=0,0,$AJ146&gt;0,PRODUCT(J146,$AJ146))</f>
        <v>6744</v>
      </c>
      <c r="AN146" s="727" cm="1">
        <f t="array" ref="AN146">_xlfn.IFS($AJ146="NO CHARGE",0,$AJ146=0,0,$AJ146&gt;0,PRODUCT(K146,$AJ146))</f>
        <v>6744</v>
      </c>
      <c r="AO146" s="727" cm="1">
        <f t="array" ref="AO146">_xlfn.IFS($AJ146="NO CHARGE",0,$AJ146=0,0,$AJ146&gt;0,PRODUCT(L146,$AJ146))</f>
        <v>6744</v>
      </c>
      <c r="AP146" s="727" cm="1">
        <f t="array" ref="AP146">_xlfn.IFS($AJ146="NO CHARGE",0,$AJ146=0,0,$AJ146&gt;0,PRODUCT(M146,$AJ146))</f>
        <v>6744</v>
      </c>
      <c r="AQ146" s="158">
        <f>IF((SUM(AL146:AP146))&lt;(SUM(AL145:AP145)), 0, SUM(AL146:AP146))</f>
        <v>0</v>
      </c>
      <c r="AR146" s="876"/>
      <c r="AS146" s="473" t="s">
        <v>74</v>
      </c>
      <c r="AT146" s="728"/>
      <c r="AU146" s="729"/>
      <c r="AV146" s="730">
        <f t="shared" si="126"/>
        <v>0</v>
      </c>
      <c r="AW146" s="730">
        <f t="shared" si="126"/>
        <v>0</v>
      </c>
      <c r="AX146" s="730">
        <f t="shared" si="126"/>
        <v>0</v>
      </c>
      <c r="AY146" s="730">
        <f t="shared" si="126"/>
        <v>0</v>
      </c>
      <c r="AZ146" s="730">
        <f t="shared" si="126"/>
        <v>0</v>
      </c>
      <c r="BA146" s="731">
        <f t="shared" si="127"/>
        <v>0</v>
      </c>
      <c r="BB146" s="531"/>
    </row>
    <row r="147" spans="1:54" s="495" customFormat="1" outlineLevel="1" x14ac:dyDescent="0.25">
      <c r="A147" s="445"/>
      <c r="B147" s="623"/>
      <c r="C147" s="310" t="str">
        <f>PROPER(C105)</f>
        <v/>
      </c>
      <c r="D147" s="604"/>
      <c r="E147" s="604"/>
      <c r="F147" s="604"/>
      <c r="G147" s="604"/>
      <c r="H147" s="618">
        <f>IFERROR(AVERAGE(D147:G147),0)</f>
        <v>0</v>
      </c>
      <c r="I147" s="127">
        <f t="shared" si="120"/>
        <v>0</v>
      </c>
      <c r="J147" s="127">
        <f t="shared" si="121"/>
        <v>0</v>
      </c>
      <c r="K147" s="127">
        <f t="shared" si="121"/>
        <v>0</v>
      </c>
      <c r="L147" s="127">
        <f t="shared" si="121"/>
        <v>0</v>
      </c>
      <c r="M147" s="127">
        <f t="shared" si="121"/>
        <v>0</v>
      </c>
      <c r="N147" s="245" t="str">
        <f t="shared" si="122"/>
        <v/>
      </c>
      <c r="O147" s="748"/>
      <c r="P147" s="757">
        <f>Q147/12</f>
        <v>0</v>
      </c>
      <c r="Q147" s="129">
        <f t="shared" si="128"/>
        <v>0</v>
      </c>
      <c r="R147" s="129">
        <f t="shared" si="129"/>
        <v>0</v>
      </c>
      <c r="S147" s="129">
        <f t="shared" si="129"/>
        <v>0</v>
      </c>
      <c r="T147" s="129">
        <f t="shared" si="129"/>
        <v>0</v>
      </c>
      <c r="U147" s="129">
        <f t="shared" si="129"/>
        <v>0</v>
      </c>
      <c r="V147" s="209">
        <f>SUM(Q147:U147)</f>
        <v>0</v>
      </c>
      <c r="W147" s="621"/>
      <c r="X147" s="222"/>
      <c r="Y147" s="325"/>
      <c r="Z147" s="774">
        <f>AA147/12</f>
        <v>0</v>
      </c>
      <c r="AA147" s="103">
        <f t="shared" si="123"/>
        <v>0</v>
      </c>
      <c r="AB147" s="103">
        <f t="shared" si="124"/>
        <v>0</v>
      </c>
      <c r="AC147" s="103">
        <f t="shared" si="124"/>
        <v>0</v>
      </c>
      <c r="AD147" s="103">
        <f t="shared" si="124"/>
        <v>0</v>
      </c>
      <c r="AE147" s="103">
        <f t="shared" si="124"/>
        <v>0</v>
      </c>
      <c r="AF147" s="123">
        <f>SUM(AA147:AE147)</f>
        <v>0</v>
      </c>
      <c r="AG147" s="743"/>
      <c r="AH147" s="362"/>
      <c r="AI147" s="221"/>
      <c r="AJ147" s="270"/>
      <c r="AK147" s="896">
        <f t="shared" si="125"/>
        <v>0</v>
      </c>
      <c r="AL147" s="105" cm="1">
        <f t="array" ref="AL147">_xlfn.IFS($AJ147="NO CHARGE",0,$AJ147=0,0,$AJ147&gt;0,PRODUCT(I147,$AJ147))</f>
        <v>0</v>
      </c>
      <c r="AM147" s="105" cm="1">
        <f t="array" ref="AM147">_xlfn.IFS($AJ147="NO CHARGE",0,$AJ147=0,0,$AJ147&gt;0,PRODUCT(J147,$AJ147))</f>
        <v>0</v>
      </c>
      <c r="AN147" s="105" cm="1">
        <f t="array" ref="AN147">_xlfn.IFS($AJ147="NO CHARGE",0,$AJ147=0,0,$AJ147&gt;0,PRODUCT(K147,$AJ147))</f>
        <v>0</v>
      </c>
      <c r="AO147" s="105" cm="1">
        <f t="array" ref="AO147">_xlfn.IFS($AJ147="NO CHARGE",0,$AJ147=0,0,$AJ147&gt;0,PRODUCT(L147,$AJ147))</f>
        <v>0</v>
      </c>
      <c r="AP147" s="105" cm="1">
        <f t="array" ref="AP147">_xlfn.IFS($AJ147="NO CHARGE",0,$AJ147=0,0,$AJ147&gt;0,PRODUCT(M147,$AJ147))</f>
        <v>0</v>
      </c>
      <c r="AQ147" s="158">
        <f t="shared" ref="AQ147:AQ161" si="130">SUM(AL147:AP147)</f>
        <v>0</v>
      </c>
      <c r="AR147" s="875"/>
      <c r="AS147" s="473"/>
      <c r="AT147" s="106"/>
      <c r="AU147" s="107"/>
      <c r="AV147" s="108">
        <f t="shared" si="126"/>
        <v>0</v>
      </c>
      <c r="AW147" s="108">
        <f t="shared" si="126"/>
        <v>0</v>
      </c>
      <c r="AX147" s="108">
        <f t="shared" si="126"/>
        <v>0</v>
      </c>
      <c r="AY147" s="108">
        <f t="shared" si="126"/>
        <v>0</v>
      </c>
      <c r="AZ147" s="108">
        <f t="shared" si="126"/>
        <v>0</v>
      </c>
      <c r="BA147" s="165">
        <f t="shared" si="127"/>
        <v>0</v>
      </c>
      <c r="BB147" s="531"/>
    </row>
    <row r="148" spans="1:54" s="495" customFormat="1" outlineLevel="1" x14ac:dyDescent="0.25">
      <c r="A148" s="445"/>
      <c r="B148" s="252" t="str">
        <f>C148</f>
        <v>Content Management:</v>
      </c>
      <c r="C148" s="242" t="s">
        <v>203</v>
      </c>
      <c r="D148" s="608"/>
      <c r="E148" s="608"/>
      <c r="F148" s="608"/>
      <c r="G148" s="608"/>
      <c r="H148" s="243"/>
      <c r="I148" s="243"/>
      <c r="J148" s="243"/>
      <c r="K148" s="243"/>
      <c r="L148" s="243"/>
      <c r="M148" s="244"/>
      <c r="N148" s="252" t="str">
        <f>C148</f>
        <v>Content Management:</v>
      </c>
      <c r="O148" s="243"/>
      <c r="P148" s="756"/>
      <c r="Q148" s="243"/>
      <c r="R148" s="243"/>
      <c r="S148" s="243"/>
      <c r="T148" s="243"/>
      <c r="U148" s="244"/>
      <c r="V148" s="209"/>
      <c r="W148" s="527"/>
      <c r="X148" s="252" t="str">
        <f>C148</f>
        <v>Content Management:</v>
      </c>
      <c r="Y148" s="707"/>
      <c r="Z148" s="756"/>
      <c r="AA148" s="243"/>
      <c r="AB148" s="243"/>
      <c r="AC148" s="243"/>
      <c r="AD148" s="243"/>
      <c r="AE148" s="244"/>
      <c r="AF148" s="123"/>
      <c r="AG148" s="742"/>
      <c r="AH148" s="244"/>
      <c r="AI148" s="252" t="str">
        <f>C148</f>
        <v>Content Management:</v>
      </c>
      <c r="AJ148" s="707"/>
      <c r="AK148" s="895"/>
      <c r="AL148" s="243"/>
      <c r="AM148" s="243"/>
      <c r="AN148" s="243"/>
      <c r="AO148" s="243"/>
      <c r="AP148" s="244"/>
      <c r="AQ148" s="158">
        <f t="shared" si="130"/>
        <v>0</v>
      </c>
      <c r="AR148" s="874"/>
      <c r="AS148" s="874"/>
      <c r="AT148" s="252" t="str">
        <f>C148</f>
        <v>Content Management:</v>
      </c>
      <c r="AU148" s="243"/>
      <c r="AV148" s="243"/>
      <c r="AW148" s="243"/>
      <c r="AX148" s="243"/>
      <c r="AY148" s="243"/>
      <c r="AZ148" s="244"/>
      <c r="BA148" s="165"/>
      <c r="BB148" s="532"/>
    </row>
    <row r="149" spans="1:54" s="495" customFormat="1" outlineLevel="1" x14ac:dyDescent="0.25">
      <c r="A149" s="787"/>
      <c r="B149" s="623" t="s">
        <v>204</v>
      </c>
      <c r="C149" s="310" t="s">
        <v>205</v>
      </c>
      <c r="D149" s="604"/>
      <c r="E149" s="604">
        <v>1</v>
      </c>
      <c r="F149" s="604">
        <v>1</v>
      </c>
      <c r="G149" s="604"/>
      <c r="H149" s="618">
        <f>IFERROR(AVERAGE(D149:F149),0)</f>
        <v>1</v>
      </c>
      <c r="I149" s="127">
        <f t="shared" ref="I149:I158" si="131">H149*12</f>
        <v>12</v>
      </c>
      <c r="J149" s="127">
        <f t="shared" ref="J149:M158" si="132">IF(I149&gt;12,(((I149)*$H$5)+I149),(I149*1))</f>
        <v>12</v>
      </c>
      <c r="K149" s="127">
        <f t="shared" si="132"/>
        <v>12</v>
      </c>
      <c r="L149" s="127">
        <f t="shared" si="132"/>
        <v>12</v>
      </c>
      <c r="M149" s="127">
        <f t="shared" si="132"/>
        <v>12</v>
      </c>
      <c r="N149" s="245" t="str">
        <f t="shared" ref="N149:N157" si="133">IF(C149="","",C149)</f>
        <v>Document Management</v>
      </c>
      <c r="O149" s="748">
        <v>3606.2372326</v>
      </c>
      <c r="P149" s="757">
        <f t="shared" ref="P149:P181" si="134">Q149/12</f>
        <v>3606.2372326</v>
      </c>
      <c r="Q149" s="129">
        <f t="shared" ref="Q149:Q181" si="135">IF(O149&gt;0,PRODUCT(I149,$O149),0)</f>
        <v>43274.846791199998</v>
      </c>
      <c r="R149" s="129">
        <f t="shared" ref="R149:R181" si="136">IF(Q149&gt;0,PRODUCT(J149,$O149),0)</f>
        <v>43274.846791199998</v>
      </c>
      <c r="S149" s="129">
        <f t="shared" ref="S149:S181" si="137">IF(R149&gt;0,PRODUCT(K149,$O149),0)</f>
        <v>43274.846791199998</v>
      </c>
      <c r="T149" s="129">
        <f t="shared" ref="T149:T181" si="138">IF(S149&gt;0,PRODUCT(L149,$O149),0)</f>
        <v>43274.846791199998</v>
      </c>
      <c r="U149" s="129">
        <f t="shared" ref="U149:U181" si="139">IF(T149&gt;0,PRODUCT(M149,$O149),0)</f>
        <v>43274.846791199998</v>
      </c>
      <c r="V149" s="209">
        <f t="shared" ref="V149:V181" si="140">SUM(Q149:U149)</f>
        <v>216374.23395599998</v>
      </c>
      <c r="W149" s="528"/>
      <c r="X149" s="222"/>
      <c r="Y149" s="325"/>
      <c r="Z149" s="774">
        <f t="shared" ref="Z149:Z161" si="141">AA149/12</f>
        <v>0</v>
      </c>
      <c r="AA149" s="103">
        <f t="shared" ref="AA149:AA161" si="142">IF(Y149&gt;0,PRODUCT(I149,$Y149),0)</f>
        <v>0</v>
      </c>
      <c r="AB149" s="103">
        <f t="shared" ref="AB149:AB161" si="143">IF(AA149&gt;0,PRODUCT(J149,$Y149),0)</f>
        <v>0</v>
      </c>
      <c r="AC149" s="103">
        <f t="shared" ref="AC149:AC161" si="144">IF(AB149&gt;0,PRODUCT(K149,$Y149),0)</f>
        <v>0</v>
      </c>
      <c r="AD149" s="103">
        <f t="shared" ref="AD149:AD161" si="145">IF(AC149&gt;0,PRODUCT(L149,$Y149),0)</f>
        <v>0</v>
      </c>
      <c r="AE149" s="103">
        <f t="shared" ref="AE149:AE161" si="146">IF(AD149&gt;0,PRODUCT(M149,$Y149),0)</f>
        <v>0</v>
      </c>
      <c r="AF149" s="123">
        <f t="shared" ref="AF149:AF161" si="147">SUM(AA149:AE149)</f>
        <v>0</v>
      </c>
      <c r="AG149" s="743"/>
      <c r="AH149" s="370"/>
      <c r="AI149" s="221"/>
      <c r="AJ149" s="270"/>
      <c r="AK149" s="896">
        <f t="shared" ref="AK149:AK161" si="148">AL149/12</f>
        <v>0</v>
      </c>
      <c r="AL149" s="105" cm="1">
        <f t="array" ref="AL149">_xlfn.IFS($AJ149="NO CHARGE",0,$AJ149="INCLUDED",0,$AJ149=0,0,$AJ149&gt;0,PRODUCT(I149,$AJ149))</f>
        <v>0</v>
      </c>
      <c r="AM149" s="105" cm="1">
        <f t="array" ref="AM149">_xlfn.IFS($AJ149="NO CHARGE",0,$AJ149="INCLUDED",0,$AJ149=0,0,$AJ149&gt;0,PRODUCT(J149,$AJ149))</f>
        <v>0</v>
      </c>
      <c r="AN149" s="105" cm="1">
        <f t="array" ref="AN149">_xlfn.IFS($AJ149="NO CHARGE",0,$AJ149="INCLUDED",0,$AJ149=0,0,$AJ149&gt;0,PRODUCT(K149,$AJ149))</f>
        <v>0</v>
      </c>
      <c r="AO149" s="105" cm="1">
        <f t="array" ref="AO149">_xlfn.IFS($AJ149="NO CHARGE",0,$AJ149="INCLUDED",0,$AJ149=0,0,$AJ149&gt;0,PRODUCT(L149,$AJ149))</f>
        <v>0</v>
      </c>
      <c r="AP149" s="105" cm="1">
        <f t="array" ref="AP149">_xlfn.IFS($AJ149="NO CHARGE",0,$AJ149="INCLUDED",0,$AJ149=0,0,$AJ149&gt;0,PRODUCT(M149,$AJ149))</f>
        <v>0</v>
      </c>
      <c r="AQ149" s="158">
        <f t="shared" si="130"/>
        <v>0</v>
      </c>
      <c r="AR149" s="875"/>
      <c r="AS149" s="473"/>
      <c r="AT149" s="106"/>
      <c r="AU149" s="107"/>
      <c r="AV149" s="108">
        <f t="shared" ref="AV149:AV181" si="149">IF(AU149&gt;0,PRODUCT(I149,$AU149),0)</f>
        <v>0</v>
      </c>
      <c r="AW149" s="108">
        <f t="shared" ref="AW149:AW181" si="150">IF(AV149&gt;0,PRODUCT(J149,$AU149),0)</f>
        <v>0</v>
      </c>
      <c r="AX149" s="108">
        <f t="shared" ref="AX149:AX181" si="151">IF(AW149&gt;0,PRODUCT(K149,$AU149),0)</f>
        <v>0</v>
      </c>
      <c r="AY149" s="108">
        <f t="shared" ref="AY149:AY181" si="152">IF(AX149&gt;0,PRODUCT(L149,$AU149),0)</f>
        <v>0</v>
      </c>
      <c r="AZ149" s="108">
        <f t="shared" ref="AZ149:AZ181" si="153">IF(AY149&gt;0,PRODUCT(M149,$AU149),0)</f>
        <v>0</v>
      </c>
      <c r="BA149" s="165">
        <f t="shared" ref="BA149:BA181" si="154">SUM(AV149:AZ149)</f>
        <v>0</v>
      </c>
      <c r="BB149" s="531"/>
    </row>
    <row r="150" spans="1:54" s="495" customFormat="1" outlineLevel="1" x14ac:dyDescent="0.25">
      <c r="A150" s="787"/>
      <c r="B150" s="623" t="s">
        <v>204</v>
      </c>
      <c r="C150" s="310" t="s">
        <v>206</v>
      </c>
      <c r="D150" s="604">
        <v>7</v>
      </c>
      <c r="E150" s="604">
        <v>268</v>
      </c>
      <c r="F150" s="604">
        <v>264</v>
      </c>
      <c r="G150" s="604"/>
      <c r="H150" s="618">
        <f>IFERROR(AVERAGE(D150:F150),0)</f>
        <v>179.66666666666666</v>
      </c>
      <c r="I150" s="127">
        <f t="shared" si="131"/>
        <v>2156</v>
      </c>
      <c r="J150" s="127">
        <f t="shared" si="132"/>
        <v>2263.8000000000002</v>
      </c>
      <c r="K150" s="127">
        <f t="shared" si="132"/>
        <v>2376.9900000000002</v>
      </c>
      <c r="L150" s="127">
        <f t="shared" si="132"/>
        <v>2495.8395</v>
      </c>
      <c r="M150" s="127">
        <f t="shared" si="132"/>
        <v>2620.6314750000001</v>
      </c>
      <c r="N150" s="245" t="str">
        <f t="shared" si="133"/>
        <v>Document Management - Storage</v>
      </c>
      <c r="O150" s="748">
        <v>1.2473719999999999</v>
      </c>
      <c r="P150" s="757">
        <f t="shared" si="134"/>
        <v>224.11116933333332</v>
      </c>
      <c r="Q150" s="129">
        <f t="shared" si="135"/>
        <v>2689.3340319999998</v>
      </c>
      <c r="R150" s="129">
        <f t="shared" si="136"/>
        <v>2823.8007336000001</v>
      </c>
      <c r="S150" s="129">
        <f t="shared" si="137"/>
        <v>2964.9907702800001</v>
      </c>
      <c r="T150" s="129">
        <f t="shared" si="138"/>
        <v>3113.2403087939997</v>
      </c>
      <c r="U150" s="129">
        <f t="shared" si="139"/>
        <v>3268.9023242336998</v>
      </c>
      <c r="V150" s="209">
        <f t="shared" si="140"/>
        <v>14860.2681689077</v>
      </c>
      <c r="W150" s="621"/>
      <c r="X150" s="222"/>
      <c r="Y150" s="325"/>
      <c r="Z150" s="774">
        <f t="shared" si="141"/>
        <v>0</v>
      </c>
      <c r="AA150" s="103">
        <f t="shared" si="142"/>
        <v>0</v>
      </c>
      <c r="AB150" s="103">
        <f t="shared" si="143"/>
        <v>0</v>
      </c>
      <c r="AC150" s="103">
        <f t="shared" si="144"/>
        <v>0</v>
      </c>
      <c r="AD150" s="103">
        <f t="shared" si="145"/>
        <v>0</v>
      </c>
      <c r="AE150" s="103">
        <f t="shared" si="146"/>
        <v>0</v>
      </c>
      <c r="AF150" s="123">
        <f t="shared" si="147"/>
        <v>0</v>
      </c>
      <c r="AG150" s="743"/>
      <c r="AH150" s="362"/>
      <c r="AI150" s="221"/>
      <c r="AJ150" s="270"/>
      <c r="AK150" s="896">
        <f t="shared" si="148"/>
        <v>0</v>
      </c>
      <c r="AL150" s="105" cm="1">
        <f t="array" ref="AL150">_xlfn.IFS($AJ150="NO CHARGE",0,$AJ150="INCLUDED",0,$AJ150=0,0,$AJ150&gt;0,PRODUCT(I150,$AJ150))</f>
        <v>0</v>
      </c>
      <c r="AM150" s="105" cm="1">
        <f t="array" ref="AM150">_xlfn.IFS($AJ150="NO CHARGE",0,$AJ150="INCLUDED",0,$AJ150=0,0,$AJ150&gt;0,PRODUCT(J150,$AJ150))</f>
        <v>0</v>
      </c>
      <c r="AN150" s="105" cm="1">
        <f t="array" ref="AN150">_xlfn.IFS($AJ150="NO CHARGE",0,$AJ150="INCLUDED",0,$AJ150=0,0,$AJ150&gt;0,PRODUCT(K150,$AJ150))</f>
        <v>0</v>
      </c>
      <c r="AO150" s="105" cm="1">
        <f t="array" ref="AO150">_xlfn.IFS($AJ150="NO CHARGE",0,$AJ150="INCLUDED",0,$AJ150=0,0,$AJ150&gt;0,PRODUCT(L150,$AJ150))</f>
        <v>0</v>
      </c>
      <c r="AP150" s="105" cm="1">
        <f t="array" ref="AP150">_xlfn.IFS($AJ150="NO CHARGE",0,$AJ150="INCLUDED",0,$AJ150=0,0,$AJ150&gt;0,PRODUCT(M150,$AJ150))</f>
        <v>0</v>
      </c>
      <c r="AQ150" s="158">
        <f t="shared" si="130"/>
        <v>0</v>
      </c>
      <c r="AR150" s="875"/>
      <c r="AS150" s="473"/>
      <c r="AT150" s="106"/>
      <c r="AU150" s="107"/>
      <c r="AV150" s="108">
        <f t="shared" si="149"/>
        <v>0</v>
      </c>
      <c r="AW150" s="108">
        <f t="shared" si="150"/>
        <v>0</v>
      </c>
      <c r="AX150" s="108">
        <f t="shared" si="151"/>
        <v>0</v>
      </c>
      <c r="AY150" s="108">
        <f t="shared" si="152"/>
        <v>0</v>
      </c>
      <c r="AZ150" s="108">
        <f t="shared" si="153"/>
        <v>0</v>
      </c>
      <c r="BA150" s="165">
        <f t="shared" si="154"/>
        <v>0</v>
      </c>
      <c r="BB150" s="531"/>
    </row>
    <row r="151" spans="1:54" s="495" customFormat="1" outlineLevel="1" x14ac:dyDescent="0.25">
      <c r="A151" s="787"/>
      <c r="B151" s="623" t="s">
        <v>204</v>
      </c>
      <c r="C151" s="310" t="s">
        <v>207</v>
      </c>
      <c r="D151" s="604"/>
      <c r="E151" s="604">
        <v>1</v>
      </c>
      <c r="F151" s="604">
        <v>1</v>
      </c>
      <c r="G151" s="604"/>
      <c r="H151" s="618">
        <f t="shared" ref="H151:H157" si="155">IFERROR(AVERAGE(D151:G151),0)</f>
        <v>1</v>
      </c>
      <c r="I151" s="127">
        <f t="shared" si="131"/>
        <v>12</v>
      </c>
      <c r="J151" s="127">
        <f t="shared" si="132"/>
        <v>12</v>
      </c>
      <c r="K151" s="127">
        <f t="shared" si="132"/>
        <v>12</v>
      </c>
      <c r="L151" s="127">
        <f t="shared" si="132"/>
        <v>12</v>
      </c>
      <c r="M151" s="127">
        <f t="shared" si="132"/>
        <v>12</v>
      </c>
      <c r="N151" s="245" t="str">
        <f t="shared" si="133"/>
        <v>Reports Management</v>
      </c>
      <c r="O151" s="748">
        <v>1367.1315</v>
      </c>
      <c r="P151" s="757">
        <f t="shared" si="134"/>
        <v>1367.1315000000002</v>
      </c>
      <c r="Q151" s="129">
        <f t="shared" si="135"/>
        <v>16405.578000000001</v>
      </c>
      <c r="R151" s="129">
        <f t="shared" si="136"/>
        <v>16405.578000000001</v>
      </c>
      <c r="S151" s="129">
        <f t="shared" si="137"/>
        <v>16405.578000000001</v>
      </c>
      <c r="T151" s="129">
        <f t="shared" si="138"/>
        <v>16405.578000000001</v>
      </c>
      <c r="U151" s="129">
        <f t="shared" si="139"/>
        <v>16405.578000000001</v>
      </c>
      <c r="V151" s="209">
        <f t="shared" si="140"/>
        <v>82027.890000000014</v>
      </c>
      <c r="W151" s="621"/>
      <c r="X151" s="222"/>
      <c r="Y151" s="325"/>
      <c r="Z151" s="774">
        <f t="shared" si="141"/>
        <v>0</v>
      </c>
      <c r="AA151" s="103">
        <f t="shared" si="142"/>
        <v>0</v>
      </c>
      <c r="AB151" s="103">
        <f t="shared" si="143"/>
        <v>0</v>
      </c>
      <c r="AC151" s="103">
        <f t="shared" si="144"/>
        <v>0</v>
      </c>
      <c r="AD151" s="103">
        <f t="shared" si="145"/>
        <v>0</v>
      </c>
      <c r="AE151" s="103">
        <f t="shared" si="146"/>
        <v>0</v>
      </c>
      <c r="AF151" s="123">
        <f t="shared" si="147"/>
        <v>0</v>
      </c>
      <c r="AG151" s="743"/>
      <c r="AH151" s="362"/>
      <c r="AI151" s="221"/>
      <c r="AJ151" s="270"/>
      <c r="AK151" s="896">
        <f t="shared" si="148"/>
        <v>0</v>
      </c>
      <c r="AL151" s="105" cm="1">
        <f t="array" ref="AL151">_xlfn.IFS($AJ151="NO CHARGE",0,$AJ151="INCLUDED",0,$AJ151=0,0,$AJ151&gt;0,PRODUCT(I151,$AJ151))</f>
        <v>0</v>
      </c>
      <c r="AM151" s="105" cm="1">
        <f t="array" ref="AM151">_xlfn.IFS($AJ151="NO CHARGE",0,$AJ151="INCLUDED",0,$AJ151=0,0,$AJ151&gt;0,PRODUCT(J151,$AJ151))</f>
        <v>0</v>
      </c>
      <c r="AN151" s="105" cm="1">
        <f t="array" ref="AN151">_xlfn.IFS($AJ151="NO CHARGE",0,$AJ151="INCLUDED",0,$AJ151=0,0,$AJ151&gt;0,PRODUCT(K151,$AJ151))</f>
        <v>0</v>
      </c>
      <c r="AO151" s="105" cm="1">
        <f t="array" ref="AO151">_xlfn.IFS($AJ151="NO CHARGE",0,$AJ151="INCLUDED",0,$AJ151=0,0,$AJ151&gt;0,PRODUCT(L151,$AJ151))</f>
        <v>0</v>
      </c>
      <c r="AP151" s="105" cm="1">
        <f t="array" ref="AP151">_xlfn.IFS($AJ151="NO CHARGE",0,$AJ151="INCLUDED",0,$AJ151=0,0,$AJ151&gt;0,PRODUCT(M151,$AJ151))</f>
        <v>0</v>
      </c>
      <c r="AQ151" s="158">
        <f t="shared" si="130"/>
        <v>0</v>
      </c>
      <c r="AR151" s="875"/>
      <c r="AS151" s="473"/>
      <c r="AT151" s="106"/>
      <c r="AU151" s="107"/>
      <c r="AV151" s="108">
        <f t="shared" si="149"/>
        <v>0</v>
      </c>
      <c r="AW151" s="108">
        <f t="shared" si="150"/>
        <v>0</v>
      </c>
      <c r="AX151" s="108">
        <f t="shared" si="151"/>
        <v>0</v>
      </c>
      <c r="AY151" s="108">
        <f t="shared" si="152"/>
        <v>0</v>
      </c>
      <c r="AZ151" s="108">
        <f t="shared" si="153"/>
        <v>0</v>
      </c>
      <c r="BA151" s="165">
        <f t="shared" si="154"/>
        <v>0</v>
      </c>
      <c r="BB151" s="531"/>
    </row>
    <row r="152" spans="1:54" s="495" customFormat="1" outlineLevel="1" x14ac:dyDescent="0.25">
      <c r="A152" s="787"/>
      <c r="B152" s="623" t="s">
        <v>204</v>
      </c>
      <c r="C152" s="310" t="s">
        <v>208</v>
      </c>
      <c r="D152" s="604"/>
      <c r="E152" s="604">
        <v>173</v>
      </c>
      <c r="F152" s="604">
        <v>173</v>
      </c>
      <c r="G152" s="604"/>
      <c r="H152" s="618">
        <f t="shared" si="155"/>
        <v>173</v>
      </c>
      <c r="I152" s="127">
        <f t="shared" si="131"/>
        <v>2076</v>
      </c>
      <c r="J152" s="127">
        <f t="shared" si="132"/>
        <v>2179.8000000000002</v>
      </c>
      <c r="K152" s="127">
        <f t="shared" si="132"/>
        <v>2288.79</v>
      </c>
      <c r="L152" s="127">
        <f t="shared" si="132"/>
        <v>2403.2294999999999</v>
      </c>
      <c r="M152" s="127">
        <f t="shared" si="132"/>
        <v>2523.3909749999998</v>
      </c>
      <c r="N152" s="245" t="str">
        <f t="shared" si="133"/>
        <v>Reports Management - Storage</v>
      </c>
      <c r="O152" s="748">
        <v>0.58002799999999999</v>
      </c>
      <c r="P152" s="757">
        <f t="shared" si="134"/>
        <v>100.34484400000001</v>
      </c>
      <c r="Q152" s="129">
        <f t="shared" si="135"/>
        <v>1204.1381280000001</v>
      </c>
      <c r="R152" s="129">
        <f t="shared" si="136"/>
        <v>1264.3450344</v>
      </c>
      <c r="S152" s="129">
        <f t="shared" si="137"/>
        <v>1327.56228612</v>
      </c>
      <c r="T152" s="129">
        <f t="shared" si="138"/>
        <v>1393.940400426</v>
      </c>
      <c r="U152" s="129">
        <f t="shared" si="139"/>
        <v>1463.6374204472997</v>
      </c>
      <c r="V152" s="209">
        <f t="shared" si="140"/>
        <v>6653.6232693932998</v>
      </c>
      <c r="W152" s="528"/>
      <c r="X152" s="222"/>
      <c r="Y152" s="325"/>
      <c r="Z152" s="774">
        <f t="shared" si="141"/>
        <v>0</v>
      </c>
      <c r="AA152" s="103">
        <f t="shared" si="142"/>
        <v>0</v>
      </c>
      <c r="AB152" s="103">
        <f t="shared" si="143"/>
        <v>0</v>
      </c>
      <c r="AC152" s="103">
        <f t="shared" si="144"/>
        <v>0</v>
      </c>
      <c r="AD152" s="103">
        <f t="shared" si="145"/>
        <v>0</v>
      </c>
      <c r="AE152" s="103">
        <f t="shared" si="146"/>
        <v>0</v>
      </c>
      <c r="AF152" s="123">
        <f t="shared" si="147"/>
        <v>0</v>
      </c>
      <c r="AG152" s="743"/>
      <c r="AH152" s="370"/>
      <c r="AI152" s="221"/>
      <c r="AJ152" s="270"/>
      <c r="AK152" s="896">
        <f t="shared" si="148"/>
        <v>0</v>
      </c>
      <c r="AL152" s="105" cm="1">
        <f t="array" ref="AL152">_xlfn.IFS($AJ152="NO CHARGE",0,$AJ152="INCLUDED",0,$AJ152=0,0,$AJ152&gt;0,PRODUCT(I152,$AJ152))</f>
        <v>0</v>
      </c>
      <c r="AM152" s="105" cm="1">
        <f t="array" ref="AM152">_xlfn.IFS($AJ152="NO CHARGE",0,$AJ152="INCLUDED",0,$AJ152=0,0,$AJ152&gt;0,PRODUCT(J152,$AJ152))</f>
        <v>0</v>
      </c>
      <c r="AN152" s="105" cm="1">
        <f t="array" ref="AN152">_xlfn.IFS($AJ152="NO CHARGE",0,$AJ152="INCLUDED",0,$AJ152=0,0,$AJ152&gt;0,PRODUCT(K152,$AJ152))</f>
        <v>0</v>
      </c>
      <c r="AO152" s="105" cm="1">
        <f t="array" ref="AO152">_xlfn.IFS($AJ152="NO CHARGE",0,$AJ152="INCLUDED",0,$AJ152=0,0,$AJ152&gt;0,PRODUCT(L152,$AJ152))</f>
        <v>0</v>
      </c>
      <c r="AP152" s="105" cm="1">
        <f t="array" ref="AP152">_xlfn.IFS($AJ152="NO CHARGE",0,$AJ152="INCLUDED",0,$AJ152=0,0,$AJ152&gt;0,PRODUCT(M152,$AJ152))</f>
        <v>0</v>
      </c>
      <c r="AQ152" s="158">
        <f t="shared" si="130"/>
        <v>0</v>
      </c>
      <c r="AR152" s="875"/>
      <c r="AS152" s="473"/>
      <c r="AT152" s="106"/>
      <c r="AU152" s="107"/>
      <c r="AV152" s="108">
        <f t="shared" si="149"/>
        <v>0</v>
      </c>
      <c r="AW152" s="108">
        <f t="shared" si="150"/>
        <v>0</v>
      </c>
      <c r="AX152" s="108">
        <f t="shared" si="151"/>
        <v>0</v>
      </c>
      <c r="AY152" s="108">
        <f t="shared" si="152"/>
        <v>0</v>
      </c>
      <c r="AZ152" s="108">
        <f t="shared" si="153"/>
        <v>0</v>
      </c>
      <c r="BA152" s="165">
        <f t="shared" si="154"/>
        <v>0</v>
      </c>
      <c r="BB152" s="531"/>
    </row>
    <row r="153" spans="1:54" s="495" customFormat="1" outlineLevel="1" x14ac:dyDescent="0.25">
      <c r="A153" s="787"/>
      <c r="B153" s="623" t="s">
        <v>204</v>
      </c>
      <c r="C153" s="310" t="s">
        <v>209</v>
      </c>
      <c r="D153" s="604"/>
      <c r="E153" s="604">
        <v>1</v>
      </c>
      <c r="F153" s="604">
        <v>1</v>
      </c>
      <c r="G153" s="604"/>
      <c r="H153" s="618">
        <f t="shared" si="155"/>
        <v>1</v>
      </c>
      <c r="I153" s="127">
        <f t="shared" si="131"/>
        <v>12</v>
      </c>
      <c r="J153" s="127">
        <f t="shared" si="132"/>
        <v>12</v>
      </c>
      <c r="K153" s="127">
        <f t="shared" si="132"/>
        <v>12</v>
      </c>
      <c r="L153" s="127">
        <f t="shared" si="132"/>
        <v>12</v>
      </c>
      <c r="M153" s="127">
        <f t="shared" si="132"/>
        <v>12</v>
      </c>
      <c r="N153" s="245" t="str">
        <f t="shared" si="133"/>
        <v>eStatements Management</v>
      </c>
      <c r="O153" s="748">
        <v>147.74697509999999</v>
      </c>
      <c r="P153" s="757">
        <f t="shared" si="134"/>
        <v>147.74697509999999</v>
      </c>
      <c r="Q153" s="129">
        <f t="shared" si="135"/>
        <v>1772.9637011999998</v>
      </c>
      <c r="R153" s="129">
        <f t="shared" si="136"/>
        <v>1772.9637011999998</v>
      </c>
      <c r="S153" s="129">
        <f t="shared" si="137"/>
        <v>1772.9637011999998</v>
      </c>
      <c r="T153" s="129">
        <f t="shared" si="138"/>
        <v>1772.9637011999998</v>
      </c>
      <c r="U153" s="129">
        <f t="shared" si="139"/>
        <v>1772.9637011999998</v>
      </c>
      <c r="V153" s="209">
        <f t="shared" si="140"/>
        <v>8864.8185059999996</v>
      </c>
      <c r="W153" s="621"/>
      <c r="X153" s="222"/>
      <c r="Y153" s="325"/>
      <c r="Z153" s="774">
        <f t="shared" si="141"/>
        <v>0</v>
      </c>
      <c r="AA153" s="103">
        <f t="shared" si="142"/>
        <v>0</v>
      </c>
      <c r="AB153" s="103">
        <f t="shared" si="143"/>
        <v>0</v>
      </c>
      <c r="AC153" s="103">
        <f t="shared" si="144"/>
        <v>0</v>
      </c>
      <c r="AD153" s="103">
        <f t="shared" si="145"/>
        <v>0</v>
      </c>
      <c r="AE153" s="103">
        <f t="shared" si="146"/>
        <v>0</v>
      </c>
      <c r="AF153" s="123">
        <f t="shared" si="147"/>
        <v>0</v>
      </c>
      <c r="AG153" s="743"/>
      <c r="AH153" s="362"/>
      <c r="AI153" s="221"/>
      <c r="AJ153" s="270"/>
      <c r="AK153" s="896">
        <f t="shared" si="148"/>
        <v>0</v>
      </c>
      <c r="AL153" s="105" cm="1">
        <f t="array" ref="AL153">_xlfn.IFS($AJ153="NO CHARGE",0,$AJ153="INCLUDED",0,$AJ153=0,0,$AJ153&gt;0,PRODUCT(I153,$AJ153))</f>
        <v>0</v>
      </c>
      <c r="AM153" s="105" cm="1">
        <f t="array" ref="AM153">_xlfn.IFS($AJ153="NO CHARGE",0,$AJ153="INCLUDED",0,$AJ153=0,0,$AJ153&gt;0,PRODUCT(J153,$AJ153))</f>
        <v>0</v>
      </c>
      <c r="AN153" s="105" cm="1">
        <f t="array" ref="AN153">_xlfn.IFS($AJ153="NO CHARGE",0,$AJ153="INCLUDED",0,$AJ153=0,0,$AJ153&gt;0,PRODUCT(K153,$AJ153))</f>
        <v>0</v>
      </c>
      <c r="AO153" s="105" cm="1">
        <f t="array" ref="AO153">_xlfn.IFS($AJ153="NO CHARGE",0,$AJ153="INCLUDED",0,$AJ153=0,0,$AJ153&gt;0,PRODUCT(L153,$AJ153))</f>
        <v>0</v>
      </c>
      <c r="AP153" s="105" cm="1">
        <f t="array" ref="AP153">_xlfn.IFS($AJ153="NO CHARGE",0,$AJ153="INCLUDED",0,$AJ153=0,0,$AJ153&gt;0,PRODUCT(M153,$AJ153))</f>
        <v>0</v>
      </c>
      <c r="AQ153" s="158">
        <f t="shared" si="130"/>
        <v>0</v>
      </c>
      <c r="AR153" s="875"/>
      <c r="AS153" s="473"/>
      <c r="AT153" s="106"/>
      <c r="AU153" s="107"/>
      <c r="AV153" s="108">
        <f t="shared" si="149"/>
        <v>0</v>
      </c>
      <c r="AW153" s="108">
        <f t="shared" si="150"/>
        <v>0</v>
      </c>
      <c r="AX153" s="108">
        <f t="shared" si="151"/>
        <v>0</v>
      </c>
      <c r="AY153" s="108">
        <f t="shared" si="152"/>
        <v>0</v>
      </c>
      <c r="AZ153" s="108">
        <f t="shared" si="153"/>
        <v>0</v>
      </c>
      <c r="BA153" s="165">
        <f t="shared" si="154"/>
        <v>0</v>
      </c>
      <c r="BB153" s="531"/>
    </row>
    <row r="154" spans="1:54" s="495" customFormat="1" outlineLevel="1" x14ac:dyDescent="0.25">
      <c r="A154" s="787"/>
      <c r="B154" s="623" t="s">
        <v>204</v>
      </c>
      <c r="C154" s="310" t="s">
        <v>210</v>
      </c>
      <c r="D154" s="604"/>
      <c r="E154" s="604">
        <v>24389</v>
      </c>
      <c r="F154" s="604">
        <v>24807</v>
      </c>
      <c r="G154" s="604"/>
      <c r="H154" s="618">
        <f t="shared" si="155"/>
        <v>24598</v>
      </c>
      <c r="I154" s="127">
        <f t="shared" si="131"/>
        <v>295176</v>
      </c>
      <c r="J154" s="127">
        <f t="shared" si="132"/>
        <v>309934.8</v>
      </c>
      <c r="K154" s="127">
        <f t="shared" si="132"/>
        <v>325431.53999999998</v>
      </c>
      <c r="L154" s="127">
        <f t="shared" si="132"/>
        <v>341703.11699999997</v>
      </c>
      <c r="M154" s="127">
        <f t="shared" si="132"/>
        <v>358788.27284999995</v>
      </c>
      <c r="N154" s="245" t="str">
        <f t="shared" si="133"/>
        <v>eStatements Management - Deposit eStatements Storage</v>
      </c>
      <c r="O154" s="748">
        <v>5.6313999999999999E-3</v>
      </c>
      <c r="P154" s="757">
        <f t="shared" si="134"/>
        <v>138.52117719999998</v>
      </c>
      <c r="Q154" s="129">
        <f t="shared" si="135"/>
        <v>1662.2541263999999</v>
      </c>
      <c r="R154" s="129">
        <f t="shared" si="136"/>
        <v>1745.3668327199998</v>
      </c>
      <c r="S154" s="129">
        <f t="shared" si="137"/>
        <v>1832.6351743559999</v>
      </c>
      <c r="T154" s="129">
        <f t="shared" si="138"/>
        <v>1924.2669330737999</v>
      </c>
      <c r="U154" s="129">
        <f t="shared" si="139"/>
        <v>2020.4802797274897</v>
      </c>
      <c r="V154" s="209">
        <f t="shared" si="140"/>
        <v>9185.0033462772881</v>
      </c>
      <c r="W154" s="621"/>
      <c r="X154" s="222"/>
      <c r="Y154" s="325"/>
      <c r="Z154" s="774">
        <f t="shared" si="141"/>
        <v>0</v>
      </c>
      <c r="AA154" s="103">
        <f t="shared" si="142"/>
        <v>0</v>
      </c>
      <c r="AB154" s="103">
        <f t="shared" si="143"/>
        <v>0</v>
      </c>
      <c r="AC154" s="103">
        <f t="shared" si="144"/>
        <v>0</v>
      </c>
      <c r="AD154" s="103">
        <f t="shared" si="145"/>
        <v>0</v>
      </c>
      <c r="AE154" s="103">
        <f t="shared" si="146"/>
        <v>0</v>
      </c>
      <c r="AF154" s="123">
        <f t="shared" si="147"/>
        <v>0</v>
      </c>
      <c r="AG154" s="743"/>
      <c r="AH154" s="362"/>
      <c r="AI154" s="221"/>
      <c r="AJ154" s="270"/>
      <c r="AK154" s="896">
        <f t="shared" si="148"/>
        <v>0</v>
      </c>
      <c r="AL154" s="105" cm="1">
        <f t="array" ref="AL154">_xlfn.IFS($AJ154="NO CHARGE",0,$AJ154="INCLUDED",0,$AJ154=0,0,$AJ154&gt;0,PRODUCT(I154,$AJ154))</f>
        <v>0</v>
      </c>
      <c r="AM154" s="105" cm="1">
        <f t="array" ref="AM154">_xlfn.IFS($AJ154="NO CHARGE",0,$AJ154="INCLUDED",0,$AJ154=0,0,$AJ154&gt;0,PRODUCT(J154,$AJ154))</f>
        <v>0</v>
      </c>
      <c r="AN154" s="105" cm="1">
        <f t="array" ref="AN154">_xlfn.IFS($AJ154="NO CHARGE",0,$AJ154="INCLUDED",0,$AJ154=0,0,$AJ154&gt;0,PRODUCT(K154,$AJ154))</f>
        <v>0</v>
      </c>
      <c r="AO154" s="105" cm="1">
        <f t="array" ref="AO154">_xlfn.IFS($AJ154="NO CHARGE",0,$AJ154="INCLUDED",0,$AJ154=0,0,$AJ154&gt;0,PRODUCT(L154,$AJ154))</f>
        <v>0</v>
      </c>
      <c r="AP154" s="105" cm="1">
        <f t="array" ref="AP154">_xlfn.IFS($AJ154="NO CHARGE",0,$AJ154="INCLUDED",0,$AJ154=0,0,$AJ154&gt;0,PRODUCT(M154,$AJ154))</f>
        <v>0</v>
      </c>
      <c r="AQ154" s="158">
        <f t="shared" si="130"/>
        <v>0</v>
      </c>
      <c r="AR154" s="875"/>
      <c r="AS154" s="473"/>
      <c r="AT154" s="106"/>
      <c r="AU154" s="107"/>
      <c r="AV154" s="108">
        <f t="shared" si="149"/>
        <v>0</v>
      </c>
      <c r="AW154" s="108">
        <f t="shared" si="150"/>
        <v>0</v>
      </c>
      <c r="AX154" s="108">
        <f t="shared" si="151"/>
        <v>0</v>
      </c>
      <c r="AY154" s="108">
        <f t="shared" si="152"/>
        <v>0</v>
      </c>
      <c r="AZ154" s="108">
        <f t="shared" si="153"/>
        <v>0</v>
      </c>
      <c r="BA154" s="165">
        <f t="shared" si="154"/>
        <v>0</v>
      </c>
      <c r="BB154" s="531"/>
    </row>
    <row r="155" spans="1:54" s="495" customFormat="1" outlineLevel="1" x14ac:dyDescent="0.25">
      <c r="A155" s="787"/>
      <c r="B155" s="623" t="s">
        <v>204</v>
      </c>
      <c r="C155" s="310" t="s">
        <v>211</v>
      </c>
      <c r="D155" s="604"/>
      <c r="E155" s="604">
        <v>1</v>
      </c>
      <c r="F155" s="604">
        <v>1</v>
      </c>
      <c r="G155" s="604"/>
      <c r="H155" s="618">
        <f t="shared" si="155"/>
        <v>1</v>
      </c>
      <c r="I155" s="127">
        <f t="shared" si="131"/>
        <v>12</v>
      </c>
      <c r="J155" s="127">
        <f t="shared" si="132"/>
        <v>12</v>
      </c>
      <c r="K155" s="127">
        <f t="shared" si="132"/>
        <v>12</v>
      </c>
      <c r="L155" s="127">
        <f t="shared" si="132"/>
        <v>12</v>
      </c>
      <c r="M155" s="127">
        <f t="shared" si="132"/>
        <v>12</v>
      </c>
      <c r="N155" s="245" t="str">
        <f t="shared" si="133"/>
        <v>eStatements Management - API Access</v>
      </c>
      <c r="O155" s="748">
        <v>88.405976800000005</v>
      </c>
      <c r="P155" s="757">
        <f t="shared" si="134"/>
        <v>88.405976800000005</v>
      </c>
      <c r="Q155" s="129">
        <f t="shared" si="135"/>
        <v>1060.8717216</v>
      </c>
      <c r="R155" s="129">
        <f t="shared" si="136"/>
        <v>1060.8717216</v>
      </c>
      <c r="S155" s="129">
        <f t="shared" si="137"/>
        <v>1060.8717216</v>
      </c>
      <c r="T155" s="129">
        <f t="shared" si="138"/>
        <v>1060.8717216</v>
      </c>
      <c r="U155" s="129">
        <f t="shared" si="139"/>
        <v>1060.8717216</v>
      </c>
      <c r="V155" s="209">
        <f t="shared" si="140"/>
        <v>5304.3586080000005</v>
      </c>
      <c r="W155" s="528"/>
      <c r="X155" s="222"/>
      <c r="Y155" s="325"/>
      <c r="Z155" s="774">
        <f t="shared" si="141"/>
        <v>0</v>
      </c>
      <c r="AA155" s="103">
        <f t="shared" si="142"/>
        <v>0</v>
      </c>
      <c r="AB155" s="103">
        <f t="shared" si="143"/>
        <v>0</v>
      </c>
      <c r="AC155" s="103">
        <f t="shared" si="144"/>
        <v>0</v>
      </c>
      <c r="AD155" s="103">
        <f t="shared" si="145"/>
        <v>0</v>
      </c>
      <c r="AE155" s="103">
        <f t="shared" si="146"/>
        <v>0</v>
      </c>
      <c r="AF155" s="123">
        <f t="shared" si="147"/>
        <v>0</v>
      </c>
      <c r="AG155" s="743"/>
      <c r="AH155" s="370"/>
      <c r="AI155" s="221"/>
      <c r="AJ155" s="270"/>
      <c r="AK155" s="896">
        <f t="shared" si="148"/>
        <v>0</v>
      </c>
      <c r="AL155" s="105" cm="1">
        <f t="array" ref="AL155">_xlfn.IFS($AJ155="NO CHARGE",0,$AJ155="INCLUDED",0,$AJ155=0,0,$AJ155&gt;0,PRODUCT(I155,$AJ155))</f>
        <v>0</v>
      </c>
      <c r="AM155" s="105" cm="1">
        <f t="array" ref="AM155">_xlfn.IFS($AJ155="NO CHARGE",0,$AJ155="INCLUDED",0,$AJ155=0,0,$AJ155&gt;0,PRODUCT(J155,$AJ155))</f>
        <v>0</v>
      </c>
      <c r="AN155" s="105" cm="1">
        <f t="array" ref="AN155">_xlfn.IFS($AJ155="NO CHARGE",0,$AJ155="INCLUDED",0,$AJ155=0,0,$AJ155&gt;0,PRODUCT(K155,$AJ155))</f>
        <v>0</v>
      </c>
      <c r="AO155" s="105" cm="1">
        <f t="array" ref="AO155">_xlfn.IFS($AJ155="NO CHARGE",0,$AJ155="INCLUDED",0,$AJ155=0,0,$AJ155&gt;0,PRODUCT(L155,$AJ155))</f>
        <v>0</v>
      </c>
      <c r="AP155" s="105" cm="1">
        <f t="array" ref="AP155">_xlfn.IFS($AJ155="NO CHARGE",0,$AJ155="INCLUDED",0,$AJ155=0,0,$AJ155&gt;0,PRODUCT(M155,$AJ155))</f>
        <v>0</v>
      </c>
      <c r="AQ155" s="158">
        <f t="shared" si="130"/>
        <v>0</v>
      </c>
      <c r="AR155" s="875"/>
      <c r="AS155" s="473"/>
      <c r="AT155" s="106"/>
      <c r="AU155" s="107"/>
      <c r="AV155" s="108">
        <f t="shared" si="149"/>
        <v>0</v>
      </c>
      <c r="AW155" s="108">
        <f t="shared" si="150"/>
        <v>0</v>
      </c>
      <c r="AX155" s="108">
        <f t="shared" si="151"/>
        <v>0</v>
      </c>
      <c r="AY155" s="108">
        <f t="shared" si="152"/>
        <v>0</v>
      </c>
      <c r="AZ155" s="108">
        <f t="shared" si="153"/>
        <v>0</v>
      </c>
      <c r="BA155" s="165">
        <f t="shared" si="154"/>
        <v>0</v>
      </c>
      <c r="BB155" s="531"/>
    </row>
    <row r="156" spans="1:54" s="495" customFormat="1" outlineLevel="1" x14ac:dyDescent="0.25">
      <c r="A156" s="787"/>
      <c r="B156" s="623" t="s">
        <v>204</v>
      </c>
      <c r="C156" s="310" t="s">
        <v>212</v>
      </c>
      <c r="D156" s="604"/>
      <c r="E156" s="604">
        <v>1</v>
      </c>
      <c r="F156" s="604">
        <v>1</v>
      </c>
      <c r="G156" s="604"/>
      <c r="H156" s="618">
        <f t="shared" si="155"/>
        <v>1</v>
      </c>
      <c r="I156" s="127">
        <f t="shared" si="131"/>
        <v>12</v>
      </c>
      <c r="J156" s="127">
        <f t="shared" si="132"/>
        <v>12</v>
      </c>
      <c r="K156" s="127">
        <f t="shared" si="132"/>
        <v>12</v>
      </c>
      <c r="L156" s="127">
        <f t="shared" si="132"/>
        <v>12</v>
      </c>
      <c r="M156" s="127">
        <f t="shared" si="132"/>
        <v>12</v>
      </c>
      <c r="N156" s="245" t="str">
        <f t="shared" si="133"/>
        <v>Subpoena Centre</v>
      </c>
      <c r="O156" s="748">
        <v>100</v>
      </c>
      <c r="P156" s="757">
        <f t="shared" si="134"/>
        <v>100</v>
      </c>
      <c r="Q156" s="129">
        <f t="shared" si="135"/>
        <v>1200</v>
      </c>
      <c r="R156" s="129">
        <f t="shared" si="136"/>
        <v>1200</v>
      </c>
      <c r="S156" s="129">
        <f t="shared" si="137"/>
        <v>1200</v>
      </c>
      <c r="T156" s="129">
        <f t="shared" si="138"/>
        <v>1200</v>
      </c>
      <c r="U156" s="129">
        <f t="shared" si="139"/>
        <v>1200</v>
      </c>
      <c r="V156" s="209">
        <f t="shared" si="140"/>
        <v>6000</v>
      </c>
      <c r="W156" s="621"/>
      <c r="X156" s="222"/>
      <c r="Y156" s="325"/>
      <c r="Z156" s="774">
        <f t="shared" si="141"/>
        <v>0</v>
      </c>
      <c r="AA156" s="103">
        <f t="shared" si="142"/>
        <v>0</v>
      </c>
      <c r="AB156" s="103">
        <f t="shared" si="143"/>
        <v>0</v>
      </c>
      <c r="AC156" s="103">
        <f t="shared" si="144"/>
        <v>0</v>
      </c>
      <c r="AD156" s="103">
        <f t="shared" si="145"/>
        <v>0</v>
      </c>
      <c r="AE156" s="103">
        <f t="shared" si="146"/>
        <v>0</v>
      </c>
      <c r="AF156" s="123">
        <f t="shared" si="147"/>
        <v>0</v>
      </c>
      <c r="AG156" s="743"/>
      <c r="AH156" s="362"/>
      <c r="AI156" s="221"/>
      <c r="AJ156" s="270"/>
      <c r="AK156" s="896">
        <f t="shared" si="148"/>
        <v>0</v>
      </c>
      <c r="AL156" s="105" cm="1">
        <f t="array" ref="AL156">_xlfn.IFS($AJ156="NO CHARGE",0,$AJ156="INCLUDED",0,$AJ156=0,0,$AJ156&gt;0,PRODUCT(I156,$AJ156))</f>
        <v>0</v>
      </c>
      <c r="AM156" s="105" cm="1">
        <f t="array" ref="AM156">_xlfn.IFS($AJ156="NO CHARGE",0,$AJ156="INCLUDED",0,$AJ156=0,0,$AJ156&gt;0,PRODUCT(J156,$AJ156))</f>
        <v>0</v>
      </c>
      <c r="AN156" s="105" cm="1">
        <f t="array" ref="AN156">_xlfn.IFS($AJ156="NO CHARGE",0,$AJ156="INCLUDED",0,$AJ156=0,0,$AJ156&gt;0,PRODUCT(K156,$AJ156))</f>
        <v>0</v>
      </c>
      <c r="AO156" s="105" cm="1">
        <f t="array" ref="AO156">_xlfn.IFS($AJ156="NO CHARGE",0,$AJ156="INCLUDED",0,$AJ156=0,0,$AJ156&gt;0,PRODUCT(L156,$AJ156))</f>
        <v>0</v>
      </c>
      <c r="AP156" s="105" cm="1">
        <f t="array" ref="AP156">_xlfn.IFS($AJ156="NO CHARGE",0,$AJ156="INCLUDED",0,$AJ156=0,0,$AJ156&gt;0,PRODUCT(M156,$AJ156))</f>
        <v>0</v>
      </c>
      <c r="AQ156" s="158">
        <f t="shared" si="130"/>
        <v>0</v>
      </c>
      <c r="AR156" s="875"/>
      <c r="AS156" s="473"/>
      <c r="AT156" s="106"/>
      <c r="AU156" s="107"/>
      <c r="AV156" s="108">
        <f t="shared" si="149"/>
        <v>0</v>
      </c>
      <c r="AW156" s="108">
        <f t="shared" si="150"/>
        <v>0</v>
      </c>
      <c r="AX156" s="108">
        <f t="shared" si="151"/>
        <v>0</v>
      </c>
      <c r="AY156" s="108">
        <f t="shared" si="152"/>
        <v>0</v>
      </c>
      <c r="AZ156" s="108">
        <f t="shared" si="153"/>
        <v>0</v>
      </c>
      <c r="BA156" s="165">
        <f t="shared" si="154"/>
        <v>0</v>
      </c>
      <c r="BB156" s="531"/>
    </row>
    <row r="157" spans="1:54" s="495" customFormat="1" outlineLevel="1" x14ac:dyDescent="0.25">
      <c r="A157" s="445"/>
      <c r="B157" s="623"/>
      <c r="C157" s="310"/>
      <c r="D157" s="604"/>
      <c r="E157" s="604"/>
      <c r="F157" s="604"/>
      <c r="G157" s="604"/>
      <c r="H157" s="618">
        <f t="shared" si="155"/>
        <v>0</v>
      </c>
      <c r="I157" s="127">
        <f t="shared" si="131"/>
        <v>0</v>
      </c>
      <c r="J157" s="127">
        <f t="shared" si="132"/>
        <v>0</v>
      </c>
      <c r="K157" s="127">
        <f t="shared" si="132"/>
        <v>0</v>
      </c>
      <c r="L157" s="127">
        <f t="shared" si="132"/>
        <v>0</v>
      </c>
      <c r="M157" s="127">
        <f t="shared" si="132"/>
        <v>0</v>
      </c>
      <c r="N157" s="245" t="str">
        <f t="shared" si="133"/>
        <v/>
      </c>
      <c r="O157" s="748"/>
      <c r="P157" s="757">
        <f t="shared" si="134"/>
        <v>0</v>
      </c>
      <c r="Q157" s="129">
        <f t="shared" si="135"/>
        <v>0</v>
      </c>
      <c r="R157" s="129">
        <f t="shared" si="136"/>
        <v>0</v>
      </c>
      <c r="S157" s="129">
        <f t="shared" si="137"/>
        <v>0</v>
      </c>
      <c r="T157" s="129">
        <f t="shared" si="138"/>
        <v>0</v>
      </c>
      <c r="U157" s="129">
        <f t="shared" si="139"/>
        <v>0</v>
      </c>
      <c r="V157" s="209">
        <f t="shared" si="140"/>
        <v>0</v>
      </c>
      <c r="W157" s="621"/>
      <c r="X157" s="222"/>
      <c r="Y157" s="325"/>
      <c r="Z157" s="774">
        <f t="shared" si="141"/>
        <v>0</v>
      </c>
      <c r="AA157" s="103">
        <f t="shared" si="142"/>
        <v>0</v>
      </c>
      <c r="AB157" s="103">
        <f t="shared" si="143"/>
        <v>0</v>
      </c>
      <c r="AC157" s="103">
        <f t="shared" si="144"/>
        <v>0</v>
      </c>
      <c r="AD157" s="103">
        <f t="shared" si="145"/>
        <v>0</v>
      </c>
      <c r="AE157" s="103">
        <f t="shared" si="146"/>
        <v>0</v>
      </c>
      <c r="AF157" s="123">
        <f t="shared" si="147"/>
        <v>0</v>
      </c>
      <c r="AG157" s="743"/>
      <c r="AH157" s="362"/>
      <c r="AI157" s="221"/>
      <c r="AJ157" s="270"/>
      <c r="AK157" s="896">
        <f t="shared" si="148"/>
        <v>0</v>
      </c>
      <c r="AL157" s="105" cm="1">
        <f t="array" ref="AL157">_xlfn.IFS($AJ157="NO CHARGE",0,$AJ157="INCLUDED",0,$AJ157=0,0,$AJ157&gt;0,PRODUCT(I157,$AJ157))</f>
        <v>0</v>
      </c>
      <c r="AM157" s="105" cm="1">
        <f t="array" ref="AM157">_xlfn.IFS($AJ157="NO CHARGE",0,$AJ157="INCLUDED",0,$AJ157=0,0,$AJ157&gt;0,PRODUCT(J157,$AJ157))</f>
        <v>0</v>
      </c>
      <c r="AN157" s="105" cm="1">
        <f t="array" ref="AN157">_xlfn.IFS($AJ157="NO CHARGE",0,$AJ157="INCLUDED",0,$AJ157=0,0,$AJ157&gt;0,PRODUCT(K157,$AJ157))</f>
        <v>0</v>
      </c>
      <c r="AO157" s="105" cm="1">
        <f t="array" ref="AO157">_xlfn.IFS($AJ157="NO CHARGE",0,$AJ157="INCLUDED",0,$AJ157=0,0,$AJ157&gt;0,PRODUCT(L157,$AJ157))</f>
        <v>0</v>
      </c>
      <c r="AP157" s="105" cm="1">
        <f t="array" ref="AP157">_xlfn.IFS($AJ157="NO CHARGE",0,$AJ157="INCLUDED",0,$AJ157=0,0,$AJ157&gt;0,PRODUCT(M157,$AJ157))</f>
        <v>0</v>
      </c>
      <c r="AQ157" s="158">
        <f t="shared" si="130"/>
        <v>0</v>
      </c>
      <c r="AR157" s="875"/>
      <c r="AS157" s="473"/>
      <c r="AT157" s="106"/>
      <c r="AU157" s="107"/>
      <c r="AV157" s="108">
        <f t="shared" si="149"/>
        <v>0</v>
      </c>
      <c r="AW157" s="108">
        <f t="shared" si="150"/>
        <v>0</v>
      </c>
      <c r="AX157" s="108">
        <f t="shared" si="151"/>
        <v>0</v>
      </c>
      <c r="AY157" s="108">
        <f t="shared" si="152"/>
        <v>0</v>
      </c>
      <c r="AZ157" s="108">
        <f t="shared" si="153"/>
        <v>0</v>
      </c>
      <c r="BA157" s="165">
        <f t="shared" si="154"/>
        <v>0</v>
      </c>
      <c r="BB157" s="531"/>
    </row>
    <row r="158" spans="1:54" s="495" customFormat="1" outlineLevel="1" x14ac:dyDescent="0.25">
      <c r="A158" s="700"/>
      <c r="B158" s="623" t="s">
        <v>213</v>
      </c>
      <c r="C158" s="310" t="str">
        <f>B158&amp;" [QTY CALCULATIONS YOY]"</f>
        <v>Horizon Content Mgmt Svcs [QTY CALCULATIONS YOY]</v>
      </c>
      <c r="D158" s="604"/>
      <c r="E158" s="604"/>
      <c r="F158" s="604"/>
      <c r="G158" s="604"/>
      <c r="H158" s="975">
        <v>23700</v>
      </c>
      <c r="I158" s="127">
        <f t="shared" si="131"/>
        <v>284400</v>
      </c>
      <c r="J158" s="127">
        <f t="shared" si="132"/>
        <v>298620</v>
      </c>
      <c r="K158" s="127">
        <f t="shared" si="132"/>
        <v>313551</v>
      </c>
      <c r="L158" s="127">
        <f t="shared" si="132"/>
        <v>329228.55</v>
      </c>
      <c r="M158" s="127">
        <f t="shared" si="132"/>
        <v>345689.97749999998</v>
      </c>
      <c r="N158" s="245"/>
      <c r="O158" s="586"/>
      <c r="P158" s="757">
        <f t="shared" si="134"/>
        <v>0</v>
      </c>
      <c r="Q158" s="129">
        <f t="shared" si="135"/>
        <v>0</v>
      </c>
      <c r="R158" s="129">
        <f t="shared" si="136"/>
        <v>0</v>
      </c>
      <c r="S158" s="129">
        <f t="shared" si="137"/>
        <v>0</v>
      </c>
      <c r="T158" s="129">
        <f t="shared" si="138"/>
        <v>0</v>
      </c>
      <c r="U158" s="129">
        <f t="shared" si="139"/>
        <v>0</v>
      </c>
      <c r="V158" s="209">
        <f t="shared" si="140"/>
        <v>0</v>
      </c>
      <c r="W158" s="528"/>
      <c r="X158" s="222" t="str">
        <f>B158&amp;" [TIERED]"</f>
        <v>Horizon Content Mgmt Svcs [TIERED]</v>
      </c>
      <c r="Y158" s="325"/>
      <c r="Z158" s="774">
        <f t="shared" si="141"/>
        <v>0</v>
      </c>
      <c r="AA158" s="103">
        <f t="shared" si="142"/>
        <v>0</v>
      </c>
      <c r="AB158" s="103">
        <f t="shared" si="143"/>
        <v>0</v>
      </c>
      <c r="AC158" s="103">
        <f t="shared" si="144"/>
        <v>0</v>
      </c>
      <c r="AD158" s="103">
        <f t="shared" si="145"/>
        <v>0</v>
      </c>
      <c r="AE158" s="103">
        <f t="shared" si="146"/>
        <v>0</v>
      </c>
      <c r="AF158" s="123">
        <f t="shared" si="147"/>
        <v>0</v>
      </c>
      <c r="AG158" s="743"/>
      <c r="AH158" s="370"/>
      <c r="AI158" s="221" t="str">
        <f t="shared" ref="AI158:AI180" si="156">X158</f>
        <v>Horizon Content Mgmt Svcs [TIERED]</v>
      </c>
      <c r="AJ158" s="270"/>
      <c r="AK158" s="896">
        <f t="shared" si="148"/>
        <v>0</v>
      </c>
      <c r="AL158" s="105" cm="1">
        <f t="array" ref="AL158">_xlfn.IFS($AJ158="NO CHARGE",0,$AJ158="INCLUDED",0,$AJ158=0,0,$AJ158&gt;0,PRODUCT(I158,$AJ158))</f>
        <v>0</v>
      </c>
      <c r="AM158" s="105" cm="1">
        <f t="array" ref="AM158">_xlfn.IFS($AJ158="NO CHARGE",0,$AJ158="INCLUDED",0,$AJ158=0,0,$AJ158&gt;0,PRODUCT(J158,$AJ158))</f>
        <v>0</v>
      </c>
      <c r="AN158" s="105" cm="1">
        <f t="array" ref="AN158">_xlfn.IFS($AJ158="NO CHARGE",0,$AJ158="INCLUDED",0,$AJ158=0,0,$AJ158&gt;0,PRODUCT(K158,$AJ158))</f>
        <v>0</v>
      </c>
      <c r="AO158" s="105" cm="1">
        <f t="array" ref="AO158">_xlfn.IFS($AJ158="NO CHARGE",0,$AJ158="INCLUDED",0,$AJ158=0,0,$AJ158&gt;0,PRODUCT(L158,$AJ158))</f>
        <v>0</v>
      </c>
      <c r="AP158" s="105" cm="1">
        <f t="array" ref="AP158">_xlfn.IFS($AJ158="NO CHARGE",0,$AJ158="INCLUDED",0,$AJ158=0,0,$AJ158&gt;0,PRODUCT(M158,$AJ158))</f>
        <v>0</v>
      </c>
      <c r="AQ158" s="158">
        <f t="shared" si="130"/>
        <v>0</v>
      </c>
      <c r="AR158" s="875"/>
      <c r="AS158" s="473"/>
      <c r="AT158" s="106"/>
      <c r="AU158" s="107"/>
      <c r="AV158" s="108">
        <f t="shared" si="149"/>
        <v>0</v>
      </c>
      <c r="AW158" s="108">
        <f t="shared" si="150"/>
        <v>0</v>
      </c>
      <c r="AX158" s="108">
        <f t="shared" si="151"/>
        <v>0</v>
      </c>
      <c r="AY158" s="108">
        <f t="shared" si="152"/>
        <v>0</v>
      </c>
      <c r="AZ158" s="108">
        <f t="shared" si="153"/>
        <v>0</v>
      </c>
      <c r="BA158" s="165">
        <f t="shared" si="154"/>
        <v>0</v>
      </c>
      <c r="BB158" s="531"/>
    </row>
    <row r="159" spans="1:54" s="495" customFormat="1" outlineLevel="1" x14ac:dyDescent="0.25">
      <c r="A159" s="700"/>
      <c r="B159" s="623" t="s">
        <v>213</v>
      </c>
      <c r="C159" s="200" t="s">
        <v>214</v>
      </c>
      <c r="D159" s="604"/>
      <c r="E159" s="604"/>
      <c r="F159" s="604"/>
      <c r="G159" s="604"/>
      <c r="H159" s="699">
        <v>23700</v>
      </c>
      <c r="I159" s="127">
        <f>IF(I158&gt;($H159*12),$H159*12,I158)</f>
        <v>284400</v>
      </c>
      <c r="J159" s="127">
        <f>IF(J158&gt;($H159*12),$H159*12,J158)</f>
        <v>284400</v>
      </c>
      <c r="K159" s="127">
        <f>IF(K158&gt;($H159*12),$H159*12,K158)</f>
        <v>284400</v>
      </c>
      <c r="L159" s="127">
        <f>IF(L158&gt;($H159*12),$H159*12,L158)</f>
        <v>284400</v>
      </c>
      <c r="M159" s="127">
        <f>IF(M158&gt;($H159*12),$H159*12,M158)</f>
        <v>284400</v>
      </c>
      <c r="N159" s="245"/>
      <c r="O159" s="586"/>
      <c r="P159" s="757">
        <f t="shared" si="134"/>
        <v>0</v>
      </c>
      <c r="Q159" s="129">
        <f t="shared" si="135"/>
        <v>0</v>
      </c>
      <c r="R159" s="129">
        <f t="shared" si="136"/>
        <v>0</v>
      </c>
      <c r="S159" s="129">
        <f t="shared" si="137"/>
        <v>0</v>
      </c>
      <c r="T159" s="129">
        <f t="shared" si="138"/>
        <v>0</v>
      </c>
      <c r="U159" s="129">
        <f t="shared" si="139"/>
        <v>0</v>
      </c>
      <c r="V159" s="209">
        <f t="shared" si="140"/>
        <v>0</v>
      </c>
      <c r="W159" s="621"/>
      <c r="X159" s="701" t="str">
        <f t="shared" ref="X159:X180" si="157">C159</f>
        <v>[Tiered] Base Monthly Processing 0 - 23,700 Accounts</v>
      </c>
      <c r="Y159" s="325">
        <f>4539.78/23700</f>
        <v>0.19155189873417722</v>
      </c>
      <c r="Z159" s="774">
        <f t="shared" si="141"/>
        <v>4539.78</v>
      </c>
      <c r="AA159" s="103">
        <f t="shared" si="142"/>
        <v>54477.36</v>
      </c>
      <c r="AB159" s="103">
        <f t="shared" si="143"/>
        <v>54477.36</v>
      </c>
      <c r="AC159" s="103">
        <f t="shared" si="144"/>
        <v>54477.36</v>
      </c>
      <c r="AD159" s="103">
        <f t="shared" si="145"/>
        <v>54477.36</v>
      </c>
      <c r="AE159" s="103">
        <f t="shared" si="146"/>
        <v>54477.36</v>
      </c>
      <c r="AF159" s="123">
        <f t="shared" si="147"/>
        <v>272386.8</v>
      </c>
      <c r="AG159" s="743"/>
      <c r="AH159" s="711" t="s">
        <v>70</v>
      </c>
      <c r="AI159" s="880" t="str">
        <f t="shared" si="156"/>
        <v>[Tiered] Base Monthly Processing 0 - 23,700 Accounts</v>
      </c>
      <c r="AJ159" s="270">
        <f>5145/23700</f>
        <v>0.2170886075949367</v>
      </c>
      <c r="AK159" s="896">
        <f t="shared" si="148"/>
        <v>5145</v>
      </c>
      <c r="AL159" s="105" cm="1">
        <f t="array" ref="AL159">_xlfn.IFS($AJ159="NO CHARGE",0,$AJ159="INCLUDED",0,$AJ159=0,0,$AJ159&gt;0,PRODUCT(I159,$AJ159))</f>
        <v>61740</v>
      </c>
      <c r="AM159" s="105" cm="1">
        <f t="array" ref="AM159">_xlfn.IFS($AJ159="NO CHARGE",0,$AJ159="INCLUDED",0,$AJ159=0,0,$AJ159&gt;0,PRODUCT(J159,$AJ159))</f>
        <v>61740</v>
      </c>
      <c r="AN159" s="105" cm="1">
        <f t="array" ref="AN159">_xlfn.IFS($AJ159="NO CHARGE",0,$AJ159="INCLUDED",0,$AJ159=0,0,$AJ159&gt;0,PRODUCT(K159,$AJ159))</f>
        <v>61740</v>
      </c>
      <c r="AO159" s="105" cm="1">
        <f t="array" ref="AO159">_xlfn.IFS($AJ159="NO CHARGE",0,$AJ159="INCLUDED",0,$AJ159=0,0,$AJ159&gt;0,PRODUCT(L159,$AJ159))</f>
        <v>61740</v>
      </c>
      <c r="AP159" s="105" cm="1">
        <f t="array" ref="AP159">_xlfn.IFS($AJ159="NO CHARGE",0,$AJ159="INCLUDED",0,$AJ159=0,0,$AJ159&gt;0,PRODUCT(M159,$AJ159))</f>
        <v>61740</v>
      </c>
      <c r="AQ159" s="158">
        <f t="shared" si="130"/>
        <v>308700</v>
      </c>
      <c r="AR159" s="875"/>
      <c r="AS159" s="889" t="s">
        <v>70</v>
      </c>
      <c r="AT159" s="106"/>
      <c r="AU159" s="107"/>
      <c r="AV159" s="108">
        <f t="shared" si="149"/>
        <v>0</v>
      </c>
      <c r="AW159" s="108">
        <f t="shared" si="150"/>
        <v>0</v>
      </c>
      <c r="AX159" s="108">
        <f t="shared" si="151"/>
        <v>0</v>
      </c>
      <c r="AY159" s="108">
        <f t="shared" si="152"/>
        <v>0</v>
      </c>
      <c r="AZ159" s="108">
        <f t="shared" si="153"/>
        <v>0</v>
      </c>
      <c r="BA159" s="165">
        <f t="shared" si="154"/>
        <v>0</v>
      </c>
      <c r="BB159" s="531"/>
    </row>
    <row r="160" spans="1:54" s="495" customFormat="1" outlineLevel="1" x14ac:dyDescent="0.25">
      <c r="A160" s="700"/>
      <c r="B160" s="623" t="s">
        <v>213</v>
      </c>
      <c r="C160" s="200" t="s">
        <v>215</v>
      </c>
      <c r="D160" s="604"/>
      <c r="E160" s="604"/>
      <c r="F160" s="604"/>
      <c r="G160" s="604"/>
      <c r="H160" s="699">
        <f>35000-23701</f>
        <v>11299</v>
      </c>
      <c r="I160" s="127" cm="1">
        <f t="array" ref="I160">_xlfn.IFS(I158&gt;(($H159*12)+($H160*12)),$H160*12, I158&lt;(($H159*12)+($H160*12)),I158-I159, I158=(($H159*12)+($H160*12)),I158-I159)</f>
        <v>0</v>
      </c>
      <c r="J160" s="127" cm="1">
        <f t="array" ref="J160">_xlfn.IFS(J158&gt;(($H159*12)+($H160*12)),$H160*12, J158&lt;(($H159*12)+($H160*12)),J158-J159, J158=(($H159*12)+($H160*12)),J158-J159)</f>
        <v>14220</v>
      </c>
      <c r="K160" s="127" cm="1">
        <f t="array" ref="K160">_xlfn.IFS(K158&gt;(($H159*12)+($H160*12)),$H160*12, K158&lt;(($H159*12)+($H160*12)),K158-K159, K158=(($H159*12)+($H160*12)),K158-K159)</f>
        <v>29151</v>
      </c>
      <c r="L160" s="127" cm="1">
        <f t="array" ref="L160">_xlfn.IFS(L158&gt;(($H159*12)+($H160*12)),$H160*12, L158&lt;(($H159*12)+($H160*12)),L158-L159, L158=(($H159*12)+($H160*12)),L158-L159)</f>
        <v>44828.549999999988</v>
      </c>
      <c r="M160" s="127" cm="1">
        <f t="array" ref="M160">_xlfn.IFS(M158&gt;(($H159*12)+($H160*12)),$H160*12, M158&lt;(($H159*12)+($H160*12)),M158-M159, M158=(($H159*12)+($H160*12)),M158-M159)</f>
        <v>61289.977499999979</v>
      </c>
      <c r="N160" s="245"/>
      <c r="O160" s="586"/>
      <c r="P160" s="757">
        <f t="shared" si="134"/>
        <v>0</v>
      </c>
      <c r="Q160" s="129">
        <f t="shared" si="135"/>
        <v>0</v>
      </c>
      <c r="R160" s="129">
        <f t="shared" si="136"/>
        <v>0</v>
      </c>
      <c r="S160" s="129">
        <f t="shared" si="137"/>
        <v>0</v>
      </c>
      <c r="T160" s="129">
        <f t="shared" si="138"/>
        <v>0</v>
      </c>
      <c r="U160" s="129">
        <f t="shared" si="139"/>
        <v>0</v>
      </c>
      <c r="V160" s="209">
        <f t="shared" si="140"/>
        <v>0</v>
      </c>
      <c r="W160" s="621"/>
      <c r="X160" s="701" t="str">
        <f t="shared" si="157"/>
        <v>[Tiered] Base Monthly Processing 23,701 - 35k Accounts</v>
      </c>
      <c r="Y160" s="325">
        <v>0.17899999999999999</v>
      </c>
      <c r="Z160" s="774">
        <f t="shared" si="141"/>
        <v>0</v>
      </c>
      <c r="AA160" s="103">
        <f t="shared" si="142"/>
        <v>0</v>
      </c>
      <c r="AB160" s="103" cm="1">
        <f t="array" ref="AB160">_xlfn.IFS($AJ160="NO CHARGE",0,$AJ160="INCLUDED",0,$AJ160=0,0,$AJ160&gt;0,PRODUCT(J160,$AJ160))</f>
        <v>2886.6600000000003</v>
      </c>
      <c r="AC160" s="103" cm="1">
        <f t="array" ref="AC160">_xlfn.IFS($AJ160="NO CHARGE",0,$AJ160="INCLUDED",0,$AJ160=0,0,$AJ160&gt;0,PRODUCT(K160,$AJ160))</f>
        <v>5917.6530000000002</v>
      </c>
      <c r="AD160" s="103" cm="1">
        <f t="array" ref="AD160">_xlfn.IFS($AJ160="NO CHARGE",0,$AJ160="INCLUDED",0,$AJ160=0,0,$AJ160&gt;0,PRODUCT(L160,$AJ160))</f>
        <v>9100.1956499999978</v>
      </c>
      <c r="AE160" s="103" cm="1">
        <f t="array" ref="AE160">_xlfn.IFS($AJ160="NO CHARGE",0,$AJ160="INCLUDED",0,$AJ160=0,0,$AJ160&gt;0,PRODUCT(M160,$AJ160))</f>
        <v>12441.865432499997</v>
      </c>
      <c r="AF160" s="123">
        <f t="shared" si="147"/>
        <v>30346.374082499991</v>
      </c>
      <c r="AG160" s="743"/>
      <c r="AH160" s="362"/>
      <c r="AI160" s="880" t="str">
        <f t="shared" si="156"/>
        <v>[Tiered] Base Monthly Processing 23,701 - 35k Accounts</v>
      </c>
      <c r="AJ160" s="270">
        <v>0.20300000000000001</v>
      </c>
      <c r="AK160" s="896">
        <f t="shared" si="148"/>
        <v>0</v>
      </c>
      <c r="AL160" s="105" cm="1">
        <f t="array" ref="AL160">_xlfn.IFS($AJ160="NO CHARGE",0,$AJ160="INCLUDED",0,$AJ160=0,0,$AJ160&gt;0,PRODUCT(I160,$AJ160))</f>
        <v>0</v>
      </c>
      <c r="AM160" s="105" cm="1">
        <f t="array" ref="AM160">_xlfn.IFS($AJ160="NO CHARGE",0,$AJ160="INCLUDED",0,$AJ160=0,0,$AJ160&gt;0,PRODUCT(J160,$AJ160))</f>
        <v>2886.6600000000003</v>
      </c>
      <c r="AN160" s="105" cm="1">
        <f t="array" ref="AN160">_xlfn.IFS($AJ160="NO CHARGE",0,$AJ160="INCLUDED",0,$AJ160=0,0,$AJ160&gt;0,PRODUCT(K160,$AJ160))</f>
        <v>5917.6530000000002</v>
      </c>
      <c r="AO160" s="105" cm="1">
        <f t="array" ref="AO160">_xlfn.IFS($AJ160="NO CHARGE",0,$AJ160="INCLUDED",0,$AJ160=0,0,$AJ160&gt;0,PRODUCT(L160,$AJ160))</f>
        <v>9100.1956499999978</v>
      </c>
      <c r="AP160" s="105" cm="1">
        <f t="array" ref="AP160">_xlfn.IFS($AJ160="NO CHARGE",0,$AJ160="INCLUDED",0,$AJ160=0,0,$AJ160&gt;0,PRODUCT(M160,$AJ160))</f>
        <v>12441.865432499997</v>
      </c>
      <c r="AQ160" s="158">
        <f t="shared" si="130"/>
        <v>30346.374082499991</v>
      </c>
      <c r="AR160" s="875"/>
      <c r="AS160" s="473"/>
      <c r="AT160" s="106"/>
      <c r="AU160" s="107"/>
      <c r="AV160" s="108">
        <f t="shared" si="149"/>
        <v>0</v>
      </c>
      <c r="AW160" s="108">
        <f t="shared" si="150"/>
        <v>0</v>
      </c>
      <c r="AX160" s="108">
        <f t="shared" si="151"/>
        <v>0</v>
      </c>
      <c r="AY160" s="108">
        <f t="shared" si="152"/>
        <v>0</v>
      </c>
      <c r="AZ160" s="108">
        <f t="shared" si="153"/>
        <v>0</v>
      </c>
      <c r="BA160" s="165">
        <f t="shared" si="154"/>
        <v>0</v>
      </c>
      <c r="BB160" s="531"/>
    </row>
    <row r="161" spans="1:54" s="495" customFormat="1" outlineLevel="1" x14ac:dyDescent="0.25">
      <c r="A161" s="700"/>
      <c r="B161" s="623" t="s">
        <v>213</v>
      </c>
      <c r="C161" s="200" t="s">
        <v>216</v>
      </c>
      <c r="D161" s="604"/>
      <c r="E161" s="604"/>
      <c r="F161" s="604"/>
      <c r="G161" s="604"/>
      <c r="H161" s="699"/>
      <c r="I161" s="127" cm="1">
        <f t="array" ref="I161">_xlfn.IFS(I158&gt;(($H159+$H160)*12),I158-I159-I160, I158&lt;(($H159+$H160)*12),0, I158=(($H159+$H160)*12),0)</f>
        <v>0</v>
      </c>
      <c r="J161" s="127" cm="1">
        <f t="array" ref="J161">_xlfn.IFS(J158&gt;(($H159+$H160)*12),J158-J159-J160, J158&lt;(($H159+$H160)*12),0, J158=(($H159+$H160)*12),0)</f>
        <v>0</v>
      </c>
      <c r="K161" s="127" cm="1">
        <f t="array" ref="K161">_xlfn.IFS(K158&gt;(($H159+$H160)*12),K158-K159-K160, K158&lt;(($H159+$H160)*12),0, K158=(($H159+$H160)*12),0)</f>
        <v>0</v>
      </c>
      <c r="L161" s="127" cm="1">
        <f t="array" ref="L161">_xlfn.IFS(L158&gt;(($H159+$H160)*12),L158-L159-L160, L158&lt;(($H159+$H160)*12),0, L158=(($H159+$H160)*12),0)</f>
        <v>0</v>
      </c>
      <c r="M161" s="127" cm="1">
        <f t="array" ref="M161">_xlfn.IFS(M158&gt;(($H159+$H160)*12),M158-M159-M160, M158&lt;(($H159+$H160)*12),0, M158=(($H159+$H160)*12),0)</f>
        <v>0</v>
      </c>
      <c r="N161" s="245"/>
      <c r="O161" s="586"/>
      <c r="P161" s="757">
        <f t="shared" si="134"/>
        <v>0</v>
      </c>
      <c r="Q161" s="129">
        <f t="shared" si="135"/>
        <v>0</v>
      </c>
      <c r="R161" s="129">
        <f t="shared" si="136"/>
        <v>0</v>
      </c>
      <c r="S161" s="129">
        <f t="shared" si="137"/>
        <v>0</v>
      </c>
      <c r="T161" s="129">
        <f t="shared" si="138"/>
        <v>0</v>
      </c>
      <c r="U161" s="129">
        <f t="shared" si="139"/>
        <v>0</v>
      </c>
      <c r="V161" s="209">
        <f t="shared" si="140"/>
        <v>0</v>
      </c>
      <c r="W161" s="528"/>
      <c r="X161" s="701" t="str">
        <f t="shared" si="157"/>
        <v>[Tiered] Base Monthly Processing beyond 35k Accounts</v>
      </c>
      <c r="Y161" s="325">
        <v>0.157</v>
      </c>
      <c r="Z161" s="774">
        <f t="shared" si="141"/>
        <v>0</v>
      </c>
      <c r="AA161" s="103">
        <f t="shared" si="142"/>
        <v>0</v>
      </c>
      <c r="AB161" s="103">
        <f t="shared" si="143"/>
        <v>0</v>
      </c>
      <c r="AC161" s="103">
        <f t="shared" si="144"/>
        <v>0</v>
      </c>
      <c r="AD161" s="103">
        <f t="shared" si="145"/>
        <v>0</v>
      </c>
      <c r="AE161" s="103">
        <f t="shared" si="146"/>
        <v>0</v>
      </c>
      <c r="AF161" s="123">
        <f t="shared" si="147"/>
        <v>0</v>
      </c>
      <c r="AG161" s="743"/>
      <c r="AH161" s="362"/>
      <c r="AI161" s="880" t="str">
        <f t="shared" si="156"/>
        <v>[Tiered] Base Monthly Processing beyond 35k Accounts</v>
      </c>
      <c r="AJ161" s="270">
        <v>0.17799999999999999</v>
      </c>
      <c r="AK161" s="896">
        <f t="shared" si="148"/>
        <v>0</v>
      </c>
      <c r="AL161" s="105" cm="1">
        <f t="array" ref="AL161">_xlfn.IFS($AJ161="NO CHARGE",0,$AJ161="INCLUDED",0,$AJ161=0,0,$AJ161&gt;0,PRODUCT(I161,$AJ161))</f>
        <v>0</v>
      </c>
      <c r="AM161" s="105" cm="1">
        <f t="array" ref="AM161">_xlfn.IFS($AJ161="NO CHARGE",0,$AJ161="INCLUDED",0,$AJ161=0,0,$AJ161&gt;0,PRODUCT(J161,$AJ161))</f>
        <v>0</v>
      </c>
      <c r="AN161" s="105" cm="1">
        <f t="array" ref="AN161">_xlfn.IFS($AJ161="NO CHARGE",0,$AJ161="INCLUDED",0,$AJ161=0,0,$AJ161&gt;0,PRODUCT(K161,$AJ161))</f>
        <v>0</v>
      </c>
      <c r="AO161" s="105" cm="1">
        <f t="array" ref="AO161">_xlfn.IFS($AJ161="NO CHARGE",0,$AJ161="INCLUDED",0,$AJ161=0,0,$AJ161&gt;0,PRODUCT(L161,$AJ161))</f>
        <v>0</v>
      </c>
      <c r="AP161" s="105" cm="1">
        <f t="array" ref="AP161">_xlfn.IFS($AJ161="NO CHARGE",0,$AJ161="INCLUDED",0,$AJ161=0,0,$AJ161&gt;0,PRODUCT(M161,$AJ161))</f>
        <v>0</v>
      </c>
      <c r="AQ161" s="158">
        <f t="shared" si="130"/>
        <v>0</v>
      </c>
      <c r="AR161" s="875"/>
      <c r="AS161" s="473"/>
      <c r="AT161" s="106"/>
      <c r="AU161" s="107"/>
      <c r="AV161" s="108">
        <f t="shared" si="149"/>
        <v>0</v>
      </c>
      <c r="AW161" s="108">
        <f t="shared" si="150"/>
        <v>0</v>
      </c>
      <c r="AX161" s="108">
        <f t="shared" si="151"/>
        <v>0</v>
      </c>
      <c r="AY161" s="108">
        <f t="shared" si="152"/>
        <v>0</v>
      </c>
      <c r="AZ161" s="108">
        <f t="shared" si="153"/>
        <v>0</v>
      </c>
      <c r="BA161" s="165">
        <f t="shared" si="154"/>
        <v>0</v>
      </c>
      <c r="BB161" s="531"/>
    </row>
    <row r="162" spans="1:54" s="495" customFormat="1" outlineLevel="1" x14ac:dyDescent="0.25">
      <c r="A162" s="700"/>
      <c r="B162" s="623" t="s">
        <v>213</v>
      </c>
      <c r="C162" s="200" t="s">
        <v>217</v>
      </c>
      <c r="D162" s="604"/>
      <c r="E162" s="604"/>
      <c r="F162" s="604"/>
      <c r="G162" s="604"/>
      <c r="H162" s="699"/>
      <c r="I162" s="127">
        <f t="shared" ref="I162:I181" si="158">H162*12</f>
        <v>0</v>
      </c>
      <c r="J162" s="127">
        <f t="shared" ref="J162:M181" si="159">IF(I162&gt;12,(((I162)*$H$5)+I162),(I162*1))</f>
        <v>0</v>
      </c>
      <c r="K162" s="127">
        <f t="shared" si="159"/>
        <v>0</v>
      </c>
      <c r="L162" s="127">
        <f t="shared" si="159"/>
        <v>0</v>
      </c>
      <c r="M162" s="127">
        <f t="shared" si="159"/>
        <v>0</v>
      </c>
      <c r="N162" s="245"/>
      <c r="O162" s="748"/>
      <c r="P162" s="757">
        <f t="shared" si="134"/>
        <v>0</v>
      </c>
      <c r="Q162" s="129">
        <f t="shared" si="135"/>
        <v>0</v>
      </c>
      <c r="R162" s="129">
        <f t="shared" si="136"/>
        <v>0</v>
      </c>
      <c r="S162" s="129">
        <f t="shared" si="137"/>
        <v>0</v>
      </c>
      <c r="T162" s="129">
        <f t="shared" si="138"/>
        <v>0</v>
      </c>
      <c r="U162" s="129">
        <f t="shared" si="139"/>
        <v>0</v>
      </c>
      <c r="V162" s="209">
        <f t="shared" si="140"/>
        <v>0</v>
      </c>
      <c r="W162" s="621"/>
      <c r="X162" s="701" t="str">
        <f t="shared" si="157"/>
        <v>[PROPOSAL NOTES - Expand to View]</v>
      </c>
      <c r="Y162" s="1329" t="s">
        <v>218</v>
      </c>
      <c r="Z162" s="1330"/>
      <c r="AA162" s="1330"/>
      <c r="AB162" s="1330"/>
      <c r="AC162" s="1330"/>
      <c r="AD162" s="1330"/>
      <c r="AE162" s="1330"/>
      <c r="AF162" s="1331"/>
      <c r="AG162" s="743"/>
      <c r="AH162" s="362"/>
      <c r="AI162" s="221" t="str">
        <f t="shared" si="156"/>
        <v>[PROPOSAL NOTES - Expand to View]</v>
      </c>
      <c r="AJ162" s="1341" t="s">
        <v>218</v>
      </c>
      <c r="AK162" s="1342"/>
      <c r="AL162" s="1342"/>
      <c r="AM162" s="1342"/>
      <c r="AN162" s="1342"/>
      <c r="AO162" s="1342"/>
      <c r="AP162" s="1342"/>
      <c r="AQ162" s="1343"/>
      <c r="AR162" s="875"/>
      <c r="AS162" s="473"/>
      <c r="AT162" s="106"/>
      <c r="AU162" s="107"/>
      <c r="AV162" s="108">
        <f t="shared" si="149"/>
        <v>0</v>
      </c>
      <c r="AW162" s="108">
        <f t="shared" si="150"/>
        <v>0</v>
      </c>
      <c r="AX162" s="108">
        <f t="shared" si="151"/>
        <v>0</v>
      </c>
      <c r="AY162" s="108">
        <f t="shared" si="152"/>
        <v>0</v>
      </c>
      <c r="AZ162" s="108">
        <f t="shared" si="153"/>
        <v>0</v>
      </c>
      <c r="BA162" s="165">
        <f t="shared" si="154"/>
        <v>0</v>
      </c>
      <c r="BB162" s="531"/>
    </row>
    <row r="163" spans="1:54" s="495" customFormat="1" outlineLevel="1" x14ac:dyDescent="0.25">
      <c r="A163" s="700"/>
      <c r="B163" s="623" t="s">
        <v>213</v>
      </c>
      <c r="C163" s="310" t="s">
        <v>219</v>
      </c>
      <c r="D163" s="604"/>
      <c r="E163" s="604"/>
      <c r="F163" s="604"/>
      <c r="G163" s="604"/>
      <c r="H163" s="618">
        <f>IFERROR(AVERAGE(D163:G163),0)</f>
        <v>0</v>
      </c>
      <c r="I163" s="127">
        <f t="shared" si="158"/>
        <v>0</v>
      </c>
      <c r="J163" s="127">
        <f t="shared" si="159"/>
        <v>0</v>
      </c>
      <c r="K163" s="127">
        <f t="shared" si="159"/>
        <v>0</v>
      </c>
      <c r="L163" s="127">
        <f t="shared" si="159"/>
        <v>0</v>
      </c>
      <c r="M163" s="127">
        <f t="shared" si="159"/>
        <v>0</v>
      </c>
      <c r="N163" s="245"/>
      <c r="O163" s="748"/>
      <c r="P163" s="757">
        <f t="shared" si="134"/>
        <v>0</v>
      </c>
      <c r="Q163" s="129">
        <f t="shared" si="135"/>
        <v>0</v>
      </c>
      <c r="R163" s="129">
        <f t="shared" si="136"/>
        <v>0</v>
      </c>
      <c r="S163" s="129">
        <f t="shared" si="137"/>
        <v>0</v>
      </c>
      <c r="T163" s="129">
        <f t="shared" si="138"/>
        <v>0</v>
      </c>
      <c r="U163" s="129">
        <f t="shared" si="139"/>
        <v>0</v>
      </c>
      <c r="V163" s="209">
        <f t="shared" si="140"/>
        <v>0</v>
      </c>
      <c r="W163" s="621"/>
      <c r="X163" s="222" t="str">
        <f t="shared" si="157"/>
        <v>Document Imaging</v>
      </c>
      <c r="Y163" s="733" t="s">
        <v>77</v>
      </c>
      <c r="Z163" s="774">
        <f t="shared" ref="Z163:Z181" si="160">AA163/12</f>
        <v>0</v>
      </c>
      <c r="AA163" s="103" cm="1">
        <f t="array" ref="AA163">_xlfn.IFS($Y163="INCLUDED",0, $Y163="NO CHARGE",0,$Y163&gt;0,$Y163*I163, $Y163="",0)</f>
        <v>0</v>
      </c>
      <c r="AB163" s="103" cm="1">
        <f t="array" ref="AB163">_xlfn.IFS($Y163="INCLUDED",0, $Y163="NO CHARGE",0,$Y163&gt;0,$Y163*J163, $Y163="",0)</f>
        <v>0</v>
      </c>
      <c r="AC163" s="103" cm="1">
        <f t="array" ref="AC163">_xlfn.IFS($Y163="INCLUDED",0, $Y163="NO CHARGE",0,$Y163&gt;0,$Y163*K163, $Y163="",0)</f>
        <v>0</v>
      </c>
      <c r="AD163" s="103" cm="1">
        <f t="array" ref="AD163">_xlfn.IFS($Y163="INCLUDED",0, $Y163="NO CHARGE",0,$Y163&gt;0,$Y163*L163, $Y163="",0)</f>
        <v>0</v>
      </c>
      <c r="AE163" s="103" cm="1">
        <f t="array" ref="AE163">_xlfn.IFS($Y163="INCLUDED",0, $Y163="NO CHARGE",0,$Y163&gt;0,$Y163*M163, $Y163="",0)</f>
        <v>0</v>
      </c>
      <c r="AF163" s="123">
        <f t="shared" ref="AF163:AF181" si="161">SUM(AA163:AE163)</f>
        <v>0</v>
      </c>
      <c r="AG163" s="743"/>
      <c r="AH163" s="362"/>
      <c r="AI163" s="221" t="str">
        <f t="shared" si="156"/>
        <v>Document Imaging</v>
      </c>
      <c r="AJ163" s="886" t="s">
        <v>77</v>
      </c>
      <c r="AK163" s="896">
        <f t="shared" ref="AK163:AK181" si="162">AL163/12</f>
        <v>0</v>
      </c>
      <c r="AL163" s="105" cm="1">
        <f t="array" ref="AL163">_xlfn.IFS($AJ163="NO CHARGE",0,$AJ163="INCLUDED",0,$AJ163=0,0,$AJ163&gt;0,PRODUCT(I163,$AJ163))</f>
        <v>0</v>
      </c>
      <c r="AM163" s="105" cm="1">
        <f t="array" ref="AM163">_xlfn.IFS($AJ163="NO CHARGE",0,$AJ163="INCLUDED",0,$AJ163=0,0,$AJ163&gt;0,PRODUCT(J163,$AJ163))</f>
        <v>0</v>
      </c>
      <c r="AN163" s="105" cm="1">
        <f t="array" ref="AN163">_xlfn.IFS($AJ163="NO CHARGE",0,$AJ163="INCLUDED",0,$AJ163=0,0,$AJ163&gt;0,PRODUCT(K163,$AJ163))</f>
        <v>0</v>
      </c>
      <c r="AO163" s="105" cm="1">
        <f t="array" ref="AO163">_xlfn.IFS($AJ163="NO CHARGE",0,$AJ163="INCLUDED",0,$AJ163=0,0,$AJ163&gt;0,PRODUCT(L163,$AJ163))</f>
        <v>0</v>
      </c>
      <c r="AP163" s="105" cm="1">
        <f t="array" ref="AP163">_xlfn.IFS($AJ163="NO CHARGE",0,$AJ163="INCLUDED",0,$AJ163=0,0,$AJ163&gt;0,PRODUCT(M163,$AJ163))</f>
        <v>0</v>
      </c>
      <c r="AQ163" s="158">
        <f t="shared" ref="AQ163:AQ194" si="163">SUM(AL163:AP163)</f>
        <v>0</v>
      </c>
      <c r="AR163" s="875"/>
      <c r="AS163" s="473"/>
      <c r="AT163" s="106"/>
      <c r="AU163" s="107"/>
      <c r="AV163" s="108">
        <f t="shared" si="149"/>
        <v>0</v>
      </c>
      <c r="AW163" s="108">
        <f t="shared" si="150"/>
        <v>0</v>
      </c>
      <c r="AX163" s="108">
        <f t="shared" si="151"/>
        <v>0</v>
      </c>
      <c r="AY163" s="108">
        <f t="shared" si="152"/>
        <v>0</v>
      </c>
      <c r="AZ163" s="108">
        <f t="shared" si="153"/>
        <v>0</v>
      </c>
      <c r="BA163" s="165">
        <f t="shared" si="154"/>
        <v>0</v>
      </c>
      <c r="BB163" s="531"/>
    </row>
    <row r="164" spans="1:54" s="495" customFormat="1" outlineLevel="1" x14ac:dyDescent="0.25">
      <c r="A164" s="700"/>
      <c r="B164" s="623" t="s">
        <v>213</v>
      </c>
      <c r="C164" s="310" t="s">
        <v>220</v>
      </c>
      <c r="D164" s="604"/>
      <c r="E164" s="604"/>
      <c r="F164" s="604"/>
      <c r="G164" s="604"/>
      <c r="H164" s="618">
        <v>253</v>
      </c>
      <c r="I164" s="127">
        <f t="shared" si="158"/>
        <v>3036</v>
      </c>
      <c r="J164" s="127">
        <f t="shared" si="159"/>
        <v>3187.8</v>
      </c>
      <c r="K164" s="127">
        <f t="shared" si="159"/>
        <v>3347.19</v>
      </c>
      <c r="L164" s="127">
        <f t="shared" si="159"/>
        <v>3514.5495000000001</v>
      </c>
      <c r="M164" s="127">
        <f t="shared" si="159"/>
        <v>3690.2769750000002</v>
      </c>
      <c r="N164" s="245"/>
      <c r="O164" s="748"/>
      <c r="P164" s="757">
        <f t="shared" si="134"/>
        <v>0</v>
      </c>
      <c r="Q164" s="129">
        <f t="shared" si="135"/>
        <v>0</v>
      </c>
      <c r="R164" s="129">
        <f t="shared" si="136"/>
        <v>0</v>
      </c>
      <c r="S164" s="129">
        <f t="shared" si="137"/>
        <v>0</v>
      </c>
      <c r="T164" s="129">
        <f t="shared" si="138"/>
        <v>0</v>
      </c>
      <c r="U164" s="129">
        <f t="shared" si="139"/>
        <v>0</v>
      </c>
      <c r="V164" s="209">
        <f t="shared" si="140"/>
        <v>0</v>
      </c>
      <c r="W164" s="621"/>
      <c r="X164" s="222" t="str">
        <f t="shared" si="157"/>
        <v>Document Imaging - Storage</v>
      </c>
      <c r="Y164" s="733" t="s">
        <v>77</v>
      </c>
      <c r="Z164" s="774">
        <f t="shared" si="160"/>
        <v>0</v>
      </c>
      <c r="AA164" s="103" cm="1">
        <f t="array" ref="AA164">_xlfn.IFS($Y164="INCLUDED",0, $Y164="NO CHARGE",0,$Y164&gt;0,$Y164*I164, $Y164="",0)</f>
        <v>0</v>
      </c>
      <c r="AB164" s="103" cm="1">
        <f t="array" ref="AB164">_xlfn.IFS($Y164="INCLUDED",0, $Y164="NO CHARGE",0,$Y164&gt;0,$Y164*J164, $Y164="",0)</f>
        <v>0</v>
      </c>
      <c r="AC164" s="103" cm="1">
        <f t="array" ref="AC164">_xlfn.IFS($Y164="INCLUDED",0, $Y164="NO CHARGE",0,$Y164&gt;0,$Y164*K164, $Y164="",0)</f>
        <v>0</v>
      </c>
      <c r="AD164" s="103" cm="1">
        <f t="array" ref="AD164">_xlfn.IFS($Y164="INCLUDED",0, $Y164="NO CHARGE",0,$Y164&gt;0,$Y164*L164, $Y164="",0)</f>
        <v>0</v>
      </c>
      <c r="AE164" s="103" cm="1">
        <f t="array" ref="AE164">_xlfn.IFS($Y164="INCLUDED",0, $Y164="NO CHARGE",0,$Y164&gt;0,$Y164*M164, $Y164="",0)</f>
        <v>0</v>
      </c>
      <c r="AF164" s="123">
        <f t="shared" si="161"/>
        <v>0</v>
      </c>
      <c r="AG164" s="743"/>
      <c r="AH164" s="362"/>
      <c r="AI164" s="221" t="str">
        <f t="shared" si="156"/>
        <v>Document Imaging - Storage</v>
      </c>
      <c r="AJ164" s="886" t="s">
        <v>77</v>
      </c>
      <c r="AK164" s="896">
        <f t="shared" si="162"/>
        <v>0</v>
      </c>
      <c r="AL164" s="105" cm="1">
        <f t="array" ref="AL164">_xlfn.IFS($AJ164="NO CHARGE",0,$AJ164="INCLUDED",0,$AJ164=0,0,$AJ164&gt;0,PRODUCT(I164,$AJ164))</f>
        <v>0</v>
      </c>
      <c r="AM164" s="105" cm="1">
        <f t="array" ref="AM164">_xlfn.IFS($AJ164="NO CHARGE",0,$AJ164="INCLUDED",0,$AJ164=0,0,$AJ164&gt;0,PRODUCT(J164,$AJ164))</f>
        <v>0</v>
      </c>
      <c r="AN164" s="105" cm="1">
        <f t="array" ref="AN164">_xlfn.IFS($AJ164="NO CHARGE",0,$AJ164="INCLUDED",0,$AJ164=0,0,$AJ164&gt;0,PRODUCT(K164,$AJ164))</f>
        <v>0</v>
      </c>
      <c r="AO164" s="105" cm="1">
        <f t="array" ref="AO164">_xlfn.IFS($AJ164="NO CHARGE",0,$AJ164="INCLUDED",0,$AJ164=0,0,$AJ164&gt;0,PRODUCT(L164,$AJ164))</f>
        <v>0</v>
      </c>
      <c r="AP164" s="105" cm="1">
        <f t="array" ref="AP164">_xlfn.IFS($AJ164="NO CHARGE",0,$AJ164="INCLUDED",0,$AJ164=0,0,$AJ164&gt;0,PRODUCT(M164,$AJ164))</f>
        <v>0</v>
      </c>
      <c r="AQ164" s="158">
        <f t="shared" si="163"/>
        <v>0</v>
      </c>
      <c r="AR164" s="875"/>
      <c r="AS164" s="473"/>
      <c r="AT164" s="106"/>
      <c r="AU164" s="107"/>
      <c r="AV164" s="108">
        <f t="shared" si="149"/>
        <v>0</v>
      </c>
      <c r="AW164" s="108">
        <f t="shared" si="150"/>
        <v>0</v>
      </c>
      <c r="AX164" s="108">
        <f t="shared" si="151"/>
        <v>0</v>
      </c>
      <c r="AY164" s="108">
        <f t="shared" si="152"/>
        <v>0</v>
      </c>
      <c r="AZ164" s="108">
        <f t="shared" si="153"/>
        <v>0</v>
      </c>
      <c r="BA164" s="165">
        <f t="shared" si="154"/>
        <v>0</v>
      </c>
      <c r="BB164" s="531"/>
    </row>
    <row r="165" spans="1:54" s="495" customFormat="1" outlineLevel="1" x14ac:dyDescent="0.25">
      <c r="A165" s="700"/>
      <c r="B165" s="623" t="s">
        <v>213</v>
      </c>
      <c r="C165" s="310" t="s">
        <v>221</v>
      </c>
      <c r="D165" s="604"/>
      <c r="E165" s="604"/>
      <c r="F165" s="604"/>
      <c r="G165" s="604"/>
      <c r="H165" s="618">
        <v>0</v>
      </c>
      <c r="I165" s="127">
        <f t="shared" si="158"/>
        <v>0</v>
      </c>
      <c r="J165" s="127">
        <f t="shared" si="159"/>
        <v>0</v>
      </c>
      <c r="K165" s="127">
        <f t="shared" si="159"/>
        <v>0</v>
      </c>
      <c r="L165" s="127">
        <f t="shared" si="159"/>
        <v>0</v>
      </c>
      <c r="M165" s="127">
        <f t="shared" si="159"/>
        <v>0</v>
      </c>
      <c r="N165" s="245"/>
      <c r="O165" s="748"/>
      <c r="P165" s="757">
        <f t="shared" si="134"/>
        <v>0</v>
      </c>
      <c r="Q165" s="129">
        <f t="shared" si="135"/>
        <v>0</v>
      </c>
      <c r="R165" s="129">
        <f t="shared" si="136"/>
        <v>0</v>
      </c>
      <c r="S165" s="129">
        <f t="shared" si="137"/>
        <v>0</v>
      </c>
      <c r="T165" s="129">
        <f t="shared" si="138"/>
        <v>0</v>
      </c>
      <c r="U165" s="129">
        <f t="shared" si="139"/>
        <v>0</v>
      </c>
      <c r="V165" s="209">
        <f t="shared" si="140"/>
        <v>0</v>
      </c>
      <c r="W165" s="621"/>
      <c r="X165" s="222" t="str">
        <f t="shared" si="157"/>
        <v>Document Imaging - Storage Overage</v>
      </c>
      <c r="Y165" s="733">
        <v>0.9325</v>
      </c>
      <c r="Z165" s="774">
        <f t="shared" si="160"/>
        <v>0</v>
      </c>
      <c r="AA165" s="103" cm="1">
        <f t="array" ref="AA165">_xlfn.IFS($Y165="INCLUDED",0, $Y165="NO CHARGE",0,$Y165&gt;0,$Y165*I165, $Y165="",0)</f>
        <v>0</v>
      </c>
      <c r="AB165" s="103" cm="1">
        <f t="array" ref="AB165">_xlfn.IFS($Y165="INCLUDED",0, $Y165="NO CHARGE",0,$Y165&gt;0,$Y165*J165, $Y165="",0)</f>
        <v>0</v>
      </c>
      <c r="AC165" s="103" cm="1">
        <f t="array" ref="AC165">_xlfn.IFS($Y165="INCLUDED",0, $Y165="NO CHARGE",0,$Y165&gt;0,$Y165*K165, $Y165="",0)</f>
        <v>0</v>
      </c>
      <c r="AD165" s="103" cm="1">
        <f t="array" ref="AD165">_xlfn.IFS($Y165="INCLUDED",0, $Y165="NO CHARGE",0,$Y165&gt;0,$Y165*L165, $Y165="",0)</f>
        <v>0</v>
      </c>
      <c r="AE165" s="103" cm="1">
        <f t="array" ref="AE165">_xlfn.IFS($Y165="INCLUDED",0, $Y165="NO CHARGE",0,$Y165&gt;0,$Y165*M165, $Y165="",0)</f>
        <v>0</v>
      </c>
      <c r="AF165" s="123">
        <f t="shared" si="161"/>
        <v>0</v>
      </c>
      <c r="AG165" s="743"/>
      <c r="AH165" s="362"/>
      <c r="AI165" s="221" t="str">
        <f t="shared" si="156"/>
        <v>Document Imaging - Storage Overage</v>
      </c>
      <c r="AJ165" s="886">
        <v>1.0568</v>
      </c>
      <c r="AK165" s="896">
        <f t="shared" si="162"/>
        <v>0</v>
      </c>
      <c r="AL165" s="105" cm="1">
        <f t="array" ref="AL165">_xlfn.IFS($AJ165="NO CHARGE",0,$AJ165="INCLUDED",0,$AJ165=0,0,$AJ165&gt;0,PRODUCT(I165,$AJ165))</f>
        <v>0</v>
      </c>
      <c r="AM165" s="105" cm="1">
        <f t="array" ref="AM165">_xlfn.IFS($AJ165="NO CHARGE",0,$AJ165="INCLUDED",0,$AJ165=0,0,$AJ165&gt;0,PRODUCT(J165,$AJ165))</f>
        <v>0</v>
      </c>
      <c r="AN165" s="105" cm="1">
        <f t="array" ref="AN165">_xlfn.IFS($AJ165="NO CHARGE",0,$AJ165="INCLUDED",0,$AJ165=0,0,$AJ165&gt;0,PRODUCT(K165,$AJ165))</f>
        <v>0</v>
      </c>
      <c r="AO165" s="105" cm="1">
        <f t="array" ref="AO165">_xlfn.IFS($AJ165="NO CHARGE",0,$AJ165="INCLUDED",0,$AJ165=0,0,$AJ165&gt;0,PRODUCT(L165,$AJ165))</f>
        <v>0</v>
      </c>
      <c r="AP165" s="105" cm="1">
        <f t="array" ref="AP165">_xlfn.IFS($AJ165="NO CHARGE",0,$AJ165="INCLUDED",0,$AJ165=0,0,$AJ165&gt;0,PRODUCT(M165,$AJ165))</f>
        <v>0</v>
      </c>
      <c r="AQ165" s="158">
        <f t="shared" si="163"/>
        <v>0</v>
      </c>
      <c r="AR165" s="875"/>
      <c r="AS165" s="473"/>
      <c r="AT165" s="106"/>
      <c r="AU165" s="107"/>
      <c r="AV165" s="108">
        <f t="shared" si="149"/>
        <v>0</v>
      </c>
      <c r="AW165" s="108">
        <f t="shared" si="150"/>
        <v>0</v>
      </c>
      <c r="AX165" s="108">
        <f t="shared" si="151"/>
        <v>0</v>
      </c>
      <c r="AY165" s="108">
        <f t="shared" si="152"/>
        <v>0</v>
      </c>
      <c r="AZ165" s="108">
        <f t="shared" si="153"/>
        <v>0</v>
      </c>
      <c r="BA165" s="165">
        <f t="shared" si="154"/>
        <v>0</v>
      </c>
      <c r="BB165" s="531"/>
    </row>
    <row r="166" spans="1:54" s="495" customFormat="1" outlineLevel="1" x14ac:dyDescent="0.25">
      <c r="A166" s="700"/>
      <c r="B166" s="623" t="s">
        <v>213</v>
      </c>
      <c r="C166" s="310" t="s">
        <v>222</v>
      </c>
      <c r="D166" s="604"/>
      <c r="E166" s="604"/>
      <c r="F166" s="604"/>
      <c r="G166" s="604"/>
      <c r="H166" s="618">
        <f>IFERROR(AVERAGE(D166:G166),0)</f>
        <v>0</v>
      </c>
      <c r="I166" s="127">
        <f t="shared" si="158"/>
        <v>0</v>
      </c>
      <c r="J166" s="127">
        <f t="shared" si="159"/>
        <v>0</v>
      </c>
      <c r="K166" s="127">
        <f t="shared" si="159"/>
        <v>0</v>
      </c>
      <c r="L166" s="127">
        <f t="shared" si="159"/>
        <v>0</v>
      </c>
      <c r="M166" s="127">
        <f t="shared" si="159"/>
        <v>0</v>
      </c>
      <c r="N166" s="245"/>
      <c r="O166" s="748"/>
      <c r="P166" s="757">
        <f t="shared" si="134"/>
        <v>0</v>
      </c>
      <c r="Q166" s="129">
        <f t="shared" si="135"/>
        <v>0</v>
      </c>
      <c r="R166" s="129">
        <f t="shared" si="136"/>
        <v>0</v>
      </c>
      <c r="S166" s="129">
        <f t="shared" si="137"/>
        <v>0</v>
      </c>
      <c r="T166" s="129">
        <f t="shared" si="138"/>
        <v>0</v>
      </c>
      <c r="U166" s="129">
        <f t="shared" si="139"/>
        <v>0</v>
      </c>
      <c r="V166" s="209">
        <f t="shared" si="140"/>
        <v>0</v>
      </c>
      <c r="W166" s="621"/>
      <c r="X166" s="222" t="str">
        <f t="shared" si="157"/>
        <v>Document Imaging - Print2Archive</v>
      </c>
      <c r="Y166" s="733" t="s">
        <v>77</v>
      </c>
      <c r="Z166" s="774">
        <f t="shared" si="160"/>
        <v>0</v>
      </c>
      <c r="AA166" s="103" cm="1">
        <f t="array" ref="AA166">_xlfn.IFS($Y166="INCLUDED",0, $Y166="NO CHARGE",0,$Y166&gt;0,$Y166*I166, $Y166="",0)</f>
        <v>0</v>
      </c>
      <c r="AB166" s="103" cm="1">
        <f t="array" ref="AB166">_xlfn.IFS($Y166="INCLUDED",0, $Y166="NO CHARGE",0,$Y166&gt;0,$Y166*J166, $Y166="",0)</f>
        <v>0</v>
      </c>
      <c r="AC166" s="103" cm="1">
        <f t="array" ref="AC166">_xlfn.IFS($Y166="INCLUDED",0, $Y166="NO CHARGE",0,$Y166&gt;0,$Y166*K166, $Y166="",0)</f>
        <v>0</v>
      </c>
      <c r="AD166" s="103" cm="1">
        <f t="array" ref="AD166">_xlfn.IFS($Y166="INCLUDED",0, $Y166="NO CHARGE",0,$Y166&gt;0,$Y166*L166, $Y166="",0)</f>
        <v>0</v>
      </c>
      <c r="AE166" s="103" cm="1">
        <f t="array" ref="AE166">_xlfn.IFS($Y166="INCLUDED",0, $Y166="NO CHARGE",0,$Y166&gt;0,$Y166*M166, $Y166="",0)</f>
        <v>0</v>
      </c>
      <c r="AF166" s="123">
        <f t="shared" si="161"/>
        <v>0</v>
      </c>
      <c r="AG166" s="743"/>
      <c r="AH166" s="362"/>
      <c r="AI166" s="221" t="str">
        <f t="shared" si="156"/>
        <v>Document Imaging - Print2Archive</v>
      </c>
      <c r="AJ166" s="886" t="s">
        <v>77</v>
      </c>
      <c r="AK166" s="896">
        <f t="shared" si="162"/>
        <v>0</v>
      </c>
      <c r="AL166" s="105" cm="1">
        <f t="array" ref="AL166">_xlfn.IFS($AJ166="NO CHARGE",0,$AJ166="INCLUDED",0,$AJ166=0,0,$AJ166&gt;0,PRODUCT(I166,$AJ166))</f>
        <v>0</v>
      </c>
      <c r="AM166" s="105" cm="1">
        <f t="array" ref="AM166">_xlfn.IFS($AJ166="NO CHARGE",0,$AJ166="INCLUDED",0,$AJ166=0,0,$AJ166&gt;0,PRODUCT(J166,$AJ166))</f>
        <v>0</v>
      </c>
      <c r="AN166" s="105" cm="1">
        <f t="array" ref="AN166">_xlfn.IFS($AJ166="NO CHARGE",0,$AJ166="INCLUDED",0,$AJ166=0,0,$AJ166&gt;0,PRODUCT(K166,$AJ166))</f>
        <v>0</v>
      </c>
      <c r="AO166" s="105" cm="1">
        <f t="array" ref="AO166">_xlfn.IFS($AJ166="NO CHARGE",0,$AJ166="INCLUDED",0,$AJ166=0,0,$AJ166&gt;0,PRODUCT(L166,$AJ166))</f>
        <v>0</v>
      </c>
      <c r="AP166" s="105" cm="1">
        <f t="array" ref="AP166">_xlfn.IFS($AJ166="NO CHARGE",0,$AJ166="INCLUDED",0,$AJ166=0,0,$AJ166&gt;0,PRODUCT(M166,$AJ166))</f>
        <v>0</v>
      </c>
      <c r="AQ166" s="158">
        <f t="shared" si="163"/>
        <v>0</v>
      </c>
      <c r="AR166" s="875"/>
      <c r="AS166" s="473"/>
      <c r="AT166" s="106"/>
      <c r="AU166" s="107"/>
      <c r="AV166" s="108">
        <f t="shared" si="149"/>
        <v>0</v>
      </c>
      <c r="AW166" s="108">
        <f t="shared" si="150"/>
        <v>0</v>
      </c>
      <c r="AX166" s="108">
        <f t="shared" si="151"/>
        <v>0</v>
      </c>
      <c r="AY166" s="108">
        <f t="shared" si="152"/>
        <v>0</v>
      </c>
      <c r="AZ166" s="108">
        <f t="shared" si="153"/>
        <v>0</v>
      </c>
      <c r="BA166" s="165">
        <f t="shared" si="154"/>
        <v>0</v>
      </c>
      <c r="BB166" s="531"/>
    </row>
    <row r="167" spans="1:54" s="495" customFormat="1" outlineLevel="1" x14ac:dyDescent="0.25">
      <c r="A167" s="700"/>
      <c r="B167" s="623" t="s">
        <v>213</v>
      </c>
      <c r="C167" s="310" t="s">
        <v>223</v>
      </c>
      <c r="D167" s="604"/>
      <c r="E167" s="604"/>
      <c r="F167" s="604"/>
      <c r="G167" s="604"/>
      <c r="H167" s="618">
        <f>IFERROR(AVERAGE(D167:G167),0)</f>
        <v>0</v>
      </c>
      <c r="I167" s="127">
        <f t="shared" si="158"/>
        <v>0</v>
      </c>
      <c r="J167" s="127">
        <f t="shared" si="159"/>
        <v>0</v>
      </c>
      <c r="K167" s="127">
        <f t="shared" si="159"/>
        <v>0</v>
      </c>
      <c r="L167" s="127">
        <f t="shared" si="159"/>
        <v>0</v>
      </c>
      <c r="M167" s="127">
        <f t="shared" si="159"/>
        <v>0</v>
      </c>
      <c r="N167" s="245"/>
      <c r="O167" s="748"/>
      <c r="P167" s="757">
        <f t="shared" si="134"/>
        <v>0</v>
      </c>
      <c r="Q167" s="129">
        <f t="shared" si="135"/>
        <v>0</v>
      </c>
      <c r="R167" s="129">
        <f t="shared" si="136"/>
        <v>0</v>
      </c>
      <c r="S167" s="129">
        <f t="shared" si="137"/>
        <v>0</v>
      </c>
      <c r="T167" s="129">
        <f t="shared" si="138"/>
        <v>0</v>
      </c>
      <c r="U167" s="129">
        <f t="shared" si="139"/>
        <v>0</v>
      </c>
      <c r="V167" s="209">
        <f t="shared" si="140"/>
        <v>0</v>
      </c>
      <c r="W167" s="621"/>
      <c r="X167" s="222" t="str">
        <f t="shared" si="157"/>
        <v>Document Imaging - Print2Archive Documents</v>
      </c>
      <c r="Y167" s="733" t="s">
        <v>77</v>
      </c>
      <c r="Z167" s="774">
        <f t="shared" si="160"/>
        <v>0</v>
      </c>
      <c r="AA167" s="103" cm="1">
        <f t="array" ref="AA167">_xlfn.IFS($Y167="INCLUDED",0, $Y167="NO CHARGE",0,$Y167&gt;0,$Y167*I167, $Y167="",0)</f>
        <v>0</v>
      </c>
      <c r="AB167" s="103" cm="1">
        <f t="array" ref="AB167">_xlfn.IFS($Y167="INCLUDED",0, $Y167="NO CHARGE",0,$Y167&gt;0,$Y167*J167, $Y167="",0)</f>
        <v>0</v>
      </c>
      <c r="AC167" s="103" cm="1">
        <f t="array" ref="AC167">_xlfn.IFS($Y167="INCLUDED",0, $Y167="NO CHARGE",0,$Y167&gt;0,$Y167*K167, $Y167="",0)</f>
        <v>0</v>
      </c>
      <c r="AD167" s="103" cm="1">
        <f t="array" ref="AD167">_xlfn.IFS($Y167="INCLUDED",0, $Y167="NO CHARGE",0,$Y167&gt;0,$Y167*L167, $Y167="",0)</f>
        <v>0</v>
      </c>
      <c r="AE167" s="103" cm="1">
        <f t="array" ref="AE167">_xlfn.IFS($Y167="INCLUDED",0, $Y167="NO CHARGE",0,$Y167&gt;0,$Y167*M167, $Y167="",0)</f>
        <v>0</v>
      </c>
      <c r="AF167" s="123">
        <f t="shared" si="161"/>
        <v>0</v>
      </c>
      <c r="AG167" s="743"/>
      <c r="AH167" s="362"/>
      <c r="AI167" s="221" t="str">
        <f t="shared" si="156"/>
        <v>Document Imaging - Print2Archive Documents</v>
      </c>
      <c r="AJ167" s="886" t="s">
        <v>77</v>
      </c>
      <c r="AK167" s="896">
        <f t="shared" si="162"/>
        <v>0</v>
      </c>
      <c r="AL167" s="105" cm="1">
        <f t="array" ref="AL167">_xlfn.IFS($AJ167="NO CHARGE",0,$AJ167="INCLUDED",0,$AJ167=0,0,$AJ167&gt;0,PRODUCT(I167,$AJ167))</f>
        <v>0</v>
      </c>
      <c r="AM167" s="105" cm="1">
        <f t="array" ref="AM167">_xlfn.IFS($AJ167="NO CHARGE",0,$AJ167="INCLUDED",0,$AJ167=0,0,$AJ167&gt;0,PRODUCT(J167,$AJ167))</f>
        <v>0</v>
      </c>
      <c r="AN167" s="105" cm="1">
        <f t="array" ref="AN167">_xlfn.IFS($AJ167="NO CHARGE",0,$AJ167="INCLUDED",0,$AJ167=0,0,$AJ167&gt;0,PRODUCT(K167,$AJ167))</f>
        <v>0</v>
      </c>
      <c r="AO167" s="105" cm="1">
        <f t="array" ref="AO167">_xlfn.IFS($AJ167="NO CHARGE",0,$AJ167="INCLUDED",0,$AJ167=0,0,$AJ167&gt;0,PRODUCT(L167,$AJ167))</f>
        <v>0</v>
      </c>
      <c r="AP167" s="105" cm="1">
        <f t="array" ref="AP167">_xlfn.IFS($AJ167="NO CHARGE",0,$AJ167="INCLUDED",0,$AJ167=0,0,$AJ167&gt;0,PRODUCT(M167,$AJ167))</f>
        <v>0</v>
      </c>
      <c r="AQ167" s="158">
        <f t="shared" si="163"/>
        <v>0</v>
      </c>
      <c r="AR167" s="875"/>
      <c r="AS167" s="473"/>
      <c r="AT167" s="106"/>
      <c r="AU167" s="107"/>
      <c r="AV167" s="108">
        <f t="shared" si="149"/>
        <v>0</v>
      </c>
      <c r="AW167" s="108">
        <f t="shared" si="150"/>
        <v>0</v>
      </c>
      <c r="AX167" s="108">
        <f t="shared" si="151"/>
        <v>0</v>
      </c>
      <c r="AY167" s="108">
        <f t="shared" si="152"/>
        <v>0</v>
      </c>
      <c r="AZ167" s="108">
        <f t="shared" si="153"/>
        <v>0</v>
      </c>
      <c r="BA167" s="165">
        <f t="shared" si="154"/>
        <v>0</v>
      </c>
      <c r="BB167" s="531"/>
    </row>
    <row r="168" spans="1:54" s="495" customFormat="1" outlineLevel="1" x14ac:dyDescent="0.25">
      <c r="A168" s="700"/>
      <c r="B168" s="623" t="s">
        <v>213</v>
      </c>
      <c r="C168" s="310" t="s">
        <v>224</v>
      </c>
      <c r="D168" s="604"/>
      <c r="E168" s="604"/>
      <c r="F168" s="604"/>
      <c r="G168" s="604"/>
      <c r="H168" s="618">
        <f>IFERROR(AVERAGE(D168:G168),0)</f>
        <v>0</v>
      </c>
      <c r="I168" s="127">
        <f t="shared" si="158"/>
        <v>0</v>
      </c>
      <c r="J168" s="127">
        <f t="shared" si="159"/>
        <v>0</v>
      </c>
      <c r="K168" s="127">
        <f t="shared" si="159"/>
        <v>0</v>
      </c>
      <c r="L168" s="127">
        <f t="shared" si="159"/>
        <v>0</v>
      </c>
      <c r="M168" s="127">
        <f t="shared" si="159"/>
        <v>0</v>
      </c>
      <c r="N168" s="245"/>
      <c r="O168" s="748"/>
      <c r="P168" s="757">
        <f t="shared" si="134"/>
        <v>0</v>
      </c>
      <c r="Q168" s="129">
        <f t="shared" si="135"/>
        <v>0</v>
      </c>
      <c r="R168" s="129">
        <f t="shared" si="136"/>
        <v>0</v>
      </c>
      <c r="S168" s="129">
        <f t="shared" si="137"/>
        <v>0</v>
      </c>
      <c r="T168" s="129">
        <f t="shared" si="138"/>
        <v>0</v>
      </c>
      <c r="U168" s="129">
        <f t="shared" si="139"/>
        <v>0</v>
      </c>
      <c r="V168" s="209">
        <f t="shared" si="140"/>
        <v>0</v>
      </c>
      <c r="W168" s="621"/>
      <c r="X168" s="222" t="str">
        <f t="shared" si="157"/>
        <v>Reports Mgmt - COLD+ Subscription</v>
      </c>
      <c r="Y168" s="733" t="s">
        <v>77</v>
      </c>
      <c r="Z168" s="774">
        <f t="shared" si="160"/>
        <v>0</v>
      </c>
      <c r="AA168" s="103" cm="1">
        <f t="array" ref="AA168">_xlfn.IFS($Y168="INCLUDED",0, $Y168="NO CHARGE",0,$Y168&gt;0,$Y168*I168, $Y168="",0)</f>
        <v>0</v>
      </c>
      <c r="AB168" s="103" cm="1">
        <f t="array" ref="AB168">_xlfn.IFS($Y168="INCLUDED",0, $Y168="NO CHARGE",0,$Y168&gt;0,$Y168*J168, $Y168="",0)</f>
        <v>0</v>
      </c>
      <c r="AC168" s="103" cm="1">
        <f t="array" ref="AC168">_xlfn.IFS($Y168="INCLUDED",0, $Y168="NO CHARGE",0,$Y168&gt;0,$Y168*K168, $Y168="",0)</f>
        <v>0</v>
      </c>
      <c r="AD168" s="103" cm="1">
        <f t="array" ref="AD168">_xlfn.IFS($Y168="INCLUDED",0, $Y168="NO CHARGE",0,$Y168&gt;0,$Y168*L168, $Y168="",0)</f>
        <v>0</v>
      </c>
      <c r="AE168" s="103" cm="1">
        <f t="array" ref="AE168">_xlfn.IFS($Y168="INCLUDED",0, $Y168="NO CHARGE",0,$Y168&gt;0,$Y168*M168, $Y168="",0)</f>
        <v>0</v>
      </c>
      <c r="AF168" s="123">
        <f t="shared" si="161"/>
        <v>0</v>
      </c>
      <c r="AG168" s="743"/>
      <c r="AH168" s="362"/>
      <c r="AI168" s="221" t="str">
        <f t="shared" si="156"/>
        <v>Reports Mgmt - COLD+ Subscription</v>
      </c>
      <c r="AJ168" s="886" t="s">
        <v>77</v>
      </c>
      <c r="AK168" s="896">
        <f t="shared" si="162"/>
        <v>0</v>
      </c>
      <c r="AL168" s="105" cm="1">
        <f t="array" ref="AL168">_xlfn.IFS($AJ168="NO CHARGE",0,$AJ168="INCLUDED",0,$AJ168=0,0,$AJ168&gt;0,PRODUCT(I168,$AJ168))</f>
        <v>0</v>
      </c>
      <c r="AM168" s="105" cm="1">
        <f t="array" ref="AM168">_xlfn.IFS($AJ168="NO CHARGE",0,$AJ168="INCLUDED",0,$AJ168=0,0,$AJ168&gt;0,PRODUCT(J168,$AJ168))</f>
        <v>0</v>
      </c>
      <c r="AN168" s="105" cm="1">
        <f t="array" ref="AN168">_xlfn.IFS($AJ168="NO CHARGE",0,$AJ168="INCLUDED",0,$AJ168=0,0,$AJ168&gt;0,PRODUCT(K168,$AJ168))</f>
        <v>0</v>
      </c>
      <c r="AO168" s="105" cm="1">
        <f t="array" ref="AO168">_xlfn.IFS($AJ168="NO CHARGE",0,$AJ168="INCLUDED",0,$AJ168=0,0,$AJ168&gt;0,PRODUCT(L168,$AJ168))</f>
        <v>0</v>
      </c>
      <c r="AP168" s="105" cm="1">
        <f t="array" ref="AP168">_xlfn.IFS($AJ168="NO CHARGE",0,$AJ168="INCLUDED",0,$AJ168=0,0,$AJ168&gt;0,PRODUCT(M168,$AJ168))</f>
        <v>0</v>
      </c>
      <c r="AQ168" s="158">
        <f t="shared" si="163"/>
        <v>0</v>
      </c>
      <c r="AR168" s="875"/>
      <c r="AS168" s="473"/>
      <c r="AT168" s="106"/>
      <c r="AU168" s="107"/>
      <c r="AV168" s="108">
        <f t="shared" si="149"/>
        <v>0</v>
      </c>
      <c r="AW168" s="108">
        <f t="shared" si="150"/>
        <v>0</v>
      </c>
      <c r="AX168" s="108">
        <f t="shared" si="151"/>
        <v>0</v>
      </c>
      <c r="AY168" s="108">
        <f t="shared" si="152"/>
        <v>0</v>
      </c>
      <c r="AZ168" s="108">
        <f t="shared" si="153"/>
        <v>0</v>
      </c>
      <c r="BA168" s="165">
        <f t="shared" si="154"/>
        <v>0</v>
      </c>
      <c r="BB168" s="531"/>
    </row>
    <row r="169" spans="1:54" s="495" customFormat="1" outlineLevel="1" x14ac:dyDescent="0.25">
      <c r="A169" s="700"/>
      <c r="B169" s="623" t="s">
        <v>213</v>
      </c>
      <c r="C169" s="310" t="s">
        <v>225</v>
      </c>
      <c r="D169" s="604"/>
      <c r="E169" s="604"/>
      <c r="F169" s="604"/>
      <c r="G169" s="604"/>
      <c r="H169" s="618">
        <v>172</v>
      </c>
      <c r="I169" s="127">
        <f t="shared" si="158"/>
        <v>2064</v>
      </c>
      <c r="J169" s="127">
        <f t="shared" si="159"/>
        <v>2167.1999999999998</v>
      </c>
      <c r="K169" s="127">
        <f t="shared" si="159"/>
        <v>2275.56</v>
      </c>
      <c r="L169" s="127">
        <f t="shared" si="159"/>
        <v>2389.3379999999997</v>
      </c>
      <c r="M169" s="127">
        <f t="shared" si="159"/>
        <v>2508.8048999999996</v>
      </c>
      <c r="N169" s="245"/>
      <c r="O169" s="748"/>
      <c r="P169" s="757">
        <f t="shared" si="134"/>
        <v>0</v>
      </c>
      <c r="Q169" s="129">
        <f t="shared" si="135"/>
        <v>0</v>
      </c>
      <c r="R169" s="129">
        <f t="shared" si="136"/>
        <v>0</v>
      </c>
      <c r="S169" s="129">
        <f t="shared" si="137"/>
        <v>0</v>
      </c>
      <c r="T169" s="129">
        <f t="shared" si="138"/>
        <v>0</v>
      </c>
      <c r="U169" s="129">
        <f t="shared" si="139"/>
        <v>0</v>
      </c>
      <c r="V169" s="209">
        <f t="shared" si="140"/>
        <v>0</v>
      </c>
      <c r="W169" s="621"/>
      <c r="X169" s="222" t="str">
        <f t="shared" si="157"/>
        <v>Reports Mgmt - COLD+ Storage</v>
      </c>
      <c r="Y169" s="733" t="s">
        <v>77</v>
      </c>
      <c r="Z169" s="774">
        <f t="shared" si="160"/>
        <v>0</v>
      </c>
      <c r="AA169" s="103" cm="1">
        <f t="array" ref="AA169">_xlfn.IFS($Y169="INCLUDED",0, $Y169="NO CHARGE",0,$Y169&gt;0,$Y169*I169, $Y169="",0)</f>
        <v>0</v>
      </c>
      <c r="AB169" s="103" cm="1">
        <f t="array" ref="AB169">_xlfn.IFS($Y169="INCLUDED",0, $Y169="NO CHARGE",0,$Y169&gt;0,$Y169*J169, $Y169="",0)</f>
        <v>0</v>
      </c>
      <c r="AC169" s="103" cm="1">
        <f t="array" ref="AC169">_xlfn.IFS($Y169="INCLUDED",0, $Y169="NO CHARGE",0,$Y169&gt;0,$Y169*K169, $Y169="",0)</f>
        <v>0</v>
      </c>
      <c r="AD169" s="103" cm="1">
        <f t="array" ref="AD169">_xlfn.IFS($Y169="INCLUDED",0, $Y169="NO CHARGE",0,$Y169&gt;0,$Y169*L169, $Y169="",0)</f>
        <v>0</v>
      </c>
      <c r="AE169" s="103" cm="1">
        <f t="array" ref="AE169">_xlfn.IFS($Y169="INCLUDED",0, $Y169="NO CHARGE",0,$Y169&gt;0,$Y169*M169, $Y169="",0)</f>
        <v>0</v>
      </c>
      <c r="AF169" s="123">
        <f t="shared" si="161"/>
        <v>0</v>
      </c>
      <c r="AG169" s="743"/>
      <c r="AH169" s="362"/>
      <c r="AI169" s="221" t="str">
        <f t="shared" si="156"/>
        <v>Reports Mgmt - COLD+ Storage</v>
      </c>
      <c r="AJ169" s="886" t="s">
        <v>77</v>
      </c>
      <c r="AK169" s="896">
        <f t="shared" si="162"/>
        <v>0</v>
      </c>
      <c r="AL169" s="105" cm="1">
        <f t="array" ref="AL169">_xlfn.IFS($AJ169="NO CHARGE",0,$AJ169="INCLUDED",0,$AJ169=0,0,$AJ169&gt;0,PRODUCT(I169,$AJ169))</f>
        <v>0</v>
      </c>
      <c r="AM169" s="105" cm="1">
        <f t="array" ref="AM169">_xlfn.IFS($AJ169="NO CHARGE",0,$AJ169="INCLUDED",0,$AJ169=0,0,$AJ169&gt;0,PRODUCT(J169,$AJ169))</f>
        <v>0</v>
      </c>
      <c r="AN169" s="105" cm="1">
        <f t="array" ref="AN169">_xlfn.IFS($AJ169="NO CHARGE",0,$AJ169="INCLUDED",0,$AJ169=0,0,$AJ169&gt;0,PRODUCT(K169,$AJ169))</f>
        <v>0</v>
      </c>
      <c r="AO169" s="105" cm="1">
        <f t="array" ref="AO169">_xlfn.IFS($AJ169="NO CHARGE",0,$AJ169="INCLUDED",0,$AJ169=0,0,$AJ169&gt;0,PRODUCT(L169,$AJ169))</f>
        <v>0</v>
      </c>
      <c r="AP169" s="105" cm="1">
        <f t="array" ref="AP169">_xlfn.IFS($AJ169="NO CHARGE",0,$AJ169="INCLUDED",0,$AJ169=0,0,$AJ169&gt;0,PRODUCT(M169,$AJ169))</f>
        <v>0</v>
      </c>
      <c r="AQ169" s="158">
        <f t="shared" si="163"/>
        <v>0</v>
      </c>
      <c r="AR169" s="875"/>
      <c r="AS169" s="473"/>
      <c r="AT169" s="106"/>
      <c r="AU169" s="107"/>
      <c r="AV169" s="108">
        <f t="shared" si="149"/>
        <v>0</v>
      </c>
      <c r="AW169" s="108">
        <f t="shared" si="150"/>
        <v>0</v>
      </c>
      <c r="AX169" s="108">
        <f t="shared" si="151"/>
        <v>0</v>
      </c>
      <c r="AY169" s="108">
        <f t="shared" si="152"/>
        <v>0</v>
      </c>
      <c r="AZ169" s="108">
        <f t="shared" si="153"/>
        <v>0</v>
      </c>
      <c r="BA169" s="165">
        <f t="shared" si="154"/>
        <v>0</v>
      </c>
      <c r="BB169" s="531"/>
    </row>
    <row r="170" spans="1:54" s="495" customFormat="1" outlineLevel="1" x14ac:dyDescent="0.25">
      <c r="A170" s="700"/>
      <c r="B170" s="623" t="s">
        <v>213</v>
      </c>
      <c r="C170" s="310" t="s">
        <v>226</v>
      </c>
      <c r="D170" s="604"/>
      <c r="E170" s="604"/>
      <c r="F170" s="604"/>
      <c r="G170" s="604"/>
      <c r="H170" s="618">
        <v>122</v>
      </c>
      <c r="I170" s="127">
        <f t="shared" si="158"/>
        <v>1464</v>
      </c>
      <c r="J170" s="127">
        <f t="shared" si="159"/>
        <v>1537.2</v>
      </c>
      <c r="K170" s="127">
        <f t="shared" si="159"/>
        <v>1614.06</v>
      </c>
      <c r="L170" s="127">
        <f t="shared" si="159"/>
        <v>1694.7629999999999</v>
      </c>
      <c r="M170" s="127">
        <f t="shared" si="159"/>
        <v>1779.5011499999998</v>
      </c>
      <c r="N170" s="245"/>
      <c r="O170" s="748"/>
      <c r="P170" s="757">
        <f t="shared" si="134"/>
        <v>0</v>
      </c>
      <c r="Q170" s="129">
        <f t="shared" si="135"/>
        <v>0</v>
      </c>
      <c r="R170" s="129">
        <f t="shared" si="136"/>
        <v>0</v>
      </c>
      <c r="S170" s="129">
        <f t="shared" si="137"/>
        <v>0</v>
      </c>
      <c r="T170" s="129">
        <f t="shared" si="138"/>
        <v>0</v>
      </c>
      <c r="U170" s="129">
        <f t="shared" si="139"/>
        <v>0</v>
      </c>
      <c r="V170" s="209">
        <f t="shared" si="140"/>
        <v>0</v>
      </c>
      <c r="W170" s="621"/>
      <c r="X170" s="222" t="str">
        <f t="shared" si="157"/>
        <v>Reports Mgmt - COLD+ Storage Overage</v>
      </c>
      <c r="Y170" s="325">
        <v>0.434</v>
      </c>
      <c r="Z170" s="774">
        <f t="shared" si="160"/>
        <v>52.948</v>
      </c>
      <c r="AA170" s="103">
        <f>IF(Y170&gt;0,PRODUCT(I170,$Y170),0)</f>
        <v>635.37599999999998</v>
      </c>
      <c r="AB170" s="103">
        <f>IF(AA170&gt;0,PRODUCT(J170,$Y170),0)</f>
        <v>667.14480000000003</v>
      </c>
      <c r="AC170" s="103">
        <f>IF(AB170&gt;0,PRODUCT(K170,$Y170),0)</f>
        <v>700.50203999999997</v>
      </c>
      <c r="AD170" s="103">
        <f>IF(AC170&gt;0,PRODUCT(L170,$Y170),0)</f>
        <v>735.52714199999991</v>
      </c>
      <c r="AE170" s="103">
        <f>IF(AD170&gt;0,PRODUCT(M170,$Y170),0)</f>
        <v>772.30349909999995</v>
      </c>
      <c r="AF170" s="123">
        <f t="shared" si="161"/>
        <v>3510.8534811</v>
      </c>
      <c r="AG170" s="743"/>
      <c r="AH170" s="362"/>
      <c r="AI170" s="221" t="str">
        <f t="shared" si="156"/>
        <v>Reports Mgmt - COLD+ Storage Overage</v>
      </c>
      <c r="AJ170" s="886">
        <v>0.4914</v>
      </c>
      <c r="AK170" s="896">
        <f t="shared" si="162"/>
        <v>59.950799999999994</v>
      </c>
      <c r="AL170" s="105" cm="1">
        <f t="array" ref="AL170">_xlfn.IFS($AJ170="NO CHARGE",0,$AJ170="INCLUDED",0,$AJ170=0,0,$AJ170&gt;0,PRODUCT(I170,$AJ170))</f>
        <v>719.40959999999995</v>
      </c>
      <c r="AM170" s="105" cm="1">
        <f t="array" ref="AM170">_xlfn.IFS($AJ170="NO CHARGE",0,$AJ170="INCLUDED",0,$AJ170=0,0,$AJ170&gt;0,PRODUCT(J170,$AJ170))</f>
        <v>755.38008000000002</v>
      </c>
      <c r="AN170" s="105" cm="1">
        <f t="array" ref="AN170">_xlfn.IFS($AJ170="NO CHARGE",0,$AJ170="INCLUDED",0,$AJ170=0,0,$AJ170&gt;0,PRODUCT(K170,$AJ170))</f>
        <v>793.14908400000002</v>
      </c>
      <c r="AO170" s="105" cm="1">
        <f t="array" ref="AO170">_xlfn.IFS($AJ170="NO CHARGE",0,$AJ170="INCLUDED",0,$AJ170=0,0,$AJ170&gt;0,PRODUCT(L170,$AJ170))</f>
        <v>832.80653819999998</v>
      </c>
      <c r="AP170" s="105" cm="1">
        <f t="array" ref="AP170">_xlfn.IFS($AJ170="NO CHARGE",0,$AJ170="INCLUDED",0,$AJ170=0,0,$AJ170&gt;0,PRODUCT(M170,$AJ170))</f>
        <v>874.44686510999998</v>
      </c>
      <c r="AQ170" s="158">
        <f t="shared" si="163"/>
        <v>3975.1921673100001</v>
      </c>
      <c r="AR170" s="875"/>
      <c r="AS170" s="473"/>
      <c r="AT170" s="106"/>
      <c r="AU170" s="107"/>
      <c r="AV170" s="108">
        <f t="shared" si="149"/>
        <v>0</v>
      </c>
      <c r="AW170" s="108">
        <f t="shared" si="150"/>
        <v>0</v>
      </c>
      <c r="AX170" s="108">
        <f t="shared" si="151"/>
        <v>0</v>
      </c>
      <c r="AY170" s="108">
        <f t="shared" si="152"/>
        <v>0</v>
      </c>
      <c r="AZ170" s="108">
        <f t="shared" si="153"/>
        <v>0</v>
      </c>
      <c r="BA170" s="165">
        <f t="shared" si="154"/>
        <v>0</v>
      </c>
      <c r="BB170" s="531"/>
    </row>
    <row r="171" spans="1:54" s="495" customFormat="1" outlineLevel="1" x14ac:dyDescent="0.25">
      <c r="A171" s="700"/>
      <c r="B171" s="623" t="s">
        <v>213</v>
      </c>
      <c r="C171" s="310" t="s">
        <v>227</v>
      </c>
      <c r="D171" s="604"/>
      <c r="E171" s="604"/>
      <c r="F171" s="604"/>
      <c r="G171" s="604"/>
      <c r="H171" s="618">
        <f>IFERROR(AVERAGE(D171:G171),0)</f>
        <v>0</v>
      </c>
      <c r="I171" s="127">
        <f t="shared" si="158"/>
        <v>0</v>
      </c>
      <c r="J171" s="127">
        <f t="shared" si="159"/>
        <v>0</v>
      </c>
      <c r="K171" s="127">
        <f t="shared" si="159"/>
        <v>0</v>
      </c>
      <c r="L171" s="127">
        <f t="shared" si="159"/>
        <v>0</v>
      </c>
      <c r="M171" s="127">
        <f t="shared" si="159"/>
        <v>0</v>
      </c>
      <c r="N171" s="245"/>
      <c r="O171" s="748"/>
      <c r="P171" s="757">
        <f t="shared" si="134"/>
        <v>0</v>
      </c>
      <c r="Q171" s="129">
        <f t="shared" si="135"/>
        <v>0</v>
      </c>
      <c r="R171" s="129">
        <f t="shared" si="136"/>
        <v>0</v>
      </c>
      <c r="S171" s="129">
        <f t="shared" si="137"/>
        <v>0</v>
      </c>
      <c r="T171" s="129">
        <f t="shared" si="138"/>
        <v>0</v>
      </c>
      <c r="U171" s="129">
        <f t="shared" si="139"/>
        <v>0</v>
      </c>
      <c r="V171" s="209">
        <f t="shared" si="140"/>
        <v>0</v>
      </c>
      <c r="W171" s="621"/>
      <c r="X171" s="222" t="str">
        <f t="shared" si="157"/>
        <v>Reports Mgmt - COLD+ Workflow</v>
      </c>
      <c r="Y171" s="733" t="s">
        <v>77</v>
      </c>
      <c r="Z171" s="774">
        <f t="shared" si="160"/>
        <v>0</v>
      </c>
      <c r="AA171" s="103" cm="1">
        <f t="array" ref="AA171">_xlfn.IFS($Y171="INCLUDED",0, $Y171="NO CHARGE",0,$Y171&gt;0,$Y171*I171, $Y171="",0)</f>
        <v>0</v>
      </c>
      <c r="AB171" s="103" cm="1">
        <f t="array" ref="AB171">_xlfn.IFS($Y171="INCLUDED",0, $Y171="NO CHARGE",0,$Y171&gt;0,$Y171*J171, $Y171="",0)</f>
        <v>0</v>
      </c>
      <c r="AC171" s="103" cm="1">
        <f t="array" ref="AC171">_xlfn.IFS($Y171="INCLUDED",0, $Y171="NO CHARGE",0,$Y171&gt;0,$Y171*K171, $Y171="",0)</f>
        <v>0</v>
      </c>
      <c r="AD171" s="103" cm="1">
        <f t="array" ref="AD171">_xlfn.IFS($Y171="INCLUDED",0, $Y171="NO CHARGE",0,$Y171&gt;0,$Y171*L171, $Y171="",0)</f>
        <v>0</v>
      </c>
      <c r="AE171" s="103" cm="1">
        <f t="array" ref="AE171">_xlfn.IFS($Y171="INCLUDED",0, $Y171="NO CHARGE",0,$Y171&gt;0,$Y171*M171, $Y171="",0)</f>
        <v>0</v>
      </c>
      <c r="AF171" s="123">
        <f t="shared" si="161"/>
        <v>0</v>
      </c>
      <c r="AG171" s="743"/>
      <c r="AH171" s="362"/>
      <c r="AI171" s="221" t="str">
        <f t="shared" si="156"/>
        <v>Reports Mgmt - COLD+ Workflow</v>
      </c>
      <c r="AJ171" s="886" t="s">
        <v>77</v>
      </c>
      <c r="AK171" s="896">
        <f t="shared" si="162"/>
        <v>0</v>
      </c>
      <c r="AL171" s="105" cm="1">
        <f t="array" ref="AL171">_xlfn.IFS($AJ171="NO CHARGE",0,$AJ171="INCLUDED",0,$AJ171=0,0,$AJ171&gt;0,PRODUCT(I171,$AJ171))</f>
        <v>0</v>
      </c>
      <c r="AM171" s="105" cm="1">
        <f t="array" ref="AM171">_xlfn.IFS($AJ171="NO CHARGE",0,$AJ171="INCLUDED",0,$AJ171=0,0,$AJ171&gt;0,PRODUCT(J171,$AJ171))</f>
        <v>0</v>
      </c>
      <c r="AN171" s="105" cm="1">
        <f t="array" ref="AN171">_xlfn.IFS($AJ171="NO CHARGE",0,$AJ171="INCLUDED",0,$AJ171=0,0,$AJ171&gt;0,PRODUCT(K171,$AJ171))</f>
        <v>0</v>
      </c>
      <c r="AO171" s="105" cm="1">
        <f t="array" ref="AO171">_xlfn.IFS($AJ171="NO CHARGE",0,$AJ171="INCLUDED",0,$AJ171=0,0,$AJ171&gt;0,PRODUCT(L171,$AJ171))</f>
        <v>0</v>
      </c>
      <c r="AP171" s="105" cm="1">
        <f t="array" ref="AP171">_xlfn.IFS($AJ171="NO CHARGE",0,$AJ171="INCLUDED",0,$AJ171=0,0,$AJ171&gt;0,PRODUCT(M171,$AJ171))</f>
        <v>0</v>
      </c>
      <c r="AQ171" s="158">
        <f t="shared" si="163"/>
        <v>0</v>
      </c>
      <c r="AR171" s="875"/>
      <c r="AS171" s="473"/>
      <c r="AT171" s="106"/>
      <c r="AU171" s="107"/>
      <c r="AV171" s="108">
        <f t="shared" si="149"/>
        <v>0</v>
      </c>
      <c r="AW171" s="108">
        <f t="shared" si="150"/>
        <v>0</v>
      </c>
      <c r="AX171" s="108">
        <f t="shared" si="151"/>
        <v>0</v>
      </c>
      <c r="AY171" s="108">
        <f t="shared" si="152"/>
        <v>0</v>
      </c>
      <c r="AZ171" s="108">
        <f t="shared" si="153"/>
        <v>0</v>
      </c>
      <c r="BA171" s="165">
        <f t="shared" si="154"/>
        <v>0</v>
      </c>
      <c r="BB171" s="531"/>
    </row>
    <row r="172" spans="1:54" s="495" customFormat="1" outlineLevel="1" x14ac:dyDescent="0.25">
      <c r="A172" s="700"/>
      <c r="B172" s="623" t="s">
        <v>213</v>
      </c>
      <c r="C172" s="310" t="s">
        <v>228</v>
      </c>
      <c r="D172" s="604"/>
      <c r="E172" s="604"/>
      <c r="F172" s="604"/>
      <c r="G172" s="604"/>
      <c r="H172" s="618">
        <f>IFERROR(AVERAGE(D172:G172),0)</f>
        <v>0</v>
      </c>
      <c r="I172" s="127">
        <f t="shared" si="158"/>
        <v>0</v>
      </c>
      <c r="J172" s="127">
        <f t="shared" si="159"/>
        <v>0</v>
      </c>
      <c r="K172" s="127">
        <f t="shared" si="159"/>
        <v>0</v>
      </c>
      <c r="L172" s="127">
        <f t="shared" si="159"/>
        <v>0</v>
      </c>
      <c r="M172" s="127">
        <f t="shared" si="159"/>
        <v>0</v>
      </c>
      <c r="N172" s="245"/>
      <c r="O172" s="748"/>
      <c r="P172" s="757">
        <f t="shared" si="134"/>
        <v>0</v>
      </c>
      <c r="Q172" s="129">
        <f t="shared" si="135"/>
        <v>0</v>
      </c>
      <c r="R172" s="129">
        <f t="shared" si="136"/>
        <v>0</v>
      </c>
      <c r="S172" s="129">
        <f t="shared" si="137"/>
        <v>0</v>
      </c>
      <c r="T172" s="129">
        <f t="shared" si="138"/>
        <v>0</v>
      </c>
      <c r="U172" s="129">
        <f t="shared" si="139"/>
        <v>0</v>
      </c>
      <c r="V172" s="209">
        <f t="shared" si="140"/>
        <v>0</v>
      </c>
      <c r="W172" s="621"/>
      <c r="X172" s="222" t="str">
        <f t="shared" si="157"/>
        <v>Reports Mgmt - Maintenance Subscription</v>
      </c>
      <c r="Y172" s="733" t="s">
        <v>77</v>
      </c>
      <c r="Z172" s="774">
        <f t="shared" si="160"/>
        <v>0</v>
      </c>
      <c r="AA172" s="103" cm="1">
        <f t="array" ref="AA172">_xlfn.IFS($Y172="INCLUDED",0, $Y172="NO CHARGE",0,$Y172&gt;0,$Y172*I172, $Y172="",0)</f>
        <v>0</v>
      </c>
      <c r="AB172" s="103" cm="1">
        <f t="array" ref="AB172">_xlfn.IFS($Y172="INCLUDED",0, $Y172="NO CHARGE",0,$Y172&gt;0,$Y172*J172, $Y172="",0)</f>
        <v>0</v>
      </c>
      <c r="AC172" s="103" cm="1">
        <f t="array" ref="AC172">_xlfn.IFS($Y172="INCLUDED",0, $Y172="NO CHARGE",0,$Y172&gt;0,$Y172*K172, $Y172="",0)</f>
        <v>0</v>
      </c>
      <c r="AD172" s="103" cm="1">
        <f t="array" ref="AD172">_xlfn.IFS($Y172="INCLUDED",0, $Y172="NO CHARGE",0,$Y172&gt;0,$Y172*L172, $Y172="",0)</f>
        <v>0</v>
      </c>
      <c r="AE172" s="103" cm="1">
        <f t="array" ref="AE172">_xlfn.IFS($Y172="INCLUDED",0, $Y172="NO CHARGE",0,$Y172&gt;0,$Y172*M172, $Y172="",0)</f>
        <v>0</v>
      </c>
      <c r="AF172" s="123">
        <f t="shared" si="161"/>
        <v>0</v>
      </c>
      <c r="AG172" s="743"/>
      <c r="AH172" s="362"/>
      <c r="AI172" s="221" t="str">
        <f t="shared" si="156"/>
        <v>Reports Mgmt - Maintenance Subscription</v>
      </c>
      <c r="AJ172" s="886" t="s">
        <v>77</v>
      </c>
      <c r="AK172" s="896">
        <f t="shared" si="162"/>
        <v>0</v>
      </c>
      <c r="AL172" s="105" cm="1">
        <f t="array" ref="AL172">_xlfn.IFS($AJ172="NO CHARGE",0,$AJ172="INCLUDED",0,$AJ172=0,0,$AJ172&gt;0,PRODUCT(I172,$AJ172))</f>
        <v>0</v>
      </c>
      <c r="AM172" s="105" cm="1">
        <f t="array" ref="AM172">_xlfn.IFS($AJ172="NO CHARGE",0,$AJ172="INCLUDED",0,$AJ172=0,0,$AJ172&gt;0,PRODUCT(J172,$AJ172))</f>
        <v>0</v>
      </c>
      <c r="AN172" s="105" cm="1">
        <f t="array" ref="AN172">_xlfn.IFS($AJ172="NO CHARGE",0,$AJ172="INCLUDED",0,$AJ172=0,0,$AJ172&gt;0,PRODUCT(K172,$AJ172))</f>
        <v>0</v>
      </c>
      <c r="AO172" s="105" cm="1">
        <f t="array" ref="AO172">_xlfn.IFS($AJ172="NO CHARGE",0,$AJ172="INCLUDED",0,$AJ172=0,0,$AJ172&gt;0,PRODUCT(L172,$AJ172))</f>
        <v>0</v>
      </c>
      <c r="AP172" s="105" cm="1">
        <f t="array" ref="AP172">_xlfn.IFS($AJ172="NO CHARGE",0,$AJ172="INCLUDED",0,$AJ172=0,0,$AJ172&gt;0,PRODUCT(M172,$AJ172))</f>
        <v>0</v>
      </c>
      <c r="AQ172" s="158">
        <f t="shared" si="163"/>
        <v>0</v>
      </c>
      <c r="AR172" s="875"/>
      <c r="AS172" s="473"/>
      <c r="AT172" s="106"/>
      <c r="AU172" s="107"/>
      <c r="AV172" s="108">
        <f t="shared" si="149"/>
        <v>0</v>
      </c>
      <c r="AW172" s="108">
        <f t="shared" si="150"/>
        <v>0</v>
      </c>
      <c r="AX172" s="108">
        <f t="shared" si="151"/>
        <v>0</v>
      </c>
      <c r="AY172" s="108">
        <f t="shared" si="152"/>
        <v>0</v>
      </c>
      <c r="AZ172" s="108">
        <f t="shared" si="153"/>
        <v>0</v>
      </c>
      <c r="BA172" s="165">
        <f t="shared" si="154"/>
        <v>0</v>
      </c>
      <c r="BB172" s="531"/>
    </row>
    <row r="173" spans="1:54" s="495" customFormat="1" outlineLevel="1" x14ac:dyDescent="0.25">
      <c r="A173" s="700"/>
      <c r="B173" s="623" t="s">
        <v>213</v>
      </c>
      <c r="C173" s="310" t="s">
        <v>229</v>
      </c>
      <c r="D173" s="604"/>
      <c r="E173" s="604"/>
      <c r="F173" s="604"/>
      <c r="G173" s="604"/>
      <c r="H173" s="618">
        <v>25445</v>
      </c>
      <c r="I173" s="127">
        <f t="shared" si="158"/>
        <v>305340</v>
      </c>
      <c r="J173" s="127">
        <f t="shared" si="159"/>
        <v>320607</v>
      </c>
      <c r="K173" s="127">
        <f t="shared" si="159"/>
        <v>336637.35</v>
      </c>
      <c r="L173" s="127">
        <f t="shared" si="159"/>
        <v>353469.21749999997</v>
      </c>
      <c r="M173" s="127">
        <f t="shared" si="159"/>
        <v>371142.67837499996</v>
      </c>
      <c r="N173" s="245"/>
      <c r="O173" s="748"/>
      <c r="P173" s="757">
        <f t="shared" si="134"/>
        <v>0</v>
      </c>
      <c r="Q173" s="129">
        <f t="shared" si="135"/>
        <v>0</v>
      </c>
      <c r="R173" s="129">
        <f t="shared" si="136"/>
        <v>0</v>
      </c>
      <c r="S173" s="129">
        <f t="shared" si="137"/>
        <v>0</v>
      </c>
      <c r="T173" s="129">
        <f t="shared" si="138"/>
        <v>0</v>
      </c>
      <c r="U173" s="129">
        <f t="shared" si="139"/>
        <v>0</v>
      </c>
      <c r="V173" s="209">
        <f t="shared" si="140"/>
        <v>0</v>
      </c>
      <c r="W173" s="621"/>
      <c r="X173" s="222" t="str">
        <f t="shared" si="157"/>
        <v>eStatements Mgmt - Deposit eStatements Storage</v>
      </c>
      <c r="Y173" s="733" t="s">
        <v>77</v>
      </c>
      <c r="Z173" s="774">
        <f t="shared" si="160"/>
        <v>0</v>
      </c>
      <c r="AA173" s="103" cm="1">
        <f t="array" ref="AA173">_xlfn.IFS($Y173="INCLUDED",0, $Y173="NO CHARGE",0,$Y173&gt;0,$Y173*I173, $Y173="",0)</f>
        <v>0</v>
      </c>
      <c r="AB173" s="103" cm="1">
        <f t="array" ref="AB173">_xlfn.IFS($Y173="INCLUDED",0, $Y173="NO CHARGE",0,$Y173&gt;0,$Y173*J173, $Y173="",0)</f>
        <v>0</v>
      </c>
      <c r="AC173" s="103" cm="1">
        <f t="array" ref="AC173">_xlfn.IFS($Y173="INCLUDED",0, $Y173="NO CHARGE",0,$Y173&gt;0,$Y173*K173, $Y173="",0)</f>
        <v>0</v>
      </c>
      <c r="AD173" s="103" cm="1">
        <f t="array" ref="AD173">_xlfn.IFS($Y173="INCLUDED",0, $Y173="NO CHARGE",0,$Y173&gt;0,$Y173*L173, $Y173="",0)</f>
        <v>0</v>
      </c>
      <c r="AE173" s="103" cm="1">
        <f t="array" ref="AE173">_xlfn.IFS($Y173="INCLUDED",0, $Y173="NO CHARGE",0,$Y173&gt;0,$Y173*M173, $Y173="",0)</f>
        <v>0</v>
      </c>
      <c r="AF173" s="123">
        <f t="shared" si="161"/>
        <v>0</v>
      </c>
      <c r="AG173" s="743"/>
      <c r="AH173" s="362"/>
      <c r="AI173" s="221" t="str">
        <f t="shared" si="156"/>
        <v>eStatements Mgmt - Deposit eStatements Storage</v>
      </c>
      <c r="AJ173" s="886" t="s">
        <v>77</v>
      </c>
      <c r="AK173" s="896">
        <f t="shared" si="162"/>
        <v>0</v>
      </c>
      <c r="AL173" s="105" cm="1">
        <f t="array" ref="AL173">_xlfn.IFS($AJ173="NO CHARGE",0,$AJ173="INCLUDED",0,$AJ173=0,0,$AJ173&gt;0,PRODUCT(I173,$AJ173))</f>
        <v>0</v>
      </c>
      <c r="AM173" s="105" cm="1">
        <f t="array" ref="AM173">_xlfn.IFS($AJ173="NO CHARGE",0,$AJ173="INCLUDED",0,$AJ173=0,0,$AJ173&gt;0,PRODUCT(J173,$AJ173))</f>
        <v>0</v>
      </c>
      <c r="AN173" s="105" cm="1">
        <f t="array" ref="AN173">_xlfn.IFS($AJ173="NO CHARGE",0,$AJ173="INCLUDED",0,$AJ173=0,0,$AJ173&gt;0,PRODUCT(K173,$AJ173))</f>
        <v>0</v>
      </c>
      <c r="AO173" s="105" cm="1">
        <f t="array" ref="AO173">_xlfn.IFS($AJ173="NO CHARGE",0,$AJ173="INCLUDED",0,$AJ173=0,0,$AJ173&gt;0,PRODUCT(L173,$AJ173))</f>
        <v>0</v>
      </c>
      <c r="AP173" s="105" cm="1">
        <f t="array" ref="AP173">_xlfn.IFS($AJ173="NO CHARGE",0,$AJ173="INCLUDED",0,$AJ173=0,0,$AJ173&gt;0,PRODUCT(M173,$AJ173))</f>
        <v>0</v>
      </c>
      <c r="AQ173" s="158">
        <f t="shared" si="163"/>
        <v>0</v>
      </c>
      <c r="AR173" s="875"/>
      <c r="AS173" s="473"/>
      <c r="AT173" s="106"/>
      <c r="AU173" s="107"/>
      <c r="AV173" s="108">
        <f t="shared" si="149"/>
        <v>0</v>
      </c>
      <c r="AW173" s="108">
        <f t="shared" si="150"/>
        <v>0</v>
      </c>
      <c r="AX173" s="108">
        <f t="shared" si="151"/>
        <v>0</v>
      </c>
      <c r="AY173" s="108">
        <f t="shared" si="152"/>
        <v>0</v>
      </c>
      <c r="AZ173" s="108">
        <f t="shared" si="153"/>
        <v>0</v>
      </c>
      <c r="BA173" s="165">
        <f t="shared" si="154"/>
        <v>0</v>
      </c>
      <c r="BB173" s="531"/>
    </row>
    <row r="174" spans="1:54" s="495" customFormat="1" outlineLevel="1" x14ac:dyDescent="0.25">
      <c r="A174" s="700"/>
      <c r="B174" s="623" t="s">
        <v>213</v>
      </c>
      <c r="C174" s="310" t="s">
        <v>230</v>
      </c>
      <c r="D174" s="604"/>
      <c r="E174" s="604"/>
      <c r="F174" s="604"/>
      <c r="G174" s="604"/>
      <c r="H174" s="618">
        <f t="shared" ref="H174:H179" si="164">IFERROR(AVERAGE(D174:G174),0)</f>
        <v>0</v>
      </c>
      <c r="I174" s="127">
        <f t="shared" si="158"/>
        <v>0</v>
      </c>
      <c r="J174" s="127">
        <f t="shared" si="159"/>
        <v>0</v>
      </c>
      <c r="K174" s="127">
        <f t="shared" si="159"/>
        <v>0</v>
      </c>
      <c r="L174" s="127">
        <f t="shared" si="159"/>
        <v>0</v>
      </c>
      <c r="M174" s="127">
        <f t="shared" si="159"/>
        <v>0</v>
      </c>
      <c r="N174" s="245"/>
      <c r="O174" s="748"/>
      <c r="P174" s="757">
        <f t="shared" si="134"/>
        <v>0</v>
      </c>
      <c r="Q174" s="129">
        <f t="shared" si="135"/>
        <v>0</v>
      </c>
      <c r="R174" s="129">
        <f t="shared" si="136"/>
        <v>0</v>
      </c>
      <c r="S174" s="129">
        <f t="shared" si="137"/>
        <v>0</v>
      </c>
      <c r="T174" s="129">
        <f t="shared" si="138"/>
        <v>0</v>
      </c>
      <c r="U174" s="129">
        <f t="shared" si="139"/>
        <v>0</v>
      </c>
      <c r="V174" s="209">
        <f t="shared" si="140"/>
        <v>0</v>
      </c>
      <c r="W174" s="621"/>
      <c r="X174" s="222" t="str">
        <f t="shared" si="157"/>
        <v>eStatements Mgmt - XAA Statements Storage</v>
      </c>
      <c r="Y174" s="733" t="s">
        <v>77</v>
      </c>
      <c r="Z174" s="774">
        <f t="shared" si="160"/>
        <v>0</v>
      </c>
      <c r="AA174" s="103" cm="1">
        <f t="array" ref="AA174">_xlfn.IFS($Y174="INCLUDED",0, $Y174="NO CHARGE",0,$Y174&gt;0,$Y174*I174, $Y174="",0)</f>
        <v>0</v>
      </c>
      <c r="AB174" s="103" cm="1">
        <f t="array" ref="AB174">_xlfn.IFS($Y174="INCLUDED",0, $Y174="NO CHARGE",0,$Y174&gt;0,$Y174*J174, $Y174="",0)</f>
        <v>0</v>
      </c>
      <c r="AC174" s="103" cm="1">
        <f t="array" ref="AC174">_xlfn.IFS($Y174="INCLUDED",0, $Y174="NO CHARGE",0,$Y174&gt;0,$Y174*K174, $Y174="",0)</f>
        <v>0</v>
      </c>
      <c r="AD174" s="103" cm="1">
        <f t="array" ref="AD174">_xlfn.IFS($Y174="INCLUDED",0, $Y174="NO CHARGE",0,$Y174&gt;0,$Y174*L174, $Y174="",0)</f>
        <v>0</v>
      </c>
      <c r="AE174" s="103" cm="1">
        <f t="array" ref="AE174">_xlfn.IFS($Y174="INCLUDED",0, $Y174="NO CHARGE",0,$Y174&gt;0,$Y174*M174, $Y174="",0)</f>
        <v>0</v>
      </c>
      <c r="AF174" s="123">
        <f t="shared" si="161"/>
        <v>0</v>
      </c>
      <c r="AG174" s="743"/>
      <c r="AH174" s="362"/>
      <c r="AI174" s="221" t="str">
        <f t="shared" si="156"/>
        <v>eStatements Mgmt - XAA Statements Storage</v>
      </c>
      <c r="AJ174" s="886" t="s">
        <v>77</v>
      </c>
      <c r="AK174" s="896">
        <f t="shared" si="162"/>
        <v>0</v>
      </c>
      <c r="AL174" s="105" cm="1">
        <f t="array" ref="AL174">_xlfn.IFS($AJ174="NO CHARGE",0,$AJ174="INCLUDED",0,$AJ174=0,0,$AJ174&gt;0,PRODUCT(I174,$AJ174))</f>
        <v>0</v>
      </c>
      <c r="AM174" s="105" cm="1">
        <f t="array" ref="AM174">_xlfn.IFS($AJ174="NO CHARGE",0,$AJ174="INCLUDED",0,$AJ174=0,0,$AJ174&gt;0,PRODUCT(J174,$AJ174))</f>
        <v>0</v>
      </c>
      <c r="AN174" s="105" cm="1">
        <f t="array" ref="AN174">_xlfn.IFS($AJ174="NO CHARGE",0,$AJ174="INCLUDED",0,$AJ174=0,0,$AJ174&gt;0,PRODUCT(K174,$AJ174))</f>
        <v>0</v>
      </c>
      <c r="AO174" s="105" cm="1">
        <f t="array" ref="AO174">_xlfn.IFS($AJ174="NO CHARGE",0,$AJ174="INCLUDED",0,$AJ174=0,0,$AJ174&gt;0,PRODUCT(L174,$AJ174))</f>
        <v>0</v>
      </c>
      <c r="AP174" s="105" cm="1">
        <f t="array" ref="AP174">_xlfn.IFS($AJ174="NO CHARGE",0,$AJ174="INCLUDED",0,$AJ174=0,0,$AJ174&gt;0,PRODUCT(M174,$AJ174))</f>
        <v>0</v>
      </c>
      <c r="AQ174" s="158">
        <f t="shared" si="163"/>
        <v>0</v>
      </c>
      <c r="AR174" s="875"/>
      <c r="AS174" s="473"/>
      <c r="AT174" s="106"/>
      <c r="AU174" s="107"/>
      <c r="AV174" s="108">
        <f t="shared" si="149"/>
        <v>0</v>
      </c>
      <c r="AW174" s="108">
        <f t="shared" si="150"/>
        <v>0</v>
      </c>
      <c r="AX174" s="108">
        <f t="shared" si="151"/>
        <v>0</v>
      </c>
      <c r="AY174" s="108">
        <f t="shared" si="152"/>
        <v>0</v>
      </c>
      <c r="AZ174" s="108">
        <f t="shared" si="153"/>
        <v>0</v>
      </c>
      <c r="BA174" s="165">
        <f t="shared" si="154"/>
        <v>0</v>
      </c>
      <c r="BB174" s="531"/>
    </row>
    <row r="175" spans="1:54" s="495" customFormat="1" outlineLevel="1" x14ac:dyDescent="0.25">
      <c r="A175" s="700"/>
      <c r="B175" s="623" t="s">
        <v>213</v>
      </c>
      <c r="C175" s="310" t="s">
        <v>231</v>
      </c>
      <c r="D175" s="604"/>
      <c r="E175" s="604"/>
      <c r="F175" s="604"/>
      <c r="G175" s="604"/>
      <c r="H175" s="618">
        <f t="shared" si="164"/>
        <v>0</v>
      </c>
      <c r="I175" s="127">
        <f t="shared" si="158"/>
        <v>0</v>
      </c>
      <c r="J175" s="127">
        <f t="shared" si="159"/>
        <v>0</v>
      </c>
      <c r="K175" s="127">
        <f t="shared" si="159"/>
        <v>0</v>
      </c>
      <c r="L175" s="127">
        <f t="shared" si="159"/>
        <v>0</v>
      </c>
      <c r="M175" s="127">
        <f t="shared" si="159"/>
        <v>0</v>
      </c>
      <c r="N175" s="245"/>
      <c r="O175" s="748"/>
      <c r="P175" s="757">
        <f t="shared" si="134"/>
        <v>0</v>
      </c>
      <c r="Q175" s="129">
        <f t="shared" si="135"/>
        <v>0</v>
      </c>
      <c r="R175" s="129">
        <f t="shared" si="136"/>
        <v>0</v>
      </c>
      <c r="S175" s="129">
        <f t="shared" si="137"/>
        <v>0</v>
      </c>
      <c r="T175" s="129">
        <f t="shared" si="138"/>
        <v>0</v>
      </c>
      <c r="U175" s="129">
        <f t="shared" si="139"/>
        <v>0</v>
      </c>
      <c r="V175" s="209">
        <f t="shared" si="140"/>
        <v>0</v>
      </c>
      <c r="W175" s="621"/>
      <c r="X175" s="222" t="str">
        <f t="shared" si="157"/>
        <v>eStatements Mgmt - Loan eStatements Storage</v>
      </c>
      <c r="Y175" s="733" t="s">
        <v>77</v>
      </c>
      <c r="Z175" s="774">
        <f t="shared" si="160"/>
        <v>0</v>
      </c>
      <c r="AA175" s="103" cm="1">
        <f t="array" ref="AA175">_xlfn.IFS($Y175="INCLUDED",0, $Y175="NO CHARGE",0,$Y175&gt;0,$Y175*I175, $Y175="",0)</f>
        <v>0</v>
      </c>
      <c r="AB175" s="103" cm="1">
        <f t="array" ref="AB175">_xlfn.IFS($Y175="INCLUDED",0, $Y175="NO CHARGE",0,$Y175&gt;0,$Y175*J175, $Y175="",0)</f>
        <v>0</v>
      </c>
      <c r="AC175" s="103" cm="1">
        <f t="array" ref="AC175">_xlfn.IFS($Y175="INCLUDED",0, $Y175="NO CHARGE",0,$Y175&gt;0,$Y175*K175, $Y175="",0)</f>
        <v>0</v>
      </c>
      <c r="AD175" s="103" cm="1">
        <f t="array" ref="AD175">_xlfn.IFS($Y175="INCLUDED",0, $Y175="NO CHARGE",0,$Y175&gt;0,$Y175*L175, $Y175="",0)</f>
        <v>0</v>
      </c>
      <c r="AE175" s="103" cm="1">
        <f t="array" ref="AE175">_xlfn.IFS($Y175="INCLUDED",0, $Y175="NO CHARGE",0,$Y175&gt;0,$Y175*M175, $Y175="",0)</f>
        <v>0</v>
      </c>
      <c r="AF175" s="123">
        <f t="shared" si="161"/>
        <v>0</v>
      </c>
      <c r="AG175" s="743"/>
      <c r="AH175" s="362"/>
      <c r="AI175" s="221" t="str">
        <f t="shared" si="156"/>
        <v>eStatements Mgmt - Loan eStatements Storage</v>
      </c>
      <c r="AJ175" s="886" t="s">
        <v>77</v>
      </c>
      <c r="AK175" s="896">
        <f t="shared" si="162"/>
        <v>0</v>
      </c>
      <c r="AL175" s="105" cm="1">
        <f t="array" ref="AL175">_xlfn.IFS($AJ175="NO CHARGE",0,$AJ175="INCLUDED",0,$AJ175=0,0,$AJ175&gt;0,PRODUCT(I175,$AJ175))</f>
        <v>0</v>
      </c>
      <c r="AM175" s="105" cm="1">
        <f t="array" ref="AM175">_xlfn.IFS($AJ175="NO CHARGE",0,$AJ175="INCLUDED",0,$AJ175=0,0,$AJ175&gt;0,PRODUCT(J175,$AJ175))</f>
        <v>0</v>
      </c>
      <c r="AN175" s="105" cm="1">
        <f t="array" ref="AN175">_xlfn.IFS($AJ175="NO CHARGE",0,$AJ175="INCLUDED",0,$AJ175=0,0,$AJ175&gt;0,PRODUCT(K175,$AJ175))</f>
        <v>0</v>
      </c>
      <c r="AO175" s="105" cm="1">
        <f t="array" ref="AO175">_xlfn.IFS($AJ175="NO CHARGE",0,$AJ175="INCLUDED",0,$AJ175=0,0,$AJ175&gt;0,PRODUCT(L175,$AJ175))</f>
        <v>0</v>
      </c>
      <c r="AP175" s="105" cm="1">
        <f t="array" ref="AP175">_xlfn.IFS($AJ175="NO CHARGE",0,$AJ175="INCLUDED",0,$AJ175=0,0,$AJ175&gt;0,PRODUCT(M175,$AJ175))</f>
        <v>0</v>
      </c>
      <c r="AQ175" s="158">
        <f t="shared" si="163"/>
        <v>0</v>
      </c>
      <c r="AR175" s="875"/>
      <c r="AS175" s="473"/>
      <c r="AT175" s="106"/>
      <c r="AU175" s="107"/>
      <c r="AV175" s="108">
        <f t="shared" si="149"/>
        <v>0</v>
      </c>
      <c r="AW175" s="108">
        <f t="shared" si="150"/>
        <v>0</v>
      </c>
      <c r="AX175" s="108">
        <f t="shared" si="151"/>
        <v>0</v>
      </c>
      <c r="AY175" s="108">
        <f t="shared" si="152"/>
        <v>0</v>
      </c>
      <c r="AZ175" s="108">
        <f t="shared" si="153"/>
        <v>0</v>
      </c>
      <c r="BA175" s="165">
        <f t="shared" si="154"/>
        <v>0</v>
      </c>
      <c r="BB175" s="531"/>
    </row>
    <row r="176" spans="1:54" s="495" customFormat="1" outlineLevel="1" x14ac:dyDescent="0.25">
      <c r="A176" s="700"/>
      <c r="B176" s="623" t="s">
        <v>213</v>
      </c>
      <c r="C176" s="310" t="s">
        <v>232</v>
      </c>
      <c r="D176" s="604"/>
      <c r="E176" s="604"/>
      <c r="F176" s="604"/>
      <c r="G176" s="604"/>
      <c r="H176" s="618">
        <f t="shared" si="164"/>
        <v>0</v>
      </c>
      <c r="I176" s="127">
        <f t="shared" si="158"/>
        <v>0</v>
      </c>
      <c r="J176" s="127">
        <f t="shared" si="159"/>
        <v>0</v>
      </c>
      <c r="K176" s="127">
        <f t="shared" si="159"/>
        <v>0</v>
      </c>
      <c r="L176" s="127">
        <f t="shared" si="159"/>
        <v>0</v>
      </c>
      <c r="M176" s="127">
        <f t="shared" si="159"/>
        <v>0</v>
      </c>
      <c r="N176" s="245"/>
      <c r="O176" s="748"/>
      <c r="P176" s="757">
        <f t="shared" si="134"/>
        <v>0</v>
      </c>
      <c r="Q176" s="129">
        <f t="shared" si="135"/>
        <v>0</v>
      </c>
      <c r="R176" s="129">
        <f t="shared" si="136"/>
        <v>0</v>
      </c>
      <c r="S176" s="129">
        <f t="shared" si="137"/>
        <v>0</v>
      </c>
      <c r="T176" s="129">
        <f t="shared" si="138"/>
        <v>0</v>
      </c>
      <c r="U176" s="129">
        <f t="shared" si="139"/>
        <v>0</v>
      </c>
      <c r="V176" s="209">
        <f t="shared" si="140"/>
        <v>0</v>
      </c>
      <c r="W176" s="621"/>
      <c r="X176" s="222" t="str">
        <f t="shared" si="157"/>
        <v>eStatements Mgmt - Deposit eNOTICES Storage</v>
      </c>
      <c r="Y176" s="733" t="s">
        <v>77</v>
      </c>
      <c r="Z176" s="774">
        <f t="shared" si="160"/>
        <v>0</v>
      </c>
      <c r="AA176" s="103" cm="1">
        <f t="array" ref="AA176">_xlfn.IFS($Y176="INCLUDED",0, $Y176="NO CHARGE",0,$Y176&gt;0,$Y176*I176, $Y176="",0)</f>
        <v>0</v>
      </c>
      <c r="AB176" s="103" cm="1">
        <f t="array" ref="AB176">_xlfn.IFS($Y176="INCLUDED",0, $Y176="NO CHARGE",0,$Y176&gt;0,$Y176*J176, $Y176="",0)</f>
        <v>0</v>
      </c>
      <c r="AC176" s="103" cm="1">
        <f t="array" ref="AC176">_xlfn.IFS($Y176="INCLUDED",0, $Y176="NO CHARGE",0,$Y176&gt;0,$Y176*K176, $Y176="",0)</f>
        <v>0</v>
      </c>
      <c r="AD176" s="103" cm="1">
        <f t="array" ref="AD176">_xlfn.IFS($Y176="INCLUDED",0, $Y176="NO CHARGE",0,$Y176&gt;0,$Y176*L176, $Y176="",0)</f>
        <v>0</v>
      </c>
      <c r="AE176" s="103" cm="1">
        <f t="array" ref="AE176">_xlfn.IFS($Y176="INCLUDED",0, $Y176="NO CHARGE",0,$Y176&gt;0,$Y176*M176, $Y176="",0)</f>
        <v>0</v>
      </c>
      <c r="AF176" s="123">
        <f t="shared" si="161"/>
        <v>0</v>
      </c>
      <c r="AG176" s="743"/>
      <c r="AH176" s="362"/>
      <c r="AI176" s="221" t="str">
        <f t="shared" si="156"/>
        <v>eStatements Mgmt - Deposit eNOTICES Storage</v>
      </c>
      <c r="AJ176" s="886" t="s">
        <v>77</v>
      </c>
      <c r="AK176" s="896">
        <f t="shared" si="162"/>
        <v>0</v>
      </c>
      <c r="AL176" s="105" cm="1">
        <f t="array" ref="AL176">_xlfn.IFS($AJ176="NO CHARGE",0,$AJ176="INCLUDED",0,$AJ176=0,0,$AJ176&gt;0,PRODUCT(I176,$AJ176))</f>
        <v>0</v>
      </c>
      <c r="AM176" s="105" cm="1">
        <f t="array" ref="AM176">_xlfn.IFS($AJ176="NO CHARGE",0,$AJ176="INCLUDED",0,$AJ176=0,0,$AJ176&gt;0,PRODUCT(J176,$AJ176))</f>
        <v>0</v>
      </c>
      <c r="AN176" s="105" cm="1">
        <f t="array" ref="AN176">_xlfn.IFS($AJ176="NO CHARGE",0,$AJ176="INCLUDED",0,$AJ176=0,0,$AJ176&gt;0,PRODUCT(K176,$AJ176))</f>
        <v>0</v>
      </c>
      <c r="AO176" s="105" cm="1">
        <f t="array" ref="AO176">_xlfn.IFS($AJ176="NO CHARGE",0,$AJ176="INCLUDED",0,$AJ176=0,0,$AJ176&gt;0,PRODUCT(L176,$AJ176))</f>
        <v>0</v>
      </c>
      <c r="AP176" s="105" cm="1">
        <f t="array" ref="AP176">_xlfn.IFS($AJ176="NO CHARGE",0,$AJ176="INCLUDED",0,$AJ176=0,0,$AJ176&gt;0,PRODUCT(M176,$AJ176))</f>
        <v>0</v>
      </c>
      <c r="AQ176" s="158">
        <f t="shared" si="163"/>
        <v>0</v>
      </c>
      <c r="AR176" s="875"/>
      <c r="AS176" s="473"/>
      <c r="AT176" s="106"/>
      <c r="AU176" s="107"/>
      <c r="AV176" s="108">
        <f t="shared" si="149"/>
        <v>0</v>
      </c>
      <c r="AW176" s="108">
        <f t="shared" si="150"/>
        <v>0</v>
      </c>
      <c r="AX176" s="108">
        <f t="shared" si="151"/>
        <v>0</v>
      </c>
      <c r="AY176" s="108">
        <f t="shared" si="152"/>
        <v>0</v>
      </c>
      <c r="AZ176" s="108">
        <f t="shared" si="153"/>
        <v>0</v>
      </c>
      <c r="BA176" s="165">
        <f t="shared" si="154"/>
        <v>0</v>
      </c>
      <c r="BB176" s="531"/>
    </row>
    <row r="177" spans="1:54" s="495" customFormat="1" outlineLevel="1" x14ac:dyDescent="0.25">
      <c r="A177" s="700"/>
      <c r="B177" s="623" t="s">
        <v>213</v>
      </c>
      <c r="C177" s="310" t="s">
        <v>233</v>
      </c>
      <c r="D177" s="604"/>
      <c r="E177" s="604"/>
      <c r="F177" s="604"/>
      <c r="G177" s="604"/>
      <c r="H177" s="618">
        <f t="shared" si="164"/>
        <v>0</v>
      </c>
      <c r="I177" s="127">
        <f t="shared" si="158"/>
        <v>0</v>
      </c>
      <c r="J177" s="127">
        <f t="shared" si="159"/>
        <v>0</v>
      </c>
      <c r="K177" s="127">
        <f t="shared" si="159"/>
        <v>0</v>
      </c>
      <c r="L177" s="127">
        <f t="shared" si="159"/>
        <v>0</v>
      </c>
      <c r="M177" s="127">
        <f t="shared" si="159"/>
        <v>0</v>
      </c>
      <c r="N177" s="245"/>
      <c r="O177" s="748"/>
      <c r="P177" s="757">
        <f t="shared" si="134"/>
        <v>0</v>
      </c>
      <c r="Q177" s="129">
        <f t="shared" si="135"/>
        <v>0</v>
      </c>
      <c r="R177" s="129">
        <f t="shared" si="136"/>
        <v>0</v>
      </c>
      <c r="S177" s="129">
        <f t="shared" si="137"/>
        <v>0</v>
      </c>
      <c r="T177" s="129">
        <f t="shared" si="138"/>
        <v>0</v>
      </c>
      <c r="U177" s="129">
        <f t="shared" si="139"/>
        <v>0</v>
      </c>
      <c r="V177" s="209">
        <f t="shared" si="140"/>
        <v>0</v>
      </c>
      <c r="W177" s="621"/>
      <c r="X177" s="222" t="str">
        <f t="shared" si="157"/>
        <v>eStatements Mgmt - Loan eNOTICES Storage</v>
      </c>
      <c r="Y177" s="733" t="s">
        <v>77</v>
      </c>
      <c r="Z177" s="774">
        <f t="shared" si="160"/>
        <v>0</v>
      </c>
      <c r="AA177" s="103" cm="1">
        <f t="array" ref="AA177">_xlfn.IFS($Y177="INCLUDED",0, $Y177="NO CHARGE",0,$Y177&gt;0,$Y177*I177, $Y177="",0)</f>
        <v>0</v>
      </c>
      <c r="AB177" s="103" cm="1">
        <f t="array" ref="AB177">_xlfn.IFS($Y177="INCLUDED",0, $Y177="NO CHARGE",0,$Y177&gt;0,$Y177*J177, $Y177="",0)</f>
        <v>0</v>
      </c>
      <c r="AC177" s="103" cm="1">
        <f t="array" ref="AC177">_xlfn.IFS($Y177="INCLUDED",0, $Y177="NO CHARGE",0,$Y177&gt;0,$Y177*K177, $Y177="",0)</f>
        <v>0</v>
      </c>
      <c r="AD177" s="103" cm="1">
        <f t="array" ref="AD177">_xlfn.IFS($Y177="INCLUDED",0, $Y177="NO CHARGE",0,$Y177&gt;0,$Y177*L177, $Y177="",0)</f>
        <v>0</v>
      </c>
      <c r="AE177" s="103" cm="1">
        <f t="array" ref="AE177">_xlfn.IFS($Y177="INCLUDED",0, $Y177="NO CHARGE",0,$Y177&gt;0,$Y177*M177, $Y177="",0)</f>
        <v>0</v>
      </c>
      <c r="AF177" s="123">
        <f t="shared" si="161"/>
        <v>0</v>
      </c>
      <c r="AG177" s="743"/>
      <c r="AH177" s="362"/>
      <c r="AI177" s="221" t="str">
        <f t="shared" si="156"/>
        <v>eStatements Mgmt - Loan eNOTICES Storage</v>
      </c>
      <c r="AJ177" s="886" t="s">
        <v>77</v>
      </c>
      <c r="AK177" s="896">
        <f t="shared" si="162"/>
        <v>0</v>
      </c>
      <c r="AL177" s="105" cm="1">
        <f t="array" ref="AL177">_xlfn.IFS($AJ177="NO CHARGE",0,$AJ177="INCLUDED",0,$AJ177=0,0,$AJ177&gt;0,PRODUCT(I177,$AJ177))</f>
        <v>0</v>
      </c>
      <c r="AM177" s="105" cm="1">
        <f t="array" ref="AM177">_xlfn.IFS($AJ177="NO CHARGE",0,$AJ177="INCLUDED",0,$AJ177=0,0,$AJ177&gt;0,PRODUCT(J177,$AJ177))</f>
        <v>0</v>
      </c>
      <c r="AN177" s="105" cm="1">
        <f t="array" ref="AN177">_xlfn.IFS($AJ177="NO CHARGE",0,$AJ177="INCLUDED",0,$AJ177=0,0,$AJ177&gt;0,PRODUCT(K177,$AJ177))</f>
        <v>0</v>
      </c>
      <c r="AO177" s="105" cm="1">
        <f t="array" ref="AO177">_xlfn.IFS($AJ177="NO CHARGE",0,$AJ177="INCLUDED",0,$AJ177=0,0,$AJ177&gt;0,PRODUCT(L177,$AJ177))</f>
        <v>0</v>
      </c>
      <c r="AP177" s="105" cm="1">
        <f t="array" ref="AP177">_xlfn.IFS($AJ177="NO CHARGE",0,$AJ177="INCLUDED",0,$AJ177=0,0,$AJ177&gt;0,PRODUCT(M177,$AJ177))</f>
        <v>0</v>
      </c>
      <c r="AQ177" s="158">
        <f t="shared" si="163"/>
        <v>0</v>
      </c>
      <c r="AR177" s="875"/>
      <c r="AS177" s="473"/>
      <c r="AT177" s="106"/>
      <c r="AU177" s="107"/>
      <c r="AV177" s="108">
        <f t="shared" si="149"/>
        <v>0</v>
      </c>
      <c r="AW177" s="108">
        <f t="shared" si="150"/>
        <v>0</v>
      </c>
      <c r="AX177" s="108">
        <f t="shared" si="151"/>
        <v>0</v>
      </c>
      <c r="AY177" s="108">
        <f t="shared" si="152"/>
        <v>0</v>
      </c>
      <c r="AZ177" s="108">
        <f t="shared" si="153"/>
        <v>0</v>
      </c>
      <c r="BA177" s="165">
        <f t="shared" si="154"/>
        <v>0</v>
      </c>
      <c r="BB177" s="531"/>
    </row>
    <row r="178" spans="1:54" s="495" customFormat="1" outlineLevel="1" x14ac:dyDescent="0.25">
      <c r="A178" s="700"/>
      <c r="B178" s="623" t="s">
        <v>213</v>
      </c>
      <c r="C178" s="310" t="s">
        <v>234</v>
      </c>
      <c r="D178" s="604"/>
      <c r="E178" s="604"/>
      <c r="F178" s="604"/>
      <c r="G178" s="604"/>
      <c r="H178" s="618">
        <f t="shared" si="164"/>
        <v>0</v>
      </c>
      <c r="I178" s="127">
        <f t="shared" si="158"/>
        <v>0</v>
      </c>
      <c r="J178" s="127">
        <f t="shared" si="159"/>
        <v>0</v>
      </c>
      <c r="K178" s="127">
        <f t="shared" si="159"/>
        <v>0</v>
      </c>
      <c r="L178" s="127">
        <f t="shared" si="159"/>
        <v>0</v>
      </c>
      <c r="M178" s="127">
        <f t="shared" si="159"/>
        <v>0</v>
      </c>
      <c r="N178" s="245"/>
      <c r="O178" s="748"/>
      <c r="P178" s="757">
        <f t="shared" si="134"/>
        <v>0</v>
      </c>
      <c r="Q178" s="129">
        <f t="shared" si="135"/>
        <v>0</v>
      </c>
      <c r="R178" s="129">
        <f t="shared" si="136"/>
        <v>0</v>
      </c>
      <c r="S178" s="129">
        <f t="shared" si="137"/>
        <v>0</v>
      </c>
      <c r="T178" s="129">
        <f t="shared" si="138"/>
        <v>0</v>
      </c>
      <c r="U178" s="129">
        <f t="shared" si="139"/>
        <v>0</v>
      </c>
      <c r="V178" s="209">
        <f t="shared" si="140"/>
        <v>0</v>
      </c>
      <c r="W178" s="621"/>
      <c r="X178" s="222" t="str">
        <f t="shared" si="157"/>
        <v>eStatements Mgmt - Retirement eStatements/eNotices Storage Overage</v>
      </c>
      <c r="Y178" s="733">
        <v>4.1999999999999997E-3</v>
      </c>
      <c r="Z178" s="774">
        <f t="shared" si="160"/>
        <v>0</v>
      </c>
      <c r="AA178" s="103" cm="1">
        <f t="array" ref="AA178">_xlfn.IFS($Y178="INCLUDED",0, $Y178="NO CHARGE",0,$Y178&gt;0,$Y178*I178, $Y178="",0)</f>
        <v>0</v>
      </c>
      <c r="AB178" s="103" cm="1">
        <f t="array" ref="AB178">_xlfn.IFS($Y178="INCLUDED",0, $Y178="NO CHARGE",0,$Y178&gt;0,$Y178*J178, $Y178="",0)</f>
        <v>0</v>
      </c>
      <c r="AC178" s="103" cm="1">
        <f t="array" ref="AC178">_xlfn.IFS($Y178="INCLUDED",0, $Y178="NO CHARGE",0,$Y178&gt;0,$Y178*K178, $Y178="",0)</f>
        <v>0</v>
      </c>
      <c r="AD178" s="103" cm="1">
        <f t="array" ref="AD178">_xlfn.IFS($Y178="INCLUDED",0, $Y178="NO CHARGE",0,$Y178&gt;0,$Y178*L178, $Y178="",0)</f>
        <v>0</v>
      </c>
      <c r="AE178" s="103" cm="1">
        <f t="array" ref="AE178">_xlfn.IFS($Y178="INCLUDED",0, $Y178="NO CHARGE",0,$Y178&gt;0,$Y178*M178, $Y178="",0)</f>
        <v>0</v>
      </c>
      <c r="AF178" s="123">
        <f t="shared" si="161"/>
        <v>0</v>
      </c>
      <c r="AG178" s="743"/>
      <c r="AH178" s="362"/>
      <c r="AI178" s="221" t="str">
        <f t="shared" si="156"/>
        <v>eStatements Mgmt - Retirement eStatements/eNotices Storage Overage</v>
      </c>
      <c r="AJ178" s="886">
        <v>4.7999999999999996E-3</v>
      </c>
      <c r="AK178" s="896">
        <f t="shared" si="162"/>
        <v>0</v>
      </c>
      <c r="AL178" s="105" cm="1">
        <f t="array" ref="AL178">_xlfn.IFS($AJ178="NO CHARGE",0,$AJ178="INCLUDED",0,$AJ178=0,0,$AJ178&gt;0,PRODUCT(I178,$AJ178))</f>
        <v>0</v>
      </c>
      <c r="AM178" s="105" cm="1">
        <f t="array" ref="AM178">_xlfn.IFS($AJ178="NO CHARGE",0,$AJ178="INCLUDED",0,$AJ178=0,0,$AJ178&gt;0,PRODUCT(J178,$AJ178))</f>
        <v>0</v>
      </c>
      <c r="AN178" s="105" cm="1">
        <f t="array" ref="AN178">_xlfn.IFS($AJ178="NO CHARGE",0,$AJ178="INCLUDED",0,$AJ178=0,0,$AJ178&gt;0,PRODUCT(K178,$AJ178))</f>
        <v>0</v>
      </c>
      <c r="AO178" s="105" cm="1">
        <f t="array" ref="AO178">_xlfn.IFS($AJ178="NO CHARGE",0,$AJ178="INCLUDED",0,$AJ178=0,0,$AJ178&gt;0,PRODUCT(L178,$AJ178))</f>
        <v>0</v>
      </c>
      <c r="AP178" s="105" cm="1">
        <f t="array" ref="AP178">_xlfn.IFS($AJ178="NO CHARGE",0,$AJ178="INCLUDED",0,$AJ178=0,0,$AJ178&gt;0,PRODUCT(M178,$AJ178))</f>
        <v>0</v>
      </c>
      <c r="AQ178" s="158">
        <f t="shared" si="163"/>
        <v>0</v>
      </c>
      <c r="AR178" s="875"/>
      <c r="AS178" s="473"/>
      <c r="AT178" s="106"/>
      <c r="AU178" s="107"/>
      <c r="AV178" s="108">
        <f t="shared" si="149"/>
        <v>0</v>
      </c>
      <c r="AW178" s="108">
        <f t="shared" si="150"/>
        <v>0</v>
      </c>
      <c r="AX178" s="108">
        <f t="shared" si="151"/>
        <v>0</v>
      </c>
      <c r="AY178" s="108">
        <f t="shared" si="152"/>
        <v>0</v>
      </c>
      <c r="AZ178" s="108">
        <f t="shared" si="153"/>
        <v>0</v>
      </c>
      <c r="BA178" s="165">
        <f t="shared" si="154"/>
        <v>0</v>
      </c>
      <c r="BB178" s="531"/>
    </row>
    <row r="179" spans="1:54" s="495" customFormat="1" outlineLevel="1" x14ac:dyDescent="0.25">
      <c r="A179" s="700"/>
      <c r="B179" s="623" t="s">
        <v>213</v>
      </c>
      <c r="C179" s="310" t="s">
        <v>235</v>
      </c>
      <c r="D179" s="604"/>
      <c r="E179" s="604"/>
      <c r="F179" s="604"/>
      <c r="G179" s="604"/>
      <c r="H179" s="618">
        <f t="shared" si="164"/>
        <v>0</v>
      </c>
      <c r="I179" s="127">
        <f t="shared" si="158"/>
        <v>0</v>
      </c>
      <c r="J179" s="127">
        <f t="shared" si="159"/>
        <v>0</v>
      </c>
      <c r="K179" s="127">
        <f t="shared" si="159"/>
        <v>0</v>
      </c>
      <c r="L179" s="127">
        <f t="shared" si="159"/>
        <v>0</v>
      </c>
      <c r="M179" s="127">
        <f t="shared" si="159"/>
        <v>0</v>
      </c>
      <c r="N179" s="245"/>
      <c r="O179" s="748"/>
      <c r="P179" s="757">
        <f t="shared" si="134"/>
        <v>0</v>
      </c>
      <c r="Q179" s="129">
        <f t="shared" si="135"/>
        <v>0</v>
      </c>
      <c r="R179" s="129">
        <f t="shared" si="136"/>
        <v>0</v>
      </c>
      <c r="S179" s="129">
        <f t="shared" si="137"/>
        <v>0</v>
      </c>
      <c r="T179" s="129">
        <f t="shared" si="138"/>
        <v>0</v>
      </c>
      <c r="U179" s="129">
        <f t="shared" si="139"/>
        <v>0</v>
      </c>
      <c r="V179" s="209">
        <f t="shared" si="140"/>
        <v>0</v>
      </c>
      <c r="W179" s="621"/>
      <c r="X179" s="222" t="str">
        <f t="shared" si="157"/>
        <v>eStatements Mgmt - eTax Forms Storage</v>
      </c>
      <c r="Y179" s="733" t="s">
        <v>77</v>
      </c>
      <c r="Z179" s="774">
        <f t="shared" si="160"/>
        <v>0</v>
      </c>
      <c r="AA179" s="103" cm="1">
        <f t="array" ref="AA179">_xlfn.IFS($Y179="INCLUDED",0, $Y179="NO CHARGE",0,$Y179&gt;0,$Y179*I179, $Y179="",0)</f>
        <v>0</v>
      </c>
      <c r="AB179" s="103" cm="1">
        <f t="array" ref="AB179">_xlfn.IFS($Y179="INCLUDED",0, $Y179="NO CHARGE",0,$Y179&gt;0,$Y179*J179, $Y179="",0)</f>
        <v>0</v>
      </c>
      <c r="AC179" s="103" cm="1">
        <f t="array" ref="AC179">_xlfn.IFS($Y179="INCLUDED",0, $Y179="NO CHARGE",0,$Y179&gt;0,$Y179*K179, $Y179="",0)</f>
        <v>0</v>
      </c>
      <c r="AD179" s="103" cm="1">
        <f t="array" ref="AD179">_xlfn.IFS($Y179="INCLUDED",0, $Y179="NO CHARGE",0,$Y179&gt;0,$Y179*L179, $Y179="",0)</f>
        <v>0</v>
      </c>
      <c r="AE179" s="103" cm="1">
        <f t="array" ref="AE179">_xlfn.IFS($Y179="INCLUDED",0, $Y179="NO CHARGE",0,$Y179&gt;0,$Y179*M179, $Y179="",0)</f>
        <v>0</v>
      </c>
      <c r="AF179" s="123">
        <f t="shared" si="161"/>
        <v>0</v>
      </c>
      <c r="AG179" s="743"/>
      <c r="AH179" s="362"/>
      <c r="AI179" s="221" t="str">
        <f t="shared" si="156"/>
        <v>eStatements Mgmt - eTax Forms Storage</v>
      </c>
      <c r="AJ179" s="886" t="s">
        <v>77</v>
      </c>
      <c r="AK179" s="896">
        <f t="shared" si="162"/>
        <v>0</v>
      </c>
      <c r="AL179" s="105" cm="1">
        <f t="array" ref="AL179">_xlfn.IFS($AJ179="NO CHARGE",0,$AJ179="INCLUDED",0,$AJ179=0,0,$AJ179&gt;0,PRODUCT(I179,$AJ179))</f>
        <v>0</v>
      </c>
      <c r="AM179" s="105" cm="1">
        <f t="array" ref="AM179">_xlfn.IFS($AJ179="NO CHARGE",0,$AJ179="INCLUDED",0,$AJ179=0,0,$AJ179&gt;0,PRODUCT(J179,$AJ179))</f>
        <v>0</v>
      </c>
      <c r="AN179" s="105" cm="1">
        <f t="array" ref="AN179">_xlfn.IFS($AJ179="NO CHARGE",0,$AJ179="INCLUDED",0,$AJ179=0,0,$AJ179&gt;0,PRODUCT(K179,$AJ179))</f>
        <v>0</v>
      </c>
      <c r="AO179" s="105" cm="1">
        <f t="array" ref="AO179">_xlfn.IFS($AJ179="NO CHARGE",0,$AJ179="INCLUDED",0,$AJ179=0,0,$AJ179&gt;0,PRODUCT(L179,$AJ179))</f>
        <v>0</v>
      </c>
      <c r="AP179" s="105" cm="1">
        <f t="array" ref="AP179">_xlfn.IFS($AJ179="NO CHARGE",0,$AJ179="INCLUDED",0,$AJ179=0,0,$AJ179&gt;0,PRODUCT(M179,$AJ179))</f>
        <v>0</v>
      </c>
      <c r="AQ179" s="158">
        <f t="shared" si="163"/>
        <v>0</v>
      </c>
      <c r="AR179" s="875"/>
      <c r="AS179" s="473"/>
      <c r="AT179" s="106"/>
      <c r="AU179" s="107"/>
      <c r="AV179" s="108">
        <f t="shared" si="149"/>
        <v>0</v>
      </c>
      <c r="AW179" s="108">
        <f t="shared" si="150"/>
        <v>0</v>
      </c>
      <c r="AX179" s="108">
        <f t="shared" si="151"/>
        <v>0</v>
      </c>
      <c r="AY179" s="108">
        <f t="shared" si="152"/>
        <v>0</v>
      </c>
      <c r="AZ179" s="108">
        <f t="shared" si="153"/>
        <v>0</v>
      </c>
      <c r="BA179" s="165">
        <f t="shared" si="154"/>
        <v>0</v>
      </c>
      <c r="BB179" s="531"/>
    </row>
    <row r="180" spans="1:54" s="495" customFormat="1" outlineLevel="1" x14ac:dyDescent="0.25">
      <c r="A180" s="700"/>
      <c r="B180" s="623" t="s">
        <v>213</v>
      </c>
      <c r="C180" s="310" t="s">
        <v>212</v>
      </c>
      <c r="D180" s="604"/>
      <c r="E180" s="604"/>
      <c r="F180" s="604"/>
      <c r="G180" s="604"/>
      <c r="H180" s="618">
        <v>1</v>
      </c>
      <c r="I180" s="127">
        <f t="shared" si="158"/>
        <v>12</v>
      </c>
      <c r="J180" s="127">
        <f t="shared" si="159"/>
        <v>12</v>
      </c>
      <c r="K180" s="127">
        <f t="shared" si="159"/>
        <v>12</v>
      </c>
      <c r="L180" s="127">
        <f t="shared" si="159"/>
        <v>12</v>
      </c>
      <c r="M180" s="127">
        <f t="shared" si="159"/>
        <v>12</v>
      </c>
      <c r="N180" s="245"/>
      <c r="O180" s="748"/>
      <c r="P180" s="757">
        <f t="shared" si="134"/>
        <v>0</v>
      </c>
      <c r="Q180" s="129">
        <f t="shared" si="135"/>
        <v>0</v>
      </c>
      <c r="R180" s="129">
        <f t="shared" si="136"/>
        <v>0</v>
      </c>
      <c r="S180" s="129">
        <f t="shared" si="137"/>
        <v>0</v>
      </c>
      <c r="T180" s="129">
        <f t="shared" si="138"/>
        <v>0</v>
      </c>
      <c r="U180" s="129">
        <f t="shared" si="139"/>
        <v>0</v>
      </c>
      <c r="V180" s="209">
        <f t="shared" si="140"/>
        <v>0</v>
      </c>
      <c r="W180" s="621"/>
      <c r="X180" s="222" t="str">
        <f t="shared" si="157"/>
        <v>Subpoena Centre</v>
      </c>
      <c r="Y180" s="733">
        <v>78.5</v>
      </c>
      <c r="Z180" s="774">
        <f t="shared" si="160"/>
        <v>78.5</v>
      </c>
      <c r="AA180" s="103" cm="1">
        <f t="array" ref="AA180">_xlfn.IFS($Y180="INCLUDED",0, $Y180="NO CHARGE",0,$Y180&gt;0,$Y180*I180, $Y180="",0)</f>
        <v>942</v>
      </c>
      <c r="AB180" s="103" cm="1">
        <f t="array" ref="AB180">_xlfn.IFS($Y180="INCLUDED",0, $Y180="NO CHARGE",0,$Y180&gt;0,$Y180*J180, $Y180="",0)</f>
        <v>942</v>
      </c>
      <c r="AC180" s="103" cm="1">
        <f t="array" ref="AC180">_xlfn.IFS($Y180="INCLUDED",0, $Y180="NO CHARGE",0,$Y180&gt;0,$Y180*K180, $Y180="",0)</f>
        <v>942</v>
      </c>
      <c r="AD180" s="103" cm="1">
        <f t="array" ref="AD180">_xlfn.IFS($Y180="INCLUDED",0, $Y180="NO CHARGE",0,$Y180&gt;0,$Y180*L180, $Y180="",0)</f>
        <v>942</v>
      </c>
      <c r="AE180" s="103" cm="1">
        <f t="array" ref="AE180">_xlfn.IFS($Y180="INCLUDED",0, $Y180="NO CHARGE",0,$Y180&gt;0,$Y180*M180, $Y180="",0)</f>
        <v>942</v>
      </c>
      <c r="AF180" s="123">
        <f t="shared" si="161"/>
        <v>4710</v>
      </c>
      <c r="AG180" s="743"/>
      <c r="AH180" s="362"/>
      <c r="AI180" s="221" t="str">
        <f t="shared" si="156"/>
        <v>Subpoena Centre</v>
      </c>
      <c r="AJ180" s="270">
        <v>89</v>
      </c>
      <c r="AK180" s="896">
        <f t="shared" si="162"/>
        <v>89</v>
      </c>
      <c r="AL180" s="105" cm="1">
        <f t="array" ref="AL180">_xlfn.IFS($AJ180="NO CHARGE",0,$AJ180="INCLUDED",0,$AJ180=0,0,$AJ180&gt;0,PRODUCT(I180,$AJ180))</f>
        <v>1068</v>
      </c>
      <c r="AM180" s="105" cm="1">
        <f t="array" ref="AM180">_xlfn.IFS($AJ180="NO CHARGE",0,$AJ180="INCLUDED",0,$AJ180=0,0,$AJ180&gt;0,PRODUCT(J180,$AJ180))</f>
        <v>1068</v>
      </c>
      <c r="AN180" s="105" cm="1">
        <f t="array" ref="AN180">_xlfn.IFS($AJ180="NO CHARGE",0,$AJ180="INCLUDED",0,$AJ180=0,0,$AJ180&gt;0,PRODUCT(K180,$AJ180))</f>
        <v>1068</v>
      </c>
      <c r="AO180" s="105" cm="1">
        <f t="array" ref="AO180">_xlfn.IFS($AJ180="NO CHARGE",0,$AJ180="INCLUDED",0,$AJ180=0,0,$AJ180&gt;0,PRODUCT(L180,$AJ180))</f>
        <v>1068</v>
      </c>
      <c r="AP180" s="105" cm="1">
        <f t="array" ref="AP180">_xlfn.IFS($AJ180="NO CHARGE",0,$AJ180="INCLUDED",0,$AJ180=0,0,$AJ180&gt;0,PRODUCT(M180,$AJ180))</f>
        <v>1068</v>
      </c>
      <c r="AQ180" s="158">
        <f t="shared" si="163"/>
        <v>5340</v>
      </c>
      <c r="AR180" s="875"/>
      <c r="AS180" s="473"/>
      <c r="AT180" s="106"/>
      <c r="AU180" s="107"/>
      <c r="AV180" s="108">
        <f t="shared" si="149"/>
        <v>0</v>
      </c>
      <c r="AW180" s="108">
        <f t="shared" si="150"/>
        <v>0</v>
      </c>
      <c r="AX180" s="108">
        <f t="shared" si="151"/>
        <v>0</v>
      </c>
      <c r="AY180" s="108">
        <f t="shared" si="152"/>
        <v>0</v>
      </c>
      <c r="AZ180" s="108">
        <f t="shared" si="153"/>
        <v>0</v>
      </c>
      <c r="BA180" s="165">
        <f t="shared" si="154"/>
        <v>0</v>
      </c>
      <c r="BB180" s="531"/>
    </row>
    <row r="181" spans="1:54" s="495" customFormat="1" outlineLevel="1" x14ac:dyDescent="0.25">
      <c r="A181" s="445"/>
      <c r="B181" s="623"/>
      <c r="C181" s="310"/>
      <c r="D181" s="604"/>
      <c r="E181" s="604"/>
      <c r="F181" s="604"/>
      <c r="G181" s="604"/>
      <c r="H181" s="618">
        <f>IFERROR(AVERAGE(D181:G181),0)</f>
        <v>0</v>
      </c>
      <c r="I181" s="127">
        <f t="shared" si="158"/>
        <v>0</v>
      </c>
      <c r="J181" s="127">
        <f t="shared" si="159"/>
        <v>0</v>
      </c>
      <c r="K181" s="127">
        <f t="shared" si="159"/>
        <v>0</v>
      </c>
      <c r="L181" s="127">
        <f t="shared" si="159"/>
        <v>0</v>
      </c>
      <c r="M181" s="127">
        <f t="shared" si="159"/>
        <v>0</v>
      </c>
      <c r="N181" s="245" t="str">
        <f>IF(C181="","",C181)</f>
        <v/>
      </c>
      <c r="O181" s="748"/>
      <c r="P181" s="757">
        <f t="shared" si="134"/>
        <v>0</v>
      </c>
      <c r="Q181" s="129">
        <f t="shared" si="135"/>
        <v>0</v>
      </c>
      <c r="R181" s="129">
        <f t="shared" si="136"/>
        <v>0</v>
      </c>
      <c r="S181" s="129">
        <f t="shared" si="137"/>
        <v>0</v>
      </c>
      <c r="T181" s="129">
        <f t="shared" si="138"/>
        <v>0</v>
      </c>
      <c r="U181" s="129">
        <f t="shared" si="139"/>
        <v>0</v>
      </c>
      <c r="V181" s="209">
        <f t="shared" si="140"/>
        <v>0</v>
      </c>
      <c r="W181" s="621"/>
      <c r="X181" s="222"/>
      <c r="Y181" s="325"/>
      <c r="Z181" s="774">
        <f t="shared" si="160"/>
        <v>0</v>
      </c>
      <c r="AA181" s="103">
        <f>IF(Y181&gt;0,PRODUCT(I181,$Y181),0)</f>
        <v>0</v>
      </c>
      <c r="AB181" s="103">
        <f>IF(AA181&gt;0,PRODUCT(J181,$Y181),0)</f>
        <v>0</v>
      </c>
      <c r="AC181" s="103">
        <f>IF(AB181&gt;0,PRODUCT(K181,$Y181),0)</f>
        <v>0</v>
      </c>
      <c r="AD181" s="103">
        <f>IF(AC181&gt;0,PRODUCT(L181,$Y181),0)</f>
        <v>0</v>
      </c>
      <c r="AE181" s="103">
        <f>IF(AD181&gt;0,PRODUCT(M181,$Y181),0)</f>
        <v>0</v>
      </c>
      <c r="AF181" s="123">
        <f t="shared" si="161"/>
        <v>0</v>
      </c>
      <c r="AG181" s="743"/>
      <c r="AH181" s="362"/>
      <c r="AI181" s="221"/>
      <c r="AJ181" s="270"/>
      <c r="AK181" s="896">
        <f t="shared" si="162"/>
        <v>0</v>
      </c>
      <c r="AL181" s="105" cm="1">
        <f t="array" ref="AL181">_xlfn.IFS($AJ181="NO CHARGE",0,$AJ181="INCLUDED",0,$AJ181=0,0,$AJ181&gt;0,PRODUCT(I181,$AJ181))</f>
        <v>0</v>
      </c>
      <c r="AM181" s="105" cm="1">
        <f t="array" ref="AM181">_xlfn.IFS($AJ181="NO CHARGE",0,$AJ181="INCLUDED",0,$AJ181=0,0,$AJ181&gt;0,PRODUCT(J181,$AJ181))</f>
        <v>0</v>
      </c>
      <c r="AN181" s="105" cm="1">
        <f t="array" ref="AN181">_xlfn.IFS($AJ181="NO CHARGE",0,$AJ181="INCLUDED",0,$AJ181=0,0,$AJ181&gt;0,PRODUCT(K181,$AJ181))</f>
        <v>0</v>
      </c>
      <c r="AO181" s="105" cm="1">
        <f t="array" ref="AO181">_xlfn.IFS($AJ181="NO CHARGE",0,$AJ181="INCLUDED",0,$AJ181=0,0,$AJ181&gt;0,PRODUCT(L181,$AJ181))</f>
        <v>0</v>
      </c>
      <c r="AP181" s="105" cm="1">
        <f t="array" ref="AP181">_xlfn.IFS($AJ181="NO CHARGE",0,$AJ181="INCLUDED",0,$AJ181=0,0,$AJ181&gt;0,PRODUCT(M181,$AJ181))</f>
        <v>0</v>
      </c>
      <c r="AQ181" s="158">
        <f t="shared" si="163"/>
        <v>0</v>
      </c>
      <c r="AR181" s="875"/>
      <c r="AS181" s="473"/>
      <c r="AT181" s="106"/>
      <c r="AU181" s="107"/>
      <c r="AV181" s="108">
        <f t="shared" si="149"/>
        <v>0</v>
      </c>
      <c r="AW181" s="108">
        <f t="shared" si="150"/>
        <v>0</v>
      </c>
      <c r="AX181" s="108">
        <f t="shared" si="151"/>
        <v>0</v>
      </c>
      <c r="AY181" s="108">
        <f t="shared" si="152"/>
        <v>0</v>
      </c>
      <c r="AZ181" s="108">
        <f t="shared" si="153"/>
        <v>0</v>
      </c>
      <c r="BA181" s="165">
        <f t="shared" si="154"/>
        <v>0</v>
      </c>
      <c r="BB181" s="531"/>
    </row>
    <row r="182" spans="1:54" s="495" customFormat="1" outlineLevel="1" x14ac:dyDescent="0.25">
      <c r="A182" s="445"/>
      <c r="B182" s="252" t="str">
        <f>C182</f>
        <v>Item Processing:</v>
      </c>
      <c r="C182" s="242" t="s">
        <v>236</v>
      </c>
      <c r="D182" s="608"/>
      <c r="E182" s="608"/>
      <c r="F182" s="608"/>
      <c r="G182" s="608"/>
      <c r="H182" s="243"/>
      <c r="I182" s="243"/>
      <c r="J182" s="243"/>
      <c r="K182" s="243"/>
      <c r="L182" s="243"/>
      <c r="M182" s="244"/>
      <c r="N182" s="252" t="str">
        <f>C182</f>
        <v>Item Processing:</v>
      </c>
      <c r="O182" s="243"/>
      <c r="P182" s="756"/>
      <c r="Q182" s="243"/>
      <c r="R182" s="243"/>
      <c r="S182" s="243"/>
      <c r="T182" s="243"/>
      <c r="U182" s="244"/>
      <c r="V182" s="209"/>
      <c r="W182" s="527"/>
      <c r="X182" s="252" t="str">
        <f>C182</f>
        <v>Item Processing:</v>
      </c>
      <c r="Y182" s="707"/>
      <c r="Z182" s="756"/>
      <c r="AA182" s="243"/>
      <c r="AB182" s="243"/>
      <c r="AC182" s="243"/>
      <c r="AD182" s="243"/>
      <c r="AE182" s="244"/>
      <c r="AF182" s="123"/>
      <c r="AG182" s="742"/>
      <c r="AH182" s="244"/>
      <c r="AI182" s="252" t="str">
        <f>C182</f>
        <v>Item Processing:</v>
      </c>
      <c r="AJ182" s="707"/>
      <c r="AK182" s="895"/>
      <c r="AL182" s="243"/>
      <c r="AM182" s="243"/>
      <c r="AN182" s="243"/>
      <c r="AO182" s="243"/>
      <c r="AP182" s="244"/>
      <c r="AQ182" s="158">
        <f t="shared" si="163"/>
        <v>0</v>
      </c>
      <c r="AR182" s="874"/>
      <c r="AS182" s="874"/>
      <c r="AT182" s="252" t="str">
        <f>C182</f>
        <v>Item Processing:</v>
      </c>
      <c r="AU182" s="243"/>
      <c r="AV182" s="243"/>
      <c r="AW182" s="243"/>
      <c r="AX182" s="243"/>
      <c r="AY182" s="243"/>
      <c r="AZ182" s="244"/>
      <c r="BA182" s="165"/>
      <c r="BB182" s="532"/>
    </row>
    <row r="183" spans="1:54" s="495" customFormat="1" outlineLevel="1" x14ac:dyDescent="0.25">
      <c r="A183" s="787"/>
      <c r="B183" s="623" t="s">
        <v>237</v>
      </c>
      <c r="C183" s="310" t="s">
        <v>238</v>
      </c>
      <c r="D183" s="604"/>
      <c r="E183" s="604">
        <v>117424</v>
      </c>
      <c r="F183" s="604">
        <v>124965</v>
      </c>
      <c r="G183" s="604"/>
      <c r="H183" s="618">
        <f>IFERROR(AVERAGE(D183:G183),0)</f>
        <v>121194.5</v>
      </c>
      <c r="I183" s="127">
        <f t="shared" ref="I183:I211" si="165">H183*12</f>
        <v>1454334</v>
      </c>
      <c r="J183" s="127">
        <f t="shared" ref="J183:M211" si="166">IF(I183&gt;12,(((I183)*$H$5)+I183),(I183*1))</f>
        <v>1527050.7</v>
      </c>
      <c r="K183" s="127">
        <f t="shared" si="166"/>
        <v>1603403.2349999999</v>
      </c>
      <c r="L183" s="127">
        <f t="shared" si="166"/>
        <v>1683573.3967499998</v>
      </c>
      <c r="M183" s="127">
        <f t="shared" si="166"/>
        <v>1767752.0665874998</v>
      </c>
      <c r="N183" s="245" t="str">
        <f>IF(C183="","",C183)</f>
        <v>CAR/LAR Recognition</v>
      </c>
      <c r="O183" s="748">
        <v>5.6313999999999999E-3</v>
      </c>
      <c r="P183" s="757">
        <f t="shared" ref="P183:P218" si="167">Q183/12</f>
        <v>682.49470729999996</v>
      </c>
      <c r="Q183" s="129">
        <f t="shared" ref="Q183:Q218" si="168">IF(O183&gt;0,PRODUCT(I183,$O183),0)</f>
        <v>8189.9364876</v>
      </c>
      <c r="R183" s="129">
        <f t="shared" ref="R183:R218" si="169">IF(Q183&gt;0,PRODUCT(J183,$O183),0)</f>
        <v>8599.4333119799994</v>
      </c>
      <c r="S183" s="129">
        <f t="shared" ref="S183:S218" si="170">IF(R183&gt;0,PRODUCT(K183,$O183),0)</f>
        <v>9029.404977578999</v>
      </c>
      <c r="T183" s="129">
        <f t="shared" ref="T183:T218" si="171">IF(S183&gt;0,PRODUCT(L183,$O183),0)</f>
        <v>9480.8752264579489</v>
      </c>
      <c r="U183" s="129">
        <f t="shared" ref="U183:U218" si="172">IF(T183&gt;0,PRODUCT(M183,$O183),0)</f>
        <v>9954.9189877808458</v>
      </c>
      <c r="V183" s="209">
        <f t="shared" ref="V183:V218" si="173">SUM(Q183:U183)</f>
        <v>45254.568991397791</v>
      </c>
      <c r="W183" s="621"/>
      <c r="X183" s="222" t="s">
        <v>239</v>
      </c>
      <c r="Y183" s="325"/>
      <c r="Z183" s="774">
        <f t="shared" ref="Z183:Z208" si="174">AA183/12</f>
        <v>0</v>
      </c>
      <c r="AA183" s="103">
        <f>IF(Y183&gt;0,PRODUCT(I183,$Y183),0)</f>
        <v>0</v>
      </c>
      <c r="AB183" s="103">
        <f>IF(AA183&gt;0,PRODUCT(J183,$Y183),0)</f>
        <v>0</v>
      </c>
      <c r="AC183" s="103">
        <f>IF(AB183&gt;0,PRODUCT(K183,$Y183),0)</f>
        <v>0</v>
      </c>
      <c r="AD183" s="103">
        <f>IF(AC183&gt;0,PRODUCT(L183,$Y183),0)</f>
        <v>0</v>
      </c>
      <c r="AE183" s="103">
        <f>IF(AD183&gt;0,PRODUCT(M183,$Y183),0)</f>
        <v>0</v>
      </c>
      <c r="AF183" s="123">
        <f t="shared" ref="AF183:AF214" si="175">SUM(AA183:AE183)</f>
        <v>0</v>
      </c>
      <c r="AG183" s="743"/>
      <c r="AH183" s="362"/>
      <c r="AI183" s="221" t="str">
        <f>X183</f>
        <v>(See New Billing Structure Below)</v>
      </c>
      <c r="AJ183" s="886"/>
      <c r="AK183" s="896">
        <f t="shared" ref="AK183:AK208" si="176">AL183/12</f>
        <v>0</v>
      </c>
      <c r="AL183" s="105" cm="1">
        <f t="array" ref="AL183">_xlfn.IFS($AJ183="NO CHARGE",0,$AJ183="INCLUDED",0,$AJ183=0,0,$AJ183&gt;0,PRODUCT(I183,$AJ183))</f>
        <v>0</v>
      </c>
      <c r="AM183" s="105" cm="1">
        <f t="array" ref="AM183">_xlfn.IFS($AJ183="NO CHARGE",0,$AJ183="INCLUDED",0,$AJ183=0,0,$AJ183&gt;0,PRODUCT(J183,$AJ183))</f>
        <v>0</v>
      </c>
      <c r="AN183" s="105" cm="1">
        <f t="array" ref="AN183">_xlfn.IFS($AJ183="NO CHARGE",0,$AJ183="INCLUDED",0,$AJ183=0,0,$AJ183&gt;0,PRODUCT(K183,$AJ183))</f>
        <v>0</v>
      </c>
      <c r="AO183" s="105" cm="1">
        <f t="array" ref="AO183">_xlfn.IFS($AJ183="NO CHARGE",0,$AJ183="INCLUDED",0,$AJ183=0,0,$AJ183&gt;0,PRODUCT(L183,$AJ183))</f>
        <v>0</v>
      </c>
      <c r="AP183" s="105" cm="1">
        <f t="array" ref="AP183">_xlfn.IFS($AJ183="NO CHARGE",0,$AJ183="INCLUDED",0,$AJ183=0,0,$AJ183&gt;0,PRODUCT(M183,$AJ183))</f>
        <v>0</v>
      </c>
      <c r="AQ183" s="158">
        <f t="shared" si="163"/>
        <v>0</v>
      </c>
      <c r="AR183" s="875"/>
      <c r="AS183" s="473"/>
      <c r="AT183" s="106"/>
      <c r="AU183" s="107"/>
      <c r="AV183" s="108">
        <f t="shared" ref="AV183:AV216" si="177">IF(AU183&gt;0,PRODUCT(I183,$AU183),0)</f>
        <v>0</v>
      </c>
      <c r="AW183" s="108">
        <f t="shared" ref="AW183:AW216" si="178">IF(AV183&gt;0,PRODUCT(J183,$AU183),0)</f>
        <v>0</v>
      </c>
      <c r="AX183" s="108">
        <f t="shared" ref="AX183:AX216" si="179">IF(AW183&gt;0,PRODUCT(K183,$AU183),0)</f>
        <v>0</v>
      </c>
      <c r="AY183" s="108">
        <f t="shared" ref="AY183:AY216" si="180">IF(AX183&gt;0,PRODUCT(L183,$AU183),0)</f>
        <v>0</v>
      </c>
      <c r="AZ183" s="108">
        <f t="shared" ref="AZ183:AZ216" si="181">IF(AY183&gt;0,PRODUCT(M183,$AU183),0)</f>
        <v>0</v>
      </c>
      <c r="BA183" s="165">
        <f t="shared" ref="BA183:BA216" si="182">SUM(AV183:AZ183)</f>
        <v>0</v>
      </c>
      <c r="BB183" s="531"/>
    </row>
    <row r="184" spans="1:54" s="495" customFormat="1" outlineLevel="1" x14ac:dyDescent="0.25">
      <c r="A184" s="700"/>
      <c r="B184" s="623" t="s">
        <v>237</v>
      </c>
      <c r="C184" s="310" t="s">
        <v>240</v>
      </c>
      <c r="D184" s="604"/>
      <c r="E184" s="604"/>
      <c r="F184" s="604"/>
      <c r="G184" s="604"/>
      <c r="H184" s="618">
        <f>IFERROR(AVERAGE(D184:G184),0)</f>
        <v>0</v>
      </c>
      <c r="I184" s="127">
        <f t="shared" si="165"/>
        <v>0</v>
      </c>
      <c r="J184" s="127">
        <f t="shared" si="166"/>
        <v>0</v>
      </c>
      <c r="K184" s="127">
        <f t="shared" si="166"/>
        <v>0</v>
      </c>
      <c r="L184" s="127">
        <f t="shared" si="166"/>
        <v>0</v>
      </c>
      <c r="M184" s="127">
        <f t="shared" si="166"/>
        <v>0</v>
      </c>
      <c r="N184" s="245"/>
      <c r="O184" s="748"/>
      <c r="P184" s="757">
        <f t="shared" si="167"/>
        <v>0</v>
      </c>
      <c r="Q184" s="129">
        <f t="shared" si="168"/>
        <v>0</v>
      </c>
      <c r="R184" s="129">
        <f t="shared" si="169"/>
        <v>0</v>
      </c>
      <c r="S184" s="129">
        <f t="shared" si="170"/>
        <v>0</v>
      </c>
      <c r="T184" s="129">
        <f t="shared" si="171"/>
        <v>0</v>
      </c>
      <c r="U184" s="129">
        <f t="shared" si="172"/>
        <v>0</v>
      </c>
      <c r="V184" s="209">
        <f t="shared" si="173"/>
        <v>0</v>
      </c>
      <c r="W184" s="621"/>
      <c r="X184" s="222" t="str">
        <f>C184</f>
        <v>Over-the-Counter Image Processing</v>
      </c>
      <c r="Y184" s="733" t="s">
        <v>77</v>
      </c>
      <c r="Z184" s="774">
        <f t="shared" si="174"/>
        <v>0</v>
      </c>
      <c r="AA184" s="103" cm="1">
        <f t="array" ref="AA184">_xlfn.IFS($Y184="INCLUDED",0, $Y184="NO CHARGE",0,$Y184&gt;0,$Y184*I184, $Y184="",0)</f>
        <v>0</v>
      </c>
      <c r="AB184" s="103" cm="1">
        <f t="array" ref="AB184">_xlfn.IFS($Y184="INCLUDED",0, $Y184="NO CHARGE",0,$Y184&gt;0,$Y184*J184, $Y184="",0)</f>
        <v>0</v>
      </c>
      <c r="AC184" s="103" cm="1">
        <f t="array" ref="AC184">_xlfn.IFS($Y184="INCLUDED",0, $Y184="NO CHARGE",0,$Y184&gt;0,$Y184*K184, $Y184="",0)</f>
        <v>0</v>
      </c>
      <c r="AD184" s="103" cm="1">
        <f t="array" ref="AD184">_xlfn.IFS($Y184="INCLUDED",0, $Y184="NO CHARGE",0,$Y184&gt;0,$Y184*L184, $Y184="",0)</f>
        <v>0</v>
      </c>
      <c r="AE184" s="103" cm="1">
        <f t="array" ref="AE184">_xlfn.IFS($Y184="INCLUDED",0, $Y184="NO CHARGE",0,$Y184&gt;0,$Y184*M184, $Y184="",0)</f>
        <v>0</v>
      </c>
      <c r="AF184" s="123">
        <f t="shared" si="175"/>
        <v>0</v>
      </c>
      <c r="AG184" s="743"/>
      <c r="AH184" s="362"/>
      <c r="AI184" s="221" t="str">
        <f>C184</f>
        <v>Over-the-Counter Image Processing</v>
      </c>
      <c r="AJ184" s="886" t="s">
        <v>77</v>
      </c>
      <c r="AK184" s="896">
        <f t="shared" si="176"/>
        <v>0</v>
      </c>
      <c r="AL184" s="105" cm="1">
        <f t="array" ref="AL184">_xlfn.IFS($AJ184="NO CHARGE",0,$AJ184="INCLUDED",0,$AJ184=0,0,$AJ184&gt;0,PRODUCT(I184,$AJ184))</f>
        <v>0</v>
      </c>
      <c r="AM184" s="105" cm="1">
        <f t="array" ref="AM184">_xlfn.IFS($AJ184="NO CHARGE",0,$AJ184="INCLUDED",0,$AJ184=0,0,$AJ184&gt;0,PRODUCT(J184,$AJ184))</f>
        <v>0</v>
      </c>
      <c r="AN184" s="105" cm="1">
        <f t="array" ref="AN184">_xlfn.IFS($AJ184="NO CHARGE",0,$AJ184="INCLUDED",0,$AJ184=0,0,$AJ184&gt;0,PRODUCT(K184,$AJ184))</f>
        <v>0</v>
      </c>
      <c r="AO184" s="105" cm="1">
        <f t="array" ref="AO184">_xlfn.IFS($AJ184="NO CHARGE",0,$AJ184="INCLUDED",0,$AJ184=0,0,$AJ184&gt;0,PRODUCT(L184,$AJ184))</f>
        <v>0</v>
      </c>
      <c r="AP184" s="105" cm="1">
        <f t="array" ref="AP184">_xlfn.IFS($AJ184="NO CHARGE",0,$AJ184="INCLUDED",0,$AJ184=0,0,$AJ184&gt;0,PRODUCT(M184,$AJ184))</f>
        <v>0</v>
      </c>
      <c r="AQ184" s="158">
        <f t="shared" si="163"/>
        <v>0</v>
      </c>
      <c r="AR184" s="875"/>
      <c r="AS184" s="473"/>
      <c r="AT184" s="106"/>
      <c r="AU184" s="107"/>
      <c r="AV184" s="108">
        <f t="shared" si="177"/>
        <v>0</v>
      </c>
      <c r="AW184" s="108">
        <f t="shared" si="178"/>
        <v>0</v>
      </c>
      <c r="AX184" s="108">
        <f t="shared" si="179"/>
        <v>0</v>
      </c>
      <c r="AY184" s="108">
        <f t="shared" si="180"/>
        <v>0</v>
      </c>
      <c r="AZ184" s="108">
        <f t="shared" si="181"/>
        <v>0</v>
      </c>
      <c r="BA184" s="165">
        <f t="shared" si="182"/>
        <v>0</v>
      </c>
      <c r="BB184" s="531"/>
    </row>
    <row r="185" spans="1:54" s="495" customFormat="1" outlineLevel="1" x14ac:dyDescent="0.25">
      <c r="A185" s="700"/>
      <c r="B185" s="623" t="s">
        <v>237</v>
      </c>
      <c r="C185" s="310" t="s">
        <v>241</v>
      </c>
      <c r="D185" s="604"/>
      <c r="E185" s="604"/>
      <c r="F185" s="604"/>
      <c r="G185" s="604"/>
      <c r="H185" s="618">
        <f>IFERROR(AVERAGE(D185:G185),0)</f>
        <v>0</v>
      </c>
      <c r="I185" s="127">
        <f t="shared" si="165"/>
        <v>0</v>
      </c>
      <c r="J185" s="127">
        <f t="shared" si="166"/>
        <v>0</v>
      </c>
      <c r="K185" s="127">
        <f t="shared" si="166"/>
        <v>0</v>
      </c>
      <c r="L185" s="127">
        <f t="shared" si="166"/>
        <v>0</v>
      </c>
      <c r="M185" s="127">
        <f t="shared" si="166"/>
        <v>0</v>
      </c>
      <c r="N185" s="245"/>
      <c r="O185" s="748"/>
      <c r="P185" s="757">
        <f t="shared" si="167"/>
        <v>0</v>
      </c>
      <c r="Q185" s="129">
        <f t="shared" si="168"/>
        <v>0</v>
      </c>
      <c r="R185" s="129">
        <f t="shared" si="169"/>
        <v>0</v>
      </c>
      <c r="S185" s="129">
        <f t="shared" si="170"/>
        <v>0</v>
      </c>
      <c r="T185" s="129">
        <f t="shared" si="171"/>
        <v>0</v>
      </c>
      <c r="U185" s="129">
        <f t="shared" si="172"/>
        <v>0</v>
      </c>
      <c r="V185" s="209">
        <f t="shared" si="173"/>
        <v>0</v>
      </c>
      <c r="W185" s="621"/>
      <c r="X185" s="222" t="str">
        <f>C185</f>
        <v>Inclearing Image Processing</v>
      </c>
      <c r="Y185" s="733" t="s">
        <v>77</v>
      </c>
      <c r="Z185" s="774">
        <f t="shared" si="174"/>
        <v>0</v>
      </c>
      <c r="AA185" s="103" cm="1">
        <f t="array" ref="AA185">_xlfn.IFS($Y185="INCLUDED",0, $Y185="NO CHARGE",0,$Y185&gt;0,$Y185*I185, $Y185="",0)</f>
        <v>0</v>
      </c>
      <c r="AB185" s="103" cm="1">
        <f t="array" ref="AB185">_xlfn.IFS($Y185="INCLUDED",0, $Y185="NO CHARGE",0,$Y185&gt;0,$Y185*J185, $Y185="",0)</f>
        <v>0</v>
      </c>
      <c r="AC185" s="103" cm="1">
        <f t="array" ref="AC185">_xlfn.IFS($Y185="INCLUDED",0, $Y185="NO CHARGE",0,$Y185&gt;0,$Y185*K185, $Y185="",0)</f>
        <v>0</v>
      </c>
      <c r="AD185" s="103" cm="1">
        <f t="array" ref="AD185">_xlfn.IFS($Y185="INCLUDED",0, $Y185="NO CHARGE",0,$Y185&gt;0,$Y185*L185, $Y185="",0)</f>
        <v>0</v>
      </c>
      <c r="AE185" s="103" cm="1">
        <f t="array" ref="AE185">_xlfn.IFS($Y185="INCLUDED",0, $Y185="NO CHARGE",0,$Y185&gt;0,$Y185*M185, $Y185="",0)</f>
        <v>0</v>
      </c>
      <c r="AF185" s="123">
        <f t="shared" si="175"/>
        <v>0</v>
      </c>
      <c r="AG185" s="743"/>
      <c r="AH185" s="362"/>
      <c r="AI185" s="221" t="str">
        <f>C185</f>
        <v>Inclearing Image Processing</v>
      </c>
      <c r="AJ185" s="886" t="s">
        <v>77</v>
      </c>
      <c r="AK185" s="896">
        <f t="shared" si="176"/>
        <v>0</v>
      </c>
      <c r="AL185" s="105" cm="1">
        <f t="array" ref="AL185">_xlfn.IFS($AJ185="NO CHARGE",0,$AJ185="INCLUDED",0,$AJ185=0,0,$AJ185&gt;0,PRODUCT(I185,$AJ185))</f>
        <v>0</v>
      </c>
      <c r="AM185" s="105" cm="1">
        <f t="array" ref="AM185">_xlfn.IFS($AJ185="NO CHARGE",0,$AJ185="INCLUDED",0,$AJ185=0,0,$AJ185&gt;0,PRODUCT(J185,$AJ185))</f>
        <v>0</v>
      </c>
      <c r="AN185" s="105" cm="1">
        <f t="array" ref="AN185">_xlfn.IFS($AJ185="NO CHARGE",0,$AJ185="INCLUDED",0,$AJ185=0,0,$AJ185&gt;0,PRODUCT(K185,$AJ185))</f>
        <v>0</v>
      </c>
      <c r="AO185" s="105" cm="1">
        <f t="array" ref="AO185">_xlfn.IFS($AJ185="NO CHARGE",0,$AJ185="INCLUDED",0,$AJ185=0,0,$AJ185&gt;0,PRODUCT(L185,$AJ185))</f>
        <v>0</v>
      </c>
      <c r="AP185" s="105" cm="1">
        <f t="array" ref="AP185">_xlfn.IFS($AJ185="NO CHARGE",0,$AJ185="INCLUDED",0,$AJ185=0,0,$AJ185&gt;0,PRODUCT(M185,$AJ185))</f>
        <v>0</v>
      </c>
      <c r="AQ185" s="158">
        <f t="shared" si="163"/>
        <v>0</v>
      </c>
      <c r="AR185" s="875"/>
      <c r="AS185" s="473"/>
      <c r="AT185" s="106"/>
      <c r="AU185" s="107"/>
      <c r="AV185" s="108">
        <f t="shared" si="177"/>
        <v>0</v>
      </c>
      <c r="AW185" s="108">
        <f t="shared" si="178"/>
        <v>0</v>
      </c>
      <c r="AX185" s="108">
        <f t="shared" si="179"/>
        <v>0</v>
      </c>
      <c r="AY185" s="108">
        <f t="shared" si="180"/>
        <v>0</v>
      </c>
      <c r="AZ185" s="108">
        <f t="shared" si="181"/>
        <v>0</v>
      </c>
      <c r="BA185" s="165">
        <f t="shared" si="182"/>
        <v>0</v>
      </c>
      <c r="BB185" s="531"/>
    </row>
    <row r="186" spans="1:54" s="495" customFormat="1" outlineLevel="1" x14ac:dyDescent="0.25">
      <c r="A186" s="700"/>
      <c r="B186" s="623" t="s">
        <v>237</v>
      </c>
      <c r="C186" s="310" t="s">
        <v>238</v>
      </c>
      <c r="D186" s="604"/>
      <c r="E186" s="604"/>
      <c r="F186" s="604"/>
      <c r="G186" s="604"/>
      <c r="H186" s="618">
        <f>H183</f>
        <v>121194.5</v>
      </c>
      <c r="I186" s="127">
        <f t="shared" si="165"/>
        <v>1454334</v>
      </c>
      <c r="J186" s="127">
        <f t="shared" si="166"/>
        <v>1527050.7</v>
      </c>
      <c r="K186" s="127">
        <f t="shared" si="166"/>
        <v>1603403.2349999999</v>
      </c>
      <c r="L186" s="127">
        <f t="shared" si="166"/>
        <v>1683573.3967499998</v>
      </c>
      <c r="M186" s="127">
        <f t="shared" si="166"/>
        <v>1767752.0665874998</v>
      </c>
      <c r="N186" s="245"/>
      <c r="O186" s="748"/>
      <c r="P186" s="757">
        <f t="shared" si="167"/>
        <v>0</v>
      </c>
      <c r="Q186" s="129">
        <f t="shared" si="168"/>
        <v>0</v>
      </c>
      <c r="R186" s="129">
        <f t="shared" si="169"/>
        <v>0</v>
      </c>
      <c r="S186" s="129">
        <f t="shared" si="170"/>
        <v>0</v>
      </c>
      <c r="T186" s="129">
        <f t="shared" si="171"/>
        <v>0</v>
      </c>
      <c r="U186" s="129">
        <f t="shared" si="172"/>
        <v>0</v>
      </c>
      <c r="V186" s="209">
        <f t="shared" si="173"/>
        <v>0</v>
      </c>
      <c r="W186" s="621"/>
      <c r="X186" s="222" t="str">
        <f>C186</f>
        <v>CAR/LAR Recognition</v>
      </c>
      <c r="Y186" s="733" t="s">
        <v>77</v>
      </c>
      <c r="Z186" s="774">
        <f t="shared" si="174"/>
        <v>0</v>
      </c>
      <c r="AA186" s="103" cm="1">
        <f t="array" ref="AA186">_xlfn.IFS($Y186="INCLUDED",0, $Y186="NO CHARGE",0,$Y186&gt;0,$Y186*I186, $Y186="",0)</f>
        <v>0</v>
      </c>
      <c r="AB186" s="103" cm="1">
        <f t="array" ref="AB186">_xlfn.IFS($Y186="INCLUDED",0, $Y186="NO CHARGE",0,$Y186&gt;0,$Y186*J186, $Y186="",0)</f>
        <v>0</v>
      </c>
      <c r="AC186" s="103" cm="1">
        <f t="array" ref="AC186">_xlfn.IFS($Y186="INCLUDED",0, $Y186="NO CHARGE",0,$Y186&gt;0,$Y186*K186, $Y186="",0)</f>
        <v>0</v>
      </c>
      <c r="AD186" s="103" cm="1">
        <f t="array" ref="AD186">_xlfn.IFS($Y186="INCLUDED",0, $Y186="NO CHARGE",0,$Y186&gt;0,$Y186*L186, $Y186="",0)</f>
        <v>0</v>
      </c>
      <c r="AE186" s="103" cm="1">
        <f t="array" ref="AE186">_xlfn.IFS($Y186="INCLUDED",0, $Y186="NO CHARGE",0,$Y186&gt;0,$Y186*M186, $Y186="",0)</f>
        <v>0</v>
      </c>
      <c r="AF186" s="123">
        <f t="shared" si="175"/>
        <v>0</v>
      </c>
      <c r="AG186" s="743"/>
      <c r="AH186" s="362"/>
      <c r="AI186" s="221" t="str">
        <f>C186</f>
        <v>CAR/LAR Recognition</v>
      </c>
      <c r="AJ186" s="886" t="s">
        <v>77</v>
      </c>
      <c r="AK186" s="896">
        <f t="shared" si="176"/>
        <v>0</v>
      </c>
      <c r="AL186" s="105" cm="1">
        <f t="array" ref="AL186">_xlfn.IFS($AJ186="NO CHARGE",0,$AJ186="INCLUDED",0,$AJ186=0,0,$AJ186&gt;0,PRODUCT(I186,$AJ186))</f>
        <v>0</v>
      </c>
      <c r="AM186" s="105" cm="1">
        <f t="array" ref="AM186">_xlfn.IFS($AJ186="NO CHARGE",0,$AJ186="INCLUDED",0,$AJ186=0,0,$AJ186&gt;0,PRODUCT(J186,$AJ186))</f>
        <v>0</v>
      </c>
      <c r="AN186" s="105" cm="1">
        <f t="array" ref="AN186">_xlfn.IFS($AJ186="NO CHARGE",0,$AJ186="INCLUDED",0,$AJ186=0,0,$AJ186&gt;0,PRODUCT(K186,$AJ186))</f>
        <v>0</v>
      </c>
      <c r="AO186" s="105" cm="1">
        <f t="array" ref="AO186">_xlfn.IFS($AJ186="NO CHARGE",0,$AJ186="INCLUDED",0,$AJ186=0,0,$AJ186&gt;0,PRODUCT(L186,$AJ186))</f>
        <v>0</v>
      </c>
      <c r="AP186" s="105" cm="1">
        <f t="array" ref="AP186">_xlfn.IFS($AJ186="NO CHARGE",0,$AJ186="INCLUDED",0,$AJ186=0,0,$AJ186&gt;0,PRODUCT(M186,$AJ186))</f>
        <v>0</v>
      </c>
      <c r="AQ186" s="158">
        <f t="shared" si="163"/>
        <v>0</v>
      </c>
      <c r="AR186" s="875"/>
      <c r="AS186" s="473"/>
      <c r="AT186" s="106"/>
      <c r="AU186" s="107"/>
      <c r="AV186" s="108">
        <f t="shared" si="177"/>
        <v>0</v>
      </c>
      <c r="AW186" s="108">
        <f t="shared" si="178"/>
        <v>0</v>
      </c>
      <c r="AX186" s="108">
        <f t="shared" si="179"/>
        <v>0</v>
      </c>
      <c r="AY186" s="108">
        <f t="shared" si="180"/>
        <v>0</v>
      </c>
      <c r="AZ186" s="108">
        <f t="shared" si="181"/>
        <v>0</v>
      </c>
      <c r="BA186" s="165">
        <f t="shared" si="182"/>
        <v>0</v>
      </c>
      <c r="BB186" s="531"/>
    </row>
    <row r="187" spans="1:54" s="495" customFormat="1" outlineLevel="1" x14ac:dyDescent="0.25">
      <c r="A187" s="700"/>
      <c r="B187" s="623" t="s">
        <v>237</v>
      </c>
      <c r="C187" s="310" t="s">
        <v>242</v>
      </c>
      <c r="D187" s="604"/>
      <c r="E187" s="604"/>
      <c r="F187" s="604"/>
      <c r="G187" s="604"/>
      <c r="H187" s="618">
        <f>IFERROR(AVERAGE(D187:G187),0)</f>
        <v>0</v>
      </c>
      <c r="I187" s="127">
        <f t="shared" si="165"/>
        <v>0</v>
      </c>
      <c r="J187" s="127">
        <f t="shared" si="166"/>
        <v>0</v>
      </c>
      <c r="K187" s="127">
        <f t="shared" si="166"/>
        <v>0</v>
      </c>
      <c r="L187" s="127">
        <f t="shared" si="166"/>
        <v>0</v>
      </c>
      <c r="M187" s="127">
        <f t="shared" si="166"/>
        <v>0</v>
      </c>
      <c r="N187" s="245"/>
      <c r="O187" s="748"/>
      <c r="P187" s="757">
        <f t="shared" si="167"/>
        <v>0</v>
      </c>
      <c r="Q187" s="129">
        <f t="shared" si="168"/>
        <v>0</v>
      </c>
      <c r="R187" s="129">
        <f t="shared" si="169"/>
        <v>0</v>
      </c>
      <c r="S187" s="129">
        <f t="shared" si="170"/>
        <v>0</v>
      </c>
      <c r="T187" s="129">
        <f t="shared" si="171"/>
        <v>0</v>
      </c>
      <c r="U187" s="129">
        <f t="shared" si="172"/>
        <v>0</v>
      </c>
      <c r="V187" s="209">
        <f t="shared" si="173"/>
        <v>0</v>
      </c>
      <c r="W187" s="621"/>
      <c r="X187" s="222" t="str">
        <f>C187</f>
        <v>CAR/LAR Reject Reentry</v>
      </c>
      <c r="Y187" s="733" t="s">
        <v>77</v>
      </c>
      <c r="Z187" s="774">
        <f t="shared" si="174"/>
        <v>0</v>
      </c>
      <c r="AA187" s="103" cm="1">
        <f t="array" ref="AA187">_xlfn.IFS($Y187="INCLUDED",0, $Y187="NO CHARGE",0,$Y187&gt;0,$Y187*I187, $Y187="",0)</f>
        <v>0</v>
      </c>
      <c r="AB187" s="103" cm="1">
        <f t="array" ref="AB187">_xlfn.IFS($Y187="INCLUDED",0, $Y187="NO CHARGE",0,$Y187&gt;0,$Y187*J187, $Y187="",0)</f>
        <v>0</v>
      </c>
      <c r="AC187" s="103" cm="1">
        <f t="array" ref="AC187">_xlfn.IFS($Y187="INCLUDED",0, $Y187="NO CHARGE",0,$Y187&gt;0,$Y187*K187, $Y187="",0)</f>
        <v>0</v>
      </c>
      <c r="AD187" s="103" cm="1">
        <f t="array" ref="AD187">_xlfn.IFS($Y187="INCLUDED",0, $Y187="NO CHARGE",0,$Y187&gt;0,$Y187*L187, $Y187="",0)</f>
        <v>0</v>
      </c>
      <c r="AE187" s="103" cm="1">
        <f t="array" ref="AE187">_xlfn.IFS($Y187="INCLUDED",0, $Y187="NO CHARGE",0,$Y187&gt;0,$Y187*M187, $Y187="",0)</f>
        <v>0</v>
      </c>
      <c r="AF187" s="123">
        <f t="shared" si="175"/>
        <v>0</v>
      </c>
      <c r="AG187" s="743"/>
      <c r="AH187" s="362"/>
      <c r="AI187" s="221" t="str">
        <f>C187</f>
        <v>CAR/LAR Reject Reentry</v>
      </c>
      <c r="AJ187" s="886" t="s">
        <v>77</v>
      </c>
      <c r="AK187" s="896">
        <f t="shared" si="176"/>
        <v>0</v>
      </c>
      <c r="AL187" s="105" cm="1">
        <f t="array" ref="AL187">_xlfn.IFS($AJ187="NO CHARGE",0,$AJ187="INCLUDED",0,$AJ187=0,0,$AJ187&gt;0,PRODUCT(I187,$AJ187))</f>
        <v>0</v>
      </c>
      <c r="AM187" s="105" cm="1">
        <f t="array" ref="AM187">_xlfn.IFS($AJ187="NO CHARGE",0,$AJ187="INCLUDED",0,$AJ187=0,0,$AJ187&gt;0,PRODUCT(J187,$AJ187))</f>
        <v>0</v>
      </c>
      <c r="AN187" s="105" cm="1">
        <f t="array" ref="AN187">_xlfn.IFS($AJ187="NO CHARGE",0,$AJ187="INCLUDED",0,$AJ187=0,0,$AJ187&gt;0,PRODUCT(K187,$AJ187))</f>
        <v>0</v>
      </c>
      <c r="AO187" s="105" cm="1">
        <f t="array" ref="AO187">_xlfn.IFS($AJ187="NO CHARGE",0,$AJ187="INCLUDED",0,$AJ187=0,0,$AJ187&gt;0,PRODUCT(L187,$AJ187))</f>
        <v>0</v>
      </c>
      <c r="AP187" s="105" cm="1">
        <f t="array" ref="AP187">_xlfn.IFS($AJ187="NO CHARGE",0,$AJ187="INCLUDED",0,$AJ187=0,0,$AJ187&gt;0,PRODUCT(M187,$AJ187))</f>
        <v>0</v>
      </c>
      <c r="AQ187" s="158">
        <f t="shared" si="163"/>
        <v>0</v>
      </c>
      <c r="AR187" s="875"/>
      <c r="AS187" s="473"/>
      <c r="AT187" s="106"/>
      <c r="AU187" s="107"/>
      <c r="AV187" s="108">
        <f t="shared" si="177"/>
        <v>0</v>
      </c>
      <c r="AW187" s="108">
        <f t="shared" si="178"/>
        <v>0</v>
      </c>
      <c r="AX187" s="108">
        <f t="shared" si="179"/>
        <v>0</v>
      </c>
      <c r="AY187" s="108">
        <f t="shared" si="180"/>
        <v>0</v>
      </c>
      <c r="AZ187" s="108">
        <f t="shared" si="181"/>
        <v>0</v>
      </c>
      <c r="BA187" s="165">
        <f t="shared" si="182"/>
        <v>0</v>
      </c>
      <c r="BB187" s="531"/>
    </row>
    <row r="188" spans="1:54" s="495" customFormat="1" outlineLevel="1" x14ac:dyDescent="0.25">
      <c r="A188" s="700"/>
      <c r="B188" s="623" t="s">
        <v>237</v>
      </c>
      <c r="C188" s="310" t="s">
        <v>243</v>
      </c>
      <c r="D188" s="604"/>
      <c r="E188" s="604"/>
      <c r="F188" s="604"/>
      <c r="G188" s="604"/>
      <c r="H188" s="618">
        <f>IFERROR(AVERAGE(D188:G188),0)</f>
        <v>0</v>
      </c>
      <c r="I188" s="127">
        <f t="shared" si="165"/>
        <v>0</v>
      </c>
      <c r="J188" s="127">
        <f t="shared" si="166"/>
        <v>0</v>
      </c>
      <c r="K188" s="127">
        <f t="shared" si="166"/>
        <v>0</v>
      </c>
      <c r="L188" s="127">
        <f t="shared" si="166"/>
        <v>0</v>
      </c>
      <c r="M188" s="127">
        <f t="shared" si="166"/>
        <v>0</v>
      </c>
      <c r="N188" s="245"/>
      <c r="O188" s="748"/>
      <c r="P188" s="757">
        <f t="shared" si="167"/>
        <v>0</v>
      </c>
      <c r="Q188" s="129">
        <f t="shared" si="168"/>
        <v>0</v>
      </c>
      <c r="R188" s="129">
        <f t="shared" si="169"/>
        <v>0</v>
      </c>
      <c r="S188" s="129">
        <f t="shared" si="170"/>
        <v>0</v>
      </c>
      <c r="T188" s="129">
        <f t="shared" si="171"/>
        <v>0</v>
      </c>
      <c r="U188" s="129">
        <f t="shared" si="172"/>
        <v>0</v>
      </c>
      <c r="V188" s="209">
        <f t="shared" si="173"/>
        <v>0</v>
      </c>
      <c r="W188" s="621"/>
      <c r="X188" s="222" t="str">
        <f>C188</f>
        <v>Balancing Adjustment</v>
      </c>
      <c r="Y188" s="733" t="s">
        <v>77</v>
      </c>
      <c r="Z188" s="774">
        <f t="shared" si="174"/>
        <v>0</v>
      </c>
      <c r="AA188" s="103" cm="1">
        <f t="array" ref="AA188">_xlfn.IFS($Y188="INCLUDED",0, $Y188="NO CHARGE",0,$Y188&gt;0,$Y188*I188, $Y188="",0)</f>
        <v>0</v>
      </c>
      <c r="AB188" s="103" cm="1">
        <f t="array" ref="AB188">_xlfn.IFS($Y188="INCLUDED",0, $Y188="NO CHARGE",0,$Y188&gt;0,$Y188*J188, $Y188="",0)</f>
        <v>0</v>
      </c>
      <c r="AC188" s="103" cm="1">
        <f t="array" ref="AC188">_xlfn.IFS($Y188="INCLUDED",0, $Y188="NO CHARGE",0,$Y188&gt;0,$Y188*K188, $Y188="",0)</f>
        <v>0</v>
      </c>
      <c r="AD188" s="103" cm="1">
        <f t="array" ref="AD188">_xlfn.IFS($Y188="INCLUDED",0, $Y188="NO CHARGE",0,$Y188&gt;0,$Y188*L188, $Y188="",0)</f>
        <v>0</v>
      </c>
      <c r="AE188" s="103" cm="1">
        <f t="array" ref="AE188">_xlfn.IFS($Y188="INCLUDED",0, $Y188="NO CHARGE",0,$Y188&gt;0,$Y188*M188, $Y188="",0)</f>
        <v>0</v>
      </c>
      <c r="AF188" s="123">
        <f t="shared" si="175"/>
        <v>0</v>
      </c>
      <c r="AG188" s="743"/>
      <c r="AH188" s="362"/>
      <c r="AI188" s="221" t="str">
        <f>C188</f>
        <v>Balancing Adjustment</v>
      </c>
      <c r="AJ188" s="886" t="s">
        <v>77</v>
      </c>
      <c r="AK188" s="896">
        <f t="shared" si="176"/>
        <v>0</v>
      </c>
      <c r="AL188" s="105" cm="1">
        <f t="array" ref="AL188">_xlfn.IFS($AJ188="NO CHARGE",0,$AJ188="INCLUDED",0,$AJ188=0,0,$AJ188&gt;0,PRODUCT(I188,$AJ188))</f>
        <v>0</v>
      </c>
      <c r="AM188" s="105" cm="1">
        <f t="array" ref="AM188">_xlfn.IFS($AJ188="NO CHARGE",0,$AJ188="INCLUDED",0,$AJ188=0,0,$AJ188&gt;0,PRODUCT(J188,$AJ188))</f>
        <v>0</v>
      </c>
      <c r="AN188" s="105" cm="1">
        <f t="array" ref="AN188">_xlfn.IFS($AJ188="NO CHARGE",0,$AJ188="INCLUDED",0,$AJ188=0,0,$AJ188&gt;0,PRODUCT(K188,$AJ188))</f>
        <v>0</v>
      </c>
      <c r="AO188" s="105" cm="1">
        <f t="array" ref="AO188">_xlfn.IFS($AJ188="NO CHARGE",0,$AJ188="INCLUDED",0,$AJ188=0,0,$AJ188&gt;0,PRODUCT(L188,$AJ188))</f>
        <v>0</v>
      </c>
      <c r="AP188" s="105" cm="1">
        <f t="array" ref="AP188">_xlfn.IFS($AJ188="NO CHARGE",0,$AJ188="INCLUDED",0,$AJ188=0,0,$AJ188&gt;0,PRODUCT(M188,$AJ188))</f>
        <v>0</v>
      </c>
      <c r="AQ188" s="158">
        <f t="shared" si="163"/>
        <v>0</v>
      </c>
      <c r="AR188" s="875"/>
      <c r="AS188" s="473"/>
      <c r="AT188" s="106"/>
      <c r="AU188" s="107"/>
      <c r="AV188" s="108">
        <f t="shared" si="177"/>
        <v>0</v>
      </c>
      <c r="AW188" s="108">
        <f t="shared" si="178"/>
        <v>0</v>
      </c>
      <c r="AX188" s="108">
        <f t="shared" si="179"/>
        <v>0</v>
      </c>
      <c r="AY188" s="108">
        <f t="shared" si="180"/>
        <v>0</v>
      </c>
      <c r="AZ188" s="108">
        <f t="shared" si="181"/>
        <v>0</v>
      </c>
      <c r="BA188" s="165">
        <f t="shared" si="182"/>
        <v>0</v>
      </c>
      <c r="BB188" s="531"/>
    </row>
    <row r="189" spans="1:54" s="495" customFormat="1" outlineLevel="1" x14ac:dyDescent="0.25">
      <c r="A189" s="445"/>
      <c r="B189" s="623"/>
      <c r="C189" s="310"/>
      <c r="D189" s="604"/>
      <c r="E189" s="604"/>
      <c r="F189" s="604"/>
      <c r="G189" s="604"/>
      <c r="H189" s="618">
        <f>IFERROR(AVERAGE(D189:G189),0)</f>
        <v>0</v>
      </c>
      <c r="I189" s="127">
        <f t="shared" si="165"/>
        <v>0</v>
      </c>
      <c r="J189" s="127">
        <f t="shared" si="166"/>
        <v>0</v>
      </c>
      <c r="K189" s="127">
        <f t="shared" si="166"/>
        <v>0</v>
      </c>
      <c r="L189" s="127">
        <f t="shared" si="166"/>
        <v>0</v>
      </c>
      <c r="M189" s="127">
        <f t="shared" si="166"/>
        <v>0</v>
      </c>
      <c r="N189" s="245" t="str">
        <f>IF(C189="","",C189)</f>
        <v/>
      </c>
      <c r="O189" s="748"/>
      <c r="P189" s="757">
        <f t="shared" si="167"/>
        <v>0</v>
      </c>
      <c r="Q189" s="129">
        <f t="shared" si="168"/>
        <v>0</v>
      </c>
      <c r="R189" s="129">
        <f t="shared" si="169"/>
        <v>0</v>
      </c>
      <c r="S189" s="129">
        <f t="shared" si="170"/>
        <v>0</v>
      </c>
      <c r="T189" s="129">
        <f t="shared" si="171"/>
        <v>0</v>
      </c>
      <c r="U189" s="129">
        <f t="shared" si="172"/>
        <v>0</v>
      </c>
      <c r="V189" s="209">
        <f t="shared" si="173"/>
        <v>0</v>
      </c>
      <c r="W189" s="621"/>
      <c r="X189" s="222"/>
      <c r="Y189" s="325"/>
      <c r="Z189" s="774">
        <f t="shared" si="174"/>
        <v>0</v>
      </c>
      <c r="AA189" s="103">
        <f>IF(Y189&gt;0,PRODUCT(I189,$Y189),0)</f>
        <v>0</v>
      </c>
      <c r="AB189" s="103">
        <f t="shared" ref="AB189:AE190" si="183">IF(AA189&gt;0,PRODUCT(J189,$Y189),0)</f>
        <v>0</v>
      </c>
      <c r="AC189" s="103">
        <f t="shared" si="183"/>
        <v>0</v>
      </c>
      <c r="AD189" s="103">
        <f t="shared" si="183"/>
        <v>0</v>
      </c>
      <c r="AE189" s="103">
        <f t="shared" si="183"/>
        <v>0</v>
      </c>
      <c r="AF189" s="123">
        <f t="shared" si="175"/>
        <v>0</v>
      </c>
      <c r="AG189" s="743"/>
      <c r="AH189" s="362"/>
      <c r="AI189" s="221"/>
      <c r="AJ189" s="886"/>
      <c r="AK189" s="896">
        <f t="shared" si="176"/>
        <v>0</v>
      </c>
      <c r="AL189" s="105" cm="1">
        <f t="array" ref="AL189">_xlfn.IFS($AJ189="NO CHARGE",0,$AJ189="INCLUDED",0,$AJ189=0,0,$AJ189&gt;0,PRODUCT(I189,$AJ189))</f>
        <v>0</v>
      </c>
      <c r="AM189" s="105" cm="1">
        <f t="array" ref="AM189">_xlfn.IFS($AJ189="NO CHARGE",0,$AJ189="INCLUDED",0,$AJ189=0,0,$AJ189&gt;0,PRODUCT(J189,$AJ189))</f>
        <v>0</v>
      </c>
      <c r="AN189" s="105" cm="1">
        <f t="array" ref="AN189">_xlfn.IFS($AJ189="NO CHARGE",0,$AJ189="INCLUDED",0,$AJ189=0,0,$AJ189&gt;0,PRODUCT(K189,$AJ189))</f>
        <v>0</v>
      </c>
      <c r="AO189" s="105" cm="1">
        <f t="array" ref="AO189">_xlfn.IFS($AJ189="NO CHARGE",0,$AJ189="INCLUDED",0,$AJ189=0,0,$AJ189&gt;0,PRODUCT(L189,$AJ189))</f>
        <v>0</v>
      </c>
      <c r="AP189" s="105" cm="1">
        <f t="array" ref="AP189">_xlfn.IFS($AJ189="NO CHARGE",0,$AJ189="INCLUDED",0,$AJ189=0,0,$AJ189&gt;0,PRODUCT(M189,$AJ189))</f>
        <v>0</v>
      </c>
      <c r="AQ189" s="158">
        <f t="shared" si="163"/>
        <v>0</v>
      </c>
      <c r="AR189" s="875"/>
      <c r="AS189" s="473"/>
      <c r="AT189" s="106"/>
      <c r="AU189" s="107"/>
      <c r="AV189" s="108">
        <f t="shared" si="177"/>
        <v>0</v>
      </c>
      <c r="AW189" s="108">
        <f t="shared" si="178"/>
        <v>0</v>
      </c>
      <c r="AX189" s="108">
        <f t="shared" si="179"/>
        <v>0</v>
      </c>
      <c r="AY189" s="108">
        <f t="shared" si="180"/>
        <v>0</v>
      </c>
      <c r="AZ189" s="108">
        <f t="shared" si="181"/>
        <v>0</v>
      </c>
      <c r="BA189" s="165">
        <f t="shared" si="182"/>
        <v>0</v>
      </c>
      <c r="BB189" s="531"/>
    </row>
    <row r="190" spans="1:54" s="495" customFormat="1" outlineLevel="1" x14ac:dyDescent="0.25">
      <c r="A190" s="787"/>
      <c r="B190" s="623" t="s">
        <v>244</v>
      </c>
      <c r="C190" s="310" t="s">
        <v>245</v>
      </c>
      <c r="D190" s="604"/>
      <c r="E190" s="604">
        <v>173</v>
      </c>
      <c r="F190" s="604">
        <v>150</v>
      </c>
      <c r="G190" s="604"/>
      <c r="H190" s="618">
        <f>IFERROR(AVERAGE(D190:G190),0)</f>
        <v>161.5</v>
      </c>
      <c r="I190" s="127">
        <f t="shared" si="165"/>
        <v>1938</v>
      </c>
      <c r="J190" s="127">
        <f t="shared" si="166"/>
        <v>2034.9</v>
      </c>
      <c r="K190" s="127">
        <f t="shared" si="166"/>
        <v>2136.645</v>
      </c>
      <c r="L190" s="127">
        <f t="shared" si="166"/>
        <v>2243.4772499999999</v>
      </c>
      <c r="M190" s="127">
        <f t="shared" si="166"/>
        <v>2355.6511124999997</v>
      </c>
      <c r="N190" s="245" t="str">
        <f>IF(C190="","",C190)</f>
        <v>Outgoing Returns - Qualified Paper or Electronic</v>
      </c>
      <c r="O190" s="748">
        <v>0.97422180000000003</v>
      </c>
      <c r="P190" s="757">
        <f t="shared" si="167"/>
        <v>157.3368207</v>
      </c>
      <c r="Q190" s="129">
        <f t="shared" si="168"/>
        <v>1888.0418484000002</v>
      </c>
      <c r="R190" s="129">
        <f t="shared" si="169"/>
        <v>1982.4439408200001</v>
      </c>
      <c r="S190" s="129">
        <f t="shared" si="170"/>
        <v>2081.5661378610002</v>
      </c>
      <c r="T190" s="129">
        <f t="shared" si="171"/>
        <v>2185.6444447540498</v>
      </c>
      <c r="U190" s="129">
        <f t="shared" si="172"/>
        <v>2294.9266669917524</v>
      </c>
      <c r="V190" s="209">
        <f t="shared" si="173"/>
        <v>10432.623038826801</v>
      </c>
      <c r="W190" s="621"/>
      <c r="X190" s="222" t="s">
        <v>239</v>
      </c>
      <c r="Y190" s="325"/>
      <c r="Z190" s="774">
        <f t="shared" si="174"/>
        <v>0</v>
      </c>
      <c r="AA190" s="103">
        <f>IF(Y190&gt;0,PRODUCT(I190,$Y190),0)</f>
        <v>0</v>
      </c>
      <c r="AB190" s="103">
        <f t="shared" si="183"/>
        <v>0</v>
      </c>
      <c r="AC190" s="103">
        <f t="shared" si="183"/>
        <v>0</v>
      </c>
      <c r="AD190" s="103">
        <f t="shared" si="183"/>
        <v>0</v>
      </c>
      <c r="AE190" s="103">
        <f t="shared" si="183"/>
        <v>0</v>
      </c>
      <c r="AF190" s="123">
        <f t="shared" si="175"/>
        <v>0</v>
      </c>
      <c r="AG190" s="743"/>
      <c r="AH190" s="362"/>
      <c r="AI190" s="221" t="str">
        <f>C190</f>
        <v>Outgoing Returns - Qualified Paper or Electronic</v>
      </c>
      <c r="AJ190" s="886"/>
      <c r="AK190" s="896">
        <f t="shared" si="176"/>
        <v>0</v>
      </c>
      <c r="AL190" s="105" cm="1">
        <f t="array" ref="AL190">_xlfn.IFS($AJ190="NO CHARGE",0,$AJ190="INCLUDED",0,$AJ190=0,0,$AJ190&gt;0,PRODUCT(I190,$AJ190))</f>
        <v>0</v>
      </c>
      <c r="AM190" s="105" cm="1">
        <f t="array" ref="AM190">_xlfn.IFS($AJ190="NO CHARGE",0,$AJ190="INCLUDED",0,$AJ190=0,0,$AJ190&gt;0,PRODUCT(J190,$AJ190))</f>
        <v>0</v>
      </c>
      <c r="AN190" s="105" cm="1">
        <f t="array" ref="AN190">_xlfn.IFS($AJ190="NO CHARGE",0,$AJ190="INCLUDED",0,$AJ190=0,0,$AJ190&gt;0,PRODUCT(K190,$AJ190))</f>
        <v>0</v>
      </c>
      <c r="AO190" s="105" cm="1">
        <f t="array" ref="AO190">_xlfn.IFS($AJ190="NO CHARGE",0,$AJ190="INCLUDED",0,$AJ190=0,0,$AJ190&gt;0,PRODUCT(L190,$AJ190))</f>
        <v>0</v>
      </c>
      <c r="AP190" s="105" cm="1">
        <f t="array" ref="AP190">_xlfn.IFS($AJ190="NO CHARGE",0,$AJ190="INCLUDED",0,$AJ190=0,0,$AJ190&gt;0,PRODUCT(M190,$AJ190))</f>
        <v>0</v>
      </c>
      <c r="AQ190" s="158">
        <f t="shared" si="163"/>
        <v>0</v>
      </c>
      <c r="AR190" s="875"/>
      <c r="AS190" s="473"/>
      <c r="AT190" s="106"/>
      <c r="AU190" s="107"/>
      <c r="AV190" s="108">
        <f t="shared" si="177"/>
        <v>0</v>
      </c>
      <c r="AW190" s="108">
        <f t="shared" si="178"/>
        <v>0</v>
      </c>
      <c r="AX190" s="108">
        <f t="shared" si="179"/>
        <v>0</v>
      </c>
      <c r="AY190" s="108">
        <f t="shared" si="180"/>
        <v>0</v>
      </c>
      <c r="AZ190" s="108">
        <f t="shared" si="181"/>
        <v>0</v>
      </c>
      <c r="BA190" s="165">
        <f t="shared" si="182"/>
        <v>0</v>
      </c>
      <c r="BB190" s="531"/>
    </row>
    <row r="191" spans="1:54" s="495" customFormat="1" outlineLevel="1" x14ac:dyDescent="0.25">
      <c r="A191" s="700"/>
      <c r="B191" s="623" t="s">
        <v>244</v>
      </c>
      <c r="C191" s="310" t="s">
        <v>245</v>
      </c>
      <c r="D191" s="604"/>
      <c r="E191" s="604"/>
      <c r="F191" s="604"/>
      <c r="G191" s="604"/>
      <c r="H191" s="618">
        <f>H190</f>
        <v>161.5</v>
      </c>
      <c r="I191" s="127">
        <f t="shared" si="165"/>
        <v>1938</v>
      </c>
      <c r="J191" s="127">
        <f t="shared" si="166"/>
        <v>2034.9</v>
      </c>
      <c r="K191" s="127">
        <f t="shared" si="166"/>
        <v>2136.645</v>
      </c>
      <c r="L191" s="127">
        <f t="shared" si="166"/>
        <v>2243.4772499999999</v>
      </c>
      <c r="M191" s="127">
        <f t="shared" si="166"/>
        <v>2355.6511124999997</v>
      </c>
      <c r="N191" s="245"/>
      <c r="O191" s="748"/>
      <c r="P191" s="757">
        <f t="shared" si="167"/>
        <v>0</v>
      </c>
      <c r="Q191" s="129">
        <f t="shared" si="168"/>
        <v>0</v>
      </c>
      <c r="R191" s="129">
        <f t="shared" si="169"/>
        <v>0</v>
      </c>
      <c r="S191" s="129">
        <f t="shared" si="170"/>
        <v>0</v>
      </c>
      <c r="T191" s="129">
        <f t="shared" si="171"/>
        <v>0</v>
      </c>
      <c r="U191" s="129">
        <f t="shared" si="172"/>
        <v>0</v>
      </c>
      <c r="V191" s="209">
        <f t="shared" si="173"/>
        <v>0</v>
      </c>
      <c r="W191" s="621"/>
      <c r="X191" s="222" t="str">
        <f>C191</f>
        <v>Outgoing Returns - Qualified Paper or Electronic</v>
      </c>
      <c r="Y191" s="733" t="s">
        <v>77</v>
      </c>
      <c r="Z191" s="774">
        <f t="shared" si="174"/>
        <v>0</v>
      </c>
      <c r="AA191" s="103" cm="1">
        <f t="array" ref="AA191">_xlfn.IFS($Y191="INCLUDED",0, $Y191="NO CHARGE",0,$Y191&gt;0,$Y191*I191, $Y191="",0)</f>
        <v>0</v>
      </c>
      <c r="AB191" s="103" cm="1">
        <f t="array" ref="AB191">_xlfn.IFS($Y191="INCLUDED",0, $Y191="NO CHARGE",0,$Y191&gt;0,$Y191*J191, $Y191="",0)</f>
        <v>0</v>
      </c>
      <c r="AC191" s="103" cm="1">
        <f t="array" ref="AC191">_xlfn.IFS($Y191="INCLUDED",0, $Y191="NO CHARGE",0,$Y191&gt;0,$Y191*K191, $Y191="",0)</f>
        <v>0</v>
      </c>
      <c r="AD191" s="103" cm="1">
        <f t="array" ref="AD191">_xlfn.IFS($Y191="INCLUDED",0, $Y191="NO CHARGE",0,$Y191&gt;0,$Y191*L191, $Y191="",0)</f>
        <v>0</v>
      </c>
      <c r="AE191" s="103" cm="1">
        <f t="array" ref="AE191">_xlfn.IFS($Y191="INCLUDED",0, $Y191="NO CHARGE",0,$Y191&gt;0,$Y191*M191, $Y191="",0)</f>
        <v>0</v>
      </c>
      <c r="AF191" s="123">
        <f t="shared" si="175"/>
        <v>0</v>
      </c>
      <c r="AG191" s="743"/>
      <c r="AH191" s="362"/>
      <c r="AI191" s="221" t="str">
        <f>C191</f>
        <v>Outgoing Returns - Qualified Paper or Electronic</v>
      </c>
      <c r="AJ191" s="886" t="s">
        <v>77</v>
      </c>
      <c r="AK191" s="896">
        <f t="shared" si="176"/>
        <v>0</v>
      </c>
      <c r="AL191" s="105" cm="1">
        <f t="array" ref="AL191">_xlfn.IFS($AJ191="NO CHARGE",0,$AJ191="INCLUDED",0,$AJ191=0,0,$AJ191&gt;0,PRODUCT(I191,$AJ191))</f>
        <v>0</v>
      </c>
      <c r="AM191" s="105" cm="1">
        <f t="array" ref="AM191">_xlfn.IFS($AJ191="NO CHARGE",0,$AJ191="INCLUDED",0,$AJ191=0,0,$AJ191&gt;0,PRODUCT(J191,$AJ191))</f>
        <v>0</v>
      </c>
      <c r="AN191" s="105" cm="1">
        <f t="array" ref="AN191">_xlfn.IFS($AJ191="NO CHARGE",0,$AJ191="INCLUDED",0,$AJ191=0,0,$AJ191&gt;0,PRODUCT(K191,$AJ191))</f>
        <v>0</v>
      </c>
      <c r="AO191" s="105" cm="1">
        <f t="array" ref="AO191">_xlfn.IFS($AJ191="NO CHARGE",0,$AJ191="INCLUDED",0,$AJ191=0,0,$AJ191&gt;0,PRODUCT(L191,$AJ191))</f>
        <v>0</v>
      </c>
      <c r="AP191" s="105" cm="1">
        <f t="array" ref="AP191">_xlfn.IFS($AJ191="NO CHARGE",0,$AJ191="INCLUDED",0,$AJ191=0,0,$AJ191&gt;0,PRODUCT(M191,$AJ191))</f>
        <v>0</v>
      </c>
      <c r="AQ191" s="158">
        <f t="shared" si="163"/>
        <v>0</v>
      </c>
      <c r="AR191" s="875"/>
      <c r="AS191" s="473"/>
      <c r="AT191" s="106"/>
      <c r="AU191" s="107"/>
      <c r="AV191" s="108">
        <f t="shared" si="177"/>
        <v>0</v>
      </c>
      <c r="AW191" s="108">
        <f t="shared" si="178"/>
        <v>0</v>
      </c>
      <c r="AX191" s="108">
        <f t="shared" si="179"/>
        <v>0</v>
      </c>
      <c r="AY191" s="108">
        <f t="shared" si="180"/>
        <v>0</v>
      </c>
      <c r="AZ191" s="108">
        <f t="shared" si="181"/>
        <v>0</v>
      </c>
      <c r="BA191" s="165">
        <f t="shared" si="182"/>
        <v>0</v>
      </c>
      <c r="BB191" s="531"/>
    </row>
    <row r="192" spans="1:54" s="495" customFormat="1" outlineLevel="1" x14ac:dyDescent="0.25">
      <c r="A192" s="700"/>
      <c r="B192" s="623" t="s">
        <v>244</v>
      </c>
      <c r="C192" s="310" t="s">
        <v>246</v>
      </c>
      <c r="D192" s="604"/>
      <c r="E192" s="604"/>
      <c r="F192" s="604"/>
      <c r="G192" s="604"/>
      <c r="H192" s="618">
        <f t="shared" ref="H192:H197" si="184">IFERROR(AVERAGE(D192:G192),0)</f>
        <v>0</v>
      </c>
      <c r="I192" s="127">
        <f t="shared" si="165"/>
        <v>0</v>
      </c>
      <c r="J192" s="127">
        <f t="shared" si="166"/>
        <v>0</v>
      </c>
      <c r="K192" s="127">
        <f t="shared" si="166"/>
        <v>0</v>
      </c>
      <c r="L192" s="127">
        <f t="shared" si="166"/>
        <v>0</v>
      </c>
      <c r="M192" s="127">
        <f t="shared" si="166"/>
        <v>0</v>
      </c>
      <c r="N192" s="245"/>
      <c r="O192" s="748"/>
      <c r="P192" s="757">
        <f t="shared" si="167"/>
        <v>0</v>
      </c>
      <c r="Q192" s="129">
        <f t="shared" si="168"/>
        <v>0</v>
      </c>
      <c r="R192" s="129">
        <f t="shared" si="169"/>
        <v>0</v>
      </c>
      <c r="S192" s="129">
        <f t="shared" si="170"/>
        <v>0</v>
      </c>
      <c r="T192" s="129">
        <f t="shared" si="171"/>
        <v>0</v>
      </c>
      <c r="U192" s="129">
        <f t="shared" si="172"/>
        <v>0</v>
      </c>
      <c r="V192" s="209">
        <f t="shared" si="173"/>
        <v>0</v>
      </c>
      <c r="W192" s="621"/>
      <c r="X192" s="222" t="str">
        <f>C192</f>
        <v>Outgoing Returns - Unqualified Paper or Electronic</v>
      </c>
      <c r="Y192" s="733" t="s">
        <v>77</v>
      </c>
      <c r="Z192" s="774">
        <f t="shared" si="174"/>
        <v>0</v>
      </c>
      <c r="AA192" s="103" cm="1">
        <f t="array" ref="AA192">_xlfn.IFS($Y192="INCLUDED",0, $Y192="NO CHARGE",0,$Y192&gt;0,$Y192*I192, $Y192="",0)</f>
        <v>0</v>
      </c>
      <c r="AB192" s="103" cm="1">
        <f t="array" ref="AB192">_xlfn.IFS($Y192="INCLUDED",0, $Y192="NO CHARGE",0,$Y192&gt;0,$Y192*J192, $Y192="",0)</f>
        <v>0</v>
      </c>
      <c r="AC192" s="103" cm="1">
        <f t="array" ref="AC192">_xlfn.IFS($Y192="INCLUDED",0, $Y192="NO CHARGE",0,$Y192&gt;0,$Y192*K192, $Y192="",0)</f>
        <v>0</v>
      </c>
      <c r="AD192" s="103" cm="1">
        <f t="array" ref="AD192">_xlfn.IFS($Y192="INCLUDED",0, $Y192="NO CHARGE",0,$Y192&gt;0,$Y192*L192, $Y192="",0)</f>
        <v>0</v>
      </c>
      <c r="AE192" s="103" cm="1">
        <f t="array" ref="AE192">_xlfn.IFS($Y192="INCLUDED",0, $Y192="NO CHARGE",0,$Y192&gt;0,$Y192*M192, $Y192="",0)</f>
        <v>0</v>
      </c>
      <c r="AF192" s="123">
        <f t="shared" si="175"/>
        <v>0</v>
      </c>
      <c r="AG192" s="743"/>
      <c r="AH192" s="362"/>
      <c r="AI192" s="221" t="str">
        <f>C192</f>
        <v>Outgoing Returns - Unqualified Paper or Electronic</v>
      </c>
      <c r="AJ192" s="886" t="s">
        <v>77</v>
      </c>
      <c r="AK192" s="896">
        <f t="shared" si="176"/>
        <v>0</v>
      </c>
      <c r="AL192" s="105" cm="1">
        <f t="array" ref="AL192">_xlfn.IFS($AJ192="NO CHARGE",0,$AJ192="INCLUDED",0,$AJ192=0,0,$AJ192&gt;0,PRODUCT(I192,$AJ192))</f>
        <v>0</v>
      </c>
      <c r="AM192" s="105" cm="1">
        <f t="array" ref="AM192">_xlfn.IFS($AJ192="NO CHARGE",0,$AJ192="INCLUDED",0,$AJ192=0,0,$AJ192&gt;0,PRODUCT(J192,$AJ192))</f>
        <v>0</v>
      </c>
      <c r="AN192" s="105" cm="1">
        <f t="array" ref="AN192">_xlfn.IFS($AJ192="NO CHARGE",0,$AJ192="INCLUDED",0,$AJ192=0,0,$AJ192&gt;0,PRODUCT(K192,$AJ192))</f>
        <v>0</v>
      </c>
      <c r="AO192" s="105" cm="1">
        <f t="array" ref="AO192">_xlfn.IFS($AJ192="NO CHARGE",0,$AJ192="INCLUDED",0,$AJ192=0,0,$AJ192&gt;0,PRODUCT(L192,$AJ192))</f>
        <v>0</v>
      </c>
      <c r="AP192" s="105" cm="1">
        <f t="array" ref="AP192">_xlfn.IFS($AJ192="NO CHARGE",0,$AJ192="INCLUDED",0,$AJ192=0,0,$AJ192&gt;0,PRODUCT(M192,$AJ192))</f>
        <v>0</v>
      </c>
      <c r="AQ192" s="158">
        <f t="shared" si="163"/>
        <v>0</v>
      </c>
      <c r="AR192" s="875"/>
      <c r="AS192" s="473"/>
      <c r="AT192" s="106"/>
      <c r="AU192" s="107"/>
      <c r="AV192" s="108">
        <f t="shared" si="177"/>
        <v>0</v>
      </c>
      <c r="AW192" s="108">
        <f t="shared" si="178"/>
        <v>0</v>
      </c>
      <c r="AX192" s="108">
        <f t="shared" si="179"/>
        <v>0</v>
      </c>
      <c r="AY192" s="108">
        <f t="shared" si="180"/>
        <v>0</v>
      </c>
      <c r="AZ192" s="108">
        <f t="shared" si="181"/>
        <v>0</v>
      </c>
      <c r="BA192" s="165">
        <f t="shared" si="182"/>
        <v>0</v>
      </c>
      <c r="BB192" s="531"/>
    </row>
    <row r="193" spans="1:54" s="495" customFormat="1" outlineLevel="1" x14ac:dyDescent="0.25">
      <c r="A193" s="700"/>
      <c r="B193" s="623" t="s">
        <v>244</v>
      </c>
      <c r="C193" s="310" t="s">
        <v>247</v>
      </c>
      <c r="D193" s="604"/>
      <c r="E193" s="604"/>
      <c r="F193" s="604"/>
      <c r="G193" s="604"/>
      <c r="H193" s="618">
        <f t="shared" si="184"/>
        <v>0</v>
      </c>
      <c r="I193" s="127">
        <f t="shared" si="165"/>
        <v>0</v>
      </c>
      <c r="J193" s="127">
        <f t="shared" si="166"/>
        <v>0</v>
      </c>
      <c r="K193" s="127">
        <f t="shared" si="166"/>
        <v>0</v>
      </c>
      <c r="L193" s="127">
        <f t="shared" si="166"/>
        <v>0</v>
      </c>
      <c r="M193" s="127">
        <f t="shared" si="166"/>
        <v>0</v>
      </c>
      <c r="N193" s="245"/>
      <c r="O193" s="748"/>
      <c r="P193" s="757">
        <f t="shared" si="167"/>
        <v>0</v>
      </c>
      <c r="Q193" s="129">
        <f t="shared" si="168"/>
        <v>0</v>
      </c>
      <c r="R193" s="129">
        <f t="shared" si="169"/>
        <v>0</v>
      </c>
      <c r="S193" s="129">
        <f t="shared" si="170"/>
        <v>0</v>
      </c>
      <c r="T193" s="129">
        <f t="shared" si="171"/>
        <v>0</v>
      </c>
      <c r="U193" s="129">
        <f t="shared" si="172"/>
        <v>0</v>
      </c>
      <c r="V193" s="209">
        <f t="shared" si="173"/>
        <v>0</v>
      </c>
      <c r="W193" s="621"/>
      <c r="X193" s="222" t="str">
        <f>C193</f>
        <v>Large Item Return Notification</v>
      </c>
      <c r="Y193" s="733" t="s">
        <v>77</v>
      </c>
      <c r="Z193" s="774">
        <f t="shared" si="174"/>
        <v>0</v>
      </c>
      <c r="AA193" s="103" cm="1">
        <f t="array" ref="AA193">_xlfn.IFS($Y193="INCLUDED",0, $Y193="NO CHARGE",0,$Y193&gt;0,$Y193*I193, $Y193="",0)</f>
        <v>0</v>
      </c>
      <c r="AB193" s="103" cm="1">
        <f t="array" ref="AB193">_xlfn.IFS($Y193="INCLUDED",0, $Y193="NO CHARGE",0,$Y193&gt;0,$Y193*J193, $Y193="",0)</f>
        <v>0</v>
      </c>
      <c r="AC193" s="103" cm="1">
        <f t="array" ref="AC193">_xlfn.IFS($Y193="INCLUDED",0, $Y193="NO CHARGE",0,$Y193&gt;0,$Y193*K193, $Y193="",0)</f>
        <v>0</v>
      </c>
      <c r="AD193" s="103" cm="1">
        <f t="array" ref="AD193">_xlfn.IFS($Y193="INCLUDED",0, $Y193="NO CHARGE",0,$Y193&gt;0,$Y193*L193, $Y193="",0)</f>
        <v>0</v>
      </c>
      <c r="AE193" s="103" cm="1">
        <f t="array" ref="AE193">_xlfn.IFS($Y193="INCLUDED",0, $Y193="NO CHARGE",0,$Y193&gt;0,$Y193*M193, $Y193="",0)</f>
        <v>0</v>
      </c>
      <c r="AF193" s="123">
        <f t="shared" si="175"/>
        <v>0</v>
      </c>
      <c r="AG193" s="743"/>
      <c r="AH193" s="362"/>
      <c r="AI193" s="221" t="str">
        <f>C193</f>
        <v>Large Item Return Notification</v>
      </c>
      <c r="AJ193" s="886" t="s">
        <v>77</v>
      </c>
      <c r="AK193" s="896">
        <f t="shared" si="176"/>
        <v>0</v>
      </c>
      <c r="AL193" s="105" cm="1">
        <f t="array" ref="AL193">_xlfn.IFS($AJ193="NO CHARGE",0,$AJ193="INCLUDED",0,$AJ193=0,0,$AJ193&gt;0,PRODUCT(I193,$AJ193))</f>
        <v>0</v>
      </c>
      <c r="AM193" s="105" cm="1">
        <f t="array" ref="AM193">_xlfn.IFS($AJ193="NO CHARGE",0,$AJ193="INCLUDED",0,$AJ193=0,0,$AJ193&gt;0,PRODUCT(J193,$AJ193))</f>
        <v>0</v>
      </c>
      <c r="AN193" s="105" cm="1">
        <f t="array" ref="AN193">_xlfn.IFS($AJ193="NO CHARGE",0,$AJ193="INCLUDED",0,$AJ193=0,0,$AJ193&gt;0,PRODUCT(K193,$AJ193))</f>
        <v>0</v>
      </c>
      <c r="AO193" s="105" cm="1">
        <f t="array" ref="AO193">_xlfn.IFS($AJ193="NO CHARGE",0,$AJ193="INCLUDED",0,$AJ193=0,0,$AJ193&gt;0,PRODUCT(L193,$AJ193))</f>
        <v>0</v>
      </c>
      <c r="AP193" s="105" cm="1">
        <f t="array" ref="AP193">_xlfn.IFS($AJ193="NO CHARGE",0,$AJ193="INCLUDED",0,$AJ193=0,0,$AJ193&gt;0,PRODUCT(M193,$AJ193))</f>
        <v>0</v>
      </c>
      <c r="AQ193" s="158">
        <f t="shared" si="163"/>
        <v>0</v>
      </c>
      <c r="AR193" s="875"/>
      <c r="AS193" s="473"/>
      <c r="AT193" s="106"/>
      <c r="AU193" s="107"/>
      <c r="AV193" s="108">
        <f t="shared" si="177"/>
        <v>0</v>
      </c>
      <c r="AW193" s="108">
        <f t="shared" si="178"/>
        <v>0</v>
      </c>
      <c r="AX193" s="108">
        <f t="shared" si="179"/>
        <v>0</v>
      </c>
      <c r="AY193" s="108">
        <f t="shared" si="180"/>
        <v>0</v>
      </c>
      <c r="AZ193" s="108">
        <f t="shared" si="181"/>
        <v>0</v>
      </c>
      <c r="BA193" s="165">
        <f t="shared" si="182"/>
        <v>0</v>
      </c>
      <c r="BB193" s="531"/>
    </row>
    <row r="194" spans="1:54" s="495" customFormat="1" outlineLevel="1" x14ac:dyDescent="0.25">
      <c r="A194" s="700"/>
      <c r="B194" s="623" t="s">
        <v>244</v>
      </c>
      <c r="C194" s="310" t="s">
        <v>248</v>
      </c>
      <c r="D194" s="604"/>
      <c r="E194" s="604"/>
      <c r="F194" s="604"/>
      <c r="G194" s="604"/>
      <c r="H194" s="618">
        <f t="shared" si="184"/>
        <v>0</v>
      </c>
      <c r="I194" s="127">
        <f t="shared" si="165"/>
        <v>0</v>
      </c>
      <c r="J194" s="127">
        <f t="shared" si="166"/>
        <v>0</v>
      </c>
      <c r="K194" s="127">
        <f t="shared" si="166"/>
        <v>0</v>
      </c>
      <c r="L194" s="127">
        <f t="shared" si="166"/>
        <v>0</v>
      </c>
      <c r="M194" s="127">
        <f t="shared" si="166"/>
        <v>0</v>
      </c>
      <c r="N194" s="245"/>
      <c r="O194" s="748"/>
      <c r="P194" s="757">
        <f t="shared" si="167"/>
        <v>0</v>
      </c>
      <c r="Q194" s="129">
        <f t="shared" si="168"/>
        <v>0</v>
      </c>
      <c r="R194" s="129">
        <f t="shared" si="169"/>
        <v>0</v>
      </c>
      <c r="S194" s="129">
        <f t="shared" si="170"/>
        <v>0</v>
      </c>
      <c r="T194" s="129">
        <f t="shared" si="171"/>
        <v>0</v>
      </c>
      <c r="U194" s="129">
        <f t="shared" si="172"/>
        <v>0</v>
      </c>
      <c r="V194" s="209">
        <f t="shared" si="173"/>
        <v>0</v>
      </c>
      <c r="W194" s="621"/>
      <c r="X194" s="222" t="str">
        <f>C194</f>
        <v>Incoming Adjustments</v>
      </c>
      <c r="Y194" s="733" t="s">
        <v>77</v>
      </c>
      <c r="Z194" s="774">
        <f t="shared" si="174"/>
        <v>0</v>
      </c>
      <c r="AA194" s="103" cm="1">
        <f t="array" ref="AA194">_xlfn.IFS($Y194="INCLUDED",0, $Y194="NO CHARGE",0,$Y194&gt;0,$Y194*I194, $Y194="",0)</f>
        <v>0</v>
      </c>
      <c r="AB194" s="103" cm="1">
        <f t="array" ref="AB194">_xlfn.IFS($Y194="INCLUDED",0, $Y194="NO CHARGE",0,$Y194&gt;0,$Y194*J194, $Y194="",0)</f>
        <v>0</v>
      </c>
      <c r="AC194" s="103" cm="1">
        <f t="array" ref="AC194">_xlfn.IFS($Y194="INCLUDED",0, $Y194="NO CHARGE",0,$Y194&gt;0,$Y194*K194, $Y194="",0)</f>
        <v>0</v>
      </c>
      <c r="AD194" s="103" cm="1">
        <f t="array" ref="AD194">_xlfn.IFS($Y194="INCLUDED",0, $Y194="NO CHARGE",0,$Y194&gt;0,$Y194*L194, $Y194="",0)</f>
        <v>0</v>
      </c>
      <c r="AE194" s="103" cm="1">
        <f t="array" ref="AE194">_xlfn.IFS($Y194="INCLUDED",0, $Y194="NO CHARGE",0,$Y194&gt;0,$Y194*M194, $Y194="",0)</f>
        <v>0</v>
      </c>
      <c r="AF194" s="123">
        <f t="shared" si="175"/>
        <v>0</v>
      </c>
      <c r="AG194" s="743"/>
      <c r="AH194" s="362"/>
      <c r="AI194" s="221" t="str">
        <f>C194</f>
        <v>Incoming Adjustments</v>
      </c>
      <c r="AJ194" s="886" t="s">
        <v>77</v>
      </c>
      <c r="AK194" s="896">
        <f t="shared" si="176"/>
        <v>0</v>
      </c>
      <c r="AL194" s="105" cm="1">
        <f t="array" ref="AL194">_xlfn.IFS($AJ194="NO CHARGE",0,$AJ194="INCLUDED",0,$AJ194=0,0,$AJ194&gt;0,PRODUCT(I194,$AJ194))</f>
        <v>0</v>
      </c>
      <c r="AM194" s="105" cm="1">
        <f t="array" ref="AM194">_xlfn.IFS($AJ194="NO CHARGE",0,$AJ194="INCLUDED",0,$AJ194=0,0,$AJ194&gt;0,PRODUCT(J194,$AJ194))</f>
        <v>0</v>
      </c>
      <c r="AN194" s="105" cm="1">
        <f t="array" ref="AN194">_xlfn.IFS($AJ194="NO CHARGE",0,$AJ194="INCLUDED",0,$AJ194=0,0,$AJ194&gt;0,PRODUCT(K194,$AJ194))</f>
        <v>0</v>
      </c>
      <c r="AO194" s="105" cm="1">
        <f t="array" ref="AO194">_xlfn.IFS($AJ194="NO CHARGE",0,$AJ194="INCLUDED",0,$AJ194=0,0,$AJ194&gt;0,PRODUCT(L194,$AJ194))</f>
        <v>0</v>
      </c>
      <c r="AP194" s="105" cm="1">
        <f t="array" ref="AP194">_xlfn.IFS($AJ194="NO CHARGE",0,$AJ194="INCLUDED",0,$AJ194=0,0,$AJ194&gt;0,PRODUCT(M194,$AJ194))</f>
        <v>0</v>
      </c>
      <c r="AQ194" s="158">
        <f t="shared" si="163"/>
        <v>0</v>
      </c>
      <c r="AR194" s="875"/>
      <c r="AS194" s="473"/>
      <c r="AT194" s="106"/>
      <c r="AU194" s="107"/>
      <c r="AV194" s="108">
        <f t="shared" si="177"/>
        <v>0</v>
      </c>
      <c r="AW194" s="108">
        <f t="shared" si="178"/>
        <v>0</v>
      </c>
      <c r="AX194" s="108">
        <f t="shared" si="179"/>
        <v>0</v>
      </c>
      <c r="AY194" s="108">
        <f t="shared" si="180"/>
        <v>0</v>
      </c>
      <c r="AZ194" s="108">
        <f t="shared" si="181"/>
        <v>0</v>
      </c>
      <c r="BA194" s="165">
        <f t="shared" si="182"/>
        <v>0</v>
      </c>
      <c r="BB194" s="531"/>
    </row>
    <row r="195" spans="1:54" s="495" customFormat="1" outlineLevel="1" x14ac:dyDescent="0.25">
      <c r="A195" s="445"/>
      <c r="B195" s="623"/>
      <c r="C195" s="310"/>
      <c r="D195" s="604"/>
      <c r="E195" s="604"/>
      <c r="F195" s="604"/>
      <c r="G195" s="604"/>
      <c r="H195" s="618">
        <f t="shared" si="184"/>
        <v>0</v>
      </c>
      <c r="I195" s="127">
        <f t="shared" si="165"/>
        <v>0</v>
      </c>
      <c r="J195" s="127">
        <f t="shared" si="166"/>
        <v>0</v>
      </c>
      <c r="K195" s="127">
        <f t="shared" si="166"/>
        <v>0</v>
      </c>
      <c r="L195" s="127">
        <f t="shared" si="166"/>
        <v>0</v>
      </c>
      <c r="M195" s="127">
        <f t="shared" si="166"/>
        <v>0</v>
      </c>
      <c r="N195" s="245" t="str">
        <f>IF(C195="","",C195)</f>
        <v/>
      </c>
      <c r="O195" s="748"/>
      <c r="P195" s="757">
        <f t="shared" si="167"/>
        <v>0</v>
      </c>
      <c r="Q195" s="129">
        <f t="shared" si="168"/>
        <v>0</v>
      </c>
      <c r="R195" s="129">
        <f t="shared" si="169"/>
        <v>0</v>
      </c>
      <c r="S195" s="129">
        <f t="shared" si="170"/>
        <v>0</v>
      </c>
      <c r="T195" s="129">
        <f t="shared" si="171"/>
        <v>0</v>
      </c>
      <c r="U195" s="129">
        <f t="shared" si="172"/>
        <v>0</v>
      </c>
      <c r="V195" s="209">
        <f t="shared" si="173"/>
        <v>0</v>
      </c>
      <c r="W195" s="621"/>
      <c r="X195" s="222"/>
      <c r="Y195" s="325"/>
      <c r="Z195" s="774">
        <f t="shared" si="174"/>
        <v>0</v>
      </c>
      <c r="AA195" s="103">
        <f>IF(Y195&gt;0,PRODUCT(I195,$Y195),0)</f>
        <v>0</v>
      </c>
      <c r="AB195" s="103">
        <f t="shared" ref="AB195:AE197" si="185">IF(AA195&gt;0,PRODUCT(J195,$Y195),0)</f>
        <v>0</v>
      </c>
      <c r="AC195" s="103">
        <f t="shared" si="185"/>
        <v>0</v>
      </c>
      <c r="AD195" s="103">
        <f t="shared" si="185"/>
        <v>0</v>
      </c>
      <c r="AE195" s="103">
        <f t="shared" si="185"/>
        <v>0</v>
      </c>
      <c r="AF195" s="123">
        <f t="shared" si="175"/>
        <v>0</v>
      </c>
      <c r="AG195" s="743"/>
      <c r="AH195" s="362"/>
      <c r="AI195" s="221"/>
      <c r="AJ195" s="886"/>
      <c r="AK195" s="896">
        <f t="shared" si="176"/>
        <v>0</v>
      </c>
      <c r="AL195" s="105" cm="1">
        <f t="array" ref="AL195">_xlfn.IFS($AJ195="NO CHARGE",0,$AJ195="INCLUDED",0,$AJ195=0,0,$AJ195&gt;0,PRODUCT(I195,$AJ195))</f>
        <v>0</v>
      </c>
      <c r="AM195" s="105" cm="1">
        <f t="array" ref="AM195">_xlfn.IFS($AJ195="NO CHARGE",0,$AJ195="INCLUDED",0,$AJ195=0,0,$AJ195&gt;0,PRODUCT(J195,$AJ195))</f>
        <v>0</v>
      </c>
      <c r="AN195" s="105" cm="1">
        <f t="array" ref="AN195">_xlfn.IFS($AJ195="NO CHARGE",0,$AJ195="INCLUDED",0,$AJ195=0,0,$AJ195&gt;0,PRODUCT(K195,$AJ195))</f>
        <v>0</v>
      </c>
      <c r="AO195" s="105" cm="1">
        <f t="array" ref="AO195">_xlfn.IFS($AJ195="NO CHARGE",0,$AJ195="INCLUDED",0,$AJ195=0,0,$AJ195&gt;0,PRODUCT(L195,$AJ195))</f>
        <v>0</v>
      </c>
      <c r="AP195" s="105" cm="1">
        <f t="array" ref="AP195">_xlfn.IFS($AJ195="NO CHARGE",0,$AJ195="INCLUDED",0,$AJ195=0,0,$AJ195&gt;0,PRODUCT(M195,$AJ195))</f>
        <v>0</v>
      </c>
      <c r="AQ195" s="158">
        <f t="shared" ref="AQ195:AQ214" si="186">SUM(AL195:AP195)</f>
        <v>0</v>
      </c>
      <c r="AR195" s="875"/>
      <c r="AS195" s="473"/>
      <c r="AT195" s="106"/>
      <c r="AU195" s="107"/>
      <c r="AV195" s="108">
        <f t="shared" si="177"/>
        <v>0</v>
      </c>
      <c r="AW195" s="108">
        <f t="shared" si="178"/>
        <v>0</v>
      </c>
      <c r="AX195" s="108">
        <f t="shared" si="179"/>
        <v>0</v>
      </c>
      <c r="AY195" s="108">
        <f t="shared" si="180"/>
        <v>0</v>
      </c>
      <c r="AZ195" s="108">
        <f t="shared" si="181"/>
        <v>0</v>
      </c>
      <c r="BA195" s="165">
        <f t="shared" si="182"/>
        <v>0</v>
      </c>
      <c r="BB195" s="531"/>
    </row>
    <row r="196" spans="1:54" s="495" customFormat="1" outlineLevel="1" x14ac:dyDescent="0.25">
      <c r="A196" s="787"/>
      <c r="B196" s="623" t="s">
        <v>249</v>
      </c>
      <c r="C196" s="310" t="s">
        <v>250</v>
      </c>
      <c r="D196" s="604">
        <v>185901</v>
      </c>
      <c r="E196" s="604">
        <v>170773</v>
      </c>
      <c r="F196" s="604">
        <v>180110</v>
      </c>
      <c r="G196" s="604"/>
      <c r="H196" s="618">
        <f t="shared" si="184"/>
        <v>178928</v>
      </c>
      <c r="I196" s="127">
        <f t="shared" si="165"/>
        <v>2147136</v>
      </c>
      <c r="J196" s="127">
        <f t="shared" si="166"/>
        <v>2254492.7999999998</v>
      </c>
      <c r="K196" s="127">
        <f t="shared" si="166"/>
        <v>2367217.44</v>
      </c>
      <c r="L196" s="127">
        <f t="shared" si="166"/>
        <v>2485578.3119999999</v>
      </c>
      <c r="M196" s="127">
        <f t="shared" si="166"/>
        <v>2609857.2275999999</v>
      </c>
      <c r="N196" s="245" t="str">
        <f>IF(C196="","",C196)</f>
        <v>Online Image Archive (7 Years)</v>
      </c>
      <c r="O196" s="748">
        <v>3.2661999999999999E-3</v>
      </c>
      <c r="P196" s="757">
        <f t="shared" si="167"/>
        <v>584.4146336</v>
      </c>
      <c r="Q196" s="129">
        <f t="shared" si="168"/>
        <v>7012.9756031999996</v>
      </c>
      <c r="R196" s="129">
        <f t="shared" si="169"/>
        <v>7363.6243833599992</v>
      </c>
      <c r="S196" s="129">
        <f t="shared" si="170"/>
        <v>7731.8056025279993</v>
      </c>
      <c r="T196" s="129">
        <f t="shared" si="171"/>
        <v>8118.3958826543994</v>
      </c>
      <c r="U196" s="129">
        <f t="shared" si="172"/>
        <v>8524.3156767871187</v>
      </c>
      <c r="V196" s="209">
        <f t="shared" si="173"/>
        <v>38751.11714852952</v>
      </c>
      <c r="W196" s="621"/>
      <c r="X196" s="222" t="s">
        <v>239</v>
      </c>
      <c r="Y196" s="325"/>
      <c r="Z196" s="774">
        <f t="shared" si="174"/>
        <v>0</v>
      </c>
      <c r="AA196" s="103">
        <f>IF(Y196&gt;0,PRODUCT(I196,$Y196),0)</f>
        <v>0</v>
      </c>
      <c r="AB196" s="103">
        <f t="shared" si="185"/>
        <v>0</v>
      </c>
      <c r="AC196" s="103">
        <f t="shared" si="185"/>
        <v>0</v>
      </c>
      <c r="AD196" s="103">
        <f t="shared" si="185"/>
        <v>0</v>
      </c>
      <c r="AE196" s="103">
        <f t="shared" si="185"/>
        <v>0</v>
      </c>
      <c r="AF196" s="123">
        <f t="shared" si="175"/>
        <v>0</v>
      </c>
      <c r="AG196" s="743"/>
      <c r="AH196" s="362"/>
      <c r="AI196" s="221" t="str">
        <f>C196</f>
        <v>Online Image Archive (7 Years)</v>
      </c>
      <c r="AJ196" s="886"/>
      <c r="AK196" s="896">
        <f t="shared" si="176"/>
        <v>0</v>
      </c>
      <c r="AL196" s="105" cm="1">
        <f t="array" ref="AL196">_xlfn.IFS($AJ196="NO CHARGE",0,$AJ196="INCLUDED",0,$AJ196=0,0,$AJ196&gt;0,PRODUCT(I196,$AJ196))</f>
        <v>0</v>
      </c>
      <c r="AM196" s="105" cm="1">
        <f t="array" ref="AM196">_xlfn.IFS($AJ196="NO CHARGE",0,$AJ196="INCLUDED",0,$AJ196=0,0,$AJ196&gt;0,PRODUCT(J196,$AJ196))</f>
        <v>0</v>
      </c>
      <c r="AN196" s="105" cm="1">
        <f t="array" ref="AN196">_xlfn.IFS($AJ196="NO CHARGE",0,$AJ196="INCLUDED",0,$AJ196=0,0,$AJ196&gt;0,PRODUCT(K196,$AJ196))</f>
        <v>0</v>
      </c>
      <c r="AO196" s="105" cm="1">
        <f t="array" ref="AO196">_xlfn.IFS($AJ196="NO CHARGE",0,$AJ196="INCLUDED",0,$AJ196=0,0,$AJ196&gt;0,PRODUCT(L196,$AJ196))</f>
        <v>0</v>
      </c>
      <c r="AP196" s="105" cm="1">
        <f t="array" ref="AP196">_xlfn.IFS($AJ196="NO CHARGE",0,$AJ196="INCLUDED",0,$AJ196=0,0,$AJ196&gt;0,PRODUCT(M196,$AJ196))</f>
        <v>0</v>
      </c>
      <c r="AQ196" s="158">
        <f t="shared" si="186"/>
        <v>0</v>
      </c>
      <c r="AR196" s="875"/>
      <c r="AS196" s="473"/>
      <c r="AT196" s="106"/>
      <c r="AU196" s="107"/>
      <c r="AV196" s="108">
        <f t="shared" si="177"/>
        <v>0</v>
      </c>
      <c r="AW196" s="108">
        <f t="shared" si="178"/>
        <v>0</v>
      </c>
      <c r="AX196" s="108">
        <f t="shared" si="179"/>
        <v>0</v>
      </c>
      <c r="AY196" s="108">
        <f t="shared" si="180"/>
        <v>0</v>
      </c>
      <c r="AZ196" s="108">
        <f t="shared" si="181"/>
        <v>0</v>
      </c>
      <c r="BA196" s="165">
        <f t="shared" si="182"/>
        <v>0</v>
      </c>
      <c r="BB196" s="531"/>
    </row>
    <row r="197" spans="1:54" s="495" customFormat="1" outlineLevel="1" x14ac:dyDescent="0.25">
      <c r="A197" s="787"/>
      <c r="B197" s="623" t="s">
        <v>249</v>
      </c>
      <c r="C197" s="310" t="s">
        <v>251</v>
      </c>
      <c r="D197" s="604">
        <v>1</v>
      </c>
      <c r="E197" s="604">
        <v>1</v>
      </c>
      <c r="F197" s="604">
        <v>1</v>
      </c>
      <c r="G197" s="604"/>
      <c r="H197" s="618">
        <f t="shared" si="184"/>
        <v>1</v>
      </c>
      <c r="I197" s="127">
        <f t="shared" si="165"/>
        <v>12</v>
      </c>
      <c r="J197" s="127">
        <f t="shared" si="166"/>
        <v>12</v>
      </c>
      <c r="K197" s="127">
        <f t="shared" si="166"/>
        <v>12</v>
      </c>
      <c r="L197" s="127">
        <f t="shared" si="166"/>
        <v>12</v>
      </c>
      <c r="M197" s="127">
        <f t="shared" si="166"/>
        <v>12</v>
      </c>
      <c r="N197" s="245" t="str">
        <f>IF(C197="","",C197)</f>
        <v>Image Interface Access</v>
      </c>
      <c r="O197" s="748">
        <v>423.86427279999998</v>
      </c>
      <c r="P197" s="757">
        <f t="shared" si="167"/>
        <v>423.86427279999998</v>
      </c>
      <c r="Q197" s="129">
        <f t="shared" si="168"/>
        <v>5086.3712735999998</v>
      </c>
      <c r="R197" s="129">
        <f t="shared" si="169"/>
        <v>5086.3712735999998</v>
      </c>
      <c r="S197" s="129">
        <f t="shared" si="170"/>
        <v>5086.3712735999998</v>
      </c>
      <c r="T197" s="129">
        <f t="shared" si="171"/>
        <v>5086.3712735999998</v>
      </c>
      <c r="U197" s="129">
        <f t="shared" si="172"/>
        <v>5086.3712735999998</v>
      </c>
      <c r="V197" s="209">
        <f t="shared" si="173"/>
        <v>25431.856368000001</v>
      </c>
      <c r="W197" s="621"/>
      <c r="X197" s="222" t="s">
        <v>239</v>
      </c>
      <c r="Y197" s="325"/>
      <c r="Z197" s="774">
        <f t="shared" si="174"/>
        <v>0</v>
      </c>
      <c r="AA197" s="103">
        <f>IF(Y197&gt;0,PRODUCT(I197,$Y197),0)</f>
        <v>0</v>
      </c>
      <c r="AB197" s="103">
        <f t="shared" si="185"/>
        <v>0</v>
      </c>
      <c r="AC197" s="103">
        <f t="shared" si="185"/>
        <v>0</v>
      </c>
      <c r="AD197" s="103">
        <f t="shared" si="185"/>
        <v>0</v>
      </c>
      <c r="AE197" s="103">
        <f t="shared" si="185"/>
        <v>0</v>
      </c>
      <c r="AF197" s="123">
        <f t="shared" si="175"/>
        <v>0</v>
      </c>
      <c r="AG197" s="743"/>
      <c r="AH197" s="362"/>
      <c r="AI197" s="221" t="str">
        <f>C197</f>
        <v>Image Interface Access</v>
      </c>
      <c r="AJ197" s="886"/>
      <c r="AK197" s="896">
        <f t="shared" si="176"/>
        <v>0</v>
      </c>
      <c r="AL197" s="105" cm="1">
        <f t="array" ref="AL197">_xlfn.IFS($AJ197="NO CHARGE",0,$AJ197="INCLUDED",0,$AJ197=0,0,$AJ197&gt;0,PRODUCT(I197,$AJ197))</f>
        <v>0</v>
      </c>
      <c r="AM197" s="105" cm="1">
        <f t="array" ref="AM197">_xlfn.IFS($AJ197="NO CHARGE",0,$AJ197="INCLUDED",0,$AJ197=0,0,$AJ197&gt;0,PRODUCT(J197,$AJ197))</f>
        <v>0</v>
      </c>
      <c r="AN197" s="105" cm="1">
        <f t="array" ref="AN197">_xlfn.IFS($AJ197="NO CHARGE",0,$AJ197="INCLUDED",0,$AJ197=0,0,$AJ197&gt;0,PRODUCT(K197,$AJ197))</f>
        <v>0</v>
      </c>
      <c r="AO197" s="105" cm="1">
        <f t="array" ref="AO197">_xlfn.IFS($AJ197="NO CHARGE",0,$AJ197="INCLUDED",0,$AJ197=0,0,$AJ197&gt;0,PRODUCT(L197,$AJ197))</f>
        <v>0</v>
      </c>
      <c r="AP197" s="105" cm="1">
        <f t="array" ref="AP197">_xlfn.IFS($AJ197="NO CHARGE",0,$AJ197="INCLUDED",0,$AJ197=0,0,$AJ197&gt;0,PRODUCT(M197,$AJ197))</f>
        <v>0</v>
      </c>
      <c r="AQ197" s="158">
        <f t="shared" si="186"/>
        <v>0</v>
      </c>
      <c r="AR197" s="875"/>
      <c r="AS197" s="473"/>
      <c r="AT197" s="106"/>
      <c r="AU197" s="107"/>
      <c r="AV197" s="108">
        <f t="shared" si="177"/>
        <v>0</v>
      </c>
      <c r="AW197" s="108">
        <f t="shared" si="178"/>
        <v>0</v>
      </c>
      <c r="AX197" s="108">
        <f t="shared" si="179"/>
        <v>0</v>
      </c>
      <c r="AY197" s="108">
        <f t="shared" si="180"/>
        <v>0</v>
      </c>
      <c r="AZ197" s="108">
        <f t="shared" si="181"/>
        <v>0</v>
      </c>
      <c r="BA197" s="165">
        <f t="shared" si="182"/>
        <v>0</v>
      </c>
      <c r="BB197" s="531"/>
    </row>
    <row r="198" spans="1:54" s="495" customFormat="1" outlineLevel="1" x14ac:dyDescent="0.25">
      <c r="A198" s="700"/>
      <c r="B198" s="623" t="s">
        <v>249</v>
      </c>
      <c r="C198" s="310" t="s">
        <v>250</v>
      </c>
      <c r="D198" s="604"/>
      <c r="E198" s="604"/>
      <c r="F198" s="604"/>
      <c r="G198" s="604"/>
      <c r="H198" s="618">
        <f>H196</f>
        <v>178928</v>
      </c>
      <c r="I198" s="127">
        <f t="shared" si="165"/>
        <v>2147136</v>
      </c>
      <c r="J198" s="127">
        <f t="shared" si="166"/>
        <v>2254492.7999999998</v>
      </c>
      <c r="K198" s="127">
        <f t="shared" si="166"/>
        <v>2367217.44</v>
      </c>
      <c r="L198" s="127">
        <f t="shared" si="166"/>
        <v>2485578.3119999999</v>
      </c>
      <c r="M198" s="127">
        <f t="shared" si="166"/>
        <v>2609857.2275999999</v>
      </c>
      <c r="N198" s="245"/>
      <c r="O198" s="748"/>
      <c r="P198" s="757">
        <f t="shared" si="167"/>
        <v>0</v>
      </c>
      <c r="Q198" s="129">
        <f t="shared" si="168"/>
        <v>0</v>
      </c>
      <c r="R198" s="129">
        <f t="shared" si="169"/>
        <v>0</v>
      </c>
      <c r="S198" s="129">
        <f t="shared" si="170"/>
        <v>0</v>
      </c>
      <c r="T198" s="129">
        <f t="shared" si="171"/>
        <v>0</v>
      </c>
      <c r="U198" s="129">
        <f t="shared" si="172"/>
        <v>0</v>
      </c>
      <c r="V198" s="209">
        <f t="shared" si="173"/>
        <v>0</v>
      </c>
      <c r="W198" s="621"/>
      <c r="X198" s="222" t="str">
        <f>C198</f>
        <v>Online Image Archive (7 Years)</v>
      </c>
      <c r="Y198" s="733" t="s">
        <v>77</v>
      </c>
      <c r="Z198" s="774">
        <f t="shared" si="174"/>
        <v>0</v>
      </c>
      <c r="AA198" s="103" cm="1">
        <f t="array" ref="AA198">_xlfn.IFS($Y198="INCLUDED",0, $Y198="NO CHARGE",0,$Y198&gt;0,$Y198*I198, $Y198="",0)</f>
        <v>0</v>
      </c>
      <c r="AB198" s="103" cm="1">
        <f t="array" ref="AB198">_xlfn.IFS($Y198="INCLUDED",0, $Y198="NO CHARGE",0,$Y198&gt;0,$Y198*J198, $Y198="",0)</f>
        <v>0</v>
      </c>
      <c r="AC198" s="103" cm="1">
        <f t="array" ref="AC198">_xlfn.IFS($Y198="INCLUDED",0, $Y198="NO CHARGE",0,$Y198&gt;0,$Y198*K198, $Y198="",0)</f>
        <v>0</v>
      </c>
      <c r="AD198" s="103" cm="1">
        <f t="array" ref="AD198">_xlfn.IFS($Y198="INCLUDED",0, $Y198="NO CHARGE",0,$Y198&gt;0,$Y198*L198, $Y198="",0)</f>
        <v>0</v>
      </c>
      <c r="AE198" s="103" cm="1">
        <f t="array" ref="AE198">_xlfn.IFS($Y198="INCLUDED",0, $Y198="NO CHARGE",0,$Y198&gt;0,$Y198*M198, $Y198="",0)</f>
        <v>0</v>
      </c>
      <c r="AF198" s="123">
        <f t="shared" si="175"/>
        <v>0</v>
      </c>
      <c r="AG198" s="743"/>
      <c r="AH198" s="362"/>
      <c r="AI198" s="221" t="str">
        <f>C198</f>
        <v>Online Image Archive (7 Years)</v>
      </c>
      <c r="AJ198" s="886" t="s">
        <v>77</v>
      </c>
      <c r="AK198" s="896">
        <f t="shared" si="176"/>
        <v>0</v>
      </c>
      <c r="AL198" s="105" cm="1">
        <f t="array" ref="AL198">_xlfn.IFS($AJ198="NO CHARGE",0,$AJ198="INCLUDED",0,$AJ198=0,0,$AJ198&gt;0,PRODUCT(I198,$AJ198))</f>
        <v>0</v>
      </c>
      <c r="AM198" s="105" cm="1">
        <f t="array" ref="AM198">_xlfn.IFS($AJ198="NO CHARGE",0,$AJ198="INCLUDED",0,$AJ198=0,0,$AJ198&gt;0,PRODUCT(J198,$AJ198))</f>
        <v>0</v>
      </c>
      <c r="AN198" s="105" cm="1">
        <f t="array" ref="AN198">_xlfn.IFS($AJ198="NO CHARGE",0,$AJ198="INCLUDED",0,$AJ198=0,0,$AJ198&gt;0,PRODUCT(K198,$AJ198))</f>
        <v>0</v>
      </c>
      <c r="AO198" s="105" cm="1">
        <f t="array" ref="AO198">_xlfn.IFS($AJ198="NO CHARGE",0,$AJ198="INCLUDED",0,$AJ198=0,0,$AJ198&gt;0,PRODUCT(L198,$AJ198))</f>
        <v>0</v>
      </c>
      <c r="AP198" s="105" cm="1">
        <f t="array" ref="AP198">_xlfn.IFS($AJ198="NO CHARGE",0,$AJ198="INCLUDED",0,$AJ198=0,0,$AJ198&gt;0,PRODUCT(M198,$AJ198))</f>
        <v>0</v>
      </c>
      <c r="AQ198" s="158">
        <f t="shared" si="186"/>
        <v>0</v>
      </c>
      <c r="AR198" s="875"/>
      <c r="AS198" s="473"/>
      <c r="AT198" s="106"/>
      <c r="AU198" s="107"/>
      <c r="AV198" s="108">
        <f t="shared" si="177"/>
        <v>0</v>
      </c>
      <c r="AW198" s="108">
        <f t="shared" si="178"/>
        <v>0</v>
      </c>
      <c r="AX198" s="108">
        <f t="shared" si="179"/>
        <v>0</v>
      </c>
      <c r="AY198" s="108">
        <f t="shared" si="180"/>
        <v>0</v>
      </c>
      <c r="AZ198" s="108">
        <f t="shared" si="181"/>
        <v>0</v>
      </c>
      <c r="BA198" s="165">
        <f t="shared" si="182"/>
        <v>0</v>
      </c>
      <c r="BB198" s="531"/>
    </row>
    <row r="199" spans="1:54" s="495" customFormat="1" outlineLevel="1" x14ac:dyDescent="0.25">
      <c r="A199" s="700"/>
      <c r="B199" s="623" t="s">
        <v>249</v>
      </c>
      <c r="C199" s="310" t="s">
        <v>251</v>
      </c>
      <c r="D199" s="604"/>
      <c r="E199" s="604"/>
      <c r="F199" s="604"/>
      <c r="G199" s="604"/>
      <c r="H199" s="618">
        <f>H197</f>
        <v>1</v>
      </c>
      <c r="I199" s="127">
        <f t="shared" si="165"/>
        <v>12</v>
      </c>
      <c r="J199" s="127">
        <f t="shared" si="166"/>
        <v>12</v>
      </c>
      <c r="K199" s="127">
        <f t="shared" si="166"/>
        <v>12</v>
      </c>
      <c r="L199" s="127">
        <f t="shared" si="166"/>
        <v>12</v>
      </c>
      <c r="M199" s="127">
        <f t="shared" si="166"/>
        <v>12</v>
      </c>
      <c r="N199" s="245"/>
      <c r="O199" s="748"/>
      <c r="P199" s="757">
        <f t="shared" si="167"/>
        <v>0</v>
      </c>
      <c r="Q199" s="129">
        <f t="shared" si="168"/>
        <v>0</v>
      </c>
      <c r="R199" s="129">
        <f t="shared" si="169"/>
        <v>0</v>
      </c>
      <c r="S199" s="129">
        <f t="shared" si="170"/>
        <v>0</v>
      </c>
      <c r="T199" s="129">
        <f t="shared" si="171"/>
        <v>0</v>
      </c>
      <c r="U199" s="129">
        <f t="shared" si="172"/>
        <v>0</v>
      </c>
      <c r="V199" s="209">
        <f t="shared" si="173"/>
        <v>0</v>
      </c>
      <c r="W199" s="621"/>
      <c r="X199" s="222" t="str">
        <f>C199</f>
        <v>Image Interface Access</v>
      </c>
      <c r="Y199" s="733" t="s">
        <v>77</v>
      </c>
      <c r="Z199" s="774">
        <f t="shared" si="174"/>
        <v>0</v>
      </c>
      <c r="AA199" s="103" cm="1">
        <f t="array" ref="AA199">_xlfn.IFS($Y199="INCLUDED",0, $Y199="NO CHARGE",0,$Y199&gt;0,$Y199*I199, $Y199="",0)</f>
        <v>0</v>
      </c>
      <c r="AB199" s="103" cm="1">
        <f t="array" ref="AB199">_xlfn.IFS($Y199="INCLUDED",0, $Y199="NO CHARGE",0,$Y199&gt;0,$Y199*J199, $Y199="",0)</f>
        <v>0</v>
      </c>
      <c r="AC199" s="103" cm="1">
        <f t="array" ref="AC199">_xlfn.IFS($Y199="INCLUDED",0, $Y199="NO CHARGE",0,$Y199&gt;0,$Y199*K199, $Y199="",0)</f>
        <v>0</v>
      </c>
      <c r="AD199" s="103" cm="1">
        <f t="array" ref="AD199">_xlfn.IFS($Y199="INCLUDED",0, $Y199="NO CHARGE",0,$Y199&gt;0,$Y199*L199, $Y199="",0)</f>
        <v>0</v>
      </c>
      <c r="AE199" s="103" cm="1">
        <f t="array" ref="AE199">_xlfn.IFS($Y199="INCLUDED",0, $Y199="NO CHARGE",0,$Y199&gt;0,$Y199*M199, $Y199="",0)</f>
        <v>0</v>
      </c>
      <c r="AF199" s="123">
        <f t="shared" si="175"/>
        <v>0</v>
      </c>
      <c r="AG199" s="743"/>
      <c r="AH199" s="362"/>
      <c r="AI199" s="221" t="str">
        <f>C199</f>
        <v>Image Interface Access</v>
      </c>
      <c r="AJ199" s="886" t="s">
        <v>77</v>
      </c>
      <c r="AK199" s="896">
        <f t="shared" si="176"/>
        <v>0</v>
      </c>
      <c r="AL199" s="105" cm="1">
        <f t="array" ref="AL199">_xlfn.IFS($AJ199="NO CHARGE",0,$AJ199="INCLUDED",0,$AJ199=0,0,$AJ199&gt;0,PRODUCT(I199,$AJ199))</f>
        <v>0</v>
      </c>
      <c r="AM199" s="105" cm="1">
        <f t="array" ref="AM199">_xlfn.IFS($AJ199="NO CHARGE",0,$AJ199="INCLUDED",0,$AJ199=0,0,$AJ199&gt;0,PRODUCT(J199,$AJ199))</f>
        <v>0</v>
      </c>
      <c r="AN199" s="105" cm="1">
        <f t="array" ref="AN199">_xlfn.IFS($AJ199="NO CHARGE",0,$AJ199="INCLUDED",0,$AJ199=0,0,$AJ199&gt;0,PRODUCT(K199,$AJ199))</f>
        <v>0</v>
      </c>
      <c r="AO199" s="105" cm="1">
        <f t="array" ref="AO199">_xlfn.IFS($AJ199="NO CHARGE",0,$AJ199="INCLUDED",0,$AJ199=0,0,$AJ199&gt;0,PRODUCT(L199,$AJ199))</f>
        <v>0</v>
      </c>
      <c r="AP199" s="105" cm="1">
        <f t="array" ref="AP199">_xlfn.IFS($AJ199="NO CHARGE",0,$AJ199="INCLUDED",0,$AJ199=0,0,$AJ199&gt;0,PRODUCT(M199,$AJ199))</f>
        <v>0</v>
      </c>
      <c r="AQ199" s="158">
        <f t="shared" si="186"/>
        <v>0</v>
      </c>
      <c r="AR199" s="875"/>
      <c r="AS199" s="473"/>
      <c r="AT199" s="106"/>
      <c r="AU199" s="107"/>
      <c r="AV199" s="108">
        <f t="shared" si="177"/>
        <v>0</v>
      </c>
      <c r="AW199" s="108">
        <f t="shared" si="178"/>
        <v>0</v>
      </c>
      <c r="AX199" s="108">
        <f t="shared" si="179"/>
        <v>0</v>
      </c>
      <c r="AY199" s="108">
        <f t="shared" si="180"/>
        <v>0</v>
      </c>
      <c r="AZ199" s="108">
        <f t="shared" si="181"/>
        <v>0</v>
      </c>
      <c r="BA199" s="165">
        <f t="shared" si="182"/>
        <v>0</v>
      </c>
      <c r="BB199" s="531"/>
    </row>
    <row r="200" spans="1:54" s="495" customFormat="1" outlineLevel="1" x14ac:dyDescent="0.25">
      <c r="A200" s="445"/>
      <c r="B200" s="623"/>
      <c r="C200" s="310"/>
      <c r="D200" s="604"/>
      <c r="E200" s="604"/>
      <c r="F200" s="604"/>
      <c r="G200" s="604"/>
      <c r="H200" s="618">
        <f>IFERROR(AVERAGE(D200:G200),0)</f>
        <v>0</v>
      </c>
      <c r="I200" s="127">
        <f t="shared" si="165"/>
        <v>0</v>
      </c>
      <c r="J200" s="127">
        <f t="shared" si="166"/>
        <v>0</v>
      </c>
      <c r="K200" s="127">
        <f t="shared" si="166"/>
        <v>0</v>
      </c>
      <c r="L200" s="127">
        <f t="shared" si="166"/>
        <v>0</v>
      </c>
      <c r="M200" s="127">
        <f t="shared" si="166"/>
        <v>0</v>
      </c>
      <c r="N200" s="245" t="str">
        <f>IF(C200="","",C200)</f>
        <v/>
      </c>
      <c r="O200" s="748"/>
      <c r="P200" s="757">
        <f t="shared" si="167"/>
        <v>0</v>
      </c>
      <c r="Q200" s="129">
        <f t="shared" si="168"/>
        <v>0</v>
      </c>
      <c r="R200" s="129">
        <f t="shared" si="169"/>
        <v>0</v>
      </c>
      <c r="S200" s="129">
        <f t="shared" si="170"/>
        <v>0</v>
      </c>
      <c r="T200" s="129">
        <f t="shared" si="171"/>
        <v>0</v>
      </c>
      <c r="U200" s="129">
        <f t="shared" si="172"/>
        <v>0</v>
      </c>
      <c r="V200" s="209">
        <f t="shared" si="173"/>
        <v>0</v>
      </c>
      <c r="W200" s="621"/>
      <c r="X200" s="222"/>
      <c r="Y200" s="325"/>
      <c r="Z200" s="774">
        <f t="shared" si="174"/>
        <v>0</v>
      </c>
      <c r="AA200" s="103">
        <f>IF(Y200&gt;0,PRODUCT(I200,$Y200),0)</f>
        <v>0</v>
      </c>
      <c r="AB200" s="103">
        <f t="shared" ref="AB200:AE203" si="187">IF(AA200&gt;0,PRODUCT(J200,$Y200),0)</f>
        <v>0</v>
      </c>
      <c r="AC200" s="103">
        <f t="shared" si="187"/>
        <v>0</v>
      </c>
      <c r="AD200" s="103">
        <f t="shared" si="187"/>
        <v>0</v>
      </c>
      <c r="AE200" s="103">
        <f t="shared" si="187"/>
        <v>0</v>
      </c>
      <c r="AF200" s="123">
        <f t="shared" si="175"/>
        <v>0</v>
      </c>
      <c r="AG200" s="743"/>
      <c r="AH200" s="362"/>
      <c r="AI200" s="221"/>
      <c r="AJ200" s="886"/>
      <c r="AK200" s="896">
        <f t="shared" si="176"/>
        <v>0</v>
      </c>
      <c r="AL200" s="105" cm="1">
        <f t="array" ref="AL200">_xlfn.IFS($AJ200="NO CHARGE",0,$AJ200="INCLUDED",0,$AJ200=0,0,$AJ200&gt;0,PRODUCT(I200,$AJ200))</f>
        <v>0</v>
      </c>
      <c r="AM200" s="105" cm="1">
        <f t="array" ref="AM200">_xlfn.IFS($AJ200="NO CHARGE",0,$AJ200="INCLUDED",0,$AJ200=0,0,$AJ200&gt;0,PRODUCT(J200,$AJ200))</f>
        <v>0</v>
      </c>
      <c r="AN200" s="105" cm="1">
        <f t="array" ref="AN200">_xlfn.IFS($AJ200="NO CHARGE",0,$AJ200="INCLUDED",0,$AJ200=0,0,$AJ200&gt;0,PRODUCT(K200,$AJ200))</f>
        <v>0</v>
      </c>
      <c r="AO200" s="105" cm="1">
        <f t="array" ref="AO200">_xlfn.IFS($AJ200="NO CHARGE",0,$AJ200="INCLUDED",0,$AJ200=0,0,$AJ200&gt;0,PRODUCT(L200,$AJ200))</f>
        <v>0</v>
      </c>
      <c r="AP200" s="105" cm="1">
        <f t="array" ref="AP200">_xlfn.IFS($AJ200="NO CHARGE",0,$AJ200="INCLUDED",0,$AJ200=0,0,$AJ200&gt;0,PRODUCT(M200,$AJ200))</f>
        <v>0</v>
      </c>
      <c r="AQ200" s="158">
        <f t="shared" si="186"/>
        <v>0</v>
      </c>
      <c r="AR200" s="875"/>
      <c r="AS200" s="473"/>
      <c r="AT200" s="106"/>
      <c r="AU200" s="107"/>
      <c r="AV200" s="108">
        <f t="shared" si="177"/>
        <v>0</v>
      </c>
      <c r="AW200" s="108">
        <f t="shared" si="178"/>
        <v>0</v>
      </c>
      <c r="AX200" s="108">
        <f t="shared" si="179"/>
        <v>0</v>
      </c>
      <c r="AY200" s="108">
        <f t="shared" si="180"/>
        <v>0</v>
      </c>
      <c r="AZ200" s="108">
        <f t="shared" si="181"/>
        <v>0</v>
      </c>
      <c r="BA200" s="165">
        <f t="shared" si="182"/>
        <v>0</v>
      </c>
      <c r="BB200" s="531"/>
    </row>
    <row r="201" spans="1:54" s="495" customFormat="1" outlineLevel="1" x14ac:dyDescent="0.25">
      <c r="A201" s="787"/>
      <c r="B201" s="623" t="s">
        <v>252</v>
      </c>
      <c r="C201" s="310" t="s">
        <v>253</v>
      </c>
      <c r="D201" s="604">
        <v>239715</v>
      </c>
      <c r="E201" s="604">
        <v>224433</v>
      </c>
      <c r="F201" s="604">
        <v>232687</v>
      </c>
      <c r="G201" s="604"/>
      <c r="H201" s="618">
        <f>IFERROR(AVERAGE(D201:G201),0)</f>
        <v>232278.33333333334</v>
      </c>
      <c r="I201" s="127">
        <f t="shared" si="165"/>
        <v>2787340</v>
      </c>
      <c r="J201" s="127">
        <f t="shared" si="166"/>
        <v>2926707</v>
      </c>
      <c r="K201" s="127">
        <f t="shared" si="166"/>
        <v>3073042.35</v>
      </c>
      <c r="L201" s="127">
        <f t="shared" si="166"/>
        <v>3226694.4675000003</v>
      </c>
      <c r="M201" s="127">
        <f t="shared" si="166"/>
        <v>3388029.1908750003</v>
      </c>
      <c r="N201" s="245" t="str">
        <f>IF(C201="","",C201)</f>
        <v>Outgoing Image Item Presentment - Non-Endpoint</v>
      </c>
      <c r="O201" s="748">
        <v>9.0101000000000001E-3</v>
      </c>
      <c r="P201" s="757">
        <f t="shared" si="167"/>
        <v>2092.8510111666669</v>
      </c>
      <c r="Q201" s="129">
        <f t="shared" si="168"/>
        <v>25114.212134000001</v>
      </c>
      <c r="R201" s="129">
        <f t="shared" si="169"/>
        <v>26369.9227407</v>
      </c>
      <c r="S201" s="129">
        <f t="shared" si="170"/>
        <v>27688.418877735003</v>
      </c>
      <c r="T201" s="129">
        <f t="shared" si="171"/>
        <v>29072.839821621754</v>
      </c>
      <c r="U201" s="129">
        <f t="shared" si="172"/>
        <v>30526.481812702841</v>
      </c>
      <c r="V201" s="209">
        <f t="shared" si="173"/>
        <v>138771.87538675961</v>
      </c>
      <c r="W201" s="621"/>
      <c r="X201" s="222" t="s">
        <v>239</v>
      </c>
      <c r="Y201" s="325"/>
      <c r="Z201" s="774">
        <f t="shared" si="174"/>
        <v>0</v>
      </c>
      <c r="AA201" s="103">
        <f>IF(Y201&gt;0,PRODUCT(I201,$Y201),0)</f>
        <v>0</v>
      </c>
      <c r="AB201" s="103">
        <f t="shared" si="187"/>
        <v>0</v>
      </c>
      <c r="AC201" s="103">
        <f t="shared" si="187"/>
        <v>0</v>
      </c>
      <c r="AD201" s="103">
        <f t="shared" si="187"/>
        <v>0</v>
      </c>
      <c r="AE201" s="103">
        <f t="shared" si="187"/>
        <v>0</v>
      </c>
      <c r="AF201" s="123">
        <f t="shared" si="175"/>
        <v>0</v>
      </c>
      <c r="AG201" s="743"/>
      <c r="AH201" s="362"/>
      <c r="AI201" s="221" t="str">
        <f t="shared" ref="AI201:AI207" si="188">C201</f>
        <v>Outgoing Image Item Presentment - Non-Endpoint</v>
      </c>
      <c r="AJ201" s="886"/>
      <c r="AK201" s="896">
        <f t="shared" si="176"/>
        <v>0</v>
      </c>
      <c r="AL201" s="105" cm="1">
        <f t="array" ref="AL201">_xlfn.IFS($AJ201="NO CHARGE",0,$AJ201="INCLUDED",0,$AJ201=0,0,$AJ201&gt;0,PRODUCT(I201,$AJ201))</f>
        <v>0</v>
      </c>
      <c r="AM201" s="105" cm="1">
        <f t="array" ref="AM201">_xlfn.IFS($AJ201="NO CHARGE",0,$AJ201="INCLUDED",0,$AJ201=0,0,$AJ201&gt;0,PRODUCT(J201,$AJ201))</f>
        <v>0</v>
      </c>
      <c r="AN201" s="105" cm="1">
        <f t="array" ref="AN201">_xlfn.IFS($AJ201="NO CHARGE",0,$AJ201="INCLUDED",0,$AJ201=0,0,$AJ201&gt;0,PRODUCT(K201,$AJ201))</f>
        <v>0</v>
      </c>
      <c r="AO201" s="105" cm="1">
        <f t="array" ref="AO201">_xlfn.IFS($AJ201="NO CHARGE",0,$AJ201="INCLUDED",0,$AJ201=0,0,$AJ201&gt;0,PRODUCT(L201,$AJ201))</f>
        <v>0</v>
      </c>
      <c r="AP201" s="105" cm="1">
        <f t="array" ref="AP201">_xlfn.IFS($AJ201="NO CHARGE",0,$AJ201="INCLUDED",0,$AJ201=0,0,$AJ201&gt;0,PRODUCT(M201,$AJ201))</f>
        <v>0</v>
      </c>
      <c r="AQ201" s="158">
        <f t="shared" si="186"/>
        <v>0</v>
      </c>
      <c r="AR201" s="875"/>
      <c r="AS201" s="473"/>
      <c r="AT201" s="106"/>
      <c r="AU201" s="107"/>
      <c r="AV201" s="108">
        <f t="shared" si="177"/>
        <v>0</v>
      </c>
      <c r="AW201" s="108">
        <f t="shared" si="178"/>
        <v>0</v>
      </c>
      <c r="AX201" s="108">
        <f t="shared" si="179"/>
        <v>0</v>
      </c>
      <c r="AY201" s="108">
        <f t="shared" si="180"/>
        <v>0</v>
      </c>
      <c r="AZ201" s="108">
        <f t="shared" si="181"/>
        <v>0</v>
      </c>
      <c r="BA201" s="165">
        <f t="shared" si="182"/>
        <v>0</v>
      </c>
      <c r="BB201" s="531"/>
    </row>
    <row r="202" spans="1:54" s="495" customFormat="1" outlineLevel="1" x14ac:dyDescent="0.25">
      <c r="A202" s="787"/>
      <c r="B202" s="623" t="s">
        <v>252</v>
      </c>
      <c r="C202" s="310" t="s">
        <v>254</v>
      </c>
      <c r="D202" s="604">
        <v>43764</v>
      </c>
      <c r="E202" s="604">
        <v>40060</v>
      </c>
      <c r="F202" s="604">
        <v>41640</v>
      </c>
      <c r="G202" s="604"/>
      <c r="H202" s="618">
        <f>IFERROR(AVERAGE(D202:G202),0)</f>
        <v>41821.333333333336</v>
      </c>
      <c r="I202" s="127">
        <f t="shared" si="165"/>
        <v>501856</v>
      </c>
      <c r="J202" s="127">
        <f t="shared" si="166"/>
        <v>526948.80000000005</v>
      </c>
      <c r="K202" s="127">
        <f t="shared" si="166"/>
        <v>553296.24</v>
      </c>
      <c r="L202" s="127">
        <f t="shared" si="166"/>
        <v>580961.05200000003</v>
      </c>
      <c r="M202" s="127">
        <f t="shared" si="166"/>
        <v>610009.10460000008</v>
      </c>
      <c r="N202" s="245" t="str">
        <f>IF(C202="","",C202)</f>
        <v>Incoming Image Item Presentment - Non-Endpoint</v>
      </c>
      <c r="O202" s="748">
        <v>6.1945000000000004E-3</v>
      </c>
      <c r="P202" s="757">
        <f t="shared" si="167"/>
        <v>259.06224933333334</v>
      </c>
      <c r="Q202" s="129">
        <f t="shared" si="168"/>
        <v>3108.7469920000003</v>
      </c>
      <c r="R202" s="129">
        <f t="shared" si="169"/>
        <v>3264.1843416000006</v>
      </c>
      <c r="S202" s="129">
        <f t="shared" si="170"/>
        <v>3427.3935586800003</v>
      </c>
      <c r="T202" s="129">
        <f t="shared" si="171"/>
        <v>3598.7632366140006</v>
      </c>
      <c r="U202" s="129">
        <f t="shared" si="172"/>
        <v>3778.7013984447008</v>
      </c>
      <c r="V202" s="209">
        <f t="shared" si="173"/>
        <v>17177.789527338704</v>
      </c>
      <c r="W202" s="621"/>
      <c r="X202" s="222" t="s">
        <v>239</v>
      </c>
      <c r="Y202" s="325"/>
      <c r="Z202" s="774">
        <f t="shared" si="174"/>
        <v>0</v>
      </c>
      <c r="AA202" s="103">
        <f>IF(Y202&gt;0,PRODUCT(I202,$Y202),0)</f>
        <v>0</v>
      </c>
      <c r="AB202" s="103">
        <f t="shared" si="187"/>
        <v>0</v>
      </c>
      <c r="AC202" s="103">
        <f t="shared" si="187"/>
        <v>0</v>
      </c>
      <c r="AD202" s="103">
        <f t="shared" si="187"/>
        <v>0</v>
      </c>
      <c r="AE202" s="103">
        <f t="shared" si="187"/>
        <v>0</v>
      </c>
      <c r="AF202" s="123">
        <f t="shared" si="175"/>
        <v>0</v>
      </c>
      <c r="AG202" s="743"/>
      <c r="AH202" s="362"/>
      <c r="AI202" s="221" t="str">
        <f t="shared" si="188"/>
        <v>Incoming Image Item Presentment - Non-Endpoint</v>
      </c>
      <c r="AJ202" s="886"/>
      <c r="AK202" s="896">
        <f t="shared" si="176"/>
        <v>0</v>
      </c>
      <c r="AL202" s="105" cm="1">
        <f t="array" ref="AL202">_xlfn.IFS($AJ202="NO CHARGE",0,$AJ202="INCLUDED",0,$AJ202=0,0,$AJ202&gt;0,PRODUCT(I202,$AJ202))</f>
        <v>0</v>
      </c>
      <c r="AM202" s="105" cm="1">
        <f t="array" ref="AM202">_xlfn.IFS($AJ202="NO CHARGE",0,$AJ202="INCLUDED",0,$AJ202=0,0,$AJ202&gt;0,PRODUCT(J202,$AJ202))</f>
        <v>0</v>
      </c>
      <c r="AN202" s="105" cm="1">
        <f t="array" ref="AN202">_xlfn.IFS($AJ202="NO CHARGE",0,$AJ202="INCLUDED",0,$AJ202=0,0,$AJ202&gt;0,PRODUCT(K202,$AJ202))</f>
        <v>0</v>
      </c>
      <c r="AO202" s="105" cm="1">
        <f t="array" ref="AO202">_xlfn.IFS($AJ202="NO CHARGE",0,$AJ202="INCLUDED",0,$AJ202=0,0,$AJ202&gt;0,PRODUCT(L202,$AJ202))</f>
        <v>0</v>
      </c>
      <c r="AP202" s="105" cm="1">
        <f t="array" ref="AP202">_xlfn.IFS($AJ202="NO CHARGE",0,$AJ202="INCLUDED",0,$AJ202=0,0,$AJ202&gt;0,PRODUCT(M202,$AJ202))</f>
        <v>0</v>
      </c>
      <c r="AQ202" s="158">
        <f t="shared" si="186"/>
        <v>0</v>
      </c>
      <c r="AR202" s="875"/>
      <c r="AS202" s="473"/>
      <c r="AT202" s="106"/>
      <c r="AU202" s="107"/>
      <c r="AV202" s="108">
        <f t="shared" si="177"/>
        <v>0</v>
      </c>
      <c r="AW202" s="108">
        <f t="shared" si="178"/>
        <v>0</v>
      </c>
      <c r="AX202" s="108">
        <f t="shared" si="179"/>
        <v>0</v>
      </c>
      <c r="AY202" s="108">
        <f t="shared" si="180"/>
        <v>0</v>
      </c>
      <c r="AZ202" s="108">
        <f t="shared" si="181"/>
        <v>0</v>
      </c>
      <c r="BA202" s="165">
        <f t="shared" si="182"/>
        <v>0</v>
      </c>
      <c r="BB202" s="531"/>
    </row>
    <row r="203" spans="1:54" s="495" customFormat="1" outlineLevel="1" x14ac:dyDescent="0.25">
      <c r="A203" s="787"/>
      <c r="B203" s="623" t="s">
        <v>252</v>
      </c>
      <c r="C203" s="310" t="s">
        <v>255</v>
      </c>
      <c r="D203" s="604">
        <v>6340</v>
      </c>
      <c r="E203" s="604">
        <v>5516</v>
      </c>
      <c r="F203" s="604">
        <v>5955</v>
      </c>
      <c r="G203" s="604"/>
      <c r="H203" s="618">
        <f>IFERROR(AVERAGE(D203:G203),0)</f>
        <v>5937</v>
      </c>
      <c r="I203" s="127">
        <f t="shared" si="165"/>
        <v>71244</v>
      </c>
      <c r="J203" s="127">
        <f t="shared" si="166"/>
        <v>74806.2</v>
      </c>
      <c r="K203" s="127">
        <f t="shared" si="166"/>
        <v>78546.509999999995</v>
      </c>
      <c r="L203" s="127">
        <f t="shared" si="166"/>
        <v>82473.835500000001</v>
      </c>
      <c r="M203" s="127">
        <f t="shared" si="166"/>
        <v>86597.527275</v>
      </c>
      <c r="N203" s="245" t="str">
        <f>IF(C203="","",C203)</f>
        <v>Incoming Image Item Presentment - 3rd Party Remote Capture</v>
      </c>
      <c r="O203" s="748">
        <v>1.3646800000000001E-2</v>
      </c>
      <c r="P203" s="757">
        <f t="shared" si="167"/>
        <v>81.021051600000007</v>
      </c>
      <c r="Q203" s="129">
        <f t="shared" si="168"/>
        <v>972.25261920000003</v>
      </c>
      <c r="R203" s="129">
        <f t="shared" si="169"/>
        <v>1020.86525016</v>
      </c>
      <c r="S203" s="129">
        <f t="shared" si="170"/>
        <v>1071.908512668</v>
      </c>
      <c r="T203" s="129">
        <f t="shared" si="171"/>
        <v>1125.5039383014</v>
      </c>
      <c r="U203" s="129">
        <f t="shared" si="172"/>
        <v>1181.77913521647</v>
      </c>
      <c r="V203" s="209">
        <f t="shared" si="173"/>
        <v>5372.3094555458702</v>
      </c>
      <c r="W203" s="621"/>
      <c r="X203" s="222" t="s">
        <v>239</v>
      </c>
      <c r="Y203" s="325"/>
      <c r="Z203" s="774">
        <f t="shared" si="174"/>
        <v>0</v>
      </c>
      <c r="AA203" s="103">
        <f>IF(Y203&gt;0,PRODUCT(I203,$Y203),0)</f>
        <v>0</v>
      </c>
      <c r="AB203" s="103">
        <f t="shared" si="187"/>
        <v>0</v>
      </c>
      <c r="AC203" s="103">
        <f t="shared" si="187"/>
        <v>0</v>
      </c>
      <c r="AD203" s="103">
        <f t="shared" si="187"/>
        <v>0</v>
      </c>
      <c r="AE203" s="103">
        <f t="shared" si="187"/>
        <v>0</v>
      </c>
      <c r="AF203" s="123">
        <f t="shared" si="175"/>
        <v>0</v>
      </c>
      <c r="AG203" s="743"/>
      <c r="AH203" s="362"/>
      <c r="AI203" s="221" t="str">
        <f t="shared" si="188"/>
        <v>Incoming Image Item Presentment - 3rd Party Remote Capture</v>
      </c>
      <c r="AJ203" s="886"/>
      <c r="AK203" s="896">
        <f t="shared" si="176"/>
        <v>0</v>
      </c>
      <c r="AL203" s="105" cm="1">
        <f t="array" ref="AL203">_xlfn.IFS($AJ203="NO CHARGE",0,$AJ203="INCLUDED",0,$AJ203=0,0,$AJ203&gt;0,PRODUCT(I203,$AJ203))</f>
        <v>0</v>
      </c>
      <c r="AM203" s="105" cm="1">
        <f t="array" ref="AM203">_xlfn.IFS($AJ203="NO CHARGE",0,$AJ203="INCLUDED",0,$AJ203=0,0,$AJ203&gt;0,PRODUCT(J203,$AJ203))</f>
        <v>0</v>
      </c>
      <c r="AN203" s="105" cm="1">
        <f t="array" ref="AN203">_xlfn.IFS($AJ203="NO CHARGE",0,$AJ203="INCLUDED",0,$AJ203=0,0,$AJ203&gt;0,PRODUCT(K203,$AJ203))</f>
        <v>0</v>
      </c>
      <c r="AO203" s="105" cm="1">
        <f t="array" ref="AO203">_xlfn.IFS($AJ203="NO CHARGE",0,$AJ203="INCLUDED",0,$AJ203=0,0,$AJ203&gt;0,PRODUCT(L203,$AJ203))</f>
        <v>0</v>
      </c>
      <c r="AP203" s="105" cm="1">
        <f t="array" ref="AP203">_xlfn.IFS($AJ203="NO CHARGE",0,$AJ203="INCLUDED",0,$AJ203=0,0,$AJ203&gt;0,PRODUCT(M203,$AJ203))</f>
        <v>0</v>
      </c>
      <c r="AQ203" s="158">
        <f t="shared" si="186"/>
        <v>0</v>
      </c>
      <c r="AR203" s="875"/>
      <c r="AS203" s="473"/>
      <c r="AT203" s="106"/>
      <c r="AU203" s="107"/>
      <c r="AV203" s="108">
        <f t="shared" si="177"/>
        <v>0</v>
      </c>
      <c r="AW203" s="108">
        <f t="shared" si="178"/>
        <v>0</v>
      </c>
      <c r="AX203" s="108">
        <f t="shared" si="179"/>
        <v>0</v>
      </c>
      <c r="AY203" s="108">
        <f t="shared" si="180"/>
        <v>0</v>
      </c>
      <c r="AZ203" s="108">
        <f t="shared" si="181"/>
        <v>0</v>
      </c>
      <c r="BA203" s="165">
        <f t="shared" si="182"/>
        <v>0</v>
      </c>
      <c r="BB203" s="531"/>
    </row>
    <row r="204" spans="1:54" s="495" customFormat="1" outlineLevel="1" x14ac:dyDescent="0.25">
      <c r="A204" s="700"/>
      <c r="B204" s="623" t="s">
        <v>252</v>
      </c>
      <c r="C204" s="310" t="s">
        <v>253</v>
      </c>
      <c r="D204" s="604"/>
      <c r="E204" s="604"/>
      <c r="F204" s="604"/>
      <c r="G204" s="604"/>
      <c r="H204" s="618">
        <f>H201</f>
        <v>232278.33333333334</v>
      </c>
      <c r="I204" s="127">
        <f t="shared" si="165"/>
        <v>2787340</v>
      </c>
      <c r="J204" s="127">
        <f t="shared" si="166"/>
        <v>2926707</v>
      </c>
      <c r="K204" s="127">
        <f t="shared" si="166"/>
        <v>3073042.35</v>
      </c>
      <c r="L204" s="127">
        <f t="shared" si="166"/>
        <v>3226694.4675000003</v>
      </c>
      <c r="M204" s="127">
        <f t="shared" si="166"/>
        <v>3388029.1908750003</v>
      </c>
      <c r="N204" s="245"/>
      <c r="O204" s="748"/>
      <c r="P204" s="757">
        <f t="shared" si="167"/>
        <v>0</v>
      </c>
      <c r="Q204" s="129">
        <f t="shared" si="168"/>
        <v>0</v>
      </c>
      <c r="R204" s="129">
        <f t="shared" si="169"/>
        <v>0</v>
      </c>
      <c r="S204" s="129">
        <f t="shared" si="170"/>
        <v>0</v>
      </c>
      <c r="T204" s="129">
        <f t="shared" si="171"/>
        <v>0</v>
      </c>
      <c r="U204" s="129">
        <f t="shared" si="172"/>
        <v>0</v>
      </c>
      <c r="V204" s="209">
        <f t="shared" si="173"/>
        <v>0</v>
      </c>
      <c r="W204" s="621"/>
      <c r="X204" s="222" t="str">
        <f>C204</f>
        <v>Outgoing Image Item Presentment - Non-Endpoint</v>
      </c>
      <c r="Y204" s="733" t="s">
        <v>77</v>
      </c>
      <c r="Z204" s="774">
        <f t="shared" si="174"/>
        <v>0</v>
      </c>
      <c r="AA204" s="103" cm="1">
        <f t="array" ref="AA204">_xlfn.IFS($Y204="INCLUDED",0, $Y204="NO CHARGE",0,$Y204&gt;0,$Y204*I204, $Y204="",0)</f>
        <v>0</v>
      </c>
      <c r="AB204" s="103" cm="1">
        <f t="array" ref="AB204">_xlfn.IFS($Y204="INCLUDED",0, $Y204="NO CHARGE",0,$Y204&gt;0,$Y204*J204, $Y204="",0)</f>
        <v>0</v>
      </c>
      <c r="AC204" s="103" cm="1">
        <f t="array" ref="AC204">_xlfn.IFS($Y204="INCLUDED",0, $Y204="NO CHARGE",0,$Y204&gt;0,$Y204*K204, $Y204="",0)</f>
        <v>0</v>
      </c>
      <c r="AD204" s="103" cm="1">
        <f t="array" ref="AD204">_xlfn.IFS($Y204="INCLUDED",0, $Y204="NO CHARGE",0,$Y204&gt;0,$Y204*L204, $Y204="",0)</f>
        <v>0</v>
      </c>
      <c r="AE204" s="103" cm="1">
        <f t="array" ref="AE204">_xlfn.IFS($Y204="INCLUDED",0, $Y204="NO CHARGE",0,$Y204&gt;0,$Y204*M204, $Y204="",0)</f>
        <v>0</v>
      </c>
      <c r="AF204" s="123">
        <f t="shared" si="175"/>
        <v>0</v>
      </c>
      <c r="AG204" s="743"/>
      <c r="AH204" s="362"/>
      <c r="AI204" s="221" t="str">
        <f t="shared" si="188"/>
        <v>Outgoing Image Item Presentment - Non-Endpoint</v>
      </c>
      <c r="AJ204" s="886" t="s">
        <v>77</v>
      </c>
      <c r="AK204" s="896">
        <f t="shared" si="176"/>
        <v>0</v>
      </c>
      <c r="AL204" s="105" cm="1">
        <f t="array" ref="AL204">_xlfn.IFS($AJ204="NO CHARGE",0,$AJ204="INCLUDED",0,$AJ204=0,0,$AJ204&gt;0,PRODUCT(I204,$AJ204))</f>
        <v>0</v>
      </c>
      <c r="AM204" s="105" cm="1">
        <f t="array" ref="AM204">_xlfn.IFS($AJ204="NO CHARGE",0,$AJ204="INCLUDED",0,$AJ204=0,0,$AJ204&gt;0,PRODUCT(J204,$AJ204))</f>
        <v>0</v>
      </c>
      <c r="AN204" s="105" cm="1">
        <f t="array" ref="AN204">_xlfn.IFS($AJ204="NO CHARGE",0,$AJ204="INCLUDED",0,$AJ204=0,0,$AJ204&gt;0,PRODUCT(K204,$AJ204))</f>
        <v>0</v>
      </c>
      <c r="AO204" s="105" cm="1">
        <f t="array" ref="AO204">_xlfn.IFS($AJ204="NO CHARGE",0,$AJ204="INCLUDED",0,$AJ204=0,0,$AJ204&gt;0,PRODUCT(L204,$AJ204))</f>
        <v>0</v>
      </c>
      <c r="AP204" s="105" cm="1">
        <f t="array" ref="AP204">_xlfn.IFS($AJ204="NO CHARGE",0,$AJ204="INCLUDED",0,$AJ204=0,0,$AJ204&gt;0,PRODUCT(M204,$AJ204))</f>
        <v>0</v>
      </c>
      <c r="AQ204" s="158">
        <f t="shared" si="186"/>
        <v>0</v>
      </c>
      <c r="AR204" s="875"/>
      <c r="AS204" s="473"/>
      <c r="AT204" s="106"/>
      <c r="AU204" s="107"/>
      <c r="AV204" s="108">
        <f t="shared" si="177"/>
        <v>0</v>
      </c>
      <c r="AW204" s="108">
        <f t="shared" si="178"/>
        <v>0</v>
      </c>
      <c r="AX204" s="108">
        <f t="shared" si="179"/>
        <v>0</v>
      </c>
      <c r="AY204" s="108">
        <f t="shared" si="180"/>
        <v>0</v>
      </c>
      <c r="AZ204" s="108">
        <f t="shared" si="181"/>
        <v>0</v>
      </c>
      <c r="BA204" s="165">
        <f t="shared" si="182"/>
        <v>0</v>
      </c>
      <c r="BB204" s="531"/>
    </row>
    <row r="205" spans="1:54" s="495" customFormat="1" outlineLevel="1" x14ac:dyDescent="0.25">
      <c r="A205" s="700"/>
      <c r="B205" s="623" t="s">
        <v>252</v>
      </c>
      <c r="C205" s="310" t="s">
        <v>254</v>
      </c>
      <c r="D205" s="604"/>
      <c r="E205" s="604"/>
      <c r="F205" s="604"/>
      <c r="G205" s="604"/>
      <c r="H205" s="618">
        <f>H202</f>
        <v>41821.333333333336</v>
      </c>
      <c r="I205" s="127">
        <f t="shared" si="165"/>
        <v>501856</v>
      </c>
      <c r="J205" s="127">
        <f t="shared" si="166"/>
        <v>526948.80000000005</v>
      </c>
      <c r="K205" s="127">
        <f t="shared" si="166"/>
        <v>553296.24</v>
      </c>
      <c r="L205" s="127">
        <f t="shared" si="166"/>
        <v>580961.05200000003</v>
      </c>
      <c r="M205" s="127">
        <f t="shared" si="166"/>
        <v>610009.10460000008</v>
      </c>
      <c r="N205" s="245"/>
      <c r="O205" s="748"/>
      <c r="P205" s="757">
        <f t="shared" si="167"/>
        <v>0</v>
      </c>
      <c r="Q205" s="129">
        <f t="shared" si="168"/>
        <v>0</v>
      </c>
      <c r="R205" s="129">
        <f t="shared" si="169"/>
        <v>0</v>
      </c>
      <c r="S205" s="129">
        <f t="shared" si="170"/>
        <v>0</v>
      </c>
      <c r="T205" s="129">
        <f t="shared" si="171"/>
        <v>0</v>
      </c>
      <c r="U205" s="129">
        <f t="shared" si="172"/>
        <v>0</v>
      </c>
      <c r="V205" s="209">
        <f t="shared" si="173"/>
        <v>0</v>
      </c>
      <c r="W205" s="621"/>
      <c r="X205" s="222" t="str">
        <f>C205</f>
        <v>Incoming Image Item Presentment - Non-Endpoint</v>
      </c>
      <c r="Y205" s="733" t="s">
        <v>77</v>
      </c>
      <c r="Z205" s="774">
        <f t="shared" si="174"/>
        <v>0</v>
      </c>
      <c r="AA205" s="103" cm="1">
        <f t="array" ref="AA205">_xlfn.IFS($Y205="INCLUDED",0, $Y205="NO CHARGE",0,$Y205&gt;0,$Y205*I205, $Y205="",0)</f>
        <v>0</v>
      </c>
      <c r="AB205" s="103" cm="1">
        <f t="array" ref="AB205">_xlfn.IFS($Y205="INCLUDED",0, $Y205="NO CHARGE",0,$Y205&gt;0,$Y205*J205, $Y205="",0)</f>
        <v>0</v>
      </c>
      <c r="AC205" s="103" cm="1">
        <f t="array" ref="AC205">_xlfn.IFS($Y205="INCLUDED",0, $Y205="NO CHARGE",0,$Y205&gt;0,$Y205*K205, $Y205="",0)</f>
        <v>0</v>
      </c>
      <c r="AD205" s="103" cm="1">
        <f t="array" ref="AD205">_xlfn.IFS($Y205="INCLUDED",0, $Y205="NO CHARGE",0,$Y205&gt;0,$Y205*L205, $Y205="",0)</f>
        <v>0</v>
      </c>
      <c r="AE205" s="103" cm="1">
        <f t="array" ref="AE205">_xlfn.IFS($Y205="INCLUDED",0, $Y205="NO CHARGE",0,$Y205&gt;0,$Y205*M205, $Y205="",0)</f>
        <v>0</v>
      </c>
      <c r="AF205" s="123">
        <f t="shared" si="175"/>
        <v>0</v>
      </c>
      <c r="AG205" s="743"/>
      <c r="AH205" s="362"/>
      <c r="AI205" s="221" t="str">
        <f t="shared" si="188"/>
        <v>Incoming Image Item Presentment - Non-Endpoint</v>
      </c>
      <c r="AJ205" s="886" t="s">
        <v>77</v>
      </c>
      <c r="AK205" s="896">
        <f t="shared" si="176"/>
        <v>0</v>
      </c>
      <c r="AL205" s="105" cm="1">
        <f t="array" ref="AL205">_xlfn.IFS($AJ205="NO CHARGE",0,$AJ205="INCLUDED",0,$AJ205=0,0,$AJ205&gt;0,PRODUCT(I205,$AJ205))</f>
        <v>0</v>
      </c>
      <c r="AM205" s="105" cm="1">
        <f t="array" ref="AM205">_xlfn.IFS($AJ205="NO CHARGE",0,$AJ205="INCLUDED",0,$AJ205=0,0,$AJ205&gt;0,PRODUCT(J205,$AJ205))</f>
        <v>0</v>
      </c>
      <c r="AN205" s="105" cm="1">
        <f t="array" ref="AN205">_xlfn.IFS($AJ205="NO CHARGE",0,$AJ205="INCLUDED",0,$AJ205=0,0,$AJ205&gt;0,PRODUCT(K205,$AJ205))</f>
        <v>0</v>
      </c>
      <c r="AO205" s="105" cm="1">
        <f t="array" ref="AO205">_xlfn.IFS($AJ205="NO CHARGE",0,$AJ205="INCLUDED",0,$AJ205=0,0,$AJ205&gt;0,PRODUCT(L205,$AJ205))</f>
        <v>0</v>
      </c>
      <c r="AP205" s="105" cm="1">
        <f t="array" ref="AP205">_xlfn.IFS($AJ205="NO CHARGE",0,$AJ205="INCLUDED",0,$AJ205=0,0,$AJ205&gt;0,PRODUCT(M205,$AJ205))</f>
        <v>0</v>
      </c>
      <c r="AQ205" s="158">
        <f t="shared" si="186"/>
        <v>0</v>
      </c>
      <c r="AR205" s="875"/>
      <c r="AS205" s="473"/>
      <c r="AT205" s="106"/>
      <c r="AU205" s="107"/>
      <c r="AV205" s="108">
        <f t="shared" si="177"/>
        <v>0</v>
      </c>
      <c r="AW205" s="108">
        <f t="shared" si="178"/>
        <v>0</v>
      </c>
      <c r="AX205" s="108">
        <f t="shared" si="179"/>
        <v>0</v>
      </c>
      <c r="AY205" s="108">
        <f t="shared" si="180"/>
        <v>0</v>
      </c>
      <c r="AZ205" s="108">
        <f t="shared" si="181"/>
        <v>0</v>
      </c>
      <c r="BA205" s="165">
        <f t="shared" si="182"/>
        <v>0</v>
      </c>
      <c r="BB205" s="531"/>
    </row>
    <row r="206" spans="1:54" s="495" customFormat="1" outlineLevel="1" x14ac:dyDescent="0.25">
      <c r="A206" s="700"/>
      <c r="B206" s="623" t="s">
        <v>252</v>
      </c>
      <c r="C206" s="310" t="s">
        <v>256</v>
      </c>
      <c r="D206" s="604"/>
      <c r="E206" s="604"/>
      <c r="F206" s="604"/>
      <c r="G206" s="604"/>
      <c r="H206" s="618">
        <f>H203</f>
        <v>5937</v>
      </c>
      <c r="I206" s="127">
        <f t="shared" si="165"/>
        <v>71244</v>
      </c>
      <c r="J206" s="127">
        <f t="shared" si="166"/>
        <v>74806.2</v>
      </c>
      <c r="K206" s="127">
        <f t="shared" si="166"/>
        <v>78546.509999999995</v>
      </c>
      <c r="L206" s="127">
        <f t="shared" si="166"/>
        <v>82473.835500000001</v>
      </c>
      <c r="M206" s="127">
        <f t="shared" si="166"/>
        <v>86597.527275</v>
      </c>
      <c r="N206" s="245"/>
      <c r="O206" s="748"/>
      <c r="P206" s="757">
        <f t="shared" si="167"/>
        <v>0</v>
      </c>
      <c r="Q206" s="129">
        <f t="shared" si="168"/>
        <v>0</v>
      </c>
      <c r="R206" s="129">
        <f t="shared" si="169"/>
        <v>0</v>
      </c>
      <c r="S206" s="129">
        <f t="shared" si="170"/>
        <v>0</v>
      </c>
      <c r="T206" s="129">
        <f t="shared" si="171"/>
        <v>0</v>
      </c>
      <c r="U206" s="129">
        <f t="shared" si="172"/>
        <v>0</v>
      </c>
      <c r="V206" s="209">
        <f t="shared" si="173"/>
        <v>0</v>
      </c>
      <c r="W206" s="621"/>
      <c r="X206" s="222" t="str">
        <f>C206</f>
        <v xml:space="preserve">Incoming Image Item Presentment from 3rd Party Remote Capture (Merchant, Branch and/or Teller) </v>
      </c>
      <c r="Y206" s="733">
        <v>1.2E-2</v>
      </c>
      <c r="Z206" s="774">
        <f t="shared" si="174"/>
        <v>71.244</v>
      </c>
      <c r="AA206" s="103" cm="1">
        <f t="array" ref="AA206">_xlfn.IFS($Y206="INCLUDED",0, $Y206="NO CHARGE",0,$Y206&gt;0,$Y206*I206, $Y206="",0)</f>
        <v>854.928</v>
      </c>
      <c r="AB206" s="103" cm="1">
        <f t="array" ref="AB206">_xlfn.IFS($Y206="INCLUDED",0, $Y206="NO CHARGE",0,$Y206&gt;0,$Y206*J206, $Y206="",0)</f>
        <v>897.67439999999999</v>
      </c>
      <c r="AC206" s="103" cm="1">
        <f t="array" ref="AC206">_xlfn.IFS($Y206="INCLUDED",0, $Y206="NO CHARGE",0,$Y206&gt;0,$Y206*K206, $Y206="",0)</f>
        <v>942.55811999999992</v>
      </c>
      <c r="AD206" s="103" cm="1">
        <f t="array" ref="AD206">_xlfn.IFS($Y206="INCLUDED",0, $Y206="NO CHARGE",0,$Y206&gt;0,$Y206*L206, $Y206="",0)</f>
        <v>989.68602600000008</v>
      </c>
      <c r="AE206" s="103" cm="1">
        <f t="array" ref="AE206">_xlfn.IFS($Y206="INCLUDED",0, $Y206="NO CHARGE",0,$Y206&gt;0,$Y206*M206, $Y206="",0)</f>
        <v>1039.1703273000001</v>
      </c>
      <c r="AF206" s="123">
        <f t="shared" si="175"/>
        <v>4724.0168733</v>
      </c>
      <c r="AG206" s="743"/>
      <c r="AH206" s="362"/>
      <c r="AI206" s="221" t="str">
        <f t="shared" si="188"/>
        <v xml:space="preserve">Incoming Image Item Presentment from 3rd Party Remote Capture (Merchant, Branch and/or Teller) </v>
      </c>
      <c r="AJ206" s="886">
        <v>1.29E-2</v>
      </c>
      <c r="AK206" s="896">
        <f t="shared" si="176"/>
        <v>76.587299999999999</v>
      </c>
      <c r="AL206" s="105" cm="1">
        <f t="array" ref="AL206">_xlfn.IFS($AJ206="NO CHARGE",0,$AJ206="INCLUDED",0,$AJ206=0,0,$AJ206&gt;0,PRODUCT(I206,$AJ206))</f>
        <v>919.04759999999999</v>
      </c>
      <c r="AM206" s="105" cm="1">
        <f t="array" ref="AM206">_xlfn.IFS($AJ206="NO CHARGE",0,$AJ206="INCLUDED",0,$AJ206=0,0,$AJ206&gt;0,PRODUCT(J206,$AJ206))</f>
        <v>964.99997999999994</v>
      </c>
      <c r="AN206" s="105" cm="1">
        <f t="array" ref="AN206">_xlfn.IFS($AJ206="NO CHARGE",0,$AJ206="INCLUDED",0,$AJ206=0,0,$AJ206&gt;0,PRODUCT(K206,$AJ206))</f>
        <v>1013.2499789999999</v>
      </c>
      <c r="AO206" s="105" cm="1">
        <f t="array" ref="AO206">_xlfn.IFS($AJ206="NO CHARGE",0,$AJ206="INCLUDED",0,$AJ206=0,0,$AJ206&gt;0,PRODUCT(L206,$AJ206))</f>
        <v>1063.91247795</v>
      </c>
      <c r="AP206" s="105" cm="1">
        <f t="array" ref="AP206">_xlfn.IFS($AJ206="NO CHARGE",0,$AJ206="INCLUDED",0,$AJ206=0,0,$AJ206&gt;0,PRODUCT(M206,$AJ206))</f>
        <v>1117.1081018474999</v>
      </c>
      <c r="AQ206" s="158">
        <f t="shared" si="186"/>
        <v>5078.3181387974992</v>
      </c>
      <c r="AR206" s="875"/>
      <c r="AS206" s="473"/>
      <c r="AT206" s="106"/>
      <c r="AU206" s="107"/>
      <c r="AV206" s="108">
        <f t="shared" si="177"/>
        <v>0</v>
      </c>
      <c r="AW206" s="108">
        <f t="shared" si="178"/>
        <v>0</v>
      </c>
      <c r="AX206" s="108">
        <f t="shared" si="179"/>
        <v>0</v>
      </c>
      <c r="AY206" s="108">
        <f t="shared" si="180"/>
        <v>0</v>
      </c>
      <c r="AZ206" s="108">
        <f t="shared" si="181"/>
        <v>0</v>
      </c>
      <c r="BA206" s="165">
        <f t="shared" si="182"/>
        <v>0</v>
      </c>
      <c r="BB206" s="531"/>
    </row>
    <row r="207" spans="1:54" s="495" customFormat="1" outlineLevel="1" x14ac:dyDescent="0.25">
      <c r="A207" s="700"/>
      <c r="B207" s="623" t="s">
        <v>252</v>
      </c>
      <c r="C207" s="310" t="s">
        <v>257</v>
      </c>
      <c r="D207" s="604"/>
      <c r="E207" s="604"/>
      <c r="F207" s="604"/>
      <c r="G207" s="604"/>
      <c r="H207" s="618">
        <f>IFERROR(AVERAGE(D207:G207),0)</f>
        <v>0</v>
      </c>
      <c r="I207" s="127">
        <f t="shared" si="165"/>
        <v>0</v>
      </c>
      <c r="J207" s="127">
        <f t="shared" si="166"/>
        <v>0</v>
      </c>
      <c r="K207" s="127">
        <f t="shared" si="166"/>
        <v>0</v>
      </c>
      <c r="L207" s="127">
        <f t="shared" si="166"/>
        <v>0</v>
      </c>
      <c r="M207" s="127">
        <f t="shared" si="166"/>
        <v>0</v>
      </c>
      <c r="N207" s="245"/>
      <c r="O207" s="748"/>
      <c r="P207" s="757">
        <f t="shared" si="167"/>
        <v>0</v>
      </c>
      <c r="Q207" s="129">
        <f t="shared" si="168"/>
        <v>0</v>
      </c>
      <c r="R207" s="129">
        <f t="shared" si="169"/>
        <v>0</v>
      </c>
      <c r="S207" s="129">
        <f t="shared" si="170"/>
        <v>0</v>
      </c>
      <c r="T207" s="129">
        <f t="shared" si="171"/>
        <v>0</v>
      </c>
      <c r="U207" s="129">
        <f t="shared" si="172"/>
        <v>0</v>
      </c>
      <c r="V207" s="209">
        <f t="shared" si="173"/>
        <v>0</v>
      </c>
      <c r="W207" s="621"/>
      <c r="X207" s="222" t="str">
        <f>C207</f>
        <v>Duplicate Item Assessment - Enterprise (Inclearings and Over-The-Counter - 30 Days)</v>
      </c>
      <c r="Y207" s="733" t="s">
        <v>77</v>
      </c>
      <c r="Z207" s="774">
        <f t="shared" si="174"/>
        <v>0</v>
      </c>
      <c r="AA207" s="103" cm="1">
        <f t="array" ref="AA207">_xlfn.IFS($Y207="INCLUDED",0, $Y207="NO CHARGE",0,$Y207&gt;0,$Y207*I207, $Y207="",0)</f>
        <v>0</v>
      </c>
      <c r="AB207" s="103" cm="1">
        <f t="array" ref="AB207">_xlfn.IFS($Y207="INCLUDED",0, $Y207="NO CHARGE",0,$Y207&gt;0,$Y207*J207, $Y207="",0)</f>
        <v>0</v>
      </c>
      <c r="AC207" s="103" cm="1">
        <f t="array" ref="AC207">_xlfn.IFS($Y207="INCLUDED",0, $Y207="NO CHARGE",0,$Y207&gt;0,$Y207*K207, $Y207="",0)</f>
        <v>0</v>
      </c>
      <c r="AD207" s="103" cm="1">
        <f t="array" ref="AD207">_xlfn.IFS($Y207="INCLUDED",0, $Y207="NO CHARGE",0,$Y207&gt;0,$Y207*L207, $Y207="",0)</f>
        <v>0</v>
      </c>
      <c r="AE207" s="103" cm="1">
        <f t="array" ref="AE207">_xlfn.IFS($Y207="INCLUDED",0, $Y207="NO CHARGE",0,$Y207&gt;0,$Y207*M207, $Y207="",0)</f>
        <v>0</v>
      </c>
      <c r="AF207" s="123">
        <f t="shared" si="175"/>
        <v>0</v>
      </c>
      <c r="AG207" s="743"/>
      <c r="AH207" s="362"/>
      <c r="AI207" s="221" t="str">
        <f t="shared" si="188"/>
        <v>Duplicate Item Assessment - Enterprise (Inclearings and Over-The-Counter - 30 Days)</v>
      </c>
      <c r="AJ207" s="886" t="s">
        <v>77</v>
      </c>
      <c r="AK207" s="896">
        <f t="shared" si="176"/>
        <v>0</v>
      </c>
      <c r="AL207" s="105" cm="1">
        <f t="array" ref="AL207">_xlfn.IFS($AJ207="NO CHARGE",0,$AJ207="INCLUDED",0,$AJ207=0,0,$AJ207&gt;0,PRODUCT(I207,$AJ207))</f>
        <v>0</v>
      </c>
      <c r="AM207" s="105" cm="1">
        <f t="array" ref="AM207">_xlfn.IFS($AJ207="NO CHARGE",0,$AJ207="INCLUDED",0,$AJ207=0,0,$AJ207&gt;0,PRODUCT(J207,$AJ207))</f>
        <v>0</v>
      </c>
      <c r="AN207" s="105" cm="1">
        <f t="array" ref="AN207">_xlfn.IFS($AJ207="NO CHARGE",0,$AJ207="INCLUDED",0,$AJ207=0,0,$AJ207&gt;0,PRODUCT(K207,$AJ207))</f>
        <v>0</v>
      </c>
      <c r="AO207" s="105" cm="1">
        <f t="array" ref="AO207">_xlfn.IFS($AJ207="NO CHARGE",0,$AJ207="INCLUDED",0,$AJ207=0,0,$AJ207&gt;0,PRODUCT(L207,$AJ207))</f>
        <v>0</v>
      </c>
      <c r="AP207" s="105" cm="1">
        <f t="array" ref="AP207">_xlfn.IFS($AJ207="NO CHARGE",0,$AJ207="INCLUDED",0,$AJ207=0,0,$AJ207&gt;0,PRODUCT(M207,$AJ207))</f>
        <v>0</v>
      </c>
      <c r="AQ207" s="158">
        <f t="shared" si="186"/>
        <v>0</v>
      </c>
      <c r="AR207" s="875"/>
      <c r="AS207" s="473"/>
      <c r="AT207" s="106"/>
      <c r="AU207" s="107"/>
      <c r="AV207" s="108">
        <f t="shared" si="177"/>
        <v>0</v>
      </c>
      <c r="AW207" s="108">
        <f t="shared" si="178"/>
        <v>0</v>
      </c>
      <c r="AX207" s="108">
        <f t="shared" si="179"/>
        <v>0</v>
      </c>
      <c r="AY207" s="108">
        <f t="shared" si="180"/>
        <v>0</v>
      </c>
      <c r="AZ207" s="108">
        <f t="shared" si="181"/>
        <v>0</v>
      </c>
      <c r="BA207" s="165">
        <f t="shared" si="182"/>
        <v>0</v>
      </c>
      <c r="BB207" s="531"/>
    </row>
    <row r="208" spans="1:54" s="495" customFormat="1" outlineLevel="1" x14ac:dyDescent="0.25">
      <c r="A208" s="445"/>
      <c r="B208" s="623"/>
      <c r="C208" s="310"/>
      <c r="D208" s="604"/>
      <c r="E208" s="604"/>
      <c r="F208" s="604"/>
      <c r="G208" s="604"/>
      <c r="H208" s="618">
        <f>IFERROR(AVERAGE(D208:G208),0)</f>
        <v>0</v>
      </c>
      <c r="I208" s="127">
        <f t="shared" si="165"/>
        <v>0</v>
      </c>
      <c r="J208" s="127">
        <f t="shared" si="166"/>
        <v>0</v>
      </c>
      <c r="K208" s="127">
        <f t="shared" si="166"/>
        <v>0</v>
      </c>
      <c r="L208" s="127">
        <f t="shared" si="166"/>
        <v>0</v>
      </c>
      <c r="M208" s="127">
        <f t="shared" si="166"/>
        <v>0</v>
      </c>
      <c r="N208" s="245"/>
      <c r="O208" s="748"/>
      <c r="P208" s="757">
        <f t="shared" si="167"/>
        <v>0</v>
      </c>
      <c r="Q208" s="129">
        <f t="shared" si="168"/>
        <v>0</v>
      </c>
      <c r="R208" s="129">
        <f t="shared" si="169"/>
        <v>0</v>
      </c>
      <c r="S208" s="129">
        <f t="shared" si="170"/>
        <v>0</v>
      </c>
      <c r="T208" s="129">
        <f t="shared" si="171"/>
        <v>0</v>
      </c>
      <c r="U208" s="129">
        <f t="shared" si="172"/>
        <v>0</v>
      </c>
      <c r="V208" s="209">
        <f t="shared" si="173"/>
        <v>0</v>
      </c>
      <c r="W208" s="621"/>
      <c r="X208" s="222"/>
      <c r="Y208" s="325"/>
      <c r="Z208" s="774">
        <f t="shared" si="174"/>
        <v>0</v>
      </c>
      <c r="AA208" s="103">
        <f>IF(Y208&gt;0,PRODUCT(I208,$Y208),0)</f>
        <v>0</v>
      </c>
      <c r="AB208" s="103">
        <f>IF(AA208&gt;0,PRODUCT(J208,$Y208),0)</f>
        <v>0</v>
      </c>
      <c r="AC208" s="103">
        <f>IF(AB208&gt;0,PRODUCT(K208,$Y208),0)</f>
        <v>0</v>
      </c>
      <c r="AD208" s="103">
        <f>IF(AC208&gt;0,PRODUCT(L208,$Y208),0)</f>
        <v>0</v>
      </c>
      <c r="AE208" s="103">
        <f>IF(AD208&gt;0,PRODUCT(M208,$Y208),0)</f>
        <v>0</v>
      </c>
      <c r="AF208" s="123">
        <f t="shared" si="175"/>
        <v>0</v>
      </c>
      <c r="AG208" s="743"/>
      <c r="AH208" s="362"/>
      <c r="AI208" s="221"/>
      <c r="AJ208" s="886"/>
      <c r="AK208" s="896">
        <f t="shared" si="176"/>
        <v>0</v>
      </c>
      <c r="AL208" s="105" cm="1">
        <f t="array" ref="AL208">_xlfn.IFS($AJ208="NO CHARGE",0,$AJ208="INCLUDED",0,$AJ208=0,0,$AJ208&gt;0,PRODUCT(I208,$AJ208))</f>
        <v>0</v>
      </c>
      <c r="AM208" s="105" cm="1">
        <f t="array" ref="AM208">_xlfn.IFS($AJ208="NO CHARGE",0,$AJ208="INCLUDED",0,$AJ208=0,0,$AJ208&gt;0,PRODUCT(J208,$AJ208))</f>
        <v>0</v>
      </c>
      <c r="AN208" s="105" cm="1">
        <f t="array" ref="AN208">_xlfn.IFS($AJ208="NO CHARGE",0,$AJ208="INCLUDED",0,$AJ208=0,0,$AJ208&gt;0,PRODUCT(K208,$AJ208))</f>
        <v>0</v>
      </c>
      <c r="AO208" s="105" cm="1">
        <f t="array" ref="AO208">_xlfn.IFS($AJ208="NO CHARGE",0,$AJ208="INCLUDED",0,$AJ208=0,0,$AJ208&gt;0,PRODUCT(L208,$AJ208))</f>
        <v>0</v>
      </c>
      <c r="AP208" s="105" cm="1">
        <f t="array" ref="AP208">_xlfn.IFS($AJ208="NO CHARGE",0,$AJ208="INCLUDED",0,$AJ208=0,0,$AJ208&gt;0,PRODUCT(M208,$AJ208))</f>
        <v>0</v>
      </c>
      <c r="AQ208" s="158">
        <f t="shared" si="186"/>
        <v>0</v>
      </c>
      <c r="AR208" s="875"/>
      <c r="AS208" s="473"/>
      <c r="AT208" s="106"/>
      <c r="AU208" s="107"/>
      <c r="AV208" s="108">
        <f t="shared" si="177"/>
        <v>0</v>
      </c>
      <c r="AW208" s="108">
        <f t="shared" si="178"/>
        <v>0</v>
      </c>
      <c r="AX208" s="108">
        <f t="shared" si="179"/>
        <v>0</v>
      </c>
      <c r="AY208" s="108">
        <f t="shared" si="180"/>
        <v>0</v>
      </c>
      <c r="AZ208" s="108">
        <f t="shared" si="181"/>
        <v>0</v>
      </c>
      <c r="BA208" s="165">
        <f t="shared" si="182"/>
        <v>0</v>
      </c>
      <c r="BB208" s="531"/>
    </row>
    <row r="209" spans="1:54" s="495" customFormat="1" outlineLevel="1" x14ac:dyDescent="0.25">
      <c r="A209" s="787"/>
      <c r="B209" s="623" t="s">
        <v>258</v>
      </c>
      <c r="C209" s="310" t="s">
        <v>259</v>
      </c>
      <c r="D209" s="604">
        <v>1</v>
      </c>
      <c r="E209" s="604">
        <v>1</v>
      </c>
      <c r="F209" s="604">
        <v>1</v>
      </c>
      <c r="G209" s="604"/>
      <c r="H209" s="618">
        <f>IFERROR(AVERAGE(D209:G209),0)</f>
        <v>1</v>
      </c>
      <c r="I209" s="127">
        <f t="shared" si="165"/>
        <v>12</v>
      </c>
      <c r="J209" s="127">
        <f t="shared" si="166"/>
        <v>12</v>
      </c>
      <c r="K209" s="127">
        <f t="shared" si="166"/>
        <v>12</v>
      </c>
      <c r="L209" s="127">
        <f t="shared" si="166"/>
        <v>12</v>
      </c>
      <c r="M209" s="127">
        <f t="shared" si="166"/>
        <v>12</v>
      </c>
      <c r="N209" s="245" t="str">
        <f>IF(C209="","",C209)</f>
        <v>Remote Capture Disaster Recovery Assistance</v>
      </c>
      <c r="O209" s="748">
        <v>197.39964699999999</v>
      </c>
      <c r="P209" s="757">
        <f t="shared" si="167"/>
        <v>197.39964699999999</v>
      </c>
      <c r="Q209" s="129">
        <f t="shared" si="168"/>
        <v>2368.795764</v>
      </c>
      <c r="R209" s="129">
        <f t="shared" si="169"/>
        <v>2368.795764</v>
      </c>
      <c r="S209" s="129">
        <f t="shared" si="170"/>
        <v>2368.795764</v>
      </c>
      <c r="T209" s="129">
        <f t="shared" si="171"/>
        <v>2368.795764</v>
      </c>
      <c r="U209" s="129">
        <f t="shared" si="172"/>
        <v>2368.795764</v>
      </c>
      <c r="V209" s="209">
        <f t="shared" si="173"/>
        <v>11843.97882</v>
      </c>
      <c r="W209" s="621"/>
      <c r="X209" s="222" t="str">
        <f>C209</f>
        <v>Remote Capture Disaster Recovery Assistance</v>
      </c>
      <c r="Y209" s="783" t="s">
        <v>151</v>
      </c>
      <c r="Z209" s="774"/>
      <c r="AA209" s="103"/>
      <c r="AB209" s="103"/>
      <c r="AC209" s="103"/>
      <c r="AD209" s="103"/>
      <c r="AE209" s="103"/>
      <c r="AF209" s="123">
        <f t="shared" si="175"/>
        <v>0</v>
      </c>
      <c r="AG209" s="743"/>
      <c r="AH209" s="362"/>
      <c r="AI209" s="221" t="str">
        <f>C209</f>
        <v>Remote Capture Disaster Recovery Assistance</v>
      </c>
      <c r="AJ209" s="886">
        <v>197.39965000000001</v>
      </c>
      <c r="AK209" s="896"/>
      <c r="AL209" s="105">
        <f>+Q209</f>
        <v>2368.795764</v>
      </c>
      <c r="AM209" s="105">
        <f>+R209</f>
        <v>2368.795764</v>
      </c>
      <c r="AN209" s="105">
        <f>+S209</f>
        <v>2368.795764</v>
      </c>
      <c r="AO209" s="105">
        <f>+T209</f>
        <v>2368.795764</v>
      </c>
      <c r="AP209" s="105">
        <f>+U209</f>
        <v>2368.795764</v>
      </c>
      <c r="AQ209" s="158">
        <f t="shared" si="186"/>
        <v>11843.97882</v>
      </c>
      <c r="AR209" s="875"/>
      <c r="AS209" s="473"/>
      <c r="AT209" s="106"/>
      <c r="AU209" s="107"/>
      <c r="AV209" s="108">
        <f t="shared" si="177"/>
        <v>0</v>
      </c>
      <c r="AW209" s="108">
        <f t="shared" si="178"/>
        <v>0</v>
      </c>
      <c r="AX209" s="108">
        <f t="shared" si="179"/>
        <v>0</v>
      </c>
      <c r="AY209" s="108">
        <f t="shared" si="180"/>
        <v>0</v>
      </c>
      <c r="AZ209" s="108">
        <f t="shared" si="181"/>
        <v>0</v>
      </c>
      <c r="BA209" s="165">
        <f t="shared" si="182"/>
        <v>0</v>
      </c>
      <c r="BB209" s="531"/>
    </row>
    <row r="210" spans="1:54" s="495" customFormat="1" outlineLevel="1" x14ac:dyDescent="0.25">
      <c r="A210" s="445"/>
      <c r="B210" s="623"/>
      <c r="C210" s="310"/>
      <c r="D210" s="604"/>
      <c r="E210" s="604"/>
      <c r="F210" s="604"/>
      <c r="G210" s="604"/>
      <c r="H210" s="618">
        <f>IFERROR(AVERAGE(D210:G210),0)</f>
        <v>0</v>
      </c>
      <c r="I210" s="127">
        <f t="shared" si="165"/>
        <v>0</v>
      </c>
      <c r="J210" s="127">
        <f t="shared" si="166"/>
        <v>0</v>
      </c>
      <c r="K210" s="127">
        <f t="shared" si="166"/>
        <v>0</v>
      </c>
      <c r="L210" s="127">
        <f t="shared" si="166"/>
        <v>0</v>
      </c>
      <c r="M210" s="127">
        <f t="shared" si="166"/>
        <v>0</v>
      </c>
      <c r="N210" s="245" t="str">
        <f>IF(C210="","",C210)</f>
        <v/>
      </c>
      <c r="O210" s="748"/>
      <c r="P210" s="757">
        <f t="shared" si="167"/>
        <v>0</v>
      </c>
      <c r="Q210" s="129">
        <f t="shared" si="168"/>
        <v>0</v>
      </c>
      <c r="R210" s="129">
        <f t="shared" si="169"/>
        <v>0</v>
      </c>
      <c r="S210" s="129">
        <f t="shared" si="170"/>
        <v>0</v>
      </c>
      <c r="T210" s="129">
        <f t="shared" si="171"/>
        <v>0</v>
      </c>
      <c r="U210" s="129">
        <f t="shared" si="172"/>
        <v>0</v>
      </c>
      <c r="V210" s="209">
        <f t="shared" si="173"/>
        <v>0</v>
      </c>
      <c r="W210" s="621"/>
      <c r="X210" s="222"/>
      <c r="Y210" s="325"/>
      <c r="Z210" s="774">
        <f>AA210/12</f>
        <v>0</v>
      </c>
      <c r="AA210" s="103">
        <f>IF(Y210&gt;0,PRODUCT(I210,$Y210),0)</f>
        <v>0</v>
      </c>
      <c r="AB210" s="103">
        <f t="shared" ref="AB210:AE214" si="189">IF(AA210&gt;0,PRODUCT(J210,$Y210),0)</f>
        <v>0</v>
      </c>
      <c r="AC210" s="103">
        <f t="shared" si="189"/>
        <v>0</v>
      </c>
      <c r="AD210" s="103">
        <f t="shared" si="189"/>
        <v>0</v>
      </c>
      <c r="AE210" s="103">
        <f t="shared" si="189"/>
        <v>0</v>
      </c>
      <c r="AF210" s="123">
        <f t="shared" si="175"/>
        <v>0</v>
      </c>
      <c r="AG210" s="743"/>
      <c r="AH210" s="362"/>
      <c r="AI210" s="221"/>
      <c r="AJ210" s="886"/>
      <c r="AK210" s="896">
        <f>AL210/12</f>
        <v>0</v>
      </c>
      <c r="AL210" s="105" cm="1">
        <f t="array" ref="AL210">_xlfn.IFS($AJ210="NO CHARGE",0,$AJ210="INCLUDED",0,$AJ210=0,0,$AJ210&gt;0,PRODUCT(I210,$AJ210))</f>
        <v>0</v>
      </c>
      <c r="AM210" s="105" cm="1">
        <f t="array" ref="AM210">_xlfn.IFS($AJ210="NO CHARGE",0,$AJ210="INCLUDED",0,$AJ210=0,0,$AJ210&gt;0,PRODUCT(J210,$AJ210))</f>
        <v>0</v>
      </c>
      <c r="AN210" s="105" cm="1">
        <f t="array" ref="AN210">_xlfn.IFS($AJ210="NO CHARGE",0,$AJ210="INCLUDED",0,$AJ210=0,0,$AJ210&gt;0,PRODUCT(K210,$AJ210))</f>
        <v>0</v>
      </c>
      <c r="AO210" s="105" cm="1">
        <f t="array" ref="AO210">_xlfn.IFS($AJ210="NO CHARGE",0,$AJ210="INCLUDED",0,$AJ210=0,0,$AJ210&gt;0,PRODUCT(L210,$AJ210))</f>
        <v>0</v>
      </c>
      <c r="AP210" s="105" cm="1">
        <f t="array" ref="AP210">_xlfn.IFS($AJ210="NO CHARGE",0,$AJ210="INCLUDED",0,$AJ210=0,0,$AJ210&gt;0,PRODUCT(M210,$AJ210))</f>
        <v>0</v>
      </c>
      <c r="AQ210" s="158">
        <f t="shared" si="186"/>
        <v>0</v>
      </c>
      <c r="AR210" s="875"/>
      <c r="AS210" s="473"/>
      <c r="AT210" s="106"/>
      <c r="AU210" s="107"/>
      <c r="AV210" s="108">
        <f t="shared" si="177"/>
        <v>0</v>
      </c>
      <c r="AW210" s="108">
        <f t="shared" si="178"/>
        <v>0</v>
      </c>
      <c r="AX210" s="108">
        <f t="shared" si="179"/>
        <v>0</v>
      </c>
      <c r="AY210" s="108">
        <f t="shared" si="180"/>
        <v>0</v>
      </c>
      <c r="AZ210" s="108">
        <f t="shared" si="181"/>
        <v>0</v>
      </c>
      <c r="BA210" s="165">
        <f t="shared" si="182"/>
        <v>0</v>
      </c>
      <c r="BB210" s="531"/>
    </row>
    <row r="211" spans="1:54" s="495" customFormat="1" outlineLevel="1" x14ac:dyDescent="0.25">
      <c r="A211" s="700"/>
      <c r="B211" s="623" t="s">
        <v>260</v>
      </c>
      <c r="C211" s="310" t="str">
        <f>B211&amp;" [QTY CALCULATIONS YOY]"</f>
        <v>Horizon ImageCentre [NEW] [QTY CALCULATIONS YOY]</v>
      </c>
      <c r="D211" s="604"/>
      <c r="E211" s="604"/>
      <c r="F211" s="604"/>
      <c r="G211" s="604"/>
      <c r="H211" s="975">
        <v>23700</v>
      </c>
      <c r="I211" s="127">
        <f t="shared" si="165"/>
        <v>284400</v>
      </c>
      <c r="J211" s="127">
        <f t="shared" si="166"/>
        <v>298620</v>
      </c>
      <c r="K211" s="127">
        <f>IF(J211&gt;12,(((J211)*$H$5)+J211),(J211*1))</f>
        <v>313551</v>
      </c>
      <c r="L211" s="127">
        <f t="shared" si="166"/>
        <v>329228.55</v>
      </c>
      <c r="M211" s="127">
        <f t="shared" si="166"/>
        <v>345689.97749999998</v>
      </c>
      <c r="N211" s="245"/>
      <c r="O211" s="586"/>
      <c r="P211" s="757">
        <f t="shared" si="167"/>
        <v>0</v>
      </c>
      <c r="Q211" s="129">
        <f t="shared" si="168"/>
        <v>0</v>
      </c>
      <c r="R211" s="129">
        <f t="shared" si="169"/>
        <v>0</v>
      </c>
      <c r="S211" s="129">
        <f t="shared" si="170"/>
        <v>0</v>
      </c>
      <c r="T211" s="129">
        <f t="shared" si="171"/>
        <v>0</v>
      </c>
      <c r="U211" s="129">
        <f t="shared" si="172"/>
        <v>0</v>
      </c>
      <c r="V211" s="209">
        <f t="shared" si="173"/>
        <v>0</v>
      </c>
      <c r="W211" s="528"/>
      <c r="X211" s="222" t="str">
        <f>B211&amp;" [TIERED]"</f>
        <v>Horizon ImageCentre [NEW] [TIERED]</v>
      </c>
      <c r="Y211" s="325"/>
      <c r="Z211" s="774">
        <f>AA211/12</f>
        <v>0</v>
      </c>
      <c r="AA211" s="103">
        <f>IF(Y211&gt;0,PRODUCT(I211,$Y211),0)</f>
        <v>0</v>
      </c>
      <c r="AB211" s="103">
        <f t="shared" si="189"/>
        <v>0</v>
      </c>
      <c r="AC211" s="103">
        <f t="shared" si="189"/>
        <v>0</v>
      </c>
      <c r="AD211" s="103">
        <f t="shared" si="189"/>
        <v>0</v>
      </c>
      <c r="AE211" s="103">
        <f t="shared" si="189"/>
        <v>0</v>
      </c>
      <c r="AF211" s="123">
        <f t="shared" si="175"/>
        <v>0</v>
      </c>
      <c r="AG211" s="743"/>
      <c r="AH211" s="370"/>
      <c r="AI211" s="221" t="str">
        <f>C211</f>
        <v>Horizon ImageCentre [NEW] [QTY CALCULATIONS YOY]</v>
      </c>
      <c r="AJ211" s="886"/>
      <c r="AK211" s="896">
        <f>AL211/12</f>
        <v>0</v>
      </c>
      <c r="AL211" s="105" cm="1">
        <f t="array" ref="AL211">_xlfn.IFS($AJ211="NO CHARGE",0,$AJ211="INCLUDED",0,$AJ211=0,0,$AJ211&gt;0,PRODUCT(I211,$AJ211))</f>
        <v>0</v>
      </c>
      <c r="AM211" s="105" cm="1">
        <f t="array" ref="AM211">_xlfn.IFS($AJ211="NO CHARGE",0,$AJ211="INCLUDED",0,$AJ211=0,0,$AJ211&gt;0,PRODUCT(J211,$AJ211))</f>
        <v>0</v>
      </c>
      <c r="AN211" s="105" cm="1">
        <f t="array" ref="AN211">_xlfn.IFS($AJ211="NO CHARGE",0,$AJ211="INCLUDED",0,$AJ211=0,0,$AJ211&gt;0,PRODUCT(K211,$AJ211))</f>
        <v>0</v>
      </c>
      <c r="AO211" s="105" cm="1">
        <f t="array" ref="AO211">_xlfn.IFS($AJ211="NO CHARGE",0,$AJ211="INCLUDED",0,$AJ211=0,0,$AJ211&gt;0,PRODUCT(L211,$AJ211))</f>
        <v>0</v>
      </c>
      <c r="AP211" s="105" cm="1">
        <f t="array" ref="AP211">_xlfn.IFS($AJ211="NO CHARGE",0,$AJ211="INCLUDED",0,$AJ211=0,0,$AJ211&gt;0,PRODUCT(M211,$AJ211))</f>
        <v>0</v>
      </c>
      <c r="AQ211" s="158">
        <f t="shared" si="186"/>
        <v>0</v>
      </c>
      <c r="AR211" s="875"/>
      <c r="AS211" s="473"/>
      <c r="AT211" s="106"/>
      <c r="AU211" s="107"/>
      <c r="AV211" s="108">
        <f t="shared" si="177"/>
        <v>0</v>
      </c>
      <c r="AW211" s="108">
        <f t="shared" si="178"/>
        <v>0</v>
      </c>
      <c r="AX211" s="108">
        <f t="shared" si="179"/>
        <v>0</v>
      </c>
      <c r="AY211" s="108">
        <f t="shared" si="180"/>
        <v>0</v>
      </c>
      <c r="AZ211" s="108">
        <f t="shared" si="181"/>
        <v>0</v>
      </c>
      <c r="BA211" s="165">
        <f t="shared" si="182"/>
        <v>0</v>
      </c>
      <c r="BB211" s="531"/>
    </row>
    <row r="212" spans="1:54" s="495" customFormat="1" outlineLevel="1" x14ac:dyDescent="0.25">
      <c r="A212" s="700"/>
      <c r="B212" s="623" t="s">
        <v>260</v>
      </c>
      <c r="C212" s="200" t="s">
        <v>214</v>
      </c>
      <c r="D212" s="604"/>
      <c r="E212" s="604"/>
      <c r="F212" s="604"/>
      <c r="G212" s="604"/>
      <c r="H212" s="699">
        <v>23700</v>
      </c>
      <c r="I212" s="127">
        <f>IF(I211&gt;($H212*12),$H212*12,I211)</f>
        <v>284400</v>
      </c>
      <c r="J212" s="127">
        <f>IF(J211&gt;($H212*12),$H212*12,J211)</f>
        <v>284400</v>
      </c>
      <c r="K212" s="127">
        <f>IF(K211&gt;($H212*12),$H212*12,K211)</f>
        <v>284400</v>
      </c>
      <c r="L212" s="127">
        <f>IF(L211&gt;($H212*12),$H212*12,L211)</f>
        <v>284400</v>
      </c>
      <c r="M212" s="127">
        <f>IF(M211&gt;($H212*12),$H212*12,M211)</f>
        <v>284400</v>
      </c>
      <c r="N212" s="245"/>
      <c r="O212" s="586"/>
      <c r="P212" s="757">
        <f t="shared" si="167"/>
        <v>0</v>
      </c>
      <c r="Q212" s="129">
        <f t="shared" si="168"/>
        <v>0</v>
      </c>
      <c r="R212" s="129">
        <f t="shared" si="169"/>
        <v>0</v>
      </c>
      <c r="S212" s="129">
        <f t="shared" si="170"/>
        <v>0</v>
      </c>
      <c r="T212" s="129">
        <f t="shared" si="171"/>
        <v>0</v>
      </c>
      <c r="U212" s="129">
        <f t="shared" si="172"/>
        <v>0</v>
      </c>
      <c r="V212" s="209">
        <f t="shared" si="173"/>
        <v>0</v>
      </c>
      <c r="W212" s="621"/>
      <c r="X212" s="701" t="str">
        <f>C212</f>
        <v>[Tiered] Base Monthly Processing 0 - 23,700 Accounts</v>
      </c>
      <c r="Y212" s="325">
        <f>4886.5/23700</f>
        <v>0.20618143459915611</v>
      </c>
      <c r="Z212" s="774">
        <f>AA212/12</f>
        <v>4886.5</v>
      </c>
      <c r="AA212" s="103">
        <f>IF(Y212&gt;0,PRODUCT(I212,$Y212),0)</f>
        <v>58638</v>
      </c>
      <c r="AB212" s="103">
        <f t="shared" si="189"/>
        <v>58638</v>
      </c>
      <c r="AC212" s="103">
        <f t="shared" si="189"/>
        <v>58638</v>
      </c>
      <c r="AD212" s="103">
        <f t="shared" si="189"/>
        <v>58638</v>
      </c>
      <c r="AE212" s="103">
        <f t="shared" si="189"/>
        <v>58638</v>
      </c>
      <c r="AF212" s="123">
        <f t="shared" si="175"/>
        <v>293190</v>
      </c>
      <c r="AG212" s="743" t="s">
        <v>71</v>
      </c>
      <c r="AH212" s="711" t="s">
        <v>70</v>
      </c>
      <c r="AI212" s="880" t="str">
        <f>C212</f>
        <v>[Tiered] Base Monthly Processing 0 - 23,700 Accounts</v>
      </c>
      <c r="AJ212" s="886">
        <f>5172.75/23700</f>
        <v>0.21825949367088607</v>
      </c>
      <c r="AK212" s="896">
        <f>AL212/12</f>
        <v>5172.75</v>
      </c>
      <c r="AL212" s="105" cm="1">
        <f t="array" ref="AL212">_xlfn.IFS($AJ212="NO CHARGE",0,$AJ212="INCLUDED",0,$AJ212=0,0,$AJ212&gt;0,PRODUCT(I212,$AJ212))</f>
        <v>62073</v>
      </c>
      <c r="AM212" s="105" cm="1">
        <f t="array" ref="AM212">_xlfn.IFS($AJ212="NO CHARGE",0,$AJ212="INCLUDED",0,$AJ212=0,0,$AJ212&gt;0,PRODUCT(J212,$AJ212))</f>
        <v>62073</v>
      </c>
      <c r="AN212" s="105" cm="1">
        <f t="array" ref="AN212">_xlfn.IFS($AJ212="NO CHARGE",0,$AJ212="INCLUDED",0,$AJ212=0,0,$AJ212&gt;0,PRODUCT(K212,$AJ212))</f>
        <v>62073</v>
      </c>
      <c r="AO212" s="105" cm="1">
        <f t="array" ref="AO212">_xlfn.IFS($AJ212="NO CHARGE",0,$AJ212="INCLUDED",0,$AJ212=0,0,$AJ212&gt;0,PRODUCT(L212,$AJ212))</f>
        <v>62073</v>
      </c>
      <c r="AP212" s="105" cm="1">
        <f t="array" ref="AP212">_xlfn.IFS($AJ212="NO CHARGE",0,$AJ212="INCLUDED",0,$AJ212=0,0,$AJ212&gt;0,PRODUCT(M212,$AJ212))</f>
        <v>62073</v>
      </c>
      <c r="AQ212" s="158">
        <f t="shared" si="186"/>
        <v>310365</v>
      </c>
      <c r="AR212" s="875" t="s">
        <v>71</v>
      </c>
      <c r="AS212" s="889" t="s">
        <v>70</v>
      </c>
      <c r="AT212" s="106"/>
      <c r="AU212" s="107"/>
      <c r="AV212" s="108">
        <f t="shared" si="177"/>
        <v>0</v>
      </c>
      <c r="AW212" s="108">
        <f t="shared" si="178"/>
        <v>0</v>
      </c>
      <c r="AX212" s="108">
        <f t="shared" si="179"/>
        <v>0</v>
      </c>
      <c r="AY212" s="108">
        <f t="shared" si="180"/>
        <v>0</v>
      </c>
      <c r="AZ212" s="108">
        <f t="shared" si="181"/>
        <v>0</v>
      </c>
      <c r="BA212" s="165">
        <f t="shared" si="182"/>
        <v>0</v>
      </c>
      <c r="BB212" s="531"/>
    </row>
    <row r="213" spans="1:54" s="495" customFormat="1" outlineLevel="1" x14ac:dyDescent="0.25">
      <c r="A213" s="700"/>
      <c r="B213" s="623" t="s">
        <v>260</v>
      </c>
      <c r="C213" s="200" t="s">
        <v>215</v>
      </c>
      <c r="D213" s="604"/>
      <c r="E213" s="604"/>
      <c r="F213" s="604"/>
      <c r="G213" s="604"/>
      <c r="H213" s="699">
        <f>35000-23701</f>
        <v>11299</v>
      </c>
      <c r="I213" s="127" cm="1">
        <f t="array" ref="I213">_xlfn.IFS(I211&gt;(($H212*12)+($H213*12)),$H213*12, I211&lt;(($H212*12)+($H213*12)),I211-I212, I211=(($H212*12)+($H213*12)),I211-I212)</f>
        <v>0</v>
      </c>
      <c r="J213" s="127" cm="1">
        <f t="array" ref="J213">_xlfn.IFS(J211&gt;(($H212*12)+($H213*12)),$H213*12, J211&lt;(($H212*12)+($H213*12)),J211-J212, J211=(($H212*12)+($H213*12)),J211-J212)</f>
        <v>14220</v>
      </c>
      <c r="K213" s="127" cm="1">
        <f t="array" ref="K213">_xlfn.IFS(K211&gt;(($H212*12)+($H213*12)),$H213*12, K211&lt;(($H212*12)+($H213*12)),K211-K212, K211=(($H212*12)+($H213*12)),K211-K212)</f>
        <v>29151</v>
      </c>
      <c r="L213" s="127" cm="1">
        <f t="array" ref="L213">_xlfn.IFS(L211&gt;(($H212*12)+($H213*12)),$H213*12, L211&lt;(($H212*12)+($H213*12)),L211-L212, L211=(($H212*12)+($H213*12)),L211-L212)</f>
        <v>44828.549999999988</v>
      </c>
      <c r="M213" s="127" cm="1">
        <f t="array" ref="M213">_xlfn.IFS(M211&gt;(($H212*12)+($H213*12)),$H213*12, M211&lt;(($H212*12)+($H213*12)),M211-M212, M211=(($H212*12)+($H213*12)),M211-M212)</f>
        <v>61289.977499999979</v>
      </c>
      <c r="N213" s="245"/>
      <c r="O213" s="586"/>
      <c r="P213" s="757">
        <f t="shared" si="167"/>
        <v>0</v>
      </c>
      <c r="Q213" s="129">
        <f t="shared" si="168"/>
        <v>0</v>
      </c>
      <c r="R213" s="129">
        <f t="shared" si="169"/>
        <v>0</v>
      </c>
      <c r="S213" s="129">
        <f t="shared" si="170"/>
        <v>0</v>
      </c>
      <c r="T213" s="129">
        <f t="shared" si="171"/>
        <v>0</v>
      </c>
      <c r="U213" s="129">
        <f t="shared" si="172"/>
        <v>0</v>
      </c>
      <c r="V213" s="209">
        <f t="shared" si="173"/>
        <v>0</v>
      </c>
      <c r="W213" s="621"/>
      <c r="X213" s="701" t="str">
        <f>C213</f>
        <v>[Tiered] Base Monthly Processing 23,701 - 35k Accounts</v>
      </c>
      <c r="Y213" s="325">
        <v>0.2</v>
      </c>
      <c r="Z213" s="774">
        <f>AA213/12</f>
        <v>0</v>
      </c>
      <c r="AA213" s="103">
        <f>IF(Y213&gt;0,PRODUCT(I213,$Y213),0)</f>
        <v>0</v>
      </c>
      <c r="AB213" s="103" cm="1">
        <f t="array" ref="AB213">_xlfn.IFS($AJ213="NO CHARGE",0,$AJ213="INCLUDED",0,$AJ213=0,0,$AJ213&gt;0,PRODUCT(J213,$AJ213))</f>
        <v>3099.96</v>
      </c>
      <c r="AC213" s="103" cm="1">
        <f t="array" ref="AC213">_xlfn.IFS($AJ213="NO CHARGE",0,$AJ213="INCLUDED",0,$AJ213=0,0,$AJ213&gt;0,PRODUCT(K213,$AJ213))</f>
        <v>6354.9179999999997</v>
      </c>
      <c r="AD213" s="103" cm="1">
        <f t="array" ref="AD213">_xlfn.IFS($AJ213="NO CHARGE",0,$AJ213="INCLUDED",0,$AJ213=0,0,$AJ213&gt;0,PRODUCT(L213,$AJ213))</f>
        <v>9772.6238999999969</v>
      </c>
      <c r="AE213" s="103" cm="1">
        <f t="array" ref="AE213">_xlfn.IFS($AJ213="NO CHARGE",0,$AJ213="INCLUDED",0,$AJ213=0,0,$AJ213&gt;0,PRODUCT(M213,$AJ213))</f>
        <v>13361.215094999996</v>
      </c>
      <c r="AF213" s="123">
        <f t="shared" si="175"/>
        <v>32588.716994999992</v>
      </c>
      <c r="AG213" s="743"/>
      <c r="AH213" s="362"/>
      <c r="AI213" s="880" t="str">
        <f>C213</f>
        <v>[Tiered] Base Monthly Processing 23,701 - 35k Accounts</v>
      </c>
      <c r="AJ213" s="886">
        <v>0.218</v>
      </c>
      <c r="AK213" s="896">
        <f>AL213/12</f>
        <v>0</v>
      </c>
      <c r="AL213" s="105" cm="1">
        <f t="array" ref="AL213">_xlfn.IFS($AJ213="NO CHARGE",0,$AJ213="INCLUDED",0,$AJ213=0,0,$AJ213&gt;0,PRODUCT(I213,$AJ213))</f>
        <v>0</v>
      </c>
      <c r="AM213" s="105" cm="1">
        <f t="array" ref="AM213">_xlfn.IFS($AJ213="NO CHARGE",0,$AJ213="INCLUDED",0,$AJ213=0,0,$AJ213&gt;0,PRODUCT(J213,$AJ213))</f>
        <v>3099.96</v>
      </c>
      <c r="AN213" s="105" cm="1">
        <f t="array" ref="AN213">_xlfn.IFS($AJ213="NO CHARGE",0,$AJ213="INCLUDED",0,$AJ213=0,0,$AJ213&gt;0,PRODUCT(K213,$AJ213))</f>
        <v>6354.9179999999997</v>
      </c>
      <c r="AO213" s="105" cm="1">
        <f t="array" ref="AO213">_xlfn.IFS($AJ213="NO CHARGE",0,$AJ213="INCLUDED",0,$AJ213=0,0,$AJ213&gt;0,PRODUCT(L213,$AJ213))</f>
        <v>9772.6238999999969</v>
      </c>
      <c r="AP213" s="105" cm="1">
        <f t="array" ref="AP213">_xlfn.IFS($AJ213="NO CHARGE",0,$AJ213="INCLUDED",0,$AJ213=0,0,$AJ213&gt;0,PRODUCT(M213,$AJ213))</f>
        <v>13361.215094999996</v>
      </c>
      <c r="AQ213" s="158">
        <f t="shared" si="186"/>
        <v>32588.716994999992</v>
      </c>
      <c r="AR213" s="875"/>
      <c r="AS213" s="473"/>
      <c r="AT213" s="106"/>
      <c r="AU213" s="107"/>
      <c r="AV213" s="108">
        <f t="shared" si="177"/>
        <v>0</v>
      </c>
      <c r="AW213" s="108">
        <f t="shared" si="178"/>
        <v>0</v>
      </c>
      <c r="AX213" s="108">
        <f t="shared" si="179"/>
        <v>0</v>
      </c>
      <c r="AY213" s="108">
        <f t="shared" si="180"/>
        <v>0</v>
      </c>
      <c r="AZ213" s="108">
        <f t="shared" si="181"/>
        <v>0</v>
      </c>
      <c r="BA213" s="165">
        <f t="shared" si="182"/>
        <v>0</v>
      </c>
      <c r="BB213" s="531"/>
    </row>
    <row r="214" spans="1:54" s="495" customFormat="1" outlineLevel="1" x14ac:dyDescent="0.25">
      <c r="A214" s="700"/>
      <c r="B214" s="623" t="s">
        <v>260</v>
      </c>
      <c r="C214" s="200" t="s">
        <v>216</v>
      </c>
      <c r="D214" s="604"/>
      <c r="E214" s="604"/>
      <c r="F214" s="604"/>
      <c r="G214" s="604"/>
      <c r="H214" s="699"/>
      <c r="I214" s="127" cm="1">
        <f t="array" ref="I214">_xlfn.IFS(I211&gt;(($H212+$H213)*12),I211-I212-I213, I211&lt;(($H212+$H213)*12),0, I211=(($H212+$H213)*12),0)</f>
        <v>0</v>
      </c>
      <c r="J214" s="127" cm="1">
        <f t="array" ref="J214">_xlfn.IFS(J211&gt;(($H212+$H213)*12),J211-J212-J213, J211&lt;(($H212+$H213)*12),0, J211=(($H212+$H213)*12),0)</f>
        <v>0</v>
      </c>
      <c r="K214" s="127" cm="1">
        <f t="array" ref="K214">_xlfn.IFS(K211&gt;(($H212+$H213)*12),K211-K212-K213, K211&lt;(($H212+$H213)*12),0, K211=(($H212+$H213)*12),0)</f>
        <v>0</v>
      </c>
      <c r="L214" s="127" cm="1">
        <f t="array" ref="L214">_xlfn.IFS(L211&gt;(($H212+$H213)*12),L211-L212-L213, L211&lt;(($H212+$H213)*12),0, L211=(($H212+$H213)*12),0)</f>
        <v>0</v>
      </c>
      <c r="M214" s="127" cm="1">
        <f t="array" ref="M214">_xlfn.IFS(M211&gt;(($H212+$H213)*12),M211-M212-M213, M211&lt;(($H212+$H213)*12),0, M211=(($H212+$H213)*12),0)</f>
        <v>0</v>
      </c>
      <c r="N214" s="245"/>
      <c r="O214" s="586"/>
      <c r="P214" s="757">
        <f t="shared" si="167"/>
        <v>0</v>
      </c>
      <c r="Q214" s="129">
        <f t="shared" si="168"/>
        <v>0</v>
      </c>
      <c r="R214" s="129">
        <f t="shared" si="169"/>
        <v>0</v>
      </c>
      <c r="S214" s="129">
        <f t="shared" si="170"/>
        <v>0</v>
      </c>
      <c r="T214" s="129">
        <f t="shared" si="171"/>
        <v>0</v>
      </c>
      <c r="U214" s="129">
        <f t="shared" si="172"/>
        <v>0</v>
      </c>
      <c r="V214" s="209">
        <f t="shared" si="173"/>
        <v>0</v>
      </c>
      <c r="W214" s="528"/>
      <c r="X214" s="701" t="str">
        <f>C214</f>
        <v>[Tiered] Base Monthly Processing beyond 35k Accounts</v>
      </c>
      <c r="Y214" s="325">
        <v>0.18</v>
      </c>
      <c r="Z214" s="774">
        <f>AA214/12</f>
        <v>0</v>
      </c>
      <c r="AA214" s="103">
        <f>IF(Y214&gt;0,PRODUCT(I214,$Y214),0)</f>
        <v>0</v>
      </c>
      <c r="AB214" s="103">
        <f t="shared" si="189"/>
        <v>0</v>
      </c>
      <c r="AC214" s="103">
        <f t="shared" si="189"/>
        <v>0</v>
      </c>
      <c r="AD214" s="103">
        <f t="shared" si="189"/>
        <v>0</v>
      </c>
      <c r="AE214" s="103">
        <f t="shared" si="189"/>
        <v>0</v>
      </c>
      <c r="AF214" s="123">
        <f t="shared" si="175"/>
        <v>0</v>
      </c>
      <c r="AG214" s="743"/>
      <c r="AH214" s="362"/>
      <c r="AI214" s="880" t="str">
        <f>C214</f>
        <v>[Tiered] Base Monthly Processing beyond 35k Accounts</v>
      </c>
      <c r="AJ214" s="886">
        <v>0.19500000000000001</v>
      </c>
      <c r="AK214" s="896">
        <f>AL214/12</f>
        <v>0</v>
      </c>
      <c r="AL214" s="105" cm="1">
        <f t="array" ref="AL214">_xlfn.IFS($AJ214="NO CHARGE",0,$AJ214="INCLUDED",0,$AJ214=0,0,$AJ214&gt;0,PRODUCT(I214,$AJ214))</f>
        <v>0</v>
      </c>
      <c r="AM214" s="105" cm="1">
        <f t="array" ref="AM214">_xlfn.IFS($AJ214="NO CHARGE",0,$AJ214="INCLUDED",0,$AJ214=0,0,$AJ214&gt;0,PRODUCT(J214,$AJ214))</f>
        <v>0</v>
      </c>
      <c r="AN214" s="105" cm="1">
        <f t="array" ref="AN214">_xlfn.IFS($AJ214="NO CHARGE",0,$AJ214="INCLUDED",0,$AJ214=0,0,$AJ214&gt;0,PRODUCT(K214,$AJ214))</f>
        <v>0</v>
      </c>
      <c r="AO214" s="105" cm="1">
        <f t="array" ref="AO214">_xlfn.IFS($AJ214="NO CHARGE",0,$AJ214="INCLUDED",0,$AJ214=0,0,$AJ214&gt;0,PRODUCT(L214,$AJ214))</f>
        <v>0</v>
      </c>
      <c r="AP214" s="105" cm="1">
        <f t="array" ref="AP214">_xlfn.IFS($AJ214="NO CHARGE",0,$AJ214="INCLUDED",0,$AJ214=0,0,$AJ214&gt;0,PRODUCT(M214,$AJ214))</f>
        <v>0</v>
      </c>
      <c r="AQ214" s="158">
        <f t="shared" si="186"/>
        <v>0</v>
      </c>
      <c r="AR214" s="875"/>
      <c r="AS214" s="473"/>
      <c r="AT214" s="106"/>
      <c r="AU214" s="107"/>
      <c r="AV214" s="108">
        <f t="shared" si="177"/>
        <v>0</v>
      </c>
      <c r="AW214" s="108">
        <f t="shared" si="178"/>
        <v>0</v>
      </c>
      <c r="AX214" s="108">
        <f t="shared" si="179"/>
        <v>0</v>
      </c>
      <c r="AY214" s="108">
        <f t="shared" si="180"/>
        <v>0</v>
      </c>
      <c r="AZ214" s="108">
        <f t="shared" si="181"/>
        <v>0</v>
      </c>
      <c r="BA214" s="165">
        <f t="shared" si="182"/>
        <v>0</v>
      </c>
      <c r="BB214" s="531"/>
    </row>
    <row r="215" spans="1:54" s="495" customFormat="1" outlineLevel="1" x14ac:dyDescent="0.25">
      <c r="A215" s="700"/>
      <c r="B215" s="623" t="s">
        <v>260</v>
      </c>
      <c r="C215" s="200" t="s">
        <v>217</v>
      </c>
      <c r="D215" s="604"/>
      <c r="E215" s="604"/>
      <c r="F215" s="604"/>
      <c r="G215" s="604"/>
      <c r="H215" s="699"/>
      <c r="I215" s="127">
        <f>H215*12</f>
        <v>0</v>
      </c>
      <c r="J215" s="127">
        <f t="shared" ref="J215:M219" si="190">IF(I215&gt;12,(((I215)*$H$5)+I215),(I215*1))</f>
        <v>0</v>
      </c>
      <c r="K215" s="127">
        <f t="shared" si="190"/>
        <v>0</v>
      </c>
      <c r="L215" s="127">
        <f t="shared" si="190"/>
        <v>0</v>
      </c>
      <c r="M215" s="127">
        <f t="shared" si="190"/>
        <v>0</v>
      </c>
      <c r="N215" s="245"/>
      <c r="O215" s="748"/>
      <c r="P215" s="757">
        <f t="shared" si="167"/>
        <v>0</v>
      </c>
      <c r="Q215" s="129">
        <f t="shared" si="168"/>
        <v>0</v>
      </c>
      <c r="R215" s="129">
        <f t="shared" si="169"/>
        <v>0</v>
      </c>
      <c r="S215" s="129">
        <f t="shared" si="170"/>
        <v>0</v>
      </c>
      <c r="T215" s="129">
        <f t="shared" si="171"/>
        <v>0</v>
      </c>
      <c r="U215" s="129">
        <f t="shared" si="172"/>
        <v>0</v>
      </c>
      <c r="V215" s="209">
        <f t="shared" si="173"/>
        <v>0</v>
      </c>
      <c r="W215" s="621"/>
      <c r="X215" s="701" t="str">
        <f>C215</f>
        <v>[PROPOSAL NOTES - Expand to View]</v>
      </c>
      <c r="Y215" s="1329" t="s">
        <v>261</v>
      </c>
      <c r="Z215" s="1330"/>
      <c r="AA215" s="1330"/>
      <c r="AB215" s="1330"/>
      <c r="AC215" s="1330"/>
      <c r="AD215" s="1330"/>
      <c r="AE215" s="1330"/>
      <c r="AF215" s="1331"/>
      <c r="AG215" s="743"/>
      <c r="AH215" s="362"/>
      <c r="AI215" s="221" t="str">
        <f>C215</f>
        <v>[PROPOSAL NOTES - Expand to View]</v>
      </c>
      <c r="AJ215" s="1341" t="s">
        <v>261</v>
      </c>
      <c r="AK215" s="1344"/>
      <c r="AL215" s="1344"/>
      <c r="AM215" s="1344"/>
      <c r="AN215" s="1344"/>
      <c r="AO215" s="1344"/>
      <c r="AP215" s="1344"/>
      <c r="AQ215" s="1345"/>
      <c r="AR215" s="875"/>
      <c r="AS215" s="473"/>
      <c r="AT215" s="106"/>
      <c r="AU215" s="107"/>
      <c r="AV215" s="108">
        <f t="shared" si="177"/>
        <v>0</v>
      </c>
      <c r="AW215" s="108">
        <f t="shared" si="178"/>
        <v>0</v>
      </c>
      <c r="AX215" s="108">
        <f t="shared" si="179"/>
        <v>0</v>
      </c>
      <c r="AY215" s="108">
        <f t="shared" si="180"/>
        <v>0</v>
      </c>
      <c r="AZ215" s="108">
        <f t="shared" si="181"/>
        <v>0</v>
      </c>
      <c r="BA215" s="165">
        <f t="shared" si="182"/>
        <v>0</v>
      </c>
      <c r="BB215" s="531"/>
    </row>
    <row r="216" spans="1:54" s="495" customFormat="1" outlineLevel="1" x14ac:dyDescent="0.25">
      <c r="A216" s="445"/>
      <c r="B216" s="623"/>
      <c r="C216" s="310"/>
      <c r="D216" s="604"/>
      <c r="E216" s="604"/>
      <c r="F216" s="604"/>
      <c r="G216" s="604"/>
      <c r="H216" s="618">
        <f>IFERROR(AVERAGE(D216:G216),0)</f>
        <v>0</v>
      </c>
      <c r="I216" s="127">
        <f>H216*12</f>
        <v>0</v>
      </c>
      <c r="J216" s="127">
        <f t="shared" si="190"/>
        <v>0</v>
      </c>
      <c r="K216" s="127">
        <f t="shared" si="190"/>
        <v>0</v>
      </c>
      <c r="L216" s="127">
        <f t="shared" si="190"/>
        <v>0</v>
      </c>
      <c r="M216" s="127">
        <f t="shared" si="190"/>
        <v>0</v>
      </c>
      <c r="N216" s="245" t="str">
        <f>IF(C216="","",C216)</f>
        <v/>
      </c>
      <c r="O216" s="748"/>
      <c r="P216" s="757">
        <f t="shared" si="167"/>
        <v>0</v>
      </c>
      <c r="Q216" s="129">
        <f t="shared" si="168"/>
        <v>0</v>
      </c>
      <c r="R216" s="129">
        <f t="shared" si="169"/>
        <v>0</v>
      </c>
      <c r="S216" s="129">
        <f t="shared" si="170"/>
        <v>0</v>
      </c>
      <c r="T216" s="129">
        <f t="shared" si="171"/>
        <v>0</v>
      </c>
      <c r="U216" s="129">
        <f t="shared" si="172"/>
        <v>0</v>
      </c>
      <c r="V216" s="209">
        <f t="shared" si="173"/>
        <v>0</v>
      </c>
      <c r="W216" s="621"/>
      <c r="X216" s="222"/>
      <c r="Y216" s="325"/>
      <c r="Z216" s="774">
        <f t="shared" ref="Z216:Z223" si="191">AA216/12</f>
        <v>0</v>
      </c>
      <c r="AA216" s="103">
        <f>IF(Y216&gt;0,PRODUCT(I216,$Y216),0)</f>
        <v>0</v>
      </c>
      <c r="AB216" s="103">
        <f t="shared" ref="AB216:AE219" si="192">IF(AA216&gt;0,PRODUCT(J216,$Y216),0)</f>
        <v>0</v>
      </c>
      <c r="AC216" s="103">
        <f t="shared" si="192"/>
        <v>0</v>
      </c>
      <c r="AD216" s="103">
        <f t="shared" si="192"/>
        <v>0</v>
      </c>
      <c r="AE216" s="103">
        <f t="shared" si="192"/>
        <v>0</v>
      </c>
      <c r="AF216" s="123">
        <f t="shared" ref="AF216:AF229" si="193">SUM(AA216:AE216)</f>
        <v>0</v>
      </c>
      <c r="AG216" s="743"/>
      <c r="AH216" s="362"/>
      <c r="AI216" s="221"/>
      <c r="AJ216" s="270"/>
      <c r="AK216" s="896">
        <f t="shared" ref="AK216:AK229" si="194">AL216/12</f>
        <v>0</v>
      </c>
      <c r="AL216" s="105" cm="1">
        <f t="array" ref="AL216">_xlfn.IFS($AJ216="NO CHARGE",0,$AJ216="INCLUDED",0,$AJ216=0,0,$AJ216&gt;0,PRODUCT(I216,$AJ216))</f>
        <v>0</v>
      </c>
      <c r="AM216" s="105" cm="1">
        <f t="array" ref="AM216">_xlfn.IFS($AJ216="NO CHARGE",0,$AJ216="INCLUDED",0,$AJ216=0,0,$AJ216&gt;0,PRODUCT(J216,$AJ216))</f>
        <v>0</v>
      </c>
      <c r="AN216" s="105" cm="1">
        <f t="array" ref="AN216">_xlfn.IFS($AJ216="NO CHARGE",0,$AJ216="INCLUDED",0,$AJ216=0,0,$AJ216&gt;0,PRODUCT(K216,$AJ216))</f>
        <v>0</v>
      </c>
      <c r="AO216" s="105" cm="1">
        <f t="array" ref="AO216">_xlfn.IFS($AJ216="NO CHARGE",0,$AJ216="INCLUDED",0,$AJ216=0,0,$AJ216&gt;0,PRODUCT(L216,$AJ216))</f>
        <v>0</v>
      </c>
      <c r="AP216" s="105" cm="1">
        <f t="array" ref="AP216">_xlfn.IFS($AJ216="NO CHARGE",0,$AJ216="INCLUDED",0,$AJ216=0,0,$AJ216&gt;0,PRODUCT(M216,$AJ216))</f>
        <v>0</v>
      </c>
      <c r="AQ216" s="158">
        <f t="shared" ref="AQ216:AQ237" si="195">SUM(AL216:AP216)</f>
        <v>0</v>
      </c>
      <c r="AR216" s="875"/>
      <c r="AS216" s="473"/>
      <c r="AT216" s="106"/>
      <c r="AU216" s="107"/>
      <c r="AV216" s="108">
        <f t="shared" si="177"/>
        <v>0</v>
      </c>
      <c r="AW216" s="108">
        <f t="shared" si="178"/>
        <v>0</v>
      </c>
      <c r="AX216" s="108">
        <f t="shared" si="179"/>
        <v>0</v>
      </c>
      <c r="AY216" s="108">
        <f t="shared" si="180"/>
        <v>0</v>
      </c>
      <c r="AZ216" s="108">
        <f t="shared" si="181"/>
        <v>0</v>
      </c>
      <c r="BA216" s="165">
        <f t="shared" si="182"/>
        <v>0</v>
      </c>
      <c r="BB216" s="531"/>
    </row>
    <row r="217" spans="1:54" s="495" customFormat="1" outlineLevel="1" x14ac:dyDescent="0.25">
      <c r="A217" s="445"/>
      <c r="B217" s="620" t="s">
        <v>262</v>
      </c>
      <c r="C217" s="310" t="s">
        <v>263</v>
      </c>
      <c r="D217" s="604">
        <v>8</v>
      </c>
      <c r="E217" s="604">
        <v>8</v>
      </c>
      <c r="F217" s="604">
        <v>8</v>
      </c>
      <c r="G217" s="604"/>
      <c r="H217" s="618">
        <f>IFERROR(AVERAGE(D217:F217),0)</f>
        <v>8</v>
      </c>
      <c r="I217" s="127">
        <f>H217*12</f>
        <v>96</v>
      </c>
      <c r="J217" s="127">
        <f t="shared" si="190"/>
        <v>100.8</v>
      </c>
      <c r="K217" s="127">
        <f t="shared" si="190"/>
        <v>105.84</v>
      </c>
      <c r="L217" s="127">
        <f t="shared" si="190"/>
        <v>111.13200000000001</v>
      </c>
      <c r="M217" s="127">
        <f t="shared" si="190"/>
        <v>116.68860000000001</v>
      </c>
      <c r="N217" s="245" t="str">
        <f>IF(C217="","",C217)</f>
        <v>Branch Capture Express 1 - 15 Branches</v>
      </c>
      <c r="O217" s="247">
        <v>121.10407789999999</v>
      </c>
      <c r="P217" s="757">
        <f t="shared" si="167"/>
        <v>968.83262319999994</v>
      </c>
      <c r="Q217" s="129">
        <f t="shared" si="168"/>
        <v>11625.991478399999</v>
      </c>
      <c r="R217" s="129">
        <f t="shared" si="169"/>
        <v>12207.291052319999</v>
      </c>
      <c r="S217" s="129">
        <f t="shared" si="170"/>
        <v>12817.655604935999</v>
      </c>
      <c r="T217" s="129">
        <f t="shared" si="171"/>
        <v>13458.538385182799</v>
      </c>
      <c r="U217" s="129">
        <f t="shared" si="172"/>
        <v>14131.465304441941</v>
      </c>
      <c r="V217" s="209">
        <f t="shared" si="173"/>
        <v>64240.941825280737</v>
      </c>
      <c r="W217" s="528"/>
      <c r="X217" s="222" t="str">
        <f>C217</f>
        <v>Branch Capture Express 1 - 15 Branches</v>
      </c>
      <c r="Y217" s="325">
        <v>98.37</v>
      </c>
      <c r="Z217" s="774">
        <f t="shared" si="191"/>
        <v>786.96</v>
      </c>
      <c r="AA217" s="103">
        <f>IF(Y217&gt;0,PRODUCT(I217,$Y217),0)</f>
        <v>9443.52</v>
      </c>
      <c r="AB217" s="103">
        <f t="shared" si="192"/>
        <v>9915.6959999999999</v>
      </c>
      <c r="AC217" s="103">
        <f t="shared" si="192"/>
        <v>10411.480800000001</v>
      </c>
      <c r="AD217" s="103">
        <f t="shared" si="192"/>
        <v>10932.054840000001</v>
      </c>
      <c r="AE217" s="103">
        <f t="shared" si="192"/>
        <v>11478.657582000002</v>
      </c>
      <c r="AF217" s="123">
        <f t="shared" si="193"/>
        <v>52181.409222000002</v>
      </c>
      <c r="AG217" s="743"/>
      <c r="AH217" s="370"/>
      <c r="AI217" s="221" t="str">
        <f>C217</f>
        <v>Branch Capture Express 1 - 15 Branches</v>
      </c>
      <c r="AJ217" s="886">
        <v>104.16</v>
      </c>
      <c r="AK217" s="896">
        <f t="shared" si="194"/>
        <v>833.28000000000009</v>
      </c>
      <c r="AL217" s="105" cm="1">
        <f t="array" ref="AL217">_xlfn.IFS($AJ217="NO CHARGE",0,$AJ217="INCLUDED",0,$AJ217=0,0,$AJ217&gt;0,PRODUCT(I217,$AJ217))</f>
        <v>9999.36</v>
      </c>
      <c r="AM217" s="105" cm="1">
        <f t="array" ref="AM217">_xlfn.IFS($AJ217="NO CHARGE",0,$AJ217="INCLUDED",0,$AJ217=0,0,$AJ217&gt;0,PRODUCT(J217,$AJ217))</f>
        <v>10499.328</v>
      </c>
      <c r="AN217" s="105" cm="1">
        <f t="array" ref="AN217">_xlfn.IFS($AJ217="NO CHARGE",0,$AJ217="INCLUDED",0,$AJ217=0,0,$AJ217&gt;0,PRODUCT(K217,$AJ217))</f>
        <v>11024.294400000001</v>
      </c>
      <c r="AO217" s="105" cm="1">
        <f t="array" ref="AO217">_xlfn.IFS($AJ217="NO CHARGE",0,$AJ217="INCLUDED",0,$AJ217=0,0,$AJ217&gt;0,PRODUCT(L217,$AJ217))</f>
        <v>11575.509120000001</v>
      </c>
      <c r="AP217" s="105" cm="1">
        <f t="array" ref="AP217">_xlfn.IFS($AJ217="NO CHARGE",0,$AJ217="INCLUDED",0,$AJ217=0,0,$AJ217&gt;0,PRODUCT(M217,$AJ217))</f>
        <v>12154.284576</v>
      </c>
      <c r="AQ217" s="158">
        <f t="shared" si="195"/>
        <v>55252.776096000001</v>
      </c>
      <c r="AR217" s="875"/>
      <c r="AS217" s="473"/>
      <c r="AT217" s="106"/>
      <c r="AU217" s="353"/>
      <c r="AV217" s="108"/>
      <c r="AW217" s="108"/>
      <c r="AX217" s="108"/>
      <c r="AY217" s="108"/>
      <c r="AZ217" s="108"/>
      <c r="BA217" s="165"/>
      <c r="BB217" s="531"/>
    </row>
    <row r="218" spans="1:54" s="495" customFormat="1" outlineLevel="1" x14ac:dyDescent="0.25">
      <c r="A218" s="445"/>
      <c r="B218" s="623"/>
      <c r="C218" s="310"/>
      <c r="D218" s="604"/>
      <c r="E218" s="604"/>
      <c r="F218" s="604"/>
      <c r="G218" s="604"/>
      <c r="H218" s="618">
        <f>IFERROR(AVERAGE(D218:G218),0)</f>
        <v>0</v>
      </c>
      <c r="I218" s="127">
        <f>H218*12</f>
        <v>0</v>
      </c>
      <c r="J218" s="127">
        <f t="shared" si="190"/>
        <v>0</v>
      </c>
      <c r="K218" s="127">
        <f t="shared" si="190"/>
        <v>0</v>
      </c>
      <c r="L218" s="127">
        <f t="shared" si="190"/>
        <v>0</v>
      </c>
      <c r="M218" s="127">
        <f t="shared" si="190"/>
        <v>0</v>
      </c>
      <c r="N218" s="245" t="str">
        <f>IF(C218="","",C218)</f>
        <v/>
      </c>
      <c r="O218" s="748"/>
      <c r="P218" s="757">
        <f t="shared" si="167"/>
        <v>0</v>
      </c>
      <c r="Q218" s="129">
        <f t="shared" si="168"/>
        <v>0</v>
      </c>
      <c r="R218" s="129">
        <f t="shared" si="169"/>
        <v>0</v>
      </c>
      <c r="S218" s="129">
        <f t="shared" si="170"/>
        <v>0</v>
      </c>
      <c r="T218" s="129">
        <f t="shared" si="171"/>
        <v>0</v>
      </c>
      <c r="U218" s="129">
        <f t="shared" si="172"/>
        <v>0</v>
      </c>
      <c r="V218" s="209">
        <f t="shared" si="173"/>
        <v>0</v>
      </c>
      <c r="W218" s="621"/>
      <c r="X218" s="222"/>
      <c r="Y218" s="325"/>
      <c r="Z218" s="774">
        <f t="shared" si="191"/>
        <v>0</v>
      </c>
      <c r="AA218" s="103">
        <f>IF(Y218&gt;0,PRODUCT(I218,$Y218),0)</f>
        <v>0</v>
      </c>
      <c r="AB218" s="103">
        <f t="shared" si="192"/>
        <v>0</v>
      </c>
      <c r="AC218" s="103">
        <f t="shared" si="192"/>
        <v>0</v>
      </c>
      <c r="AD218" s="103">
        <f t="shared" si="192"/>
        <v>0</v>
      </c>
      <c r="AE218" s="103">
        <f t="shared" si="192"/>
        <v>0</v>
      </c>
      <c r="AF218" s="123">
        <f t="shared" si="193"/>
        <v>0</v>
      </c>
      <c r="AG218" s="743"/>
      <c r="AH218" s="362"/>
      <c r="AI218" s="221"/>
      <c r="AJ218" s="270"/>
      <c r="AK218" s="896">
        <f t="shared" si="194"/>
        <v>0</v>
      </c>
      <c r="AL218" s="105" cm="1">
        <f t="array" ref="AL218">_xlfn.IFS($AJ218="NO CHARGE",0,$AJ218="INCLUDED",0,$AJ218=0,0,$AJ218&gt;0,PRODUCT(I218,$AJ218))</f>
        <v>0</v>
      </c>
      <c r="AM218" s="105" cm="1">
        <f t="array" ref="AM218">_xlfn.IFS($AJ218="NO CHARGE",0,$AJ218="INCLUDED",0,$AJ218=0,0,$AJ218&gt;0,PRODUCT(J218,$AJ218))</f>
        <v>0</v>
      </c>
      <c r="AN218" s="105" cm="1">
        <f t="array" ref="AN218">_xlfn.IFS($AJ218="NO CHARGE",0,$AJ218="INCLUDED",0,$AJ218=0,0,$AJ218&gt;0,PRODUCT(K218,$AJ218))</f>
        <v>0</v>
      </c>
      <c r="AO218" s="105" cm="1">
        <f t="array" ref="AO218">_xlfn.IFS($AJ218="NO CHARGE",0,$AJ218="INCLUDED",0,$AJ218=0,0,$AJ218&gt;0,PRODUCT(L218,$AJ218))</f>
        <v>0</v>
      </c>
      <c r="AP218" s="105" cm="1">
        <f t="array" ref="AP218">_xlfn.IFS($AJ218="NO CHARGE",0,$AJ218="INCLUDED",0,$AJ218=0,0,$AJ218&gt;0,PRODUCT(M218,$AJ218))</f>
        <v>0</v>
      </c>
      <c r="AQ218" s="158">
        <f t="shared" si="195"/>
        <v>0</v>
      </c>
      <c r="AR218" s="875"/>
      <c r="AS218" s="473"/>
      <c r="AT218" s="106"/>
      <c r="AU218" s="107"/>
      <c r="AV218" s="108">
        <f t="shared" ref="AV218:AZ223" si="196">IF(AU218&gt;0,PRODUCT(I218,$AU218),0)</f>
        <v>0</v>
      </c>
      <c r="AW218" s="108">
        <f t="shared" si="196"/>
        <v>0</v>
      </c>
      <c r="AX218" s="108">
        <f t="shared" si="196"/>
        <v>0</v>
      </c>
      <c r="AY218" s="108">
        <f t="shared" si="196"/>
        <v>0</v>
      </c>
      <c r="AZ218" s="108">
        <f t="shared" si="196"/>
        <v>0</v>
      </c>
      <c r="BA218" s="165">
        <f t="shared" ref="BA218:BA229" si="197">SUM(AV218:AZ218)</f>
        <v>0</v>
      </c>
      <c r="BB218" s="531"/>
    </row>
    <row r="219" spans="1:54" s="495" customFormat="1" outlineLevel="1" x14ac:dyDescent="0.25">
      <c r="A219" s="445"/>
      <c r="B219" s="620" t="s">
        <v>264</v>
      </c>
      <c r="C219" s="310" t="str">
        <f>B219&amp;" [QTY CALCULATIONS YOY]"</f>
        <v>FIS Xpress Deposit - Consumer Remote Deposit Svcs [QTY CALCULATIONS YOY]</v>
      </c>
      <c r="D219" s="604">
        <v>13</v>
      </c>
      <c r="E219" s="604">
        <v>2094</v>
      </c>
      <c r="F219" s="604">
        <v>2094</v>
      </c>
      <c r="G219" s="604"/>
      <c r="H219" s="618">
        <f>IFERROR(AVERAGE(D219:F219),0)</f>
        <v>1400.3333333333333</v>
      </c>
      <c r="I219" s="127">
        <f>H219*12</f>
        <v>16804</v>
      </c>
      <c r="J219" s="127">
        <f t="shared" si="190"/>
        <v>17644.2</v>
      </c>
      <c r="K219" s="127">
        <f t="shared" si="190"/>
        <v>18526.41</v>
      </c>
      <c r="L219" s="127">
        <f t="shared" si="190"/>
        <v>19452.730500000001</v>
      </c>
      <c r="M219" s="127">
        <f t="shared" si="190"/>
        <v>20425.367025000003</v>
      </c>
      <c r="N219" s="245" t="str">
        <f>C219</f>
        <v>FIS Xpress Deposit - Consumer Remote Deposit Svcs [QTY CALCULATIONS YOY]</v>
      </c>
      <c r="O219" s="586"/>
      <c r="P219" s="757"/>
      <c r="Q219" s="129"/>
      <c r="R219" s="129"/>
      <c r="S219" s="129"/>
      <c r="T219" s="129"/>
      <c r="U219" s="129"/>
      <c r="V219" s="209"/>
      <c r="W219" s="528"/>
      <c r="X219" s="222" t="str">
        <f>B219&amp;" [STATIC TIERED]"</f>
        <v>FIS Xpress Deposit - Consumer Remote Deposit Svcs [STATIC TIERED]</v>
      </c>
      <c r="Y219" s="325"/>
      <c r="Z219" s="774">
        <f t="shared" si="191"/>
        <v>0</v>
      </c>
      <c r="AA219" s="103">
        <f>IF(Y219&gt;0,PRODUCT(I219,$Y219),0)</f>
        <v>0</v>
      </c>
      <c r="AB219" s="103">
        <f t="shared" si="192"/>
        <v>0</v>
      </c>
      <c r="AC219" s="103">
        <f t="shared" si="192"/>
        <v>0</v>
      </c>
      <c r="AD219" s="103">
        <f t="shared" si="192"/>
        <v>0</v>
      </c>
      <c r="AE219" s="103">
        <f t="shared" si="192"/>
        <v>0</v>
      </c>
      <c r="AF219" s="123">
        <f t="shared" si="193"/>
        <v>0</v>
      </c>
      <c r="AG219" s="743"/>
      <c r="AH219" s="370"/>
      <c r="AI219" s="221" t="str">
        <f>C219</f>
        <v>FIS Xpress Deposit - Consumer Remote Deposit Svcs [QTY CALCULATIONS YOY]</v>
      </c>
      <c r="AJ219" s="270"/>
      <c r="AK219" s="896">
        <f t="shared" si="194"/>
        <v>0</v>
      </c>
      <c r="AL219" s="105" cm="1">
        <f t="array" ref="AL219">_xlfn.IFS($AJ219="NO CHARGE",0,$AJ219="INCLUDED",0,$AJ219=0,0,$AJ219&gt;0,PRODUCT(I219,$AJ219))</f>
        <v>0</v>
      </c>
      <c r="AM219" s="105" cm="1">
        <f t="array" ref="AM219">_xlfn.IFS($AJ219="NO CHARGE",0,$AJ219="INCLUDED",0,$AJ219=0,0,$AJ219&gt;0,PRODUCT(J219,$AJ219))</f>
        <v>0</v>
      </c>
      <c r="AN219" s="105" cm="1">
        <f t="array" ref="AN219">_xlfn.IFS($AJ219="NO CHARGE",0,$AJ219="INCLUDED",0,$AJ219=0,0,$AJ219&gt;0,PRODUCT(K219,$AJ219))</f>
        <v>0</v>
      </c>
      <c r="AO219" s="105" cm="1">
        <f t="array" ref="AO219">_xlfn.IFS($AJ219="NO CHARGE",0,$AJ219="INCLUDED",0,$AJ219=0,0,$AJ219&gt;0,PRODUCT(L219,$AJ219))</f>
        <v>0</v>
      </c>
      <c r="AP219" s="105" cm="1">
        <f t="array" ref="AP219">_xlfn.IFS($AJ219="NO CHARGE",0,$AJ219="INCLUDED",0,$AJ219=0,0,$AJ219&gt;0,PRODUCT(M219,$AJ219))</f>
        <v>0</v>
      </c>
      <c r="AQ219" s="158">
        <f t="shared" si="195"/>
        <v>0</v>
      </c>
      <c r="AR219" s="875"/>
      <c r="AS219" s="473"/>
      <c r="AT219" s="106"/>
      <c r="AU219" s="107"/>
      <c r="AV219" s="108">
        <f t="shared" si="196"/>
        <v>0</v>
      </c>
      <c r="AW219" s="108">
        <f t="shared" si="196"/>
        <v>0</v>
      </c>
      <c r="AX219" s="108">
        <f t="shared" si="196"/>
        <v>0</v>
      </c>
      <c r="AY219" s="108">
        <f t="shared" si="196"/>
        <v>0</v>
      </c>
      <c r="AZ219" s="108">
        <f t="shared" si="196"/>
        <v>0</v>
      </c>
      <c r="BA219" s="165">
        <f t="shared" si="197"/>
        <v>0</v>
      </c>
      <c r="BB219" s="531"/>
    </row>
    <row r="220" spans="1:54" s="495" customFormat="1" outlineLevel="1" x14ac:dyDescent="0.25">
      <c r="A220" s="445"/>
      <c r="B220" s="620" t="s">
        <v>264</v>
      </c>
      <c r="C220" s="200" t="s">
        <v>265</v>
      </c>
      <c r="D220" s="604"/>
      <c r="E220" s="604"/>
      <c r="F220" s="604"/>
      <c r="G220" s="604"/>
      <c r="H220" s="699">
        <v>2500</v>
      </c>
      <c r="I220" s="127">
        <f>IF(I219&gt;($H220*12),$H220*12,I219)</f>
        <v>16804</v>
      </c>
      <c r="J220" s="127">
        <f>IF(J219&gt;($H220*12),$H220*12,J219)</f>
        <v>17644.2</v>
      </c>
      <c r="K220" s="127">
        <f>IF(K219&gt;($H220*12),$H220*12,K219)</f>
        <v>18526.41</v>
      </c>
      <c r="L220" s="127">
        <f>IF(L219&gt;($H220*12),$H220*12,L219)</f>
        <v>19452.730500000001</v>
      </c>
      <c r="M220" s="127">
        <f>IF(M219&gt;($H220*12),$H220*12,M219)</f>
        <v>20425.367025000003</v>
      </c>
      <c r="N220" s="750" t="str">
        <f>C220</f>
        <v>[Static Tiered] Base Monthly Processing 0 - 2,500 Users</v>
      </c>
      <c r="O220" s="586">
        <v>677.78</v>
      </c>
      <c r="P220" s="757">
        <f>Q220/12</f>
        <v>677.78</v>
      </c>
      <c r="Q220" s="129" cm="1">
        <f t="array" ref="Q220">_xlfn.IFS($O220=0,0,I220&lt;($H220*12),$O220*12,I220&gt;($H220*12),0,I220=($H220*12),0)</f>
        <v>8133.36</v>
      </c>
      <c r="R220" s="129" cm="1">
        <f t="array" ref="R220">_xlfn.IFS($O220=0,0,J220&lt;($H220*12),$O220*12,J220&gt;($H220*12),0,J220=($H220*12),0)</f>
        <v>8133.36</v>
      </c>
      <c r="S220" s="129" cm="1">
        <f t="array" ref="S220">_xlfn.IFS($O220=0,0,K220&lt;($H220*12),$O220*12,K220&gt;($H220*12),0,K220=($H220*12),0)</f>
        <v>8133.36</v>
      </c>
      <c r="T220" s="129" cm="1">
        <f t="array" ref="T220">_xlfn.IFS($O220=0,0,L220&lt;($H220*12),$O220*12,L220&gt;($H220*12),0,L220=($H220*12),0)</f>
        <v>8133.36</v>
      </c>
      <c r="U220" s="129" cm="1">
        <f t="array" ref="U220">_xlfn.IFS($O220=0,0,M220&lt;($H220*12),$O220*12,M220&gt;($H220*12),0,M220=($H220*12),0)</f>
        <v>8133.36</v>
      </c>
      <c r="V220" s="209">
        <f>SUM(Q220:U220)</f>
        <v>40666.799999999996</v>
      </c>
      <c r="W220" s="528" t="s">
        <v>266</v>
      </c>
      <c r="X220" s="701" t="str">
        <f>C220</f>
        <v>[Static Tiered] Base Monthly Processing 0 - 2,500 Users</v>
      </c>
      <c r="Y220" s="325">
        <v>603</v>
      </c>
      <c r="Z220" s="774">
        <f t="shared" si="191"/>
        <v>603</v>
      </c>
      <c r="AA220" s="103" cm="1">
        <f t="array" ref="AA220">_xlfn.IFS($Y220=0,0, I220&lt;$H220*12,$Y220*12,I220&gt;$H220*12,0, I220=$H220*12,0)</f>
        <v>7236</v>
      </c>
      <c r="AB220" s="103" cm="1">
        <f t="array" ref="AB220">_xlfn.IFS($Y220=0,0, J220&lt;$H220*12,$Y220*12,J220&gt;$H220*12,0, J220=$H220*12,0)</f>
        <v>7236</v>
      </c>
      <c r="AC220" s="103" cm="1">
        <f t="array" ref="AC220">_xlfn.IFS($Y220=0,0, K220&lt;$H220*12,$Y220*12,K220&gt;$H220*12,0, K220=$H220*12,0)</f>
        <v>7236</v>
      </c>
      <c r="AD220" s="103" cm="1">
        <f t="array" ref="AD220">_xlfn.IFS($Y220=0,0, L220&lt;$H220*12,$Y220*12,L220&gt;$H220*12,0, L220=$H220*12,0)</f>
        <v>7236</v>
      </c>
      <c r="AE220" s="103" cm="1">
        <f t="array" ref="AE220">_xlfn.IFS($Y220=0,0, M220&lt;$H220*12,$Y220*12,M220&gt;$H220*12,0, M220=$H220*12,0)</f>
        <v>7236</v>
      </c>
      <c r="AF220" s="123">
        <f t="shared" si="193"/>
        <v>36180</v>
      </c>
      <c r="AG220" s="743"/>
      <c r="AH220" s="362" t="s">
        <v>266</v>
      </c>
      <c r="AI220" s="880" t="str">
        <f>C220</f>
        <v>[Static Tiered] Base Monthly Processing 0 - 2,500 Users</v>
      </c>
      <c r="AJ220" s="270">
        <v>638.49</v>
      </c>
      <c r="AK220" s="896">
        <f t="shared" si="194"/>
        <v>638.49</v>
      </c>
      <c r="AL220" s="105" cm="1">
        <f t="array" ref="AL220">_xlfn.IFS($AJ220=0,0, I220&lt;($H220*12),$AJ220*12,I220&gt;($H220*12),0, I220=($H220*12),0)</f>
        <v>7661.88</v>
      </c>
      <c r="AM220" s="105" cm="1">
        <f t="array" ref="AM220">_xlfn.IFS($AJ220=0,0, J220&lt;($H220*12),$AJ220*12,J220&gt;($H220*12),0, J220=($H220*12),0)</f>
        <v>7661.88</v>
      </c>
      <c r="AN220" s="105" cm="1">
        <f t="array" ref="AN220">_xlfn.IFS($AJ220=0,0, K220&lt;($H220*12),$AJ220*12,K220&gt;($H220*12),0, K220=($H220*12),0)</f>
        <v>7661.88</v>
      </c>
      <c r="AO220" s="105" cm="1">
        <f t="array" ref="AO220">_xlfn.IFS($AJ220=0,0, L220&lt;($H220*12),$AJ220*12,L220&gt;($H220*12),0, L220=($H220*12),0)</f>
        <v>7661.88</v>
      </c>
      <c r="AP220" s="105" cm="1">
        <f t="array" ref="AP220">_xlfn.IFS($AJ220=0,0, M220&lt;($H220*12),$AJ220*12,M220&gt;($H220*12),0, M220=($H220*12),0)</f>
        <v>7661.88</v>
      </c>
      <c r="AQ220" s="158">
        <f t="shared" si="195"/>
        <v>38309.4</v>
      </c>
      <c r="AR220" s="875"/>
      <c r="AS220" s="473" t="s">
        <v>266</v>
      </c>
      <c r="AT220" s="106"/>
      <c r="AU220" s="107"/>
      <c r="AV220" s="108">
        <f t="shared" si="196"/>
        <v>0</v>
      </c>
      <c r="AW220" s="108">
        <f t="shared" si="196"/>
        <v>0</v>
      </c>
      <c r="AX220" s="108">
        <f t="shared" si="196"/>
        <v>0</v>
      </c>
      <c r="AY220" s="108">
        <f t="shared" si="196"/>
        <v>0</v>
      </c>
      <c r="AZ220" s="108">
        <f t="shared" si="196"/>
        <v>0</v>
      </c>
      <c r="BA220" s="165">
        <f t="shared" si="197"/>
        <v>0</v>
      </c>
      <c r="BB220" s="531"/>
    </row>
    <row r="221" spans="1:54" s="495" customFormat="1" outlineLevel="1" x14ac:dyDescent="0.25">
      <c r="A221" s="445"/>
      <c r="B221" s="620" t="s">
        <v>264</v>
      </c>
      <c r="C221" s="200" t="s">
        <v>267</v>
      </c>
      <c r="D221" s="604"/>
      <c r="E221" s="604"/>
      <c r="F221" s="604"/>
      <c r="G221" s="604"/>
      <c r="H221" s="699">
        <f>5000-2501</f>
        <v>2499</v>
      </c>
      <c r="I221" s="127" cm="1">
        <f t="array" ref="I221">_xlfn.IFS(I219&gt;(($H220*12)+($H221*12)),$H221*12, I219&lt;(($H220*12)+($H221*12)),I219-I220, I219=(($H220*12)+($H221*12)),I219-I220)</f>
        <v>0</v>
      </c>
      <c r="J221" s="127" cm="1">
        <f t="array" ref="J221">_xlfn.IFS(J219&gt;(($H220*12)+($H221*12)),$H221*12, J219&lt;(($H220*12)+($H221*12)),J219-J220, J219=(($H220*12)+($H221*12)),J219-J220)</f>
        <v>0</v>
      </c>
      <c r="K221" s="127" cm="1">
        <f t="array" ref="K221">_xlfn.IFS(K219&gt;(($H220*12)+($H221*12)),$H221*12, K219&lt;(($H220*12)+($H221*12)),K219-K220, K219=(($H220*12)+($H221*12)),K219-K220)</f>
        <v>0</v>
      </c>
      <c r="L221" s="127" cm="1">
        <f t="array" ref="L221">_xlfn.IFS(L219&gt;(($H220*12)+($H221*12)),$H221*12, L219&lt;(($H220*12)+($H221*12)),L219-L220, L219=(($H220*12)+($H221*12)),L219-L220)</f>
        <v>0</v>
      </c>
      <c r="M221" s="127" cm="1">
        <f t="array" ref="M221">_xlfn.IFS(M219&gt;(($H220*12)+($H221*12)),$H221*12, M219&lt;(($H220*12)+($H221*12)),M219-M220, M219=(($H220*12)+($H221*12)),M219-M220)</f>
        <v>0</v>
      </c>
      <c r="N221" s="750" t="str">
        <f>C221</f>
        <v>[Static Tiered] Base Monthly Processing 2,501 - 5k Users</v>
      </c>
      <c r="O221" s="586"/>
      <c r="P221" s="757">
        <f>Q221/12</f>
        <v>0</v>
      </c>
      <c r="Q221" s="129" cm="1">
        <f t="array" ref="Q221">_xlfn.IFS(I221=0,0, $Y221=0,0,I221&lt; $H221*12,$Y221*12,I221&gt;$H221*12,0,I221= $H221*12,0)</f>
        <v>0</v>
      </c>
      <c r="R221" s="129" cm="1">
        <f t="array" ref="R221">_xlfn.IFS(J221=0,0, $Y221=0,0,J221&lt; $H221*12,$Y221*12,J221&gt;$H221*12,0,J221= $H221*12,0)</f>
        <v>0</v>
      </c>
      <c r="S221" s="129" cm="1">
        <f t="array" ref="S221">_xlfn.IFS(K221=0,0, $Y221=0,0,K221&lt; $H221*12,$Y221*12,K221&gt;$H221*12,0,K221= $H221*12,0)</f>
        <v>0</v>
      </c>
      <c r="T221" s="129" cm="1">
        <f t="array" ref="T221">_xlfn.IFS(L221=0,0, $Y221=0,0,L221&lt; $H221*12,$Y221*12,L221&gt;$H221*12,0,L221= $H221*12,0)</f>
        <v>0</v>
      </c>
      <c r="U221" s="129" cm="1">
        <f t="array" ref="U221">_xlfn.IFS(M221=0,0, $Y221=0,0,M221&lt; $H221*12,$Y221*12,M221&gt;$H221*12,0,M221= $H221*12,0)</f>
        <v>0</v>
      </c>
      <c r="V221" s="209">
        <f>SUM(Q221:U221)</f>
        <v>0</v>
      </c>
      <c r="W221" s="528" t="s">
        <v>266</v>
      </c>
      <c r="X221" s="701" t="str">
        <f>C221</f>
        <v>[Static Tiered] Base Monthly Processing 2,501 - 5k Users</v>
      </c>
      <c r="Y221" s="325">
        <v>720.3</v>
      </c>
      <c r="Z221" s="774">
        <f t="shared" si="191"/>
        <v>0</v>
      </c>
      <c r="AA221" s="103" cm="1">
        <f t="array" ref="AA221">_xlfn.IFS(I221=0,0, $Y221=0,0, I221&lt;$H221*12,$Y221*12,I221&gt;$H221*12,0, I221=$H221*12,0)</f>
        <v>0</v>
      </c>
      <c r="AB221" s="103" cm="1">
        <f t="array" ref="AB221">_xlfn.IFS(J221=0,0, $Y221=0,0, J221&lt;$H221*12,$Y221*12,J221&gt;$H221*12,0, J221=$H221*12,0)</f>
        <v>0</v>
      </c>
      <c r="AC221" s="103" cm="1">
        <f t="array" ref="AC221">_xlfn.IFS(K221=0,0, $Y221=0,0, K221&lt;$H221*12,$Y221*12,K221&gt;$H221*12,0, K221=$H221*12,0)</f>
        <v>0</v>
      </c>
      <c r="AD221" s="103" cm="1">
        <f t="array" ref="AD221">_xlfn.IFS(L221=0,0, $Y221=0,0, L221&lt;$H221*12,$Y221*12,L221&gt;$H221*12,0, L221=$H221*12,0)</f>
        <v>0</v>
      </c>
      <c r="AE221" s="103" cm="1">
        <f t="array" ref="AE221">_xlfn.IFS(M221=0,0, $Y221=0,0, M221&lt;$H221*12,$Y221*12,M221&gt;$H221*12,0, M221=$H221*12,0)</f>
        <v>0</v>
      </c>
      <c r="AF221" s="123">
        <f t="shared" si="193"/>
        <v>0</v>
      </c>
      <c r="AG221" s="743"/>
      <c r="AH221" s="362" t="s">
        <v>266</v>
      </c>
      <c r="AI221" s="880" t="str">
        <f>C221</f>
        <v>[Static Tiered] Base Monthly Processing 2,501 - 5k Users</v>
      </c>
      <c r="AJ221" s="270">
        <v>738.27</v>
      </c>
      <c r="AK221" s="896">
        <f t="shared" si="194"/>
        <v>0</v>
      </c>
      <c r="AL221" s="105" cm="1">
        <f t="array" ref="AL221">_xlfn.IFS(I221=0,0, $AJ221=0,0, I221&lt;$H221*12,$AJ221*12,I221&gt;$H221*12,0, I221=$H221*12,0)</f>
        <v>0</v>
      </c>
      <c r="AM221" s="105" cm="1">
        <f t="array" ref="AM221">_xlfn.IFS(J221=0,0, $AJ221=0,0, J221&lt;$H221*12,$AJ221*12,J221&gt;$H221*12,0, J221=$H221*12,0)</f>
        <v>0</v>
      </c>
      <c r="AN221" s="105" cm="1">
        <f t="array" ref="AN221">_xlfn.IFS(K221=0,0, $AJ221=0,0, K221&lt;$H221*12,$AJ221*12,K221&gt;$H221*12,0, K221=$H221*12,0)</f>
        <v>0</v>
      </c>
      <c r="AO221" s="105" cm="1">
        <f t="array" ref="AO221">_xlfn.IFS(L221=0,0, $AJ221=0,0, L221&lt;$H221*12,$AJ221*12,L221&gt;$H221*12,0, L221=$H221*12,0)</f>
        <v>0</v>
      </c>
      <c r="AP221" s="105" cm="1">
        <f t="array" ref="AP221">_xlfn.IFS(M221=0,0, $AJ221=0,0, M221&lt;$H221*12,$AJ221*12,M221&gt;$H221*12,0, M221=$H221*12,0)</f>
        <v>0</v>
      </c>
      <c r="AQ221" s="158">
        <f t="shared" si="195"/>
        <v>0</v>
      </c>
      <c r="AR221" s="875"/>
      <c r="AS221" s="473" t="s">
        <v>266</v>
      </c>
      <c r="AT221" s="106"/>
      <c r="AU221" s="107"/>
      <c r="AV221" s="108">
        <f t="shared" si="196"/>
        <v>0</v>
      </c>
      <c r="AW221" s="108">
        <f t="shared" si="196"/>
        <v>0</v>
      </c>
      <c r="AX221" s="108">
        <f t="shared" si="196"/>
        <v>0</v>
      </c>
      <c r="AY221" s="108">
        <f t="shared" si="196"/>
        <v>0</v>
      </c>
      <c r="AZ221" s="108">
        <f t="shared" si="196"/>
        <v>0</v>
      </c>
      <c r="BA221" s="165">
        <f t="shared" si="197"/>
        <v>0</v>
      </c>
      <c r="BB221" s="531"/>
    </row>
    <row r="222" spans="1:54" s="495" customFormat="1" outlineLevel="1" x14ac:dyDescent="0.25">
      <c r="A222" s="445"/>
      <c r="B222" s="620" t="s">
        <v>264</v>
      </c>
      <c r="C222" s="200" t="s">
        <v>268</v>
      </c>
      <c r="D222" s="604"/>
      <c r="E222" s="604"/>
      <c r="F222" s="604"/>
      <c r="G222" s="604"/>
      <c r="H222" s="699"/>
      <c r="I222" s="127" cm="1">
        <f t="array" ref="I222">_xlfn.IFS(I219&gt;(($H220+$H221)*12),I219-I220-I221, I219&lt;(($H220+$H221)*12),0, I219=(($H220+$H221)*12),0)</f>
        <v>0</v>
      </c>
      <c r="J222" s="127" cm="1">
        <f t="array" ref="J222">_xlfn.IFS(J219&gt;(($H220+$H221)*12),J219-J220-J221, J219&lt;(($H220+$H221)*12),0, J219=(($H220+$H221)*12),0)</f>
        <v>0</v>
      </c>
      <c r="K222" s="127" cm="1">
        <f t="array" ref="K222">_xlfn.IFS(K219&gt;(($H220+$H221)*12),K219-K220-K221, K219&lt;(($H220+$H221)*12),0, K219=(($H220+$H221)*12),0)</f>
        <v>0</v>
      </c>
      <c r="L222" s="127" cm="1">
        <f t="array" ref="L222">_xlfn.IFS(L219&gt;(($H220+$H221)*12),L219-L220-L221, L219&lt;(($H220+$H221)*12),0, L219=(($H220+$H221)*12),0)</f>
        <v>0</v>
      </c>
      <c r="M222" s="127" cm="1">
        <f t="array" ref="M222">_xlfn.IFS(M219&gt;(($H220+$H221)*12),M219-M220-M221, M219&lt;(($H220+$H221)*12),0, M219=(($H220+$H221)*12),0)</f>
        <v>0</v>
      </c>
      <c r="N222" s="750" t="str">
        <f>C222</f>
        <v>[Static Tiered] Base Monthly Processing beyond 5k Users</v>
      </c>
      <c r="O222" s="586"/>
      <c r="P222" s="757">
        <f>Q222/12</f>
        <v>0</v>
      </c>
      <c r="Q222" s="129" cm="1">
        <f t="array" ref="Q222">_xlfn.IFS(I222=0,0, $Y222=0,0,I222&lt; SUM($H220:$H221)*12,$Y222*12,I222&gt;SUM($H220:$H221)*12,0,I222= SUM($H220:$H221)*12,0)</f>
        <v>0</v>
      </c>
      <c r="R222" s="129" cm="1">
        <f t="array" ref="R222">_xlfn.IFS(J222=0,0, $Y222=0,0,J222&lt; SUM($H220:$H221)*12,$Y222*12,J222&gt;SUM($H220:$H221)*12,0,J222= SUM($H220:$H221)*12,0)</f>
        <v>0</v>
      </c>
      <c r="S222" s="129" cm="1">
        <f t="array" ref="S222">_xlfn.IFS(K222=0,0, $Y222=0,0,K222&lt; SUM($H220:$H221)*12,$Y222*12,K222&gt;SUM($H220:$H221)*12,0,K222= SUM($H220:$H221)*12,0)</f>
        <v>0</v>
      </c>
      <c r="T222" s="129" cm="1">
        <f t="array" ref="T222">_xlfn.IFS(L222=0,0, $Y222=0,0,L222&lt; SUM($H220:$H221)*12,$Y222*12,L222&gt;SUM($H220:$H221)*12,0,L222= SUM($H220:$H221)*12,0)</f>
        <v>0</v>
      </c>
      <c r="U222" s="129" cm="1">
        <f t="array" ref="U222">_xlfn.IFS(M222=0,0, $Y222=0,0,M222&lt; SUM($H220:$H221)*12,$Y222*12,M222&gt;SUM($H220:$H221)*12,0,M222= SUM($H220:$H221)*12,0)</f>
        <v>0</v>
      </c>
      <c r="V222" s="209">
        <f>SUM(Q222:U222)</f>
        <v>0</v>
      </c>
      <c r="W222" s="528" t="s">
        <v>266</v>
      </c>
      <c r="X222" s="701" t="str">
        <f>C222</f>
        <v>[Static Tiered] Base Monthly Processing beyond 5k Users</v>
      </c>
      <c r="Y222" s="325">
        <v>1152</v>
      </c>
      <c r="Z222" s="774">
        <f t="shared" si="191"/>
        <v>0</v>
      </c>
      <c r="AA222" s="103" cm="1">
        <f t="array" ref="AA222">_xlfn.IFS(I222=0,0, $Y222=0,0, I222&lt;SUM($H220:$H221)*12,$Y222*12,I222&gt;SUM($H220:$H221)*12,0, I222=SUM($H220:$H221)*12,0)</f>
        <v>0</v>
      </c>
      <c r="AB222" s="103" cm="1">
        <f t="array" ref="AB222">_xlfn.IFS(J222=0,0, $Y222=0,0, J222&lt;SUM(I220:I221)*12,$Y222*12,J222&gt;SUM(I220:I221)*12,0, J222=SUM(I220:I221)*12,0)</f>
        <v>0</v>
      </c>
      <c r="AC222" s="103" cm="1">
        <f t="array" ref="AC222">_xlfn.IFS(K222=0,0, $Y222=0,0, K222&lt;SUM(J220:J221)*12,$Y222*12,K222&gt;SUM(J220:J221)*12,0, K222=SUM(J220:J221)*12,0)</f>
        <v>0</v>
      </c>
      <c r="AD222" s="103" cm="1">
        <f t="array" ref="AD222">_xlfn.IFS(L222=0,0, $Y222=0,0, L222&lt;SUM(K220:K221)*12,$Y222*12,L222&gt;SUM(K220:K221)*12,0, L222=SUM(K220:K221)*12,0)</f>
        <v>0</v>
      </c>
      <c r="AE222" s="103" cm="1">
        <f t="array" ref="AE222">_xlfn.IFS(M222=0,0, $Y222=0,0, M222&lt;SUM(L220:L221)*12,$Y222*12,M222&gt;SUM(L220:L221)*12,0, M222=SUM(L220:L221)*12,0)</f>
        <v>0</v>
      </c>
      <c r="AF222" s="123">
        <f t="shared" si="193"/>
        <v>0</v>
      </c>
      <c r="AG222" s="743"/>
      <c r="AH222" s="362" t="s">
        <v>266</v>
      </c>
      <c r="AI222" s="880" t="str">
        <f>C222</f>
        <v>[Static Tiered] Base Monthly Processing beyond 5k Users</v>
      </c>
      <c r="AJ222" s="270">
        <v>1221.1099999999999</v>
      </c>
      <c r="AK222" s="896">
        <f t="shared" si="194"/>
        <v>0</v>
      </c>
      <c r="AL222" s="105" cm="1">
        <f t="array" ref="AL222">_xlfn.IFS(I222=0,0, $AJ222=0,0, I222&lt;SUM($H220:$H221)*12,$AJ222*12,I222&gt;SUM($H220:$H221)*12,0, I222=SUM($H220:$H221)*12,0)</f>
        <v>0</v>
      </c>
      <c r="AM222" s="105" cm="1">
        <f t="array" ref="AM222">_xlfn.IFS(J222=0,0, $AJ222=0,0, J222&lt;SUM($H220:$H221)*12,$AJ222*12,J222&gt;SUM($H220:$H221)*12,0, J222=SUM($H220:$H221)*12,0)</f>
        <v>0</v>
      </c>
      <c r="AN222" s="105" cm="1">
        <f t="array" ref="AN222">_xlfn.IFS(K222=0,0, $AJ222=0,0, K222&lt;SUM($H220:$H221)*12,$AJ222*12,K222&gt;SUM($H220:$H221)*12,0, K222=SUM($H220:$H221)*12,0)</f>
        <v>0</v>
      </c>
      <c r="AO222" s="105" cm="1">
        <f t="array" ref="AO222">_xlfn.IFS(L222=0,0, $AJ222=0,0, L222&lt;SUM($H220:$H221)*12,$AJ222*12,L222&gt;SUM($H220:$H221)*12,0, L222=SUM($H220:$H221)*12,0)</f>
        <v>0</v>
      </c>
      <c r="AP222" s="105" cm="1">
        <f t="array" ref="AP222">_xlfn.IFS(M222=0,0, $AJ222=0,0, M222&lt;SUM($H220:$H221)*12,$AJ222*12,M222&gt;SUM($H220:$H221)*12,0, M222=SUM($H220:$H221)*12,0)</f>
        <v>0</v>
      </c>
      <c r="AQ222" s="158">
        <f t="shared" si="195"/>
        <v>0</v>
      </c>
      <c r="AR222" s="875"/>
      <c r="AS222" s="473" t="s">
        <v>266</v>
      </c>
      <c r="AT222" s="106"/>
      <c r="AU222" s="107"/>
      <c r="AV222" s="108">
        <f t="shared" si="196"/>
        <v>0</v>
      </c>
      <c r="AW222" s="108">
        <f t="shared" si="196"/>
        <v>0</v>
      </c>
      <c r="AX222" s="108">
        <f t="shared" si="196"/>
        <v>0</v>
      </c>
      <c r="AY222" s="108">
        <f t="shared" si="196"/>
        <v>0</v>
      </c>
      <c r="AZ222" s="108">
        <f t="shared" si="196"/>
        <v>0</v>
      </c>
      <c r="BA222" s="165">
        <f t="shared" si="197"/>
        <v>0</v>
      </c>
      <c r="BB222" s="531"/>
    </row>
    <row r="223" spans="1:54" s="495" customFormat="1" outlineLevel="1" x14ac:dyDescent="0.25">
      <c r="A223" s="445"/>
      <c r="B223" s="623"/>
      <c r="C223" s="310"/>
      <c r="D223" s="604"/>
      <c r="E223" s="604"/>
      <c r="F223" s="604"/>
      <c r="G223" s="604"/>
      <c r="H223" s="618">
        <f>IFERROR(AVERAGE(D223:G223),0)</f>
        <v>0</v>
      </c>
      <c r="I223" s="127">
        <f>H223*12</f>
        <v>0</v>
      </c>
      <c r="J223" s="127">
        <f t="shared" ref="J223:M224" si="198">IF(I223&gt;12,(((I223)*$H$5)+I223),(I223*1))</f>
        <v>0</v>
      </c>
      <c r="K223" s="127">
        <f t="shared" si="198"/>
        <v>0</v>
      </c>
      <c r="L223" s="127">
        <f t="shared" si="198"/>
        <v>0</v>
      </c>
      <c r="M223" s="127">
        <f t="shared" si="198"/>
        <v>0</v>
      </c>
      <c r="N223" s="245"/>
      <c r="O223" s="748"/>
      <c r="P223" s="757">
        <f>Q223/12</f>
        <v>0</v>
      </c>
      <c r="Q223" s="129">
        <f>IF(O223&gt;0,PRODUCT(I223,$O223),0)</f>
        <v>0</v>
      </c>
      <c r="R223" s="129">
        <f>IF(Q223&gt;0,PRODUCT(J223,$O223),0)</f>
        <v>0</v>
      </c>
      <c r="S223" s="129">
        <f>IF(R223&gt;0,PRODUCT(K223,$O223),0)</f>
        <v>0</v>
      </c>
      <c r="T223" s="129">
        <f>IF(S223&gt;0,PRODUCT(L223,$O223),0)</f>
        <v>0</v>
      </c>
      <c r="U223" s="129">
        <f>IF(T223&gt;0,PRODUCT(M223,$O223),0)</f>
        <v>0</v>
      </c>
      <c r="V223" s="209">
        <f>SUM(Q223:U223)</f>
        <v>0</v>
      </c>
      <c r="W223" s="621"/>
      <c r="X223" s="222"/>
      <c r="Y223" s="325"/>
      <c r="Z223" s="774">
        <f t="shared" si="191"/>
        <v>0</v>
      </c>
      <c r="AA223" s="103">
        <f>IF(Y223&gt;0,PRODUCT(I223,$Y223),0)</f>
        <v>0</v>
      </c>
      <c r="AB223" s="103">
        <f>IF(AA223&gt;0,PRODUCT(J223,$Y223),0)</f>
        <v>0</v>
      </c>
      <c r="AC223" s="103">
        <f>IF(AB223&gt;0,PRODUCT(K223,$Y223),0)</f>
        <v>0</v>
      </c>
      <c r="AD223" s="103">
        <f>IF(AC223&gt;0,PRODUCT(L223,$Y223),0)</f>
        <v>0</v>
      </c>
      <c r="AE223" s="103">
        <f>IF(AD223&gt;0,PRODUCT(M223,$Y223),0)</f>
        <v>0</v>
      </c>
      <c r="AF223" s="123">
        <f t="shared" si="193"/>
        <v>0</v>
      </c>
      <c r="AG223" s="743"/>
      <c r="AH223" s="362"/>
      <c r="AI223" s="221"/>
      <c r="AJ223" s="270"/>
      <c r="AK223" s="896">
        <f t="shared" si="194"/>
        <v>0</v>
      </c>
      <c r="AL223" s="105" cm="1">
        <f t="array" ref="AL223">_xlfn.IFS($AJ223="NO CHARGE",0,$AJ223="INCLUDED",0,$AJ223=0,0,$AJ223&gt;0,PRODUCT(I223,$AJ223))</f>
        <v>0</v>
      </c>
      <c r="AM223" s="105" cm="1">
        <f t="array" ref="AM223">_xlfn.IFS($AJ223="NO CHARGE",0,$AJ223="INCLUDED",0,$AJ223=0,0,$AJ223&gt;0,PRODUCT(J223,$AJ223))</f>
        <v>0</v>
      </c>
      <c r="AN223" s="105" cm="1">
        <f t="array" ref="AN223">_xlfn.IFS($AJ223="NO CHARGE",0,$AJ223="INCLUDED",0,$AJ223=0,0,$AJ223&gt;0,PRODUCT(K223,$AJ223))</f>
        <v>0</v>
      </c>
      <c r="AO223" s="105" cm="1">
        <f t="array" ref="AO223">_xlfn.IFS($AJ223="NO CHARGE",0,$AJ223="INCLUDED",0,$AJ223=0,0,$AJ223&gt;0,PRODUCT(L223,$AJ223))</f>
        <v>0</v>
      </c>
      <c r="AP223" s="105" cm="1">
        <f t="array" ref="AP223">_xlfn.IFS($AJ223="NO CHARGE",0,$AJ223="INCLUDED",0,$AJ223=0,0,$AJ223&gt;0,PRODUCT(M223,$AJ223))</f>
        <v>0</v>
      </c>
      <c r="AQ223" s="158">
        <f t="shared" si="195"/>
        <v>0</v>
      </c>
      <c r="AR223" s="875"/>
      <c r="AS223" s="473"/>
      <c r="AT223" s="106"/>
      <c r="AU223" s="107"/>
      <c r="AV223" s="108">
        <f t="shared" si="196"/>
        <v>0</v>
      </c>
      <c r="AW223" s="108">
        <f t="shared" si="196"/>
        <v>0</v>
      </c>
      <c r="AX223" s="108">
        <f t="shared" si="196"/>
        <v>0</v>
      </c>
      <c r="AY223" s="108">
        <f t="shared" si="196"/>
        <v>0</v>
      </c>
      <c r="AZ223" s="108">
        <f t="shared" si="196"/>
        <v>0</v>
      </c>
      <c r="BA223" s="165">
        <f t="shared" si="197"/>
        <v>0</v>
      </c>
      <c r="BB223" s="531"/>
    </row>
    <row r="224" spans="1:54" s="495" customFormat="1" outlineLevel="1" x14ac:dyDescent="0.25">
      <c r="A224" s="445"/>
      <c r="B224" s="620" t="s">
        <v>264</v>
      </c>
      <c r="C224" s="310" t="s">
        <v>269</v>
      </c>
      <c r="D224" s="604"/>
      <c r="E224" s="604">
        <v>401</v>
      </c>
      <c r="F224" s="604">
        <v>395</v>
      </c>
      <c r="G224" s="604"/>
      <c r="H224" s="618">
        <f>IFERROR(AVERAGE(D224:F224),0)</f>
        <v>398</v>
      </c>
      <c r="I224" s="127">
        <f>H224*12</f>
        <v>4776</v>
      </c>
      <c r="J224" s="127">
        <f t="shared" si="198"/>
        <v>5014.8</v>
      </c>
      <c r="K224" s="127">
        <f t="shared" si="198"/>
        <v>5265.54</v>
      </c>
      <c r="L224" s="127">
        <f t="shared" si="198"/>
        <v>5528.817</v>
      </c>
      <c r="M224" s="127">
        <f t="shared" si="198"/>
        <v>5805.25785</v>
      </c>
      <c r="N224" s="245" t="s">
        <v>270</v>
      </c>
      <c r="O224" s="748"/>
      <c r="P224" s="760"/>
      <c r="Q224" s="129"/>
      <c r="R224" s="129"/>
      <c r="S224" s="129"/>
      <c r="T224" s="129"/>
      <c r="U224" s="129"/>
      <c r="V224" s="209"/>
      <c r="W224" s="527"/>
      <c r="X224" s="222" t="str">
        <f>N224</f>
        <v>Single Item Deposits (Smart Phone) [TIERED]</v>
      </c>
      <c r="Y224" s="325"/>
      <c r="Z224" s="774"/>
      <c r="AA224" s="103">
        <f>IF(Y224&gt;0,PRODUCT(#REF!,$Y224),0)</f>
        <v>0</v>
      </c>
      <c r="AB224" s="103">
        <f>IF(AA224&gt;0,PRODUCT(#REF!,$Y224),0)</f>
        <v>0</v>
      </c>
      <c r="AC224" s="103">
        <f>IF(AB224&gt;0,PRODUCT(#REF!,$Y224),0)</f>
        <v>0</v>
      </c>
      <c r="AD224" s="103">
        <f>IF(AC224&gt;0,PRODUCT(#REF!,$Y224),0)</f>
        <v>0</v>
      </c>
      <c r="AE224" s="103">
        <f>IF(AD224&gt;0,PRODUCT(#REF!,$Y224),0)</f>
        <v>0</v>
      </c>
      <c r="AF224" s="123">
        <f t="shared" si="193"/>
        <v>0</v>
      </c>
      <c r="AG224" s="743"/>
      <c r="AH224" s="362"/>
      <c r="AI224" s="221" t="str">
        <f>C224</f>
        <v>Single Item Deposits (Smart Phone) (Graduated) [QTY CALCULATIONS YOY]</v>
      </c>
      <c r="AJ224" s="886"/>
      <c r="AK224" s="896">
        <f t="shared" si="194"/>
        <v>0</v>
      </c>
      <c r="AL224" s="105" cm="1">
        <f t="array" ref="AL224">_xlfn.IFS($AJ224="NO CHARGE",0,$AJ224="INCLUDED",0,$AJ224=0,0,$AJ224&gt;0,PRODUCT(I224,$AJ224))</f>
        <v>0</v>
      </c>
      <c r="AM224" s="105" cm="1">
        <f t="array" ref="AM224">_xlfn.IFS($AJ224="NO CHARGE",0,$AJ224="INCLUDED",0,$AJ224=0,0,$AJ224&gt;0,PRODUCT(J224,$AJ224))</f>
        <v>0</v>
      </c>
      <c r="AN224" s="105" cm="1">
        <f t="array" ref="AN224">_xlfn.IFS($AJ224="NO CHARGE",0,$AJ224="INCLUDED",0,$AJ224=0,0,$AJ224&gt;0,PRODUCT(K224,$AJ224))</f>
        <v>0</v>
      </c>
      <c r="AO224" s="105" cm="1">
        <f t="array" ref="AO224">_xlfn.IFS($AJ224="NO CHARGE",0,$AJ224="INCLUDED",0,$AJ224=0,0,$AJ224&gt;0,PRODUCT(L224,$AJ224))</f>
        <v>0</v>
      </c>
      <c r="AP224" s="105" cm="1">
        <f t="array" ref="AP224">_xlfn.IFS($AJ224="NO CHARGE",0,$AJ224="INCLUDED",0,$AJ224=0,0,$AJ224&gt;0,PRODUCT(M224,$AJ224))</f>
        <v>0</v>
      </c>
      <c r="AQ224" s="158">
        <f t="shared" si="195"/>
        <v>0</v>
      </c>
      <c r="AR224" s="875"/>
      <c r="AS224" s="473"/>
      <c r="AT224" s="106"/>
      <c r="AU224" s="353"/>
      <c r="AV224" s="108">
        <f>IF(AU224&gt;0,PRODUCT(#REF!,$AU224),0)</f>
        <v>0</v>
      </c>
      <c r="AW224" s="108">
        <f>IF(AV224&gt;0,PRODUCT(#REF!,$AU224),0)</f>
        <v>0</v>
      </c>
      <c r="AX224" s="108">
        <f>IF(AW224&gt;0,PRODUCT(#REF!,$AU224),0)</f>
        <v>0</v>
      </c>
      <c r="AY224" s="108">
        <f>IF(AX224&gt;0,PRODUCT(#REF!,$AU224),0)</f>
        <v>0</v>
      </c>
      <c r="AZ224" s="108">
        <f>IF(AY224&gt;0,PRODUCT(#REF!,$AU224),0)</f>
        <v>0</v>
      </c>
      <c r="BA224" s="165">
        <f t="shared" si="197"/>
        <v>0</v>
      </c>
      <c r="BB224" s="531"/>
    </row>
    <row r="225" spans="1:54" s="495" customFormat="1" outlineLevel="1" x14ac:dyDescent="0.25">
      <c r="A225" s="700"/>
      <c r="B225" s="620" t="s">
        <v>264</v>
      </c>
      <c r="C225" s="200" t="s">
        <v>271</v>
      </c>
      <c r="D225" s="604"/>
      <c r="E225" s="604"/>
      <c r="F225" s="604"/>
      <c r="G225" s="604"/>
      <c r="H225" s="699">
        <v>2500</v>
      </c>
      <c r="I225" s="127">
        <f>IF(I224&gt;($H225*12),$H225*12,I224)</f>
        <v>4776</v>
      </c>
      <c r="J225" s="127">
        <f>IF(J224&gt;($H225*12),$H225*12,J224)</f>
        <v>5014.8</v>
      </c>
      <c r="K225" s="127">
        <f>IF(K224&gt;($H225*12),$H225*12,K224)</f>
        <v>5265.54</v>
      </c>
      <c r="L225" s="127">
        <f>IF(L224&gt;($H225*12),$H225*12,L224)</f>
        <v>5528.817</v>
      </c>
      <c r="M225" s="127">
        <f>IF(M224&gt;($H225*12),$H225*12,M224)</f>
        <v>5805.25785</v>
      </c>
      <c r="N225" s="750" t="str">
        <f>C225</f>
        <v>[Tiered] 0 - 2,500</v>
      </c>
      <c r="O225" s="586">
        <v>0.74268290000000003</v>
      </c>
      <c r="P225" s="757">
        <f>Q225/12</f>
        <v>295.58779420000002</v>
      </c>
      <c r="Q225" s="129">
        <f>IF(O225&gt;0,PRODUCT(I225,$O225),0)</f>
        <v>3547.0535304</v>
      </c>
      <c r="R225" s="129">
        <f t="shared" ref="R225:U229" si="199">IF(Q225&gt;0,PRODUCT(J225,$O225),0)</f>
        <v>3724.4062069200004</v>
      </c>
      <c r="S225" s="129">
        <f t="shared" si="199"/>
        <v>3910.6265172660001</v>
      </c>
      <c r="T225" s="129">
        <f t="shared" si="199"/>
        <v>4106.1578431293001</v>
      </c>
      <c r="U225" s="129">
        <f t="shared" si="199"/>
        <v>4311.4657352857648</v>
      </c>
      <c r="V225" s="209">
        <f>SUM(Q225:U225)</f>
        <v>19599.709833001063</v>
      </c>
      <c r="W225" s="621"/>
      <c r="X225" s="701" t="str">
        <f>C225</f>
        <v>[Tiered] 0 - 2,500</v>
      </c>
      <c r="Y225" s="325">
        <v>0.62919999999999998</v>
      </c>
      <c r="Z225" s="774">
        <f>AA225/12</f>
        <v>250.42159999999998</v>
      </c>
      <c r="AA225" s="103">
        <f>IF(Y225&gt;0,PRODUCT(I225,$Y225),0)</f>
        <v>3005.0591999999997</v>
      </c>
      <c r="AB225" s="103">
        <f t="shared" ref="AB225:AE229" si="200">IF(AA225&gt;0,PRODUCT(J225,$Y225),0)</f>
        <v>3155.3121599999999</v>
      </c>
      <c r="AC225" s="103">
        <f t="shared" si="200"/>
        <v>3313.0777680000001</v>
      </c>
      <c r="AD225" s="103">
        <f t="shared" si="200"/>
        <v>3478.7316563999998</v>
      </c>
      <c r="AE225" s="103">
        <f t="shared" si="200"/>
        <v>3652.66823922</v>
      </c>
      <c r="AF225" s="123">
        <f t="shared" si="193"/>
        <v>16604.849023620001</v>
      </c>
      <c r="AG225" s="743"/>
      <c r="AH225" s="711"/>
      <c r="AI225" s="880" t="str">
        <f>C225</f>
        <v>[Tiered] 0 - 2,500</v>
      </c>
      <c r="AJ225" s="270">
        <v>0.64790000000000003</v>
      </c>
      <c r="AK225" s="896">
        <f t="shared" si="194"/>
        <v>257.86420000000004</v>
      </c>
      <c r="AL225" s="105" cm="1">
        <f t="array" ref="AL225">_xlfn.IFS($AJ225="NO CHARGE",0,$AJ225="INCLUDED",0,$AJ225=0,0,$AJ225&gt;0,PRODUCT(I225,$AJ225))</f>
        <v>3094.3704000000002</v>
      </c>
      <c r="AM225" s="105" cm="1">
        <f t="array" ref="AM225">_xlfn.IFS($AJ225="NO CHARGE",0,$AJ225="INCLUDED",0,$AJ225=0,0,$AJ225&gt;0,PRODUCT(J225,$AJ225))</f>
        <v>3249.0889200000001</v>
      </c>
      <c r="AN225" s="105" cm="1">
        <f t="array" ref="AN225">_xlfn.IFS($AJ225="NO CHARGE",0,$AJ225="INCLUDED",0,$AJ225=0,0,$AJ225&gt;0,PRODUCT(K225,$AJ225))</f>
        <v>3411.5433660000003</v>
      </c>
      <c r="AO225" s="105" cm="1">
        <f t="array" ref="AO225">_xlfn.IFS($AJ225="NO CHARGE",0,$AJ225="INCLUDED",0,$AJ225=0,0,$AJ225&gt;0,PRODUCT(L225,$AJ225))</f>
        <v>3582.1205343000001</v>
      </c>
      <c r="AP225" s="105" cm="1">
        <f t="array" ref="AP225">_xlfn.IFS($AJ225="NO CHARGE",0,$AJ225="INCLUDED",0,$AJ225=0,0,$AJ225&gt;0,PRODUCT(M225,$AJ225))</f>
        <v>3761.2265610150002</v>
      </c>
      <c r="AQ225" s="158">
        <f t="shared" si="195"/>
        <v>17098.349781314999</v>
      </c>
      <c r="AR225" s="875"/>
      <c r="AS225" s="473"/>
      <c r="AT225" s="106"/>
      <c r="AU225" s="107"/>
      <c r="AV225" s="108">
        <f t="shared" ref="AV225:AZ229" si="201">IF(AU225&gt;0,PRODUCT(I225,$AU225),0)</f>
        <v>0</v>
      </c>
      <c r="AW225" s="108">
        <f t="shared" si="201"/>
        <v>0</v>
      </c>
      <c r="AX225" s="108">
        <f t="shared" si="201"/>
        <v>0</v>
      </c>
      <c r="AY225" s="108">
        <f t="shared" si="201"/>
        <v>0</v>
      </c>
      <c r="AZ225" s="108">
        <f t="shared" si="201"/>
        <v>0</v>
      </c>
      <c r="BA225" s="165">
        <f t="shared" si="197"/>
        <v>0</v>
      </c>
      <c r="BB225" s="531"/>
    </row>
    <row r="226" spans="1:54" s="495" customFormat="1" outlineLevel="1" x14ac:dyDescent="0.25">
      <c r="A226" s="700"/>
      <c r="B226" s="620" t="s">
        <v>264</v>
      </c>
      <c r="C226" s="200" t="s">
        <v>272</v>
      </c>
      <c r="D226" s="604"/>
      <c r="E226" s="604"/>
      <c r="F226" s="604"/>
      <c r="G226" s="604"/>
      <c r="H226" s="699">
        <f>5000-2501</f>
        <v>2499</v>
      </c>
      <c r="I226" s="127" cm="1">
        <f t="array" ref="I226">_xlfn.IFS(I224&gt;(SUM($H225:$H226)*12),$H226*12, I224&lt;(SUM(H225:H226)*12),0, I224=(SUM(H225:H226*12)),0)</f>
        <v>0</v>
      </c>
      <c r="J226" s="127" cm="1">
        <f t="array" ref="J226">_xlfn.IFS(J224&gt;(SUM($H225:$H226)*12),$H226*12, J224&lt;(SUM(I225:I226)*12),0, J224=(SUM(I225:I226*12)),0)</f>
        <v>0</v>
      </c>
      <c r="K226" s="127" cm="1">
        <f t="array" ref="K226">_xlfn.IFS(K224&gt;(SUM($H225:$H226)*12),$H226*12, K224&lt;(SUM(J225:J226)*12),0, K224=(SUM(J225:J226*12)),0)</f>
        <v>0</v>
      </c>
      <c r="L226" s="127" cm="1">
        <f t="array" ref="L226">_xlfn.IFS(L224&gt;(SUM($H225:$H226)*12),$H226*12, L224&lt;(SUM(K225:K226)*12),0, L224=(SUM(K225:K226*12)),0)</f>
        <v>0</v>
      </c>
      <c r="M226" s="127" cm="1">
        <f t="array" ref="M226">_xlfn.IFS(M224&gt;(SUM($H225:$H226)*12),$H226*12, M224&lt;(SUM(L225:L226)*12),0, M224=(SUM(L225:L226*12)),0)</f>
        <v>0</v>
      </c>
      <c r="N226" s="750" t="str">
        <f>C226</f>
        <v>[Tiered] 2,501 - 5k</v>
      </c>
      <c r="O226" s="586"/>
      <c r="P226" s="757">
        <f>Q226/12</f>
        <v>0</v>
      </c>
      <c r="Q226" s="129">
        <f>IF(O226&gt;0,PRODUCT(I226,$O226),0)</f>
        <v>0</v>
      </c>
      <c r="R226" s="129">
        <f t="shared" si="199"/>
        <v>0</v>
      </c>
      <c r="S226" s="129">
        <f t="shared" si="199"/>
        <v>0</v>
      </c>
      <c r="T226" s="129">
        <f t="shared" si="199"/>
        <v>0</v>
      </c>
      <c r="U226" s="129">
        <f t="shared" si="199"/>
        <v>0</v>
      </c>
      <c r="V226" s="209">
        <f>SUM(Q226:U226)</f>
        <v>0</v>
      </c>
      <c r="W226" s="621"/>
      <c r="X226" s="701" t="str">
        <f>C226</f>
        <v>[Tiered] 2,501 - 5k</v>
      </c>
      <c r="Y226" s="325">
        <v>0.56420000000000003</v>
      </c>
      <c r="Z226" s="774">
        <f>AA226/12</f>
        <v>0</v>
      </c>
      <c r="AA226" s="103">
        <f>IF(Y226&gt;0,PRODUCT(I226,$Y226),0)</f>
        <v>0</v>
      </c>
      <c r="AB226" s="103">
        <f t="shared" si="200"/>
        <v>0</v>
      </c>
      <c r="AC226" s="103">
        <f t="shared" si="200"/>
        <v>0</v>
      </c>
      <c r="AD226" s="103">
        <f t="shared" si="200"/>
        <v>0</v>
      </c>
      <c r="AE226" s="103">
        <f t="shared" si="200"/>
        <v>0</v>
      </c>
      <c r="AF226" s="123">
        <f t="shared" si="193"/>
        <v>0</v>
      </c>
      <c r="AG226" s="743"/>
      <c r="AH226" s="362"/>
      <c r="AI226" s="880" t="str">
        <f>C226</f>
        <v>[Tiered] 2,501 - 5k</v>
      </c>
      <c r="AJ226" s="270">
        <v>0.59750000000000003</v>
      </c>
      <c r="AK226" s="896">
        <f t="shared" si="194"/>
        <v>0</v>
      </c>
      <c r="AL226" s="105" cm="1">
        <f t="array" ref="AL226">_xlfn.IFS($AJ226="NO CHARGE",0,$AJ226="INCLUDED",0,$AJ226=0,0,$AJ226&gt;0,PRODUCT(I226,$AJ226))</f>
        <v>0</v>
      </c>
      <c r="AM226" s="105" cm="1">
        <f t="array" ref="AM226">_xlfn.IFS($AJ226="NO CHARGE",0,$AJ226="INCLUDED",0,$AJ226=0,0,$AJ226&gt;0,PRODUCT(J226,$AJ226))</f>
        <v>0</v>
      </c>
      <c r="AN226" s="105" cm="1">
        <f t="array" ref="AN226">_xlfn.IFS($AJ226="NO CHARGE",0,$AJ226="INCLUDED",0,$AJ226=0,0,$AJ226&gt;0,PRODUCT(K226,$AJ226))</f>
        <v>0</v>
      </c>
      <c r="AO226" s="105" cm="1">
        <f t="array" ref="AO226">_xlfn.IFS($AJ226="NO CHARGE",0,$AJ226="INCLUDED",0,$AJ226=0,0,$AJ226&gt;0,PRODUCT(L226,$AJ226))</f>
        <v>0</v>
      </c>
      <c r="AP226" s="105" cm="1">
        <f t="array" ref="AP226">_xlfn.IFS($AJ226="NO CHARGE",0,$AJ226="INCLUDED",0,$AJ226=0,0,$AJ226&gt;0,PRODUCT(M226,$AJ226))</f>
        <v>0</v>
      </c>
      <c r="AQ226" s="158">
        <f t="shared" si="195"/>
        <v>0</v>
      </c>
      <c r="AR226" s="875"/>
      <c r="AS226" s="473"/>
      <c r="AT226" s="106"/>
      <c r="AU226" s="107"/>
      <c r="AV226" s="108">
        <f t="shared" si="201"/>
        <v>0</v>
      </c>
      <c r="AW226" s="108">
        <f t="shared" si="201"/>
        <v>0</v>
      </c>
      <c r="AX226" s="108">
        <f t="shared" si="201"/>
        <v>0</v>
      </c>
      <c r="AY226" s="108">
        <f t="shared" si="201"/>
        <v>0</v>
      </c>
      <c r="AZ226" s="108">
        <f t="shared" si="201"/>
        <v>0</v>
      </c>
      <c r="BA226" s="165">
        <f t="shared" si="197"/>
        <v>0</v>
      </c>
      <c r="BB226" s="531"/>
    </row>
    <row r="227" spans="1:54" s="495" customFormat="1" outlineLevel="1" x14ac:dyDescent="0.25">
      <c r="A227" s="700"/>
      <c r="B227" s="620" t="s">
        <v>264</v>
      </c>
      <c r="C227" s="200" t="s">
        <v>273</v>
      </c>
      <c r="D227" s="604"/>
      <c r="E227" s="604"/>
      <c r="F227" s="604"/>
      <c r="G227" s="604"/>
      <c r="H227" s="699">
        <f>10000-5001</f>
        <v>4999</v>
      </c>
      <c r="I227" s="127" cm="1">
        <f t="array" ref="I227">_xlfn.IFS(I224&gt;(SUM($H225:$H227)*12),$H227*12, I224&lt;(SUM(H225:H227)*12),0, I224=(SUM(H225:H227*12)),0)</f>
        <v>0</v>
      </c>
      <c r="J227" s="127" cm="1">
        <f t="array" ref="J227">_xlfn.IFS(J224&gt;(SUM($H225:$H227)*12),$H227*12, J224&lt;(SUM(I225:I227)*12),0, J224=(SUM(I225:I227*12)),0)</f>
        <v>0</v>
      </c>
      <c r="K227" s="127" cm="1">
        <f t="array" ref="K227">_xlfn.IFS(K224&gt;(SUM($H225:$H227)*12),$H227*12, K224&lt;(SUM(J225:J227)*12),0, K224=(SUM(J225:J227*12)),0)</f>
        <v>0</v>
      </c>
      <c r="L227" s="127" cm="1">
        <f t="array" ref="L227">_xlfn.IFS(L224&gt;(SUM($H225:$H227)*12),$H227*12, L224&lt;(SUM(K225:K227)*12),0, L224=(SUM(K225:K227*12)),0)</f>
        <v>0</v>
      </c>
      <c r="M227" s="127" cm="1">
        <f t="array" ref="M227">_xlfn.IFS(M224&gt;(SUM($H225:$H227)*12),$H227*12, M224&lt;(SUM(L225:L227)*12),0, M224=(SUM(L225:L227*12)),0)</f>
        <v>0</v>
      </c>
      <c r="N227" s="750" t="str">
        <f>C227</f>
        <v>[Tiered] 5,001 - 10k</v>
      </c>
      <c r="O227" s="586"/>
      <c r="P227" s="757">
        <f>Q227/12</f>
        <v>0</v>
      </c>
      <c r="Q227" s="129">
        <f>IF(O227&gt;0,PRODUCT(I227,$O227),0)</f>
        <v>0</v>
      </c>
      <c r="R227" s="129">
        <f t="shared" si="199"/>
        <v>0</v>
      </c>
      <c r="S227" s="129">
        <f t="shared" si="199"/>
        <v>0</v>
      </c>
      <c r="T227" s="129">
        <f t="shared" si="199"/>
        <v>0</v>
      </c>
      <c r="U227" s="129">
        <f t="shared" si="199"/>
        <v>0</v>
      </c>
      <c r="V227" s="209">
        <f>SUM(Q227:U227)</f>
        <v>0</v>
      </c>
      <c r="W227" s="528"/>
      <c r="X227" s="701" t="str">
        <f>C227</f>
        <v>[Tiered] 5,001 - 10k</v>
      </c>
      <c r="Y227" s="325">
        <v>0.48220000000000002</v>
      </c>
      <c r="Z227" s="774">
        <f>AA227/12</f>
        <v>0</v>
      </c>
      <c r="AA227" s="103">
        <f>IF(Y227&gt;0,PRODUCT(I227,$Y227),0)</f>
        <v>0</v>
      </c>
      <c r="AB227" s="103">
        <f t="shared" si="200"/>
        <v>0</v>
      </c>
      <c r="AC227" s="103">
        <f t="shared" si="200"/>
        <v>0</v>
      </c>
      <c r="AD227" s="103">
        <f t="shared" si="200"/>
        <v>0</v>
      </c>
      <c r="AE227" s="103">
        <f t="shared" si="200"/>
        <v>0</v>
      </c>
      <c r="AF227" s="123">
        <f t="shared" si="193"/>
        <v>0</v>
      </c>
      <c r="AG227" s="743"/>
      <c r="AH227" s="362"/>
      <c r="AI227" s="880" t="str">
        <f>C227</f>
        <v>[Tiered] 5,001 - 10k</v>
      </c>
      <c r="AJ227" s="270">
        <v>0.51060000000000005</v>
      </c>
      <c r="AK227" s="896">
        <f t="shared" si="194"/>
        <v>0</v>
      </c>
      <c r="AL227" s="105" cm="1">
        <f t="array" ref="AL227">_xlfn.IFS($AJ227="NO CHARGE",0,$AJ227="INCLUDED",0,$AJ227=0,0,$AJ227&gt;0,PRODUCT(I227,$AJ227))</f>
        <v>0</v>
      </c>
      <c r="AM227" s="105" cm="1">
        <f t="array" ref="AM227">_xlfn.IFS($AJ227="NO CHARGE",0,$AJ227="INCLUDED",0,$AJ227=0,0,$AJ227&gt;0,PRODUCT(J227,$AJ227))</f>
        <v>0</v>
      </c>
      <c r="AN227" s="105" cm="1">
        <f t="array" ref="AN227">_xlfn.IFS($AJ227="NO CHARGE",0,$AJ227="INCLUDED",0,$AJ227=0,0,$AJ227&gt;0,PRODUCT(K227,$AJ227))</f>
        <v>0</v>
      </c>
      <c r="AO227" s="105" cm="1">
        <f t="array" ref="AO227">_xlfn.IFS($AJ227="NO CHARGE",0,$AJ227="INCLUDED",0,$AJ227=0,0,$AJ227&gt;0,PRODUCT(L227,$AJ227))</f>
        <v>0</v>
      </c>
      <c r="AP227" s="105" cm="1">
        <f t="array" ref="AP227">_xlfn.IFS($AJ227="NO CHARGE",0,$AJ227="INCLUDED",0,$AJ227=0,0,$AJ227&gt;0,PRODUCT(M227,$AJ227))</f>
        <v>0</v>
      </c>
      <c r="AQ227" s="158">
        <f t="shared" si="195"/>
        <v>0</v>
      </c>
      <c r="AR227" s="875"/>
      <c r="AS227" s="473"/>
      <c r="AT227" s="106"/>
      <c r="AU227" s="107"/>
      <c r="AV227" s="108">
        <f t="shared" si="201"/>
        <v>0</v>
      </c>
      <c r="AW227" s="108">
        <f t="shared" si="201"/>
        <v>0</v>
      </c>
      <c r="AX227" s="108">
        <f t="shared" si="201"/>
        <v>0</v>
      </c>
      <c r="AY227" s="108">
        <f t="shared" si="201"/>
        <v>0</v>
      </c>
      <c r="AZ227" s="108">
        <f t="shared" si="201"/>
        <v>0</v>
      </c>
      <c r="BA227" s="165">
        <f t="shared" si="197"/>
        <v>0</v>
      </c>
      <c r="BB227" s="531"/>
    </row>
    <row r="228" spans="1:54" s="495" customFormat="1" outlineLevel="1" x14ac:dyDescent="0.25">
      <c r="A228" s="700"/>
      <c r="B228" s="620" t="s">
        <v>264</v>
      </c>
      <c r="C228" s="200" t="s">
        <v>274</v>
      </c>
      <c r="D228" s="604"/>
      <c r="E228" s="604"/>
      <c r="F228" s="604"/>
      <c r="G228" s="604"/>
      <c r="H228" s="699"/>
      <c r="I228" s="127" cm="1">
        <f t="array" ref="I228">_xlfn.IFS(I224&gt;SUM($H225:$H227)*12, I224-SUM(I225:I227), I224&lt;SUM($H225:$H227)*12, 0, I224=SUM($H225:$H227)*12,0)</f>
        <v>0</v>
      </c>
      <c r="J228" s="127" cm="1">
        <f t="array" ref="J228">_xlfn.IFS(J224&gt;SUM($H225:$H227)*12, J224-SUM(J225:J227), J224&lt;SUM($H225:$H227)*12, 0, J224=SUM($H225:$H227)*12,0)</f>
        <v>0</v>
      </c>
      <c r="K228" s="127" cm="1">
        <f t="array" ref="K228">_xlfn.IFS(K224&gt;SUM($H225:$H227)*12, K224-SUM(K225:K227), K224&lt;SUM($H225:$H227)*12, 0, K224=SUM($H225:$H227)*12,0)</f>
        <v>0</v>
      </c>
      <c r="L228" s="127" cm="1">
        <f t="array" ref="L228">_xlfn.IFS(L224&gt;SUM($H225:$H227)*12, L224-SUM(L225:L227), L224&lt;SUM($H225:$H227)*12, 0, L224=SUM($H225:$H227)*12,0)</f>
        <v>0</v>
      </c>
      <c r="M228" s="127" cm="1">
        <f t="array" ref="M228">_xlfn.IFS(M224&gt;SUM($H225:$H227)*12, M224-SUM(M225:M227), M224&lt;SUM($H225:$H227)*12, 0, M224=SUM($H225:$H227)*12,0)</f>
        <v>0</v>
      </c>
      <c r="N228" s="750" t="str">
        <f>C228</f>
        <v>[Tiered] Beyond 10k</v>
      </c>
      <c r="O228" s="586"/>
      <c r="P228" s="757">
        <f>Q228/12</f>
        <v>0</v>
      </c>
      <c r="Q228" s="129">
        <f>IF(O228&gt;0,PRODUCT(I228,$O228),0)</f>
        <v>0</v>
      </c>
      <c r="R228" s="129">
        <f t="shared" si="199"/>
        <v>0</v>
      </c>
      <c r="S228" s="129">
        <f t="shared" si="199"/>
        <v>0</v>
      </c>
      <c r="T228" s="129">
        <f t="shared" si="199"/>
        <v>0</v>
      </c>
      <c r="U228" s="129">
        <f t="shared" si="199"/>
        <v>0</v>
      </c>
      <c r="V228" s="209">
        <f>SUM(Q228:U228)</f>
        <v>0</v>
      </c>
      <c r="W228" s="528"/>
      <c r="X228" s="701" t="str">
        <f>C228</f>
        <v>[Tiered] Beyond 10k</v>
      </c>
      <c r="Y228" s="325">
        <v>0.4511</v>
      </c>
      <c r="Z228" s="774">
        <f>AA228/12</f>
        <v>0</v>
      </c>
      <c r="AA228" s="103">
        <f>IF(Y228&gt;0,PRODUCT(I228,$Y228),0)</f>
        <v>0</v>
      </c>
      <c r="AB228" s="103">
        <f t="shared" si="200"/>
        <v>0</v>
      </c>
      <c r="AC228" s="103">
        <f t="shared" si="200"/>
        <v>0</v>
      </c>
      <c r="AD228" s="103">
        <f t="shared" si="200"/>
        <v>0</v>
      </c>
      <c r="AE228" s="103">
        <f t="shared" si="200"/>
        <v>0</v>
      </c>
      <c r="AF228" s="123">
        <f t="shared" si="193"/>
        <v>0</v>
      </c>
      <c r="AG228" s="743"/>
      <c r="AH228" s="362"/>
      <c r="AI228" s="880" t="str">
        <f>C228</f>
        <v>[Tiered] Beyond 10k</v>
      </c>
      <c r="AJ228" s="270">
        <v>0.47799999999999998</v>
      </c>
      <c r="AK228" s="896">
        <f t="shared" si="194"/>
        <v>0</v>
      </c>
      <c r="AL228" s="105" cm="1">
        <f t="array" ref="AL228">_xlfn.IFS($AJ228="NO CHARGE",0,$AJ228="INCLUDED",0,$AJ228=0,0,$AJ228&gt;0,PRODUCT(I228,$AJ228))</f>
        <v>0</v>
      </c>
      <c r="AM228" s="105" cm="1">
        <f t="array" ref="AM228">_xlfn.IFS($AJ228="NO CHARGE",0,$AJ228="INCLUDED",0,$AJ228=0,0,$AJ228&gt;0,PRODUCT(J228,$AJ228))</f>
        <v>0</v>
      </c>
      <c r="AN228" s="105" cm="1">
        <f t="array" ref="AN228">_xlfn.IFS($AJ228="NO CHARGE",0,$AJ228="INCLUDED",0,$AJ228=0,0,$AJ228&gt;0,PRODUCT(K228,$AJ228))</f>
        <v>0</v>
      </c>
      <c r="AO228" s="105" cm="1">
        <f t="array" ref="AO228">_xlfn.IFS($AJ228="NO CHARGE",0,$AJ228="INCLUDED",0,$AJ228=0,0,$AJ228&gt;0,PRODUCT(L228,$AJ228))</f>
        <v>0</v>
      </c>
      <c r="AP228" s="105" cm="1">
        <f t="array" ref="AP228">_xlfn.IFS($AJ228="NO CHARGE",0,$AJ228="INCLUDED",0,$AJ228=0,0,$AJ228&gt;0,PRODUCT(M228,$AJ228))</f>
        <v>0</v>
      </c>
      <c r="AQ228" s="158">
        <f t="shared" si="195"/>
        <v>0</v>
      </c>
      <c r="AR228" s="875"/>
      <c r="AS228" s="473"/>
      <c r="AT228" s="106"/>
      <c r="AU228" s="107"/>
      <c r="AV228" s="108">
        <f t="shared" si="201"/>
        <v>0</v>
      </c>
      <c r="AW228" s="108">
        <f t="shared" si="201"/>
        <v>0</v>
      </c>
      <c r="AX228" s="108">
        <f t="shared" si="201"/>
        <v>0</v>
      </c>
      <c r="AY228" s="108">
        <f t="shared" si="201"/>
        <v>0</v>
      </c>
      <c r="AZ228" s="108">
        <f t="shared" si="201"/>
        <v>0</v>
      </c>
      <c r="BA228" s="165">
        <f t="shared" si="197"/>
        <v>0</v>
      </c>
      <c r="BB228" s="531"/>
    </row>
    <row r="229" spans="1:54" s="495" customFormat="1" outlineLevel="1" x14ac:dyDescent="0.25">
      <c r="A229" s="445"/>
      <c r="B229" s="623"/>
      <c r="C229" s="310"/>
      <c r="D229" s="604"/>
      <c r="E229" s="604"/>
      <c r="F229" s="604"/>
      <c r="G229" s="604"/>
      <c r="H229" s="618">
        <f>IFERROR(AVERAGE(D229:G229),0)</f>
        <v>0</v>
      </c>
      <c r="I229" s="127">
        <f>H229*12</f>
        <v>0</v>
      </c>
      <c r="J229" s="127">
        <f>IF(I229&gt;12,(((I229)*$H$5)+I229),(I229*1))</f>
        <v>0</v>
      </c>
      <c r="K229" s="127">
        <f>IF(J229&gt;12,(((J229)*$H$5)+J229),(J229*1))</f>
        <v>0</v>
      </c>
      <c r="L229" s="127">
        <f>IF(K229&gt;12,(((K229)*$H$5)+K229),(K229*1))</f>
        <v>0</v>
      </c>
      <c r="M229" s="127">
        <f>IF(L229&gt;12,(((L229)*$H$5)+L229),(L229*1))</f>
        <v>0</v>
      </c>
      <c r="N229" s="245"/>
      <c r="O229" s="748"/>
      <c r="P229" s="757">
        <f>Q229/12</f>
        <v>0</v>
      </c>
      <c r="Q229" s="129">
        <f>IF(O229&gt;0,PRODUCT(I229,$O229),0)</f>
        <v>0</v>
      </c>
      <c r="R229" s="129">
        <f t="shared" si="199"/>
        <v>0</v>
      </c>
      <c r="S229" s="129">
        <f t="shared" si="199"/>
        <v>0</v>
      </c>
      <c r="T229" s="129">
        <f t="shared" si="199"/>
        <v>0</v>
      </c>
      <c r="U229" s="129">
        <f t="shared" si="199"/>
        <v>0</v>
      </c>
      <c r="V229" s="209">
        <f>SUM(Q229:U229)</f>
        <v>0</v>
      </c>
      <c r="W229" s="621"/>
      <c r="X229" s="222"/>
      <c r="Y229" s="325"/>
      <c r="Z229" s="774">
        <f>AA229/12</f>
        <v>0</v>
      </c>
      <c r="AA229" s="103">
        <f>IF(Y229&gt;0,PRODUCT(I229,$Y229),0)</f>
        <v>0</v>
      </c>
      <c r="AB229" s="103">
        <f t="shared" si="200"/>
        <v>0</v>
      </c>
      <c r="AC229" s="103">
        <f t="shared" si="200"/>
        <v>0</v>
      </c>
      <c r="AD229" s="103">
        <f t="shared" si="200"/>
        <v>0</v>
      </c>
      <c r="AE229" s="103">
        <f t="shared" si="200"/>
        <v>0</v>
      </c>
      <c r="AF229" s="123">
        <f t="shared" si="193"/>
        <v>0</v>
      </c>
      <c r="AG229" s="743"/>
      <c r="AH229" s="362"/>
      <c r="AI229" s="221"/>
      <c r="AJ229" s="270"/>
      <c r="AK229" s="896">
        <f t="shared" si="194"/>
        <v>0</v>
      </c>
      <c r="AL229" s="105" cm="1">
        <f t="array" ref="AL229">_xlfn.IFS($AJ229="NO CHARGE",0,$AJ229="INCLUDED",0,$AJ229=0,0,$AJ229&gt;0,PRODUCT(I229,$AJ229))</f>
        <v>0</v>
      </c>
      <c r="AM229" s="105" cm="1">
        <f t="array" ref="AM229">_xlfn.IFS($AJ229="NO CHARGE",0,$AJ229="INCLUDED",0,$AJ229=0,0,$AJ229&gt;0,PRODUCT(J229,$AJ229))</f>
        <v>0</v>
      </c>
      <c r="AN229" s="105" cm="1">
        <f t="array" ref="AN229">_xlfn.IFS($AJ229="NO CHARGE",0,$AJ229="INCLUDED",0,$AJ229=0,0,$AJ229&gt;0,PRODUCT(K229,$AJ229))</f>
        <v>0</v>
      </c>
      <c r="AO229" s="105" cm="1">
        <f t="array" ref="AO229">_xlfn.IFS($AJ229="NO CHARGE",0,$AJ229="INCLUDED",0,$AJ229=0,0,$AJ229&gt;0,PRODUCT(L229,$AJ229))</f>
        <v>0</v>
      </c>
      <c r="AP229" s="105" cm="1">
        <f t="array" ref="AP229">_xlfn.IFS($AJ229="NO CHARGE",0,$AJ229="INCLUDED",0,$AJ229=0,0,$AJ229&gt;0,PRODUCT(M229,$AJ229))</f>
        <v>0</v>
      </c>
      <c r="AQ229" s="158">
        <f t="shared" si="195"/>
        <v>0</v>
      </c>
      <c r="AR229" s="875"/>
      <c r="AS229" s="473"/>
      <c r="AT229" s="106"/>
      <c r="AU229" s="107"/>
      <c r="AV229" s="108">
        <f t="shared" si="201"/>
        <v>0</v>
      </c>
      <c r="AW229" s="108">
        <f t="shared" si="201"/>
        <v>0</v>
      </c>
      <c r="AX229" s="108">
        <f t="shared" si="201"/>
        <v>0</v>
      </c>
      <c r="AY229" s="108">
        <f t="shared" si="201"/>
        <v>0</v>
      </c>
      <c r="AZ229" s="108">
        <f t="shared" si="201"/>
        <v>0</v>
      </c>
      <c r="BA229" s="165">
        <f t="shared" si="197"/>
        <v>0</v>
      </c>
      <c r="BB229" s="531"/>
    </row>
    <row r="230" spans="1:54" s="495" customFormat="1" outlineLevel="1" x14ac:dyDescent="0.25">
      <c r="A230" s="445"/>
      <c r="B230" s="252" t="str">
        <f>C230</f>
        <v>Merchant Services:</v>
      </c>
      <c r="C230" s="242" t="s">
        <v>275</v>
      </c>
      <c r="D230" s="609"/>
      <c r="E230" s="609"/>
      <c r="F230" s="609"/>
      <c r="G230" s="609"/>
      <c r="H230" s="619"/>
      <c r="I230" s="243"/>
      <c r="J230" s="243"/>
      <c r="K230" s="243"/>
      <c r="L230" s="243"/>
      <c r="M230" s="244"/>
      <c r="N230" s="252" t="str">
        <f t="shared" ref="N230:N236" si="202">IF(C230="","",C230)</f>
        <v>Merchant Services:</v>
      </c>
      <c r="O230" s="243"/>
      <c r="P230" s="756"/>
      <c r="Q230" s="243"/>
      <c r="R230" s="243"/>
      <c r="S230" s="243"/>
      <c r="T230" s="243"/>
      <c r="U230" s="244"/>
      <c r="V230" s="209"/>
      <c r="W230" s="527"/>
      <c r="X230" s="252" t="str">
        <f>C230&amp;" - Horizon replacing with DirectLINK"</f>
        <v>Merchant Services: - Horizon replacing with DirectLINK</v>
      </c>
      <c r="Y230" s="707"/>
      <c r="Z230" s="756"/>
      <c r="AA230" s="243"/>
      <c r="AB230" s="243"/>
      <c r="AC230" s="243"/>
      <c r="AD230" s="243"/>
      <c r="AE230" s="244"/>
      <c r="AF230" s="123"/>
      <c r="AG230" s="745"/>
      <c r="AH230" s="362"/>
      <c r="AI230" s="252" t="str">
        <f>C230</f>
        <v>Merchant Services:</v>
      </c>
      <c r="AJ230" s="707"/>
      <c r="AK230" s="895"/>
      <c r="AL230" s="243"/>
      <c r="AM230" s="243"/>
      <c r="AN230" s="243"/>
      <c r="AO230" s="243"/>
      <c r="AP230" s="244"/>
      <c r="AQ230" s="158">
        <f t="shared" si="195"/>
        <v>0</v>
      </c>
      <c r="AR230" s="874"/>
      <c r="AS230" s="874"/>
      <c r="AT230" s="252" t="str">
        <f>C230</f>
        <v>Merchant Services:</v>
      </c>
      <c r="AU230" s="243"/>
      <c r="AV230" s="243"/>
      <c r="AW230" s="243"/>
      <c r="AX230" s="243"/>
      <c r="AY230" s="243"/>
      <c r="AZ230" s="244"/>
      <c r="BA230" s="165"/>
      <c r="BB230" s="532"/>
    </row>
    <row r="231" spans="1:54" s="495" customFormat="1" outlineLevel="1" x14ac:dyDescent="0.25">
      <c r="A231" s="787"/>
      <c r="B231" s="620" t="s">
        <v>276</v>
      </c>
      <c r="C231" s="310" t="s">
        <v>277</v>
      </c>
      <c r="D231" s="604">
        <v>1</v>
      </c>
      <c r="E231" s="604">
        <v>1</v>
      </c>
      <c r="F231" s="604">
        <v>1</v>
      </c>
      <c r="G231" s="604"/>
      <c r="H231" s="618">
        <f>IFERROR(AVERAGE(D231:F231),0)</f>
        <v>1</v>
      </c>
      <c r="I231" s="127">
        <f t="shared" ref="I231:I245" si="203">H231*12</f>
        <v>12</v>
      </c>
      <c r="J231" s="127">
        <f t="shared" ref="J231:M245" si="204">IF(I231&gt;12,(((I231)*$H$5)+I231),(I231*1))</f>
        <v>12</v>
      </c>
      <c r="K231" s="127">
        <f t="shared" si="204"/>
        <v>12</v>
      </c>
      <c r="L231" s="127">
        <f t="shared" si="204"/>
        <v>12</v>
      </c>
      <c r="M231" s="127">
        <f t="shared" si="204"/>
        <v>12</v>
      </c>
      <c r="N231" s="245" t="str">
        <f t="shared" si="202"/>
        <v>Custom Report Fee</v>
      </c>
      <c r="O231" s="586">
        <v>29.754999999999999</v>
      </c>
      <c r="P231" s="757">
        <f t="shared" ref="P231:P245" si="205">Q231/12</f>
        <v>29.754999999999999</v>
      </c>
      <c r="Q231" s="129">
        <f t="shared" ref="Q231:Q245" si="206">IF(O231&gt;0,PRODUCT(I231,$O231),0)</f>
        <v>357.06</v>
      </c>
      <c r="R231" s="129">
        <f t="shared" ref="R231:R245" si="207">IF(Q231&gt;0,PRODUCT(J231,$O231),0)</f>
        <v>357.06</v>
      </c>
      <c r="S231" s="129">
        <f t="shared" ref="S231:S245" si="208">IF(R231&gt;0,PRODUCT(K231,$O231),0)</f>
        <v>357.06</v>
      </c>
      <c r="T231" s="129">
        <f t="shared" ref="T231:T245" si="209">IF(S231&gt;0,PRODUCT(L231,$O231),0)</f>
        <v>357.06</v>
      </c>
      <c r="U231" s="129">
        <f t="shared" ref="U231:U245" si="210">IF(T231&gt;0,PRODUCT(M231,$O231),0)</f>
        <v>357.06</v>
      </c>
      <c r="V231" s="209">
        <f t="shared" ref="V231:V245" si="211">SUM(Q231:U231)</f>
        <v>1785.3</v>
      </c>
      <c r="W231" s="528" t="s">
        <v>278</v>
      </c>
      <c r="X231" s="222"/>
      <c r="Y231" s="325"/>
      <c r="Z231" s="774"/>
      <c r="AA231" s="103">
        <f t="shared" ref="AA231:AA242" si="212">IF(Y231&gt;0,PRODUCT(I231,$Y231),0)</f>
        <v>0</v>
      </c>
      <c r="AB231" s="103">
        <f t="shared" ref="AB231:AB242" si="213">IF(AA231&gt;0,PRODUCT(J231,$Y231),0)</f>
        <v>0</v>
      </c>
      <c r="AC231" s="103">
        <f t="shared" ref="AC231:AC242" si="214">IF(AB231&gt;0,PRODUCT(K231,$Y231),0)</f>
        <v>0</v>
      </c>
      <c r="AD231" s="103">
        <f t="shared" ref="AD231:AD242" si="215">IF(AC231&gt;0,PRODUCT(L231,$Y231),0)</f>
        <v>0</v>
      </c>
      <c r="AE231" s="103">
        <f t="shared" ref="AE231:AE242" si="216">IF(AD231&gt;0,PRODUCT(M231,$Y231),0)</f>
        <v>0</v>
      </c>
      <c r="AF231" s="123">
        <f t="shared" ref="AF231:AF237" si="217">SUM(AA231:AE231)</f>
        <v>0</v>
      </c>
      <c r="AG231" s="743"/>
      <c r="AH231" s="370"/>
      <c r="AI231" s="221"/>
      <c r="AJ231" s="270"/>
      <c r="AK231" s="896">
        <f t="shared" ref="AK231:AK245" si="218">AL231/12</f>
        <v>0</v>
      </c>
      <c r="AL231" s="105" cm="1">
        <f t="array" ref="AL231">_xlfn.IFS($AJ231="NO CHARGE",0,$AJ231=0,0,$AJ231&gt;0,PRODUCT(I231,$AJ231))</f>
        <v>0</v>
      </c>
      <c r="AM231" s="105" cm="1">
        <f t="array" ref="AM231">_xlfn.IFS($AJ231="NO CHARGE",0,$AJ231=0,0,$AJ231&gt;0,PRODUCT(J231,$AJ231))</f>
        <v>0</v>
      </c>
      <c r="AN231" s="105" cm="1">
        <f t="array" ref="AN231">_xlfn.IFS($AJ231="NO CHARGE",0,$AJ231=0,0,$AJ231&gt;0,PRODUCT(K231,$AJ231))</f>
        <v>0</v>
      </c>
      <c r="AO231" s="105" cm="1">
        <f t="array" ref="AO231">_xlfn.IFS($AJ231="NO CHARGE",0,$AJ231=0,0,$AJ231&gt;0,PRODUCT(L231,$AJ231))</f>
        <v>0</v>
      </c>
      <c r="AP231" s="105" cm="1">
        <f t="array" ref="AP231">_xlfn.IFS($AJ231="NO CHARGE",0,$AJ231=0,0,$AJ231&gt;0,PRODUCT(M231,$AJ231))</f>
        <v>0</v>
      </c>
      <c r="AQ231" s="158">
        <f t="shared" si="195"/>
        <v>0</v>
      </c>
      <c r="AR231" s="875"/>
      <c r="AS231" s="473"/>
      <c r="AT231" s="106"/>
      <c r="AU231" s="107"/>
      <c r="AV231" s="108">
        <f t="shared" ref="AV231:AV245" si="219">IF(AU231&gt;0,PRODUCT(I231,$AU231),0)</f>
        <v>0</v>
      </c>
      <c r="AW231" s="108">
        <f t="shared" ref="AW231:AW245" si="220">IF(AV231&gt;0,PRODUCT(J231,$AU231),0)</f>
        <v>0</v>
      </c>
      <c r="AX231" s="108">
        <f t="shared" ref="AX231:AX245" si="221">IF(AW231&gt;0,PRODUCT(K231,$AU231),0)</f>
        <v>0</v>
      </c>
      <c r="AY231" s="108">
        <f t="shared" ref="AY231:AY245" si="222">IF(AX231&gt;0,PRODUCT(L231,$AU231),0)</f>
        <v>0</v>
      </c>
      <c r="AZ231" s="108">
        <f t="shared" ref="AZ231:AZ245" si="223">IF(AY231&gt;0,PRODUCT(M231,$AU231),0)</f>
        <v>0</v>
      </c>
      <c r="BA231" s="165">
        <f t="shared" ref="BA231:BA245" si="224">SUM(AV231:AZ231)</f>
        <v>0</v>
      </c>
      <c r="BB231" s="531"/>
    </row>
    <row r="232" spans="1:54" s="495" customFormat="1" outlineLevel="1" x14ac:dyDescent="0.25">
      <c r="A232" s="787"/>
      <c r="B232" s="620" t="s">
        <v>276</v>
      </c>
      <c r="C232" s="310" t="s">
        <v>279</v>
      </c>
      <c r="D232" s="604">
        <v>37</v>
      </c>
      <c r="E232" s="604">
        <v>37</v>
      </c>
      <c r="F232" s="604">
        <v>37</v>
      </c>
      <c r="G232" s="604"/>
      <c r="H232" s="618">
        <f>IFERROR(AVERAGE(D232:F232),0)</f>
        <v>37</v>
      </c>
      <c r="I232" s="127">
        <f t="shared" si="203"/>
        <v>444</v>
      </c>
      <c r="J232" s="127">
        <f t="shared" si="204"/>
        <v>466.2</v>
      </c>
      <c r="K232" s="127">
        <f t="shared" si="204"/>
        <v>489.51</v>
      </c>
      <c r="L232" s="127">
        <f t="shared" si="204"/>
        <v>513.9855</v>
      </c>
      <c r="M232" s="127">
        <f t="shared" si="204"/>
        <v>539.68477499999995</v>
      </c>
      <c r="N232" s="245" t="str">
        <f t="shared" si="202"/>
        <v>Merchant Service Fee</v>
      </c>
      <c r="O232" s="586">
        <v>12.984</v>
      </c>
      <c r="P232" s="757">
        <f t="shared" si="205"/>
        <v>480.40799999999996</v>
      </c>
      <c r="Q232" s="129">
        <f t="shared" si="206"/>
        <v>5764.8959999999997</v>
      </c>
      <c r="R232" s="129">
        <f t="shared" si="207"/>
        <v>6053.1408000000001</v>
      </c>
      <c r="S232" s="129">
        <f t="shared" si="208"/>
        <v>6355.7978400000002</v>
      </c>
      <c r="T232" s="129">
        <f t="shared" si="209"/>
        <v>6673.587732</v>
      </c>
      <c r="U232" s="129">
        <f t="shared" si="210"/>
        <v>7007.2671185999989</v>
      </c>
      <c r="V232" s="209">
        <f t="shared" si="211"/>
        <v>31854.689490600002</v>
      </c>
      <c r="W232" s="528" t="s">
        <v>278</v>
      </c>
      <c r="X232" s="222"/>
      <c r="Y232" s="325"/>
      <c r="Z232" s="774"/>
      <c r="AA232" s="103">
        <f t="shared" si="212"/>
        <v>0</v>
      </c>
      <c r="AB232" s="103">
        <f t="shared" si="213"/>
        <v>0</v>
      </c>
      <c r="AC232" s="103">
        <f t="shared" si="214"/>
        <v>0</v>
      </c>
      <c r="AD232" s="103">
        <f t="shared" si="215"/>
        <v>0</v>
      </c>
      <c r="AE232" s="103">
        <f t="shared" si="216"/>
        <v>0</v>
      </c>
      <c r="AF232" s="123">
        <f t="shared" si="217"/>
        <v>0</v>
      </c>
      <c r="AG232" s="743"/>
      <c r="AH232" s="370"/>
      <c r="AI232" s="221"/>
      <c r="AJ232" s="270"/>
      <c r="AK232" s="896">
        <f t="shared" si="218"/>
        <v>0</v>
      </c>
      <c r="AL232" s="105" cm="1">
        <f t="array" ref="AL232">_xlfn.IFS($AJ232="NO CHARGE",0,$AJ232=0,0,$AJ232&gt;0,PRODUCT(I232,$AJ232))</f>
        <v>0</v>
      </c>
      <c r="AM232" s="105" cm="1">
        <f t="array" ref="AM232">_xlfn.IFS($AJ232="NO CHARGE",0,$AJ232=0,0,$AJ232&gt;0,PRODUCT(J232,$AJ232))</f>
        <v>0</v>
      </c>
      <c r="AN232" s="105" cm="1">
        <f t="array" ref="AN232">_xlfn.IFS($AJ232="NO CHARGE",0,$AJ232=0,0,$AJ232&gt;0,PRODUCT(K232,$AJ232))</f>
        <v>0</v>
      </c>
      <c r="AO232" s="105" cm="1">
        <f t="array" ref="AO232">_xlfn.IFS($AJ232="NO CHARGE",0,$AJ232=0,0,$AJ232&gt;0,PRODUCT(L232,$AJ232))</f>
        <v>0</v>
      </c>
      <c r="AP232" s="105" cm="1">
        <f t="array" ref="AP232">_xlfn.IFS($AJ232="NO CHARGE",0,$AJ232=0,0,$AJ232&gt;0,PRODUCT(M232,$AJ232))</f>
        <v>0</v>
      </c>
      <c r="AQ232" s="158">
        <f t="shared" si="195"/>
        <v>0</v>
      </c>
      <c r="AR232" s="875"/>
      <c r="AS232" s="473"/>
      <c r="AT232" s="106"/>
      <c r="AU232" s="107"/>
      <c r="AV232" s="108">
        <f t="shared" si="219"/>
        <v>0</v>
      </c>
      <c r="AW232" s="108">
        <f t="shared" si="220"/>
        <v>0</v>
      </c>
      <c r="AX232" s="108">
        <f t="shared" si="221"/>
        <v>0</v>
      </c>
      <c r="AY232" s="108">
        <f t="shared" si="222"/>
        <v>0</v>
      </c>
      <c r="AZ232" s="108">
        <f t="shared" si="223"/>
        <v>0</v>
      </c>
      <c r="BA232" s="165">
        <f t="shared" si="224"/>
        <v>0</v>
      </c>
      <c r="BB232" s="531"/>
    </row>
    <row r="233" spans="1:54" s="495" customFormat="1" outlineLevel="1" x14ac:dyDescent="0.25">
      <c r="A233" s="787"/>
      <c r="B233" s="620" t="s">
        <v>276</v>
      </c>
      <c r="C233" s="310" t="s">
        <v>280</v>
      </c>
      <c r="D233" s="604">
        <v>44</v>
      </c>
      <c r="E233" s="604">
        <v>45</v>
      </c>
      <c r="F233" s="604">
        <v>61</v>
      </c>
      <c r="G233" s="604"/>
      <c r="H233" s="618">
        <f>IFERROR(AVERAGE(D233:F233),0)</f>
        <v>50</v>
      </c>
      <c r="I233" s="127">
        <f t="shared" si="203"/>
        <v>600</v>
      </c>
      <c r="J233" s="127">
        <f t="shared" si="204"/>
        <v>630</v>
      </c>
      <c r="K233" s="127">
        <f t="shared" si="204"/>
        <v>661.5</v>
      </c>
      <c r="L233" s="127">
        <f t="shared" si="204"/>
        <v>694.57500000000005</v>
      </c>
      <c r="M233" s="127">
        <f t="shared" si="204"/>
        <v>729.30375000000004</v>
      </c>
      <c r="N233" s="245" t="str">
        <f t="shared" si="202"/>
        <v>Image Key Entry</v>
      </c>
      <c r="O233" s="586">
        <v>2.8402500000000001E-2</v>
      </c>
      <c r="P233" s="757">
        <f t="shared" si="205"/>
        <v>1.4201249999999999</v>
      </c>
      <c r="Q233" s="129">
        <f t="shared" si="206"/>
        <v>17.041499999999999</v>
      </c>
      <c r="R233" s="129">
        <f t="shared" si="207"/>
        <v>17.893575000000002</v>
      </c>
      <c r="S233" s="129">
        <f t="shared" si="208"/>
        <v>18.788253749999999</v>
      </c>
      <c r="T233" s="129">
        <f t="shared" si="209"/>
        <v>19.727666437500002</v>
      </c>
      <c r="U233" s="129">
        <f t="shared" si="210"/>
        <v>20.714049759375001</v>
      </c>
      <c r="V233" s="209">
        <f t="shared" si="211"/>
        <v>94.165044946875</v>
      </c>
      <c r="W233" s="528" t="s">
        <v>278</v>
      </c>
      <c r="X233" s="222"/>
      <c r="Y233" s="325"/>
      <c r="Z233" s="774"/>
      <c r="AA233" s="103">
        <f t="shared" si="212"/>
        <v>0</v>
      </c>
      <c r="AB233" s="103">
        <f t="shared" si="213"/>
        <v>0</v>
      </c>
      <c r="AC233" s="103">
        <f t="shared" si="214"/>
        <v>0</v>
      </c>
      <c r="AD233" s="103">
        <f t="shared" si="215"/>
        <v>0</v>
      </c>
      <c r="AE233" s="103">
        <f t="shared" si="216"/>
        <v>0</v>
      </c>
      <c r="AF233" s="123">
        <f t="shared" si="217"/>
        <v>0</v>
      </c>
      <c r="AG233" s="743"/>
      <c r="AH233" s="370"/>
      <c r="AI233" s="221"/>
      <c r="AJ233" s="270"/>
      <c r="AK233" s="896">
        <f t="shared" si="218"/>
        <v>0</v>
      </c>
      <c r="AL233" s="105" cm="1">
        <f t="array" ref="AL233">_xlfn.IFS($AJ233="NO CHARGE",0,$AJ233=0,0,$AJ233&gt;0,PRODUCT(I233,$AJ233))</f>
        <v>0</v>
      </c>
      <c r="AM233" s="105" cm="1">
        <f t="array" ref="AM233">_xlfn.IFS($AJ233="NO CHARGE",0,$AJ233=0,0,$AJ233&gt;0,PRODUCT(J233,$AJ233))</f>
        <v>0</v>
      </c>
      <c r="AN233" s="105" cm="1">
        <f t="array" ref="AN233">_xlfn.IFS($AJ233="NO CHARGE",0,$AJ233=0,0,$AJ233&gt;0,PRODUCT(K233,$AJ233))</f>
        <v>0</v>
      </c>
      <c r="AO233" s="105" cm="1">
        <f t="array" ref="AO233">_xlfn.IFS($AJ233="NO CHARGE",0,$AJ233=0,0,$AJ233&gt;0,PRODUCT(L233,$AJ233))</f>
        <v>0</v>
      </c>
      <c r="AP233" s="105" cm="1">
        <f t="array" ref="AP233">_xlfn.IFS($AJ233="NO CHARGE",0,$AJ233=0,0,$AJ233&gt;0,PRODUCT(M233,$AJ233))</f>
        <v>0</v>
      </c>
      <c r="AQ233" s="158">
        <f t="shared" si="195"/>
        <v>0</v>
      </c>
      <c r="AR233" s="875"/>
      <c r="AS233" s="473"/>
      <c r="AT233" s="106"/>
      <c r="AU233" s="107"/>
      <c r="AV233" s="108">
        <f t="shared" si="219"/>
        <v>0</v>
      </c>
      <c r="AW233" s="108">
        <f t="shared" si="220"/>
        <v>0</v>
      </c>
      <c r="AX233" s="108">
        <f t="shared" si="221"/>
        <v>0</v>
      </c>
      <c r="AY233" s="108">
        <f t="shared" si="222"/>
        <v>0</v>
      </c>
      <c r="AZ233" s="108">
        <f t="shared" si="223"/>
        <v>0</v>
      </c>
      <c r="BA233" s="165">
        <f t="shared" si="224"/>
        <v>0</v>
      </c>
      <c r="BB233" s="531"/>
    </row>
    <row r="234" spans="1:54" s="495" customFormat="1" outlineLevel="1" x14ac:dyDescent="0.25">
      <c r="A234" s="787"/>
      <c r="B234" s="620" t="s">
        <v>276</v>
      </c>
      <c r="C234" s="310" t="s">
        <v>281</v>
      </c>
      <c r="D234" s="604">
        <v>6340</v>
      </c>
      <c r="E234" s="604">
        <v>5516</v>
      </c>
      <c r="F234" s="604">
        <v>5955</v>
      </c>
      <c r="G234" s="604"/>
      <c r="H234" s="618">
        <f>IFERROR(AVERAGE(D234:F234),0)</f>
        <v>5937</v>
      </c>
      <c r="I234" s="127">
        <f t="shared" si="203"/>
        <v>71244</v>
      </c>
      <c r="J234" s="127">
        <f t="shared" si="204"/>
        <v>74806.2</v>
      </c>
      <c r="K234" s="127">
        <f t="shared" si="204"/>
        <v>78546.509999999995</v>
      </c>
      <c r="L234" s="127">
        <f t="shared" si="204"/>
        <v>82473.835500000001</v>
      </c>
      <c r="M234" s="127">
        <f t="shared" si="204"/>
        <v>86597.527275</v>
      </c>
      <c r="N234" s="245" t="str">
        <f t="shared" si="202"/>
        <v>Image Receive-Merchant Capture</v>
      </c>
      <c r="O234" s="586">
        <v>2.7482800000000002E-2</v>
      </c>
      <c r="P234" s="757">
        <f t="shared" si="205"/>
        <v>163.16538360000001</v>
      </c>
      <c r="Q234" s="129">
        <f t="shared" si="206"/>
        <v>1957.9846032</v>
      </c>
      <c r="R234" s="129">
        <f t="shared" si="207"/>
        <v>2055.8838333600002</v>
      </c>
      <c r="S234" s="129">
        <f t="shared" si="208"/>
        <v>2158.6780250279999</v>
      </c>
      <c r="T234" s="129">
        <f t="shared" si="209"/>
        <v>2266.6119262794</v>
      </c>
      <c r="U234" s="129">
        <f t="shared" si="210"/>
        <v>2379.9425225933701</v>
      </c>
      <c r="V234" s="209">
        <f t="shared" si="211"/>
        <v>10819.100910460769</v>
      </c>
      <c r="W234" s="528" t="s">
        <v>278</v>
      </c>
      <c r="X234" s="222"/>
      <c r="Y234" s="325"/>
      <c r="Z234" s="774"/>
      <c r="AA234" s="103">
        <f t="shared" si="212"/>
        <v>0</v>
      </c>
      <c r="AB234" s="103">
        <f t="shared" si="213"/>
        <v>0</v>
      </c>
      <c r="AC234" s="103">
        <f t="shared" si="214"/>
        <v>0</v>
      </c>
      <c r="AD234" s="103">
        <f t="shared" si="215"/>
        <v>0</v>
      </c>
      <c r="AE234" s="103">
        <f t="shared" si="216"/>
        <v>0</v>
      </c>
      <c r="AF234" s="123">
        <f t="shared" si="217"/>
        <v>0</v>
      </c>
      <c r="AG234" s="743"/>
      <c r="AH234" s="370"/>
      <c r="AI234" s="221"/>
      <c r="AJ234" s="270"/>
      <c r="AK234" s="896">
        <f t="shared" si="218"/>
        <v>0</v>
      </c>
      <c r="AL234" s="105" cm="1">
        <f t="array" ref="AL234">_xlfn.IFS($AJ234="NO CHARGE",0,$AJ234=0,0,$AJ234&gt;0,PRODUCT(I234,$AJ234))</f>
        <v>0</v>
      </c>
      <c r="AM234" s="105" cm="1">
        <f t="array" ref="AM234">_xlfn.IFS($AJ234="NO CHARGE",0,$AJ234=0,0,$AJ234&gt;0,PRODUCT(J234,$AJ234))</f>
        <v>0</v>
      </c>
      <c r="AN234" s="105" cm="1">
        <f t="array" ref="AN234">_xlfn.IFS($AJ234="NO CHARGE",0,$AJ234=0,0,$AJ234&gt;0,PRODUCT(K234,$AJ234))</f>
        <v>0</v>
      </c>
      <c r="AO234" s="105" cm="1">
        <f t="array" ref="AO234">_xlfn.IFS($AJ234="NO CHARGE",0,$AJ234=0,0,$AJ234&gt;0,PRODUCT(L234,$AJ234))</f>
        <v>0</v>
      </c>
      <c r="AP234" s="105" cm="1">
        <f t="array" ref="AP234">_xlfn.IFS($AJ234="NO CHARGE",0,$AJ234=0,0,$AJ234&gt;0,PRODUCT(M234,$AJ234))</f>
        <v>0</v>
      </c>
      <c r="AQ234" s="158">
        <f t="shared" si="195"/>
        <v>0</v>
      </c>
      <c r="AR234" s="875"/>
      <c r="AS234" s="473"/>
      <c r="AT234" s="106"/>
      <c r="AU234" s="107"/>
      <c r="AV234" s="108">
        <f t="shared" si="219"/>
        <v>0</v>
      </c>
      <c r="AW234" s="108">
        <f t="shared" si="220"/>
        <v>0</v>
      </c>
      <c r="AX234" s="108">
        <f t="shared" si="221"/>
        <v>0</v>
      </c>
      <c r="AY234" s="108">
        <f t="shared" si="222"/>
        <v>0</v>
      </c>
      <c r="AZ234" s="108">
        <f t="shared" si="223"/>
        <v>0</v>
      </c>
      <c r="BA234" s="165">
        <f t="shared" si="224"/>
        <v>0</v>
      </c>
      <c r="BB234" s="531"/>
    </row>
    <row r="235" spans="1:54" s="495" customFormat="1" outlineLevel="1" x14ac:dyDescent="0.25">
      <c r="A235" s="787"/>
      <c r="B235" s="620" t="s">
        <v>276</v>
      </c>
      <c r="C235" s="310" t="s">
        <v>282</v>
      </c>
      <c r="D235" s="604">
        <v>1</v>
      </c>
      <c r="E235" s="604">
        <v>1</v>
      </c>
      <c r="F235" s="604">
        <v>1</v>
      </c>
      <c r="G235" s="604"/>
      <c r="H235" s="618">
        <f>IFERROR(AVERAGE(D235:F235),0)</f>
        <v>1</v>
      </c>
      <c r="I235" s="127">
        <f t="shared" si="203"/>
        <v>12</v>
      </c>
      <c r="J235" s="127">
        <f t="shared" si="204"/>
        <v>12</v>
      </c>
      <c r="K235" s="127">
        <f t="shared" si="204"/>
        <v>12</v>
      </c>
      <c r="L235" s="127">
        <f t="shared" si="204"/>
        <v>12</v>
      </c>
      <c r="M235" s="127">
        <f t="shared" si="204"/>
        <v>12</v>
      </c>
      <c r="N235" s="245" t="str">
        <f t="shared" si="202"/>
        <v>File Transfer Fee</v>
      </c>
      <c r="O235" s="586">
        <v>31.2698</v>
      </c>
      <c r="P235" s="757">
        <f t="shared" si="205"/>
        <v>31.2698</v>
      </c>
      <c r="Q235" s="129">
        <f t="shared" si="206"/>
        <v>375.23759999999999</v>
      </c>
      <c r="R235" s="129">
        <f t="shared" si="207"/>
        <v>375.23759999999999</v>
      </c>
      <c r="S235" s="129">
        <f t="shared" si="208"/>
        <v>375.23759999999999</v>
      </c>
      <c r="T235" s="129">
        <f t="shared" si="209"/>
        <v>375.23759999999999</v>
      </c>
      <c r="U235" s="129">
        <f t="shared" si="210"/>
        <v>375.23759999999999</v>
      </c>
      <c r="V235" s="209">
        <f t="shared" si="211"/>
        <v>1876.1879999999999</v>
      </c>
      <c r="W235" s="528" t="s">
        <v>278</v>
      </c>
      <c r="X235" s="222"/>
      <c r="Y235" s="325"/>
      <c r="Z235" s="774"/>
      <c r="AA235" s="103">
        <f t="shared" si="212"/>
        <v>0</v>
      </c>
      <c r="AB235" s="103">
        <f t="shared" si="213"/>
        <v>0</v>
      </c>
      <c r="AC235" s="103">
        <f t="shared" si="214"/>
        <v>0</v>
      </c>
      <c r="AD235" s="103">
        <f t="shared" si="215"/>
        <v>0</v>
      </c>
      <c r="AE235" s="103">
        <f t="shared" si="216"/>
        <v>0</v>
      </c>
      <c r="AF235" s="123">
        <f t="shared" si="217"/>
        <v>0</v>
      </c>
      <c r="AG235" s="743"/>
      <c r="AH235" s="370"/>
      <c r="AI235" s="221"/>
      <c r="AJ235" s="270"/>
      <c r="AK235" s="896">
        <f t="shared" si="218"/>
        <v>0</v>
      </c>
      <c r="AL235" s="105" cm="1">
        <f t="array" ref="AL235">_xlfn.IFS($AJ235="NO CHARGE",0,$AJ235=0,0,$AJ235&gt;0,PRODUCT(I235,$AJ235))</f>
        <v>0</v>
      </c>
      <c r="AM235" s="105" cm="1">
        <f t="array" ref="AM235">_xlfn.IFS($AJ235="NO CHARGE",0,$AJ235=0,0,$AJ235&gt;0,PRODUCT(J235,$AJ235))</f>
        <v>0</v>
      </c>
      <c r="AN235" s="105" cm="1">
        <f t="array" ref="AN235">_xlfn.IFS($AJ235="NO CHARGE",0,$AJ235=0,0,$AJ235&gt;0,PRODUCT(K235,$AJ235))</f>
        <v>0</v>
      </c>
      <c r="AO235" s="105" cm="1">
        <f t="array" ref="AO235">_xlfn.IFS($AJ235="NO CHARGE",0,$AJ235=0,0,$AJ235&gt;0,PRODUCT(L235,$AJ235))</f>
        <v>0</v>
      </c>
      <c r="AP235" s="105" cm="1">
        <f t="array" ref="AP235">_xlfn.IFS($AJ235="NO CHARGE",0,$AJ235=0,0,$AJ235&gt;0,PRODUCT(M235,$AJ235))</f>
        <v>0</v>
      </c>
      <c r="AQ235" s="158">
        <f t="shared" si="195"/>
        <v>0</v>
      </c>
      <c r="AR235" s="875"/>
      <c r="AS235" s="473"/>
      <c r="AT235" s="106"/>
      <c r="AU235" s="107"/>
      <c r="AV235" s="108">
        <f t="shared" si="219"/>
        <v>0</v>
      </c>
      <c r="AW235" s="108">
        <f t="shared" si="220"/>
        <v>0</v>
      </c>
      <c r="AX235" s="108">
        <f t="shared" si="221"/>
        <v>0</v>
      </c>
      <c r="AY235" s="108">
        <f t="shared" si="222"/>
        <v>0</v>
      </c>
      <c r="AZ235" s="108">
        <f t="shared" si="223"/>
        <v>0</v>
      </c>
      <c r="BA235" s="165">
        <f t="shared" si="224"/>
        <v>0</v>
      </c>
      <c r="BB235" s="531"/>
    </row>
    <row r="236" spans="1:54" s="495" customFormat="1" outlineLevel="1" x14ac:dyDescent="0.25">
      <c r="A236" s="445"/>
      <c r="B236" s="623"/>
      <c r="C236" s="310"/>
      <c r="D236" s="604"/>
      <c r="E236" s="604"/>
      <c r="F236" s="604"/>
      <c r="G236" s="604"/>
      <c r="H236" s="618">
        <f>IFERROR(AVERAGE(D236:G236),0)</f>
        <v>0</v>
      </c>
      <c r="I236" s="127">
        <f t="shared" si="203"/>
        <v>0</v>
      </c>
      <c r="J236" s="127">
        <f t="shared" si="204"/>
        <v>0</v>
      </c>
      <c r="K236" s="127">
        <f t="shared" si="204"/>
        <v>0</v>
      </c>
      <c r="L236" s="127">
        <f t="shared" si="204"/>
        <v>0</v>
      </c>
      <c r="M236" s="127">
        <f t="shared" si="204"/>
        <v>0</v>
      </c>
      <c r="N236" s="245" t="str">
        <f t="shared" si="202"/>
        <v/>
      </c>
      <c r="O236" s="748"/>
      <c r="P236" s="757">
        <f t="shared" si="205"/>
        <v>0</v>
      </c>
      <c r="Q236" s="129">
        <f t="shared" si="206"/>
        <v>0</v>
      </c>
      <c r="R236" s="129">
        <f t="shared" si="207"/>
        <v>0</v>
      </c>
      <c r="S236" s="129">
        <f t="shared" si="208"/>
        <v>0</v>
      </c>
      <c r="T236" s="129">
        <f t="shared" si="209"/>
        <v>0</v>
      </c>
      <c r="U236" s="129">
        <f t="shared" si="210"/>
        <v>0</v>
      </c>
      <c r="V236" s="209">
        <f t="shared" si="211"/>
        <v>0</v>
      </c>
      <c r="W236" s="621"/>
      <c r="X236" s="222"/>
      <c r="Y236" s="325"/>
      <c r="Z236" s="774">
        <f t="shared" ref="Z236:Z245" si="225">AA236/12</f>
        <v>0</v>
      </c>
      <c r="AA236" s="103">
        <f t="shared" si="212"/>
        <v>0</v>
      </c>
      <c r="AB236" s="103">
        <f t="shared" si="213"/>
        <v>0</v>
      </c>
      <c r="AC236" s="103">
        <f t="shared" si="214"/>
        <v>0</v>
      </c>
      <c r="AD236" s="103">
        <f t="shared" si="215"/>
        <v>0</v>
      </c>
      <c r="AE236" s="103">
        <f t="shared" si="216"/>
        <v>0</v>
      </c>
      <c r="AF236" s="123">
        <f t="shared" si="217"/>
        <v>0</v>
      </c>
      <c r="AG236" s="743"/>
      <c r="AH236" s="362"/>
      <c r="AI236" s="221"/>
      <c r="AJ236" s="270"/>
      <c r="AK236" s="896">
        <f t="shared" si="218"/>
        <v>0</v>
      </c>
      <c r="AL236" s="105" cm="1">
        <f t="array" ref="AL236">_xlfn.IFS($AJ236="NO CHARGE",0,$AJ236=0,0,$AJ236&gt;0,PRODUCT(I236,$AJ236))</f>
        <v>0</v>
      </c>
      <c r="AM236" s="105" cm="1">
        <f t="array" ref="AM236">_xlfn.IFS($AJ236="NO CHARGE",0,$AJ236=0,0,$AJ236&gt;0,PRODUCT(J236,$AJ236))</f>
        <v>0</v>
      </c>
      <c r="AN236" s="105" cm="1">
        <f t="array" ref="AN236">_xlfn.IFS($AJ236="NO CHARGE",0,$AJ236=0,0,$AJ236&gt;0,PRODUCT(K236,$AJ236))</f>
        <v>0</v>
      </c>
      <c r="AO236" s="105" cm="1">
        <f t="array" ref="AO236">_xlfn.IFS($AJ236="NO CHARGE",0,$AJ236=0,0,$AJ236&gt;0,PRODUCT(L236,$AJ236))</f>
        <v>0</v>
      </c>
      <c r="AP236" s="105" cm="1">
        <f t="array" ref="AP236">_xlfn.IFS($AJ236="NO CHARGE",0,$AJ236=0,0,$AJ236&gt;0,PRODUCT(M236,$AJ236))</f>
        <v>0</v>
      </c>
      <c r="AQ236" s="158">
        <f t="shared" si="195"/>
        <v>0</v>
      </c>
      <c r="AR236" s="875"/>
      <c r="AS236" s="473"/>
      <c r="AT236" s="106"/>
      <c r="AU236" s="107"/>
      <c r="AV236" s="108">
        <f t="shared" si="219"/>
        <v>0</v>
      </c>
      <c r="AW236" s="108">
        <f t="shared" si="220"/>
        <v>0</v>
      </c>
      <c r="AX236" s="108">
        <f t="shared" si="221"/>
        <v>0</v>
      </c>
      <c r="AY236" s="108">
        <f t="shared" si="222"/>
        <v>0</v>
      </c>
      <c r="AZ236" s="108">
        <f t="shared" si="223"/>
        <v>0</v>
      </c>
      <c r="BA236" s="165">
        <f t="shared" si="224"/>
        <v>0</v>
      </c>
      <c r="BB236" s="531"/>
    </row>
    <row r="237" spans="1:54" s="495" customFormat="1" outlineLevel="1" x14ac:dyDescent="0.25">
      <c r="A237" s="700"/>
      <c r="B237" s="623" t="s">
        <v>283</v>
      </c>
      <c r="C237" s="310" t="s">
        <v>284</v>
      </c>
      <c r="D237" s="604"/>
      <c r="E237" s="604"/>
      <c r="F237" s="604"/>
      <c r="G237" s="604"/>
      <c r="H237" s="618">
        <v>37</v>
      </c>
      <c r="I237" s="127">
        <f t="shared" si="203"/>
        <v>444</v>
      </c>
      <c r="J237" s="127">
        <f t="shared" si="204"/>
        <v>466.2</v>
      </c>
      <c r="K237" s="127">
        <f t="shared" si="204"/>
        <v>489.51</v>
      </c>
      <c r="L237" s="127">
        <f t="shared" si="204"/>
        <v>513.9855</v>
      </c>
      <c r="M237" s="127">
        <f t="shared" si="204"/>
        <v>539.68477499999995</v>
      </c>
      <c r="N237" s="245"/>
      <c r="O237" s="748"/>
      <c r="P237" s="757">
        <f t="shared" si="205"/>
        <v>0</v>
      </c>
      <c r="Q237" s="129">
        <f t="shared" si="206"/>
        <v>0</v>
      </c>
      <c r="R237" s="129">
        <f t="shared" si="207"/>
        <v>0</v>
      </c>
      <c r="S237" s="129">
        <f t="shared" si="208"/>
        <v>0</v>
      </c>
      <c r="T237" s="129">
        <f t="shared" si="209"/>
        <v>0</v>
      </c>
      <c r="U237" s="129">
        <f t="shared" si="210"/>
        <v>0</v>
      </c>
      <c r="V237" s="209">
        <f t="shared" si="211"/>
        <v>0</v>
      </c>
      <c r="W237" s="621"/>
      <c r="X237" s="222" t="str">
        <f t="shared" ref="X237:X244" si="226">C237</f>
        <v>Merchant Capture Monthly Unit Fee</v>
      </c>
      <c r="Y237" s="325">
        <v>12.01</v>
      </c>
      <c r="Z237" s="774">
        <f t="shared" si="225"/>
        <v>444.36999999999995</v>
      </c>
      <c r="AA237" s="103">
        <f t="shared" si="212"/>
        <v>5332.44</v>
      </c>
      <c r="AB237" s="103">
        <f t="shared" si="213"/>
        <v>5599.0619999999999</v>
      </c>
      <c r="AC237" s="103">
        <f t="shared" si="214"/>
        <v>5879.0150999999996</v>
      </c>
      <c r="AD237" s="103">
        <f t="shared" si="215"/>
        <v>6172.9658549999995</v>
      </c>
      <c r="AE237" s="103">
        <f t="shared" si="216"/>
        <v>6481.6141477499996</v>
      </c>
      <c r="AF237" s="123">
        <f t="shared" si="217"/>
        <v>29465.097102749998</v>
      </c>
      <c r="AG237" s="743" t="s">
        <v>71</v>
      </c>
      <c r="AH237" s="362"/>
      <c r="AI237" s="221" t="str">
        <f t="shared" ref="AI237:AI244" si="227">C237</f>
        <v>Merchant Capture Monthly Unit Fee</v>
      </c>
      <c r="AJ237" s="886">
        <v>12.72</v>
      </c>
      <c r="AK237" s="896">
        <f t="shared" si="218"/>
        <v>470.64000000000004</v>
      </c>
      <c r="AL237" s="105" cm="1">
        <f t="array" ref="AL237">_xlfn.IFS($AJ237="NO CHARGE",0,$AJ237=0,0,$AJ237&gt;0,PRODUCT(I237,$AJ237))</f>
        <v>5647.68</v>
      </c>
      <c r="AM237" s="105" cm="1">
        <f t="array" ref="AM237">_xlfn.IFS($AJ237="NO CHARGE",0,$AJ237=0,0,$AJ237&gt;0,PRODUCT(J237,$AJ237))</f>
        <v>5930.0640000000003</v>
      </c>
      <c r="AN237" s="105" cm="1">
        <f t="array" ref="AN237">_xlfn.IFS($AJ237="NO CHARGE",0,$AJ237=0,0,$AJ237&gt;0,PRODUCT(K237,$AJ237))</f>
        <v>6226.5672000000004</v>
      </c>
      <c r="AO237" s="105" cm="1">
        <f t="array" ref="AO237">_xlfn.IFS($AJ237="NO CHARGE",0,$AJ237=0,0,$AJ237&gt;0,PRODUCT(L237,$AJ237))</f>
        <v>6537.8955599999999</v>
      </c>
      <c r="AP237" s="105" cm="1">
        <f t="array" ref="AP237">_xlfn.IFS($AJ237="NO CHARGE",0,$AJ237=0,0,$AJ237&gt;0,PRODUCT(M237,$AJ237))</f>
        <v>6864.7903379999998</v>
      </c>
      <c r="AQ237" s="158">
        <f t="shared" si="195"/>
        <v>31206.997098</v>
      </c>
      <c r="AR237" s="875" t="s">
        <v>71</v>
      </c>
      <c r="AS237" s="473"/>
      <c r="AT237" s="106"/>
      <c r="AU237" s="107"/>
      <c r="AV237" s="108">
        <f t="shared" si="219"/>
        <v>0</v>
      </c>
      <c r="AW237" s="108">
        <f t="shared" si="220"/>
        <v>0</v>
      </c>
      <c r="AX237" s="108">
        <f t="shared" si="221"/>
        <v>0</v>
      </c>
      <c r="AY237" s="108">
        <f t="shared" si="222"/>
        <v>0</v>
      </c>
      <c r="AZ237" s="108">
        <f t="shared" si="223"/>
        <v>0</v>
      </c>
      <c r="BA237" s="165">
        <f t="shared" si="224"/>
        <v>0</v>
      </c>
      <c r="BB237" s="531"/>
    </row>
    <row r="238" spans="1:54" s="495" customFormat="1" outlineLevel="1" x14ac:dyDescent="0.25">
      <c r="A238" s="700"/>
      <c r="B238" s="623" t="s">
        <v>283</v>
      </c>
      <c r="C238" s="310" t="s">
        <v>285</v>
      </c>
      <c r="D238" s="604"/>
      <c r="E238" s="604"/>
      <c r="F238" s="604"/>
      <c r="G238" s="604"/>
      <c r="H238" s="618">
        <f>H234</f>
        <v>5937</v>
      </c>
      <c r="I238" s="127">
        <f t="shared" si="203"/>
        <v>71244</v>
      </c>
      <c r="J238" s="127">
        <f t="shared" si="204"/>
        <v>74806.2</v>
      </c>
      <c r="K238" s="127">
        <f t="shared" si="204"/>
        <v>78546.509999999995</v>
      </c>
      <c r="L238" s="127">
        <f t="shared" si="204"/>
        <v>82473.835500000001</v>
      </c>
      <c r="M238" s="127">
        <f t="shared" si="204"/>
        <v>86597.527275</v>
      </c>
      <c r="N238" s="245"/>
      <c r="O238" s="748"/>
      <c r="P238" s="757">
        <f t="shared" si="205"/>
        <v>0</v>
      </c>
      <c r="Q238" s="129">
        <f t="shared" si="206"/>
        <v>0</v>
      </c>
      <c r="R238" s="129">
        <f t="shared" si="207"/>
        <v>0</v>
      </c>
      <c r="S238" s="129">
        <f t="shared" si="208"/>
        <v>0</v>
      </c>
      <c r="T238" s="129">
        <f t="shared" si="209"/>
        <v>0</v>
      </c>
      <c r="U238" s="129">
        <f t="shared" si="210"/>
        <v>0</v>
      </c>
      <c r="V238" s="209">
        <f t="shared" si="211"/>
        <v>0</v>
      </c>
      <c r="W238" s="621"/>
      <c r="X238" s="222" t="str">
        <f t="shared" si="226"/>
        <v>Merchant Capture Item Capture</v>
      </c>
      <c r="Y238" s="325">
        <v>2.6700000000000002E-2</v>
      </c>
      <c r="Z238" s="774">
        <f t="shared" si="225"/>
        <v>158.51790000000003</v>
      </c>
      <c r="AA238" s="103">
        <f t="shared" si="212"/>
        <v>1902.2148000000002</v>
      </c>
      <c r="AB238" s="103">
        <f t="shared" si="213"/>
        <v>1997.32554</v>
      </c>
      <c r="AC238" s="103">
        <f t="shared" si="214"/>
        <v>2097.1918169999999</v>
      </c>
      <c r="AD238" s="103">
        <f t="shared" si="215"/>
        <v>2202.05140785</v>
      </c>
      <c r="AE238" s="103">
        <f t="shared" si="216"/>
        <v>2312.1539782425002</v>
      </c>
      <c r="AF238" s="123">
        <f>IF((SUM(AA237:AE238))&lt;(Y239*60),0,(SUM(AA238:AE238)))</f>
        <v>10510.937543092501</v>
      </c>
      <c r="AG238" s="743"/>
      <c r="AH238" s="362"/>
      <c r="AI238" s="221" t="str">
        <f t="shared" si="227"/>
        <v>Merchant Capture Item Capture</v>
      </c>
      <c r="AJ238" s="886">
        <v>2.8299999999999999E-2</v>
      </c>
      <c r="AK238" s="896">
        <f t="shared" si="218"/>
        <v>168.0171</v>
      </c>
      <c r="AL238" s="105" cm="1">
        <f t="array" ref="AL238">_xlfn.IFS($AJ238="NO CHARGE",0,$AJ238=0,0,$AJ238&gt;0,PRODUCT(I238,$AJ238))</f>
        <v>2016.2051999999999</v>
      </c>
      <c r="AM238" s="105" cm="1">
        <f t="array" ref="AM238">_xlfn.IFS($AJ238="NO CHARGE",0,$AJ238=0,0,$AJ238&gt;0,PRODUCT(J238,$AJ238))</f>
        <v>2117.0154599999996</v>
      </c>
      <c r="AN238" s="105" cm="1">
        <f t="array" ref="AN238">_xlfn.IFS($AJ238="NO CHARGE",0,$AJ238=0,0,$AJ238&gt;0,PRODUCT(K238,$AJ238))</f>
        <v>2222.8662329999997</v>
      </c>
      <c r="AO238" s="105" cm="1">
        <f t="array" ref="AO238">_xlfn.IFS($AJ238="NO CHARGE",0,$AJ238=0,0,$AJ238&gt;0,PRODUCT(L238,$AJ238))</f>
        <v>2334.00954465</v>
      </c>
      <c r="AP238" s="105" cm="1">
        <f t="array" ref="AP238">_xlfn.IFS($AJ238="NO CHARGE",0,$AJ238=0,0,$AJ238&gt;0,PRODUCT(M238,$AJ238))</f>
        <v>2450.7100218824999</v>
      </c>
      <c r="AQ238" s="158">
        <f>IF((SUM(AL237:AP238))&lt;(AJ239*60),0,(SUM(AL238:AP238)))</f>
        <v>11140.806459532498</v>
      </c>
      <c r="AR238" s="875"/>
      <c r="AS238" s="473"/>
      <c r="AT238" s="106"/>
      <c r="AU238" s="107"/>
      <c r="AV238" s="108">
        <f t="shared" si="219"/>
        <v>0</v>
      </c>
      <c r="AW238" s="108">
        <f t="shared" si="220"/>
        <v>0</v>
      </c>
      <c r="AX238" s="108">
        <f t="shared" si="221"/>
        <v>0</v>
      </c>
      <c r="AY238" s="108">
        <f t="shared" si="222"/>
        <v>0</v>
      </c>
      <c r="AZ238" s="108">
        <f t="shared" si="223"/>
        <v>0</v>
      </c>
      <c r="BA238" s="165">
        <f t="shared" si="224"/>
        <v>0</v>
      </c>
      <c r="BB238" s="531"/>
    </row>
    <row r="239" spans="1:54" s="732" customFormat="1" outlineLevel="1" x14ac:dyDescent="0.25">
      <c r="A239" s="714"/>
      <c r="B239" s="623" t="s">
        <v>283</v>
      </c>
      <c r="C239" s="676" t="s">
        <v>286</v>
      </c>
      <c r="D239" s="715"/>
      <c r="E239" s="715"/>
      <c r="F239" s="715"/>
      <c r="G239" s="715"/>
      <c r="H239" s="716">
        <v>1</v>
      </c>
      <c r="I239" s="717">
        <f t="shared" si="203"/>
        <v>12</v>
      </c>
      <c r="J239" s="717">
        <f t="shared" si="204"/>
        <v>12</v>
      </c>
      <c r="K239" s="717">
        <f t="shared" si="204"/>
        <v>12</v>
      </c>
      <c r="L239" s="717">
        <f t="shared" si="204"/>
        <v>12</v>
      </c>
      <c r="M239" s="717">
        <f t="shared" si="204"/>
        <v>12</v>
      </c>
      <c r="N239" s="718"/>
      <c r="O239" s="785"/>
      <c r="P239" s="758">
        <f t="shared" si="205"/>
        <v>0</v>
      </c>
      <c r="Q239" s="720">
        <f t="shared" si="206"/>
        <v>0</v>
      </c>
      <c r="R239" s="720">
        <f t="shared" si="207"/>
        <v>0</v>
      </c>
      <c r="S239" s="720">
        <f t="shared" si="208"/>
        <v>0</v>
      </c>
      <c r="T239" s="720">
        <f t="shared" si="209"/>
        <v>0</v>
      </c>
      <c r="U239" s="720">
        <f t="shared" si="210"/>
        <v>0</v>
      </c>
      <c r="V239" s="721">
        <f t="shared" si="211"/>
        <v>0</v>
      </c>
      <c r="W239" s="621"/>
      <c r="X239" s="734" t="str">
        <f t="shared" si="226"/>
        <v>Merchant Capture Monthly Minimum</v>
      </c>
      <c r="Y239" s="722">
        <v>500</v>
      </c>
      <c r="Z239" s="775">
        <f t="shared" si="225"/>
        <v>500</v>
      </c>
      <c r="AA239" s="723">
        <f t="shared" si="212"/>
        <v>6000</v>
      </c>
      <c r="AB239" s="723">
        <f t="shared" si="213"/>
        <v>6000</v>
      </c>
      <c r="AC239" s="723">
        <f t="shared" si="214"/>
        <v>6000</v>
      </c>
      <c r="AD239" s="723">
        <f t="shared" si="215"/>
        <v>6000</v>
      </c>
      <c r="AE239" s="723">
        <f t="shared" si="216"/>
        <v>6000</v>
      </c>
      <c r="AF239" s="724">
        <f>IF((SUM(AA239:AE239))&lt;(SUM(AA237:AE238)), 0, SUM(AA239:AE239))</f>
        <v>0</v>
      </c>
      <c r="AG239" s="744"/>
      <c r="AH239" s="725" t="s">
        <v>74</v>
      </c>
      <c r="AI239" s="221" t="str">
        <f t="shared" si="227"/>
        <v>Merchant Capture Monthly Minimum</v>
      </c>
      <c r="AJ239" s="900">
        <v>500</v>
      </c>
      <c r="AK239" s="896">
        <f t="shared" si="218"/>
        <v>500</v>
      </c>
      <c r="AL239" s="105" cm="1">
        <f t="array" ref="AL239">_xlfn.IFS($AJ239="NO CHARGE",0,$AJ239=0,0,$AJ239&gt;0,PRODUCT(I239,$AJ239))</f>
        <v>6000</v>
      </c>
      <c r="AM239" s="105" cm="1">
        <f t="array" ref="AM239">_xlfn.IFS($AJ239="NO CHARGE",0,$AJ239=0,0,$AJ239&gt;0,PRODUCT(J239,$AJ239))</f>
        <v>6000</v>
      </c>
      <c r="AN239" s="105" cm="1">
        <f t="array" ref="AN239">_xlfn.IFS($AJ239="NO CHARGE",0,$AJ239=0,0,$AJ239&gt;0,PRODUCT(K239,$AJ239))</f>
        <v>6000</v>
      </c>
      <c r="AO239" s="105" cm="1">
        <f t="array" ref="AO239">_xlfn.IFS($AJ239="NO CHARGE",0,$AJ239=0,0,$AJ239&gt;0,PRODUCT(L239,$AJ239))</f>
        <v>6000</v>
      </c>
      <c r="AP239" s="105" cm="1">
        <f t="array" ref="AP239">_xlfn.IFS($AJ239="NO CHARGE",0,$AJ239=0,0,$AJ239&gt;0,PRODUCT(M239,$AJ239))</f>
        <v>6000</v>
      </c>
      <c r="AQ239" s="158">
        <f>IF((SUM(AL239:AP239))&lt;(SUM(AL237:AP238)), 0, SUM(AL239:AP239))</f>
        <v>0</v>
      </c>
      <c r="AR239" s="876"/>
      <c r="AS239" s="473" t="s">
        <v>74</v>
      </c>
      <c r="AT239" s="728"/>
      <c r="AU239" s="729"/>
      <c r="AV239" s="730">
        <f t="shared" si="219"/>
        <v>0</v>
      </c>
      <c r="AW239" s="730">
        <f t="shared" si="220"/>
        <v>0</v>
      </c>
      <c r="AX239" s="730">
        <f t="shared" si="221"/>
        <v>0</v>
      </c>
      <c r="AY239" s="730">
        <f t="shared" si="222"/>
        <v>0</v>
      </c>
      <c r="AZ239" s="730">
        <f t="shared" si="223"/>
        <v>0</v>
      </c>
      <c r="BA239" s="731">
        <f t="shared" si="224"/>
        <v>0</v>
      </c>
      <c r="BB239" s="531"/>
    </row>
    <row r="240" spans="1:54" s="495" customFormat="1" outlineLevel="1" x14ac:dyDescent="0.25">
      <c r="A240" s="700"/>
      <c r="B240" s="623" t="s">
        <v>283</v>
      </c>
      <c r="C240" s="310" t="s">
        <v>287</v>
      </c>
      <c r="D240" s="604"/>
      <c r="E240" s="604"/>
      <c r="F240" s="604"/>
      <c r="G240" s="604"/>
      <c r="H240" s="618">
        <v>1</v>
      </c>
      <c r="I240" s="127">
        <f t="shared" si="203"/>
        <v>12</v>
      </c>
      <c r="J240" s="127">
        <f t="shared" si="204"/>
        <v>12</v>
      </c>
      <c r="K240" s="127">
        <f t="shared" si="204"/>
        <v>12</v>
      </c>
      <c r="L240" s="127">
        <f t="shared" si="204"/>
        <v>12</v>
      </c>
      <c r="M240" s="127">
        <f t="shared" si="204"/>
        <v>12</v>
      </c>
      <c r="N240" s="245"/>
      <c r="O240" s="748"/>
      <c r="P240" s="757">
        <f t="shared" si="205"/>
        <v>0</v>
      </c>
      <c r="Q240" s="129">
        <f t="shared" si="206"/>
        <v>0</v>
      </c>
      <c r="R240" s="129">
        <f t="shared" si="207"/>
        <v>0</v>
      </c>
      <c r="S240" s="129">
        <f t="shared" si="208"/>
        <v>0</v>
      </c>
      <c r="T240" s="129">
        <f t="shared" si="209"/>
        <v>0</v>
      </c>
      <c r="U240" s="129">
        <f t="shared" si="210"/>
        <v>0</v>
      </c>
      <c r="V240" s="209">
        <f t="shared" si="211"/>
        <v>0</v>
      </c>
      <c r="W240" s="621"/>
      <c r="X240" s="222" t="str">
        <f t="shared" si="226"/>
        <v>Advanced Authentication - Base Fee</v>
      </c>
      <c r="Y240" s="325">
        <v>35.590000000000003</v>
      </c>
      <c r="Z240" s="774">
        <f t="shared" si="225"/>
        <v>35.590000000000003</v>
      </c>
      <c r="AA240" s="103">
        <f t="shared" si="212"/>
        <v>427.08000000000004</v>
      </c>
      <c r="AB240" s="103">
        <f t="shared" si="213"/>
        <v>427.08000000000004</v>
      </c>
      <c r="AC240" s="103">
        <f t="shared" si="214"/>
        <v>427.08000000000004</v>
      </c>
      <c r="AD240" s="103">
        <f t="shared" si="215"/>
        <v>427.08000000000004</v>
      </c>
      <c r="AE240" s="103">
        <f t="shared" si="216"/>
        <v>427.08000000000004</v>
      </c>
      <c r="AF240" s="123">
        <f t="shared" ref="AF240:AF245" si="228">SUM(AA240:AE240)</f>
        <v>2135.4</v>
      </c>
      <c r="AG240" s="743" t="s">
        <v>71</v>
      </c>
      <c r="AH240" s="362"/>
      <c r="AI240" s="221" t="str">
        <f t="shared" si="227"/>
        <v>Advanced Authentication - Base Fee</v>
      </c>
      <c r="AJ240" s="886">
        <v>37.68</v>
      </c>
      <c r="AK240" s="896">
        <f t="shared" si="218"/>
        <v>37.68</v>
      </c>
      <c r="AL240" s="105" cm="1">
        <f t="array" ref="AL240">_xlfn.IFS($AJ240="NO CHARGE",0,$AJ240=0,0,$AJ240&gt;0,PRODUCT(I240,$AJ240))</f>
        <v>452.15999999999997</v>
      </c>
      <c r="AM240" s="105" cm="1">
        <f t="array" ref="AM240">_xlfn.IFS($AJ240="NO CHARGE",0,$AJ240=0,0,$AJ240&gt;0,PRODUCT(J240,$AJ240))</f>
        <v>452.15999999999997</v>
      </c>
      <c r="AN240" s="105" cm="1">
        <f t="array" ref="AN240">_xlfn.IFS($AJ240="NO CHARGE",0,$AJ240=0,0,$AJ240&gt;0,PRODUCT(K240,$AJ240))</f>
        <v>452.15999999999997</v>
      </c>
      <c r="AO240" s="105" cm="1">
        <f t="array" ref="AO240">_xlfn.IFS($AJ240="NO CHARGE",0,$AJ240=0,0,$AJ240&gt;0,PRODUCT(L240,$AJ240))</f>
        <v>452.15999999999997</v>
      </c>
      <c r="AP240" s="105" cm="1">
        <f t="array" ref="AP240">_xlfn.IFS($AJ240="NO CHARGE",0,$AJ240=0,0,$AJ240&gt;0,PRODUCT(M240,$AJ240))</f>
        <v>452.15999999999997</v>
      </c>
      <c r="AQ240" s="158">
        <f t="shared" ref="AQ240:AQ245" si="229">SUM(AL240:AP240)</f>
        <v>2260.7999999999997</v>
      </c>
      <c r="AR240" s="875" t="s">
        <v>71</v>
      </c>
      <c r="AS240" s="473"/>
      <c r="AT240" s="106"/>
      <c r="AU240" s="107"/>
      <c r="AV240" s="108">
        <f t="shared" si="219"/>
        <v>0</v>
      </c>
      <c r="AW240" s="108">
        <f t="shared" si="220"/>
        <v>0</v>
      </c>
      <c r="AX240" s="108">
        <f t="shared" si="221"/>
        <v>0</v>
      </c>
      <c r="AY240" s="108">
        <f t="shared" si="222"/>
        <v>0</v>
      </c>
      <c r="AZ240" s="108">
        <f t="shared" si="223"/>
        <v>0</v>
      </c>
      <c r="BA240" s="165">
        <f t="shared" si="224"/>
        <v>0</v>
      </c>
      <c r="BB240" s="531"/>
    </row>
    <row r="241" spans="1:54" s="495" customFormat="1" outlineLevel="1" x14ac:dyDescent="0.25">
      <c r="A241" s="700"/>
      <c r="B241" s="623" t="s">
        <v>283</v>
      </c>
      <c r="C241" s="310" t="s">
        <v>288</v>
      </c>
      <c r="D241" s="604"/>
      <c r="E241" s="604"/>
      <c r="F241" s="604"/>
      <c r="G241" s="604"/>
      <c r="H241" s="618">
        <v>50</v>
      </c>
      <c r="I241" s="127">
        <f t="shared" si="203"/>
        <v>600</v>
      </c>
      <c r="J241" s="127">
        <f t="shared" si="204"/>
        <v>630</v>
      </c>
      <c r="K241" s="127">
        <f t="shared" si="204"/>
        <v>661.5</v>
      </c>
      <c r="L241" s="127">
        <f t="shared" si="204"/>
        <v>694.57500000000005</v>
      </c>
      <c r="M241" s="127">
        <f t="shared" si="204"/>
        <v>729.30375000000004</v>
      </c>
      <c r="N241" s="245"/>
      <c r="O241" s="748"/>
      <c r="P241" s="757">
        <f t="shared" si="205"/>
        <v>0</v>
      </c>
      <c r="Q241" s="129">
        <f t="shared" si="206"/>
        <v>0</v>
      </c>
      <c r="R241" s="129">
        <f t="shared" si="207"/>
        <v>0</v>
      </c>
      <c r="S241" s="129">
        <f t="shared" si="208"/>
        <v>0</v>
      </c>
      <c r="T241" s="129">
        <f t="shared" si="209"/>
        <v>0</v>
      </c>
      <c r="U241" s="129">
        <f t="shared" si="210"/>
        <v>0</v>
      </c>
      <c r="V241" s="209">
        <f t="shared" si="211"/>
        <v>0</v>
      </c>
      <c r="W241" s="621"/>
      <c r="X241" s="222" t="str">
        <f t="shared" si="226"/>
        <v>Advanced Authentication - Per User Access Fee</v>
      </c>
      <c r="Y241" s="325">
        <v>0.2402</v>
      </c>
      <c r="Z241" s="774">
        <f t="shared" si="225"/>
        <v>12.01</v>
      </c>
      <c r="AA241" s="103">
        <f t="shared" si="212"/>
        <v>144.12</v>
      </c>
      <c r="AB241" s="103">
        <f t="shared" si="213"/>
        <v>151.32599999999999</v>
      </c>
      <c r="AC241" s="103">
        <f t="shared" si="214"/>
        <v>158.89230000000001</v>
      </c>
      <c r="AD241" s="103">
        <f t="shared" si="215"/>
        <v>166.836915</v>
      </c>
      <c r="AE241" s="103">
        <f t="shared" si="216"/>
        <v>175.17876075000001</v>
      </c>
      <c r="AF241" s="123">
        <f t="shared" si="228"/>
        <v>796.35397575000002</v>
      </c>
      <c r="AG241" s="743"/>
      <c r="AH241" s="362"/>
      <c r="AI241" s="221" t="str">
        <f t="shared" si="227"/>
        <v>Advanced Authentication - Per User Access Fee</v>
      </c>
      <c r="AJ241" s="886">
        <v>0.25430000000000003</v>
      </c>
      <c r="AK241" s="896">
        <f t="shared" si="218"/>
        <v>12.715000000000002</v>
      </c>
      <c r="AL241" s="105" cm="1">
        <f t="array" ref="AL241">_xlfn.IFS($AJ241="NO CHARGE",0,$AJ241=0,0,$AJ241&gt;0,PRODUCT(I241,$AJ241))</f>
        <v>152.58000000000001</v>
      </c>
      <c r="AM241" s="105" cm="1">
        <f t="array" ref="AM241">_xlfn.IFS($AJ241="NO CHARGE",0,$AJ241=0,0,$AJ241&gt;0,PRODUCT(J241,$AJ241))</f>
        <v>160.209</v>
      </c>
      <c r="AN241" s="105" cm="1">
        <f t="array" ref="AN241">_xlfn.IFS($AJ241="NO CHARGE",0,$AJ241=0,0,$AJ241&gt;0,PRODUCT(K241,$AJ241))</f>
        <v>168.21945000000002</v>
      </c>
      <c r="AO241" s="105" cm="1">
        <f t="array" ref="AO241">_xlfn.IFS($AJ241="NO CHARGE",0,$AJ241=0,0,$AJ241&gt;0,PRODUCT(L241,$AJ241))</f>
        <v>176.63042250000004</v>
      </c>
      <c r="AP241" s="105" cm="1">
        <f t="array" ref="AP241">_xlfn.IFS($AJ241="NO CHARGE",0,$AJ241=0,0,$AJ241&gt;0,PRODUCT(M241,$AJ241))</f>
        <v>185.46194362500003</v>
      </c>
      <c r="AQ241" s="158">
        <f t="shared" si="229"/>
        <v>843.10081612500005</v>
      </c>
      <c r="AR241" s="875"/>
      <c r="AS241" s="473"/>
      <c r="AT241" s="106"/>
      <c r="AU241" s="107"/>
      <c r="AV241" s="108">
        <f t="shared" si="219"/>
        <v>0</v>
      </c>
      <c r="AW241" s="108">
        <f t="shared" si="220"/>
        <v>0</v>
      </c>
      <c r="AX241" s="108">
        <f t="shared" si="221"/>
        <v>0</v>
      </c>
      <c r="AY241" s="108">
        <f t="shared" si="222"/>
        <v>0</v>
      </c>
      <c r="AZ241" s="108">
        <f t="shared" si="223"/>
        <v>0</v>
      </c>
      <c r="BA241" s="165">
        <f t="shared" si="224"/>
        <v>0</v>
      </c>
      <c r="BB241" s="531"/>
    </row>
    <row r="242" spans="1:54" s="495" customFormat="1" outlineLevel="1" x14ac:dyDescent="0.25">
      <c r="A242" s="700"/>
      <c r="B242" s="623" t="s">
        <v>283</v>
      </c>
      <c r="C242" s="310" t="s">
        <v>289</v>
      </c>
      <c r="D242" s="604"/>
      <c r="E242" s="604"/>
      <c r="F242" s="604"/>
      <c r="G242" s="604"/>
      <c r="H242" s="618">
        <v>50</v>
      </c>
      <c r="I242" s="127">
        <f t="shared" si="203"/>
        <v>600</v>
      </c>
      <c r="J242" s="127">
        <f t="shared" si="204"/>
        <v>630</v>
      </c>
      <c r="K242" s="127">
        <f t="shared" si="204"/>
        <v>661.5</v>
      </c>
      <c r="L242" s="127">
        <f t="shared" si="204"/>
        <v>694.57500000000005</v>
      </c>
      <c r="M242" s="127">
        <f t="shared" si="204"/>
        <v>729.30375000000004</v>
      </c>
      <c r="N242" s="245"/>
      <c r="O242" s="748"/>
      <c r="P242" s="757">
        <f t="shared" si="205"/>
        <v>0</v>
      </c>
      <c r="Q242" s="129">
        <f t="shared" si="206"/>
        <v>0</v>
      </c>
      <c r="R242" s="129">
        <f t="shared" si="207"/>
        <v>0</v>
      </c>
      <c r="S242" s="129">
        <f t="shared" si="208"/>
        <v>0</v>
      </c>
      <c r="T242" s="129">
        <f t="shared" si="209"/>
        <v>0</v>
      </c>
      <c r="U242" s="129">
        <f t="shared" si="210"/>
        <v>0</v>
      </c>
      <c r="V242" s="209">
        <f t="shared" si="211"/>
        <v>0</v>
      </c>
      <c r="W242" s="621"/>
      <c r="X242" s="222" t="str">
        <f t="shared" si="226"/>
        <v>Advanced Authentication - Per Out of Band Call</v>
      </c>
      <c r="Y242" s="325">
        <v>0.17799999999999999</v>
      </c>
      <c r="Z242" s="774">
        <f t="shared" si="225"/>
        <v>8.9</v>
      </c>
      <c r="AA242" s="103">
        <f t="shared" si="212"/>
        <v>106.8</v>
      </c>
      <c r="AB242" s="103">
        <f t="shared" si="213"/>
        <v>112.14</v>
      </c>
      <c r="AC242" s="103">
        <f t="shared" si="214"/>
        <v>117.747</v>
      </c>
      <c r="AD242" s="103">
        <f t="shared" si="215"/>
        <v>123.63435</v>
      </c>
      <c r="AE242" s="103">
        <f t="shared" si="216"/>
        <v>129.8160675</v>
      </c>
      <c r="AF242" s="123">
        <f t="shared" si="228"/>
        <v>590.13741749999997</v>
      </c>
      <c r="AG242" s="743"/>
      <c r="AH242" s="362"/>
      <c r="AI242" s="221" t="str">
        <f t="shared" si="227"/>
        <v>Advanced Authentication - Per Out of Band Call</v>
      </c>
      <c r="AJ242" s="886">
        <v>0.18840000000000001</v>
      </c>
      <c r="AK242" s="896">
        <f t="shared" si="218"/>
        <v>9.42</v>
      </c>
      <c r="AL242" s="105" cm="1">
        <f t="array" ref="AL242">_xlfn.IFS($AJ242="NO CHARGE",0,$AJ242=0,0,$AJ242&gt;0,PRODUCT(I242,$AJ242))</f>
        <v>113.04</v>
      </c>
      <c r="AM242" s="105" cm="1">
        <f t="array" ref="AM242">_xlfn.IFS($AJ242="NO CHARGE",0,$AJ242=0,0,$AJ242&gt;0,PRODUCT(J242,$AJ242))</f>
        <v>118.69200000000001</v>
      </c>
      <c r="AN242" s="105" cm="1">
        <f t="array" ref="AN242">_xlfn.IFS($AJ242="NO CHARGE",0,$AJ242=0,0,$AJ242&gt;0,PRODUCT(K242,$AJ242))</f>
        <v>124.62660000000001</v>
      </c>
      <c r="AO242" s="105" cm="1">
        <f t="array" ref="AO242">_xlfn.IFS($AJ242="NO CHARGE",0,$AJ242=0,0,$AJ242&gt;0,PRODUCT(L242,$AJ242))</f>
        <v>130.85793000000001</v>
      </c>
      <c r="AP242" s="105" cm="1">
        <f t="array" ref="AP242">_xlfn.IFS($AJ242="NO CHARGE",0,$AJ242=0,0,$AJ242&gt;0,PRODUCT(M242,$AJ242))</f>
        <v>137.40082650000002</v>
      </c>
      <c r="AQ242" s="158">
        <f t="shared" si="229"/>
        <v>624.61735650000003</v>
      </c>
      <c r="AR242" s="875"/>
      <c r="AS242" s="473"/>
      <c r="AT242" s="106"/>
      <c r="AU242" s="107"/>
      <c r="AV242" s="108">
        <f t="shared" si="219"/>
        <v>0</v>
      </c>
      <c r="AW242" s="108">
        <f t="shared" si="220"/>
        <v>0</v>
      </c>
      <c r="AX242" s="108">
        <f t="shared" si="221"/>
        <v>0</v>
      </c>
      <c r="AY242" s="108">
        <f t="shared" si="222"/>
        <v>0</v>
      </c>
      <c r="AZ242" s="108">
        <f t="shared" si="223"/>
        <v>0</v>
      </c>
      <c r="BA242" s="165">
        <f t="shared" si="224"/>
        <v>0</v>
      </c>
      <c r="BB242" s="531"/>
    </row>
    <row r="243" spans="1:54" s="495" customFormat="1" outlineLevel="1" x14ac:dyDescent="0.25">
      <c r="A243" s="700"/>
      <c r="B243" s="623" t="s">
        <v>283</v>
      </c>
      <c r="C243" s="310" t="s">
        <v>290</v>
      </c>
      <c r="D243" s="604"/>
      <c r="E243" s="604"/>
      <c r="F243" s="604"/>
      <c r="G243" s="604"/>
      <c r="H243" s="618">
        <f>IFERROR(AVERAGE(D243:G243),0)</f>
        <v>0</v>
      </c>
      <c r="I243" s="127">
        <f t="shared" si="203"/>
        <v>0</v>
      </c>
      <c r="J243" s="127">
        <f t="shared" si="204"/>
        <v>0</v>
      </c>
      <c r="K243" s="127">
        <f t="shared" si="204"/>
        <v>0</v>
      </c>
      <c r="L243" s="127">
        <f t="shared" si="204"/>
        <v>0</v>
      </c>
      <c r="M243" s="127">
        <f t="shared" si="204"/>
        <v>0</v>
      </c>
      <c r="N243" s="245"/>
      <c r="O243" s="748"/>
      <c r="P243" s="757">
        <f t="shared" si="205"/>
        <v>0</v>
      </c>
      <c r="Q243" s="129">
        <f t="shared" si="206"/>
        <v>0</v>
      </c>
      <c r="R243" s="129">
        <f t="shared" si="207"/>
        <v>0</v>
      </c>
      <c r="S243" s="129">
        <f t="shared" si="208"/>
        <v>0</v>
      </c>
      <c r="T243" s="129">
        <f t="shared" si="209"/>
        <v>0</v>
      </c>
      <c r="U243" s="129">
        <f t="shared" si="210"/>
        <v>0</v>
      </c>
      <c r="V243" s="209">
        <f t="shared" si="211"/>
        <v>0</v>
      </c>
      <c r="W243" s="621"/>
      <c r="X243" s="222" t="str">
        <f t="shared" si="226"/>
        <v>DirectLINK SSO Fee</v>
      </c>
      <c r="Y243" s="733" t="s">
        <v>69</v>
      </c>
      <c r="Z243" s="774">
        <f t="shared" si="225"/>
        <v>0</v>
      </c>
      <c r="AA243" s="103" cm="1">
        <f t="array" ref="AA243">_xlfn.IFS($Y243&gt;0,PRODUCT(I243,$Y243),$Y243="WAVIED",0)</f>
        <v>0</v>
      </c>
      <c r="AB243" s="103" cm="1">
        <f t="array" ref="AB243">_xlfn.IFS($Y243&gt;0,PRODUCT(J243,$Y243),$Y243="WAVIED",0)</f>
        <v>0</v>
      </c>
      <c r="AC243" s="103" cm="1">
        <f t="array" ref="AC243">_xlfn.IFS($Y243&gt;0,PRODUCT(K243,$Y243),$Y243="WAVIED",0)</f>
        <v>0</v>
      </c>
      <c r="AD243" s="103" cm="1">
        <f t="array" ref="AD243">_xlfn.IFS($Y243&gt;0,PRODUCT(L243,$Y243),$Y243="WAVIED",0)</f>
        <v>0</v>
      </c>
      <c r="AE243" s="103" cm="1">
        <f t="array" ref="AE243">_xlfn.IFS($Y243&gt;0,PRODUCT(M243,$Y243),$Y243="WAVIED",0)</f>
        <v>0</v>
      </c>
      <c r="AF243" s="123">
        <f t="shared" si="228"/>
        <v>0</v>
      </c>
      <c r="AG243" s="743" t="s">
        <v>71</v>
      </c>
      <c r="AH243" s="362"/>
      <c r="AI243" s="221" t="str">
        <f t="shared" si="227"/>
        <v>DirectLINK SSO Fee</v>
      </c>
      <c r="AJ243" s="886" t="s">
        <v>69</v>
      </c>
      <c r="AK243" s="896">
        <f t="shared" si="218"/>
        <v>0</v>
      </c>
      <c r="AL243" s="105" cm="1">
        <f t="array" ref="AL243">_xlfn.IFS($AJ243="NO CHARGE",0,$AJ243=0,0,$AJ243&gt;0,PRODUCT(I243,$AJ243))</f>
        <v>0</v>
      </c>
      <c r="AM243" s="105" cm="1">
        <f t="array" ref="AM243">_xlfn.IFS($AJ243="NO CHARGE",0,$AJ243=0,0,$AJ243&gt;0,PRODUCT(J243,$AJ243))</f>
        <v>0</v>
      </c>
      <c r="AN243" s="105" cm="1">
        <f t="array" ref="AN243">_xlfn.IFS($AJ243="NO CHARGE",0,$AJ243=0,0,$AJ243&gt;0,PRODUCT(K243,$AJ243))</f>
        <v>0</v>
      </c>
      <c r="AO243" s="105" cm="1">
        <f t="array" ref="AO243">_xlfn.IFS($AJ243="NO CHARGE",0,$AJ243=0,0,$AJ243&gt;0,PRODUCT(L243,$AJ243))</f>
        <v>0</v>
      </c>
      <c r="AP243" s="105" cm="1">
        <f t="array" ref="AP243">_xlfn.IFS($AJ243="NO CHARGE",0,$AJ243=0,0,$AJ243&gt;0,PRODUCT(M243,$AJ243))</f>
        <v>0</v>
      </c>
      <c r="AQ243" s="158">
        <f t="shared" si="229"/>
        <v>0</v>
      </c>
      <c r="AR243" s="875" t="s">
        <v>71</v>
      </c>
      <c r="AS243" s="473"/>
      <c r="AT243" s="106"/>
      <c r="AU243" s="107"/>
      <c r="AV243" s="108">
        <f t="shared" si="219"/>
        <v>0</v>
      </c>
      <c r="AW243" s="108">
        <f t="shared" si="220"/>
        <v>0</v>
      </c>
      <c r="AX243" s="108">
        <f t="shared" si="221"/>
        <v>0</v>
      </c>
      <c r="AY243" s="108">
        <f t="shared" si="222"/>
        <v>0</v>
      </c>
      <c r="AZ243" s="108">
        <f t="shared" si="223"/>
        <v>0</v>
      </c>
      <c r="BA243" s="165">
        <f t="shared" si="224"/>
        <v>0</v>
      </c>
      <c r="BB243" s="531"/>
    </row>
    <row r="244" spans="1:54" s="495" customFormat="1" outlineLevel="1" x14ac:dyDescent="0.25">
      <c r="A244" s="700"/>
      <c r="B244" s="623" t="s">
        <v>283</v>
      </c>
      <c r="C244" s="310" t="s">
        <v>291</v>
      </c>
      <c r="D244" s="604"/>
      <c r="E244" s="604"/>
      <c r="F244" s="604"/>
      <c r="G244" s="604"/>
      <c r="H244" s="618">
        <v>1</v>
      </c>
      <c r="I244" s="127">
        <f t="shared" si="203"/>
        <v>12</v>
      </c>
      <c r="J244" s="127">
        <f t="shared" si="204"/>
        <v>12</v>
      </c>
      <c r="K244" s="127">
        <f t="shared" si="204"/>
        <v>12</v>
      </c>
      <c r="L244" s="127">
        <f t="shared" si="204"/>
        <v>12</v>
      </c>
      <c r="M244" s="127">
        <f t="shared" si="204"/>
        <v>12</v>
      </c>
      <c r="N244" s="245"/>
      <c r="O244" s="748"/>
      <c r="P244" s="757">
        <f t="shared" si="205"/>
        <v>0</v>
      </c>
      <c r="Q244" s="129">
        <f t="shared" si="206"/>
        <v>0</v>
      </c>
      <c r="R244" s="129">
        <f t="shared" si="207"/>
        <v>0</v>
      </c>
      <c r="S244" s="129">
        <f t="shared" si="208"/>
        <v>0</v>
      </c>
      <c r="T244" s="129">
        <f t="shared" si="209"/>
        <v>0</v>
      </c>
      <c r="U244" s="129">
        <f t="shared" si="210"/>
        <v>0</v>
      </c>
      <c r="V244" s="209">
        <f t="shared" si="211"/>
        <v>0</v>
      </c>
      <c r="W244" s="621"/>
      <c r="X244" s="222" t="str">
        <f t="shared" si="226"/>
        <v>DirectLINK Teller Test Systems</v>
      </c>
      <c r="Y244" s="325">
        <v>274.89</v>
      </c>
      <c r="Z244" s="774">
        <f t="shared" si="225"/>
        <v>274.89</v>
      </c>
      <c r="AA244" s="103">
        <f>IF(Y244&gt;0,PRODUCT(I244,$Y244),0)</f>
        <v>3298.68</v>
      </c>
      <c r="AB244" s="103">
        <f t="shared" ref="AB244:AE245" si="230">IF(AA244&gt;0,PRODUCT(J244,$Y244),0)</f>
        <v>3298.68</v>
      </c>
      <c r="AC244" s="103">
        <f t="shared" si="230"/>
        <v>3298.68</v>
      </c>
      <c r="AD244" s="103">
        <f t="shared" si="230"/>
        <v>3298.68</v>
      </c>
      <c r="AE244" s="103">
        <f t="shared" si="230"/>
        <v>3298.68</v>
      </c>
      <c r="AF244" s="123">
        <f t="shared" si="228"/>
        <v>16493.399999999998</v>
      </c>
      <c r="AG244" s="743" t="s">
        <v>71</v>
      </c>
      <c r="AH244" s="362"/>
      <c r="AI244" s="221" t="str">
        <f t="shared" si="227"/>
        <v>DirectLINK Teller Test Systems</v>
      </c>
      <c r="AJ244" s="886">
        <v>291.06</v>
      </c>
      <c r="AK244" s="896">
        <f t="shared" si="218"/>
        <v>291.06</v>
      </c>
      <c r="AL244" s="105" cm="1">
        <f t="array" ref="AL244">_xlfn.IFS($AJ244="NO CHARGE",0,$AJ244=0,0,$AJ244&gt;0,PRODUCT(I244,$AJ244))</f>
        <v>3492.7200000000003</v>
      </c>
      <c r="AM244" s="105" cm="1">
        <f t="array" ref="AM244">_xlfn.IFS($AJ244="NO CHARGE",0,$AJ244=0,0,$AJ244&gt;0,PRODUCT(J244,$AJ244))</f>
        <v>3492.7200000000003</v>
      </c>
      <c r="AN244" s="105" cm="1">
        <f t="array" ref="AN244">_xlfn.IFS($AJ244="NO CHARGE",0,$AJ244=0,0,$AJ244&gt;0,PRODUCT(K244,$AJ244))</f>
        <v>3492.7200000000003</v>
      </c>
      <c r="AO244" s="105" cm="1">
        <f t="array" ref="AO244">_xlfn.IFS($AJ244="NO CHARGE",0,$AJ244=0,0,$AJ244&gt;0,PRODUCT(L244,$AJ244))</f>
        <v>3492.7200000000003</v>
      </c>
      <c r="AP244" s="105" cm="1">
        <f t="array" ref="AP244">_xlfn.IFS($AJ244="NO CHARGE",0,$AJ244=0,0,$AJ244&gt;0,PRODUCT(M244,$AJ244))</f>
        <v>3492.7200000000003</v>
      </c>
      <c r="AQ244" s="158">
        <f t="shared" si="229"/>
        <v>17463.600000000002</v>
      </c>
      <c r="AR244" s="875" t="s">
        <v>71</v>
      </c>
      <c r="AS244" s="473"/>
      <c r="AT244" s="106"/>
      <c r="AU244" s="107"/>
      <c r="AV244" s="108">
        <f t="shared" si="219"/>
        <v>0</v>
      </c>
      <c r="AW244" s="108">
        <f t="shared" si="220"/>
        <v>0</v>
      </c>
      <c r="AX244" s="108">
        <f t="shared" si="221"/>
        <v>0</v>
      </c>
      <c r="AY244" s="108">
        <f t="shared" si="222"/>
        <v>0</v>
      </c>
      <c r="AZ244" s="108">
        <f t="shared" si="223"/>
        <v>0</v>
      </c>
      <c r="BA244" s="165">
        <f t="shared" si="224"/>
        <v>0</v>
      </c>
      <c r="BB244" s="531"/>
    </row>
    <row r="245" spans="1:54" s="495" customFormat="1" outlineLevel="1" x14ac:dyDescent="0.25">
      <c r="A245" s="445"/>
      <c r="B245" s="623"/>
      <c r="C245" s="310"/>
      <c r="D245" s="604"/>
      <c r="E245" s="604"/>
      <c r="F245" s="604"/>
      <c r="G245" s="604"/>
      <c r="H245" s="618">
        <f>IFERROR(AVERAGE(D245:G245),0)</f>
        <v>0</v>
      </c>
      <c r="I245" s="127">
        <f t="shared" si="203"/>
        <v>0</v>
      </c>
      <c r="J245" s="127">
        <f t="shared" si="204"/>
        <v>0</v>
      </c>
      <c r="K245" s="127">
        <f t="shared" si="204"/>
        <v>0</v>
      </c>
      <c r="L245" s="127">
        <f t="shared" si="204"/>
        <v>0</v>
      </c>
      <c r="M245" s="127">
        <f t="shared" si="204"/>
        <v>0</v>
      </c>
      <c r="N245" s="245"/>
      <c r="O245" s="748"/>
      <c r="P245" s="757">
        <f t="shared" si="205"/>
        <v>0</v>
      </c>
      <c r="Q245" s="129">
        <f t="shared" si="206"/>
        <v>0</v>
      </c>
      <c r="R245" s="129">
        <f t="shared" si="207"/>
        <v>0</v>
      </c>
      <c r="S245" s="129">
        <f t="shared" si="208"/>
        <v>0</v>
      </c>
      <c r="T245" s="129">
        <f t="shared" si="209"/>
        <v>0</v>
      </c>
      <c r="U245" s="129">
        <f t="shared" si="210"/>
        <v>0</v>
      </c>
      <c r="V245" s="209">
        <f t="shared" si="211"/>
        <v>0</v>
      </c>
      <c r="W245" s="621"/>
      <c r="X245" s="222"/>
      <c r="Y245" s="325"/>
      <c r="Z245" s="774">
        <f t="shared" si="225"/>
        <v>0</v>
      </c>
      <c r="AA245" s="103">
        <f>IF(Y245&gt;0,PRODUCT(I245,$Y245),0)</f>
        <v>0</v>
      </c>
      <c r="AB245" s="103">
        <f t="shared" si="230"/>
        <v>0</v>
      </c>
      <c r="AC245" s="103">
        <f t="shared" si="230"/>
        <v>0</v>
      </c>
      <c r="AD245" s="103">
        <f t="shared" si="230"/>
        <v>0</v>
      </c>
      <c r="AE245" s="103">
        <f t="shared" si="230"/>
        <v>0</v>
      </c>
      <c r="AF245" s="123">
        <f t="shared" si="228"/>
        <v>0</v>
      </c>
      <c r="AG245" s="743"/>
      <c r="AH245" s="362"/>
      <c r="AI245" s="221"/>
      <c r="AJ245" s="270"/>
      <c r="AK245" s="896">
        <f t="shared" si="218"/>
        <v>0</v>
      </c>
      <c r="AL245" s="105" cm="1">
        <f t="array" ref="AL245">_xlfn.IFS($AJ245="NO CHARGE",0,$AJ245=0,0,$AJ245&gt;0,PRODUCT(I245,$AJ245))</f>
        <v>0</v>
      </c>
      <c r="AM245" s="105" cm="1">
        <f t="array" ref="AM245">_xlfn.IFS($AJ245="NO CHARGE",0,$AJ245=0,0,$AJ245&gt;0,PRODUCT(J245,$AJ245))</f>
        <v>0</v>
      </c>
      <c r="AN245" s="105" cm="1">
        <f t="array" ref="AN245">_xlfn.IFS($AJ245="NO CHARGE",0,$AJ245=0,0,$AJ245&gt;0,PRODUCT(K245,$AJ245))</f>
        <v>0</v>
      </c>
      <c r="AO245" s="105" cm="1">
        <f t="array" ref="AO245">_xlfn.IFS($AJ245="NO CHARGE",0,$AJ245=0,0,$AJ245&gt;0,PRODUCT(L245,$AJ245))</f>
        <v>0</v>
      </c>
      <c r="AP245" s="105" cm="1">
        <f t="array" ref="AP245">_xlfn.IFS($AJ245="NO CHARGE",0,$AJ245=0,0,$AJ245&gt;0,PRODUCT(M245,$AJ245))</f>
        <v>0</v>
      </c>
      <c r="AQ245" s="158">
        <f t="shared" si="229"/>
        <v>0</v>
      </c>
      <c r="AR245" s="875"/>
      <c r="AS245" s="473"/>
      <c r="AT245" s="106"/>
      <c r="AU245" s="107"/>
      <c r="AV245" s="108">
        <f t="shared" si="219"/>
        <v>0</v>
      </c>
      <c r="AW245" s="108">
        <f t="shared" si="220"/>
        <v>0</v>
      </c>
      <c r="AX245" s="108">
        <f t="shared" si="221"/>
        <v>0</v>
      </c>
      <c r="AY245" s="108">
        <f t="shared" si="222"/>
        <v>0</v>
      </c>
      <c r="AZ245" s="108">
        <f t="shared" si="223"/>
        <v>0</v>
      </c>
      <c r="BA245" s="165">
        <f t="shared" si="224"/>
        <v>0</v>
      </c>
      <c r="BB245" s="531"/>
    </row>
    <row r="246" spans="1:54" s="495" customFormat="1" outlineLevel="1" x14ac:dyDescent="0.25">
      <c r="A246" s="445"/>
      <c r="B246" s="252" t="str">
        <f>C246</f>
        <v>Network Services, NYCE, &amp; Other:</v>
      </c>
      <c r="C246" s="242" t="s">
        <v>292</v>
      </c>
      <c r="D246" s="608"/>
      <c r="E246" s="608"/>
      <c r="F246" s="608"/>
      <c r="G246" s="608"/>
      <c r="H246" s="243"/>
      <c r="I246" s="243"/>
      <c r="J246" s="243"/>
      <c r="K246" s="243"/>
      <c r="L246" s="243"/>
      <c r="M246" s="244"/>
      <c r="N246" s="252" t="str">
        <f>C246</f>
        <v>Network Services, NYCE, &amp; Other:</v>
      </c>
      <c r="O246" s="243"/>
      <c r="P246" s="756"/>
      <c r="Q246" s="243"/>
      <c r="R246" s="243"/>
      <c r="S246" s="243"/>
      <c r="T246" s="243"/>
      <c r="U246" s="244"/>
      <c r="V246" s="209"/>
      <c r="W246" s="527"/>
      <c r="X246" s="252" t="str">
        <f>C246</f>
        <v>Network Services, NYCE, &amp; Other:</v>
      </c>
      <c r="Y246" s="707"/>
      <c r="Z246" s="756"/>
      <c r="AA246" s="243"/>
      <c r="AB246" s="243"/>
      <c r="AC246" s="243"/>
      <c r="AD246" s="243"/>
      <c r="AE246" s="244"/>
      <c r="AF246" s="123"/>
      <c r="AG246" s="742"/>
      <c r="AH246" s="244"/>
      <c r="AI246" s="252" t="str">
        <f>C246</f>
        <v>Network Services, NYCE, &amp; Other:</v>
      </c>
      <c r="AJ246" s="707"/>
      <c r="AK246" s="895"/>
      <c r="AL246" s="243"/>
      <c r="AM246" s="243"/>
      <c r="AN246" s="243"/>
      <c r="AO246" s="243"/>
      <c r="AP246" s="244"/>
      <c r="AQ246" s="158">
        <f t="shared" ref="AQ246:AQ263" si="231">SUM(AL246:AP246)</f>
        <v>0</v>
      </c>
      <c r="AR246" s="874"/>
      <c r="AS246" s="874"/>
      <c r="AT246" s="252" t="str">
        <f>C246</f>
        <v>Network Services, NYCE, &amp; Other:</v>
      </c>
      <c r="AU246" s="243"/>
      <c r="AV246" s="243"/>
      <c r="AW246" s="243"/>
      <c r="AX246" s="243"/>
      <c r="AY246" s="243"/>
      <c r="AZ246" s="244"/>
      <c r="BA246" s="165"/>
      <c r="BB246" s="532"/>
    </row>
    <row r="247" spans="1:54" s="495" customFormat="1" outlineLevel="1" x14ac:dyDescent="0.25">
      <c r="A247" s="445"/>
      <c r="B247" s="623" t="s">
        <v>293</v>
      </c>
      <c r="C247" s="310" t="s">
        <v>294</v>
      </c>
      <c r="D247" s="604"/>
      <c r="E247" s="604"/>
      <c r="F247" s="604"/>
      <c r="G247" s="604"/>
      <c r="H247" s="618">
        <v>1</v>
      </c>
      <c r="I247" s="127">
        <f t="shared" ref="I247:I262" si="232">H247*12</f>
        <v>12</v>
      </c>
      <c r="J247" s="127">
        <f t="shared" ref="J247:M262" si="233">IF(I247&gt;12,(((I247)*$H$5)+I247),(I247*1))</f>
        <v>12</v>
      </c>
      <c r="K247" s="127">
        <f t="shared" si="233"/>
        <v>12</v>
      </c>
      <c r="L247" s="127">
        <f t="shared" si="233"/>
        <v>12</v>
      </c>
      <c r="M247" s="127">
        <f t="shared" si="233"/>
        <v>12</v>
      </c>
      <c r="N247" s="245" t="str">
        <f t="shared" ref="N247:N291" si="234">IF(C247="","",C247)</f>
        <v>AI Manage / Network Mgmt and Montoring</v>
      </c>
      <c r="O247" s="748">
        <v>153.37</v>
      </c>
      <c r="P247" s="757">
        <f>Q247/12</f>
        <v>153.37</v>
      </c>
      <c r="Q247" s="129">
        <f>IF(O247&gt;0,PRODUCT(I247,$O247),0)</f>
        <v>1840.44</v>
      </c>
      <c r="R247" s="129">
        <f t="shared" ref="R247:U248" si="235">IF(Q247&gt;0,PRODUCT(J247,$O247),0)</f>
        <v>1840.44</v>
      </c>
      <c r="S247" s="129">
        <f t="shared" si="235"/>
        <v>1840.44</v>
      </c>
      <c r="T247" s="129">
        <f t="shared" si="235"/>
        <v>1840.44</v>
      </c>
      <c r="U247" s="129">
        <f t="shared" si="235"/>
        <v>1840.44</v>
      </c>
      <c r="V247" s="209">
        <f>SUM(Q247:U247)</f>
        <v>9202.2000000000007</v>
      </c>
      <c r="W247" s="621"/>
      <c r="X247" s="222" t="str">
        <f>C247</f>
        <v>AI Manage / Network Mgmt and Montoring</v>
      </c>
      <c r="Y247" s="325">
        <v>200</v>
      </c>
      <c r="Z247" s="774">
        <f>AA247/12</f>
        <v>200</v>
      </c>
      <c r="AA247" s="103">
        <f t="shared" ref="AA247:AA257" si="236">IF(Y247&gt;0,PRODUCT(I247,$Y247),0)</f>
        <v>2400</v>
      </c>
      <c r="AB247" s="103">
        <f t="shared" ref="AB247:AB257" si="237">IF(AA247&gt;0,PRODUCT(J247,$Y247),0)</f>
        <v>2400</v>
      </c>
      <c r="AC247" s="103">
        <f t="shared" ref="AC247:AC257" si="238">IF(AB247&gt;0,PRODUCT(K247,$Y247),0)</f>
        <v>2400</v>
      </c>
      <c r="AD247" s="103">
        <f t="shared" ref="AD247:AD257" si="239">IF(AC247&gt;0,PRODUCT(L247,$Y247),0)</f>
        <v>2400</v>
      </c>
      <c r="AE247" s="103">
        <f t="shared" ref="AE247:AE257" si="240">IF(AD247&gt;0,PRODUCT(M247,$Y247),0)</f>
        <v>2400</v>
      </c>
      <c r="AF247" s="123">
        <f t="shared" ref="AF247:AF257" si="241">SUM(AA247:AE247)</f>
        <v>12000</v>
      </c>
      <c r="AG247" s="743"/>
      <c r="AH247" s="362"/>
      <c r="AI247" s="221" t="str">
        <f>X247</f>
        <v>AI Manage / Network Mgmt and Montoring</v>
      </c>
      <c r="AJ247" s="270">
        <v>200</v>
      </c>
      <c r="AK247" s="896">
        <f t="shared" ref="AK247:AK262" si="242">AL247/12</f>
        <v>200</v>
      </c>
      <c r="AL247" s="105" cm="1">
        <f t="array" ref="AL247">_xlfn.IFS($AJ247="NO CHARGE",0,$AJ247=0,0,$AJ247&gt;0,PRODUCT(I247,$AJ247))</f>
        <v>2400</v>
      </c>
      <c r="AM247" s="105" cm="1">
        <f t="array" ref="AM247">_xlfn.IFS($AJ247="NO CHARGE",0,$AJ247=0,0,$AJ247&gt;0,PRODUCT(J247,$AJ247))</f>
        <v>2400</v>
      </c>
      <c r="AN247" s="105" cm="1">
        <f t="array" ref="AN247">_xlfn.IFS($AJ247="NO CHARGE",0,$AJ247=0,0,$AJ247&gt;0,PRODUCT(K247,$AJ247))</f>
        <v>2400</v>
      </c>
      <c r="AO247" s="105" cm="1">
        <f t="array" ref="AO247">_xlfn.IFS($AJ247="NO CHARGE",0,$AJ247=0,0,$AJ247&gt;0,PRODUCT(L247,$AJ247))</f>
        <v>2400</v>
      </c>
      <c r="AP247" s="105" cm="1">
        <f t="array" ref="AP247">_xlfn.IFS($AJ247="NO CHARGE",0,$AJ247=0,0,$AJ247&gt;0,PRODUCT(M247,$AJ247))</f>
        <v>2400</v>
      </c>
      <c r="AQ247" s="158">
        <f t="shared" si="231"/>
        <v>12000</v>
      </c>
      <c r="AR247" s="875"/>
      <c r="AS247" s="473"/>
      <c r="AT247" s="106"/>
      <c r="AU247" s="107"/>
      <c r="AV247" s="108">
        <f t="shared" ref="AV247:AV257" si="243">IF(AU247&gt;0,PRODUCT(I247,$AU247),0)</f>
        <v>0</v>
      </c>
      <c r="AW247" s="108">
        <f t="shared" ref="AW247:AW257" si="244">IF(AV247&gt;0,PRODUCT(J247,$AU247),0)</f>
        <v>0</v>
      </c>
      <c r="AX247" s="108">
        <f t="shared" ref="AX247:AX257" si="245">IF(AW247&gt;0,PRODUCT(K247,$AU247),0)</f>
        <v>0</v>
      </c>
      <c r="AY247" s="108">
        <f t="shared" ref="AY247:AY257" si="246">IF(AX247&gt;0,PRODUCT(L247,$AU247),0)</f>
        <v>0</v>
      </c>
      <c r="AZ247" s="108">
        <f t="shared" ref="AZ247:AZ257" si="247">IF(AY247&gt;0,PRODUCT(M247,$AU247),0)</f>
        <v>0</v>
      </c>
      <c r="BA247" s="165">
        <f t="shared" ref="BA247:BA257" si="248">SUM(AV247:AZ247)</f>
        <v>0</v>
      </c>
      <c r="BB247" s="531"/>
    </row>
    <row r="248" spans="1:54" s="495" customFormat="1" outlineLevel="1" x14ac:dyDescent="0.25">
      <c r="A248" s="445"/>
      <c r="B248" s="623"/>
      <c r="C248" s="310"/>
      <c r="D248" s="604"/>
      <c r="E248" s="604"/>
      <c r="F248" s="604"/>
      <c r="G248" s="604"/>
      <c r="H248" s="618">
        <f>IFERROR(AVERAGE(D248:G248),0)</f>
        <v>0</v>
      </c>
      <c r="I248" s="127">
        <f t="shared" si="232"/>
        <v>0</v>
      </c>
      <c r="J248" s="127">
        <f t="shared" si="233"/>
        <v>0</v>
      </c>
      <c r="K248" s="127">
        <f t="shared" si="233"/>
        <v>0</v>
      </c>
      <c r="L248" s="127">
        <f t="shared" si="233"/>
        <v>0</v>
      </c>
      <c r="M248" s="127">
        <f t="shared" si="233"/>
        <v>0</v>
      </c>
      <c r="N248" s="245" t="str">
        <f t="shared" si="234"/>
        <v/>
      </c>
      <c r="O248" s="748"/>
      <c r="P248" s="757">
        <f>Q248/12</f>
        <v>0</v>
      </c>
      <c r="Q248" s="129">
        <f>IF(O248&gt;0,PRODUCT(I248,$O248),0)</f>
        <v>0</v>
      </c>
      <c r="R248" s="129">
        <f t="shared" si="235"/>
        <v>0</v>
      </c>
      <c r="S248" s="129">
        <f t="shared" si="235"/>
        <v>0</v>
      </c>
      <c r="T248" s="129">
        <f t="shared" si="235"/>
        <v>0</v>
      </c>
      <c r="U248" s="129">
        <f t="shared" si="235"/>
        <v>0</v>
      </c>
      <c r="V248" s="209">
        <f>SUM(Q248:U248)</f>
        <v>0</v>
      </c>
      <c r="W248" s="621"/>
      <c r="X248" s="222"/>
      <c r="Y248" s="325"/>
      <c r="Z248" s="774">
        <f>AA248/12</f>
        <v>0</v>
      </c>
      <c r="AA248" s="103">
        <f t="shared" si="236"/>
        <v>0</v>
      </c>
      <c r="AB248" s="103">
        <f t="shared" si="237"/>
        <v>0</v>
      </c>
      <c r="AC248" s="103">
        <f t="shared" si="238"/>
        <v>0</v>
      </c>
      <c r="AD248" s="103">
        <f t="shared" si="239"/>
        <v>0</v>
      </c>
      <c r="AE248" s="103">
        <f t="shared" si="240"/>
        <v>0</v>
      </c>
      <c r="AF248" s="123">
        <f t="shared" si="241"/>
        <v>0</v>
      </c>
      <c r="AG248" s="743"/>
      <c r="AH248" s="362"/>
      <c r="AI248" s="221"/>
      <c r="AJ248" s="270"/>
      <c r="AK248" s="896">
        <f t="shared" si="242"/>
        <v>0</v>
      </c>
      <c r="AL248" s="105" cm="1">
        <f t="array" ref="AL248">_xlfn.IFS($AJ248="NO CHARGE",0,$AJ248=0,0,$AJ248&gt;0,PRODUCT(I248,$AJ248))</f>
        <v>0</v>
      </c>
      <c r="AM248" s="105" cm="1">
        <f t="array" ref="AM248">_xlfn.IFS($AJ248="NO CHARGE",0,$AJ248=0,0,$AJ248&gt;0,PRODUCT(J248,$AJ248))</f>
        <v>0</v>
      </c>
      <c r="AN248" s="105" cm="1">
        <f t="array" ref="AN248">_xlfn.IFS($AJ248="NO CHARGE",0,$AJ248=0,0,$AJ248&gt;0,PRODUCT(K248,$AJ248))</f>
        <v>0</v>
      </c>
      <c r="AO248" s="105" cm="1">
        <f t="array" ref="AO248">_xlfn.IFS($AJ248="NO CHARGE",0,$AJ248=0,0,$AJ248&gt;0,PRODUCT(L248,$AJ248))</f>
        <v>0</v>
      </c>
      <c r="AP248" s="105" cm="1">
        <f t="array" ref="AP248">_xlfn.IFS($AJ248="NO CHARGE",0,$AJ248=0,0,$AJ248&gt;0,PRODUCT(M248,$AJ248))</f>
        <v>0</v>
      </c>
      <c r="AQ248" s="158">
        <f t="shared" si="231"/>
        <v>0</v>
      </c>
      <c r="AR248" s="875"/>
      <c r="AS248" s="473"/>
      <c r="AT248" s="106"/>
      <c r="AU248" s="107"/>
      <c r="AV248" s="108">
        <f t="shared" si="243"/>
        <v>0</v>
      </c>
      <c r="AW248" s="108">
        <f t="shared" si="244"/>
        <v>0</v>
      </c>
      <c r="AX248" s="108">
        <f t="shared" si="245"/>
        <v>0</v>
      </c>
      <c r="AY248" s="108">
        <f t="shared" si="246"/>
        <v>0</v>
      </c>
      <c r="AZ248" s="108">
        <f t="shared" si="247"/>
        <v>0</v>
      </c>
      <c r="BA248" s="165">
        <f t="shared" si="248"/>
        <v>0</v>
      </c>
      <c r="BB248" s="531"/>
    </row>
    <row r="249" spans="1:54" s="495" customFormat="1" outlineLevel="1" x14ac:dyDescent="0.25">
      <c r="A249" s="700"/>
      <c r="B249" s="623" t="s">
        <v>295</v>
      </c>
      <c r="C249" s="310" t="s">
        <v>296</v>
      </c>
      <c r="D249" s="604"/>
      <c r="E249" s="604"/>
      <c r="F249" s="604"/>
      <c r="G249" s="604"/>
      <c r="H249" s="618">
        <v>1</v>
      </c>
      <c r="I249" s="127">
        <f t="shared" si="232"/>
        <v>12</v>
      </c>
      <c r="J249" s="127">
        <f t="shared" si="233"/>
        <v>12</v>
      </c>
      <c r="K249" s="127">
        <f t="shared" si="233"/>
        <v>12</v>
      </c>
      <c r="L249" s="127">
        <f t="shared" si="233"/>
        <v>12</v>
      </c>
      <c r="M249" s="127">
        <f t="shared" si="233"/>
        <v>12</v>
      </c>
      <c r="N249" s="245" t="str">
        <f t="shared" si="234"/>
        <v>AI Transport</v>
      </c>
      <c r="O249" s="748" t="s">
        <v>297</v>
      </c>
      <c r="P249" s="757"/>
      <c r="Q249" s="129"/>
      <c r="R249" s="129"/>
      <c r="S249" s="129"/>
      <c r="T249" s="129"/>
      <c r="U249" s="129"/>
      <c r="V249" s="209"/>
      <c r="W249" s="621"/>
      <c r="X249" s="222" t="str">
        <f>C249</f>
        <v>AI Transport</v>
      </c>
      <c r="Y249" s="325">
        <v>3134.36</v>
      </c>
      <c r="Z249" s="774">
        <f>AA249/12</f>
        <v>3134.36</v>
      </c>
      <c r="AA249" s="103">
        <f t="shared" si="236"/>
        <v>37612.32</v>
      </c>
      <c r="AB249" s="103">
        <f t="shared" si="237"/>
        <v>37612.32</v>
      </c>
      <c r="AC249" s="103">
        <f t="shared" si="238"/>
        <v>37612.32</v>
      </c>
      <c r="AD249" s="103">
        <f t="shared" si="239"/>
        <v>37612.32</v>
      </c>
      <c r="AE249" s="103">
        <f t="shared" si="240"/>
        <v>37612.32</v>
      </c>
      <c r="AF249" s="123">
        <f t="shared" si="241"/>
        <v>188061.6</v>
      </c>
      <c r="AG249" s="743">
        <v>9218</v>
      </c>
      <c r="AH249" s="362" t="s">
        <v>298</v>
      </c>
      <c r="AI249" s="221" t="str">
        <f>X249</f>
        <v>AI Transport</v>
      </c>
      <c r="AJ249" s="270">
        <v>3134.36</v>
      </c>
      <c r="AK249" s="896">
        <f t="shared" si="242"/>
        <v>3134.36</v>
      </c>
      <c r="AL249" s="105" cm="1">
        <f t="array" ref="AL249">_xlfn.IFS($AJ249="NO CHARGE",0,$AJ249=0,0,$AJ249&gt;0,PRODUCT(I249,$AJ249))</f>
        <v>37612.32</v>
      </c>
      <c r="AM249" s="105" cm="1">
        <f t="array" ref="AM249">_xlfn.IFS($AJ249="NO CHARGE",0,$AJ249=0,0,$AJ249&gt;0,PRODUCT(J249,$AJ249))</f>
        <v>37612.32</v>
      </c>
      <c r="AN249" s="105" cm="1">
        <f t="array" ref="AN249">_xlfn.IFS($AJ249="NO CHARGE",0,$AJ249=0,0,$AJ249&gt;0,PRODUCT(K249,$AJ249))</f>
        <v>37612.32</v>
      </c>
      <c r="AO249" s="105" cm="1">
        <f t="array" ref="AO249">_xlfn.IFS($AJ249="NO CHARGE",0,$AJ249=0,0,$AJ249&gt;0,PRODUCT(L249,$AJ249))</f>
        <v>37612.32</v>
      </c>
      <c r="AP249" s="105" cm="1">
        <f t="array" ref="AP249">_xlfn.IFS($AJ249="NO CHARGE",0,$AJ249=0,0,$AJ249&gt;0,PRODUCT(M249,$AJ249))</f>
        <v>37612.32</v>
      </c>
      <c r="AQ249" s="158">
        <f t="shared" si="231"/>
        <v>188061.6</v>
      </c>
      <c r="AR249" s="875">
        <v>9218</v>
      </c>
      <c r="AS249" s="473" t="s">
        <v>298</v>
      </c>
      <c r="AT249" s="106"/>
      <c r="AU249" s="107"/>
      <c r="AV249" s="108">
        <f t="shared" si="243"/>
        <v>0</v>
      </c>
      <c r="AW249" s="108">
        <f t="shared" si="244"/>
        <v>0</v>
      </c>
      <c r="AX249" s="108">
        <f t="shared" si="245"/>
        <v>0</v>
      </c>
      <c r="AY249" s="108">
        <f t="shared" si="246"/>
        <v>0</v>
      </c>
      <c r="AZ249" s="108">
        <f t="shared" si="247"/>
        <v>0</v>
      </c>
      <c r="BA249" s="165">
        <f t="shared" si="248"/>
        <v>0</v>
      </c>
      <c r="BB249" s="531"/>
    </row>
    <row r="250" spans="1:54" s="495" customFormat="1" outlineLevel="1" x14ac:dyDescent="0.25">
      <c r="A250" s="787"/>
      <c r="B250" s="623" t="s">
        <v>295</v>
      </c>
      <c r="C250" s="200" t="s">
        <v>299</v>
      </c>
      <c r="D250" s="604">
        <v>1</v>
      </c>
      <c r="E250" s="604">
        <v>1</v>
      </c>
      <c r="F250" s="604">
        <v>1</v>
      </c>
      <c r="G250" s="604"/>
      <c r="H250" s="618">
        <f t="shared" ref="H250:H259" si="249">IFERROR(AVERAGE(D250:F250),0)</f>
        <v>1</v>
      </c>
      <c r="I250" s="127">
        <f t="shared" si="232"/>
        <v>12</v>
      </c>
      <c r="J250" s="127">
        <f t="shared" si="233"/>
        <v>12</v>
      </c>
      <c r="K250" s="127">
        <f t="shared" si="233"/>
        <v>12</v>
      </c>
      <c r="L250" s="127">
        <f t="shared" si="233"/>
        <v>12</v>
      </c>
      <c r="M250" s="127">
        <f t="shared" si="233"/>
        <v>12</v>
      </c>
      <c r="N250" s="750" t="str">
        <f t="shared" si="234"/>
        <v>Network Services – MPLS or Ethernet</v>
      </c>
      <c r="O250" s="586">
        <v>1939.82</v>
      </c>
      <c r="P250" s="757">
        <f t="shared" ref="P250:P262" si="250">Q250/12</f>
        <v>1939.82</v>
      </c>
      <c r="Q250" s="129">
        <f t="shared" ref="Q250:Q260" si="251">IF(O250&gt;0,PRODUCT(I250,$O250),0)</f>
        <v>23277.84</v>
      </c>
      <c r="R250" s="129">
        <f t="shared" ref="R250:R260" si="252">IF(Q250&gt;0,PRODUCT(J250,$O250),0)</f>
        <v>23277.84</v>
      </c>
      <c r="S250" s="129">
        <f t="shared" ref="S250:S260" si="253">IF(R250&gt;0,PRODUCT(K250,$O250),0)</f>
        <v>23277.84</v>
      </c>
      <c r="T250" s="129">
        <f t="shared" ref="T250:T260" si="254">IF(S250&gt;0,PRODUCT(L250,$O250),0)</f>
        <v>23277.84</v>
      </c>
      <c r="U250" s="129">
        <f t="shared" ref="U250:U260" si="255">IF(T250&gt;0,PRODUCT(M250,$O250),0)</f>
        <v>23277.84</v>
      </c>
      <c r="V250" s="209">
        <f t="shared" ref="V250:V262" si="256">SUM(Q250:U250)</f>
        <v>116389.2</v>
      </c>
      <c r="W250" s="528" t="s">
        <v>300</v>
      </c>
      <c r="X250" s="713" t="s">
        <v>301</v>
      </c>
      <c r="Y250" s="325"/>
      <c r="Z250" s="774"/>
      <c r="AA250" s="103">
        <f t="shared" si="236"/>
        <v>0</v>
      </c>
      <c r="AB250" s="103">
        <f t="shared" si="237"/>
        <v>0</v>
      </c>
      <c r="AC250" s="103">
        <f t="shared" si="238"/>
        <v>0</v>
      </c>
      <c r="AD250" s="103">
        <f t="shared" si="239"/>
        <v>0</v>
      </c>
      <c r="AE250" s="103">
        <f t="shared" si="240"/>
        <v>0</v>
      </c>
      <c r="AF250" s="123">
        <f t="shared" si="241"/>
        <v>0</v>
      </c>
      <c r="AG250" s="743"/>
      <c r="AH250" s="370"/>
      <c r="AI250" s="880" t="s">
        <v>301</v>
      </c>
      <c r="AJ250" s="270"/>
      <c r="AK250" s="896">
        <f t="shared" si="242"/>
        <v>0</v>
      </c>
      <c r="AL250" s="105" cm="1">
        <f t="array" ref="AL250">_xlfn.IFS($AJ250="NO CHARGE",0,$AJ250=0,0,$AJ250&gt;0,PRODUCT(I250,$AJ250))</f>
        <v>0</v>
      </c>
      <c r="AM250" s="105" cm="1">
        <f t="array" ref="AM250">_xlfn.IFS($AJ250="NO CHARGE",0,$AJ250=0,0,$AJ250&gt;0,PRODUCT(J250,$AJ250))</f>
        <v>0</v>
      </c>
      <c r="AN250" s="105" cm="1">
        <f t="array" ref="AN250">_xlfn.IFS($AJ250="NO CHARGE",0,$AJ250=0,0,$AJ250&gt;0,PRODUCT(K250,$AJ250))</f>
        <v>0</v>
      </c>
      <c r="AO250" s="105" cm="1">
        <f t="array" ref="AO250">_xlfn.IFS($AJ250="NO CHARGE",0,$AJ250=0,0,$AJ250&gt;0,PRODUCT(L250,$AJ250))</f>
        <v>0</v>
      </c>
      <c r="AP250" s="105" cm="1">
        <f t="array" ref="AP250">_xlfn.IFS($AJ250="NO CHARGE",0,$AJ250=0,0,$AJ250&gt;0,PRODUCT(M250,$AJ250))</f>
        <v>0</v>
      </c>
      <c r="AQ250" s="158">
        <f t="shared" si="231"/>
        <v>0</v>
      </c>
      <c r="AR250" s="875"/>
      <c r="AS250" s="473"/>
      <c r="AT250" s="106"/>
      <c r="AU250" s="107"/>
      <c r="AV250" s="108">
        <f t="shared" si="243"/>
        <v>0</v>
      </c>
      <c r="AW250" s="108">
        <f t="shared" si="244"/>
        <v>0</v>
      </c>
      <c r="AX250" s="108">
        <f t="shared" si="245"/>
        <v>0</v>
      </c>
      <c r="AY250" s="108">
        <f t="shared" si="246"/>
        <v>0</v>
      </c>
      <c r="AZ250" s="108">
        <f t="shared" si="247"/>
        <v>0</v>
      </c>
      <c r="BA250" s="165">
        <f t="shared" si="248"/>
        <v>0</v>
      </c>
      <c r="BB250" s="531"/>
    </row>
    <row r="251" spans="1:54" s="495" customFormat="1" outlineLevel="1" x14ac:dyDescent="0.25">
      <c r="A251" s="787"/>
      <c r="B251" s="623" t="s">
        <v>295</v>
      </c>
      <c r="C251" s="200" t="s">
        <v>302</v>
      </c>
      <c r="D251" s="604">
        <v>1</v>
      </c>
      <c r="E251" s="604">
        <v>1</v>
      </c>
      <c r="F251" s="604">
        <v>1</v>
      </c>
      <c r="G251" s="604"/>
      <c r="H251" s="618">
        <f t="shared" si="249"/>
        <v>1</v>
      </c>
      <c r="I251" s="127">
        <f t="shared" si="232"/>
        <v>12</v>
      </c>
      <c r="J251" s="127">
        <f t="shared" si="233"/>
        <v>12</v>
      </c>
      <c r="K251" s="127">
        <f t="shared" si="233"/>
        <v>12</v>
      </c>
      <c r="L251" s="127">
        <f t="shared" si="233"/>
        <v>12</v>
      </c>
      <c r="M251" s="127">
        <f t="shared" si="233"/>
        <v>12</v>
      </c>
      <c r="N251" s="750" t="str">
        <f t="shared" si="234"/>
        <v>POTs Services</v>
      </c>
      <c r="O251" s="586">
        <v>64.489999999999995</v>
      </c>
      <c r="P251" s="757">
        <f t="shared" si="250"/>
        <v>64.489999999999995</v>
      </c>
      <c r="Q251" s="129">
        <f t="shared" si="251"/>
        <v>773.87999999999988</v>
      </c>
      <c r="R251" s="129">
        <f t="shared" si="252"/>
        <v>773.87999999999988</v>
      </c>
      <c r="S251" s="129">
        <f t="shared" si="253"/>
        <v>773.87999999999988</v>
      </c>
      <c r="T251" s="129">
        <f t="shared" si="254"/>
        <v>773.87999999999988</v>
      </c>
      <c r="U251" s="129">
        <f t="shared" si="255"/>
        <v>773.87999999999988</v>
      </c>
      <c r="V251" s="209">
        <f t="shared" si="256"/>
        <v>3869.3999999999996</v>
      </c>
      <c r="W251" s="528" t="s">
        <v>300</v>
      </c>
      <c r="X251" s="713" t="s">
        <v>301</v>
      </c>
      <c r="Y251" s="325"/>
      <c r="Z251" s="774"/>
      <c r="AA251" s="103">
        <f t="shared" si="236"/>
        <v>0</v>
      </c>
      <c r="AB251" s="103">
        <f t="shared" si="237"/>
        <v>0</v>
      </c>
      <c r="AC251" s="103">
        <f t="shared" si="238"/>
        <v>0</v>
      </c>
      <c r="AD251" s="103">
        <f t="shared" si="239"/>
        <v>0</v>
      </c>
      <c r="AE251" s="103">
        <f t="shared" si="240"/>
        <v>0</v>
      </c>
      <c r="AF251" s="123">
        <f t="shared" si="241"/>
        <v>0</v>
      </c>
      <c r="AG251" s="743"/>
      <c r="AH251" s="370"/>
      <c r="AI251" s="880" t="s">
        <v>301</v>
      </c>
      <c r="AJ251" s="270"/>
      <c r="AK251" s="896">
        <f t="shared" si="242"/>
        <v>0</v>
      </c>
      <c r="AL251" s="105" cm="1">
        <f t="array" ref="AL251">_xlfn.IFS($AJ251="NO CHARGE",0,$AJ251=0,0,$AJ251&gt;0,PRODUCT(I251,$AJ251))</f>
        <v>0</v>
      </c>
      <c r="AM251" s="105" cm="1">
        <f t="array" ref="AM251">_xlfn.IFS($AJ251="NO CHARGE",0,$AJ251=0,0,$AJ251&gt;0,PRODUCT(J251,$AJ251))</f>
        <v>0</v>
      </c>
      <c r="AN251" s="105" cm="1">
        <f t="array" ref="AN251">_xlfn.IFS($AJ251="NO CHARGE",0,$AJ251=0,0,$AJ251&gt;0,PRODUCT(K251,$AJ251))</f>
        <v>0</v>
      </c>
      <c r="AO251" s="105" cm="1">
        <f t="array" ref="AO251">_xlfn.IFS($AJ251="NO CHARGE",0,$AJ251=0,0,$AJ251&gt;0,PRODUCT(L251,$AJ251))</f>
        <v>0</v>
      </c>
      <c r="AP251" s="105" cm="1">
        <f t="array" ref="AP251">_xlfn.IFS($AJ251="NO CHARGE",0,$AJ251=0,0,$AJ251&gt;0,PRODUCT(M251,$AJ251))</f>
        <v>0</v>
      </c>
      <c r="AQ251" s="158">
        <f t="shared" si="231"/>
        <v>0</v>
      </c>
      <c r="AR251" s="875"/>
      <c r="AS251" s="473"/>
      <c r="AT251" s="106"/>
      <c r="AU251" s="107"/>
      <c r="AV251" s="108">
        <f t="shared" si="243"/>
        <v>0</v>
      </c>
      <c r="AW251" s="108">
        <f t="shared" si="244"/>
        <v>0</v>
      </c>
      <c r="AX251" s="108">
        <f t="shared" si="245"/>
        <v>0</v>
      </c>
      <c r="AY251" s="108">
        <f t="shared" si="246"/>
        <v>0</v>
      </c>
      <c r="AZ251" s="108">
        <f t="shared" si="247"/>
        <v>0</v>
      </c>
      <c r="BA251" s="165">
        <f t="shared" si="248"/>
        <v>0</v>
      </c>
      <c r="BB251" s="531"/>
    </row>
    <row r="252" spans="1:54" s="495" customFormat="1" outlineLevel="1" x14ac:dyDescent="0.25">
      <c r="A252" s="787"/>
      <c r="B252" s="623" t="s">
        <v>295</v>
      </c>
      <c r="C252" s="200" t="s">
        <v>303</v>
      </c>
      <c r="D252" s="604">
        <v>1</v>
      </c>
      <c r="E252" s="604">
        <v>1</v>
      </c>
      <c r="F252" s="604">
        <v>1</v>
      </c>
      <c r="G252" s="604"/>
      <c r="H252" s="618">
        <f t="shared" si="249"/>
        <v>1</v>
      </c>
      <c r="I252" s="127">
        <f t="shared" si="232"/>
        <v>12</v>
      </c>
      <c r="J252" s="127">
        <f t="shared" si="233"/>
        <v>12</v>
      </c>
      <c r="K252" s="127">
        <f t="shared" si="233"/>
        <v>12</v>
      </c>
      <c r="L252" s="127">
        <f t="shared" si="233"/>
        <v>12</v>
      </c>
      <c r="M252" s="127">
        <f t="shared" si="233"/>
        <v>12</v>
      </c>
      <c r="N252" s="750" t="str">
        <f t="shared" si="234"/>
        <v>Total Solution NM-Managed VPN (708 Azalea Drive)</v>
      </c>
      <c r="O252" s="586">
        <v>88.49</v>
      </c>
      <c r="P252" s="757">
        <f t="shared" si="250"/>
        <v>88.49</v>
      </c>
      <c r="Q252" s="129">
        <f t="shared" si="251"/>
        <v>1061.8799999999999</v>
      </c>
      <c r="R252" s="129">
        <f t="shared" si="252"/>
        <v>1061.8799999999999</v>
      </c>
      <c r="S252" s="129">
        <f t="shared" si="253"/>
        <v>1061.8799999999999</v>
      </c>
      <c r="T252" s="129">
        <f t="shared" si="254"/>
        <v>1061.8799999999999</v>
      </c>
      <c r="U252" s="129">
        <f t="shared" si="255"/>
        <v>1061.8799999999999</v>
      </c>
      <c r="V252" s="209">
        <f t="shared" si="256"/>
        <v>5309.4</v>
      </c>
      <c r="W252" s="528" t="s">
        <v>300</v>
      </c>
      <c r="X252" s="713" t="s">
        <v>301</v>
      </c>
      <c r="Y252" s="325"/>
      <c r="Z252" s="774"/>
      <c r="AA252" s="103">
        <f t="shared" si="236"/>
        <v>0</v>
      </c>
      <c r="AB252" s="103">
        <f t="shared" si="237"/>
        <v>0</v>
      </c>
      <c r="AC252" s="103">
        <f t="shared" si="238"/>
        <v>0</v>
      </c>
      <c r="AD252" s="103">
        <f t="shared" si="239"/>
        <v>0</v>
      </c>
      <c r="AE252" s="103">
        <f t="shared" si="240"/>
        <v>0</v>
      </c>
      <c r="AF252" s="123">
        <f t="shared" si="241"/>
        <v>0</v>
      </c>
      <c r="AG252" s="743"/>
      <c r="AH252" s="370"/>
      <c r="AI252" s="880" t="s">
        <v>301</v>
      </c>
      <c r="AJ252" s="270"/>
      <c r="AK252" s="896">
        <f t="shared" si="242"/>
        <v>0</v>
      </c>
      <c r="AL252" s="105" cm="1">
        <f t="array" ref="AL252">_xlfn.IFS($AJ252="NO CHARGE",0,$AJ252=0,0,$AJ252&gt;0,PRODUCT(I252,$AJ252))</f>
        <v>0</v>
      </c>
      <c r="AM252" s="105" cm="1">
        <f t="array" ref="AM252">_xlfn.IFS($AJ252="NO CHARGE",0,$AJ252=0,0,$AJ252&gt;0,PRODUCT(J252,$AJ252))</f>
        <v>0</v>
      </c>
      <c r="AN252" s="105" cm="1">
        <f t="array" ref="AN252">_xlfn.IFS($AJ252="NO CHARGE",0,$AJ252=0,0,$AJ252&gt;0,PRODUCT(K252,$AJ252))</f>
        <v>0</v>
      </c>
      <c r="AO252" s="105" cm="1">
        <f t="array" ref="AO252">_xlfn.IFS($AJ252="NO CHARGE",0,$AJ252=0,0,$AJ252&gt;0,PRODUCT(L252,$AJ252))</f>
        <v>0</v>
      </c>
      <c r="AP252" s="105" cm="1">
        <f t="array" ref="AP252">_xlfn.IFS($AJ252="NO CHARGE",0,$AJ252=0,0,$AJ252&gt;0,PRODUCT(M252,$AJ252))</f>
        <v>0</v>
      </c>
      <c r="AQ252" s="158">
        <f t="shared" si="231"/>
        <v>0</v>
      </c>
      <c r="AR252" s="875"/>
      <c r="AS252" s="473"/>
      <c r="AT252" s="106"/>
      <c r="AU252" s="107"/>
      <c r="AV252" s="108">
        <f t="shared" si="243"/>
        <v>0</v>
      </c>
      <c r="AW252" s="108">
        <f t="shared" si="244"/>
        <v>0</v>
      </c>
      <c r="AX252" s="108">
        <f t="shared" si="245"/>
        <v>0</v>
      </c>
      <c r="AY252" s="108">
        <f t="shared" si="246"/>
        <v>0</v>
      </c>
      <c r="AZ252" s="108">
        <f t="shared" si="247"/>
        <v>0</v>
      </c>
      <c r="BA252" s="165">
        <f t="shared" si="248"/>
        <v>0</v>
      </c>
      <c r="BB252" s="531"/>
    </row>
    <row r="253" spans="1:54" s="495" customFormat="1" outlineLevel="1" x14ac:dyDescent="0.25">
      <c r="A253" s="787"/>
      <c r="B253" s="623" t="s">
        <v>295</v>
      </c>
      <c r="C253" s="200" t="s">
        <v>304</v>
      </c>
      <c r="D253" s="604"/>
      <c r="E253" s="604">
        <v>1</v>
      </c>
      <c r="F253" s="604">
        <v>1</v>
      </c>
      <c r="G253" s="604"/>
      <c r="H253" s="618">
        <f t="shared" si="249"/>
        <v>1</v>
      </c>
      <c r="I253" s="127">
        <f t="shared" si="232"/>
        <v>12</v>
      </c>
      <c r="J253" s="127">
        <f t="shared" si="233"/>
        <v>12</v>
      </c>
      <c r="K253" s="127">
        <f t="shared" si="233"/>
        <v>12</v>
      </c>
      <c r="L253" s="127">
        <f t="shared" si="233"/>
        <v>12</v>
      </c>
      <c r="M253" s="127">
        <f t="shared" si="233"/>
        <v>12</v>
      </c>
      <c r="N253" s="750" t="str">
        <f t="shared" si="234"/>
        <v>Hardware Maintenance (703 Spring ST)</v>
      </c>
      <c r="O253" s="586">
        <v>15.39</v>
      </c>
      <c r="P253" s="757">
        <f t="shared" si="250"/>
        <v>15.39</v>
      </c>
      <c r="Q253" s="129">
        <f t="shared" si="251"/>
        <v>184.68</v>
      </c>
      <c r="R253" s="129">
        <f t="shared" si="252"/>
        <v>184.68</v>
      </c>
      <c r="S253" s="129">
        <f t="shared" si="253"/>
        <v>184.68</v>
      </c>
      <c r="T253" s="129">
        <f t="shared" si="254"/>
        <v>184.68</v>
      </c>
      <c r="U253" s="129">
        <f t="shared" si="255"/>
        <v>184.68</v>
      </c>
      <c r="V253" s="209">
        <f t="shared" si="256"/>
        <v>923.40000000000009</v>
      </c>
      <c r="W253" s="528" t="s">
        <v>300</v>
      </c>
      <c r="X253" s="713" t="s">
        <v>301</v>
      </c>
      <c r="Y253" s="325"/>
      <c r="Z253" s="774"/>
      <c r="AA253" s="103">
        <f t="shared" si="236"/>
        <v>0</v>
      </c>
      <c r="AB253" s="103">
        <f t="shared" si="237"/>
        <v>0</v>
      </c>
      <c r="AC253" s="103">
        <f t="shared" si="238"/>
        <v>0</v>
      </c>
      <c r="AD253" s="103">
        <f t="shared" si="239"/>
        <v>0</v>
      </c>
      <c r="AE253" s="103">
        <f t="shared" si="240"/>
        <v>0</v>
      </c>
      <c r="AF253" s="123">
        <f t="shared" si="241"/>
        <v>0</v>
      </c>
      <c r="AG253" s="743"/>
      <c r="AH253" s="362"/>
      <c r="AI253" s="880" t="s">
        <v>301</v>
      </c>
      <c r="AJ253" s="270"/>
      <c r="AK253" s="896">
        <f t="shared" si="242"/>
        <v>0</v>
      </c>
      <c r="AL253" s="105" cm="1">
        <f t="array" ref="AL253">_xlfn.IFS($AJ253="NO CHARGE",0,$AJ253=0,0,$AJ253&gt;0,PRODUCT(I253,$AJ253))</f>
        <v>0</v>
      </c>
      <c r="AM253" s="105" cm="1">
        <f t="array" ref="AM253">_xlfn.IFS($AJ253="NO CHARGE",0,$AJ253=0,0,$AJ253&gt;0,PRODUCT(J253,$AJ253))</f>
        <v>0</v>
      </c>
      <c r="AN253" s="105" cm="1">
        <f t="array" ref="AN253">_xlfn.IFS($AJ253="NO CHARGE",0,$AJ253=0,0,$AJ253&gt;0,PRODUCT(K253,$AJ253))</f>
        <v>0</v>
      </c>
      <c r="AO253" s="105" cm="1">
        <f t="array" ref="AO253">_xlfn.IFS($AJ253="NO CHARGE",0,$AJ253=0,0,$AJ253&gt;0,PRODUCT(L253,$AJ253))</f>
        <v>0</v>
      </c>
      <c r="AP253" s="105" cm="1">
        <f t="array" ref="AP253">_xlfn.IFS($AJ253="NO CHARGE",0,$AJ253=0,0,$AJ253&gt;0,PRODUCT(M253,$AJ253))</f>
        <v>0</v>
      </c>
      <c r="AQ253" s="158">
        <f t="shared" si="231"/>
        <v>0</v>
      </c>
      <c r="AR253" s="875"/>
      <c r="AS253" s="473"/>
      <c r="AT253" s="106"/>
      <c r="AU253" s="107"/>
      <c r="AV253" s="108">
        <f t="shared" si="243"/>
        <v>0</v>
      </c>
      <c r="AW253" s="108">
        <f t="shared" si="244"/>
        <v>0</v>
      </c>
      <c r="AX253" s="108">
        <f t="shared" si="245"/>
        <v>0</v>
      </c>
      <c r="AY253" s="108">
        <f t="shared" si="246"/>
        <v>0</v>
      </c>
      <c r="AZ253" s="108">
        <f t="shared" si="247"/>
        <v>0</v>
      </c>
      <c r="BA253" s="165">
        <f t="shared" si="248"/>
        <v>0</v>
      </c>
      <c r="BB253" s="531"/>
    </row>
    <row r="254" spans="1:54" s="495" customFormat="1" outlineLevel="1" x14ac:dyDescent="0.25">
      <c r="A254" s="787"/>
      <c r="B254" s="623" t="s">
        <v>295</v>
      </c>
      <c r="C254" s="200" t="s">
        <v>304</v>
      </c>
      <c r="D254" s="604"/>
      <c r="E254" s="604">
        <v>1</v>
      </c>
      <c r="F254" s="604">
        <v>1</v>
      </c>
      <c r="G254" s="604"/>
      <c r="H254" s="618">
        <f t="shared" si="249"/>
        <v>1</v>
      </c>
      <c r="I254" s="127">
        <f t="shared" si="232"/>
        <v>12</v>
      </c>
      <c r="J254" s="127">
        <f t="shared" si="233"/>
        <v>12</v>
      </c>
      <c r="K254" s="127">
        <f t="shared" si="233"/>
        <v>12</v>
      </c>
      <c r="L254" s="127">
        <f t="shared" si="233"/>
        <v>12</v>
      </c>
      <c r="M254" s="127">
        <f t="shared" si="233"/>
        <v>12</v>
      </c>
      <c r="N254" s="750" t="str">
        <f t="shared" si="234"/>
        <v>Hardware Maintenance (703 Spring ST)</v>
      </c>
      <c r="O254" s="586">
        <v>15.01</v>
      </c>
      <c r="P254" s="757">
        <f t="shared" si="250"/>
        <v>15.01</v>
      </c>
      <c r="Q254" s="129">
        <f t="shared" si="251"/>
        <v>180.12</v>
      </c>
      <c r="R254" s="129">
        <f t="shared" si="252"/>
        <v>180.12</v>
      </c>
      <c r="S254" s="129">
        <f t="shared" si="253"/>
        <v>180.12</v>
      </c>
      <c r="T254" s="129">
        <f t="shared" si="254"/>
        <v>180.12</v>
      </c>
      <c r="U254" s="129">
        <f t="shared" si="255"/>
        <v>180.12</v>
      </c>
      <c r="V254" s="209">
        <f t="shared" si="256"/>
        <v>900.6</v>
      </c>
      <c r="W254" s="528" t="s">
        <v>300</v>
      </c>
      <c r="X254" s="713" t="s">
        <v>301</v>
      </c>
      <c r="Y254" s="325"/>
      <c r="Z254" s="774"/>
      <c r="AA254" s="103">
        <f t="shared" si="236"/>
        <v>0</v>
      </c>
      <c r="AB254" s="103">
        <f t="shared" si="237"/>
        <v>0</v>
      </c>
      <c r="AC254" s="103">
        <f t="shared" si="238"/>
        <v>0</v>
      </c>
      <c r="AD254" s="103">
        <f t="shared" si="239"/>
        <v>0</v>
      </c>
      <c r="AE254" s="103">
        <f t="shared" si="240"/>
        <v>0</v>
      </c>
      <c r="AF254" s="123">
        <f t="shared" si="241"/>
        <v>0</v>
      </c>
      <c r="AG254" s="743"/>
      <c r="AH254" s="362"/>
      <c r="AI254" s="880" t="s">
        <v>301</v>
      </c>
      <c r="AJ254" s="270"/>
      <c r="AK254" s="896">
        <f t="shared" si="242"/>
        <v>0</v>
      </c>
      <c r="AL254" s="105" cm="1">
        <f t="array" ref="AL254">_xlfn.IFS($AJ254="NO CHARGE",0,$AJ254=0,0,$AJ254&gt;0,PRODUCT(I254,$AJ254))</f>
        <v>0</v>
      </c>
      <c r="AM254" s="105" cm="1">
        <f t="array" ref="AM254">_xlfn.IFS($AJ254="NO CHARGE",0,$AJ254=0,0,$AJ254&gt;0,PRODUCT(J254,$AJ254))</f>
        <v>0</v>
      </c>
      <c r="AN254" s="105" cm="1">
        <f t="array" ref="AN254">_xlfn.IFS($AJ254="NO CHARGE",0,$AJ254=0,0,$AJ254&gt;0,PRODUCT(K254,$AJ254))</f>
        <v>0</v>
      </c>
      <c r="AO254" s="105" cm="1">
        <f t="array" ref="AO254">_xlfn.IFS($AJ254="NO CHARGE",0,$AJ254=0,0,$AJ254&gt;0,PRODUCT(L254,$AJ254))</f>
        <v>0</v>
      </c>
      <c r="AP254" s="105" cm="1">
        <f t="array" ref="AP254">_xlfn.IFS($AJ254="NO CHARGE",0,$AJ254=0,0,$AJ254&gt;0,PRODUCT(M254,$AJ254))</f>
        <v>0</v>
      </c>
      <c r="AQ254" s="158">
        <f t="shared" si="231"/>
        <v>0</v>
      </c>
      <c r="AR254" s="875"/>
      <c r="AS254" s="473"/>
      <c r="AT254" s="106"/>
      <c r="AU254" s="107"/>
      <c r="AV254" s="108">
        <f t="shared" si="243"/>
        <v>0</v>
      </c>
      <c r="AW254" s="108">
        <f t="shared" si="244"/>
        <v>0</v>
      </c>
      <c r="AX254" s="108">
        <f t="shared" si="245"/>
        <v>0</v>
      </c>
      <c r="AY254" s="108">
        <f t="shared" si="246"/>
        <v>0</v>
      </c>
      <c r="AZ254" s="108">
        <f t="shared" si="247"/>
        <v>0</v>
      </c>
      <c r="BA254" s="165">
        <f t="shared" si="248"/>
        <v>0</v>
      </c>
      <c r="BB254" s="531"/>
    </row>
    <row r="255" spans="1:54" s="495" customFormat="1" outlineLevel="1" x14ac:dyDescent="0.25">
      <c r="A255" s="787"/>
      <c r="B255" s="623" t="s">
        <v>295</v>
      </c>
      <c r="C255" s="200" t="s">
        <v>305</v>
      </c>
      <c r="D255" s="604">
        <v>1</v>
      </c>
      <c r="E255" s="604">
        <v>1</v>
      </c>
      <c r="F255" s="604">
        <v>1</v>
      </c>
      <c r="G255" s="604"/>
      <c r="H255" s="618">
        <f t="shared" si="249"/>
        <v>1</v>
      </c>
      <c r="I255" s="127">
        <f t="shared" si="232"/>
        <v>12</v>
      </c>
      <c r="J255" s="127">
        <f t="shared" si="233"/>
        <v>12</v>
      </c>
      <c r="K255" s="127">
        <f t="shared" si="233"/>
        <v>12</v>
      </c>
      <c r="L255" s="127">
        <f t="shared" si="233"/>
        <v>12</v>
      </c>
      <c r="M255" s="127">
        <f t="shared" si="233"/>
        <v>12</v>
      </c>
      <c r="N255" s="750" t="str">
        <f t="shared" si="234"/>
        <v>Hardware Usage (703 Spring ST)</v>
      </c>
      <c r="O255" s="586">
        <v>37.67</v>
      </c>
      <c r="P255" s="757">
        <f t="shared" si="250"/>
        <v>37.67</v>
      </c>
      <c r="Q255" s="129">
        <f t="shared" si="251"/>
        <v>452.04</v>
      </c>
      <c r="R255" s="129">
        <f t="shared" si="252"/>
        <v>452.04</v>
      </c>
      <c r="S255" s="129">
        <f t="shared" si="253"/>
        <v>452.04</v>
      </c>
      <c r="T255" s="129">
        <f t="shared" si="254"/>
        <v>452.04</v>
      </c>
      <c r="U255" s="129">
        <f t="shared" si="255"/>
        <v>452.04</v>
      </c>
      <c r="V255" s="209">
        <f t="shared" si="256"/>
        <v>2260.2000000000003</v>
      </c>
      <c r="W255" s="528" t="s">
        <v>300</v>
      </c>
      <c r="X255" s="713" t="s">
        <v>301</v>
      </c>
      <c r="Y255" s="325"/>
      <c r="Z255" s="774"/>
      <c r="AA255" s="103">
        <f t="shared" si="236"/>
        <v>0</v>
      </c>
      <c r="AB255" s="103">
        <f t="shared" si="237"/>
        <v>0</v>
      </c>
      <c r="AC255" s="103">
        <f t="shared" si="238"/>
        <v>0</v>
      </c>
      <c r="AD255" s="103">
        <f t="shared" si="239"/>
        <v>0</v>
      </c>
      <c r="AE255" s="103">
        <f t="shared" si="240"/>
        <v>0</v>
      </c>
      <c r="AF255" s="123">
        <f t="shared" si="241"/>
        <v>0</v>
      </c>
      <c r="AG255" s="743"/>
      <c r="AH255" s="370"/>
      <c r="AI255" s="880" t="s">
        <v>301</v>
      </c>
      <c r="AJ255" s="270"/>
      <c r="AK255" s="896">
        <f t="shared" si="242"/>
        <v>0</v>
      </c>
      <c r="AL255" s="105" cm="1">
        <f t="array" ref="AL255">_xlfn.IFS($AJ255="NO CHARGE",0,$AJ255=0,0,$AJ255&gt;0,PRODUCT(I255,$AJ255))</f>
        <v>0</v>
      </c>
      <c r="AM255" s="105" cm="1">
        <f t="array" ref="AM255">_xlfn.IFS($AJ255="NO CHARGE",0,$AJ255=0,0,$AJ255&gt;0,PRODUCT(J255,$AJ255))</f>
        <v>0</v>
      </c>
      <c r="AN255" s="105" cm="1">
        <f t="array" ref="AN255">_xlfn.IFS($AJ255="NO CHARGE",0,$AJ255=0,0,$AJ255&gt;0,PRODUCT(K255,$AJ255))</f>
        <v>0</v>
      </c>
      <c r="AO255" s="105" cm="1">
        <f t="array" ref="AO255">_xlfn.IFS($AJ255="NO CHARGE",0,$AJ255=0,0,$AJ255&gt;0,PRODUCT(L255,$AJ255))</f>
        <v>0</v>
      </c>
      <c r="AP255" s="105" cm="1">
        <f t="array" ref="AP255">_xlfn.IFS($AJ255="NO CHARGE",0,$AJ255=0,0,$AJ255&gt;0,PRODUCT(M255,$AJ255))</f>
        <v>0</v>
      </c>
      <c r="AQ255" s="158">
        <f t="shared" si="231"/>
        <v>0</v>
      </c>
      <c r="AR255" s="875"/>
      <c r="AS255" s="473"/>
      <c r="AT255" s="106"/>
      <c r="AU255" s="107"/>
      <c r="AV255" s="108">
        <f t="shared" si="243"/>
        <v>0</v>
      </c>
      <c r="AW255" s="108">
        <f t="shared" si="244"/>
        <v>0</v>
      </c>
      <c r="AX255" s="108">
        <f t="shared" si="245"/>
        <v>0</v>
      </c>
      <c r="AY255" s="108">
        <f t="shared" si="246"/>
        <v>0</v>
      </c>
      <c r="AZ255" s="108">
        <f t="shared" si="247"/>
        <v>0</v>
      </c>
      <c r="BA255" s="165">
        <f t="shared" si="248"/>
        <v>0</v>
      </c>
      <c r="BB255" s="531"/>
    </row>
    <row r="256" spans="1:54" s="495" customFormat="1" outlineLevel="1" x14ac:dyDescent="0.25">
      <c r="A256" s="787"/>
      <c r="B256" s="623" t="s">
        <v>295</v>
      </c>
      <c r="C256" s="200" t="s">
        <v>305</v>
      </c>
      <c r="D256" s="604">
        <v>1</v>
      </c>
      <c r="E256" s="604">
        <v>1</v>
      </c>
      <c r="F256" s="604">
        <v>1</v>
      </c>
      <c r="G256" s="604"/>
      <c r="H256" s="618">
        <f t="shared" si="249"/>
        <v>1</v>
      </c>
      <c r="I256" s="127">
        <f t="shared" si="232"/>
        <v>12</v>
      </c>
      <c r="J256" s="127">
        <f t="shared" si="233"/>
        <v>12</v>
      </c>
      <c r="K256" s="127">
        <f t="shared" si="233"/>
        <v>12</v>
      </c>
      <c r="L256" s="127">
        <f t="shared" si="233"/>
        <v>12</v>
      </c>
      <c r="M256" s="127">
        <f t="shared" si="233"/>
        <v>12</v>
      </c>
      <c r="N256" s="750" t="str">
        <f t="shared" si="234"/>
        <v>Hardware Usage (703 Spring ST)</v>
      </c>
      <c r="O256" s="586">
        <v>45.48</v>
      </c>
      <c r="P256" s="757">
        <f t="shared" si="250"/>
        <v>45.48</v>
      </c>
      <c r="Q256" s="129">
        <f t="shared" si="251"/>
        <v>545.76</v>
      </c>
      <c r="R256" s="129">
        <f t="shared" si="252"/>
        <v>545.76</v>
      </c>
      <c r="S256" s="129">
        <f t="shared" si="253"/>
        <v>545.76</v>
      </c>
      <c r="T256" s="129">
        <f t="shared" si="254"/>
        <v>545.76</v>
      </c>
      <c r="U256" s="129">
        <f t="shared" si="255"/>
        <v>545.76</v>
      </c>
      <c r="V256" s="209">
        <f t="shared" si="256"/>
        <v>2728.8</v>
      </c>
      <c r="W256" s="528" t="s">
        <v>300</v>
      </c>
      <c r="X256" s="713" t="s">
        <v>301</v>
      </c>
      <c r="Y256" s="325"/>
      <c r="Z256" s="774"/>
      <c r="AA256" s="103">
        <f t="shared" si="236"/>
        <v>0</v>
      </c>
      <c r="AB256" s="103">
        <f t="shared" si="237"/>
        <v>0</v>
      </c>
      <c r="AC256" s="103">
        <f t="shared" si="238"/>
        <v>0</v>
      </c>
      <c r="AD256" s="103">
        <f t="shared" si="239"/>
        <v>0</v>
      </c>
      <c r="AE256" s="103">
        <f t="shared" si="240"/>
        <v>0</v>
      </c>
      <c r="AF256" s="123">
        <f t="shared" si="241"/>
        <v>0</v>
      </c>
      <c r="AG256" s="743"/>
      <c r="AH256" s="370"/>
      <c r="AI256" s="880" t="s">
        <v>301</v>
      </c>
      <c r="AJ256" s="270"/>
      <c r="AK256" s="896">
        <f t="shared" si="242"/>
        <v>0</v>
      </c>
      <c r="AL256" s="105" cm="1">
        <f t="array" ref="AL256">_xlfn.IFS($AJ256="NO CHARGE",0,$AJ256=0,0,$AJ256&gt;0,PRODUCT(I256,$AJ256))</f>
        <v>0</v>
      </c>
      <c r="AM256" s="105" cm="1">
        <f t="array" ref="AM256">_xlfn.IFS($AJ256="NO CHARGE",0,$AJ256=0,0,$AJ256&gt;0,PRODUCT(J256,$AJ256))</f>
        <v>0</v>
      </c>
      <c r="AN256" s="105" cm="1">
        <f t="array" ref="AN256">_xlfn.IFS($AJ256="NO CHARGE",0,$AJ256=0,0,$AJ256&gt;0,PRODUCT(K256,$AJ256))</f>
        <v>0</v>
      </c>
      <c r="AO256" s="105" cm="1">
        <f t="array" ref="AO256">_xlfn.IFS($AJ256="NO CHARGE",0,$AJ256=0,0,$AJ256&gt;0,PRODUCT(L256,$AJ256))</f>
        <v>0</v>
      </c>
      <c r="AP256" s="105" cm="1">
        <f t="array" ref="AP256">_xlfn.IFS($AJ256="NO CHARGE",0,$AJ256=0,0,$AJ256&gt;0,PRODUCT(M256,$AJ256))</f>
        <v>0</v>
      </c>
      <c r="AQ256" s="158">
        <f t="shared" si="231"/>
        <v>0</v>
      </c>
      <c r="AR256" s="875"/>
      <c r="AS256" s="473"/>
      <c r="AT256" s="106"/>
      <c r="AU256" s="107"/>
      <c r="AV256" s="108">
        <f t="shared" si="243"/>
        <v>0</v>
      </c>
      <c r="AW256" s="108">
        <f t="shared" si="244"/>
        <v>0</v>
      </c>
      <c r="AX256" s="108">
        <f t="shared" si="245"/>
        <v>0</v>
      </c>
      <c r="AY256" s="108">
        <f t="shared" si="246"/>
        <v>0</v>
      </c>
      <c r="AZ256" s="108">
        <f t="shared" si="247"/>
        <v>0</v>
      </c>
      <c r="BA256" s="165">
        <f t="shared" si="248"/>
        <v>0</v>
      </c>
      <c r="BB256" s="531"/>
    </row>
    <row r="257" spans="1:54" s="495" customFormat="1" outlineLevel="1" x14ac:dyDescent="0.25">
      <c r="A257" s="787"/>
      <c r="B257" s="623" t="s">
        <v>295</v>
      </c>
      <c r="C257" s="200" t="s">
        <v>306</v>
      </c>
      <c r="D257" s="604">
        <v>1</v>
      </c>
      <c r="E257" s="604">
        <v>1</v>
      </c>
      <c r="F257" s="604">
        <v>1</v>
      </c>
      <c r="G257" s="604"/>
      <c r="H257" s="618">
        <f t="shared" si="249"/>
        <v>1</v>
      </c>
      <c r="I257" s="127">
        <f t="shared" si="232"/>
        <v>12</v>
      </c>
      <c r="J257" s="127">
        <f t="shared" si="233"/>
        <v>12</v>
      </c>
      <c r="K257" s="127">
        <f t="shared" si="233"/>
        <v>12</v>
      </c>
      <c r="L257" s="127">
        <f t="shared" si="233"/>
        <v>12</v>
      </c>
      <c r="M257" s="127">
        <f t="shared" si="233"/>
        <v>12</v>
      </c>
      <c r="N257" s="750" t="str">
        <f t="shared" si="234"/>
        <v>Core Hardware &amp; Security Fee (703 Spring ST)</v>
      </c>
      <c r="O257" s="586">
        <v>227.69</v>
      </c>
      <c r="P257" s="757">
        <f t="shared" si="250"/>
        <v>227.68999999999997</v>
      </c>
      <c r="Q257" s="129">
        <f t="shared" si="251"/>
        <v>2732.2799999999997</v>
      </c>
      <c r="R257" s="129">
        <f t="shared" si="252"/>
        <v>2732.2799999999997</v>
      </c>
      <c r="S257" s="129">
        <f t="shared" si="253"/>
        <v>2732.2799999999997</v>
      </c>
      <c r="T257" s="129">
        <f t="shared" si="254"/>
        <v>2732.2799999999997</v>
      </c>
      <c r="U257" s="129">
        <f t="shared" si="255"/>
        <v>2732.2799999999997</v>
      </c>
      <c r="V257" s="209">
        <f t="shared" si="256"/>
        <v>13661.399999999998</v>
      </c>
      <c r="W257" s="528" t="s">
        <v>300</v>
      </c>
      <c r="X257" s="713" t="s">
        <v>301</v>
      </c>
      <c r="Y257" s="325"/>
      <c r="Z257" s="774"/>
      <c r="AA257" s="103">
        <f t="shared" si="236"/>
        <v>0</v>
      </c>
      <c r="AB257" s="103">
        <f t="shared" si="237"/>
        <v>0</v>
      </c>
      <c r="AC257" s="103">
        <f t="shared" si="238"/>
        <v>0</v>
      </c>
      <c r="AD257" s="103">
        <f t="shared" si="239"/>
        <v>0</v>
      </c>
      <c r="AE257" s="103">
        <f t="shared" si="240"/>
        <v>0</v>
      </c>
      <c r="AF257" s="123">
        <f t="shared" si="241"/>
        <v>0</v>
      </c>
      <c r="AG257" s="743"/>
      <c r="AH257" s="370"/>
      <c r="AI257" s="880" t="s">
        <v>301</v>
      </c>
      <c r="AJ257" s="270"/>
      <c r="AK257" s="896">
        <f t="shared" si="242"/>
        <v>0</v>
      </c>
      <c r="AL257" s="105" cm="1">
        <f t="array" ref="AL257">_xlfn.IFS($AJ257="NO CHARGE",0,$AJ257=0,0,$AJ257&gt;0,PRODUCT(I257,$AJ257))</f>
        <v>0</v>
      </c>
      <c r="AM257" s="105" cm="1">
        <f t="array" ref="AM257">_xlfn.IFS($AJ257="NO CHARGE",0,$AJ257=0,0,$AJ257&gt;0,PRODUCT(J257,$AJ257))</f>
        <v>0</v>
      </c>
      <c r="AN257" s="105" cm="1">
        <f t="array" ref="AN257">_xlfn.IFS($AJ257="NO CHARGE",0,$AJ257=0,0,$AJ257&gt;0,PRODUCT(K257,$AJ257))</f>
        <v>0</v>
      </c>
      <c r="AO257" s="105" cm="1">
        <f t="array" ref="AO257">_xlfn.IFS($AJ257="NO CHARGE",0,$AJ257=0,0,$AJ257&gt;0,PRODUCT(L257,$AJ257))</f>
        <v>0</v>
      </c>
      <c r="AP257" s="105" cm="1">
        <f t="array" ref="AP257">_xlfn.IFS($AJ257="NO CHARGE",0,$AJ257=0,0,$AJ257&gt;0,PRODUCT(M257,$AJ257))</f>
        <v>0</v>
      </c>
      <c r="AQ257" s="158">
        <f t="shared" si="231"/>
        <v>0</v>
      </c>
      <c r="AR257" s="875"/>
      <c r="AS257" s="473"/>
      <c r="AT257" s="106"/>
      <c r="AU257" s="107"/>
      <c r="AV257" s="108">
        <f t="shared" si="243"/>
        <v>0</v>
      </c>
      <c r="AW257" s="108">
        <f t="shared" si="244"/>
        <v>0</v>
      </c>
      <c r="AX257" s="108">
        <f t="shared" si="245"/>
        <v>0</v>
      </c>
      <c r="AY257" s="108">
        <f t="shared" si="246"/>
        <v>0</v>
      </c>
      <c r="AZ257" s="108">
        <f t="shared" si="247"/>
        <v>0</v>
      </c>
      <c r="BA257" s="165">
        <f t="shared" si="248"/>
        <v>0</v>
      </c>
      <c r="BB257" s="531"/>
    </row>
    <row r="258" spans="1:54" s="495" customFormat="1" outlineLevel="1" x14ac:dyDescent="0.25">
      <c r="A258" s="787"/>
      <c r="B258" s="623" t="s">
        <v>295</v>
      </c>
      <c r="C258" s="200" t="s">
        <v>307</v>
      </c>
      <c r="D258" s="604">
        <v>1</v>
      </c>
      <c r="E258" s="604">
        <v>1</v>
      </c>
      <c r="F258" s="604">
        <v>1</v>
      </c>
      <c r="G258" s="604"/>
      <c r="H258" s="618">
        <f t="shared" si="249"/>
        <v>1</v>
      </c>
      <c r="I258" s="127">
        <f t="shared" si="232"/>
        <v>12</v>
      </c>
      <c r="J258" s="127">
        <f t="shared" si="233"/>
        <v>12</v>
      </c>
      <c r="K258" s="127">
        <f t="shared" si="233"/>
        <v>12</v>
      </c>
      <c r="L258" s="127">
        <f t="shared" si="233"/>
        <v>12</v>
      </c>
      <c r="M258" s="127">
        <f t="shared" si="233"/>
        <v>12</v>
      </c>
      <c r="N258" s="750" t="str">
        <f t="shared" si="234"/>
        <v>Core Network Access Fee (703 Spring ST)</v>
      </c>
      <c r="O258" s="586">
        <v>218.21</v>
      </c>
      <c r="P258" s="757">
        <f t="shared" si="250"/>
        <v>218.21</v>
      </c>
      <c r="Q258" s="129">
        <f t="shared" si="251"/>
        <v>2618.52</v>
      </c>
      <c r="R258" s="129">
        <f t="shared" si="252"/>
        <v>2618.52</v>
      </c>
      <c r="S258" s="129">
        <f t="shared" si="253"/>
        <v>2618.52</v>
      </c>
      <c r="T258" s="129">
        <f t="shared" si="254"/>
        <v>2618.52</v>
      </c>
      <c r="U258" s="129">
        <f t="shared" si="255"/>
        <v>2618.52</v>
      </c>
      <c r="V258" s="209">
        <f t="shared" si="256"/>
        <v>13092.6</v>
      </c>
      <c r="W258" s="528" t="s">
        <v>300</v>
      </c>
      <c r="X258" s="713" t="s">
        <v>301</v>
      </c>
      <c r="Y258" s="325"/>
      <c r="Z258" s="774"/>
      <c r="AA258" s="103"/>
      <c r="AB258" s="103"/>
      <c r="AC258" s="103"/>
      <c r="AD258" s="103"/>
      <c r="AE258" s="103"/>
      <c r="AF258" s="123"/>
      <c r="AG258" s="743"/>
      <c r="AH258" s="370"/>
      <c r="AI258" s="880" t="s">
        <v>301</v>
      </c>
      <c r="AJ258" s="270"/>
      <c r="AK258" s="896">
        <f t="shared" si="242"/>
        <v>0</v>
      </c>
      <c r="AL258" s="105" cm="1">
        <f t="array" ref="AL258">_xlfn.IFS($AJ258="NO CHARGE",0,$AJ258=0,0,$AJ258&gt;0,PRODUCT(I258,$AJ258))</f>
        <v>0</v>
      </c>
      <c r="AM258" s="105" cm="1">
        <f t="array" ref="AM258">_xlfn.IFS($AJ258="NO CHARGE",0,$AJ258=0,0,$AJ258&gt;0,PRODUCT(J258,$AJ258))</f>
        <v>0</v>
      </c>
      <c r="AN258" s="105" cm="1">
        <f t="array" ref="AN258">_xlfn.IFS($AJ258="NO CHARGE",0,$AJ258=0,0,$AJ258&gt;0,PRODUCT(K258,$AJ258))</f>
        <v>0</v>
      </c>
      <c r="AO258" s="105" cm="1">
        <f t="array" ref="AO258">_xlfn.IFS($AJ258="NO CHARGE",0,$AJ258=0,0,$AJ258&gt;0,PRODUCT(L258,$AJ258))</f>
        <v>0</v>
      </c>
      <c r="AP258" s="105" cm="1">
        <f t="array" ref="AP258">_xlfn.IFS($AJ258="NO CHARGE",0,$AJ258=0,0,$AJ258&gt;0,PRODUCT(M258,$AJ258))</f>
        <v>0</v>
      </c>
      <c r="AQ258" s="158">
        <f t="shared" si="231"/>
        <v>0</v>
      </c>
      <c r="AR258" s="875"/>
      <c r="AS258" s="473"/>
      <c r="AT258" s="106"/>
      <c r="AU258" s="107"/>
      <c r="AV258" s="108"/>
      <c r="AW258" s="108"/>
      <c r="AX258" s="108"/>
      <c r="AY258" s="108"/>
      <c r="AZ258" s="108"/>
      <c r="BA258" s="165"/>
      <c r="BB258" s="531"/>
    </row>
    <row r="259" spans="1:54" s="495" customFormat="1" outlineLevel="1" x14ac:dyDescent="0.25">
      <c r="A259" s="787"/>
      <c r="B259" s="623" t="s">
        <v>295</v>
      </c>
      <c r="C259" s="200" t="s">
        <v>308</v>
      </c>
      <c r="D259" s="604">
        <v>1</v>
      </c>
      <c r="E259" s="604">
        <v>1</v>
      </c>
      <c r="F259" s="604">
        <v>1</v>
      </c>
      <c r="G259" s="604"/>
      <c r="H259" s="618">
        <f t="shared" si="249"/>
        <v>1</v>
      </c>
      <c r="I259" s="127">
        <f t="shared" si="232"/>
        <v>12</v>
      </c>
      <c r="J259" s="127">
        <f t="shared" si="233"/>
        <v>12</v>
      </c>
      <c r="K259" s="127">
        <f t="shared" si="233"/>
        <v>12</v>
      </c>
      <c r="L259" s="127">
        <f t="shared" si="233"/>
        <v>12</v>
      </c>
      <c r="M259" s="127">
        <f t="shared" si="233"/>
        <v>12</v>
      </c>
      <c r="N259" s="750" t="str">
        <f t="shared" si="234"/>
        <v>Total Solution NM-Managed VPN (703 Spring ST)</v>
      </c>
      <c r="O259" s="586">
        <v>238.32</v>
      </c>
      <c r="P259" s="757">
        <f t="shared" si="250"/>
        <v>238.32000000000002</v>
      </c>
      <c r="Q259" s="129">
        <f t="shared" si="251"/>
        <v>2859.84</v>
      </c>
      <c r="R259" s="129">
        <f t="shared" si="252"/>
        <v>2859.84</v>
      </c>
      <c r="S259" s="129">
        <f t="shared" si="253"/>
        <v>2859.84</v>
      </c>
      <c r="T259" s="129">
        <f t="shared" si="254"/>
        <v>2859.84</v>
      </c>
      <c r="U259" s="129">
        <f t="shared" si="255"/>
        <v>2859.84</v>
      </c>
      <c r="V259" s="209">
        <f t="shared" si="256"/>
        <v>14299.2</v>
      </c>
      <c r="W259" s="528" t="s">
        <v>300</v>
      </c>
      <c r="X259" s="713" t="s">
        <v>301</v>
      </c>
      <c r="Y259" s="325"/>
      <c r="Z259" s="774"/>
      <c r="AA259" s="103"/>
      <c r="AB259" s="103"/>
      <c r="AC259" s="103"/>
      <c r="AD259" s="103"/>
      <c r="AE259" s="103"/>
      <c r="AF259" s="123"/>
      <c r="AG259" s="743"/>
      <c r="AH259" s="370"/>
      <c r="AI259" s="880" t="s">
        <v>301</v>
      </c>
      <c r="AJ259" s="270"/>
      <c r="AK259" s="896">
        <f t="shared" si="242"/>
        <v>0</v>
      </c>
      <c r="AL259" s="105" cm="1">
        <f t="array" ref="AL259">_xlfn.IFS($AJ259="NO CHARGE",0,$AJ259=0,0,$AJ259&gt;0,PRODUCT(I259,$AJ259))</f>
        <v>0</v>
      </c>
      <c r="AM259" s="105" cm="1">
        <f t="array" ref="AM259">_xlfn.IFS($AJ259="NO CHARGE",0,$AJ259=0,0,$AJ259&gt;0,PRODUCT(J259,$AJ259))</f>
        <v>0</v>
      </c>
      <c r="AN259" s="105" cm="1">
        <f t="array" ref="AN259">_xlfn.IFS($AJ259="NO CHARGE",0,$AJ259=0,0,$AJ259&gt;0,PRODUCT(K259,$AJ259))</f>
        <v>0</v>
      </c>
      <c r="AO259" s="105" cm="1">
        <f t="array" ref="AO259">_xlfn.IFS($AJ259="NO CHARGE",0,$AJ259=0,0,$AJ259&gt;0,PRODUCT(L259,$AJ259))</f>
        <v>0</v>
      </c>
      <c r="AP259" s="105" cm="1">
        <f t="array" ref="AP259">_xlfn.IFS($AJ259="NO CHARGE",0,$AJ259=0,0,$AJ259&gt;0,PRODUCT(M259,$AJ259))</f>
        <v>0</v>
      </c>
      <c r="AQ259" s="158">
        <f t="shared" si="231"/>
        <v>0</v>
      </c>
      <c r="AR259" s="875"/>
      <c r="AS259" s="473"/>
      <c r="AT259" s="106"/>
      <c r="AU259" s="107"/>
      <c r="AV259" s="108"/>
      <c r="AW259" s="108"/>
      <c r="AX259" s="108"/>
      <c r="AY259" s="108"/>
      <c r="AZ259" s="108"/>
      <c r="BA259" s="165"/>
      <c r="BB259" s="531"/>
    </row>
    <row r="260" spans="1:54" s="495" customFormat="1" outlineLevel="1" x14ac:dyDescent="0.25">
      <c r="A260" s="445"/>
      <c r="B260" s="623"/>
      <c r="C260" s="310"/>
      <c r="D260" s="604"/>
      <c r="E260" s="604"/>
      <c r="F260" s="604"/>
      <c r="G260" s="604"/>
      <c r="H260" s="618">
        <f>IFERROR(AVERAGE(D260:G260),0)</f>
        <v>0</v>
      </c>
      <c r="I260" s="127">
        <f t="shared" si="232"/>
        <v>0</v>
      </c>
      <c r="J260" s="127">
        <f t="shared" si="233"/>
        <v>0</v>
      </c>
      <c r="K260" s="127">
        <f t="shared" si="233"/>
        <v>0</v>
      </c>
      <c r="L260" s="127">
        <f t="shared" si="233"/>
        <v>0</v>
      </c>
      <c r="M260" s="127">
        <f t="shared" si="233"/>
        <v>0</v>
      </c>
      <c r="N260" s="245" t="str">
        <f t="shared" si="234"/>
        <v/>
      </c>
      <c r="O260" s="748"/>
      <c r="P260" s="757">
        <f t="shared" si="250"/>
        <v>0</v>
      </c>
      <c r="Q260" s="129">
        <f t="shared" si="251"/>
        <v>0</v>
      </c>
      <c r="R260" s="129">
        <f t="shared" si="252"/>
        <v>0</v>
      </c>
      <c r="S260" s="129">
        <f t="shared" si="253"/>
        <v>0</v>
      </c>
      <c r="T260" s="129">
        <f t="shared" si="254"/>
        <v>0</v>
      </c>
      <c r="U260" s="129">
        <f t="shared" si="255"/>
        <v>0</v>
      </c>
      <c r="V260" s="209">
        <f t="shared" si="256"/>
        <v>0</v>
      </c>
      <c r="W260" s="621"/>
      <c r="X260" s="222"/>
      <c r="Y260" s="325"/>
      <c r="Z260" s="774">
        <f>AA260/12</f>
        <v>0</v>
      </c>
      <c r="AA260" s="103">
        <f>IF(Y260&gt;0,PRODUCT(I260,$Y260),0)</f>
        <v>0</v>
      </c>
      <c r="AB260" s="103">
        <f>IF(AA260&gt;0,PRODUCT(J260,$Y260),0)</f>
        <v>0</v>
      </c>
      <c r="AC260" s="103">
        <f>IF(AB260&gt;0,PRODUCT(K260,$Y260),0)</f>
        <v>0</v>
      </c>
      <c r="AD260" s="103">
        <f>IF(AC260&gt;0,PRODUCT(L260,$Y260),0)</f>
        <v>0</v>
      </c>
      <c r="AE260" s="103">
        <f>IF(AD260&gt;0,PRODUCT(M260,$Y260),0)</f>
        <v>0</v>
      </c>
      <c r="AF260" s="123">
        <f>SUM(AA260:AE260)</f>
        <v>0</v>
      </c>
      <c r="AG260" s="743"/>
      <c r="AH260" s="362"/>
      <c r="AI260" s="221"/>
      <c r="AJ260" s="270"/>
      <c r="AK260" s="896">
        <f t="shared" si="242"/>
        <v>0</v>
      </c>
      <c r="AL260" s="105" cm="1">
        <f t="array" ref="AL260">_xlfn.IFS($AJ260="NO CHARGE",0,$AJ260=0,0,$AJ260&gt;0,PRODUCT(I260,$AJ260))</f>
        <v>0</v>
      </c>
      <c r="AM260" s="105" cm="1">
        <f t="array" ref="AM260">_xlfn.IFS($AJ260="NO CHARGE",0,$AJ260=0,0,$AJ260&gt;0,PRODUCT(J260,$AJ260))</f>
        <v>0</v>
      </c>
      <c r="AN260" s="105" cm="1">
        <f t="array" ref="AN260">_xlfn.IFS($AJ260="NO CHARGE",0,$AJ260=0,0,$AJ260&gt;0,PRODUCT(K260,$AJ260))</f>
        <v>0</v>
      </c>
      <c r="AO260" s="105" cm="1">
        <f t="array" ref="AO260">_xlfn.IFS($AJ260="NO CHARGE",0,$AJ260=0,0,$AJ260&gt;0,PRODUCT(L260,$AJ260))</f>
        <v>0</v>
      </c>
      <c r="AP260" s="105" cm="1">
        <f t="array" ref="AP260">_xlfn.IFS($AJ260="NO CHARGE",0,$AJ260=0,0,$AJ260&gt;0,PRODUCT(M260,$AJ260))</f>
        <v>0</v>
      </c>
      <c r="AQ260" s="158">
        <f t="shared" si="231"/>
        <v>0</v>
      </c>
      <c r="AR260" s="875"/>
      <c r="AS260" s="473"/>
      <c r="AT260" s="106"/>
      <c r="AU260" s="107"/>
      <c r="AV260" s="108">
        <f t="shared" ref="AV260:AZ262" si="257">IF(AU260&gt;0,PRODUCT(I260,$AU260),0)</f>
        <v>0</v>
      </c>
      <c r="AW260" s="108">
        <f t="shared" si="257"/>
        <v>0</v>
      </c>
      <c r="AX260" s="108">
        <f t="shared" si="257"/>
        <v>0</v>
      </c>
      <c r="AY260" s="108">
        <f t="shared" si="257"/>
        <v>0</v>
      </c>
      <c r="AZ260" s="108">
        <f t="shared" si="257"/>
        <v>0</v>
      </c>
      <c r="BA260" s="165">
        <f>SUM(AV260:AZ260)</f>
        <v>0</v>
      </c>
      <c r="BB260" s="531"/>
    </row>
    <row r="261" spans="1:54" s="495" customFormat="1" outlineLevel="1" x14ac:dyDescent="0.25">
      <c r="A261" s="445"/>
      <c r="B261" s="623" t="s">
        <v>309</v>
      </c>
      <c r="C261" s="310" t="s">
        <v>310</v>
      </c>
      <c r="D261" s="604"/>
      <c r="E261" s="604"/>
      <c r="F261" s="604"/>
      <c r="G261" s="604"/>
      <c r="H261" s="618">
        <v>1</v>
      </c>
      <c r="I261" s="127">
        <f t="shared" si="232"/>
        <v>12</v>
      </c>
      <c r="J261" s="127">
        <f t="shared" si="233"/>
        <v>12</v>
      </c>
      <c r="K261" s="127">
        <f t="shared" si="233"/>
        <v>12</v>
      </c>
      <c r="L261" s="127">
        <f t="shared" si="233"/>
        <v>12</v>
      </c>
      <c r="M261" s="127">
        <f t="shared" si="233"/>
        <v>12</v>
      </c>
      <c r="N261" s="245" t="str">
        <f t="shared" si="234"/>
        <v>Monthly Relationship Credit</v>
      </c>
      <c r="O261" s="748">
        <v>-2000</v>
      </c>
      <c r="P261" s="757">
        <f t="shared" si="250"/>
        <v>-2000</v>
      </c>
      <c r="Q261" s="129">
        <f>$O261*$H261*12</f>
        <v>-24000</v>
      </c>
      <c r="R261" s="129">
        <f>$O261*$H261*12</f>
        <v>-24000</v>
      </c>
      <c r="S261" s="129">
        <f>$O261*$H261*12</f>
        <v>-24000</v>
      </c>
      <c r="T261" s="129">
        <f>$O261*$H261*12</f>
        <v>-24000</v>
      </c>
      <c r="U261" s="129">
        <f>$O261*$H261*12</f>
        <v>-24000</v>
      </c>
      <c r="V261" s="209">
        <f t="shared" si="256"/>
        <v>-120000</v>
      </c>
      <c r="W261" s="621"/>
      <c r="X261" s="222" t="str">
        <f>C261</f>
        <v>Monthly Relationship Credit</v>
      </c>
      <c r="Y261" s="325">
        <v>-2000</v>
      </c>
      <c r="Z261" s="774">
        <f>AA261/12</f>
        <v>-2000</v>
      </c>
      <c r="AA261" s="103">
        <f>$Y261*$H261*12</f>
        <v>-24000</v>
      </c>
      <c r="AB261" s="103">
        <f>$Y261*$H261*12</f>
        <v>-24000</v>
      </c>
      <c r="AC261" s="103">
        <f>$Y261*$H261*12</f>
        <v>-24000</v>
      </c>
      <c r="AD261" s="103">
        <f>$Y261*$H261*12</f>
        <v>-24000</v>
      </c>
      <c r="AE261" s="103">
        <f>$Y261*$H261*12</f>
        <v>-24000</v>
      </c>
      <c r="AF261" s="123">
        <f>SUM(AA261:AE261)</f>
        <v>-120000</v>
      </c>
      <c r="AG261" s="743"/>
      <c r="AH261" s="362"/>
      <c r="AI261" s="221" t="str">
        <f t="shared" ref="AI261" si="258">X261</f>
        <v>Monthly Relationship Credit</v>
      </c>
      <c r="AJ261" s="270">
        <v>0</v>
      </c>
      <c r="AK261" s="896">
        <f t="shared" si="242"/>
        <v>0</v>
      </c>
      <c r="AL261" s="105" cm="1">
        <f t="array" ref="AL261">_xlfn.IFS($AJ261="NO CHARGE",0,$AJ261=0,0,$AJ261&gt;0,PRODUCT(I261,$AJ261))</f>
        <v>0</v>
      </c>
      <c r="AM261" s="105" cm="1">
        <f t="array" ref="AM261">_xlfn.IFS($AJ261="NO CHARGE",0,$AJ261=0,0,$AJ261&gt;0,PRODUCT(J261,$AJ261))</f>
        <v>0</v>
      </c>
      <c r="AN261" s="105" cm="1">
        <f t="array" ref="AN261">_xlfn.IFS($AJ261="NO CHARGE",0,$AJ261=0,0,$AJ261&gt;0,PRODUCT(K261,$AJ261))</f>
        <v>0</v>
      </c>
      <c r="AO261" s="105" cm="1">
        <f t="array" ref="AO261">_xlfn.IFS($AJ261="NO CHARGE",0,$AJ261=0,0,$AJ261&gt;0,PRODUCT(L261,$AJ261))</f>
        <v>0</v>
      </c>
      <c r="AP261" s="105" cm="1">
        <f t="array" ref="AP261">_xlfn.IFS($AJ261="NO CHARGE",0,$AJ261=0,0,$AJ261&gt;0,PRODUCT(M261,$AJ261))</f>
        <v>0</v>
      </c>
      <c r="AQ261" s="158">
        <f t="shared" si="231"/>
        <v>0</v>
      </c>
      <c r="AR261" s="875"/>
      <c r="AS261" s="473"/>
      <c r="AT261" s="106"/>
      <c r="AU261" s="107"/>
      <c r="AV261" s="108">
        <f t="shared" si="257"/>
        <v>0</v>
      </c>
      <c r="AW261" s="108">
        <f t="shared" si="257"/>
        <v>0</v>
      </c>
      <c r="AX261" s="108">
        <f t="shared" si="257"/>
        <v>0</v>
      </c>
      <c r="AY261" s="108">
        <f t="shared" si="257"/>
        <v>0</v>
      </c>
      <c r="AZ261" s="108">
        <f t="shared" si="257"/>
        <v>0</v>
      </c>
      <c r="BA261" s="165">
        <f>SUM(AV261:AZ261)</f>
        <v>0</v>
      </c>
      <c r="BB261" s="531"/>
    </row>
    <row r="262" spans="1:54" s="495" customFormat="1" outlineLevel="1" x14ac:dyDescent="0.25">
      <c r="A262" s="445"/>
      <c r="B262" s="623"/>
      <c r="C262" s="310"/>
      <c r="D262" s="604"/>
      <c r="E262" s="604"/>
      <c r="F262" s="604"/>
      <c r="G262" s="604"/>
      <c r="H262" s="618">
        <f>IFERROR(AVERAGE(D262:G262),0)</f>
        <v>0</v>
      </c>
      <c r="I262" s="127">
        <f t="shared" si="232"/>
        <v>0</v>
      </c>
      <c r="J262" s="127">
        <f t="shared" si="233"/>
        <v>0</v>
      </c>
      <c r="K262" s="127">
        <f t="shared" si="233"/>
        <v>0</v>
      </c>
      <c r="L262" s="127">
        <f t="shared" si="233"/>
        <v>0</v>
      </c>
      <c r="M262" s="127">
        <f t="shared" si="233"/>
        <v>0</v>
      </c>
      <c r="N262" s="245" t="str">
        <f t="shared" si="234"/>
        <v/>
      </c>
      <c r="O262" s="748"/>
      <c r="P262" s="757">
        <f t="shared" si="250"/>
        <v>0</v>
      </c>
      <c r="Q262" s="129">
        <f>IF(O262&gt;0,PRODUCT(I262,$O262),0)</f>
        <v>0</v>
      </c>
      <c r="R262" s="129">
        <f>IF(Q262&gt;0,PRODUCT(J262,$O262),0)</f>
        <v>0</v>
      </c>
      <c r="S262" s="129">
        <f>IF(R262&gt;0,PRODUCT(K262,$O262),0)</f>
        <v>0</v>
      </c>
      <c r="T262" s="129">
        <f>IF(S262&gt;0,PRODUCT(L262,$O262),0)</f>
        <v>0</v>
      </c>
      <c r="U262" s="129">
        <f>IF(T262&gt;0,PRODUCT(M262,$O262),0)</f>
        <v>0</v>
      </c>
      <c r="V262" s="209">
        <f t="shared" si="256"/>
        <v>0</v>
      </c>
      <c r="W262" s="621"/>
      <c r="X262" s="222"/>
      <c r="Y262" s="325"/>
      <c r="Z262" s="774">
        <f>AA262/12</f>
        <v>0</v>
      </c>
      <c r="AA262" s="103">
        <f>IF(Y262&gt;0,PRODUCT(I262,$Y262),0)</f>
        <v>0</v>
      </c>
      <c r="AB262" s="103">
        <f>IF(AA262&gt;0,PRODUCT(J262,$Y262),0)</f>
        <v>0</v>
      </c>
      <c r="AC262" s="103">
        <f>IF(AB262&gt;0,PRODUCT(K262,$Y262),0)</f>
        <v>0</v>
      </c>
      <c r="AD262" s="103">
        <f>IF(AC262&gt;0,PRODUCT(L262,$Y262),0)</f>
        <v>0</v>
      </c>
      <c r="AE262" s="103">
        <f>IF(AD262&gt;0,PRODUCT(M262,$Y262),0)</f>
        <v>0</v>
      </c>
      <c r="AF262" s="123">
        <f>SUM(AA262:AE262)</f>
        <v>0</v>
      </c>
      <c r="AG262" s="743"/>
      <c r="AH262" s="362"/>
      <c r="AI262" s="221"/>
      <c r="AJ262" s="270"/>
      <c r="AK262" s="896">
        <f t="shared" si="242"/>
        <v>0</v>
      </c>
      <c r="AL262" s="105" cm="1">
        <f t="array" ref="AL262">_xlfn.IFS($AJ262="NO CHARGE",0,$AJ262=0,0,$AJ262&gt;0,PRODUCT(I262,$AJ262))</f>
        <v>0</v>
      </c>
      <c r="AM262" s="105" cm="1">
        <f t="array" ref="AM262">_xlfn.IFS($AJ262="NO CHARGE",0,$AJ262=0,0,$AJ262&gt;0,PRODUCT(J262,$AJ262))</f>
        <v>0</v>
      </c>
      <c r="AN262" s="105" cm="1">
        <f t="array" ref="AN262">_xlfn.IFS($AJ262="NO CHARGE",0,$AJ262=0,0,$AJ262&gt;0,PRODUCT(K262,$AJ262))</f>
        <v>0</v>
      </c>
      <c r="AO262" s="105" cm="1">
        <f t="array" ref="AO262">_xlfn.IFS($AJ262="NO CHARGE",0,$AJ262=0,0,$AJ262&gt;0,PRODUCT(L262,$AJ262))</f>
        <v>0</v>
      </c>
      <c r="AP262" s="105" cm="1">
        <f t="array" ref="AP262">_xlfn.IFS($AJ262="NO CHARGE",0,$AJ262=0,0,$AJ262&gt;0,PRODUCT(M262,$AJ262))</f>
        <v>0</v>
      </c>
      <c r="AQ262" s="158">
        <f t="shared" si="231"/>
        <v>0</v>
      </c>
      <c r="AR262" s="875"/>
      <c r="AS262" s="473"/>
      <c r="AT262" s="106"/>
      <c r="AU262" s="107"/>
      <c r="AV262" s="108">
        <f t="shared" si="257"/>
        <v>0</v>
      </c>
      <c r="AW262" s="108">
        <f t="shared" si="257"/>
        <v>0</v>
      </c>
      <c r="AX262" s="108">
        <f t="shared" si="257"/>
        <v>0</v>
      </c>
      <c r="AY262" s="108">
        <f t="shared" si="257"/>
        <v>0</v>
      </c>
      <c r="AZ262" s="108">
        <f t="shared" si="257"/>
        <v>0</v>
      </c>
      <c r="BA262" s="165">
        <f>SUM(AV262:AZ262)</f>
        <v>0</v>
      </c>
      <c r="BB262" s="531"/>
    </row>
    <row r="263" spans="1:54" s="495" customFormat="1" outlineLevel="1" x14ac:dyDescent="0.25">
      <c r="A263" s="445"/>
      <c r="B263" s="252" t="str">
        <f>C263</f>
        <v>NYCE:</v>
      </c>
      <c r="C263" s="242" t="s">
        <v>311</v>
      </c>
      <c r="D263" s="609"/>
      <c r="E263" s="609"/>
      <c r="F263" s="609"/>
      <c r="G263" s="609"/>
      <c r="H263" s="619"/>
      <c r="I263" s="243"/>
      <c r="J263" s="243"/>
      <c r="K263" s="243"/>
      <c r="L263" s="243"/>
      <c r="M263" s="244"/>
      <c r="N263" s="252" t="str">
        <f t="shared" si="234"/>
        <v>NYCE:</v>
      </c>
      <c r="O263" s="243"/>
      <c r="P263" s="756"/>
      <c r="Q263" s="243"/>
      <c r="R263" s="243"/>
      <c r="S263" s="243"/>
      <c r="T263" s="243"/>
      <c r="U263" s="244"/>
      <c r="V263" s="209"/>
      <c r="W263" s="527"/>
      <c r="X263" s="252" t="str">
        <f>C263</f>
        <v>NYCE:</v>
      </c>
      <c r="Y263" s="707"/>
      <c r="Z263" s="756"/>
      <c r="AA263" s="243"/>
      <c r="AB263" s="243"/>
      <c r="AC263" s="243"/>
      <c r="AD263" s="243"/>
      <c r="AE263" s="244"/>
      <c r="AF263" s="123"/>
      <c r="AG263" s="745"/>
      <c r="AH263" s="362"/>
      <c r="AI263" s="252" t="str">
        <f>C263</f>
        <v>NYCE:</v>
      </c>
      <c r="AJ263" s="707"/>
      <c r="AK263" s="895"/>
      <c r="AL263" s="243"/>
      <c r="AM263" s="243"/>
      <c r="AN263" s="243"/>
      <c r="AO263" s="243"/>
      <c r="AP263" s="244"/>
      <c r="AQ263" s="158">
        <f t="shared" si="231"/>
        <v>0</v>
      </c>
      <c r="AR263" s="874"/>
      <c r="AS263" s="874"/>
      <c r="AT263" s="252" t="str">
        <f>C263</f>
        <v>NYCE:</v>
      </c>
      <c r="AU263" s="243"/>
      <c r="AV263" s="243"/>
      <c r="AW263" s="243"/>
      <c r="AX263" s="243"/>
      <c r="AY263" s="243"/>
      <c r="AZ263" s="244"/>
      <c r="BA263" s="165"/>
      <c r="BB263" s="532"/>
    </row>
    <row r="264" spans="1:54" s="495" customFormat="1" outlineLevel="1" x14ac:dyDescent="0.25">
      <c r="A264" s="787"/>
      <c r="B264" s="623" t="s">
        <v>312</v>
      </c>
      <c r="C264" s="310" t="s">
        <v>313</v>
      </c>
      <c r="D264" s="604">
        <v>124377</v>
      </c>
      <c r="E264" s="604">
        <v>125269</v>
      </c>
      <c r="F264" s="604">
        <v>122424</v>
      </c>
      <c r="G264" s="604"/>
      <c r="H264" s="618">
        <f t="shared" ref="H264:H274" si="259">IFERROR(AVERAGE(D264:F264),0)</f>
        <v>124023.33333333333</v>
      </c>
      <c r="I264" s="127">
        <f t="shared" ref="I264:I274" si="260">H264*12</f>
        <v>1488280</v>
      </c>
      <c r="J264" s="127">
        <f t="shared" ref="J264:M274" si="261">IF(I264&gt;12,(((I264)*$H$5)+I264),(I264*1))</f>
        <v>1562694</v>
      </c>
      <c r="K264" s="127">
        <f t="shared" si="261"/>
        <v>1640828.7</v>
      </c>
      <c r="L264" s="127">
        <f t="shared" si="261"/>
        <v>1722870.135</v>
      </c>
      <c r="M264" s="127">
        <f t="shared" si="261"/>
        <v>1809013.64175</v>
      </c>
      <c r="N264" s="245" t="str">
        <f t="shared" si="234"/>
        <v>Monthly Service Fee - Standard Package 85,001- 200,000</v>
      </c>
      <c r="O264" s="247">
        <v>2E-3</v>
      </c>
      <c r="P264" s="757">
        <f t="shared" ref="P264:P295" si="262">Q264/12</f>
        <v>248.04666666666665</v>
      </c>
      <c r="Q264" s="129">
        <f t="shared" ref="Q264:Q279" si="263">IF(O264&gt;0,PRODUCT(I264,$O264),0)</f>
        <v>2976.56</v>
      </c>
      <c r="R264" s="129">
        <f t="shared" ref="R264:R279" si="264">IF(Q264&gt;0,PRODUCT(J264,$O264),0)</f>
        <v>3125.3879999999999</v>
      </c>
      <c r="S264" s="129">
        <f t="shared" ref="S264:S279" si="265">IF(R264&gt;0,PRODUCT(K264,$O264),0)</f>
        <v>3281.6574000000001</v>
      </c>
      <c r="T264" s="129">
        <f t="shared" ref="T264:T279" si="266">IF(S264&gt;0,PRODUCT(L264,$O264),0)</f>
        <v>3445.7402700000002</v>
      </c>
      <c r="U264" s="129">
        <f t="shared" ref="U264:U279" si="267">IF(T264&gt;0,PRODUCT(M264,$O264),0)</f>
        <v>3618.0272835000001</v>
      </c>
      <c r="V264" s="209">
        <f t="shared" ref="V264:V279" si="268">SUM(Q264:U264)</f>
        <v>16447.372953500002</v>
      </c>
      <c r="W264" s="527"/>
      <c r="X264" s="713" t="s">
        <v>301</v>
      </c>
      <c r="Y264" s="325"/>
      <c r="Z264" s="774"/>
      <c r="AA264" s="103">
        <f>IF(Y264&gt;0,PRODUCT(I264,$Y264),0)</f>
        <v>0</v>
      </c>
      <c r="AB264" s="103">
        <f t="shared" ref="AB264:AE265" si="269">IF(AA264&gt;0,PRODUCT(J264,$Y264),0)</f>
        <v>0</v>
      </c>
      <c r="AC264" s="103">
        <f t="shared" si="269"/>
        <v>0</v>
      </c>
      <c r="AD264" s="103">
        <f t="shared" si="269"/>
        <v>0</v>
      </c>
      <c r="AE264" s="103">
        <f t="shared" si="269"/>
        <v>0</v>
      </c>
      <c r="AF264" s="123">
        <f>SUM(AA264:AE264)</f>
        <v>0</v>
      </c>
      <c r="AG264" s="743"/>
      <c r="AH264" s="362"/>
      <c r="AI264" s="880" t="s">
        <v>301</v>
      </c>
      <c r="AJ264" s="270"/>
      <c r="AK264" s="896">
        <f t="shared" ref="AK264:AK295" si="270">AL264/12</f>
        <v>0</v>
      </c>
      <c r="AL264" s="105" cm="1">
        <f t="array" ref="AL264">_xlfn.IFS($AJ264="NO CHARGE",0,$AJ264=0,0,$AJ264&gt;0,PRODUCT(I264,$AJ264))</f>
        <v>0</v>
      </c>
      <c r="AM264" s="105" cm="1">
        <f t="array" ref="AM264">_xlfn.IFS($AJ264="NO CHARGE",0,$AJ264=0,0,$AJ264&gt;0,PRODUCT(J264,$AJ264))</f>
        <v>0</v>
      </c>
      <c r="AN264" s="105" cm="1">
        <f t="array" ref="AN264">_xlfn.IFS($AJ264="NO CHARGE",0,$AJ264=0,0,$AJ264&gt;0,PRODUCT(K264,$AJ264))</f>
        <v>0</v>
      </c>
      <c r="AO264" s="105" cm="1">
        <f t="array" ref="AO264">_xlfn.IFS($AJ264="NO CHARGE",0,$AJ264=0,0,$AJ264&gt;0,PRODUCT(L264,$AJ264))</f>
        <v>0</v>
      </c>
      <c r="AP264" s="105" cm="1">
        <f t="array" ref="AP264">_xlfn.IFS($AJ264="NO CHARGE",0,$AJ264=0,0,$AJ264&gt;0,PRODUCT(M264,$AJ264))</f>
        <v>0</v>
      </c>
      <c r="AQ264" s="158">
        <f t="shared" ref="AQ264:AQ328" si="271">SUM(AL264:AP264)</f>
        <v>0</v>
      </c>
      <c r="AR264" s="875"/>
      <c r="AS264" s="473"/>
      <c r="AT264" s="106"/>
      <c r="AU264" s="107"/>
      <c r="AV264" s="108">
        <f t="shared" ref="AV264:AZ265" si="272">IF(AU264&gt;0,PRODUCT(I264,$AU264),0)</f>
        <v>0</v>
      </c>
      <c r="AW264" s="108">
        <f t="shared" si="272"/>
        <v>0</v>
      </c>
      <c r="AX264" s="108">
        <f t="shared" si="272"/>
        <v>0</v>
      </c>
      <c r="AY264" s="108">
        <f t="shared" si="272"/>
        <v>0</v>
      </c>
      <c r="AZ264" s="108">
        <f t="shared" si="272"/>
        <v>0</v>
      </c>
      <c r="BA264" s="165">
        <f>SUM(AV264:AZ264)</f>
        <v>0</v>
      </c>
      <c r="BB264" s="531"/>
    </row>
    <row r="265" spans="1:54" s="495" customFormat="1" outlineLevel="1" x14ac:dyDescent="0.25">
      <c r="A265" s="787"/>
      <c r="B265" s="623" t="s">
        <v>312</v>
      </c>
      <c r="C265" s="310" t="s">
        <v>314</v>
      </c>
      <c r="D265" s="604">
        <v>124377</v>
      </c>
      <c r="E265" s="604">
        <v>125269</v>
      </c>
      <c r="F265" s="604">
        <v>122424</v>
      </c>
      <c r="G265" s="604"/>
      <c r="H265" s="618">
        <f t="shared" si="259"/>
        <v>124023.33333333333</v>
      </c>
      <c r="I265" s="127">
        <f t="shared" si="260"/>
        <v>1488280</v>
      </c>
      <c r="J265" s="127">
        <f t="shared" si="261"/>
        <v>1562694</v>
      </c>
      <c r="K265" s="127">
        <f t="shared" si="261"/>
        <v>1640828.7</v>
      </c>
      <c r="L265" s="127">
        <f t="shared" si="261"/>
        <v>1722870.135</v>
      </c>
      <c r="M265" s="127">
        <f t="shared" si="261"/>
        <v>1809013.64175</v>
      </c>
      <c r="N265" s="245" t="str">
        <f t="shared" si="234"/>
        <v>Monthly Service Fee - Standard Package 1- 200,000</v>
      </c>
      <c r="O265" s="247">
        <v>0</v>
      </c>
      <c r="P265" s="757">
        <f t="shared" si="262"/>
        <v>0</v>
      </c>
      <c r="Q265" s="129">
        <f t="shared" si="263"/>
        <v>0</v>
      </c>
      <c r="R265" s="129">
        <f t="shared" si="264"/>
        <v>0</v>
      </c>
      <c r="S265" s="129">
        <f t="shared" si="265"/>
        <v>0</v>
      </c>
      <c r="T265" s="129">
        <f t="shared" si="266"/>
        <v>0</v>
      </c>
      <c r="U265" s="129">
        <f t="shared" si="267"/>
        <v>0</v>
      </c>
      <c r="V265" s="209">
        <f t="shared" si="268"/>
        <v>0</v>
      </c>
      <c r="W265" s="527"/>
      <c r="X265" s="713" t="s">
        <v>301</v>
      </c>
      <c r="Y265" s="325"/>
      <c r="Z265" s="774"/>
      <c r="AA265" s="103">
        <f>IF(Y265&gt;0,PRODUCT(I265,$Y265),0)</f>
        <v>0</v>
      </c>
      <c r="AB265" s="103">
        <f t="shared" si="269"/>
        <v>0</v>
      </c>
      <c r="AC265" s="103">
        <f t="shared" si="269"/>
        <v>0</v>
      </c>
      <c r="AD265" s="103">
        <f t="shared" si="269"/>
        <v>0</v>
      </c>
      <c r="AE265" s="103">
        <f t="shared" si="269"/>
        <v>0</v>
      </c>
      <c r="AF265" s="123">
        <f>SUM(AA265:AE265)</f>
        <v>0</v>
      </c>
      <c r="AG265" s="743"/>
      <c r="AH265" s="362"/>
      <c r="AI265" s="880" t="s">
        <v>301</v>
      </c>
      <c r="AJ265" s="886"/>
      <c r="AK265" s="896">
        <f t="shared" si="270"/>
        <v>0</v>
      </c>
      <c r="AL265" s="105" cm="1">
        <f t="array" ref="AL265">_xlfn.IFS($AJ265="NO CHARGE",0,$AJ265=0,0,$AJ265&gt;0,PRODUCT(I265,$AJ265))</f>
        <v>0</v>
      </c>
      <c r="AM265" s="105" cm="1">
        <f t="array" ref="AM265">_xlfn.IFS($AJ265="NO CHARGE",0,$AJ265=0,0,$AJ265&gt;0,PRODUCT(J265,$AJ265))</f>
        <v>0</v>
      </c>
      <c r="AN265" s="105" cm="1">
        <f t="array" ref="AN265">_xlfn.IFS($AJ265="NO CHARGE",0,$AJ265=0,0,$AJ265&gt;0,PRODUCT(K265,$AJ265))</f>
        <v>0</v>
      </c>
      <c r="AO265" s="105" cm="1">
        <f t="array" ref="AO265">_xlfn.IFS($AJ265="NO CHARGE",0,$AJ265=0,0,$AJ265&gt;0,PRODUCT(L265,$AJ265))</f>
        <v>0</v>
      </c>
      <c r="AP265" s="105" cm="1">
        <f t="array" ref="AP265">_xlfn.IFS($AJ265="NO CHARGE",0,$AJ265=0,0,$AJ265&gt;0,PRODUCT(M265,$AJ265))</f>
        <v>0</v>
      </c>
      <c r="AQ265" s="158">
        <f t="shared" si="271"/>
        <v>0</v>
      </c>
      <c r="AR265" s="875"/>
      <c r="AS265" s="473"/>
      <c r="AT265" s="106"/>
      <c r="AU265" s="353"/>
      <c r="AV265" s="108">
        <f t="shared" si="272"/>
        <v>0</v>
      </c>
      <c r="AW265" s="108">
        <f t="shared" si="272"/>
        <v>0</v>
      </c>
      <c r="AX265" s="108">
        <f t="shared" si="272"/>
        <v>0</v>
      </c>
      <c r="AY265" s="108">
        <f t="shared" si="272"/>
        <v>0</v>
      </c>
      <c r="AZ265" s="108">
        <f t="shared" si="272"/>
        <v>0</v>
      </c>
      <c r="BA265" s="165">
        <f>SUM(AV265:AZ265)</f>
        <v>0</v>
      </c>
      <c r="BB265" s="531"/>
    </row>
    <row r="266" spans="1:54" s="495" customFormat="1" outlineLevel="1" x14ac:dyDescent="0.25">
      <c r="A266" s="787"/>
      <c r="B266" s="623" t="s">
        <v>315</v>
      </c>
      <c r="C266" s="310" t="s">
        <v>316</v>
      </c>
      <c r="D266" s="604"/>
      <c r="E266" s="604"/>
      <c r="F266" s="604"/>
      <c r="G266" s="604"/>
      <c r="H266" s="618">
        <f t="shared" si="259"/>
        <v>0</v>
      </c>
      <c r="I266" s="127">
        <f t="shared" si="260"/>
        <v>0</v>
      </c>
      <c r="J266" s="127">
        <f t="shared" si="261"/>
        <v>0</v>
      </c>
      <c r="K266" s="127">
        <f t="shared" si="261"/>
        <v>0</v>
      </c>
      <c r="L266" s="127">
        <f t="shared" si="261"/>
        <v>0</v>
      </c>
      <c r="M266" s="127">
        <f t="shared" si="261"/>
        <v>0</v>
      </c>
      <c r="N266" s="245" t="str">
        <f t="shared" si="234"/>
        <v>Participant Monthly Fee</v>
      </c>
      <c r="O266" s="247">
        <v>0</v>
      </c>
      <c r="P266" s="757">
        <f t="shared" si="262"/>
        <v>0</v>
      </c>
      <c r="Q266" s="129">
        <f t="shared" si="263"/>
        <v>0</v>
      </c>
      <c r="R266" s="129">
        <f t="shared" si="264"/>
        <v>0</v>
      </c>
      <c r="S266" s="129">
        <f t="shared" si="265"/>
        <v>0</v>
      </c>
      <c r="T266" s="129">
        <f t="shared" si="266"/>
        <v>0</v>
      </c>
      <c r="U266" s="129">
        <f t="shared" si="267"/>
        <v>0</v>
      </c>
      <c r="V266" s="209">
        <f t="shared" si="268"/>
        <v>0</v>
      </c>
      <c r="W266" s="527"/>
      <c r="X266" s="713" t="s">
        <v>301</v>
      </c>
      <c r="Y266" s="325"/>
      <c r="Z266" s="774"/>
      <c r="AA266" s="103"/>
      <c r="AB266" s="103"/>
      <c r="AC266" s="103"/>
      <c r="AD266" s="103"/>
      <c r="AE266" s="103"/>
      <c r="AF266" s="123"/>
      <c r="AG266" s="743"/>
      <c r="AH266" s="362"/>
      <c r="AI266" s="880" t="s">
        <v>301</v>
      </c>
      <c r="AJ266" s="886"/>
      <c r="AK266" s="896">
        <f t="shared" si="270"/>
        <v>0</v>
      </c>
      <c r="AL266" s="105" cm="1">
        <f t="array" ref="AL266">_xlfn.IFS($AJ266="NO CHARGE",0,$AJ266=0,0,$AJ266&gt;0,PRODUCT(I266,$AJ266))</f>
        <v>0</v>
      </c>
      <c r="AM266" s="105" cm="1">
        <f t="array" ref="AM266">_xlfn.IFS($AJ266="NO CHARGE",0,$AJ266=0,0,$AJ266&gt;0,PRODUCT(J266,$AJ266))</f>
        <v>0</v>
      </c>
      <c r="AN266" s="105" cm="1">
        <f t="array" ref="AN266">_xlfn.IFS($AJ266="NO CHARGE",0,$AJ266=0,0,$AJ266&gt;0,PRODUCT(K266,$AJ266))</f>
        <v>0</v>
      </c>
      <c r="AO266" s="105" cm="1">
        <f t="array" ref="AO266">_xlfn.IFS($AJ266="NO CHARGE",0,$AJ266=0,0,$AJ266&gt;0,PRODUCT(L266,$AJ266))</f>
        <v>0</v>
      </c>
      <c r="AP266" s="105" cm="1">
        <f t="array" ref="AP266">_xlfn.IFS($AJ266="NO CHARGE",0,$AJ266=0,0,$AJ266&gt;0,PRODUCT(M266,$AJ266))</f>
        <v>0</v>
      </c>
      <c r="AQ266" s="158">
        <f t="shared" si="271"/>
        <v>0</v>
      </c>
      <c r="AR266" s="875"/>
      <c r="AS266" s="473"/>
      <c r="AT266" s="106"/>
      <c r="AU266" s="353"/>
      <c r="AV266" s="108"/>
      <c r="AW266" s="108"/>
      <c r="AX266" s="108"/>
      <c r="AY266" s="108"/>
      <c r="AZ266" s="108"/>
      <c r="BA266" s="165"/>
      <c r="BB266" s="531"/>
    </row>
    <row r="267" spans="1:54" s="495" customFormat="1" outlineLevel="1" x14ac:dyDescent="0.25">
      <c r="A267" s="787"/>
      <c r="B267" s="623" t="s">
        <v>317</v>
      </c>
      <c r="C267" s="310" t="s">
        <v>318</v>
      </c>
      <c r="D267" s="604">
        <v>5326</v>
      </c>
      <c r="E267" s="604">
        <v>5771</v>
      </c>
      <c r="F267" s="604">
        <v>5635</v>
      </c>
      <c r="G267" s="604"/>
      <c r="H267" s="618">
        <f t="shared" si="259"/>
        <v>5577.333333333333</v>
      </c>
      <c r="I267" s="127">
        <f t="shared" si="260"/>
        <v>66928</v>
      </c>
      <c r="J267" s="127">
        <f t="shared" si="261"/>
        <v>70274.399999999994</v>
      </c>
      <c r="K267" s="127">
        <f t="shared" si="261"/>
        <v>73788.12</v>
      </c>
      <c r="L267" s="127">
        <f t="shared" si="261"/>
        <v>77477.525999999998</v>
      </c>
      <c r="M267" s="127">
        <f t="shared" si="261"/>
        <v>81351.402300000002</v>
      </c>
      <c r="N267" s="245" t="str">
        <f t="shared" si="234"/>
        <v>Cardholder Transactions - Cardholder Net Transactions</v>
      </c>
      <c r="O267" s="247">
        <v>0.05</v>
      </c>
      <c r="P267" s="757">
        <f t="shared" si="262"/>
        <v>278.86666666666667</v>
      </c>
      <c r="Q267" s="129">
        <f t="shared" si="263"/>
        <v>3346.4</v>
      </c>
      <c r="R267" s="129">
        <f t="shared" si="264"/>
        <v>3513.72</v>
      </c>
      <c r="S267" s="129">
        <f t="shared" si="265"/>
        <v>3689.4059999999999</v>
      </c>
      <c r="T267" s="129">
        <f t="shared" si="266"/>
        <v>3873.8762999999999</v>
      </c>
      <c r="U267" s="129">
        <f t="shared" si="267"/>
        <v>4067.5701150000004</v>
      </c>
      <c r="V267" s="209">
        <f t="shared" si="268"/>
        <v>18490.972415</v>
      </c>
      <c r="W267" s="527"/>
      <c r="X267" s="713" t="s">
        <v>301</v>
      </c>
      <c r="Y267" s="325"/>
      <c r="Z267" s="774"/>
      <c r="AA267" s="103"/>
      <c r="AB267" s="103"/>
      <c r="AC267" s="103"/>
      <c r="AD267" s="103"/>
      <c r="AE267" s="103"/>
      <c r="AF267" s="123"/>
      <c r="AG267" s="743"/>
      <c r="AH267" s="362"/>
      <c r="AI267" s="880" t="s">
        <v>301</v>
      </c>
      <c r="AJ267" s="886"/>
      <c r="AK267" s="896">
        <f t="shared" si="270"/>
        <v>0</v>
      </c>
      <c r="AL267" s="105" cm="1">
        <f t="array" ref="AL267">_xlfn.IFS($AJ267="NO CHARGE",0,$AJ267=0,0,$AJ267&gt;0,PRODUCT(I267,$AJ267))</f>
        <v>0</v>
      </c>
      <c r="AM267" s="105" cm="1">
        <f t="array" ref="AM267">_xlfn.IFS($AJ267="NO CHARGE",0,$AJ267=0,0,$AJ267&gt;0,PRODUCT(J267,$AJ267))</f>
        <v>0</v>
      </c>
      <c r="AN267" s="105" cm="1">
        <f t="array" ref="AN267">_xlfn.IFS($AJ267="NO CHARGE",0,$AJ267=0,0,$AJ267&gt;0,PRODUCT(K267,$AJ267))</f>
        <v>0</v>
      </c>
      <c r="AO267" s="105" cm="1">
        <f t="array" ref="AO267">_xlfn.IFS($AJ267="NO CHARGE",0,$AJ267=0,0,$AJ267&gt;0,PRODUCT(L267,$AJ267))</f>
        <v>0</v>
      </c>
      <c r="AP267" s="105" cm="1">
        <f t="array" ref="AP267">_xlfn.IFS($AJ267="NO CHARGE",0,$AJ267=0,0,$AJ267&gt;0,PRODUCT(M267,$AJ267))</f>
        <v>0</v>
      </c>
      <c r="AQ267" s="158">
        <f t="shared" si="271"/>
        <v>0</v>
      </c>
      <c r="AR267" s="875"/>
      <c r="AS267" s="473"/>
      <c r="AT267" s="106"/>
      <c r="AU267" s="353"/>
      <c r="AV267" s="108"/>
      <c r="AW267" s="108"/>
      <c r="AX267" s="108"/>
      <c r="AY267" s="108"/>
      <c r="AZ267" s="108"/>
      <c r="BA267" s="165"/>
      <c r="BB267" s="531"/>
    </row>
    <row r="268" spans="1:54" s="495" customFormat="1" outlineLevel="1" x14ac:dyDescent="0.25">
      <c r="A268" s="787"/>
      <c r="B268" s="623" t="s">
        <v>317</v>
      </c>
      <c r="C268" s="310" t="s">
        <v>319</v>
      </c>
      <c r="D268" s="604">
        <v>477</v>
      </c>
      <c r="E268" s="604">
        <v>403</v>
      </c>
      <c r="F268" s="604">
        <v>512</v>
      </c>
      <c r="G268" s="604"/>
      <c r="H268" s="618">
        <f t="shared" si="259"/>
        <v>464</v>
      </c>
      <c r="I268" s="127">
        <f t="shared" si="260"/>
        <v>5568</v>
      </c>
      <c r="J268" s="127">
        <f t="shared" si="261"/>
        <v>5846.4</v>
      </c>
      <c r="K268" s="127">
        <f t="shared" si="261"/>
        <v>6138.7199999999993</v>
      </c>
      <c r="L268" s="127">
        <f t="shared" si="261"/>
        <v>6445.655999999999</v>
      </c>
      <c r="M268" s="127">
        <f t="shared" si="261"/>
        <v>6767.938799999999</v>
      </c>
      <c r="N268" s="245" t="str">
        <f t="shared" si="234"/>
        <v>ATM Acquirer Transactions - Acquirer On-Premise Transactions</v>
      </c>
      <c r="O268" s="247">
        <v>0.05</v>
      </c>
      <c r="P268" s="757">
        <f t="shared" si="262"/>
        <v>23.200000000000003</v>
      </c>
      <c r="Q268" s="129">
        <f t="shared" si="263"/>
        <v>278.40000000000003</v>
      </c>
      <c r="R268" s="129">
        <f t="shared" si="264"/>
        <v>292.32</v>
      </c>
      <c r="S268" s="129">
        <f t="shared" si="265"/>
        <v>306.93599999999998</v>
      </c>
      <c r="T268" s="129">
        <f t="shared" si="266"/>
        <v>322.28279999999995</v>
      </c>
      <c r="U268" s="129">
        <f t="shared" si="267"/>
        <v>338.39693999999997</v>
      </c>
      <c r="V268" s="209">
        <f t="shared" si="268"/>
        <v>1538.33574</v>
      </c>
      <c r="W268" s="527"/>
      <c r="X268" s="713" t="s">
        <v>301</v>
      </c>
      <c r="Y268" s="325"/>
      <c r="Z268" s="774"/>
      <c r="AA268" s="103"/>
      <c r="AB268" s="103"/>
      <c r="AC268" s="103"/>
      <c r="AD268" s="103"/>
      <c r="AE268" s="103"/>
      <c r="AF268" s="123"/>
      <c r="AG268" s="743"/>
      <c r="AH268" s="362"/>
      <c r="AI268" s="880" t="s">
        <v>301</v>
      </c>
      <c r="AJ268" s="886"/>
      <c r="AK268" s="896">
        <f t="shared" si="270"/>
        <v>0</v>
      </c>
      <c r="AL268" s="105" cm="1">
        <f t="array" ref="AL268">_xlfn.IFS($AJ268="NO CHARGE",0,$AJ268=0,0,$AJ268&gt;0,PRODUCT(I268,$AJ268))</f>
        <v>0</v>
      </c>
      <c r="AM268" s="105" cm="1">
        <f t="array" ref="AM268">_xlfn.IFS($AJ268="NO CHARGE",0,$AJ268=0,0,$AJ268&gt;0,PRODUCT(J268,$AJ268))</f>
        <v>0</v>
      </c>
      <c r="AN268" s="105" cm="1">
        <f t="array" ref="AN268">_xlfn.IFS($AJ268="NO CHARGE",0,$AJ268=0,0,$AJ268&gt;0,PRODUCT(K268,$AJ268))</f>
        <v>0</v>
      </c>
      <c r="AO268" s="105" cm="1">
        <f t="array" ref="AO268">_xlfn.IFS($AJ268="NO CHARGE",0,$AJ268=0,0,$AJ268&gt;0,PRODUCT(L268,$AJ268))</f>
        <v>0</v>
      </c>
      <c r="AP268" s="105" cm="1">
        <f t="array" ref="AP268">_xlfn.IFS($AJ268="NO CHARGE",0,$AJ268=0,0,$AJ268&gt;0,PRODUCT(M268,$AJ268))</f>
        <v>0</v>
      </c>
      <c r="AQ268" s="158">
        <f t="shared" si="271"/>
        <v>0</v>
      </c>
      <c r="AR268" s="875"/>
      <c r="AS268" s="473"/>
      <c r="AT268" s="106"/>
      <c r="AU268" s="353"/>
      <c r="AV268" s="108"/>
      <c r="AW268" s="108"/>
      <c r="AX268" s="108"/>
      <c r="AY268" s="108"/>
      <c r="AZ268" s="108"/>
      <c r="BA268" s="165"/>
      <c r="BB268" s="531"/>
    </row>
    <row r="269" spans="1:54" s="495" customFormat="1" outlineLevel="1" x14ac:dyDescent="0.25">
      <c r="A269" s="787"/>
      <c r="B269" s="623" t="s">
        <v>317</v>
      </c>
      <c r="C269" s="310" t="s">
        <v>320</v>
      </c>
      <c r="D269" s="604">
        <v>372</v>
      </c>
      <c r="E269" s="604">
        <v>365</v>
      </c>
      <c r="F269" s="604">
        <v>381</v>
      </c>
      <c r="G269" s="604"/>
      <c r="H269" s="618">
        <f t="shared" si="259"/>
        <v>372.66666666666669</v>
      </c>
      <c r="I269" s="127">
        <f t="shared" si="260"/>
        <v>4472</v>
      </c>
      <c r="J269" s="127">
        <f t="shared" si="261"/>
        <v>4695.6000000000004</v>
      </c>
      <c r="K269" s="127">
        <f t="shared" si="261"/>
        <v>4930.38</v>
      </c>
      <c r="L269" s="127">
        <f t="shared" si="261"/>
        <v>5176.8990000000003</v>
      </c>
      <c r="M269" s="127">
        <f t="shared" si="261"/>
        <v>5435.74395</v>
      </c>
      <c r="N269" s="245" t="str">
        <f t="shared" si="234"/>
        <v>Domestic Reciprocal Network -Cardholder Reciprocal Net Transactions</v>
      </c>
      <c r="O269" s="247">
        <v>0.05</v>
      </c>
      <c r="P269" s="757">
        <f t="shared" si="262"/>
        <v>18.633333333333336</v>
      </c>
      <c r="Q269" s="129">
        <f t="shared" si="263"/>
        <v>223.60000000000002</v>
      </c>
      <c r="R269" s="129">
        <f t="shared" si="264"/>
        <v>234.78000000000003</v>
      </c>
      <c r="S269" s="129">
        <f t="shared" si="265"/>
        <v>246.51900000000001</v>
      </c>
      <c r="T269" s="129">
        <f t="shared" si="266"/>
        <v>258.84495000000004</v>
      </c>
      <c r="U269" s="129">
        <f t="shared" si="267"/>
        <v>271.78719749999999</v>
      </c>
      <c r="V269" s="209">
        <f t="shared" si="268"/>
        <v>1235.5311475000001</v>
      </c>
      <c r="W269" s="527"/>
      <c r="X269" s="713" t="s">
        <v>301</v>
      </c>
      <c r="Y269" s="325"/>
      <c r="Z269" s="774"/>
      <c r="AA269" s="103"/>
      <c r="AB269" s="103"/>
      <c r="AC269" s="103"/>
      <c r="AD269" s="103"/>
      <c r="AE269" s="103"/>
      <c r="AF269" s="123"/>
      <c r="AG269" s="743"/>
      <c r="AH269" s="362"/>
      <c r="AI269" s="880" t="s">
        <v>301</v>
      </c>
      <c r="AJ269" s="886"/>
      <c r="AK269" s="896">
        <f t="shared" si="270"/>
        <v>0</v>
      </c>
      <c r="AL269" s="105" cm="1">
        <f t="array" ref="AL269">_xlfn.IFS($AJ269="NO CHARGE",0,$AJ269=0,0,$AJ269&gt;0,PRODUCT(I269,$AJ269))</f>
        <v>0</v>
      </c>
      <c r="AM269" s="105" cm="1">
        <f t="array" ref="AM269">_xlfn.IFS($AJ269="NO CHARGE",0,$AJ269=0,0,$AJ269&gt;0,PRODUCT(J269,$AJ269))</f>
        <v>0</v>
      </c>
      <c r="AN269" s="105" cm="1">
        <f t="array" ref="AN269">_xlfn.IFS($AJ269="NO CHARGE",0,$AJ269=0,0,$AJ269&gt;0,PRODUCT(K269,$AJ269))</f>
        <v>0</v>
      </c>
      <c r="AO269" s="105" cm="1">
        <f t="array" ref="AO269">_xlfn.IFS($AJ269="NO CHARGE",0,$AJ269=0,0,$AJ269&gt;0,PRODUCT(L269,$AJ269))</f>
        <v>0</v>
      </c>
      <c r="AP269" s="105" cm="1">
        <f t="array" ref="AP269">_xlfn.IFS($AJ269="NO CHARGE",0,$AJ269=0,0,$AJ269&gt;0,PRODUCT(M269,$AJ269))</f>
        <v>0</v>
      </c>
      <c r="AQ269" s="158">
        <f t="shared" si="271"/>
        <v>0</v>
      </c>
      <c r="AR269" s="875"/>
      <c r="AS269" s="473"/>
      <c r="AT269" s="106"/>
      <c r="AU269" s="353"/>
      <c r="AV269" s="108"/>
      <c r="AW269" s="108"/>
      <c r="AX269" s="108"/>
      <c r="AY269" s="108"/>
      <c r="AZ269" s="108"/>
      <c r="BA269" s="165"/>
      <c r="BB269" s="531"/>
    </row>
    <row r="270" spans="1:54" s="495" customFormat="1" outlineLevel="1" x14ac:dyDescent="0.25">
      <c r="A270" s="787"/>
      <c r="B270" s="623" t="s">
        <v>317</v>
      </c>
      <c r="C270" s="310" t="s">
        <v>321</v>
      </c>
      <c r="D270" s="604">
        <v>149</v>
      </c>
      <c r="E270" s="604">
        <v>118</v>
      </c>
      <c r="F270" s="604">
        <v>120</v>
      </c>
      <c r="G270" s="604"/>
      <c r="H270" s="618">
        <f t="shared" si="259"/>
        <v>129</v>
      </c>
      <c r="I270" s="127">
        <f t="shared" si="260"/>
        <v>1548</v>
      </c>
      <c r="J270" s="127">
        <f t="shared" si="261"/>
        <v>1625.4</v>
      </c>
      <c r="K270" s="127">
        <f t="shared" si="261"/>
        <v>1706.67</v>
      </c>
      <c r="L270" s="127">
        <f t="shared" si="261"/>
        <v>1792.0035</v>
      </c>
      <c r="M270" s="127">
        <f t="shared" si="261"/>
        <v>1881.6036750000001</v>
      </c>
      <c r="N270" s="245" t="str">
        <f t="shared" si="234"/>
        <v>Terminal Reciprocal Transactions - Terminal Reciprocal Net Transactions</v>
      </c>
      <c r="O270" s="247">
        <v>0.1</v>
      </c>
      <c r="P270" s="757">
        <f t="shared" si="262"/>
        <v>12.9</v>
      </c>
      <c r="Q270" s="129">
        <f t="shared" si="263"/>
        <v>154.80000000000001</v>
      </c>
      <c r="R270" s="129">
        <f t="shared" si="264"/>
        <v>162.54000000000002</v>
      </c>
      <c r="S270" s="129">
        <f t="shared" si="265"/>
        <v>170.66700000000003</v>
      </c>
      <c r="T270" s="129">
        <f t="shared" si="266"/>
        <v>179.20035000000001</v>
      </c>
      <c r="U270" s="129">
        <f t="shared" si="267"/>
        <v>188.16036750000001</v>
      </c>
      <c r="V270" s="209">
        <f t="shared" si="268"/>
        <v>855.36771750000014</v>
      </c>
      <c r="W270" s="527"/>
      <c r="X270" s="713" t="s">
        <v>301</v>
      </c>
      <c r="Y270" s="325"/>
      <c r="Z270" s="774"/>
      <c r="AA270" s="103"/>
      <c r="AB270" s="103"/>
      <c r="AC270" s="103"/>
      <c r="AD270" s="103"/>
      <c r="AE270" s="103"/>
      <c r="AF270" s="123"/>
      <c r="AG270" s="743"/>
      <c r="AH270" s="362"/>
      <c r="AI270" s="880" t="s">
        <v>301</v>
      </c>
      <c r="AJ270" s="886"/>
      <c r="AK270" s="896">
        <f t="shared" si="270"/>
        <v>0</v>
      </c>
      <c r="AL270" s="105" cm="1">
        <f t="array" ref="AL270">_xlfn.IFS($AJ270="NO CHARGE",0,$AJ270=0,0,$AJ270&gt;0,PRODUCT(I270,$AJ270))</f>
        <v>0</v>
      </c>
      <c r="AM270" s="105" cm="1">
        <f t="array" ref="AM270">_xlfn.IFS($AJ270="NO CHARGE",0,$AJ270=0,0,$AJ270&gt;0,PRODUCT(J270,$AJ270))</f>
        <v>0</v>
      </c>
      <c r="AN270" s="105" cm="1">
        <f t="array" ref="AN270">_xlfn.IFS($AJ270="NO CHARGE",0,$AJ270=0,0,$AJ270&gt;0,PRODUCT(K270,$AJ270))</f>
        <v>0</v>
      </c>
      <c r="AO270" s="105" cm="1">
        <f t="array" ref="AO270">_xlfn.IFS($AJ270="NO CHARGE",0,$AJ270=0,0,$AJ270&gt;0,PRODUCT(L270,$AJ270))</f>
        <v>0</v>
      </c>
      <c r="AP270" s="105" cm="1">
        <f t="array" ref="AP270">_xlfn.IFS($AJ270="NO CHARGE",0,$AJ270=0,0,$AJ270&gt;0,PRODUCT(M270,$AJ270))</f>
        <v>0</v>
      </c>
      <c r="AQ270" s="158">
        <f t="shared" si="271"/>
        <v>0</v>
      </c>
      <c r="AR270" s="875"/>
      <c r="AS270" s="473"/>
      <c r="AT270" s="106"/>
      <c r="AU270" s="353"/>
      <c r="AV270" s="108"/>
      <c r="AW270" s="108"/>
      <c r="AX270" s="108"/>
      <c r="AY270" s="108"/>
      <c r="AZ270" s="108"/>
      <c r="BA270" s="165"/>
      <c r="BB270" s="531"/>
    </row>
    <row r="271" spans="1:54" s="495" customFormat="1" outlineLevel="1" x14ac:dyDescent="0.25">
      <c r="A271" s="787"/>
      <c r="B271" s="623" t="s">
        <v>317</v>
      </c>
      <c r="C271" s="310" t="s">
        <v>322</v>
      </c>
      <c r="D271" s="604">
        <v>626</v>
      </c>
      <c r="E271" s="604">
        <v>523</v>
      </c>
      <c r="F271" s="604">
        <v>634</v>
      </c>
      <c r="G271" s="604"/>
      <c r="H271" s="618">
        <f t="shared" si="259"/>
        <v>594.33333333333337</v>
      </c>
      <c r="I271" s="127">
        <f t="shared" si="260"/>
        <v>7132</v>
      </c>
      <c r="J271" s="127">
        <f t="shared" si="261"/>
        <v>7488.6</v>
      </c>
      <c r="K271" s="127">
        <f t="shared" si="261"/>
        <v>7863.0300000000007</v>
      </c>
      <c r="L271" s="127">
        <f t="shared" si="261"/>
        <v>8256.1815000000006</v>
      </c>
      <c r="M271" s="127">
        <f t="shared" si="261"/>
        <v>8668.9905749999998</v>
      </c>
      <c r="N271" s="245" t="str">
        <f t="shared" si="234"/>
        <v>ATM Acquirer Security Fee - On-Premise ATM Acquirer Security Fee</v>
      </c>
      <c r="O271" s="247">
        <v>5.0000000000000001E-3</v>
      </c>
      <c r="P271" s="757">
        <f t="shared" si="262"/>
        <v>2.9716666666666671</v>
      </c>
      <c r="Q271" s="129">
        <f t="shared" si="263"/>
        <v>35.660000000000004</v>
      </c>
      <c r="R271" s="129">
        <f t="shared" si="264"/>
        <v>37.443000000000005</v>
      </c>
      <c r="S271" s="129">
        <f t="shared" si="265"/>
        <v>39.315150000000003</v>
      </c>
      <c r="T271" s="129">
        <f t="shared" si="266"/>
        <v>41.280907500000005</v>
      </c>
      <c r="U271" s="129">
        <f t="shared" si="267"/>
        <v>43.344952874999997</v>
      </c>
      <c r="V271" s="209">
        <f t="shared" si="268"/>
        <v>197.044010375</v>
      </c>
      <c r="W271" s="527"/>
      <c r="X271" s="713" t="s">
        <v>301</v>
      </c>
      <c r="Y271" s="325"/>
      <c r="Z271" s="774"/>
      <c r="AA271" s="103"/>
      <c r="AB271" s="103"/>
      <c r="AC271" s="103"/>
      <c r="AD271" s="103"/>
      <c r="AE271" s="103"/>
      <c r="AF271" s="123"/>
      <c r="AG271" s="743"/>
      <c r="AH271" s="362"/>
      <c r="AI271" s="880" t="s">
        <v>301</v>
      </c>
      <c r="AJ271" s="886"/>
      <c r="AK271" s="896">
        <f t="shared" si="270"/>
        <v>0</v>
      </c>
      <c r="AL271" s="105" cm="1">
        <f t="array" ref="AL271">_xlfn.IFS($AJ271="NO CHARGE",0,$AJ271=0,0,$AJ271&gt;0,PRODUCT(I271,$AJ271))</f>
        <v>0</v>
      </c>
      <c r="AM271" s="105" cm="1">
        <f t="array" ref="AM271">_xlfn.IFS($AJ271="NO CHARGE",0,$AJ271=0,0,$AJ271&gt;0,PRODUCT(J271,$AJ271))</f>
        <v>0</v>
      </c>
      <c r="AN271" s="105" cm="1">
        <f t="array" ref="AN271">_xlfn.IFS($AJ271="NO CHARGE",0,$AJ271=0,0,$AJ271&gt;0,PRODUCT(K271,$AJ271))</f>
        <v>0</v>
      </c>
      <c r="AO271" s="105" cm="1">
        <f t="array" ref="AO271">_xlfn.IFS($AJ271="NO CHARGE",0,$AJ271=0,0,$AJ271&gt;0,PRODUCT(L271,$AJ271))</f>
        <v>0</v>
      </c>
      <c r="AP271" s="105" cm="1">
        <f t="array" ref="AP271">_xlfn.IFS($AJ271="NO CHARGE",0,$AJ271=0,0,$AJ271&gt;0,PRODUCT(M271,$AJ271))</f>
        <v>0</v>
      </c>
      <c r="AQ271" s="158">
        <f t="shared" si="271"/>
        <v>0</v>
      </c>
      <c r="AR271" s="875"/>
      <c r="AS271" s="473"/>
      <c r="AT271" s="106"/>
      <c r="AU271" s="353"/>
      <c r="AV271" s="108"/>
      <c r="AW271" s="108"/>
      <c r="AX271" s="108"/>
      <c r="AY271" s="108"/>
      <c r="AZ271" s="108"/>
      <c r="BA271" s="165"/>
      <c r="BB271" s="531"/>
    </row>
    <row r="272" spans="1:54" s="495" customFormat="1" outlineLevel="1" x14ac:dyDescent="0.25">
      <c r="A272" s="787"/>
      <c r="B272" s="623" t="s">
        <v>323</v>
      </c>
      <c r="C272" s="310" t="s">
        <v>324</v>
      </c>
      <c r="D272" s="604">
        <v>77952</v>
      </c>
      <c r="E272" s="604">
        <v>78450</v>
      </c>
      <c r="F272" s="604">
        <v>77441</v>
      </c>
      <c r="G272" s="604"/>
      <c r="H272" s="618">
        <f t="shared" si="259"/>
        <v>77947.666666666672</v>
      </c>
      <c r="I272" s="127">
        <f t="shared" si="260"/>
        <v>935372</v>
      </c>
      <c r="J272" s="127">
        <f t="shared" si="261"/>
        <v>982140.6</v>
      </c>
      <c r="K272" s="127">
        <f t="shared" si="261"/>
        <v>1031247.63</v>
      </c>
      <c r="L272" s="127">
        <f t="shared" si="261"/>
        <v>1082810.0115</v>
      </c>
      <c r="M272" s="127">
        <f t="shared" si="261"/>
        <v>1136950.512075</v>
      </c>
      <c r="N272" s="245" t="str">
        <f t="shared" si="234"/>
        <v>POS Issuer Transactions - Cardholder transactions</v>
      </c>
      <c r="O272" s="247">
        <v>0.03</v>
      </c>
      <c r="P272" s="757">
        <f t="shared" si="262"/>
        <v>2338.4299999999998</v>
      </c>
      <c r="Q272" s="129">
        <f t="shared" si="263"/>
        <v>28061.16</v>
      </c>
      <c r="R272" s="129">
        <f t="shared" si="264"/>
        <v>29464.217999999997</v>
      </c>
      <c r="S272" s="129">
        <f t="shared" si="265"/>
        <v>30937.428899999999</v>
      </c>
      <c r="T272" s="129">
        <f t="shared" si="266"/>
        <v>32484.300345</v>
      </c>
      <c r="U272" s="129">
        <f t="shared" si="267"/>
        <v>34108.51536225</v>
      </c>
      <c r="V272" s="209">
        <f t="shared" si="268"/>
        <v>155055.62260725</v>
      </c>
      <c r="W272" s="527"/>
      <c r="X272" s="713" t="s">
        <v>301</v>
      </c>
      <c r="Y272" s="325"/>
      <c r="Z272" s="774"/>
      <c r="AA272" s="103"/>
      <c r="AB272" s="103"/>
      <c r="AC272" s="103"/>
      <c r="AD272" s="103"/>
      <c r="AE272" s="103"/>
      <c r="AF272" s="123"/>
      <c r="AG272" s="743"/>
      <c r="AH272" s="362"/>
      <c r="AI272" s="880" t="s">
        <v>301</v>
      </c>
      <c r="AJ272" s="886"/>
      <c r="AK272" s="896">
        <f t="shared" si="270"/>
        <v>0</v>
      </c>
      <c r="AL272" s="105" cm="1">
        <f t="array" ref="AL272">_xlfn.IFS($AJ272="NO CHARGE",0,$AJ272=0,0,$AJ272&gt;0,PRODUCT(I272,$AJ272))</f>
        <v>0</v>
      </c>
      <c r="AM272" s="105" cm="1">
        <f t="array" ref="AM272">_xlfn.IFS($AJ272="NO CHARGE",0,$AJ272=0,0,$AJ272&gt;0,PRODUCT(J272,$AJ272))</f>
        <v>0</v>
      </c>
      <c r="AN272" s="105" cm="1">
        <f t="array" ref="AN272">_xlfn.IFS($AJ272="NO CHARGE",0,$AJ272=0,0,$AJ272&gt;0,PRODUCT(K272,$AJ272))</f>
        <v>0</v>
      </c>
      <c r="AO272" s="105" cm="1">
        <f t="array" ref="AO272">_xlfn.IFS($AJ272="NO CHARGE",0,$AJ272=0,0,$AJ272&gt;0,PRODUCT(L272,$AJ272))</f>
        <v>0</v>
      </c>
      <c r="AP272" s="105" cm="1">
        <f t="array" ref="AP272">_xlfn.IFS($AJ272="NO CHARGE",0,$AJ272=0,0,$AJ272&gt;0,PRODUCT(M272,$AJ272))</f>
        <v>0</v>
      </c>
      <c r="AQ272" s="158">
        <f t="shared" si="271"/>
        <v>0</v>
      </c>
      <c r="AR272" s="875"/>
      <c r="AS272" s="473"/>
      <c r="AT272" s="106"/>
      <c r="AU272" s="353"/>
      <c r="AV272" s="108"/>
      <c r="AW272" s="108"/>
      <c r="AX272" s="108"/>
      <c r="AY272" s="108"/>
      <c r="AZ272" s="108"/>
      <c r="BA272" s="165"/>
      <c r="BB272" s="531"/>
    </row>
    <row r="273" spans="1:54" s="495" customFormat="1" outlineLevel="1" x14ac:dyDescent="0.25">
      <c r="A273" s="787"/>
      <c r="B273" s="623" t="s">
        <v>323</v>
      </c>
      <c r="C273" s="310" t="s">
        <v>325</v>
      </c>
      <c r="D273" s="604">
        <v>534</v>
      </c>
      <c r="E273" s="604">
        <v>518</v>
      </c>
      <c r="F273" s="604">
        <v>571</v>
      </c>
      <c r="G273" s="604"/>
      <c r="H273" s="618">
        <f t="shared" si="259"/>
        <v>541</v>
      </c>
      <c r="I273" s="127">
        <f t="shared" si="260"/>
        <v>6492</v>
      </c>
      <c r="J273" s="127">
        <f t="shared" si="261"/>
        <v>6816.6</v>
      </c>
      <c r="K273" s="127">
        <f t="shared" si="261"/>
        <v>7157.43</v>
      </c>
      <c r="L273" s="127">
        <f t="shared" si="261"/>
        <v>7515.3015000000005</v>
      </c>
      <c r="M273" s="127">
        <f t="shared" si="261"/>
        <v>7891.0665750000007</v>
      </c>
      <c r="N273" s="245" t="str">
        <f t="shared" si="234"/>
        <v>Cash-back Transaction Fee</v>
      </c>
      <c r="O273" s="247">
        <v>0</v>
      </c>
      <c r="P273" s="757">
        <f t="shared" si="262"/>
        <v>0</v>
      </c>
      <c r="Q273" s="129">
        <f t="shared" si="263"/>
        <v>0</v>
      </c>
      <c r="R273" s="129">
        <f t="shared" si="264"/>
        <v>0</v>
      </c>
      <c r="S273" s="129">
        <f t="shared" si="265"/>
        <v>0</v>
      </c>
      <c r="T273" s="129">
        <f t="shared" si="266"/>
        <v>0</v>
      </c>
      <c r="U273" s="129">
        <f t="shared" si="267"/>
        <v>0</v>
      </c>
      <c r="V273" s="209">
        <f t="shared" si="268"/>
        <v>0</v>
      </c>
      <c r="W273" s="527"/>
      <c r="X273" s="713" t="s">
        <v>301</v>
      </c>
      <c r="Y273" s="325"/>
      <c r="Z273" s="774"/>
      <c r="AA273" s="103"/>
      <c r="AB273" s="103"/>
      <c r="AC273" s="103"/>
      <c r="AD273" s="103"/>
      <c r="AE273" s="103"/>
      <c r="AF273" s="123"/>
      <c r="AG273" s="743"/>
      <c r="AH273" s="362"/>
      <c r="AI273" s="880" t="s">
        <v>301</v>
      </c>
      <c r="AJ273" s="886"/>
      <c r="AK273" s="896">
        <f t="shared" si="270"/>
        <v>0</v>
      </c>
      <c r="AL273" s="105" cm="1">
        <f t="array" ref="AL273">_xlfn.IFS($AJ273="NO CHARGE",0,$AJ273=0,0,$AJ273&gt;0,PRODUCT(I273,$AJ273))</f>
        <v>0</v>
      </c>
      <c r="AM273" s="105" cm="1">
        <f t="array" ref="AM273">_xlfn.IFS($AJ273="NO CHARGE",0,$AJ273=0,0,$AJ273&gt;0,PRODUCT(J273,$AJ273))</f>
        <v>0</v>
      </c>
      <c r="AN273" s="105" cm="1">
        <f t="array" ref="AN273">_xlfn.IFS($AJ273="NO CHARGE",0,$AJ273=0,0,$AJ273&gt;0,PRODUCT(K273,$AJ273))</f>
        <v>0</v>
      </c>
      <c r="AO273" s="105" cm="1">
        <f t="array" ref="AO273">_xlfn.IFS($AJ273="NO CHARGE",0,$AJ273=0,0,$AJ273&gt;0,PRODUCT(L273,$AJ273))</f>
        <v>0</v>
      </c>
      <c r="AP273" s="105" cm="1">
        <f t="array" ref="AP273">_xlfn.IFS($AJ273="NO CHARGE",0,$AJ273=0,0,$AJ273&gt;0,PRODUCT(M273,$AJ273))</f>
        <v>0</v>
      </c>
      <c r="AQ273" s="158">
        <f t="shared" si="271"/>
        <v>0</v>
      </c>
      <c r="AR273" s="875"/>
      <c r="AS273" s="473"/>
      <c r="AT273" s="106"/>
      <c r="AU273" s="353"/>
      <c r="AV273" s="108"/>
      <c r="AW273" s="108"/>
      <c r="AX273" s="108"/>
      <c r="AY273" s="108"/>
      <c r="AZ273" s="108"/>
      <c r="BA273" s="165"/>
      <c r="BB273" s="531"/>
    </row>
    <row r="274" spans="1:54" s="495" customFormat="1" outlineLevel="1" x14ac:dyDescent="0.25">
      <c r="A274" s="787"/>
      <c r="B274" s="623" t="s">
        <v>323</v>
      </c>
      <c r="C274" s="310" t="s">
        <v>326</v>
      </c>
      <c r="D274" s="604">
        <v>77952</v>
      </c>
      <c r="E274" s="604">
        <v>78450</v>
      </c>
      <c r="F274" s="604">
        <v>77441</v>
      </c>
      <c r="G274" s="604"/>
      <c r="H274" s="618">
        <f t="shared" si="259"/>
        <v>77947.666666666672</v>
      </c>
      <c r="I274" s="127">
        <f t="shared" si="260"/>
        <v>935372</v>
      </c>
      <c r="J274" s="127">
        <f t="shared" si="261"/>
        <v>982140.6</v>
      </c>
      <c r="K274" s="127">
        <f t="shared" si="261"/>
        <v>1031247.63</v>
      </c>
      <c r="L274" s="127">
        <f t="shared" si="261"/>
        <v>1082810.0115</v>
      </c>
      <c r="M274" s="127">
        <f t="shared" si="261"/>
        <v>1136950.512075</v>
      </c>
      <c r="N274" s="245" t="str">
        <f t="shared" si="234"/>
        <v>Infrastructure Assessment Fee - POS</v>
      </c>
      <c r="O274" s="247">
        <v>7.4999999999999997E-3</v>
      </c>
      <c r="P274" s="757">
        <f t="shared" si="262"/>
        <v>584.60749999999996</v>
      </c>
      <c r="Q274" s="129">
        <f t="shared" si="263"/>
        <v>7015.29</v>
      </c>
      <c r="R274" s="129">
        <f t="shared" si="264"/>
        <v>7366.0544999999993</v>
      </c>
      <c r="S274" s="129">
        <f t="shared" si="265"/>
        <v>7734.3572249999997</v>
      </c>
      <c r="T274" s="129">
        <f t="shared" si="266"/>
        <v>8121.0750862499999</v>
      </c>
      <c r="U274" s="129">
        <f t="shared" si="267"/>
        <v>8527.1288405625</v>
      </c>
      <c r="V274" s="209">
        <f t="shared" si="268"/>
        <v>38763.9056518125</v>
      </c>
      <c r="W274" s="527"/>
      <c r="X274" s="713" t="s">
        <v>301</v>
      </c>
      <c r="Y274" s="325"/>
      <c r="Z274" s="774"/>
      <c r="AA274" s="103"/>
      <c r="AB274" s="103"/>
      <c r="AC274" s="103"/>
      <c r="AD274" s="103"/>
      <c r="AE274" s="103"/>
      <c r="AF274" s="123"/>
      <c r="AG274" s="743"/>
      <c r="AH274" s="362"/>
      <c r="AI274" s="880" t="s">
        <v>301</v>
      </c>
      <c r="AJ274" s="886"/>
      <c r="AK274" s="896">
        <f t="shared" si="270"/>
        <v>0</v>
      </c>
      <c r="AL274" s="105" cm="1">
        <f t="array" ref="AL274">_xlfn.IFS($AJ274="NO CHARGE",0,$AJ274=0,0,$AJ274&gt;0,PRODUCT(I274,$AJ274))</f>
        <v>0</v>
      </c>
      <c r="AM274" s="105" cm="1">
        <f t="array" ref="AM274">_xlfn.IFS($AJ274="NO CHARGE",0,$AJ274=0,0,$AJ274&gt;0,PRODUCT(J274,$AJ274))</f>
        <v>0</v>
      </c>
      <c r="AN274" s="105" cm="1">
        <f t="array" ref="AN274">_xlfn.IFS($AJ274="NO CHARGE",0,$AJ274=0,0,$AJ274&gt;0,PRODUCT(K274,$AJ274))</f>
        <v>0</v>
      </c>
      <c r="AO274" s="105" cm="1">
        <f t="array" ref="AO274">_xlfn.IFS($AJ274="NO CHARGE",0,$AJ274=0,0,$AJ274&gt;0,PRODUCT(L274,$AJ274))</f>
        <v>0</v>
      </c>
      <c r="AP274" s="105" cm="1">
        <f t="array" ref="AP274">_xlfn.IFS($AJ274="NO CHARGE",0,$AJ274=0,0,$AJ274&gt;0,PRODUCT(M274,$AJ274))</f>
        <v>0</v>
      </c>
      <c r="AQ274" s="158">
        <f t="shared" si="271"/>
        <v>0</v>
      </c>
      <c r="AR274" s="875"/>
      <c r="AS274" s="473"/>
      <c r="AT274" s="106"/>
      <c r="AU274" s="353"/>
      <c r="AV274" s="108"/>
      <c r="AW274" s="108"/>
      <c r="AX274" s="108"/>
      <c r="AY274" s="108"/>
      <c r="AZ274" s="108"/>
      <c r="BA274" s="165"/>
      <c r="BB274" s="531"/>
    </row>
    <row r="275" spans="1:54" s="495" customFormat="1" outlineLevel="1" x14ac:dyDescent="0.25">
      <c r="A275" s="787"/>
      <c r="B275" s="623" t="s">
        <v>327</v>
      </c>
      <c r="C275" s="492" t="s">
        <v>328</v>
      </c>
      <c r="D275" s="604"/>
      <c r="E275" s="604"/>
      <c r="F275" s="604"/>
      <c r="G275" s="604"/>
      <c r="H275" s="618"/>
      <c r="I275" s="127"/>
      <c r="J275" s="127"/>
      <c r="K275" s="127"/>
      <c r="L275" s="127"/>
      <c r="M275" s="127"/>
      <c r="N275" s="245" t="str">
        <f t="shared" si="234"/>
        <v>NYCE Cardholder Side Switch Fee</v>
      </c>
      <c r="O275" s="247"/>
      <c r="P275" s="757">
        <f t="shared" si="262"/>
        <v>0</v>
      </c>
      <c r="Q275" s="129">
        <f t="shared" si="263"/>
        <v>0</v>
      </c>
      <c r="R275" s="129">
        <f t="shared" si="264"/>
        <v>0</v>
      </c>
      <c r="S275" s="129">
        <f t="shared" si="265"/>
        <v>0</v>
      </c>
      <c r="T275" s="129">
        <f t="shared" si="266"/>
        <v>0</v>
      </c>
      <c r="U275" s="129">
        <f t="shared" si="267"/>
        <v>0</v>
      </c>
      <c r="V275" s="209">
        <f t="shared" si="268"/>
        <v>0</v>
      </c>
      <c r="W275" s="528"/>
      <c r="X275" s="713" t="s">
        <v>301</v>
      </c>
      <c r="Y275" s="325"/>
      <c r="Z275" s="774"/>
      <c r="AA275" s="103">
        <f>IF(Y275&gt;0,PRODUCT(I275,$Y275),0)</f>
        <v>0</v>
      </c>
      <c r="AB275" s="103">
        <f>IF(AA275&gt;0,PRODUCT(J275,$Y275),0)</f>
        <v>0</v>
      </c>
      <c r="AC275" s="103">
        <f>IF(AB275&gt;0,PRODUCT(K275,$Y275),0)</f>
        <v>0</v>
      </c>
      <c r="AD275" s="103">
        <f>IF(AC275&gt;0,PRODUCT(L275,$Y275),0)</f>
        <v>0</v>
      </c>
      <c r="AE275" s="103">
        <f>IF(AD275&gt;0,PRODUCT(M275,$Y275),0)</f>
        <v>0</v>
      </c>
      <c r="AF275" s="123">
        <f>SUM(AA275:AE275)</f>
        <v>0</v>
      </c>
      <c r="AG275" s="743"/>
      <c r="AH275" s="370"/>
      <c r="AI275" s="880" t="s">
        <v>301</v>
      </c>
      <c r="AJ275" s="886"/>
      <c r="AK275" s="896">
        <f t="shared" si="270"/>
        <v>0</v>
      </c>
      <c r="AL275" s="105" cm="1">
        <f t="array" ref="AL275">_xlfn.IFS($AJ275="NO CHARGE",0,$AJ275=0,0,$AJ275&gt;0,PRODUCT(I275,$AJ275))</f>
        <v>0</v>
      </c>
      <c r="AM275" s="105" cm="1">
        <f t="array" ref="AM275">_xlfn.IFS($AJ275="NO CHARGE",0,$AJ275=0,0,$AJ275&gt;0,PRODUCT(J275,$AJ275))</f>
        <v>0</v>
      </c>
      <c r="AN275" s="105" cm="1">
        <f t="array" ref="AN275">_xlfn.IFS($AJ275="NO CHARGE",0,$AJ275=0,0,$AJ275&gt;0,PRODUCT(K275,$AJ275))</f>
        <v>0</v>
      </c>
      <c r="AO275" s="105" cm="1">
        <f t="array" ref="AO275">_xlfn.IFS($AJ275="NO CHARGE",0,$AJ275=0,0,$AJ275&gt;0,PRODUCT(L275,$AJ275))</f>
        <v>0</v>
      </c>
      <c r="AP275" s="105" cm="1">
        <f t="array" ref="AP275">_xlfn.IFS($AJ275="NO CHARGE",0,$AJ275=0,0,$AJ275&gt;0,PRODUCT(M275,$AJ275))</f>
        <v>0</v>
      </c>
      <c r="AQ275" s="158">
        <f t="shared" si="271"/>
        <v>0</v>
      </c>
      <c r="AR275" s="875"/>
      <c r="AS275" s="473"/>
      <c r="AT275" s="106"/>
      <c r="AU275" s="353"/>
      <c r="AV275" s="108">
        <f>IF(AU275&gt;0,PRODUCT(I275,$AU275),0)</f>
        <v>0</v>
      </c>
      <c r="AW275" s="108">
        <f>IF(AV275&gt;0,PRODUCT(J275,$AU275),0)</f>
        <v>0</v>
      </c>
      <c r="AX275" s="108">
        <f>IF(AW275&gt;0,PRODUCT(K275,$AU275),0)</f>
        <v>0</v>
      </c>
      <c r="AY275" s="108">
        <f>IF(AX275&gt;0,PRODUCT(L275,$AU275),0)</f>
        <v>0</v>
      </c>
      <c r="AZ275" s="108">
        <f>IF(AY275&gt;0,PRODUCT(M275,$AU275),0)</f>
        <v>0</v>
      </c>
      <c r="BA275" s="165">
        <f>SUM(AV275:AZ275)</f>
        <v>0</v>
      </c>
      <c r="BB275" s="531"/>
    </row>
    <row r="276" spans="1:54" s="495" customFormat="1" outlineLevel="1" x14ac:dyDescent="0.25">
      <c r="A276" s="787"/>
      <c r="B276" s="623" t="s">
        <v>327</v>
      </c>
      <c r="C276" s="492" t="s">
        <v>329</v>
      </c>
      <c r="D276" s="604">
        <v>283735</v>
      </c>
      <c r="E276" s="604">
        <v>260212</v>
      </c>
      <c r="F276" s="604">
        <v>281639</v>
      </c>
      <c r="G276" s="604"/>
      <c r="H276" s="618">
        <f>IFERROR(AVERAGE(D276:F276),0)</f>
        <v>275195.33333333331</v>
      </c>
      <c r="I276" s="127">
        <f>H276*12</f>
        <v>3302344</v>
      </c>
      <c r="J276" s="127">
        <f t="shared" ref="J276:M279" si="273">IF(I276&gt;12,(((I276)*$H$5)+I276),(I276*1))</f>
        <v>3467461.2</v>
      </c>
      <c r="K276" s="127">
        <f t="shared" si="273"/>
        <v>3640834.2600000002</v>
      </c>
      <c r="L276" s="127">
        <f t="shared" si="273"/>
        <v>3822875.9730000002</v>
      </c>
      <c r="M276" s="127">
        <f t="shared" si="273"/>
        <v>4014019.7716500005</v>
      </c>
      <c r="N276" s="245" t="str">
        <f t="shared" si="234"/>
        <v>Pinless Debit Payment - Basis Points</v>
      </c>
      <c r="O276" s="247">
        <v>6.9999999999999999E-4</v>
      </c>
      <c r="P276" s="757">
        <f t="shared" si="262"/>
        <v>192.63673333333335</v>
      </c>
      <c r="Q276" s="129">
        <f t="shared" si="263"/>
        <v>2311.6408000000001</v>
      </c>
      <c r="R276" s="129">
        <f t="shared" si="264"/>
        <v>2427.2228399999999</v>
      </c>
      <c r="S276" s="129">
        <f t="shared" si="265"/>
        <v>2548.5839820000001</v>
      </c>
      <c r="T276" s="129">
        <f t="shared" si="266"/>
        <v>2676.0131811000001</v>
      </c>
      <c r="U276" s="129">
        <f t="shared" si="267"/>
        <v>2809.8138401550004</v>
      </c>
      <c r="V276" s="209">
        <f t="shared" si="268"/>
        <v>12773.274643254999</v>
      </c>
      <c r="W276" s="528"/>
      <c r="X276" s="713" t="s">
        <v>301</v>
      </c>
      <c r="Y276" s="325"/>
      <c r="Z276" s="774"/>
      <c r="AA276" s="103"/>
      <c r="AB276" s="103"/>
      <c r="AC276" s="103"/>
      <c r="AD276" s="103"/>
      <c r="AE276" s="103"/>
      <c r="AF276" s="123"/>
      <c r="AG276" s="743"/>
      <c r="AH276" s="370"/>
      <c r="AI276" s="880" t="s">
        <v>301</v>
      </c>
      <c r="AJ276" s="886"/>
      <c r="AK276" s="896">
        <f t="shared" si="270"/>
        <v>0</v>
      </c>
      <c r="AL276" s="105" cm="1">
        <f t="array" ref="AL276">_xlfn.IFS($AJ276="NO CHARGE",0,$AJ276=0,0,$AJ276&gt;0,PRODUCT(I276,$AJ276))</f>
        <v>0</v>
      </c>
      <c r="AM276" s="105" cm="1">
        <f t="array" ref="AM276">_xlfn.IFS($AJ276="NO CHARGE",0,$AJ276=0,0,$AJ276&gt;0,PRODUCT(J276,$AJ276))</f>
        <v>0</v>
      </c>
      <c r="AN276" s="105" cm="1">
        <f t="array" ref="AN276">_xlfn.IFS($AJ276="NO CHARGE",0,$AJ276=0,0,$AJ276&gt;0,PRODUCT(K276,$AJ276))</f>
        <v>0</v>
      </c>
      <c r="AO276" s="105" cm="1">
        <f t="array" ref="AO276">_xlfn.IFS($AJ276="NO CHARGE",0,$AJ276=0,0,$AJ276&gt;0,PRODUCT(L276,$AJ276))</f>
        <v>0</v>
      </c>
      <c r="AP276" s="105" cm="1">
        <f t="array" ref="AP276">_xlfn.IFS($AJ276="NO CHARGE",0,$AJ276=0,0,$AJ276&gt;0,PRODUCT(M276,$AJ276))</f>
        <v>0</v>
      </c>
      <c r="AQ276" s="158">
        <f t="shared" si="271"/>
        <v>0</v>
      </c>
      <c r="AR276" s="875"/>
      <c r="AS276" s="473"/>
      <c r="AT276" s="106"/>
      <c r="AU276" s="353"/>
      <c r="AV276" s="108"/>
      <c r="AW276" s="108"/>
      <c r="AX276" s="108"/>
      <c r="AY276" s="108"/>
      <c r="AZ276" s="108"/>
      <c r="BA276" s="165"/>
      <c r="BB276" s="531"/>
    </row>
    <row r="277" spans="1:54" s="495" customFormat="1" outlineLevel="1" x14ac:dyDescent="0.25">
      <c r="A277" s="787"/>
      <c r="B277" s="623" t="s">
        <v>327</v>
      </c>
      <c r="C277" s="492" t="s">
        <v>330</v>
      </c>
      <c r="D277" s="604">
        <v>3572</v>
      </c>
      <c r="E277" s="604">
        <v>3759</v>
      </c>
      <c r="F277" s="604">
        <v>3619</v>
      </c>
      <c r="G277" s="604"/>
      <c r="H277" s="618">
        <f>IFERROR(AVERAGE(D277:F277),0)</f>
        <v>3650</v>
      </c>
      <c r="I277" s="127">
        <f>H277*12</f>
        <v>43800</v>
      </c>
      <c r="J277" s="127">
        <f t="shared" si="273"/>
        <v>45990</v>
      </c>
      <c r="K277" s="127">
        <f t="shared" si="273"/>
        <v>48289.5</v>
      </c>
      <c r="L277" s="127">
        <f t="shared" si="273"/>
        <v>50703.974999999999</v>
      </c>
      <c r="M277" s="127">
        <f t="shared" si="273"/>
        <v>53239.173750000002</v>
      </c>
      <c r="N277" s="245" t="str">
        <f t="shared" si="234"/>
        <v>Pinless Debit Payment - Flat Rate</v>
      </c>
      <c r="O277" s="247">
        <v>0.05</v>
      </c>
      <c r="P277" s="757">
        <f t="shared" si="262"/>
        <v>182.5</v>
      </c>
      <c r="Q277" s="129">
        <f t="shared" si="263"/>
        <v>2190</v>
      </c>
      <c r="R277" s="129">
        <f t="shared" si="264"/>
        <v>2299.5</v>
      </c>
      <c r="S277" s="129">
        <f t="shared" si="265"/>
        <v>2414.4749999999999</v>
      </c>
      <c r="T277" s="129">
        <f t="shared" si="266"/>
        <v>2535.19875</v>
      </c>
      <c r="U277" s="129">
        <f t="shared" si="267"/>
        <v>2661.9586875000005</v>
      </c>
      <c r="V277" s="209">
        <f t="shared" si="268"/>
        <v>12101.1324375</v>
      </c>
      <c r="W277" s="528"/>
      <c r="X277" s="713" t="s">
        <v>301</v>
      </c>
      <c r="Y277" s="325"/>
      <c r="Z277" s="774"/>
      <c r="AA277" s="103"/>
      <c r="AB277" s="103"/>
      <c r="AC277" s="103"/>
      <c r="AD277" s="103"/>
      <c r="AE277" s="103"/>
      <c r="AF277" s="123"/>
      <c r="AG277" s="743"/>
      <c r="AH277" s="370"/>
      <c r="AI277" s="880" t="s">
        <v>301</v>
      </c>
      <c r="AJ277" s="886"/>
      <c r="AK277" s="896">
        <f t="shared" si="270"/>
        <v>0</v>
      </c>
      <c r="AL277" s="105" cm="1">
        <f t="array" ref="AL277">_xlfn.IFS($AJ277="NO CHARGE",0,$AJ277=0,0,$AJ277&gt;0,PRODUCT(I277,$AJ277))</f>
        <v>0</v>
      </c>
      <c r="AM277" s="105" cm="1">
        <f t="array" ref="AM277">_xlfn.IFS($AJ277="NO CHARGE",0,$AJ277=0,0,$AJ277&gt;0,PRODUCT(J277,$AJ277))</f>
        <v>0</v>
      </c>
      <c r="AN277" s="105" cm="1">
        <f t="array" ref="AN277">_xlfn.IFS($AJ277="NO CHARGE",0,$AJ277=0,0,$AJ277&gt;0,PRODUCT(K277,$AJ277))</f>
        <v>0</v>
      </c>
      <c r="AO277" s="105" cm="1">
        <f t="array" ref="AO277">_xlfn.IFS($AJ277="NO CHARGE",0,$AJ277=0,0,$AJ277&gt;0,PRODUCT(L277,$AJ277))</f>
        <v>0</v>
      </c>
      <c r="AP277" s="105" cm="1">
        <f t="array" ref="AP277">_xlfn.IFS($AJ277="NO CHARGE",0,$AJ277=0,0,$AJ277&gt;0,PRODUCT(M277,$AJ277))</f>
        <v>0</v>
      </c>
      <c r="AQ277" s="158">
        <f t="shared" si="271"/>
        <v>0</v>
      </c>
      <c r="AR277" s="875"/>
      <c r="AS277" s="473"/>
      <c r="AT277" s="106"/>
      <c r="AU277" s="353"/>
      <c r="AV277" s="108"/>
      <c r="AW277" s="108"/>
      <c r="AX277" s="108"/>
      <c r="AY277" s="108"/>
      <c r="AZ277" s="108"/>
      <c r="BA277" s="165"/>
      <c r="BB277" s="531"/>
    </row>
    <row r="278" spans="1:54" s="495" customFormat="1" outlineLevel="1" x14ac:dyDescent="0.25">
      <c r="A278" s="787"/>
      <c r="B278" s="623" t="s">
        <v>327</v>
      </c>
      <c r="C278" s="492" t="s">
        <v>331</v>
      </c>
      <c r="D278" s="604">
        <v>1049</v>
      </c>
      <c r="E278" s="604">
        <v>1155</v>
      </c>
      <c r="F278" s="604">
        <v>985</v>
      </c>
      <c r="G278" s="604"/>
      <c r="H278" s="618">
        <f>IFERROR(AVERAGE(D278:F278),0)</f>
        <v>1063</v>
      </c>
      <c r="I278" s="127">
        <f>H278*12</f>
        <v>12756</v>
      </c>
      <c r="J278" s="127">
        <f t="shared" si="273"/>
        <v>13393.8</v>
      </c>
      <c r="K278" s="127">
        <f t="shared" si="273"/>
        <v>14063.49</v>
      </c>
      <c r="L278" s="127">
        <f t="shared" si="273"/>
        <v>14766.664499999999</v>
      </c>
      <c r="M278" s="127">
        <f t="shared" si="273"/>
        <v>15504.997724999999</v>
      </c>
      <c r="N278" s="245" t="str">
        <f t="shared" si="234"/>
        <v>Pinless Debit Payment (Denial or Reversal), Credit Payment</v>
      </c>
      <c r="O278" s="247">
        <v>0.05</v>
      </c>
      <c r="P278" s="757">
        <f t="shared" si="262"/>
        <v>53.150000000000006</v>
      </c>
      <c r="Q278" s="129">
        <f t="shared" si="263"/>
        <v>637.80000000000007</v>
      </c>
      <c r="R278" s="129">
        <f t="shared" si="264"/>
        <v>669.69</v>
      </c>
      <c r="S278" s="129">
        <f t="shared" si="265"/>
        <v>703.17450000000008</v>
      </c>
      <c r="T278" s="129">
        <f t="shared" si="266"/>
        <v>738.33322499999997</v>
      </c>
      <c r="U278" s="129">
        <f t="shared" si="267"/>
        <v>775.24988625000003</v>
      </c>
      <c r="V278" s="209">
        <f t="shared" si="268"/>
        <v>3524.2476112500003</v>
      </c>
      <c r="W278" s="528"/>
      <c r="X278" s="713" t="s">
        <v>301</v>
      </c>
      <c r="Y278" s="325"/>
      <c r="Z278" s="774"/>
      <c r="AA278" s="103"/>
      <c r="AB278" s="103"/>
      <c r="AC278" s="103"/>
      <c r="AD278" s="103"/>
      <c r="AE278" s="103"/>
      <c r="AF278" s="123"/>
      <c r="AG278" s="743"/>
      <c r="AH278" s="370"/>
      <c r="AI278" s="880" t="s">
        <v>301</v>
      </c>
      <c r="AJ278" s="886"/>
      <c r="AK278" s="896">
        <f t="shared" si="270"/>
        <v>0</v>
      </c>
      <c r="AL278" s="105" cm="1">
        <f t="array" ref="AL278">_xlfn.IFS($AJ278="NO CHARGE",0,$AJ278=0,0,$AJ278&gt;0,PRODUCT(I278,$AJ278))</f>
        <v>0</v>
      </c>
      <c r="AM278" s="105" cm="1">
        <f t="array" ref="AM278">_xlfn.IFS($AJ278="NO CHARGE",0,$AJ278=0,0,$AJ278&gt;0,PRODUCT(J278,$AJ278))</f>
        <v>0</v>
      </c>
      <c r="AN278" s="105" cm="1">
        <f t="array" ref="AN278">_xlfn.IFS($AJ278="NO CHARGE",0,$AJ278=0,0,$AJ278&gt;0,PRODUCT(K278,$AJ278))</f>
        <v>0</v>
      </c>
      <c r="AO278" s="105" cm="1">
        <f t="array" ref="AO278">_xlfn.IFS($AJ278="NO CHARGE",0,$AJ278=0,0,$AJ278&gt;0,PRODUCT(L278,$AJ278))</f>
        <v>0</v>
      </c>
      <c r="AP278" s="105" cm="1">
        <f t="array" ref="AP278">_xlfn.IFS($AJ278="NO CHARGE",0,$AJ278=0,0,$AJ278&gt;0,PRODUCT(M278,$AJ278))</f>
        <v>0</v>
      </c>
      <c r="AQ278" s="158">
        <f t="shared" si="271"/>
        <v>0</v>
      </c>
      <c r="AR278" s="875"/>
      <c r="AS278" s="473"/>
      <c r="AT278" s="106"/>
      <c r="AU278" s="353"/>
      <c r="AV278" s="108"/>
      <c r="AW278" s="108"/>
      <c r="AX278" s="108"/>
      <c r="AY278" s="108"/>
      <c r="AZ278" s="108"/>
      <c r="BA278" s="165"/>
      <c r="BB278" s="531"/>
    </row>
    <row r="279" spans="1:54" s="495" customFormat="1" outlineLevel="1" x14ac:dyDescent="0.25">
      <c r="A279" s="787"/>
      <c r="B279" s="623" t="s">
        <v>327</v>
      </c>
      <c r="C279" s="492" t="s">
        <v>332</v>
      </c>
      <c r="D279" s="604">
        <v>4624</v>
      </c>
      <c r="E279" s="604">
        <v>4919</v>
      </c>
      <c r="F279" s="604">
        <v>4608</v>
      </c>
      <c r="G279" s="604"/>
      <c r="H279" s="618">
        <f>IFERROR(AVERAGE(D279:F279),0)</f>
        <v>4717</v>
      </c>
      <c r="I279" s="127">
        <f>H279*12</f>
        <v>56604</v>
      </c>
      <c r="J279" s="127">
        <f t="shared" si="273"/>
        <v>59434.2</v>
      </c>
      <c r="K279" s="127">
        <f t="shared" si="273"/>
        <v>62405.909999999996</v>
      </c>
      <c r="L279" s="127">
        <f t="shared" si="273"/>
        <v>65526.205499999996</v>
      </c>
      <c r="M279" s="127">
        <f t="shared" si="273"/>
        <v>68802.515774999993</v>
      </c>
      <c r="N279" s="245" t="str">
        <f t="shared" si="234"/>
        <v>Infrastructure Assessment Fee - On-Demand</v>
      </c>
      <c r="O279" s="247">
        <v>7.4999999999999997E-3</v>
      </c>
      <c r="P279" s="757">
        <f t="shared" si="262"/>
        <v>35.377499999999998</v>
      </c>
      <c r="Q279" s="129">
        <f t="shared" si="263"/>
        <v>424.53</v>
      </c>
      <c r="R279" s="129">
        <f t="shared" si="264"/>
        <v>445.75649999999996</v>
      </c>
      <c r="S279" s="129">
        <f t="shared" si="265"/>
        <v>468.04432499999996</v>
      </c>
      <c r="T279" s="129">
        <f t="shared" si="266"/>
        <v>491.44654124999994</v>
      </c>
      <c r="U279" s="129">
        <f t="shared" si="267"/>
        <v>516.01886831249988</v>
      </c>
      <c r="V279" s="209">
        <f t="shared" si="268"/>
        <v>2345.7962345624996</v>
      </c>
      <c r="W279" s="528"/>
      <c r="X279" s="713" t="s">
        <v>301</v>
      </c>
      <c r="Y279" s="325"/>
      <c r="Z279" s="774"/>
      <c r="AA279" s="103"/>
      <c r="AB279" s="103"/>
      <c r="AC279" s="103"/>
      <c r="AD279" s="103"/>
      <c r="AE279" s="103"/>
      <c r="AF279" s="123"/>
      <c r="AG279" s="743"/>
      <c r="AH279" s="370"/>
      <c r="AI279" s="880" t="s">
        <v>301</v>
      </c>
      <c r="AJ279" s="886"/>
      <c r="AK279" s="896">
        <f t="shared" si="270"/>
        <v>0</v>
      </c>
      <c r="AL279" s="105" cm="1">
        <f t="array" ref="AL279">_xlfn.IFS($AJ279="NO CHARGE",0,$AJ279=0,0,$AJ279&gt;0,PRODUCT(I279,$AJ279))</f>
        <v>0</v>
      </c>
      <c r="AM279" s="105" cm="1">
        <f t="array" ref="AM279">_xlfn.IFS($AJ279="NO CHARGE",0,$AJ279=0,0,$AJ279&gt;0,PRODUCT(J279,$AJ279))</f>
        <v>0</v>
      </c>
      <c r="AN279" s="105" cm="1">
        <f t="array" ref="AN279">_xlfn.IFS($AJ279="NO CHARGE",0,$AJ279=0,0,$AJ279&gt;0,PRODUCT(K279,$AJ279))</f>
        <v>0</v>
      </c>
      <c r="AO279" s="105" cm="1">
        <f t="array" ref="AO279">_xlfn.IFS($AJ279="NO CHARGE",0,$AJ279=0,0,$AJ279&gt;0,PRODUCT(L279,$AJ279))</f>
        <v>0</v>
      </c>
      <c r="AP279" s="105" cm="1">
        <f t="array" ref="AP279">_xlfn.IFS($AJ279="NO CHARGE",0,$AJ279=0,0,$AJ279&gt;0,PRODUCT(M279,$AJ279))</f>
        <v>0</v>
      </c>
      <c r="AQ279" s="158">
        <f t="shared" si="271"/>
        <v>0</v>
      </c>
      <c r="AR279" s="875"/>
      <c r="AS279" s="473"/>
      <c r="AT279" s="106"/>
      <c r="AU279" s="353"/>
      <c r="AV279" s="108"/>
      <c r="AW279" s="108"/>
      <c r="AX279" s="108"/>
      <c r="AY279" s="108"/>
      <c r="AZ279" s="108"/>
      <c r="BA279" s="165"/>
      <c r="BB279" s="531"/>
    </row>
    <row r="280" spans="1:54" s="495" customFormat="1" outlineLevel="1" x14ac:dyDescent="0.25">
      <c r="A280" s="787"/>
      <c r="B280" s="623" t="s">
        <v>333</v>
      </c>
      <c r="C280" s="492" t="s">
        <v>334</v>
      </c>
      <c r="D280" s="604"/>
      <c r="E280" s="604"/>
      <c r="F280" s="604"/>
      <c r="G280" s="604"/>
      <c r="H280" s="618"/>
      <c r="I280" s="127"/>
      <c r="J280" s="127"/>
      <c r="K280" s="127"/>
      <c r="L280" s="127"/>
      <c r="M280" s="127"/>
      <c r="N280" s="245" t="str">
        <f t="shared" si="234"/>
        <v>Cardholder eCommerce Switch Fee</v>
      </c>
      <c r="O280" s="247"/>
      <c r="P280" s="757">
        <f t="shared" si="262"/>
        <v>0</v>
      </c>
      <c r="Q280" s="129"/>
      <c r="R280" s="129"/>
      <c r="S280" s="129"/>
      <c r="T280" s="129"/>
      <c r="U280" s="129"/>
      <c r="V280" s="209"/>
      <c r="W280" s="528"/>
      <c r="X280" s="713" t="s">
        <v>301</v>
      </c>
      <c r="Y280" s="325"/>
      <c r="Z280" s="774"/>
      <c r="AA280" s="103"/>
      <c r="AB280" s="103"/>
      <c r="AC280" s="103"/>
      <c r="AD280" s="103"/>
      <c r="AE280" s="103"/>
      <c r="AF280" s="123"/>
      <c r="AG280" s="743"/>
      <c r="AH280" s="370"/>
      <c r="AI280" s="880" t="s">
        <v>301</v>
      </c>
      <c r="AJ280" s="886"/>
      <c r="AK280" s="896">
        <f t="shared" si="270"/>
        <v>0</v>
      </c>
      <c r="AL280" s="105" cm="1">
        <f t="array" ref="AL280">_xlfn.IFS($AJ280="NO CHARGE",0,$AJ280=0,0,$AJ280&gt;0,PRODUCT(I280,$AJ280))</f>
        <v>0</v>
      </c>
      <c r="AM280" s="105" cm="1">
        <f t="array" ref="AM280">_xlfn.IFS($AJ280="NO CHARGE",0,$AJ280=0,0,$AJ280&gt;0,PRODUCT(J280,$AJ280))</f>
        <v>0</v>
      </c>
      <c r="AN280" s="105" cm="1">
        <f t="array" ref="AN280">_xlfn.IFS($AJ280="NO CHARGE",0,$AJ280=0,0,$AJ280&gt;0,PRODUCT(K280,$AJ280))</f>
        <v>0</v>
      </c>
      <c r="AO280" s="105" cm="1">
        <f t="array" ref="AO280">_xlfn.IFS($AJ280="NO CHARGE",0,$AJ280=0,0,$AJ280&gt;0,PRODUCT(L280,$AJ280))</f>
        <v>0</v>
      </c>
      <c r="AP280" s="105" cm="1">
        <f t="array" ref="AP280">_xlfn.IFS($AJ280="NO CHARGE",0,$AJ280=0,0,$AJ280&gt;0,PRODUCT(M280,$AJ280))</f>
        <v>0</v>
      </c>
      <c r="AQ280" s="158">
        <f t="shared" si="271"/>
        <v>0</v>
      </c>
      <c r="AR280" s="875"/>
      <c r="AS280" s="473"/>
      <c r="AT280" s="106"/>
      <c r="AU280" s="353"/>
      <c r="AV280" s="108"/>
      <c r="AW280" s="108"/>
      <c r="AX280" s="108"/>
      <c r="AY280" s="108"/>
      <c r="AZ280" s="108"/>
      <c r="BA280" s="165"/>
      <c r="BB280" s="531"/>
    </row>
    <row r="281" spans="1:54" s="495" customFormat="1" outlineLevel="1" x14ac:dyDescent="0.25">
      <c r="A281" s="787"/>
      <c r="B281" s="623" t="s">
        <v>333</v>
      </c>
      <c r="C281" s="492" t="s">
        <v>335</v>
      </c>
      <c r="D281" s="604">
        <v>999269</v>
      </c>
      <c r="E281" s="604">
        <v>1030738</v>
      </c>
      <c r="F281" s="604">
        <v>1049152</v>
      </c>
      <c r="G281" s="604"/>
      <c r="H281" s="618">
        <f t="shared" ref="H281:H290" si="274">IFERROR(AVERAGE(D281:F281),0)</f>
        <v>1026386.3333333334</v>
      </c>
      <c r="I281" s="127">
        <f t="shared" ref="I281:I294" si="275">H281*12</f>
        <v>12316636</v>
      </c>
      <c r="J281" s="127">
        <f t="shared" ref="J281:M294" si="276">IF(I281&gt;12,(((I281)*$H$5)+I281),(I281*1))</f>
        <v>12932467.800000001</v>
      </c>
      <c r="K281" s="127">
        <f t="shared" si="276"/>
        <v>13579091.190000001</v>
      </c>
      <c r="L281" s="127">
        <f t="shared" si="276"/>
        <v>14258045.749500001</v>
      </c>
      <c r="M281" s="127">
        <f t="shared" si="276"/>
        <v>14970948.036975</v>
      </c>
      <c r="N281" s="245" t="str">
        <f t="shared" si="234"/>
        <v>eCommerce Approved Purchase and Completions - Basis Points</v>
      </c>
      <c r="O281" s="688">
        <v>6.9999999999999999E-4</v>
      </c>
      <c r="P281" s="757">
        <f t="shared" si="262"/>
        <v>718.47043333333329</v>
      </c>
      <c r="Q281" s="129">
        <f t="shared" ref="Q281:Q294" si="277">IF(O281&gt;0,PRODUCT(I281,$O281),0)</f>
        <v>8621.645199999999</v>
      </c>
      <c r="R281" s="129">
        <f t="shared" ref="R281:R294" si="278">IF(Q281&gt;0,PRODUCT(J281,$O281),0)</f>
        <v>9052.7274600000001</v>
      </c>
      <c r="S281" s="129">
        <f t="shared" ref="S281:S294" si="279">IF(R281&gt;0,PRODUCT(K281,$O281),0)</f>
        <v>9505.3638330000013</v>
      </c>
      <c r="T281" s="129">
        <f t="shared" ref="T281:T294" si="280">IF(S281&gt;0,PRODUCT(L281,$O281),0)</f>
        <v>9980.6320246499999</v>
      </c>
      <c r="U281" s="129">
        <f t="shared" ref="U281:U294" si="281">IF(T281&gt;0,PRODUCT(M281,$O281),0)</f>
        <v>10479.6636258825</v>
      </c>
      <c r="V281" s="209">
        <f t="shared" ref="V281:V294" si="282">SUM(Q281:U281)</f>
        <v>47640.032143532502</v>
      </c>
      <c r="W281" s="528"/>
      <c r="X281" s="713" t="s">
        <v>301</v>
      </c>
      <c r="Y281" s="325"/>
      <c r="Z281" s="774"/>
      <c r="AA281" s="103"/>
      <c r="AB281" s="103"/>
      <c r="AC281" s="103"/>
      <c r="AD281" s="103"/>
      <c r="AE281" s="103"/>
      <c r="AF281" s="123"/>
      <c r="AG281" s="743"/>
      <c r="AH281" s="370"/>
      <c r="AI281" s="880" t="s">
        <v>301</v>
      </c>
      <c r="AJ281" s="886"/>
      <c r="AK281" s="896">
        <f t="shared" si="270"/>
        <v>0</v>
      </c>
      <c r="AL281" s="105" cm="1">
        <f t="array" ref="AL281">_xlfn.IFS($AJ281="NO CHARGE",0,$AJ281=0,0,$AJ281&gt;0,PRODUCT(I281,$AJ281))</f>
        <v>0</v>
      </c>
      <c r="AM281" s="105" cm="1">
        <f t="array" ref="AM281">_xlfn.IFS($AJ281="NO CHARGE",0,$AJ281=0,0,$AJ281&gt;0,PRODUCT(J281,$AJ281))</f>
        <v>0</v>
      </c>
      <c r="AN281" s="105" cm="1">
        <f t="array" ref="AN281">_xlfn.IFS($AJ281="NO CHARGE",0,$AJ281=0,0,$AJ281&gt;0,PRODUCT(K281,$AJ281))</f>
        <v>0</v>
      </c>
      <c r="AO281" s="105" cm="1">
        <f t="array" ref="AO281">_xlfn.IFS($AJ281="NO CHARGE",0,$AJ281=0,0,$AJ281&gt;0,PRODUCT(L281,$AJ281))</f>
        <v>0</v>
      </c>
      <c r="AP281" s="105" cm="1">
        <f t="array" ref="AP281">_xlfn.IFS($AJ281="NO CHARGE",0,$AJ281=0,0,$AJ281&gt;0,PRODUCT(M281,$AJ281))</f>
        <v>0</v>
      </c>
      <c r="AQ281" s="158">
        <f t="shared" si="271"/>
        <v>0</v>
      </c>
      <c r="AR281" s="875"/>
      <c r="AS281" s="473"/>
      <c r="AT281" s="106"/>
      <c r="AU281" s="353"/>
      <c r="AV281" s="108"/>
      <c r="AW281" s="108"/>
      <c r="AX281" s="108"/>
      <c r="AY281" s="108"/>
      <c r="AZ281" s="108"/>
      <c r="BA281" s="165"/>
      <c r="BB281" s="531"/>
    </row>
    <row r="282" spans="1:54" s="495" customFormat="1" outlineLevel="1" x14ac:dyDescent="0.25">
      <c r="A282" s="787"/>
      <c r="B282" s="623" t="s">
        <v>333</v>
      </c>
      <c r="C282" s="492" t="s">
        <v>336</v>
      </c>
      <c r="D282" s="604">
        <v>18795</v>
      </c>
      <c r="E282" s="604">
        <v>18905</v>
      </c>
      <c r="F282" s="604">
        <v>17675</v>
      </c>
      <c r="G282" s="604"/>
      <c r="H282" s="618">
        <f t="shared" si="274"/>
        <v>18458.333333333332</v>
      </c>
      <c r="I282" s="127">
        <f t="shared" si="275"/>
        <v>221500</v>
      </c>
      <c r="J282" s="127">
        <f t="shared" si="276"/>
        <v>232575</v>
      </c>
      <c r="K282" s="127">
        <f t="shared" si="276"/>
        <v>244203.75</v>
      </c>
      <c r="L282" s="127">
        <f t="shared" si="276"/>
        <v>256413.9375</v>
      </c>
      <c r="M282" s="127">
        <f t="shared" si="276"/>
        <v>269234.63437500002</v>
      </c>
      <c r="N282" s="245" t="str">
        <f t="shared" si="234"/>
        <v>eCommerce Approved Purchase and Completions - Flat Rate</v>
      </c>
      <c r="O282" s="247">
        <v>0.05</v>
      </c>
      <c r="P282" s="757">
        <f t="shared" si="262"/>
        <v>922.91666666666663</v>
      </c>
      <c r="Q282" s="129">
        <f t="shared" si="277"/>
        <v>11075</v>
      </c>
      <c r="R282" s="129">
        <f t="shared" si="278"/>
        <v>11628.75</v>
      </c>
      <c r="S282" s="129">
        <f t="shared" si="279"/>
        <v>12210.1875</v>
      </c>
      <c r="T282" s="129">
        <f t="shared" si="280"/>
        <v>12820.696875000001</v>
      </c>
      <c r="U282" s="129">
        <f t="shared" si="281"/>
        <v>13461.731718750001</v>
      </c>
      <c r="V282" s="209">
        <f t="shared" si="282"/>
        <v>61196.366093750003</v>
      </c>
      <c r="W282" s="528"/>
      <c r="X282" s="713" t="s">
        <v>301</v>
      </c>
      <c r="Y282" s="325"/>
      <c r="Z282" s="774"/>
      <c r="AA282" s="103"/>
      <c r="AB282" s="103"/>
      <c r="AC282" s="103"/>
      <c r="AD282" s="103"/>
      <c r="AE282" s="103"/>
      <c r="AF282" s="123"/>
      <c r="AG282" s="743"/>
      <c r="AH282" s="370"/>
      <c r="AI282" s="880" t="s">
        <v>301</v>
      </c>
      <c r="AJ282" s="886"/>
      <c r="AK282" s="896">
        <f t="shared" si="270"/>
        <v>0</v>
      </c>
      <c r="AL282" s="105" cm="1">
        <f t="array" ref="AL282">_xlfn.IFS($AJ282="NO CHARGE",0,$AJ282=0,0,$AJ282&gt;0,PRODUCT(I282,$AJ282))</f>
        <v>0</v>
      </c>
      <c r="AM282" s="105" cm="1">
        <f t="array" ref="AM282">_xlfn.IFS($AJ282="NO CHARGE",0,$AJ282=0,0,$AJ282&gt;0,PRODUCT(J282,$AJ282))</f>
        <v>0</v>
      </c>
      <c r="AN282" s="105" cm="1">
        <f t="array" ref="AN282">_xlfn.IFS($AJ282="NO CHARGE",0,$AJ282=0,0,$AJ282&gt;0,PRODUCT(K282,$AJ282))</f>
        <v>0</v>
      </c>
      <c r="AO282" s="105" cm="1">
        <f t="array" ref="AO282">_xlfn.IFS($AJ282="NO CHARGE",0,$AJ282=0,0,$AJ282&gt;0,PRODUCT(L282,$AJ282))</f>
        <v>0</v>
      </c>
      <c r="AP282" s="105" cm="1">
        <f t="array" ref="AP282">_xlfn.IFS($AJ282="NO CHARGE",0,$AJ282=0,0,$AJ282&gt;0,PRODUCT(M282,$AJ282))</f>
        <v>0</v>
      </c>
      <c r="AQ282" s="158">
        <f t="shared" si="271"/>
        <v>0</v>
      </c>
      <c r="AR282" s="875"/>
      <c r="AS282" s="473"/>
      <c r="AT282" s="106"/>
      <c r="AU282" s="353"/>
      <c r="AV282" s="108"/>
      <c r="AW282" s="108"/>
      <c r="AX282" s="108"/>
      <c r="AY282" s="108"/>
      <c r="AZ282" s="108"/>
      <c r="BA282" s="165"/>
      <c r="BB282" s="531"/>
    </row>
    <row r="283" spans="1:54" s="495" customFormat="1" outlineLevel="1" x14ac:dyDescent="0.25">
      <c r="A283" s="787"/>
      <c r="B283" s="623" t="s">
        <v>333</v>
      </c>
      <c r="C283" s="492" t="s">
        <v>337</v>
      </c>
      <c r="D283" s="604">
        <v>14934</v>
      </c>
      <c r="E283" s="604">
        <v>14464</v>
      </c>
      <c r="F283" s="604">
        <v>14014</v>
      </c>
      <c r="G283" s="604"/>
      <c r="H283" s="618">
        <f t="shared" si="274"/>
        <v>14470.666666666666</v>
      </c>
      <c r="I283" s="127">
        <f t="shared" si="275"/>
        <v>173648</v>
      </c>
      <c r="J283" s="127">
        <f t="shared" si="276"/>
        <v>182330.4</v>
      </c>
      <c r="K283" s="127">
        <f t="shared" si="276"/>
        <v>191446.91999999998</v>
      </c>
      <c r="L283" s="127">
        <f t="shared" si="276"/>
        <v>201019.26599999997</v>
      </c>
      <c r="M283" s="127">
        <f t="shared" si="276"/>
        <v>211070.22929999998</v>
      </c>
      <c r="N283" s="245" t="str">
        <f t="shared" si="234"/>
        <v>eCommerce Other (Returns, Pre-Auth, Reversals, Denials)</v>
      </c>
      <c r="O283" s="247">
        <v>0.05</v>
      </c>
      <c r="P283" s="757">
        <f t="shared" si="262"/>
        <v>723.5333333333333</v>
      </c>
      <c r="Q283" s="129">
        <f t="shared" si="277"/>
        <v>8682.4</v>
      </c>
      <c r="R283" s="129">
        <f t="shared" si="278"/>
        <v>9116.52</v>
      </c>
      <c r="S283" s="129">
        <f t="shared" si="279"/>
        <v>9572.3459999999995</v>
      </c>
      <c r="T283" s="129">
        <f t="shared" si="280"/>
        <v>10050.963299999999</v>
      </c>
      <c r="U283" s="129">
        <f t="shared" si="281"/>
        <v>10553.511465</v>
      </c>
      <c r="V283" s="209">
        <f t="shared" si="282"/>
        <v>47975.740764999995</v>
      </c>
      <c r="W283" s="528"/>
      <c r="X283" s="713" t="s">
        <v>301</v>
      </c>
      <c r="Y283" s="325"/>
      <c r="Z283" s="774"/>
      <c r="AA283" s="103"/>
      <c r="AB283" s="103"/>
      <c r="AC283" s="103"/>
      <c r="AD283" s="103"/>
      <c r="AE283" s="103"/>
      <c r="AF283" s="123"/>
      <c r="AG283" s="743"/>
      <c r="AH283" s="370"/>
      <c r="AI283" s="880" t="s">
        <v>301</v>
      </c>
      <c r="AJ283" s="886"/>
      <c r="AK283" s="896">
        <f t="shared" si="270"/>
        <v>0</v>
      </c>
      <c r="AL283" s="105" cm="1">
        <f t="array" ref="AL283">_xlfn.IFS($AJ283="NO CHARGE",0,$AJ283=0,0,$AJ283&gt;0,PRODUCT(I283,$AJ283))</f>
        <v>0</v>
      </c>
      <c r="AM283" s="105" cm="1">
        <f t="array" ref="AM283">_xlfn.IFS($AJ283="NO CHARGE",0,$AJ283=0,0,$AJ283&gt;0,PRODUCT(J283,$AJ283))</f>
        <v>0</v>
      </c>
      <c r="AN283" s="105" cm="1">
        <f t="array" ref="AN283">_xlfn.IFS($AJ283="NO CHARGE",0,$AJ283=0,0,$AJ283&gt;0,PRODUCT(K283,$AJ283))</f>
        <v>0</v>
      </c>
      <c r="AO283" s="105" cm="1">
        <f t="array" ref="AO283">_xlfn.IFS($AJ283="NO CHARGE",0,$AJ283=0,0,$AJ283&gt;0,PRODUCT(L283,$AJ283))</f>
        <v>0</v>
      </c>
      <c r="AP283" s="105" cm="1">
        <f t="array" ref="AP283">_xlfn.IFS($AJ283="NO CHARGE",0,$AJ283=0,0,$AJ283&gt;0,PRODUCT(M283,$AJ283))</f>
        <v>0</v>
      </c>
      <c r="AQ283" s="158">
        <f t="shared" si="271"/>
        <v>0</v>
      </c>
      <c r="AR283" s="875"/>
      <c r="AS283" s="473"/>
      <c r="AT283" s="106"/>
      <c r="AU283" s="353"/>
      <c r="AV283" s="108"/>
      <c r="AW283" s="108"/>
      <c r="AX283" s="108"/>
      <c r="AY283" s="108"/>
      <c r="AZ283" s="108"/>
      <c r="BA283" s="165"/>
      <c r="BB283" s="531"/>
    </row>
    <row r="284" spans="1:54" s="495" customFormat="1" outlineLevel="1" x14ac:dyDescent="0.25">
      <c r="A284" s="787"/>
      <c r="B284" s="623" t="s">
        <v>333</v>
      </c>
      <c r="C284" s="492" t="s">
        <v>338</v>
      </c>
      <c r="D284" s="604">
        <v>36125</v>
      </c>
      <c r="E284" s="604">
        <v>35807</v>
      </c>
      <c r="F284" s="604">
        <v>34500</v>
      </c>
      <c r="G284" s="604"/>
      <c r="H284" s="618">
        <f t="shared" si="274"/>
        <v>35477.333333333336</v>
      </c>
      <c r="I284" s="127">
        <f t="shared" si="275"/>
        <v>425728</v>
      </c>
      <c r="J284" s="127">
        <f t="shared" si="276"/>
        <v>447014.40000000002</v>
      </c>
      <c r="K284" s="127">
        <f t="shared" si="276"/>
        <v>469365.12</v>
      </c>
      <c r="L284" s="127">
        <f t="shared" si="276"/>
        <v>492833.37599999999</v>
      </c>
      <c r="M284" s="127">
        <f t="shared" si="276"/>
        <v>517475.04479999997</v>
      </c>
      <c r="N284" s="245" t="str">
        <f t="shared" si="234"/>
        <v>Infrastructure Assessment Fee - eCommerce</v>
      </c>
      <c r="O284" s="688">
        <v>7.4999999999999997E-3</v>
      </c>
      <c r="P284" s="757">
        <f t="shared" si="262"/>
        <v>266.08</v>
      </c>
      <c r="Q284" s="129">
        <f t="shared" si="277"/>
        <v>3192.96</v>
      </c>
      <c r="R284" s="129">
        <f t="shared" si="278"/>
        <v>3352.6080000000002</v>
      </c>
      <c r="S284" s="129">
        <f t="shared" si="279"/>
        <v>3520.2383999999997</v>
      </c>
      <c r="T284" s="129">
        <f t="shared" si="280"/>
        <v>3696.2503199999996</v>
      </c>
      <c r="U284" s="129">
        <f t="shared" si="281"/>
        <v>3881.0628359999996</v>
      </c>
      <c r="V284" s="209">
        <f t="shared" si="282"/>
        <v>17643.119555999998</v>
      </c>
      <c r="W284" s="528"/>
      <c r="X284" s="713" t="s">
        <v>301</v>
      </c>
      <c r="Y284" s="325"/>
      <c r="Z284" s="774"/>
      <c r="AA284" s="103"/>
      <c r="AB284" s="103"/>
      <c r="AC284" s="103"/>
      <c r="AD284" s="103"/>
      <c r="AE284" s="103"/>
      <c r="AF284" s="123"/>
      <c r="AG284" s="743"/>
      <c r="AH284" s="370"/>
      <c r="AI284" s="880" t="s">
        <v>301</v>
      </c>
      <c r="AJ284" s="886"/>
      <c r="AK284" s="896">
        <f t="shared" si="270"/>
        <v>0</v>
      </c>
      <c r="AL284" s="105" cm="1">
        <f t="array" ref="AL284">_xlfn.IFS($AJ284="NO CHARGE",0,$AJ284=0,0,$AJ284&gt;0,PRODUCT(I284,$AJ284))</f>
        <v>0</v>
      </c>
      <c r="AM284" s="105" cm="1">
        <f t="array" ref="AM284">_xlfn.IFS($AJ284="NO CHARGE",0,$AJ284=0,0,$AJ284&gt;0,PRODUCT(J284,$AJ284))</f>
        <v>0</v>
      </c>
      <c r="AN284" s="105" cm="1">
        <f t="array" ref="AN284">_xlfn.IFS($AJ284="NO CHARGE",0,$AJ284=0,0,$AJ284&gt;0,PRODUCT(K284,$AJ284))</f>
        <v>0</v>
      </c>
      <c r="AO284" s="105" cm="1">
        <f t="array" ref="AO284">_xlfn.IFS($AJ284="NO CHARGE",0,$AJ284=0,0,$AJ284&gt;0,PRODUCT(L284,$AJ284))</f>
        <v>0</v>
      </c>
      <c r="AP284" s="105" cm="1">
        <f t="array" ref="AP284">_xlfn.IFS($AJ284="NO CHARGE",0,$AJ284=0,0,$AJ284&gt;0,PRODUCT(M284,$AJ284))</f>
        <v>0</v>
      </c>
      <c r="AQ284" s="158">
        <f t="shared" si="271"/>
        <v>0</v>
      </c>
      <c r="AR284" s="875"/>
      <c r="AS284" s="473"/>
      <c r="AT284" s="106"/>
      <c r="AU284" s="353"/>
      <c r="AV284" s="108"/>
      <c r="AW284" s="108"/>
      <c r="AX284" s="108"/>
      <c r="AY284" s="108"/>
      <c r="AZ284" s="108"/>
      <c r="BA284" s="165"/>
      <c r="BB284" s="531"/>
    </row>
    <row r="285" spans="1:54" s="495" customFormat="1" outlineLevel="1" x14ac:dyDescent="0.25">
      <c r="A285" s="787"/>
      <c r="B285" s="623" t="s">
        <v>339</v>
      </c>
      <c r="C285" s="492" t="s">
        <v>340</v>
      </c>
      <c r="D285" s="604"/>
      <c r="E285" s="604">
        <v>26</v>
      </c>
      <c r="F285" s="604">
        <v>206</v>
      </c>
      <c r="G285" s="604"/>
      <c r="H285" s="618">
        <f t="shared" si="274"/>
        <v>116</v>
      </c>
      <c r="I285" s="127">
        <f t="shared" si="275"/>
        <v>1392</v>
      </c>
      <c r="J285" s="127">
        <f t="shared" si="276"/>
        <v>1461.6</v>
      </c>
      <c r="K285" s="127">
        <f t="shared" si="276"/>
        <v>1534.6799999999998</v>
      </c>
      <c r="L285" s="127">
        <f t="shared" si="276"/>
        <v>1611.4139999999998</v>
      </c>
      <c r="M285" s="127">
        <f t="shared" si="276"/>
        <v>1691.9846999999997</v>
      </c>
      <c r="N285" s="245" t="str">
        <f t="shared" si="234"/>
        <v>ATM Stand-In Authorization Fee</v>
      </c>
      <c r="O285" s="247">
        <v>0.03</v>
      </c>
      <c r="P285" s="757">
        <f t="shared" si="262"/>
        <v>3.48</v>
      </c>
      <c r="Q285" s="129">
        <f t="shared" si="277"/>
        <v>41.76</v>
      </c>
      <c r="R285" s="129">
        <f t="shared" si="278"/>
        <v>43.847999999999999</v>
      </c>
      <c r="S285" s="129">
        <f t="shared" si="279"/>
        <v>46.040399999999991</v>
      </c>
      <c r="T285" s="129">
        <f t="shared" si="280"/>
        <v>48.34241999999999</v>
      </c>
      <c r="U285" s="129">
        <f t="shared" si="281"/>
        <v>50.759540999999992</v>
      </c>
      <c r="V285" s="209">
        <f t="shared" si="282"/>
        <v>230.75036099999997</v>
      </c>
      <c r="W285" s="528"/>
      <c r="X285" s="713" t="s">
        <v>301</v>
      </c>
      <c r="Y285" s="325"/>
      <c r="Z285" s="774"/>
      <c r="AA285" s="103"/>
      <c r="AB285" s="103"/>
      <c r="AC285" s="103"/>
      <c r="AD285" s="103"/>
      <c r="AE285" s="103"/>
      <c r="AF285" s="123"/>
      <c r="AG285" s="743"/>
      <c r="AH285" s="370"/>
      <c r="AI285" s="880" t="s">
        <v>301</v>
      </c>
      <c r="AJ285" s="886"/>
      <c r="AK285" s="896">
        <f t="shared" si="270"/>
        <v>0</v>
      </c>
      <c r="AL285" s="105" cm="1">
        <f t="array" ref="AL285">_xlfn.IFS($AJ285="NO CHARGE",0,$AJ285=0,0,$AJ285&gt;0,PRODUCT(I285,$AJ285))</f>
        <v>0</v>
      </c>
      <c r="AM285" s="105" cm="1">
        <f t="array" ref="AM285">_xlfn.IFS($AJ285="NO CHARGE",0,$AJ285=0,0,$AJ285&gt;0,PRODUCT(J285,$AJ285))</f>
        <v>0</v>
      </c>
      <c r="AN285" s="105" cm="1">
        <f t="array" ref="AN285">_xlfn.IFS($AJ285="NO CHARGE",0,$AJ285=0,0,$AJ285&gt;0,PRODUCT(K285,$AJ285))</f>
        <v>0</v>
      </c>
      <c r="AO285" s="105" cm="1">
        <f t="array" ref="AO285">_xlfn.IFS($AJ285="NO CHARGE",0,$AJ285=0,0,$AJ285&gt;0,PRODUCT(L285,$AJ285))</f>
        <v>0</v>
      </c>
      <c r="AP285" s="105" cm="1">
        <f t="array" ref="AP285">_xlfn.IFS($AJ285="NO CHARGE",0,$AJ285=0,0,$AJ285&gt;0,PRODUCT(M285,$AJ285))</f>
        <v>0</v>
      </c>
      <c r="AQ285" s="158">
        <f t="shared" si="271"/>
        <v>0</v>
      </c>
      <c r="AR285" s="875"/>
      <c r="AS285" s="473"/>
      <c r="AT285" s="106"/>
      <c r="AU285" s="353"/>
      <c r="AV285" s="108"/>
      <c r="AW285" s="108"/>
      <c r="AX285" s="108"/>
      <c r="AY285" s="108"/>
      <c r="AZ285" s="108"/>
      <c r="BA285" s="165"/>
      <c r="BB285" s="531"/>
    </row>
    <row r="286" spans="1:54" s="495" customFormat="1" outlineLevel="1" x14ac:dyDescent="0.25">
      <c r="A286" s="787"/>
      <c r="B286" s="623" t="s">
        <v>339</v>
      </c>
      <c r="C286" s="492" t="s">
        <v>341</v>
      </c>
      <c r="D286" s="604">
        <v>1</v>
      </c>
      <c r="E286" s="604">
        <v>230</v>
      </c>
      <c r="F286" s="604">
        <v>1565</v>
      </c>
      <c r="G286" s="604"/>
      <c r="H286" s="618">
        <f t="shared" si="274"/>
        <v>598.66666666666663</v>
      </c>
      <c r="I286" s="127">
        <f t="shared" si="275"/>
        <v>7184</v>
      </c>
      <c r="J286" s="127">
        <f t="shared" si="276"/>
        <v>7543.2</v>
      </c>
      <c r="K286" s="127">
        <f t="shared" si="276"/>
        <v>7920.36</v>
      </c>
      <c r="L286" s="127">
        <f t="shared" si="276"/>
        <v>8316.3780000000006</v>
      </c>
      <c r="M286" s="127">
        <f t="shared" si="276"/>
        <v>8732.1969000000008</v>
      </c>
      <c r="N286" s="245" t="str">
        <f t="shared" si="234"/>
        <v>POS Stand-In Authorization Fee</v>
      </c>
      <c r="O286" s="247">
        <v>0.03</v>
      </c>
      <c r="P286" s="757">
        <f t="shared" si="262"/>
        <v>17.959999999999997</v>
      </c>
      <c r="Q286" s="129">
        <f t="shared" si="277"/>
        <v>215.51999999999998</v>
      </c>
      <c r="R286" s="129">
        <f t="shared" si="278"/>
        <v>226.29599999999999</v>
      </c>
      <c r="S286" s="129">
        <f t="shared" si="279"/>
        <v>237.61079999999998</v>
      </c>
      <c r="T286" s="129">
        <f t="shared" si="280"/>
        <v>249.49134000000001</v>
      </c>
      <c r="U286" s="129">
        <f t="shared" si="281"/>
        <v>261.96590700000002</v>
      </c>
      <c r="V286" s="209">
        <f t="shared" si="282"/>
        <v>1190.884047</v>
      </c>
      <c r="W286" s="528"/>
      <c r="X286" s="713" t="s">
        <v>301</v>
      </c>
      <c r="Y286" s="325"/>
      <c r="Z286" s="774"/>
      <c r="AA286" s="103"/>
      <c r="AB286" s="103"/>
      <c r="AC286" s="103"/>
      <c r="AD286" s="103"/>
      <c r="AE286" s="103"/>
      <c r="AF286" s="123"/>
      <c r="AG286" s="743"/>
      <c r="AH286" s="370"/>
      <c r="AI286" s="880" t="s">
        <v>301</v>
      </c>
      <c r="AJ286" s="886"/>
      <c r="AK286" s="896">
        <f t="shared" si="270"/>
        <v>0</v>
      </c>
      <c r="AL286" s="105" cm="1">
        <f t="array" ref="AL286">_xlfn.IFS($AJ286="NO CHARGE",0,$AJ286=0,0,$AJ286&gt;0,PRODUCT(I286,$AJ286))</f>
        <v>0</v>
      </c>
      <c r="AM286" s="105" cm="1">
        <f t="array" ref="AM286">_xlfn.IFS($AJ286="NO CHARGE",0,$AJ286=0,0,$AJ286&gt;0,PRODUCT(J286,$AJ286))</f>
        <v>0</v>
      </c>
      <c r="AN286" s="105" cm="1">
        <f t="array" ref="AN286">_xlfn.IFS($AJ286="NO CHARGE",0,$AJ286=0,0,$AJ286&gt;0,PRODUCT(K286,$AJ286))</f>
        <v>0</v>
      </c>
      <c r="AO286" s="105" cm="1">
        <f t="array" ref="AO286">_xlfn.IFS($AJ286="NO CHARGE",0,$AJ286=0,0,$AJ286&gt;0,PRODUCT(L286,$AJ286))</f>
        <v>0</v>
      </c>
      <c r="AP286" s="105" cm="1">
        <f t="array" ref="AP286">_xlfn.IFS($AJ286="NO CHARGE",0,$AJ286=0,0,$AJ286&gt;0,PRODUCT(M286,$AJ286))</f>
        <v>0</v>
      </c>
      <c r="AQ286" s="158">
        <f t="shared" si="271"/>
        <v>0</v>
      </c>
      <c r="AR286" s="875"/>
      <c r="AS286" s="473"/>
      <c r="AT286" s="106"/>
      <c r="AU286" s="353"/>
      <c r="AV286" s="108"/>
      <c r="AW286" s="108"/>
      <c r="AX286" s="108"/>
      <c r="AY286" s="108"/>
      <c r="AZ286" s="108"/>
      <c r="BA286" s="165"/>
      <c r="BB286" s="531"/>
    </row>
    <row r="287" spans="1:54" s="495" customFormat="1" outlineLevel="1" x14ac:dyDescent="0.25">
      <c r="A287" s="787"/>
      <c r="B287" s="623" t="s">
        <v>342</v>
      </c>
      <c r="C287" s="492" t="s">
        <v>343</v>
      </c>
      <c r="D287" s="604">
        <v>14</v>
      </c>
      <c r="E287" s="604">
        <v>27</v>
      </c>
      <c r="F287" s="604">
        <v>18</v>
      </c>
      <c r="G287" s="604"/>
      <c r="H287" s="618">
        <f t="shared" si="274"/>
        <v>19.666666666666668</v>
      </c>
      <c r="I287" s="127">
        <f t="shared" si="275"/>
        <v>236</v>
      </c>
      <c r="J287" s="127">
        <f t="shared" si="276"/>
        <v>247.8</v>
      </c>
      <c r="K287" s="127">
        <f t="shared" si="276"/>
        <v>260.19</v>
      </c>
      <c r="L287" s="127">
        <f t="shared" si="276"/>
        <v>273.1995</v>
      </c>
      <c r="M287" s="127">
        <f t="shared" si="276"/>
        <v>286.85947499999997</v>
      </c>
      <c r="N287" s="245" t="str">
        <f t="shared" si="234"/>
        <v>Adjustments -Chargebacks - Issuer</v>
      </c>
      <c r="O287" s="247">
        <v>0</v>
      </c>
      <c r="P287" s="757">
        <f t="shared" si="262"/>
        <v>0</v>
      </c>
      <c r="Q287" s="129">
        <f t="shared" si="277"/>
        <v>0</v>
      </c>
      <c r="R287" s="129">
        <f t="shared" si="278"/>
        <v>0</v>
      </c>
      <c r="S287" s="129">
        <f t="shared" si="279"/>
        <v>0</v>
      </c>
      <c r="T287" s="129">
        <f t="shared" si="280"/>
        <v>0</v>
      </c>
      <c r="U287" s="129">
        <f t="shared" si="281"/>
        <v>0</v>
      </c>
      <c r="V287" s="209">
        <f t="shared" si="282"/>
        <v>0</v>
      </c>
      <c r="W287" s="528"/>
      <c r="X287" s="713" t="s">
        <v>301</v>
      </c>
      <c r="Y287" s="325"/>
      <c r="Z287" s="774"/>
      <c r="AA287" s="103"/>
      <c r="AB287" s="103"/>
      <c r="AC287" s="103"/>
      <c r="AD287" s="103"/>
      <c r="AE287" s="103"/>
      <c r="AF287" s="123"/>
      <c r="AG287" s="743"/>
      <c r="AH287" s="370"/>
      <c r="AI287" s="880" t="s">
        <v>301</v>
      </c>
      <c r="AJ287" s="886"/>
      <c r="AK287" s="896">
        <f t="shared" si="270"/>
        <v>0</v>
      </c>
      <c r="AL287" s="105" cm="1">
        <f t="array" ref="AL287">_xlfn.IFS($AJ287="NO CHARGE",0,$AJ287=0,0,$AJ287&gt;0,PRODUCT(I287,$AJ287))</f>
        <v>0</v>
      </c>
      <c r="AM287" s="105" cm="1">
        <f t="array" ref="AM287">_xlfn.IFS($AJ287="NO CHARGE",0,$AJ287=0,0,$AJ287&gt;0,PRODUCT(J287,$AJ287))</f>
        <v>0</v>
      </c>
      <c r="AN287" s="105" cm="1">
        <f t="array" ref="AN287">_xlfn.IFS($AJ287="NO CHARGE",0,$AJ287=0,0,$AJ287&gt;0,PRODUCT(K287,$AJ287))</f>
        <v>0</v>
      </c>
      <c r="AO287" s="105" cm="1">
        <f t="array" ref="AO287">_xlfn.IFS($AJ287="NO CHARGE",0,$AJ287=0,0,$AJ287&gt;0,PRODUCT(L287,$AJ287))</f>
        <v>0</v>
      </c>
      <c r="AP287" s="105" cm="1">
        <f t="array" ref="AP287">_xlfn.IFS($AJ287="NO CHARGE",0,$AJ287=0,0,$AJ287&gt;0,PRODUCT(M287,$AJ287))</f>
        <v>0</v>
      </c>
      <c r="AQ287" s="158">
        <f t="shared" si="271"/>
        <v>0</v>
      </c>
      <c r="AR287" s="875"/>
      <c r="AS287" s="473"/>
      <c r="AT287" s="106"/>
      <c r="AU287" s="353"/>
      <c r="AV287" s="108"/>
      <c r="AW287" s="108"/>
      <c r="AX287" s="108"/>
      <c r="AY287" s="108"/>
      <c r="AZ287" s="108"/>
      <c r="BA287" s="165"/>
      <c r="BB287" s="531"/>
    </row>
    <row r="288" spans="1:54" s="495" customFormat="1" outlineLevel="1" x14ac:dyDescent="0.25">
      <c r="A288" s="787"/>
      <c r="B288" s="623" t="s">
        <v>342</v>
      </c>
      <c r="C288" s="492" t="s">
        <v>344</v>
      </c>
      <c r="D288" s="604">
        <v>2</v>
      </c>
      <c r="E288" s="604">
        <v>1</v>
      </c>
      <c r="F288" s="604">
        <v>4</v>
      </c>
      <c r="G288" s="604"/>
      <c r="H288" s="618">
        <f t="shared" si="274"/>
        <v>2.3333333333333335</v>
      </c>
      <c r="I288" s="127">
        <f t="shared" si="275"/>
        <v>28</v>
      </c>
      <c r="J288" s="127">
        <f t="shared" si="276"/>
        <v>29.4</v>
      </c>
      <c r="K288" s="127">
        <f t="shared" si="276"/>
        <v>30.869999999999997</v>
      </c>
      <c r="L288" s="127">
        <f t="shared" si="276"/>
        <v>32.413499999999999</v>
      </c>
      <c r="M288" s="127">
        <f t="shared" si="276"/>
        <v>34.034174999999998</v>
      </c>
      <c r="N288" s="245" t="str">
        <f t="shared" si="234"/>
        <v>Representments to Chargebacks - Issuer</v>
      </c>
      <c r="O288" s="247">
        <v>10</v>
      </c>
      <c r="P288" s="757">
        <f t="shared" si="262"/>
        <v>23.333333333333332</v>
      </c>
      <c r="Q288" s="129">
        <f t="shared" si="277"/>
        <v>280</v>
      </c>
      <c r="R288" s="129">
        <f t="shared" si="278"/>
        <v>294</v>
      </c>
      <c r="S288" s="129">
        <f t="shared" si="279"/>
        <v>308.7</v>
      </c>
      <c r="T288" s="129">
        <f t="shared" si="280"/>
        <v>324.13499999999999</v>
      </c>
      <c r="U288" s="129">
        <f t="shared" si="281"/>
        <v>340.34174999999999</v>
      </c>
      <c r="V288" s="209">
        <f t="shared" si="282"/>
        <v>1547.1767500000001</v>
      </c>
      <c r="W288" s="528"/>
      <c r="X288" s="713" t="s">
        <v>301</v>
      </c>
      <c r="Y288" s="325"/>
      <c r="Z288" s="774"/>
      <c r="AA288" s="103"/>
      <c r="AB288" s="103"/>
      <c r="AC288" s="103"/>
      <c r="AD288" s="103"/>
      <c r="AE288" s="103"/>
      <c r="AF288" s="123"/>
      <c r="AG288" s="743"/>
      <c r="AH288" s="370"/>
      <c r="AI288" s="880" t="s">
        <v>301</v>
      </c>
      <c r="AJ288" s="886"/>
      <c r="AK288" s="896">
        <f t="shared" si="270"/>
        <v>0</v>
      </c>
      <c r="AL288" s="105" cm="1">
        <f t="array" ref="AL288">_xlfn.IFS($AJ288="NO CHARGE",0,$AJ288=0,0,$AJ288&gt;0,PRODUCT(I288,$AJ288))</f>
        <v>0</v>
      </c>
      <c r="AM288" s="105" cm="1">
        <f t="array" ref="AM288">_xlfn.IFS($AJ288="NO CHARGE",0,$AJ288=0,0,$AJ288&gt;0,PRODUCT(J288,$AJ288))</f>
        <v>0</v>
      </c>
      <c r="AN288" s="105" cm="1">
        <f t="array" ref="AN288">_xlfn.IFS($AJ288="NO CHARGE",0,$AJ288=0,0,$AJ288&gt;0,PRODUCT(K288,$AJ288))</f>
        <v>0</v>
      </c>
      <c r="AO288" s="105" cm="1">
        <f t="array" ref="AO288">_xlfn.IFS($AJ288="NO CHARGE",0,$AJ288=0,0,$AJ288&gt;0,PRODUCT(L288,$AJ288))</f>
        <v>0</v>
      </c>
      <c r="AP288" s="105" cm="1">
        <f t="array" ref="AP288">_xlfn.IFS($AJ288="NO CHARGE",0,$AJ288=0,0,$AJ288&gt;0,PRODUCT(M288,$AJ288))</f>
        <v>0</v>
      </c>
      <c r="AQ288" s="158">
        <f t="shared" si="271"/>
        <v>0</v>
      </c>
      <c r="AR288" s="875"/>
      <c r="AS288" s="473"/>
      <c r="AT288" s="106"/>
      <c r="AU288" s="353"/>
      <c r="AV288" s="108"/>
      <c r="AW288" s="108"/>
      <c r="AX288" s="108"/>
      <c r="AY288" s="108"/>
      <c r="AZ288" s="108"/>
      <c r="BA288" s="165"/>
      <c r="BB288" s="531"/>
    </row>
    <row r="289" spans="1:54" s="495" customFormat="1" outlineLevel="1" x14ac:dyDescent="0.25">
      <c r="A289" s="787"/>
      <c r="B289" s="623" t="s">
        <v>342</v>
      </c>
      <c r="C289" s="492" t="s">
        <v>345</v>
      </c>
      <c r="D289" s="604">
        <v>1</v>
      </c>
      <c r="E289" s="604"/>
      <c r="F289" s="604"/>
      <c r="G289" s="604"/>
      <c r="H289" s="618">
        <f t="shared" si="274"/>
        <v>1</v>
      </c>
      <c r="I289" s="127">
        <f t="shared" si="275"/>
        <v>12</v>
      </c>
      <c r="J289" s="127">
        <f t="shared" si="276"/>
        <v>12</v>
      </c>
      <c r="K289" s="127">
        <f t="shared" si="276"/>
        <v>12</v>
      </c>
      <c r="L289" s="127">
        <f t="shared" si="276"/>
        <v>12</v>
      </c>
      <c r="M289" s="127">
        <f t="shared" si="276"/>
        <v>12</v>
      </c>
      <c r="N289" s="245" t="str">
        <f t="shared" si="234"/>
        <v>Good Faith Adjustments - Issuer</v>
      </c>
      <c r="O289" s="247">
        <v>0</v>
      </c>
      <c r="P289" s="757">
        <f t="shared" si="262"/>
        <v>0</v>
      </c>
      <c r="Q289" s="129">
        <f t="shared" si="277"/>
        <v>0</v>
      </c>
      <c r="R289" s="129">
        <f t="shared" si="278"/>
        <v>0</v>
      </c>
      <c r="S289" s="129">
        <f t="shared" si="279"/>
        <v>0</v>
      </c>
      <c r="T289" s="129">
        <f t="shared" si="280"/>
        <v>0</v>
      </c>
      <c r="U289" s="129">
        <f t="shared" si="281"/>
        <v>0</v>
      </c>
      <c r="V289" s="209">
        <f t="shared" si="282"/>
        <v>0</v>
      </c>
      <c r="W289" s="528"/>
      <c r="X289" s="713" t="s">
        <v>301</v>
      </c>
      <c r="Y289" s="325"/>
      <c r="Z289" s="774"/>
      <c r="AA289" s="103">
        <f>IF(Y289&gt;0,PRODUCT(#REF!,$Y289),0)</f>
        <v>0</v>
      </c>
      <c r="AB289" s="103">
        <f>IF(AA289&gt;0,PRODUCT(#REF!,$Y289),0)</f>
        <v>0</v>
      </c>
      <c r="AC289" s="103">
        <f>IF(AB289&gt;0,PRODUCT(#REF!,$Y289),0)</f>
        <v>0</v>
      </c>
      <c r="AD289" s="103">
        <f>IF(AC289&gt;0,PRODUCT(#REF!,$Y289),0)</f>
        <v>0</v>
      </c>
      <c r="AE289" s="103">
        <f>IF(AD289&gt;0,PRODUCT(#REF!,$Y289),0)</f>
        <v>0</v>
      </c>
      <c r="AF289" s="123">
        <f>SUM(AA289:AE289)</f>
        <v>0</v>
      </c>
      <c r="AG289" s="743"/>
      <c r="AH289" s="370"/>
      <c r="AI289" s="414" t="s">
        <v>301</v>
      </c>
      <c r="AJ289" s="886"/>
      <c r="AK289" s="896">
        <f t="shared" si="270"/>
        <v>0</v>
      </c>
      <c r="AL289" s="105" cm="1">
        <f t="array" ref="AL289">_xlfn.IFS($AJ289="NO CHARGE",0,$AJ289=0,0,$AJ289&gt;0,PRODUCT(I289,$AJ289))</f>
        <v>0</v>
      </c>
      <c r="AM289" s="105" cm="1">
        <f t="array" ref="AM289">_xlfn.IFS($AJ289="NO CHARGE",0,$AJ289=0,0,$AJ289&gt;0,PRODUCT(J289,$AJ289))</f>
        <v>0</v>
      </c>
      <c r="AN289" s="105" cm="1">
        <f t="array" ref="AN289">_xlfn.IFS($AJ289="NO CHARGE",0,$AJ289=0,0,$AJ289&gt;0,PRODUCT(K289,$AJ289))</f>
        <v>0</v>
      </c>
      <c r="AO289" s="105" cm="1">
        <f t="array" ref="AO289">_xlfn.IFS($AJ289="NO CHARGE",0,$AJ289=0,0,$AJ289&gt;0,PRODUCT(L289,$AJ289))</f>
        <v>0</v>
      </c>
      <c r="AP289" s="105" cm="1">
        <f t="array" ref="AP289">_xlfn.IFS($AJ289="NO CHARGE",0,$AJ289=0,0,$AJ289&gt;0,PRODUCT(M289,$AJ289))</f>
        <v>0</v>
      </c>
      <c r="AQ289" s="158">
        <f t="shared" si="271"/>
        <v>0</v>
      </c>
      <c r="AR289" s="875"/>
      <c r="AS289" s="473"/>
      <c r="AT289" s="106"/>
      <c r="AU289" s="107"/>
      <c r="AV289" s="108">
        <f>IF(AU289&gt;0,PRODUCT(#REF!,$AU289),0)</f>
        <v>0</v>
      </c>
      <c r="AW289" s="108">
        <f>IF(AV289&gt;0,PRODUCT(#REF!,$AU289),0)</f>
        <v>0</v>
      </c>
      <c r="AX289" s="108">
        <f>IF(AW289&gt;0,PRODUCT(#REF!,$AU289),0)</f>
        <v>0</v>
      </c>
      <c r="AY289" s="108">
        <f>IF(AX289&gt;0,PRODUCT(#REF!,$AU289),0)</f>
        <v>0</v>
      </c>
      <c r="AZ289" s="108">
        <f>IF(AY289&gt;0,PRODUCT(#REF!,$AU289),0)</f>
        <v>0</v>
      </c>
      <c r="BA289" s="165">
        <f>SUM(AV289:AZ289)</f>
        <v>0</v>
      </c>
      <c r="BB289" s="531"/>
    </row>
    <row r="290" spans="1:54" s="495" customFormat="1" outlineLevel="1" x14ac:dyDescent="0.25">
      <c r="A290" s="787"/>
      <c r="B290" s="623" t="s">
        <v>342</v>
      </c>
      <c r="C290" s="631" t="s">
        <v>346</v>
      </c>
      <c r="D290" s="604"/>
      <c r="E290" s="604">
        <v>1</v>
      </c>
      <c r="F290" s="604"/>
      <c r="G290" s="604"/>
      <c r="H290" s="618">
        <f t="shared" si="274"/>
        <v>1</v>
      </c>
      <c r="I290" s="127">
        <f t="shared" si="275"/>
        <v>12</v>
      </c>
      <c r="J290" s="127">
        <f t="shared" si="276"/>
        <v>12</v>
      </c>
      <c r="K290" s="127">
        <f t="shared" si="276"/>
        <v>12</v>
      </c>
      <c r="L290" s="127">
        <f t="shared" si="276"/>
        <v>12</v>
      </c>
      <c r="M290" s="127">
        <f t="shared" si="276"/>
        <v>12</v>
      </c>
      <c r="N290" s="245" t="str">
        <f t="shared" si="234"/>
        <v>Late Adjustments &gt; 11-45 days - Issuer</v>
      </c>
      <c r="O290" s="247">
        <v>0</v>
      </c>
      <c r="P290" s="757">
        <f t="shared" si="262"/>
        <v>0</v>
      </c>
      <c r="Q290" s="129">
        <f t="shared" si="277"/>
        <v>0</v>
      </c>
      <c r="R290" s="129">
        <f t="shared" si="278"/>
        <v>0</v>
      </c>
      <c r="S290" s="129">
        <f t="shared" si="279"/>
        <v>0</v>
      </c>
      <c r="T290" s="129">
        <f t="shared" si="280"/>
        <v>0</v>
      </c>
      <c r="U290" s="129">
        <f t="shared" si="281"/>
        <v>0</v>
      </c>
      <c r="V290" s="209">
        <f t="shared" si="282"/>
        <v>0</v>
      </c>
      <c r="W290" s="528"/>
      <c r="X290" s="713" t="s">
        <v>301</v>
      </c>
      <c r="Y290" s="708"/>
      <c r="Z290" s="776"/>
      <c r="AA290" s="624"/>
      <c r="AB290" s="624"/>
      <c r="AC290" s="624"/>
      <c r="AD290" s="624"/>
      <c r="AE290" s="624"/>
      <c r="AF290" s="123"/>
      <c r="AG290" s="746"/>
      <c r="AH290" s="370"/>
      <c r="AI290" s="901" t="s">
        <v>301</v>
      </c>
      <c r="AJ290" s="887"/>
      <c r="AK290" s="896">
        <f t="shared" si="270"/>
        <v>0</v>
      </c>
      <c r="AL290" s="105" cm="1">
        <f t="array" ref="AL290">_xlfn.IFS($AJ290="NO CHARGE",0,$AJ290=0,0,$AJ290&gt;0,PRODUCT(I290,$AJ290))</f>
        <v>0</v>
      </c>
      <c r="AM290" s="105" cm="1">
        <f t="array" ref="AM290">_xlfn.IFS($AJ290="NO CHARGE",0,$AJ290=0,0,$AJ290&gt;0,PRODUCT(J290,$AJ290))</f>
        <v>0</v>
      </c>
      <c r="AN290" s="105" cm="1">
        <f t="array" ref="AN290">_xlfn.IFS($AJ290="NO CHARGE",0,$AJ290=0,0,$AJ290&gt;0,PRODUCT(K290,$AJ290))</f>
        <v>0</v>
      </c>
      <c r="AO290" s="105" cm="1">
        <f t="array" ref="AO290">_xlfn.IFS($AJ290="NO CHARGE",0,$AJ290=0,0,$AJ290&gt;0,PRODUCT(L290,$AJ290))</f>
        <v>0</v>
      </c>
      <c r="AP290" s="105" cm="1">
        <f t="array" ref="AP290">_xlfn.IFS($AJ290="NO CHARGE",0,$AJ290=0,0,$AJ290&gt;0,PRODUCT(M290,$AJ290))</f>
        <v>0</v>
      </c>
      <c r="AQ290" s="158">
        <f t="shared" si="271"/>
        <v>0</v>
      </c>
      <c r="AR290" s="877"/>
      <c r="AS290" s="486"/>
      <c r="AT290" s="628"/>
      <c r="AU290" s="629"/>
      <c r="AV290" s="630"/>
      <c r="AW290" s="630"/>
      <c r="AX290" s="630"/>
      <c r="AY290" s="630"/>
      <c r="AZ290" s="630"/>
      <c r="BA290" s="165"/>
      <c r="BB290" s="532"/>
    </row>
    <row r="291" spans="1:54" s="495" customFormat="1" outlineLevel="1" x14ac:dyDescent="0.25">
      <c r="A291" s="445"/>
      <c r="B291" s="623"/>
      <c r="C291" s="310"/>
      <c r="D291" s="604"/>
      <c r="E291" s="604"/>
      <c r="F291" s="604"/>
      <c r="G291" s="604"/>
      <c r="H291" s="618">
        <f>IFERROR(AVERAGE(D291:G291),0)</f>
        <v>0</v>
      </c>
      <c r="I291" s="127">
        <f t="shared" si="275"/>
        <v>0</v>
      </c>
      <c r="J291" s="127">
        <f t="shared" si="276"/>
        <v>0</v>
      </c>
      <c r="K291" s="127">
        <f t="shared" si="276"/>
        <v>0</v>
      </c>
      <c r="L291" s="127">
        <f t="shared" si="276"/>
        <v>0</v>
      </c>
      <c r="M291" s="127">
        <f t="shared" si="276"/>
        <v>0</v>
      </c>
      <c r="N291" s="245" t="str">
        <f t="shared" si="234"/>
        <v/>
      </c>
      <c r="O291" s="748"/>
      <c r="P291" s="757">
        <f t="shared" si="262"/>
        <v>0</v>
      </c>
      <c r="Q291" s="129">
        <f t="shared" si="277"/>
        <v>0</v>
      </c>
      <c r="R291" s="129">
        <f t="shared" si="278"/>
        <v>0</v>
      </c>
      <c r="S291" s="129">
        <f t="shared" si="279"/>
        <v>0</v>
      </c>
      <c r="T291" s="129">
        <f t="shared" si="280"/>
        <v>0</v>
      </c>
      <c r="U291" s="129">
        <f t="shared" si="281"/>
        <v>0</v>
      </c>
      <c r="V291" s="209">
        <f t="shared" si="282"/>
        <v>0</v>
      </c>
      <c r="W291" s="621"/>
      <c r="X291" s="222"/>
      <c r="Y291" s="325"/>
      <c r="Z291" s="774">
        <f>AA291/12</f>
        <v>0</v>
      </c>
      <c r="AA291" s="103">
        <f>IF(Y291&gt;0,PRODUCT(I291,$Y291),0)</f>
        <v>0</v>
      </c>
      <c r="AB291" s="103">
        <f t="shared" ref="AB291:AE295" si="283">IF(AA291&gt;0,PRODUCT(J291,$Y291),0)</f>
        <v>0</v>
      </c>
      <c r="AC291" s="103">
        <f t="shared" si="283"/>
        <v>0</v>
      </c>
      <c r="AD291" s="103">
        <f t="shared" si="283"/>
        <v>0</v>
      </c>
      <c r="AE291" s="103">
        <f t="shared" si="283"/>
        <v>0</v>
      </c>
      <c r="AF291" s="123">
        <f>SUM(AA291:AE291)</f>
        <v>0</v>
      </c>
      <c r="AG291" s="743"/>
      <c r="AH291" s="362"/>
      <c r="AI291" s="221"/>
      <c r="AJ291" s="270"/>
      <c r="AK291" s="896">
        <f t="shared" si="270"/>
        <v>0</v>
      </c>
      <c r="AL291" s="105" cm="1">
        <f t="array" ref="AL291">_xlfn.IFS($AJ291="NO CHARGE",0,$AJ291=0,0,$AJ291&gt;0,PRODUCT(I291,$AJ291))</f>
        <v>0</v>
      </c>
      <c r="AM291" s="105" cm="1">
        <f t="array" ref="AM291">_xlfn.IFS($AJ291="NO CHARGE",0,$AJ291=0,0,$AJ291&gt;0,PRODUCT(J291,$AJ291))</f>
        <v>0</v>
      </c>
      <c r="AN291" s="105" cm="1">
        <f t="array" ref="AN291">_xlfn.IFS($AJ291="NO CHARGE",0,$AJ291=0,0,$AJ291&gt;0,PRODUCT(K291,$AJ291))</f>
        <v>0</v>
      </c>
      <c r="AO291" s="105" cm="1">
        <f t="array" ref="AO291">_xlfn.IFS($AJ291="NO CHARGE",0,$AJ291=0,0,$AJ291&gt;0,PRODUCT(L291,$AJ291))</f>
        <v>0</v>
      </c>
      <c r="AP291" s="105" cm="1">
        <f t="array" ref="AP291">_xlfn.IFS($AJ291="NO CHARGE",0,$AJ291=0,0,$AJ291&gt;0,PRODUCT(M291,$AJ291))</f>
        <v>0</v>
      </c>
      <c r="AQ291" s="158">
        <f t="shared" si="271"/>
        <v>0</v>
      </c>
      <c r="AR291" s="875"/>
      <c r="AS291" s="473"/>
      <c r="AT291" s="106"/>
      <c r="AU291" s="107"/>
      <c r="AV291" s="108">
        <f t="shared" ref="AV291:AZ295" si="284">IF(AU291&gt;0,PRODUCT(I291,$AU291),0)</f>
        <v>0</v>
      </c>
      <c r="AW291" s="108">
        <f t="shared" si="284"/>
        <v>0</v>
      </c>
      <c r="AX291" s="108">
        <f t="shared" si="284"/>
        <v>0</v>
      </c>
      <c r="AY291" s="108">
        <f t="shared" si="284"/>
        <v>0</v>
      </c>
      <c r="AZ291" s="108">
        <f t="shared" si="284"/>
        <v>0</v>
      </c>
      <c r="BA291" s="165">
        <f>SUM(AV291:AZ291)</f>
        <v>0</v>
      </c>
      <c r="BB291" s="531"/>
    </row>
    <row r="292" spans="1:54" s="495" customFormat="1" outlineLevel="1" x14ac:dyDescent="0.25">
      <c r="A292" s="700"/>
      <c r="B292" s="623" t="s">
        <v>347</v>
      </c>
      <c r="C292" s="310" t="s">
        <v>348</v>
      </c>
      <c r="D292" s="604"/>
      <c r="E292" s="604"/>
      <c r="F292" s="604"/>
      <c r="G292" s="604"/>
      <c r="H292" s="618">
        <v>1</v>
      </c>
      <c r="I292" s="127">
        <f t="shared" si="275"/>
        <v>12</v>
      </c>
      <c r="J292" s="127">
        <f t="shared" si="276"/>
        <v>12</v>
      </c>
      <c r="K292" s="127">
        <f t="shared" si="276"/>
        <v>12</v>
      </c>
      <c r="L292" s="127">
        <f t="shared" si="276"/>
        <v>12</v>
      </c>
      <c r="M292" s="127">
        <f t="shared" si="276"/>
        <v>12</v>
      </c>
      <c r="N292" s="245" t="s">
        <v>349</v>
      </c>
      <c r="O292" s="748"/>
      <c r="P292" s="757">
        <f t="shared" si="262"/>
        <v>0</v>
      </c>
      <c r="Q292" s="129">
        <f t="shared" si="277"/>
        <v>0</v>
      </c>
      <c r="R292" s="129">
        <f t="shared" si="278"/>
        <v>0</v>
      </c>
      <c r="S292" s="129">
        <f t="shared" si="279"/>
        <v>0</v>
      </c>
      <c r="T292" s="129">
        <f t="shared" si="280"/>
        <v>0</v>
      </c>
      <c r="U292" s="129">
        <f t="shared" si="281"/>
        <v>0</v>
      </c>
      <c r="V292" s="209">
        <f t="shared" si="282"/>
        <v>0</v>
      </c>
      <c r="W292" s="621" t="s">
        <v>350</v>
      </c>
      <c r="X292" s="222" t="str">
        <f>C292</f>
        <v>General &amp; Processing</v>
      </c>
      <c r="Y292" s="325">
        <v>294</v>
      </c>
      <c r="Z292" s="774">
        <f>AA292/12</f>
        <v>294</v>
      </c>
      <c r="AA292" s="103">
        <f>IF(Y292&gt;0,PRODUCT(I292,$Y292),0)</f>
        <v>3528</v>
      </c>
      <c r="AB292" s="103">
        <f t="shared" si="283"/>
        <v>3528</v>
      </c>
      <c r="AC292" s="103">
        <f t="shared" si="283"/>
        <v>3528</v>
      </c>
      <c r="AD292" s="103">
        <f t="shared" si="283"/>
        <v>3528</v>
      </c>
      <c r="AE292" s="103">
        <f t="shared" si="283"/>
        <v>3528</v>
      </c>
      <c r="AF292" s="123">
        <f>SUM(AA292:AE292)</f>
        <v>17640</v>
      </c>
      <c r="AG292" s="743"/>
      <c r="AH292" s="362" t="s">
        <v>351</v>
      </c>
      <c r="AI292" s="221" t="str">
        <f>X292</f>
        <v>General &amp; Processing</v>
      </c>
      <c r="AJ292" s="270">
        <v>294</v>
      </c>
      <c r="AK292" s="896">
        <f t="shared" si="270"/>
        <v>294</v>
      </c>
      <c r="AL292" s="105" cm="1">
        <f t="array" ref="AL292">_xlfn.IFS($AJ292="NO CHARGE",0,$AJ292=0,0,$AJ292&gt;0,PRODUCT(I292,$AJ292))</f>
        <v>3528</v>
      </c>
      <c r="AM292" s="105" cm="1">
        <f t="array" ref="AM292">_xlfn.IFS($AJ292="NO CHARGE",0,$AJ292=0,0,$AJ292&gt;0,PRODUCT(J292,$AJ292))</f>
        <v>3528</v>
      </c>
      <c r="AN292" s="105" cm="1">
        <f t="array" ref="AN292">_xlfn.IFS($AJ292="NO CHARGE",0,$AJ292=0,0,$AJ292&gt;0,PRODUCT(K292,$AJ292))</f>
        <v>3528</v>
      </c>
      <c r="AO292" s="105" cm="1">
        <f t="array" ref="AO292">_xlfn.IFS($AJ292="NO CHARGE",0,$AJ292=0,0,$AJ292&gt;0,PRODUCT(L292,$AJ292))</f>
        <v>3528</v>
      </c>
      <c r="AP292" s="105" cm="1">
        <f t="array" ref="AP292">_xlfn.IFS($AJ292="NO CHARGE",0,$AJ292=0,0,$AJ292&gt;0,PRODUCT(M292,$AJ292))</f>
        <v>3528</v>
      </c>
      <c r="AQ292" s="158">
        <f t="shared" si="271"/>
        <v>17640</v>
      </c>
      <c r="AR292" s="875"/>
      <c r="AS292" s="473" t="s">
        <v>351</v>
      </c>
      <c r="AT292" s="106"/>
      <c r="AU292" s="107"/>
      <c r="AV292" s="108">
        <f t="shared" si="284"/>
        <v>0</v>
      </c>
      <c r="AW292" s="108">
        <f t="shared" si="284"/>
        <v>0</v>
      </c>
      <c r="AX292" s="108">
        <f t="shared" si="284"/>
        <v>0</v>
      </c>
      <c r="AY292" s="108">
        <f t="shared" si="284"/>
        <v>0</v>
      </c>
      <c r="AZ292" s="108">
        <f t="shared" si="284"/>
        <v>0</v>
      </c>
      <c r="BA292" s="165">
        <f>SUM(AV292:AZ292)</f>
        <v>0</v>
      </c>
      <c r="BB292" s="531"/>
    </row>
    <row r="293" spans="1:54" s="495" customFormat="1" outlineLevel="1" x14ac:dyDescent="0.25">
      <c r="A293" s="700"/>
      <c r="B293" s="623" t="s">
        <v>347</v>
      </c>
      <c r="C293" s="310" t="s">
        <v>352</v>
      </c>
      <c r="D293" s="604"/>
      <c r="E293" s="604"/>
      <c r="F293" s="604"/>
      <c r="G293" s="604"/>
      <c r="H293" s="618">
        <v>1</v>
      </c>
      <c r="I293" s="127">
        <f t="shared" si="275"/>
        <v>12</v>
      </c>
      <c r="J293" s="127">
        <f t="shared" si="276"/>
        <v>12</v>
      </c>
      <c r="K293" s="127">
        <f t="shared" si="276"/>
        <v>12</v>
      </c>
      <c r="L293" s="127">
        <f t="shared" si="276"/>
        <v>12</v>
      </c>
      <c r="M293" s="127">
        <f t="shared" si="276"/>
        <v>12</v>
      </c>
      <c r="N293" s="245" t="s">
        <v>349</v>
      </c>
      <c r="O293" s="748"/>
      <c r="P293" s="757">
        <f t="shared" si="262"/>
        <v>0</v>
      </c>
      <c r="Q293" s="129">
        <f t="shared" si="277"/>
        <v>0</v>
      </c>
      <c r="R293" s="129">
        <f t="shared" si="278"/>
        <v>0</v>
      </c>
      <c r="S293" s="129">
        <f t="shared" si="279"/>
        <v>0</v>
      </c>
      <c r="T293" s="129">
        <f t="shared" si="280"/>
        <v>0</v>
      </c>
      <c r="U293" s="129">
        <f t="shared" si="281"/>
        <v>0</v>
      </c>
      <c r="V293" s="209">
        <f t="shared" si="282"/>
        <v>0</v>
      </c>
      <c r="W293" s="621" t="s">
        <v>350</v>
      </c>
      <c r="X293" s="222" t="str">
        <f>C293</f>
        <v>Switch</v>
      </c>
      <c r="Y293" s="325">
        <v>6394.08</v>
      </c>
      <c r="Z293" s="774">
        <f>AA293/12</f>
        <v>6394.079999999999</v>
      </c>
      <c r="AA293" s="103">
        <f>IF(Y293&gt;0,PRODUCT(I293,$Y293),0)</f>
        <v>76728.959999999992</v>
      </c>
      <c r="AB293" s="103">
        <f t="shared" si="283"/>
        <v>76728.959999999992</v>
      </c>
      <c r="AC293" s="103">
        <f t="shared" si="283"/>
        <v>76728.959999999992</v>
      </c>
      <c r="AD293" s="103">
        <f t="shared" si="283"/>
        <v>76728.959999999992</v>
      </c>
      <c r="AE293" s="103">
        <f t="shared" si="283"/>
        <v>76728.959999999992</v>
      </c>
      <c r="AF293" s="123">
        <f>SUM(AA293:AE293)</f>
        <v>383644.79999999993</v>
      </c>
      <c r="AG293" s="743"/>
      <c r="AH293" s="362" t="s">
        <v>351</v>
      </c>
      <c r="AI293" s="221" t="str">
        <f>X293</f>
        <v>Switch</v>
      </c>
      <c r="AJ293" s="270">
        <v>6394.08</v>
      </c>
      <c r="AK293" s="896">
        <f t="shared" si="270"/>
        <v>6394.079999999999</v>
      </c>
      <c r="AL293" s="105" cm="1">
        <f t="array" ref="AL293">_xlfn.IFS($AJ293="NO CHARGE",0,$AJ293=0,0,$AJ293&gt;0,PRODUCT(I293,$AJ293))</f>
        <v>76728.959999999992</v>
      </c>
      <c r="AM293" s="105" cm="1">
        <f t="array" ref="AM293">_xlfn.IFS($AJ293="NO CHARGE",0,$AJ293=0,0,$AJ293&gt;0,PRODUCT(J293,$AJ293))</f>
        <v>76728.959999999992</v>
      </c>
      <c r="AN293" s="105" cm="1">
        <f t="array" ref="AN293">_xlfn.IFS($AJ293="NO CHARGE",0,$AJ293=0,0,$AJ293&gt;0,PRODUCT(K293,$AJ293))</f>
        <v>76728.959999999992</v>
      </c>
      <c r="AO293" s="105" cm="1">
        <f t="array" ref="AO293">_xlfn.IFS($AJ293="NO CHARGE",0,$AJ293=0,0,$AJ293&gt;0,PRODUCT(L293,$AJ293))</f>
        <v>76728.959999999992</v>
      </c>
      <c r="AP293" s="105" cm="1">
        <f t="array" ref="AP293">_xlfn.IFS($AJ293="NO CHARGE",0,$AJ293=0,0,$AJ293&gt;0,PRODUCT(M293,$AJ293))</f>
        <v>76728.959999999992</v>
      </c>
      <c r="AQ293" s="158">
        <f t="shared" si="271"/>
        <v>383644.79999999993</v>
      </c>
      <c r="AR293" s="875"/>
      <c r="AS293" s="473" t="s">
        <v>351</v>
      </c>
      <c r="AT293" s="106"/>
      <c r="AU293" s="107"/>
      <c r="AV293" s="108">
        <f t="shared" si="284"/>
        <v>0</v>
      </c>
      <c r="AW293" s="108">
        <f t="shared" si="284"/>
        <v>0</v>
      </c>
      <c r="AX293" s="108">
        <f t="shared" si="284"/>
        <v>0</v>
      </c>
      <c r="AY293" s="108">
        <f t="shared" si="284"/>
        <v>0</v>
      </c>
      <c r="AZ293" s="108">
        <f t="shared" si="284"/>
        <v>0</v>
      </c>
      <c r="BA293" s="165">
        <f>SUM(AV293:AZ293)</f>
        <v>0</v>
      </c>
      <c r="BB293" s="531"/>
    </row>
    <row r="294" spans="1:54" s="495" customFormat="1" outlineLevel="1" x14ac:dyDescent="0.25">
      <c r="A294" s="445"/>
      <c r="B294" s="623"/>
      <c r="C294" s="310"/>
      <c r="D294" s="604"/>
      <c r="E294" s="604"/>
      <c r="F294" s="604"/>
      <c r="G294" s="604"/>
      <c r="H294" s="618">
        <f>IFERROR(AVERAGE(D294:G294),0)</f>
        <v>0</v>
      </c>
      <c r="I294" s="127">
        <f t="shared" si="275"/>
        <v>0</v>
      </c>
      <c r="J294" s="127">
        <f t="shared" si="276"/>
        <v>0</v>
      </c>
      <c r="K294" s="127">
        <f t="shared" si="276"/>
        <v>0</v>
      </c>
      <c r="L294" s="127">
        <f t="shared" si="276"/>
        <v>0</v>
      </c>
      <c r="M294" s="127">
        <f t="shared" si="276"/>
        <v>0</v>
      </c>
      <c r="N294" s="245" t="str">
        <f>IF(C294="","",C294)</f>
        <v/>
      </c>
      <c r="O294" s="748"/>
      <c r="P294" s="757">
        <f t="shared" si="262"/>
        <v>0</v>
      </c>
      <c r="Q294" s="129">
        <f t="shared" si="277"/>
        <v>0</v>
      </c>
      <c r="R294" s="129">
        <f t="shared" si="278"/>
        <v>0</v>
      </c>
      <c r="S294" s="129">
        <f t="shared" si="279"/>
        <v>0</v>
      </c>
      <c r="T294" s="129">
        <f t="shared" si="280"/>
        <v>0</v>
      </c>
      <c r="U294" s="129">
        <f t="shared" si="281"/>
        <v>0</v>
      </c>
      <c r="V294" s="209">
        <f t="shared" si="282"/>
        <v>0</v>
      </c>
      <c r="W294" s="621"/>
      <c r="X294" s="222"/>
      <c r="Y294" s="325"/>
      <c r="Z294" s="774">
        <f>AA294/12</f>
        <v>0</v>
      </c>
      <c r="AA294" s="103">
        <f>IF(Y294&gt;0,PRODUCT(I294,$Y294),0)</f>
        <v>0</v>
      </c>
      <c r="AB294" s="103">
        <f t="shared" si="283"/>
        <v>0</v>
      </c>
      <c r="AC294" s="103">
        <f t="shared" si="283"/>
        <v>0</v>
      </c>
      <c r="AD294" s="103">
        <f t="shared" si="283"/>
        <v>0</v>
      </c>
      <c r="AE294" s="103">
        <f t="shared" si="283"/>
        <v>0</v>
      </c>
      <c r="AF294" s="123">
        <f>SUM(AA294:AE294)</f>
        <v>0</v>
      </c>
      <c r="AG294" s="743"/>
      <c r="AH294" s="362"/>
      <c r="AI294" s="221"/>
      <c r="AJ294" s="270"/>
      <c r="AK294" s="896">
        <f t="shared" si="270"/>
        <v>0</v>
      </c>
      <c r="AL294" s="105" cm="1">
        <f t="array" ref="AL294">_xlfn.IFS($AJ294="NO CHARGE",0,$AJ294=0,0,$AJ294&gt;0,PRODUCT(I294,$AJ294))</f>
        <v>0</v>
      </c>
      <c r="AM294" s="105" cm="1">
        <f t="array" ref="AM294">_xlfn.IFS($AJ294="NO CHARGE",0,$AJ294=0,0,$AJ294&gt;0,PRODUCT(J294,$AJ294))</f>
        <v>0</v>
      </c>
      <c r="AN294" s="105" cm="1">
        <f t="array" ref="AN294">_xlfn.IFS($AJ294="NO CHARGE",0,$AJ294=0,0,$AJ294&gt;0,PRODUCT(K294,$AJ294))</f>
        <v>0</v>
      </c>
      <c r="AO294" s="105" cm="1">
        <f t="array" ref="AO294">_xlfn.IFS($AJ294="NO CHARGE",0,$AJ294=0,0,$AJ294&gt;0,PRODUCT(L294,$AJ294))</f>
        <v>0</v>
      </c>
      <c r="AP294" s="105" cm="1">
        <f t="array" ref="AP294">_xlfn.IFS($AJ294="NO CHARGE",0,$AJ294=0,0,$AJ294&gt;0,PRODUCT(M294,$AJ294))</f>
        <v>0</v>
      </c>
      <c r="AQ294" s="158">
        <f t="shared" si="271"/>
        <v>0</v>
      </c>
      <c r="AR294" s="875"/>
      <c r="AS294" s="473"/>
      <c r="AT294" s="106"/>
      <c r="AU294" s="107"/>
      <c r="AV294" s="108">
        <f t="shared" si="284"/>
        <v>0</v>
      </c>
      <c r="AW294" s="108">
        <f t="shared" si="284"/>
        <v>0</v>
      </c>
      <c r="AX294" s="108">
        <f t="shared" si="284"/>
        <v>0</v>
      </c>
      <c r="AY294" s="108">
        <f t="shared" si="284"/>
        <v>0</v>
      </c>
      <c r="AZ294" s="108">
        <f t="shared" si="284"/>
        <v>0</v>
      </c>
      <c r="BA294" s="165">
        <f>SUM(AV294:AZ294)</f>
        <v>0</v>
      </c>
      <c r="BB294" s="531"/>
    </row>
    <row r="295" spans="1:54" s="495" customFormat="1" outlineLevel="1" x14ac:dyDescent="0.25">
      <c r="A295" s="445"/>
      <c r="B295" s="445"/>
      <c r="C295" s="310"/>
      <c r="D295" s="604"/>
      <c r="E295" s="604"/>
      <c r="F295" s="604"/>
      <c r="G295" s="604"/>
      <c r="H295" s="618"/>
      <c r="I295" s="127"/>
      <c r="J295" s="127"/>
      <c r="K295" s="127"/>
      <c r="L295" s="127"/>
      <c r="M295" s="127"/>
      <c r="N295" s="245" t="str">
        <f>IF(C295="","",C295)</f>
        <v/>
      </c>
      <c r="O295" s="586"/>
      <c r="P295" s="757">
        <f t="shared" si="262"/>
        <v>0</v>
      </c>
      <c r="Q295" s="129"/>
      <c r="R295" s="129"/>
      <c r="S295" s="129"/>
      <c r="T295" s="129"/>
      <c r="U295" s="129"/>
      <c r="V295" s="209"/>
      <c r="W295" s="528"/>
      <c r="X295" s="222"/>
      <c r="Y295" s="325"/>
      <c r="Z295" s="774"/>
      <c r="AA295" s="103">
        <f>IF(Y295&gt;0,PRODUCT(I295,$Y295),0)</f>
        <v>0</v>
      </c>
      <c r="AB295" s="103">
        <f t="shared" si="283"/>
        <v>0</v>
      </c>
      <c r="AC295" s="103">
        <f t="shared" si="283"/>
        <v>0</v>
      </c>
      <c r="AD295" s="103">
        <f t="shared" si="283"/>
        <v>0</v>
      </c>
      <c r="AE295" s="103">
        <f t="shared" si="283"/>
        <v>0</v>
      </c>
      <c r="AF295" s="123">
        <f>SUM(AA295:AE295)</f>
        <v>0</v>
      </c>
      <c r="AG295" s="743"/>
      <c r="AH295" s="370"/>
      <c r="AI295" s="221"/>
      <c r="AJ295" s="270"/>
      <c r="AK295" s="896">
        <f t="shared" si="270"/>
        <v>0</v>
      </c>
      <c r="AL295" s="105" cm="1">
        <f t="array" ref="AL295">_xlfn.IFS($AJ295="NO CHARGE",0,$AJ295=0,0,$AJ295&gt;0,PRODUCT(I295,$AJ295))</f>
        <v>0</v>
      </c>
      <c r="AM295" s="105" cm="1">
        <f t="array" ref="AM295">_xlfn.IFS($AJ295="NO CHARGE",0,$AJ295=0,0,$AJ295&gt;0,PRODUCT(J295,$AJ295))</f>
        <v>0</v>
      </c>
      <c r="AN295" s="105" cm="1">
        <f t="array" ref="AN295">_xlfn.IFS($AJ295="NO CHARGE",0,$AJ295=0,0,$AJ295&gt;0,PRODUCT(K295,$AJ295))</f>
        <v>0</v>
      </c>
      <c r="AO295" s="105" cm="1">
        <f t="array" ref="AO295">_xlfn.IFS($AJ295="NO CHARGE",0,$AJ295=0,0,$AJ295&gt;0,PRODUCT(L295,$AJ295))</f>
        <v>0</v>
      </c>
      <c r="AP295" s="105" cm="1">
        <f t="array" ref="AP295">_xlfn.IFS($AJ295="NO CHARGE",0,$AJ295=0,0,$AJ295&gt;0,PRODUCT(M295,$AJ295))</f>
        <v>0</v>
      </c>
      <c r="AQ295" s="158">
        <f t="shared" si="271"/>
        <v>0</v>
      </c>
      <c r="AR295" s="875"/>
      <c r="AS295" s="473"/>
      <c r="AT295" s="106"/>
      <c r="AU295" s="107"/>
      <c r="AV295" s="108">
        <f t="shared" si="284"/>
        <v>0</v>
      </c>
      <c r="AW295" s="108">
        <f t="shared" si="284"/>
        <v>0</v>
      </c>
      <c r="AX295" s="108">
        <f t="shared" si="284"/>
        <v>0</v>
      </c>
      <c r="AY295" s="108">
        <f t="shared" si="284"/>
        <v>0</v>
      </c>
      <c r="AZ295" s="108">
        <f t="shared" si="284"/>
        <v>0</v>
      </c>
      <c r="BA295" s="165">
        <f>SUM(AV295:AZ295)</f>
        <v>0</v>
      </c>
      <c r="BB295" s="531"/>
    </row>
    <row r="296" spans="1:54" s="495" customFormat="1" outlineLevel="1" x14ac:dyDescent="0.25">
      <c r="A296" s="445"/>
      <c r="B296" s="252" t="str">
        <f>C296</f>
        <v>CardPro Connect MC EMV:</v>
      </c>
      <c r="C296" s="242" t="s">
        <v>353</v>
      </c>
      <c r="D296" s="609"/>
      <c r="E296" s="609"/>
      <c r="F296" s="609"/>
      <c r="G296" s="609"/>
      <c r="H296" s="619"/>
      <c r="I296" s="243"/>
      <c r="J296" s="243"/>
      <c r="K296" s="243"/>
      <c r="L296" s="243"/>
      <c r="M296" s="244"/>
      <c r="N296" s="252" t="str">
        <f>IF(C296="","",C296)</f>
        <v>CardPro Connect MC EMV:</v>
      </c>
      <c r="O296" s="243"/>
      <c r="P296" s="756"/>
      <c r="Q296" s="243"/>
      <c r="R296" s="243"/>
      <c r="S296" s="243"/>
      <c r="T296" s="243"/>
      <c r="U296" s="244"/>
      <c r="V296" s="209"/>
      <c r="W296" s="527"/>
      <c r="X296" s="252" t="str">
        <f>C296</f>
        <v>CardPro Connect MC EMV:</v>
      </c>
      <c r="Y296" s="707"/>
      <c r="Z296" s="756"/>
      <c r="AA296" s="243"/>
      <c r="AB296" s="243"/>
      <c r="AC296" s="243"/>
      <c r="AD296" s="243"/>
      <c r="AE296" s="244"/>
      <c r="AF296" s="123"/>
      <c r="AG296" s="745"/>
      <c r="AH296" s="362"/>
      <c r="AI296" s="252" t="str">
        <f>C296</f>
        <v>CardPro Connect MC EMV:</v>
      </c>
      <c r="AJ296" s="707"/>
      <c r="AK296" s="895"/>
      <c r="AL296" s="243"/>
      <c r="AM296" s="243"/>
      <c r="AN296" s="243"/>
      <c r="AO296" s="243"/>
      <c r="AP296" s="244"/>
      <c r="AQ296" s="158">
        <f t="shared" si="271"/>
        <v>0</v>
      </c>
      <c r="AR296" s="874"/>
      <c r="AS296" s="874"/>
      <c r="AT296" s="252" t="str">
        <f>C296</f>
        <v>CardPro Connect MC EMV:</v>
      </c>
      <c r="AU296" s="243"/>
      <c r="AV296" s="243"/>
      <c r="AW296" s="243"/>
      <c r="AX296" s="243"/>
      <c r="AY296" s="243"/>
      <c r="AZ296" s="244"/>
      <c r="BA296" s="165"/>
      <c r="BB296" s="532"/>
    </row>
    <row r="297" spans="1:54" s="495" customFormat="1" outlineLevel="1" x14ac:dyDescent="0.25">
      <c r="A297" s="445"/>
      <c r="B297" s="623" t="s">
        <v>354</v>
      </c>
      <c r="C297" s="310" t="s">
        <v>355</v>
      </c>
      <c r="D297" s="604"/>
      <c r="E297" s="604">
        <v>1</v>
      </c>
      <c r="F297" s="604">
        <v>1</v>
      </c>
      <c r="G297" s="604">
        <v>1</v>
      </c>
      <c r="H297" s="618">
        <v>1</v>
      </c>
      <c r="I297" s="127">
        <f>H297*12</f>
        <v>12</v>
      </c>
      <c r="J297" s="127">
        <f t="shared" ref="J297:M298" si="285">IF(I297&gt;12,(((I297)*$H$5)+I297),(I297*1))</f>
        <v>12</v>
      </c>
      <c r="K297" s="127">
        <f t="shared" si="285"/>
        <v>12</v>
      </c>
      <c r="L297" s="127">
        <f t="shared" si="285"/>
        <v>12</v>
      </c>
      <c r="M297" s="127">
        <f t="shared" si="285"/>
        <v>12</v>
      </c>
      <c r="N297" s="245" t="str">
        <f>IF(C297="","",C297)</f>
        <v>CardPro Connect - Monthly Program Fee</v>
      </c>
      <c r="O297" s="586">
        <v>300</v>
      </c>
      <c r="P297" s="757">
        <f t="shared" ref="P297:P321" si="286">Q297/12</f>
        <v>300</v>
      </c>
      <c r="Q297" s="129">
        <f>IF(O297&gt;0,PRODUCT(I297,$O297),0)</f>
        <v>3600</v>
      </c>
      <c r="R297" s="129">
        <f t="shared" ref="R297:U298" si="287">IF(Q297&gt;0,PRODUCT(J297,$O297),0)</f>
        <v>3600</v>
      </c>
      <c r="S297" s="129">
        <f t="shared" si="287"/>
        <v>3600</v>
      </c>
      <c r="T297" s="129">
        <f t="shared" si="287"/>
        <v>3600</v>
      </c>
      <c r="U297" s="129">
        <f t="shared" si="287"/>
        <v>3600</v>
      </c>
      <c r="V297" s="209">
        <f>SUM(Q297:U297)</f>
        <v>18000</v>
      </c>
      <c r="W297" s="528"/>
      <c r="X297" s="222" t="str">
        <f>C297</f>
        <v>CardPro Connect - Monthly Program Fee</v>
      </c>
      <c r="Y297" s="325">
        <v>314.01</v>
      </c>
      <c r="Z297" s="774">
        <f>AA297/12</f>
        <v>314.01</v>
      </c>
      <c r="AA297" s="103">
        <f>IF(Y297&gt;0,PRODUCT(I297,$Y297),0)</f>
        <v>3768.12</v>
      </c>
      <c r="AB297" s="103">
        <f>IF(AA297&gt;0,PRODUCT(J297,$Y297),0)</f>
        <v>3768.12</v>
      </c>
      <c r="AC297" s="103">
        <f>IF(AB297&gt;0,PRODUCT(K297,$Y297),0)</f>
        <v>3768.12</v>
      </c>
      <c r="AD297" s="103">
        <f>IF(AC297&gt;0,PRODUCT(L297,$Y297),0)</f>
        <v>3768.12</v>
      </c>
      <c r="AE297" s="103">
        <f>IF(AD297&gt;0,PRODUCT(M297,$Y297),0)</f>
        <v>3768.12</v>
      </c>
      <c r="AF297" s="123">
        <f t="shared" ref="AF297:AF321" si="288">SUM(AA297:AE297)</f>
        <v>18840.599999999999</v>
      </c>
      <c r="AG297" s="743"/>
      <c r="AH297" s="370"/>
      <c r="AI297" s="221" t="str">
        <f>X297</f>
        <v>CardPro Connect - Monthly Program Fee</v>
      </c>
      <c r="AJ297" s="270">
        <v>314.01</v>
      </c>
      <c r="AK297" s="896">
        <f t="shared" ref="AK297:AK332" si="289">AL297/12</f>
        <v>314.01</v>
      </c>
      <c r="AL297" s="105" cm="1">
        <f t="array" ref="AL297">_xlfn.IFS($AJ297="NO CHARGE",0,$AJ297=0,0,$AJ297&gt;0,PRODUCT(I297,$AJ297))</f>
        <v>3768.12</v>
      </c>
      <c r="AM297" s="105" cm="1">
        <f t="array" ref="AM297">_xlfn.IFS($AJ297="NO CHARGE",0,$AJ297=0,0,$AJ297&gt;0,PRODUCT(J297,$AJ297))</f>
        <v>3768.12</v>
      </c>
      <c r="AN297" s="105" cm="1">
        <f t="array" ref="AN297">_xlfn.IFS($AJ297="NO CHARGE",0,$AJ297=0,0,$AJ297&gt;0,PRODUCT(K297,$AJ297))</f>
        <v>3768.12</v>
      </c>
      <c r="AO297" s="105" cm="1">
        <f t="array" ref="AO297">_xlfn.IFS($AJ297="NO CHARGE",0,$AJ297=0,0,$AJ297&gt;0,PRODUCT(L297,$AJ297))</f>
        <v>3768.12</v>
      </c>
      <c r="AP297" s="105" cm="1">
        <f t="array" ref="AP297">_xlfn.IFS($AJ297="NO CHARGE",0,$AJ297=0,0,$AJ297&gt;0,PRODUCT(M297,$AJ297))</f>
        <v>3768.12</v>
      </c>
      <c r="AQ297" s="158">
        <f t="shared" si="271"/>
        <v>18840.599999999999</v>
      </c>
      <c r="AR297" s="875"/>
      <c r="AS297" s="473"/>
      <c r="AT297" s="106"/>
      <c r="AU297" s="107"/>
      <c r="AV297" s="108">
        <f>IF(AU297&gt;0,PRODUCT(I297,$AU297),0)</f>
        <v>0</v>
      </c>
      <c r="AW297" s="108">
        <f>IF(AV297&gt;0,PRODUCT(J297,$AU297),0)</f>
        <v>0</v>
      </c>
      <c r="AX297" s="108">
        <f>IF(AW297&gt;0,PRODUCT(K297,$AU297),0)</f>
        <v>0</v>
      </c>
      <c r="AY297" s="108">
        <f>IF(AX297&gt;0,PRODUCT(L297,$AU297),0)</f>
        <v>0</v>
      </c>
      <c r="AZ297" s="108">
        <f>IF(AY297&gt;0,PRODUCT(M297,$AU297),0)</f>
        <v>0</v>
      </c>
      <c r="BA297" s="165">
        <f>SUM(AV297:AZ297)</f>
        <v>0</v>
      </c>
      <c r="BB297" s="531"/>
    </row>
    <row r="298" spans="1:54" s="495" customFormat="1" outlineLevel="1" x14ac:dyDescent="0.25">
      <c r="A298" s="445"/>
      <c r="B298" s="623" t="s">
        <v>354</v>
      </c>
      <c r="C298" s="310" t="s">
        <v>356</v>
      </c>
      <c r="D298" s="604"/>
      <c r="E298" s="604">
        <v>1000</v>
      </c>
      <c r="F298" s="604">
        <v>1000</v>
      </c>
      <c r="G298" s="604">
        <v>1000</v>
      </c>
      <c r="H298" s="618">
        <f>IFERROR(AVERAGE(D298:G298),0)</f>
        <v>1000</v>
      </c>
      <c r="I298" s="127">
        <f>H298*12</f>
        <v>12000</v>
      </c>
      <c r="J298" s="127">
        <f t="shared" si="285"/>
        <v>12600</v>
      </c>
      <c r="K298" s="127">
        <f t="shared" si="285"/>
        <v>13230</v>
      </c>
      <c r="L298" s="127">
        <f t="shared" si="285"/>
        <v>13891.5</v>
      </c>
      <c r="M298" s="127">
        <f t="shared" si="285"/>
        <v>14586.075000000001</v>
      </c>
      <c r="N298" s="245" t="str">
        <f>IF(C298="","",C298)</f>
        <v>Storage fee</v>
      </c>
      <c r="O298" s="586">
        <v>2.6499999999999999E-2</v>
      </c>
      <c r="P298" s="757">
        <f t="shared" si="286"/>
        <v>26.5</v>
      </c>
      <c r="Q298" s="129">
        <f>IF(O298&gt;0,PRODUCT(I298,$O298),0)</f>
        <v>318</v>
      </c>
      <c r="R298" s="129">
        <f t="shared" si="287"/>
        <v>333.9</v>
      </c>
      <c r="S298" s="129">
        <f t="shared" si="287"/>
        <v>350.59499999999997</v>
      </c>
      <c r="T298" s="129">
        <f t="shared" si="287"/>
        <v>368.12475000000001</v>
      </c>
      <c r="U298" s="129">
        <f t="shared" si="287"/>
        <v>386.53098749999998</v>
      </c>
      <c r="V298" s="209">
        <f>SUM(Q298:U298)</f>
        <v>1757.1507374999999</v>
      </c>
      <c r="W298" s="528"/>
      <c r="X298" s="222" t="str">
        <f>C298</f>
        <v>Storage fee</v>
      </c>
      <c r="Y298" s="783" t="s">
        <v>151</v>
      </c>
      <c r="Z298" s="774"/>
      <c r="AA298" s="103"/>
      <c r="AB298" s="103"/>
      <c r="AC298" s="103"/>
      <c r="AD298" s="103"/>
      <c r="AE298" s="103"/>
      <c r="AF298" s="123">
        <f t="shared" si="288"/>
        <v>0</v>
      </c>
      <c r="AG298" s="743"/>
      <c r="AH298" s="370"/>
      <c r="AI298" s="221" t="str">
        <f t="shared" ref="AI298:AI320" si="290">X298</f>
        <v>Storage fee</v>
      </c>
      <c r="AJ298" s="891" t="s">
        <v>151</v>
      </c>
      <c r="AK298" s="896"/>
      <c r="AL298" s="105"/>
      <c r="AM298" s="105"/>
      <c r="AN298" s="105"/>
      <c r="AO298" s="105"/>
      <c r="AP298" s="105"/>
      <c r="AQ298" s="158">
        <f t="shared" si="271"/>
        <v>0</v>
      </c>
      <c r="AR298" s="875"/>
      <c r="AS298" s="473"/>
      <c r="AT298" s="106"/>
      <c r="AU298" s="353"/>
      <c r="AV298" s="108"/>
      <c r="AW298" s="108"/>
      <c r="AX298" s="108"/>
      <c r="AY298" s="108"/>
      <c r="AZ298" s="108"/>
      <c r="BA298" s="165"/>
      <c r="BB298" s="531"/>
    </row>
    <row r="299" spans="1:54" s="495" customFormat="1" outlineLevel="1" x14ac:dyDescent="0.25">
      <c r="A299" s="445"/>
      <c r="B299" s="445"/>
      <c r="C299" s="310"/>
      <c r="D299" s="788">
        <v>45017</v>
      </c>
      <c r="E299" s="604"/>
      <c r="F299" s="622"/>
      <c r="G299" s="604"/>
      <c r="H299" s="618"/>
      <c r="I299" s="127"/>
      <c r="J299" s="127"/>
      <c r="K299" s="127"/>
      <c r="L299" s="127"/>
      <c r="M299" s="127"/>
      <c r="N299" s="245"/>
      <c r="O299" s="586"/>
      <c r="P299" s="757">
        <f t="shared" si="286"/>
        <v>0</v>
      </c>
      <c r="Q299" s="129"/>
      <c r="R299" s="129"/>
      <c r="S299" s="129"/>
      <c r="T299" s="129"/>
      <c r="U299" s="129"/>
      <c r="V299" s="209"/>
      <c r="W299" s="528"/>
      <c r="X299" s="222"/>
      <c r="Y299" s="325"/>
      <c r="Z299" s="774">
        <f t="shared" ref="Z299:Z321" si="291">AA299/12</f>
        <v>0</v>
      </c>
      <c r="AA299" s="103">
        <f t="shared" ref="AA299:AA321" si="292">IF(Y299&gt;0,PRODUCT(I299,$Y299),0)</f>
        <v>0</v>
      </c>
      <c r="AB299" s="103">
        <f t="shared" ref="AB299:AB332" si="293">IF(AA299&gt;0,PRODUCT(J299,$Y299),0)</f>
        <v>0</v>
      </c>
      <c r="AC299" s="103">
        <f t="shared" ref="AC299:AC332" si="294">IF(AB299&gt;0,PRODUCT(K299,$Y299),0)</f>
        <v>0</v>
      </c>
      <c r="AD299" s="103">
        <f t="shared" ref="AD299:AD332" si="295">IF(AC299&gt;0,PRODUCT(L299,$Y299),0)</f>
        <v>0</v>
      </c>
      <c r="AE299" s="103">
        <f t="shared" ref="AE299:AE332" si="296">IF(AD299&gt;0,PRODUCT(M299,$Y299),0)</f>
        <v>0</v>
      </c>
      <c r="AF299" s="123">
        <f t="shared" si="288"/>
        <v>0</v>
      </c>
      <c r="AG299" s="743"/>
      <c r="AH299" s="370"/>
      <c r="AI299" s="221"/>
      <c r="AJ299" s="270"/>
      <c r="AK299" s="896">
        <f t="shared" si="289"/>
        <v>0</v>
      </c>
      <c r="AL299" s="105" cm="1">
        <f t="array" ref="AL299">_xlfn.IFS($AJ299="NO CHARGE",0,$AJ299=0,0,$AJ299&gt;0,PRODUCT(I299,$AJ299))</f>
        <v>0</v>
      </c>
      <c r="AM299" s="105" cm="1">
        <f t="array" ref="AM299">_xlfn.IFS($AJ299="NO CHARGE",0,$AJ299=0,0,$AJ299&gt;0,PRODUCT(J299,$AJ299))</f>
        <v>0</v>
      </c>
      <c r="AN299" s="105" cm="1">
        <f t="array" ref="AN299">_xlfn.IFS($AJ299="NO CHARGE",0,$AJ299=0,0,$AJ299&gt;0,PRODUCT(K299,$AJ299))</f>
        <v>0</v>
      </c>
      <c r="AO299" s="105" cm="1">
        <f t="array" ref="AO299">_xlfn.IFS($AJ299="NO CHARGE",0,$AJ299=0,0,$AJ299&gt;0,PRODUCT(L299,$AJ299))</f>
        <v>0</v>
      </c>
      <c r="AP299" s="105" cm="1">
        <f t="array" ref="AP299">_xlfn.IFS($AJ299="NO CHARGE",0,$AJ299=0,0,$AJ299&gt;0,PRODUCT(M299,$AJ299))</f>
        <v>0</v>
      </c>
      <c r="AQ299" s="158">
        <f t="shared" si="271"/>
        <v>0</v>
      </c>
      <c r="AR299" s="875"/>
      <c r="AS299" s="473"/>
      <c r="AT299" s="106"/>
      <c r="AU299" s="107"/>
      <c r="AV299" s="108"/>
      <c r="AW299" s="108"/>
      <c r="AX299" s="108"/>
      <c r="AY299" s="108"/>
      <c r="AZ299" s="108"/>
      <c r="BA299" s="165"/>
      <c r="BB299" s="531"/>
    </row>
    <row r="300" spans="1:54" s="495" customFormat="1" outlineLevel="1" x14ac:dyDescent="0.25">
      <c r="A300" s="445"/>
      <c r="B300" s="623" t="s">
        <v>357</v>
      </c>
      <c r="C300" s="310" t="s">
        <v>358</v>
      </c>
      <c r="D300" s="604">
        <v>668</v>
      </c>
      <c r="E300" s="604">
        <v>443</v>
      </c>
      <c r="F300" s="604">
        <v>461</v>
      </c>
      <c r="G300" s="604">
        <v>456</v>
      </c>
      <c r="H300" s="618">
        <f t="shared" ref="H300:H307" si="297">IFERROR(AVERAGE(D300:G300),0)</f>
        <v>507</v>
      </c>
      <c r="I300" s="127">
        <f t="shared" ref="I300:I307" si="298">H300*12</f>
        <v>6084</v>
      </c>
      <c r="J300" s="127">
        <f t="shared" ref="J300:M307" si="299">IF(I300&gt;12,(((I300)*$H$5)+I300),(I300*1))</f>
        <v>6388.2</v>
      </c>
      <c r="K300" s="127">
        <f t="shared" si="299"/>
        <v>6707.61</v>
      </c>
      <c r="L300" s="127">
        <f t="shared" si="299"/>
        <v>7042.9904999999999</v>
      </c>
      <c r="M300" s="127">
        <f t="shared" si="299"/>
        <v>7395.1400249999997</v>
      </c>
      <c r="N300" s="245" t="str">
        <f t="shared" ref="N300:N307" si="300">IF(C300="","",C300)</f>
        <v>Card Prod - Secured</v>
      </c>
      <c r="O300" s="586">
        <v>0.63629999999999998</v>
      </c>
      <c r="P300" s="757">
        <f t="shared" si="286"/>
        <v>322.60409999999996</v>
      </c>
      <c r="Q300" s="129">
        <f t="shared" ref="Q300:Q307" si="301">IF(O300&gt;0,PRODUCT(I300,$O300),0)</f>
        <v>3871.2491999999997</v>
      </c>
      <c r="R300" s="129">
        <f t="shared" ref="R300:U307" si="302">IF(Q300&gt;0,PRODUCT(J300,$O300),0)</f>
        <v>4064.8116599999998</v>
      </c>
      <c r="S300" s="129">
        <f t="shared" si="302"/>
        <v>4268.0522430000001</v>
      </c>
      <c r="T300" s="129">
        <f t="shared" si="302"/>
        <v>4481.4548551500002</v>
      </c>
      <c r="U300" s="129">
        <f t="shared" si="302"/>
        <v>4705.5275979074995</v>
      </c>
      <c r="V300" s="209">
        <f t="shared" ref="V300:V307" si="303">SUM(Q300:U300)</f>
        <v>21391.095556057502</v>
      </c>
      <c r="W300" s="528"/>
      <c r="X300" s="222" t="str">
        <f t="shared" ref="X300:X307" si="304">C300</f>
        <v>Card Prod - Secured</v>
      </c>
      <c r="Y300" s="325">
        <v>0.66600000000000004</v>
      </c>
      <c r="Z300" s="774">
        <f t="shared" si="291"/>
        <v>337.66200000000003</v>
      </c>
      <c r="AA300" s="103">
        <f t="shared" si="292"/>
        <v>4051.9440000000004</v>
      </c>
      <c r="AB300" s="103">
        <f t="shared" si="293"/>
        <v>4254.5411999999997</v>
      </c>
      <c r="AC300" s="103">
        <f t="shared" si="294"/>
        <v>4467.2682599999998</v>
      </c>
      <c r="AD300" s="103">
        <f t="shared" si="295"/>
        <v>4690.6316729999999</v>
      </c>
      <c r="AE300" s="103">
        <f t="shared" si="296"/>
        <v>4925.1632566500002</v>
      </c>
      <c r="AF300" s="123">
        <f t="shared" si="288"/>
        <v>22389.548389650001</v>
      </c>
      <c r="AG300" s="743"/>
      <c r="AH300" s="370"/>
      <c r="AI300" s="221" t="str">
        <f t="shared" si="290"/>
        <v>Card Prod - Secured</v>
      </c>
      <c r="AJ300" s="270">
        <v>0.66600000000000004</v>
      </c>
      <c r="AK300" s="896">
        <f t="shared" si="289"/>
        <v>337.66200000000003</v>
      </c>
      <c r="AL300" s="105" cm="1">
        <f t="array" ref="AL300">_xlfn.IFS($AJ300="NO CHARGE",0,$AJ300=0,0,$AJ300&gt;0,PRODUCT(I300,$AJ300))</f>
        <v>4051.9440000000004</v>
      </c>
      <c r="AM300" s="105" cm="1">
        <f t="array" ref="AM300">_xlfn.IFS($AJ300="NO CHARGE",0,$AJ300=0,0,$AJ300&gt;0,PRODUCT(J300,$AJ300))</f>
        <v>4254.5411999999997</v>
      </c>
      <c r="AN300" s="105" cm="1">
        <f t="array" ref="AN300">_xlfn.IFS($AJ300="NO CHARGE",0,$AJ300=0,0,$AJ300&gt;0,PRODUCT(K300,$AJ300))</f>
        <v>4467.2682599999998</v>
      </c>
      <c r="AO300" s="105" cm="1">
        <f t="array" ref="AO300">_xlfn.IFS($AJ300="NO CHARGE",0,$AJ300=0,0,$AJ300&gt;0,PRODUCT(L300,$AJ300))</f>
        <v>4690.6316729999999</v>
      </c>
      <c r="AP300" s="105" cm="1">
        <f t="array" ref="AP300">_xlfn.IFS($AJ300="NO CHARGE",0,$AJ300=0,0,$AJ300&gt;0,PRODUCT(M300,$AJ300))</f>
        <v>4925.1632566500002</v>
      </c>
      <c r="AQ300" s="158">
        <f t="shared" si="271"/>
        <v>22389.548389650001</v>
      </c>
      <c r="AR300" s="875"/>
      <c r="AS300" s="473"/>
      <c r="AT300" s="106"/>
      <c r="AU300" s="107"/>
      <c r="AV300" s="108">
        <f t="shared" ref="AV300:AZ302" si="305">IF(AU300&gt;0,PRODUCT(I300,$AU300),0)</f>
        <v>0</v>
      </c>
      <c r="AW300" s="108">
        <f t="shared" si="305"/>
        <v>0</v>
      </c>
      <c r="AX300" s="108">
        <f t="shared" si="305"/>
        <v>0</v>
      </c>
      <c r="AY300" s="108">
        <f t="shared" si="305"/>
        <v>0</v>
      </c>
      <c r="AZ300" s="108">
        <f t="shared" si="305"/>
        <v>0</v>
      </c>
      <c r="BA300" s="165">
        <f>SUM(AV300:AZ300)</f>
        <v>0</v>
      </c>
      <c r="BB300" s="531"/>
    </row>
    <row r="301" spans="1:54" s="495" customFormat="1" outlineLevel="1" x14ac:dyDescent="0.25">
      <c r="A301" s="445"/>
      <c r="B301" s="623" t="s">
        <v>357</v>
      </c>
      <c r="C301" s="310" t="s">
        <v>359</v>
      </c>
      <c r="D301" s="604">
        <v>46</v>
      </c>
      <c r="E301" s="604">
        <v>42</v>
      </c>
      <c r="F301" s="604">
        <v>39</v>
      </c>
      <c r="G301" s="604">
        <v>45</v>
      </c>
      <c r="H301" s="618">
        <f t="shared" si="297"/>
        <v>43</v>
      </c>
      <c r="I301" s="127">
        <f t="shared" si="298"/>
        <v>516</v>
      </c>
      <c r="J301" s="127">
        <f t="shared" si="299"/>
        <v>541.79999999999995</v>
      </c>
      <c r="K301" s="127">
        <f t="shared" si="299"/>
        <v>568.89</v>
      </c>
      <c r="L301" s="127">
        <f t="shared" si="299"/>
        <v>597.33449999999993</v>
      </c>
      <c r="M301" s="127">
        <f t="shared" si="299"/>
        <v>627.20122499999991</v>
      </c>
      <c r="N301" s="245" t="str">
        <f t="shared" si="300"/>
        <v>Card Prod Setup - Secured</v>
      </c>
      <c r="O301" s="586">
        <v>12.725899999999999</v>
      </c>
      <c r="P301" s="757">
        <f t="shared" si="286"/>
        <v>547.2136999999999</v>
      </c>
      <c r="Q301" s="129">
        <f t="shared" si="301"/>
        <v>6566.5643999999993</v>
      </c>
      <c r="R301" s="129">
        <f t="shared" si="302"/>
        <v>6894.8926199999987</v>
      </c>
      <c r="S301" s="129">
        <f t="shared" si="302"/>
        <v>7239.6372509999992</v>
      </c>
      <c r="T301" s="129">
        <f t="shared" si="302"/>
        <v>7601.6191135499985</v>
      </c>
      <c r="U301" s="129">
        <f t="shared" si="302"/>
        <v>7981.7000692274987</v>
      </c>
      <c r="V301" s="209">
        <f t="shared" si="303"/>
        <v>36284.413453777495</v>
      </c>
      <c r="W301" s="528"/>
      <c r="X301" s="222" t="str">
        <f t="shared" si="304"/>
        <v>Card Prod Setup - Secured</v>
      </c>
      <c r="Y301" s="325">
        <v>13.3202</v>
      </c>
      <c r="Z301" s="774">
        <f t="shared" si="291"/>
        <v>572.76859999999999</v>
      </c>
      <c r="AA301" s="103">
        <f t="shared" si="292"/>
        <v>6873.2232000000004</v>
      </c>
      <c r="AB301" s="103">
        <f t="shared" si="293"/>
        <v>7216.8843599999991</v>
      </c>
      <c r="AC301" s="103">
        <f t="shared" si="294"/>
        <v>7577.7285779999993</v>
      </c>
      <c r="AD301" s="103">
        <f t="shared" si="295"/>
        <v>7956.6150068999987</v>
      </c>
      <c r="AE301" s="103">
        <f t="shared" si="296"/>
        <v>8354.4457572449992</v>
      </c>
      <c r="AF301" s="123">
        <f t="shared" si="288"/>
        <v>37978.896902144996</v>
      </c>
      <c r="AG301" s="743"/>
      <c r="AH301" s="370"/>
      <c r="AI301" s="221" t="str">
        <f t="shared" si="290"/>
        <v>Card Prod Setup - Secured</v>
      </c>
      <c r="AJ301" s="270">
        <v>13.3202</v>
      </c>
      <c r="AK301" s="896">
        <f t="shared" si="289"/>
        <v>572.76859999999999</v>
      </c>
      <c r="AL301" s="105" cm="1">
        <f t="array" ref="AL301">_xlfn.IFS($AJ301="NO CHARGE",0,$AJ301=0,0,$AJ301&gt;0,PRODUCT(I301,$AJ301))</f>
        <v>6873.2232000000004</v>
      </c>
      <c r="AM301" s="105" cm="1">
        <f t="array" ref="AM301">_xlfn.IFS($AJ301="NO CHARGE",0,$AJ301=0,0,$AJ301&gt;0,PRODUCT(J301,$AJ301))</f>
        <v>7216.8843599999991</v>
      </c>
      <c r="AN301" s="105" cm="1">
        <f t="array" ref="AN301">_xlfn.IFS($AJ301="NO CHARGE",0,$AJ301=0,0,$AJ301&gt;0,PRODUCT(K301,$AJ301))</f>
        <v>7577.7285779999993</v>
      </c>
      <c r="AO301" s="105" cm="1">
        <f t="array" ref="AO301">_xlfn.IFS($AJ301="NO CHARGE",0,$AJ301=0,0,$AJ301&gt;0,PRODUCT(L301,$AJ301))</f>
        <v>7956.6150068999987</v>
      </c>
      <c r="AP301" s="105" cm="1">
        <f t="array" ref="AP301">_xlfn.IFS($AJ301="NO CHARGE",0,$AJ301=0,0,$AJ301&gt;0,PRODUCT(M301,$AJ301))</f>
        <v>8354.4457572449992</v>
      </c>
      <c r="AQ301" s="158">
        <f t="shared" si="271"/>
        <v>37978.896902144996</v>
      </c>
      <c r="AR301" s="875"/>
      <c r="AS301" s="473"/>
      <c r="AT301" s="106"/>
      <c r="AU301" s="107"/>
      <c r="AV301" s="108">
        <f t="shared" si="305"/>
        <v>0</v>
      </c>
      <c r="AW301" s="108">
        <f t="shared" si="305"/>
        <v>0</v>
      </c>
      <c r="AX301" s="108">
        <f t="shared" si="305"/>
        <v>0</v>
      </c>
      <c r="AY301" s="108">
        <f t="shared" si="305"/>
        <v>0</v>
      </c>
      <c r="AZ301" s="108">
        <f t="shared" si="305"/>
        <v>0</v>
      </c>
      <c r="BA301" s="165">
        <f>SUM(AV301:AZ301)</f>
        <v>0</v>
      </c>
      <c r="BB301" s="531"/>
    </row>
    <row r="302" spans="1:54" s="495" customFormat="1" outlineLevel="1" x14ac:dyDescent="0.25">
      <c r="A302" s="445"/>
      <c r="B302" s="623" t="s">
        <v>357</v>
      </c>
      <c r="C302" s="310" t="s">
        <v>360</v>
      </c>
      <c r="D302" s="604">
        <v>668</v>
      </c>
      <c r="E302" s="604">
        <v>443</v>
      </c>
      <c r="F302" s="604">
        <v>461</v>
      </c>
      <c r="G302" s="604">
        <v>456</v>
      </c>
      <c r="H302" s="618">
        <f t="shared" si="297"/>
        <v>507</v>
      </c>
      <c r="I302" s="127">
        <f t="shared" si="298"/>
        <v>6084</v>
      </c>
      <c r="J302" s="127">
        <f t="shared" si="299"/>
        <v>6388.2</v>
      </c>
      <c r="K302" s="127">
        <f t="shared" si="299"/>
        <v>6707.61</v>
      </c>
      <c r="L302" s="127">
        <f t="shared" si="299"/>
        <v>7042.9904999999999</v>
      </c>
      <c r="M302" s="127">
        <f t="shared" si="299"/>
        <v>7395.1400249999997</v>
      </c>
      <c r="N302" s="245" t="str">
        <f t="shared" si="300"/>
        <v>Card Prod - CVC/CVV/Indent</v>
      </c>
      <c r="O302" s="586">
        <v>5.2999999999999999E-2</v>
      </c>
      <c r="P302" s="757">
        <f t="shared" si="286"/>
        <v>26.870999999999999</v>
      </c>
      <c r="Q302" s="129">
        <f t="shared" si="301"/>
        <v>322.452</v>
      </c>
      <c r="R302" s="129">
        <f t="shared" si="302"/>
        <v>338.57459999999998</v>
      </c>
      <c r="S302" s="129">
        <f t="shared" si="302"/>
        <v>355.50332999999995</v>
      </c>
      <c r="T302" s="129">
        <f t="shared" si="302"/>
        <v>373.27849649999996</v>
      </c>
      <c r="U302" s="129">
        <f t="shared" si="302"/>
        <v>391.942421325</v>
      </c>
      <c r="V302" s="209">
        <f t="shared" si="303"/>
        <v>1781.7508478249997</v>
      </c>
      <c r="W302" s="528"/>
      <c r="X302" s="222" t="str">
        <f t="shared" si="304"/>
        <v>Card Prod - CVC/CVV/Indent</v>
      </c>
      <c r="Y302" s="325">
        <v>5.5500000000000001E-2</v>
      </c>
      <c r="Z302" s="774">
        <f t="shared" si="291"/>
        <v>28.138499999999997</v>
      </c>
      <c r="AA302" s="103">
        <f t="shared" si="292"/>
        <v>337.66199999999998</v>
      </c>
      <c r="AB302" s="103">
        <f t="shared" si="293"/>
        <v>354.54509999999999</v>
      </c>
      <c r="AC302" s="103">
        <f t="shared" si="294"/>
        <v>372.272355</v>
      </c>
      <c r="AD302" s="103">
        <f t="shared" si="295"/>
        <v>390.88597275000001</v>
      </c>
      <c r="AE302" s="103">
        <f t="shared" si="296"/>
        <v>410.4302713875</v>
      </c>
      <c r="AF302" s="123">
        <f t="shared" si="288"/>
        <v>1865.7956991374999</v>
      </c>
      <c r="AG302" s="743"/>
      <c r="AH302" s="370"/>
      <c r="AI302" s="221" t="str">
        <f t="shared" si="290"/>
        <v>Card Prod - CVC/CVV/Indent</v>
      </c>
      <c r="AJ302" s="886">
        <v>5.5500000000000001E-2</v>
      </c>
      <c r="AK302" s="896">
        <f t="shared" si="289"/>
        <v>28.138499999999997</v>
      </c>
      <c r="AL302" s="105" cm="1">
        <f t="array" ref="AL302">_xlfn.IFS($AJ302="NO CHARGE",0,$AJ302=0,0,$AJ302&gt;0,PRODUCT(I302,$AJ302))</f>
        <v>337.66199999999998</v>
      </c>
      <c r="AM302" s="105" cm="1">
        <f t="array" ref="AM302">_xlfn.IFS($AJ302="NO CHARGE",0,$AJ302=0,0,$AJ302&gt;0,PRODUCT(J302,$AJ302))</f>
        <v>354.54509999999999</v>
      </c>
      <c r="AN302" s="105" cm="1">
        <f t="array" ref="AN302">_xlfn.IFS($AJ302="NO CHARGE",0,$AJ302=0,0,$AJ302&gt;0,PRODUCT(K302,$AJ302))</f>
        <v>372.272355</v>
      </c>
      <c r="AO302" s="105" cm="1">
        <f t="array" ref="AO302">_xlfn.IFS($AJ302="NO CHARGE",0,$AJ302=0,0,$AJ302&gt;0,PRODUCT(L302,$AJ302))</f>
        <v>390.88597275000001</v>
      </c>
      <c r="AP302" s="105" cm="1">
        <f t="array" ref="AP302">_xlfn.IFS($AJ302="NO CHARGE",0,$AJ302=0,0,$AJ302&gt;0,PRODUCT(M302,$AJ302))</f>
        <v>410.4302713875</v>
      </c>
      <c r="AQ302" s="158">
        <f t="shared" si="271"/>
        <v>1865.7956991374999</v>
      </c>
      <c r="AR302" s="875"/>
      <c r="AS302" s="473"/>
      <c r="AT302" s="106"/>
      <c r="AU302" s="353"/>
      <c r="AV302" s="108">
        <f t="shared" si="305"/>
        <v>0</v>
      </c>
      <c r="AW302" s="108">
        <f t="shared" si="305"/>
        <v>0</v>
      </c>
      <c r="AX302" s="108">
        <f t="shared" si="305"/>
        <v>0</v>
      </c>
      <c r="AY302" s="108">
        <f t="shared" si="305"/>
        <v>0</v>
      </c>
      <c r="AZ302" s="108">
        <f t="shared" si="305"/>
        <v>0</v>
      </c>
      <c r="BA302" s="165">
        <f>SUM(AV302:AZ302)</f>
        <v>0</v>
      </c>
      <c r="BB302" s="531"/>
    </row>
    <row r="303" spans="1:54" s="495" customFormat="1" outlineLevel="1" x14ac:dyDescent="0.25">
      <c r="A303" s="445"/>
      <c r="B303" s="623" t="s">
        <v>357</v>
      </c>
      <c r="C303" s="310" t="s">
        <v>361</v>
      </c>
      <c r="D303" s="604">
        <v>668</v>
      </c>
      <c r="E303" s="604">
        <v>443</v>
      </c>
      <c r="F303" s="604">
        <v>461</v>
      </c>
      <c r="G303" s="604">
        <v>456</v>
      </c>
      <c r="H303" s="618">
        <f t="shared" si="297"/>
        <v>507</v>
      </c>
      <c r="I303" s="127">
        <f t="shared" si="298"/>
        <v>6084</v>
      </c>
      <c r="J303" s="127">
        <f t="shared" si="299"/>
        <v>6388.2</v>
      </c>
      <c r="K303" s="127">
        <f t="shared" si="299"/>
        <v>6707.61</v>
      </c>
      <c r="L303" s="127">
        <f t="shared" si="299"/>
        <v>7042.9904999999999</v>
      </c>
      <c r="M303" s="127">
        <f t="shared" si="299"/>
        <v>7395.1400249999997</v>
      </c>
      <c r="N303" s="245" t="str">
        <f t="shared" si="300"/>
        <v>Card Prod - Carrier (S)</v>
      </c>
      <c r="O303" s="586">
        <v>6.3700000000000007E-2</v>
      </c>
      <c r="P303" s="757">
        <f t="shared" si="286"/>
        <v>32.295900000000003</v>
      </c>
      <c r="Q303" s="129">
        <f t="shared" si="301"/>
        <v>387.55080000000004</v>
      </c>
      <c r="R303" s="129">
        <f t="shared" si="302"/>
        <v>406.92834000000005</v>
      </c>
      <c r="S303" s="129">
        <f t="shared" si="302"/>
        <v>427.27475700000002</v>
      </c>
      <c r="T303" s="129">
        <f t="shared" si="302"/>
        <v>448.63849485000003</v>
      </c>
      <c r="U303" s="129">
        <f t="shared" si="302"/>
        <v>471.0704195925</v>
      </c>
      <c r="V303" s="209">
        <f t="shared" si="303"/>
        <v>2141.4628114425</v>
      </c>
      <c r="W303" s="528"/>
      <c r="X303" s="222" t="str">
        <f t="shared" si="304"/>
        <v>Card Prod - Carrier (S)</v>
      </c>
      <c r="Y303" s="325">
        <v>6.6699999999999995E-2</v>
      </c>
      <c r="Z303" s="774">
        <f t="shared" si="291"/>
        <v>33.816899999999997</v>
      </c>
      <c r="AA303" s="103">
        <f t="shared" si="292"/>
        <v>405.80279999999999</v>
      </c>
      <c r="AB303" s="103">
        <f t="shared" si="293"/>
        <v>426.09293999999994</v>
      </c>
      <c r="AC303" s="103">
        <f t="shared" si="294"/>
        <v>447.39758699999993</v>
      </c>
      <c r="AD303" s="103">
        <f t="shared" si="295"/>
        <v>469.76746634999995</v>
      </c>
      <c r="AE303" s="103">
        <f t="shared" si="296"/>
        <v>493.25583966749997</v>
      </c>
      <c r="AF303" s="123">
        <f t="shared" si="288"/>
        <v>2242.3166330175</v>
      </c>
      <c r="AG303" s="743"/>
      <c r="AH303" s="370"/>
      <c r="AI303" s="221" t="str">
        <f t="shared" si="290"/>
        <v>Card Prod - Carrier (S)</v>
      </c>
      <c r="AJ303" s="886">
        <v>6.6699999999999995E-2</v>
      </c>
      <c r="AK303" s="896">
        <f t="shared" si="289"/>
        <v>33.816899999999997</v>
      </c>
      <c r="AL303" s="105" cm="1">
        <f t="array" ref="AL303">_xlfn.IFS($AJ303="NO CHARGE",0,$AJ303=0,0,$AJ303&gt;0,PRODUCT(I303,$AJ303))</f>
        <v>405.80279999999999</v>
      </c>
      <c r="AM303" s="105" cm="1">
        <f t="array" ref="AM303">_xlfn.IFS($AJ303="NO CHARGE",0,$AJ303=0,0,$AJ303&gt;0,PRODUCT(J303,$AJ303))</f>
        <v>426.09293999999994</v>
      </c>
      <c r="AN303" s="105" cm="1">
        <f t="array" ref="AN303">_xlfn.IFS($AJ303="NO CHARGE",0,$AJ303=0,0,$AJ303&gt;0,PRODUCT(K303,$AJ303))</f>
        <v>447.39758699999993</v>
      </c>
      <c r="AO303" s="105" cm="1">
        <f t="array" ref="AO303">_xlfn.IFS($AJ303="NO CHARGE",0,$AJ303=0,0,$AJ303&gt;0,PRODUCT(L303,$AJ303))</f>
        <v>469.76746634999995</v>
      </c>
      <c r="AP303" s="105" cm="1">
        <f t="array" ref="AP303">_xlfn.IFS($AJ303="NO CHARGE",0,$AJ303=0,0,$AJ303&gt;0,PRODUCT(M303,$AJ303))</f>
        <v>493.25583966749997</v>
      </c>
      <c r="AQ303" s="158">
        <f t="shared" si="271"/>
        <v>2242.3166330175</v>
      </c>
      <c r="AR303" s="875"/>
      <c r="AS303" s="473"/>
      <c r="AT303" s="106"/>
      <c r="AU303" s="353"/>
      <c r="AV303" s="108"/>
      <c r="AW303" s="108"/>
      <c r="AX303" s="108"/>
      <c r="AY303" s="108"/>
      <c r="AZ303" s="108"/>
      <c r="BA303" s="165"/>
      <c r="BB303" s="531"/>
    </row>
    <row r="304" spans="1:54" s="495" customFormat="1" outlineLevel="1" x14ac:dyDescent="0.25">
      <c r="A304" s="445"/>
      <c r="B304" s="623" t="s">
        <v>357</v>
      </c>
      <c r="C304" s="310" t="s">
        <v>362</v>
      </c>
      <c r="D304" s="604">
        <v>668</v>
      </c>
      <c r="E304" s="604">
        <v>443</v>
      </c>
      <c r="F304" s="604">
        <v>461</v>
      </c>
      <c r="G304" s="604">
        <v>456</v>
      </c>
      <c r="H304" s="618">
        <f t="shared" si="297"/>
        <v>507</v>
      </c>
      <c r="I304" s="127">
        <f t="shared" si="298"/>
        <v>6084</v>
      </c>
      <c r="J304" s="127">
        <f t="shared" si="299"/>
        <v>6388.2</v>
      </c>
      <c r="K304" s="127">
        <f t="shared" si="299"/>
        <v>6707.61</v>
      </c>
      <c r="L304" s="127">
        <f t="shared" si="299"/>
        <v>7042.9904999999999</v>
      </c>
      <c r="M304" s="127">
        <f t="shared" si="299"/>
        <v>7395.1400249999997</v>
      </c>
      <c r="N304" s="245" t="str">
        <f t="shared" si="300"/>
        <v>Card Prod - Envelope (S)</v>
      </c>
      <c r="O304" s="586">
        <v>6.3700000000000007E-2</v>
      </c>
      <c r="P304" s="757">
        <f t="shared" si="286"/>
        <v>32.295900000000003</v>
      </c>
      <c r="Q304" s="129">
        <f t="shared" si="301"/>
        <v>387.55080000000004</v>
      </c>
      <c r="R304" s="129">
        <f t="shared" si="302"/>
        <v>406.92834000000005</v>
      </c>
      <c r="S304" s="129">
        <f t="shared" si="302"/>
        <v>427.27475700000002</v>
      </c>
      <c r="T304" s="129">
        <f t="shared" si="302"/>
        <v>448.63849485000003</v>
      </c>
      <c r="U304" s="129">
        <f t="shared" si="302"/>
        <v>471.0704195925</v>
      </c>
      <c r="V304" s="209">
        <f t="shared" si="303"/>
        <v>2141.4628114425</v>
      </c>
      <c r="W304" s="528"/>
      <c r="X304" s="222" t="str">
        <f t="shared" si="304"/>
        <v>Card Prod - Envelope (S)</v>
      </c>
      <c r="Y304" s="325">
        <v>6.6699999999999995E-2</v>
      </c>
      <c r="Z304" s="774">
        <f t="shared" si="291"/>
        <v>33.816899999999997</v>
      </c>
      <c r="AA304" s="103">
        <f t="shared" si="292"/>
        <v>405.80279999999999</v>
      </c>
      <c r="AB304" s="103">
        <f t="shared" si="293"/>
        <v>426.09293999999994</v>
      </c>
      <c r="AC304" s="103">
        <f t="shared" si="294"/>
        <v>447.39758699999993</v>
      </c>
      <c r="AD304" s="103">
        <f t="shared" si="295"/>
        <v>469.76746634999995</v>
      </c>
      <c r="AE304" s="103">
        <f t="shared" si="296"/>
        <v>493.25583966749997</v>
      </c>
      <c r="AF304" s="123">
        <f t="shared" si="288"/>
        <v>2242.3166330175</v>
      </c>
      <c r="AG304" s="743"/>
      <c r="AH304" s="370"/>
      <c r="AI304" s="221" t="str">
        <f t="shared" si="290"/>
        <v>Card Prod - Envelope (S)</v>
      </c>
      <c r="AJ304" s="886">
        <v>6.6699999999999995E-2</v>
      </c>
      <c r="AK304" s="896">
        <f t="shared" si="289"/>
        <v>33.816899999999997</v>
      </c>
      <c r="AL304" s="105" cm="1">
        <f t="array" ref="AL304">_xlfn.IFS($AJ304="NO CHARGE",0,$AJ304=0,0,$AJ304&gt;0,PRODUCT(I304,$AJ304))</f>
        <v>405.80279999999999</v>
      </c>
      <c r="AM304" s="105" cm="1">
        <f t="array" ref="AM304">_xlfn.IFS($AJ304="NO CHARGE",0,$AJ304=0,0,$AJ304&gt;0,PRODUCT(J304,$AJ304))</f>
        <v>426.09293999999994</v>
      </c>
      <c r="AN304" s="105" cm="1">
        <f t="array" ref="AN304">_xlfn.IFS($AJ304="NO CHARGE",0,$AJ304=0,0,$AJ304&gt;0,PRODUCT(K304,$AJ304))</f>
        <v>447.39758699999993</v>
      </c>
      <c r="AO304" s="105" cm="1">
        <f t="array" ref="AO304">_xlfn.IFS($AJ304="NO CHARGE",0,$AJ304=0,0,$AJ304&gt;0,PRODUCT(L304,$AJ304))</f>
        <v>469.76746634999995</v>
      </c>
      <c r="AP304" s="105" cm="1">
        <f t="array" ref="AP304">_xlfn.IFS($AJ304="NO CHARGE",0,$AJ304=0,0,$AJ304&gt;0,PRODUCT(M304,$AJ304))</f>
        <v>493.25583966749997</v>
      </c>
      <c r="AQ304" s="158">
        <f t="shared" si="271"/>
        <v>2242.3166330175</v>
      </c>
      <c r="AR304" s="875"/>
      <c r="AS304" s="473"/>
      <c r="AT304" s="106"/>
      <c r="AU304" s="353"/>
      <c r="AV304" s="108"/>
      <c r="AW304" s="108"/>
      <c r="AX304" s="108"/>
      <c r="AY304" s="108"/>
      <c r="AZ304" s="108"/>
      <c r="BA304" s="165"/>
      <c r="BB304" s="531"/>
    </row>
    <row r="305" spans="1:54" s="495" customFormat="1" outlineLevel="1" x14ac:dyDescent="0.25">
      <c r="A305" s="445"/>
      <c r="B305" s="623" t="s">
        <v>357</v>
      </c>
      <c r="C305" s="310" t="s">
        <v>363</v>
      </c>
      <c r="D305" s="604">
        <v>668</v>
      </c>
      <c r="E305" s="604">
        <v>443</v>
      </c>
      <c r="F305" s="604">
        <v>461</v>
      </c>
      <c r="G305" s="604">
        <v>456</v>
      </c>
      <c r="H305" s="618">
        <f t="shared" si="297"/>
        <v>507</v>
      </c>
      <c r="I305" s="127">
        <f t="shared" si="298"/>
        <v>6084</v>
      </c>
      <c r="J305" s="127">
        <f t="shared" si="299"/>
        <v>6388.2</v>
      </c>
      <c r="K305" s="127">
        <f t="shared" si="299"/>
        <v>6707.61</v>
      </c>
      <c r="L305" s="127">
        <f t="shared" si="299"/>
        <v>7042.9904999999999</v>
      </c>
      <c r="M305" s="127">
        <f t="shared" si="299"/>
        <v>7395.1400249999997</v>
      </c>
      <c r="N305" s="245" t="str">
        <f t="shared" si="300"/>
        <v>Contact Only Chip Personalization</v>
      </c>
      <c r="O305" s="586">
        <v>0.2651</v>
      </c>
      <c r="P305" s="757">
        <f t="shared" si="286"/>
        <v>134.4057</v>
      </c>
      <c r="Q305" s="129">
        <f t="shared" si="301"/>
        <v>1612.8684000000001</v>
      </c>
      <c r="R305" s="129">
        <f t="shared" si="302"/>
        <v>1693.5118199999999</v>
      </c>
      <c r="S305" s="129">
        <f t="shared" si="302"/>
        <v>1778.1874109999999</v>
      </c>
      <c r="T305" s="129">
        <f t="shared" si="302"/>
        <v>1867.0967815500001</v>
      </c>
      <c r="U305" s="129">
        <f t="shared" si="302"/>
        <v>1960.4516206275</v>
      </c>
      <c r="V305" s="209">
        <f t="shared" si="303"/>
        <v>8912.116033177499</v>
      </c>
      <c r="W305" s="528"/>
      <c r="X305" s="222" t="str">
        <f t="shared" si="304"/>
        <v>Contact Only Chip Personalization</v>
      </c>
      <c r="Y305" s="325">
        <v>0.27750000000000002</v>
      </c>
      <c r="Z305" s="774">
        <f t="shared" si="291"/>
        <v>140.69250000000002</v>
      </c>
      <c r="AA305" s="103">
        <f t="shared" si="292"/>
        <v>1688.3100000000002</v>
      </c>
      <c r="AB305" s="103">
        <f t="shared" si="293"/>
        <v>1772.7255</v>
      </c>
      <c r="AC305" s="103">
        <f t="shared" si="294"/>
        <v>1861.3617750000001</v>
      </c>
      <c r="AD305" s="103">
        <f t="shared" si="295"/>
        <v>1954.4298637500001</v>
      </c>
      <c r="AE305" s="103">
        <f t="shared" si="296"/>
        <v>2052.1513569375002</v>
      </c>
      <c r="AF305" s="123">
        <f t="shared" si="288"/>
        <v>9328.978495687501</v>
      </c>
      <c r="AG305" s="743"/>
      <c r="AH305" s="370"/>
      <c r="AI305" s="221" t="str">
        <f t="shared" si="290"/>
        <v>Contact Only Chip Personalization</v>
      </c>
      <c r="AJ305" s="886">
        <v>0.27750000000000002</v>
      </c>
      <c r="AK305" s="896">
        <f t="shared" si="289"/>
        <v>140.69250000000002</v>
      </c>
      <c r="AL305" s="105" cm="1">
        <f t="array" ref="AL305">_xlfn.IFS($AJ305="NO CHARGE",0,$AJ305=0,0,$AJ305&gt;0,PRODUCT(I305,$AJ305))</f>
        <v>1688.3100000000002</v>
      </c>
      <c r="AM305" s="105" cm="1">
        <f t="array" ref="AM305">_xlfn.IFS($AJ305="NO CHARGE",0,$AJ305=0,0,$AJ305&gt;0,PRODUCT(J305,$AJ305))</f>
        <v>1772.7255</v>
      </c>
      <c r="AN305" s="105" cm="1">
        <f t="array" ref="AN305">_xlfn.IFS($AJ305="NO CHARGE",0,$AJ305=0,0,$AJ305&gt;0,PRODUCT(K305,$AJ305))</f>
        <v>1861.3617750000001</v>
      </c>
      <c r="AO305" s="105" cm="1">
        <f t="array" ref="AO305">_xlfn.IFS($AJ305="NO CHARGE",0,$AJ305=0,0,$AJ305&gt;0,PRODUCT(L305,$AJ305))</f>
        <v>1954.4298637500001</v>
      </c>
      <c r="AP305" s="105" cm="1">
        <f t="array" ref="AP305">_xlfn.IFS($AJ305="NO CHARGE",0,$AJ305=0,0,$AJ305&gt;0,PRODUCT(M305,$AJ305))</f>
        <v>2052.1513569375002</v>
      </c>
      <c r="AQ305" s="158">
        <f t="shared" si="271"/>
        <v>9328.978495687501</v>
      </c>
      <c r="AR305" s="875"/>
      <c r="AS305" s="473"/>
      <c r="AT305" s="106"/>
      <c r="AU305" s="353"/>
      <c r="AV305" s="108"/>
      <c r="AW305" s="108"/>
      <c r="AX305" s="108"/>
      <c r="AY305" s="108"/>
      <c r="AZ305" s="108"/>
      <c r="BA305" s="165"/>
      <c r="BB305" s="531"/>
    </row>
    <row r="306" spans="1:54" s="495" customFormat="1" outlineLevel="1" x14ac:dyDescent="0.25">
      <c r="A306" s="445"/>
      <c r="B306" s="623" t="s">
        <v>357</v>
      </c>
      <c r="C306" s="310" t="s">
        <v>364</v>
      </c>
      <c r="D306" s="604">
        <v>668</v>
      </c>
      <c r="E306" s="604">
        <v>443</v>
      </c>
      <c r="F306" s="604">
        <v>461</v>
      </c>
      <c r="G306" s="604">
        <v>456</v>
      </c>
      <c r="H306" s="618">
        <f t="shared" si="297"/>
        <v>507</v>
      </c>
      <c r="I306" s="127">
        <f t="shared" si="298"/>
        <v>6084</v>
      </c>
      <c r="J306" s="127">
        <f t="shared" si="299"/>
        <v>6388.2</v>
      </c>
      <c r="K306" s="127">
        <f t="shared" si="299"/>
        <v>6707.61</v>
      </c>
      <c r="L306" s="127">
        <f t="shared" si="299"/>
        <v>7042.9904999999999</v>
      </c>
      <c r="M306" s="127">
        <f t="shared" si="299"/>
        <v>7395.1400249999997</v>
      </c>
      <c r="N306" s="245" t="str">
        <f t="shared" si="300"/>
        <v>CFS Print On Demand Labels PerUnit</v>
      </c>
      <c r="O306" s="586">
        <v>6.3700000000000007E-2</v>
      </c>
      <c r="P306" s="757">
        <f t="shared" si="286"/>
        <v>32.295900000000003</v>
      </c>
      <c r="Q306" s="129">
        <f t="shared" si="301"/>
        <v>387.55080000000004</v>
      </c>
      <c r="R306" s="129">
        <f t="shared" si="302"/>
        <v>406.92834000000005</v>
      </c>
      <c r="S306" s="129">
        <f t="shared" si="302"/>
        <v>427.27475700000002</v>
      </c>
      <c r="T306" s="129">
        <f t="shared" si="302"/>
        <v>448.63849485000003</v>
      </c>
      <c r="U306" s="129">
        <f t="shared" si="302"/>
        <v>471.0704195925</v>
      </c>
      <c r="V306" s="209">
        <f t="shared" si="303"/>
        <v>2141.4628114425</v>
      </c>
      <c r="W306" s="528"/>
      <c r="X306" s="222" t="str">
        <f t="shared" si="304"/>
        <v>CFS Print On Demand Labels PerUnit</v>
      </c>
      <c r="Y306" s="325">
        <v>6.6699999999999995E-2</v>
      </c>
      <c r="Z306" s="774">
        <f t="shared" si="291"/>
        <v>33.816899999999997</v>
      </c>
      <c r="AA306" s="103">
        <f t="shared" si="292"/>
        <v>405.80279999999999</v>
      </c>
      <c r="AB306" s="103">
        <f t="shared" si="293"/>
        <v>426.09293999999994</v>
      </c>
      <c r="AC306" s="103">
        <f t="shared" si="294"/>
        <v>447.39758699999993</v>
      </c>
      <c r="AD306" s="103">
        <f t="shared" si="295"/>
        <v>469.76746634999995</v>
      </c>
      <c r="AE306" s="103">
        <f t="shared" si="296"/>
        <v>493.25583966749997</v>
      </c>
      <c r="AF306" s="123">
        <f t="shared" si="288"/>
        <v>2242.3166330175</v>
      </c>
      <c r="AG306" s="743"/>
      <c r="AH306" s="370"/>
      <c r="AI306" s="221" t="str">
        <f t="shared" si="290"/>
        <v>CFS Print On Demand Labels PerUnit</v>
      </c>
      <c r="AJ306" s="886">
        <v>6.6699999999999995E-2</v>
      </c>
      <c r="AK306" s="896">
        <f t="shared" si="289"/>
        <v>33.816899999999997</v>
      </c>
      <c r="AL306" s="105" cm="1">
        <f t="array" ref="AL306">_xlfn.IFS($AJ306="NO CHARGE",0,$AJ306=0,0,$AJ306&gt;0,PRODUCT(I306,$AJ306))</f>
        <v>405.80279999999999</v>
      </c>
      <c r="AM306" s="105" cm="1">
        <f t="array" ref="AM306">_xlfn.IFS($AJ306="NO CHARGE",0,$AJ306=0,0,$AJ306&gt;0,PRODUCT(J306,$AJ306))</f>
        <v>426.09293999999994</v>
      </c>
      <c r="AN306" s="105" cm="1">
        <f t="array" ref="AN306">_xlfn.IFS($AJ306="NO CHARGE",0,$AJ306=0,0,$AJ306&gt;0,PRODUCT(K306,$AJ306))</f>
        <v>447.39758699999993</v>
      </c>
      <c r="AO306" s="105" cm="1">
        <f t="array" ref="AO306">_xlfn.IFS($AJ306="NO CHARGE",0,$AJ306=0,0,$AJ306&gt;0,PRODUCT(L306,$AJ306))</f>
        <v>469.76746634999995</v>
      </c>
      <c r="AP306" s="105" cm="1">
        <f t="array" ref="AP306">_xlfn.IFS($AJ306="NO CHARGE",0,$AJ306=0,0,$AJ306&gt;0,PRODUCT(M306,$AJ306))</f>
        <v>493.25583966749997</v>
      </c>
      <c r="AQ306" s="158">
        <f t="shared" si="271"/>
        <v>2242.3166330175</v>
      </c>
      <c r="AR306" s="875"/>
      <c r="AS306" s="473"/>
      <c r="AT306" s="106"/>
      <c r="AU306" s="353"/>
      <c r="AV306" s="108"/>
      <c r="AW306" s="108"/>
      <c r="AX306" s="108"/>
      <c r="AY306" s="108"/>
      <c r="AZ306" s="108"/>
      <c r="BA306" s="165"/>
      <c r="BB306" s="531"/>
    </row>
    <row r="307" spans="1:54" s="495" customFormat="1" outlineLevel="1" x14ac:dyDescent="0.25">
      <c r="A307" s="445"/>
      <c r="B307" s="623" t="s">
        <v>357</v>
      </c>
      <c r="C307" s="310" t="s">
        <v>365</v>
      </c>
      <c r="D307" s="604">
        <v>32</v>
      </c>
      <c r="E307" s="604">
        <v>32</v>
      </c>
      <c r="F307" s="604">
        <v>20</v>
      </c>
      <c r="G307" s="604">
        <v>27</v>
      </c>
      <c r="H307" s="618">
        <f t="shared" si="297"/>
        <v>27.75</v>
      </c>
      <c r="I307" s="127">
        <f t="shared" si="298"/>
        <v>333</v>
      </c>
      <c r="J307" s="127">
        <f t="shared" si="299"/>
        <v>349.65</v>
      </c>
      <c r="K307" s="127">
        <f t="shared" si="299"/>
        <v>367.13249999999999</v>
      </c>
      <c r="L307" s="127">
        <f t="shared" si="299"/>
        <v>385.489125</v>
      </c>
      <c r="M307" s="127">
        <f t="shared" si="299"/>
        <v>404.76358125000002</v>
      </c>
      <c r="N307" s="245" t="str">
        <f t="shared" si="300"/>
        <v>Card - Pull &amp; Readdress</v>
      </c>
      <c r="O307" s="586">
        <v>10.604900000000001</v>
      </c>
      <c r="P307" s="757">
        <f t="shared" si="286"/>
        <v>294.28597500000001</v>
      </c>
      <c r="Q307" s="129">
        <f t="shared" si="301"/>
        <v>3531.4317000000001</v>
      </c>
      <c r="R307" s="129">
        <f t="shared" si="302"/>
        <v>3708.0032849999998</v>
      </c>
      <c r="S307" s="129">
        <f t="shared" si="302"/>
        <v>3893.40344925</v>
      </c>
      <c r="T307" s="129">
        <f t="shared" si="302"/>
        <v>4088.0736217125004</v>
      </c>
      <c r="U307" s="129">
        <f t="shared" si="302"/>
        <v>4292.4773027981255</v>
      </c>
      <c r="V307" s="209">
        <f t="shared" si="303"/>
        <v>19513.389358760625</v>
      </c>
      <c r="W307" s="528"/>
      <c r="X307" s="222" t="str">
        <f t="shared" si="304"/>
        <v>Card - Pull &amp; Readdress</v>
      </c>
      <c r="Y307" s="325">
        <v>11.100099999999999</v>
      </c>
      <c r="Z307" s="774">
        <f t="shared" si="291"/>
        <v>308.02777499999996</v>
      </c>
      <c r="AA307" s="103">
        <f t="shared" si="292"/>
        <v>3696.3332999999998</v>
      </c>
      <c r="AB307" s="103">
        <f t="shared" si="293"/>
        <v>3881.1499649999996</v>
      </c>
      <c r="AC307" s="103">
        <f t="shared" si="294"/>
        <v>4075.2074632499998</v>
      </c>
      <c r="AD307" s="103">
        <f t="shared" si="295"/>
        <v>4278.9678364125002</v>
      </c>
      <c r="AE307" s="103">
        <f t="shared" si="296"/>
        <v>4492.9162282331254</v>
      </c>
      <c r="AF307" s="123">
        <f t="shared" si="288"/>
        <v>20424.574792895626</v>
      </c>
      <c r="AG307" s="743"/>
      <c r="AH307" s="370"/>
      <c r="AI307" s="221" t="str">
        <f t="shared" si="290"/>
        <v>Card - Pull &amp; Readdress</v>
      </c>
      <c r="AJ307" s="886">
        <v>11.100099999999999</v>
      </c>
      <c r="AK307" s="896">
        <f t="shared" si="289"/>
        <v>308.02777499999996</v>
      </c>
      <c r="AL307" s="105" cm="1">
        <f t="array" ref="AL307">_xlfn.IFS($AJ307="NO CHARGE",0,$AJ307=0,0,$AJ307&gt;0,PRODUCT(I307,$AJ307))</f>
        <v>3696.3332999999998</v>
      </c>
      <c r="AM307" s="105" cm="1">
        <f t="array" ref="AM307">_xlfn.IFS($AJ307="NO CHARGE",0,$AJ307=0,0,$AJ307&gt;0,PRODUCT(J307,$AJ307))</f>
        <v>3881.1499649999996</v>
      </c>
      <c r="AN307" s="105" cm="1">
        <f t="array" ref="AN307">_xlfn.IFS($AJ307="NO CHARGE",0,$AJ307=0,0,$AJ307&gt;0,PRODUCT(K307,$AJ307))</f>
        <v>4075.2074632499998</v>
      </c>
      <c r="AO307" s="105" cm="1">
        <f t="array" ref="AO307">_xlfn.IFS($AJ307="NO CHARGE",0,$AJ307=0,0,$AJ307&gt;0,PRODUCT(L307,$AJ307))</f>
        <v>4278.9678364125002</v>
      </c>
      <c r="AP307" s="105" cm="1">
        <f t="array" ref="AP307">_xlfn.IFS($AJ307="NO CHARGE",0,$AJ307=0,0,$AJ307&gt;0,PRODUCT(M307,$AJ307))</f>
        <v>4492.9162282331254</v>
      </c>
      <c r="AQ307" s="158">
        <f t="shared" si="271"/>
        <v>20424.574792895626</v>
      </c>
      <c r="AR307" s="875"/>
      <c r="AS307" s="473"/>
      <c r="AT307" s="106"/>
      <c r="AU307" s="353"/>
      <c r="AV307" s="108"/>
      <c r="AW307" s="108"/>
      <c r="AX307" s="108"/>
      <c r="AY307" s="108"/>
      <c r="AZ307" s="108"/>
      <c r="BA307" s="165"/>
      <c r="BB307" s="531"/>
    </row>
    <row r="308" spans="1:54" s="495" customFormat="1" outlineLevel="1" x14ac:dyDescent="0.25">
      <c r="A308" s="445"/>
      <c r="B308" s="445"/>
      <c r="C308" s="310"/>
      <c r="D308" s="788">
        <v>45017</v>
      </c>
      <c r="E308" s="604"/>
      <c r="F308" s="622"/>
      <c r="G308" s="604"/>
      <c r="H308" s="618"/>
      <c r="I308" s="127"/>
      <c r="J308" s="127"/>
      <c r="K308" s="127"/>
      <c r="L308" s="127"/>
      <c r="M308" s="127"/>
      <c r="N308" s="245"/>
      <c r="O308" s="586"/>
      <c r="P308" s="757">
        <f t="shared" si="286"/>
        <v>0</v>
      </c>
      <c r="Q308" s="129"/>
      <c r="R308" s="129"/>
      <c r="S308" s="129"/>
      <c r="T308" s="129"/>
      <c r="U308" s="129"/>
      <c r="V308" s="209"/>
      <c r="W308" s="528"/>
      <c r="X308" s="222"/>
      <c r="Y308" s="325"/>
      <c r="Z308" s="774">
        <f t="shared" si="291"/>
        <v>0</v>
      </c>
      <c r="AA308" s="103">
        <f t="shared" si="292"/>
        <v>0</v>
      </c>
      <c r="AB308" s="103">
        <f t="shared" si="293"/>
        <v>0</v>
      </c>
      <c r="AC308" s="103">
        <f t="shared" si="294"/>
        <v>0</v>
      </c>
      <c r="AD308" s="103">
        <f t="shared" si="295"/>
        <v>0</v>
      </c>
      <c r="AE308" s="103">
        <f t="shared" si="296"/>
        <v>0</v>
      </c>
      <c r="AF308" s="123">
        <f t="shared" si="288"/>
        <v>0</v>
      </c>
      <c r="AG308" s="743"/>
      <c r="AH308" s="370"/>
      <c r="AI308" s="221"/>
      <c r="AJ308" s="270"/>
      <c r="AK308" s="896">
        <f t="shared" si="289"/>
        <v>0</v>
      </c>
      <c r="AL308" s="105" cm="1">
        <f t="array" ref="AL308">_xlfn.IFS($AJ308="NO CHARGE",0,$AJ308=0,0,$AJ308&gt;0,PRODUCT(I308,$AJ308))</f>
        <v>0</v>
      </c>
      <c r="AM308" s="105" cm="1">
        <f t="array" ref="AM308">_xlfn.IFS($AJ308="NO CHARGE",0,$AJ308=0,0,$AJ308&gt;0,PRODUCT(J308,$AJ308))</f>
        <v>0</v>
      </c>
      <c r="AN308" s="105" cm="1">
        <f t="array" ref="AN308">_xlfn.IFS($AJ308="NO CHARGE",0,$AJ308=0,0,$AJ308&gt;0,PRODUCT(K308,$AJ308))</f>
        <v>0</v>
      </c>
      <c r="AO308" s="105" cm="1">
        <f t="array" ref="AO308">_xlfn.IFS($AJ308="NO CHARGE",0,$AJ308=0,0,$AJ308&gt;0,PRODUCT(L308,$AJ308))</f>
        <v>0</v>
      </c>
      <c r="AP308" s="105" cm="1">
        <f t="array" ref="AP308">_xlfn.IFS($AJ308="NO CHARGE",0,$AJ308=0,0,$AJ308&gt;0,PRODUCT(M308,$AJ308))</f>
        <v>0</v>
      </c>
      <c r="AQ308" s="158">
        <f t="shared" si="271"/>
        <v>0</v>
      </c>
      <c r="AR308" s="875"/>
      <c r="AS308" s="473"/>
      <c r="AT308" s="106"/>
      <c r="AU308" s="107"/>
      <c r="AV308" s="108"/>
      <c r="AW308" s="108"/>
      <c r="AX308" s="108"/>
      <c r="AY308" s="108"/>
      <c r="AZ308" s="108"/>
      <c r="BA308" s="165"/>
      <c r="BB308" s="531"/>
    </row>
    <row r="309" spans="1:54" s="495" customFormat="1" outlineLevel="1" x14ac:dyDescent="0.25">
      <c r="A309" s="445"/>
      <c r="B309" s="623" t="s">
        <v>366</v>
      </c>
      <c r="C309" s="310" t="s">
        <v>358</v>
      </c>
      <c r="D309" s="604">
        <v>39</v>
      </c>
      <c r="E309" s="604">
        <v>20</v>
      </c>
      <c r="F309" s="604">
        <v>14</v>
      </c>
      <c r="G309" s="604">
        <v>31</v>
      </c>
      <c r="H309" s="618">
        <f t="shared" ref="H309:H316" si="306">IFERROR(AVERAGE(D309:G309),0)</f>
        <v>26</v>
      </c>
      <c r="I309" s="127">
        <f t="shared" ref="I309:I321" si="307">H309*12</f>
        <v>312</v>
      </c>
      <c r="J309" s="127">
        <f t="shared" ref="J309:M321" si="308">IF(I309&gt;12,(((I309)*$H$5)+I309),(I309*1))</f>
        <v>327.60000000000002</v>
      </c>
      <c r="K309" s="127">
        <f t="shared" si="308"/>
        <v>343.98</v>
      </c>
      <c r="L309" s="127">
        <f t="shared" si="308"/>
        <v>361.17900000000003</v>
      </c>
      <c r="M309" s="127">
        <f t="shared" si="308"/>
        <v>379.23795000000001</v>
      </c>
      <c r="N309" s="245" t="str">
        <f t="shared" ref="N309:N316" si="309">IF(C309="","",C309)</f>
        <v>Card Prod - Secured</v>
      </c>
      <c r="O309" s="586">
        <v>0.63629999999999998</v>
      </c>
      <c r="P309" s="757">
        <f t="shared" si="286"/>
        <v>16.543800000000001</v>
      </c>
      <c r="Q309" s="129">
        <f t="shared" ref="Q309:Q321" si="310">IF(O309&gt;0,PRODUCT(I309,$O309),0)</f>
        <v>198.5256</v>
      </c>
      <c r="R309" s="129">
        <f t="shared" ref="R309:R330" si="311">IF(Q309&gt;0,PRODUCT(J309,$O309),0)</f>
        <v>208.45188000000002</v>
      </c>
      <c r="S309" s="129">
        <f t="shared" ref="S309:S330" si="312">IF(R309&gt;0,PRODUCT(K309,$O309),0)</f>
        <v>218.87447399999999</v>
      </c>
      <c r="T309" s="129">
        <f t="shared" ref="T309:T330" si="313">IF(S309&gt;0,PRODUCT(L309,$O309),0)</f>
        <v>229.81819770000001</v>
      </c>
      <c r="U309" s="129">
        <f t="shared" ref="U309:U330" si="314">IF(T309&gt;0,PRODUCT(M309,$O309),0)</f>
        <v>241.30910758499999</v>
      </c>
      <c r="V309" s="209">
        <f t="shared" ref="V309:V321" si="315">SUM(Q309:U309)</f>
        <v>1096.9792592849999</v>
      </c>
      <c r="W309" s="528"/>
      <c r="X309" s="222" t="str">
        <f t="shared" ref="X309:X316" si="316">C309</f>
        <v>Card Prod - Secured</v>
      </c>
      <c r="Y309" s="325">
        <v>0.66600000000000004</v>
      </c>
      <c r="Z309" s="774">
        <f t="shared" si="291"/>
        <v>17.315999999999999</v>
      </c>
      <c r="AA309" s="103">
        <f t="shared" si="292"/>
        <v>207.792</v>
      </c>
      <c r="AB309" s="103">
        <f t="shared" si="293"/>
        <v>218.18160000000003</v>
      </c>
      <c r="AC309" s="103">
        <f t="shared" si="294"/>
        <v>229.09068000000002</v>
      </c>
      <c r="AD309" s="103">
        <f t="shared" si="295"/>
        <v>240.54521400000004</v>
      </c>
      <c r="AE309" s="103">
        <f t="shared" si="296"/>
        <v>252.57247470000001</v>
      </c>
      <c r="AF309" s="123">
        <f t="shared" si="288"/>
        <v>1148.1819687</v>
      </c>
      <c r="AG309" s="743"/>
      <c r="AH309" s="370"/>
      <c r="AI309" s="221" t="str">
        <f t="shared" si="290"/>
        <v>Card Prod - Secured</v>
      </c>
      <c r="AJ309" s="886">
        <v>0.66600000000000004</v>
      </c>
      <c r="AK309" s="896">
        <f t="shared" si="289"/>
        <v>17.315999999999999</v>
      </c>
      <c r="AL309" s="105" cm="1">
        <f t="array" ref="AL309">_xlfn.IFS($AJ309="NO CHARGE",0,$AJ309=0,0,$AJ309&gt;0,PRODUCT(I309,$AJ309))</f>
        <v>207.792</v>
      </c>
      <c r="AM309" s="105" cm="1">
        <f t="array" ref="AM309">_xlfn.IFS($AJ309="NO CHARGE",0,$AJ309=0,0,$AJ309&gt;0,PRODUCT(J309,$AJ309))</f>
        <v>218.18160000000003</v>
      </c>
      <c r="AN309" s="105" cm="1">
        <f t="array" ref="AN309">_xlfn.IFS($AJ309="NO CHARGE",0,$AJ309=0,0,$AJ309&gt;0,PRODUCT(K309,$AJ309))</f>
        <v>229.09068000000002</v>
      </c>
      <c r="AO309" s="105" cm="1">
        <f t="array" ref="AO309">_xlfn.IFS($AJ309="NO CHARGE",0,$AJ309=0,0,$AJ309&gt;0,PRODUCT(L309,$AJ309))</f>
        <v>240.54521400000004</v>
      </c>
      <c r="AP309" s="105" cm="1">
        <f t="array" ref="AP309">_xlfn.IFS($AJ309="NO CHARGE",0,$AJ309=0,0,$AJ309&gt;0,PRODUCT(M309,$AJ309))</f>
        <v>252.57247470000001</v>
      </c>
      <c r="AQ309" s="158">
        <f t="shared" si="271"/>
        <v>1148.1819687</v>
      </c>
      <c r="AR309" s="875"/>
      <c r="AS309" s="473"/>
      <c r="AT309" s="106"/>
      <c r="AU309" s="353"/>
      <c r="AV309" s="108"/>
      <c r="AW309" s="108"/>
      <c r="AX309" s="108"/>
      <c r="AY309" s="108"/>
      <c r="AZ309" s="108"/>
      <c r="BA309" s="165"/>
      <c r="BB309" s="531"/>
    </row>
    <row r="310" spans="1:54" s="495" customFormat="1" outlineLevel="1" x14ac:dyDescent="0.25">
      <c r="A310" s="445"/>
      <c r="B310" s="623" t="s">
        <v>366</v>
      </c>
      <c r="C310" s="310" t="s">
        <v>359</v>
      </c>
      <c r="D310" s="604">
        <v>22</v>
      </c>
      <c r="E310" s="604">
        <v>14</v>
      </c>
      <c r="F310" s="604">
        <v>11</v>
      </c>
      <c r="G310" s="604">
        <v>19</v>
      </c>
      <c r="H310" s="618">
        <f t="shared" si="306"/>
        <v>16.5</v>
      </c>
      <c r="I310" s="127">
        <f t="shared" si="307"/>
        <v>198</v>
      </c>
      <c r="J310" s="127">
        <f t="shared" si="308"/>
        <v>207.9</v>
      </c>
      <c r="K310" s="127">
        <f t="shared" si="308"/>
        <v>218.29500000000002</v>
      </c>
      <c r="L310" s="127">
        <f t="shared" si="308"/>
        <v>229.20975000000001</v>
      </c>
      <c r="M310" s="127">
        <f t="shared" si="308"/>
        <v>240.67023750000001</v>
      </c>
      <c r="N310" s="245" t="str">
        <f t="shared" si="309"/>
        <v>Card Prod Setup - Secured</v>
      </c>
      <c r="O310" s="586">
        <v>12.725899999999999</v>
      </c>
      <c r="P310" s="757">
        <f t="shared" si="286"/>
        <v>209.97735</v>
      </c>
      <c r="Q310" s="129">
        <f t="shared" si="310"/>
        <v>2519.7282</v>
      </c>
      <c r="R310" s="129">
        <f t="shared" si="311"/>
        <v>2645.71461</v>
      </c>
      <c r="S310" s="129">
        <f t="shared" si="312"/>
        <v>2778.0003405000002</v>
      </c>
      <c r="T310" s="129">
        <f t="shared" si="313"/>
        <v>2916.9003575249999</v>
      </c>
      <c r="U310" s="129">
        <f t="shared" si="314"/>
        <v>3062.7453754012499</v>
      </c>
      <c r="V310" s="209">
        <f t="shared" si="315"/>
        <v>13923.088883426251</v>
      </c>
      <c r="W310" s="528"/>
      <c r="X310" s="222" t="str">
        <f t="shared" si="316"/>
        <v>Card Prod Setup - Secured</v>
      </c>
      <c r="Y310" s="325">
        <v>13.3202</v>
      </c>
      <c r="Z310" s="774">
        <f t="shared" si="291"/>
        <v>219.78329999999997</v>
      </c>
      <c r="AA310" s="103">
        <f t="shared" si="292"/>
        <v>2637.3995999999997</v>
      </c>
      <c r="AB310" s="103">
        <f t="shared" si="293"/>
        <v>2769.2695800000001</v>
      </c>
      <c r="AC310" s="103">
        <f t="shared" si="294"/>
        <v>2907.7330590000001</v>
      </c>
      <c r="AD310" s="103">
        <f t="shared" si="295"/>
        <v>3053.1197119500002</v>
      </c>
      <c r="AE310" s="103">
        <f t="shared" si="296"/>
        <v>3205.7756975474999</v>
      </c>
      <c r="AF310" s="123">
        <f t="shared" si="288"/>
        <v>14573.297648497499</v>
      </c>
      <c r="AG310" s="743"/>
      <c r="AH310" s="370"/>
      <c r="AI310" s="221" t="str">
        <f t="shared" si="290"/>
        <v>Card Prod Setup - Secured</v>
      </c>
      <c r="AJ310" s="886">
        <v>13.3202</v>
      </c>
      <c r="AK310" s="896">
        <f t="shared" si="289"/>
        <v>219.78329999999997</v>
      </c>
      <c r="AL310" s="105" cm="1">
        <f t="array" ref="AL310">_xlfn.IFS($AJ310="NO CHARGE",0,$AJ310=0,0,$AJ310&gt;0,PRODUCT(I310,$AJ310))</f>
        <v>2637.3995999999997</v>
      </c>
      <c r="AM310" s="105" cm="1">
        <f t="array" ref="AM310">_xlfn.IFS($AJ310="NO CHARGE",0,$AJ310=0,0,$AJ310&gt;0,PRODUCT(J310,$AJ310))</f>
        <v>2769.2695800000001</v>
      </c>
      <c r="AN310" s="105" cm="1">
        <f t="array" ref="AN310">_xlfn.IFS($AJ310="NO CHARGE",0,$AJ310=0,0,$AJ310&gt;0,PRODUCT(K310,$AJ310))</f>
        <v>2907.7330590000001</v>
      </c>
      <c r="AO310" s="105" cm="1">
        <f t="array" ref="AO310">_xlfn.IFS($AJ310="NO CHARGE",0,$AJ310=0,0,$AJ310&gt;0,PRODUCT(L310,$AJ310))</f>
        <v>3053.1197119500002</v>
      </c>
      <c r="AP310" s="105" cm="1">
        <f t="array" ref="AP310">_xlfn.IFS($AJ310="NO CHARGE",0,$AJ310=0,0,$AJ310&gt;0,PRODUCT(M310,$AJ310))</f>
        <v>3205.7756975474999</v>
      </c>
      <c r="AQ310" s="158">
        <f t="shared" si="271"/>
        <v>14573.297648497499</v>
      </c>
      <c r="AR310" s="875"/>
      <c r="AS310" s="473"/>
      <c r="AT310" s="106"/>
      <c r="AU310" s="353"/>
      <c r="AV310" s="108"/>
      <c r="AW310" s="108"/>
      <c r="AX310" s="108"/>
      <c r="AY310" s="108"/>
      <c r="AZ310" s="108"/>
      <c r="BA310" s="165"/>
      <c r="BB310" s="531"/>
    </row>
    <row r="311" spans="1:54" s="495" customFormat="1" outlineLevel="1" x14ac:dyDescent="0.25">
      <c r="A311" s="445"/>
      <c r="B311" s="623" t="s">
        <v>366</v>
      </c>
      <c r="C311" s="310" t="s">
        <v>360</v>
      </c>
      <c r="D311" s="604">
        <v>39</v>
      </c>
      <c r="E311" s="604">
        <v>20</v>
      </c>
      <c r="F311" s="604">
        <v>14</v>
      </c>
      <c r="G311" s="604">
        <v>31</v>
      </c>
      <c r="H311" s="618">
        <f t="shared" si="306"/>
        <v>26</v>
      </c>
      <c r="I311" s="127">
        <f t="shared" si="307"/>
        <v>312</v>
      </c>
      <c r="J311" s="127">
        <f t="shared" si="308"/>
        <v>327.60000000000002</v>
      </c>
      <c r="K311" s="127">
        <f t="shared" si="308"/>
        <v>343.98</v>
      </c>
      <c r="L311" s="127">
        <f t="shared" si="308"/>
        <v>361.17900000000003</v>
      </c>
      <c r="M311" s="127">
        <f t="shared" si="308"/>
        <v>379.23795000000001</v>
      </c>
      <c r="N311" s="245" t="str">
        <f t="shared" si="309"/>
        <v>Card Prod - CVC/CVV/Indent</v>
      </c>
      <c r="O311" s="586">
        <v>5.2999999999999999E-2</v>
      </c>
      <c r="P311" s="757">
        <f t="shared" si="286"/>
        <v>1.3779999999999999</v>
      </c>
      <c r="Q311" s="129">
        <f t="shared" si="310"/>
        <v>16.535999999999998</v>
      </c>
      <c r="R311" s="129">
        <f t="shared" si="311"/>
        <v>17.3628</v>
      </c>
      <c r="S311" s="129">
        <f t="shared" si="312"/>
        <v>18.23094</v>
      </c>
      <c r="T311" s="129">
        <f t="shared" si="313"/>
        <v>19.142487000000003</v>
      </c>
      <c r="U311" s="129">
        <f t="shared" si="314"/>
        <v>20.09961135</v>
      </c>
      <c r="V311" s="209">
        <f t="shared" si="315"/>
        <v>91.371838350000004</v>
      </c>
      <c r="W311" s="528"/>
      <c r="X311" s="222" t="str">
        <f t="shared" si="316"/>
        <v>Card Prod - CVC/CVV/Indent</v>
      </c>
      <c r="Y311" s="325">
        <v>5.5500000000000001E-2</v>
      </c>
      <c r="Z311" s="774">
        <f t="shared" si="291"/>
        <v>1.4429999999999998</v>
      </c>
      <c r="AA311" s="103">
        <f t="shared" si="292"/>
        <v>17.315999999999999</v>
      </c>
      <c r="AB311" s="103">
        <f t="shared" si="293"/>
        <v>18.181800000000003</v>
      </c>
      <c r="AC311" s="103">
        <f t="shared" si="294"/>
        <v>19.090890000000002</v>
      </c>
      <c r="AD311" s="103">
        <f t="shared" si="295"/>
        <v>20.045434500000002</v>
      </c>
      <c r="AE311" s="103">
        <f t="shared" si="296"/>
        <v>21.047706225000002</v>
      </c>
      <c r="AF311" s="123">
        <f t="shared" si="288"/>
        <v>95.681830724999998</v>
      </c>
      <c r="AG311" s="743"/>
      <c r="AH311" s="370"/>
      <c r="AI311" s="221" t="str">
        <f t="shared" si="290"/>
        <v>Card Prod - CVC/CVV/Indent</v>
      </c>
      <c r="AJ311" s="886">
        <v>5.5500000000000001E-2</v>
      </c>
      <c r="AK311" s="896">
        <f t="shared" si="289"/>
        <v>1.4429999999999998</v>
      </c>
      <c r="AL311" s="105" cm="1">
        <f t="array" ref="AL311">_xlfn.IFS($AJ311="NO CHARGE",0,$AJ311=0,0,$AJ311&gt;0,PRODUCT(I311,$AJ311))</f>
        <v>17.315999999999999</v>
      </c>
      <c r="AM311" s="105" cm="1">
        <f t="array" ref="AM311">_xlfn.IFS($AJ311="NO CHARGE",0,$AJ311=0,0,$AJ311&gt;0,PRODUCT(J311,$AJ311))</f>
        <v>18.181800000000003</v>
      </c>
      <c r="AN311" s="105" cm="1">
        <f t="array" ref="AN311">_xlfn.IFS($AJ311="NO CHARGE",0,$AJ311=0,0,$AJ311&gt;0,PRODUCT(K311,$AJ311))</f>
        <v>19.090890000000002</v>
      </c>
      <c r="AO311" s="105" cm="1">
        <f t="array" ref="AO311">_xlfn.IFS($AJ311="NO CHARGE",0,$AJ311=0,0,$AJ311&gt;0,PRODUCT(L311,$AJ311))</f>
        <v>20.045434500000002</v>
      </c>
      <c r="AP311" s="105" cm="1">
        <f t="array" ref="AP311">_xlfn.IFS($AJ311="NO CHARGE",0,$AJ311=0,0,$AJ311&gt;0,PRODUCT(M311,$AJ311))</f>
        <v>21.047706225000002</v>
      </c>
      <c r="AQ311" s="158">
        <f t="shared" si="271"/>
        <v>95.681830724999998</v>
      </c>
      <c r="AR311" s="875"/>
      <c r="AS311" s="473"/>
      <c r="AT311" s="106"/>
      <c r="AU311" s="353"/>
      <c r="AV311" s="108"/>
      <c r="AW311" s="108"/>
      <c r="AX311" s="108"/>
      <c r="AY311" s="108"/>
      <c r="AZ311" s="108"/>
      <c r="BA311" s="165"/>
      <c r="BB311" s="531"/>
    </row>
    <row r="312" spans="1:54" s="495" customFormat="1" outlineLevel="1" x14ac:dyDescent="0.25">
      <c r="A312" s="445"/>
      <c r="B312" s="623" t="s">
        <v>366</v>
      </c>
      <c r="C312" s="310" t="s">
        <v>361</v>
      </c>
      <c r="D312" s="604">
        <v>39</v>
      </c>
      <c r="E312" s="604">
        <v>20</v>
      </c>
      <c r="F312" s="604">
        <v>14</v>
      </c>
      <c r="G312" s="604">
        <v>30</v>
      </c>
      <c r="H312" s="618">
        <f t="shared" si="306"/>
        <v>25.75</v>
      </c>
      <c r="I312" s="127">
        <f t="shared" si="307"/>
        <v>309</v>
      </c>
      <c r="J312" s="127">
        <f t="shared" si="308"/>
        <v>324.45</v>
      </c>
      <c r="K312" s="127">
        <f t="shared" si="308"/>
        <v>340.67250000000001</v>
      </c>
      <c r="L312" s="127">
        <f t="shared" si="308"/>
        <v>357.70612500000004</v>
      </c>
      <c r="M312" s="127">
        <f t="shared" si="308"/>
        <v>375.59143125000003</v>
      </c>
      <c r="N312" s="245" t="str">
        <f t="shared" si="309"/>
        <v>Card Prod - Carrier (S)</v>
      </c>
      <c r="O312" s="586">
        <v>6.3700000000000007E-2</v>
      </c>
      <c r="P312" s="757">
        <f t="shared" si="286"/>
        <v>1.6402750000000001</v>
      </c>
      <c r="Q312" s="129">
        <f t="shared" si="310"/>
        <v>19.683300000000003</v>
      </c>
      <c r="R312" s="129">
        <f t="shared" si="311"/>
        <v>20.667465</v>
      </c>
      <c r="S312" s="129">
        <f t="shared" si="312"/>
        <v>21.700838250000004</v>
      </c>
      <c r="T312" s="129">
        <f t="shared" si="313"/>
        <v>22.785880162500003</v>
      </c>
      <c r="U312" s="129">
        <f t="shared" si="314"/>
        <v>23.925174170625006</v>
      </c>
      <c r="V312" s="209">
        <f t="shared" si="315"/>
        <v>108.76265758312502</v>
      </c>
      <c r="W312" s="528"/>
      <c r="X312" s="222" t="str">
        <f t="shared" si="316"/>
        <v>Card Prod - Carrier (S)</v>
      </c>
      <c r="Y312" s="325">
        <v>6.6699999999999995E-2</v>
      </c>
      <c r="Z312" s="774">
        <f t="shared" si="291"/>
        <v>1.717525</v>
      </c>
      <c r="AA312" s="103">
        <f t="shared" si="292"/>
        <v>20.610299999999999</v>
      </c>
      <c r="AB312" s="103">
        <f t="shared" si="293"/>
        <v>21.640814999999996</v>
      </c>
      <c r="AC312" s="103">
        <f t="shared" si="294"/>
        <v>22.722855750000001</v>
      </c>
      <c r="AD312" s="103">
        <f t="shared" si="295"/>
        <v>23.8589985375</v>
      </c>
      <c r="AE312" s="103">
        <f t="shared" si="296"/>
        <v>25.051948464375002</v>
      </c>
      <c r="AF312" s="123">
        <f t="shared" si="288"/>
        <v>113.88491775187501</v>
      </c>
      <c r="AG312" s="743"/>
      <c r="AH312" s="370"/>
      <c r="AI312" s="221" t="str">
        <f t="shared" si="290"/>
        <v>Card Prod - Carrier (S)</v>
      </c>
      <c r="AJ312" s="886">
        <v>6.6699999999999995E-2</v>
      </c>
      <c r="AK312" s="896">
        <f t="shared" si="289"/>
        <v>1.717525</v>
      </c>
      <c r="AL312" s="105" cm="1">
        <f t="array" ref="AL312">_xlfn.IFS($AJ312="NO CHARGE",0,$AJ312=0,0,$AJ312&gt;0,PRODUCT(I312,$AJ312))</f>
        <v>20.610299999999999</v>
      </c>
      <c r="AM312" s="105" cm="1">
        <f t="array" ref="AM312">_xlfn.IFS($AJ312="NO CHARGE",0,$AJ312=0,0,$AJ312&gt;0,PRODUCT(J312,$AJ312))</f>
        <v>21.640814999999996</v>
      </c>
      <c r="AN312" s="105" cm="1">
        <f t="array" ref="AN312">_xlfn.IFS($AJ312="NO CHARGE",0,$AJ312=0,0,$AJ312&gt;0,PRODUCT(K312,$AJ312))</f>
        <v>22.722855750000001</v>
      </c>
      <c r="AO312" s="105" cm="1">
        <f t="array" ref="AO312">_xlfn.IFS($AJ312="NO CHARGE",0,$AJ312=0,0,$AJ312&gt;0,PRODUCT(L312,$AJ312))</f>
        <v>23.8589985375</v>
      </c>
      <c r="AP312" s="105" cm="1">
        <f t="array" ref="AP312">_xlfn.IFS($AJ312="NO CHARGE",0,$AJ312=0,0,$AJ312&gt;0,PRODUCT(M312,$AJ312))</f>
        <v>25.051948464375002</v>
      </c>
      <c r="AQ312" s="158">
        <f t="shared" si="271"/>
        <v>113.88491775187501</v>
      </c>
      <c r="AR312" s="875"/>
      <c r="AS312" s="473"/>
      <c r="AT312" s="106"/>
      <c r="AU312" s="353"/>
      <c r="AV312" s="108"/>
      <c r="AW312" s="108"/>
      <c r="AX312" s="108"/>
      <c r="AY312" s="108"/>
      <c r="AZ312" s="108"/>
      <c r="BA312" s="165"/>
      <c r="BB312" s="531"/>
    </row>
    <row r="313" spans="1:54" s="495" customFormat="1" outlineLevel="1" x14ac:dyDescent="0.25">
      <c r="A313" s="445"/>
      <c r="B313" s="623" t="s">
        <v>366</v>
      </c>
      <c r="C313" s="310" t="s">
        <v>362</v>
      </c>
      <c r="D313" s="604">
        <v>39</v>
      </c>
      <c r="E313" s="604">
        <v>20</v>
      </c>
      <c r="F313" s="604">
        <v>14</v>
      </c>
      <c r="G313" s="604">
        <v>31</v>
      </c>
      <c r="H313" s="618">
        <f t="shared" si="306"/>
        <v>26</v>
      </c>
      <c r="I313" s="127">
        <f t="shared" si="307"/>
        <v>312</v>
      </c>
      <c r="J313" s="127">
        <f t="shared" si="308"/>
        <v>327.60000000000002</v>
      </c>
      <c r="K313" s="127">
        <f t="shared" si="308"/>
        <v>343.98</v>
      </c>
      <c r="L313" s="127">
        <f t="shared" si="308"/>
        <v>361.17900000000003</v>
      </c>
      <c r="M313" s="127">
        <f t="shared" si="308"/>
        <v>379.23795000000001</v>
      </c>
      <c r="N313" s="245" t="str">
        <f t="shared" si="309"/>
        <v>Card Prod - Envelope (S)</v>
      </c>
      <c r="O313" s="586">
        <v>6.3700000000000007E-2</v>
      </c>
      <c r="P313" s="757">
        <f t="shared" si="286"/>
        <v>1.6562000000000001</v>
      </c>
      <c r="Q313" s="129">
        <f t="shared" si="310"/>
        <v>19.874400000000001</v>
      </c>
      <c r="R313" s="129">
        <f t="shared" si="311"/>
        <v>20.868120000000005</v>
      </c>
      <c r="S313" s="129">
        <f t="shared" si="312"/>
        <v>21.911526000000002</v>
      </c>
      <c r="T313" s="129">
        <f t="shared" si="313"/>
        <v>23.007102300000003</v>
      </c>
      <c r="U313" s="129">
        <f t="shared" si="314"/>
        <v>24.157457415000003</v>
      </c>
      <c r="V313" s="209">
        <f t="shared" si="315"/>
        <v>109.81860571500002</v>
      </c>
      <c r="W313" s="528"/>
      <c r="X313" s="222" t="str">
        <f t="shared" si="316"/>
        <v>Card Prod - Envelope (S)</v>
      </c>
      <c r="Y313" s="325">
        <v>6.6699999999999995E-2</v>
      </c>
      <c r="Z313" s="774">
        <f t="shared" si="291"/>
        <v>1.7341999999999997</v>
      </c>
      <c r="AA313" s="103">
        <f t="shared" si="292"/>
        <v>20.810399999999998</v>
      </c>
      <c r="AB313" s="103">
        <f t="shared" si="293"/>
        <v>21.850919999999999</v>
      </c>
      <c r="AC313" s="103">
        <f t="shared" si="294"/>
        <v>22.943466000000001</v>
      </c>
      <c r="AD313" s="103">
        <f t="shared" si="295"/>
        <v>24.090639299999999</v>
      </c>
      <c r="AE313" s="103">
        <f t="shared" si="296"/>
        <v>25.295171265</v>
      </c>
      <c r="AF313" s="123">
        <f t="shared" si="288"/>
        <v>114.99059656499998</v>
      </c>
      <c r="AG313" s="743"/>
      <c r="AH313" s="370"/>
      <c r="AI313" s="221" t="str">
        <f t="shared" si="290"/>
        <v>Card Prod - Envelope (S)</v>
      </c>
      <c r="AJ313" s="886">
        <v>6.6699999999999995E-2</v>
      </c>
      <c r="AK313" s="896">
        <f t="shared" si="289"/>
        <v>1.7341999999999997</v>
      </c>
      <c r="AL313" s="105" cm="1">
        <f t="array" ref="AL313">_xlfn.IFS($AJ313="NO CHARGE",0,$AJ313=0,0,$AJ313&gt;0,PRODUCT(I313,$AJ313))</f>
        <v>20.810399999999998</v>
      </c>
      <c r="AM313" s="105" cm="1">
        <f t="array" ref="AM313">_xlfn.IFS($AJ313="NO CHARGE",0,$AJ313=0,0,$AJ313&gt;0,PRODUCT(J313,$AJ313))</f>
        <v>21.850919999999999</v>
      </c>
      <c r="AN313" s="105" cm="1">
        <f t="array" ref="AN313">_xlfn.IFS($AJ313="NO CHARGE",0,$AJ313=0,0,$AJ313&gt;0,PRODUCT(K313,$AJ313))</f>
        <v>22.943466000000001</v>
      </c>
      <c r="AO313" s="105" cm="1">
        <f t="array" ref="AO313">_xlfn.IFS($AJ313="NO CHARGE",0,$AJ313=0,0,$AJ313&gt;0,PRODUCT(L313,$AJ313))</f>
        <v>24.090639299999999</v>
      </c>
      <c r="AP313" s="105" cm="1">
        <f t="array" ref="AP313">_xlfn.IFS($AJ313="NO CHARGE",0,$AJ313=0,0,$AJ313&gt;0,PRODUCT(M313,$AJ313))</f>
        <v>25.295171265</v>
      </c>
      <c r="AQ313" s="158">
        <f t="shared" si="271"/>
        <v>114.99059656499998</v>
      </c>
      <c r="AR313" s="875"/>
      <c r="AS313" s="473"/>
      <c r="AT313" s="106"/>
      <c r="AU313" s="353"/>
      <c r="AV313" s="108"/>
      <c r="AW313" s="108"/>
      <c r="AX313" s="108"/>
      <c r="AY313" s="108"/>
      <c r="AZ313" s="108"/>
      <c r="BA313" s="165"/>
      <c r="BB313" s="531"/>
    </row>
    <row r="314" spans="1:54" s="495" customFormat="1" outlineLevel="1" x14ac:dyDescent="0.25">
      <c r="A314" s="445"/>
      <c r="B314" s="623" t="s">
        <v>366</v>
      </c>
      <c r="C314" s="310" t="s">
        <v>363</v>
      </c>
      <c r="D314" s="604">
        <v>39</v>
      </c>
      <c r="E314" s="604">
        <v>20</v>
      </c>
      <c r="F314" s="604">
        <v>14</v>
      </c>
      <c r="G314" s="604">
        <v>31</v>
      </c>
      <c r="H314" s="618">
        <f t="shared" si="306"/>
        <v>26</v>
      </c>
      <c r="I314" s="127">
        <f t="shared" si="307"/>
        <v>312</v>
      </c>
      <c r="J314" s="127">
        <f t="shared" si="308"/>
        <v>327.60000000000002</v>
      </c>
      <c r="K314" s="127">
        <f t="shared" si="308"/>
        <v>343.98</v>
      </c>
      <c r="L314" s="127">
        <f t="shared" si="308"/>
        <v>361.17900000000003</v>
      </c>
      <c r="M314" s="127">
        <f t="shared" si="308"/>
        <v>379.23795000000001</v>
      </c>
      <c r="N314" s="245" t="str">
        <f t="shared" si="309"/>
        <v>Contact Only Chip Personalization</v>
      </c>
      <c r="O314" s="586">
        <v>0.2651</v>
      </c>
      <c r="P314" s="757">
        <f t="shared" si="286"/>
        <v>6.8926000000000007</v>
      </c>
      <c r="Q314" s="129">
        <f t="shared" si="310"/>
        <v>82.711200000000005</v>
      </c>
      <c r="R314" s="129">
        <f t="shared" si="311"/>
        <v>86.846760000000003</v>
      </c>
      <c r="S314" s="129">
        <f t="shared" si="312"/>
        <v>91.189098000000001</v>
      </c>
      <c r="T314" s="129">
        <f t="shared" si="313"/>
        <v>95.748552900000007</v>
      </c>
      <c r="U314" s="129">
        <f t="shared" si="314"/>
        <v>100.535980545</v>
      </c>
      <c r="V314" s="209">
        <f t="shared" si="315"/>
        <v>457.031591445</v>
      </c>
      <c r="W314" s="528"/>
      <c r="X314" s="222" t="str">
        <f t="shared" si="316"/>
        <v>Contact Only Chip Personalization</v>
      </c>
      <c r="Y314" s="325">
        <v>0.27750000000000002</v>
      </c>
      <c r="Z314" s="774">
        <f t="shared" si="291"/>
        <v>7.2150000000000007</v>
      </c>
      <c r="AA314" s="103">
        <f t="shared" si="292"/>
        <v>86.580000000000013</v>
      </c>
      <c r="AB314" s="103">
        <f t="shared" si="293"/>
        <v>90.90900000000002</v>
      </c>
      <c r="AC314" s="103">
        <f t="shared" si="294"/>
        <v>95.454450000000008</v>
      </c>
      <c r="AD314" s="103">
        <f t="shared" si="295"/>
        <v>100.22717250000002</v>
      </c>
      <c r="AE314" s="103">
        <f t="shared" si="296"/>
        <v>105.23853112500001</v>
      </c>
      <c r="AF314" s="123">
        <f t="shared" si="288"/>
        <v>478.40915362500004</v>
      </c>
      <c r="AG314" s="743"/>
      <c r="AH314" s="370"/>
      <c r="AI314" s="221" t="str">
        <f t="shared" si="290"/>
        <v>Contact Only Chip Personalization</v>
      </c>
      <c r="AJ314" s="886">
        <v>0.27750000000000002</v>
      </c>
      <c r="AK314" s="896">
        <f t="shared" si="289"/>
        <v>7.2150000000000007</v>
      </c>
      <c r="AL314" s="105" cm="1">
        <f t="array" ref="AL314">_xlfn.IFS($AJ314="NO CHARGE",0,$AJ314=0,0,$AJ314&gt;0,PRODUCT(I314,$AJ314))</f>
        <v>86.580000000000013</v>
      </c>
      <c r="AM314" s="105" cm="1">
        <f t="array" ref="AM314">_xlfn.IFS($AJ314="NO CHARGE",0,$AJ314=0,0,$AJ314&gt;0,PRODUCT(J314,$AJ314))</f>
        <v>90.90900000000002</v>
      </c>
      <c r="AN314" s="105" cm="1">
        <f t="array" ref="AN314">_xlfn.IFS($AJ314="NO CHARGE",0,$AJ314=0,0,$AJ314&gt;0,PRODUCT(K314,$AJ314))</f>
        <v>95.454450000000008</v>
      </c>
      <c r="AO314" s="105" cm="1">
        <f t="array" ref="AO314">_xlfn.IFS($AJ314="NO CHARGE",0,$AJ314=0,0,$AJ314&gt;0,PRODUCT(L314,$AJ314))</f>
        <v>100.22717250000002</v>
      </c>
      <c r="AP314" s="105" cm="1">
        <f t="array" ref="AP314">_xlfn.IFS($AJ314="NO CHARGE",0,$AJ314=0,0,$AJ314&gt;0,PRODUCT(M314,$AJ314))</f>
        <v>105.23853112500001</v>
      </c>
      <c r="AQ314" s="158">
        <f t="shared" si="271"/>
        <v>478.40915362500004</v>
      </c>
      <c r="AR314" s="875"/>
      <c r="AS314" s="473"/>
      <c r="AT314" s="106"/>
      <c r="AU314" s="353"/>
      <c r="AV314" s="108"/>
      <c r="AW314" s="108"/>
      <c r="AX314" s="108"/>
      <c r="AY314" s="108"/>
      <c r="AZ314" s="108"/>
      <c r="BA314" s="165"/>
      <c r="BB314" s="531"/>
    </row>
    <row r="315" spans="1:54" s="495" customFormat="1" outlineLevel="1" x14ac:dyDescent="0.25">
      <c r="A315" s="445"/>
      <c r="B315" s="623" t="s">
        <v>366</v>
      </c>
      <c r="C315" s="310" t="s">
        <v>364</v>
      </c>
      <c r="D315" s="604">
        <v>39</v>
      </c>
      <c r="E315" s="604">
        <v>20</v>
      </c>
      <c r="F315" s="604">
        <v>14</v>
      </c>
      <c r="G315" s="604">
        <v>31</v>
      </c>
      <c r="H315" s="618">
        <f t="shared" si="306"/>
        <v>26</v>
      </c>
      <c r="I315" s="127">
        <f t="shared" si="307"/>
        <v>312</v>
      </c>
      <c r="J315" s="127">
        <f t="shared" si="308"/>
        <v>327.60000000000002</v>
      </c>
      <c r="K315" s="127">
        <f t="shared" si="308"/>
        <v>343.98</v>
      </c>
      <c r="L315" s="127">
        <f t="shared" si="308"/>
        <v>361.17900000000003</v>
      </c>
      <c r="M315" s="127">
        <f t="shared" si="308"/>
        <v>379.23795000000001</v>
      </c>
      <c r="N315" s="245" t="str">
        <f t="shared" si="309"/>
        <v>CFS Print On Demand Labels PerUnit</v>
      </c>
      <c r="O315" s="586">
        <v>6.3700000000000007E-2</v>
      </c>
      <c r="P315" s="757">
        <f t="shared" si="286"/>
        <v>1.6562000000000001</v>
      </c>
      <c r="Q315" s="129">
        <f t="shared" si="310"/>
        <v>19.874400000000001</v>
      </c>
      <c r="R315" s="129">
        <f t="shared" si="311"/>
        <v>20.868120000000005</v>
      </c>
      <c r="S315" s="129">
        <f t="shared" si="312"/>
        <v>21.911526000000002</v>
      </c>
      <c r="T315" s="129">
        <f t="shared" si="313"/>
        <v>23.007102300000003</v>
      </c>
      <c r="U315" s="129">
        <f t="shared" si="314"/>
        <v>24.157457415000003</v>
      </c>
      <c r="V315" s="209">
        <f t="shared" si="315"/>
        <v>109.81860571500002</v>
      </c>
      <c r="W315" s="528"/>
      <c r="X315" s="222" t="str">
        <f t="shared" si="316"/>
        <v>CFS Print On Demand Labels PerUnit</v>
      </c>
      <c r="Y315" s="325">
        <v>6.6699999999999995E-2</v>
      </c>
      <c r="Z315" s="774">
        <f t="shared" si="291"/>
        <v>1.7341999999999997</v>
      </c>
      <c r="AA315" s="103">
        <f t="shared" si="292"/>
        <v>20.810399999999998</v>
      </c>
      <c r="AB315" s="103">
        <f t="shared" si="293"/>
        <v>21.850919999999999</v>
      </c>
      <c r="AC315" s="103">
        <f t="shared" si="294"/>
        <v>22.943466000000001</v>
      </c>
      <c r="AD315" s="103">
        <f t="shared" si="295"/>
        <v>24.090639299999999</v>
      </c>
      <c r="AE315" s="103">
        <f t="shared" si="296"/>
        <v>25.295171265</v>
      </c>
      <c r="AF315" s="123">
        <f t="shared" si="288"/>
        <v>114.99059656499998</v>
      </c>
      <c r="AG315" s="743"/>
      <c r="AH315" s="370"/>
      <c r="AI315" s="221" t="str">
        <f t="shared" si="290"/>
        <v>CFS Print On Demand Labels PerUnit</v>
      </c>
      <c r="AJ315" s="886">
        <v>6.6699999999999995E-2</v>
      </c>
      <c r="AK315" s="896">
        <f t="shared" si="289"/>
        <v>1.7341999999999997</v>
      </c>
      <c r="AL315" s="105" cm="1">
        <f t="array" ref="AL315">_xlfn.IFS($AJ315="NO CHARGE",0,$AJ315=0,0,$AJ315&gt;0,PRODUCT(I315,$AJ315))</f>
        <v>20.810399999999998</v>
      </c>
      <c r="AM315" s="105" cm="1">
        <f t="array" ref="AM315">_xlfn.IFS($AJ315="NO CHARGE",0,$AJ315=0,0,$AJ315&gt;0,PRODUCT(J315,$AJ315))</f>
        <v>21.850919999999999</v>
      </c>
      <c r="AN315" s="105" cm="1">
        <f t="array" ref="AN315">_xlfn.IFS($AJ315="NO CHARGE",0,$AJ315=0,0,$AJ315&gt;0,PRODUCT(K315,$AJ315))</f>
        <v>22.943466000000001</v>
      </c>
      <c r="AO315" s="105" cm="1">
        <f t="array" ref="AO315">_xlfn.IFS($AJ315="NO CHARGE",0,$AJ315=0,0,$AJ315&gt;0,PRODUCT(L315,$AJ315))</f>
        <v>24.090639299999999</v>
      </c>
      <c r="AP315" s="105" cm="1">
        <f t="array" ref="AP315">_xlfn.IFS($AJ315="NO CHARGE",0,$AJ315=0,0,$AJ315&gt;0,PRODUCT(M315,$AJ315))</f>
        <v>25.295171265</v>
      </c>
      <c r="AQ315" s="158">
        <f t="shared" si="271"/>
        <v>114.99059656499998</v>
      </c>
      <c r="AR315" s="875"/>
      <c r="AS315" s="473"/>
      <c r="AT315" s="106"/>
      <c r="AU315" s="353"/>
      <c r="AV315" s="108"/>
      <c r="AW315" s="108"/>
      <c r="AX315" s="108"/>
      <c r="AY315" s="108"/>
      <c r="AZ315" s="108"/>
      <c r="BA315" s="165"/>
      <c r="BB315" s="531"/>
    </row>
    <row r="316" spans="1:54" s="495" customFormat="1" outlineLevel="1" x14ac:dyDescent="0.25">
      <c r="A316" s="445"/>
      <c r="B316" s="623" t="s">
        <v>366</v>
      </c>
      <c r="C316" s="310" t="s">
        <v>365</v>
      </c>
      <c r="D316" s="604">
        <v>4</v>
      </c>
      <c r="E316" s="604">
        <v>2</v>
      </c>
      <c r="F316" s="604">
        <v>0</v>
      </c>
      <c r="G316" s="604">
        <v>1</v>
      </c>
      <c r="H316" s="618">
        <f t="shared" si="306"/>
        <v>1.75</v>
      </c>
      <c r="I316" s="127">
        <f t="shared" si="307"/>
        <v>21</v>
      </c>
      <c r="J316" s="127">
        <f t="shared" si="308"/>
        <v>22.05</v>
      </c>
      <c r="K316" s="127">
        <f t="shared" si="308"/>
        <v>23.1525</v>
      </c>
      <c r="L316" s="127">
        <f t="shared" si="308"/>
        <v>24.310124999999999</v>
      </c>
      <c r="M316" s="127">
        <f t="shared" si="308"/>
        <v>25.52563125</v>
      </c>
      <c r="N316" s="245" t="str">
        <f t="shared" si="309"/>
        <v>Card - Pull &amp; Readdress</v>
      </c>
      <c r="O316" s="586">
        <v>10.604900000000001</v>
      </c>
      <c r="P316" s="757">
        <f t="shared" si="286"/>
        <v>18.558575000000001</v>
      </c>
      <c r="Q316" s="129">
        <f t="shared" si="310"/>
        <v>222.7029</v>
      </c>
      <c r="R316" s="129">
        <f t="shared" si="311"/>
        <v>233.83804500000002</v>
      </c>
      <c r="S316" s="129">
        <f t="shared" si="312"/>
        <v>245.52994725000002</v>
      </c>
      <c r="T316" s="129">
        <f t="shared" si="313"/>
        <v>257.8064446125</v>
      </c>
      <c r="U316" s="129">
        <f t="shared" si="314"/>
        <v>270.69676684312503</v>
      </c>
      <c r="V316" s="209">
        <f t="shared" si="315"/>
        <v>1230.574103705625</v>
      </c>
      <c r="W316" s="528"/>
      <c r="X316" s="222" t="str">
        <f t="shared" si="316"/>
        <v>Card - Pull &amp; Readdress</v>
      </c>
      <c r="Y316" s="325">
        <v>11.100099999999999</v>
      </c>
      <c r="Z316" s="774">
        <f t="shared" si="291"/>
        <v>19.425174999999999</v>
      </c>
      <c r="AA316" s="103">
        <f t="shared" si="292"/>
        <v>233.10209999999998</v>
      </c>
      <c r="AB316" s="103">
        <f t="shared" si="293"/>
        <v>244.757205</v>
      </c>
      <c r="AC316" s="103">
        <f t="shared" si="294"/>
        <v>256.99506524999998</v>
      </c>
      <c r="AD316" s="103">
        <f t="shared" si="295"/>
        <v>269.84481851249996</v>
      </c>
      <c r="AE316" s="103">
        <f t="shared" si="296"/>
        <v>283.33705943812498</v>
      </c>
      <c r="AF316" s="123">
        <f t="shared" si="288"/>
        <v>1288.0362482006249</v>
      </c>
      <c r="AG316" s="743"/>
      <c r="AH316" s="370"/>
      <c r="AI316" s="221" t="str">
        <f t="shared" si="290"/>
        <v>Card - Pull &amp; Readdress</v>
      </c>
      <c r="AJ316" s="886">
        <v>11.100099999999999</v>
      </c>
      <c r="AK316" s="896">
        <f t="shared" si="289"/>
        <v>19.425174999999999</v>
      </c>
      <c r="AL316" s="105" cm="1">
        <f t="array" ref="AL316">_xlfn.IFS($AJ316="NO CHARGE",0,$AJ316=0,0,$AJ316&gt;0,PRODUCT(I316,$AJ316))</f>
        <v>233.10209999999998</v>
      </c>
      <c r="AM316" s="105" cm="1">
        <f t="array" ref="AM316">_xlfn.IFS($AJ316="NO CHARGE",0,$AJ316=0,0,$AJ316&gt;0,PRODUCT(J316,$AJ316))</f>
        <v>244.757205</v>
      </c>
      <c r="AN316" s="105" cm="1">
        <f t="array" ref="AN316">_xlfn.IFS($AJ316="NO CHARGE",0,$AJ316=0,0,$AJ316&gt;0,PRODUCT(K316,$AJ316))</f>
        <v>256.99506524999998</v>
      </c>
      <c r="AO316" s="105" cm="1">
        <f t="array" ref="AO316">_xlfn.IFS($AJ316="NO CHARGE",0,$AJ316=0,0,$AJ316&gt;0,PRODUCT(L316,$AJ316))</f>
        <v>269.84481851249996</v>
      </c>
      <c r="AP316" s="105" cm="1">
        <f t="array" ref="AP316">_xlfn.IFS($AJ316="NO CHARGE",0,$AJ316=0,0,$AJ316&gt;0,PRODUCT(M316,$AJ316))</f>
        <v>283.33705943812498</v>
      </c>
      <c r="AQ316" s="158">
        <f t="shared" si="271"/>
        <v>1288.0362482006249</v>
      </c>
      <c r="AR316" s="875"/>
      <c r="AS316" s="473"/>
      <c r="AT316" s="106"/>
      <c r="AU316" s="353"/>
      <c r="AV316" s="108"/>
      <c r="AW316" s="108"/>
      <c r="AX316" s="108"/>
      <c r="AY316" s="108"/>
      <c r="AZ316" s="108"/>
      <c r="BA316" s="165"/>
      <c r="BB316" s="531"/>
    </row>
    <row r="317" spans="1:54" s="495" customFormat="1" outlineLevel="1" x14ac:dyDescent="0.25">
      <c r="A317" s="445"/>
      <c r="B317" s="623"/>
      <c r="C317" s="310"/>
      <c r="D317" s="788">
        <v>45017</v>
      </c>
      <c r="E317" s="604"/>
      <c r="F317" s="604"/>
      <c r="G317" s="604"/>
      <c r="H317" s="618"/>
      <c r="I317" s="127">
        <f t="shared" si="307"/>
        <v>0</v>
      </c>
      <c r="J317" s="127">
        <f t="shared" si="308"/>
        <v>0</v>
      </c>
      <c r="K317" s="127">
        <f t="shared" si="308"/>
        <v>0</v>
      </c>
      <c r="L317" s="127">
        <f t="shared" si="308"/>
        <v>0</v>
      </c>
      <c r="M317" s="127">
        <f t="shared" si="308"/>
        <v>0</v>
      </c>
      <c r="N317" s="245"/>
      <c r="O317" s="586"/>
      <c r="P317" s="757">
        <f t="shared" si="286"/>
        <v>0</v>
      </c>
      <c r="Q317" s="129">
        <f t="shared" si="310"/>
        <v>0</v>
      </c>
      <c r="R317" s="129">
        <f t="shared" si="311"/>
        <v>0</v>
      </c>
      <c r="S317" s="129">
        <f t="shared" si="312"/>
        <v>0</v>
      </c>
      <c r="T317" s="129">
        <f t="shared" si="313"/>
        <v>0</v>
      </c>
      <c r="U317" s="129">
        <f t="shared" si="314"/>
        <v>0</v>
      </c>
      <c r="V317" s="209">
        <f t="shared" si="315"/>
        <v>0</v>
      </c>
      <c r="W317" s="528"/>
      <c r="X317" s="222"/>
      <c r="Y317" s="325"/>
      <c r="Z317" s="774">
        <f t="shared" si="291"/>
        <v>0</v>
      </c>
      <c r="AA317" s="103">
        <f t="shared" si="292"/>
        <v>0</v>
      </c>
      <c r="AB317" s="103">
        <f t="shared" si="293"/>
        <v>0</v>
      </c>
      <c r="AC317" s="103">
        <f t="shared" si="294"/>
        <v>0</v>
      </c>
      <c r="AD317" s="103">
        <f t="shared" si="295"/>
        <v>0</v>
      </c>
      <c r="AE317" s="103">
        <f t="shared" si="296"/>
        <v>0</v>
      </c>
      <c r="AF317" s="123">
        <f t="shared" si="288"/>
        <v>0</v>
      </c>
      <c r="AG317" s="743"/>
      <c r="AH317" s="370"/>
      <c r="AI317" s="221"/>
      <c r="AJ317" s="886"/>
      <c r="AK317" s="896">
        <f t="shared" si="289"/>
        <v>0</v>
      </c>
      <c r="AL317" s="105" cm="1">
        <f t="array" ref="AL317">_xlfn.IFS($AJ317="NO CHARGE",0,$AJ317=0,0,$AJ317&gt;0,PRODUCT(I317,$AJ317))</f>
        <v>0</v>
      </c>
      <c r="AM317" s="105" cm="1">
        <f t="array" ref="AM317">_xlfn.IFS($AJ317="NO CHARGE",0,$AJ317=0,0,$AJ317&gt;0,PRODUCT(J317,$AJ317))</f>
        <v>0</v>
      </c>
      <c r="AN317" s="105" cm="1">
        <f t="array" ref="AN317">_xlfn.IFS($AJ317="NO CHARGE",0,$AJ317=0,0,$AJ317&gt;0,PRODUCT(K317,$AJ317))</f>
        <v>0</v>
      </c>
      <c r="AO317" s="105" cm="1">
        <f t="array" ref="AO317">_xlfn.IFS($AJ317="NO CHARGE",0,$AJ317=0,0,$AJ317&gt;0,PRODUCT(L317,$AJ317))</f>
        <v>0</v>
      </c>
      <c r="AP317" s="105" cm="1">
        <f t="array" ref="AP317">_xlfn.IFS($AJ317="NO CHARGE",0,$AJ317=0,0,$AJ317&gt;0,PRODUCT(M317,$AJ317))</f>
        <v>0</v>
      </c>
      <c r="AQ317" s="158">
        <f t="shared" si="271"/>
        <v>0</v>
      </c>
      <c r="AR317" s="875"/>
      <c r="AS317" s="473"/>
      <c r="AT317" s="106"/>
      <c r="AU317" s="353"/>
      <c r="AV317" s="108"/>
      <c r="AW317" s="108"/>
      <c r="AX317" s="108"/>
      <c r="AY317" s="108"/>
      <c r="AZ317" s="108"/>
      <c r="BA317" s="165"/>
      <c r="BB317" s="531"/>
    </row>
    <row r="318" spans="1:54" s="495" customFormat="1" outlineLevel="1" x14ac:dyDescent="0.25">
      <c r="A318" s="445"/>
      <c r="B318" s="623" t="s">
        <v>367</v>
      </c>
      <c r="C318" s="310" t="s">
        <v>358</v>
      </c>
      <c r="D318" s="604">
        <v>1000</v>
      </c>
      <c r="E318" s="604"/>
      <c r="F318" s="604"/>
      <c r="G318" s="604"/>
      <c r="H318" s="618">
        <v>1000</v>
      </c>
      <c r="I318" s="127">
        <f t="shared" si="307"/>
        <v>12000</v>
      </c>
      <c r="J318" s="127">
        <f t="shared" si="308"/>
        <v>12600</v>
      </c>
      <c r="K318" s="127">
        <f t="shared" si="308"/>
        <v>13230</v>
      </c>
      <c r="L318" s="127">
        <f t="shared" si="308"/>
        <v>13891.5</v>
      </c>
      <c r="M318" s="127">
        <f t="shared" si="308"/>
        <v>14586.075000000001</v>
      </c>
      <c r="N318" s="245" t="str">
        <f>IF(C318="","",C318)</f>
        <v>Card Prod - Secured</v>
      </c>
      <c r="O318" s="586">
        <v>0.59640000000000004</v>
      </c>
      <c r="P318" s="757">
        <f t="shared" si="286"/>
        <v>596.4</v>
      </c>
      <c r="Q318" s="129">
        <f t="shared" si="310"/>
        <v>7156.8</v>
      </c>
      <c r="R318" s="129">
        <f t="shared" si="311"/>
        <v>7514.64</v>
      </c>
      <c r="S318" s="129">
        <f t="shared" si="312"/>
        <v>7890.3720000000003</v>
      </c>
      <c r="T318" s="129">
        <f t="shared" si="313"/>
        <v>8284.8906000000006</v>
      </c>
      <c r="U318" s="129">
        <f t="shared" si="314"/>
        <v>8699.1351300000006</v>
      </c>
      <c r="V318" s="209">
        <f t="shared" si="315"/>
        <v>39545.837730000007</v>
      </c>
      <c r="W318" s="528"/>
      <c r="X318" s="222" t="str">
        <f>C318</f>
        <v>Card Prod - Secured</v>
      </c>
      <c r="Y318" s="325">
        <v>0.62429999999999997</v>
      </c>
      <c r="Z318" s="774">
        <f t="shared" si="291"/>
        <v>624.29999999999995</v>
      </c>
      <c r="AA318" s="103">
        <f t="shared" si="292"/>
        <v>7491.5999999999995</v>
      </c>
      <c r="AB318" s="103">
        <f t="shared" si="293"/>
        <v>7866.1799999999994</v>
      </c>
      <c r="AC318" s="103">
        <f t="shared" si="294"/>
        <v>8259.4889999999996</v>
      </c>
      <c r="AD318" s="103">
        <f t="shared" si="295"/>
        <v>8672.4634499999993</v>
      </c>
      <c r="AE318" s="103">
        <f t="shared" si="296"/>
        <v>9106.0866224999991</v>
      </c>
      <c r="AF318" s="123">
        <f t="shared" si="288"/>
        <v>41395.819072500002</v>
      </c>
      <c r="AG318" s="743"/>
      <c r="AH318" s="370"/>
      <c r="AI318" s="221" t="str">
        <f t="shared" si="290"/>
        <v>Card Prod - Secured</v>
      </c>
      <c r="AJ318" s="886">
        <v>0.62429999999999997</v>
      </c>
      <c r="AK318" s="896">
        <f t="shared" si="289"/>
        <v>624.29999999999995</v>
      </c>
      <c r="AL318" s="105" cm="1">
        <f t="array" ref="AL318">_xlfn.IFS($AJ318="NO CHARGE",0,$AJ318=0,0,$AJ318&gt;0,PRODUCT(I318,$AJ318))</f>
        <v>7491.5999999999995</v>
      </c>
      <c r="AM318" s="105" cm="1">
        <f t="array" ref="AM318">_xlfn.IFS($AJ318="NO CHARGE",0,$AJ318=0,0,$AJ318&gt;0,PRODUCT(J318,$AJ318))</f>
        <v>7866.1799999999994</v>
      </c>
      <c r="AN318" s="105" cm="1">
        <f t="array" ref="AN318">_xlfn.IFS($AJ318="NO CHARGE",0,$AJ318=0,0,$AJ318&gt;0,PRODUCT(K318,$AJ318))</f>
        <v>8259.4889999999996</v>
      </c>
      <c r="AO318" s="105" cm="1">
        <f t="array" ref="AO318">_xlfn.IFS($AJ318="NO CHARGE",0,$AJ318=0,0,$AJ318&gt;0,PRODUCT(L318,$AJ318))</f>
        <v>8672.4634499999993</v>
      </c>
      <c r="AP318" s="105" cm="1">
        <f t="array" ref="AP318">_xlfn.IFS($AJ318="NO CHARGE",0,$AJ318=0,0,$AJ318&gt;0,PRODUCT(M318,$AJ318))</f>
        <v>9106.0866224999991</v>
      </c>
      <c r="AQ318" s="158">
        <f t="shared" si="271"/>
        <v>41395.819072500002</v>
      </c>
      <c r="AR318" s="875"/>
      <c r="AS318" s="473"/>
      <c r="AT318" s="106"/>
      <c r="AU318" s="353"/>
      <c r="AV318" s="108">
        <f>IF(AU318&gt;0,PRODUCT(I319,$AU318),0)</f>
        <v>0</v>
      </c>
      <c r="AW318" s="108">
        <f>IF(AV318&gt;0,PRODUCT(J319,$AU318),0)</f>
        <v>0</v>
      </c>
      <c r="AX318" s="108">
        <f>IF(AW318&gt;0,PRODUCT(K319,$AU318),0)</f>
        <v>0</v>
      </c>
      <c r="AY318" s="108">
        <f>IF(AX318&gt;0,PRODUCT(L319,$AU318),0)</f>
        <v>0</v>
      </c>
      <c r="AZ318" s="108">
        <f>IF(AY318&gt;0,PRODUCT(M319,$AU318),0)</f>
        <v>0</v>
      </c>
      <c r="BA318" s="165">
        <f>SUM(AV318:AZ318)</f>
        <v>0</v>
      </c>
      <c r="BB318" s="531"/>
    </row>
    <row r="319" spans="1:54" s="495" customFormat="1" outlineLevel="1" x14ac:dyDescent="0.25">
      <c r="A319" s="445"/>
      <c r="B319" s="623" t="s">
        <v>367</v>
      </c>
      <c r="C319" s="310" t="s">
        <v>359</v>
      </c>
      <c r="D319" s="604">
        <v>1</v>
      </c>
      <c r="E319" s="604"/>
      <c r="F319" s="604"/>
      <c r="G319" s="604"/>
      <c r="H319" s="618">
        <v>1</v>
      </c>
      <c r="I319" s="127">
        <f t="shared" si="307"/>
        <v>12</v>
      </c>
      <c r="J319" s="127">
        <f t="shared" si="308"/>
        <v>12</v>
      </c>
      <c r="K319" s="127">
        <f t="shared" si="308"/>
        <v>12</v>
      </c>
      <c r="L319" s="127">
        <f t="shared" si="308"/>
        <v>12</v>
      </c>
      <c r="M319" s="127">
        <f t="shared" si="308"/>
        <v>12</v>
      </c>
      <c r="N319" s="245" t="str">
        <f>IF(C319="","",C319)</f>
        <v>Card Prod Setup - Secured</v>
      </c>
      <c r="O319" s="586">
        <v>10</v>
      </c>
      <c r="P319" s="757">
        <f t="shared" si="286"/>
        <v>10</v>
      </c>
      <c r="Q319" s="129">
        <f t="shared" si="310"/>
        <v>120</v>
      </c>
      <c r="R319" s="129">
        <f t="shared" si="311"/>
        <v>120</v>
      </c>
      <c r="S319" s="129">
        <f t="shared" si="312"/>
        <v>120</v>
      </c>
      <c r="T319" s="129">
        <f t="shared" si="313"/>
        <v>120</v>
      </c>
      <c r="U319" s="129">
        <f t="shared" si="314"/>
        <v>120</v>
      </c>
      <c r="V319" s="209">
        <f t="shared" si="315"/>
        <v>600</v>
      </c>
      <c r="W319" s="528"/>
      <c r="X319" s="222" t="str">
        <f>C319</f>
        <v>Card Prod Setup - Secured</v>
      </c>
      <c r="Y319" s="325">
        <v>10.467000000000001</v>
      </c>
      <c r="Z319" s="774">
        <f t="shared" si="291"/>
        <v>10.467000000000001</v>
      </c>
      <c r="AA319" s="103">
        <f t="shared" si="292"/>
        <v>125.60400000000001</v>
      </c>
      <c r="AB319" s="103">
        <f t="shared" si="293"/>
        <v>125.60400000000001</v>
      </c>
      <c r="AC319" s="103">
        <f t="shared" si="294"/>
        <v>125.60400000000001</v>
      </c>
      <c r="AD319" s="103">
        <f t="shared" si="295"/>
        <v>125.60400000000001</v>
      </c>
      <c r="AE319" s="103">
        <f t="shared" si="296"/>
        <v>125.60400000000001</v>
      </c>
      <c r="AF319" s="123">
        <f t="shared" si="288"/>
        <v>628.0200000000001</v>
      </c>
      <c r="AG319" s="743"/>
      <c r="AH319" s="370"/>
      <c r="AI319" s="221" t="str">
        <f t="shared" si="290"/>
        <v>Card Prod Setup - Secured</v>
      </c>
      <c r="AJ319" s="886">
        <v>10.467000000000001</v>
      </c>
      <c r="AK319" s="896">
        <f t="shared" si="289"/>
        <v>10.467000000000001</v>
      </c>
      <c r="AL319" s="105" cm="1">
        <f t="array" ref="AL319">_xlfn.IFS($AJ319="NO CHARGE",0,$AJ319=0,0,$AJ319&gt;0,PRODUCT(I319,$AJ319))</f>
        <v>125.60400000000001</v>
      </c>
      <c r="AM319" s="105" cm="1">
        <f t="array" ref="AM319">_xlfn.IFS($AJ319="NO CHARGE",0,$AJ319=0,0,$AJ319&gt;0,PRODUCT(J319,$AJ319))</f>
        <v>125.60400000000001</v>
      </c>
      <c r="AN319" s="105" cm="1">
        <f t="array" ref="AN319">_xlfn.IFS($AJ319="NO CHARGE",0,$AJ319=0,0,$AJ319&gt;0,PRODUCT(K319,$AJ319))</f>
        <v>125.60400000000001</v>
      </c>
      <c r="AO319" s="105" cm="1">
        <f t="array" ref="AO319">_xlfn.IFS($AJ319="NO CHARGE",0,$AJ319=0,0,$AJ319&gt;0,PRODUCT(L319,$AJ319))</f>
        <v>125.60400000000001</v>
      </c>
      <c r="AP319" s="105" cm="1">
        <f t="array" ref="AP319">_xlfn.IFS($AJ319="NO CHARGE",0,$AJ319=0,0,$AJ319&gt;0,PRODUCT(M319,$AJ319))</f>
        <v>125.60400000000001</v>
      </c>
      <c r="AQ319" s="158">
        <f t="shared" si="271"/>
        <v>628.0200000000001</v>
      </c>
      <c r="AR319" s="875"/>
      <c r="AS319" s="473"/>
      <c r="AT319" s="106"/>
      <c r="AU319" s="353"/>
      <c r="AV319" s="108"/>
      <c r="AW319" s="108"/>
      <c r="AX319" s="108"/>
      <c r="AY319" s="108"/>
      <c r="AZ319" s="108"/>
      <c r="BA319" s="165"/>
      <c r="BB319" s="531"/>
    </row>
    <row r="320" spans="1:54" s="495" customFormat="1" outlineLevel="1" x14ac:dyDescent="0.25">
      <c r="A320" s="445"/>
      <c r="B320" s="623" t="s">
        <v>367</v>
      </c>
      <c r="C320" s="310" t="s">
        <v>368</v>
      </c>
      <c r="D320" s="604">
        <v>1000</v>
      </c>
      <c r="E320" s="604"/>
      <c r="F320" s="604"/>
      <c r="G320" s="604"/>
      <c r="H320" s="618">
        <v>1000</v>
      </c>
      <c r="I320" s="127">
        <f t="shared" si="307"/>
        <v>12000</v>
      </c>
      <c r="J320" s="127">
        <f t="shared" si="308"/>
        <v>12600</v>
      </c>
      <c r="K320" s="127">
        <f t="shared" si="308"/>
        <v>13230</v>
      </c>
      <c r="L320" s="127">
        <f t="shared" si="308"/>
        <v>13891.5</v>
      </c>
      <c r="M320" s="127">
        <f t="shared" si="308"/>
        <v>14586.075000000001</v>
      </c>
      <c r="N320" s="245" t="str">
        <f>IF(C320="","",C320)</f>
        <v>Cards - Secured</v>
      </c>
      <c r="O320" s="586">
        <v>0.99429999999999996</v>
      </c>
      <c r="P320" s="757">
        <f t="shared" si="286"/>
        <v>994.30000000000007</v>
      </c>
      <c r="Q320" s="129">
        <f t="shared" si="310"/>
        <v>11931.6</v>
      </c>
      <c r="R320" s="129">
        <f t="shared" si="311"/>
        <v>12528.18</v>
      </c>
      <c r="S320" s="129">
        <f t="shared" si="312"/>
        <v>13154.589</v>
      </c>
      <c r="T320" s="129">
        <f t="shared" si="313"/>
        <v>13812.318449999999</v>
      </c>
      <c r="U320" s="129">
        <f t="shared" si="314"/>
        <v>14502.9343725</v>
      </c>
      <c r="V320" s="209">
        <f t="shared" si="315"/>
        <v>65929.62182249999</v>
      </c>
      <c r="W320" s="528"/>
      <c r="X320" s="222" t="str">
        <f>C320</f>
        <v>Cards - Secured</v>
      </c>
      <c r="Y320" s="325">
        <v>1.0407</v>
      </c>
      <c r="Z320" s="774">
        <f t="shared" si="291"/>
        <v>1040.7</v>
      </c>
      <c r="AA320" s="103">
        <f t="shared" si="292"/>
        <v>12488.4</v>
      </c>
      <c r="AB320" s="103">
        <f t="shared" si="293"/>
        <v>13112.82</v>
      </c>
      <c r="AC320" s="103">
        <f t="shared" si="294"/>
        <v>13768.460999999999</v>
      </c>
      <c r="AD320" s="103">
        <f t="shared" si="295"/>
        <v>14456.884049999999</v>
      </c>
      <c r="AE320" s="103">
        <f t="shared" si="296"/>
        <v>15179.728252500001</v>
      </c>
      <c r="AF320" s="123">
        <f t="shared" si="288"/>
        <v>69006.293302499995</v>
      </c>
      <c r="AG320" s="743"/>
      <c r="AH320" s="370"/>
      <c r="AI320" s="221" t="str">
        <f t="shared" si="290"/>
        <v>Cards - Secured</v>
      </c>
      <c r="AJ320" s="886">
        <v>1.0407</v>
      </c>
      <c r="AK320" s="896">
        <f t="shared" si="289"/>
        <v>1040.7</v>
      </c>
      <c r="AL320" s="105" cm="1">
        <f t="array" ref="AL320">_xlfn.IFS($AJ320="NO CHARGE",0,$AJ320=0,0,$AJ320&gt;0,PRODUCT(I320,$AJ320))</f>
        <v>12488.4</v>
      </c>
      <c r="AM320" s="105" cm="1">
        <f t="array" ref="AM320">_xlfn.IFS($AJ320="NO CHARGE",0,$AJ320=0,0,$AJ320&gt;0,PRODUCT(J320,$AJ320))</f>
        <v>13112.82</v>
      </c>
      <c r="AN320" s="105" cm="1">
        <f t="array" ref="AN320">_xlfn.IFS($AJ320="NO CHARGE",0,$AJ320=0,0,$AJ320&gt;0,PRODUCT(K320,$AJ320))</f>
        <v>13768.460999999999</v>
      </c>
      <c r="AO320" s="105" cm="1">
        <f t="array" ref="AO320">_xlfn.IFS($AJ320="NO CHARGE",0,$AJ320=0,0,$AJ320&gt;0,PRODUCT(L320,$AJ320))</f>
        <v>14456.884049999999</v>
      </c>
      <c r="AP320" s="105" cm="1">
        <f t="array" ref="AP320">_xlfn.IFS($AJ320="NO CHARGE",0,$AJ320=0,0,$AJ320&gt;0,PRODUCT(M320,$AJ320))</f>
        <v>15179.728252500001</v>
      </c>
      <c r="AQ320" s="158">
        <f t="shared" si="271"/>
        <v>69006.293302499995</v>
      </c>
      <c r="AR320" s="875"/>
      <c r="AS320" s="473"/>
      <c r="AT320" s="106"/>
      <c r="AU320" s="353"/>
      <c r="AV320" s="108"/>
      <c r="AW320" s="108"/>
      <c r="AX320" s="108"/>
      <c r="AY320" s="108"/>
      <c r="AZ320" s="108"/>
      <c r="BA320" s="165"/>
      <c r="BB320" s="531"/>
    </row>
    <row r="321" spans="1:54" s="495" customFormat="1" outlineLevel="1" x14ac:dyDescent="0.25">
      <c r="A321" s="445"/>
      <c r="B321" s="623"/>
      <c r="C321" s="310"/>
      <c r="D321" s="604"/>
      <c r="E321" s="604"/>
      <c r="F321" s="604"/>
      <c r="G321" s="604"/>
      <c r="H321" s="618"/>
      <c r="I321" s="127">
        <f t="shared" si="307"/>
        <v>0</v>
      </c>
      <c r="J321" s="127">
        <f t="shared" si="308"/>
        <v>0</v>
      </c>
      <c r="K321" s="127">
        <f t="shared" si="308"/>
        <v>0</v>
      </c>
      <c r="L321" s="127">
        <f t="shared" si="308"/>
        <v>0</v>
      </c>
      <c r="M321" s="127">
        <f t="shared" si="308"/>
        <v>0</v>
      </c>
      <c r="N321" s="245"/>
      <c r="O321" s="586"/>
      <c r="P321" s="757">
        <f t="shared" si="286"/>
        <v>0</v>
      </c>
      <c r="Q321" s="129">
        <f t="shared" si="310"/>
        <v>0</v>
      </c>
      <c r="R321" s="129">
        <f t="shared" si="311"/>
        <v>0</v>
      </c>
      <c r="S321" s="129">
        <f t="shared" si="312"/>
        <v>0</v>
      </c>
      <c r="T321" s="129">
        <f t="shared" si="313"/>
        <v>0</v>
      </c>
      <c r="U321" s="129">
        <f t="shared" si="314"/>
        <v>0</v>
      </c>
      <c r="V321" s="209">
        <f t="shared" si="315"/>
        <v>0</v>
      </c>
      <c r="W321" s="528"/>
      <c r="X321" s="222"/>
      <c r="Y321" s="325"/>
      <c r="Z321" s="774">
        <f t="shared" si="291"/>
        <v>0</v>
      </c>
      <c r="AA321" s="103">
        <f t="shared" si="292"/>
        <v>0</v>
      </c>
      <c r="AB321" s="103">
        <f t="shared" si="293"/>
        <v>0</v>
      </c>
      <c r="AC321" s="103">
        <f t="shared" si="294"/>
        <v>0</v>
      </c>
      <c r="AD321" s="103">
        <f t="shared" si="295"/>
        <v>0</v>
      </c>
      <c r="AE321" s="103">
        <f t="shared" si="296"/>
        <v>0</v>
      </c>
      <c r="AF321" s="123">
        <f t="shared" si="288"/>
        <v>0</v>
      </c>
      <c r="AG321" s="743"/>
      <c r="AH321" s="370"/>
      <c r="AI321" s="221"/>
      <c r="AJ321" s="886"/>
      <c r="AK321" s="896">
        <f t="shared" si="289"/>
        <v>0</v>
      </c>
      <c r="AL321" s="105" cm="1">
        <f t="array" ref="AL321">_xlfn.IFS($AJ321="NO CHARGE",0,$AJ321=0,0,$AJ321&gt;0,PRODUCT(I321,$AJ321))</f>
        <v>0</v>
      </c>
      <c r="AM321" s="105" cm="1">
        <f t="array" ref="AM321">_xlfn.IFS($AJ321="NO CHARGE",0,$AJ321=0,0,$AJ321&gt;0,PRODUCT(J321,$AJ321))</f>
        <v>0</v>
      </c>
      <c r="AN321" s="105" cm="1">
        <f t="array" ref="AN321">_xlfn.IFS($AJ321="NO CHARGE",0,$AJ321=0,0,$AJ321&gt;0,PRODUCT(K321,$AJ321))</f>
        <v>0</v>
      </c>
      <c r="AO321" s="105" cm="1">
        <f t="array" ref="AO321">_xlfn.IFS($AJ321="NO CHARGE",0,$AJ321=0,0,$AJ321&gt;0,PRODUCT(L321,$AJ321))</f>
        <v>0</v>
      </c>
      <c r="AP321" s="105" cm="1">
        <f t="array" ref="AP321">_xlfn.IFS($AJ321="NO CHARGE",0,$AJ321=0,0,$AJ321&gt;0,PRODUCT(M321,$AJ321))</f>
        <v>0</v>
      </c>
      <c r="AQ321" s="158">
        <f t="shared" si="271"/>
        <v>0</v>
      </c>
      <c r="AR321" s="875"/>
      <c r="AS321" s="473"/>
      <c r="AT321" s="106"/>
      <c r="AU321" s="353"/>
      <c r="AV321" s="108">
        <f>IF(AU321&gt;0,PRODUCT(I333,$AU321),0)</f>
        <v>0</v>
      </c>
      <c r="AW321" s="108">
        <f>IF(AV321&gt;0,PRODUCT(J333,$AU321),0)</f>
        <v>0</v>
      </c>
      <c r="AX321" s="108">
        <f>IF(AW321&gt;0,PRODUCT(K333,$AU321),0)</f>
        <v>0</v>
      </c>
      <c r="AY321" s="108">
        <f>IF(AX321&gt;0,PRODUCT(L333,$AU321),0)</f>
        <v>0</v>
      </c>
      <c r="AZ321" s="108">
        <f>IF(AY321&gt;0,PRODUCT(M333,$AU321),0)</f>
        <v>0</v>
      </c>
      <c r="BA321" s="165">
        <f>SUM(AV321:AZ321)</f>
        <v>0</v>
      </c>
      <c r="BB321" s="531"/>
    </row>
    <row r="322" spans="1:54" s="495" customFormat="1" outlineLevel="1" x14ac:dyDescent="0.25">
      <c r="A322" s="445"/>
      <c r="B322" s="252" t="str">
        <f>C322</f>
        <v>Tokenization (Recently Implemented)</v>
      </c>
      <c r="C322" s="242" t="s">
        <v>369</v>
      </c>
      <c r="D322" s="609"/>
      <c r="E322" s="609"/>
      <c r="F322" s="609"/>
      <c r="G322" s="609"/>
      <c r="H322" s="619"/>
      <c r="I322" s="243"/>
      <c r="J322" s="243"/>
      <c r="K322" s="243"/>
      <c r="L322" s="243"/>
      <c r="M322" s="244"/>
      <c r="N322" s="252" t="str">
        <f t="shared" ref="N322:N329" si="317">IF(C322="","",C322)</f>
        <v>Tokenization (Recently Implemented)</v>
      </c>
      <c r="O322" s="243"/>
      <c r="P322" s="756"/>
      <c r="Q322" s="243"/>
      <c r="R322" s="243"/>
      <c r="S322" s="243"/>
      <c r="T322" s="243"/>
      <c r="U322" s="244"/>
      <c r="V322" s="209"/>
      <c r="W322" s="527"/>
      <c r="X322" s="252" t="str">
        <f t="shared" ref="X322:X329" si="318">C322</f>
        <v>Tokenization (Recently Implemented)</v>
      </c>
      <c r="Y322" s="707"/>
      <c r="Z322" s="756"/>
      <c r="AA322" s="243"/>
      <c r="AB322" s="243"/>
      <c r="AC322" s="243"/>
      <c r="AD322" s="243"/>
      <c r="AE322" s="244"/>
      <c r="AF322" s="123"/>
      <c r="AG322" s="745"/>
      <c r="AH322" s="362"/>
      <c r="AI322" s="252" t="str">
        <f>C322</f>
        <v>Tokenization (Recently Implemented)</v>
      </c>
      <c r="AJ322" s="707"/>
      <c r="AK322" s="895"/>
      <c r="AL322" s="243"/>
      <c r="AM322" s="243"/>
      <c r="AN322" s="243"/>
      <c r="AO322" s="243"/>
      <c r="AP322" s="244"/>
      <c r="AQ322" s="158">
        <f t="shared" ref="AQ322" si="319">SUM(AL322:AP322)</f>
        <v>0</v>
      </c>
      <c r="AR322" s="874"/>
      <c r="AS322" s="874"/>
      <c r="AT322" s="252" t="str">
        <f>C322</f>
        <v>Tokenization (Recently Implemented)</v>
      </c>
      <c r="AU322" s="243"/>
      <c r="AV322" s="243"/>
      <c r="AW322" s="243"/>
      <c r="AX322" s="243"/>
      <c r="AY322" s="243"/>
      <c r="AZ322" s="244"/>
      <c r="BA322" s="165"/>
      <c r="BB322" s="532"/>
    </row>
    <row r="323" spans="1:54" s="495" customFormat="1" outlineLevel="1" x14ac:dyDescent="0.25">
      <c r="A323" s="445"/>
      <c r="B323" s="623" t="s">
        <v>370</v>
      </c>
      <c r="C323" s="310" t="s">
        <v>371</v>
      </c>
      <c r="D323" s="604"/>
      <c r="E323" s="604"/>
      <c r="F323" s="604"/>
      <c r="G323" s="604"/>
      <c r="H323" s="618">
        <v>1608</v>
      </c>
      <c r="I323" s="127">
        <f t="shared" ref="I323" si="320">H323*12</f>
        <v>19296</v>
      </c>
      <c r="J323" s="127">
        <f t="shared" ref="J323:M335" si="321">IF(I323&gt;12,(((I323)*$H$5)+I323),(I323*1))</f>
        <v>20260.8</v>
      </c>
      <c r="K323" s="127">
        <f t="shared" si="321"/>
        <v>21273.84</v>
      </c>
      <c r="L323" s="127">
        <f t="shared" si="321"/>
        <v>22337.531999999999</v>
      </c>
      <c r="M323" s="127">
        <f t="shared" si="321"/>
        <v>23454.408599999999</v>
      </c>
      <c r="N323" s="245" t="str">
        <f t="shared" si="317"/>
        <v>Token Provisioning Processing Fee</v>
      </c>
      <c r="O323" s="586">
        <v>0.05</v>
      </c>
      <c r="P323" s="757">
        <f t="shared" ref="P323" si="322">Q323/12</f>
        <v>80.400000000000006</v>
      </c>
      <c r="Q323" s="129">
        <f t="shared" ref="Q323" si="323">IF(O323&gt;0,PRODUCT(I323,$O323),0)</f>
        <v>964.80000000000007</v>
      </c>
      <c r="R323" s="129">
        <f t="shared" si="311"/>
        <v>1013.04</v>
      </c>
      <c r="S323" s="129">
        <f t="shared" si="312"/>
        <v>1063.692</v>
      </c>
      <c r="T323" s="129">
        <f t="shared" si="313"/>
        <v>1116.8766000000001</v>
      </c>
      <c r="U323" s="129">
        <f t="shared" si="314"/>
        <v>1172.7204300000001</v>
      </c>
      <c r="V323" s="209">
        <f t="shared" ref="V323" si="324">SUM(Q323:U323)</f>
        <v>5331.129030000001</v>
      </c>
      <c r="W323" s="528"/>
      <c r="X323" s="222" t="str">
        <f t="shared" si="318"/>
        <v>Token Provisioning Processing Fee</v>
      </c>
      <c r="Y323" s="325">
        <v>0.05</v>
      </c>
      <c r="Z323" s="774">
        <f t="shared" ref="Z323" si="325">AA323/12</f>
        <v>80.400000000000006</v>
      </c>
      <c r="AA323" s="103">
        <f t="shared" ref="AA323" si="326">IF(Y323&gt;0,PRODUCT(I323,$Y323),0)</f>
        <v>964.80000000000007</v>
      </c>
      <c r="AB323" s="103">
        <f t="shared" si="293"/>
        <v>1013.04</v>
      </c>
      <c r="AC323" s="103">
        <f t="shared" si="294"/>
        <v>1063.692</v>
      </c>
      <c r="AD323" s="103">
        <f t="shared" si="295"/>
        <v>1116.8766000000001</v>
      </c>
      <c r="AE323" s="103">
        <f t="shared" si="296"/>
        <v>1172.7204300000001</v>
      </c>
      <c r="AF323" s="123">
        <f t="shared" ref="AF323" si="327">SUM(AA323:AE323)</f>
        <v>5331.129030000001</v>
      </c>
      <c r="AG323" s="743"/>
      <c r="AH323" s="370"/>
      <c r="AI323" s="221" t="str">
        <f t="shared" ref="AI323:AI329" si="328">X323</f>
        <v>Token Provisioning Processing Fee</v>
      </c>
      <c r="AJ323" s="886">
        <v>0.05</v>
      </c>
      <c r="AK323" s="896">
        <f t="shared" si="289"/>
        <v>80.400000000000006</v>
      </c>
      <c r="AL323" s="105" cm="1">
        <f t="array" ref="AL323">_xlfn.IFS($AJ323="NO CHARGE",0,$AJ323=0,0,$AJ323&gt;0,PRODUCT(I323,$AJ323))</f>
        <v>964.80000000000007</v>
      </c>
      <c r="AM323" s="105" cm="1">
        <f t="array" ref="AM323">_xlfn.IFS($AJ323="NO CHARGE",0,$AJ323=0,0,$AJ323&gt;0,PRODUCT(J323,$AJ323))</f>
        <v>1013.04</v>
      </c>
      <c r="AN323" s="105" cm="1">
        <f t="array" ref="AN323">_xlfn.IFS($AJ323="NO CHARGE",0,$AJ323=0,0,$AJ323&gt;0,PRODUCT(K323,$AJ323))</f>
        <v>1063.692</v>
      </c>
      <c r="AO323" s="105" cm="1">
        <f t="array" ref="AO323">_xlfn.IFS($AJ323="NO CHARGE",0,$AJ323=0,0,$AJ323&gt;0,PRODUCT(L323,$AJ323))</f>
        <v>1116.8766000000001</v>
      </c>
      <c r="AP323" s="105" cm="1">
        <f t="array" ref="AP323">_xlfn.IFS($AJ323="NO CHARGE",0,$AJ323=0,0,$AJ323&gt;0,PRODUCT(M323,$AJ323))</f>
        <v>1172.7204300000001</v>
      </c>
      <c r="AQ323" s="158">
        <f t="shared" ref="AQ323:AQ324" si="329">SUM(AL323:AP323)</f>
        <v>5331.129030000001</v>
      </c>
      <c r="AR323" s="875"/>
      <c r="AS323" s="473"/>
      <c r="AT323" s="106"/>
      <c r="AU323" s="353"/>
      <c r="AV323" s="108"/>
      <c r="AW323" s="108"/>
      <c r="AX323" s="108"/>
      <c r="AY323" s="108"/>
      <c r="AZ323" s="108"/>
      <c r="BA323" s="165"/>
      <c r="BB323" s="531"/>
    </row>
    <row r="324" spans="1:54" s="495" customFormat="1" outlineLevel="1" x14ac:dyDescent="0.25">
      <c r="A324" s="445"/>
      <c r="B324" s="623" t="s">
        <v>370</v>
      </c>
      <c r="C324" s="310" t="s">
        <v>372</v>
      </c>
      <c r="D324" s="604"/>
      <c r="E324" s="604"/>
      <c r="F324" s="604"/>
      <c r="G324" s="604"/>
      <c r="H324" s="618">
        <v>1</v>
      </c>
      <c r="I324" s="127">
        <f>H324*12</f>
        <v>12</v>
      </c>
      <c r="J324" s="127">
        <f t="shared" si="321"/>
        <v>12</v>
      </c>
      <c r="K324" s="127">
        <f t="shared" si="321"/>
        <v>12</v>
      </c>
      <c r="L324" s="127">
        <f t="shared" si="321"/>
        <v>12</v>
      </c>
      <c r="M324" s="127">
        <f t="shared" si="321"/>
        <v>12</v>
      </c>
      <c r="N324" s="245" t="str">
        <f t="shared" si="317"/>
        <v>FIS Step Up Authentication</v>
      </c>
      <c r="O324" s="586">
        <v>100</v>
      </c>
      <c r="P324" s="757">
        <f>Q324/12</f>
        <v>100</v>
      </c>
      <c r="Q324" s="129">
        <f>IF(O324&gt;0,PRODUCT(I324,$O324),0)</f>
        <v>1200</v>
      </c>
      <c r="R324" s="129">
        <f>IF(Q324&gt;0,PRODUCT(J324,$O324),0)</f>
        <v>1200</v>
      </c>
      <c r="S324" s="129">
        <f>IF(R324&gt;0,PRODUCT(K324,$O324),0)</f>
        <v>1200</v>
      </c>
      <c r="T324" s="129">
        <f>IF(S324&gt;0,PRODUCT(L324,$O324),0)</f>
        <v>1200</v>
      </c>
      <c r="U324" s="129">
        <f>IF(T324&gt;0,PRODUCT(M324,$O324),0)</f>
        <v>1200</v>
      </c>
      <c r="V324" s="209">
        <f>SUM(Q324:U324)</f>
        <v>6000</v>
      </c>
      <c r="W324" s="528"/>
      <c r="X324" s="222" t="str">
        <f t="shared" si="318"/>
        <v>FIS Step Up Authentication</v>
      </c>
      <c r="Y324" s="325">
        <v>100</v>
      </c>
      <c r="Z324" s="774">
        <f>AA324/12</f>
        <v>100</v>
      </c>
      <c r="AA324" s="103">
        <f>IF(Y324&gt;0,PRODUCT(I324,$Y324),0)</f>
        <v>1200</v>
      </c>
      <c r="AB324" s="103">
        <f t="shared" si="293"/>
        <v>1200</v>
      </c>
      <c r="AC324" s="103">
        <f t="shared" si="294"/>
        <v>1200</v>
      </c>
      <c r="AD324" s="103">
        <f t="shared" si="295"/>
        <v>1200</v>
      </c>
      <c r="AE324" s="103">
        <f t="shared" si="296"/>
        <v>1200</v>
      </c>
      <c r="AF324" s="123">
        <f>SUM(AA324:AE324)</f>
        <v>6000</v>
      </c>
      <c r="AG324" s="743"/>
      <c r="AH324" s="370"/>
      <c r="AI324" s="221" t="str">
        <f t="shared" si="328"/>
        <v>FIS Step Up Authentication</v>
      </c>
      <c r="AJ324" s="886">
        <v>100</v>
      </c>
      <c r="AK324" s="896">
        <f t="shared" si="289"/>
        <v>100</v>
      </c>
      <c r="AL324" s="105" cm="1">
        <f t="array" ref="AL324">_xlfn.IFS($AJ324="NO CHARGE",0,$AJ324=0,0,$AJ324&gt;0,PRODUCT(I324,$AJ324))</f>
        <v>1200</v>
      </c>
      <c r="AM324" s="105" cm="1">
        <f t="array" ref="AM324">_xlfn.IFS($AJ324="NO CHARGE",0,$AJ324=0,0,$AJ324&gt;0,PRODUCT(J324,$AJ324))</f>
        <v>1200</v>
      </c>
      <c r="AN324" s="105" cm="1">
        <f t="array" ref="AN324">_xlfn.IFS($AJ324="NO CHARGE",0,$AJ324=0,0,$AJ324&gt;0,PRODUCT(K324,$AJ324))</f>
        <v>1200</v>
      </c>
      <c r="AO324" s="105" cm="1">
        <f t="array" ref="AO324">_xlfn.IFS($AJ324="NO CHARGE",0,$AJ324=0,0,$AJ324&gt;0,PRODUCT(L324,$AJ324))</f>
        <v>1200</v>
      </c>
      <c r="AP324" s="105" cm="1">
        <f t="array" ref="AP324">_xlfn.IFS($AJ324="NO CHARGE",0,$AJ324=0,0,$AJ324&gt;0,PRODUCT(M324,$AJ324))</f>
        <v>1200</v>
      </c>
      <c r="AQ324" s="158">
        <f t="shared" si="329"/>
        <v>6000</v>
      </c>
      <c r="AR324" s="875"/>
      <c r="AS324" s="473"/>
      <c r="AT324" s="106"/>
      <c r="AU324" s="353"/>
      <c r="AV324" s="108"/>
      <c r="AW324" s="108"/>
      <c r="AX324" s="108"/>
      <c r="AY324" s="108"/>
      <c r="AZ324" s="108"/>
      <c r="BA324" s="165"/>
      <c r="BB324" s="531"/>
    </row>
    <row r="325" spans="1:54" s="495" customFormat="1" outlineLevel="1" x14ac:dyDescent="0.25">
      <c r="A325" s="445"/>
      <c r="B325" s="623" t="s">
        <v>370</v>
      </c>
      <c r="C325" s="310" t="s">
        <v>373</v>
      </c>
      <c r="D325" s="604"/>
      <c r="E325" s="604"/>
      <c r="F325" s="604"/>
      <c r="G325" s="604"/>
      <c r="H325" s="618">
        <v>1</v>
      </c>
      <c r="I325" s="127">
        <f>H325*12</f>
        <v>12</v>
      </c>
      <c r="J325" s="127">
        <f t="shared" si="321"/>
        <v>12</v>
      </c>
      <c r="K325" s="127">
        <f t="shared" si="321"/>
        <v>12</v>
      </c>
      <c r="L325" s="127">
        <f t="shared" si="321"/>
        <v>12</v>
      </c>
      <c r="M325" s="127">
        <f t="shared" si="321"/>
        <v>12</v>
      </c>
      <c r="N325" s="245" t="str">
        <f t="shared" si="317"/>
        <v>Customer Care - FIS Call Center Support - Base Monthly</v>
      </c>
      <c r="O325" s="586">
        <v>65</v>
      </c>
      <c r="P325" s="757">
        <f>Q325/12</f>
        <v>65</v>
      </c>
      <c r="Q325" s="129">
        <f>IF(O325&gt;0,PRODUCT(I325,$O325),0)</f>
        <v>780</v>
      </c>
      <c r="R325" s="129">
        <f t="shared" ref="R325:R326" si="330">IF(Q325&gt;0,PRODUCT(J325,$O325),0)</f>
        <v>780</v>
      </c>
      <c r="S325" s="129">
        <f t="shared" ref="S325:S326" si="331">IF(R325&gt;0,PRODUCT(K325,$O325),0)</f>
        <v>780</v>
      </c>
      <c r="T325" s="129">
        <f t="shared" ref="T325:T326" si="332">IF(S325&gt;0,PRODUCT(L325,$O325),0)</f>
        <v>780</v>
      </c>
      <c r="U325" s="129">
        <f t="shared" ref="U325:U326" si="333">IF(T325&gt;0,PRODUCT(M325,$O325),0)</f>
        <v>780</v>
      </c>
      <c r="V325" s="209">
        <f>SUM(Q325:U325)</f>
        <v>3900</v>
      </c>
      <c r="W325" s="528"/>
      <c r="X325" s="222" t="str">
        <f t="shared" si="318"/>
        <v>Customer Care - FIS Call Center Support - Base Monthly</v>
      </c>
      <c r="Y325" s="325">
        <v>65</v>
      </c>
      <c r="Z325" s="774">
        <f>AA325/12</f>
        <v>65</v>
      </c>
      <c r="AA325" s="103">
        <f>IF(Y325&gt;0,PRODUCT(I325,$Y325),0)</f>
        <v>780</v>
      </c>
      <c r="AB325" s="103">
        <f t="shared" ref="AB325:AB328" si="334">IF(AA325&gt;0,PRODUCT(J325,$Y325),0)</f>
        <v>780</v>
      </c>
      <c r="AC325" s="103">
        <f t="shared" ref="AC325:AC328" si="335">IF(AB325&gt;0,PRODUCT(K325,$Y325),0)</f>
        <v>780</v>
      </c>
      <c r="AD325" s="103">
        <f t="shared" ref="AD325:AD328" si="336">IF(AC325&gt;0,PRODUCT(L325,$Y325),0)</f>
        <v>780</v>
      </c>
      <c r="AE325" s="103">
        <f t="shared" ref="AE325:AE328" si="337">IF(AD325&gt;0,PRODUCT(M325,$Y325),0)</f>
        <v>780</v>
      </c>
      <c r="AF325" s="123">
        <f>SUM(AA325:AE325)</f>
        <v>3900</v>
      </c>
      <c r="AG325" s="743"/>
      <c r="AH325" s="370"/>
      <c r="AI325" s="221" t="str">
        <f t="shared" si="328"/>
        <v>Customer Care - FIS Call Center Support - Base Monthly</v>
      </c>
      <c r="AJ325" s="886">
        <v>65</v>
      </c>
      <c r="AK325" s="896">
        <f t="shared" ref="AK325:AK328" si="338">AL325/12</f>
        <v>65</v>
      </c>
      <c r="AL325" s="105" cm="1">
        <f t="array" ref="AL325">_xlfn.IFS($AJ325="NO CHARGE",0,$AJ325=0,0,$AJ325&gt;0,PRODUCT(I325,$AJ325))</f>
        <v>780</v>
      </c>
      <c r="AM325" s="105" cm="1">
        <f t="array" ref="AM325">_xlfn.IFS($AJ325="NO CHARGE",0,$AJ325=0,0,$AJ325&gt;0,PRODUCT(J325,$AJ325))</f>
        <v>780</v>
      </c>
      <c r="AN325" s="105" cm="1">
        <f t="array" ref="AN325">_xlfn.IFS($AJ325="NO CHARGE",0,$AJ325=0,0,$AJ325&gt;0,PRODUCT(K325,$AJ325))</f>
        <v>780</v>
      </c>
      <c r="AO325" s="105" cm="1">
        <f t="array" ref="AO325">_xlfn.IFS($AJ325="NO CHARGE",0,$AJ325=0,0,$AJ325&gt;0,PRODUCT(L325,$AJ325))</f>
        <v>780</v>
      </c>
      <c r="AP325" s="105" cm="1">
        <f t="array" ref="AP325">_xlfn.IFS($AJ325="NO CHARGE",0,$AJ325=0,0,$AJ325&gt;0,PRODUCT(M325,$AJ325))</f>
        <v>780</v>
      </c>
      <c r="AQ325" s="158">
        <f t="shared" si="271"/>
        <v>3900</v>
      </c>
      <c r="AR325" s="875"/>
      <c r="AS325" s="473"/>
      <c r="AT325" s="106"/>
      <c r="AU325" s="353"/>
      <c r="AV325" s="108"/>
      <c r="AW325" s="108"/>
      <c r="AX325" s="108"/>
      <c r="AY325" s="108"/>
      <c r="AZ325" s="108"/>
      <c r="BA325" s="165"/>
      <c r="BB325" s="531"/>
    </row>
    <row r="326" spans="1:54" s="495" customFormat="1" outlineLevel="1" x14ac:dyDescent="0.25">
      <c r="A326" s="445"/>
      <c r="B326" s="623" t="s">
        <v>370</v>
      </c>
      <c r="C326" s="310" t="s">
        <v>374</v>
      </c>
      <c r="D326" s="604"/>
      <c r="E326" s="604"/>
      <c r="F326" s="604"/>
      <c r="G326" s="604"/>
      <c r="H326" s="618">
        <v>0</v>
      </c>
      <c r="I326" s="127">
        <f t="shared" ref="I326" si="339">H326*12</f>
        <v>0</v>
      </c>
      <c r="J326" s="127">
        <f t="shared" si="321"/>
        <v>0</v>
      </c>
      <c r="K326" s="127">
        <f t="shared" si="321"/>
        <v>0</v>
      </c>
      <c r="L326" s="127">
        <f t="shared" si="321"/>
        <v>0</v>
      </c>
      <c r="M326" s="127">
        <f t="shared" si="321"/>
        <v>0</v>
      </c>
      <c r="N326" s="245" t="str">
        <f t="shared" si="317"/>
        <v>Customer Care - FIS Call Center Support - Per MINUTE</v>
      </c>
      <c r="O326" s="586">
        <v>1.5</v>
      </c>
      <c r="P326" s="757">
        <f t="shared" ref="P326" si="340">Q326/12</f>
        <v>0</v>
      </c>
      <c r="Q326" s="129">
        <f t="shared" ref="Q326" si="341">IF(O326&gt;0,PRODUCT(I326,$O326),0)</f>
        <v>0</v>
      </c>
      <c r="R326" s="129">
        <f t="shared" si="330"/>
        <v>0</v>
      </c>
      <c r="S326" s="129">
        <f t="shared" si="331"/>
        <v>0</v>
      </c>
      <c r="T326" s="129">
        <f t="shared" si="332"/>
        <v>0</v>
      </c>
      <c r="U326" s="129">
        <f t="shared" si="333"/>
        <v>0</v>
      </c>
      <c r="V326" s="209">
        <f t="shared" ref="V326" si="342">SUM(Q326:U326)</f>
        <v>0</v>
      </c>
      <c r="W326" s="528"/>
      <c r="X326" s="222" t="str">
        <f t="shared" si="318"/>
        <v>Customer Care - FIS Call Center Support - Per MINUTE</v>
      </c>
      <c r="Y326" s="325">
        <v>1.5</v>
      </c>
      <c r="Z326" s="774">
        <f t="shared" ref="Z326" si="343">AA326/12</f>
        <v>0</v>
      </c>
      <c r="AA326" s="103">
        <f t="shared" ref="AA326" si="344">IF(Y326&gt;0,PRODUCT(I326,$Y326),0)</f>
        <v>0</v>
      </c>
      <c r="AB326" s="103">
        <f t="shared" si="334"/>
        <v>0</v>
      </c>
      <c r="AC326" s="103">
        <f t="shared" si="335"/>
        <v>0</v>
      </c>
      <c r="AD326" s="103">
        <f t="shared" si="336"/>
        <v>0</v>
      </c>
      <c r="AE326" s="103">
        <f t="shared" si="337"/>
        <v>0</v>
      </c>
      <c r="AF326" s="123">
        <f t="shared" ref="AF326" si="345">SUM(AA326:AE326)</f>
        <v>0</v>
      </c>
      <c r="AG326" s="743"/>
      <c r="AH326" s="370"/>
      <c r="AI326" s="221" t="str">
        <f t="shared" si="328"/>
        <v>Customer Care - FIS Call Center Support - Per MINUTE</v>
      </c>
      <c r="AJ326" s="886">
        <v>1.5</v>
      </c>
      <c r="AK326" s="896">
        <f t="shared" si="338"/>
        <v>0</v>
      </c>
      <c r="AL326" s="105" cm="1">
        <f t="array" ref="AL326">_xlfn.IFS($AJ326="NO CHARGE",0,$AJ326=0,0,$AJ326&gt;0,PRODUCT(I326,$AJ326))</f>
        <v>0</v>
      </c>
      <c r="AM326" s="105" cm="1">
        <f t="array" ref="AM326">_xlfn.IFS($AJ326="NO CHARGE",0,$AJ326=0,0,$AJ326&gt;0,PRODUCT(J326,$AJ326))</f>
        <v>0</v>
      </c>
      <c r="AN326" s="105" cm="1">
        <f t="array" ref="AN326">_xlfn.IFS($AJ326="NO CHARGE",0,$AJ326=0,0,$AJ326&gt;0,PRODUCT(K326,$AJ326))</f>
        <v>0</v>
      </c>
      <c r="AO326" s="105" cm="1">
        <f t="array" ref="AO326">_xlfn.IFS($AJ326="NO CHARGE",0,$AJ326=0,0,$AJ326&gt;0,PRODUCT(L326,$AJ326))</f>
        <v>0</v>
      </c>
      <c r="AP326" s="105" cm="1">
        <f t="array" ref="AP326">_xlfn.IFS($AJ326="NO CHARGE",0,$AJ326=0,0,$AJ326&gt;0,PRODUCT(M326,$AJ326))</f>
        <v>0</v>
      </c>
      <c r="AQ326" s="158">
        <f t="shared" si="271"/>
        <v>0</v>
      </c>
      <c r="AR326" s="875"/>
      <c r="AS326" s="473"/>
      <c r="AT326" s="106"/>
      <c r="AU326" s="353"/>
      <c r="AV326" s="108"/>
      <c r="AW326" s="108"/>
      <c r="AX326" s="108"/>
      <c r="AY326" s="108"/>
      <c r="AZ326" s="108"/>
      <c r="BA326" s="165"/>
      <c r="BB326" s="531"/>
    </row>
    <row r="327" spans="1:54" s="495" customFormat="1" outlineLevel="1" x14ac:dyDescent="0.25">
      <c r="A327" s="445"/>
      <c r="B327" s="623" t="s">
        <v>370</v>
      </c>
      <c r="C327" s="310" t="s">
        <v>375</v>
      </c>
      <c r="D327" s="604"/>
      <c r="E327" s="604"/>
      <c r="F327" s="604"/>
      <c r="G327" s="604"/>
      <c r="H327" s="618">
        <v>1</v>
      </c>
      <c r="I327" s="127">
        <f>H327*12</f>
        <v>12</v>
      </c>
      <c r="J327" s="127">
        <f t="shared" si="321"/>
        <v>12</v>
      </c>
      <c r="K327" s="127">
        <f t="shared" si="321"/>
        <v>12</v>
      </c>
      <c r="L327" s="127">
        <f t="shared" si="321"/>
        <v>12</v>
      </c>
      <c r="M327" s="127">
        <f t="shared" si="321"/>
        <v>12</v>
      </c>
      <c r="N327" s="245" t="str">
        <f t="shared" si="317"/>
        <v>Automated Customer Notification - Monthly</v>
      </c>
      <c r="O327" s="586">
        <v>100</v>
      </c>
      <c r="P327" s="757">
        <f>Q327/12</f>
        <v>100</v>
      </c>
      <c r="Q327" s="129">
        <f>IF(O327&gt;0,PRODUCT(I327,$O327),0)</f>
        <v>1200</v>
      </c>
      <c r="R327" s="129">
        <f t="shared" ref="R327:U328" si="346">IF(Q327&gt;0,PRODUCT(J327,$O327),0)</f>
        <v>1200</v>
      </c>
      <c r="S327" s="129">
        <f t="shared" si="346"/>
        <v>1200</v>
      </c>
      <c r="T327" s="129">
        <f t="shared" si="346"/>
        <v>1200</v>
      </c>
      <c r="U327" s="129">
        <f t="shared" si="346"/>
        <v>1200</v>
      </c>
      <c r="V327" s="209">
        <f>SUM(Q327:U327)</f>
        <v>6000</v>
      </c>
      <c r="W327" s="528"/>
      <c r="X327" s="222" t="str">
        <f t="shared" si="318"/>
        <v>Automated Customer Notification - Monthly</v>
      </c>
      <c r="Y327" s="325">
        <v>100</v>
      </c>
      <c r="Z327" s="774">
        <f>AA327/12</f>
        <v>100</v>
      </c>
      <c r="AA327" s="103">
        <f>IF(Y327&gt;0,PRODUCT(I327,$Y327),0)</f>
        <v>1200</v>
      </c>
      <c r="AB327" s="103">
        <f t="shared" ref="AB327" si="347">IF(AA327&gt;0,PRODUCT(J327,$Y327),0)</f>
        <v>1200</v>
      </c>
      <c r="AC327" s="103">
        <f t="shared" ref="AC327" si="348">IF(AB327&gt;0,PRODUCT(K327,$Y327),0)</f>
        <v>1200</v>
      </c>
      <c r="AD327" s="103">
        <f t="shared" ref="AD327" si="349">IF(AC327&gt;0,PRODUCT(L327,$Y327),0)</f>
        <v>1200</v>
      </c>
      <c r="AE327" s="103">
        <f t="shared" ref="AE327" si="350">IF(AD327&gt;0,PRODUCT(M327,$Y327),0)</f>
        <v>1200</v>
      </c>
      <c r="AF327" s="123">
        <f>SUM(AA327:AE327)</f>
        <v>6000</v>
      </c>
      <c r="AG327" s="743"/>
      <c r="AH327" s="370"/>
      <c r="AI327" s="221" t="str">
        <f t="shared" si="328"/>
        <v>Automated Customer Notification - Monthly</v>
      </c>
      <c r="AJ327" s="886">
        <v>100</v>
      </c>
      <c r="AK327" s="896">
        <f t="shared" ref="AK327" si="351">AL327/12</f>
        <v>100</v>
      </c>
      <c r="AL327" s="105" cm="1">
        <f t="array" ref="AL327">_xlfn.IFS($AJ327="NO CHARGE",0,$AJ327=0,0,$AJ327&gt;0,PRODUCT(I327,$AJ327))</f>
        <v>1200</v>
      </c>
      <c r="AM327" s="105" cm="1">
        <f t="array" ref="AM327">_xlfn.IFS($AJ327="NO CHARGE",0,$AJ327=0,0,$AJ327&gt;0,PRODUCT(J327,$AJ327))</f>
        <v>1200</v>
      </c>
      <c r="AN327" s="105" cm="1">
        <f t="array" ref="AN327">_xlfn.IFS($AJ327="NO CHARGE",0,$AJ327=0,0,$AJ327&gt;0,PRODUCT(K327,$AJ327))</f>
        <v>1200</v>
      </c>
      <c r="AO327" s="105" cm="1">
        <f t="array" ref="AO327">_xlfn.IFS($AJ327="NO CHARGE",0,$AJ327=0,0,$AJ327&gt;0,PRODUCT(L327,$AJ327))</f>
        <v>1200</v>
      </c>
      <c r="AP327" s="105" cm="1">
        <f t="array" ref="AP327">_xlfn.IFS($AJ327="NO CHARGE",0,$AJ327=0,0,$AJ327&gt;0,PRODUCT(M327,$AJ327))</f>
        <v>1200</v>
      </c>
      <c r="AQ327" s="158">
        <f t="shared" ref="AQ327" si="352">SUM(AL327:AP327)</f>
        <v>6000</v>
      </c>
      <c r="AR327" s="875"/>
      <c r="AS327" s="473"/>
      <c r="AT327" s="106"/>
      <c r="AU327" s="353"/>
      <c r="AV327" s="108"/>
      <c r="AW327" s="108"/>
      <c r="AX327" s="108"/>
      <c r="AY327" s="108"/>
      <c r="AZ327" s="108"/>
      <c r="BA327" s="165"/>
      <c r="BB327" s="531"/>
    </row>
    <row r="328" spans="1:54" s="495" customFormat="1" outlineLevel="1" x14ac:dyDescent="0.25">
      <c r="A328" s="445"/>
      <c r="B328" s="623" t="s">
        <v>370</v>
      </c>
      <c r="C328" s="310" t="s">
        <v>376</v>
      </c>
      <c r="D328" s="604"/>
      <c r="E328" s="604"/>
      <c r="F328" s="604"/>
      <c r="G328" s="604"/>
      <c r="H328" s="618">
        <v>1367</v>
      </c>
      <c r="I328" s="127">
        <f>H328*12</f>
        <v>16404</v>
      </c>
      <c r="J328" s="127">
        <f t="shared" si="321"/>
        <v>17224.2</v>
      </c>
      <c r="K328" s="127">
        <f t="shared" si="321"/>
        <v>18085.41</v>
      </c>
      <c r="L328" s="127">
        <f t="shared" si="321"/>
        <v>18989.680499999999</v>
      </c>
      <c r="M328" s="127">
        <f t="shared" si="321"/>
        <v>19939.164525</v>
      </c>
      <c r="N328" s="245" t="str">
        <f t="shared" si="317"/>
        <v>Automated Customer Notification - Email Notices</v>
      </c>
      <c r="O328" s="586">
        <v>1.4999999999999999E-2</v>
      </c>
      <c r="P328" s="757">
        <f>Q328/12</f>
        <v>20.504999999999999</v>
      </c>
      <c r="Q328" s="129">
        <f>IF(O328&gt;0,PRODUCT(I328,$O328),0)</f>
        <v>246.06</v>
      </c>
      <c r="R328" s="129">
        <f t="shared" si="346"/>
        <v>258.363</v>
      </c>
      <c r="S328" s="129">
        <f t="shared" si="346"/>
        <v>271.28114999999997</v>
      </c>
      <c r="T328" s="129">
        <f t="shared" si="346"/>
        <v>284.84520749999996</v>
      </c>
      <c r="U328" s="129">
        <f t="shared" si="346"/>
        <v>299.08746787500002</v>
      </c>
      <c r="V328" s="209">
        <f>SUM(Q328:U328)</f>
        <v>1359.6368253750002</v>
      </c>
      <c r="W328" s="528"/>
      <c r="X328" s="222" t="str">
        <f t="shared" si="318"/>
        <v>Automated Customer Notification - Email Notices</v>
      </c>
      <c r="Y328" s="325">
        <v>1.4999999999999999E-2</v>
      </c>
      <c r="Z328" s="774">
        <f>AA328/12</f>
        <v>20.504999999999999</v>
      </c>
      <c r="AA328" s="103">
        <f>IF(Y328&gt;0,PRODUCT(I328,$Y328),0)</f>
        <v>246.06</v>
      </c>
      <c r="AB328" s="103">
        <f t="shared" si="334"/>
        <v>258.363</v>
      </c>
      <c r="AC328" s="103">
        <f t="shared" si="335"/>
        <v>271.28114999999997</v>
      </c>
      <c r="AD328" s="103">
        <f t="shared" si="336"/>
        <v>284.84520749999996</v>
      </c>
      <c r="AE328" s="103">
        <f t="shared" si="337"/>
        <v>299.08746787500002</v>
      </c>
      <c r="AF328" s="123">
        <f>SUM(AA328:AE328)</f>
        <v>1359.6368253750002</v>
      </c>
      <c r="AG328" s="743"/>
      <c r="AH328" s="370"/>
      <c r="AI328" s="221" t="str">
        <f t="shared" si="328"/>
        <v>Automated Customer Notification - Email Notices</v>
      </c>
      <c r="AJ328" s="886">
        <v>1.4999999999999999E-2</v>
      </c>
      <c r="AK328" s="896">
        <f t="shared" si="338"/>
        <v>20.504999999999999</v>
      </c>
      <c r="AL328" s="105" cm="1">
        <f t="array" ref="AL328">_xlfn.IFS($AJ328="NO CHARGE",0,$AJ328=0,0,$AJ328&gt;0,PRODUCT(I328,$AJ328))</f>
        <v>246.06</v>
      </c>
      <c r="AM328" s="105" cm="1">
        <f t="array" ref="AM328">_xlfn.IFS($AJ328="NO CHARGE",0,$AJ328=0,0,$AJ328&gt;0,PRODUCT(J328,$AJ328))</f>
        <v>258.363</v>
      </c>
      <c r="AN328" s="105" cm="1">
        <f t="array" ref="AN328">_xlfn.IFS($AJ328="NO CHARGE",0,$AJ328=0,0,$AJ328&gt;0,PRODUCT(K328,$AJ328))</f>
        <v>271.28114999999997</v>
      </c>
      <c r="AO328" s="105" cm="1">
        <f t="array" ref="AO328">_xlfn.IFS($AJ328="NO CHARGE",0,$AJ328=0,0,$AJ328&gt;0,PRODUCT(L328,$AJ328))</f>
        <v>284.84520749999996</v>
      </c>
      <c r="AP328" s="105" cm="1">
        <f t="array" ref="AP328">_xlfn.IFS($AJ328="NO CHARGE",0,$AJ328=0,0,$AJ328&gt;0,PRODUCT(M328,$AJ328))</f>
        <v>299.08746787500002</v>
      </c>
      <c r="AQ328" s="158">
        <f t="shared" si="271"/>
        <v>1359.6368253750002</v>
      </c>
      <c r="AR328" s="875"/>
      <c r="AS328" s="473"/>
      <c r="AT328" s="106"/>
      <c r="AU328" s="353"/>
      <c r="AV328" s="108"/>
      <c r="AW328" s="108"/>
      <c r="AX328" s="108"/>
      <c r="AY328" s="108"/>
      <c r="AZ328" s="108"/>
      <c r="BA328" s="165"/>
      <c r="BB328" s="531"/>
    </row>
    <row r="329" spans="1:54" s="495" customFormat="1" outlineLevel="1" x14ac:dyDescent="0.25">
      <c r="A329" s="445"/>
      <c r="B329" s="623" t="s">
        <v>370</v>
      </c>
      <c r="C329" s="310" t="s">
        <v>377</v>
      </c>
      <c r="D329" s="604"/>
      <c r="E329" s="604"/>
      <c r="F329" s="604"/>
      <c r="G329" s="604"/>
      <c r="H329" s="618">
        <v>1367</v>
      </c>
      <c r="I329" s="127">
        <f>H329*12</f>
        <v>16404</v>
      </c>
      <c r="J329" s="127">
        <f t="shared" si="321"/>
        <v>17224.2</v>
      </c>
      <c r="K329" s="127">
        <f t="shared" si="321"/>
        <v>18085.41</v>
      </c>
      <c r="L329" s="127">
        <f t="shared" si="321"/>
        <v>18989.680499999999</v>
      </c>
      <c r="M329" s="127">
        <f t="shared" si="321"/>
        <v>19939.164525</v>
      </c>
      <c r="N329" s="245" t="str">
        <f t="shared" si="317"/>
        <v>Automated Customer Notification - Post Card Notices</v>
      </c>
      <c r="O329" s="586">
        <v>0.65</v>
      </c>
      <c r="P329" s="757">
        <f>Q329/12</f>
        <v>888.55000000000007</v>
      </c>
      <c r="Q329" s="129">
        <f>IF(O329&gt;0,PRODUCT(I329,$O329),0)</f>
        <v>10662.6</v>
      </c>
      <c r="R329" s="129">
        <f t="shared" si="311"/>
        <v>11195.730000000001</v>
      </c>
      <c r="S329" s="129">
        <f t="shared" si="312"/>
        <v>11755.5165</v>
      </c>
      <c r="T329" s="129">
        <f t="shared" si="313"/>
        <v>12343.292325</v>
      </c>
      <c r="U329" s="129">
        <f t="shared" si="314"/>
        <v>12960.45694125</v>
      </c>
      <c r="V329" s="209">
        <f>SUM(Q329:U329)</f>
        <v>58917.59576625</v>
      </c>
      <c r="W329" s="528"/>
      <c r="X329" s="222" t="str">
        <f t="shared" si="318"/>
        <v>Automated Customer Notification - Post Card Notices</v>
      </c>
      <c r="Y329" s="325">
        <v>0.65</v>
      </c>
      <c r="Z329" s="774">
        <f>AA329/12</f>
        <v>888.55000000000007</v>
      </c>
      <c r="AA329" s="103">
        <f>IF(Y329&gt;0,PRODUCT(I329,$Y329),0)</f>
        <v>10662.6</v>
      </c>
      <c r="AB329" s="103">
        <f t="shared" si="293"/>
        <v>11195.730000000001</v>
      </c>
      <c r="AC329" s="103">
        <f t="shared" si="294"/>
        <v>11755.5165</v>
      </c>
      <c r="AD329" s="103">
        <f t="shared" si="295"/>
        <v>12343.292325</v>
      </c>
      <c r="AE329" s="103">
        <f t="shared" si="296"/>
        <v>12960.45694125</v>
      </c>
      <c r="AF329" s="123">
        <f>SUM(AA329:AE329)</f>
        <v>58917.59576625</v>
      </c>
      <c r="AG329" s="743"/>
      <c r="AH329" s="370"/>
      <c r="AI329" s="221" t="str">
        <f t="shared" si="328"/>
        <v>Automated Customer Notification - Post Card Notices</v>
      </c>
      <c r="AJ329" s="886">
        <v>0.65</v>
      </c>
      <c r="AK329" s="896">
        <f t="shared" si="289"/>
        <v>888.55000000000007</v>
      </c>
      <c r="AL329" s="105" cm="1">
        <f t="array" ref="AL329">_xlfn.IFS($AJ329="NO CHARGE",0,$AJ329=0,0,$AJ329&gt;0,PRODUCT(I329,$AJ329))</f>
        <v>10662.6</v>
      </c>
      <c r="AM329" s="105" cm="1">
        <f t="array" ref="AM329">_xlfn.IFS($AJ329="NO CHARGE",0,$AJ329=0,0,$AJ329&gt;0,PRODUCT(J329,$AJ329))</f>
        <v>11195.730000000001</v>
      </c>
      <c r="AN329" s="105" cm="1">
        <f t="array" ref="AN329">_xlfn.IFS($AJ329="NO CHARGE",0,$AJ329=0,0,$AJ329&gt;0,PRODUCT(K329,$AJ329))</f>
        <v>11755.5165</v>
      </c>
      <c r="AO329" s="105" cm="1">
        <f t="array" ref="AO329">_xlfn.IFS($AJ329="NO CHARGE",0,$AJ329=0,0,$AJ329&gt;0,PRODUCT(L329,$AJ329))</f>
        <v>12343.292325</v>
      </c>
      <c r="AP329" s="105" cm="1">
        <f t="array" ref="AP329">_xlfn.IFS($AJ329="NO CHARGE",0,$AJ329=0,0,$AJ329&gt;0,PRODUCT(M329,$AJ329))</f>
        <v>12960.45694125</v>
      </c>
      <c r="AQ329" s="158">
        <f t="shared" ref="AQ329:AQ332" si="353">SUM(AL329:AP329)</f>
        <v>58917.59576625</v>
      </c>
      <c r="AR329" s="875"/>
      <c r="AS329" s="473"/>
      <c r="AT329" s="106"/>
      <c r="AU329" s="353"/>
      <c r="AV329" s="108"/>
      <c r="AW329" s="108"/>
      <c r="AX329" s="108"/>
      <c r="AY329" s="108"/>
      <c r="AZ329" s="108"/>
      <c r="BA329" s="165"/>
      <c r="BB329" s="531"/>
    </row>
    <row r="330" spans="1:54" s="495" customFormat="1" outlineLevel="1" x14ac:dyDescent="0.25">
      <c r="A330" s="445"/>
      <c r="B330" s="623"/>
      <c r="C330" s="310"/>
      <c r="D330" s="604"/>
      <c r="E330" s="604"/>
      <c r="F330" s="604"/>
      <c r="G330" s="604"/>
      <c r="H330" s="618"/>
      <c r="I330" s="127">
        <f t="shared" ref="I330" si="354">H330*12</f>
        <v>0</v>
      </c>
      <c r="J330" s="127">
        <f t="shared" si="321"/>
        <v>0</v>
      </c>
      <c r="K330" s="127">
        <f t="shared" si="321"/>
        <v>0</v>
      </c>
      <c r="L330" s="127">
        <f t="shared" si="321"/>
        <v>0</v>
      </c>
      <c r="M330" s="127">
        <f t="shared" si="321"/>
        <v>0</v>
      </c>
      <c r="N330" s="245"/>
      <c r="O330" s="586"/>
      <c r="P330" s="757">
        <f t="shared" ref="P330" si="355">Q330/12</f>
        <v>0</v>
      </c>
      <c r="Q330" s="129">
        <f t="shared" ref="Q330" si="356">IF(O330&gt;0,PRODUCT(I330,$O330),0)</f>
        <v>0</v>
      </c>
      <c r="R330" s="129">
        <f t="shared" si="311"/>
        <v>0</v>
      </c>
      <c r="S330" s="129">
        <f t="shared" si="312"/>
        <v>0</v>
      </c>
      <c r="T330" s="129">
        <f t="shared" si="313"/>
        <v>0</v>
      </c>
      <c r="U330" s="129">
        <f t="shared" si="314"/>
        <v>0</v>
      </c>
      <c r="V330" s="209">
        <f t="shared" ref="V330" si="357">SUM(Q330:U330)</f>
        <v>0</v>
      </c>
      <c r="W330" s="528"/>
      <c r="X330" s="222"/>
      <c r="Y330" s="325"/>
      <c r="Z330" s="774">
        <f t="shared" ref="Z330" si="358">AA330/12</f>
        <v>0</v>
      </c>
      <c r="AA330" s="103">
        <f t="shared" ref="AA330" si="359">IF(Y330&gt;0,PRODUCT(I330,$Y330),0)</f>
        <v>0</v>
      </c>
      <c r="AB330" s="103">
        <f t="shared" si="293"/>
        <v>0</v>
      </c>
      <c r="AC330" s="103">
        <f t="shared" si="294"/>
        <v>0</v>
      </c>
      <c r="AD330" s="103">
        <f t="shared" si="295"/>
        <v>0</v>
      </c>
      <c r="AE330" s="103">
        <f t="shared" si="296"/>
        <v>0</v>
      </c>
      <c r="AF330" s="123">
        <f t="shared" ref="AF330" si="360">SUM(AA330:AE330)</f>
        <v>0</v>
      </c>
      <c r="AG330" s="743"/>
      <c r="AH330" s="370"/>
      <c r="AI330" s="221"/>
      <c r="AJ330" s="886"/>
      <c r="AK330" s="896">
        <f t="shared" si="289"/>
        <v>0</v>
      </c>
      <c r="AL330" s="105" cm="1">
        <f t="array" ref="AL330">_xlfn.IFS($AJ330="NO CHARGE",0,$AJ330=0,0,$AJ330&gt;0,PRODUCT(I330,$AJ330))</f>
        <v>0</v>
      </c>
      <c r="AM330" s="105" cm="1">
        <f t="array" ref="AM330">_xlfn.IFS($AJ330="NO CHARGE",0,$AJ330=0,0,$AJ330&gt;0,PRODUCT(J330,$AJ330))</f>
        <v>0</v>
      </c>
      <c r="AN330" s="105" cm="1">
        <f t="array" ref="AN330">_xlfn.IFS($AJ330="NO CHARGE",0,$AJ330=0,0,$AJ330&gt;0,PRODUCT(K330,$AJ330))</f>
        <v>0</v>
      </c>
      <c r="AO330" s="105" cm="1">
        <f t="array" ref="AO330">_xlfn.IFS($AJ330="NO CHARGE",0,$AJ330=0,0,$AJ330&gt;0,PRODUCT(L330,$AJ330))</f>
        <v>0</v>
      </c>
      <c r="AP330" s="105" cm="1">
        <f t="array" ref="AP330">_xlfn.IFS($AJ330="NO CHARGE",0,$AJ330=0,0,$AJ330&gt;0,PRODUCT(M330,$AJ330))</f>
        <v>0</v>
      </c>
      <c r="AQ330" s="158">
        <f t="shared" si="353"/>
        <v>0</v>
      </c>
      <c r="AR330" s="875"/>
      <c r="AS330" s="473"/>
      <c r="AT330" s="106"/>
      <c r="AU330" s="353"/>
      <c r="AV330" s="108"/>
      <c r="AW330" s="108"/>
      <c r="AX330" s="108"/>
      <c r="AY330" s="108"/>
      <c r="AZ330" s="108"/>
      <c r="BA330" s="165"/>
      <c r="BB330" s="531"/>
    </row>
    <row r="331" spans="1:54" s="495" customFormat="1" outlineLevel="1" x14ac:dyDescent="0.25">
      <c r="A331" s="445"/>
      <c r="B331" s="252" t="str">
        <f>C331</f>
        <v>Telephone Banking</v>
      </c>
      <c r="C331" s="242" t="s">
        <v>378</v>
      </c>
      <c r="D331" s="609"/>
      <c r="E331" s="609"/>
      <c r="F331" s="609"/>
      <c r="G331" s="609"/>
      <c r="H331" s="619"/>
      <c r="I331" s="243"/>
      <c r="J331" s="243"/>
      <c r="K331" s="243"/>
      <c r="L331" s="243"/>
      <c r="M331" s="244"/>
      <c r="N331" s="252" t="str">
        <f t="shared" ref="N331" si="361">IF(C331="","",C331)</f>
        <v>Telephone Banking</v>
      </c>
      <c r="O331" s="243"/>
      <c r="P331" s="756"/>
      <c r="Q331" s="243"/>
      <c r="R331" s="243"/>
      <c r="S331" s="243"/>
      <c r="T331" s="243"/>
      <c r="U331" s="244"/>
      <c r="V331" s="209"/>
      <c r="W331" s="527"/>
      <c r="X331" s="252" t="str">
        <f t="shared" ref="X331" si="362">C331</f>
        <v>Telephone Banking</v>
      </c>
      <c r="Y331" s="707"/>
      <c r="Z331" s="756"/>
      <c r="AA331" s="243"/>
      <c r="AB331" s="243"/>
      <c r="AC331" s="243"/>
      <c r="AD331" s="243"/>
      <c r="AE331" s="244"/>
      <c r="AF331" s="123"/>
      <c r="AG331" s="745"/>
      <c r="AH331" s="362"/>
      <c r="AI331" s="252" t="str">
        <f>C331</f>
        <v>Telephone Banking</v>
      </c>
      <c r="AJ331" s="707"/>
      <c r="AK331" s="895"/>
      <c r="AL331" s="243"/>
      <c r="AM331" s="243"/>
      <c r="AN331" s="243"/>
      <c r="AO331" s="243"/>
      <c r="AP331" s="244"/>
      <c r="AQ331" s="158">
        <f t="shared" si="353"/>
        <v>0</v>
      </c>
      <c r="AR331" s="874"/>
      <c r="AS331" s="874"/>
      <c r="AT331" s="252" t="str">
        <f>C331</f>
        <v>Telephone Banking</v>
      </c>
      <c r="AU331" s="243"/>
      <c r="AV331" s="243"/>
      <c r="AW331" s="243"/>
      <c r="AX331" s="243"/>
      <c r="AY331" s="243"/>
      <c r="AZ331" s="244"/>
      <c r="BA331" s="165"/>
      <c r="BB331" s="532"/>
    </row>
    <row r="332" spans="1:54" s="495" customFormat="1" outlineLevel="1" x14ac:dyDescent="0.25">
      <c r="A332" s="445"/>
      <c r="B332" s="623"/>
      <c r="C332" s="310" t="s">
        <v>379</v>
      </c>
      <c r="D332" s="604"/>
      <c r="E332" s="604"/>
      <c r="F332" s="604"/>
      <c r="G332" s="604"/>
      <c r="H332" s="618">
        <v>1</v>
      </c>
      <c r="I332" s="127">
        <f>H332*12</f>
        <v>12</v>
      </c>
      <c r="J332" s="127">
        <f t="shared" si="321"/>
        <v>12</v>
      </c>
      <c r="K332" s="127">
        <f t="shared" si="321"/>
        <v>12</v>
      </c>
      <c r="L332" s="127">
        <f t="shared" si="321"/>
        <v>12</v>
      </c>
      <c r="M332" s="127">
        <f t="shared" si="321"/>
        <v>12</v>
      </c>
      <c r="N332" s="245" t="str">
        <f>C332</f>
        <v>On-Call Server (Enterprise License) (Non-Hosted)</v>
      </c>
      <c r="O332" s="586">
        <v>496.630019</v>
      </c>
      <c r="P332" s="757">
        <f>Q332/12</f>
        <v>496.630019</v>
      </c>
      <c r="Q332" s="129">
        <f>IF(O332&gt;0,PRODUCT(I332,$O332),0)</f>
        <v>5959.5602280000003</v>
      </c>
      <c r="R332" s="129">
        <f t="shared" ref="R332:U333" si="363">IF(Q332&gt;0,PRODUCT(J332,$O332),0)</f>
        <v>5959.5602280000003</v>
      </c>
      <c r="S332" s="129">
        <f t="shared" si="363"/>
        <v>5959.5602280000003</v>
      </c>
      <c r="T332" s="129">
        <f t="shared" si="363"/>
        <v>5959.5602280000003</v>
      </c>
      <c r="U332" s="129">
        <f t="shared" si="363"/>
        <v>5959.5602280000003</v>
      </c>
      <c r="V332" s="209">
        <f>SUM(Q332:U332)</f>
        <v>29797.801140000003</v>
      </c>
      <c r="W332" s="528"/>
      <c r="X332" s="222" t="str">
        <f>C332</f>
        <v>On-Call Server (Enterprise License) (Non-Hosted)</v>
      </c>
      <c r="Y332" s="325">
        <v>519.82259999999997</v>
      </c>
      <c r="Z332" s="774">
        <f>AA332/12</f>
        <v>519.82259999999997</v>
      </c>
      <c r="AA332" s="103">
        <f>IF(Y332&gt;0,PRODUCT(I332,$Y332),0)</f>
        <v>6237.8711999999996</v>
      </c>
      <c r="AB332" s="103">
        <f t="shared" si="293"/>
        <v>6237.8711999999996</v>
      </c>
      <c r="AC332" s="103">
        <f t="shared" si="294"/>
        <v>6237.8711999999996</v>
      </c>
      <c r="AD332" s="103">
        <f t="shared" si="295"/>
        <v>6237.8711999999996</v>
      </c>
      <c r="AE332" s="103">
        <f t="shared" si="296"/>
        <v>6237.8711999999996</v>
      </c>
      <c r="AF332" s="123">
        <f>SUM(AA332:AE332)</f>
        <v>31189.356</v>
      </c>
      <c r="AG332" s="743"/>
      <c r="AH332" s="370"/>
      <c r="AI332" s="221" t="str">
        <f>C332</f>
        <v>On-Call Server (Enterprise License) (Non-Hosted)</v>
      </c>
      <c r="AJ332" s="886">
        <v>519.82259999999997</v>
      </c>
      <c r="AK332" s="896">
        <f t="shared" si="289"/>
        <v>519.82259999999997</v>
      </c>
      <c r="AL332" s="105" cm="1">
        <f t="array" ref="AL332">_xlfn.IFS($AJ332="NO CHARGE",0,$AJ332=0,0,$AJ332&gt;0,PRODUCT(I332,$AJ332))</f>
        <v>6237.8711999999996</v>
      </c>
      <c r="AM332" s="105" cm="1">
        <f t="array" ref="AM332">_xlfn.IFS($AJ332="NO CHARGE",0,$AJ332=0,0,$AJ332&gt;0,PRODUCT(J332,$AJ332))</f>
        <v>6237.8711999999996</v>
      </c>
      <c r="AN332" s="105" cm="1">
        <f t="array" ref="AN332">_xlfn.IFS($AJ332="NO CHARGE",0,$AJ332=0,0,$AJ332&gt;0,PRODUCT(K332,$AJ332))</f>
        <v>6237.8711999999996</v>
      </c>
      <c r="AO332" s="105" cm="1">
        <f t="array" ref="AO332">_xlfn.IFS($AJ332="NO CHARGE",0,$AJ332=0,0,$AJ332&gt;0,PRODUCT(L332,$AJ332))</f>
        <v>6237.8711999999996</v>
      </c>
      <c r="AP332" s="105" cm="1">
        <f t="array" ref="AP332">_xlfn.IFS($AJ332="NO CHARGE",0,$AJ332=0,0,$AJ332&gt;0,PRODUCT(M332,$AJ332))</f>
        <v>6237.8711999999996</v>
      </c>
      <c r="AQ332" s="158">
        <f t="shared" si="353"/>
        <v>31189.356</v>
      </c>
      <c r="AR332" s="875"/>
      <c r="AS332" s="473"/>
      <c r="AT332" s="106"/>
      <c r="AU332" s="353"/>
      <c r="AV332" s="108"/>
      <c r="AW332" s="108"/>
      <c r="AX332" s="108"/>
      <c r="AY332" s="108"/>
      <c r="AZ332" s="108"/>
      <c r="BA332" s="165"/>
      <c r="BB332" s="531"/>
    </row>
    <row r="333" spans="1:54" s="495" customFormat="1" outlineLevel="1" x14ac:dyDescent="0.25">
      <c r="A333" s="445"/>
      <c r="B333" s="623"/>
      <c r="C333" s="310"/>
      <c r="D333" s="604"/>
      <c r="E333" s="604"/>
      <c r="F333" s="604"/>
      <c r="G333" s="604"/>
      <c r="H333" s="618"/>
      <c r="I333" s="127">
        <f>H333*12</f>
        <v>0</v>
      </c>
      <c r="J333" s="127">
        <f t="shared" si="321"/>
        <v>0</v>
      </c>
      <c r="K333" s="127">
        <f t="shared" si="321"/>
        <v>0</v>
      </c>
      <c r="L333" s="127">
        <f t="shared" si="321"/>
        <v>0</v>
      </c>
      <c r="M333" s="127">
        <f t="shared" si="321"/>
        <v>0</v>
      </c>
      <c r="N333" s="245"/>
      <c r="O333" s="586"/>
      <c r="P333" s="757">
        <f>Q333/12</f>
        <v>0</v>
      </c>
      <c r="Q333" s="129">
        <f>IF(O333&gt;0,PRODUCT(I333,$O333),0)</f>
        <v>0</v>
      </c>
      <c r="R333" s="129">
        <f t="shared" si="363"/>
        <v>0</v>
      </c>
      <c r="S333" s="129">
        <f t="shared" si="363"/>
        <v>0</v>
      </c>
      <c r="T333" s="129">
        <f t="shared" si="363"/>
        <v>0</v>
      </c>
      <c r="U333" s="129">
        <f t="shared" si="363"/>
        <v>0</v>
      </c>
      <c r="V333" s="209">
        <f>SUM(Q333:U333)</f>
        <v>0</v>
      </c>
      <c r="W333" s="528"/>
      <c r="X333" s="222"/>
      <c r="Y333" s="325"/>
      <c r="Z333" s="774">
        <f>AA333/12</f>
        <v>0</v>
      </c>
      <c r="AA333" s="103">
        <f>IF(Y333&gt;0,PRODUCT(I333,$Y333),0)</f>
        <v>0</v>
      </c>
      <c r="AB333" s="103">
        <f t="shared" ref="AB333:AE334" si="364">IF(AA333&gt;0,PRODUCT(J333,$Y333),0)</f>
        <v>0</v>
      </c>
      <c r="AC333" s="103">
        <f t="shared" si="364"/>
        <v>0</v>
      </c>
      <c r="AD333" s="103">
        <f t="shared" si="364"/>
        <v>0</v>
      </c>
      <c r="AE333" s="103">
        <f t="shared" si="364"/>
        <v>0</v>
      </c>
      <c r="AF333" s="123">
        <f>SUM(AA333:AE333)</f>
        <v>0</v>
      </c>
      <c r="AG333" s="743"/>
      <c r="AH333" s="370"/>
      <c r="AI333" s="221"/>
      <c r="AJ333" s="886"/>
      <c r="AK333" s="896">
        <f t="shared" ref="AK333:AK334" si="365">AL333/12</f>
        <v>0</v>
      </c>
      <c r="AL333" s="105" cm="1">
        <f t="array" ref="AL333">_xlfn.IFS($AJ333="NO CHARGE",0,$AJ333=0,0,$AJ333&gt;0,PRODUCT(I333,$AJ333))</f>
        <v>0</v>
      </c>
      <c r="AM333" s="105" cm="1">
        <f t="array" ref="AM333">_xlfn.IFS($AJ333="NO CHARGE",0,$AJ333=0,0,$AJ333&gt;0,PRODUCT(J333,$AJ333))</f>
        <v>0</v>
      </c>
      <c r="AN333" s="105" cm="1">
        <f t="array" ref="AN333">_xlfn.IFS($AJ333="NO CHARGE",0,$AJ333=0,0,$AJ333&gt;0,PRODUCT(K333,$AJ333))</f>
        <v>0</v>
      </c>
      <c r="AO333" s="105" cm="1">
        <f t="array" ref="AO333">_xlfn.IFS($AJ333="NO CHARGE",0,$AJ333=0,0,$AJ333&gt;0,PRODUCT(L333,$AJ333))</f>
        <v>0</v>
      </c>
      <c r="AP333" s="105" cm="1">
        <f t="array" ref="AP333">_xlfn.IFS($AJ333="NO CHARGE",0,$AJ333=0,0,$AJ333&gt;0,PRODUCT(M333,$AJ333))</f>
        <v>0</v>
      </c>
      <c r="AQ333" s="158">
        <f t="shared" ref="AQ333:AQ334" si="366">SUM(AL333:AP333)</f>
        <v>0</v>
      </c>
      <c r="AR333" s="875"/>
      <c r="AS333" s="473"/>
      <c r="AT333" s="106"/>
      <c r="AU333" s="353"/>
      <c r="AV333" s="108"/>
      <c r="AW333" s="108"/>
      <c r="AX333" s="108"/>
      <c r="AY333" s="108"/>
      <c r="AZ333" s="108"/>
      <c r="BA333" s="165"/>
      <c r="BB333" s="531"/>
    </row>
    <row r="334" spans="1:54" s="495" customFormat="1" outlineLevel="1" x14ac:dyDescent="0.25">
      <c r="A334" s="445"/>
      <c r="B334" s="623"/>
      <c r="C334" s="310"/>
      <c r="D334" s="604"/>
      <c r="E334" s="604"/>
      <c r="F334" s="604"/>
      <c r="G334" s="604"/>
      <c r="H334" s="618"/>
      <c r="I334" s="127">
        <f>H334*12</f>
        <v>0</v>
      </c>
      <c r="J334" s="127">
        <f t="shared" si="321"/>
        <v>0</v>
      </c>
      <c r="K334" s="127">
        <f t="shared" si="321"/>
        <v>0</v>
      </c>
      <c r="L334" s="127">
        <f t="shared" si="321"/>
        <v>0</v>
      </c>
      <c r="M334" s="127">
        <f t="shared" si="321"/>
        <v>0</v>
      </c>
      <c r="N334" s="245"/>
      <c r="O334" s="586"/>
      <c r="P334" s="757"/>
      <c r="Q334" s="129"/>
      <c r="R334" s="129"/>
      <c r="S334" s="129"/>
      <c r="T334" s="129"/>
      <c r="U334" s="129"/>
      <c r="V334" s="209"/>
      <c r="W334" s="528"/>
      <c r="X334" s="222"/>
      <c r="Y334" s="325"/>
      <c r="Z334" s="774">
        <f>AA334/12</f>
        <v>0</v>
      </c>
      <c r="AA334" s="103">
        <f>IF(Y334&gt;0,PRODUCT(I334,$Y334),0)</f>
        <v>0</v>
      </c>
      <c r="AB334" s="103">
        <f t="shared" si="364"/>
        <v>0</v>
      </c>
      <c r="AC334" s="103">
        <f t="shared" si="364"/>
        <v>0</v>
      </c>
      <c r="AD334" s="103">
        <f t="shared" si="364"/>
        <v>0</v>
      </c>
      <c r="AE334" s="103">
        <f t="shared" si="364"/>
        <v>0</v>
      </c>
      <c r="AF334" s="123">
        <f>SUM(AA334:AE334)</f>
        <v>0</v>
      </c>
      <c r="AG334" s="743"/>
      <c r="AH334" s="370"/>
      <c r="AI334" s="221"/>
      <c r="AJ334" s="886"/>
      <c r="AK334" s="896">
        <f t="shared" si="365"/>
        <v>0</v>
      </c>
      <c r="AL334" s="105" cm="1">
        <f t="array" ref="AL334">_xlfn.IFS($AJ334="NO CHARGE",0,$AJ334=0,0,$AJ334&gt;0,PRODUCT(I334,$AJ334))</f>
        <v>0</v>
      </c>
      <c r="AM334" s="105" cm="1">
        <f t="array" ref="AM334">_xlfn.IFS($AJ334="NO CHARGE",0,$AJ334=0,0,$AJ334&gt;0,PRODUCT(J334,$AJ334))</f>
        <v>0</v>
      </c>
      <c r="AN334" s="105" cm="1">
        <f t="array" ref="AN334">_xlfn.IFS($AJ334="NO CHARGE",0,$AJ334=0,0,$AJ334&gt;0,PRODUCT(K334,$AJ334))</f>
        <v>0</v>
      </c>
      <c r="AO334" s="105" cm="1">
        <f t="array" ref="AO334">_xlfn.IFS($AJ334="NO CHARGE",0,$AJ334=0,0,$AJ334&gt;0,PRODUCT(L334,$AJ334))</f>
        <v>0</v>
      </c>
      <c r="AP334" s="105" cm="1">
        <f t="array" ref="AP334">_xlfn.IFS($AJ334="NO CHARGE",0,$AJ334=0,0,$AJ334&gt;0,PRODUCT(M334,$AJ334))</f>
        <v>0</v>
      </c>
      <c r="AQ334" s="158">
        <f t="shared" si="366"/>
        <v>0</v>
      </c>
      <c r="AR334" s="875"/>
      <c r="AS334" s="473"/>
      <c r="AT334" s="106"/>
      <c r="AU334" s="353"/>
      <c r="AV334" s="108">
        <f>IF(AU334&gt;0,PRODUCT(I335,$AU334),0)</f>
        <v>0</v>
      </c>
      <c r="AW334" s="108">
        <f>IF(AV334&gt;0,PRODUCT(J335,$AU334),0)</f>
        <v>0</v>
      </c>
      <c r="AX334" s="108">
        <f>IF(AW334&gt;0,PRODUCT(K335,$AU334),0)</f>
        <v>0</v>
      </c>
      <c r="AY334" s="108">
        <f>IF(AX334&gt;0,PRODUCT(L335,$AU334),0)</f>
        <v>0</v>
      </c>
      <c r="AZ334" s="108">
        <f>IF(AY334&gt;0,PRODUCT(M335,$AU334),0)</f>
        <v>0</v>
      </c>
      <c r="BA334" s="165">
        <f>SUM(AV334:AZ334)</f>
        <v>0</v>
      </c>
      <c r="BB334" s="531"/>
    </row>
    <row r="335" spans="1:54" ht="3.75" customHeight="1" outlineLevel="1" x14ac:dyDescent="0.25">
      <c r="A335" s="607"/>
      <c r="B335" s="16"/>
      <c r="C335" s="16"/>
      <c r="D335" s="16"/>
      <c r="E335" s="16"/>
      <c r="F335" s="16"/>
      <c r="G335" s="16"/>
      <c r="H335" s="16">
        <f>IFERROR(AVERAGE(D335:F335),0)</f>
        <v>0</v>
      </c>
      <c r="I335" s="16">
        <f t="shared" ref="I335" si="367">H335*12</f>
        <v>0</v>
      </c>
      <c r="J335" s="16">
        <f t="shared" si="321"/>
        <v>0</v>
      </c>
      <c r="K335" s="16">
        <f t="shared" si="321"/>
        <v>0</v>
      </c>
      <c r="L335" s="16">
        <f t="shared" si="321"/>
        <v>0</v>
      </c>
      <c r="M335" s="16">
        <f t="shared" si="321"/>
        <v>0</v>
      </c>
      <c r="N335" s="16"/>
      <c r="O335" s="16"/>
      <c r="P335" s="761"/>
      <c r="Q335" s="16"/>
      <c r="R335" s="16"/>
      <c r="S335" s="16"/>
      <c r="T335" s="16"/>
      <c r="U335" s="16"/>
      <c r="V335" s="16"/>
      <c r="W335" s="16"/>
      <c r="X335" s="16"/>
      <c r="Y335" s="706"/>
      <c r="Z335" s="773"/>
      <c r="AA335" s="21"/>
      <c r="AB335" s="21"/>
      <c r="AC335" s="21"/>
      <c r="AD335" s="21"/>
      <c r="AE335" s="21"/>
      <c r="AF335" s="21"/>
      <c r="AG335" s="741"/>
      <c r="AH335" s="21"/>
      <c r="AI335" s="263"/>
      <c r="AJ335" s="706"/>
      <c r="AK335" s="773"/>
      <c r="AL335" s="21"/>
      <c r="AM335" s="21"/>
      <c r="AN335" s="21"/>
      <c r="AO335" s="21"/>
      <c r="AP335" s="21"/>
      <c r="AQ335" s="21"/>
      <c r="AR335" s="873"/>
      <c r="AS335" s="21"/>
      <c r="AT335" s="20"/>
      <c r="AU335" s="20"/>
      <c r="AV335" s="20"/>
      <c r="AW335" s="20"/>
      <c r="AX335" s="20"/>
      <c r="AY335" s="20"/>
      <c r="AZ335" s="20"/>
      <c r="BA335" s="22"/>
      <c r="BB335" s="21"/>
    </row>
    <row r="336" spans="1:54" s="495" customFormat="1" outlineLevel="1" x14ac:dyDescent="0.25">
      <c r="A336" s="677"/>
      <c r="B336" s="77"/>
      <c r="C336" s="298" t="s">
        <v>380</v>
      </c>
      <c r="D336" s="610"/>
      <c r="E336" s="610"/>
      <c r="F336" s="610"/>
      <c r="G336" s="610"/>
      <c r="H336" s="115"/>
      <c r="I336" s="664"/>
      <c r="J336" s="665"/>
      <c r="K336" s="666"/>
      <c r="L336" s="666"/>
      <c r="M336" s="667"/>
      <c r="N336" s="304" t="s">
        <v>380</v>
      </c>
      <c r="O336" s="303"/>
      <c r="P336" s="762"/>
      <c r="Q336" s="790">
        <f t="shared" ref="Q336:U336" si="368">SUM(Q9:Q334)</f>
        <v>1118937.7369432012</v>
      </c>
      <c r="R336" s="790">
        <f t="shared" si="368"/>
        <v>1167004.3626991801</v>
      </c>
      <c r="S336" s="790">
        <f t="shared" si="368"/>
        <v>1217474.3197429576</v>
      </c>
      <c r="T336" s="790">
        <f t="shared" si="368"/>
        <v>1270467.7746389268</v>
      </c>
      <c r="U336" s="790">
        <f t="shared" si="368"/>
        <v>1326110.9022796934</v>
      </c>
      <c r="V336" s="210">
        <f>SUM(V9:V334)</f>
        <v>6056277.8963039545</v>
      </c>
      <c r="W336" s="528"/>
      <c r="X336" s="102" t="str">
        <f>C337</f>
        <v>Processing Fees Sum:</v>
      </c>
      <c r="Y336" s="325"/>
      <c r="Z336" s="774"/>
      <c r="AA336" s="103">
        <f t="shared" ref="AA336:AG336" si="369">SUM(AA9:AA161,AA163:AA214,AA216:AA334)</f>
        <v>1151518.4438164004</v>
      </c>
      <c r="AB336" s="103">
        <f t="shared" si="369"/>
        <v>1198512.6384772202</v>
      </c>
      <c r="AC336" s="103">
        <f t="shared" si="369"/>
        <v>1247856.5428710813</v>
      </c>
      <c r="AD336" s="103">
        <f t="shared" si="369"/>
        <v>1299667.6424846356</v>
      </c>
      <c r="AE336" s="103">
        <f t="shared" si="369"/>
        <v>1354069.2970788679</v>
      </c>
      <c r="AF336" s="789">
        <f t="shared" si="369"/>
        <v>6148771.6828640876</v>
      </c>
      <c r="AG336" s="743">
        <f t="shared" si="369"/>
        <v>51127</v>
      </c>
      <c r="AH336" s="370"/>
      <c r="AI336" s="221" t="str">
        <f>C337</f>
        <v>Processing Fees Sum:</v>
      </c>
      <c r="AJ336" s="886"/>
      <c r="AK336" s="896"/>
      <c r="AL336" s="105">
        <f t="shared" ref="AL336:AQ336" si="370">SUM(AL9:AL161,AL163:AL214,AL216:AL334)</f>
        <v>1212470.1579804006</v>
      </c>
      <c r="AM336" s="105">
        <f t="shared" si="370"/>
        <v>1259864.5643812201</v>
      </c>
      <c r="AN336" s="105">
        <f t="shared" si="370"/>
        <v>1309628.6911020814</v>
      </c>
      <c r="AO336" s="105">
        <f t="shared" si="370"/>
        <v>1361881.0241589854</v>
      </c>
      <c r="AP336" s="105">
        <f t="shared" si="370"/>
        <v>1416745.9738687351</v>
      </c>
      <c r="AQ336" s="158">
        <f t="shared" si="370"/>
        <v>6459827.3116273042</v>
      </c>
      <c r="AR336" s="875"/>
      <c r="AS336" s="473"/>
      <c r="AT336" s="106" t="str">
        <f>C337</f>
        <v>Processing Fees Sum:</v>
      </c>
      <c r="AU336" s="353"/>
      <c r="AV336" s="108">
        <f t="shared" ref="AV336:BA336" si="371">SUM(AV295:AV334)</f>
        <v>0</v>
      </c>
      <c r="AW336" s="108">
        <f t="shared" si="371"/>
        <v>0</v>
      </c>
      <c r="AX336" s="108">
        <f t="shared" si="371"/>
        <v>0</v>
      </c>
      <c r="AY336" s="108">
        <f t="shared" si="371"/>
        <v>0</v>
      </c>
      <c r="AZ336" s="108">
        <f t="shared" si="371"/>
        <v>0</v>
      </c>
      <c r="BA336" s="165">
        <f t="shared" si="371"/>
        <v>0</v>
      </c>
      <c r="BB336" s="531"/>
    </row>
    <row r="337" spans="1:55" ht="3.75" customHeight="1" x14ac:dyDescent="0.25">
      <c r="A337" s="607"/>
      <c r="B337" s="16"/>
      <c r="C337" s="633" t="s">
        <v>381</v>
      </c>
      <c r="D337" s="634"/>
      <c r="E337" s="634"/>
      <c r="F337" s="634"/>
      <c r="G337" s="634"/>
      <c r="H337" s="635"/>
      <c r="I337" s="636"/>
      <c r="J337" s="636"/>
      <c r="K337" s="636"/>
      <c r="L337" s="636"/>
      <c r="M337" s="637"/>
      <c r="N337" s="638" t="str">
        <f>C337</f>
        <v>Processing Fees Sum:</v>
      </c>
      <c r="O337" s="639"/>
      <c r="P337" s="763"/>
      <c r="Q337" s="640">
        <f t="shared" ref="Q337:V337" si="372">SUM(Q295:Q335)</f>
        <v>64306.274328000007</v>
      </c>
      <c r="R337" s="640">
        <f t="shared" si="372"/>
        <v>66878.61003299999</v>
      </c>
      <c r="S337" s="640">
        <f t="shared" si="372"/>
        <v>69579.562523250002</v>
      </c>
      <c r="T337" s="640">
        <f t="shared" si="372"/>
        <v>72415.562638012503</v>
      </c>
      <c r="U337" s="640">
        <f t="shared" si="372"/>
        <v>75393.362758513118</v>
      </c>
      <c r="V337" s="641">
        <f t="shared" si="372"/>
        <v>348573.37228077563</v>
      </c>
      <c r="W337" s="21"/>
      <c r="X337" s="16"/>
      <c r="Y337" s="706"/>
      <c r="Z337" s="773"/>
      <c r="AA337" s="21"/>
      <c r="AB337" s="21"/>
      <c r="AC337" s="21"/>
      <c r="AD337" s="21"/>
      <c r="AE337" s="21"/>
      <c r="AF337" s="21"/>
      <c r="AG337" s="741"/>
      <c r="AH337" s="21"/>
      <c r="AI337" s="263"/>
      <c r="AJ337" s="706"/>
      <c r="AK337" s="773"/>
      <c r="AL337" s="21"/>
      <c r="AM337" s="21"/>
      <c r="AN337" s="21"/>
      <c r="AO337" s="21"/>
      <c r="AP337" s="21"/>
      <c r="AQ337" s="21"/>
      <c r="AR337" s="873"/>
      <c r="AS337" s="21"/>
      <c r="AT337" s="20"/>
      <c r="AU337" s="20"/>
      <c r="AV337" s="20"/>
      <c r="AW337" s="20"/>
      <c r="AX337" s="20"/>
      <c r="AY337" s="20"/>
      <c r="AZ337" s="20"/>
      <c r="BA337" s="22"/>
      <c r="BB337" s="21"/>
    </row>
    <row r="338" spans="1:55" s="498" customFormat="1" ht="38.25" outlineLevel="1" x14ac:dyDescent="0.35">
      <c r="A338" s="311"/>
      <c r="B338" s="311"/>
      <c r="C338" s="311" t="s">
        <v>382</v>
      </c>
      <c r="D338" s="317"/>
      <c r="E338" s="317"/>
      <c r="F338" s="317"/>
      <c r="G338" s="317"/>
      <c r="H338" s="317"/>
      <c r="I338" s="297"/>
      <c r="J338" s="297"/>
      <c r="K338" s="290"/>
      <c r="L338" s="290"/>
      <c r="M338" s="291"/>
      <c r="N338" s="300" t="str">
        <f>C338</f>
        <v>CPI CALCULATIONS</v>
      </c>
      <c r="O338" s="301"/>
      <c r="P338" s="764"/>
      <c r="Q338" s="30" t="s">
        <v>48</v>
      </c>
      <c r="R338" s="30" t="s">
        <v>49</v>
      </c>
      <c r="S338" s="30" t="s">
        <v>50</v>
      </c>
      <c r="T338" s="30" t="s">
        <v>51</v>
      </c>
      <c r="U338" s="30" t="s">
        <v>52</v>
      </c>
      <c r="V338" s="208" t="s">
        <v>53</v>
      </c>
      <c r="W338" s="527"/>
      <c r="X338" s="80"/>
      <c r="Y338" s="327"/>
      <c r="Z338" s="777"/>
      <c r="AA338" s="63"/>
      <c r="AB338" s="63"/>
      <c r="AC338" s="63"/>
      <c r="AD338" s="63"/>
      <c r="AE338" s="63"/>
      <c r="AF338" s="124"/>
      <c r="AG338" s="814"/>
      <c r="AH338" s="362"/>
      <c r="AI338" s="264"/>
      <c r="AJ338" s="257"/>
      <c r="AK338" s="896"/>
      <c r="AL338" s="95"/>
      <c r="AM338" s="95"/>
      <c r="AN338" s="95"/>
      <c r="AO338" s="95"/>
      <c r="AP338" s="95"/>
      <c r="AQ338" s="159"/>
      <c r="AR338" s="478"/>
      <c r="AS338" s="473"/>
      <c r="AT338" s="84"/>
      <c r="AU338" s="85"/>
      <c r="AV338" s="85"/>
      <c r="AW338" s="85"/>
      <c r="AX338" s="85"/>
      <c r="AY338" s="85"/>
      <c r="AZ338" s="85"/>
      <c r="BA338" s="167"/>
      <c r="BB338" s="535"/>
    </row>
    <row r="339" spans="1:55" ht="18.75" outlineLevel="1" x14ac:dyDescent="0.25">
      <c r="A339" s="678"/>
      <c r="B339" s="70"/>
      <c r="C339" s="308"/>
      <c r="D339" s="611"/>
      <c r="E339" s="611"/>
      <c r="F339" s="611"/>
      <c r="G339" s="611"/>
      <c r="H339" s="316"/>
      <c r="I339" s="75"/>
      <c r="J339" s="75"/>
      <c r="K339" s="75"/>
      <c r="L339" s="75"/>
      <c r="M339" s="76"/>
      <c r="N339" s="53"/>
      <c r="O339" s="248"/>
      <c r="P339" s="765"/>
      <c r="Q339" s="55"/>
      <c r="R339" s="55"/>
      <c r="S339" s="55"/>
      <c r="T339" s="55"/>
      <c r="U339" s="55"/>
      <c r="V339" s="211"/>
      <c r="W339" s="527"/>
      <c r="X339" s="81"/>
      <c r="Y339" s="328"/>
      <c r="Z339" s="774"/>
      <c r="AA339" s="64"/>
      <c r="AB339" s="64"/>
      <c r="AC339" s="64"/>
      <c r="AD339" s="64"/>
      <c r="AE339" s="64"/>
      <c r="AF339" s="125"/>
      <c r="AG339" s="813"/>
      <c r="AH339" s="362"/>
      <c r="AI339" s="265"/>
      <c r="AJ339" s="133"/>
      <c r="AK339" s="896"/>
      <c r="AL339" s="97"/>
      <c r="AM339" s="97"/>
      <c r="AN339" s="97"/>
      <c r="AO339" s="97"/>
      <c r="AP339" s="97"/>
      <c r="AQ339" s="160"/>
      <c r="AR339" s="479"/>
      <c r="AS339" s="473"/>
      <c r="AT339" s="156"/>
      <c r="AU339" s="87"/>
      <c r="AV339" s="88"/>
      <c r="AW339" s="88"/>
      <c r="AX339" s="88"/>
      <c r="AY339" s="88"/>
      <c r="AZ339" s="88"/>
      <c r="BA339" s="168"/>
      <c r="BB339" s="536"/>
    </row>
    <row r="340" spans="1:55" outlineLevel="1" x14ac:dyDescent="0.25">
      <c r="A340" s="682"/>
      <c r="B340" s="683"/>
      <c r="C340" s="684" t="s">
        <v>383</v>
      </c>
      <c r="D340" s="685"/>
      <c r="E340" s="685"/>
      <c r="F340" s="685"/>
      <c r="G340" s="685"/>
      <c r="H340" s="1012" t="s">
        <v>384</v>
      </c>
      <c r="I340" s="686"/>
      <c r="J340" s="686"/>
      <c r="K340" s="686"/>
      <c r="L340" s="686"/>
      <c r="M340" s="687"/>
      <c r="N340" s="188" t="str">
        <f>C340</f>
        <v>[CPI Calculation] Annual Revenue including Growth (if any)</v>
      </c>
      <c r="O340" s="540" t="s">
        <v>384</v>
      </c>
      <c r="P340" s="766"/>
      <c r="Q340" s="55">
        <f>Q336</f>
        <v>1118937.7369432012</v>
      </c>
      <c r="R340" s="55">
        <f t="shared" ref="R340:U340" si="373">R336</f>
        <v>1167004.3626991801</v>
      </c>
      <c r="S340" s="55">
        <f t="shared" si="373"/>
        <v>1217474.3197429576</v>
      </c>
      <c r="T340" s="55">
        <f t="shared" si="373"/>
        <v>1270467.7746389268</v>
      </c>
      <c r="U340" s="55">
        <f t="shared" si="373"/>
        <v>1326110.9022796934</v>
      </c>
      <c r="V340" s="212" t="s">
        <v>384</v>
      </c>
      <c r="W340" s="528"/>
      <c r="X340" s="184"/>
      <c r="Y340" s="333"/>
      <c r="Z340" s="774"/>
      <c r="AA340" s="64"/>
      <c r="AB340" s="64"/>
      <c r="AC340" s="64"/>
      <c r="AD340" s="64"/>
      <c r="AE340" s="64"/>
      <c r="AF340" s="125"/>
      <c r="AG340" s="810"/>
      <c r="AH340" s="370"/>
      <c r="AI340" s="265"/>
      <c r="AJ340" s="133"/>
      <c r="AK340" s="896"/>
      <c r="AL340" s="97"/>
      <c r="AM340" s="97"/>
      <c r="AN340" s="97"/>
      <c r="AO340" s="97"/>
      <c r="AP340" s="97"/>
      <c r="AQ340" s="160"/>
      <c r="AR340" s="479"/>
      <c r="AS340" s="473"/>
      <c r="AT340" s="186"/>
      <c r="AU340" s="87"/>
      <c r="AV340" s="88"/>
      <c r="AW340" s="88"/>
      <c r="AX340" s="88"/>
      <c r="AY340" s="88"/>
      <c r="AZ340" s="88"/>
      <c r="BA340" s="168"/>
      <c r="BB340" s="536"/>
      <c r="BC340" s="35">
        <f>+AQ336-V336</f>
        <v>403549.41532334965</v>
      </c>
    </row>
    <row r="341" spans="1:55" outlineLevel="1" x14ac:dyDescent="0.25">
      <c r="A341" s="682"/>
      <c r="B341" s="683"/>
      <c r="C341" s="684" t="s">
        <v>385</v>
      </c>
      <c r="D341" s="685"/>
      <c r="E341" s="685"/>
      <c r="F341" s="685"/>
      <c r="G341" s="685"/>
      <c r="H341" s="1012" t="s">
        <v>384</v>
      </c>
      <c r="I341" s="686"/>
      <c r="J341" s="686"/>
      <c r="K341" s="686"/>
      <c r="L341" s="686"/>
      <c r="M341" s="687"/>
      <c r="N341" s="188" t="str">
        <f t="shared" ref="N341:N342" si="374">C341</f>
        <v>[CPI Calculation] Annual CPI Year by Year (No Growth)</v>
      </c>
      <c r="O341" s="540" t="s">
        <v>384</v>
      </c>
      <c r="P341" s="766"/>
      <c r="Q341" s="681" t="s">
        <v>386</v>
      </c>
      <c r="R341" s="55">
        <f>Q340*O343</f>
        <v>52254.392315247489</v>
      </c>
      <c r="S341" s="55">
        <f>((S340-R340)+R342)*O343</f>
        <v>59296.330853118176</v>
      </c>
      <c r="T341" s="55">
        <f>((T340-S340)+S342)*O343</f>
        <v>64540.26384760056</v>
      </c>
      <c r="U341" s="55">
        <f>((U340-T340)+T342)*O343</f>
        <v>70152.828230107305</v>
      </c>
      <c r="V341" s="212" t="s">
        <v>384</v>
      </c>
      <c r="W341" s="528"/>
      <c r="X341" s="184"/>
      <c r="Y341" s="333"/>
      <c r="Z341" s="774"/>
      <c r="AA341" s="64"/>
      <c r="AB341" s="64"/>
      <c r="AC341" s="64"/>
      <c r="AD341" s="64"/>
      <c r="AE341" s="64"/>
      <c r="AF341" s="125"/>
      <c r="AG341" s="810"/>
      <c r="AH341" s="370"/>
      <c r="AI341" s="265"/>
      <c r="AJ341" s="133"/>
      <c r="AK341" s="896"/>
      <c r="AL341" s="97"/>
      <c r="AM341" s="97"/>
      <c r="AN341" s="97"/>
      <c r="AO341" s="97"/>
      <c r="AP341" s="97"/>
      <c r="AQ341" s="160"/>
      <c r="AR341" s="479"/>
      <c r="AS341" s="473"/>
      <c r="AT341" s="186"/>
      <c r="AU341" s="87"/>
      <c r="AV341" s="88"/>
      <c r="AW341" s="88"/>
      <c r="AX341" s="88"/>
      <c r="AY341" s="88"/>
      <c r="AZ341" s="88"/>
      <c r="BA341" s="168"/>
      <c r="BB341" s="536"/>
      <c r="BC341" s="1104">
        <f>+BC340/60</f>
        <v>6725.8235887224937</v>
      </c>
    </row>
    <row r="342" spans="1:55" outlineLevel="1" x14ac:dyDescent="0.25">
      <c r="A342" s="682"/>
      <c r="B342" s="683"/>
      <c r="C342" s="684" t="s">
        <v>387</v>
      </c>
      <c r="D342" s="685"/>
      <c r="E342" s="685"/>
      <c r="F342" s="685"/>
      <c r="G342" s="685"/>
      <c r="H342" s="1012" t="s">
        <v>384</v>
      </c>
      <c r="I342" s="686"/>
      <c r="J342" s="686"/>
      <c r="K342" s="686"/>
      <c r="L342" s="686"/>
      <c r="M342" s="687"/>
      <c r="N342" s="188" t="str">
        <f t="shared" si="374"/>
        <v>[CPI Calculation] Annual Expenses &amp; CPI Year by Year</v>
      </c>
      <c r="O342" s="540" t="s">
        <v>384</v>
      </c>
      <c r="P342" s="766"/>
      <c r="Q342" s="681" t="s">
        <v>386</v>
      </c>
      <c r="R342" s="55">
        <f>(R340+R341)</f>
        <v>1219258.7550144277</v>
      </c>
      <c r="S342" s="55">
        <f>(S340+S341+R341)</f>
        <v>1329025.0429113233</v>
      </c>
      <c r="T342" s="55">
        <f>(T340+T341+S341+R341)</f>
        <v>1446558.7616548932</v>
      </c>
      <c r="U342" s="55">
        <f>(U340+U341+T341+S341+R341)</f>
        <v>1572354.7175257669</v>
      </c>
      <c r="V342" s="212" t="s">
        <v>384</v>
      </c>
      <c r="W342" s="528"/>
      <c r="X342" s="184"/>
      <c r="Y342" s="333"/>
      <c r="Z342" s="774"/>
      <c r="AA342" s="64"/>
      <c r="AB342" s="64"/>
      <c r="AC342" s="64"/>
      <c r="AD342" s="64"/>
      <c r="AE342" s="64"/>
      <c r="AF342" s="125"/>
      <c r="AG342" s="810"/>
      <c r="AH342" s="370"/>
      <c r="AI342" s="265"/>
      <c r="AJ342" s="133"/>
      <c r="AK342" s="896"/>
      <c r="AL342" s="97"/>
      <c r="AM342" s="97"/>
      <c r="AN342" s="97"/>
      <c r="AO342" s="97"/>
      <c r="AP342" s="97"/>
      <c r="AQ342" s="160"/>
      <c r="AR342" s="479"/>
      <c r="AS342" s="473"/>
      <c r="AT342" s="186"/>
      <c r="AU342" s="87"/>
      <c r="AV342" s="88"/>
      <c r="AW342" s="88"/>
      <c r="AX342" s="88"/>
      <c r="AY342" s="88"/>
      <c r="AZ342" s="88"/>
      <c r="BA342" s="168"/>
      <c r="BB342" s="536"/>
    </row>
    <row r="343" spans="1:55" s="496" customFormat="1" outlineLevel="1" x14ac:dyDescent="0.25">
      <c r="A343" s="1005"/>
      <c r="B343" s="1006"/>
      <c r="C343" s="1007" t="s">
        <v>388</v>
      </c>
      <c r="D343" s="1008"/>
      <c r="E343" s="1008"/>
      <c r="F343" s="1008"/>
      <c r="G343" s="1008"/>
      <c r="H343" s="1009" t="s">
        <v>389</v>
      </c>
      <c r="I343" s="1010"/>
      <c r="J343" s="1010"/>
      <c r="K343" s="1010"/>
      <c r="L343" s="1010"/>
      <c r="M343" s="1011"/>
      <c r="N343" s="982" t="str">
        <f>C343</f>
        <v>Aggregate CPI</v>
      </c>
      <c r="O343" s="983">
        <f>$J$5</f>
        <v>4.6699999999999998E-2</v>
      </c>
      <c r="P343" s="984"/>
      <c r="Q343" s="985" t="s">
        <v>386</v>
      </c>
      <c r="R343" s="60">
        <f>R341</f>
        <v>52254.392315247489</v>
      </c>
      <c r="S343" s="60">
        <f>SUM(R341:S341)</f>
        <v>111550.72316836566</v>
      </c>
      <c r="T343" s="60">
        <f>SUM(R341:T341)</f>
        <v>176090.98701596621</v>
      </c>
      <c r="U343" s="60">
        <f>SUM(R341:U341)</f>
        <v>246243.81524607353</v>
      </c>
      <c r="V343" s="986">
        <f>SUM(R343:U343)</f>
        <v>586139.91774565284</v>
      </c>
      <c r="W343" s="987"/>
      <c r="X343" s="988"/>
      <c r="Y343" s="989"/>
      <c r="Z343" s="990"/>
      <c r="AA343" s="991"/>
      <c r="AB343" s="991"/>
      <c r="AC343" s="991"/>
      <c r="AD343" s="991"/>
      <c r="AE343" s="991"/>
      <c r="AF343" s="992"/>
      <c r="AG343" s="993"/>
      <c r="AH343" s="994"/>
      <c r="AI343" s="995"/>
      <c r="AJ343" s="996"/>
      <c r="AK343" s="896"/>
      <c r="AL343" s="997"/>
      <c r="AM343" s="997"/>
      <c r="AN343" s="997"/>
      <c r="AO343" s="997"/>
      <c r="AP343" s="997"/>
      <c r="AQ343" s="161"/>
      <c r="AR343" s="999"/>
      <c r="AS343" s="473"/>
      <c r="AT343" s="1000"/>
      <c r="AU343" s="1001"/>
      <c r="AV343" s="1002"/>
      <c r="AW343" s="1002"/>
      <c r="AX343" s="1002"/>
      <c r="AY343" s="1002"/>
      <c r="AZ343" s="1002"/>
      <c r="BA343" s="170"/>
      <c r="BB343" s="1003"/>
    </row>
    <row r="344" spans="1:55" outlineLevel="1" x14ac:dyDescent="0.25">
      <c r="A344" s="678"/>
      <c r="B344" s="70"/>
      <c r="C344" s="312"/>
      <c r="D344" s="612"/>
      <c r="E344" s="612"/>
      <c r="F344" s="612"/>
      <c r="G344" s="612"/>
      <c r="H344" s="113"/>
      <c r="I344" s="152"/>
      <c r="J344" s="152"/>
      <c r="K344" s="152"/>
      <c r="L344" s="152"/>
      <c r="M344" s="201"/>
      <c r="N344" s="188"/>
      <c r="O344" s="540"/>
      <c r="P344" s="766"/>
      <c r="Q344" s="55"/>
      <c r="R344" s="55"/>
      <c r="S344" s="55"/>
      <c r="T344" s="55"/>
      <c r="U344" s="55"/>
      <c r="V344" s="212"/>
      <c r="W344" s="528"/>
      <c r="X344" s="184"/>
      <c r="Y344" s="333"/>
      <c r="Z344" s="774"/>
      <c r="AA344" s="64"/>
      <c r="AB344" s="64"/>
      <c r="AC344" s="64"/>
      <c r="AD344" s="64"/>
      <c r="AE344" s="64"/>
      <c r="AF344" s="125"/>
      <c r="AG344" s="810"/>
      <c r="AH344" s="370"/>
      <c r="AI344" s="265"/>
      <c r="AJ344" s="133"/>
      <c r="AK344" s="896"/>
      <c r="AL344" s="97"/>
      <c r="AM344" s="97"/>
      <c r="AN344" s="97"/>
      <c r="AO344" s="97"/>
      <c r="AP344" s="97"/>
      <c r="AQ344" s="160"/>
      <c r="AR344" s="479"/>
      <c r="AS344" s="473"/>
      <c r="AT344" s="186"/>
      <c r="AU344" s="87"/>
      <c r="AV344" s="88"/>
      <c r="AW344" s="88"/>
      <c r="AX344" s="88"/>
      <c r="AY344" s="88"/>
      <c r="AZ344" s="88"/>
      <c r="BA344" s="168"/>
      <c r="BB344" s="536"/>
    </row>
    <row r="345" spans="1:55" outlineLevel="1" x14ac:dyDescent="0.25">
      <c r="A345" s="791"/>
      <c r="B345" s="792"/>
      <c r="C345" s="793" t="s">
        <v>383</v>
      </c>
      <c r="D345" s="794"/>
      <c r="E345" s="794"/>
      <c r="F345" s="794"/>
      <c r="G345" s="794"/>
      <c r="H345" s="1004" t="s">
        <v>384</v>
      </c>
      <c r="I345" s="797"/>
      <c r="J345" s="797"/>
      <c r="K345" s="797"/>
      <c r="L345" s="797"/>
      <c r="M345" s="798"/>
      <c r="N345" s="188"/>
      <c r="O345" s="540"/>
      <c r="P345" s="766"/>
      <c r="Q345" s="55"/>
      <c r="R345" s="55"/>
      <c r="S345" s="55"/>
      <c r="T345" s="55"/>
      <c r="U345" s="55"/>
      <c r="V345" s="212"/>
      <c r="W345" s="528"/>
      <c r="X345" s="184" t="str">
        <f>C345</f>
        <v>[CPI Calculation] Annual Revenue including Growth (if any)</v>
      </c>
      <c r="Y345" s="1004" t="s">
        <v>384</v>
      </c>
      <c r="Z345" s="774"/>
      <c r="AA345" s="64">
        <f>AA336</f>
        <v>1151518.4438164004</v>
      </c>
      <c r="AB345" s="64">
        <f t="shared" ref="AB345:AE345" si="375">AB336</f>
        <v>1198512.6384772202</v>
      </c>
      <c r="AC345" s="64">
        <f t="shared" si="375"/>
        <v>1247856.5428710813</v>
      </c>
      <c r="AD345" s="64">
        <f t="shared" si="375"/>
        <v>1299667.6424846356</v>
      </c>
      <c r="AE345" s="64">
        <f t="shared" si="375"/>
        <v>1354069.2970788679</v>
      </c>
      <c r="AF345" s="125" t="s">
        <v>384</v>
      </c>
      <c r="AG345" s="810"/>
      <c r="AH345" s="370"/>
      <c r="AI345" s="265"/>
      <c r="AJ345" s="133"/>
      <c r="AK345" s="896"/>
      <c r="AL345" s="97"/>
      <c r="AM345" s="97"/>
      <c r="AN345" s="97"/>
      <c r="AO345" s="97"/>
      <c r="AP345" s="97"/>
      <c r="AQ345" s="160"/>
      <c r="AR345" s="479"/>
      <c r="AS345" s="473"/>
      <c r="AT345" s="186"/>
      <c r="AU345" s="87"/>
      <c r="AV345" s="88"/>
      <c r="AW345" s="88"/>
      <c r="AX345" s="88"/>
      <c r="AY345" s="88"/>
      <c r="AZ345" s="88"/>
      <c r="BA345" s="168"/>
      <c r="BB345" s="536"/>
    </row>
    <row r="346" spans="1:55" outlineLevel="1" x14ac:dyDescent="0.25">
      <c r="A346" s="791"/>
      <c r="B346" s="792"/>
      <c r="C346" s="793" t="s">
        <v>385</v>
      </c>
      <c r="D346" s="794"/>
      <c r="E346" s="794"/>
      <c r="F346" s="794"/>
      <c r="G346" s="794"/>
      <c r="H346" s="1004" t="s">
        <v>384</v>
      </c>
      <c r="I346" s="797"/>
      <c r="J346" s="797"/>
      <c r="K346" s="797"/>
      <c r="L346" s="797"/>
      <c r="M346" s="798"/>
      <c r="N346" s="188"/>
      <c r="O346" s="540"/>
      <c r="P346" s="766"/>
      <c r="Q346" s="681"/>
      <c r="R346" s="55"/>
      <c r="S346" s="55"/>
      <c r="T346" s="55"/>
      <c r="U346" s="55"/>
      <c r="V346" s="212"/>
      <c r="W346" s="528"/>
      <c r="X346" s="184" t="str">
        <f t="shared" ref="X346:X348" si="376">C346</f>
        <v>[CPI Calculation] Annual CPI Year by Year (No Growth)</v>
      </c>
      <c r="Y346" s="1004" t="s">
        <v>384</v>
      </c>
      <c r="Z346" s="774"/>
      <c r="AA346" s="64" t="s">
        <v>386</v>
      </c>
      <c r="AB346" s="64">
        <f>AA345*Y348</f>
        <v>53775.911326225898</v>
      </c>
      <c r="AC346" s="64">
        <f>((AC345-AB345)+AB347)*Y348</f>
        <v>60786.235611014243</v>
      </c>
      <c r="AD346" s="64">
        <f>((AD345-AC345)+AC347)*Y348</f>
        <v>66044.531166001601</v>
      </c>
      <c r="AE346" s="64">
        <f>((AE345-AD345)+AD347)*Y348</f>
        <v>71669.36804100452</v>
      </c>
      <c r="AF346" s="125" t="s">
        <v>384</v>
      </c>
      <c r="AG346" s="810"/>
      <c r="AH346" s="370"/>
      <c r="AI346" s="265"/>
      <c r="AJ346" s="133"/>
      <c r="AK346" s="896"/>
      <c r="AL346" s="97"/>
      <c r="AM346" s="97"/>
      <c r="AN346" s="97"/>
      <c r="AO346" s="97"/>
      <c r="AP346" s="97"/>
      <c r="AQ346" s="160"/>
      <c r="AR346" s="479"/>
      <c r="AS346" s="473"/>
      <c r="AT346" s="186"/>
      <c r="AU346" s="87"/>
      <c r="AV346" s="88"/>
      <c r="AW346" s="88"/>
      <c r="AX346" s="88"/>
      <c r="AY346" s="88"/>
      <c r="AZ346" s="88"/>
      <c r="BA346" s="168"/>
      <c r="BB346" s="536"/>
    </row>
    <row r="347" spans="1:55" outlineLevel="1" x14ac:dyDescent="0.25">
      <c r="A347" s="791"/>
      <c r="B347" s="792"/>
      <c r="C347" s="793" t="s">
        <v>387</v>
      </c>
      <c r="D347" s="794"/>
      <c r="E347" s="794"/>
      <c r="F347" s="794"/>
      <c r="G347" s="794"/>
      <c r="H347" s="1004" t="s">
        <v>384</v>
      </c>
      <c r="I347" s="797"/>
      <c r="J347" s="797"/>
      <c r="K347" s="797"/>
      <c r="L347" s="797"/>
      <c r="M347" s="798"/>
      <c r="N347" s="188"/>
      <c r="O347" s="540"/>
      <c r="P347" s="766"/>
      <c r="Q347" s="681"/>
      <c r="R347" s="55"/>
      <c r="S347" s="55"/>
      <c r="T347" s="55"/>
      <c r="U347" s="55"/>
      <c r="V347" s="212"/>
      <c r="W347" s="528"/>
      <c r="X347" s="184" t="str">
        <f t="shared" si="376"/>
        <v>[CPI Calculation] Annual Expenses &amp; CPI Year by Year</v>
      </c>
      <c r="Y347" s="1004" t="s">
        <v>384</v>
      </c>
      <c r="Z347" s="774"/>
      <c r="AA347" s="64" t="s">
        <v>386</v>
      </c>
      <c r="AB347" s="64">
        <f>(AB345+AB346)</f>
        <v>1252288.549803446</v>
      </c>
      <c r="AC347" s="64">
        <f>(AC345+AC346+AB346)</f>
        <v>1362418.6898083214</v>
      </c>
      <c r="AD347" s="64">
        <f>(AD345+AD346+AC346+AB346)</f>
        <v>1480274.3205878774</v>
      </c>
      <c r="AE347" s="64">
        <f>(AE345+AE346+AD346+AC346+AB346)</f>
        <v>1606345.3432231143</v>
      </c>
      <c r="AF347" s="125" t="s">
        <v>384</v>
      </c>
      <c r="AG347" s="810"/>
      <c r="AH347" s="370"/>
      <c r="AI347" s="265"/>
      <c r="AJ347" s="133"/>
      <c r="AK347" s="896"/>
      <c r="AL347" s="97"/>
      <c r="AM347" s="97"/>
      <c r="AN347" s="97"/>
      <c r="AO347" s="97"/>
      <c r="AP347" s="97"/>
      <c r="AQ347" s="160"/>
      <c r="AR347" s="479"/>
      <c r="AS347" s="473"/>
      <c r="AT347" s="186"/>
      <c r="AU347" s="87"/>
      <c r="AV347" s="88"/>
      <c r="AW347" s="88"/>
      <c r="AX347" s="88"/>
      <c r="AY347" s="88"/>
      <c r="AZ347" s="88"/>
      <c r="BA347" s="168"/>
      <c r="BB347" s="536"/>
    </row>
    <row r="348" spans="1:55" s="496" customFormat="1" outlineLevel="1" x14ac:dyDescent="0.25">
      <c r="A348" s="976"/>
      <c r="B348" s="977"/>
      <c r="C348" s="978" t="s">
        <v>388</v>
      </c>
      <c r="D348" s="979"/>
      <c r="E348" s="979"/>
      <c r="F348" s="979"/>
      <c r="G348" s="979"/>
      <c r="H348" s="1093" t="s">
        <v>390</v>
      </c>
      <c r="I348" s="980"/>
      <c r="J348" s="980"/>
      <c r="K348" s="980"/>
      <c r="L348" s="980"/>
      <c r="M348" s="981"/>
      <c r="N348" s="982"/>
      <c r="O348" s="983"/>
      <c r="P348" s="984"/>
      <c r="Q348" s="985"/>
      <c r="R348" s="60"/>
      <c r="S348" s="60"/>
      <c r="T348" s="60"/>
      <c r="U348" s="60"/>
      <c r="V348" s="986"/>
      <c r="W348" s="987"/>
      <c r="X348" s="988" t="str">
        <f t="shared" si="376"/>
        <v>Aggregate CPI</v>
      </c>
      <c r="Y348" s="989">
        <f>$K$5</f>
        <v>4.6699999999999998E-2</v>
      </c>
      <c r="Z348" s="990"/>
      <c r="AA348" s="991" t="s">
        <v>386</v>
      </c>
      <c r="AB348" s="991">
        <f>AB346</f>
        <v>53775.911326225898</v>
      </c>
      <c r="AC348" s="991">
        <f>SUM(AB346:AC346)</f>
        <v>114562.14693724015</v>
      </c>
      <c r="AD348" s="991">
        <f>SUM(AB346:AD346)</f>
        <v>180606.67810324175</v>
      </c>
      <c r="AE348" s="991">
        <f>SUM(AB346:AE346)</f>
        <v>252276.04614424627</v>
      </c>
      <c r="AF348" s="992">
        <f>SUM(AB348:AE348)</f>
        <v>601220.78251095407</v>
      </c>
      <c r="AG348" s="993"/>
      <c r="AH348" s="994"/>
      <c r="AI348" s="995"/>
      <c r="AJ348" s="996"/>
      <c r="AK348" s="896"/>
      <c r="AL348" s="997"/>
      <c r="AM348" s="997"/>
      <c r="AN348" s="997"/>
      <c r="AO348" s="997"/>
      <c r="AP348" s="997"/>
      <c r="AQ348" s="161"/>
      <c r="AR348" s="999"/>
      <c r="AS348" s="473"/>
      <c r="AT348" s="1000"/>
      <c r="AU348" s="1001"/>
      <c r="AV348" s="1002"/>
      <c r="AW348" s="1002"/>
      <c r="AX348" s="1002"/>
      <c r="AY348" s="1002"/>
      <c r="AZ348" s="1002"/>
      <c r="BA348" s="170"/>
      <c r="BB348" s="1003"/>
    </row>
    <row r="349" spans="1:55" outlineLevel="1" x14ac:dyDescent="0.25">
      <c r="A349" s="678"/>
      <c r="B349" s="70"/>
      <c r="C349" s="312"/>
      <c r="D349" s="612"/>
      <c r="E349" s="612"/>
      <c r="F349" s="612"/>
      <c r="G349" s="612"/>
      <c r="H349" s="113"/>
      <c r="I349" s="152"/>
      <c r="J349" s="152"/>
      <c r="K349" s="152"/>
      <c r="L349" s="152"/>
      <c r="M349" s="201"/>
      <c r="N349" s="188"/>
      <c r="O349" s="540"/>
      <c r="P349" s="766"/>
      <c r="Q349" s="55"/>
      <c r="R349" s="55"/>
      <c r="S349" s="55"/>
      <c r="T349" s="55"/>
      <c r="U349" s="55"/>
      <c r="V349" s="212"/>
      <c r="W349" s="528"/>
      <c r="X349" s="184"/>
      <c r="Y349" s="333"/>
      <c r="Z349" s="774"/>
      <c r="AA349" s="64"/>
      <c r="AB349" s="64"/>
      <c r="AC349" s="64"/>
      <c r="AD349" s="64"/>
      <c r="AE349" s="64"/>
      <c r="AF349" s="125"/>
      <c r="AG349" s="810"/>
      <c r="AH349" s="370"/>
      <c r="AI349" s="265"/>
      <c r="AJ349" s="133"/>
      <c r="AK349" s="896"/>
      <c r="AL349" s="97"/>
      <c r="AM349" s="97"/>
      <c r="AN349" s="97"/>
      <c r="AO349" s="97"/>
      <c r="AP349" s="97"/>
      <c r="AQ349" s="160"/>
      <c r="AR349" s="479"/>
      <c r="AS349" s="473"/>
      <c r="AT349" s="186"/>
      <c r="AU349" s="87"/>
      <c r="AV349" s="88"/>
      <c r="AW349" s="88"/>
      <c r="AX349" s="88"/>
      <c r="AY349" s="88"/>
      <c r="AZ349" s="88"/>
      <c r="BA349" s="168"/>
      <c r="BB349" s="536"/>
    </row>
    <row r="350" spans="1:55" outlineLevel="1" x14ac:dyDescent="0.25">
      <c r="A350" s="939"/>
      <c r="B350" s="940"/>
      <c r="C350" s="941" t="s">
        <v>383</v>
      </c>
      <c r="D350" s="942"/>
      <c r="E350" s="942"/>
      <c r="F350" s="942"/>
      <c r="G350" s="942"/>
      <c r="H350" s="1015" t="s">
        <v>384</v>
      </c>
      <c r="I350" s="943"/>
      <c r="J350" s="943"/>
      <c r="K350" s="943"/>
      <c r="L350" s="943"/>
      <c r="M350" s="944"/>
      <c r="N350" s="188"/>
      <c r="O350" s="540"/>
      <c r="P350" s="766"/>
      <c r="Q350" s="55"/>
      <c r="R350" s="55"/>
      <c r="S350" s="55"/>
      <c r="T350" s="55"/>
      <c r="U350" s="55"/>
      <c r="V350" s="212"/>
      <c r="W350" s="528"/>
      <c r="X350" s="184"/>
      <c r="Y350" s="1004"/>
      <c r="Z350" s="774"/>
      <c r="AA350" s="64"/>
      <c r="AB350" s="64"/>
      <c r="AC350" s="64"/>
      <c r="AD350" s="64"/>
      <c r="AE350" s="64"/>
      <c r="AF350" s="125"/>
      <c r="AG350" s="810"/>
      <c r="AH350" s="370"/>
      <c r="AI350" s="945" t="str">
        <f>C350</f>
        <v>[CPI Calculation] Annual Revenue including Growth (if any)</v>
      </c>
      <c r="AJ350" s="133" t="str">
        <f>H350</f>
        <v>[Formula in Use]</v>
      </c>
      <c r="AK350" s="896"/>
      <c r="AL350" s="97">
        <f>AL336</f>
        <v>1212470.1579804006</v>
      </c>
      <c r="AM350" s="97">
        <f>AM336</f>
        <v>1259864.5643812201</v>
      </c>
      <c r="AN350" s="97">
        <f>AN336</f>
        <v>1309628.6911020814</v>
      </c>
      <c r="AO350" s="97">
        <f>AO336</f>
        <v>1361881.0241589854</v>
      </c>
      <c r="AP350" s="97">
        <f>AP336</f>
        <v>1416745.9738687351</v>
      </c>
      <c r="AQ350" s="160" t="s">
        <v>384</v>
      </c>
      <c r="AR350" s="479"/>
      <c r="AS350" s="473"/>
      <c r="AT350" s="186"/>
      <c r="AU350" s="87"/>
      <c r="AV350" s="88"/>
      <c r="AW350" s="88"/>
      <c r="AX350" s="88"/>
      <c r="AY350" s="88"/>
      <c r="AZ350" s="88"/>
      <c r="BA350" s="168"/>
      <c r="BB350" s="536"/>
    </row>
    <row r="351" spans="1:55" outlineLevel="1" x14ac:dyDescent="0.25">
      <c r="A351" s="939"/>
      <c r="B351" s="940"/>
      <c r="C351" s="941" t="s">
        <v>385</v>
      </c>
      <c r="D351" s="942"/>
      <c r="E351" s="942"/>
      <c r="F351" s="942"/>
      <c r="G351" s="942"/>
      <c r="H351" s="1015" t="s">
        <v>384</v>
      </c>
      <c r="I351" s="943"/>
      <c r="J351" s="943"/>
      <c r="K351" s="943"/>
      <c r="L351" s="943"/>
      <c r="M351" s="944"/>
      <c r="N351" s="188"/>
      <c r="O351" s="540"/>
      <c r="P351" s="766"/>
      <c r="Q351" s="681"/>
      <c r="R351" s="55"/>
      <c r="S351" s="55"/>
      <c r="T351" s="55"/>
      <c r="U351" s="55"/>
      <c r="V351" s="212"/>
      <c r="W351" s="528"/>
      <c r="X351" s="184"/>
      <c r="Y351" s="1004"/>
      <c r="Z351" s="774"/>
      <c r="AA351" s="64"/>
      <c r="AB351" s="64"/>
      <c r="AC351" s="64"/>
      <c r="AD351" s="64"/>
      <c r="AE351" s="64"/>
      <c r="AF351" s="125"/>
      <c r="AG351" s="810"/>
      <c r="AH351" s="370"/>
      <c r="AI351" s="945" t="str">
        <f t="shared" ref="AI351:AI353" si="377">C351</f>
        <v>[CPI Calculation] Annual CPI Year by Year (No Growth)</v>
      </c>
      <c r="AJ351" s="133" t="str">
        <f t="shared" ref="AJ351:AJ352" si="378">H351</f>
        <v>[Formula in Use]</v>
      </c>
      <c r="AK351" s="896"/>
      <c r="AL351" s="97" t="s">
        <v>386</v>
      </c>
      <c r="AM351" s="97">
        <f>AL350*AJ353</f>
        <v>56622.356377684708</v>
      </c>
      <c r="AN351" s="97">
        <f>((AN350-AM350)+AM352)*AJ353</f>
        <v>63803.923917305081</v>
      </c>
      <c r="AO351" s="97">
        <f>((AO350-AN350)+AN352)*AJ353</f>
        <v>69223.75111800064</v>
      </c>
      <c r="AP351" s="97">
        <f>((AP350-AO350)+AO352)*AJ353</f>
        <v>75018.693446656587</v>
      </c>
      <c r="AQ351" s="160" t="s">
        <v>384</v>
      </c>
      <c r="AR351" s="479"/>
      <c r="AS351" s="473"/>
      <c r="AT351" s="186"/>
      <c r="AU351" s="87"/>
      <c r="AV351" s="88"/>
      <c r="AW351" s="88"/>
      <c r="AX351" s="88"/>
      <c r="AY351" s="88"/>
      <c r="AZ351" s="88"/>
      <c r="BA351" s="168"/>
      <c r="BB351" s="536"/>
    </row>
    <row r="352" spans="1:55" outlineLevel="1" x14ac:dyDescent="0.25">
      <c r="A352" s="939"/>
      <c r="B352" s="940"/>
      <c r="C352" s="941" t="s">
        <v>387</v>
      </c>
      <c r="D352" s="942"/>
      <c r="E352" s="942"/>
      <c r="F352" s="942"/>
      <c r="G352" s="942"/>
      <c r="H352" s="1015" t="s">
        <v>384</v>
      </c>
      <c r="I352" s="943"/>
      <c r="J352" s="943"/>
      <c r="K352" s="943"/>
      <c r="L352" s="943"/>
      <c r="M352" s="944"/>
      <c r="N352" s="188"/>
      <c r="O352" s="540"/>
      <c r="P352" s="766"/>
      <c r="Q352" s="681"/>
      <c r="R352" s="55"/>
      <c r="S352" s="55"/>
      <c r="T352" s="55"/>
      <c r="U352" s="55"/>
      <c r="V352" s="212"/>
      <c r="W352" s="528"/>
      <c r="X352" s="184"/>
      <c r="Y352" s="1004"/>
      <c r="Z352" s="774"/>
      <c r="AA352" s="64"/>
      <c r="AB352" s="64"/>
      <c r="AC352" s="64"/>
      <c r="AD352" s="64"/>
      <c r="AE352" s="64"/>
      <c r="AF352" s="125"/>
      <c r="AG352" s="810"/>
      <c r="AH352" s="370"/>
      <c r="AI352" s="945" t="str">
        <f t="shared" si="377"/>
        <v>[CPI Calculation] Annual Expenses &amp; CPI Year by Year</v>
      </c>
      <c r="AJ352" s="133" t="str">
        <f t="shared" si="378"/>
        <v>[Formula in Use]</v>
      </c>
      <c r="AK352" s="896"/>
      <c r="AL352" s="97" t="s">
        <v>386</v>
      </c>
      <c r="AM352" s="97">
        <f>(AM350+AM351)</f>
        <v>1316486.9207589049</v>
      </c>
      <c r="AN352" s="97">
        <f>(AN350+AN351+AM351)</f>
        <v>1430054.9713970714</v>
      </c>
      <c r="AO352" s="97">
        <f>(AO350+AO351+AN351+AM351)</f>
        <v>1551531.0555719759</v>
      </c>
      <c r="AP352" s="97">
        <f>(AP350+AP351+AO351+AN351+AM351)</f>
        <v>1681414.6987283824</v>
      </c>
      <c r="AQ352" s="160" t="s">
        <v>384</v>
      </c>
      <c r="AR352" s="479"/>
      <c r="AS352" s="473"/>
      <c r="AT352" s="186"/>
      <c r="AU352" s="87"/>
      <c r="AV352" s="88"/>
      <c r="AW352" s="88"/>
      <c r="AX352" s="88"/>
      <c r="AY352" s="88"/>
      <c r="AZ352" s="88"/>
      <c r="BA352" s="168"/>
      <c r="BB352" s="536"/>
    </row>
    <row r="353" spans="1:54" s="496" customFormat="1" outlineLevel="1" x14ac:dyDescent="0.25">
      <c r="A353" s="1016"/>
      <c r="B353" s="1017"/>
      <c r="C353" s="1018" t="s">
        <v>388</v>
      </c>
      <c r="D353" s="1019"/>
      <c r="E353" s="1019"/>
      <c r="F353" s="1019"/>
      <c r="G353" s="1019"/>
      <c r="H353" s="1020" t="s">
        <v>391</v>
      </c>
      <c r="I353" s="1021"/>
      <c r="J353" s="1021"/>
      <c r="K353" s="1021"/>
      <c r="L353" s="1021"/>
      <c r="M353" s="1022"/>
      <c r="N353" s="982"/>
      <c r="O353" s="983"/>
      <c r="P353" s="984"/>
      <c r="Q353" s="985"/>
      <c r="R353" s="60"/>
      <c r="S353" s="60"/>
      <c r="T353" s="60"/>
      <c r="U353" s="60"/>
      <c r="V353" s="986"/>
      <c r="W353" s="987"/>
      <c r="X353" s="988"/>
      <c r="Y353" s="989"/>
      <c r="Z353" s="990"/>
      <c r="AA353" s="991"/>
      <c r="AB353" s="991"/>
      <c r="AC353" s="991"/>
      <c r="AD353" s="991"/>
      <c r="AE353" s="991"/>
      <c r="AF353" s="992"/>
      <c r="AG353" s="993"/>
      <c r="AH353" s="994"/>
      <c r="AI353" s="1013" t="str">
        <f t="shared" si="377"/>
        <v>Aggregate CPI</v>
      </c>
      <c r="AJ353" s="1014">
        <f>$L$5</f>
        <v>4.6699999999999998E-2</v>
      </c>
      <c r="AK353" s="896"/>
      <c r="AL353" s="997" t="s">
        <v>386</v>
      </c>
      <c r="AM353" s="997">
        <f>AM351</f>
        <v>56622.356377684708</v>
      </c>
      <c r="AN353" s="997">
        <f>SUM(AM351:AN351)</f>
        <v>120426.28029498979</v>
      </c>
      <c r="AO353" s="997">
        <f>SUM(AM351:AO351)</f>
        <v>189650.03141299041</v>
      </c>
      <c r="AP353" s="997">
        <f>SUM(AM351:AP351)</f>
        <v>264668.72485964699</v>
      </c>
      <c r="AQ353" s="161">
        <f>SUM(AM353:AP353)</f>
        <v>631367.39294531196</v>
      </c>
      <c r="AR353" s="999"/>
      <c r="AS353" s="473"/>
      <c r="AT353" s="1000"/>
      <c r="AU353" s="1001"/>
      <c r="AV353" s="1002"/>
      <c r="AW353" s="1002"/>
      <c r="AX353" s="1002"/>
      <c r="AY353" s="1002"/>
      <c r="AZ353" s="1002"/>
      <c r="BA353" s="170"/>
      <c r="BB353" s="1003"/>
    </row>
    <row r="354" spans="1:54" outlineLevel="1" x14ac:dyDescent="0.25">
      <c r="A354" s="678"/>
      <c r="B354" s="70"/>
      <c r="C354" s="312"/>
      <c r="D354" s="612"/>
      <c r="E354" s="612"/>
      <c r="F354" s="612"/>
      <c r="G354" s="612"/>
      <c r="H354" s="113"/>
      <c r="I354" s="152"/>
      <c r="J354" s="152"/>
      <c r="K354" s="152"/>
      <c r="L354" s="152"/>
      <c r="M354" s="201"/>
      <c r="N354" s="188"/>
      <c r="O354" s="540"/>
      <c r="P354" s="766"/>
      <c r="Q354" s="55"/>
      <c r="R354" s="55"/>
      <c r="S354" s="55"/>
      <c r="T354" s="55"/>
      <c r="U354" s="55"/>
      <c r="V354" s="212"/>
      <c r="W354" s="528"/>
      <c r="X354" s="184"/>
      <c r="Y354" s="333"/>
      <c r="Z354" s="774"/>
      <c r="AA354" s="64"/>
      <c r="AB354" s="64"/>
      <c r="AC354" s="64"/>
      <c r="AD354" s="64"/>
      <c r="AE354" s="64"/>
      <c r="AF354" s="125"/>
      <c r="AG354" s="810"/>
      <c r="AH354" s="370"/>
      <c r="AI354" s="265"/>
      <c r="AJ354" s="133"/>
      <c r="AK354" s="896"/>
      <c r="AL354" s="97"/>
      <c r="AM354" s="97"/>
      <c r="AN354" s="97"/>
      <c r="AO354" s="97"/>
      <c r="AP354" s="97"/>
      <c r="AQ354" s="160"/>
      <c r="AR354" s="479"/>
      <c r="AS354" s="473"/>
      <c r="AT354" s="186"/>
      <c r="AU354" s="87"/>
      <c r="AV354" s="88"/>
      <c r="AW354" s="88"/>
      <c r="AX354" s="88"/>
      <c r="AY354" s="88"/>
      <c r="AZ354" s="88"/>
      <c r="BA354" s="168"/>
      <c r="BB354" s="536"/>
    </row>
    <row r="355" spans="1:54" ht="3.75" customHeight="1" outlineLevel="1" x14ac:dyDescent="0.25">
      <c r="A355" s="607"/>
      <c r="B355" s="16"/>
      <c r="C355" s="642"/>
      <c r="D355" s="643"/>
      <c r="E355" s="643"/>
      <c r="F355" s="643"/>
      <c r="G355" s="643"/>
      <c r="H355" s="644"/>
      <c r="I355" s="645"/>
      <c r="J355" s="645"/>
      <c r="K355" s="645"/>
      <c r="L355" s="645"/>
      <c r="M355" s="646"/>
      <c r="N355" s="647"/>
      <c r="O355" s="648"/>
      <c r="P355" s="767"/>
      <c r="Q355" s="649"/>
      <c r="R355" s="649"/>
      <c r="S355" s="649"/>
      <c r="T355" s="649"/>
      <c r="U355" s="649"/>
      <c r="V355" s="650"/>
      <c r="W355" s="21"/>
      <c r="X355" s="16"/>
      <c r="Y355" s="20"/>
      <c r="Z355" s="773"/>
      <c r="AA355" s="21"/>
      <c r="AB355" s="21"/>
      <c r="AC355" s="21"/>
      <c r="AD355" s="21"/>
      <c r="AE355" s="21"/>
      <c r="AF355" s="21"/>
      <c r="AG355" s="811"/>
      <c r="AH355" s="21"/>
      <c r="AI355" s="263"/>
      <c r="AJ355" s="20"/>
      <c r="AK355" s="773"/>
      <c r="AL355" s="21"/>
      <c r="AM355" s="21"/>
      <c r="AN355" s="21"/>
      <c r="AO355" s="21"/>
      <c r="AP355" s="21"/>
      <c r="AQ355" s="21"/>
      <c r="AR355" s="21"/>
      <c r="AS355" s="21"/>
      <c r="AT355" s="20"/>
      <c r="AU355" s="20"/>
      <c r="AV355" s="20"/>
      <c r="AW355" s="20"/>
      <c r="AX355" s="20"/>
      <c r="AY355" s="20"/>
      <c r="AZ355" s="20"/>
      <c r="BA355" s="22"/>
      <c r="BB355" s="21"/>
    </row>
    <row r="356" spans="1:54" s="496" customFormat="1" x14ac:dyDescent="0.25">
      <c r="A356" s="677"/>
      <c r="B356" s="77"/>
      <c r="C356" s="298" t="s">
        <v>392</v>
      </c>
      <c r="D356" s="610"/>
      <c r="E356" s="610"/>
      <c r="F356" s="610"/>
      <c r="G356" s="610"/>
      <c r="H356" s="115"/>
      <c r="I356" s="144"/>
      <c r="J356" s="144"/>
      <c r="K356" s="144"/>
      <c r="L356" s="144"/>
      <c r="M356" s="145"/>
      <c r="N356" s="304" t="str">
        <f>C356</f>
        <v>CPI Sum:</v>
      </c>
      <c r="O356" s="303"/>
      <c r="P356" s="762"/>
      <c r="Q356" s="146"/>
      <c r="R356" s="146"/>
      <c r="S356" s="146"/>
      <c r="T356" s="146"/>
      <c r="U356" s="146"/>
      <c r="V356" s="210">
        <f>SUM(V339:V354)</f>
        <v>586139.91774565284</v>
      </c>
      <c r="W356" s="527"/>
      <c r="X356" s="319" t="str">
        <f>C356</f>
        <v>CPI Sum:</v>
      </c>
      <c r="Y356" s="326"/>
      <c r="Z356" s="778"/>
      <c r="AA356" s="147"/>
      <c r="AB356" s="147"/>
      <c r="AC356" s="147"/>
      <c r="AD356" s="147"/>
      <c r="AE356" s="147"/>
      <c r="AF356" s="202">
        <f>AF348</f>
        <v>601220.78251095407</v>
      </c>
      <c r="AG356" s="815"/>
      <c r="AH356" s="362"/>
      <c r="AI356" s="299" t="str">
        <f>C356</f>
        <v>CPI Sum:</v>
      </c>
      <c r="AJ356" s="256"/>
      <c r="AK356" s="896"/>
      <c r="AL356" s="153"/>
      <c r="AM356" s="153"/>
      <c r="AN356" s="153"/>
      <c r="AO356" s="153"/>
      <c r="AP356" s="153"/>
      <c r="AQ356" s="163">
        <f>AQ353</f>
        <v>631367.39294531196</v>
      </c>
      <c r="AR356" s="487"/>
      <c r="AS356" s="487"/>
      <c r="AT356" s="318" t="str">
        <f>C356</f>
        <v>CPI Sum:</v>
      </c>
      <c r="AU356" s="150"/>
      <c r="AV356" s="155">
        <f>SUM(AV338:AV354)</f>
        <v>0</v>
      </c>
      <c r="AW356" s="155">
        <f>SUM(AW338:AW354)</f>
        <v>0</v>
      </c>
      <c r="AX356" s="155">
        <f>SUM(AX338:AX354)</f>
        <v>0</v>
      </c>
      <c r="AY356" s="155">
        <f>SUM(AY338:AY354)</f>
        <v>0</v>
      </c>
      <c r="AZ356" s="155">
        <f>SUM(AZ338:AZ354)</f>
        <v>0</v>
      </c>
      <c r="BA356" s="166">
        <f>SUM(AV356:AZ356)</f>
        <v>0</v>
      </c>
      <c r="BB356" s="533"/>
    </row>
    <row r="357" spans="1:54" ht="3.75" customHeight="1" x14ac:dyDescent="0.25">
      <c r="A357" s="607"/>
      <c r="B357" s="16"/>
      <c r="C357" s="263"/>
      <c r="D357" s="607"/>
      <c r="E357" s="607"/>
      <c r="F357" s="607"/>
      <c r="G357" s="607"/>
      <c r="H357" s="16"/>
      <c r="I357" s="18"/>
      <c r="J357" s="18"/>
      <c r="K357" s="18"/>
      <c r="L357" s="18"/>
      <c r="M357" s="18"/>
      <c r="N357" s="16"/>
      <c r="O357" s="19"/>
      <c r="P357" s="755"/>
      <c r="Q357" s="17"/>
      <c r="R357" s="17"/>
      <c r="S357" s="17"/>
      <c r="T357" s="17"/>
      <c r="U357" s="17"/>
      <c r="V357" s="17"/>
      <c r="W357" s="21"/>
      <c r="X357" s="16"/>
      <c r="Y357" s="706"/>
      <c r="Z357" s="773"/>
      <c r="AA357" s="21"/>
      <c r="AB357" s="21"/>
      <c r="AC357" s="21"/>
      <c r="AD357" s="21"/>
      <c r="AE357" s="21"/>
      <c r="AF357" s="21"/>
      <c r="AG357" s="741"/>
      <c r="AH357" s="21"/>
      <c r="AI357" s="263"/>
      <c r="AJ357" s="706"/>
      <c r="AK357" s="773"/>
      <c r="AL357" s="21"/>
      <c r="AM357" s="21"/>
      <c r="AN357" s="21"/>
      <c r="AO357" s="21"/>
      <c r="AP357" s="21"/>
      <c r="AQ357" s="21"/>
      <c r="AR357" s="873"/>
      <c r="AS357" s="21"/>
      <c r="AT357" s="20"/>
      <c r="AU357" s="20"/>
      <c r="AV357" s="20"/>
      <c r="AW357" s="20"/>
      <c r="AX357" s="20"/>
      <c r="AY357" s="20"/>
      <c r="AZ357" s="20"/>
      <c r="BA357" s="22"/>
      <c r="BB357" s="21"/>
    </row>
    <row r="358" spans="1:54" s="494" customFormat="1" ht="37.5" x14ac:dyDescent="0.3">
      <c r="A358" s="101"/>
      <c r="B358" s="101" t="s">
        <v>393</v>
      </c>
      <c r="C358" s="669" t="s">
        <v>394</v>
      </c>
      <c r="D358" s="668"/>
      <c r="E358" s="603"/>
      <c r="F358" s="603"/>
      <c r="G358" s="603" t="s">
        <v>395</v>
      </c>
      <c r="H358" s="359" t="s">
        <v>396</v>
      </c>
      <c r="I358" s="661"/>
      <c r="J358" s="662"/>
      <c r="K358" s="290"/>
      <c r="L358" s="290"/>
      <c r="M358" s="291"/>
      <c r="N358" s="29" t="s">
        <v>394</v>
      </c>
      <c r="O358" s="359" t="s">
        <v>47</v>
      </c>
      <c r="P358" s="754"/>
      <c r="Q358" s="30" t="s">
        <v>48</v>
      </c>
      <c r="R358" s="30" t="s">
        <v>49</v>
      </c>
      <c r="S358" s="30" t="s">
        <v>50</v>
      </c>
      <c r="T358" s="30" t="s">
        <v>51</v>
      </c>
      <c r="U358" s="30" t="s">
        <v>52</v>
      </c>
      <c r="V358" s="208" t="s">
        <v>53</v>
      </c>
      <c r="W358" s="526" t="s">
        <v>54</v>
      </c>
      <c r="X358" s="235" t="s">
        <v>55</v>
      </c>
      <c r="Y358" s="705" t="s">
        <v>47</v>
      </c>
      <c r="Z358" s="772"/>
      <c r="AA358" s="31" t="s">
        <v>48</v>
      </c>
      <c r="AB358" s="31" t="s">
        <v>49</v>
      </c>
      <c r="AC358" s="31" t="s">
        <v>50</v>
      </c>
      <c r="AD358" s="31" t="s">
        <v>51</v>
      </c>
      <c r="AE358" s="31" t="s">
        <v>52</v>
      </c>
      <c r="AF358" s="122" t="s">
        <v>58</v>
      </c>
      <c r="AG358" s="740"/>
      <c r="AH358" s="373" t="s">
        <v>54</v>
      </c>
      <c r="AI358" s="32" t="s">
        <v>55</v>
      </c>
      <c r="AJ358" s="884" t="s">
        <v>47</v>
      </c>
      <c r="AK358" s="894"/>
      <c r="AL358" s="33" t="s">
        <v>48</v>
      </c>
      <c r="AM358" s="33" t="s">
        <v>49</v>
      </c>
      <c r="AN358" s="33" t="s">
        <v>50</v>
      </c>
      <c r="AO358" s="33" t="s">
        <v>51</v>
      </c>
      <c r="AP358" s="33" t="s">
        <v>52</v>
      </c>
      <c r="AQ358" s="157" t="s">
        <v>58</v>
      </c>
      <c r="AR358" s="872"/>
      <c r="AS358" s="33" t="s">
        <v>54</v>
      </c>
      <c r="AT358" s="236" t="s">
        <v>55</v>
      </c>
      <c r="AU358" s="236" t="s">
        <v>47</v>
      </c>
      <c r="AV358" s="37" t="s">
        <v>48</v>
      </c>
      <c r="AW358" s="37" t="s">
        <v>49</v>
      </c>
      <c r="AX358" s="37" t="s">
        <v>50</v>
      </c>
      <c r="AY358" s="37" t="s">
        <v>51</v>
      </c>
      <c r="AZ358" s="37" t="s">
        <v>52</v>
      </c>
      <c r="BA358" s="164" t="s">
        <v>58</v>
      </c>
      <c r="BB358" s="354" t="s">
        <v>54</v>
      </c>
    </row>
    <row r="359" spans="1:54" s="495" customFormat="1" outlineLevel="1" x14ac:dyDescent="0.25">
      <c r="A359" s="253"/>
      <c r="B359" s="374"/>
      <c r="C359" s="242" t="s">
        <v>397</v>
      </c>
      <c r="D359" s="608"/>
      <c r="E359" s="608"/>
      <c r="F359" s="608"/>
      <c r="G359" s="243"/>
      <c r="H359" s="243"/>
      <c r="I359" s="663"/>
      <c r="J359" s="297"/>
      <c r="K359" s="293"/>
      <c r="L359" s="293"/>
      <c r="M359" s="294"/>
      <c r="N359" s="252" t="str">
        <f>IF(C359="","",C359)</f>
        <v>CSI Simplicity Annual Items:</v>
      </c>
      <c r="O359" s="243"/>
      <c r="P359" s="756"/>
      <c r="Q359" s="243"/>
      <c r="R359" s="243"/>
      <c r="S359" s="243"/>
      <c r="T359" s="243"/>
      <c r="U359" s="244"/>
      <c r="V359" s="209"/>
      <c r="W359" s="527"/>
      <c r="X359" s="242" t="str">
        <f>$C359</f>
        <v>CSI Simplicity Annual Items:</v>
      </c>
      <c r="Y359" s="608"/>
      <c r="Z359" s="608"/>
      <c r="AA359" s="608"/>
      <c r="AB359" s="243"/>
      <c r="AC359" s="243"/>
      <c r="AD359" s="243"/>
      <c r="AE359" s="243"/>
      <c r="AF359" s="123"/>
      <c r="AG359" s="743"/>
      <c r="AH359" s="370"/>
      <c r="AI359" s="242" t="str">
        <f>$C359</f>
        <v>CSI Simplicity Annual Items:</v>
      </c>
      <c r="AJ359" s="608"/>
      <c r="AK359" s="608"/>
      <c r="AL359" s="608"/>
      <c r="AM359" s="243"/>
      <c r="AN359" s="243"/>
      <c r="AO359" s="243"/>
      <c r="AP359" s="243"/>
      <c r="AQ359" s="158"/>
      <c r="AR359" s="875"/>
      <c r="AS359" s="473"/>
      <c r="AT359" s="106"/>
      <c r="AU359" s="353"/>
      <c r="AV359" s="108"/>
      <c r="AW359" s="108"/>
      <c r="AX359" s="108"/>
      <c r="AY359" s="108"/>
      <c r="AZ359" s="108"/>
      <c r="BA359" s="165"/>
      <c r="BB359" s="531"/>
    </row>
    <row r="360" spans="1:54" s="495" customFormat="1" outlineLevel="1" x14ac:dyDescent="0.25">
      <c r="A360" s="284"/>
      <c r="B360" s="651" t="s">
        <v>398</v>
      </c>
      <c r="C360" s="599" t="s">
        <v>399</v>
      </c>
      <c r="D360" s="600"/>
      <c r="E360" s="600"/>
      <c r="F360" s="600"/>
      <c r="G360" s="284">
        <v>1</v>
      </c>
      <c r="H360" s="284">
        <v>1</v>
      </c>
      <c r="I360" s="819"/>
      <c r="J360" s="820"/>
      <c r="K360" s="821"/>
      <c r="L360" s="821"/>
      <c r="M360" s="822"/>
      <c r="N360" s="660" t="str">
        <f>IF(C360="","",C360)</f>
        <v>Forms Bankway CSi Simplicity Annual Fee Start 6/1/2023 Thru 5/31/2024</v>
      </c>
      <c r="O360" s="250">
        <v>34941.72</v>
      </c>
      <c r="P360" s="760"/>
      <c r="Q360" s="55">
        <f>($O360*$G360)*$H360</f>
        <v>34941.72</v>
      </c>
      <c r="R360" s="55">
        <f t="shared" ref="R360:U362" si="379">+Q360*1.0467</f>
        <v>36573.498324</v>
      </c>
      <c r="S360" s="55">
        <f t="shared" si="379"/>
        <v>38281.480695730796</v>
      </c>
      <c r="T360" s="55">
        <f t="shared" si="379"/>
        <v>40069.225844221422</v>
      </c>
      <c r="U360" s="55">
        <f t="shared" si="379"/>
        <v>41940.458691146559</v>
      </c>
      <c r="V360" s="212">
        <f>SUM(Q360:U360)</f>
        <v>191806.38355509879</v>
      </c>
      <c r="W360" s="527"/>
      <c r="X360" s="222" t="str">
        <f>C360</f>
        <v>Forms Bankway CSi Simplicity Annual Fee Start 6/1/2023 Thru 5/31/2024</v>
      </c>
      <c r="Y360" s="1145">
        <v>34941.72</v>
      </c>
      <c r="Z360" s="774"/>
      <c r="AA360" s="103">
        <f>($Y360*$G360)*$H360</f>
        <v>34941.72</v>
      </c>
      <c r="AB360" s="103">
        <f t="shared" ref="AB360:AE362" si="380">+AA360*1.048</f>
        <v>36618.922560000006</v>
      </c>
      <c r="AC360" s="103">
        <f t="shared" si="380"/>
        <v>38376.630842880011</v>
      </c>
      <c r="AD360" s="103">
        <f t="shared" si="380"/>
        <v>40218.709123338253</v>
      </c>
      <c r="AE360" s="103">
        <f t="shared" si="380"/>
        <v>42149.207161258491</v>
      </c>
      <c r="AF360" s="123">
        <f>SUM(AA360:AE360)</f>
        <v>192305.18968747678</v>
      </c>
      <c r="AG360" s="743"/>
      <c r="AH360" s="370"/>
      <c r="AI360" s="221" t="s">
        <v>399</v>
      </c>
      <c r="AJ360" s="1102">
        <v>34941.72</v>
      </c>
      <c r="AK360" s="896"/>
      <c r="AL360" s="105">
        <f>($AJ360*$G360)*$H360</f>
        <v>34941.72</v>
      </c>
      <c r="AM360" s="105">
        <f t="shared" ref="AM360:AP362" si="381">+AL360*1.048</f>
        <v>36618.922560000006</v>
      </c>
      <c r="AN360" s="105">
        <f t="shared" si="381"/>
        <v>38376.630842880011</v>
      </c>
      <c r="AO360" s="105">
        <f t="shared" si="381"/>
        <v>40218.709123338253</v>
      </c>
      <c r="AP360" s="105">
        <f t="shared" si="381"/>
        <v>42149.207161258491</v>
      </c>
      <c r="AQ360" s="158"/>
      <c r="AR360" s="875"/>
      <c r="AS360" s="473"/>
      <c r="AT360" s="106"/>
      <c r="AU360" s="353"/>
      <c r="AV360" s="108"/>
      <c r="AW360" s="108"/>
      <c r="AX360" s="108"/>
      <c r="AY360" s="108"/>
      <c r="AZ360" s="108"/>
      <c r="BA360" s="165"/>
      <c r="BB360" s="531"/>
    </row>
    <row r="361" spans="1:54" s="495" customFormat="1" outlineLevel="1" x14ac:dyDescent="0.25">
      <c r="A361" s="284"/>
      <c r="B361" s="651" t="s">
        <v>398</v>
      </c>
      <c r="C361" s="599" t="s">
        <v>400</v>
      </c>
      <c r="D361" s="600"/>
      <c r="E361" s="600"/>
      <c r="F361" s="600"/>
      <c r="G361" s="284">
        <v>1</v>
      </c>
      <c r="H361" s="284">
        <v>1</v>
      </c>
      <c r="I361" s="819"/>
      <c r="J361" s="820"/>
      <c r="K361" s="821"/>
      <c r="L361" s="821"/>
      <c r="M361" s="822"/>
      <c r="N361" s="660" t="str">
        <f>IF(C361="","",C361)</f>
        <v>Forms CSI TFA Compliance Services Start 6/1/2023 Thru 5/31/2024</v>
      </c>
      <c r="O361" s="250">
        <v>3308</v>
      </c>
      <c r="P361" s="760"/>
      <c r="Q361" s="55">
        <f>($O361*$G361)*$H361</f>
        <v>3308</v>
      </c>
      <c r="R361" s="55">
        <f t="shared" si="379"/>
        <v>3462.4836</v>
      </c>
      <c r="S361" s="55">
        <f t="shared" si="379"/>
        <v>3624.18158412</v>
      </c>
      <c r="T361" s="55">
        <f t="shared" si="379"/>
        <v>3793.4308640984041</v>
      </c>
      <c r="U361" s="55">
        <f t="shared" si="379"/>
        <v>3970.5840854517992</v>
      </c>
      <c r="V361" s="212">
        <f>SUM(Q361:U361)</f>
        <v>18158.680133670205</v>
      </c>
      <c r="W361" s="527"/>
      <c r="X361" s="222" t="str">
        <f t="shared" ref="X361:X362" si="382">C361</f>
        <v>Forms CSI TFA Compliance Services Start 6/1/2023 Thru 5/31/2024</v>
      </c>
      <c r="Y361" s="1145">
        <v>3308</v>
      </c>
      <c r="Z361" s="774"/>
      <c r="AA361" s="103">
        <f>($Y361*$G361)*$H361</f>
        <v>3308</v>
      </c>
      <c r="AB361" s="103">
        <f t="shared" si="380"/>
        <v>3466.7840000000001</v>
      </c>
      <c r="AC361" s="103">
        <f t="shared" si="380"/>
        <v>3633.1896320000001</v>
      </c>
      <c r="AD361" s="103">
        <f t="shared" si="380"/>
        <v>3807.5827343360002</v>
      </c>
      <c r="AE361" s="103">
        <f t="shared" si="380"/>
        <v>3990.3467055841284</v>
      </c>
      <c r="AF361" s="123">
        <f>SUM(AA361:AE361)</f>
        <v>18205.903071920126</v>
      </c>
      <c r="AG361" s="743"/>
      <c r="AH361" s="370"/>
      <c r="AI361" s="221" t="s">
        <v>400</v>
      </c>
      <c r="AJ361" s="1102">
        <v>3308</v>
      </c>
      <c r="AK361" s="896"/>
      <c r="AL361" s="105">
        <f>($AJ361*$G361)*$H361</f>
        <v>3308</v>
      </c>
      <c r="AM361" s="105">
        <f t="shared" si="381"/>
        <v>3466.7840000000001</v>
      </c>
      <c r="AN361" s="105">
        <f t="shared" si="381"/>
        <v>3633.1896320000001</v>
      </c>
      <c r="AO361" s="105">
        <f t="shared" si="381"/>
        <v>3807.5827343360002</v>
      </c>
      <c r="AP361" s="105">
        <f t="shared" si="381"/>
        <v>3990.3467055841284</v>
      </c>
      <c r="AQ361" s="158"/>
      <c r="AR361" s="875"/>
      <c r="AS361" s="473"/>
      <c r="AT361" s="106"/>
      <c r="AU361" s="353"/>
      <c r="AV361" s="108"/>
      <c r="AW361" s="108"/>
      <c r="AX361" s="108"/>
      <c r="AY361" s="108"/>
      <c r="AZ361" s="108"/>
      <c r="BA361" s="165"/>
      <c r="BB361" s="531"/>
    </row>
    <row r="362" spans="1:54" s="495" customFormat="1" outlineLevel="1" x14ac:dyDescent="0.25">
      <c r="A362" s="284"/>
      <c r="B362" s="651" t="s">
        <v>398</v>
      </c>
      <c r="C362" s="599" t="s">
        <v>401</v>
      </c>
      <c r="D362" s="600"/>
      <c r="E362" s="600"/>
      <c r="F362" s="600"/>
      <c r="G362" s="284">
        <v>1</v>
      </c>
      <c r="H362" s="284">
        <v>1</v>
      </c>
      <c r="I362" s="819"/>
      <c r="J362" s="820"/>
      <c r="K362" s="821"/>
      <c r="L362" s="821"/>
      <c r="M362" s="822"/>
      <c r="N362" s="660" t="str">
        <f>IF(C362="","",C362)</f>
        <v>Forms CSI Simplicity Hosting Fee Start 6/1/2023 Thru 5/31/2024</v>
      </c>
      <c r="O362" s="250">
        <v>500</v>
      </c>
      <c r="P362" s="760"/>
      <c r="Q362" s="55">
        <f>($O362*$G362)*$H362</f>
        <v>500</v>
      </c>
      <c r="R362" s="55">
        <f t="shared" si="379"/>
        <v>523.35</v>
      </c>
      <c r="S362" s="55">
        <f t="shared" si="379"/>
        <v>547.79044499999998</v>
      </c>
      <c r="T362" s="55">
        <f t="shared" si="379"/>
        <v>573.37225878149991</v>
      </c>
      <c r="U362" s="55">
        <f t="shared" si="379"/>
        <v>600.14874326659594</v>
      </c>
      <c r="V362" s="212">
        <f>SUM(Q362:U362)</f>
        <v>2744.6614470480959</v>
      </c>
      <c r="W362" s="527"/>
      <c r="X362" s="222" t="str">
        <f t="shared" si="382"/>
        <v>Forms CSI Simplicity Hosting Fee Start 6/1/2023 Thru 5/31/2024</v>
      </c>
      <c r="Y362" s="1145">
        <v>500</v>
      </c>
      <c r="Z362" s="774"/>
      <c r="AA362" s="103">
        <f>($Y362*$G362)*$H362</f>
        <v>500</v>
      </c>
      <c r="AB362" s="103">
        <f t="shared" si="380"/>
        <v>524</v>
      </c>
      <c r="AC362" s="103">
        <f t="shared" si="380"/>
        <v>549.15200000000004</v>
      </c>
      <c r="AD362" s="103">
        <f t="shared" si="380"/>
        <v>575.51129600000002</v>
      </c>
      <c r="AE362" s="103">
        <f t="shared" si="380"/>
        <v>603.135838208</v>
      </c>
      <c r="AF362" s="123">
        <f>SUM(AA362:AE362)</f>
        <v>2751.7991342080004</v>
      </c>
      <c r="AG362" s="743"/>
      <c r="AH362" s="370"/>
      <c r="AI362" s="221" t="s">
        <v>401</v>
      </c>
      <c r="AJ362" s="1102">
        <v>500</v>
      </c>
      <c r="AK362" s="896"/>
      <c r="AL362" s="105">
        <f>($AJ362*$G362)*$H362</f>
        <v>500</v>
      </c>
      <c r="AM362" s="105">
        <f t="shared" si="381"/>
        <v>524</v>
      </c>
      <c r="AN362" s="105">
        <f t="shared" si="381"/>
        <v>549.15200000000004</v>
      </c>
      <c r="AO362" s="105">
        <f t="shared" si="381"/>
        <v>575.51129600000002</v>
      </c>
      <c r="AP362" s="105">
        <f t="shared" si="381"/>
        <v>603.135838208</v>
      </c>
      <c r="AQ362" s="158"/>
      <c r="AR362" s="875"/>
      <c r="AS362" s="473"/>
      <c r="AT362" s="106"/>
      <c r="AU362" s="353"/>
      <c r="AV362" s="108"/>
      <c r="AW362" s="108"/>
      <c r="AX362" s="108"/>
      <c r="AY362" s="108"/>
      <c r="AZ362" s="108"/>
      <c r="BA362" s="165"/>
      <c r="BB362" s="531"/>
    </row>
    <row r="363" spans="1:54" s="495" customFormat="1" outlineLevel="1" x14ac:dyDescent="0.25">
      <c r="A363" s="284"/>
      <c r="B363" s="651" t="s">
        <v>398</v>
      </c>
      <c r="C363" s="599" t="s">
        <v>402</v>
      </c>
      <c r="D363" s="600"/>
      <c r="E363" s="600"/>
      <c r="F363" s="600"/>
      <c r="G363" s="284">
        <v>1</v>
      </c>
      <c r="H363" s="284">
        <v>1</v>
      </c>
      <c r="I363" s="819"/>
      <c r="J363" s="820"/>
      <c r="K363" s="821"/>
      <c r="L363" s="821"/>
      <c r="M363" s="822"/>
      <c r="N363" s="660" t="str">
        <f>IF(C363="","",C363)</f>
        <v>Forms CSI Annual IRA Stuff Subscription Fee</v>
      </c>
      <c r="O363" s="250">
        <v>920</v>
      </c>
      <c r="P363" s="760"/>
      <c r="Q363" s="55">
        <f>($O363*$G363)*$H363</f>
        <v>920</v>
      </c>
      <c r="R363" s="55">
        <f t="shared" ref="R363" si="383">+Q363*1.0467</f>
        <v>962.96399999999994</v>
      </c>
      <c r="S363" s="55">
        <f t="shared" ref="S363" si="384">+R363*1.0467</f>
        <v>1007.9344187999999</v>
      </c>
      <c r="T363" s="55">
        <f t="shared" ref="T363" si="385">+S363*1.0467</f>
        <v>1055.0049561579599</v>
      </c>
      <c r="U363" s="55">
        <f t="shared" ref="U363" si="386">+T363*1.0467</f>
        <v>1104.2736876105366</v>
      </c>
      <c r="V363" s="212">
        <f>SUM(Q363:U363)</f>
        <v>5050.1770625684967</v>
      </c>
      <c r="W363" s="527"/>
      <c r="X363" s="222" t="str">
        <f t="shared" ref="X363" si="387">C363</f>
        <v>Forms CSI Annual IRA Stuff Subscription Fee</v>
      </c>
      <c r="Y363" s="1145">
        <v>920</v>
      </c>
      <c r="Z363" s="774"/>
      <c r="AA363" s="103">
        <f>($Y363*$G363)*$H363</f>
        <v>920</v>
      </c>
      <c r="AB363" s="103">
        <f t="shared" ref="AB363" si="388">+AA363*1.048</f>
        <v>964.16000000000008</v>
      </c>
      <c r="AC363" s="103">
        <f t="shared" ref="AC363" si="389">+AB363*1.048</f>
        <v>1010.4396800000002</v>
      </c>
      <c r="AD363" s="103">
        <f t="shared" ref="AD363" si="390">+AC363*1.048</f>
        <v>1058.9407846400002</v>
      </c>
      <c r="AE363" s="103">
        <f t="shared" ref="AE363" si="391">+AD363*1.048</f>
        <v>1109.7699423027202</v>
      </c>
      <c r="AF363" s="123">
        <f>SUM(AA363:AE363)</f>
        <v>5063.3104069427209</v>
      </c>
      <c r="AG363" s="743"/>
      <c r="AH363" s="370"/>
      <c r="AI363" s="221" t="s">
        <v>401</v>
      </c>
      <c r="AJ363" s="1102">
        <v>920</v>
      </c>
      <c r="AK363" s="896"/>
      <c r="AL363" s="105">
        <f>($AJ363*$G363)*$H363</f>
        <v>920</v>
      </c>
      <c r="AM363" s="105">
        <f t="shared" ref="AM363" si="392">+AL363*1.048</f>
        <v>964.16000000000008</v>
      </c>
      <c r="AN363" s="105">
        <f t="shared" ref="AN363" si="393">+AM363*1.048</f>
        <v>1010.4396800000002</v>
      </c>
      <c r="AO363" s="105">
        <f t="shared" ref="AO363" si="394">+AN363*1.048</f>
        <v>1058.9407846400002</v>
      </c>
      <c r="AP363" s="105">
        <f t="shared" ref="AP363" si="395">+AO363*1.048</f>
        <v>1109.7699423027202</v>
      </c>
      <c r="AQ363" s="158"/>
      <c r="AR363" s="875"/>
      <c r="AS363" s="473"/>
      <c r="AT363" s="106"/>
      <c r="AU363" s="353"/>
      <c r="AV363" s="108"/>
      <c r="AW363" s="108"/>
      <c r="AX363" s="108"/>
      <c r="AY363" s="108"/>
      <c r="AZ363" s="108"/>
      <c r="BA363" s="165"/>
      <c r="BB363" s="531"/>
    </row>
    <row r="364" spans="1:54" s="495" customFormat="1" outlineLevel="1" x14ac:dyDescent="0.25">
      <c r="A364" s="284"/>
      <c r="B364" s="283"/>
      <c r="C364" s="599"/>
      <c r="D364" s="600"/>
      <c r="E364" s="600"/>
      <c r="F364" s="600"/>
      <c r="G364" s="284"/>
      <c r="H364" s="284"/>
      <c r="I364" s="663"/>
      <c r="J364" s="297"/>
      <c r="K364" s="293"/>
      <c r="L364" s="293"/>
      <c r="M364" s="294"/>
      <c r="N364" s="53"/>
      <c r="O364" s="250"/>
      <c r="P364" s="760"/>
      <c r="Q364" s="55"/>
      <c r="R364" s="55"/>
      <c r="S364" s="55"/>
      <c r="T364" s="55"/>
      <c r="U364" s="55"/>
      <c r="V364" s="212"/>
      <c r="W364" s="527"/>
      <c r="X364" s="102"/>
      <c r="Y364" s="325"/>
      <c r="Z364" s="774"/>
      <c r="AA364" s="103"/>
      <c r="AB364" s="103"/>
      <c r="AC364" s="103"/>
      <c r="AD364" s="103"/>
      <c r="AE364" s="103"/>
      <c r="AF364" s="123"/>
      <c r="AG364" s="743"/>
      <c r="AH364" s="370"/>
      <c r="AI364" s="221"/>
      <c r="AJ364" s="886"/>
      <c r="AK364" s="896"/>
      <c r="AL364" s="105"/>
      <c r="AM364" s="105"/>
      <c r="AN364" s="105"/>
      <c r="AO364" s="105"/>
      <c r="AP364" s="105"/>
      <c r="AQ364" s="158"/>
      <c r="AR364" s="875"/>
      <c r="AS364" s="473"/>
      <c r="AT364" s="106"/>
      <c r="AU364" s="353"/>
      <c r="AV364" s="108"/>
      <c r="AW364" s="108"/>
      <c r="AX364" s="108"/>
      <c r="AY364" s="108"/>
      <c r="AZ364" s="108"/>
      <c r="BA364" s="165"/>
      <c r="BB364" s="531"/>
    </row>
    <row r="365" spans="1:54" s="495" customFormat="1" outlineLevel="1" x14ac:dyDescent="0.25">
      <c r="A365" s="936"/>
      <c r="B365" s="946" t="s">
        <v>403</v>
      </c>
      <c r="C365" s="242" t="s">
        <v>404</v>
      </c>
      <c r="D365" s="608"/>
      <c r="E365" s="608" t="s">
        <v>405</v>
      </c>
      <c r="F365" s="608" t="s">
        <v>406</v>
      </c>
      <c r="G365" s="608" t="s">
        <v>407</v>
      </c>
      <c r="H365" s="243"/>
      <c r="I365" s="663"/>
      <c r="J365" s="297"/>
      <c r="K365" s="293"/>
      <c r="L365" s="293"/>
      <c r="M365" s="294"/>
      <c r="N365" s="252" t="str">
        <f t="shared" ref="N365:N374" si="396">IF(C365="","",C365)</f>
        <v>IN-HOUSE SOFTWARE FEES</v>
      </c>
      <c r="O365" s="243"/>
      <c r="P365" s="756"/>
      <c r="Q365" s="243"/>
      <c r="R365" s="243"/>
      <c r="S365" s="243"/>
      <c r="T365" s="243"/>
      <c r="U365" s="244"/>
      <c r="V365" s="209"/>
      <c r="W365" s="527"/>
      <c r="X365" s="102"/>
      <c r="Y365" s="325"/>
      <c r="Z365" s="774"/>
      <c r="AA365" s="103"/>
      <c r="AB365" s="103"/>
      <c r="AC365" s="103"/>
      <c r="AD365" s="103"/>
      <c r="AE365" s="103"/>
      <c r="AF365" s="123"/>
      <c r="AG365" s="743"/>
      <c r="AH365" s="370"/>
      <c r="AI365" s="221"/>
      <c r="AJ365" s="886"/>
      <c r="AK365" s="896"/>
      <c r="AL365" s="105"/>
      <c r="AM365" s="105"/>
      <c r="AN365" s="105"/>
      <c r="AO365" s="105"/>
      <c r="AP365" s="105"/>
      <c r="AQ365" s="158"/>
      <c r="AR365" s="875"/>
      <c r="AS365" s="473"/>
      <c r="AT365" s="106"/>
      <c r="AU365" s="353"/>
      <c r="AV365" s="108"/>
      <c r="AW365" s="108"/>
      <c r="AX365" s="108"/>
      <c r="AY365" s="108"/>
      <c r="AZ365" s="108"/>
      <c r="BA365" s="165"/>
      <c r="BB365" s="531"/>
    </row>
    <row r="366" spans="1:54" s="495" customFormat="1" outlineLevel="1" x14ac:dyDescent="0.25">
      <c r="A366" s="935"/>
      <c r="B366" s="283" t="s">
        <v>408</v>
      </c>
      <c r="C366" s="599" t="s">
        <v>409</v>
      </c>
      <c r="D366" s="600"/>
      <c r="E366" s="600">
        <v>9043678</v>
      </c>
      <c r="F366" s="937">
        <v>45015</v>
      </c>
      <c r="G366" s="600">
        <v>1</v>
      </c>
      <c r="H366" s="284">
        <v>1</v>
      </c>
      <c r="I366" s="663"/>
      <c r="J366" s="297"/>
      <c r="K366" s="293"/>
      <c r="L366" s="293"/>
      <c r="M366" s="294"/>
      <c r="N366" s="53" t="str">
        <f t="shared" si="396"/>
        <v>COBAL SUPPORT</v>
      </c>
      <c r="O366" s="250">
        <v>7879.48</v>
      </c>
      <c r="P366" s="760"/>
      <c r="Q366" s="55">
        <f t="shared" ref="Q366:Q368" si="397">($O366*$G366)*$H366</f>
        <v>7879.48</v>
      </c>
      <c r="R366" s="55">
        <f t="shared" ref="R366:U374" si="398">+Q366*1.0467</f>
        <v>8247.4517159999996</v>
      </c>
      <c r="S366" s="55">
        <f t="shared" si="398"/>
        <v>8632.6077111371997</v>
      </c>
      <c r="T366" s="55">
        <f t="shared" si="398"/>
        <v>9035.7504912473069</v>
      </c>
      <c r="U366" s="55">
        <f t="shared" si="398"/>
        <v>9457.7200391885563</v>
      </c>
      <c r="V366" s="212">
        <f t="shared" ref="V366:V376" si="399">SUM(Q366:U366)</f>
        <v>43253.009957573064</v>
      </c>
      <c r="W366" s="527"/>
      <c r="X366" s="102"/>
      <c r="Y366" s="325"/>
      <c r="Z366" s="774"/>
      <c r="AA366" s="103"/>
      <c r="AB366" s="103"/>
      <c r="AC366" s="103"/>
      <c r="AD366" s="103"/>
      <c r="AE366" s="103"/>
      <c r="AF366" s="123"/>
      <c r="AG366" s="743"/>
      <c r="AH366" s="370"/>
      <c r="AI366" s="221"/>
      <c r="AJ366" s="886"/>
      <c r="AK366" s="896"/>
      <c r="AL366" s="105"/>
      <c r="AM366" s="105"/>
      <c r="AN366" s="105"/>
      <c r="AO366" s="105"/>
      <c r="AP366" s="105"/>
      <c r="AQ366" s="158"/>
      <c r="AR366" s="875"/>
      <c r="AS366" s="473"/>
      <c r="AT366" s="106"/>
      <c r="AU366" s="353"/>
      <c r="AV366" s="108"/>
      <c r="AW366" s="108"/>
      <c r="AX366" s="108"/>
      <c r="AY366" s="108"/>
      <c r="AZ366" s="108"/>
      <c r="BA366" s="165"/>
      <c r="BB366" s="531"/>
    </row>
    <row r="367" spans="1:54" s="495" customFormat="1" outlineLevel="1" x14ac:dyDescent="0.25">
      <c r="A367" s="935"/>
      <c r="B367" s="283" t="s">
        <v>408</v>
      </c>
      <c r="C367" s="599" t="s">
        <v>410</v>
      </c>
      <c r="D367" s="600"/>
      <c r="E367" s="600">
        <v>90462457</v>
      </c>
      <c r="F367" s="937">
        <v>45134</v>
      </c>
      <c r="G367" s="600">
        <v>1</v>
      </c>
      <c r="H367" s="284">
        <v>1</v>
      </c>
      <c r="I367" s="663"/>
      <c r="J367" s="297"/>
      <c r="K367" s="293"/>
      <c r="L367" s="293"/>
      <c r="M367" s="294"/>
      <c r="N367" s="53" t="str">
        <f t="shared" si="396"/>
        <v>COBAL PLATINUM SUPPORT</v>
      </c>
      <c r="O367" s="250">
        <v>2407.5</v>
      </c>
      <c r="P367" s="760"/>
      <c r="Q367" s="55">
        <f t="shared" si="397"/>
        <v>2407.5</v>
      </c>
      <c r="R367" s="55">
        <f t="shared" si="398"/>
        <v>2519.9302499999999</v>
      </c>
      <c r="S367" s="55">
        <f t="shared" si="398"/>
        <v>2637.6109926749996</v>
      </c>
      <c r="T367" s="55">
        <f t="shared" si="398"/>
        <v>2760.7874260329218</v>
      </c>
      <c r="U367" s="55">
        <f t="shared" si="398"/>
        <v>2889.7161988286589</v>
      </c>
      <c r="V367" s="212">
        <f t="shared" si="399"/>
        <v>13215.544867536579</v>
      </c>
      <c r="W367" s="527"/>
      <c r="X367" s="102"/>
      <c r="Y367" s="325"/>
      <c r="Z367" s="774"/>
      <c r="AA367" s="103"/>
      <c r="AB367" s="103"/>
      <c r="AC367" s="103"/>
      <c r="AD367" s="103"/>
      <c r="AE367" s="103"/>
      <c r="AF367" s="123"/>
      <c r="AG367" s="743"/>
      <c r="AH367" s="370"/>
      <c r="AI367" s="221"/>
      <c r="AJ367" s="886"/>
      <c r="AK367" s="896"/>
      <c r="AL367" s="105"/>
      <c r="AM367" s="105"/>
      <c r="AN367" s="105"/>
      <c r="AO367" s="105"/>
      <c r="AP367" s="105"/>
      <c r="AQ367" s="158"/>
      <c r="AR367" s="875"/>
      <c r="AS367" s="473"/>
      <c r="AT367" s="106"/>
      <c r="AU367" s="353"/>
      <c r="AV367" s="108"/>
      <c r="AW367" s="108"/>
      <c r="AX367" s="108"/>
      <c r="AY367" s="108"/>
      <c r="AZ367" s="108"/>
      <c r="BA367" s="165"/>
      <c r="BB367" s="531"/>
    </row>
    <row r="368" spans="1:54" s="495" customFormat="1" outlineLevel="1" x14ac:dyDescent="0.25">
      <c r="A368" s="935"/>
      <c r="B368" s="283" t="s">
        <v>408</v>
      </c>
      <c r="C368" s="599" t="s">
        <v>411</v>
      </c>
      <c r="D368" s="600"/>
      <c r="E368" s="600">
        <v>90462457</v>
      </c>
      <c r="F368" s="937">
        <v>45134</v>
      </c>
      <c r="G368" s="600">
        <v>1</v>
      </c>
      <c r="H368" s="284">
        <v>1</v>
      </c>
      <c r="I368" s="663"/>
      <c r="J368" s="297"/>
      <c r="K368" s="293"/>
      <c r="L368" s="293"/>
      <c r="M368" s="294"/>
      <c r="N368" s="53" t="str">
        <f t="shared" si="396"/>
        <v>COBAL SUPPORT PLATINUM UPGRADE</v>
      </c>
      <c r="O368" s="250">
        <v>577.79999999999995</v>
      </c>
      <c r="P368" s="760"/>
      <c r="Q368" s="55">
        <f t="shared" si="397"/>
        <v>577.79999999999995</v>
      </c>
      <c r="R368" s="55">
        <f t="shared" si="398"/>
        <v>604.78325999999993</v>
      </c>
      <c r="S368" s="55">
        <f t="shared" si="398"/>
        <v>633.02663824199988</v>
      </c>
      <c r="T368" s="55">
        <f t="shared" si="398"/>
        <v>662.5889822479013</v>
      </c>
      <c r="U368" s="55">
        <f t="shared" si="398"/>
        <v>693.53188771887824</v>
      </c>
      <c r="V368" s="212">
        <f t="shared" si="399"/>
        <v>3171.7307682087794</v>
      </c>
      <c r="W368" s="527"/>
      <c r="X368" s="102"/>
      <c r="Y368" s="325"/>
      <c r="Z368" s="774"/>
      <c r="AA368" s="103"/>
      <c r="AB368" s="103"/>
      <c r="AC368" s="103"/>
      <c r="AD368" s="103"/>
      <c r="AE368" s="103"/>
      <c r="AF368" s="123"/>
      <c r="AG368" s="743"/>
      <c r="AH368" s="370"/>
      <c r="AI368" s="221"/>
      <c r="AJ368" s="886"/>
      <c r="AK368" s="896"/>
      <c r="AL368" s="105"/>
      <c r="AM368" s="105"/>
      <c r="AN368" s="105"/>
      <c r="AO368" s="105"/>
      <c r="AP368" s="105"/>
      <c r="AQ368" s="158"/>
      <c r="AR368" s="875"/>
      <c r="AS368" s="473"/>
      <c r="AT368" s="106"/>
      <c r="AU368" s="353"/>
      <c r="AV368" s="108"/>
      <c r="AW368" s="108"/>
      <c r="AX368" s="108"/>
      <c r="AY368" s="108"/>
      <c r="AZ368" s="108"/>
      <c r="BA368" s="165"/>
      <c r="BB368" s="531"/>
    </row>
    <row r="369" spans="1:54" s="495" customFormat="1" outlineLevel="1" x14ac:dyDescent="0.25">
      <c r="A369" s="935"/>
      <c r="B369" s="283" t="s">
        <v>408</v>
      </c>
      <c r="C369" s="599" t="s">
        <v>412</v>
      </c>
      <c r="D369" s="600"/>
      <c r="E369" s="600">
        <v>90459588</v>
      </c>
      <c r="F369" s="937">
        <v>45120</v>
      </c>
      <c r="G369" s="600">
        <v>1</v>
      </c>
      <c r="H369" s="284">
        <v>1</v>
      </c>
      <c r="I369" s="663"/>
      <c r="J369" s="297"/>
      <c r="K369" s="293"/>
      <c r="L369" s="293"/>
      <c r="M369" s="294"/>
      <c r="N369" s="53" t="str">
        <f t="shared" si="396"/>
        <v>CORNERSTONE DR HOST</v>
      </c>
      <c r="O369" s="250">
        <v>10765.46</v>
      </c>
      <c r="P369" s="760"/>
      <c r="Q369" s="55">
        <f t="shared" ref="Q369:Q374" si="400">($O369*$G369)*$H369</f>
        <v>10765.46</v>
      </c>
      <c r="R369" s="55">
        <f t="shared" si="398"/>
        <v>11268.206981999998</v>
      </c>
      <c r="S369" s="55">
        <f t="shared" si="398"/>
        <v>11794.432248059398</v>
      </c>
      <c r="T369" s="55">
        <f t="shared" si="398"/>
        <v>12345.232234043771</v>
      </c>
      <c r="U369" s="55">
        <f t="shared" si="398"/>
        <v>12921.754579373615</v>
      </c>
      <c r="V369" s="212">
        <f t="shared" si="399"/>
        <v>59095.086043476775</v>
      </c>
      <c r="W369" s="527"/>
      <c r="X369" s="102"/>
      <c r="Y369" s="325"/>
      <c r="Z369" s="774"/>
      <c r="AA369" s="103"/>
      <c r="AB369" s="103"/>
      <c r="AC369" s="103"/>
      <c r="AD369" s="103"/>
      <c r="AE369" s="103"/>
      <c r="AF369" s="123"/>
      <c r="AG369" s="743"/>
      <c r="AH369" s="370"/>
      <c r="AI369" s="221"/>
      <c r="AJ369" s="886"/>
      <c r="AK369" s="896"/>
      <c r="AL369" s="105"/>
      <c r="AM369" s="105"/>
      <c r="AN369" s="105"/>
      <c r="AO369" s="105"/>
      <c r="AP369" s="105"/>
      <c r="AQ369" s="158"/>
      <c r="AR369" s="875"/>
      <c r="AS369" s="473"/>
      <c r="AT369" s="106"/>
      <c r="AU369" s="353"/>
      <c r="AV369" s="108"/>
      <c r="AW369" s="108"/>
      <c r="AX369" s="108"/>
      <c r="AY369" s="108"/>
      <c r="AZ369" s="108"/>
      <c r="BA369" s="165"/>
      <c r="BB369" s="531"/>
    </row>
    <row r="370" spans="1:54" s="495" customFormat="1" outlineLevel="1" x14ac:dyDescent="0.25">
      <c r="A370" s="935"/>
      <c r="B370" s="283" t="s">
        <v>408</v>
      </c>
      <c r="C370" s="599" t="s">
        <v>413</v>
      </c>
      <c r="D370" s="600"/>
      <c r="E370" s="600">
        <v>90465117</v>
      </c>
      <c r="F370" s="937">
        <v>45169</v>
      </c>
      <c r="G370" s="600">
        <v>1</v>
      </c>
      <c r="H370" s="284">
        <v>1</v>
      </c>
      <c r="I370" s="663"/>
      <c r="J370" s="297"/>
      <c r="K370" s="293"/>
      <c r="L370" s="293"/>
      <c r="M370" s="294"/>
      <c r="N370" s="53" t="str">
        <f t="shared" si="396"/>
        <v>CORNERSTONE MAINTENANCE</v>
      </c>
      <c r="O370" s="250">
        <v>9500</v>
      </c>
      <c r="P370" s="760"/>
      <c r="Q370" s="55">
        <f>($O370*$G370)*$H370</f>
        <v>9500</v>
      </c>
      <c r="R370" s="55">
        <f t="shared" si="398"/>
        <v>9943.65</v>
      </c>
      <c r="S370" s="55">
        <f t="shared" si="398"/>
        <v>10408.018454999999</v>
      </c>
      <c r="T370" s="55">
        <f t="shared" si="398"/>
        <v>10894.0729168485</v>
      </c>
      <c r="U370" s="55">
        <f t="shared" si="398"/>
        <v>11402.826122065324</v>
      </c>
      <c r="V370" s="212">
        <f t="shared" si="399"/>
        <v>52148.567493913819</v>
      </c>
      <c r="W370" s="527"/>
      <c r="X370" s="102"/>
      <c r="Y370" s="325"/>
      <c r="Z370" s="774"/>
      <c r="AA370" s="103"/>
      <c r="AB370" s="103"/>
      <c r="AC370" s="103"/>
      <c r="AD370" s="103"/>
      <c r="AE370" s="103"/>
      <c r="AF370" s="123"/>
      <c r="AG370" s="743"/>
      <c r="AH370" s="370"/>
      <c r="AI370" s="221"/>
      <c r="AJ370" s="886"/>
      <c r="AK370" s="896"/>
      <c r="AL370" s="105"/>
      <c r="AM370" s="105"/>
      <c r="AN370" s="105"/>
      <c r="AO370" s="105"/>
      <c r="AP370" s="105"/>
      <c r="AQ370" s="158"/>
      <c r="AR370" s="875"/>
      <c r="AS370" s="473"/>
      <c r="AT370" s="106"/>
      <c r="AU370" s="353"/>
      <c r="AV370" s="108"/>
      <c r="AW370" s="108"/>
      <c r="AX370" s="108"/>
      <c r="AY370" s="108"/>
      <c r="AZ370" s="108"/>
      <c r="BA370" s="165"/>
      <c r="BB370" s="531"/>
    </row>
    <row r="371" spans="1:54" s="495" customFormat="1" outlineLevel="1" x14ac:dyDescent="0.25">
      <c r="A371" s="935"/>
      <c r="B371" s="283" t="s">
        <v>408</v>
      </c>
      <c r="C371" s="599" t="s">
        <v>414</v>
      </c>
      <c r="D371" s="600"/>
      <c r="E371" s="600">
        <v>90442309</v>
      </c>
      <c r="F371" s="937">
        <v>45043</v>
      </c>
      <c r="G371" s="600">
        <v>1</v>
      </c>
      <c r="H371" s="284">
        <v>1</v>
      </c>
      <c r="I371" s="663"/>
      <c r="J371" s="297"/>
      <c r="K371" s="293"/>
      <c r="L371" s="293"/>
      <c r="M371" s="294"/>
      <c r="N371" s="53" t="str">
        <f t="shared" si="396"/>
        <v>IBM WEBSPHERE MQ PROCESSOR SUBSCRIPTION</v>
      </c>
      <c r="O371" s="250">
        <v>9274.76</v>
      </c>
      <c r="P371" s="760"/>
      <c r="Q371" s="55">
        <f t="shared" si="400"/>
        <v>9274.76</v>
      </c>
      <c r="R371" s="55">
        <f t="shared" si="398"/>
        <v>9707.8912920000002</v>
      </c>
      <c r="S371" s="55">
        <f t="shared" si="398"/>
        <v>10161.249815336399</v>
      </c>
      <c r="T371" s="55">
        <f t="shared" si="398"/>
        <v>10635.780181712609</v>
      </c>
      <c r="U371" s="55">
        <f t="shared" si="398"/>
        <v>11132.471116198587</v>
      </c>
      <c r="V371" s="212">
        <f t="shared" si="399"/>
        <v>50912.152405247602</v>
      </c>
      <c r="W371" s="527"/>
      <c r="X371" s="102"/>
      <c r="Y371" s="325"/>
      <c r="Z371" s="774"/>
      <c r="AA371" s="103"/>
      <c r="AB371" s="103"/>
      <c r="AC371" s="103"/>
      <c r="AD371" s="103"/>
      <c r="AE371" s="103"/>
      <c r="AF371" s="123"/>
      <c r="AG371" s="743"/>
      <c r="AH371" s="370"/>
      <c r="AI371" s="221"/>
      <c r="AJ371" s="886"/>
      <c r="AK371" s="896"/>
      <c r="AL371" s="105"/>
      <c r="AM371" s="105"/>
      <c r="AN371" s="105"/>
      <c r="AO371" s="105"/>
      <c r="AP371" s="105"/>
      <c r="AQ371" s="158"/>
      <c r="AR371" s="875"/>
      <c r="AS371" s="473"/>
      <c r="AT371" s="106"/>
      <c r="AU371" s="353"/>
      <c r="AV371" s="108"/>
      <c r="AW371" s="108"/>
      <c r="AX371" s="108"/>
      <c r="AY371" s="108"/>
      <c r="AZ371" s="108"/>
      <c r="BA371" s="165"/>
      <c r="BB371" s="531"/>
    </row>
    <row r="372" spans="1:54" s="495" customFormat="1" outlineLevel="1" x14ac:dyDescent="0.25">
      <c r="A372" s="935"/>
      <c r="B372" s="283" t="s">
        <v>408</v>
      </c>
      <c r="C372" s="599" t="s">
        <v>415</v>
      </c>
      <c r="D372" s="600"/>
      <c r="E372" s="600">
        <v>90469354</v>
      </c>
      <c r="F372" s="937">
        <v>45197</v>
      </c>
      <c r="G372" s="600">
        <v>1</v>
      </c>
      <c r="H372" s="284">
        <v>1</v>
      </c>
      <c r="I372" s="663"/>
      <c r="J372" s="297"/>
      <c r="K372" s="293"/>
      <c r="L372" s="293"/>
      <c r="M372" s="294"/>
      <c r="N372" s="53" t="str">
        <f t="shared" si="396"/>
        <v>MTP SUPPORT FEES</v>
      </c>
      <c r="O372" s="250">
        <v>2675</v>
      </c>
      <c r="P372" s="760"/>
      <c r="Q372" s="55">
        <f t="shared" si="400"/>
        <v>2675</v>
      </c>
      <c r="R372" s="55">
        <f t="shared" si="398"/>
        <v>2799.9225000000001</v>
      </c>
      <c r="S372" s="55">
        <f t="shared" si="398"/>
        <v>2930.6788807500002</v>
      </c>
      <c r="T372" s="55">
        <f t="shared" si="398"/>
        <v>3067.541584481025</v>
      </c>
      <c r="U372" s="55">
        <f t="shared" si="398"/>
        <v>3210.7957764762887</v>
      </c>
      <c r="V372" s="212">
        <f t="shared" si="399"/>
        <v>14683.938741707314</v>
      </c>
      <c r="W372" s="527"/>
      <c r="X372" s="102"/>
      <c r="Y372" s="325"/>
      <c r="Z372" s="774"/>
      <c r="AA372" s="103"/>
      <c r="AB372" s="103"/>
      <c r="AC372" s="103"/>
      <c r="AD372" s="103"/>
      <c r="AE372" s="103"/>
      <c r="AF372" s="123"/>
      <c r="AG372" s="743"/>
      <c r="AH372" s="370"/>
      <c r="AI372" s="221"/>
      <c r="AJ372" s="886"/>
      <c r="AK372" s="896"/>
      <c r="AL372" s="105"/>
      <c r="AM372" s="105"/>
      <c r="AN372" s="105"/>
      <c r="AO372" s="105"/>
      <c r="AP372" s="105"/>
      <c r="AQ372" s="158"/>
      <c r="AR372" s="875"/>
      <c r="AS372" s="473"/>
      <c r="AT372" s="106"/>
      <c r="AU372" s="353"/>
      <c r="AV372" s="108"/>
      <c r="AW372" s="108"/>
      <c r="AX372" s="108"/>
      <c r="AY372" s="108"/>
      <c r="AZ372" s="108"/>
      <c r="BA372" s="165"/>
      <c r="BB372" s="531"/>
    </row>
    <row r="373" spans="1:54" s="495" customFormat="1" outlineLevel="1" x14ac:dyDescent="0.25">
      <c r="A373" s="935"/>
      <c r="B373" s="283" t="s">
        <v>408</v>
      </c>
      <c r="C373" s="599" t="s">
        <v>416</v>
      </c>
      <c r="D373" s="600"/>
      <c r="E373" s="600">
        <v>9043678</v>
      </c>
      <c r="F373" s="937">
        <v>45015</v>
      </c>
      <c r="G373" s="600">
        <v>1</v>
      </c>
      <c r="H373" s="284">
        <v>1</v>
      </c>
      <c r="I373" s="663"/>
      <c r="J373" s="297"/>
      <c r="K373" s="293"/>
      <c r="L373" s="293"/>
      <c r="M373" s="294"/>
      <c r="N373" s="53" t="str">
        <f t="shared" si="396"/>
        <v>OMPLUS12 TECH SUPPORT</v>
      </c>
      <c r="O373" s="250">
        <v>1319.31</v>
      </c>
      <c r="P373" s="760"/>
      <c r="Q373" s="55">
        <f t="shared" si="400"/>
        <v>1319.31</v>
      </c>
      <c r="R373" s="55">
        <f t="shared" si="398"/>
        <v>1380.9217769999998</v>
      </c>
      <c r="S373" s="55">
        <f t="shared" si="398"/>
        <v>1445.4108239858997</v>
      </c>
      <c r="T373" s="55">
        <f t="shared" si="398"/>
        <v>1512.9115094660413</v>
      </c>
      <c r="U373" s="55">
        <f t="shared" si="398"/>
        <v>1583.5644769581054</v>
      </c>
      <c r="V373" s="212">
        <f t="shared" si="399"/>
        <v>7242.1185874100465</v>
      </c>
      <c r="W373" s="527"/>
      <c r="X373" s="102"/>
      <c r="Y373" s="325"/>
      <c r="Z373" s="774"/>
      <c r="AA373" s="103"/>
      <c r="AB373" s="103"/>
      <c r="AC373" s="103"/>
      <c r="AD373" s="103"/>
      <c r="AE373" s="103"/>
      <c r="AF373" s="123"/>
      <c r="AG373" s="743"/>
      <c r="AH373" s="370"/>
      <c r="AI373" s="221"/>
      <c r="AJ373" s="886"/>
      <c r="AK373" s="896"/>
      <c r="AL373" s="105"/>
      <c r="AM373" s="105"/>
      <c r="AN373" s="105"/>
      <c r="AO373" s="105"/>
      <c r="AP373" s="105"/>
      <c r="AQ373" s="158"/>
      <c r="AR373" s="875"/>
      <c r="AS373" s="473"/>
      <c r="AT373" s="106"/>
      <c r="AU373" s="353"/>
      <c r="AV373" s="108"/>
      <c r="AW373" s="108"/>
      <c r="AX373" s="108"/>
      <c r="AY373" s="108"/>
      <c r="AZ373" s="108"/>
      <c r="BA373" s="165"/>
      <c r="BB373" s="531"/>
    </row>
    <row r="374" spans="1:54" s="495" customFormat="1" outlineLevel="1" x14ac:dyDescent="0.25">
      <c r="A374" s="935"/>
      <c r="B374" s="283" t="s">
        <v>408</v>
      </c>
      <c r="C374" s="599" t="s">
        <v>417</v>
      </c>
      <c r="D374" s="600"/>
      <c r="E374" s="600">
        <v>90470890</v>
      </c>
      <c r="F374" s="937">
        <v>45197</v>
      </c>
      <c r="G374" s="600">
        <v>1</v>
      </c>
      <c r="H374" s="284">
        <v>1</v>
      </c>
      <c r="I374" s="663"/>
      <c r="J374" s="297"/>
      <c r="K374" s="293"/>
      <c r="L374" s="293"/>
      <c r="M374" s="294"/>
      <c r="N374" s="53" t="str">
        <f t="shared" si="396"/>
        <v>T5 2 SERV CLERTY TPE MAINTENANCE</v>
      </c>
      <c r="O374" s="250">
        <v>43938.48</v>
      </c>
      <c r="P374" s="760"/>
      <c r="Q374" s="55">
        <f t="shared" si="400"/>
        <v>43938.48</v>
      </c>
      <c r="R374" s="55">
        <f t="shared" si="398"/>
        <v>45990.407016000005</v>
      </c>
      <c r="S374" s="55">
        <f t="shared" si="398"/>
        <v>48138.159023647204</v>
      </c>
      <c r="T374" s="55">
        <f t="shared" si="398"/>
        <v>50386.211050051526</v>
      </c>
      <c r="U374" s="55">
        <f t="shared" si="398"/>
        <v>52739.247106088929</v>
      </c>
      <c r="V374" s="212">
        <f t="shared" si="399"/>
        <v>241192.50419578768</v>
      </c>
      <c r="W374" s="527"/>
      <c r="X374" s="102"/>
      <c r="Y374" s="325"/>
      <c r="Z374" s="774"/>
      <c r="AA374" s="103"/>
      <c r="AB374" s="103"/>
      <c r="AC374" s="103"/>
      <c r="AD374" s="103"/>
      <c r="AE374" s="103"/>
      <c r="AF374" s="123"/>
      <c r="AG374" s="743"/>
      <c r="AH374" s="370"/>
      <c r="AI374" s="221"/>
      <c r="AJ374" s="886"/>
      <c r="AK374" s="896"/>
      <c r="AL374" s="105"/>
      <c r="AM374" s="105"/>
      <c r="AN374" s="105"/>
      <c r="AO374" s="105"/>
      <c r="AP374" s="105"/>
      <c r="AQ374" s="158"/>
      <c r="AR374" s="875"/>
      <c r="AS374" s="473"/>
      <c r="AT374" s="106"/>
      <c r="AU374" s="353"/>
      <c r="AV374" s="108"/>
      <c r="AW374" s="108"/>
      <c r="AX374" s="108"/>
      <c r="AY374" s="108"/>
      <c r="AZ374" s="108"/>
      <c r="BA374" s="165"/>
      <c r="BB374" s="531"/>
    </row>
    <row r="375" spans="1:54" s="495" customFormat="1" outlineLevel="1" x14ac:dyDescent="0.25">
      <c r="A375" s="284"/>
      <c r="B375" s="283"/>
      <c r="C375" s="599"/>
      <c r="D375" s="600"/>
      <c r="E375" s="600"/>
      <c r="F375" s="600"/>
      <c r="G375" s="600"/>
      <c r="H375" s="284"/>
      <c r="I375" s="663"/>
      <c r="J375" s="297"/>
      <c r="K375" s="293"/>
      <c r="L375" s="293"/>
      <c r="M375" s="294"/>
      <c r="N375" s="53"/>
      <c r="O375" s="250"/>
      <c r="P375" s="760"/>
      <c r="Q375" s="55">
        <f t="shared" ref="Q375:U376" si="401">($O375*$G375)*$H375</f>
        <v>0</v>
      </c>
      <c r="R375" s="55">
        <f t="shared" si="401"/>
        <v>0</v>
      </c>
      <c r="S375" s="55">
        <f t="shared" si="401"/>
        <v>0</v>
      </c>
      <c r="T375" s="55">
        <f t="shared" si="401"/>
        <v>0</v>
      </c>
      <c r="U375" s="55">
        <f t="shared" si="401"/>
        <v>0</v>
      </c>
      <c r="V375" s="212">
        <f t="shared" si="399"/>
        <v>0</v>
      </c>
      <c r="W375" s="527"/>
      <c r="X375" s="102"/>
      <c r="Y375" s="325"/>
      <c r="Z375" s="774"/>
      <c r="AA375" s="103"/>
      <c r="AB375" s="103"/>
      <c r="AC375" s="103"/>
      <c r="AD375" s="103"/>
      <c r="AE375" s="103"/>
      <c r="AF375" s="123"/>
      <c r="AG375" s="743"/>
      <c r="AH375" s="370"/>
      <c r="AI375" s="221"/>
      <c r="AJ375" s="886"/>
      <c r="AK375" s="896"/>
      <c r="AL375" s="105"/>
      <c r="AM375" s="105"/>
      <c r="AN375" s="105"/>
      <c r="AO375" s="105"/>
      <c r="AP375" s="105"/>
      <c r="AQ375" s="158"/>
      <c r="AR375" s="875"/>
      <c r="AS375" s="473"/>
      <c r="AT375" s="106"/>
      <c r="AU375" s="353"/>
      <c r="AV375" s="108"/>
      <c r="AW375" s="108"/>
      <c r="AX375" s="108"/>
      <c r="AY375" s="108"/>
      <c r="AZ375" s="108"/>
      <c r="BA375" s="165"/>
      <c r="BB375" s="531"/>
    </row>
    <row r="376" spans="1:54" s="495" customFormat="1" outlineLevel="1" x14ac:dyDescent="0.25">
      <c r="A376" s="284"/>
      <c r="B376" s="283"/>
      <c r="C376" s="599"/>
      <c r="D376" s="600"/>
      <c r="E376" s="600"/>
      <c r="F376" s="600"/>
      <c r="G376" s="600"/>
      <c r="H376" s="284"/>
      <c r="I376" s="663"/>
      <c r="J376" s="297"/>
      <c r="K376" s="293"/>
      <c r="L376" s="293"/>
      <c r="M376" s="294"/>
      <c r="N376" s="53"/>
      <c r="O376" s="250"/>
      <c r="P376" s="760"/>
      <c r="Q376" s="55">
        <f t="shared" si="401"/>
        <v>0</v>
      </c>
      <c r="R376" s="55">
        <f t="shared" si="401"/>
        <v>0</v>
      </c>
      <c r="S376" s="55">
        <f t="shared" si="401"/>
        <v>0</v>
      </c>
      <c r="T376" s="55">
        <f t="shared" si="401"/>
        <v>0</v>
      </c>
      <c r="U376" s="55">
        <f t="shared" si="401"/>
        <v>0</v>
      </c>
      <c r="V376" s="212">
        <f t="shared" si="399"/>
        <v>0</v>
      </c>
      <c r="W376" s="528"/>
      <c r="X376" s="102"/>
      <c r="Y376" s="325"/>
      <c r="Z376" s="774"/>
      <c r="AA376" s="103"/>
      <c r="AB376" s="103"/>
      <c r="AC376" s="103"/>
      <c r="AD376" s="103"/>
      <c r="AE376" s="103"/>
      <c r="AF376" s="123"/>
      <c r="AG376" s="743"/>
      <c r="AH376" s="370"/>
      <c r="AI376" s="221"/>
      <c r="AJ376" s="886"/>
      <c r="AK376" s="896"/>
      <c r="AL376" s="105"/>
      <c r="AM376" s="105"/>
      <c r="AN376" s="105"/>
      <c r="AO376" s="105"/>
      <c r="AP376" s="105"/>
      <c r="AQ376" s="158"/>
      <c r="AR376" s="875"/>
      <c r="AS376" s="473"/>
      <c r="AT376" s="106"/>
      <c r="AU376" s="353"/>
      <c r="AV376" s="108"/>
      <c r="AW376" s="108"/>
      <c r="AX376" s="108"/>
      <c r="AY376" s="108"/>
      <c r="AZ376" s="108"/>
      <c r="BA376" s="165"/>
      <c r="BB376" s="531"/>
    </row>
    <row r="377" spans="1:54" s="495" customFormat="1" ht="3.95" customHeight="1" outlineLevel="1" x14ac:dyDescent="0.25">
      <c r="A377" s="607"/>
      <c r="B377" s="16"/>
      <c r="C377" s="263"/>
      <c r="D377" s="607"/>
      <c r="E377" s="607"/>
      <c r="F377" s="607"/>
      <c r="G377" s="607"/>
      <c r="H377" s="16"/>
      <c r="I377" s="663"/>
      <c r="J377" s="297"/>
      <c r="K377" s="293"/>
      <c r="L377" s="293"/>
      <c r="M377" s="294"/>
      <c r="N377" s="16"/>
      <c r="O377" s="19"/>
      <c r="P377" s="755"/>
      <c r="Q377" s="17"/>
      <c r="R377" s="17"/>
      <c r="S377" s="17"/>
      <c r="T377" s="17"/>
      <c r="U377" s="17"/>
      <c r="V377" s="17"/>
      <c r="W377" s="21"/>
      <c r="X377" s="906"/>
      <c r="Y377" s="907"/>
      <c r="Z377" s="908"/>
      <c r="AA377" s="909"/>
      <c r="AB377" s="909"/>
      <c r="AC377" s="909"/>
      <c r="AD377" s="909"/>
      <c r="AE377" s="909"/>
      <c r="AF377" s="910"/>
      <c r="AG377" s="911"/>
      <c r="AH377" s="912"/>
      <c r="AI377" s="913"/>
      <c r="AJ377" s="914"/>
      <c r="AK377" s="915"/>
      <c r="AL377" s="909"/>
      <c r="AM377" s="909"/>
      <c r="AN377" s="909"/>
      <c r="AO377" s="909"/>
      <c r="AP377" s="909"/>
      <c r="AQ377" s="910"/>
      <c r="AR377" s="916"/>
      <c r="AS377" s="912"/>
      <c r="AT377" s="106"/>
      <c r="AU377" s="353"/>
      <c r="AV377" s="108"/>
      <c r="AW377" s="108"/>
      <c r="AX377" s="108"/>
      <c r="AY377" s="108"/>
      <c r="AZ377" s="108"/>
      <c r="BA377" s="165"/>
      <c r="BB377" s="531"/>
    </row>
    <row r="378" spans="1:54" s="495" customFormat="1" outlineLevel="1" x14ac:dyDescent="0.25">
      <c r="A378" s="677"/>
      <c r="B378" s="77"/>
      <c r="C378" s="298" t="s">
        <v>418</v>
      </c>
      <c r="D378" s="610"/>
      <c r="E378" s="610"/>
      <c r="F378" s="610"/>
      <c r="G378" s="610"/>
      <c r="H378" s="115"/>
      <c r="I378" s="664"/>
      <c r="J378" s="665"/>
      <c r="K378" s="666"/>
      <c r="L378" s="666"/>
      <c r="M378" s="667"/>
      <c r="N378" s="304" t="str">
        <f>C378</f>
        <v>Annual and Quarterly Fees Sum:</v>
      </c>
      <c r="O378" s="303"/>
      <c r="P378" s="762"/>
      <c r="Q378" s="146">
        <f>SUM(Q359:Q376)</f>
        <v>128007.50999999998</v>
      </c>
      <c r="R378" s="146">
        <f>SUM(R359:R376)</f>
        <v>133985.46071699998</v>
      </c>
      <c r="S378" s="146">
        <f>SUM(S359:S376)</f>
        <v>140242.5817324839</v>
      </c>
      <c r="T378" s="146">
        <f>SUM(T359:T376)</f>
        <v>146791.91029939087</v>
      </c>
      <c r="U378" s="146">
        <f>SUM(U359:U376)</f>
        <v>153647.09251037243</v>
      </c>
      <c r="V378" s="210">
        <f>SUM(Q378:U379)</f>
        <v>702674.55525924719</v>
      </c>
      <c r="W378" s="528"/>
      <c r="X378" s="102"/>
      <c r="Y378" s="325"/>
      <c r="Z378" s="774"/>
      <c r="AA378" s="103">
        <f>SUM(AA360:AA377)</f>
        <v>39669.72</v>
      </c>
      <c r="AB378" s="103">
        <f>SUM(AB360:AB377)</f>
        <v>41573.866560000009</v>
      </c>
      <c r="AC378" s="103">
        <f>SUM(AC360:AC377)</f>
        <v>43569.412154880018</v>
      </c>
      <c r="AD378" s="103">
        <f>SUM(AD360:AD377)</f>
        <v>45660.743938314248</v>
      </c>
      <c r="AE378" s="103">
        <f>SUM(AE360:AE377)</f>
        <v>47852.459647353338</v>
      </c>
      <c r="AF378" s="1095">
        <f>SUM(AA378:AE379)</f>
        <v>218326.20230054762</v>
      </c>
      <c r="AG378" s="743"/>
      <c r="AH378" s="370"/>
      <c r="AI378" s="221"/>
      <c r="AJ378" s="886"/>
      <c r="AK378" s="896"/>
      <c r="AL378" s="105">
        <f>SUM(AL360:AL377)</f>
        <v>39669.72</v>
      </c>
      <c r="AM378" s="105">
        <f>SUM(AM360:AM377)</f>
        <v>41573.866560000009</v>
      </c>
      <c r="AN378" s="105">
        <f>SUM(AN360:AN377)</f>
        <v>43569.412154880018</v>
      </c>
      <c r="AO378" s="105">
        <f>SUM(AO360:AO377)</f>
        <v>45660.743938314248</v>
      </c>
      <c r="AP378" s="105">
        <f>SUM(AP360:AP377)</f>
        <v>47852.459647353338</v>
      </c>
      <c r="AQ378" s="1095">
        <f>SUM(AL378:AP379)</f>
        <v>218326.20230054762</v>
      </c>
      <c r="AR378" s="875"/>
      <c r="AS378" s="473"/>
      <c r="AT378" s="106"/>
      <c r="AU378" s="353"/>
      <c r="AV378" s="108"/>
      <c r="AW378" s="108"/>
      <c r="AX378" s="108"/>
      <c r="AY378" s="108"/>
      <c r="AZ378" s="108"/>
      <c r="BA378" s="165"/>
      <c r="BB378" s="531"/>
    </row>
    <row r="379" spans="1:54" ht="3.95" customHeight="1" x14ac:dyDescent="0.25">
      <c r="A379" s="607"/>
      <c r="B379" s="16"/>
      <c r="C379" s="263"/>
      <c r="D379" s="607"/>
      <c r="E379" s="607"/>
      <c r="F379" s="607"/>
      <c r="G379" s="607"/>
      <c r="H379" s="16"/>
      <c r="I379" s="73"/>
      <c r="J379" s="73"/>
      <c r="K379" s="73"/>
      <c r="L379" s="73"/>
      <c r="M379" s="74"/>
      <c r="N379" s="16"/>
      <c r="O379" s="19"/>
      <c r="P379" s="755"/>
      <c r="Q379" s="17"/>
      <c r="R379" s="17"/>
      <c r="S379" s="17"/>
      <c r="T379" s="17"/>
      <c r="U379" s="17"/>
      <c r="V379" s="17"/>
      <c r="W379" s="21"/>
      <c r="X379" s="917"/>
      <c r="Y379" s="918"/>
      <c r="Z379" s="919"/>
      <c r="AA379" s="920"/>
      <c r="AB379" s="920"/>
      <c r="AC379" s="920"/>
      <c r="AD379" s="920"/>
      <c r="AE379" s="920"/>
      <c r="AF379" s="921"/>
      <c r="AG379" s="922"/>
      <c r="AH379" s="920"/>
      <c r="AI379" s="923"/>
      <c r="AJ379" s="918"/>
      <c r="AK379" s="919"/>
      <c r="AL379" s="920"/>
      <c r="AM379" s="920"/>
      <c r="AN379" s="920"/>
      <c r="AO379" s="920"/>
      <c r="AP379" s="920"/>
      <c r="AQ379" s="921"/>
      <c r="AR379" s="924"/>
      <c r="AS379" s="925"/>
      <c r="AT379" s="92"/>
      <c r="AU379" s="93"/>
      <c r="AV379" s="93"/>
      <c r="AW379" s="93"/>
      <c r="AX379" s="93"/>
      <c r="AY379" s="93"/>
      <c r="AZ379" s="93"/>
      <c r="BA379" s="171"/>
      <c r="BB379" s="539"/>
    </row>
    <row r="380" spans="1:54" s="499" customFormat="1" ht="21" x14ac:dyDescent="0.25">
      <c r="A380" s="680"/>
      <c r="B380" s="189"/>
      <c r="C380" s="189" t="s">
        <v>419</v>
      </c>
      <c r="D380" s="614"/>
      <c r="E380" s="614"/>
      <c r="F380" s="614"/>
      <c r="G380" s="614"/>
      <c r="H380" s="190"/>
      <c r="I380" s="191"/>
      <c r="J380" s="191"/>
      <c r="K380" s="191"/>
      <c r="L380" s="191"/>
      <c r="M380" s="192"/>
      <c r="N380" s="141" t="s">
        <v>419</v>
      </c>
      <c r="O380" s="302"/>
      <c r="P380" s="768"/>
      <c r="Q380" s="143"/>
      <c r="R380" s="143"/>
      <c r="S380" s="143"/>
      <c r="T380" s="143"/>
      <c r="U380" s="143"/>
      <c r="V380" s="215">
        <f>SUM(V336,V356,V378)</f>
        <v>7345092.3693088545</v>
      </c>
      <c r="W380" s="527"/>
      <c r="X380" s="142" t="s">
        <v>419</v>
      </c>
      <c r="Y380" s="709"/>
      <c r="Z380" s="779"/>
      <c r="AA380" s="139"/>
      <c r="AB380" s="139"/>
      <c r="AC380" s="139"/>
      <c r="AD380" s="139"/>
      <c r="AE380" s="139"/>
      <c r="AF380" s="193">
        <f>SUM(AF336,AF356,AF378)</f>
        <v>6968318.6676755892</v>
      </c>
      <c r="AG380" s="747"/>
      <c r="AH380" s="362"/>
      <c r="AI380" s="267" t="s">
        <v>419</v>
      </c>
      <c r="AJ380" s="888"/>
      <c r="AK380" s="897"/>
      <c r="AL380" s="154"/>
      <c r="AM380" s="154"/>
      <c r="AN380" s="154"/>
      <c r="AO380" s="154"/>
      <c r="AP380" s="154"/>
      <c r="AQ380" s="194">
        <f>SUM(AQ336,AQ356,AQ378)</f>
        <v>7309520.9068731638</v>
      </c>
      <c r="AR380" s="878"/>
      <c r="AS380" s="490"/>
      <c r="AT380" s="195"/>
      <c r="AU380" s="196"/>
      <c r="AV380" s="197"/>
      <c r="AW380" s="197"/>
      <c r="AX380" s="197"/>
      <c r="AY380" s="197"/>
      <c r="AZ380" s="197"/>
      <c r="BA380" s="198" t="e">
        <f>SUM(BA336,#REF!,#REF!,#REF!,#REF!)</f>
        <v>#REF!</v>
      </c>
      <c r="BB380" s="538"/>
    </row>
    <row r="381" spans="1:54" ht="3.75" customHeight="1" x14ac:dyDescent="0.25">
      <c r="A381" s="607"/>
      <c r="B381" s="16"/>
      <c r="C381" s="263"/>
      <c r="D381" s="607"/>
      <c r="E381" s="607"/>
      <c r="F381" s="607"/>
      <c r="G381" s="607"/>
      <c r="H381" s="16"/>
      <c r="I381" s="18"/>
      <c r="J381" s="18"/>
      <c r="K381" s="18"/>
      <c r="L381" s="18"/>
      <c r="M381" s="18"/>
      <c r="N381" s="16"/>
      <c r="O381" s="19"/>
      <c r="P381" s="755"/>
      <c r="Q381" s="17"/>
      <c r="R381" s="17"/>
      <c r="S381" s="17"/>
      <c r="T381" s="17"/>
      <c r="U381" s="17"/>
      <c r="V381" s="17"/>
      <c r="W381" s="21"/>
      <c r="X381" s="16"/>
      <c r="Y381" s="706"/>
      <c r="Z381" s="773"/>
      <c r="AA381" s="21"/>
      <c r="AB381" s="21"/>
      <c r="AC381" s="21"/>
      <c r="AD381" s="21"/>
      <c r="AE381" s="21"/>
      <c r="AF381" s="21"/>
      <c r="AG381" s="741"/>
      <c r="AH381" s="21"/>
      <c r="AI381" s="263"/>
      <c r="AJ381" s="706"/>
      <c r="AK381" s="773"/>
      <c r="AL381" s="21"/>
      <c r="AM381" s="21"/>
      <c r="AN381" s="21"/>
      <c r="AO381" s="21"/>
      <c r="AP381" s="21"/>
      <c r="AQ381" s="21"/>
      <c r="AR381" s="873"/>
      <c r="AS381" s="21"/>
      <c r="AT381" s="20"/>
      <c r="AU381" s="20"/>
      <c r="AV381" s="20"/>
      <c r="AW381" s="20"/>
      <c r="AX381" s="20"/>
      <c r="AY381" s="20"/>
      <c r="AZ381" s="20"/>
      <c r="BA381" s="22"/>
      <c r="BB381" s="21"/>
    </row>
    <row r="383" spans="1:54" x14ac:dyDescent="0.25">
      <c r="V383" s="35">
        <f>+V380/60</f>
        <v>122418.20615514758</v>
      </c>
    </row>
    <row r="384" spans="1:54" x14ac:dyDescent="0.25">
      <c r="X384" s="1089"/>
      <c r="AF384" s="35">
        <f>+AF380/60</f>
        <v>116138.64446125981</v>
      </c>
      <c r="AI384" s="35"/>
      <c r="AQ384" s="35">
        <f>+AQ380/60</f>
        <v>121825.34844788606</v>
      </c>
    </row>
    <row r="386" spans="17:43" x14ac:dyDescent="0.25">
      <c r="X386" s="1090"/>
      <c r="AI386" s="35"/>
    </row>
    <row r="387" spans="17:43" x14ac:dyDescent="0.25">
      <c r="U387" s="1096"/>
      <c r="X387" s="1088"/>
    </row>
    <row r="388" spans="17:43" x14ac:dyDescent="0.25">
      <c r="X388" s="1088"/>
    </row>
    <row r="389" spans="17:43" x14ac:dyDescent="0.25">
      <c r="Q389" s="1096"/>
      <c r="R389" s="1108"/>
      <c r="S389" s="1108"/>
    </row>
    <row r="390" spans="17:43" x14ac:dyDescent="0.25">
      <c r="AQ390" s="1105"/>
    </row>
    <row r="393" spans="17:43" ht="17.25" x14ac:dyDescent="0.4">
      <c r="V393" s="1107">
        <f>855.8*0.085</f>
        <v>72.742999999999995</v>
      </c>
    </row>
    <row r="394" spans="17:43" x14ac:dyDescent="0.25">
      <c r="AI394" s="38"/>
    </row>
    <row r="395" spans="17:43" x14ac:dyDescent="0.25">
      <c r="AI395" s="38"/>
    </row>
    <row r="396" spans="17:43" x14ac:dyDescent="0.25">
      <c r="AI396" s="38"/>
    </row>
    <row r="397" spans="17:43" x14ac:dyDescent="0.25">
      <c r="AI397" s="38"/>
    </row>
    <row r="398" spans="17:43" x14ac:dyDescent="0.25">
      <c r="AI398" s="38"/>
    </row>
    <row r="401" spans="22:35" x14ac:dyDescent="0.25">
      <c r="V401" s="1108"/>
      <c r="W401" s="1108"/>
    </row>
    <row r="402" spans="22:35" x14ac:dyDescent="0.25">
      <c r="AI402" s="38"/>
    </row>
    <row r="403" spans="22:35" x14ac:dyDescent="0.25">
      <c r="AI403" s="38"/>
    </row>
    <row r="404" spans="22:35" x14ac:dyDescent="0.25">
      <c r="AI404" s="38"/>
    </row>
    <row r="405" spans="22:35" x14ac:dyDescent="0.25">
      <c r="AI405" s="38"/>
    </row>
    <row r="406" spans="22:35" x14ac:dyDescent="0.25">
      <c r="AI406" s="38"/>
    </row>
    <row r="407" spans="22:35" x14ac:dyDescent="0.25">
      <c r="AI407" s="38"/>
    </row>
    <row r="409" spans="22:35" x14ac:dyDescent="0.25">
      <c r="AI409" s="38"/>
    </row>
    <row r="411" spans="22:35" x14ac:dyDescent="0.25">
      <c r="AI411" s="35">
        <v>14111</v>
      </c>
    </row>
    <row r="412" spans="22:35" x14ac:dyDescent="0.25">
      <c r="AI412" s="38">
        <v>7257</v>
      </c>
    </row>
    <row r="413" spans="22:35" x14ac:dyDescent="0.25">
      <c r="AI413" s="38">
        <v>26318</v>
      </c>
    </row>
    <row r="414" spans="22:35" x14ac:dyDescent="0.25">
      <c r="AI414" s="38">
        <v>262</v>
      </c>
    </row>
    <row r="415" spans="22:35" x14ac:dyDescent="0.25">
      <c r="AI415" s="35">
        <f>SUM(AI411:AI414)</f>
        <v>47948</v>
      </c>
    </row>
    <row r="418" spans="35:35" x14ac:dyDescent="0.25">
      <c r="AI418" s="38"/>
    </row>
    <row r="419" spans="35:35" x14ac:dyDescent="0.25">
      <c r="AI419" s="38"/>
    </row>
    <row r="420" spans="35:35" x14ac:dyDescent="0.25">
      <c r="AI420" s="38"/>
    </row>
    <row r="421" spans="35:35" x14ac:dyDescent="0.25">
      <c r="AI421" s="38"/>
    </row>
  </sheetData>
  <mergeCells count="14">
    <mergeCell ref="Y162:AF162"/>
    <mergeCell ref="Y215:AF215"/>
    <mergeCell ref="N5:V5"/>
    <mergeCell ref="X5:AF5"/>
    <mergeCell ref="AI5:AQ5"/>
    <mergeCell ref="AJ162:AQ162"/>
    <mergeCell ref="AJ215:AQ215"/>
    <mergeCell ref="AT5:BA5"/>
    <mergeCell ref="H3:H4"/>
    <mergeCell ref="J3:M3"/>
    <mergeCell ref="N4:V4"/>
    <mergeCell ref="X4:AF4"/>
    <mergeCell ref="AI4:AQ4"/>
    <mergeCell ref="AT4:BA4"/>
  </mergeCells>
  <phoneticPr fontId="22" type="noConversion"/>
  <conditionalFormatting sqref="A1:A337 A339:A1048576">
    <cfRule type="containsText" dxfId="35" priority="6" operator="containsText" text="PASSTHRU">
      <formula>NOT(ISERROR(SEARCH("PASSTHRU",A1)))</formula>
    </cfRule>
  </conditionalFormatting>
  <conditionalFormatting sqref="A1:A1048576">
    <cfRule type="containsText" dxfId="34" priority="1" operator="containsText" text="DIGITAL">
      <formula>NOT(ISERROR(SEARCH("DIGITAL",A1)))</formula>
    </cfRule>
    <cfRule type="containsText" dxfId="33" priority="2" operator="containsText" text="CORE">
      <formula>NOT(ISERROR(SEARCH("CORE",A1)))</formula>
    </cfRule>
  </conditionalFormatting>
  <conditionalFormatting sqref="N6:P6">
    <cfRule type="containsText" dxfId="32" priority="10" operator="containsText" text="Red Text">
      <formula>NOT(ISERROR(SEARCH("Red Text",N6)))</formula>
    </cfRule>
  </conditionalFormatting>
  <conditionalFormatting sqref="N358:P358">
    <cfRule type="containsText" dxfId="31" priority="8" operator="containsText" text="Red Text">
      <formula>NOT(ISERROR(SEARCH("Red Text",N358)))</formula>
    </cfRule>
  </conditionalFormatting>
  <pageMargins left="0.7" right="0.7" top="0.75" bottom="0.75" header="0.3" footer="0.3"/>
  <pageSetup scale="10" orientation="portrait" r:id="rId1"/>
  <colBreaks count="4" manualBreakCount="4">
    <brk id="13" max="1048575" man="1"/>
    <brk id="23" max="1048575" man="1"/>
    <brk id="34" max="1048575" man="1"/>
    <brk id="45" max="1048575" man="1"/>
  </colBreaks>
  <ignoredErrors>
    <ignoredError sqref="H10 N49 N97 N139 Q66:U66 Q141:U141 AF144 N148 AA170:AE170 N182 H217 AA243:AE243 N246 X359:X362"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F8C64-3274-41DE-B163-E161E2172C38}">
  <sheetPr codeName="Sheet5">
    <tabColor rgb="FFA3E2F0"/>
  </sheetPr>
  <dimension ref="A1:AA54"/>
  <sheetViews>
    <sheetView showGridLines="0" zoomScale="85" zoomScaleNormal="85" zoomScaleSheetLayoutView="90" workbookViewId="0">
      <selection activeCell="F1" sqref="F1:K1048576"/>
    </sheetView>
  </sheetViews>
  <sheetFormatPr defaultColWidth="9.28515625" defaultRowHeight="15.75" outlineLevelRow="1" x14ac:dyDescent="0.25"/>
  <cols>
    <col min="1" max="1" width="11" style="36" customWidth="1"/>
    <col min="2" max="2" width="37.28515625" style="36" bestFit="1" customWidth="1"/>
    <col min="3" max="3" width="62.7109375" style="36" bestFit="1" customWidth="1"/>
    <col min="4" max="4" width="12.85546875" style="617" customWidth="1"/>
    <col min="5" max="5" width="14.85546875" style="617" customWidth="1"/>
    <col min="6" max="6" width="14.85546875" style="36" customWidth="1"/>
    <col min="7" max="7" width="53.5703125" style="34" customWidth="1"/>
    <col min="8" max="8" width="15.5703125" style="216" customWidth="1"/>
    <col min="9" max="9" width="18.5703125" style="35" customWidth="1"/>
    <col min="10" max="10" width="34.28515625" style="35" customWidth="1"/>
    <col min="11" max="11" width="75.85546875" style="34" customWidth="1"/>
    <col min="12" max="12" width="15.7109375" style="27" customWidth="1"/>
    <col min="13" max="13" width="18.28515625" style="35" customWidth="1"/>
    <col min="14" max="14" width="34.28515625" style="35" bestFit="1" customWidth="1"/>
    <col min="15" max="15" width="62.7109375" style="36" bestFit="1" customWidth="1"/>
    <col min="16" max="16" width="14" style="27" customWidth="1"/>
    <col min="17" max="17" width="20.5703125" style="35" customWidth="1"/>
    <col min="18" max="18" width="34.28515625" style="35" bestFit="1" customWidth="1"/>
    <col min="19" max="19" width="47" style="27" customWidth="1"/>
    <col min="20" max="20" width="13" style="27" customWidth="1"/>
    <col min="21" max="25" width="12.85546875" style="27" customWidth="1"/>
    <col min="26" max="26" width="18.85546875" style="27" customWidth="1"/>
    <col min="27" max="27" width="41.5703125" style="35" customWidth="1"/>
    <col min="28" max="16384" width="9.28515625" style="36"/>
  </cols>
  <sheetData>
    <row r="1" spans="1:27" s="959" customFormat="1" x14ac:dyDescent="0.25">
      <c r="D1" s="958"/>
      <c r="E1" s="958"/>
      <c r="G1" s="961"/>
      <c r="H1" s="962"/>
      <c r="I1" s="964"/>
      <c r="J1" s="964"/>
      <c r="K1" s="961"/>
      <c r="L1" s="969"/>
      <c r="M1" s="964"/>
      <c r="N1" s="964"/>
      <c r="P1" s="969"/>
      <c r="Q1" s="964"/>
      <c r="R1" s="964"/>
      <c r="S1" s="969"/>
      <c r="T1" s="969"/>
      <c r="U1" s="969"/>
      <c r="V1" s="969"/>
      <c r="W1" s="969"/>
      <c r="X1" s="969"/>
      <c r="Y1" s="969"/>
      <c r="Z1" s="969"/>
      <c r="AA1" s="964"/>
    </row>
    <row r="2" spans="1:27" ht="26.25" x14ac:dyDescent="0.25">
      <c r="A2" s="24"/>
      <c r="B2" s="24"/>
      <c r="C2" s="24" t="s">
        <v>420</v>
      </c>
      <c r="D2" s="24"/>
      <c r="E2" s="24"/>
      <c r="F2" s="24"/>
      <c r="G2" s="137"/>
      <c r="H2" s="135"/>
      <c r="I2" s="136"/>
      <c r="J2" s="136"/>
      <c r="K2" s="137"/>
      <c r="L2" s="135"/>
      <c r="M2" s="136"/>
      <c r="N2" s="136"/>
      <c r="O2" s="137"/>
      <c r="P2" s="135"/>
      <c r="Q2" s="136"/>
      <c r="R2" s="136"/>
      <c r="S2" s="137"/>
      <c r="T2" s="135"/>
      <c r="U2" s="134"/>
      <c r="V2" s="136"/>
      <c r="W2" s="136"/>
      <c r="X2" s="136"/>
      <c r="Y2" s="136"/>
      <c r="Z2" s="136"/>
      <c r="AA2" s="136"/>
    </row>
    <row r="3" spans="1:27" s="493" customFormat="1" ht="26.25" customHeight="1" x14ac:dyDescent="0.25">
      <c r="A3" s="232"/>
      <c r="B3" s="232"/>
      <c r="C3" s="309" t="str">
        <f>'(INTERNAL) Basic Entry '!$C$7</f>
        <v>First State Bank of Waynesboro</v>
      </c>
      <c r="D3" s="606"/>
      <c r="E3" s="606"/>
      <c r="F3" s="233"/>
      <c r="G3" s="1318" t="s">
        <v>421</v>
      </c>
      <c r="H3" s="1318"/>
      <c r="I3" s="1319"/>
      <c r="J3" s="524"/>
      <c r="K3" s="1320" t="str">
        <f>'(INTERNAL) Basic Entry '!$C$19</f>
        <v>FIS Horizon with D1 Flex</v>
      </c>
      <c r="L3" s="1321"/>
      <c r="M3" s="1322"/>
      <c r="N3" s="371"/>
      <c r="O3" s="1323" t="str">
        <f>'(INTERNAL) Basic Entry '!C21</f>
        <v>FIS Horizon WITHOUT D1 Flex</v>
      </c>
      <c r="P3" s="1324"/>
      <c r="Q3" s="1325"/>
      <c r="R3" s="472"/>
      <c r="S3" s="1326" t="str">
        <f>'(INTERNAL) Basic Entry '!C23</f>
        <v>Vendor #3</v>
      </c>
      <c r="T3" s="1327"/>
      <c r="U3" s="1327"/>
      <c r="V3" s="1327"/>
      <c r="W3" s="1327"/>
      <c r="X3" s="1327"/>
      <c r="Y3" s="1327"/>
      <c r="Z3" s="1328"/>
      <c r="AA3" s="529"/>
    </row>
    <row r="4" spans="1:27" ht="18.399999999999999" customHeight="1" x14ac:dyDescent="0.25">
      <c r="A4" s="26"/>
      <c r="B4" s="25"/>
      <c r="C4" s="273" t="str">
        <f>'(INTERNAL) Basic Entry '!$C$9&amp;" Pricing Analysis"</f>
        <v>CORE &amp; DIGITAL Pricing Analysis</v>
      </c>
      <c r="D4" s="605"/>
      <c r="E4" s="605"/>
      <c r="F4" s="2"/>
      <c r="G4" s="1333" t="s">
        <v>422</v>
      </c>
      <c r="H4" s="1333"/>
      <c r="I4" s="1334"/>
      <c r="J4" s="525"/>
      <c r="K4" s="1335" t="str">
        <f>'(INTERNAL) Basic Entry '!F19</f>
        <v>Proposal Dated 12/13/2023</v>
      </c>
      <c r="L4" s="1336"/>
      <c r="M4" s="1337"/>
      <c r="N4" s="372"/>
      <c r="O4" s="1338" t="str">
        <f>'(INTERNAL) Basic Entry '!F21</f>
        <v>Proposal Dated 12/13/2023</v>
      </c>
      <c r="P4" s="1339"/>
      <c r="Q4" s="1340"/>
      <c r="R4" s="471"/>
      <c r="S4" s="1309" t="str">
        <f>'(INTERNAL) Basic Entry '!F23</f>
        <v>Month Year</v>
      </c>
      <c r="T4" s="1310"/>
      <c r="U4" s="1310"/>
      <c r="V4" s="1310"/>
      <c r="W4" s="1310"/>
      <c r="X4" s="1310"/>
      <c r="Y4" s="1310"/>
      <c r="Z4" s="1311"/>
      <c r="AA4" s="530"/>
    </row>
    <row r="5" spans="1:27" s="494" customFormat="1" ht="38.25" x14ac:dyDescent="0.35">
      <c r="A5" s="657" t="s">
        <v>423</v>
      </c>
      <c r="B5" s="658" t="s">
        <v>393</v>
      </c>
      <c r="C5" s="801" t="s">
        <v>424</v>
      </c>
      <c r="D5" s="823" t="s">
        <v>425</v>
      </c>
      <c r="E5" s="698" t="s">
        <v>426</v>
      </c>
      <c r="F5" s="698" t="s">
        <v>427</v>
      </c>
      <c r="G5" s="800" t="str">
        <f>C5</f>
        <v xml:space="preserve">IMPLEMENTATION, SETUP, DECONVERSION FEES </v>
      </c>
      <c r="H5" s="301" t="s">
        <v>47</v>
      </c>
      <c r="I5" s="208" t="s">
        <v>53</v>
      </c>
      <c r="J5" s="526" t="s">
        <v>54</v>
      </c>
      <c r="K5" s="334" t="str">
        <f>C5</f>
        <v xml:space="preserve">IMPLEMENTATION, SETUP, DECONVERSION FEES </v>
      </c>
      <c r="L5" s="323" t="s">
        <v>47</v>
      </c>
      <c r="M5" s="122" t="s">
        <v>58</v>
      </c>
      <c r="N5" s="373" t="s">
        <v>54</v>
      </c>
      <c r="O5" s="803" t="str">
        <f>C5</f>
        <v xml:space="preserve">IMPLEMENTATION, SETUP, DECONVERSION FEES </v>
      </c>
      <c r="P5" s="254" t="s">
        <v>47</v>
      </c>
      <c r="Q5" s="157" t="s">
        <v>58</v>
      </c>
      <c r="R5" s="33" t="s">
        <v>54</v>
      </c>
      <c r="S5" s="491" t="str">
        <f>C5</f>
        <v xml:space="preserve">IMPLEMENTATION, SETUP, DECONVERSION FEES </v>
      </c>
      <c r="T5" s="236" t="s">
        <v>47</v>
      </c>
      <c r="U5" s="37" t="s">
        <v>48</v>
      </c>
      <c r="V5" s="37" t="s">
        <v>49</v>
      </c>
      <c r="W5" s="37" t="s">
        <v>50</v>
      </c>
      <c r="X5" s="37" t="s">
        <v>51</v>
      </c>
      <c r="Y5" s="37" t="s">
        <v>52</v>
      </c>
      <c r="Z5" s="164" t="s">
        <v>58</v>
      </c>
      <c r="AA5" s="354" t="s">
        <v>54</v>
      </c>
    </row>
    <row r="6" spans="1:27" ht="3.75" customHeight="1" x14ac:dyDescent="0.25">
      <c r="A6" s="16"/>
      <c r="B6" s="16"/>
      <c r="C6" s="263"/>
      <c r="D6" s="607"/>
      <c r="E6" s="607"/>
      <c r="F6" s="16"/>
      <c r="G6" s="16"/>
      <c r="H6" s="19"/>
      <c r="I6" s="17"/>
      <c r="J6" s="21"/>
      <c r="K6" s="16"/>
      <c r="L6" s="20"/>
      <c r="M6" s="21"/>
      <c r="N6" s="21"/>
      <c r="O6" s="263"/>
      <c r="P6" s="20"/>
      <c r="Q6" s="21"/>
      <c r="R6" s="21"/>
      <c r="S6" s="20"/>
      <c r="T6" s="20"/>
      <c r="U6" s="20"/>
      <c r="V6" s="20"/>
      <c r="W6" s="20"/>
      <c r="X6" s="20"/>
      <c r="Y6" s="20"/>
      <c r="Z6" s="22"/>
      <c r="AA6" s="21"/>
    </row>
    <row r="7" spans="1:27" outlineLevel="1" x14ac:dyDescent="0.25">
      <c r="A7" s="283"/>
      <c r="B7" s="242"/>
      <c r="C7" s="242" t="s">
        <v>428</v>
      </c>
      <c r="D7" s="242"/>
      <c r="E7" s="285"/>
      <c r="F7" s="286"/>
      <c r="G7" s="242"/>
      <c r="H7" s="242"/>
      <c r="I7" s="212"/>
      <c r="J7" s="528"/>
      <c r="K7" s="242" t="str">
        <f>C7</f>
        <v>RENEWAL FEES / CONVERSION FEES</v>
      </c>
      <c r="L7" s="242"/>
      <c r="M7" s="125" cm="1">
        <f t="array" ref="M7">_xlfn.IFS(L7="WAIVED",0,L7&gt;0,$L7*$D7, L7=0,0)</f>
        <v>0</v>
      </c>
      <c r="N7" s="370"/>
      <c r="O7" s="242" t="str">
        <f>C7</f>
        <v>RENEWAL FEES / CONVERSION FEES</v>
      </c>
      <c r="P7" s="242"/>
      <c r="Q7" s="160" cm="1">
        <f t="array" ref="Q7">_xlfn.IFS(P7="WAIVED",0,P7&gt;0,$P7*$D7, P7=0,0)</f>
        <v>0</v>
      </c>
      <c r="R7" s="478"/>
      <c r="S7" s="86"/>
      <c r="T7" s="87"/>
      <c r="U7" s="89"/>
      <c r="V7" s="89"/>
      <c r="W7" s="89"/>
      <c r="X7" s="89"/>
      <c r="Y7" s="89"/>
      <c r="Z7" s="168">
        <f t="shared" ref="Z7:Z34" si="0">$T7*$D7</f>
        <v>0</v>
      </c>
      <c r="AA7" s="535"/>
    </row>
    <row r="8" spans="1:27" outlineLevel="1" x14ac:dyDescent="0.25">
      <c r="A8" s="283"/>
      <c r="B8" s="623"/>
      <c r="C8" s="601" t="s">
        <v>429</v>
      </c>
      <c r="D8" s="284">
        <v>1</v>
      </c>
      <c r="E8" s="285">
        <v>60</v>
      </c>
      <c r="F8" s="286">
        <v>1</v>
      </c>
      <c r="G8" s="415"/>
      <c r="H8" s="825"/>
      <c r="I8" s="212"/>
      <c r="J8" s="528"/>
      <c r="K8" s="336" t="str">
        <f>C8</f>
        <v>Horizon Core Service Bureau Processing</v>
      </c>
      <c r="L8" s="862"/>
      <c r="M8" s="846" t="s">
        <v>430</v>
      </c>
      <c r="N8" s="370"/>
      <c r="O8" s="266" t="str">
        <f>C8</f>
        <v>Horizon Core Service Bureau Processing</v>
      </c>
      <c r="P8" s="864"/>
      <c r="Q8" s="849" t="s">
        <v>430</v>
      </c>
      <c r="R8" s="478"/>
      <c r="S8" s="86"/>
      <c r="T8" s="87"/>
      <c r="U8" s="89"/>
      <c r="V8" s="89"/>
      <c r="W8" s="89"/>
      <c r="X8" s="89"/>
      <c r="Y8" s="89"/>
      <c r="Z8" s="168">
        <f t="shared" si="0"/>
        <v>0</v>
      </c>
      <c r="AA8" s="535"/>
    </row>
    <row r="9" spans="1:27" outlineLevel="1" x14ac:dyDescent="0.25">
      <c r="A9" s="445"/>
      <c r="B9" s="623"/>
      <c r="C9" s="601" t="s">
        <v>431</v>
      </c>
      <c r="D9" s="284">
        <v>1</v>
      </c>
      <c r="E9" s="285">
        <v>60</v>
      </c>
      <c r="F9" s="286">
        <v>1</v>
      </c>
      <c r="G9" s="415"/>
      <c r="H9" s="825"/>
      <c r="I9" s="212"/>
      <c r="J9" s="528"/>
      <c r="K9" s="336" t="str">
        <f t="shared" ref="K9:K21" si="1">C9</f>
        <v>Horizon Products and Services (Open/Closed) Graduated</v>
      </c>
      <c r="L9" s="862"/>
      <c r="M9" s="846" t="s">
        <v>430</v>
      </c>
      <c r="N9" s="370"/>
      <c r="O9" s="266" t="str">
        <f t="shared" ref="O9:O31" si="2">C9</f>
        <v>Horizon Products and Services (Open/Closed) Graduated</v>
      </c>
      <c r="P9" s="864"/>
      <c r="Q9" s="849" t="s">
        <v>430</v>
      </c>
      <c r="R9" s="479"/>
      <c r="S9" s="86"/>
      <c r="T9" s="87"/>
      <c r="U9" s="89"/>
      <c r="V9" s="89"/>
      <c r="W9" s="89"/>
      <c r="X9" s="89"/>
      <c r="Y9" s="89"/>
      <c r="Z9" s="168">
        <f t="shared" si="0"/>
        <v>0</v>
      </c>
      <c r="AA9" s="536"/>
    </row>
    <row r="10" spans="1:27" outlineLevel="1" x14ac:dyDescent="0.25">
      <c r="A10" s="445"/>
      <c r="B10" s="623"/>
      <c r="C10" s="601" t="s">
        <v>94</v>
      </c>
      <c r="D10" s="284">
        <v>1</v>
      </c>
      <c r="E10" s="285">
        <v>60</v>
      </c>
      <c r="F10" s="286">
        <v>1</v>
      </c>
      <c r="G10" s="415"/>
      <c r="H10" s="825"/>
      <c r="I10" s="212"/>
      <c r="J10" s="528"/>
      <c r="K10" s="336" t="str">
        <f t="shared" si="1"/>
        <v>Same Day ACH Settlement</v>
      </c>
      <c r="L10" s="862"/>
      <c r="M10" s="846" t="s">
        <v>430</v>
      </c>
      <c r="N10" s="370"/>
      <c r="O10" s="266" t="str">
        <f t="shared" si="2"/>
        <v>Same Day ACH Settlement</v>
      </c>
      <c r="P10" s="864"/>
      <c r="Q10" s="849" t="s">
        <v>430</v>
      </c>
      <c r="R10" s="479"/>
      <c r="S10" s="86"/>
      <c r="T10" s="87"/>
      <c r="U10" s="89"/>
      <c r="V10" s="89"/>
      <c r="W10" s="89"/>
      <c r="X10" s="89"/>
      <c r="Y10" s="89"/>
      <c r="Z10" s="168">
        <f t="shared" si="0"/>
        <v>0</v>
      </c>
      <c r="AA10" s="536"/>
    </row>
    <row r="11" spans="1:27" outlineLevel="1" x14ac:dyDescent="0.25">
      <c r="A11" s="283"/>
      <c r="B11" s="623"/>
      <c r="C11" s="601" t="s">
        <v>80</v>
      </c>
      <c r="D11" s="284">
        <v>1</v>
      </c>
      <c r="E11" s="285">
        <v>60</v>
      </c>
      <c r="F11" s="286">
        <v>1</v>
      </c>
      <c r="G11" s="415"/>
      <c r="H11" s="825"/>
      <c r="I11" s="212"/>
      <c r="J11" s="528"/>
      <c r="K11" s="336" t="str">
        <f t="shared" si="1"/>
        <v>Deposit Origination (DO)</v>
      </c>
      <c r="L11" s="381"/>
      <c r="M11" s="846" t="s">
        <v>430</v>
      </c>
      <c r="N11" s="370"/>
      <c r="O11" s="266" t="str">
        <f t="shared" si="2"/>
        <v>Deposit Origination (DO)</v>
      </c>
      <c r="P11" s="864"/>
      <c r="Q11" s="849" t="s">
        <v>430</v>
      </c>
      <c r="R11" s="478"/>
      <c r="S11" s="86"/>
      <c r="T11" s="87"/>
      <c r="U11" s="89"/>
      <c r="V11" s="89"/>
      <c r="W11" s="89"/>
      <c r="X11" s="89"/>
      <c r="Y11" s="89"/>
      <c r="Z11" s="168">
        <f t="shared" si="0"/>
        <v>0</v>
      </c>
      <c r="AA11" s="535"/>
    </row>
    <row r="12" spans="1:27" outlineLevel="1" x14ac:dyDescent="0.25">
      <c r="A12" s="283"/>
      <c r="B12" s="623"/>
      <c r="C12" s="601" t="s">
        <v>432</v>
      </c>
      <c r="D12" s="284">
        <v>1</v>
      </c>
      <c r="E12" s="285">
        <v>60</v>
      </c>
      <c r="F12" s="286">
        <v>1</v>
      </c>
      <c r="G12" s="415"/>
      <c r="H12" s="825"/>
      <c r="I12" s="212"/>
      <c r="J12" s="528"/>
      <c r="K12" s="336" t="str">
        <f t="shared" si="1"/>
        <v>CSi Simplicity Hosting</v>
      </c>
      <c r="L12" s="862"/>
      <c r="M12" s="846" t="s">
        <v>430</v>
      </c>
      <c r="N12" s="370"/>
      <c r="O12" s="266" t="str">
        <f t="shared" si="2"/>
        <v>CSi Simplicity Hosting</v>
      </c>
      <c r="P12" s="864"/>
      <c r="Q12" s="849" t="s">
        <v>430</v>
      </c>
      <c r="R12" s="478"/>
      <c r="S12" s="86"/>
      <c r="T12" s="87"/>
      <c r="U12" s="89"/>
      <c r="V12" s="89"/>
      <c r="W12" s="89"/>
      <c r="X12" s="89"/>
      <c r="Y12" s="89"/>
      <c r="Z12" s="168">
        <f t="shared" si="0"/>
        <v>0</v>
      </c>
      <c r="AA12" s="535"/>
    </row>
    <row r="13" spans="1:27" outlineLevel="1" x14ac:dyDescent="0.25">
      <c r="A13" s="445"/>
      <c r="B13" s="623"/>
      <c r="C13" s="601" t="s">
        <v>433</v>
      </c>
      <c r="D13" s="284">
        <v>1</v>
      </c>
      <c r="E13" s="285">
        <v>60</v>
      </c>
      <c r="F13" s="286">
        <v>1</v>
      </c>
      <c r="G13" s="415"/>
      <c r="H13" s="825"/>
      <c r="I13" s="212"/>
      <c r="J13" s="528"/>
      <c r="K13" s="336" t="str">
        <f t="shared" si="1"/>
        <v>SmartSign</v>
      </c>
      <c r="L13" s="381"/>
      <c r="M13" s="846" t="s">
        <v>430</v>
      </c>
      <c r="N13" s="370"/>
      <c r="O13" s="266" t="str">
        <f t="shared" si="2"/>
        <v>SmartSign</v>
      </c>
      <c r="P13" s="306"/>
      <c r="Q13" s="849" t="s">
        <v>430</v>
      </c>
      <c r="R13" s="479"/>
      <c r="S13" s="86"/>
      <c r="T13" s="87"/>
      <c r="U13" s="89"/>
      <c r="V13" s="89"/>
      <c r="W13" s="89"/>
      <c r="X13" s="89"/>
      <c r="Y13" s="89"/>
      <c r="Z13" s="168">
        <f t="shared" si="0"/>
        <v>0</v>
      </c>
      <c r="AA13" s="536"/>
    </row>
    <row r="14" spans="1:27" outlineLevel="1" x14ac:dyDescent="0.25">
      <c r="A14" s="283"/>
      <c r="B14" s="623"/>
      <c r="C14" s="601" t="s">
        <v>98</v>
      </c>
      <c r="D14" s="284">
        <v>1</v>
      </c>
      <c r="E14" s="285">
        <v>60</v>
      </c>
      <c r="F14" s="286">
        <v>1</v>
      </c>
      <c r="G14" s="415"/>
      <c r="H14" s="825"/>
      <c r="I14" s="212"/>
      <c r="J14" s="528"/>
      <c r="K14" s="336" t="str">
        <f t="shared" ref="K14:K15" si="3">C14</f>
        <v>Horizon 360 BI Enterprise License</v>
      </c>
      <c r="L14" s="381"/>
      <c r="M14" s="846" t="s">
        <v>430</v>
      </c>
      <c r="N14" s="370"/>
      <c r="O14" s="266" t="str">
        <f t="shared" ref="O14:O15" si="4">C14</f>
        <v>Horizon 360 BI Enterprise License</v>
      </c>
      <c r="P14" s="306"/>
      <c r="Q14" s="849" t="s">
        <v>430</v>
      </c>
      <c r="R14" s="478"/>
      <c r="S14" s="86"/>
      <c r="T14" s="87"/>
      <c r="U14" s="89"/>
      <c r="V14" s="89"/>
      <c r="W14" s="89"/>
      <c r="X14" s="89"/>
      <c r="Y14" s="89"/>
      <c r="Z14" s="168">
        <f t="shared" si="0"/>
        <v>0</v>
      </c>
      <c r="AA14" s="535"/>
    </row>
    <row r="15" spans="1:27" outlineLevel="1" x14ac:dyDescent="0.25">
      <c r="A15" s="445"/>
      <c r="B15" s="623"/>
      <c r="C15" s="601" t="s">
        <v>99</v>
      </c>
      <c r="D15" s="284">
        <v>1</v>
      </c>
      <c r="E15" s="285">
        <v>60</v>
      </c>
      <c r="F15" s="286">
        <v>1</v>
      </c>
      <c r="G15" s="415"/>
      <c r="H15" s="825"/>
      <c r="I15" s="212"/>
      <c r="J15" s="528"/>
      <c r="K15" s="336" t="str">
        <f t="shared" si="3"/>
        <v>Horizon 360 BI Web Administrator</v>
      </c>
      <c r="L15" s="381"/>
      <c r="M15" s="846" t="s">
        <v>430</v>
      </c>
      <c r="N15" s="370"/>
      <c r="O15" s="266" t="str">
        <f t="shared" si="4"/>
        <v>Horizon 360 BI Web Administrator</v>
      </c>
      <c r="P15" s="306"/>
      <c r="Q15" s="849" t="s">
        <v>430</v>
      </c>
      <c r="R15" s="479"/>
      <c r="S15" s="86"/>
      <c r="T15" s="87"/>
      <c r="U15" s="89"/>
      <c r="V15" s="89"/>
      <c r="W15" s="89"/>
      <c r="X15" s="89"/>
      <c r="Y15" s="89"/>
      <c r="Z15" s="168">
        <f t="shared" si="0"/>
        <v>0</v>
      </c>
      <c r="AA15" s="536"/>
    </row>
    <row r="16" spans="1:27" outlineLevel="1" x14ac:dyDescent="0.25">
      <c r="A16" s="445"/>
      <c r="B16" s="623"/>
      <c r="C16" s="601" t="s">
        <v>434</v>
      </c>
      <c r="D16" s="284">
        <v>1</v>
      </c>
      <c r="E16" s="285">
        <v>60</v>
      </c>
      <c r="F16" s="286">
        <v>1</v>
      </c>
      <c r="G16" s="415"/>
      <c r="H16" s="825"/>
      <c r="I16" s="212"/>
      <c r="J16" s="528"/>
      <c r="K16" s="336" t="str">
        <f t="shared" si="1"/>
        <v>3rd Party Interface: CASS Certification - WorksRight</v>
      </c>
      <c r="L16" s="862"/>
      <c r="M16" s="846" t="s">
        <v>430</v>
      </c>
      <c r="N16" s="370"/>
      <c r="O16" s="266" t="str">
        <f t="shared" si="2"/>
        <v>3rd Party Interface: CASS Certification - WorksRight</v>
      </c>
      <c r="P16" s="864"/>
      <c r="Q16" s="849" t="s">
        <v>430</v>
      </c>
      <c r="R16" s="479"/>
      <c r="S16" s="86"/>
      <c r="T16" s="87"/>
      <c r="U16" s="89"/>
      <c r="V16" s="89"/>
      <c r="W16" s="89"/>
      <c r="X16" s="89"/>
      <c r="Y16" s="89"/>
      <c r="Z16" s="168">
        <f t="shared" si="0"/>
        <v>0</v>
      </c>
      <c r="AA16" s="536"/>
    </row>
    <row r="17" spans="1:27" outlineLevel="1" x14ac:dyDescent="0.25">
      <c r="A17" s="283"/>
      <c r="B17" s="623"/>
      <c r="C17" s="601" t="s">
        <v>435</v>
      </c>
      <c r="D17" s="284">
        <v>1</v>
      </c>
      <c r="E17" s="285">
        <v>60</v>
      </c>
      <c r="F17" s="286">
        <v>1</v>
      </c>
      <c r="G17" s="415"/>
      <c r="H17" s="825"/>
      <c r="I17" s="212"/>
      <c r="J17" s="528"/>
      <c r="K17" s="336" t="str">
        <f t="shared" si="1"/>
        <v>3rd Party Interface: Internet Banking - Q2 eBanking</v>
      </c>
      <c r="L17" s="862"/>
      <c r="M17" s="846" t="s">
        <v>430</v>
      </c>
      <c r="N17" s="370"/>
      <c r="O17" s="266" t="str">
        <f t="shared" si="2"/>
        <v>3rd Party Interface: Internet Banking - Q2 eBanking</v>
      </c>
      <c r="P17" s="306"/>
      <c r="Q17" s="849" t="s">
        <v>430</v>
      </c>
      <c r="R17" s="478"/>
      <c r="S17" s="86"/>
      <c r="T17" s="87"/>
      <c r="U17" s="89"/>
      <c r="V17" s="89"/>
      <c r="W17" s="89"/>
      <c r="X17" s="89"/>
      <c r="Y17" s="89"/>
      <c r="Z17" s="168">
        <f t="shared" si="0"/>
        <v>0</v>
      </c>
      <c r="AA17" s="535"/>
    </row>
    <row r="18" spans="1:27" outlineLevel="1" x14ac:dyDescent="0.25">
      <c r="A18" s="283"/>
      <c r="B18" s="623"/>
      <c r="C18" s="601" t="s">
        <v>436</v>
      </c>
      <c r="D18" s="284">
        <v>1</v>
      </c>
      <c r="E18" s="285">
        <v>60</v>
      </c>
      <c r="F18" s="286">
        <v>1</v>
      </c>
      <c r="G18" s="415"/>
      <c r="H18" s="825"/>
      <c r="I18" s="212"/>
      <c r="J18" s="528"/>
      <c r="K18" s="336" t="str">
        <f t="shared" si="1"/>
        <v>Item Processing Services (NEW Format)</v>
      </c>
      <c r="L18" s="862"/>
      <c r="M18" s="846" t="s">
        <v>430</v>
      </c>
      <c r="N18" s="370"/>
      <c r="O18" s="266" t="str">
        <f t="shared" si="2"/>
        <v>Item Processing Services (NEW Format)</v>
      </c>
      <c r="P18" s="864"/>
      <c r="Q18" s="849" t="s">
        <v>430</v>
      </c>
      <c r="R18" s="478"/>
      <c r="S18" s="86"/>
      <c r="T18" s="87"/>
      <c r="U18" s="89"/>
      <c r="V18" s="89"/>
      <c r="W18" s="89"/>
      <c r="X18" s="89"/>
      <c r="Y18" s="89"/>
      <c r="Z18" s="168">
        <f t="shared" si="0"/>
        <v>0</v>
      </c>
      <c r="AA18" s="535"/>
    </row>
    <row r="19" spans="1:27" outlineLevel="1" x14ac:dyDescent="0.25">
      <c r="A19" s="445"/>
      <c r="B19" s="623"/>
      <c r="C19" s="601" t="s">
        <v>437</v>
      </c>
      <c r="D19" s="284">
        <v>1</v>
      </c>
      <c r="E19" s="285">
        <v>60</v>
      </c>
      <c r="F19" s="286">
        <v>1</v>
      </c>
      <c r="G19" s="415"/>
      <c r="H19" s="825"/>
      <c r="I19" s="212"/>
      <c r="J19" s="528"/>
      <c r="K19" s="336" t="str">
        <f t="shared" si="1"/>
        <v>DirectLINK Merchant</v>
      </c>
      <c r="L19" s="862"/>
      <c r="M19" s="846" t="s">
        <v>430</v>
      </c>
      <c r="N19" s="370"/>
      <c r="O19" s="266" t="str">
        <f t="shared" si="2"/>
        <v>DirectLINK Merchant</v>
      </c>
      <c r="P19" s="864"/>
      <c r="Q19" s="849" t="s">
        <v>430</v>
      </c>
      <c r="R19" s="479"/>
      <c r="S19" s="86"/>
      <c r="T19" s="87"/>
      <c r="U19" s="89"/>
      <c r="V19" s="89"/>
      <c r="W19" s="89"/>
      <c r="X19" s="89"/>
      <c r="Y19" s="89"/>
      <c r="Z19" s="168">
        <f t="shared" si="0"/>
        <v>0</v>
      </c>
      <c r="AA19" s="536"/>
    </row>
    <row r="20" spans="1:27" outlineLevel="1" x14ac:dyDescent="0.25">
      <c r="A20" s="445"/>
      <c r="B20" s="623"/>
      <c r="C20" s="601" t="s">
        <v>438</v>
      </c>
      <c r="D20" s="284">
        <v>1</v>
      </c>
      <c r="E20" s="285">
        <v>60</v>
      </c>
      <c r="F20" s="286">
        <v>1</v>
      </c>
      <c r="G20" s="415"/>
      <c r="H20" s="825"/>
      <c r="I20" s="212"/>
      <c r="J20" s="528"/>
      <c r="K20" s="336" t="str">
        <f t="shared" si="1"/>
        <v>Network Services</v>
      </c>
      <c r="L20" s="381"/>
      <c r="M20" s="846" t="s">
        <v>430</v>
      </c>
      <c r="N20" s="370"/>
      <c r="O20" s="266" t="str">
        <f t="shared" si="2"/>
        <v>Network Services</v>
      </c>
      <c r="P20" s="306"/>
      <c r="Q20" s="849" t="s">
        <v>430</v>
      </c>
      <c r="R20" s="479"/>
      <c r="S20" s="86"/>
      <c r="T20" s="87"/>
      <c r="U20" s="89"/>
      <c r="V20" s="89"/>
      <c r="W20" s="89"/>
      <c r="X20" s="89"/>
      <c r="Y20" s="89"/>
      <c r="Z20" s="168">
        <f t="shared" si="0"/>
        <v>0</v>
      </c>
      <c r="AA20" s="536"/>
    </row>
    <row r="21" spans="1:27" outlineLevel="1" x14ac:dyDescent="0.25">
      <c r="A21" s="283"/>
      <c r="B21" s="623"/>
      <c r="C21" s="601" t="s">
        <v>439</v>
      </c>
      <c r="D21" s="284">
        <v>1</v>
      </c>
      <c r="E21" s="285">
        <v>60</v>
      </c>
      <c r="F21" s="286">
        <v>1</v>
      </c>
      <c r="G21" s="415"/>
      <c r="H21" s="825"/>
      <c r="I21" s="212"/>
      <c r="J21" s="528"/>
      <c r="K21" s="336" t="str">
        <f t="shared" si="1"/>
        <v>One time fee</v>
      </c>
      <c r="L21" s="381">
        <v>184401</v>
      </c>
      <c r="M21" s="125" cm="1">
        <f t="array" ref="M21">_xlfn.IFS(L21="WAIVED",0,L21&gt;0,$L21*$D21, L21=0,0)</f>
        <v>184401</v>
      </c>
      <c r="N21" s="370"/>
      <c r="O21" s="266" t="str">
        <f t="shared" si="2"/>
        <v>One time fee</v>
      </c>
      <c r="P21" s="306">
        <v>206901</v>
      </c>
      <c r="Q21" s="160" cm="1">
        <f t="array" ref="Q21">_xlfn.IFS(P21="WAIVED",0,P21&gt;0,$P21*$D21, P21=0,0)</f>
        <v>206901</v>
      </c>
      <c r="R21" s="478"/>
      <c r="S21" s="86"/>
      <c r="T21" s="87"/>
      <c r="U21" s="89"/>
      <c r="V21" s="89"/>
      <c r="W21" s="89"/>
      <c r="X21" s="89"/>
      <c r="Y21" s="89"/>
      <c r="Z21" s="168">
        <f t="shared" si="0"/>
        <v>0</v>
      </c>
      <c r="AA21" s="535"/>
    </row>
    <row r="22" spans="1:27" s="856" customFormat="1" outlineLevel="1" x14ac:dyDescent="0.25">
      <c r="A22" s="837"/>
      <c r="B22" s="838" t="s">
        <v>440</v>
      </c>
      <c r="C22" s="839" t="s">
        <v>441</v>
      </c>
      <c r="D22" s="840">
        <v>1</v>
      </c>
      <c r="E22" s="841">
        <v>60</v>
      </c>
      <c r="F22" s="842">
        <v>1</v>
      </c>
      <c r="G22" s="859"/>
      <c r="H22" s="861"/>
      <c r="I22" s="843"/>
      <c r="J22" s="844"/>
      <c r="K22" s="845"/>
      <c r="L22" s="863"/>
      <c r="M22" s="846"/>
      <c r="N22" s="847" t="s">
        <v>442</v>
      </c>
      <c r="O22" s="860" t="s">
        <v>441</v>
      </c>
      <c r="P22" s="865"/>
      <c r="Q22" s="849" t="s">
        <v>430</v>
      </c>
      <c r="R22" s="850" t="s">
        <v>442</v>
      </c>
      <c r="S22" s="851"/>
      <c r="T22" s="852"/>
      <c r="U22" s="853"/>
      <c r="V22" s="853"/>
      <c r="W22" s="853"/>
      <c r="X22" s="853"/>
      <c r="Y22" s="853"/>
      <c r="Z22" s="854">
        <f t="shared" ref="Z22:Z31" si="5">$T22*$D22</f>
        <v>0</v>
      </c>
      <c r="AA22" s="855"/>
    </row>
    <row r="23" spans="1:27" s="856" customFormat="1" outlineLevel="1" x14ac:dyDescent="0.25">
      <c r="A23" s="837"/>
      <c r="B23" s="838" t="s">
        <v>440</v>
      </c>
      <c r="C23" s="839" t="s">
        <v>443</v>
      </c>
      <c r="D23" s="840">
        <v>1</v>
      </c>
      <c r="E23" s="841">
        <v>60</v>
      </c>
      <c r="F23" s="842">
        <v>1</v>
      </c>
      <c r="G23" s="859"/>
      <c r="H23" s="861"/>
      <c r="I23" s="843"/>
      <c r="J23" s="844"/>
      <c r="K23" s="845"/>
      <c r="L23" s="863"/>
      <c r="M23" s="846"/>
      <c r="N23" s="847" t="s">
        <v>442</v>
      </c>
      <c r="O23" s="860" t="s">
        <v>443</v>
      </c>
      <c r="P23" s="865"/>
      <c r="Q23" s="849" t="s">
        <v>430</v>
      </c>
      <c r="R23" s="850" t="s">
        <v>442</v>
      </c>
      <c r="S23" s="851"/>
      <c r="T23" s="852"/>
      <c r="U23" s="853"/>
      <c r="V23" s="853"/>
      <c r="W23" s="853"/>
      <c r="X23" s="853"/>
      <c r="Y23" s="853"/>
      <c r="Z23" s="854">
        <f t="shared" si="5"/>
        <v>0</v>
      </c>
      <c r="AA23" s="855"/>
    </row>
    <row r="24" spans="1:27" s="856" customFormat="1" outlineLevel="1" x14ac:dyDescent="0.25">
      <c r="A24" s="837"/>
      <c r="B24" s="838" t="s">
        <v>440</v>
      </c>
      <c r="C24" s="839" t="s">
        <v>444</v>
      </c>
      <c r="D24" s="840">
        <v>1</v>
      </c>
      <c r="E24" s="841">
        <v>60</v>
      </c>
      <c r="F24" s="842">
        <v>1</v>
      </c>
      <c r="G24" s="859"/>
      <c r="H24" s="861"/>
      <c r="I24" s="843"/>
      <c r="J24" s="844"/>
      <c r="K24" s="845"/>
      <c r="L24" s="863"/>
      <c r="M24" s="846"/>
      <c r="N24" s="847" t="s">
        <v>442</v>
      </c>
      <c r="O24" s="860" t="s">
        <v>444</v>
      </c>
      <c r="P24" s="865"/>
      <c r="Q24" s="849" t="s">
        <v>430</v>
      </c>
      <c r="R24" s="850" t="s">
        <v>442</v>
      </c>
      <c r="S24" s="851"/>
      <c r="T24" s="852"/>
      <c r="U24" s="853"/>
      <c r="V24" s="853"/>
      <c r="W24" s="853"/>
      <c r="X24" s="853"/>
      <c r="Y24" s="853"/>
      <c r="Z24" s="854">
        <f t="shared" si="5"/>
        <v>0</v>
      </c>
      <c r="AA24" s="855"/>
    </row>
    <row r="25" spans="1:27" s="856" customFormat="1" outlineLevel="1" x14ac:dyDescent="0.25">
      <c r="A25" s="857"/>
      <c r="B25" s="838" t="s">
        <v>440</v>
      </c>
      <c r="C25" s="839" t="s">
        <v>445</v>
      </c>
      <c r="D25" s="840">
        <v>1</v>
      </c>
      <c r="E25" s="841">
        <v>60</v>
      </c>
      <c r="F25" s="842">
        <v>1</v>
      </c>
      <c r="G25" s="859"/>
      <c r="H25" s="861"/>
      <c r="I25" s="843"/>
      <c r="J25" s="844"/>
      <c r="K25" s="858" t="str">
        <f t="shared" ref="K25:K30" si="6">C25</f>
        <v>Content Management</v>
      </c>
      <c r="L25" s="863"/>
      <c r="M25" s="846" t="s">
        <v>430</v>
      </c>
      <c r="N25" s="847" t="s">
        <v>442</v>
      </c>
      <c r="O25" s="860" t="str">
        <f t="shared" ref="O25:O30" si="7">K25</f>
        <v>Content Management</v>
      </c>
      <c r="P25" s="865"/>
      <c r="Q25" s="849" t="s">
        <v>430</v>
      </c>
      <c r="R25" s="850" t="s">
        <v>442</v>
      </c>
      <c r="S25" s="851"/>
      <c r="T25" s="852"/>
      <c r="U25" s="853"/>
      <c r="V25" s="853"/>
      <c r="W25" s="853"/>
      <c r="X25" s="853"/>
      <c r="Y25" s="853"/>
      <c r="Z25" s="854">
        <f t="shared" si="5"/>
        <v>0</v>
      </c>
      <c r="AA25" s="855"/>
    </row>
    <row r="26" spans="1:27" s="856" customFormat="1" outlineLevel="1" x14ac:dyDescent="0.25">
      <c r="A26" s="857"/>
      <c r="B26" s="838" t="s">
        <v>440</v>
      </c>
      <c r="C26" s="839" t="s">
        <v>446</v>
      </c>
      <c r="D26" s="840">
        <v>1</v>
      </c>
      <c r="E26" s="841">
        <v>60</v>
      </c>
      <c r="F26" s="842">
        <v>1</v>
      </c>
      <c r="G26" s="859"/>
      <c r="H26" s="861"/>
      <c r="I26" s="843"/>
      <c r="J26" s="844"/>
      <c r="K26" s="858" t="str">
        <f t="shared" si="6"/>
        <v>DL Merchant</v>
      </c>
      <c r="L26" s="863"/>
      <c r="M26" s="846" t="s">
        <v>430</v>
      </c>
      <c r="N26" s="847" t="s">
        <v>442</v>
      </c>
      <c r="O26" s="860" t="str">
        <f t="shared" si="7"/>
        <v>DL Merchant</v>
      </c>
      <c r="P26" s="865"/>
      <c r="Q26" s="849" t="s">
        <v>430</v>
      </c>
      <c r="R26" s="850" t="s">
        <v>442</v>
      </c>
      <c r="S26" s="851"/>
      <c r="T26" s="852"/>
      <c r="U26" s="853"/>
      <c r="V26" s="853"/>
      <c r="W26" s="853"/>
      <c r="X26" s="853"/>
      <c r="Y26" s="853"/>
      <c r="Z26" s="854">
        <f t="shared" si="5"/>
        <v>0</v>
      </c>
      <c r="AA26" s="855"/>
    </row>
    <row r="27" spans="1:27" s="856" customFormat="1" outlineLevel="1" x14ac:dyDescent="0.25">
      <c r="A27" s="857"/>
      <c r="B27" s="838" t="s">
        <v>440</v>
      </c>
      <c r="C27" s="839" t="s">
        <v>447</v>
      </c>
      <c r="D27" s="840">
        <v>1</v>
      </c>
      <c r="E27" s="841">
        <v>60</v>
      </c>
      <c r="F27" s="842">
        <v>1</v>
      </c>
      <c r="G27" s="859"/>
      <c r="H27" s="861"/>
      <c r="I27" s="843"/>
      <c r="J27" s="844"/>
      <c r="K27" s="858" t="str">
        <f t="shared" si="6"/>
        <v>EFT</v>
      </c>
      <c r="L27" s="863"/>
      <c r="M27" s="846" t="s">
        <v>430</v>
      </c>
      <c r="N27" s="847" t="s">
        <v>442</v>
      </c>
      <c r="O27" s="860" t="str">
        <f t="shared" si="7"/>
        <v>EFT</v>
      </c>
      <c r="P27" s="865"/>
      <c r="Q27" s="849" t="s">
        <v>430</v>
      </c>
      <c r="R27" s="850" t="s">
        <v>442</v>
      </c>
      <c r="S27" s="851"/>
      <c r="T27" s="852"/>
      <c r="U27" s="853"/>
      <c r="V27" s="853"/>
      <c r="W27" s="853"/>
      <c r="X27" s="853"/>
      <c r="Y27" s="853"/>
      <c r="Z27" s="854">
        <f t="shared" si="5"/>
        <v>0</v>
      </c>
      <c r="AA27" s="855"/>
    </row>
    <row r="28" spans="1:27" s="856" customFormat="1" outlineLevel="1" x14ac:dyDescent="0.25">
      <c r="A28" s="857"/>
      <c r="B28" s="838" t="s">
        <v>440</v>
      </c>
      <c r="C28" s="839" t="s">
        <v>448</v>
      </c>
      <c r="D28" s="840">
        <v>1</v>
      </c>
      <c r="E28" s="841">
        <v>60</v>
      </c>
      <c r="F28" s="842">
        <v>1</v>
      </c>
      <c r="G28" s="859"/>
      <c r="H28" s="861"/>
      <c r="I28" s="843"/>
      <c r="J28" s="844"/>
      <c r="K28" s="858" t="str">
        <f t="shared" si="6"/>
        <v>Voice Response</v>
      </c>
      <c r="L28" s="863"/>
      <c r="M28" s="846" t="s">
        <v>430</v>
      </c>
      <c r="N28" s="847" t="s">
        <v>442</v>
      </c>
      <c r="O28" s="860" t="str">
        <f t="shared" si="7"/>
        <v>Voice Response</v>
      </c>
      <c r="P28" s="865"/>
      <c r="Q28" s="849" t="s">
        <v>430</v>
      </c>
      <c r="R28" s="850" t="s">
        <v>442</v>
      </c>
      <c r="S28" s="851"/>
      <c r="T28" s="852"/>
      <c r="U28" s="853"/>
      <c r="V28" s="853"/>
      <c r="W28" s="853"/>
      <c r="X28" s="853"/>
      <c r="Y28" s="853"/>
      <c r="Z28" s="854">
        <f t="shared" si="5"/>
        <v>0</v>
      </c>
      <c r="AA28" s="855"/>
    </row>
    <row r="29" spans="1:27" s="856" customFormat="1" outlineLevel="1" x14ac:dyDescent="0.25">
      <c r="A29" s="857"/>
      <c r="B29" s="838" t="s">
        <v>440</v>
      </c>
      <c r="C29" s="839" t="s">
        <v>449</v>
      </c>
      <c r="D29" s="840">
        <v>1</v>
      </c>
      <c r="E29" s="841">
        <v>60</v>
      </c>
      <c r="F29" s="842">
        <v>1</v>
      </c>
      <c r="G29" s="859"/>
      <c r="H29" s="861"/>
      <c r="I29" s="843"/>
      <c r="J29" s="844"/>
      <c r="K29" s="858" t="str">
        <f t="shared" si="6"/>
        <v>FXD</v>
      </c>
      <c r="L29" s="863"/>
      <c r="M29" s="846" t="s">
        <v>430</v>
      </c>
      <c r="N29" s="847" t="s">
        <v>442</v>
      </c>
      <c r="O29" s="860" t="str">
        <f t="shared" si="7"/>
        <v>FXD</v>
      </c>
      <c r="P29" s="865"/>
      <c r="Q29" s="849" t="s">
        <v>430</v>
      </c>
      <c r="R29" s="850" t="s">
        <v>442</v>
      </c>
      <c r="S29" s="851"/>
      <c r="T29" s="852"/>
      <c r="U29" s="853"/>
      <c r="V29" s="853"/>
      <c r="W29" s="853"/>
      <c r="X29" s="853"/>
      <c r="Y29" s="853"/>
      <c r="Z29" s="854">
        <f t="shared" si="5"/>
        <v>0</v>
      </c>
      <c r="AA29" s="855"/>
    </row>
    <row r="30" spans="1:27" s="856" customFormat="1" outlineLevel="1" x14ac:dyDescent="0.25">
      <c r="A30" s="857"/>
      <c r="B30" s="838" t="s">
        <v>440</v>
      </c>
      <c r="C30" s="839" t="s">
        <v>450</v>
      </c>
      <c r="D30" s="840">
        <v>1</v>
      </c>
      <c r="E30" s="841">
        <v>60</v>
      </c>
      <c r="F30" s="842">
        <v>1</v>
      </c>
      <c r="G30" s="859"/>
      <c r="H30" s="861"/>
      <c r="I30" s="843"/>
      <c r="J30" s="844"/>
      <c r="K30" s="858" t="str">
        <f t="shared" si="6"/>
        <v>IP</v>
      </c>
      <c r="L30" s="863"/>
      <c r="M30" s="846" t="s">
        <v>430</v>
      </c>
      <c r="N30" s="847" t="s">
        <v>442</v>
      </c>
      <c r="O30" s="860" t="str">
        <f t="shared" si="7"/>
        <v>IP</v>
      </c>
      <c r="P30" s="865"/>
      <c r="Q30" s="849" t="s">
        <v>430</v>
      </c>
      <c r="R30" s="850" t="s">
        <v>442</v>
      </c>
      <c r="S30" s="851"/>
      <c r="T30" s="852"/>
      <c r="U30" s="853"/>
      <c r="V30" s="853"/>
      <c r="W30" s="853"/>
      <c r="X30" s="853"/>
      <c r="Y30" s="853"/>
      <c r="Z30" s="854">
        <f t="shared" si="5"/>
        <v>0</v>
      </c>
      <c r="AA30" s="855"/>
    </row>
    <row r="31" spans="1:27" outlineLevel="1" x14ac:dyDescent="0.25">
      <c r="A31" s="445"/>
      <c r="B31" s="623"/>
      <c r="C31" s="601" t="s">
        <v>451</v>
      </c>
      <c r="D31" s="284">
        <v>1</v>
      </c>
      <c r="E31" s="285">
        <v>60</v>
      </c>
      <c r="F31" s="286">
        <v>1</v>
      </c>
      <c r="G31" s="415"/>
      <c r="H31" s="866"/>
      <c r="I31" s="212"/>
      <c r="J31" s="528"/>
      <c r="K31" s="336" t="str">
        <f>C31</f>
        <v>Legacy Conversion</v>
      </c>
      <c r="L31" s="799" t="s">
        <v>452</v>
      </c>
      <c r="M31" s="125" cm="1">
        <f t="array" ref="M31">_xlfn.IFS(L31="TBD per Proposal",0,L31&gt;0,$L31*$D31, L31=0,0)</f>
        <v>0</v>
      </c>
      <c r="N31" s="370"/>
      <c r="O31" s="266" t="str">
        <f t="shared" si="2"/>
        <v>Legacy Conversion</v>
      </c>
      <c r="P31" s="867"/>
      <c r="Q31" s="160" cm="1">
        <f t="array" ref="Q31">_xlfn.IFS(P31="TBD",0,P31&gt;0,$P31*$D31, P31=0,0)</f>
        <v>0</v>
      </c>
      <c r="R31" s="479"/>
      <c r="S31" s="86"/>
      <c r="T31" s="87"/>
      <c r="U31" s="89"/>
      <c r="V31" s="89"/>
      <c r="W31" s="89"/>
      <c r="X31" s="89"/>
      <c r="Y31" s="89"/>
      <c r="Z31" s="168">
        <f t="shared" si="5"/>
        <v>0</v>
      </c>
      <c r="AA31" s="536"/>
    </row>
    <row r="32" spans="1:27" outlineLevel="1" x14ac:dyDescent="0.25">
      <c r="A32" s="445"/>
      <c r="B32" s="445"/>
      <c r="C32" s="601"/>
      <c r="D32" s="284"/>
      <c r="E32" s="285"/>
      <c r="F32" s="286"/>
      <c r="G32" s="415"/>
      <c r="H32" s="250"/>
      <c r="I32" s="212"/>
      <c r="J32" s="528"/>
      <c r="K32" s="336"/>
      <c r="L32" s="328"/>
      <c r="M32" s="125" cm="1">
        <f t="array" ref="M32">_xlfn.IFS(L32="WAIVED",0,L32&gt;0,$L32*$D32, L32=0,0)</f>
        <v>0</v>
      </c>
      <c r="N32" s="370"/>
      <c r="O32" s="265"/>
      <c r="P32" s="133"/>
      <c r="Q32" s="160" cm="1">
        <f t="array" ref="Q32">_xlfn.IFS(P32="WAIVED",0,P32&gt;0,$P32*$D32, P32=0,0)</f>
        <v>0</v>
      </c>
      <c r="R32" s="479"/>
      <c r="S32" s="86"/>
      <c r="T32" s="87"/>
      <c r="U32" s="89"/>
      <c r="V32" s="89"/>
      <c r="W32" s="89"/>
      <c r="X32" s="89"/>
      <c r="Y32" s="89"/>
      <c r="Z32" s="168">
        <f t="shared" si="0"/>
        <v>0</v>
      </c>
      <c r="AA32" s="536"/>
    </row>
    <row r="33" spans="1:27" outlineLevel="1" x14ac:dyDescent="0.25">
      <c r="A33" s="283"/>
      <c r="B33" s="283"/>
      <c r="C33" s="601"/>
      <c r="D33" s="284"/>
      <c r="E33" s="285"/>
      <c r="F33" s="286"/>
      <c r="G33" s="415"/>
      <c r="H33" s="825"/>
      <c r="I33" s="212"/>
      <c r="J33" s="528"/>
      <c r="K33" s="336"/>
      <c r="L33" s="328"/>
      <c r="M33" s="125" cm="1">
        <f t="array" ref="M33">_xlfn.IFS(L33="WAIVED",0,L33&gt;0,$L33*$D33, L33=0,0)</f>
        <v>0</v>
      </c>
      <c r="N33" s="370"/>
      <c r="O33" s="266"/>
      <c r="P33" s="133"/>
      <c r="Q33" s="160" cm="1">
        <f t="array" ref="Q33">_xlfn.IFS(P33="WAIVED",0,P33&gt;0,$P33*$D33, P33=0,0)</f>
        <v>0</v>
      </c>
      <c r="R33" s="478"/>
      <c r="S33" s="86"/>
      <c r="T33" s="87"/>
      <c r="U33" s="89"/>
      <c r="V33" s="89"/>
      <c r="W33" s="89"/>
      <c r="X33" s="89"/>
      <c r="Y33" s="89"/>
      <c r="Z33" s="168">
        <f t="shared" si="0"/>
        <v>0</v>
      </c>
      <c r="AA33" s="535"/>
    </row>
    <row r="34" spans="1:27" outlineLevel="1" x14ac:dyDescent="0.25">
      <c r="A34" s="283"/>
      <c r="B34" s="283"/>
      <c r="C34" s="601"/>
      <c r="D34" s="284"/>
      <c r="E34" s="285"/>
      <c r="F34" s="286"/>
      <c r="G34" s="53"/>
      <c r="H34" s="250"/>
      <c r="I34" s="212"/>
      <c r="J34" s="528"/>
      <c r="K34" s="62"/>
      <c r="L34" s="328"/>
      <c r="M34" s="125" cm="1">
        <f t="array" ref="M34">_xlfn.IFS(L34="WAIVED",0,L34&gt;0,$L34*$D34, L34=0,0)</f>
        <v>0</v>
      </c>
      <c r="N34" s="370"/>
      <c r="O34" s="266"/>
      <c r="P34" s="133"/>
      <c r="Q34" s="160" cm="1">
        <f t="array" ref="Q34">_xlfn.IFS(P34="WAIVED",0,P34&gt;0,$P34*$D34, P34=0,0)</f>
        <v>0</v>
      </c>
      <c r="R34" s="478"/>
      <c r="S34" s="86"/>
      <c r="T34" s="87"/>
      <c r="U34" s="89"/>
      <c r="V34" s="89"/>
      <c r="W34" s="89"/>
      <c r="X34" s="89"/>
      <c r="Y34" s="89"/>
      <c r="Z34" s="168">
        <f t="shared" si="0"/>
        <v>0</v>
      </c>
      <c r="AA34" s="535"/>
    </row>
    <row r="35" spans="1:27" ht="3.75" customHeight="1" outlineLevel="1" x14ac:dyDescent="0.25">
      <c r="A35" s="16"/>
      <c r="B35" s="16"/>
      <c r="C35" s="263"/>
      <c r="D35" s="607"/>
      <c r="E35" s="607"/>
      <c r="F35" s="16"/>
      <c r="G35" s="16"/>
      <c r="H35" s="19"/>
      <c r="I35" s="17"/>
      <c r="J35" s="21"/>
      <c r="K35" s="16"/>
      <c r="L35" s="20"/>
      <c r="M35" s="21"/>
      <c r="N35" s="21"/>
      <c r="O35" s="263"/>
      <c r="P35" s="20"/>
      <c r="Q35" s="21"/>
      <c r="R35" s="21"/>
      <c r="S35" s="20"/>
      <c r="T35" s="20"/>
      <c r="U35" s="20"/>
      <c r="V35" s="20"/>
      <c r="W35" s="20"/>
      <c r="X35" s="20"/>
      <c r="Y35" s="20"/>
      <c r="Z35" s="22"/>
      <c r="AA35" s="21"/>
    </row>
    <row r="36" spans="1:27" s="496" customFormat="1" x14ac:dyDescent="0.25">
      <c r="A36" s="77"/>
      <c r="B36" s="77"/>
      <c r="C36" s="298" t="s">
        <v>453</v>
      </c>
      <c r="D36" s="610"/>
      <c r="E36" s="610"/>
      <c r="F36" s="115"/>
      <c r="G36" s="304" t="str">
        <f>C36</f>
        <v>Implementation and Setup Fees Sum:</v>
      </c>
      <c r="H36" s="303"/>
      <c r="I36" s="210">
        <f>SUM(I7:I34)</f>
        <v>0</v>
      </c>
      <c r="J36" s="527"/>
      <c r="K36" s="320" t="str">
        <f>C36</f>
        <v>Implementation and Setup Fees Sum:</v>
      </c>
      <c r="L36" s="326"/>
      <c r="M36" s="902">
        <f>SUM(M7:M34)</f>
        <v>184401</v>
      </c>
      <c r="N36" s="362"/>
      <c r="O36" s="299" t="str">
        <f>C36</f>
        <v>Implementation and Setup Fees Sum:</v>
      </c>
      <c r="P36" s="256"/>
      <c r="Q36" s="163">
        <f>SUM(Q7:Q34)</f>
        <v>206901</v>
      </c>
      <c r="R36" s="487"/>
      <c r="S36" s="318" t="str">
        <f>C36</f>
        <v>Implementation and Setup Fees Sum:</v>
      </c>
      <c r="T36" s="150"/>
      <c r="U36" s="155"/>
      <c r="V36" s="155"/>
      <c r="W36" s="155"/>
      <c r="X36" s="155"/>
      <c r="Y36" s="155"/>
      <c r="Z36" s="166">
        <f>SUM(Z7:Z34)</f>
        <v>0</v>
      </c>
      <c r="AA36" s="533"/>
    </row>
    <row r="37" spans="1:27" ht="3.75" customHeight="1" x14ac:dyDescent="0.25">
      <c r="A37" s="16"/>
      <c r="B37" s="16"/>
      <c r="C37" s="263"/>
      <c r="D37" s="607"/>
      <c r="E37" s="607"/>
      <c r="F37" s="16"/>
      <c r="G37" s="16"/>
      <c r="H37" s="19"/>
      <c r="I37" s="17"/>
      <c r="J37" s="21"/>
      <c r="K37" s="16"/>
      <c r="L37" s="20"/>
      <c r="M37" s="21"/>
      <c r="N37" s="21"/>
      <c r="O37" s="263"/>
      <c r="P37" s="20"/>
      <c r="Q37" s="21"/>
      <c r="R37" s="21"/>
      <c r="S37" s="20"/>
      <c r="T37" s="20"/>
      <c r="U37" s="20"/>
      <c r="V37" s="20"/>
      <c r="W37" s="20"/>
      <c r="X37" s="20"/>
      <c r="Y37" s="20"/>
      <c r="Z37" s="22"/>
      <c r="AA37" s="21"/>
    </row>
    <row r="38" spans="1:27" s="497" customFormat="1" ht="38.25" x14ac:dyDescent="0.35">
      <c r="A38" s="295"/>
      <c r="B38" s="375"/>
      <c r="C38" s="801" t="s">
        <v>454</v>
      </c>
      <c r="D38" s="823" t="s">
        <v>425</v>
      </c>
      <c r="E38" s="282" t="s">
        <v>426</v>
      </c>
      <c r="F38" s="282" t="s">
        <v>427</v>
      </c>
      <c r="G38" s="800" t="str">
        <f>C38</f>
        <v>INCENTIVES, REBATES, TERM DISCOUNTS</v>
      </c>
      <c r="H38" s="301" t="s">
        <v>47</v>
      </c>
      <c r="I38" s="208" t="s">
        <v>53</v>
      </c>
      <c r="J38" s="528"/>
      <c r="K38" s="334" t="str">
        <f>C38</f>
        <v>INCENTIVES, REBATES, TERM DISCOUNTS</v>
      </c>
      <c r="L38" s="323" t="s">
        <v>47</v>
      </c>
      <c r="M38" s="122" t="s">
        <v>58</v>
      </c>
      <c r="N38" s="370"/>
      <c r="O38" s="803" t="str">
        <f>C38</f>
        <v>INCENTIVES, REBATES, TERM DISCOUNTS</v>
      </c>
      <c r="P38" s="254" t="s">
        <v>47</v>
      </c>
      <c r="Q38" s="157" t="s">
        <v>58</v>
      </c>
      <c r="R38" s="488"/>
      <c r="S38" s="491" t="str">
        <f>C38</f>
        <v>INCENTIVES, REBATES, TERM DISCOUNTS</v>
      </c>
      <c r="T38" s="236" t="s">
        <v>47</v>
      </c>
      <c r="U38" s="279"/>
      <c r="V38" s="279"/>
      <c r="W38" s="279"/>
      <c r="X38" s="279"/>
      <c r="Y38" s="279"/>
      <c r="Z38" s="355" t="s">
        <v>58</v>
      </c>
      <c r="AA38" s="534"/>
    </row>
    <row r="39" spans="1:27" outlineLevel="1" x14ac:dyDescent="0.25">
      <c r="A39" s="804"/>
      <c r="B39" s="903" t="s">
        <v>455</v>
      </c>
      <c r="C39" s="601" t="s">
        <v>456</v>
      </c>
      <c r="D39" s="284">
        <v>1</v>
      </c>
      <c r="E39" s="285">
        <v>60</v>
      </c>
      <c r="F39" s="286">
        <v>1</v>
      </c>
      <c r="G39" s="415"/>
      <c r="H39" s="250"/>
      <c r="I39" s="212">
        <f>$H39*$D39</f>
        <v>0</v>
      </c>
      <c r="J39" s="527"/>
      <c r="K39" s="416" t="str">
        <f>C39</f>
        <v>ONE TIME CREDIT - TO OFFSET ONE TIME FEES OR ADDITIONAL COSTS</v>
      </c>
      <c r="L39" s="381">
        <f>M36*-1</f>
        <v>-184401</v>
      </c>
      <c r="M39" s="125">
        <f>$L39*D39</f>
        <v>-184401</v>
      </c>
      <c r="N39" s="362"/>
      <c r="O39" s="265"/>
      <c r="P39" s="133"/>
      <c r="Q39" s="160"/>
      <c r="R39" s="479"/>
      <c r="S39" s="86"/>
      <c r="T39" s="87"/>
      <c r="U39" s="89"/>
      <c r="V39" s="89"/>
      <c r="W39" s="89"/>
      <c r="X39" s="89"/>
      <c r="Y39" s="89"/>
      <c r="Z39" s="169"/>
      <c r="AA39" s="536"/>
    </row>
    <row r="40" spans="1:27" outlineLevel="1" x14ac:dyDescent="0.25">
      <c r="A40" s="804"/>
      <c r="B40" s="903" t="s">
        <v>455</v>
      </c>
      <c r="C40" s="601" t="s">
        <v>457</v>
      </c>
      <c r="D40" s="284">
        <v>1</v>
      </c>
      <c r="E40" s="285">
        <v>60</v>
      </c>
      <c r="F40" s="286">
        <v>1</v>
      </c>
      <c r="G40" s="415"/>
      <c r="H40" s="250"/>
      <c r="I40" s="212">
        <f>$H40*$D40</f>
        <v>0</v>
      </c>
      <c r="J40" s="527"/>
      <c r="K40" s="416" t="str">
        <f>C40</f>
        <v>ONE TIME CREDIT - REMAINING CAN BE APPLIED TO RECURRING COSTS</v>
      </c>
      <c r="L40" s="381">
        <f>-400000-L39</f>
        <v>-215599</v>
      </c>
      <c r="M40" s="125">
        <f>$L40*D40</f>
        <v>-215599</v>
      </c>
      <c r="N40" s="362"/>
      <c r="O40" s="265"/>
      <c r="P40" s="133"/>
      <c r="Q40" s="160"/>
      <c r="R40" s="479"/>
      <c r="S40" s="86"/>
      <c r="T40" s="87"/>
      <c r="U40" s="89"/>
      <c r="V40" s="89"/>
      <c r="W40" s="89"/>
      <c r="X40" s="89"/>
      <c r="Y40" s="89"/>
      <c r="Z40" s="169"/>
      <c r="AA40" s="536"/>
    </row>
    <row r="41" spans="1:27" outlineLevel="1" x14ac:dyDescent="0.25">
      <c r="A41" s="804"/>
      <c r="B41" s="903" t="s">
        <v>455</v>
      </c>
      <c r="C41" s="601" t="s">
        <v>458</v>
      </c>
      <c r="D41" s="284">
        <v>1</v>
      </c>
      <c r="E41" s="285">
        <v>60</v>
      </c>
      <c r="F41" s="286">
        <v>1</v>
      </c>
      <c r="G41" s="415"/>
      <c r="H41" s="250"/>
      <c r="I41" s="212"/>
      <c r="J41" s="527"/>
      <c r="K41" s="416" t="str">
        <f>C41</f>
        <v>MC BRAND FLIP - REMAINING CREDITS TO CONTINUE WITH RENEWAL</v>
      </c>
      <c r="L41" s="381">
        <v>-259866</v>
      </c>
      <c r="M41" s="125">
        <f>$L41*D41</f>
        <v>-259866</v>
      </c>
      <c r="N41" s="362"/>
      <c r="O41" s="315"/>
      <c r="P41" s="133"/>
      <c r="Q41" s="160"/>
      <c r="R41" s="479"/>
      <c r="S41" s="86"/>
      <c r="T41" s="87"/>
      <c r="U41" s="89"/>
      <c r="V41" s="89"/>
      <c r="W41" s="89"/>
      <c r="X41" s="89"/>
      <c r="Y41" s="89"/>
      <c r="Z41" s="169"/>
      <c r="AA41" s="536"/>
    </row>
    <row r="42" spans="1:27" outlineLevel="1" x14ac:dyDescent="0.25">
      <c r="A42" s="804"/>
      <c r="B42" s="903" t="s">
        <v>455</v>
      </c>
      <c r="C42" s="601" t="s">
        <v>459</v>
      </c>
      <c r="D42" s="284"/>
      <c r="E42" s="285"/>
      <c r="F42" s="286"/>
      <c r="G42" s="415"/>
      <c r="H42" s="250"/>
      <c r="I42" s="212"/>
      <c r="J42" s="528"/>
      <c r="K42" s="416" t="str">
        <f>C42</f>
        <v>EARLY RENEWAL - 17 MONTHS IF SIGNED MARCH 2024</v>
      </c>
      <c r="L42" s="381"/>
      <c r="M42" s="125">
        <f>$L42*$D42</f>
        <v>0</v>
      </c>
      <c r="N42" s="370" t="s">
        <v>460</v>
      </c>
      <c r="O42" s="315"/>
      <c r="P42" s="133"/>
      <c r="Q42" s="160"/>
      <c r="R42" s="479"/>
      <c r="S42" s="86"/>
      <c r="T42" s="87"/>
      <c r="U42" s="89"/>
      <c r="V42" s="89"/>
      <c r="W42" s="89"/>
      <c r="X42" s="89"/>
      <c r="Y42" s="89"/>
      <c r="Z42" s="169"/>
      <c r="AA42" s="536"/>
    </row>
    <row r="43" spans="1:27" outlineLevel="1" x14ac:dyDescent="0.25">
      <c r="A43" s="938"/>
      <c r="B43" s="903" t="s">
        <v>455</v>
      </c>
      <c r="C43" s="601" t="s">
        <v>456</v>
      </c>
      <c r="D43" s="284">
        <v>1</v>
      </c>
      <c r="E43" s="285">
        <v>60</v>
      </c>
      <c r="F43" s="286">
        <v>1</v>
      </c>
      <c r="G43" s="53"/>
      <c r="H43" s="250"/>
      <c r="I43" s="212"/>
      <c r="J43" s="528"/>
      <c r="K43" s="62"/>
      <c r="L43" s="328"/>
      <c r="M43" s="125"/>
      <c r="N43" s="370"/>
      <c r="O43" s="315" t="str">
        <f>C43</f>
        <v>ONE TIME CREDIT - TO OFFSET ONE TIME FEES OR ADDITIONAL COSTS</v>
      </c>
      <c r="P43" s="306">
        <f>Q36*-1</f>
        <v>-206901</v>
      </c>
      <c r="Q43" s="160">
        <f>P43*D43</f>
        <v>-206901</v>
      </c>
      <c r="R43" s="479"/>
      <c r="S43" s="86"/>
      <c r="T43" s="87"/>
      <c r="U43" s="89"/>
      <c r="V43" s="89"/>
      <c r="W43" s="89"/>
      <c r="X43" s="89"/>
      <c r="Y43" s="89"/>
      <c r="Z43" s="169"/>
      <c r="AA43" s="536"/>
    </row>
    <row r="44" spans="1:27" outlineLevel="1" x14ac:dyDescent="0.25">
      <c r="A44" s="938"/>
      <c r="B44" s="903" t="s">
        <v>455</v>
      </c>
      <c r="C44" s="601" t="s">
        <v>457</v>
      </c>
      <c r="D44" s="284">
        <v>1</v>
      </c>
      <c r="E44" s="285">
        <v>60</v>
      </c>
      <c r="F44" s="286">
        <v>1</v>
      </c>
      <c r="G44" s="53"/>
      <c r="H44" s="250"/>
      <c r="I44" s="212"/>
      <c r="J44" s="528"/>
      <c r="K44" s="62"/>
      <c r="L44" s="328"/>
      <c r="M44" s="125"/>
      <c r="N44" s="370"/>
      <c r="O44" s="315" t="str">
        <f>C44</f>
        <v>ONE TIME CREDIT - REMAINING CAN BE APPLIED TO RECURRING COSTS</v>
      </c>
      <c r="P44" s="306">
        <f>-400000-P43</f>
        <v>-193099</v>
      </c>
      <c r="Q44" s="160">
        <f>P44*D44</f>
        <v>-193099</v>
      </c>
      <c r="R44" s="479"/>
      <c r="S44" s="86"/>
      <c r="T44" s="87"/>
      <c r="U44" s="89"/>
      <c r="V44" s="89"/>
      <c r="W44" s="89"/>
      <c r="X44" s="89"/>
      <c r="Y44" s="89"/>
      <c r="Z44" s="169"/>
      <c r="AA44" s="536"/>
    </row>
    <row r="45" spans="1:27" outlineLevel="1" x14ac:dyDescent="0.25">
      <c r="A45" s="938"/>
      <c r="B45" s="903" t="s">
        <v>455</v>
      </c>
      <c r="C45" s="601" t="s">
        <v>458</v>
      </c>
      <c r="D45" s="284">
        <v>1</v>
      </c>
      <c r="E45" s="285">
        <v>60</v>
      </c>
      <c r="F45" s="286">
        <v>1</v>
      </c>
      <c r="G45" s="53"/>
      <c r="H45" s="250"/>
      <c r="I45" s="212">
        <f>$H45*$D45</f>
        <v>0</v>
      </c>
      <c r="J45" s="528"/>
      <c r="K45" s="62"/>
      <c r="L45" s="328"/>
      <c r="M45" s="125"/>
      <c r="N45" s="370"/>
      <c r="O45" s="315" t="str">
        <f t="shared" ref="O45:O46" si="8">C45</f>
        <v>MC BRAND FLIP - REMAINING CREDITS TO CONTINUE WITH RENEWAL</v>
      </c>
      <c r="P45" s="306">
        <v>-259866</v>
      </c>
      <c r="Q45" s="160">
        <f t="shared" ref="Q45:Q46" si="9">P45*D45</f>
        <v>-259866</v>
      </c>
      <c r="R45" s="479"/>
      <c r="S45" s="86"/>
      <c r="T45" s="357"/>
      <c r="U45" s="356"/>
      <c r="V45" s="89"/>
      <c r="W45" s="89"/>
      <c r="X45" s="89"/>
      <c r="Y45" s="89"/>
      <c r="Z45" s="169"/>
      <c r="AA45" s="536"/>
    </row>
    <row r="46" spans="1:27" hidden="1" outlineLevel="1" x14ac:dyDescent="0.25">
      <c r="A46" s="938"/>
      <c r="B46" s="903" t="s">
        <v>455</v>
      </c>
      <c r="C46" s="601" t="s">
        <v>459</v>
      </c>
      <c r="D46" s="284"/>
      <c r="E46" s="285"/>
      <c r="F46" s="286"/>
      <c r="G46" s="53"/>
      <c r="H46" s="250"/>
      <c r="I46" s="212">
        <f>$H46*$D46</f>
        <v>0</v>
      </c>
      <c r="J46" s="528"/>
      <c r="K46" s="62"/>
      <c r="L46" s="328"/>
      <c r="M46" s="125"/>
      <c r="N46" s="370"/>
      <c r="O46" s="315" t="str">
        <f t="shared" si="8"/>
        <v>EARLY RENEWAL - 17 MONTHS IF SIGNED MARCH 2024</v>
      </c>
      <c r="P46" s="133"/>
      <c r="Q46" s="160">
        <f t="shared" si="9"/>
        <v>0</v>
      </c>
      <c r="R46" s="479" t="s">
        <v>460</v>
      </c>
      <c r="S46" s="86"/>
      <c r="T46" s="87"/>
      <c r="U46" s="89"/>
      <c r="V46" s="89"/>
      <c r="W46" s="89"/>
      <c r="X46" s="89"/>
      <c r="Y46" s="89"/>
      <c r="Z46" s="169"/>
      <c r="AA46" s="536"/>
    </row>
    <row r="47" spans="1:27" outlineLevel="1" x14ac:dyDescent="0.25">
      <c r="A47" s="283"/>
      <c r="B47" s="283"/>
      <c r="C47" s="601"/>
      <c r="D47" s="284"/>
      <c r="E47" s="285"/>
      <c r="F47" s="286"/>
      <c r="G47" s="53"/>
      <c r="H47" s="250"/>
      <c r="I47" s="212">
        <f>$H47*$D47</f>
        <v>0</v>
      </c>
      <c r="J47" s="528"/>
      <c r="K47" s="62"/>
      <c r="L47" s="328"/>
      <c r="M47" s="125"/>
      <c r="N47" s="370"/>
      <c r="O47" s="266"/>
      <c r="P47" s="133"/>
      <c r="Q47" s="159"/>
      <c r="R47" s="478"/>
      <c r="S47" s="86"/>
      <c r="T47" s="87"/>
      <c r="U47" s="89"/>
      <c r="V47" s="89"/>
      <c r="W47" s="89"/>
      <c r="X47" s="89"/>
      <c r="Y47" s="89"/>
      <c r="Z47" s="169"/>
      <c r="AA47" s="535"/>
    </row>
    <row r="48" spans="1:27" ht="3.75" customHeight="1" outlineLevel="1" x14ac:dyDescent="0.25">
      <c r="A48" s="16"/>
      <c r="B48" s="16"/>
      <c r="C48" s="263"/>
      <c r="D48" s="607"/>
      <c r="E48" s="607"/>
      <c r="F48" s="16"/>
      <c r="G48" s="16"/>
      <c r="H48" s="19"/>
      <c r="I48" s="17"/>
      <c r="J48" s="21"/>
      <c r="K48" s="16"/>
      <c r="L48" s="20"/>
      <c r="M48" s="21"/>
      <c r="N48" s="21"/>
      <c r="O48" s="263"/>
      <c r="P48" s="20"/>
      <c r="Q48" s="21"/>
      <c r="R48" s="21"/>
      <c r="S48" s="20"/>
      <c r="T48" s="20"/>
      <c r="U48" s="20"/>
      <c r="V48" s="20"/>
      <c r="W48" s="20"/>
      <c r="X48" s="20"/>
      <c r="Y48" s="20"/>
      <c r="Z48" s="22"/>
      <c r="AA48" s="21"/>
    </row>
    <row r="49" spans="1:27" s="496" customFormat="1" x14ac:dyDescent="0.25">
      <c r="A49" s="77"/>
      <c r="B49" s="77"/>
      <c r="C49" s="298" t="s">
        <v>461</v>
      </c>
      <c r="D49" s="610"/>
      <c r="E49" s="610"/>
      <c r="F49" s="115"/>
      <c r="G49" s="304" t="str">
        <f>C49</f>
        <v>Incentives Sum:</v>
      </c>
      <c r="H49" s="303"/>
      <c r="I49" s="210">
        <f>SUM(I39:I47)</f>
        <v>0</v>
      </c>
      <c r="J49" s="528"/>
      <c r="K49" s="319" t="str">
        <f>C49</f>
        <v>Incentives Sum:</v>
      </c>
      <c r="L49" s="326"/>
      <c r="M49" s="802">
        <f>SUM(M39:M47)</f>
        <v>-659866</v>
      </c>
      <c r="N49" s="370"/>
      <c r="O49" s="299" t="str">
        <f>C49</f>
        <v>Incentives Sum:</v>
      </c>
      <c r="P49" s="256"/>
      <c r="Q49" s="305">
        <f>SUM(Q39:Q47)</f>
        <v>-659866</v>
      </c>
      <c r="R49" s="489"/>
      <c r="S49" s="318" t="str">
        <f>C49</f>
        <v>Incentives Sum:</v>
      </c>
      <c r="T49" s="150"/>
      <c r="U49" s="155"/>
      <c r="V49" s="155"/>
      <c r="W49" s="155"/>
      <c r="X49" s="155"/>
      <c r="Y49" s="155"/>
      <c r="Z49" s="166">
        <f>SUM(Z39:Z47)</f>
        <v>0</v>
      </c>
      <c r="AA49" s="537"/>
    </row>
    <row r="50" spans="1:27" ht="3.75" customHeight="1" x14ac:dyDescent="0.25">
      <c r="A50" s="16"/>
      <c r="B50" s="16"/>
      <c r="C50" s="263"/>
      <c r="D50" s="607"/>
      <c r="E50" s="607"/>
      <c r="F50" s="16"/>
      <c r="G50" s="16"/>
      <c r="H50" s="19"/>
      <c r="I50" s="17"/>
      <c r="J50" s="21"/>
      <c r="K50" s="16"/>
      <c r="L50" s="20"/>
      <c r="M50" s="21"/>
      <c r="N50" s="21"/>
      <c r="O50" s="263"/>
      <c r="P50" s="20"/>
      <c r="Q50" s="21"/>
      <c r="R50" s="21"/>
      <c r="S50" s="20"/>
      <c r="T50" s="20"/>
      <c r="U50" s="20"/>
      <c r="V50" s="20"/>
      <c r="W50" s="20"/>
      <c r="X50" s="20"/>
      <c r="Y50" s="20"/>
      <c r="Z50" s="22"/>
      <c r="AA50" s="21"/>
    </row>
    <row r="51" spans="1:27" s="499" customFormat="1" ht="21" x14ac:dyDescent="0.25">
      <c r="A51" s="189"/>
      <c r="B51" s="189"/>
      <c r="C51" s="189" t="s">
        <v>419</v>
      </c>
      <c r="D51" s="614"/>
      <c r="E51" s="614"/>
      <c r="F51" s="190"/>
      <c r="G51" s="141" t="s">
        <v>419</v>
      </c>
      <c r="H51" s="302"/>
      <c r="I51" s="215">
        <f>SUM(I36,I49)</f>
        <v>0</v>
      </c>
      <c r="J51" s="527"/>
      <c r="K51" s="142" t="s">
        <v>419</v>
      </c>
      <c r="L51" s="329"/>
      <c r="M51" s="193">
        <f>SUM(M36,M49)</f>
        <v>-475465</v>
      </c>
      <c r="N51" s="362"/>
      <c r="O51" s="267" t="s">
        <v>419</v>
      </c>
      <c r="P51" s="259"/>
      <c r="Q51" s="194">
        <f>SUM(Q36,Q49)</f>
        <v>-452965</v>
      </c>
      <c r="R51" s="490"/>
      <c r="S51" s="195"/>
      <c r="T51" s="196"/>
      <c r="U51" s="197"/>
      <c r="V51" s="197"/>
      <c r="W51" s="197"/>
      <c r="X51" s="197"/>
      <c r="Y51" s="197"/>
      <c r="Z51" s="198" t="e">
        <f>SUM(#REF!,#REF!,#REF!,Z36,Z49)</f>
        <v>#REF!</v>
      </c>
      <c r="AA51" s="538"/>
    </row>
    <row r="52" spans="1:27" ht="3.75" customHeight="1" x14ac:dyDescent="0.25">
      <c r="A52" s="16"/>
      <c r="B52" s="16"/>
      <c r="C52" s="263"/>
      <c r="D52" s="607"/>
      <c r="E52" s="607"/>
      <c r="F52" s="16"/>
      <c r="G52" s="16"/>
      <c r="H52" s="19"/>
      <c r="I52" s="17"/>
      <c r="J52" s="21"/>
      <c r="K52" s="16"/>
      <c r="L52" s="20"/>
      <c r="M52" s="21"/>
      <c r="N52" s="21"/>
      <c r="O52" s="263"/>
      <c r="P52" s="20"/>
      <c r="Q52" s="21"/>
      <c r="R52" s="21"/>
      <c r="S52" s="20"/>
      <c r="T52" s="20"/>
      <c r="U52" s="20"/>
      <c r="V52" s="20"/>
      <c r="W52" s="20"/>
      <c r="X52" s="20"/>
      <c r="Y52" s="20"/>
      <c r="Z52" s="22"/>
      <c r="AA52" s="21"/>
    </row>
    <row r="53" spans="1:27" s="500" customFormat="1" ht="18.75" x14ac:dyDescent="0.25">
      <c r="A53" s="78"/>
      <c r="B53" s="78"/>
      <c r="C53" s="78"/>
      <c r="D53" s="615"/>
      <c r="E53" s="615"/>
      <c r="F53" s="116"/>
      <c r="G53" s="59"/>
      <c r="H53" s="58"/>
      <c r="I53" s="213">
        <f>I51/60</f>
        <v>0</v>
      </c>
      <c r="J53" s="528"/>
      <c r="K53" s="82" t="s">
        <v>462</v>
      </c>
      <c r="L53" s="330"/>
      <c r="M53" s="130">
        <f>M51/60</f>
        <v>-7924.416666666667</v>
      </c>
      <c r="N53" s="370"/>
      <c r="O53" s="307" t="s">
        <v>462</v>
      </c>
      <c r="P53" s="260"/>
      <c r="Q53" s="161">
        <f>Q51/60</f>
        <v>-7549.416666666667</v>
      </c>
      <c r="R53" s="479"/>
      <c r="S53" s="90"/>
      <c r="T53" s="91"/>
      <c r="U53" s="88"/>
      <c r="V53" s="88"/>
      <c r="W53" s="88"/>
      <c r="X53" s="88"/>
      <c r="Y53" s="88"/>
      <c r="Z53" s="170" t="e">
        <f>Z51/60</f>
        <v>#REF!</v>
      </c>
      <c r="AA53" s="536"/>
    </row>
    <row r="54" spans="1:27" x14ac:dyDescent="0.25">
      <c r="A54" s="79"/>
      <c r="B54" s="79"/>
      <c r="C54" s="79"/>
      <c r="D54" s="616"/>
      <c r="E54" s="616"/>
      <c r="F54" s="117"/>
      <c r="G54" s="56"/>
      <c r="H54" s="57"/>
      <c r="I54" s="214"/>
      <c r="J54" s="61"/>
      <c r="K54" s="65"/>
      <c r="L54" s="331"/>
      <c r="M54" s="126"/>
      <c r="N54" s="83"/>
      <c r="O54" s="268"/>
      <c r="P54" s="261"/>
      <c r="Q54" s="162"/>
      <c r="R54" s="483"/>
      <c r="S54" s="92"/>
      <c r="T54" s="93"/>
      <c r="U54" s="93"/>
      <c r="V54" s="93"/>
      <c r="W54" s="93"/>
      <c r="X54" s="93"/>
      <c r="Y54" s="93"/>
      <c r="Z54" s="171"/>
      <c r="AA54" s="539"/>
    </row>
  </sheetData>
  <mergeCells count="8">
    <mergeCell ref="G4:I4"/>
    <mergeCell ref="K4:M4"/>
    <mergeCell ref="O4:Q4"/>
    <mergeCell ref="S4:Z4"/>
    <mergeCell ref="G3:I3"/>
    <mergeCell ref="K3:M3"/>
    <mergeCell ref="O3:Q3"/>
    <mergeCell ref="S3:Z3"/>
  </mergeCells>
  <conditionalFormatting sqref="A1:A1048576">
    <cfRule type="containsText" dxfId="30" priority="7" operator="containsText" text="PASSTHRU">
      <formula>NOT(ISERROR(SEARCH("PASSTHRU",A1)))</formula>
    </cfRule>
  </conditionalFormatting>
  <pageMargins left="0.7" right="0.7" top="0.75" bottom="0.75" header="0.3" footer="0.3"/>
  <pageSetup scale="10" orientation="portrait" r:id="rId1"/>
  <colBreaks count="4" manualBreakCount="4">
    <brk id="6" max="1048575" man="1"/>
    <brk id="10" max="1048575" man="1"/>
    <brk id="14" max="1048575" man="1"/>
    <brk id="18" max="1048575" man="1"/>
  </colBreaks>
  <ignoredErrors>
    <ignoredError sqref="M31"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38246-F498-4BB4-BA79-489BB17F7320}">
  <sheetPr codeName="Sheet3"/>
  <dimension ref="A1:AS126"/>
  <sheetViews>
    <sheetView showGridLines="0" view="pageBreakPreview" topLeftCell="A2" zoomScale="70" zoomScaleNormal="75" zoomScaleSheetLayoutView="70" workbookViewId="0">
      <pane xSplit="4" ySplit="6" topLeftCell="AB8" activePane="bottomRight" state="frozen"/>
      <selection pane="topRight" activeCell="D2" sqref="D2"/>
      <selection pane="bottomLeft" activeCell="B8" sqref="B8"/>
      <selection pane="bottomRight" activeCell="AT114" sqref="AT114"/>
    </sheetView>
  </sheetViews>
  <sheetFormatPr defaultColWidth="9.28515625" defaultRowHeight="15.75" x14ac:dyDescent="0.25"/>
  <cols>
    <col min="1" max="1" width="15.28515625" style="36" bestFit="1" customWidth="1"/>
    <col min="2" max="2" width="7.7109375" style="36" bestFit="1" customWidth="1"/>
    <col min="3" max="3" width="72.5703125" style="36" bestFit="1" customWidth="1"/>
    <col min="4" max="4" width="14.85546875" style="36" customWidth="1"/>
    <col min="5" max="9" width="12" style="38" customWidth="1"/>
    <col min="10" max="10" width="42.28515625" style="34" hidden="1" customWidth="1"/>
    <col min="11" max="11" width="13" style="216" hidden="1" customWidth="1"/>
    <col min="12" max="16" width="13" style="35" hidden="1" customWidth="1"/>
    <col min="17" max="17" width="19.28515625" style="35" hidden="1" customWidth="1"/>
    <col min="18" max="18" width="58.28515625" style="34" bestFit="1" customWidth="1"/>
    <col min="19" max="19" width="15" style="395" customWidth="1"/>
    <col min="20" max="24" width="12" style="35" customWidth="1"/>
    <col min="25" max="25" width="18.28515625" style="35" customWidth="1"/>
    <col min="26" max="26" width="61.7109375" style="35" customWidth="1"/>
    <col min="27" max="27" width="58.28515625" style="34" bestFit="1" customWidth="1"/>
    <col min="28" max="28" width="14" style="27" customWidth="1"/>
    <col min="29" max="33" width="12" style="35" customWidth="1"/>
    <col min="34" max="34" width="18.7109375" style="35" customWidth="1"/>
    <col min="35" max="35" width="44.7109375" style="413" customWidth="1"/>
    <col min="36" max="36" width="47" style="27" customWidth="1"/>
    <col min="37" max="37" width="13" style="27" customWidth="1"/>
    <col min="38" max="42" width="12.85546875" style="27" customWidth="1"/>
    <col min="43" max="43" width="18.85546875" style="27" customWidth="1"/>
    <col min="44" max="44" width="44.7109375" style="413" customWidth="1"/>
    <col min="45" max="16384" width="9.28515625" style="36"/>
  </cols>
  <sheetData>
    <row r="1" spans="1:44" s="2" customFormat="1" x14ac:dyDescent="0.25">
      <c r="E1" s="3"/>
      <c r="F1" s="3"/>
      <c r="G1" s="3"/>
      <c r="H1" s="3"/>
      <c r="I1" s="3"/>
      <c r="J1" s="4"/>
      <c r="K1" s="5"/>
      <c r="L1" s="6"/>
      <c r="M1" s="6"/>
      <c r="N1" s="6"/>
      <c r="O1" s="6"/>
      <c r="P1" s="6"/>
      <c r="Q1" s="6"/>
      <c r="R1" s="7"/>
      <c r="S1" s="382"/>
      <c r="T1" s="9"/>
      <c r="U1" s="9"/>
      <c r="V1" s="9"/>
      <c r="W1" s="9"/>
      <c r="X1" s="9"/>
      <c r="Y1" s="9"/>
      <c r="Z1" s="9"/>
      <c r="AA1" s="10"/>
      <c r="AB1" s="11"/>
      <c r="AC1" s="12"/>
      <c r="AD1" s="12"/>
      <c r="AE1" s="12"/>
      <c r="AF1" s="12"/>
      <c r="AG1" s="12"/>
      <c r="AH1" s="12"/>
      <c r="AI1" s="410"/>
      <c r="AJ1" s="1"/>
      <c r="AK1" s="1"/>
      <c r="AL1" s="27"/>
      <c r="AM1" s="27"/>
      <c r="AN1" s="27"/>
      <c r="AO1" s="27"/>
      <c r="AP1" s="27"/>
      <c r="AQ1" s="27"/>
      <c r="AR1" s="410"/>
    </row>
    <row r="2" spans="1:44" s="2" customFormat="1" x14ac:dyDescent="0.25">
      <c r="E2" s="3"/>
      <c r="F2" s="3"/>
      <c r="G2" s="3"/>
      <c r="H2" s="3"/>
      <c r="I2" s="3"/>
      <c r="J2" s="4"/>
      <c r="K2" s="5"/>
      <c r="L2" s="6"/>
      <c r="M2" s="6"/>
      <c r="N2" s="6"/>
      <c r="O2" s="6"/>
      <c r="P2" s="6"/>
      <c r="Q2" s="6"/>
      <c r="R2" s="7"/>
      <c r="S2" s="382"/>
      <c r="T2" s="9"/>
      <c r="U2" s="9"/>
      <c r="V2" s="9"/>
      <c r="W2" s="9"/>
      <c r="X2" s="9"/>
      <c r="Y2" s="9"/>
      <c r="Z2" s="9"/>
      <c r="AA2" s="10"/>
      <c r="AB2" s="11"/>
      <c r="AC2" s="12"/>
      <c r="AD2" s="12"/>
      <c r="AE2" s="12"/>
      <c r="AF2" s="12"/>
      <c r="AG2" s="12"/>
      <c r="AH2" s="12"/>
      <c r="AI2" s="474"/>
      <c r="AJ2" s="1"/>
      <c r="AK2" s="1"/>
      <c r="AL2" s="27"/>
      <c r="AM2" s="27"/>
      <c r="AN2" s="27"/>
      <c r="AO2" s="27"/>
      <c r="AP2" s="27"/>
      <c r="AQ2" s="27"/>
      <c r="AR2" s="474"/>
    </row>
    <row r="3" spans="1:44" s="2" customFormat="1" ht="26.25" x14ac:dyDescent="0.25">
      <c r="A3" s="24"/>
      <c r="B3" s="24"/>
      <c r="C3" s="24" t="s">
        <v>463</v>
      </c>
      <c r="D3" s="231"/>
      <c r="E3" s="1312" t="s">
        <v>28</v>
      </c>
      <c r="F3" s="1314" t="s">
        <v>29</v>
      </c>
      <c r="G3" s="1315"/>
      <c r="H3" s="1315"/>
      <c r="I3" s="1316"/>
      <c r="J3" s="137"/>
      <c r="K3" s="135"/>
      <c r="L3" s="134"/>
      <c r="M3" s="136"/>
      <c r="N3" s="136"/>
      <c r="O3" s="136"/>
      <c r="P3" s="136"/>
      <c r="Q3" s="136"/>
      <c r="R3" s="137"/>
      <c r="S3" s="383"/>
      <c r="T3" s="134"/>
      <c r="U3" s="136"/>
      <c r="V3" s="136"/>
      <c r="W3" s="136"/>
      <c r="X3" s="136"/>
      <c r="Y3" s="136"/>
      <c r="Z3" s="136"/>
      <c r="AA3" s="137"/>
      <c r="AB3" s="135"/>
      <c r="AC3" s="134"/>
      <c r="AD3" s="136"/>
      <c r="AE3" s="136"/>
      <c r="AF3" s="136"/>
      <c r="AG3" s="136"/>
      <c r="AH3" s="136"/>
      <c r="AI3" s="411"/>
      <c r="AJ3" s="137"/>
      <c r="AK3" s="135"/>
      <c r="AL3" s="134"/>
      <c r="AM3" s="136"/>
      <c r="AN3" s="136"/>
      <c r="AO3" s="136"/>
      <c r="AP3" s="136"/>
      <c r="AQ3" s="136"/>
      <c r="AR3" s="411"/>
    </row>
    <row r="4" spans="1:44" s="233" customFormat="1" ht="26.25" customHeight="1" x14ac:dyDescent="0.25">
      <c r="A4" s="232"/>
      <c r="B4" s="232"/>
      <c r="C4" s="309" t="str">
        <f>'(INTERNAL) Basic Entry '!$C$7</f>
        <v>First State Bank of Waynesboro</v>
      </c>
      <c r="E4" s="1313"/>
      <c r="F4" s="225" t="s">
        <v>30</v>
      </c>
      <c r="G4" s="226" t="s">
        <v>31</v>
      </c>
      <c r="H4" s="228" t="s">
        <v>32</v>
      </c>
      <c r="I4" s="229" t="s">
        <v>33</v>
      </c>
      <c r="J4" s="1317" t="str">
        <f>'(INTERNAL) Basic Entry '!$C$17</f>
        <v>Current (FIS Bankway)</v>
      </c>
      <c r="K4" s="1318"/>
      <c r="L4" s="1318"/>
      <c r="M4" s="1318"/>
      <c r="N4" s="1318"/>
      <c r="O4" s="1318"/>
      <c r="P4" s="1318"/>
      <c r="Q4" s="1319"/>
      <c r="R4" s="1320" t="str">
        <f>'(INTERNAL) Basic Entry '!$C$19</f>
        <v>FIS Horizon with D1 Flex</v>
      </c>
      <c r="S4" s="1321"/>
      <c r="T4" s="1321"/>
      <c r="U4" s="1321"/>
      <c r="V4" s="1321"/>
      <c r="W4" s="1321"/>
      <c r="X4" s="1321"/>
      <c r="Y4" s="1322"/>
      <c r="Z4" s="371"/>
      <c r="AA4" s="1323" t="str">
        <f>'(INTERNAL) Basic Entry '!C21</f>
        <v>FIS Horizon WITHOUT D1 Flex</v>
      </c>
      <c r="AB4" s="1324"/>
      <c r="AC4" s="1324"/>
      <c r="AD4" s="1324"/>
      <c r="AE4" s="1324"/>
      <c r="AF4" s="1324"/>
      <c r="AG4" s="1324"/>
      <c r="AH4" s="1325"/>
      <c r="AI4" s="475"/>
      <c r="AJ4" s="1326" t="str">
        <f>'(INTERNAL) Basic Entry '!C23</f>
        <v>Vendor #3</v>
      </c>
      <c r="AK4" s="1327"/>
      <c r="AL4" s="1327"/>
      <c r="AM4" s="1327"/>
      <c r="AN4" s="1327"/>
      <c r="AO4" s="1327"/>
      <c r="AP4" s="1327"/>
      <c r="AQ4" s="1328"/>
      <c r="AR4" s="548"/>
    </row>
    <row r="5" spans="1:44" s="2" customFormat="1" ht="18.399999999999999" customHeight="1" x14ac:dyDescent="0.25">
      <c r="A5" s="26"/>
      <c r="B5" s="25"/>
      <c r="C5" s="273" t="str">
        <f>'(INTERNAL) Basic Entry '!$C$9&amp;" Pricing Analysis"</f>
        <v>CORE &amp; DIGITAL Pricing Analysis</v>
      </c>
      <c r="E5" s="224">
        <v>0</v>
      </c>
      <c r="F5" s="223">
        <v>0</v>
      </c>
      <c r="G5" s="227">
        <v>0</v>
      </c>
      <c r="H5" s="227">
        <v>0</v>
      </c>
      <c r="I5" s="230">
        <v>0</v>
      </c>
      <c r="J5" s="1332" t="str">
        <f>'(INTERNAL) Basic Entry '!$B$14</f>
        <v>Baseline from Current Invoices</v>
      </c>
      <c r="K5" s="1333"/>
      <c r="L5" s="1333"/>
      <c r="M5" s="1333"/>
      <c r="N5" s="1333"/>
      <c r="O5" s="1333"/>
      <c r="P5" s="1333"/>
      <c r="Q5" s="1334"/>
      <c r="R5" s="1335" t="str">
        <f>'(INTERNAL) Basic Entry '!F19</f>
        <v>Proposal Dated 12/13/2023</v>
      </c>
      <c r="S5" s="1336"/>
      <c r="T5" s="1336"/>
      <c r="U5" s="1336"/>
      <c r="V5" s="1336"/>
      <c r="W5" s="1336"/>
      <c r="X5" s="1336"/>
      <c r="Y5" s="1337"/>
      <c r="Z5" s="372"/>
      <c r="AA5" s="1338" t="str">
        <f>'(INTERNAL) Basic Entry '!F21</f>
        <v>Proposal Dated 12/13/2023</v>
      </c>
      <c r="AB5" s="1339"/>
      <c r="AC5" s="1339"/>
      <c r="AD5" s="1339"/>
      <c r="AE5" s="1339"/>
      <c r="AF5" s="1339"/>
      <c r="AG5" s="1339"/>
      <c r="AH5" s="1340"/>
      <c r="AI5" s="484"/>
      <c r="AJ5" s="1309" t="str">
        <f>'(INTERNAL) Basic Entry '!F23</f>
        <v>Month Year</v>
      </c>
      <c r="AK5" s="1310"/>
      <c r="AL5" s="1310"/>
      <c r="AM5" s="1310"/>
      <c r="AN5" s="1310"/>
      <c r="AO5" s="1310"/>
      <c r="AP5" s="1310"/>
      <c r="AQ5" s="1311"/>
      <c r="AR5" s="549"/>
    </row>
    <row r="6" spans="1:44" s="15" customFormat="1" ht="56.25" x14ac:dyDescent="0.3">
      <c r="A6" s="101" t="s">
        <v>464</v>
      </c>
      <c r="B6" s="101" t="s">
        <v>465</v>
      </c>
      <c r="C6" s="28" t="s">
        <v>46</v>
      </c>
      <c r="D6" s="101" t="s">
        <v>40</v>
      </c>
      <c r="E6" s="217" t="s">
        <v>41</v>
      </c>
      <c r="F6" s="217" t="s">
        <v>42</v>
      </c>
      <c r="G6" s="217" t="s">
        <v>43</v>
      </c>
      <c r="H6" s="217" t="s">
        <v>44</v>
      </c>
      <c r="I6" s="217" t="s">
        <v>45</v>
      </c>
      <c r="J6" s="29" t="s">
        <v>46</v>
      </c>
      <c r="K6" s="338" t="s">
        <v>47</v>
      </c>
      <c r="L6" s="30" t="s">
        <v>48</v>
      </c>
      <c r="M6" s="30" t="s">
        <v>49</v>
      </c>
      <c r="N6" s="30" t="s">
        <v>50</v>
      </c>
      <c r="O6" s="30" t="s">
        <v>51</v>
      </c>
      <c r="P6" s="30" t="s">
        <v>52</v>
      </c>
      <c r="Q6" s="208" t="s">
        <v>53</v>
      </c>
      <c r="R6" s="235" t="s">
        <v>55</v>
      </c>
      <c r="S6" s="384" t="s">
        <v>47</v>
      </c>
      <c r="T6" s="31" t="s">
        <v>48</v>
      </c>
      <c r="U6" s="31" t="s">
        <v>49</v>
      </c>
      <c r="V6" s="31" t="s">
        <v>50</v>
      </c>
      <c r="W6" s="31" t="s">
        <v>51</v>
      </c>
      <c r="X6" s="31" t="s">
        <v>52</v>
      </c>
      <c r="Y6" s="122" t="s">
        <v>58</v>
      </c>
      <c r="Z6" s="373" t="s">
        <v>466</v>
      </c>
      <c r="AA6" s="32" t="s">
        <v>55</v>
      </c>
      <c r="AB6" s="254" t="s">
        <v>47</v>
      </c>
      <c r="AC6" s="33" t="s">
        <v>48</v>
      </c>
      <c r="AD6" s="33" t="s">
        <v>49</v>
      </c>
      <c r="AE6" s="33" t="s">
        <v>50</v>
      </c>
      <c r="AF6" s="33" t="s">
        <v>51</v>
      </c>
      <c r="AG6" s="33" t="s">
        <v>52</v>
      </c>
      <c r="AH6" s="157" t="s">
        <v>58</v>
      </c>
      <c r="AI6" s="485" t="s">
        <v>466</v>
      </c>
      <c r="AJ6" s="236" t="s">
        <v>55</v>
      </c>
      <c r="AK6" s="37" t="s">
        <v>47</v>
      </c>
      <c r="AL6" s="37" t="s">
        <v>48</v>
      </c>
      <c r="AM6" s="37" t="s">
        <v>49</v>
      </c>
      <c r="AN6" s="37" t="s">
        <v>50</v>
      </c>
      <c r="AO6" s="37" t="s">
        <v>51</v>
      </c>
      <c r="AP6" s="37" t="s">
        <v>52</v>
      </c>
      <c r="AQ6" s="164" t="s">
        <v>58</v>
      </c>
      <c r="AR6" s="550" t="s">
        <v>466</v>
      </c>
    </row>
    <row r="7" spans="1:44" s="23" customFormat="1" ht="3.75" customHeight="1" x14ac:dyDescent="0.25">
      <c r="A7" s="16"/>
      <c r="B7" s="16"/>
      <c r="C7" s="16"/>
      <c r="D7" s="16"/>
      <c r="E7" s="18"/>
      <c r="F7" s="18"/>
      <c r="G7" s="18"/>
      <c r="H7" s="18"/>
      <c r="I7" s="18"/>
      <c r="J7" s="16"/>
      <c r="K7" s="19"/>
      <c r="L7" s="17"/>
      <c r="M7" s="17"/>
      <c r="N7" s="17"/>
      <c r="O7" s="17"/>
      <c r="P7" s="17"/>
      <c r="Q7" s="17"/>
      <c r="R7" s="16"/>
      <c r="S7" s="385"/>
      <c r="T7" s="21"/>
      <c r="U7" s="21"/>
      <c r="V7" s="21"/>
      <c r="W7" s="21"/>
      <c r="X7" s="21"/>
      <c r="Y7" s="21"/>
      <c r="Z7" s="21"/>
      <c r="AA7" s="16"/>
      <c r="AB7" s="20"/>
      <c r="AC7" s="21"/>
      <c r="AD7" s="21"/>
      <c r="AE7" s="21"/>
      <c r="AF7" s="21"/>
      <c r="AG7" s="21"/>
      <c r="AH7" s="21"/>
      <c r="AI7" s="412"/>
      <c r="AJ7" s="20"/>
      <c r="AK7" s="20"/>
      <c r="AL7" s="20"/>
      <c r="AM7" s="20"/>
      <c r="AN7" s="20"/>
      <c r="AO7" s="20"/>
      <c r="AP7" s="20"/>
      <c r="AQ7" s="22"/>
      <c r="AR7" s="412"/>
    </row>
    <row r="8" spans="1:44" s="109" customFormat="1" x14ac:dyDescent="0.25">
      <c r="A8" s="253"/>
      <c r="B8" s="374"/>
      <c r="C8" s="242" t="s">
        <v>467</v>
      </c>
      <c r="D8" s="243"/>
      <c r="E8" s="243"/>
      <c r="F8" s="243"/>
      <c r="G8" s="243"/>
      <c r="H8" s="243"/>
      <c r="I8" s="244"/>
      <c r="J8" s="121"/>
      <c r="K8" s="247"/>
      <c r="L8" s="118"/>
      <c r="M8" s="118"/>
      <c r="N8" s="118"/>
      <c r="O8" s="118"/>
      <c r="P8" s="118"/>
      <c r="Q8" s="209"/>
      <c r="R8" s="252" t="str">
        <f>C8</f>
        <v>IHC ITEMS</v>
      </c>
      <c r="S8" s="386"/>
      <c r="T8" s="243"/>
      <c r="U8" s="243"/>
      <c r="V8" s="243"/>
      <c r="W8" s="243"/>
      <c r="X8" s="244"/>
      <c r="Y8" s="123"/>
      <c r="Z8" s="362"/>
      <c r="AA8" s="242" t="s">
        <v>467</v>
      </c>
      <c r="AB8" s="243"/>
      <c r="AC8" s="243"/>
      <c r="AD8" s="243"/>
      <c r="AE8" s="243"/>
      <c r="AF8" s="243"/>
      <c r="AG8" s="244"/>
      <c r="AH8" s="158"/>
      <c r="AI8" s="473"/>
      <c r="AJ8" s="242" t="s">
        <v>467</v>
      </c>
      <c r="AK8" s="243"/>
      <c r="AL8" s="243"/>
      <c r="AM8" s="243"/>
      <c r="AN8" s="243"/>
      <c r="AO8" s="243"/>
      <c r="AP8" s="244"/>
      <c r="AQ8" s="165"/>
      <c r="AR8" s="531"/>
    </row>
    <row r="9" spans="1:44" s="109" customFormat="1" x14ac:dyDescent="0.25">
      <c r="A9" s="445"/>
      <c r="B9" s="253"/>
      <c r="C9" s="453"/>
      <c r="D9" s="128"/>
      <c r="E9" s="127">
        <f t="shared" ref="E9:E19" si="0">D9*12</f>
        <v>0</v>
      </c>
      <c r="F9" s="127">
        <f t="shared" ref="F9:I11" si="1">IF(E9&gt;12,(((E9)*$E$5)+E9),(E9*1))</f>
        <v>0</v>
      </c>
      <c r="G9" s="127">
        <f t="shared" si="1"/>
        <v>0</v>
      </c>
      <c r="H9" s="127">
        <f t="shared" si="1"/>
        <v>0</v>
      </c>
      <c r="I9" s="127">
        <f t="shared" si="1"/>
        <v>0</v>
      </c>
      <c r="J9" s="121"/>
      <c r="K9" s="247"/>
      <c r="L9" s="118"/>
      <c r="M9" s="118"/>
      <c r="N9" s="118"/>
      <c r="O9" s="118"/>
      <c r="P9" s="118"/>
      <c r="Q9" s="209"/>
      <c r="R9" s="222"/>
      <c r="S9" s="335"/>
      <c r="T9" s="103">
        <f t="shared" ref="T9:X11" si="2">IF($S9&gt;0,PRODUCT(E9,$S9),0)</f>
        <v>0</v>
      </c>
      <c r="U9" s="103">
        <f t="shared" si="2"/>
        <v>0</v>
      </c>
      <c r="V9" s="103">
        <f t="shared" si="2"/>
        <v>0</v>
      </c>
      <c r="W9" s="103">
        <f t="shared" si="2"/>
        <v>0</v>
      </c>
      <c r="X9" s="103">
        <f t="shared" si="2"/>
        <v>0</v>
      </c>
      <c r="Y9" s="123">
        <f t="shared" ref="Y9:Y20" si="3">SUM(T9:X9)</f>
        <v>0</v>
      </c>
      <c r="Z9" s="370"/>
      <c r="AA9" s="104"/>
      <c r="AB9" s="255"/>
      <c r="AC9" s="105">
        <f>IF(AB9&gt;0,PRODUCT(E9,$AB9),0)</f>
        <v>0</v>
      </c>
      <c r="AD9" s="105">
        <f>IF(AC9&gt;0,PRODUCT(F9,$AB9),0)</f>
        <v>0</v>
      </c>
      <c r="AE9" s="105">
        <f>IF(AD9&gt;0,PRODUCT(G9,$AB9),0)</f>
        <v>0</v>
      </c>
      <c r="AF9" s="105">
        <f>IF(AE9&gt;0,PRODUCT(H9,$AB9),0)</f>
        <v>0</v>
      </c>
      <c r="AG9" s="105">
        <f>IF(AF9&gt;0,PRODUCT(I9,$AB9),0)</f>
        <v>0</v>
      </c>
      <c r="AH9" s="158">
        <f>SUM(AC9:AG9)</f>
        <v>0</v>
      </c>
      <c r="AI9" s="473"/>
      <c r="AJ9" s="106"/>
      <c r="AK9" s="107"/>
      <c r="AL9" s="108"/>
      <c r="AM9" s="108"/>
      <c r="AN9" s="108"/>
      <c r="AO9" s="108"/>
      <c r="AP9" s="108"/>
      <c r="AQ9" s="165"/>
      <c r="AR9" s="531"/>
    </row>
    <row r="10" spans="1:44" s="109" customFormat="1" x14ac:dyDescent="0.25">
      <c r="A10" s="253"/>
      <c r="B10" s="253"/>
      <c r="C10" s="453"/>
      <c r="D10" s="128"/>
      <c r="E10" s="127">
        <f t="shared" si="0"/>
        <v>0</v>
      </c>
      <c r="F10" s="127">
        <f t="shared" si="1"/>
        <v>0</v>
      </c>
      <c r="G10" s="127">
        <f t="shared" si="1"/>
        <v>0</v>
      </c>
      <c r="H10" s="127">
        <f t="shared" si="1"/>
        <v>0</v>
      </c>
      <c r="I10" s="127">
        <f t="shared" si="1"/>
        <v>0</v>
      </c>
      <c r="J10" s="121"/>
      <c r="K10" s="247"/>
      <c r="L10" s="118"/>
      <c r="M10" s="118"/>
      <c r="N10" s="118"/>
      <c r="O10" s="118"/>
      <c r="P10" s="118"/>
      <c r="Q10" s="209"/>
      <c r="R10" s="222"/>
      <c r="S10" s="335"/>
      <c r="T10" s="103">
        <f t="shared" si="2"/>
        <v>0</v>
      </c>
      <c r="U10" s="103">
        <f t="shared" si="2"/>
        <v>0</v>
      </c>
      <c r="V10" s="103">
        <f t="shared" si="2"/>
        <v>0</v>
      </c>
      <c r="W10" s="103">
        <f t="shared" si="2"/>
        <v>0</v>
      </c>
      <c r="X10" s="103">
        <f t="shared" si="2"/>
        <v>0</v>
      </c>
      <c r="Y10" s="123">
        <f t="shared" si="3"/>
        <v>0</v>
      </c>
      <c r="Z10" s="370"/>
      <c r="AA10" s="104"/>
      <c r="AB10" s="255"/>
      <c r="AC10" s="105"/>
      <c r="AD10" s="105"/>
      <c r="AE10" s="105"/>
      <c r="AF10" s="105"/>
      <c r="AG10" s="105"/>
      <c r="AH10" s="158"/>
      <c r="AI10" s="473"/>
      <c r="AJ10" s="106"/>
      <c r="AK10" s="107"/>
      <c r="AL10" s="108"/>
      <c r="AM10" s="108"/>
      <c r="AN10" s="108"/>
      <c r="AO10" s="108"/>
      <c r="AP10" s="108"/>
      <c r="AQ10" s="165"/>
      <c r="AR10" s="531"/>
    </row>
    <row r="11" spans="1:44" s="109" customFormat="1" x14ac:dyDescent="0.25">
      <c r="A11" s="445"/>
      <c r="B11" s="253"/>
      <c r="C11" s="453"/>
      <c r="D11" s="128"/>
      <c r="E11" s="127">
        <f t="shared" si="0"/>
        <v>0</v>
      </c>
      <c r="F11" s="127">
        <f t="shared" si="1"/>
        <v>0</v>
      </c>
      <c r="G11" s="127">
        <f t="shared" si="1"/>
        <v>0</v>
      </c>
      <c r="H11" s="127">
        <f t="shared" si="1"/>
        <v>0</v>
      </c>
      <c r="I11" s="127">
        <f t="shared" si="1"/>
        <v>0</v>
      </c>
      <c r="J11" s="121"/>
      <c r="K11" s="247"/>
      <c r="L11" s="118"/>
      <c r="M11" s="118"/>
      <c r="N11" s="118"/>
      <c r="O11" s="118"/>
      <c r="P11" s="118"/>
      <c r="Q11" s="209"/>
      <c r="R11" s="222"/>
      <c r="S11" s="335"/>
      <c r="T11" s="103">
        <f t="shared" si="2"/>
        <v>0</v>
      </c>
      <c r="U11" s="103">
        <f t="shared" si="2"/>
        <v>0</v>
      </c>
      <c r="V11" s="103">
        <f t="shared" si="2"/>
        <v>0</v>
      </c>
      <c r="W11" s="103">
        <f t="shared" si="2"/>
        <v>0</v>
      </c>
      <c r="X11" s="103">
        <f t="shared" si="2"/>
        <v>0</v>
      </c>
      <c r="Y11" s="123">
        <f t="shared" si="3"/>
        <v>0</v>
      </c>
      <c r="Z11" s="370"/>
      <c r="AA11" s="104"/>
      <c r="AB11" s="269"/>
      <c r="AC11" s="105">
        <f t="shared" ref="AC11:AG12" si="4">IF(AB11&gt;0,PRODUCT(E11,$AB11),0)</f>
        <v>0</v>
      </c>
      <c r="AD11" s="105">
        <f t="shared" si="4"/>
        <v>0</v>
      </c>
      <c r="AE11" s="105">
        <f t="shared" si="4"/>
        <v>0</v>
      </c>
      <c r="AF11" s="105">
        <f t="shared" si="4"/>
        <v>0</v>
      </c>
      <c r="AG11" s="105">
        <f t="shared" si="4"/>
        <v>0</v>
      </c>
      <c r="AH11" s="158">
        <f>SUM(AC11:AG11)</f>
        <v>0</v>
      </c>
      <c r="AI11" s="473"/>
      <c r="AJ11" s="106"/>
      <c r="AK11" s="107"/>
      <c r="AL11" s="108"/>
      <c r="AM11" s="108"/>
      <c r="AN11" s="108"/>
      <c r="AO11" s="108"/>
      <c r="AP11" s="108"/>
      <c r="AQ11" s="165"/>
      <c r="AR11" s="531"/>
    </row>
    <row r="12" spans="1:44" s="109" customFormat="1" x14ac:dyDescent="0.25">
      <c r="A12" s="445"/>
      <c r="B12" s="253"/>
      <c r="C12" s="453"/>
      <c r="D12" s="128"/>
      <c r="E12" s="127">
        <f t="shared" si="0"/>
        <v>0</v>
      </c>
      <c r="F12" s="127">
        <f>IF(E12&gt;12,(((E12)*$E$5)+E12),(E12*1))</f>
        <v>0</v>
      </c>
      <c r="G12" s="127">
        <f>IF(F12&gt;12,(((F12)*$E$5)+F12),(F12*1))</f>
        <v>0</v>
      </c>
      <c r="H12" s="127">
        <f>IF(G12&gt;12,(((G12)*$E$5)+G12),(G12*1))</f>
        <v>0</v>
      </c>
      <c r="I12" s="127">
        <f>IF(H12&gt;12,(((H12)*$E$5)+H12),(H12*1))</f>
        <v>0</v>
      </c>
      <c r="J12" s="121"/>
      <c r="K12" s="247"/>
      <c r="L12" s="118"/>
      <c r="M12" s="118"/>
      <c r="N12" s="118"/>
      <c r="O12" s="118"/>
      <c r="P12" s="118"/>
      <c r="Q12" s="209"/>
      <c r="R12" s="222"/>
      <c r="S12" s="335"/>
      <c r="T12" s="103">
        <f>IF($S12&gt;0,PRODUCT(E12,$S12),0)</f>
        <v>0</v>
      </c>
      <c r="U12" s="103">
        <f>IF($S12&gt;0,PRODUCT(F12,$S12),0)</f>
        <v>0</v>
      </c>
      <c r="V12" s="103">
        <f>IF($S12&gt;0,PRODUCT(G12,$S12),0)</f>
        <v>0</v>
      </c>
      <c r="W12" s="103">
        <f>IF($S12&gt;0,PRODUCT(H12,$S12),0)</f>
        <v>0</v>
      </c>
      <c r="X12" s="103">
        <f>IF($S12&gt;0,PRODUCT(I12,$S12),0)</f>
        <v>0</v>
      </c>
      <c r="Y12" s="123">
        <f t="shared" si="3"/>
        <v>0</v>
      </c>
      <c r="Z12" s="370"/>
      <c r="AA12" s="104"/>
      <c r="AB12" s="269"/>
      <c r="AC12" s="105">
        <f t="shared" si="4"/>
        <v>0</v>
      </c>
      <c r="AD12" s="105">
        <f t="shared" si="4"/>
        <v>0</v>
      </c>
      <c r="AE12" s="105">
        <f t="shared" si="4"/>
        <v>0</v>
      </c>
      <c r="AF12" s="105">
        <f t="shared" si="4"/>
        <v>0</v>
      </c>
      <c r="AG12" s="105">
        <f t="shared" si="4"/>
        <v>0</v>
      </c>
      <c r="AH12" s="158">
        <f>SUM(AC12:AG12)</f>
        <v>0</v>
      </c>
      <c r="AI12" s="473"/>
      <c r="AJ12" s="106"/>
      <c r="AK12" s="107"/>
      <c r="AL12" s="108"/>
      <c r="AM12" s="108"/>
      <c r="AN12" s="108"/>
      <c r="AO12" s="108"/>
      <c r="AP12" s="108"/>
      <c r="AQ12" s="165"/>
      <c r="AR12" s="531"/>
    </row>
    <row r="13" spans="1:44" s="495" customFormat="1" x14ac:dyDescent="0.25">
      <c r="A13" s="253"/>
      <c r="B13" s="253"/>
      <c r="C13" s="200"/>
      <c r="D13" s="128"/>
      <c r="E13" s="127">
        <f>D13*12</f>
        <v>0</v>
      </c>
      <c r="F13" s="127">
        <f>IF(E13&gt;12,(((E13)*#REF!)+E13),(E13*1))</f>
        <v>0</v>
      </c>
      <c r="G13" s="127">
        <f>IF(F13&gt;12,(((F13)*#REF!)+F13),(F13*1))</f>
        <v>0</v>
      </c>
      <c r="H13" s="127">
        <f>IF(G13&gt;12,(((G13)*#REF!)+G13),(G13*1))</f>
        <v>0</v>
      </c>
      <c r="I13" s="127">
        <f>IF(H13&gt;12,(((H13)*#REF!)+H13),(H13*1))</f>
        <v>0</v>
      </c>
      <c r="J13" s="245"/>
      <c r="K13" s="247"/>
      <c r="L13" s="129"/>
      <c r="M13" s="129"/>
      <c r="N13" s="129"/>
      <c r="O13" s="129"/>
      <c r="P13" s="129"/>
      <c r="Q13" s="209"/>
      <c r="R13" s="102"/>
      <c r="S13" s="324"/>
      <c r="T13" s="103"/>
      <c r="U13" s="103"/>
      <c r="V13" s="103"/>
      <c r="W13" s="103"/>
      <c r="X13" s="103"/>
      <c r="Y13" s="123"/>
      <c r="Z13" s="370"/>
      <c r="AA13" s="272"/>
      <c r="AB13" s="255"/>
      <c r="AC13" s="105">
        <f t="shared" ref="AC13:AG15" si="5">IF(AB13&gt;0,PRODUCT(E13,$AB13),0)</f>
        <v>0</v>
      </c>
      <c r="AD13" s="105">
        <f t="shared" si="5"/>
        <v>0</v>
      </c>
      <c r="AE13" s="105">
        <f t="shared" si="5"/>
        <v>0</v>
      </c>
      <c r="AF13" s="105">
        <f t="shared" si="5"/>
        <v>0</v>
      </c>
      <c r="AG13" s="105">
        <f t="shared" si="5"/>
        <v>0</v>
      </c>
      <c r="AH13" s="158">
        <f>SUM(AC13:AG13)</f>
        <v>0</v>
      </c>
      <c r="AI13" s="473"/>
      <c r="AJ13" s="398"/>
      <c r="AK13" s="107"/>
      <c r="AL13" s="108"/>
      <c r="AM13" s="108"/>
      <c r="AN13" s="108"/>
      <c r="AO13" s="108"/>
      <c r="AP13" s="108"/>
      <c r="AQ13" s="165"/>
      <c r="AR13" s="531"/>
    </row>
    <row r="14" spans="1:44" s="495" customFormat="1" x14ac:dyDescent="0.25">
      <c r="A14" s="253"/>
      <c r="B14" s="253"/>
      <c r="C14" s="200"/>
      <c r="D14" s="128"/>
      <c r="E14" s="127">
        <f>D14*12</f>
        <v>0</v>
      </c>
      <c r="F14" s="127">
        <f>IF(E14&gt;12,(((E14)*#REF!)+E14),(E14*1))</f>
        <v>0</v>
      </c>
      <c r="G14" s="127">
        <f>IF(F14&gt;12,(((F14)*#REF!)+F14),(F14*1))</f>
        <v>0</v>
      </c>
      <c r="H14" s="127">
        <f>IF(G14&gt;12,(((G14)*#REF!)+G14),(G14*1))</f>
        <v>0</v>
      </c>
      <c r="I14" s="127">
        <f>IF(H14&gt;12,(((H14)*#REF!)+H14),(H14*1))</f>
        <v>0</v>
      </c>
      <c r="J14" s="245"/>
      <c r="K14" s="247"/>
      <c r="L14" s="129"/>
      <c r="M14" s="129"/>
      <c r="N14" s="129"/>
      <c r="O14" s="129"/>
      <c r="P14" s="129"/>
      <c r="Q14" s="209"/>
      <c r="R14" s="102"/>
      <c r="S14" s="324"/>
      <c r="T14" s="103"/>
      <c r="U14" s="103"/>
      <c r="V14" s="103"/>
      <c r="W14" s="103"/>
      <c r="X14" s="103"/>
      <c r="Y14" s="123"/>
      <c r="Z14" s="370"/>
      <c r="AA14" s="272"/>
      <c r="AB14" s="255"/>
      <c r="AC14" s="105">
        <f t="shared" si="5"/>
        <v>0</v>
      </c>
      <c r="AD14" s="105">
        <f t="shared" si="5"/>
        <v>0</v>
      </c>
      <c r="AE14" s="105">
        <f t="shared" si="5"/>
        <v>0</v>
      </c>
      <c r="AF14" s="105">
        <f t="shared" si="5"/>
        <v>0</v>
      </c>
      <c r="AG14" s="105">
        <f t="shared" si="5"/>
        <v>0</v>
      </c>
      <c r="AH14" s="158">
        <f>SUM(AC14:AG14)</f>
        <v>0</v>
      </c>
      <c r="AI14" s="473"/>
      <c r="AJ14" s="398"/>
      <c r="AK14" s="107"/>
      <c r="AL14" s="108"/>
      <c r="AM14" s="108"/>
      <c r="AN14" s="108"/>
      <c r="AO14" s="108"/>
      <c r="AP14" s="108"/>
      <c r="AQ14" s="165"/>
      <c r="AR14" s="531"/>
    </row>
    <row r="15" spans="1:44" s="109" customFormat="1" x14ac:dyDescent="0.25">
      <c r="A15" s="253"/>
      <c r="B15" s="253"/>
      <c r="C15" s="200"/>
      <c r="D15" s="128"/>
      <c r="E15" s="127">
        <f>D15*12</f>
        <v>0</v>
      </c>
      <c r="F15" s="127">
        <f>IF(E15&gt;12,(((E15)*#REF!)+E15),(E15*1))</f>
        <v>0</v>
      </c>
      <c r="G15" s="127">
        <f>IF(F15&gt;12,(((F15)*#REF!)+F15),(F15*1))</f>
        <v>0</v>
      </c>
      <c r="H15" s="127">
        <f>IF(G15&gt;12,(((G15)*#REF!)+G15),(G15*1))</f>
        <v>0</v>
      </c>
      <c r="I15" s="127">
        <f>IF(H15&gt;12,(((H15)*#REF!)+H15),(H15*1))</f>
        <v>0</v>
      </c>
      <c r="J15" s="245"/>
      <c r="K15" s="247"/>
      <c r="L15" s="129"/>
      <c r="M15" s="129"/>
      <c r="N15" s="129"/>
      <c r="O15" s="129"/>
      <c r="P15" s="129"/>
      <c r="Q15" s="209"/>
      <c r="R15" s="102"/>
      <c r="S15" s="324"/>
      <c r="T15" s="103"/>
      <c r="U15" s="103"/>
      <c r="V15" s="103"/>
      <c r="W15" s="103"/>
      <c r="X15" s="103"/>
      <c r="Y15" s="123"/>
      <c r="Z15" s="370"/>
      <c r="AA15" s="272"/>
      <c r="AB15" s="255"/>
      <c r="AC15" s="105">
        <f t="shared" si="5"/>
        <v>0</v>
      </c>
      <c r="AD15" s="105">
        <f t="shared" si="5"/>
        <v>0</v>
      </c>
      <c r="AE15" s="105">
        <f t="shared" si="5"/>
        <v>0</v>
      </c>
      <c r="AF15" s="105">
        <f t="shared" si="5"/>
        <v>0</v>
      </c>
      <c r="AG15" s="105">
        <f t="shared" si="5"/>
        <v>0</v>
      </c>
      <c r="AH15" s="158">
        <f>SUM(AC15:AG15)</f>
        <v>0</v>
      </c>
      <c r="AI15" s="473"/>
      <c r="AJ15" s="106"/>
      <c r="AK15" s="107"/>
      <c r="AL15" s="108"/>
      <c r="AM15" s="108"/>
      <c r="AN15" s="108"/>
      <c r="AO15" s="108"/>
      <c r="AP15" s="108"/>
      <c r="AQ15" s="165"/>
      <c r="AR15" s="531"/>
    </row>
    <row r="16" spans="1:44" s="109" customFormat="1" x14ac:dyDescent="0.25">
      <c r="A16" s="253"/>
      <c r="B16" s="253"/>
      <c r="C16" s="200"/>
      <c r="D16" s="128"/>
      <c r="E16" s="127"/>
      <c r="F16" s="127"/>
      <c r="G16" s="127"/>
      <c r="H16" s="127"/>
      <c r="I16" s="127"/>
      <c r="J16" s="245"/>
      <c r="K16" s="247"/>
      <c r="L16" s="129"/>
      <c r="M16" s="129"/>
      <c r="N16" s="129"/>
      <c r="O16" s="129"/>
      <c r="P16" s="129"/>
      <c r="Q16" s="209"/>
      <c r="R16" s="102"/>
      <c r="S16" s="324"/>
      <c r="T16" s="103"/>
      <c r="U16" s="103"/>
      <c r="V16" s="103"/>
      <c r="W16" s="103"/>
      <c r="X16" s="103"/>
      <c r="Y16" s="123"/>
      <c r="Z16" s="370"/>
      <c r="AA16" s="272"/>
      <c r="AB16" s="255"/>
      <c r="AC16" s="105"/>
      <c r="AD16" s="105"/>
      <c r="AE16" s="105"/>
      <c r="AF16" s="105"/>
      <c r="AG16" s="105"/>
      <c r="AH16" s="158"/>
      <c r="AI16" s="473"/>
      <c r="AJ16" s="106"/>
      <c r="AK16" s="107"/>
      <c r="AL16" s="108"/>
      <c r="AM16" s="108"/>
      <c r="AN16" s="108"/>
      <c r="AO16" s="108"/>
      <c r="AP16" s="108"/>
      <c r="AQ16" s="165"/>
      <c r="AR16" s="531"/>
    </row>
    <row r="17" spans="1:44" s="109" customFormat="1" x14ac:dyDescent="0.25">
      <c r="A17" s="253"/>
      <c r="B17" s="374"/>
      <c r="C17" s="242" t="s">
        <v>468</v>
      </c>
      <c r="D17" s="243"/>
      <c r="E17" s="243"/>
      <c r="F17" s="243"/>
      <c r="G17" s="243"/>
      <c r="H17" s="243"/>
      <c r="I17" s="244"/>
      <c r="J17" s="121"/>
      <c r="K17" s="247"/>
      <c r="L17" s="118"/>
      <c r="M17" s="118"/>
      <c r="N17" s="118"/>
      <c r="O17" s="118"/>
      <c r="P17" s="118"/>
      <c r="Q17" s="209"/>
      <c r="R17" s="252" t="str">
        <f>C17</f>
        <v>IHC - REWARDS UPGRADE</v>
      </c>
      <c r="S17" s="386"/>
      <c r="T17" s="243"/>
      <c r="U17" s="243"/>
      <c r="V17" s="243"/>
      <c r="W17" s="243"/>
      <c r="X17" s="244"/>
      <c r="Y17" s="123"/>
      <c r="Z17" s="362"/>
      <c r="AA17" s="242" t="s">
        <v>467</v>
      </c>
      <c r="AB17" s="243"/>
      <c r="AC17" s="243"/>
      <c r="AD17" s="243"/>
      <c r="AE17" s="243"/>
      <c r="AF17" s="243"/>
      <c r="AG17" s="244"/>
      <c r="AH17" s="158"/>
      <c r="AI17" s="473"/>
      <c r="AJ17" s="242" t="s">
        <v>467</v>
      </c>
      <c r="AK17" s="243"/>
      <c r="AL17" s="243"/>
      <c r="AM17" s="243"/>
      <c r="AN17" s="243"/>
      <c r="AO17" s="243"/>
      <c r="AP17" s="244"/>
      <c r="AQ17" s="165"/>
      <c r="AR17" s="531"/>
    </row>
    <row r="18" spans="1:44" s="109" customFormat="1" x14ac:dyDescent="0.25">
      <c r="A18" s="253"/>
      <c r="B18" s="374"/>
      <c r="C18" s="407"/>
      <c r="D18" s="128"/>
      <c r="E18" s="127">
        <f t="shared" si="0"/>
        <v>0</v>
      </c>
      <c r="F18" s="127">
        <f t="shared" ref="F18:I19" si="6">IF(E18&gt;12,(((E18)*$E$5)+E18),(E18*1))</f>
        <v>0</v>
      </c>
      <c r="G18" s="127">
        <f t="shared" si="6"/>
        <v>0</v>
      </c>
      <c r="H18" s="127">
        <f t="shared" si="6"/>
        <v>0</v>
      </c>
      <c r="I18" s="127">
        <f t="shared" si="6"/>
        <v>0</v>
      </c>
      <c r="J18" s="121"/>
      <c r="K18" s="247"/>
      <c r="L18" s="118"/>
      <c r="M18" s="118"/>
      <c r="N18" s="118"/>
      <c r="O18" s="118"/>
      <c r="P18" s="118"/>
      <c r="Q18" s="209"/>
      <c r="R18" s="222"/>
      <c r="S18" s="335"/>
      <c r="T18" s="103">
        <f t="shared" ref="T18:X19" si="7">IF($S18&gt;0,PRODUCT(E18,$S18),0)</f>
        <v>0</v>
      </c>
      <c r="U18" s="103">
        <f t="shared" si="7"/>
        <v>0</v>
      </c>
      <c r="V18" s="103">
        <f t="shared" si="7"/>
        <v>0</v>
      </c>
      <c r="W18" s="103">
        <f t="shared" si="7"/>
        <v>0</v>
      </c>
      <c r="X18" s="103">
        <f t="shared" si="7"/>
        <v>0</v>
      </c>
      <c r="Y18" s="123">
        <f t="shared" si="3"/>
        <v>0</v>
      </c>
      <c r="Z18" s="370"/>
      <c r="AA18" s="104"/>
      <c r="AB18" s="255"/>
      <c r="AC18" s="105"/>
      <c r="AD18" s="105"/>
      <c r="AE18" s="105"/>
      <c r="AF18" s="105"/>
      <c r="AG18" s="105"/>
      <c r="AH18" s="158"/>
      <c r="AI18" s="473"/>
      <c r="AJ18" s="106"/>
      <c r="AK18" s="107"/>
      <c r="AL18" s="108"/>
      <c r="AM18" s="108"/>
      <c r="AN18" s="108"/>
      <c r="AO18" s="108"/>
      <c r="AP18" s="108"/>
      <c r="AQ18" s="165"/>
      <c r="AR18" s="531"/>
    </row>
    <row r="19" spans="1:44" s="109" customFormat="1" x14ac:dyDescent="0.25">
      <c r="A19" s="253"/>
      <c r="B19" s="374"/>
      <c r="C19" s="407"/>
      <c r="D19" s="128"/>
      <c r="E19" s="127">
        <f t="shared" si="0"/>
        <v>0</v>
      </c>
      <c r="F19" s="127">
        <f t="shared" si="6"/>
        <v>0</v>
      </c>
      <c r="G19" s="127">
        <f t="shared" si="6"/>
        <v>0</v>
      </c>
      <c r="H19" s="127">
        <f t="shared" si="6"/>
        <v>0</v>
      </c>
      <c r="I19" s="127">
        <f t="shared" si="6"/>
        <v>0</v>
      </c>
      <c r="J19" s="121"/>
      <c r="K19" s="247"/>
      <c r="L19" s="118"/>
      <c r="M19" s="118"/>
      <c r="N19" s="118"/>
      <c r="O19" s="118"/>
      <c r="P19" s="118"/>
      <c r="Q19" s="209"/>
      <c r="R19" s="222"/>
      <c r="S19" s="401"/>
      <c r="T19" s="103">
        <f t="shared" si="7"/>
        <v>0</v>
      </c>
      <c r="U19" s="103">
        <f t="shared" si="7"/>
        <v>0</v>
      </c>
      <c r="V19" s="103">
        <f t="shared" si="7"/>
        <v>0</v>
      </c>
      <c r="W19" s="103">
        <f t="shared" si="7"/>
        <v>0</v>
      </c>
      <c r="X19" s="103">
        <f t="shared" si="7"/>
        <v>0</v>
      </c>
      <c r="Y19" s="123">
        <f t="shared" si="3"/>
        <v>0</v>
      </c>
      <c r="Z19" s="370"/>
      <c r="AA19" s="104"/>
      <c r="AB19" s="255"/>
      <c r="AC19" s="105"/>
      <c r="AD19" s="105"/>
      <c r="AE19" s="105"/>
      <c r="AF19" s="105"/>
      <c r="AG19" s="105"/>
      <c r="AH19" s="158"/>
      <c r="AI19" s="473"/>
      <c r="AJ19" s="106"/>
      <c r="AK19" s="107"/>
      <c r="AL19" s="108"/>
      <c r="AM19" s="108"/>
      <c r="AN19" s="108"/>
      <c r="AO19" s="108"/>
      <c r="AP19" s="108"/>
      <c r="AQ19" s="165"/>
      <c r="AR19" s="531"/>
    </row>
    <row r="20" spans="1:44" s="109" customFormat="1" x14ac:dyDescent="0.25">
      <c r="A20" s="253"/>
      <c r="B20" s="374"/>
      <c r="C20" s="407"/>
      <c r="D20" s="128"/>
      <c r="E20" s="127"/>
      <c r="F20" s="127"/>
      <c r="G20" s="127"/>
      <c r="H20" s="127"/>
      <c r="I20" s="127"/>
      <c r="J20" s="121"/>
      <c r="K20" s="247"/>
      <c r="L20" s="118"/>
      <c r="M20" s="118"/>
      <c r="N20" s="118"/>
      <c r="O20" s="118"/>
      <c r="P20" s="118"/>
      <c r="Q20" s="209"/>
      <c r="R20" s="222"/>
      <c r="S20" s="401"/>
      <c r="T20" s="103" t="e">
        <f>SUM(#REF!,#REF!,#REF!)*-1</f>
        <v>#REF!</v>
      </c>
      <c r="U20" s="103" t="e">
        <f>SUM(#REF!,#REF!,#REF!)*-1</f>
        <v>#REF!</v>
      </c>
      <c r="V20" s="103" t="e">
        <f>SUM(#REF!,#REF!,#REF!)*-1</f>
        <v>#REF!</v>
      </c>
      <c r="W20" s="103" t="e">
        <f>SUM(#REF!,#REF!,#REF!)*-1</f>
        <v>#REF!</v>
      </c>
      <c r="X20" s="103" t="e">
        <f>SUM(#REF!,#REF!,#REF!)*-1</f>
        <v>#REF!</v>
      </c>
      <c r="Y20" s="123" t="e">
        <f t="shared" si="3"/>
        <v>#REF!</v>
      </c>
      <c r="Z20" s="370"/>
      <c r="AA20" s="104"/>
      <c r="AB20" s="255"/>
      <c r="AC20" s="105"/>
      <c r="AD20" s="105"/>
      <c r="AE20" s="105"/>
      <c r="AF20" s="105"/>
      <c r="AG20" s="105"/>
      <c r="AH20" s="158"/>
      <c r="AI20" s="473"/>
      <c r="AJ20" s="106"/>
      <c r="AK20" s="107"/>
      <c r="AL20" s="108"/>
      <c r="AM20" s="108"/>
      <c r="AN20" s="108"/>
      <c r="AO20" s="108"/>
      <c r="AP20" s="108"/>
      <c r="AQ20" s="165"/>
      <c r="AR20" s="531"/>
    </row>
    <row r="21" spans="1:44" s="109" customFormat="1" x14ac:dyDescent="0.25">
      <c r="A21" s="253"/>
      <c r="B21" s="253"/>
      <c r="C21" s="200"/>
      <c r="D21" s="128"/>
      <c r="E21" s="127"/>
      <c r="F21" s="127"/>
      <c r="G21" s="127"/>
      <c r="H21" s="127"/>
      <c r="I21" s="127"/>
      <c r="J21" s="121"/>
      <c r="K21" s="247"/>
      <c r="L21" s="118"/>
      <c r="M21" s="118"/>
      <c r="N21" s="118"/>
      <c r="O21" s="118"/>
      <c r="P21" s="118"/>
      <c r="Q21" s="209"/>
      <c r="R21" s="102"/>
      <c r="S21" s="335"/>
      <c r="T21" s="103"/>
      <c r="U21" s="103"/>
      <c r="V21" s="103"/>
      <c r="W21" s="103"/>
      <c r="X21" s="103"/>
      <c r="Y21" s="123"/>
      <c r="Z21" s="362"/>
      <c r="AA21" s="104"/>
      <c r="AB21" s="255"/>
      <c r="AC21" s="105"/>
      <c r="AD21" s="105"/>
      <c r="AE21" s="105"/>
      <c r="AF21" s="105"/>
      <c r="AG21" s="105"/>
      <c r="AH21" s="158"/>
      <c r="AI21" s="473"/>
      <c r="AJ21" s="106"/>
      <c r="AK21" s="107"/>
      <c r="AL21" s="108"/>
      <c r="AM21" s="108"/>
      <c r="AN21" s="108"/>
      <c r="AO21" s="108"/>
      <c r="AP21" s="108"/>
      <c r="AQ21" s="165"/>
      <c r="AR21" s="531"/>
    </row>
    <row r="22" spans="1:44" s="109" customFormat="1" x14ac:dyDescent="0.25">
      <c r="A22" s="253"/>
      <c r="B22" s="374"/>
      <c r="C22" s="242" t="s">
        <v>469</v>
      </c>
      <c r="D22" s="243"/>
      <c r="E22" s="243"/>
      <c r="F22" s="243"/>
      <c r="G22" s="243"/>
      <c r="H22" s="243"/>
      <c r="I22" s="244"/>
      <c r="J22" s="121"/>
      <c r="K22" s="247"/>
      <c r="L22" s="118"/>
      <c r="M22" s="118"/>
      <c r="N22" s="118"/>
      <c r="O22" s="118"/>
      <c r="P22" s="118"/>
      <c r="Q22" s="209"/>
      <c r="R22" s="252" t="str">
        <f>C22</f>
        <v>APIs &amp; INTEGRATIONS</v>
      </c>
      <c r="S22" s="386"/>
      <c r="T22" s="243"/>
      <c r="U22" s="243"/>
      <c r="V22" s="243"/>
      <c r="W22" s="243"/>
      <c r="X22" s="244"/>
      <c r="Y22" s="123"/>
      <c r="Z22" s="362"/>
      <c r="AA22" s="252" t="str">
        <f>C22</f>
        <v>APIs &amp; INTEGRATIONS</v>
      </c>
      <c r="AB22" s="386"/>
      <c r="AC22" s="243"/>
      <c r="AD22" s="243"/>
      <c r="AE22" s="243"/>
      <c r="AF22" s="243"/>
      <c r="AG22" s="244"/>
      <c r="AH22" s="158"/>
      <c r="AI22" s="473"/>
      <c r="AJ22" s="252" t="str">
        <f>C22</f>
        <v>APIs &amp; INTEGRATIONS</v>
      </c>
      <c r="AK22" s="386"/>
      <c r="AL22" s="243"/>
      <c r="AM22" s="243"/>
      <c r="AN22" s="243"/>
      <c r="AO22" s="243"/>
      <c r="AP22" s="244"/>
      <c r="AQ22" s="165"/>
      <c r="AR22" s="531"/>
    </row>
    <row r="23" spans="1:44" s="109" customFormat="1" x14ac:dyDescent="0.25">
      <c r="A23" s="253"/>
      <c r="B23" s="445"/>
      <c r="C23" s="444"/>
      <c r="D23" s="128"/>
      <c r="E23" s="127">
        <f t="shared" ref="E23:E32" si="8">D23*12</f>
        <v>0</v>
      </c>
      <c r="F23" s="127">
        <f t="shared" ref="F23:I26" si="9">IF(E23&gt;12,(((E23)*$E$5)+E23),(E23*1))</f>
        <v>0</v>
      </c>
      <c r="G23" s="127">
        <f t="shared" si="9"/>
        <v>0</v>
      </c>
      <c r="H23" s="127">
        <f t="shared" si="9"/>
        <v>0</v>
      </c>
      <c r="I23" s="127">
        <f t="shared" si="9"/>
        <v>0</v>
      </c>
      <c r="J23" s="121"/>
      <c r="K23" s="247"/>
      <c r="L23" s="118"/>
      <c r="M23" s="118"/>
      <c r="N23" s="118"/>
      <c r="O23" s="118"/>
      <c r="P23" s="118"/>
      <c r="Q23" s="209"/>
      <c r="R23" s="222"/>
      <c r="S23" s="335"/>
      <c r="T23" s="103">
        <f t="shared" ref="T23:X25" si="10">IF($S23&gt;0,PRODUCT(E23,$S23),0)</f>
        <v>0</v>
      </c>
      <c r="U23" s="103">
        <f t="shared" si="10"/>
        <v>0</v>
      </c>
      <c r="V23" s="103">
        <f t="shared" si="10"/>
        <v>0</v>
      </c>
      <c r="W23" s="103">
        <f t="shared" si="10"/>
        <v>0</v>
      </c>
      <c r="X23" s="103">
        <f t="shared" si="10"/>
        <v>0</v>
      </c>
      <c r="Y23" s="123">
        <f>SUM(T23:X23)</f>
        <v>0</v>
      </c>
      <c r="Z23" s="370"/>
      <c r="AA23" s="104"/>
      <c r="AB23" s="255"/>
      <c r="AC23" s="105"/>
      <c r="AD23" s="105"/>
      <c r="AE23" s="105"/>
      <c r="AF23" s="105"/>
      <c r="AG23" s="105"/>
      <c r="AH23" s="158"/>
      <c r="AI23" s="473"/>
      <c r="AJ23" s="106"/>
      <c r="AK23" s="107"/>
      <c r="AL23" s="108"/>
      <c r="AM23" s="108"/>
      <c r="AN23" s="108"/>
      <c r="AO23" s="108"/>
      <c r="AP23" s="108"/>
      <c r="AQ23" s="165"/>
      <c r="AR23" s="531"/>
    </row>
    <row r="24" spans="1:44" s="109" customFormat="1" x14ac:dyDescent="0.25">
      <c r="A24" s="253"/>
      <c r="B24" s="445"/>
      <c r="C24" s="444"/>
      <c r="D24" s="128"/>
      <c r="E24" s="127">
        <f t="shared" si="8"/>
        <v>0</v>
      </c>
      <c r="F24" s="127">
        <f t="shared" si="9"/>
        <v>0</v>
      </c>
      <c r="G24" s="127">
        <f t="shared" si="9"/>
        <v>0</v>
      </c>
      <c r="H24" s="127">
        <f t="shared" si="9"/>
        <v>0</v>
      </c>
      <c r="I24" s="127">
        <f t="shared" si="9"/>
        <v>0</v>
      </c>
      <c r="J24" s="121"/>
      <c r="K24" s="247"/>
      <c r="L24" s="118"/>
      <c r="M24" s="118"/>
      <c r="N24" s="118"/>
      <c r="O24" s="118"/>
      <c r="P24" s="118"/>
      <c r="Q24" s="209"/>
      <c r="R24" s="222"/>
      <c r="S24" s="335"/>
      <c r="T24" s="103">
        <f t="shared" si="10"/>
        <v>0</v>
      </c>
      <c r="U24" s="103">
        <f t="shared" si="10"/>
        <v>0</v>
      </c>
      <c r="V24" s="103">
        <f t="shared" si="10"/>
        <v>0</v>
      </c>
      <c r="W24" s="103">
        <f t="shared" si="10"/>
        <v>0</v>
      </c>
      <c r="X24" s="103">
        <f t="shared" si="10"/>
        <v>0</v>
      </c>
      <c r="Y24" s="123">
        <f>SUM(T24:X24)</f>
        <v>0</v>
      </c>
      <c r="Z24" s="370"/>
      <c r="AA24" s="104"/>
      <c r="AB24" s="255"/>
      <c r="AC24" s="105"/>
      <c r="AD24" s="105"/>
      <c r="AE24" s="105"/>
      <c r="AF24" s="105"/>
      <c r="AG24" s="105"/>
      <c r="AH24" s="158"/>
      <c r="AI24" s="473"/>
      <c r="AJ24" s="106"/>
      <c r="AK24" s="107"/>
      <c r="AL24" s="108"/>
      <c r="AM24" s="108"/>
      <c r="AN24" s="108"/>
      <c r="AO24" s="108"/>
      <c r="AP24" s="108"/>
      <c r="AQ24" s="165"/>
      <c r="AR24" s="531"/>
    </row>
    <row r="25" spans="1:44" s="109" customFormat="1" x14ac:dyDescent="0.25">
      <c r="A25" s="253"/>
      <c r="B25" s="445"/>
      <c r="C25" s="444"/>
      <c r="D25" s="128"/>
      <c r="E25" s="127">
        <f t="shared" si="8"/>
        <v>0</v>
      </c>
      <c r="F25" s="127">
        <f t="shared" si="9"/>
        <v>0</v>
      </c>
      <c r="G25" s="127">
        <f t="shared" si="9"/>
        <v>0</v>
      </c>
      <c r="H25" s="127">
        <f t="shared" si="9"/>
        <v>0</v>
      </c>
      <c r="I25" s="127">
        <f t="shared" si="9"/>
        <v>0</v>
      </c>
      <c r="J25" s="121"/>
      <c r="K25" s="247"/>
      <c r="L25" s="118"/>
      <c r="M25" s="118"/>
      <c r="N25" s="118"/>
      <c r="O25" s="118"/>
      <c r="P25" s="118"/>
      <c r="Q25" s="209"/>
      <c r="R25" s="222"/>
      <c r="S25" s="335"/>
      <c r="T25" s="103">
        <f t="shared" si="10"/>
        <v>0</v>
      </c>
      <c r="U25" s="103">
        <f t="shared" si="10"/>
        <v>0</v>
      </c>
      <c r="V25" s="103">
        <f t="shared" si="10"/>
        <v>0</v>
      </c>
      <c r="W25" s="103">
        <f t="shared" si="10"/>
        <v>0</v>
      </c>
      <c r="X25" s="103">
        <f t="shared" si="10"/>
        <v>0</v>
      </c>
      <c r="Y25" s="123">
        <f>SUM(T25:X25)</f>
        <v>0</v>
      </c>
      <c r="Z25" s="370"/>
      <c r="AA25" s="104"/>
      <c r="AB25" s="255"/>
      <c r="AC25" s="105"/>
      <c r="AD25" s="105"/>
      <c r="AE25" s="105"/>
      <c r="AF25" s="105"/>
      <c r="AG25" s="105"/>
      <c r="AH25" s="158"/>
      <c r="AI25" s="473"/>
      <c r="AJ25" s="106"/>
      <c r="AK25" s="107"/>
      <c r="AL25" s="108"/>
      <c r="AM25" s="108"/>
      <c r="AN25" s="108"/>
      <c r="AO25" s="108"/>
      <c r="AP25" s="108"/>
      <c r="AQ25" s="165"/>
      <c r="AR25" s="531"/>
    </row>
    <row r="26" spans="1:44" s="109" customFormat="1" x14ac:dyDescent="0.25">
      <c r="A26" s="253"/>
      <c r="B26" s="445"/>
      <c r="C26" s="444"/>
      <c r="D26" s="128"/>
      <c r="E26" s="127">
        <f t="shared" si="8"/>
        <v>0</v>
      </c>
      <c r="F26" s="127">
        <f t="shared" si="9"/>
        <v>0</v>
      </c>
      <c r="G26" s="127">
        <f t="shared" si="9"/>
        <v>0</v>
      </c>
      <c r="H26" s="127">
        <f t="shared" si="9"/>
        <v>0</v>
      </c>
      <c r="I26" s="127">
        <f t="shared" si="9"/>
        <v>0</v>
      </c>
      <c r="J26" s="121"/>
      <c r="K26" s="247"/>
      <c r="L26" s="118"/>
      <c r="M26" s="118"/>
      <c r="N26" s="118"/>
      <c r="O26" s="118"/>
      <c r="P26" s="118"/>
      <c r="Q26" s="209"/>
      <c r="R26" s="222"/>
      <c r="S26" s="335"/>
      <c r="T26" s="103"/>
      <c r="U26" s="103"/>
      <c r="V26" s="103"/>
      <c r="W26" s="103"/>
      <c r="X26" s="103"/>
      <c r="Y26" s="123"/>
      <c r="Z26" s="370"/>
      <c r="AA26" s="104"/>
      <c r="AB26" s="255"/>
      <c r="AC26" s="105"/>
      <c r="AD26" s="105"/>
      <c r="AE26" s="105"/>
      <c r="AF26" s="105"/>
      <c r="AG26" s="105"/>
      <c r="AH26" s="158"/>
      <c r="AI26" s="473"/>
      <c r="AJ26" s="106"/>
      <c r="AK26" s="107"/>
      <c r="AL26" s="108"/>
      <c r="AM26" s="108"/>
      <c r="AN26" s="108"/>
      <c r="AO26" s="108"/>
      <c r="AP26" s="108"/>
      <c r="AQ26" s="165"/>
      <c r="AR26" s="531"/>
    </row>
    <row r="27" spans="1:44" s="109" customFormat="1" x14ac:dyDescent="0.25">
      <c r="A27" s="253"/>
      <c r="B27" s="445"/>
      <c r="C27" s="444"/>
      <c r="D27" s="128"/>
      <c r="E27" s="127">
        <f t="shared" si="8"/>
        <v>0</v>
      </c>
      <c r="F27" s="127">
        <f t="shared" ref="F27:I28" si="11">IF(E27&gt;12,(((E27)*$E$5)+E27),(E27*1))</f>
        <v>0</v>
      </c>
      <c r="G27" s="127">
        <f t="shared" si="11"/>
        <v>0</v>
      </c>
      <c r="H27" s="127">
        <f t="shared" si="11"/>
        <v>0</v>
      </c>
      <c r="I27" s="127">
        <f t="shared" si="11"/>
        <v>0</v>
      </c>
      <c r="J27" s="121"/>
      <c r="K27" s="247"/>
      <c r="L27" s="118"/>
      <c r="M27" s="118"/>
      <c r="N27" s="118"/>
      <c r="O27" s="118"/>
      <c r="P27" s="118"/>
      <c r="Q27" s="209"/>
      <c r="R27" s="222"/>
      <c r="S27" s="335"/>
      <c r="T27" s="103"/>
      <c r="U27" s="103"/>
      <c r="V27" s="103"/>
      <c r="W27" s="103"/>
      <c r="X27" s="103"/>
      <c r="Y27" s="123"/>
      <c r="Z27" s="370"/>
      <c r="AA27" s="104"/>
      <c r="AB27" s="501"/>
      <c r="AC27" s="105"/>
      <c r="AD27" s="105"/>
      <c r="AE27" s="105"/>
      <c r="AF27" s="105"/>
      <c r="AG27" s="105"/>
      <c r="AH27" s="158"/>
      <c r="AI27" s="473"/>
      <c r="AJ27" s="106"/>
      <c r="AK27" s="107"/>
      <c r="AL27" s="108"/>
      <c r="AM27" s="108"/>
      <c r="AN27" s="108"/>
      <c r="AO27" s="108"/>
      <c r="AP27" s="108"/>
      <c r="AQ27" s="165"/>
      <c r="AR27" s="531"/>
    </row>
    <row r="28" spans="1:44" s="109" customFormat="1" x14ac:dyDescent="0.25">
      <c r="A28" s="253"/>
      <c r="B28" s="374"/>
      <c r="C28" s="407"/>
      <c r="D28" s="128"/>
      <c r="E28" s="127">
        <f t="shared" si="8"/>
        <v>0</v>
      </c>
      <c r="F28" s="127">
        <f t="shared" si="11"/>
        <v>0</v>
      </c>
      <c r="G28" s="127">
        <f t="shared" si="11"/>
        <v>0</v>
      </c>
      <c r="H28" s="127">
        <f t="shared" si="11"/>
        <v>0</v>
      </c>
      <c r="I28" s="127">
        <f t="shared" si="11"/>
        <v>0</v>
      </c>
      <c r="J28" s="121"/>
      <c r="K28" s="247"/>
      <c r="L28" s="118"/>
      <c r="M28" s="118"/>
      <c r="N28" s="118"/>
      <c r="O28" s="118"/>
      <c r="P28" s="118"/>
      <c r="Q28" s="209"/>
      <c r="R28" s="222"/>
      <c r="S28" s="335"/>
      <c r="T28" s="103">
        <f>IF($S28&gt;0,PRODUCT(E28,$S28),0)</f>
        <v>0</v>
      </c>
      <c r="U28" s="103">
        <f>IF($S28&gt;0,PRODUCT(F28,$S28),0)</f>
        <v>0</v>
      </c>
      <c r="V28" s="103">
        <f>IF($S28&gt;0,PRODUCT(G28,$S28),0)</f>
        <v>0</v>
      </c>
      <c r="W28" s="103">
        <f>IF($S28&gt;0,PRODUCT(H28,$S28),0)</f>
        <v>0</v>
      </c>
      <c r="X28" s="103">
        <f>IF($S28&gt;0,PRODUCT(I28,$S28),0)</f>
        <v>0</v>
      </c>
      <c r="Y28" s="123">
        <f>SUM(T28:X28)</f>
        <v>0</v>
      </c>
      <c r="Z28" s="370"/>
      <c r="AA28" s="104"/>
      <c r="AB28" s="255"/>
      <c r="AC28" s="105"/>
      <c r="AD28" s="105"/>
      <c r="AE28" s="105"/>
      <c r="AF28" s="105"/>
      <c r="AG28" s="105"/>
      <c r="AH28" s="158"/>
      <c r="AI28" s="473"/>
      <c r="AJ28" s="106"/>
      <c r="AK28" s="107"/>
      <c r="AL28" s="108"/>
      <c r="AM28" s="108"/>
      <c r="AN28" s="108"/>
      <c r="AO28" s="108"/>
      <c r="AP28" s="108"/>
      <c r="AQ28" s="165"/>
      <c r="AR28" s="531"/>
    </row>
    <row r="29" spans="1:44" s="109" customFormat="1" x14ac:dyDescent="0.25">
      <c r="A29" s="253"/>
      <c r="B29" s="253"/>
      <c r="C29" s="444"/>
      <c r="D29" s="128"/>
      <c r="E29" s="127">
        <f t="shared" si="8"/>
        <v>0</v>
      </c>
      <c r="F29" s="127">
        <f>IF(E29&gt;12,(((E29)*'CORE Recurring Items'!$H$5)+E29),(E29*1))</f>
        <v>0</v>
      </c>
      <c r="G29" s="127">
        <f>IF(F29&gt;12,(((F29)*'CORE Recurring Items'!$H$5)+F29),(F29*1))</f>
        <v>0</v>
      </c>
      <c r="H29" s="127">
        <f>IF(G29&gt;12,(((G29)*'CORE Recurring Items'!$H$5)+G29),(G29*1))</f>
        <v>0</v>
      </c>
      <c r="I29" s="127">
        <f>IF(H29&gt;12,(((H29)*'CORE Recurring Items'!$H$5)+H29),(H29*1))</f>
        <v>0</v>
      </c>
      <c r="J29" s="121"/>
      <c r="K29" s="247"/>
      <c r="L29" s="129">
        <f t="shared" ref="L29:P32" si="12">IF(K29&gt;0,PRODUCT(E29,$K29),0)</f>
        <v>0</v>
      </c>
      <c r="M29" s="129">
        <f t="shared" si="12"/>
        <v>0</v>
      </c>
      <c r="N29" s="129">
        <f t="shared" si="12"/>
        <v>0</v>
      </c>
      <c r="O29" s="129">
        <f t="shared" si="12"/>
        <v>0</v>
      </c>
      <c r="P29" s="129">
        <f t="shared" si="12"/>
        <v>0</v>
      </c>
      <c r="Q29" s="209">
        <f>SUM(L29:P29)</f>
        <v>0</v>
      </c>
      <c r="R29" s="102"/>
      <c r="S29" s="324"/>
      <c r="T29" s="103"/>
      <c r="U29" s="103"/>
      <c r="V29" s="103"/>
      <c r="W29" s="103"/>
      <c r="X29" s="103"/>
      <c r="Y29" s="123"/>
      <c r="Z29" s="370"/>
      <c r="AA29" s="272"/>
      <c r="AB29" s="255"/>
      <c r="AC29" s="105">
        <f t="shared" ref="AC29:AG32" si="13">IF(AB29&gt;0,PRODUCT(E29,$AB29),0)</f>
        <v>0</v>
      </c>
      <c r="AD29" s="105">
        <f t="shared" si="13"/>
        <v>0</v>
      </c>
      <c r="AE29" s="105">
        <f t="shared" si="13"/>
        <v>0</v>
      </c>
      <c r="AF29" s="105">
        <f t="shared" si="13"/>
        <v>0</v>
      </c>
      <c r="AG29" s="105">
        <f t="shared" si="13"/>
        <v>0</v>
      </c>
      <c r="AH29" s="158">
        <f>SUM(AC29:AG29)</f>
        <v>0</v>
      </c>
      <c r="AI29" s="473"/>
      <c r="AJ29" s="106"/>
      <c r="AK29" s="107"/>
      <c r="AL29" s="108">
        <f t="shared" ref="AL29:AP32" si="14">IF(AK29&gt;0,PRODUCT(E29,$AK29),0)</f>
        <v>0</v>
      </c>
      <c r="AM29" s="108">
        <f t="shared" si="14"/>
        <v>0</v>
      </c>
      <c r="AN29" s="108">
        <f t="shared" si="14"/>
        <v>0</v>
      </c>
      <c r="AO29" s="108">
        <f t="shared" si="14"/>
        <v>0</v>
      </c>
      <c r="AP29" s="108">
        <f t="shared" si="14"/>
        <v>0</v>
      </c>
      <c r="AQ29" s="165">
        <f>SUM(AL29:AP29)</f>
        <v>0</v>
      </c>
      <c r="AR29" s="531"/>
    </row>
    <row r="30" spans="1:44" s="109" customFormat="1" x14ac:dyDescent="0.25">
      <c r="A30" s="253"/>
      <c r="B30" s="253"/>
      <c r="C30" s="444"/>
      <c r="D30" s="128"/>
      <c r="E30" s="127">
        <f t="shared" si="8"/>
        <v>0</v>
      </c>
      <c r="F30" s="127">
        <f>IF(E30&gt;12,(((E30)*'CORE Recurring Items'!$H$5)+E30),(E30*1))</f>
        <v>0</v>
      </c>
      <c r="G30" s="127">
        <f>IF(F30&gt;12,(((F30)*'CORE Recurring Items'!$H$5)+F30),(F30*1))</f>
        <v>0</v>
      </c>
      <c r="H30" s="127">
        <f>IF(G30&gt;12,(((G30)*'CORE Recurring Items'!$H$5)+G30),(G30*1))</f>
        <v>0</v>
      </c>
      <c r="I30" s="127">
        <f>IF(H30&gt;12,(((H30)*'CORE Recurring Items'!$H$5)+H30),(H30*1))</f>
        <v>0</v>
      </c>
      <c r="J30" s="121"/>
      <c r="K30" s="247"/>
      <c r="L30" s="129">
        <f t="shared" si="12"/>
        <v>0</v>
      </c>
      <c r="M30" s="129">
        <f t="shared" si="12"/>
        <v>0</v>
      </c>
      <c r="N30" s="129">
        <f t="shared" si="12"/>
        <v>0</v>
      </c>
      <c r="O30" s="129">
        <f t="shared" si="12"/>
        <v>0</v>
      </c>
      <c r="P30" s="129">
        <f t="shared" si="12"/>
        <v>0</v>
      </c>
      <c r="Q30" s="209">
        <f>SUM(L30:P30)</f>
        <v>0</v>
      </c>
      <c r="R30" s="102"/>
      <c r="S30" s="324"/>
      <c r="T30" s="103"/>
      <c r="U30" s="103"/>
      <c r="V30" s="103"/>
      <c r="W30" s="103"/>
      <c r="X30" s="103"/>
      <c r="Y30" s="123"/>
      <c r="Z30" s="370"/>
      <c r="AA30" s="272"/>
      <c r="AB30" s="255"/>
      <c r="AC30" s="105">
        <f t="shared" si="13"/>
        <v>0</v>
      </c>
      <c r="AD30" s="105">
        <f t="shared" si="13"/>
        <v>0</v>
      </c>
      <c r="AE30" s="105">
        <f t="shared" si="13"/>
        <v>0</v>
      </c>
      <c r="AF30" s="105">
        <f t="shared" si="13"/>
        <v>0</v>
      </c>
      <c r="AG30" s="105">
        <f t="shared" si="13"/>
        <v>0</v>
      </c>
      <c r="AH30" s="158">
        <f>SUM(AC30:AG30)</f>
        <v>0</v>
      </c>
      <c r="AI30" s="473"/>
      <c r="AJ30" s="106"/>
      <c r="AK30" s="107"/>
      <c r="AL30" s="108">
        <f t="shared" si="14"/>
        <v>0</v>
      </c>
      <c r="AM30" s="108">
        <f t="shared" si="14"/>
        <v>0</v>
      </c>
      <c r="AN30" s="108">
        <f t="shared" si="14"/>
        <v>0</v>
      </c>
      <c r="AO30" s="108">
        <f t="shared" si="14"/>
        <v>0</v>
      </c>
      <c r="AP30" s="108">
        <f t="shared" si="14"/>
        <v>0</v>
      </c>
      <c r="AQ30" s="165">
        <f>SUM(AL30:AP30)</f>
        <v>0</v>
      </c>
      <c r="AR30" s="531"/>
    </row>
    <row r="31" spans="1:44" s="109" customFormat="1" x14ac:dyDescent="0.25">
      <c r="A31" s="253"/>
      <c r="B31" s="253"/>
      <c r="C31" s="444"/>
      <c r="D31" s="128"/>
      <c r="E31" s="127">
        <f t="shared" si="8"/>
        <v>0</v>
      </c>
      <c r="F31" s="127">
        <f>IF(E31&gt;12,(((E31)*'CORE Recurring Items'!$H$5)+E31),(E31*1))</f>
        <v>0</v>
      </c>
      <c r="G31" s="127">
        <f>IF(F31&gt;12,(((F31)*'CORE Recurring Items'!$H$5)+F31),(F31*1))</f>
        <v>0</v>
      </c>
      <c r="H31" s="127">
        <f>IF(G31&gt;12,(((G31)*'CORE Recurring Items'!$H$5)+G31),(G31*1))</f>
        <v>0</v>
      </c>
      <c r="I31" s="127">
        <f>IF(H31&gt;12,(((H31)*'CORE Recurring Items'!$H$5)+H31),(H31*1))</f>
        <v>0</v>
      </c>
      <c r="J31" s="121"/>
      <c r="K31" s="247"/>
      <c r="L31" s="129">
        <f t="shared" si="12"/>
        <v>0</v>
      </c>
      <c r="M31" s="129">
        <f t="shared" si="12"/>
        <v>0</v>
      </c>
      <c r="N31" s="129">
        <f t="shared" si="12"/>
        <v>0</v>
      </c>
      <c r="O31" s="129">
        <f t="shared" si="12"/>
        <v>0</v>
      </c>
      <c r="P31" s="129">
        <f t="shared" si="12"/>
        <v>0</v>
      </c>
      <c r="Q31" s="209">
        <f>SUM(L31:P31)</f>
        <v>0</v>
      </c>
      <c r="R31" s="102"/>
      <c r="S31" s="324"/>
      <c r="T31" s="103"/>
      <c r="U31" s="103"/>
      <c r="V31" s="103"/>
      <c r="W31" s="103"/>
      <c r="X31" s="103"/>
      <c r="Y31" s="123"/>
      <c r="Z31" s="362"/>
      <c r="AA31" s="272"/>
      <c r="AB31" s="255"/>
      <c r="AC31" s="105">
        <f t="shared" si="13"/>
        <v>0</v>
      </c>
      <c r="AD31" s="105">
        <f t="shared" si="13"/>
        <v>0</v>
      </c>
      <c r="AE31" s="105">
        <f t="shared" si="13"/>
        <v>0</v>
      </c>
      <c r="AF31" s="105">
        <f t="shared" si="13"/>
        <v>0</v>
      </c>
      <c r="AG31" s="105">
        <f t="shared" si="13"/>
        <v>0</v>
      </c>
      <c r="AH31" s="158">
        <f>SUM(AC31:AG31)</f>
        <v>0</v>
      </c>
      <c r="AI31" s="473"/>
      <c r="AJ31" s="106"/>
      <c r="AK31" s="107"/>
      <c r="AL31" s="108">
        <f t="shared" si="14"/>
        <v>0</v>
      </c>
      <c r="AM31" s="108">
        <f t="shared" si="14"/>
        <v>0</v>
      </c>
      <c r="AN31" s="108">
        <f t="shared" si="14"/>
        <v>0</v>
      </c>
      <c r="AO31" s="108">
        <f t="shared" si="14"/>
        <v>0</v>
      </c>
      <c r="AP31" s="108">
        <f t="shared" si="14"/>
        <v>0</v>
      </c>
      <c r="AQ31" s="165">
        <f>SUM(AL31:AP31)</f>
        <v>0</v>
      </c>
      <c r="AR31" s="531"/>
    </row>
    <row r="32" spans="1:44" s="109" customFormat="1" x14ac:dyDescent="0.25">
      <c r="A32" s="253"/>
      <c r="B32" s="253"/>
      <c r="C32" s="444"/>
      <c r="D32" s="128"/>
      <c r="E32" s="127">
        <f t="shared" si="8"/>
        <v>0</v>
      </c>
      <c r="F32" s="127">
        <f>IF(E32&gt;12,(((E32)*'CORE Recurring Items'!$H$5)+E32),(E32*1))</f>
        <v>0</v>
      </c>
      <c r="G32" s="127">
        <f>IF(F32&gt;12,(((F32)*'CORE Recurring Items'!$H$5)+F32),(F32*1))</f>
        <v>0</v>
      </c>
      <c r="H32" s="127">
        <f>IF(G32&gt;12,(((G32)*'CORE Recurring Items'!$H$5)+G32),(G32*1))</f>
        <v>0</v>
      </c>
      <c r="I32" s="127">
        <f>IF(H32&gt;12,(((H32)*'CORE Recurring Items'!$H$5)+H32),(H32*1))</f>
        <v>0</v>
      </c>
      <c r="J32" s="121"/>
      <c r="K32" s="247"/>
      <c r="L32" s="129">
        <f t="shared" si="12"/>
        <v>0</v>
      </c>
      <c r="M32" s="129">
        <f t="shared" si="12"/>
        <v>0</v>
      </c>
      <c r="N32" s="129">
        <f t="shared" si="12"/>
        <v>0</v>
      </c>
      <c r="O32" s="129">
        <f t="shared" si="12"/>
        <v>0</v>
      </c>
      <c r="P32" s="129">
        <f t="shared" si="12"/>
        <v>0</v>
      </c>
      <c r="Q32" s="209">
        <f>SUM(L32:P32)</f>
        <v>0</v>
      </c>
      <c r="R32" s="102"/>
      <c r="S32" s="324"/>
      <c r="T32" s="103"/>
      <c r="U32" s="103"/>
      <c r="V32" s="103"/>
      <c r="W32" s="103"/>
      <c r="X32" s="103"/>
      <c r="Y32" s="123"/>
      <c r="Z32" s="362"/>
      <c r="AA32" s="272"/>
      <c r="AB32" s="255"/>
      <c r="AC32" s="105">
        <f t="shared" si="13"/>
        <v>0</v>
      </c>
      <c r="AD32" s="105">
        <f t="shared" si="13"/>
        <v>0</v>
      </c>
      <c r="AE32" s="105">
        <f t="shared" si="13"/>
        <v>0</v>
      </c>
      <c r="AF32" s="105">
        <f t="shared" si="13"/>
        <v>0</v>
      </c>
      <c r="AG32" s="105">
        <f t="shared" si="13"/>
        <v>0</v>
      </c>
      <c r="AH32" s="158">
        <f>SUM(AC32:AG32)</f>
        <v>0</v>
      </c>
      <c r="AI32" s="473"/>
      <c r="AJ32" s="106"/>
      <c r="AK32" s="107"/>
      <c r="AL32" s="108">
        <f t="shared" si="14"/>
        <v>0</v>
      </c>
      <c r="AM32" s="108">
        <f t="shared" si="14"/>
        <v>0</v>
      </c>
      <c r="AN32" s="108">
        <f t="shared" si="14"/>
        <v>0</v>
      </c>
      <c r="AO32" s="108">
        <f t="shared" si="14"/>
        <v>0</v>
      </c>
      <c r="AP32" s="108">
        <f t="shared" si="14"/>
        <v>0</v>
      </c>
      <c r="AQ32" s="165">
        <f>SUM(AL32:AP32)</f>
        <v>0</v>
      </c>
      <c r="AR32" s="531"/>
    </row>
    <row r="33" spans="1:44" s="109" customFormat="1" x14ac:dyDescent="0.25">
      <c r="A33" s="253"/>
      <c r="B33" s="253"/>
      <c r="C33" s="200"/>
      <c r="D33" s="128"/>
      <c r="E33" s="127"/>
      <c r="F33" s="127"/>
      <c r="G33" s="127"/>
      <c r="H33" s="127"/>
      <c r="I33" s="127"/>
      <c r="J33" s="121"/>
      <c r="K33" s="247"/>
      <c r="L33" s="118"/>
      <c r="M33" s="118"/>
      <c r="N33" s="118"/>
      <c r="O33" s="118"/>
      <c r="P33" s="118"/>
      <c r="Q33" s="209"/>
      <c r="R33" s="102"/>
      <c r="S33" s="335"/>
      <c r="T33" s="103"/>
      <c r="U33" s="103"/>
      <c r="V33" s="103"/>
      <c r="W33" s="103"/>
      <c r="X33" s="103"/>
      <c r="Y33" s="123"/>
      <c r="Z33" s="362"/>
      <c r="AA33" s="104"/>
      <c r="AB33" s="255"/>
      <c r="AC33" s="105"/>
      <c r="AD33" s="105"/>
      <c r="AE33" s="105"/>
      <c r="AF33" s="105"/>
      <c r="AG33" s="105"/>
      <c r="AH33" s="158"/>
      <c r="AI33" s="473"/>
      <c r="AJ33" s="106"/>
      <c r="AK33" s="107"/>
      <c r="AL33" s="108"/>
      <c r="AM33" s="108"/>
      <c r="AN33" s="108"/>
      <c r="AO33" s="108"/>
      <c r="AP33" s="108"/>
      <c r="AQ33" s="165"/>
      <c r="AR33" s="531"/>
    </row>
    <row r="34" spans="1:44" s="109" customFormat="1" x14ac:dyDescent="0.25">
      <c r="A34" s="253"/>
      <c r="B34" s="374"/>
      <c r="C34" s="242" t="s">
        <v>470</v>
      </c>
      <c r="D34" s="243"/>
      <c r="E34" s="243"/>
      <c r="F34" s="243"/>
      <c r="G34" s="243"/>
      <c r="H34" s="243"/>
      <c r="I34" s="244"/>
      <c r="J34" s="121"/>
      <c r="K34" s="247"/>
      <c r="L34" s="118"/>
      <c r="M34" s="118"/>
      <c r="N34" s="118"/>
      <c r="O34" s="118"/>
      <c r="P34" s="118"/>
      <c r="Q34" s="209"/>
      <c r="R34" s="252" t="str">
        <f>C34</f>
        <v>TOKENS &amp; PROVISIONING</v>
      </c>
      <c r="S34" s="386"/>
      <c r="T34" s="243"/>
      <c r="U34" s="243"/>
      <c r="V34" s="243"/>
      <c r="W34" s="243"/>
      <c r="X34" s="244"/>
      <c r="Y34" s="123"/>
      <c r="Z34" s="362"/>
      <c r="AA34" s="252" t="str">
        <f>C34</f>
        <v>TOKENS &amp; PROVISIONING</v>
      </c>
      <c r="AB34" s="386"/>
      <c r="AC34" s="243"/>
      <c r="AD34" s="243"/>
      <c r="AE34" s="243"/>
      <c r="AF34" s="243"/>
      <c r="AG34" s="244"/>
      <c r="AH34" s="158"/>
      <c r="AI34" s="473"/>
      <c r="AJ34" s="252" t="str">
        <f>C34</f>
        <v>TOKENS &amp; PROVISIONING</v>
      </c>
      <c r="AK34" s="386"/>
      <c r="AL34" s="243"/>
      <c r="AM34" s="243"/>
      <c r="AN34" s="243"/>
      <c r="AO34" s="243"/>
      <c r="AP34" s="244"/>
      <c r="AQ34" s="165"/>
      <c r="AR34" s="531"/>
    </row>
    <row r="35" spans="1:44" s="109" customFormat="1" x14ac:dyDescent="0.25">
      <c r="A35" s="445"/>
      <c r="B35" s="445"/>
      <c r="C35" s="454"/>
      <c r="D35" s="128"/>
      <c r="E35" s="127">
        <f>D35*12</f>
        <v>0</v>
      </c>
      <c r="F35" s="127">
        <f>IF(E35&gt;12,(((E35)*$E$5)+E35),(E35*1))</f>
        <v>0</v>
      </c>
      <c r="G35" s="127">
        <f>IF(F35&gt;12,(((F35)*$E$5)+F35),(F35*1))</f>
        <v>0</v>
      </c>
      <c r="H35" s="127">
        <f>IF(G35&gt;12,(((G35)*$E$5)+G35),(G35*1))</f>
        <v>0</v>
      </c>
      <c r="I35" s="127">
        <f>IF(H35&gt;12,(((H35)*$E$5)+H35),(H35*1))</f>
        <v>0</v>
      </c>
      <c r="J35" s="121"/>
      <c r="K35" s="247"/>
      <c r="L35" s="118"/>
      <c r="M35" s="118"/>
      <c r="N35" s="118"/>
      <c r="O35" s="118"/>
      <c r="P35" s="118"/>
      <c r="Q35" s="209"/>
      <c r="R35" s="222"/>
      <c r="S35" s="335"/>
      <c r="T35" s="103">
        <f>IF($S35&gt;0,PRODUCT(E35,$S35),0)</f>
        <v>0</v>
      </c>
      <c r="U35" s="103">
        <f>IF($S35&gt;0,PRODUCT(F35,$S35),0)</f>
        <v>0</v>
      </c>
      <c r="V35" s="103">
        <f>IF($S35&gt;0,PRODUCT(G35,$S35),0)</f>
        <v>0</v>
      </c>
      <c r="W35" s="103">
        <f>IF($S35&gt;0,PRODUCT(H35,$S35),0)</f>
        <v>0</v>
      </c>
      <c r="X35" s="103">
        <f>IF($S35&gt;0,PRODUCT(I35,$S35),0)</f>
        <v>0</v>
      </c>
      <c r="Y35" s="123">
        <f>SUM(T35:X35)</f>
        <v>0</v>
      </c>
      <c r="Z35" s="370"/>
      <c r="AA35" s="221"/>
      <c r="AB35" s="255"/>
      <c r="AC35" s="105">
        <f t="shared" ref="AC35:AG39" si="15">IF(AB35&gt;0,PRODUCT(E35,$AB35),0)</f>
        <v>0</v>
      </c>
      <c r="AD35" s="105">
        <f t="shared" si="15"/>
        <v>0</v>
      </c>
      <c r="AE35" s="105">
        <f t="shared" si="15"/>
        <v>0</v>
      </c>
      <c r="AF35" s="105">
        <f t="shared" si="15"/>
        <v>0</v>
      </c>
      <c r="AG35" s="105">
        <f t="shared" si="15"/>
        <v>0</v>
      </c>
      <c r="AH35" s="158">
        <f>SUM(AC35:AG35)</f>
        <v>0</v>
      </c>
      <c r="AI35" s="473"/>
      <c r="AJ35" s="106"/>
      <c r="AK35" s="107"/>
      <c r="AL35" s="108">
        <f t="shared" ref="AL35:AP39" si="16">IF(AK35&gt;0,PRODUCT(E35,$AK35),0)</f>
        <v>0</v>
      </c>
      <c r="AM35" s="108">
        <f t="shared" si="16"/>
        <v>0</v>
      </c>
      <c r="AN35" s="108">
        <f t="shared" si="16"/>
        <v>0</v>
      </c>
      <c r="AO35" s="108">
        <f t="shared" si="16"/>
        <v>0</v>
      </c>
      <c r="AP35" s="108">
        <f t="shared" si="16"/>
        <v>0</v>
      </c>
      <c r="AQ35" s="165">
        <f>SUM(AL35:AP35)</f>
        <v>0</v>
      </c>
      <c r="AR35" s="531"/>
    </row>
    <row r="36" spans="1:44" s="109" customFormat="1" x14ac:dyDescent="0.25">
      <c r="A36" s="253"/>
      <c r="B36" s="253"/>
      <c r="C36" s="454"/>
      <c r="D36" s="251"/>
      <c r="E36" s="127">
        <f>D36*12</f>
        <v>0</v>
      </c>
      <c r="F36" s="127">
        <f>IF(E36&gt;12,(((E36)*'CORE Recurring Items'!$H$5)+E36),(E36*1))</f>
        <v>0</v>
      </c>
      <c r="G36" s="127">
        <f>IF(F36&gt;12,(((F36)*'CORE Recurring Items'!$H$5)+F36),(F36*1))</f>
        <v>0</v>
      </c>
      <c r="H36" s="127">
        <f>IF(G36&gt;12,(((G36)*'CORE Recurring Items'!$H$5)+G36),(G36*1))</f>
        <v>0</v>
      </c>
      <c r="I36" s="127">
        <f>IF(H36&gt;12,(((H36)*'CORE Recurring Items'!$H$5)+H36),(H36*1))</f>
        <v>0</v>
      </c>
      <c r="J36" s="121"/>
      <c r="K36" s="247"/>
      <c r="L36" s="129"/>
      <c r="M36" s="129"/>
      <c r="N36" s="129"/>
      <c r="O36" s="129"/>
      <c r="P36" s="129"/>
      <c r="Q36" s="209"/>
      <c r="R36" s="102"/>
      <c r="S36" s="324"/>
      <c r="T36" s="103"/>
      <c r="U36" s="103"/>
      <c r="V36" s="103"/>
      <c r="W36" s="103"/>
      <c r="X36" s="103"/>
      <c r="Y36" s="123"/>
      <c r="Z36" s="370"/>
      <c r="AA36" s="414"/>
      <c r="AB36" s="255"/>
      <c r="AC36" s="105">
        <f t="shared" si="15"/>
        <v>0</v>
      </c>
      <c r="AD36" s="105">
        <f t="shared" si="15"/>
        <v>0</v>
      </c>
      <c r="AE36" s="105">
        <f t="shared" si="15"/>
        <v>0</v>
      </c>
      <c r="AF36" s="105">
        <f t="shared" si="15"/>
        <v>0</v>
      </c>
      <c r="AG36" s="105">
        <f t="shared" si="15"/>
        <v>0</v>
      </c>
      <c r="AH36" s="158">
        <f>SUM(AC36:AG36)</f>
        <v>0</v>
      </c>
      <c r="AI36" s="473"/>
      <c r="AJ36" s="106"/>
      <c r="AK36" s="107"/>
      <c r="AL36" s="108">
        <f t="shared" si="16"/>
        <v>0</v>
      </c>
      <c r="AM36" s="108">
        <f t="shared" si="16"/>
        <v>0</v>
      </c>
      <c r="AN36" s="108">
        <f t="shared" si="16"/>
        <v>0</v>
      </c>
      <c r="AO36" s="108">
        <f t="shared" si="16"/>
        <v>0</v>
      </c>
      <c r="AP36" s="108">
        <f t="shared" si="16"/>
        <v>0</v>
      </c>
      <c r="AQ36" s="165">
        <f>SUM(AL36:AP36)</f>
        <v>0</v>
      </c>
      <c r="AR36" s="531"/>
    </row>
    <row r="37" spans="1:44" s="109" customFormat="1" x14ac:dyDescent="0.25">
      <c r="A37" s="253"/>
      <c r="B37" s="253"/>
      <c r="C37" s="454"/>
      <c r="D37" s="251"/>
      <c r="E37" s="127">
        <f>D37*12</f>
        <v>0</v>
      </c>
      <c r="F37" s="127">
        <f>IF(E37&gt;12,(((E37)*'CORE Recurring Items'!$H$5)+E37),(E37*1))</f>
        <v>0</v>
      </c>
      <c r="G37" s="127">
        <f>IF(F37&gt;12,(((F37)*'CORE Recurring Items'!$H$5)+F37),(F37*1))</f>
        <v>0</v>
      </c>
      <c r="H37" s="127">
        <f>IF(G37&gt;12,(((G37)*'CORE Recurring Items'!$H$5)+G37),(G37*1))</f>
        <v>0</v>
      </c>
      <c r="I37" s="127">
        <f>IF(H37&gt;12,(((H37)*'CORE Recurring Items'!$H$5)+H37),(H37*1))</f>
        <v>0</v>
      </c>
      <c r="J37" s="121"/>
      <c r="K37" s="247"/>
      <c r="L37" s="129"/>
      <c r="M37" s="129"/>
      <c r="N37" s="129"/>
      <c r="O37" s="129"/>
      <c r="P37" s="129"/>
      <c r="Q37" s="209"/>
      <c r="R37" s="102"/>
      <c r="S37" s="324"/>
      <c r="T37" s="103"/>
      <c r="U37" s="103"/>
      <c r="V37" s="103"/>
      <c r="W37" s="103"/>
      <c r="X37" s="103"/>
      <c r="Y37" s="123"/>
      <c r="Z37" s="370"/>
      <c r="AA37" s="414"/>
      <c r="AB37" s="255"/>
      <c r="AC37" s="105">
        <f t="shared" si="15"/>
        <v>0</v>
      </c>
      <c r="AD37" s="105">
        <f t="shared" si="15"/>
        <v>0</v>
      </c>
      <c r="AE37" s="105">
        <f t="shared" si="15"/>
        <v>0</v>
      </c>
      <c r="AF37" s="105">
        <f t="shared" si="15"/>
        <v>0</v>
      </c>
      <c r="AG37" s="105">
        <f t="shared" si="15"/>
        <v>0</v>
      </c>
      <c r="AH37" s="158">
        <f>SUM(AC37:AG37)</f>
        <v>0</v>
      </c>
      <c r="AI37" s="473"/>
      <c r="AJ37" s="106"/>
      <c r="AK37" s="107"/>
      <c r="AL37" s="108">
        <f t="shared" si="16"/>
        <v>0</v>
      </c>
      <c r="AM37" s="108">
        <f t="shared" si="16"/>
        <v>0</v>
      </c>
      <c r="AN37" s="108">
        <f t="shared" si="16"/>
        <v>0</v>
      </c>
      <c r="AO37" s="108">
        <f t="shared" si="16"/>
        <v>0</v>
      </c>
      <c r="AP37" s="108">
        <f t="shared" si="16"/>
        <v>0</v>
      </c>
      <c r="AQ37" s="165">
        <f>SUM(AL37:AP37)</f>
        <v>0</v>
      </c>
      <c r="AR37" s="531"/>
    </row>
    <row r="38" spans="1:44" s="109" customFormat="1" x14ac:dyDescent="0.25">
      <c r="A38" s="253"/>
      <c r="B38" s="253"/>
      <c r="C38" s="492"/>
      <c r="D38" s="251"/>
      <c r="E38" s="127">
        <f>D38*12</f>
        <v>0</v>
      </c>
      <c r="F38" s="127">
        <f t="shared" ref="F38:I39" si="17">IF(E38&gt;12,(((E38)*$E$5)+E38),(E38*1))</f>
        <v>0</v>
      </c>
      <c r="G38" s="127">
        <f t="shared" si="17"/>
        <v>0</v>
      </c>
      <c r="H38" s="127">
        <f t="shared" si="17"/>
        <v>0</v>
      </c>
      <c r="I38" s="127">
        <f t="shared" si="17"/>
        <v>0</v>
      </c>
      <c r="J38" s="245"/>
      <c r="K38" s="247"/>
      <c r="L38" s="129"/>
      <c r="M38" s="129"/>
      <c r="N38" s="129"/>
      <c r="O38" s="129"/>
      <c r="P38" s="129"/>
      <c r="Q38" s="209"/>
      <c r="R38" s="102"/>
      <c r="S38" s="324"/>
      <c r="T38" s="103"/>
      <c r="U38" s="103"/>
      <c r="V38" s="103"/>
      <c r="W38" s="103"/>
      <c r="X38" s="103"/>
      <c r="Y38" s="123"/>
      <c r="Z38" s="362"/>
      <c r="AA38" s="272"/>
      <c r="AB38" s="255"/>
      <c r="AC38" s="105">
        <f t="shared" si="15"/>
        <v>0</v>
      </c>
      <c r="AD38" s="105">
        <f t="shared" si="15"/>
        <v>0</v>
      </c>
      <c r="AE38" s="105">
        <f t="shared" si="15"/>
        <v>0</v>
      </c>
      <c r="AF38" s="105">
        <f t="shared" si="15"/>
        <v>0</v>
      </c>
      <c r="AG38" s="105">
        <f t="shared" si="15"/>
        <v>0</v>
      </c>
      <c r="AH38" s="158">
        <f>SUM(AC38:AG38)</f>
        <v>0</v>
      </c>
      <c r="AI38" s="473"/>
      <c r="AJ38" s="106"/>
      <c r="AK38" s="107"/>
      <c r="AL38" s="108">
        <f t="shared" si="16"/>
        <v>0</v>
      </c>
      <c r="AM38" s="108">
        <f t="shared" si="16"/>
        <v>0</v>
      </c>
      <c r="AN38" s="108">
        <f t="shared" si="16"/>
        <v>0</v>
      </c>
      <c r="AO38" s="108">
        <f t="shared" si="16"/>
        <v>0</v>
      </c>
      <c r="AP38" s="108">
        <f t="shared" si="16"/>
        <v>0</v>
      </c>
      <c r="AQ38" s="165">
        <f>SUM(AL38:AP38)</f>
        <v>0</v>
      </c>
      <c r="AR38" s="531"/>
    </row>
    <row r="39" spans="1:44" s="109" customFormat="1" x14ac:dyDescent="0.25">
      <c r="A39" s="253"/>
      <c r="B39" s="253"/>
      <c r="C39" s="492"/>
      <c r="D39" s="251"/>
      <c r="E39" s="127">
        <f>D39*12</f>
        <v>0</v>
      </c>
      <c r="F39" s="127">
        <f t="shared" si="17"/>
        <v>0</v>
      </c>
      <c r="G39" s="127">
        <f t="shared" si="17"/>
        <v>0</v>
      </c>
      <c r="H39" s="127">
        <f t="shared" si="17"/>
        <v>0</v>
      </c>
      <c r="I39" s="127">
        <f t="shared" si="17"/>
        <v>0</v>
      </c>
      <c r="J39" s="245"/>
      <c r="K39" s="247"/>
      <c r="L39" s="129"/>
      <c r="M39" s="129"/>
      <c r="N39" s="129"/>
      <c r="O39" s="129"/>
      <c r="P39" s="129"/>
      <c r="Q39" s="209"/>
      <c r="R39" s="102"/>
      <c r="S39" s="324"/>
      <c r="T39" s="103"/>
      <c r="U39" s="103"/>
      <c r="V39" s="103"/>
      <c r="W39" s="103"/>
      <c r="X39" s="103"/>
      <c r="Y39" s="123"/>
      <c r="Z39" s="370"/>
      <c r="AA39" s="272"/>
      <c r="AB39" s="255"/>
      <c r="AC39" s="105">
        <f t="shared" si="15"/>
        <v>0</v>
      </c>
      <c r="AD39" s="105">
        <f t="shared" si="15"/>
        <v>0</v>
      </c>
      <c r="AE39" s="105">
        <f t="shared" si="15"/>
        <v>0</v>
      </c>
      <c r="AF39" s="105">
        <f t="shared" si="15"/>
        <v>0</v>
      </c>
      <c r="AG39" s="105">
        <f t="shared" si="15"/>
        <v>0</v>
      </c>
      <c r="AH39" s="158">
        <f>SUM(AC39:AG39)</f>
        <v>0</v>
      </c>
      <c r="AI39" s="473"/>
      <c r="AJ39" s="106"/>
      <c r="AK39" s="107"/>
      <c r="AL39" s="108">
        <f t="shared" si="16"/>
        <v>0</v>
      </c>
      <c r="AM39" s="108">
        <f t="shared" si="16"/>
        <v>0</v>
      </c>
      <c r="AN39" s="108">
        <f t="shared" si="16"/>
        <v>0</v>
      </c>
      <c r="AO39" s="108">
        <f t="shared" si="16"/>
        <v>0</v>
      </c>
      <c r="AP39" s="108">
        <f t="shared" si="16"/>
        <v>0</v>
      </c>
      <c r="AQ39" s="165">
        <f>SUM(AL39:AP39)</f>
        <v>0</v>
      </c>
      <c r="AR39" s="531"/>
    </row>
    <row r="40" spans="1:44" s="109" customFormat="1" x14ac:dyDescent="0.25">
      <c r="A40" s="253"/>
      <c r="B40" s="253"/>
      <c r="C40" s="200"/>
      <c r="D40" s="128"/>
      <c r="E40" s="127"/>
      <c r="F40" s="127"/>
      <c r="G40" s="127"/>
      <c r="H40" s="127"/>
      <c r="I40" s="127"/>
      <c r="J40" s="121"/>
      <c r="K40" s="247"/>
      <c r="L40" s="118"/>
      <c r="M40" s="118"/>
      <c r="N40" s="118"/>
      <c r="O40" s="118"/>
      <c r="P40" s="118"/>
      <c r="Q40" s="209"/>
      <c r="R40" s="102"/>
      <c r="S40" s="335"/>
      <c r="T40" s="103"/>
      <c r="U40" s="103"/>
      <c r="V40" s="103"/>
      <c r="W40" s="103"/>
      <c r="X40" s="103"/>
      <c r="Y40" s="123"/>
      <c r="Z40" s="362"/>
      <c r="AA40" s="104"/>
      <c r="AB40" s="255"/>
      <c r="AC40" s="105"/>
      <c r="AD40" s="105"/>
      <c r="AE40" s="105"/>
      <c r="AF40" s="105"/>
      <c r="AG40" s="105"/>
      <c r="AH40" s="158"/>
      <c r="AI40" s="473"/>
      <c r="AJ40" s="106"/>
      <c r="AK40" s="107"/>
      <c r="AL40" s="108"/>
      <c r="AM40" s="108"/>
      <c r="AN40" s="108"/>
      <c r="AO40" s="108"/>
      <c r="AP40" s="108"/>
      <c r="AQ40" s="165"/>
      <c r="AR40" s="531"/>
    </row>
    <row r="41" spans="1:44" s="109" customFormat="1" x14ac:dyDescent="0.25">
      <c r="A41" s="253"/>
      <c r="B41" s="374"/>
      <c r="C41" s="242" t="s">
        <v>471</v>
      </c>
      <c r="D41" s="243"/>
      <c r="E41" s="243"/>
      <c r="F41" s="243"/>
      <c r="G41" s="243"/>
      <c r="H41" s="243"/>
      <c r="I41" s="244"/>
      <c r="J41" s="121"/>
      <c r="K41" s="247"/>
      <c r="L41" s="118"/>
      <c r="M41" s="118"/>
      <c r="N41" s="118"/>
      <c r="O41" s="118"/>
      <c r="P41" s="118"/>
      <c r="Q41" s="209"/>
      <c r="R41" s="252" t="str">
        <f>C41</f>
        <v>INSIGHT CENTER WILL REPLACE TOTAL REVELATION PROGRAM</v>
      </c>
      <c r="S41" s="386"/>
      <c r="T41" s="243"/>
      <c r="U41" s="243"/>
      <c r="V41" s="243"/>
      <c r="W41" s="243"/>
      <c r="X41" s="244"/>
      <c r="Y41" s="123"/>
      <c r="Z41" s="362"/>
      <c r="AA41" s="252" t="str">
        <f>C41</f>
        <v>INSIGHT CENTER WILL REPLACE TOTAL REVELATION PROGRAM</v>
      </c>
      <c r="AB41" s="386"/>
      <c r="AC41" s="243"/>
      <c r="AD41" s="243"/>
      <c r="AE41" s="243"/>
      <c r="AF41" s="243"/>
      <c r="AG41" s="244"/>
      <c r="AH41" s="158"/>
      <c r="AI41" s="473"/>
      <c r="AJ41" s="252" t="str">
        <f>C41</f>
        <v>INSIGHT CENTER WILL REPLACE TOTAL REVELATION PROGRAM</v>
      </c>
      <c r="AK41" s="386"/>
      <c r="AL41" s="243"/>
      <c r="AM41" s="243"/>
      <c r="AN41" s="243"/>
      <c r="AO41" s="243"/>
      <c r="AP41" s="244"/>
      <c r="AQ41" s="165"/>
      <c r="AR41" s="531"/>
    </row>
    <row r="42" spans="1:44" s="109" customFormat="1" x14ac:dyDescent="0.25">
      <c r="A42" s="253"/>
      <c r="B42" s="445"/>
      <c r="C42" s="453"/>
      <c r="D42" s="128"/>
      <c r="E42" s="127">
        <f>D42*12</f>
        <v>0</v>
      </c>
      <c r="F42" s="127">
        <f t="shared" ref="F42:I43" si="18">IF(E42&gt;12,(((E42)*$E$5)+E42),(E42*1))</f>
        <v>0</v>
      </c>
      <c r="G42" s="127">
        <f t="shared" si="18"/>
        <v>0</v>
      </c>
      <c r="H42" s="127">
        <f t="shared" si="18"/>
        <v>0</v>
      </c>
      <c r="I42" s="127">
        <f t="shared" si="18"/>
        <v>0</v>
      </c>
      <c r="J42" s="121"/>
      <c r="K42" s="247"/>
      <c r="L42" s="118"/>
      <c r="M42" s="118"/>
      <c r="N42" s="118"/>
      <c r="O42" s="118"/>
      <c r="P42" s="118"/>
      <c r="Q42" s="209"/>
      <c r="R42" s="222"/>
      <c r="S42" s="335"/>
      <c r="T42" s="103">
        <f>PRODUCT(E42,$S42)</f>
        <v>0</v>
      </c>
      <c r="U42" s="103">
        <f>PRODUCT(F42,$S42)</f>
        <v>0</v>
      </c>
      <c r="V42" s="103">
        <f>PRODUCT(G42,$S42)</f>
        <v>0</v>
      </c>
      <c r="W42" s="103">
        <f>PRODUCT(H42,$S42)</f>
        <v>0</v>
      </c>
      <c r="X42" s="103">
        <f>PRODUCT(I42,$S42)</f>
        <v>0</v>
      </c>
      <c r="Y42" s="123">
        <f>SUM(T42:X42)</f>
        <v>0</v>
      </c>
      <c r="Z42" s="370"/>
      <c r="AA42" s="104"/>
      <c r="AB42" s="255"/>
      <c r="AC42" s="105"/>
      <c r="AD42" s="105"/>
      <c r="AE42" s="105"/>
      <c r="AF42" s="105"/>
      <c r="AG42" s="105"/>
      <c r="AH42" s="158"/>
      <c r="AI42" s="473"/>
      <c r="AJ42" s="106"/>
      <c r="AK42" s="107"/>
      <c r="AL42" s="108"/>
      <c r="AM42" s="108"/>
      <c r="AN42" s="108"/>
      <c r="AO42" s="108"/>
      <c r="AP42" s="108"/>
      <c r="AQ42" s="165"/>
      <c r="AR42" s="531"/>
    </row>
    <row r="43" spans="1:44" s="109" customFormat="1" x14ac:dyDescent="0.25">
      <c r="A43" s="253"/>
      <c r="B43" s="445"/>
      <c r="C43" s="453"/>
      <c r="D43" s="128"/>
      <c r="E43" s="127">
        <f>D43*12</f>
        <v>0</v>
      </c>
      <c r="F43" s="127">
        <f t="shared" si="18"/>
        <v>0</v>
      </c>
      <c r="G43" s="127">
        <f t="shared" si="18"/>
        <v>0</v>
      </c>
      <c r="H43" s="127">
        <f t="shared" si="18"/>
        <v>0</v>
      </c>
      <c r="I43" s="127">
        <f t="shared" si="18"/>
        <v>0</v>
      </c>
      <c r="J43" s="121"/>
      <c r="K43" s="247"/>
      <c r="L43" s="118"/>
      <c r="M43" s="118"/>
      <c r="N43" s="118"/>
      <c r="O43" s="118"/>
      <c r="P43" s="118"/>
      <c r="Q43" s="209"/>
      <c r="R43" s="222"/>
      <c r="S43" s="335"/>
      <c r="T43" s="103">
        <f>IF($S43&gt;0,PRODUCT(E43,$S43),0)</f>
        <v>0</v>
      </c>
      <c r="U43" s="103">
        <f>IF($S43&gt;0,PRODUCT(F43,$S43),0)</f>
        <v>0</v>
      </c>
      <c r="V43" s="103">
        <f>IF($S43&gt;0,PRODUCT(G43,$S43),0)</f>
        <v>0</v>
      </c>
      <c r="W43" s="103">
        <f>IF($S43&gt;0,PRODUCT(H43,$S43),0)</f>
        <v>0</v>
      </c>
      <c r="X43" s="103">
        <f>IF($S43&gt;0,PRODUCT(I43,$S43),0)</f>
        <v>0</v>
      </c>
      <c r="Y43" s="123">
        <f>SUM(T43:X43)</f>
        <v>0</v>
      </c>
      <c r="Z43" s="370"/>
      <c r="AA43" s="104"/>
      <c r="AB43" s="255"/>
      <c r="AC43" s="105"/>
      <c r="AD43" s="105"/>
      <c r="AE43" s="105"/>
      <c r="AF43" s="105"/>
      <c r="AG43" s="105"/>
      <c r="AH43" s="158"/>
      <c r="AI43" s="473"/>
      <c r="AJ43" s="106"/>
      <c r="AK43" s="107"/>
      <c r="AL43" s="108"/>
      <c r="AM43" s="108"/>
      <c r="AN43" s="108"/>
      <c r="AO43" s="108"/>
      <c r="AP43" s="108"/>
      <c r="AQ43" s="165"/>
      <c r="AR43" s="531"/>
    </row>
    <row r="44" spans="1:44" s="109" customFormat="1" x14ac:dyDescent="0.25">
      <c r="A44" s="253"/>
      <c r="B44" s="253"/>
      <c r="C44" s="200"/>
      <c r="D44" s="128"/>
      <c r="E44" s="127"/>
      <c r="F44" s="127"/>
      <c r="G44" s="127"/>
      <c r="H44" s="127"/>
      <c r="I44" s="127"/>
      <c r="J44" s="121"/>
      <c r="K44" s="247"/>
      <c r="L44" s="118"/>
      <c r="M44" s="118"/>
      <c r="N44" s="118"/>
      <c r="O44" s="118"/>
      <c r="P44" s="118"/>
      <c r="Q44" s="209"/>
      <c r="R44" s="102"/>
      <c r="S44" s="335"/>
      <c r="T44" s="103"/>
      <c r="U44" s="103"/>
      <c r="V44" s="103"/>
      <c r="W44" s="103"/>
      <c r="X44" s="103"/>
      <c r="Y44" s="123"/>
      <c r="Z44" s="362"/>
      <c r="AA44" s="104"/>
      <c r="AB44" s="255"/>
      <c r="AC44" s="105"/>
      <c r="AD44" s="105"/>
      <c r="AE44" s="105"/>
      <c r="AF44" s="105"/>
      <c r="AG44" s="105"/>
      <c r="AH44" s="158"/>
      <c r="AI44" s="473"/>
      <c r="AJ44" s="106"/>
      <c r="AK44" s="107"/>
      <c r="AL44" s="108"/>
      <c r="AM44" s="108"/>
      <c r="AN44" s="108"/>
      <c r="AO44" s="108"/>
      <c r="AP44" s="108"/>
      <c r="AQ44" s="165"/>
      <c r="AR44" s="531"/>
    </row>
    <row r="45" spans="1:44" s="109" customFormat="1" x14ac:dyDescent="0.25">
      <c r="A45" s="253"/>
      <c r="B45" s="374"/>
      <c r="C45" s="242" t="s">
        <v>472</v>
      </c>
      <c r="D45" s="243"/>
      <c r="E45" s="243"/>
      <c r="F45" s="243"/>
      <c r="G45" s="243"/>
      <c r="H45" s="243"/>
      <c r="I45" s="244"/>
      <c r="J45" s="121"/>
      <c r="K45" s="247"/>
      <c r="L45" s="118"/>
      <c r="M45" s="118"/>
      <c r="N45" s="118"/>
      <c r="O45" s="118"/>
      <c r="P45" s="118"/>
      <c r="Q45" s="209"/>
      <c r="R45" s="252" t="str">
        <f>C45</f>
        <v>EMV CONTACT TO EMV CONTACTLESS</v>
      </c>
      <c r="S45" s="386"/>
      <c r="T45" s="243"/>
      <c r="U45" s="243"/>
      <c r="V45" s="243"/>
      <c r="W45" s="243"/>
      <c r="X45" s="244"/>
      <c r="Y45" s="123"/>
      <c r="Z45" s="362"/>
      <c r="AA45" s="252" t="str">
        <f>C45</f>
        <v>EMV CONTACT TO EMV CONTACTLESS</v>
      </c>
      <c r="AB45" s="386"/>
      <c r="AC45" s="243"/>
      <c r="AD45" s="243"/>
      <c r="AE45" s="243"/>
      <c r="AF45" s="243"/>
      <c r="AG45" s="244"/>
      <c r="AH45" s="158"/>
      <c r="AI45" s="473"/>
      <c r="AJ45" s="252" t="str">
        <f>C45</f>
        <v>EMV CONTACT TO EMV CONTACTLESS</v>
      </c>
      <c r="AK45" s="386"/>
      <c r="AL45" s="243"/>
      <c r="AM45" s="243"/>
      <c r="AN45" s="243"/>
      <c r="AO45" s="243"/>
      <c r="AP45" s="244"/>
      <c r="AQ45" s="165"/>
      <c r="AR45" s="531"/>
    </row>
    <row r="46" spans="1:44" s="109" customFormat="1" x14ac:dyDescent="0.25">
      <c r="A46" s="253"/>
      <c r="B46" s="253"/>
      <c r="C46" s="453"/>
      <c r="D46" s="128"/>
      <c r="E46" s="127">
        <f>D46*12</f>
        <v>0</v>
      </c>
      <c r="F46" s="127">
        <f>IF(E46&gt;12,(((E46)*'CORE Recurring Items'!$H$5)+E46),(E46*1))</f>
        <v>0</v>
      </c>
      <c r="G46" s="127">
        <f>IF(F46&gt;12,(((F46)*'CORE Recurring Items'!$H$5)+F46),(F46*1))</f>
        <v>0</v>
      </c>
      <c r="H46" s="127">
        <f>IF(G46&gt;12,(((G46)*'CORE Recurring Items'!$H$5)+G46),(G46*1))</f>
        <v>0</v>
      </c>
      <c r="I46" s="127">
        <f>IF(H46&gt;12,(((H46)*'CORE Recurring Items'!$H$5)+H46),(H46*1))</f>
        <v>0</v>
      </c>
      <c r="J46" s="121"/>
      <c r="K46" s="246"/>
      <c r="L46" s="129"/>
      <c r="M46" s="129"/>
      <c r="N46" s="129"/>
      <c r="O46" s="129"/>
      <c r="P46" s="129"/>
      <c r="Q46" s="209"/>
      <c r="R46" s="102"/>
      <c r="S46" s="335"/>
      <c r="T46" s="103"/>
      <c r="U46" s="103"/>
      <c r="V46" s="103"/>
      <c r="W46" s="103"/>
      <c r="X46" s="103"/>
      <c r="Y46" s="123"/>
      <c r="Z46" s="362"/>
      <c r="AA46" s="272"/>
      <c r="AB46" s="269"/>
      <c r="AC46" s="105">
        <f>IF(AB46&gt;0,PRODUCT(E46,$AB46),0)</f>
        <v>0</v>
      </c>
      <c r="AD46" s="105">
        <f>IF(AC46&gt;0,PRODUCT(F46,$AB46),0)</f>
        <v>0</v>
      </c>
      <c r="AE46" s="105">
        <f>IF(AD46&gt;0,PRODUCT(G46,$AB46),0)</f>
        <v>0</v>
      </c>
      <c r="AF46" s="105">
        <f>IF(AE46&gt;0,PRODUCT(H46,$AB46),0)</f>
        <v>0</v>
      </c>
      <c r="AG46" s="105">
        <f>IF(AF46&gt;0,PRODUCT(I46,$AB46),0)</f>
        <v>0</v>
      </c>
      <c r="AH46" s="158">
        <f>SUM(AC46:AG46)</f>
        <v>0</v>
      </c>
      <c r="AI46" s="473"/>
      <c r="AJ46" s="106"/>
      <c r="AK46" s="132"/>
      <c r="AL46" s="108">
        <f>IF(AK46&gt;0,PRODUCT(E46,$AK46),0)</f>
        <v>0</v>
      </c>
      <c r="AM46" s="108">
        <f>IF(AL46&gt;0,PRODUCT(F46,$AK46),0)</f>
        <v>0</v>
      </c>
      <c r="AN46" s="108">
        <f>IF(AM46&gt;0,PRODUCT(G46,$AK46),0)</f>
        <v>0</v>
      </c>
      <c r="AO46" s="108">
        <f>IF(AN46&gt;0,PRODUCT(H46,$AK46),0)</f>
        <v>0</v>
      </c>
      <c r="AP46" s="108">
        <f>IF(AO46&gt;0,PRODUCT(I46,$AK46),0)</f>
        <v>0</v>
      </c>
      <c r="AQ46" s="165">
        <f>SUM(AL46:AP46)</f>
        <v>0</v>
      </c>
      <c r="AR46" s="531"/>
    </row>
    <row r="47" spans="1:44" s="109" customFormat="1" x14ac:dyDescent="0.25">
      <c r="A47" s="253"/>
      <c r="B47" s="445"/>
      <c r="C47" s="453"/>
      <c r="D47" s="128"/>
      <c r="E47" s="127">
        <f>D47*12</f>
        <v>0</v>
      </c>
      <c r="F47" s="127">
        <f>IF(E47&gt;12,(((E47)*$E$5)+E47),(E47*1))</f>
        <v>0</v>
      </c>
      <c r="G47" s="127">
        <f>IF(F47&gt;12,(((F47)*$E$5)+F47),(F47*1))</f>
        <v>0</v>
      </c>
      <c r="H47" s="127">
        <f>IF(G47&gt;12,(((G47)*$E$5)+G47),(G47*1))</f>
        <v>0</v>
      </c>
      <c r="I47" s="127">
        <f>IF(H47&gt;12,(((H47)*$E$5)+H47),(H47*1))</f>
        <v>0</v>
      </c>
      <c r="J47" s="121"/>
      <c r="K47" s="247"/>
      <c r="L47" s="118"/>
      <c r="M47" s="118"/>
      <c r="N47" s="118"/>
      <c r="O47" s="118"/>
      <c r="P47" s="118"/>
      <c r="Q47" s="209"/>
      <c r="R47" s="222"/>
      <c r="S47" s="335"/>
      <c r="T47" s="103">
        <f>IF($S47&gt;0,PRODUCT(E47,$S47),0)</f>
        <v>0</v>
      </c>
      <c r="U47" s="103">
        <f>IF($S47&gt;0,PRODUCT(F47,$S47),0)</f>
        <v>0</v>
      </c>
      <c r="V47" s="103">
        <f>IF($S47&gt;0,PRODUCT(G47,$S47),0)</f>
        <v>0</v>
      </c>
      <c r="W47" s="103">
        <f>IF($S47&gt;0,PRODUCT(H47,$S47),0)</f>
        <v>0</v>
      </c>
      <c r="X47" s="103">
        <f>IF($S47&gt;0,PRODUCT(I47,$S47),0)</f>
        <v>0</v>
      </c>
      <c r="Y47" s="123">
        <f>SUM(T47:X47)</f>
        <v>0</v>
      </c>
      <c r="Z47" s="370"/>
      <c r="AA47" s="104"/>
      <c r="AB47" s="255"/>
      <c r="AC47" s="105"/>
      <c r="AD47" s="105"/>
      <c r="AE47" s="105"/>
      <c r="AF47" s="105"/>
      <c r="AG47" s="105"/>
      <c r="AH47" s="158"/>
      <c r="AI47" s="473"/>
      <c r="AJ47" s="106"/>
      <c r="AK47" s="107"/>
      <c r="AL47" s="108"/>
      <c r="AM47" s="108"/>
      <c r="AN47" s="108"/>
      <c r="AO47" s="108"/>
      <c r="AP47" s="108"/>
      <c r="AQ47" s="165"/>
      <c r="AR47" s="531"/>
    </row>
    <row r="48" spans="1:44" s="109" customFormat="1" x14ac:dyDescent="0.25">
      <c r="A48" s="253"/>
      <c r="B48" s="253"/>
      <c r="C48" s="200"/>
      <c r="D48" s="128"/>
      <c r="E48" s="127"/>
      <c r="F48" s="127"/>
      <c r="G48" s="127"/>
      <c r="H48" s="127"/>
      <c r="I48" s="127"/>
      <c r="J48" s="121"/>
      <c r="K48" s="247"/>
      <c r="L48" s="118"/>
      <c r="M48" s="118"/>
      <c r="N48" s="118"/>
      <c r="O48" s="118"/>
      <c r="P48" s="118"/>
      <c r="Q48" s="209"/>
      <c r="R48" s="102"/>
      <c r="S48" s="335"/>
      <c r="T48" s="103"/>
      <c r="U48" s="103"/>
      <c r="V48" s="103"/>
      <c r="W48" s="103"/>
      <c r="X48" s="103"/>
      <c r="Y48" s="123"/>
      <c r="Z48" s="362"/>
      <c r="AA48" s="104"/>
      <c r="AB48" s="255"/>
      <c r="AC48" s="105"/>
      <c r="AD48" s="105"/>
      <c r="AE48" s="105"/>
      <c r="AF48" s="105"/>
      <c r="AG48" s="105"/>
      <c r="AH48" s="158"/>
      <c r="AI48" s="473"/>
      <c r="AJ48" s="106"/>
      <c r="AK48" s="107"/>
      <c r="AL48" s="108"/>
      <c r="AM48" s="108"/>
      <c r="AN48" s="108"/>
      <c r="AO48" s="108"/>
      <c r="AP48" s="108"/>
      <c r="AQ48" s="165"/>
      <c r="AR48" s="531"/>
    </row>
    <row r="49" spans="1:44" s="109" customFormat="1" x14ac:dyDescent="0.25">
      <c r="A49" s="253"/>
      <c r="B49" s="374"/>
      <c r="C49" s="242" t="s">
        <v>473</v>
      </c>
      <c r="D49" s="243"/>
      <c r="E49" s="243"/>
      <c r="F49" s="243"/>
      <c r="G49" s="243"/>
      <c r="H49" s="243"/>
      <c r="I49" s="244"/>
      <c r="J49" s="121"/>
      <c r="K49" s="247"/>
      <c r="L49" s="118"/>
      <c r="M49" s="118"/>
      <c r="N49" s="118"/>
      <c r="O49" s="118"/>
      <c r="P49" s="118"/>
      <c r="Q49" s="209"/>
      <c r="R49" s="252" t="str">
        <f>C49</f>
        <v>3D SECURE</v>
      </c>
      <c r="S49" s="386"/>
      <c r="T49" s="243"/>
      <c r="U49" s="243"/>
      <c r="V49" s="243"/>
      <c r="W49" s="243"/>
      <c r="X49" s="244"/>
      <c r="Y49" s="123"/>
      <c r="Z49" s="362"/>
      <c r="AA49" s="252" t="str">
        <f>C49</f>
        <v>3D SECURE</v>
      </c>
      <c r="AB49" s="386"/>
      <c r="AC49" s="243"/>
      <c r="AD49" s="243"/>
      <c r="AE49" s="243"/>
      <c r="AF49" s="243"/>
      <c r="AG49" s="244"/>
      <c r="AH49" s="158"/>
      <c r="AI49" s="473"/>
      <c r="AJ49" s="252" t="str">
        <f>C49</f>
        <v>3D SECURE</v>
      </c>
      <c r="AK49" s="386"/>
      <c r="AL49" s="243"/>
      <c r="AM49" s="243"/>
      <c r="AN49" s="243"/>
      <c r="AO49" s="243"/>
      <c r="AP49" s="244"/>
      <c r="AQ49" s="165"/>
      <c r="AR49" s="531"/>
    </row>
    <row r="50" spans="1:44" s="109" customFormat="1" x14ac:dyDescent="0.25">
      <c r="A50" s="445"/>
      <c r="B50" s="445"/>
      <c r="C50" s="453"/>
      <c r="D50" s="128"/>
      <c r="E50" s="127">
        <f t="shared" ref="E50:E57" si="19">D50*12</f>
        <v>0</v>
      </c>
      <c r="F50" s="127">
        <f t="shared" ref="F50:I57" si="20">IF(E50&gt;12,(((E50)*$E$5)+E50),(E50*1))</f>
        <v>0</v>
      </c>
      <c r="G50" s="127">
        <f t="shared" si="20"/>
        <v>0</v>
      </c>
      <c r="H50" s="127">
        <f t="shared" si="20"/>
        <v>0</v>
      </c>
      <c r="I50" s="127">
        <f t="shared" si="20"/>
        <v>0</v>
      </c>
      <c r="J50" s="121"/>
      <c r="K50" s="247"/>
      <c r="L50" s="118"/>
      <c r="M50" s="118"/>
      <c r="N50" s="118"/>
      <c r="O50" s="118"/>
      <c r="P50" s="118"/>
      <c r="Q50" s="209"/>
      <c r="R50" s="222"/>
      <c r="S50" s="335"/>
      <c r="T50" s="103">
        <f t="shared" ref="T50:X57" si="21">IF($S50&gt;0,PRODUCT(E50,$S50),0)</f>
        <v>0</v>
      </c>
      <c r="U50" s="103">
        <f t="shared" si="21"/>
        <v>0</v>
      </c>
      <c r="V50" s="103">
        <f t="shared" si="21"/>
        <v>0</v>
      </c>
      <c r="W50" s="103">
        <f t="shared" si="21"/>
        <v>0</v>
      </c>
      <c r="X50" s="103">
        <f t="shared" si="21"/>
        <v>0</v>
      </c>
      <c r="Y50" s="123">
        <f t="shared" ref="Y50:Y57" si="22">SUM(T50:X50)</f>
        <v>0</v>
      </c>
      <c r="Z50" s="370"/>
      <c r="AA50" s="272"/>
      <c r="AB50" s="255"/>
      <c r="AC50" s="105">
        <f>IF(AB50&gt;0,PRODUCT(E50,$AB50),0)</f>
        <v>0</v>
      </c>
      <c r="AD50" s="105">
        <f>IF(AC50&gt;0,PRODUCT(F50,$AB50),0)</f>
        <v>0</v>
      </c>
      <c r="AE50" s="105">
        <f>IF(AD50&gt;0,PRODUCT(G50,$AB50),0)</f>
        <v>0</v>
      </c>
      <c r="AF50" s="105">
        <f>IF(AE50&gt;0,PRODUCT(H50,$AB50),0)</f>
        <v>0</v>
      </c>
      <c r="AG50" s="105">
        <f>IF(AF50&gt;0,PRODUCT(I50,$AB50),0)</f>
        <v>0</v>
      </c>
      <c r="AH50" s="158">
        <f>SUM(AC50:AG50)</f>
        <v>0</v>
      </c>
      <c r="AI50" s="473"/>
      <c r="AJ50" s="106"/>
      <c r="AK50" s="107"/>
      <c r="AL50" s="108">
        <f>IF(AK50&gt;0,PRODUCT(E50,$AK50),0)</f>
        <v>0</v>
      </c>
      <c r="AM50" s="108">
        <f>IF(AL50&gt;0,PRODUCT(F50,$AK50),0)</f>
        <v>0</v>
      </c>
      <c r="AN50" s="108">
        <f>IF(AM50&gt;0,PRODUCT(G50,$AK50),0)</f>
        <v>0</v>
      </c>
      <c r="AO50" s="108">
        <f>IF(AN50&gt;0,PRODUCT(H50,$AK50),0)</f>
        <v>0</v>
      </c>
      <c r="AP50" s="108">
        <f>IF(AO50&gt;0,PRODUCT(I50,$AK50),0)</f>
        <v>0</v>
      </c>
      <c r="AQ50" s="165">
        <f>SUM(AL50:AP50)</f>
        <v>0</v>
      </c>
      <c r="AR50" s="531"/>
    </row>
    <row r="51" spans="1:44" s="109" customFormat="1" x14ac:dyDescent="0.25">
      <c r="A51" s="253"/>
      <c r="B51" s="445"/>
      <c r="C51" s="453"/>
      <c r="D51" s="128"/>
      <c r="E51" s="127">
        <f t="shared" si="19"/>
        <v>0</v>
      </c>
      <c r="F51" s="127">
        <f t="shared" si="20"/>
        <v>0</v>
      </c>
      <c r="G51" s="127">
        <f t="shared" si="20"/>
        <v>0</v>
      </c>
      <c r="H51" s="127">
        <f t="shared" si="20"/>
        <v>0</v>
      </c>
      <c r="I51" s="127">
        <f t="shared" si="20"/>
        <v>0</v>
      </c>
      <c r="J51" s="121"/>
      <c r="K51" s="247"/>
      <c r="L51" s="118"/>
      <c r="M51" s="118"/>
      <c r="N51" s="118"/>
      <c r="O51" s="118"/>
      <c r="P51" s="118"/>
      <c r="Q51" s="209"/>
      <c r="R51" s="222"/>
      <c r="S51" s="335"/>
      <c r="T51" s="103">
        <f t="shared" si="21"/>
        <v>0</v>
      </c>
      <c r="U51" s="103">
        <f t="shared" si="21"/>
        <v>0</v>
      </c>
      <c r="V51" s="103">
        <f t="shared" si="21"/>
        <v>0</v>
      </c>
      <c r="W51" s="103">
        <f t="shared" si="21"/>
        <v>0</v>
      </c>
      <c r="X51" s="103">
        <f t="shared" si="21"/>
        <v>0</v>
      </c>
      <c r="Y51" s="123">
        <f t="shared" si="22"/>
        <v>0</v>
      </c>
      <c r="Z51" s="370"/>
      <c r="AA51" s="104"/>
      <c r="AB51" s="255"/>
      <c r="AC51" s="105"/>
      <c r="AD51" s="105"/>
      <c r="AE51" s="105"/>
      <c r="AF51" s="105"/>
      <c r="AG51" s="105"/>
      <c r="AH51" s="158"/>
      <c r="AI51" s="473"/>
      <c r="AJ51" s="106"/>
      <c r="AK51" s="107"/>
      <c r="AL51" s="108"/>
      <c r="AM51" s="108"/>
      <c r="AN51" s="108"/>
      <c r="AO51" s="108"/>
      <c r="AP51" s="108"/>
      <c r="AQ51" s="165"/>
      <c r="AR51" s="531"/>
    </row>
    <row r="52" spans="1:44" s="109" customFormat="1" x14ac:dyDescent="0.25">
      <c r="A52" s="253"/>
      <c r="B52" s="445"/>
      <c r="C52" s="453"/>
      <c r="D52" s="128"/>
      <c r="E52" s="127">
        <f t="shared" si="19"/>
        <v>0</v>
      </c>
      <c r="F52" s="127">
        <f t="shared" si="20"/>
        <v>0</v>
      </c>
      <c r="G52" s="127">
        <f t="shared" si="20"/>
        <v>0</v>
      </c>
      <c r="H52" s="127">
        <f t="shared" si="20"/>
        <v>0</v>
      </c>
      <c r="I52" s="127">
        <f t="shared" si="20"/>
        <v>0</v>
      </c>
      <c r="J52" s="121"/>
      <c r="K52" s="247"/>
      <c r="L52" s="118"/>
      <c r="M52" s="118"/>
      <c r="N52" s="118"/>
      <c r="O52" s="118"/>
      <c r="P52" s="118"/>
      <c r="Q52" s="209"/>
      <c r="R52" s="222"/>
      <c r="S52" s="335"/>
      <c r="T52" s="103">
        <f t="shared" si="21"/>
        <v>0</v>
      </c>
      <c r="U52" s="103">
        <f t="shared" si="21"/>
        <v>0</v>
      </c>
      <c r="V52" s="103">
        <f t="shared" si="21"/>
        <v>0</v>
      </c>
      <c r="W52" s="103">
        <f t="shared" si="21"/>
        <v>0</v>
      </c>
      <c r="X52" s="103">
        <f t="shared" si="21"/>
        <v>0</v>
      </c>
      <c r="Y52" s="123">
        <f t="shared" si="22"/>
        <v>0</v>
      </c>
      <c r="Z52" s="370"/>
      <c r="AA52" s="104"/>
      <c r="AB52" s="255"/>
      <c r="AC52" s="105"/>
      <c r="AD52" s="105"/>
      <c r="AE52" s="105"/>
      <c r="AF52" s="105"/>
      <c r="AG52" s="105"/>
      <c r="AH52" s="158"/>
      <c r="AI52" s="473"/>
      <c r="AJ52" s="106"/>
      <c r="AK52" s="107"/>
      <c r="AL52" s="108"/>
      <c r="AM52" s="108"/>
      <c r="AN52" s="108"/>
      <c r="AO52" s="108"/>
      <c r="AP52" s="108"/>
      <c r="AQ52" s="165"/>
      <c r="AR52" s="531"/>
    </row>
    <row r="53" spans="1:44" s="109" customFormat="1" x14ac:dyDescent="0.25">
      <c r="A53" s="253"/>
      <c r="B53" s="445"/>
      <c r="C53" s="453"/>
      <c r="D53" s="128"/>
      <c r="E53" s="127">
        <f t="shared" si="19"/>
        <v>0</v>
      </c>
      <c r="F53" s="127">
        <f t="shared" si="20"/>
        <v>0</v>
      </c>
      <c r="G53" s="127">
        <f t="shared" si="20"/>
        <v>0</v>
      </c>
      <c r="H53" s="127">
        <f t="shared" si="20"/>
        <v>0</v>
      </c>
      <c r="I53" s="127">
        <f t="shared" si="20"/>
        <v>0</v>
      </c>
      <c r="J53" s="121"/>
      <c r="K53" s="247"/>
      <c r="L53" s="118"/>
      <c r="M53" s="118"/>
      <c r="N53" s="118"/>
      <c r="O53" s="118"/>
      <c r="P53" s="118"/>
      <c r="Q53" s="209"/>
      <c r="R53" s="222"/>
      <c r="S53" s="335"/>
      <c r="T53" s="103">
        <f t="shared" si="21"/>
        <v>0</v>
      </c>
      <c r="U53" s="103">
        <f t="shared" si="21"/>
        <v>0</v>
      </c>
      <c r="V53" s="103">
        <f t="shared" si="21"/>
        <v>0</v>
      </c>
      <c r="W53" s="103">
        <f t="shared" si="21"/>
        <v>0</v>
      </c>
      <c r="X53" s="103">
        <f t="shared" si="21"/>
        <v>0</v>
      </c>
      <c r="Y53" s="123">
        <f t="shared" si="22"/>
        <v>0</v>
      </c>
      <c r="Z53" s="370"/>
      <c r="AA53" s="104"/>
      <c r="AB53" s="255"/>
      <c r="AC53" s="105"/>
      <c r="AD53" s="105"/>
      <c r="AE53" s="105"/>
      <c r="AF53" s="105"/>
      <c r="AG53" s="105"/>
      <c r="AH53" s="158"/>
      <c r="AI53" s="473"/>
      <c r="AJ53" s="106"/>
      <c r="AK53" s="107"/>
      <c r="AL53" s="108"/>
      <c r="AM53" s="108"/>
      <c r="AN53" s="108"/>
      <c r="AO53" s="108"/>
      <c r="AP53" s="108"/>
      <c r="AQ53" s="165"/>
      <c r="AR53" s="531"/>
    </row>
    <row r="54" spans="1:44" s="109" customFormat="1" x14ac:dyDescent="0.25">
      <c r="A54" s="253"/>
      <c r="B54" s="445"/>
      <c r="C54" s="453"/>
      <c r="D54" s="128"/>
      <c r="E54" s="127">
        <f t="shared" si="19"/>
        <v>0</v>
      </c>
      <c r="F54" s="127">
        <f t="shared" si="20"/>
        <v>0</v>
      </c>
      <c r="G54" s="127">
        <f t="shared" si="20"/>
        <v>0</v>
      </c>
      <c r="H54" s="127">
        <f t="shared" si="20"/>
        <v>0</v>
      </c>
      <c r="I54" s="127">
        <f t="shared" si="20"/>
        <v>0</v>
      </c>
      <c r="J54" s="121"/>
      <c r="K54" s="247"/>
      <c r="L54" s="118"/>
      <c r="M54" s="118"/>
      <c r="N54" s="118"/>
      <c r="O54" s="118"/>
      <c r="P54" s="118"/>
      <c r="Q54" s="209"/>
      <c r="R54" s="222"/>
      <c r="S54" s="335"/>
      <c r="T54" s="103">
        <f t="shared" si="21"/>
        <v>0</v>
      </c>
      <c r="U54" s="103">
        <f t="shared" si="21"/>
        <v>0</v>
      </c>
      <c r="V54" s="103">
        <f t="shared" si="21"/>
        <v>0</v>
      </c>
      <c r="W54" s="103">
        <f t="shared" si="21"/>
        <v>0</v>
      </c>
      <c r="X54" s="103">
        <f t="shared" si="21"/>
        <v>0</v>
      </c>
      <c r="Y54" s="123">
        <f t="shared" si="22"/>
        <v>0</v>
      </c>
      <c r="Z54" s="370"/>
      <c r="AA54" s="104"/>
      <c r="AB54" s="255"/>
      <c r="AC54" s="105"/>
      <c r="AD54" s="105"/>
      <c r="AE54" s="105"/>
      <c r="AF54" s="105"/>
      <c r="AG54" s="105"/>
      <c r="AH54" s="158"/>
      <c r="AI54" s="473"/>
      <c r="AJ54" s="106"/>
      <c r="AK54" s="107"/>
      <c r="AL54" s="108"/>
      <c r="AM54" s="108"/>
      <c r="AN54" s="108"/>
      <c r="AO54" s="108"/>
      <c r="AP54" s="108"/>
      <c r="AQ54" s="165"/>
      <c r="AR54" s="531"/>
    </row>
    <row r="55" spans="1:44" s="109" customFormat="1" x14ac:dyDescent="0.25">
      <c r="A55" s="253"/>
      <c r="B55" s="445"/>
      <c r="C55" s="453"/>
      <c r="D55" s="128"/>
      <c r="E55" s="127">
        <f t="shared" si="19"/>
        <v>0</v>
      </c>
      <c r="F55" s="127">
        <f t="shared" si="20"/>
        <v>0</v>
      </c>
      <c r="G55" s="127">
        <f t="shared" si="20"/>
        <v>0</v>
      </c>
      <c r="H55" s="127">
        <f t="shared" si="20"/>
        <v>0</v>
      </c>
      <c r="I55" s="127">
        <f t="shared" si="20"/>
        <v>0</v>
      </c>
      <c r="J55" s="121"/>
      <c r="K55" s="247"/>
      <c r="L55" s="118"/>
      <c r="M55" s="118"/>
      <c r="N55" s="118"/>
      <c r="O55" s="118"/>
      <c r="P55" s="118"/>
      <c r="Q55" s="209"/>
      <c r="R55" s="222"/>
      <c r="S55" s="335"/>
      <c r="T55" s="103">
        <f t="shared" si="21"/>
        <v>0</v>
      </c>
      <c r="U55" s="103">
        <f t="shared" si="21"/>
        <v>0</v>
      </c>
      <c r="V55" s="103">
        <f t="shared" si="21"/>
        <v>0</v>
      </c>
      <c r="W55" s="103">
        <f t="shared" si="21"/>
        <v>0</v>
      </c>
      <c r="X55" s="103">
        <f t="shared" si="21"/>
        <v>0</v>
      </c>
      <c r="Y55" s="123">
        <f t="shared" si="22"/>
        <v>0</v>
      </c>
      <c r="Z55" s="370"/>
      <c r="AA55" s="104"/>
      <c r="AB55" s="255"/>
      <c r="AC55" s="105"/>
      <c r="AD55" s="105"/>
      <c r="AE55" s="105"/>
      <c r="AF55" s="105"/>
      <c r="AG55" s="105"/>
      <c r="AH55" s="158"/>
      <c r="AI55" s="473"/>
      <c r="AJ55" s="106"/>
      <c r="AK55" s="107"/>
      <c r="AL55" s="108"/>
      <c r="AM55" s="108"/>
      <c r="AN55" s="108"/>
      <c r="AO55" s="108"/>
      <c r="AP55" s="108"/>
      <c r="AQ55" s="165"/>
      <c r="AR55" s="531"/>
    </row>
    <row r="56" spans="1:44" s="109" customFormat="1" x14ac:dyDescent="0.25">
      <c r="A56" s="445"/>
      <c r="B56" s="445"/>
      <c r="C56" s="453"/>
      <c r="D56" s="128"/>
      <c r="E56" s="127">
        <f t="shared" si="19"/>
        <v>0</v>
      </c>
      <c r="F56" s="127">
        <f t="shared" si="20"/>
        <v>0</v>
      </c>
      <c r="G56" s="127">
        <f t="shared" si="20"/>
        <v>0</v>
      </c>
      <c r="H56" s="127">
        <f t="shared" si="20"/>
        <v>0</v>
      </c>
      <c r="I56" s="127">
        <f t="shared" si="20"/>
        <v>0</v>
      </c>
      <c r="J56" s="121"/>
      <c r="K56" s="247"/>
      <c r="L56" s="118"/>
      <c r="M56" s="118"/>
      <c r="N56" s="118"/>
      <c r="O56" s="118"/>
      <c r="P56" s="118"/>
      <c r="Q56" s="209"/>
      <c r="R56" s="222"/>
      <c r="S56" s="335"/>
      <c r="T56" s="103">
        <f t="shared" si="21"/>
        <v>0</v>
      </c>
      <c r="U56" s="103">
        <f t="shared" si="21"/>
        <v>0</v>
      </c>
      <c r="V56" s="103">
        <f t="shared" si="21"/>
        <v>0</v>
      </c>
      <c r="W56" s="103">
        <f t="shared" si="21"/>
        <v>0</v>
      </c>
      <c r="X56" s="103">
        <f t="shared" si="21"/>
        <v>0</v>
      </c>
      <c r="Y56" s="123">
        <f t="shared" si="22"/>
        <v>0</v>
      </c>
      <c r="Z56" s="370"/>
      <c r="AA56" s="272"/>
      <c r="AB56" s="255"/>
      <c r="AC56" s="105">
        <f>IF(AB56&gt;0,PRODUCT(E56,$AB56),0)</f>
        <v>0</v>
      </c>
      <c r="AD56" s="105">
        <f>IF(AC56&gt;0,PRODUCT(F56,$AB56),0)</f>
        <v>0</v>
      </c>
      <c r="AE56" s="105">
        <f>IF(AD56&gt;0,PRODUCT(G56,$AB56),0)</f>
        <v>0</v>
      </c>
      <c r="AF56" s="105">
        <f>IF(AE56&gt;0,PRODUCT(H56,$AB56),0)</f>
        <v>0</v>
      </c>
      <c r="AG56" s="105">
        <f>IF(AF56&gt;0,PRODUCT(I56,$AB56),0)</f>
        <v>0</v>
      </c>
      <c r="AH56" s="158">
        <f>SUM(AC56:AG56)</f>
        <v>0</v>
      </c>
      <c r="AI56" s="473"/>
      <c r="AJ56" s="106"/>
      <c r="AK56" s="107"/>
      <c r="AL56" s="108">
        <f>IF(AK56&gt;0,PRODUCT(E56,$AK56),0)</f>
        <v>0</v>
      </c>
      <c r="AM56" s="108">
        <f>IF(AL56&gt;0,PRODUCT(F56,$AK56),0)</f>
        <v>0</v>
      </c>
      <c r="AN56" s="108">
        <f>IF(AM56&gt;0,PRODUCT(G56,$AK56),0)</f>
        <v>0</v>
      </c>
      <c r="AO56" s="108">
        <f>IF(AN56&gt;0,PRODUCT(H56,$AK56),0)</f>
        <v>0</v>
      </c>
      <c r="AP56" s="108">
        <f>IF(AO56&gt;0,PRODUCT(I56,$AK56),0)</f>
        <v>0</v>
      </c>
      <c r="AQ56" s="165">
        <f>SUM(AL56:AP56)</f>
        <v>0</v>
      </c>
      <c r="AR56" s="531"/>
    </row>
    <row r="57" spans="1:44" s="109" customFormat="1" x14ac:dyDescent="0.25">
      <c r="A57" s="253"/>
      <c r="B57" s="445"/>
      <c r="C57" s="453"/>
      <c r="D57" s="128"/>
      <c r="E57" s="127">
        <f t="shared" si="19"/>
        <v>0</v>
      </c>
      <c r="F57" s="127">
        <f t="shared" si="20"/>
        <v>0</v>
      </c>
      <c r="G57" s="127">
        <f t="shared" si="20"/>
        <v>0</v>
      </c>
      <c r="H57" s="127">
        <f t="shared" si="20"/>
        <v>0</v>
      </c>
      <c r="I57" s="127">
        <f t="shared" si="20"/>
        <v>0</v>
      </c>
      <c r="J57" s="121"/>
      <c r="K57" s="247"/>
      <c r="L57" s="118"/>
      <c r="M57" s="118"/>
      <c r="N57" s="118"/>
      <c r="O57" s="118"/>
      <c r="P57" s="118"/>
      <c r="Q57" s="209"/>
      <c r="R57" s="222"/>
      <c r="S57" s="335"/>
      <c r="T57" s="103">
        <f t="shared" si="21"/>
        <v>0</v>
      </c>
      <c r="U57" s="103">
        <f t="shared" si="21"/>
        <v>0</v>
      </c>
      <c r="V57" s="103">
        <f t="shared" si="21"/>
        <v>0</v>
      </c>
      <c r="W57" s="103">
        <f t="shared" si="21"/>
        <v>0</v>
      </c>
      <c r="X57" s="103">
        <f t="shared" si="21"/>
        <v>0</v>
      </c>
      <c r="Y57" s="123">
        <f t="shared" si="22"/>
        <v>0</v>
      </c>
      <c r="Z57" s="370"/>
      <c r="AA57" s="104"/>
      <c r="AB57" s="255"/>
      <c r="AC57" s="105"/>
      <c r="AD57" s="105"/>
      <c r="AE57" s="105"/>
      <c r="AF57" s="105"/>
      <c r="AG57" s="105"/>
      <c r="AH57" s="158"/>
      <c r="AI57" s="473"/>
      <c r="AJ57" s="106"/>
      <c r="AK57" s="107"/>
      <c r="AL57" s="108"/>
      <c r="AM57" s="108"/>
      <c r="AN57" s="108"/>
      <c r="AO57" s="108"/>
      <c r="AP57" s="108"/>
      <c r="AQ57" s="165"/>
      <c r="AR57" s="531"/>
    </row>
    <row r="58" spans="1:44" s="109" customFormat="1" x14ac:dyDescent="0.25">
      <c r="A58" s="253"/>
      <c r="B58" s="253"/>
      <c r="C58" s="200"/>
      <c r="D58" s="128"/>
      <c r="E58" s="127"/>
      <c r="F58" s="127"/>
      <c r="G58" s="127"/>
      <c r="H58" s="127"/>
      <c r="I58" s="127"/>
      <c r="J58" s="121"/>
      <c r="K58" s="247"/>
      <c r="L58" s="118"/>
      <c r="M58" s="118"/>
      <c r="N58" s="118"/>
      <c r="O58" s="118"/>
      <c r="P58" s="118"/>
      <c r="Q58" s="209"/>
      <c r="R58" s="102"/>
      <c r="S58" s="335"/>
      <c r="T58" s="103"/>
      <c r="U58" s="103"/>
      <c r="V58" s="103"/>
      <c r="W58" s="103"/>
      <c r="X58" s="103"/>
      <c r="Y58" s="123"/>
      <c r="Z58" s="362"/>
      <c r="AA58" s="104"/>
      <c r="AB58" s="255"/>
      <c r="AC58" s="105"/>
      <c r="AD58" s="105"/>
      <c r="AE58" s="105"/>
      <c r="AF58" s="105"/>
      <c r="AG58" s="105"/>
      <c r="AH58" s="158"/>
      <c r="AI58" s="473"/>
      <c r="AJ58" s="106"/>
      <c r="AK58" s="107"/>
      <c r="AL58" s="108"/>
      <c r="AM58" s="108"/>
      <c r="AN58" s="108"/>
      <c r="AO58" s="108"/>
      <c r="AP58" s="108"/>
      <c r="AQ58" s="165"/>
      <c r="AR58" s="531"/>
    </row>
    <row r="59" spans="1:44" s="109" customFormat="1" x14ac:dyDescent="0.25">
      <c r="A59" s="253"/>
      <c r="B59" s="374"/>
      <c r="C59" s="242" t="s">
        <v>474</v>
      </c>
      <c r="D59" s="243"/>
      <c r="E59" s="243"/>
      <c r="F59" s="243"/>
      <c r="G59" s="243"/>
      <c r="H59" s="243"/>
      <c r="I59" s="244"/>
      <c r="J59" s="121"/>
      <c r="K59" s="247"/>
      <c r="L59" s="118"/>
      <c r="M59" s="118"/>
      <c r="N59" s="118"/>
      <c r="O59" s="118"/>
      <c r="P59" s="118"/>
      <c r="Q59" s="209"/>
      <c r="R59" s="252" t="str">
        <f>C59</f>
        <v>DIGITAL CARD ISSUANCE &amp; CARDNAV BRANDED TO CARDNAV COMPANION</v>
      </c>
      <c r="S59" s="386"/>
      <c r="T59" s="243"/>
      <c r="U59" s="243"/>
      <c r="V59" s="243"/>
      <c r="W59" s="243"/>
      <c r="X59" s="244"/>
      <c r="Y59" s="123"/>
      <c r="Z59" s="362"/>
      <c r="AA59" s="252" t="str">
        <f>C59</f>
        <v>DIGITAL CARD ISSUANCE &amp; CARDNAV BRANDED TO CARDNAV COMPANION</v>
      </c>
      <c r="AB59" s="386"/>
      <c r="AC59" s="243"/>
      <c r="AD59" s="243"/>
      <c r="AE59" s="243"/>
      <c r="AF59" s="243"/>
      <c r="AG59" s="244"/>
      <c r="AH59" s="158"/>
      <c r="AI59" s="473"/>
      <c r="AJ59" s="252" t="str">
        <f>C59</f>
        <v>DIGITAL CARD ISSUANCE &amp; CARDNAV BRANDED TO CARDNAV COMPANION</v>
      </c>
      <c r="AK59" s="386"/>
      <c r="AL59" s="243"/>
      <c r="AM59" s="243"/>
      <c r="AN59" s="243"/>
      <c r="AO59" s="243"/>
      <c r="AP59" s="244"/>
      <c r="AQ59" s="165"/>
      <c r="AR59" s="531"/>
    </row>
    <row r="60" spans="1:44" s="109" customFormat="1" x14ac:dyDescent="0.25">
      <c r="A60" s="445"/>
      <c r="B60" s="445"/>
      <c r="C60" s="453"/>
      <c r="D60" s="128"/>
      <c r="E60" s="127">
        <f>D60*12</f>
        <v>0</v>
      </c>
      <c r="F60" s="127">
        <f t="shared" ref="F60:I61" si="23">IF(E60&gt;12,(((E60)*$E$5)+E60),(E60*1))</f>
        <v>0</v>
      </c>
      <c r="G60" s="127">
        <f t="shared" si="23"/>
        <v>0</v>
      </c>
      <c r="H60" s="127">
        <f t="shared" si="23"/>
        <v>0</v>
      </c>
      <c r="I60" s="127">
        <f t="shared" si="23"/>
        <v>0</v>
      </c>
      <c r="J60" s="121"/>
      <c r="K60" s="247"/>
      <c r="L60" s="118"/>
      <c r="M60" s="118"/>
      <c r="N60" s="118"/>
      <c r="O60" s="118"/>
      <c r="P60" s="118"/>
      <c r="Q60" s="209"/>
      <c r="R60" s="222"/>
      <c r="S60" s="335"/>
      <c r="T60" s="103">
        <f t="shared" ref="T60:X61" si="24">IF($S60&gt;0,PRODUCT(E60,$S60),0)</f>
        <v>0</v>
      </c>
      <c r="U60" s="103">
        <f t="shared" si="24"/>
        <v>0</v>
      </c>
      <c r="V60" s="103">
        <f t="shared" si="24"/>
        <v>0</v>
      </c>
      <c r="W60" s="103">
        <f t="shared" si="24"/>
        <v>0</v>
      </c>
      <c r="X60" s="103">
        <f t="shared" si="24"/>
        <v>0</v>
      </c>
      <c r="Y60" s="123">
        <f>SUM(T60:X60)</f>
        <v>0</v>
      </c>
      <c r="Z60" s="370"/>
      <c r="AA60" s="272"/>
      <c r="AB60" s="255"/>
      <c r="AC60" s="105">
        <f>IF(AB60&gt;0,PRODUCT(E60,$AB60),0)</f>
        <v>0</v>
      </c>
      <c r="AD60" s="105">
        <f>IF(AC60&gt;0,PRODUCT(F60,$AB60),0)</f>
        <v>0</v>
      </c>
      <c r="AE60" s="105">
        <f>IF(AD60&gt;0,PRODUCT(G60,$AB60),0)</f>
        <v>0</v>
      </c>
      <c r="AF60" s="105">
        <f>IF(AE60&gt;0,PRODUCT(H60,$AB60),0)</f>
        <v>0</v>
      </c>
      <c r="AG60" s="105">
        <f>IF(AF60&gt;0,PRODUCT(I60,$AB60),0)</f>
        <v>0</v>
      </c>
      <c r="AH60" s="158">
        <f>SUM(AC60:AG60)</f>
        <v>0</v>
      </c>
      <c r="AI60" s="473"/>
      <c r="AJ60" s="106"/>
      <c r="AK60" s="107"/>
      <c r="AL60" s="108">
        <f>IF(AK60&gt;0,PRODUCT(E60,$AK60),0)</f>
        <v>0</v>
      </c>
      <c r="AM60" s="108">
        <f>IF(AL60&gt;0,PRODUCT(F60,$AK60),0)</f>
        <v>0</v>
      </c>
      <c r="AN60" s="108">
        <f>IF(AM60&gt;0,PRODUCT(G60,$AK60),0)</f>
        <v>0</v>
      </c>
      <c r="AO60" s="108">
        <f>IF(AN60&gt;0,PRODUCT(H60,$AK60),0)</f>
        <v>0</v>
      </c>
      <c r="AP60" s="108">
        <f>IF(AO60&gt;0,PRODUCT(I60,$AK60),0)</f>
        <v>0</v>
      </c>
      <c r="AQ60" s="165">
        <f>SUM(AL60:AP60)</f>
        <v>0</v>
      </c>
      <c r="AR60" s="531"/>
    </row>
    <row r="61" spans="1:44" s="109" customFormat="1" x14ac:dyDescent="0.25">
      <c r="A61" s="253"/>
      <c r="B61" s="445"/>
      <c r="C61" s="453"/>
      <c r="D61" s="128"/>
      <c r="E61" s="127">
        <f>D61*12</f>
        <v>0</v>
      </c>
      <c r="F61" s="127">
        <f t="shared" si="23"/>
        <v>0</v>
      </c>
      <c r="G61" s="127">
        <f t="shared" si="23"/>
        <v>0</v>
      </c>
      <c r="H61" s="127">
        <f t="shared" si="23"/>
        <v>0</v>
      </c>
      <c r="I61" s="127">
        <f t="shared" si="23"/>
        <v>0</v>
      </c>
      <c r="J61" s="121"/>
      <c r="K61" s="247"/>
      <c r="L61" s="118"/>
      <c r="M61" s="118"/>
      <c r="N61" s="118"/>
      <c r="O61" s="118"/>
      <c r="P61" s="118"/>
      <c r="Q61" s="209"/>
      <c r="R61" s="222"/>
      <c r="S61" s="335"/>
      <c r="T61" s="103">
        <f t="shared" si="24"/>
        <v>0</v>
      </c>
      <c r="U61" s="103">
        <f t="shared" si="24"/>
        <v>0</v>
      </c>
      <c r="V61" s="103">
        <f t="shared" si="24"/>
        <v>0</v>
      </c>
      <c r="W61" s="103">
        <f t="shared" si="24"/>
        <v>0</v>
      </c>
      <c r="X61" s="103">
        <f t="shared" si="24"/>
        <v>0</v>
      </c>
      <c r="Y61" s="123">
        <f>SUM(T61:X61)</f>
        <v>0</v>
      </c>
      <c r="Z61" s="370"/>
      <c r="AA61" s="104"/>
      <c r="AB61" s="255"/>
      <c r="AC61" s="105"/>
      <c r="AD61" s="105"/>
      <c r="AE61" s="105"/>
      <c r="AF61" s="105"/>
      <c r="AG61" s="105"/>
      <c r="AH61" s="158"/>
      <c r="AI61" s="473"/>
      <c r="AJ61" s="106"/>
      <c r="AK61" s="107"/>
      <c r="AL61" s="108"/>
      <c r="AM61" s="108"/>
      <c r="AN61" s="108"/>
      <c r="AO61" s="108"/>
      <c r="AP61" s="108"/>
      <c r="AQ61" s="165"/>
      <c r="AR61" s="531"/>
    </row>
    <row r="62" spans="1:44" s="109" customFormat="1" x14ac:dyDescent="0.25">
      <c r="A62" s="253"/>
      <c r="B62" s="253"/>
      <c r="C62" s="200"/>
      <c r="D62" s="128"/>
      <c r="E62" s="127"/>
      <c r="F62" s="127"/>
      <c r="G62" s="127"/>
      <c r="H62" s="127"/>
      <c r="I62" s="127"/>
      <c r="J62" s="121"/>
      <c r="K62" s="247"/>
      <c r="L62" s="118"/>
      <c r="M62" s="118"/>
      <c r="N62" s="118"/>
      <c r="O62" s="118"/>
      <c r="P62" s="118"/>
      <c r="Q62" s="209"/>
      <c r="R62" s="102"/>
      <c r="S62" s="335"/>
      <c r="T62" s="103"/>
      <c r="U62" s="103"/>
      <c r="V62" s="103"/>
      <c r="W62" s="103"/>
      <c r="X62" s="103"/>
      <c r="Y62" s="123"/>
      <c r="Z62" s="362"/>
      <c r="AA62" s="104"/>
      <c r="AB62" s="255"/>
      <c r="AC62" s="105"/>
      <c r="AD62" s="105"/>
      <c r="AE62" s="105"/>
      <c r="AF62" s="105"/>
      <c r="AG62" s="105"/>
      <c r="AH62" s="158"/>
      <c r="AI62" s="473"/>
      <c r="AJ62" s="106"/>
      <c r="AK62" s="107"/>
      <c r="AL62" s="108"/>
      <c r="AM62" s="108"/>
      <c r="AN62" s="108"/>
      <c r="AO62" s="108"/>
      <c r="AP62" s="108"/>
      <c r="AQ62" s="165"/>
      <c r="AR62" s="531"/>
    </row>
    <row r="63" spans="1:44" s="109" customFormat="1" x14ac:dyDescent="0.25">
      <c r="A63" s="253"/>
      <c r="B63" s="374"/>
      <c r="C63" s="242" t="s">
        <v>475</v>
      </c>
      <c r="D63" s="243"/>
      <c r="E63" s="243"/>
      <c r="F63" s="243"/>
      <c r="G63" s="243"/>
      <c r="H63" s="243"/>
      <c r="I63" s="244"/>
      <c r="J63" s="121"/>
      <c r="K63" s="247"/>
      <c r="L63" s="118"/>
      <c r="M63" s="118"/>
      <c r="N63" s="118"/>
      <c r="O63" s="118"/>
      <c r="P63" s="118"/>
      <c r="Q63" s="209"/>
      <c r="R63" s="252" t="str">
        <f>C63</f>
        <v>CONTACT CENTER / CALL CENTER</v>
      </c>
      <c r="S63" s="386"/>
      <c r="T63" s="243"/>
      <c r="U63" s="243"/>
      <c r="V63" s="243"/>
      <c r="W63" s="243"/>
      <c r="X63" s="244"/>
      <c r="Y63" s="123"/>
      <c r="Z63" s="362"/>
      <c r="AA63" s="252" t="str">
        <f>C63</f>
        <v>CONTACT CENTER / CALL CENTER</v>
      </c>
      <c r="AB63" s="386"/>
      <c r="AC63" s="243"/>
      <c r="AD63" s="243"/>
      <c r="AE63" s="243"/>
      <c r="AF63" s="243"/>
      <c r="AG63" s="244"/>
      <c r="AH63" s="158"/>
      <c r="AI63" s="473"/>
      <c r="AJ63" s="252" t="str">
        <f>C63</f>
        <v>CONTACT CENTER / CALL CENTER</v>
      </c>
      <c r="AK63" s="386"/>
      <c r="AL63" s="243"/>
      <c r="AM63" s="243"/>
      <c r="AN63" s="243"/>
      <c r="AO63" s="243"/>
      <c r="AP63" s="244"/>
      <c r="AQ63" s="165"/>
      <c r="AR63" s="531"/>
    </row>
    <row r="64" spans="1:44" s="109" customFormat="1" x14ac:dyDescent="0.25">
      <c r="A64" s="253"/>
      <c r="B64" s="445"/>
      <c r="C64" s="453"/>
      <c r="D64" s="128"/>
      <c r="E64" s="127">
        <f>D64*12</f>
        <v>0</v>
      </c>
      <c r="F64" s="127">
        <f t="shared" ref="F64:I65" si="25">IF(E64&gt;12,(((E64)*$E$5)+E64),(E64*1))</f>
        <v>0</v>
      </c>
      <c r="G64" s="127">
        <f t="shared" si="25"/>
        <v>0</v>
      </c>
      <c r="H64" s="127">
        <f t="shared" si="25"/>
        <v>0</v>
      </c>
      <c r="I64" s="127">
        <f t="shared" si="25"/>
        <v>0</v>
      </c>
      <c r="J64" s="121"/>
      <c r="K64" s="247"/>
      <c r="L64" s="118"/>
      <c r="M64" s="118"/>
      <c r="N64" s="118"/>
      <c r="O64" s="118"/>
      <c r="P64" s="118"/>
      <c r="Q64" s="209"/>
      <c r="R64" s="222"/>
      <c r="S64" s="335"/>
      <c r="T64" s="103">
        <f>IF($S64&gt;0,PRODUCT(E64,$S64),0)</f>
        <v>0</v>
      </c>
      <c r="U64" s="103">
        <f>IF($S64&gt;0,PRODUCT(F64,$S64),0)</f>
        <v>0</v>
      </c>
      <c r="V64" s="103">
        <f>IF($S64&gt;0,PRODUCT(G64,$S64),0)</f>
        <v>0</v>
      </c>
      <c r="W64" s="103">
        <f>IF($S64&gt;0,PRODUCT(H64,$S64),0)</f>
        <v>0</v>
      </c>
      <c r="X64" s="103">
        <f>IF($S64&gt;0,PRODUCT(I64,$S64),0)</f>
        <v>0</v>
      </c>
      <c r="Y64" s="123">
        <f>SUM(T64:X64)</f>
        <v>0</v>
      </c>
      <c r="Z64" s="370"/>
      <c r="AA64" s="104"/>
      <c r="AB64" s="255"/>
      <c r="AC64" s="105"/>
      <c r="AD64" s="105"/>
      <c r="AE64" s="105"/>
      <c r="AF64" s="105"/>
      <c r="AG64" s="105"/>
      <c r="AH64" s="158"/>
      <c r="AI64" s="473"/>
      <c r="AJ64" s="106"/>
      <c r="AK64" s="107"/>
      <c r="AL64" s="108"/>
      <c r="AM64" s="108"/>
      <c r="AN64" s="108"/>
      <c r="AO64" s="108"/>
      <c r="AP64" s="108"/>
      <c r="AQ64" s="165"/>
      <c r="AR64" s="531"/>
    </row>
    <row r="65" spans="1:45" s="495" customFormat="1" x14ac:dyDescent="0.25">
      <c r="A65" s="253"/>
      <c r="B65" s="253"/>
      <c r="C65" s="200"/>
      <c r="D65" s="128"/>
      <c r="E65" s="127">
        <f>D65*12</f>
        <v>0</v>
      </c>
      <c r="F65" s="127">
        <f t="shared" si="25"/>
        <v>0</v>
      </c>
      <c r="G65" s="127">
        <f t="shared" si="25"/>
        <v>0</v>
      </c>
      <c r="H65" s="127">
        <f t="shared" si="25"/>
        <v>0</v>
      </c>
      <c r="I65" s="127">
        <f t="shared" si="25"/>
        <v>0</v>
      </c>
      <c r="J65" s="121"/>
      <c r="K65" s="247"/>
      <c r="L65" s="129">
        <f>IF(K65&gt;0,PRODUCT(E65,$K65),0)</f>
        <v>0</v>
      </c>
      <c r="M65" s="129">
        <f>IF(L65&gt;0,PRODUCT(F65,$K65),0)</f>
        <v>0</v>
      </c>
      <c r="N65" s="129">
        <f>IF(M65&gt;0,PRODUCT(G65,$K65),0)</f>
        <v>0</v>
      </c>
      <c r="O65" s="129">
        <f>IF(N65&gt;0,PRODUCT(H65,$K65),0)</f>
        <v>0</v>
      </c>
      <c r="P65" s="129">
        <f>IF(O65&gt;0,PRODUCT(I65,$K65),0)</f>
        <v>0</v>
      </c>
      <c r="Q65" s="209">
        <f>SUM(L65:P65)</f>
        <v>0</v>
      </c>
      <c r="R65" s="102"/>
      <c r="S65" s="324"/>
      <c r="T65" s="103"/>
      <c r="U65" s="103"/>
      <c r="V65" s="103"/>
      <c r="W65" s="103"/>
      <c r="X65" s="103"/>
      <c r="Y65" s="123"/>
      <c r="Z65" s="370"/>
      <c r="AA65" s="272"/>
      <c r="AB65" s="255"/>
      <c r="AC65" s="105">
        <f>IF(AB65&gt;0,PRODUCT(E65,$AB65),0)</f>
        <v>0</v>
      </c>
      <c r="AD65" s="105">
        <f>IF(AC65&gt;0,PRODUCT(F65,$AB65),0)</f>
        <v>0</v>
      </c>
      <c r="AE65" s="105">
        <f>IF(AD65&gt;0,PRODUCT(G65,$AB65),0)</f>
        <v>0</v>
      </c>
      <c r="AF65" s="105">
        <f>IF(AE65&gt;0,PRODUCT(H65,$AB65),0)</f>
        <v>0</v>
      </c>
      <c r="AG65" s="105">
        <f>IF(AF65&gt;0,PRODUCT(I65,$AB65),0)</f>
        <v>0</v>
      </c>
      <c r="AH65" s="158">
        <f>SUM(AC65:AG65)</f>
        <v>0</v>
      </c>
      <c r="AI65" s="473"/>
      <c r="AJ65" s="106"/>
      <c r="AK65" s="107"/>
      <c r="AL65" s="108">
        <f>IF(AK65&gt;0,PRODUCT(E65,$AK65),0)</f>
        <v>0</v>
      </c>
      <c r="AM65" s="108">
        <f>IF(AL65&gt;0,PRODUCT(F65,$AK65),0)</f>
        <v>0</v>
      </c>
      <c r="AN65" s="108">
        <f>IF(AM65&gt;0,PRODUCT(G65,$AK65),0)</f>
        <v>0</v>
      </c>
      <c r="AO65" s="108">
        <f>IF(AN65&gt;0,PRODUCT(H65,$AK65),0)</f>
        <v>0</v>
      </c>
      <c r="AP65" s="108">
        <f>IF(AO65&gt;0,PRODUCT(I65,$AK65),0)</f>
        <v>0</v>
      </c>
      <c r="AQ65" s="165">
        <f>SUM(AL65:AP65)</f>
        <v>0</v>
      </c>
      <c r="AR65" s="531"/>
    </row>
    <row r="66" spans="1:45" s="495" customFormat="1" x14ac:dyDescent="0.25">
      <c r="A66" s="253"/>
      <c r="B66" s="253"/>
      <c r="C66" s="200"/>
      <c r="D66" s="128"/>
      <c r="E66" s="127"/>
      <c r="F66" s="127"/>
      <c r="G66" s="127"/>
      <c r="H66" s="127"/>
      <c r="I66" s="127"/>
      <c r="J66" s="121"/>
      <c r="K66" s="247"/>
      <c r="L66" s="129"/>
      <c r="M66" s="129"/>
      <c r="N66" s="129"/>
      <c r="O66" s="129"/>
      <c r="P66" s="129"/>
      <c r="Q66" s="209"/>
      <c r="R66" s="102"/>
      <c r="S66" s="324"/>
      <c r="T66" s="103"/>
      <c r="U66" s="103"/>
      <c r="V66" s="103"/>
      <c r="W66" s="103"/>
      <c r="X66" s="103"/>
      <c r="Y66" s="123"/>
      <c r="Z66" s="370"/>
      <c r="AA66" s="272"/>
      <c r="AB66" s="255"/>
      <c r="AC66" s="105"/>
      <c r="AD66" s="105"/>
      <c r="AE66" s="105"/>
      <c r="AF66" s="105"/>
      <c r="AG66" s="105"/>
      <c r="AH66" s="158"/>
      <c r="AI66" s="473"/>
      <c r="AJ66" s="106"/>
      <c r="AK66" s="107"/>
      <c r="AL66" s="108"/>
      <c r="AM66" s="108"/>
      <c r="AN66" s="108"/>
      <c r="AO66" s="108"/>
      <c r="AP66" s="108"/>
      <c r="AQ66" s="165"/>
      <c r="AR66" s="531"/>
    </row>
    <row r="67" spans="1:45" s="109" customFormat="1" x14ac:dyDescent="0.25">
      <c r="A67" s="253"/>
      <c r="B67" s="374"/>
      <c r="C67" s="242" t="s">
        <v>476</v>
      </c>
      <c r="D67" s="243"/>
      <c r="E67" s="243"/>
      <c r="F67" s="243"/>
      <c r="G67" s="243"/>
      <c r="H67" s="243"/>
      <c r="I67" s="244"/>
      <c r="J67" s="121"/>
      <c r="K67" s="247"/>
      <c r="L67" s="118"/>
      <c r="M67" s="118"/>
      <c r="N67" s="118"/>
      <c r="O67" s="118"/>
      <c r="P67" s="118"/>
      <c r="Q67" s="209"/>
      <c r="R67" s="252" t="str">
        <f>C67</f>
        <v>OTHER</v>
      </c>
      <c r="S67" s="386"/>
      <c r="T67" s="243"/>
      <c r="U67" s="243"/>
      <c r="V67" s="243"/>
      <c r="W67" s="243"/>
      <c r="X67" s="244"/>
      <c r="Y67" s="123"/>
      <c r="Z67" s="362"/>
      <c r="AA67" s="252" t="str">
        <f>C67</f>
        <v>OTHER</v>
      </c>
      <c r="AB67" s="386"/>
      <c r="AC67" s="243"/>
      <c r="AD67" s="243"/>
      <c r="AE67" s="243"/>
      <c r="AF67" s="243"/>
      <c r="AG67" s="244"/>
      <c r="AH67" s="158"/>
      <c r="AI67" s="473"/>
      <c r="AJ67" s="252" t="str">
        <f>C67</f>
        <v>OTHER</v>
      </c>
      <c r="AK67" s="386"/>
      <c r="AL67" s="243"/>
      <c r="AM67" s="243"/>
      <c r="AN67" s="243"/>
      <c r="AO67" s="243"/>
      <c r="AP67" s="244"/>
      <c r="AQ67" s="165"/>
      <c r="AR67" s="531"/>
    </row>
    <row r="68" spans="1:45" s="109" customFormat="1" x14ac:dyDescent="0.25">
      <c r="A68" s="253"/>
      <c r="B68" s="253"/>
      <c r="C68" s="200"/>
      <c r="D68" s="518"/>
      <c r="E68" s="127">
        <f>D68*12</f>
        <v>0</v>
      </c>
      <c r="F68" s="127">
        <f t="shared" ref="F68:I70" si="26">IF(E68&gt;12,(((E68)*$E$5)+E68),(E68*1))</f>
        <v>0</v>
      </c>
      <c r="G68" s="127">
        <f t="shared" si="26"/>
        <v>0</v>
      </c>
      <c r="H68" s="127">
        <f t="shared" si="26"/>
        <v>0</v>
      </c>
      <c r="I68" s="127">
        <f t="shared" si="26"/>
        <v>0</v>
      </c>
      <c r="J68" s="245"/>
      <c r="K68" s="247"/>
      <c r="L68" s="129"/>
      <c r="M68" s="129"/>
      <c r="N68" s="129"/>
      <c r="O68" s="129"/>
      <c r="P68" s="129"/>
      <c r="Q68" s="209"/>
      <c r="R68" s="102"/>
      <c r="S68" s="324"/>
      <c r="T68" s="103"/>
      <c r="U68" s="103"/>
      <c r="V68" s="103"/>
      <c r="W68" s="103"/>
      <c r="X68" s="103"/>
      <c r="Y68" s="123"/>
      <c r="Z68" s="370"/>
      <c r="AA68" s="272"/>
      <c r="AB68" s="271"/>
      <c r="AC68" s="105">
        <f t="shared" ref="AC68:AG72" si="27">IF(AB68&gt;0,PRODUCT(E68,$AB68),0)</f>
        <v>0</v>
      </c>
      <c r="AD68" s="105">
        <f t="shared" si="27"/>
        <v>0</v>
      </c>
      <c r="AE68" s="105">
        <f t="shared" si="27"/>
        <v>0</v>
      </c>
      <c r="AF68" s="105">
        <f t="shared" si="27"/>
        <v>0</v>
      </c>
      <c r="AG68" s="105">
        <f t="shared" si="27"/>
        <v>0</v>
      </c>
      <c r="AH68" s="158">
        <f>SUM(AC68:AG68)</f>
        <v>0</v>
      </c>
      <c r="AI68" s="473"/>
      <c r="AJ68" s="398"/>
      <c r="AK68" s="107"/>
      <c r="AL68" s="108">
        <f t="shared" ref="AL68:AP72" si="28">IF(AK68&gt;0,PRODUCT(E68,$AK68),0)</f>
        <v>0</v>
      </c>
      <c r="AM68" s="108">
        <f t="shared" si="28"/>
        <v>0</v>
      </c>
      <c r="AN68" s="108">
        <f t="shared" si="28"/>
        <v>0</v>
      </c>
      <c r="AO68" s="108">
        <f t="shared" si="28"/>
        <v>0</v>
      </c>
      <c r="AP68" s="108">
        <f t="shared" si="28"/>
        <v>0</v>
      </c>
      <c r="AQ68" s="165">
        <f>SUM(AL68:AP68)</f>
        <v>0</v>
      </c>
      <c r="AR68" s="531"/>
    </row>
    <row r="69" spans="1:45" s="109" customFormat="1" x14ac:dyDescent="0.25">
      <c r="A69" s="253"/>
      <c r="B69" s="253"/>
      <c r="C69" s="200"/>
      <c r="D69" s="518"/>
      <c r="E69" s="127">
        <f>D69*12</f>
        <v>0</v>
      </c>
      <c r="F69" s="127">
        <f t="shared" si="26"/>
        <v>0</v>
      </c>
      <c r="G69" s="127">
        <f t="shared" si="26"/>
        <v>0</v>
      </c>
      <c r="H69" s="127">
        <f t="shared" si="26"/>
        <v>0</v>
      </c>
      <c r="I69" s="127">
        <f t="shared" si="26"/>
        <v>0</v>
      </c>
      <c r="J69" s="245"/>
      <c r="K69" s="247"/>
      <c r="L69" s="129"/>
      <c r="M69" s="129"/>
      <c r="N69" s="129"/>
      <c r="O69" s="129"/>
      <c r="P69" s="129"/>
      <c r="Q69" s="209"/>
      <c r="R69" s="102"/>
      <c r="S69" s="324"/>
      <c r="T69" s="103"/>
      <c r="U69" s="103"/>
      <c r="V69" s="103"/>
      <c r="W69" s="103"/>
      <c r="X69" s="103"/>
      <c r="Y69" s="123"/>
      <c r="Z69" s="370"/>
      <c r="AA69" s="272"/>
      <c r="AB69" s="271"/>
      <c r="AC69" s="105">
        <f t="shared" si="27"/>
        <v>0</v>
      </c>
      <c r="AD69" s="105">
        <f t="shared" si="27"/>
        <v>0</v>
      </c>
      <c r="AE69" s="105">
        <f t="shared" si="27"/>
        <v>0</v>
      </c>
      <c r="AF69" s="105">
        <f t="shared" si="27"/>
        <v>0</v>
      </c>
      <c r="AG69" s="105">
        <f t="shared" si="27"/>
        <v>0</v>
      </c>
      <c r="AH69" s="158">
        <f>SUM(AC69:AG69)</f>
        <v>0</v>
      </c>
      <c r="AI69" s="473"/>
      <c r="AJ69" s="398"/>
      <c r="AK69" s="107"/>
      <c r="AL69" s="108">
        <f t="shared" si="28"/>
        <v>0</v>
      </c>
      <c r="AM69" s="108">
        <f t="shared" si="28"/>
        <v>0</v>
      </c>
      <c r="AN69" s="108">
        <f t="shared" si="28"/>
        <v>0</v>
      </c>
      <c r="AO69" s="108">
        <f t="shared" si="28"/>
        <v>0</v>
      </c>
      <c r="AP69" s="108">
        <f t="shared" si="28"/>
        <v>0</v>
      </c>
      <c r="AQ69" s="165">
        <f>SUM(AL69:AP69)</f>
        <v>0</v>
      </c>
      <c r="AR69" s="531"/>
    </row>
    <row r="70" spans="1:45" s="109" customFormat="1" x14ac:dyDescent="0.25">
      <c r="A70" s="253"/>
      <c r="B70" s="253"/>
      <c r="C70" s="200"/>
      <c r="D70" s="518"/>
      <c r="E70" s="127">
        <f>D70*12</f>
        <v>0</v>
      </c>
      <c r="F70" s="127">
        <f t="shared" si="26"/>
        <v>0</v>
      </c>
      <c r="G70" s="127">
        <f t="shared" si="26"/>
        <v>0</v>
      </c>
      <c r="H70" s="127">
        <f t="shared" si="26"/>
        <v>0</v>
      </c>
      <c r="I70" s="127">
        <f t="shared" si="26"/>
        <v>0</v>
      </c>
      <c r="J70" s="245"/>
      <c r="K70" s="247"/>
      <c r="L70" s="129"/>
      <c r="M70" s="129"/>
      <c r="N70" s="129"/>
      <c r="O70" s="129"/>
      <c r="P70" s="129"/>
      <c r="Q70" s="209"/>
      <c r="R70" s="102"/>
      <c r="S70" s="324"/>
      <c r="T70" s="103"/>
      <c r="U70" s="103"/>
      <c r="V70" s="103"/>
      <c r="W70" s="103"/>
      <c r="X70" s="103"/>
      <c r="Y70" s="123"/>
      <c r="Z70" s="370"/>
      <c r="AA70" s="272"/>
      <c r="AB70" s="271"/>
      <c r="AC70" s="105">
        <f t="shared" si="27"/>
        <v>0</v>
      </c>
      <c r="AD70" s="105">
        <f t="shared" si="27"/>
        <v>0</v>
      </c>
      <c r="AE70" s="105">
        <f t="shared" si="27"/>
        <v>0</v>
      </c>
      <c r="AF70" s="105">
        <f t="shared" si="27"/>
        <v>0</v>
      </c>
      <c r="AG70" s="105">
        <f t="shared" si="27"/>
        <v>0</v>
      </c>
      <c r="AH70" s="158">
        <f>SUM(AC70:AG70)</f>
        <v>0</v>
      </c>
      <c r="AI70" s="473"/>
      <c r="AJ70" s="398"/>
      <c r="AK70" s="107"/>
      <c r="AL70" s="108">
        <f t="shared" si="28"/>
        <v>0</v>
      </c>
      <c r="AM70" s="108">
        <f t="shared" si="28"/>
        <v>0</v>
      </c>
      <c r="AN70" s="108">
        <f t="shared" si="28"/>
        <v>0</v>
      </c>
      <c r="AO70" s="108">
        <f t="shared" si="28"/>
        <v>0</v>
      </c>
      <c r="AP70" s="108">
        <f t="shared" si="28"/>
        <v>0</v>
      </c>
      <c r="AQ70" s="165">
        <f>SUM(AL70:AP70)</f>
        <v>0</v>
      </c>
      <c r="AR70" s="531"/>
    </row>
    <row r="71" spans="1:45" s="109" customFormat="1" x14ac:dyDescent="0.25">
      <c r="A71" s="253"/>
      <c r="B71" s="253"/>
      <c r="C71" s="444"/>
      <c r="D71" s="128"/>
      <c r="E71" s="127">
        <f>D71*12</f>
        <v>0</v>
      </c>
      <c r="F71" s="127">
        <f>IF(E71&gt;12,(((E71)*'CORE Recurring Items'!$H$5)+E71),(E71*1))</f>
        <v>0</v>
      </c>
      <c r="G71" s="127">
        <f>IF(F71&gt;12,(((F71)*'CORE Recurring Items'!$H$5)+F71),(F71*1))</f>
        <v>0</v>
      </c>
      <c r="H71" s="127">
        <f>IF(G71&gt;12,(((G71)*'CORE Recurring Items'!$H$5)+G71),(G71*1))</f>
        <v>0</v>
      </c>
      <c r="I71" s="127">
        <f>IF(H71&gt;12,(((H71)*'CORE Recurring Items'!$H$5)+H71),(H71*1))</f>
        <v>0</v>
      </c>
      <c r="J71" s="245"/>
      <c r="K71" s="247"/>
      <c r="L71" s="129"/>
      <c r="M71" s="129"/>
      <c r="N71" s="129"/>
      <c r="O71" s="129"/>
      <c r="P71" s="129"/>
      <c r="Q71" s="209"/>
      <c r="R71" s="102"/>
      <c r="S71" s="324"/>
      <c r="T71" s="103"/>
      <c r="U71" s="103"/>
      <c r="V71" s="103"/>
      <c r="W71" s="103"/>
      <c r="X71" s="103"/>
      <c r="Y71" s="123"/>
      <c r="Z71" s="362"/>
      <c r="AA71" s="272"/>
      <c r="AB71" s="255"/>
      <c r="AC71" s="105">
        <f t="shared" si="27"/>
        <v>0</v>
      </c>
      <c r="AD71" s="105">
        <f t="shared" si="27"/>
        <v>0</v>
      </c>
      <c r="AE71" s="105">
        <f t="shared" si="27"/>
        <v>0</v>
      </c>
      <c r="AF71" s="105">
        <f t="shared" si="27"/>
        <v>0</v>
      </c>
      <c r="AG71" s="105">
        <f t="shared" si="27"/>
        <v>0</v>
      </c>
      <c r="AH71" s="158">
        <f>SUM(AC71:AG71)</f>
        <v>0</v>
      </c>
      <c r="AI71" s="473"/>
      <c r="AJ71" s="106"/>
      <c r="AK71" s="107"/>
      <c r="AL71" s="108">
        <f t="shared" si="28"/>
        <v>0</v>
      </c>
      <c r="AM71" s="108">
        <f t="shared" si="28"/>
        <v>0</v>
      </c>
      <c r="AN71" s="108">
        <f t="shared" si="28"/>
        <v>0</v>
      </c>
      <c r="AO71" s="108">
        <f t="shared" si="28"/>
        <v>0</v>
      </c>
      <c r="AP71" s="108">
        <f t="shared" si="28"/>
        <v>0</v>
      </c>
      <c r="AQ71" s="165">
        <f>SUM(AL71:AP71)</f>
        <v>0</v>
      </c>
      <c r="AR71" s="531"/>
    </row>
    <row r="72" spans="1:45" s="109" customFormat="1" x14ac:dyDescent="0.25">
      <c r="A72" s="253"/>
      <c r="B72" s="253"/>
      <c r="C72" s="444"/>
      <c r="D72" s="128"/>
      <c r="E72" s="127">
        <f>D72*12</f>
        <v>0</v>
      </c>
      <c r="F72" s="127">
        <f>IF(E72&gt;12,(((E72)*'CORE Recurring Items'!$H$5)+E72),(E72*1))</f>
        <v>0</v>
      </c>
      <c r="G72" s="127">
        <f>IF(F72&gt;12,(((F72)*'CORE Recurring Items'!$H$5)+F72),(F72*1))</f>
        <v>0</v>
      </c>
      <c r="H72" s="127">
        <f>IF(G72&gt;12,(((G72)*'CORE Recurring Items'!$H$5)+G72),(G72*1))</f>
        <v>0</v>
      </c>
      <c r="I72" s="127">
        <f>IF(H72&gt;12,(((H72)*'CORE Recurring Items'!$H$5)+H72),(H72*1))</f>
        <v>0</v>
      </c>
      <c r="J72" s="121"/>
      <c r="K72" s="247"/>
      <c r="L72" s="129"/>
      <c r="M72" s="129"/>
      <c r="N72" s="129"/>
      <c r="O72" s="129"/>
      <c r="P72" s="129"/>
      <c r="Q72" s="209"/>
      <c r="R72" s="102"/>
      <c r="S72" s="324"/>
      <c r="T72" s="103"/>
      <c r="U72" s="103"/>
      <c r="V72" s="103"/>
      <c r="W72" s="103"/>
      <c r="X72" s="103"/>
      <c r="Y72" s="123"/>
      <c r="Z72" s="370"/>
      <c r="AA72" s="272"/>
      <c r="AB72" s="270"/>
      <c r="AC72" s="105">
        <f t="shared" si="27"/>
        <v>0</v>
      </c>
      <c r="AD72" s="105">
        <f t="shared" si="27"/>
        <v>0</v>
      </c>
      <c r="AE72" s="105">
        <f t="shared" si="27"/>
        <v>0</v>
      </c>
      <c r="AF72" s="105">
        <f t="shared" si="27"/>
        <v>0</v>
      </c>
      <c r="AG72" s="105">
        <f t="shared" si="27"/>
        <v>0</v>
      </c>
      <c r="AH72" s="158">
        <f>SUM(AC72:AG72)</f>
        <v>0</v>
      </c>
      <c r="AI72" s="473"/>
      <c r="AJ72" s="106"/>
      <c r="AK72" s="380"/>
      <c r="AL72" s="108">
        <f t="shared" si="28"/>
        <v>0</v>
      </c>
      <c r="AM72" s="108">
        <f t="shared" si="28"/>
        <v>0</v>
      </c>
      <c r="AN72" s="108">
        <f t="shared" si="28"/>
        <v>0</v>
      </c>
      <c r="AO72" s="108">
        <f t="shared" si="28"/>
        <v>0</v>
      </c>
      <c r="AP72" s="108">
        <f t="shared" si="28"/>
        <v>0</v>
      </c>
      <c r="AQ72" s="165">
        <f>SUM(AL72:AP72)</f>
        <v>0</v>
      </c>
      <c r="AR72" s="531"/>
    </row>
    <row r="73" spans="1:45" s="109" customFormat="1" x14ac:dyDescent="0.25">
      <c r="A73" s="253"/>
      <c r="B73" s="253"/>
      <c r="C73" s="200"/>
      <c r="D73" s="128"/>
      <c r="E73" s="127"/>
      <c r="F73" s="127"/>
      <c r="G73" s="127"/>
      <c r="H73" s="127"/>
      <c r="I73" s="127"/>
      <c r="J73" s="121"/>
      <c r="K73" s="247"/>
      <c r="L73" s="118"/>
      <c r="M73" s="118"/>
      <c r="N73" s="118"/>
      <c r="O73" s="118"/>
      <c r="P73" s="118"/>
      <c r="Q73" s="209"/>
      <c r="R73" s="102"/>
      <c r="S73" s="335"/>
      <c r="T73" s="103"/>
      <c r="U73" s="103"/>
      <c r="V73" s="103"/>
      <c r="W73" s="103"/>
      <c r="X73" s="103"/>
      <c r="Y73" s="123"/>
      <c r="Z73" s="362"/>
      <c r="AA73" s="104"/>
      <c r="AB73" s="255"/>
      <c r="AC73" s="105"/>
      <c r="AD73" s="105"/>
      <c r="AE73" s="105"/>
      <c r="AF73" s="105"/>
      <c r="AG73" s="105"/>
      <c r="AH73" s="158"/>
      <c r="AI73" s="473"/>
      <c r="AJ73" s="106"/>
      <c r="AK73" s="107"/>
      <c r="AL73" s="108"/>
      <c r="AM73" s="108"/>
      <c r="AN73" s="108"/>
      <c r="AO73" s="108"/>
      <c r="AP73" s="108"/>
      <c r="AQ73" s="165"/>
      <c r="AR73" s="531"/>
    </row>
    <row r="74" spans="1:45" s="109" customFormat="1" x14ac:dyDescent="0.25">
      <c r="A74" s="111"/>
      <c r="B74" s="111"/>
      <c r="C74" s="200"/>
      <c r="D74" s="128"/>
      <c r="E74" s="127"/>
      <c r="F74" s="127"/>
      <c r="G74" s="127"/>
      <c r="H74" s="127"/>
      <c r="I74" s="127"/>
      <c r="J74" s="121"/>
      <c r="K74" s="247"/>
      <c r="L74" s="118"/>
      <c r="M74" s="118"/>
      <c r="N74" s="118"/>
      <c r="O74" s="118"/>
      <c r="P74" s="118"/>
      <c r="Q74" s="209"/>
      <c r="R74" s="102"/>
      <c r="S74" s="335"/>
      <c r="T74" s="103"/>
      <c r="U74" s="103"/>
      <c r="V74" s="103"/>
      <c r="W74" s="103"/>
      <c r="X74" s="103"/>
      <c r="Y74" s="123"/>
      <c r="Z74" s="362"/>
      <c r="AA74" s="104"/>
      <c r="AB74" s="255"/>
      <c r="AC74" s="105"/>
      <c r="AD74" s="105"/>
      <c r="AE74" s="105"/>
      <c r="AF74" s="105"/>
      <c r="AG74" s="105"/>
      <c r="AH74" s="158"/>
      <c r="AI74" s="473"/>
      <c r="AJ74" s="106"/>
      <c r="AK74" s="107"/>
      <c r="AL74" s="108"/>
      <c r="AM74" s="108"/>
      <c r="AN74" s="108"/>
      <c r="AO74" s="108"/>
      <c r="AP74" s="108"/>
      <c r="AQ74" s="165"/>
      <c r="AR74" s="531"/>
    </row>
    <row r="75" spans="1:45" s="23" customFormat="1" ht="3.75" customHeight="1" x14ac:dyDescent="0.25">
      <c r="A75" s="16"/>
      <c r="B75" s="16"/>
      <c r="C75" s="16"/>
      <c r="D75" s="16"/>
      <c r="E75" s="18"/>
      <c r="F75" s="18"/>
      <c r="G75" s="18"/>
      <c r="H75" s="18"/>
      <c r="I75" s="18"/>
      <c r="J75" s="16"/>
      <c r="K75" s="19"/>
      <c r="L75" s="17"/>
      <c r="M75" s="17"/>
      <c r="N75" s="17"/>
      <c r="O75" s="17"/>
      <c r="P75" s="17"/>
      <c r="Q75" s="17"/>
      <c r="R75" s="16"/>
      <c r="S75" s="385"/>
      <c r="T75" s="21"/>
      <c r="U75" s="21"/>
      <c r="V75" s="21"/>
      <c r="W75" s="21"/>
      <c r="X75" s="21"/>
      <c r="Y75" s="21"/>
      <c r="Z75" s="21"/>
      <c r="AA75" s="16"/>
      <c r="AB75" s="20"/>
      <c r="AC75" s="21"/>
      <c r="AD75" s="21"/>
      <c r="AE75" s="21"/>
      <c r="AF75" s="21"/>
      <c r="AG75" s="21"/>
      <c r="AH75" s="21"/>
      <c r="AI75" s="412"/>
      <c r="AJ75" s="20"/>
      <c r="AK75" s="20"/>
      <c r="AL75" s="20"/>
      <c r="AM75" s="20"/>
      <c r="AN75" s="20"/>
      <c r="AO75" s="20"/>
      <c r="AP75" s="20"/>
      <c r="AQ75" s="22"/>
      <c r="AR75" s="412"/>
    </row>
    <row r="76" spans="1:45" s="151" customFormat="1" x14ac:dyDescent="0.25">
      <c r="A76" s="77"/>
      <c r="B76" s="77"/>
      <c r="C76" s="77"/>
      <c r="D76" s="115"/>
      <c r="E76" s="144"/>
      <c r="F76" s="144"/>
      <c r="G76" s="144"/>
      <c r="H76" s="144"/>
      <c r="I76" s="145"/>
      <c r="J76" s="140" t="s">
        <v>477</v>
      </c>
      <c r="K76" s="303"/>
      <c r="L76" s="146">
        <f t="shared" ref="L76:Q76" si="29">SUM(L8:L74)</f>
        <v>0</v>
      </c>
      <c r="M76" s="146">
        <f t="shared" si="29"/>
        <v>0</v>
      </c>
      <c r="N76" s="146">
        <f t="shared" si="29"/>
        <v>0</v>
      </c>
      <c r="O76" s="146">
        <f t="shared" si="29"/>
        <v>0</v>
      </c>
      <c r="P76" s="146">
        <f t="shared" si="29"/>
        <v>0</v>
      </c>
      <c r="Q76" s="210">
        <f t="shared" si="29"/>
        <v>0</v>
      </c>
      <c r="R76" s="138" t="s">
        <v>477</v>
      </c>
      <c r="S76" s="387"/>
      <c r="T76" s="147" t="e">
        <f t="shared" ref="T76:Y76" si="30">SUM(T8:T74)</f>
        <v>#REF!</v>
      </c>
      <c r="U76" s="147" t="e">
        <f t="shared" si="30"/>
        <v>#REF!</v>
      </c>
      <c r="V76" s="147" t="e">
        <f t="shared" si="30"/>
        <v>#REF!</v>
      </c>
      <c r="W76" s="147" t="e">
        <f t="shared" si="30"/>
        <v>#REF!</v>
      </c>
      <c r="X76" s="147" t="e">
        <f t="shared" si="30"/>
        <v>#REF!</v>
      </c>
      <c r="Y76" s="202" t="e">
        <f t="shared" si="30"/>
        <v>#REF!</v>
      </c>
      <c r="Z76" s="363"/>
      <c r="AA76" s="148" t="s">
        <v>477</v>
      </c>
      <c r="AB76" s="256"/>
      <c r="AC76" s="153">
        <f t="shared" ref="AC76:AH76" si="31">SUM(AC8:AC74)</f>
        <v>0</v>
      </c>
      <c r="AD76" s="153">
        <f t="shared" si="31"/>
        <v>0</v>
      </c>
      <c r="AE76" s="153">
        <f t="shared" si="31"/>
        <v>0</v>
      </c>
      <c r="AF76" s="153">
        <f t="shared" si="31"/>
        <v>0</v>
      </c>
      <c r="AG76" s="153">
        <f t="shared" si="31"/>
        <v>0</v>
      </c>
      <c r="AH76" s="409">
        <f t="shared" si="31"/>
        <v>0</v>
      </c>
      <c r="AI76" s="477"/>
      <c r="AJ76" s="149" t="s">
        <v>477</v>
      </c>
      <c r="AK76" s="150"/>
      <c r="AL76" s="155">
        <f t="shared" ref="AL76:AQ76" si="32">SUM(AL8:AL74)</f>
        <v>0</v>
      </c>
      <c r="AM76" s="155">
        <f t="shared" si="32"/>
        <v>0</v>
      </c>
      <c r="AN76" s="155">
        <f t="shared" si="32"/>
        <v>0</v>
      </c>
      <c r="AO76" s="155">
        <f t="shared" si="32"/>
        <v>0</v>
      </c>
      <c r="AP76" s="155">
        <f t="shared" si="32"/>
        <v>0</v>
      </c>
      <c r="AQ76" s="166">
        <f t="shared" si="32"/>
        <v>0</v>
      </c>
      <c r="AR76" s="551"/>
    </row>
    <row r="77" spans="1:45" s="23" customFormat="1" ht="3.75" customHeight="1" x14ac:dyDescent="0.25">
      <c r="A77" s="16"/>
      <c r="B77" s="16"/>
      <c r="C77" s="16"/>
      <c r="D77" s="16"/>
      <c r="E77" s="18"/>
      <c r="F77" s="18"/>
      <c r="G77" s="18"/>
      <c r="H77" s="18"/>
      <c r="I77" s="18"/>
      <c r="J77" s="16"/>
      <c r="K77" s="19"/>
      <c r="L77" s="17"/>
      <c r="M77" s="17"/>
      <c r="N77" s="17"/>
      <c r="O77" s="17"/>
      <c r="P77" s="17"/>
      <c r="Q77" s="17"/>
      <c r="R77" s="16"/>
      <c r="S77" s="385"/>
      <c r="T77" s="21"/>
      <c r="U77" s="21"/>
      <c r="V77" s="21"/>
      <c r="W77" s="21"/>
      <c r="X77" s="21"/>
      <c r="Y77" s="21"/>
      <c r="Z77" s="21"/>
      <c r="AA77" s="16"/>
      <c r="AB77" s="20"/>
      <c r="AC77" s="21"/>
      <c r="AD77" s="21"/>
      <c r="AE77" s="21"/>
      <c r="AF77" s="21"/>
      <c r="AG77" s="21"/>
      <c r="AH77" s="21"/>
      <c r="AI77" s="412"/>
      <c r="AJ77" s="20"/>
      <c r="AK77" s="20"/>
      <c r="AL77" s="20"/>
      <c r="AM77" s="20"/>
      <c r="AN77" s="20"/>
      <c r="AO77" s="20"/>
      <c r="AP77" s="20"/>
      <c r="AQ77" s="22"/>
      <c r="AR77" s="412"/>
    </row>
    <row r="78" spans="1:45" s="280" customFormat="1" ht="38.25" x14ac:dyDescent="0.35">
      <c r="A78" s="295"/>
      <c r="B78" s="375"/>
      <c r="C78" s="311" t="s">
        <v>382</v>
      </c>
      <c r="D78" s="317"/>
      <c r="E78" s="297"/>
      <c r="F78" s="297"/>
      <c r="G78" s="290"/>
      <c r="H78" s="290"/>
      <c r="I78" s="291"/>
      <c r="J78" s="300" t="str">
        <f>C78</f>
        <v>CPI CALCULATIONS</v>
      </c>
      <c r="K78" s="301"/>
      <c r="L78" s="30" t="s">
        <v>48</v>
      </c>
      <c r="M78" s="30" t="s">
        <v>49</v>
      </c>
      <c r="N78" s="30" t="s">
        <v>50</v>
      </c>
      <c r="O78" s="30" t="s">
        <v>51</v>
      </c>
      <c r="P78" s="30" t="s">
        <v>52</v>
      </c>
      <c r="Q78" s="208" t="s">
        <v>53</v>
      </c>
      <c r="R78" s="332" t="str">
        <f>C78</f>
        <v>CPI CALCULATIONS</v>
      </c>
      <c r="S78" s="384" t="s">
        <v>47</v>
      </c>
      <c r="T78" s="31" t="s">
        <v>48</v>
      </c>
      <c r="U78" s="31" t="s">
        <v>49</v>
      </c>
      <c r="V78" s="31" t="s">
        <v>50</v>
      </c>
      <c r="W78" s="31" t="s">
        <v>51</v>
      </c>
      <c r="X78" s="31" t="s">
        <v>52</v>
      </c>
      <c r="Y78" s="122" t="s">
        <v>58</v>
      </c>
      <c r="Z78" s="373" t="s">
        <v>478</v>
      </c>
      <c r="AA78" s="314" t="str">
        <f>C78</f>
        <v>CPI CALCULATIONS</v>
      </c>
      <c r="AB78" s="254"/>
      <c r="AC78" s="33" t="s">
        <v>48</v>
      </c>
      <c r="AD78" s="33" t="s">
        <v>49</v>
      </c>
      <c r="AE78" s="33" t="s">
        <v>50</v>
      </c>
      <c r="AF78" s="33" t="s">
        <v>51</v>
      </c>
      <c r="AG78" s="33" t="s">
        <v>52</v>
      </c>
      <c r="AH78" s="157" t="s">
        <v>58</v>
      </c>
      <c r="AI78" s="476"/>
      <c r="AJ78" s="545" t="str">
        <f>C78</f>
        <v>CPI CALCULATIONS</v>
      </c>
      <c r="AK78" s="37"/>
      <c r="AL78" s="37" t="s">
        <v>48</v>
      </c>
      <c r="AM78" s="37" t="s">
        <v>49</v>
      </c>
      <c r="AN78" s="37" t="s">
        <v>50</v>
      </c>
      <c r="AO78" s="37" t="s">
        <v>51</v>
      </c>
      <c r="AP78" s="37" t="s">
        <v>52</v>
      </c>
      <c r="AQ78" s="164" t="s">
        <v>58</v>
      </c>
      <c r="AR78" s="552"/>
      <c r="AS78" s="544"/>
    </row>
    <row r="79" spans="1:45" s="14" customFormat="1" ht="18.75" x14ac:dyDescent="0.25">
      <c r="A79" s="66"/>
      <c r="B79" s="66"/>
      <c r="C79" s="110"/>
      <c r="D79" s="112"/>
      <c r="E79" s="75"/>
      <c r="F79" s="75"/>
      <c r="G79" s="75"/>
      <c r="H79" s="75"/>
      <c r="I79" s="76"/>
      <c r="J79" s="53"/>
      <c r="K79" s="248"/>
      <c r="L79" s="55"/>
      <c r="M79" s="55"/>
      <c r="N79" s="55"/>
      <c r="O79" s="55"/>
      <c r="P79" s="55"/>
      <c r="Q79" s="211"/>
      <c r="R79" s="80"/>
      <c r="S79" s="388"/>
      <c r="T79" s="63"/>
      <c r="U79" s="63"/>
      <c r="V79" s="63"/>
      <c r="W79" s="63"/>
      <c r="X79" s="63"/>
      <c r="Y79" s="124"/>
      <c r="Z79" s="364"/>
      <c r="AA79" s="94"/>
      <c r="AB79" s="257"/>
      <c r="AC79" s="95"/>
      <c r="AD79" s="95"/>
      <c r="AE79" s="95"/>
      <c r="AF79" s="95"/>
      <c r="AG79" s="95"/>
      <c r="AH79" s="159"/>
      <c r="AI79" s="478"/>
      <c r="AJ79" s="84"/>
      <c r="AK79" s="85"/>
      <c r="AL79" s="85"/>
      <c r="AM79" s="85"/>
      <c r="AN79" s="85"/>
      <c r="AO79" s="85"/>
      <c r="AP79" s="85"/>
      <c r="AQ79" s="167"/>
      <c r="AR79" s="535"/>
    </row>
    <row r="80" spans="1:45" s="2" customFormat="1" x14ac:dyDescent="0.25">
      <c r="A80" s="70"/>
      <c r="B80" s="70"/>
      <c r="C80" s="183" t="str">
        <f>"CPI Rate for Current State at "&amp;F5</f>
        <v>CPI Rate for Current State at 0</v>
      </c>
      <c r="D80" s="113" t="s">
        <v>479</v>
      </c>
      <c r="E80" s="152">
        <f>$F$5</f>
        <v>0</v>
      </c>
      <c r="F80" s="152">
        <f>$F$5</f>
        <v>0</v>
      </c>
      <c r="G80" s="152">
        <f>$F$5</f>
        <v>0</v>
      </c>
      <c r="H80" s="152">
        <f>$F$5</f>
        <v>0</v>
      </c>
      <c r="I80" s="201">
        <f>$F$5</f>
        <v>0</v>
      </c>
      <c r="J80" s="188" t="str">
        <f>C80</f>
        <v>CPI Rate for Current State at 0</v>
      </c>
      <c r="K80" s="249">
        <f>F5</f>
        <v>0</v>
      </c>
      <c r="L80" s="55"/>
      <c r="M80" s="55">
        <f>L76*((1+$F$5)^1-1)</f>
        <v>0</v>
      </c>
      <c r="N80" s="55">
        <f>M76*((1+$F$5)^2-1)</f>
        <v>0</v>
      </c>
      <c r="O80" s="55">
        <f>N76*((1+$F$5)^3-1)</f>
        <v>0</v>
      </c>
      <c r="P80" s="55">
        <f>O76*((1+$F$5)^4-1)</f>
        <v>0</v>
      </c>
      <c r="Q80" s="212">
        <f>SUM(L80:P80)</f>
        <v>0</v>
      </c>
      <c r="R80" s="81"/>
      <c r="S80" s="389"/>
      <c r="T80" s="64"/>
      <c r="U80" s="64"/>
      <c r="V80" s="64"/>
      <c r="W80" s="64"/>
      <c r="X80" s="64"/>
      <c r="Y80" s="125"/>
      <c r="Z80" s="365"/>
      <c r="AA80" s="131"/>
      <c r="AB80" s="133"/>
      <c r="AC80" s="97"/>
      <c r="AD80" s="97"/>
      <c r="AE80" s="97"/>
      <c r="AF80" s="97"/>
      <c r="AG80" s="97"/>
      <c r="AH80" s="160"/>
      <c r="AI80" s="479"/>
      <c r="AJ80" s="156"/>
      <c r="AK80" s="87"/>
      <c r="AL80" s="88"/>
      <c r="AM80" s="88"/>
      <c r="AN80" s="88"/>
      <c r="AO80" s="88"/>
      <c r="AP80" s="88"/>
      <c r="AQ80" s="168"/>
      <c r="AR80" s="536"/>
    </row>
    <row r="81" spans="1:45" s="2" customFormat="1" x14ac:dyDescent="0.25">
      <c r="A81" s="70"/>
      <c r="B81" s="70"/>
      <c r="C81" s="185" t="str">
        <f>"CPI Rate for "&amp;R4&amp;" at "&amp;G5</f>
        <v>CPI Rate for FIS Horizon with D1 Flex at 0</v>
      </c>
      <c r="D81" s="113" t="s">
        <v>480</v>
      </c>
      <c r="E81" s="152">
        <f>$G$5</f>
        <v>0</v>
      </c>
      <c r="F81" s="152">
        <f>$G$5</f>
        <v>0</v>
      </c>
      <c r="G81" s="152">
        <f>$G$5</f>
        <v>0</v>
      </c>
      <c r="H81" s="152">
        <f>$G$5</f>
        <v>0</v>
      </c>
      <c r="I81" s="201">
        <f>$G$5</f>
        <v>0</v>
      </c>
      <c r="J81" s="53"/>
      <c r="K81" s="250"/>
      <c r="L81" s="55"/>
      <c r="M81" s="55"/>
      <c r="N81" s="55"/>
      <c r="O81" s="55"/>
      <c r="P81" s="55"/>
      <c r="Q81" s="212"/>
      <c r="R81" s="184" t="str">
        <f>C81</f>
        <v>CPI Rate for FIS Horizon with D1 Flex at 0</v>
      </c>
      <c r="S81" s="390">
        <f>G5</f>
        <v>0</v>
      </c>
      <c r="T81" s="9"/>
      <c r="U81" s="64" t="e">
        <f>T76*((1+$G$5)^1-1)</f>
        <v>#REF!</v>
      </c>
      <c r="V81" s="64" t="e">
        <f>U76*((1+$G$5)^2-1)</f>
        <v>#REF!</v>
      </c>
      <c r="W81" s="64" t="e">
        <f>V76*((1+$G$5)^3-1)</f>
        <v>#REF!</v>
      </c>
      <c r="X81" s="64" t="e">
        <f>W76*((1+$G$5)^4-1)</f>
        <v>#REF!</v>
      </c>
      <c r="Y81" s="125" t="e">
        <f>SUM(T81:X81)</f>
        <v>#REF!</v>
      </c>
      <c r="Z81" s="366"/>
      <c r="AA81" s="10"/>
      <c r="AB81" s="133"/>
      <c r="AC81" s="97"/>
      <c r="AD81" s="97"/>
      <c r="AE81" s="97"/>
      <c r="AF81" s="97"/>
      <c r="AG81" s="97"/>
      <c r="AH81" s="160"/>
      <c r="AI81" s="480"/>
      <c r="AJ81" s="186"/>
      <c r="AK81" s="87"/>
      <c r="AL81" s="88"/>
      <c r="AM81" s="88"/>
      <c r="AN81" s="88"/>
      <c r="AO81" s="88"/>
      <c r="AP81" s="88"/>
      <c r="AQ81" s="168"/>
      <c r="AR81" s="553"/>
    </row>
    <row r="82" spans="1:45" s="2" customFormat="1" x14ac:dyDescent="0.25">
      <c r="A82" s="67"/>
      <c r="B82" s="67"/>
      <c r="C82" s="185" t="str">
        <f>"CPI Rate for "&amp;AA4&amp;" at "&amp;H5</f>
        <v>CPI Rate for FIS Horizon WITHOUT D1 Flex at 0</v>
      </c>
      <c r="D82" s="114" t="s">
        <v>481</v>
      </c>
      <c r="E82" s="152">
        <f>$H$5</f>
        <v>0</v>
      </c>
      <c r="F82" s="152">
        <f>$H$5</f>
        <v>0</v>
      </c>
      <c r="G82" s="152">
        <f>$H$5</f>
        <v>0</v>
      </c>
      <c r="H82" s="152">
        <f>$H$5</f>
        <v>0</v>
      </c>
      <c r="I82" s="201">
        <f>$H$5</f>
        <v>0</v>
      </c>
      <c r="J82" s="53"/>
      <c r="K82" s="250"/>
      <c r="L82" s="55"/>
      <c r="M82" s="55"/>
      <c r="N82" s="55"/>
      <c r="O82" s="55"/>
      <c r="P82" s="55"/>
      <c r="Q82" s="212"/>
      <c r="R82" s="81"/>
      <c r="S82" s="389"/>
      <c r="T82" s="64"/>
      <c r="U82" s="64"/>
      <c r="V82" s="64"/>
      <c r="W82" s="64"/>
      <c r="X82" s="64"/>
      <c r="Y82" s="125"/>
      <c r="Z82" s="365"/>
      <c r="AA82" s="187" t="str">
        <f>C82</f>
        <v>CPI Rate for FIS Horizon WITHOUT D1 Flex at 0</v>
      </c>
      <c r="AB82" s="258">
        <f>H5</f>
        <v>0</v>
      </c>
      <c r="AC82" s="97"/>
      <c r="AD82" s="97">
        <f>AC76*((1+$H$5)^1-1)</f>
        <v>0</v>
      </c>
      <c r="AE82" s="97">
        <f>AD76*((1+$H$5)^2-1)</f>
        <v>0</v>
      </c>
      <c r="AF82" s="97">
        <f>AE76*((1+$H$5)^3-1)</f>
        <v>0</v>
      </c>
      <c r="AG82" s="97">
        <f>AF76*((1+$H$5)^4-1)</f>
        <v>0</v>
      </c>
      <c r="AH82" s="160">
        <f>SUM(AC82:AG82)</f>
        <v>0</v>
      </c>
      <c r="AI82" s="479"/>
      <c r="AJ82" s="86"/>
      <c r="AK82" s="87"/>
      <c r="AL82" s="88"/>
      <c r="AM82" s="88"/>
      <c r="AN82" s="88"/>
      <c r="AO82" s="88"/>
      <c r="AP82" s="88"/>
      <c r="AQ82" s="168"/>
      <c r="AR82" s="536"/>
    </row>
    <row r="83" spans="1:45" s="2" customFormat="1" x14ac:dyDescent="0.25">
      <c r="A83" s="67"/>
      <c r="B83" s="67"/>
      <c r="C83" s="185" t="str">
        <f>"CPI Rate for "&amp;AJ4&amp;" at "&amp;I5</f>
        <v>CPI Rate for Vendor #3 at 0</v>
      </c>
      <c r="D83" s="114" t="s">
        <v>482</v>
      </c>
      <c r="E83" s="152">
        <f>$I$5</f>
        <v>0</v>
      </c>
      <c r="F83" s="152">
        <f>$I$5</f>
        <v>0</v>
      </c>
      <c r="G83" s="152">
        <f>$I$5</f>
        <v>0</v>
      </c>
      <c r="H83" s="152">
        <f>$I$5</f>
        <v>0</v>
      </c>
      <c r="I83" s="152">
        <f>$I$5</f>
        <v>0</v>
      </c>
      <c r="J83" s="53"/>
      <c r="K83" s="250"/>
      <c r="L83" s="55"/>
      <c r="M83" s="55"/>
      <c r="N83" s="55"/>
      <c r="O83" s="55"/>
      <c r="P83" s="55"/>
      <c r="Q83" s="212"/>
      <c r="R83" s="81"/>
      <c r="S83" s="389"/>
      <c r="T83" s="64"/>
      <c r="U83" s="64"/>
      <c r="V83" s="64"/>
      <c r="W83" s="64"/>
      <c r="X83" s="64"/>
      <c r="Y83" s="125"/>
      <c r="Z83" s="366"/>
      <c r="AA83" s="10"/>
      <c r="AB83" s="133"/>
      <c r="AC83" s="97"/>
      <c r="AD83" s="97"/>
      <c r="AE83" s="97"/>
      <c r="AF83" s="97"/>
      <c r="AG83" s="97"/>
      <c r="AH83" s="160"/>
      <c r="AI83" s="480"/>
      <c r="AJ83" s="547" t="str">
        <f>C83</f>
        <v>CPI Rate for Vendor #3 at 0</v>
      </c>
      <c r="AK83" s="234">
        <f>I5</f>
        <v>0</v>
      </c>
      <c r="AL83" s="88"/>
      <c r="AM83" s="88">
        <f>AL76*((1+$I$5)^1-1)</f>
        <v>0</v>
      </c>
      <c r="AN83" s="88">
        <f>AM76*((1+$I$5)^2-1)</f>
        <v>0</v>
      </c>
      <c r="AO83" s="88">
        <f>AN76*((1+$I$5)^3-1)</f>
        <v>0</v>
      </c>
      <c r="AP83" s="88">
        <f>AO76*((1+$I$5)^4-1)</f>
        <v>0</v>
      </c>
      <c r="AQ83" s="168">
        <f>SUM(AL83:AP83)</f>
        <v>0</v>
      </c>
      <c r="AR83" s="553"/>
    </row>
    <row r="84" spans="1:45" s="2" customFormat="1" x14ac:dyDescent="0.25">
      <c r="A84" s="67"/>
      <c r="B84" s="67"/>
      <c r="C84" s="67"/>
      <c r="D84" s="114"/>
      <c r="E84" s="71"/>
      <c r="F84" s="71"/>
      <c r="G84" s="71"/>
      <c r="H84" s="71"/>
      <c r="I84" s="72"/>
      <c r="J84" s="53"/>
      <c r="K84" s="250"/>
      <c r="L84" s="55"/>
      <c r="M84" s="55"/>
      <c r="N84" s="55"/>
      <c r="O84" s="55"/>
      <c r="P84" s="55"/>
      <c r="Q84" s="212"/>
      <c r="R84" s="81"/>
      <c r="S84" s="389"/>
      <c r="T84" s="64"/>
      <c r="U84" s="64"/>
      <c r="V84" s="64"/>
      <c r="W84" s="64"/>
      <c r="X84" s="64"/>
      <c r="Y84" s="125"/>
      <c r="Z84" s="365"/>
      <c r="AA84" s="96"/>
      <c r="AB84" s="133"/>
      <c r="AC84" s="97"/>
      <c r="AD84" s="97"/>
      <c r="AE84" s="97"/>
      <c r="AF84" s="97"/>
      <c r="AG84" s="97"/>
      <c r="AH84" s="160"/>
      <c r="AI84" s="479"/>
      <c r="AJ84" s="86"/>
      <c r="AK84" s="87"/>
      <c r="AL84" s="88"/>
      <c r="AM84" s="88"/>
      <c r="AN84" s="88"/>
      <c r="AO84" s="88"/>
      <c r="AP84" s="88"/>
      <c r="AQ84" s="168"/>
      <c r="AR84" s="536"/>
    </row>
    <row r="85" spans="1:45" s="23" customFormat="1" ht="3.75" customHeight="1" x14ac:dyDescent="0.25">
      <c r="A85" s="16"/>
      <c r="B85" s="16"/>
      <c r="C85" s="263"/>
      <c r="D85" s="16"/>
      <c r="E85" s="18"/>
      <c r="F85" s="18"/>
      <c r="G85" s="18"/>
      <c r="H85" s="18"/>
      <c r="I85" s="18"/>
      <c r="J85" s="16"/>
      <c r="K85" s="19"/>
      <c r="L85" s="17"/>
      <c r="M85" s="17"/>
      <c r="N85" s="17"/>
      <c r="O85" s="17"/>
      <c r="P85" s="17"/>
      <c r="Q85" s="17"/>
      <c r="R85" s="16"/>
      <c r="S85" s="385"/>
      <c r="T85" s="21"/>
      <c r="U85" s="21"/>
      <c r="V85" s="21"/>
      <c r="W85" s="21"/>
      <c r="X85" s="21"/>
      <c r="Y85" s="21"/>
      <c r="Z85" s="21"/>
      <c r="AA85" s="263"/>
      <c r="AB85" s="20"/>
      <c r="AC85" s="21"/>
      <c r="AD85" s="21"/>
      <c r="AE85" s="21"/>
      <c r="AF85" s="21"/>
      <c r="AG85" s="21"/>
      <c r="AH85" s="21"/>
      <c r="AI85" s="412"/>
      <c r="AJ85" s="20"/>
      <c r="AK85" s="20"/>
      <c r="AL85" s="20"/>
      <c r="AM85" s="20"/>
      <c r="AN85" s="20"/>
      <c r="AO85" s="20"/>
      <c r="AP85" s="20"/>
      <c r="AQ85" s="22"/>
      <c r="AR85" s="412"/>
    </row>
    <row r="86" spans="1:45" s="151" customFormat="1" x14ac:dyDescent="0.25">
      <c r="A86" s="77"/>
      <c r="B86" s="77"/>
      <c r="C86" s="298" t="s">
        <v>483</v>
      </c>
      <c r="D86" s="115"/>
      <c r="E86" s="144"/>
      <c r="F86" s="144"/>
      <c r="G86" s="144"/>
      <c r="H86" s="144"/>
      <c r="I86" s="145"/>
      <c r="J86" s="304" t="str">
        <f>C86</f>
        <v>CPI for Optional Processing Sum:</v>
      </c>
      <c r="K86" s="303"/>
      <c r="L86" s="146">
        <f>SUM(L79:L84)</f>
        <v>0</v>
      </c>
      <c r="M86" s="146">
        <f>SUM(M79:M84)</f>
        <v>0</v>
      </c>
      <c r="N86" s="146">
        <f>SUM(N79:N84)</f>
        <v>0</v>
      </c>
      <c r="O86" s="146">
        <f>SUM(O79:O84)</f>
        <v>0</v>
      </c>
      <c r="P86" s="146">
        <f>SUM(P79:P84)</f>
        <v>0</v>
      </c>
      <c r="Q86" s="210">
        <f>SUM(L86:P86)</f>
        <v>0</v>
      </c>
      <c r="R86" s="319" t="str">
        <f>C86</f>
        <v>CPI for Optional Processing Sum:</v>
      </c>
      <c r="S86" s="391"/>
      <c r="T86" s="147">
        <f>SUM(T79:T84)</f>
        <v>0</v>
      </c>
      <c r="U86" s="147" t="e">
        <f>SUM(U79:U84)</f>
        <v>#REF!</v>
      </c>
      <c r="V86" s="147" t="e">
        <f>SUM(V79:V84)</f>
        <v>#REF!</v>
      </c>
      <c r="W86" s="147" t="e">
        <f>SUM(W79:W84)</f>
        <v>#REF!</v>
      </c>
      <c r="X86" s="147" t="e">
        <f>SUM(X79:X84)</f>
        <v>#REF!</v>
      </c>
      <c r="Y86" s="202" t="e">
        <f>SUM(T86:X86)</f>
        <v>#REF!</v>
      </c>
      <c r="Z86" s="363"/>
      <c r="AA86" s="299" t="str">
        <f>C86</f>
        <v>CPI for Optional Processing Sum:</v>
      </c>
      <c r="AB86" s="256"/>
      <c r="AC86" s="153">
        <f>SUM(AC79:AC84)</f>
        <v>0</v>
      </c>
      <c r="AD86" s="153">
        <f>SUM(AD79:AD84)</f>
        <v>0</v>
      </c>
      <c r="AE86" s="153">
        <f>SUM(AE79:AE84)</f>
        <v>0</v>
      </c>
      <c r="AF86" s="153">
        <f>SUM(AF79:AF84)</f>
        <v>0</v>
      </c>
      <c r="AG86" s="153">
        <f>SUM(AG79:AG84)</f>
        <v>0</v>
      </c>
      <c r="AH86" s="163">
        <f>SUM(AC86:AG86)</f>
        <v>0</v>
      </c>
      <c r="AI86" s="477"/>
      <c r="AJ86" s="318" t="str">
        <f>C86</f>
        <v>CPI for Optional Processing Sum:</v>
      </c>
      <c r="AK86" s="150"/>
      <c r="AL86" s="155">
        <f>SUM(AL79:AL84)</f>
        <v>0</v>
      </c>
      <c r="AM86" s="155">
        <f>SUM(AM79:AM84)</f>
        <v>0</v>
      </c>
      <c r="AN86" s="155">
        <f>SUM(AN79:AN84)</f>
        <v>0</v>
      </c>
      <c r="AO86" s="155">
        <f>SUM(AO79:AO84)</f>
        <v>0</v>
      </c>
      <c r="AP86" s="155">
        <f>SUM(AP79:AP84)</f>
        <v>0</v>
      </c>
      <c r="AQ86" s="166">
        <f>SUM(AL86:AP86)</f>
        <v>0</v>
      </c>
      <c r="AR86" s="551"/>
    </row>
    <row r="87" spans="1:45" s="23" customFormat="1" ht="3.75" customHeight="1" x14ac:dyDescent="0.25">
      <c r="A87" s="16"/>
      <c r="B87" s="16"/>
      <c r="C87" s="16"/>
      <c r="D87" s="16"/>
      <c r="E87" s="18"/>
      <c r="F87" s="18"/>
      <c r="G87" s="18"/>
      <c r="H87" s="18"/>
      <c r="I87" s="18"/>
      <c r="J87" s="16"/>
      <c r="K87" s="19"/>
      <c r="L87" s="17"/>
      <c r="M87" s="17"/>
      <c r="N87" s="17"/>
      <c r="O87" s="17"/>
      <c r="P87" s="17"/>
      <c r="Q87" s="17"/>
      <c r="R87" s="16"/>
      <c r="S87" s="385"/>
      <c r="T87" s="21"/>
      <c r="U87" s="21"/>
      <c r="V87" s="21"/>
      <c r="W87" s="21"/>
      <c r="X87" s="21"/>
      <c r="Y87" s="21"/>
      <c r="Z87" s="21"/>
      <c r="AA87" s="16"/>
      <c r="AB87" s="20"/>
      <c r="AC87" s="21"/>
      <c r="AD87" s="21"/>
      <c r="AE87" s="21"/>
      <c r="AF87" s="21"/>
      <c r="AG87" s="21"/>
      <c r="AH87" s="21"/>
      <c r="AI87" s="412"/>
      <c r="AJ87" s="20"/>
      <c r="AK87" s="20"/>
      <c r="AL87" s="20"/>
      <c r="AM87" s="20"/>
      <c r="AN87" s="20"/>
      <c r="AO87" s="20"/>
      <c r="AP87" s="20"/>
      <c r="AQ87" s="22"/>
      <c r="AR87" s="412"/>
    </row>
    <row r="88" spans="1:45" s="280" customFormat="1" ht="42" x14ac:dyDescent="0.35">
      <c r="A88" s="542"/>
      <c r="B88" s="542"/>
      <c r="C88" s="287" t="s">
        <v>484</v>
      </c>
      <c r="D88" s="281" t="s">
        <v>425</v>
      </c>
      <c r="E88" s="282" t="s">
        <v>426</v>
      </c>
      <c r="F88" s="282" t="s">
        <v>427</v>
      </c>
      <c r="G88" s="289"/>
      <c r="H88" s="290"/>
      <c r="I88" s="291"/>
      <c r="J88" s="274"/>
      <c r="K88" s="339"/>
      <c r="L88" s="275"/>
      <c r="M88" s="275"/>
      <c r="N88" s="275"/>
      <c r="O88" s="275"/>
      <c r="P88" s="275"/>
      <c r="Q88" s="276"/>
      <c r="R88" s="332" t="str">
        <f>C88</f>
        <v>IMPLEMENTATION &amp; SETUP FEES 
(FOR OPTIONAL ITEMS)</v>
      </c>
      <c r="S88" s="384" t="s">
        <v>47</v>
      </c>
      <c r="T88" s="277"/>
      <c r="U88" s="277"/>
      <c r="V88" s="277"/>
      <c r="W88" s="277"/>
      <c r="X88" s="277"/>
      <c r="Y88" s="122" t="s">
        <v>58</v>
      </c>
      <c r="Z88" s="373" t="s">
        <v>478</v>
      </c>
      <c r="AA88" s="296" t="s">
        <v>484</v>
      </c>
      <c r="AB88" s="254" t="s">
        <v>47</v>
      </c>
      <c r="AC88" s="278"/>
      <c r="AD88" s="278"/>
      <c r="AE88" s="278"/>
      <c r="AF88" s="278"/>
      <c r="AG88" s="278"/>
      <c r="AH88" s="157" t="s">
        <v>58</v>
      </c>
      <c r="AI88" s="476"/>
      <c r="AJ88" s="545" t="s">
        <v>484</v>
      </c>
      <c r="AK88" s="37" t="s">
        <v>47</v>
      </c>
      <c r="AL88" s="543"/>
      <c r="AM88" s="543"/>
      <c r="AN88" s="543"/>
      <c r="AO88" s="543"/>
      <c r="AP88" s="543"/>
      <c r="AQ88" s="164" t="s">
        <v>58</v>
      </c>
      <c r="AR88" s="552"/>
      <c r="AS88" s="544"/>
    </row>
    <row r="89" spans="1:45" s="2" customFormat="1" x14ac:dyDescent="0.25">
      <c r="A89" s="253"/>
      <c r="B89" s="253"/>
      <c r="C89" s="288"/>
      <c r="D89" s="284"/>
      <c r="E89" s="285">
        <v>60</v>
      </c>
      <c r="F89" s="286">
        <v>1</v>
      </c>
      <c r="G89" s="292"/>
      <c r="H89" s="293"/>
      <c r="I89" s="294"/>
      <c r="J89" s="53"/>
      <c r="K89" s="250"/>
      <c r="L89" s="54"/>
      <c r="M89" s="54"/>
      <c r="N89" s="54"/>
      <c r="O89" s="54"/>
      <c r="P89" s="54"/>
      <c r="Q89" s="211"/>
      <c r="R89" s="62"/>
      <c r="S89" s="389"/>
      <c r="T89" s="64"/>
      <c r="U89" s="64"/>
      <c r="V89" s="64"/>
      <c r="W89" s="64"/>
      <c r="X89" s="64"/>
      <c r="Y89" s="125"/>
      <c r="Z89" s="365"/>
      <c r="AA89" s="131"/>
      <c r="AB89" s="133"/>
      <c r="AC89" s="95"/>
      <c r="AD89" s="95"/>
      <c r="AE89" s="95"/>
      <c r="AF89" s="95"/>
      <c r="AG89" s="95"/>
      <c r="AH89" s="160">
        <f t="shared" ref="AH89:AH99" si="33">$AB89*$D89</f>
        <v>0</v>
      </c>
      <c r="AI89" s="479"/>
      <c r="AJ89" s="86"/>
      <c r="AK89" s="87"/>
      <c r="AL89" s="89"/>
      <c r="AM89" s="89"/>
      <c r="AN89" s="89"/>
      <c r="AO89" s="89"/>
      <c r="AP89" s="89"/>
      <c r="AQ89" s="168">
        <f>$AK89*$D89</f>
        <v>0</v>
      </c>
      <c r="AR89" s="536"/>
    </row>
    <row r="90" spans="1:45" s="2" customFormat="1" x14ac:dyDescent="0.25">
      <c r="A90" s="253"/>
      <c r="B90" s="253"/>
      <c r="C90" s="283"/>
      <c r="D90" s="284"/>
      <c r="E90" s="285">
        <v>60</v>
      </c>
      <c r="F90" s="286">
        <v>1</v>
      </c>
      <c r="G90" s="292"/>
      <c r="H90" s="293"/>
      <c r="I90" s="294"/>
      <c r="J90" s="53"/>
      <c r="K90" s="250"/>
      <c r="L90" s="54"/>
      <c r="M90" s="54"/>
      <c r="N90" s="54"/>
      <c r="O90" s="54"/>
      <c r="P90" s="54"/>
      <c r="Q90" s="211"/>
      <c r="R90" s="62"/>
      <c r="S90" s="389"/>
      <c r="T90" s="64"/>
      <c r="U90" s="64"/>
      <c r="V90" s="64"/>
      <c r="W90" s="64"/>
      <c r="X90" s="64"/>
      <c r="Y90" s="125"/>
      <c r="Z90" s="365"/>
      <c r="AA90" s="131"/>
      <c r="AB90" s="133"/>
      <c r="AC90" s="95"/>
      <c r="AD90" s="95"/>
      <c r="AE90" s="95"/>
      <c r="AF90" s="95"/>
      <c r="AG90" s="95"/>
      <c r="AH90" s="160">
        <f t="shared" si="33"/>
        <v>0</v>
      </c>
      <c r="AI90" s="479"/>
      <c r="AJ90" s="86"/>
      <c r="AK90" s="87"/>
      <c r="AL90" s="89"/>
      <c r="AM90" s="89"/>
      <c r="AN90" s="89"/>
      <c r="AO90" s="89"/>
      <c r="AP90" s="89"/>
      <c r="AQ90" s="168">
        <f>$AK90*$D90</f>
        <v>0</v>
      </c>
      <c r="AR90" s="536"/>
    </row>
    <row r="91" spans="1:45" s="2" customFormat="1" x14ac:dyDescent="0.25">
      <c r="A91" s="253"/>
      <c r="B91" s="253"/>
      <c r="C91" s="283"/>
      <c r="D91" s="284"/>
      <c r="E91" s="285">
        <v>60</v>
      </c>
      <c r="F91" s="286">
        <v>1</v>
      </c>
      <c r="G91" s="292"/>
      <c r="H91" s="293"/>
      <c r="I91" s="294"/>
      <c r="J91" s="53"/>
      <c r="K91" s="250"/>
      <c r="L91" s="54"/>
      <c r="M91" s="54"/>
      <c r="N91" s="54"/>
      <c r="O91" s="54"/>
      <c r="P91" s="54"/>
      <c r="Q91" s="211"/>
      <c r="R91" s="62"/>
      <c r="S91" s="389"/>
      <c r="T91" s="64"/>
      <c r="U91" s="64"/>
      <c r="V91" s="64"/>
      <c r="W91" s="64"/>
      <c r="X91" s="64"/>
      <c r="Y91" s="125"/>
      <c r="Z91" s="365"/>
      <c r="AA91" s="131"/>
      <c r="AB91" s="133"/>
      <c r="AC91" s="95"/>
      <c r="AD91" s="95"/>
      <c r="AE91" s="95"/>
      <c r="AF91" s="95"/>
      <c r="AG91" s="95"/>
      <c r="AH91" s="160">
        <f t="shared" si="33"/>
        <v>0</v>
      </c>
      <c r="AI91" s="479"/>
      <c r="AJ91" s="86"/>
      <c r="AK91" s="87"/>
      <c r="AL91" s="89"/>
      <c r="AM91" s="89"/>
      <c r="AN91" s="89"/>
      <c r="AO91" s="89"/>
      <c r="AP91" s="89"/>
      <c r="AQ91" s="168">
        <f>$AK91*$D91</f>
        <v>0</v>
      </c>
      <c r="AR91" s="536"/>
    </row>
    <row r="92" spans="1:45" s="2" customFormat="1" x14ac:dyDescent="0.25">
      <c r="A92" s="253"/>
      <c r="B92" s="253"/>
      <c r="C92" s="288"/>
      <c r="D92" s="284"/>
      <c r="E92" s="285">
        <v>60</v>
      </c>
      <c r="F92" s="286">
        <v>1</v>
      </c>
      <c r="G92" s="292"/>
      <c r="H92" s="293"/>
      <c r="I92" s="294"/>
      <c r="J92" s="53"/>
      <c r="K92" s="250"/>
      <c r="L92" s="54"/>
      <c r="M92" s="54"/>
      <c r="N92" s="54"/>
      <c r="O92" s="54"/>
      <c r="P92" s="54"/>
      <c r="Q92" s="212"/>
      <c r="R92" s="62"/>
      <c r="S92" s="328"/>
      <c r="T92" s="64"/>
      <c r="U92" s="64"/>
      <c r="V92" s="64"/>
      <c r="W92" s="64"/>
      <c r="X92" s="64"/>
      <c r="Y92" s="125"/>
      <c r="Z92" s="362"/>
      <c r="AA92" s="265"/>
      <c r="AB92" s="133"/>
      <c r="AC92" s="95"/>
      <c r="AD92" s="95"/>
      <c r="AE92" s="95"/>
      <c r="AF92" s="95"/>
      <c r="AG92" s="95"/>
      <c r="AH92" s="160">
        <f t="shared" si="33"/>
        <v>0</v>
      </c>
      <c r="AI92" s="473"/>
      <c r="AJ92" s="156"/>
      <c r="AK92" s="87"/>
      <c r="AL92" s="89"/>
      <c r="AM92" s="89"/>
      <c r="AN92" s="89"/>
      <c r="AO92" s="89"/>
      <c r="AP92" s="89"/>
      <c r="AQ92" s="168">
        <f t="shared" ref="AQ92:AQ97" si="34">$AK92*$D92</f>
        <v>0</v>
      </c>
      <c r="AR92" s="531"/>
    </row>
    <row r="93" spans="1:45" s="2" customFormat="1" x14ac:dyDescent="0.25">
      <c r="A93" s="253"/>
      <c r="B93" s="253"/>
      <c r="C93" s="288"/>
      <c r="D93" s="284"/>
      <c r="E93" s="285">
        <v>60</v>
      </c>
      <c r="F93" s="286">
        <v>1</v>
      </c>
      <c r="G93" s="292"/>
      <c r="H93" s="293"/>
      <c r="I93" s="294"/>
      <c r="J93" s="53"/>
      <c r="K93" s="250"/>
      <c r="L93" s="54"/>
      <c r="M93" s="54"/>
      <c r="N93" s="54"/>
      <c r="O93" s="54"/>
      <c r="P93" s="54"/>
      <c r="Q93" s="212">
        <f t="shared" ref="Q93:Q99" si="35">$K93*$D93</f>
        <v>0</v>
      </c>
      <c r="R93" s="62"/>
      <c r="S93" s="328"/>
      <c r="T93" s="64"/>
      <c r="U93" s="64"/>
      <c r="V93" s="64"/>
      <c r="W93" s="64"/>
      <c r="X93" s="64"/>
      <c r="Y93" s="125"/>
      <c r="Z93" s="370"/>
      <c r="AA93" s="265"/>
      <c r="AB93" s="133"/>
      <c r="AC93" s="95"/>
      <c r="AD93" s="95"/>
      <c r="AE93" s="95"/>
      <c r="AF93" s="95"/>
      <c r="AG93" s="95"/>
      <c r="AH93" s="160">
        <f t="shared" si="33"/>
        <v>0</v>
      </c>
      <c r="AI93" s="473"/>
      <c r="AJ93" s="86"/>
      <c r="AK93" s="87"/>
      <c r="AL93" s="89"/>
      <c r="AM93" s="89"/>
      <c r="AN93" s="89"/>
      <c r="AO93" s="89"/>
      <c r="AP93" s="89"/>
      <c r="AQ93" s="168">
        <f t="shared" si="34"/>
        <v>0</v>
      </c>
      <c r="AR93" s="531"/>
    </row>
    <row r="94" spans="1:45" s="2" customFormat="1" x14ac:dyDescent="0.25">
      <c r="A94" s="253"/>
      <c r="B94" s="253"/>
      <c r="C94" s="283"/>
      <c r="D94" s="284"/>
      <c r="E94" s="285">
        <v>60</v>
      </c>
      <c r="F94" s="286">
        <v>1</v>
      </c>
      <c r="G94" s="292"/>
      <c r="H94" s="293"/>
      <c r="I94" s="294"/>
      <c r="J94" s="53"/>
      <c r="K94" s="250"/>
      <c r="L94" s="54"/>
      <c r="M94" s="54"/>
      <c r="N94" s="54"/>
      <c r="O94" s="54"/>
      <c r="P94" s="54"/>
      <c r="Q94" s="212">
        <f t="shared" si="35"/>
        <v>0</v>
      </c>
      <c r="R94" s="62"/>
      <c r="S94" s="328"/>
      <c r="T94" s="64"/>
      <c r="U94" s="64"/>
      <c r="V94" s="64"/>
      <c r="W94" s="64"/>
      <c r="X94" s="64"/>
      <c r="Y94" s="125"/>
      <c r="Z94" s="362"/>
      <c r="AA94" s="265"/>
      <c r="AB94" s="133"/>
      <c r="AC94" s="95"/>
      <c r="AD94" s="95"/>
      <c r="AE94" s="95"/>
      <c r="AF94" s="95"/>
      <c r="AG94" s="95"/>
      <c r="AH94" s="160">
        <f t="shared" si="33"/>
        <v>0</v>
      </c>
      <c r="AI94" s="473"/>
      <c r="AJ94" s="86"/>
      <c r="AK94" s="87"/>
      <c r="AL94" s="89"/>
      <c r="AM94" s="89"/>
      <c r="AN94" s="89"/>
      <c r="AO94" s="89"/>
      <c r="AP94" s="89"/>
      <c r="AQ94" s="168">
        <f t="shared" si="34"/>
        <v>0</v>
      </c>
      <c r="AR94" s="531"/>
    </row>
    <row r="95" spans="1:45" s="2" customFormat="1" x14ac:dyDescent="0.25">
      <c r="A95" s="253"/>
      <c r="B95" s="253"/>
      <c r="C95" s="288"/>
      <c r="D95" s="284"/>
      <c r="E95" s="285">
        <v>60</v>
      </c>
      <c r="F95" s="286">
        <v>1</v>
      </c>
      <c r="G95" s="292"/>
      <c r="H95" s="293"/>
      <c r="I95" s="294"/>
      <c r="J95" s="53"/>
      <c r="K95" s="250"/>
      <c r="L95" s="54"/>
      <c r="M95" s="54"/>
      <c r="N95" s="54"/>
      <c r="O95" s="54"/>
      <c r="P95" s="54"/>
      <c r="Q95" s="212">
        <f t="shared" si="35"/>
        <v>0</v>
      </c>
      <c r="R95" s="62"/>
      <c r="S95" s="328"/>
      <c r="T95" s="64"/>
      <c r="U95" s="64"/>
      <c r="V95" s="64"/>
      <c r="W95" s="64"/>
      <c r="X95" s="64"/>
      <c r="Y95" s="125"/>
      <c r="Z95" s="370"/>
      <c r="AA95" s="315"/>
      <c r="AB95" s="133"/>
      <c r="AC95" s="95"/>
      <c r="AD95" s="95"/>
      <c r="AE95" s="95"/>
      <c r="AF95" s="95"/>
      <c r="AG95" s="95"/>
      <c r="AH95" s="160">
        <f t="shared" si="33"/>
        <v>0</v>
      </c>
      <c r="AI95" s="473"/>
      <c r="AJ95" s="86"/>
      <c r="AK95" s="87"/>
      <c r="AL95" s="89"/>
      <c r="AM95" s="89"/>
      <c r="AN95" s="89"/>
      <c r="AO95" s="89"/>
      <c r="AP95" s="89"/>
      <c r="AQ95" s="168">
        <f t="shared" si="34"/>
        <v>0</v>
      </c>
      <c r="AR95" s="531"/>
    </row>
    <row r="96" spans="1:45" s="2" customFormat="1" x14ac:dyDescent="0.25">
      <c r="A96" s="253"/>
      <c r="B96" s="253"/>
      <c r="C96" s="288"/>
      <c r="D96" s="284"/>
      <c r="E96" s="285">
        <v>60</v>
      </c>
      <c r="F96" s="286">
        <v>1</v>
      </c>
      <c r="G96" s="292"/>
      <c r="H96" s="293"/>
      <c r="I96" s="294"/>
      <c r="J96" s="53"/>
      <c r="K96" s="250"/>
      <c r="L96" s="54"/>
      <c r="M96" s="54"/>
      <c r="N96" s="54"/>
      <c r="O96" s="54"/>
      <c r="P96" s="54"/>
      <c r="Q96" s="212">
        <f t="shared" si="35"/>
        <v>0</v>
      </c>
      <c r="R96" s="62"/>
      <c r="S96" s="328"/>
      <c r="T96" s="64"/>
      <c r="U96" s="64"/>
      <c r="V96" s="64"/>
      <c r="W96" s="64"/>
      <c r="X96" s="64"/>
      <c r="Y96" s="125"/>
      <c r="Z96" s="370"/>
      <c r="AA96" s="265"/>
      <c r="AB96" s="133"/>
      <c r="AC96" s="95"/>
      <c r="AD96" s="95"/>
      <c r="AE96" s="95"/>
      <c r="AF96" s="95"/>
      <c r="AG96" s="95"/>
      <c r="AH96" s="160">
        <f t="shared" si="33"/>
        <v>0</v>
      </c>
      <c r="AI96" s="473"/>
      <c r="AJ96" s="86"/>
      <c r="AK96" s="87"/>
      <c r="AL96" s="89"/>
      <c r="AM96" s="89"/>
      <c r="AN96" s="89"/>
      <c r="AO96" s="89"/>
      <c r="AP96" s="89"/>
      <c r="AQ96" s="168">
        <f t="shared" si="34"/>
        <v>0</v>
      </c>
      <c r="AR96" s="531"/>
    </row>
    <row r="97" spans="1:44" s="2" customFormat="1" x14ac:dyDescent="0.25">
      <c r="A97" s="253"/>
      <c r="B97" s="253"/>
      <c r="C97" s="283"/>
      <c r="D97" s="284"/>
      <c r="E97" s="285">
        <v>60</v>
      </c>
      <c r="F97" s="286">
        <v>1</v>
      </c>
      <c r="G97" s="292"/>
      <c r="H97" s="293"/>
      <c r="I97" s="294"/>
      <c r="J97" s="53"/>
      <c r="K97" s="250"/>
      <c r="L97" s="54"/>
      <c r="M97" s="54"/>
      <c r="N97" s="54"/>
      <c r="O97" s="54"/>
      <c r="P97" s="54"/>
      <c r="Q97" s="212">
        <f t="shared" si="35"/>
        <v>0</v>
      </c>
      <c r="R97" s="62"/>
      <c r="S97" s="328"/>
      <c r="T97" s="64"/>
      <c r="U97" s="64"/>
      <c r="V97" s="64"/>
      <c r="W97" s="64"/>
      <c r="X97" s="64"/>
      <c r="Y97" s="125"/>
      <c r="Z97" s="370"/>
      <c r="AA97" s="265"/>
      <c r="AB97" s="133"/>
      <c r="AC97" s="95"/>
      <c r="AD97" s="95"/>
      <c r="AE97" s="95"/>
      <c r="AF97" s="95"/>
      <c r="AG97" s="95"/>
      <c r="AH97" s="160">
        <f t="shared" si="33"/>
        <v>0</v>
      </c>
      <c r="AI97" s="473"/>
      <c r="AJ97" s="86"/>
      <c r="AK97" s="87"/>
      <c r="AL97" s="89"/>
      <c r="AM97" s="89"/>
      <c r="AN97" s="89"/>
      <c r="AO97" s="89"/>
      <c r="AP97" s="89"/>
      <c r="AQ97" s="168">
        <f t="shared" si="34"/>
        <v>0</v>
      </c>
      <c r="AR97" s="531"/>
    </row>
    <row r="98" spans="1:44" s="2" customFormat="1" x14ac:dyDescent="0.25">
      <c r="A98" s="253"/>
      <c r="B98" s="253"/>
      <c r="C98" s="283"/>
      <c r="D98" s="284"/>
      <c r="E98" s="285">
        <v>60</v>
      </c>
      <c r="F98" s="286">
        <v>1</v>
      </c>
      <c r="G98" s="292"/>
      <c r="H98" s="293"/>
      <c r="I98" s="294"/>
      <c r="J98" s="53"/>
      <c r="K98" s="250"/>
      <c r="L98" s="54"/>
      <c r="M98" s="54"/>
      <c r="N98" s="54"/>
      <c r="O98" s="54"/>
      <c r="P98" s="54"/>
      <c r="Q98" s="212">
        <f t="shared" si="35"/>
        <v>0</v>
      </c>
      <c r="R98" s="62"/>
      <c r="S98" s="328"/>
      <c r="T98" s="64"/>
      <c r="U98" s="64"/>
      <c r="V98" s="64"/>
      <c r="W98" s="64"/>
      <c r="X98" s="64"/>
      <c r="Y98" s="125"/>
      <c r="Z98" s="370"/>
      <c r="AA98" s="265"/>
      <c r="AB98" s="133"/>
      <c r="AC98" s="95"/>
      <c r="AD98" s="95"/>
      <c r="AE98" s="95"/>
      <c r="AF98" s="95"/>
      <c r="AG98" s="95"/>
      <c r="AH98" s="160">
        <f t="shared" si="33"/>
        <v>0</v>
      </c>
      <c r="AI98" s="473"/>
      <c r="AJ98" s="86"/>
      <c r="AK98" s="87"/>
      <c r="AL98" s="89"/>
      <c r="AM98" s="89"/>
      <c r="AN98" s="89"/>
      <c r="AO98" s="89"/>
      <c r="AP98" s="89"/>
      <c r="AQ98" s="168">
        <f>$AK98*$D98</f>
        <v>0</v>
      </c>
      <c r="AR98" s="531"/>
    </row>
    <row r="99" spans="1:44" s="2" customFormat="1" x14ac:dyDescent="0.25">
      <c r="A99" s="253"/>
      <c r="B99" s="253"/>
      <c r="C99" s="288"/>
      <c r="D99" s="284"/>
      <c r="E99" s="285">
        <v>60</v>
      </c>
      <c r="F99" s="286">
        <v>1</v>
      </c>
      <c r="G99" s="292"/>
      <c r="H99" s="293"/>
      <c r="I99" s="294"/>
      <c r="J99" s="53"/>
      <c r="K99" s="250"/>
      <c r="L99" s="54"/>
      <c r="M99" s="54"/>
      <c r="N99" s="54"/>
      <c r="O99" s="54"/>
      <c r="P99" s="54"/>
      <c r="Q99" s="212">
        <f t="shared" si="35"/>
        <v>0</v>
      </c>
      <c r="R99" s="62"/>
      <c r="S99" s="328"/>
      <c r="T99" s="64"/>
      <c r="U99" s="64"/>
      <c r="V99" s="64"/>
      <c r="W99" s="64"/>
      <c r="X99" s="64"/>
      <c r="Y99" s="125"/>
      <c r="Z99" s="370"/>
      <c r="AA99" s="265"/>
      <c r="AB99" s="133"/>
      <c r="AC99" s="95"/>
      <c r="AD99" s="95"/>
      <c r="AE99" s="95"/>
      <c r="AF99" s="95"/>
      <c r="AG99" s="95"/>
      <c r="AH99" s="160">
        <f t="shared" si="33"/>
        <v>0</v>
      </c>
      <c r="AI99" s="473"/>
      <c r="AJ99" s="86"/>
      <c r="AK99" s="87"/>
      <c r="AL99" s="89"/>
      <c r="AM99" s="89"/>
      <c r="AN99" s="89"/>
      <c r="AO99" s="89"/>
      <c r="AP99" s="89"/>
      <c r="AQ99" s="168">
        <f>$AK99*$D99</f>
        <v>0</v>
      </c>
      <c r="AR99" s="531"/>
    </row>
    <row r="100" spans="1:44" s="2" customFormat="1" x14ac:dyDescent="0.25">
      <c r="A100" s="344"/>
      <c r="B100" s="344"/>
      <c r="C100" s="283"/>
      <c r="D100" s="284"/>
      <c r="E100" s="285">
        <v>60</v>
      </c>
      <c r="F100" s="286">
        <v>1</v>
      </c>
      <c r="G100" s="292"/>
      <c r="H100" s="293"/>
      <c r="I100" s="294"/>
      <c r="J100" s="53"/>
      <c r="K100" s="250"/>
      <c r="L100" s="54"/>
      <c r="M100" s="54"/>
      <c r="N100" s="54"/>
      <c r="O100" s="54"/>
      <c r="P100" s="54"/>
      <c r="Q100" s="211"/>
      <c r="R100" s="337"/>
      <c r="S100" s="328"/>
      <c r="T100" s="346"/>
      <c r="U100" s="64"/>
      <c r="V100" s="64"/>
      <c r="W100" s="64"/>
      <c r="X100" s="64"/>
      <c r="Y100" s="125">
        <f>$S100*$D100</f>
        <v>0</v>
      </c>
      <c r="Z100" s="502"/>
      <c r="AA100" s="96"/>
      <c r="AB100" s="133"/>
      <c r="AC100" s="95"/>
      <c r="AD100" s="95"/>
      <c r="AE100" s="95"/>
      <c r="AF100" s="95"/>
      <c r="AG100" s="95"/>
      <c r="AH100" s="159"/>
      <c r="AI100" s="479"/>
      <c r="AJ100" s="86"/>
      <c r="AK100" s="87"/>
      <c r="AL100" s="89"/>
      <c r="AM100" s="89"/>
      <c r="AN100" s="89"/>
      <c r="AO100" s="89"/>
      <c r="AP100" s="89"/>
      <c r="AQ100" s="169"/>
      <c r="AR100" s="536"/>
    </row>
    <row r="101" spans="1:44" s="2" customFormat="1" x14ac:dyDescent="0.25">
      <c r="A101" s="344"/>
      <c r="B101" s="344"/>
      <c r="C101" s="341"/>
      <c r="D101" s="284"/>
      <c r="E101" s="285">
        <v>60</v>
      </c>
      <c r="F101" s="286">
        <v>1</v>
      </c>
      <c r="G101" s="292"/>
      <c r="H101" s="293"/>
      <c r="I101" s="294"/>
      <c r="J101" s="53"/>
      <c r="K101" s="250"/>
      <c r="L101" s="54"/>
      <c r="M101" s="54"/>
      <c r="N101" s="54"/>
      <c r="O101" s="54"/>
      <c r="P101" s="54"/>
      <c r="Q101" s="211"/>
      <c r="R101" s="343"/>
      <c r="S101" s="328"/>
      <c r="T101" s="346"/>
      <c r="U101" s="64"/>
      <c r="V101" s="64"/>
      <c r="W101" s="64"/>
      <c r="X101" s="64"/>
      <c r="Y101" s="125">
        <f t="shared" ref="Y101:Y117" si="36">$S101*$D101</f>
        <v>0</v>
      </c>
      <c r="Z101" s="502"/>
      <c r="AA101" s="96"/>
      <c r="AB101" s="133"/>
      <c r="AC101" s="95"/>
      <c r="AD101" s="95"/>
      <c r="AE101" s="95"/>
      <c r="AF101" s="95"/>
      <c r="AG101" s="95"/>
      <c r="AH101" s="159"/>
      <c r="AI101" s="479"/>
      <c r="AJ101" s="86"/>
      <c r="AK101" s="87"/>
      <c r="AL101" s="89"/>
      <c r="AM101" s="89"/>
      <c r="AN101" s="89"/>
      <c r="AO101" s="89"/>
      <c r="AP101" s="89"/>
      <c r="AQ101" s="169"/>
      <c r="AR101" s="536"/>
    </row>
    <row r="102" spans="1:44" s="2" customFormat="1" x14ac:dyDescent="0.25">
      <c r="A102" s="344"/>
      <c r="B102" s="344"/>
      <c r="C102" s="341"/>
      <c r="D102" s="284"/>
      <c r="E102" s="285">
        <v>60</v>
      </c>
      <c r="F102" s="286">
        <v>1</v>
      </c>
      <c r="G102" s="292"/>
      <c r="H102" s="293"/>
      <c r="I102" s="294"/>
      <c r="J102" s="53"/>
      <c r="K102" s="250"/>
      <c r="L102" s="54"/>
      <c r="M102" s="54"/>
      <c r="N102" s="54"/>
      <c r="O102" s="54"/>
      <c r="P102" s="54"/>
      <c r="Q102" s="211"/>
      <c r="R102" s="343"/>
      <c r="S102" s="328"/>
      <c r="T102" s="346"/>
      <c r="U102" s="64"/>
      <c r="V102" s="64"/>
      <c r="W102" s="64"/>
      <c r="X102" s="64"/>
      <c r="Y102" s="125">
        <f t="shared" si="36"/>
        <v>0</v>
      </c>
      <c r="Z102" s="502"/>
      <c r="AA102" s="96"/>
      <c r="AB102" s="133"/>
      <c r="AC102" s="95"/>
      <c r="AD102" s="95"/>
      <c r="AE102" s="95"/>
      <c r="AF102" s="95"/>
      <c r="AG102" s="95"/>
      <c r="AH102" s="159"/>
      <c r="AI102" s="479"/>
      <c r="AJ102" s="86"/>
      <c r="AK102" s="87"/>
      <c r="AL102" s="89"/>
      <c r="AM102" s="89"/>
      <c r="AN102" s="89"/>
      <c r="AO102" s="89"/>
      <c r="AP102" s="89"/>
      <c r="AQ102" s="169"/>
      <c r="AR102" s="536"/>
    </row>
    <row r="103" spans="1:44" s="2" customFormat="1" x14ac:dyDescent="0.25">
      <c r="A103" s="344"/>
      <c r="B103" s="344"/>
      <c r="C103" s="283"/>
      <c r="D103" s="284"/>
      <c r="E103" s="285">
        <v>60</v>
      </c>
      <c r="F103" s="286">
        <v>1</v>
      </c>
      <c r="G103" s="292"/>
      <c r="H103" s="293"/>
      <c r="I103" s="294"/>
      <c r="J103" s="53"/>
      <c r="K103" s="250"/>
      <c r="L103" s="54"/>
      <c r="M103" s="54"/>
      <c r="N103" s="54"/>
      <c r="O103" s="54"/>
      <c r="P103" s="54"/>
      <c r="Q103" s="211"/>
      <c r="R103" s="62"/>
      <c r="S103" s="328"/>
      <c r="T103" s="346"/>
      <c r="U103" s="64"/>
      <c r="V103" s="64"/>
      <c r="W103" s="64"/>
      <c r="X103" s="64"/>
      <c r="Y103" s="125">
        <f t="shared" si="36"/>
        <v>0</v>
      </c>
      <c r="Z103" s="502"/>
      <c r="AA103" s="96"/>
      <c r="AB103" s="133"/>
      <c r="AC103" s="95"/>
      <c r="AD103" s="95"/>
      <c r="AE103" s="95"/>
      <c r="AF103" s="95"/>
      <c r="AG103" s="95"/>
      <c r="AH103" s="159"/>
      <c r="AI103" s="479"/>
      <c r="AJ103" s="86"/>
      <c r="AK103" s="87"/>
      <c r="AL103" s="89"/>
      <c r="AM103" s="89"/>
      <c r="AN103" s="89"/>
      <c r="AO103" s="89"/>
      <c r="AP103" s="89"/>
      <c r="AQ103" s="169"/>
      <c r="AR103" s="536"/>
    </row>
    <row r="104" spans="1:44" s="2" customFormat="1" x14ac:dyDescent="0.25">
      <c r="A104" s="344"/>
      <c r="B104" s="344"/>
      <c r="C104" s="283"/>
      <c r="D104" s="284"/>
      <c r="E104" s="285">
        <v>60</v>
      </c>
      <c r="F104" s="286">
        <v>1</v>
      </c>
      <c r="G104" s="292"/>
      <c r="H104" s="293"/>
      <c r="I104" s="294"/>
      <c r="J104" s="53"/>
      <c r="K104" s="250"/>
      <c r="L104" s="54"/>
      <c r="M104" s="54"/>
      <c r="N104" s="54"/>
      <c r="O104" s="54"/>
      <c r="P104" s="54"/>
      <c r="Q104" s="211"/>
      <c r="R104" s="62"/>
      <c r="S104" s="328"/>
      <c r="T104" s="346"/>
      <c r="U104" s="64"/>
      <c r="V104" s="64"/>
      <c r="W104" s="64"/>
      <c r="X104" s="64"/>
      <c r="Y104" s="125">
        <f t="shared" si="36"/>
        <v>0</v>
      </c>
      <c r="Z104" s="502"/>
      <c r="AA104" s="96"/>
      <c r="AB104" s="133"/>
      <c r="AC104" s="95"/>
      <c r="AD104" s="95"/>
      <c r="AE104" s="95"/>
      <c r="AF104" s="95"/>
      <c r="AG104" s="95"/>
      <c r="AH104" s="159"/>
      <c r="AI104" s="479"/>
      <c r="AJ104" s="86"/>
      <c r="AK104" s="87"/>
      <c r="AL104" s="89"/>
      <c r="AM104" s="89"/>
      <c r="AN104" s="89"/>
      <c r="AO104" s="89"/>
      <c r="AP104" s="89"/>
      <c r="AQ104" s="169"/>
      <c r="AR104" s="536"/>
    </row>
    <row r="105" spans="1:44" s="2" customFormat="1" x14ac:dyDescent="0.25">
      <c r="A105" s="344"/>
      <c r="B105" s="344"/>
      <c r="C105" s="283"/>
      <c r="D105" s="284"/>
      <c r="E105" s="285">
        <v>60</v>
      </c>
      <c r="F105" s="286">
        <v>1</v>
      </c>
      <c r="G105" s="292"/>
      <c r="H105" s="293"/>
      <c r="I105" s="294"/>
      <c r="J105" s="53"/>
      <c r="K105" s="250"/>
      <c r="L105" s="54"/>
      <c r="M105" s="54"/>
      <c r="N105" s="54"/>
      <c r="O105" s="54"/>
      <c r="P105" s="54"/>
      <c r="Q105" s="211"/>
      <c r="R105" s="336"/>
      <c r="S105" s="328"/>
      <c r="T105" s="346"/>
      <c r="U105" s="64"/>
      <c r="V105" s="64"/>
      <c r="W105" s="64"/>
      <c r="X105" s="64"/>
      <c r="Y105" s="125">
        <f t="shared" si="36"/>
        <v>0</v>
      </c>
      <c r="Z105" s="502"/>
      <c r="AA105" s="96"/>
      <c r="AB105" s="133"/>
      <c r="AC105" s="95"/>
      <c r="AD105" s="95"/>
      <c r="AE105" s="95"/>
      <c r="AF105" s="95"/>
      <c r="AG105" s="95"/>
      <c r="AH105" s="159"/>
      <c r="AI105" s="479"/>
      <c r="AJ105" s="86"/>
      <c r="AK105" s="87"/>
      <c r="AL105" s="89"/>
      <c r="AM105" s="89"/>
      <c r="AN105" s="89"/>
      <c r="AO105" s="89"/>
      <c r="AP105" s="89"/>
      <c r="AQ105" s="169"/>
      <c r="AR105" s="536"/>
    </row>
    <row r="106" spans="1:44" s="2" customFormat="1" x14ac:dyDescent="0.25">
      <c r="A106" s="344"/>
      <c r="B106" s="344"/>
      <c r="C106" s="341"/>
      <c r="D106" s="284"/>
      <c r="E106" s="285">
        <v>60</v>
      </c>
      <c r="F106" s="286">
        <v>1</v>
      </c>
      <c r="G106" s="292"/>
      <c r="H106" s="293"/>
      <c r="I106" s="294"/>
      <c r="J106" s="53"/>
      <c r="K106" s="250"/>
      <c r="L106" s="54"/>
      <c r="M106" s="54"/>
      <c r="N106" s="54"/>
      <c r="O106" s="54"/>
      <c r="P106" s="54"/>
      <c r="Q106" s="211"/>
      <c r="R106" s="342"/>
      <c r="S106" s="328"/>
      <c r="T106" s="346"/>
      <c r="U106" s="64"/>
      <c r="V106" s="64"/>
      <c r="W106" s="64"/>
      <c r="X106" s="64"/>
      <c r="Y106" s="125">
        <f t="shared" si="36"/>
        <v>0</v>
      </c>
      <c r="Z106" s="502"/>
      <c r="AA106" s="96"/>
      <c r="AB106" s="133"/>
      <c r="AC106" s="95"/>
      <c r="AD106" s="95"/>
      <c r="AE106" s="95"/>
      <c r="AF106" s="95"/>
      <c r="AG106" s="95"/>
      <c r="AH106" s="159"/>
      <c r="AI106" s="479"/>
      <c r="AJ106" s="86"/>
      <c r="AK106" s="87"/>
      <c r="AL106" s="89"/>
      <c r="AM106" s="89"/>
      <c r="AN106" s="89"/>
      <c r="AO106" s="89"/>
      <c r="AP106" s="89"/>
      <c r="AQ106" s="169"/>
      <c r="AR106" s="536"/>
    </row>
    <row r="107" spans="1:44" s="2" customFormat="1" x14ac:dyDescent="0.25">
      <c r="A107" s="344"/>
      <c r="B107" s="344"/>
      <c r="C107" s="283"/>
      <c r="D107" s="284"/>
      <c r="E107" s="285">
        <v>60</v>
      </c>
      <c r="F107" s="286">
        <v>1</v>
      </c>
      <c r="G107" s="292"/>
      <c r="H107" s="293"/>
      <c r="I107" s="294"/>
      <c r="J107" s="53"/>
      <c r="K107" s="250"/>
      <c r="L107" s="54"/>
      <c r="M107" s="54"/>
      <c r="N107" s="54"/>
      <c r="O107" s="54"/>
      <c r="P107" s="54"/>
      <c r="Q107" s="211"/>
      <c r="R107" s="336"/>
      <c r="S107" s="328"/>
      <c r="T107" s="346"/>
      <c r="U107" s="64"/>
      <c r="V107" s="64"/>
      <c r="W107" s="64"/>
      <c r="X107" s="64"/>
      <c r="Y107" s="125">
        <f t="shared" si="36"/>
        <v>0</v>
      </c>
      <c r="Z107" s="502"/>
      <c r="AA107" s="96"/>
      <c r="AB107" s="133"/>
      <c r="AC107" s="95"/>
      <c r="AD107" s="95"/>
      <c r="AE107" s="95"/>
      <c r="AF107" s="95"/>
      <c r="AG107" s="95"/>
      <c r="AH107" s="159"/>
      <c r="AI107" s="479"/>
      <c r="AJ107" s="86"/>
      <c r="AK107" s="87"/>
      <c r="AL107" s="89"/>
      <c r="AM107" s="89"/>
      <c r="AN107" s="89"/>
      <c r="AO107" s="89"/>
      <c r="AP107" s="89"/>
      <c r="AQ107" s="169"/>
      <c r="AR107" s="536"/>
    </row>
    <row r="108" spans="1:44" s="2" customFormat="1" x14ac:dyDescent="0.25">
      <c r="A108" s="344"/>
      <c r="B108" s="344"/>
      <c r="C108" s="341"/>
      <c r="D108" s="284"/>
      <c r="E108" s="285">
        <v>60</v>
      </c>
      <c r="F108" s="286">
        <v>1</v>
      </c>
      <c r="G108" s="292"/>
      <c r="H108" s="293"/>
      <c r="I108" s="294"/>
      <c r="J108" s="53"/>
      <c r="K108" s="250"/>
      <c r="L108" s="54"/>
      <c r="M108" s="54"/>
      <c r="N108" s="54"/>
      <c r="O108" s="54"/>
      <c r="P108" s="54"/>
      <c r="Q108" s="211"/>
      <c r="R108" s="342"/>
      <c r="S108" s="328"/>
      <c r="T108" s="346"/>
      <c r="U108" s="64"/>
      <c r="V108" s="64"/>
      <c r="W108" s="64"/>
      <c r="X108" s="64"/>
      <c r="Y108" s="125">
        <f t="shared" si="36"/>
        <v>0</v>
      </c>
      <c r="Z108" s="502"/>
      <c r="AA108" s="96"/>
      <c r="AB108" s="133"/>
      <c r="AC108" s="95"/>
      <c r="AD108" s="95"/>
      <c r="AE108" s="95"/>
      <c r="AF108" s="95"/>
      <c r="AG108" s="95"/>
      <c r="AH108" s="159"/>
      <c r="AI108" s="479"/>
      <c r="AJ108" s="86"/>
      <c r="AK108" s="87"/>
      <c r="AL108" s="89"/>
      <c r="AM108" s="89"/>
      <c r="AN108" s="89"/>
      <c r="AO108" s="89"/>
      <c r="AP108" s="89"/>
      <c r="AQ108" s="169"/>
      <c r="AR108" s="536"/>
    </row>
    <row r="109" spans="1:44" s="2" customFormat="1" x14ac:dyDescent="0.25">
      <c r="A109" s="344"/>
      <c r="B109" s="344"/>
      <c r="C109" s="399"/>
      <c r="D109" s="344"/>
      <c r="E109" s="285">
        <v>60</v>
      </c>
      <c r="F109" s="286">
        <v>1</v>
      </c>
      <c r="G109" s="292"/>
      <c r="H109" s="293"/>
      <c r="I109" s="294"/>
      <c r="J109" s="53"/>
      <c r="K109" s="250"/>
      <c r="L109" s="54"/>
      <c r="M109" s="54"/>
      <c r="N109" s="54"/>
      <c r="O109" s="54"/>
      <c r="P109" s="54"/>
      <c r="Q109" s="211"/>
      <c r="R109" s="345"/>
      <c r="S109" s="400"/>
      <c r="T109" s="346"/>
      <c r="U109" s="64"/>
      <c r="V109" s="64"/>
      <c r="W109" s="64"/>
      <c r="X109" s="64"/>
      <c r="Y109" s="125">
        <f t="shared" si="36"/>
        <v>0</v>
      </c>
      <c r="Z109" s="502"/>
      <c r="AA109" s="96"/>
      <c r="AB109" s="133"/>
      <c r="AC109" s="95"/>
      <c r="AD109" s="95"/>
      <c r="AE109" s="95"/>
      <c r="AF109" s="95"/>
      <c r="AG109" s="95"/>
      <c r="AH109" s="159"/>
      <c r="AI109" s="479"/>
      <c r="AJ109" s="86"/>
      <c r="AK109" s="87"/>
      <c r="AL109" s="89"/>
      <c r="AM109" s="89"/>
      <c r="AN109" s="89"/>
      <c r="AO109" s="89"/>
      <c r="AP109" s="89"/>
      <c r="AQ109" s="169"/>
      <c r="AR109" s="536"/>
    </row>
    <row r="110" spans="1:44" s="2" customFormat="1" x14ac:dyDescent="0.25">
      <c r="A110" s="344"/>
      <c r="B110" s="344"/>
      <c r="C110" s="341"/>
      <c r="D110" s="284"/>
      <c r="E110" s="285"/>
      <c r="F110" s="286"/>
      <c r="G110" s="292"/>
      <c r="H110" s="293"/>
      <c r="I110" s="294"/>
      <c r="J110" s="53"/>
      <c r="K110" s="250"/>
      <c r="L110" s="54"/>
      <c r="M110" s="54"/>
      <c r="N110" s="54"/>
      <c r="O110" s="54"/>
      <c r="P110" s="54"/>
      <c r="Q110" s="211"/>
      <c r="R110" s="342"/>
      <c r="S110" s="328"/>
      <c r="T110" s="346"/>
      <c r="U110" s="64"/>
      <c r="V110" s="64"/>
      <c r="W110" s="64"/>
      <c r="X110" s="64"/>
      <c r="Y110" s="125"/>
      <c r="Z110" s="502"/>
      <c r="AA110" s="96"/>
      <c r="AB110" s="133"/>
      <c r="AC110" s="95"/>
      <c r="AD110" s="95"/>
      <c r="AE110" s="95"/>
      <c r="AF110" s="95"/>
      <c r="AG110" s="95"/>
      <c r="AH110" s="159"/>
      <c r="AI110" s="479"/>
      <c r="AJ110" s="86"/>
      <c r="AK110" s="87"/>
      <c r="AL110" s="89"/>
      <c r="AM110" s="89"/>
      <c r="AN110" s="89"/>
      <c r="AO110" s="89"/>
      <c r="AP110" s="89"/>
      <c r="AQ110" s="169"/>
      <c r="AR110" s="536"/>
    </row>
    <row r="111" spans="1:44" s="2" customFormat="1" x14ac:dyDescent="0.25">
      <c r="A111" s="344"/>
      <c r="B111" s="344"/>
      <c r="C111" s="283"/>
      <c r="D111" s="284"/>
      <c r="E111" s="285">
        <v>60</v>
      </c>
      <c r="F111" s="286">
        <v>1</v>
      </c>
      <c r="G111" s="292"/>
      <c r="H111" s="293"/>
      <c r="I111" s="294"/>
      <c r="J111" s="53"/>
      <c r="K111" s="250"/>
      <c r="L111" s="54"/>
      <c r="M111" s="54"/>
      <c r="N111" s="54"/>
      <c r="O111" s="54"/>
      <c r="P111" s="54"/>
      <c r="Q111" s="211"/>
      <c r="R111" s="336"/>
      <c r="S111" s="328"/>
      <c r="T111" s="346"/>
      <c r="U111" s="64"/>
      <c r="V111" s="64"/>
      <c r="W111" s="64"/>
      <c r="X111" s="64"/>
      <c r="Y111" s="125">
        <f>$S111*$D111</f>
        <v>0</v>
      </c>
      <c r="Z111" s="502"/>
      <c r="AA111" s="96"/>
      <c r="AB111" s="133"/>
      <c r="AC111" s="95"/>
      <c r="AD111" s="95"/>
      <c r="AE111" s="95"/>
      <c r="AF111" s="95"/>
      <c r="AG111" s="95"/>
      <c r="AH111" s="159"/>
      <c r="AI111" s="479"/>
      <c r="AJ111" s="86"/>
      <c r="AK111" s="87"/>
      <c r="AL111" s="89"/>
      <c r="AM111" s="89"/>
      <c r="AN111" s="89"/>
      <c r="AO111" s="89"/>
      <c r="AP111" s="89"/>
      <c r="AQ111" s="169"/>
      <c r="AR111" s="536"/>
    </row>
    <row r="112" spans="1:44" s="2" customFormat="1" x14ac:dyDescent="0.25">
      <c r="A112" s="344"/>
      <c r="B112" s="344"/>
      <c r="C112" s="341"/>
      <c r="D112" s="284"/>
      <c r="E112" s="285">
        <v>60</v>
      </c>
      <c r="F112" s="286">
        <v>1</v>
      </c>
      <c r="G112" s="292"/>
      <c r="H112" s="293"/>
      <c r="I112" s="294"/>
      <c r="J112" s="53"/>
      <c r="K112" s="250"/>
      <c r="L112" s="54"/>
      <c r="M112" s="54"/>
      <c r="N112" s="54"/>
      <c r="O112" s="54"/>
      <c r="P112" s="54"/>
      <c r="Q112" s="211"/>
      <c r="R112" s="342"/>
      <c r="S112" s="328"/>
      <c r="T112" s="346"/>
      <c r="U112" s="64"/>
      <c r="V112" s="64"/>
      <c r="W112" s="64"/>
      <c r="X112" s="64"/>
      <c r="Y112" s="125">
        <f>$S112*$D112</f>
        <v>0</v>
      </c>
      <c r="Z112" s="502"/>
      <c r="AA112" s="96"/>
      <c r="AB112" s="133"/>
      <c r="AC112" s="95"/>
      <c r="AD112" s="95"/>
      <c r="AE112" s="95"/>
      <c r="AF112" s="95"/>
      <c r="AG112" s="95"/>
      <c r="AH112" s="159"/>
      <c r="AI112" s="479"/>
      <c r="AJ112" s="86"/>
      <c r="AK112" s="87"/>
      <c r="AL112" s="89"/>
      <c r="AM112" s="89"/>
      <c r="AN112" s="89"/>
      <c r="AO112" s="89"/>
      <c r="AP112" s="89"/>
      <c r="AQ112" s="169"/>
      <c r="AR112" s="536"/>
    </row>
    <row r="113" spans="1:44" s="2" customFormat="1" x14ac:dyDescent="0.25">
      <c r="A113" s="344"/>
      <c r="B113" s="344"/>
      <c r="C113" s="283"/>
      <c r="D113" s="284"/>
      <c r="E113" s="285">
        <v>60</v>
      </c>
      <c r="F113" s="286">
        <v>1</v>
      </c>
      <c r="G113" s="292"/>
      <c r="H113" s="293"/>
      <c r="I113" s="294"/>
      <c r="J113" s="53"/>
      <c r="K113" s="250"/>
      <c r="L113" s="54"/>
      <c r="M113" s="54"/>
      <c r="N113" s="54"/>
      <c r="O113" s="54"/>
      <c r="P113" s="54"/>
      <c r="Q113" s="211"/>
      <c r="R113" s="345"/>
      <c r="S113" s="328"/>
      <c r="T113" s="346"/>
      <c r="U113" s="64"/>
      <c r="V113" s="64"/>
      <c r="W113" s="64"/>
      <c r="X113" s="64"/>
      <c r="Y113" s="125">
        <f t="shared" si="36"/>
        <v>0</v>
      </c>
      <c r="Z113" s="502"/>
      <c r="AA113" s="96"/>
      <c r="AB113" s="133"/>
      <c r="AC113" s="95"/>
      <c r="AD113" s="95"/>
      <c r="AE113" s="95"/>
      <c r="AF113" s="95"/>
      <c r="AG113" s="95"/>
      <c r="AH113" s="159"/>
      <c r="AI113" s="479"/>
      <c r="AJ113" s="86"/>
      <c r="AK113" s="87"/>
      <c r="AL113" s="89"/>
      <c r="AM113" s="89"/>
      <c r="AN113" s="89"/>
      <c r="AO113" s="89"/>
      <c r="AP113" s="89"/>
      <c r="AQ113" s="169"/>
      <c r="AR113" s="536"/>
    </row>
    <row r="114" spans="1:44" s="2" customFormat="1" x14ac:dyDescent="0.25">
      <c r="A114" s="344"/>
      <c r="B114" s="344"/>
      <c r="C114" s="283"/>
      <c r="D114" s="284"/>
      <c r="E114" s="285">
        <v>60</v>
      </c>
      <c r="F114" s="286">
        <v>1</v>
      </c>
      <c r="G114" s="292"/>
      <c r="H114" s="293"/>
      <c r="I114" s="294"/>
      <c r="J114" s="53"/>
      <c r="K114" s="250"/>
      <c r="L114" s="54"/>
      <c r="M114" s="54"/>
      <c r="N114" s="54"/>
      <c r="O114" s="54"/>
      <c r="P114" s="54"/>
      <c r="Q114" s="211"/>
      <c r="R114" s="345"/>
      <c r="S114" s="328"/>
      <c r="T114" s="346"/>
      <c r="U114" s="64"/>
      <c r="V114" s="64"/>
      <c r="W114" s="64"/>
      <c r="X114" s="64"/>
      <c r="Y114" s="125">
        <f t="shared" si="36"/>
        <v>0</v>
      </c>
      <c r="Z114" s="502"/>
      <c r="AA114" s="96"/>
      <c r="AB114" s="133"/>
      <c r="AC114" s="95"/>
      <c r="AD114" s="95"/>
      <c r="AE114" s="95"/>
      <c r="AF114" s="95"/>
      <c r="AG114" s="95"/>
      <c r="AH114" s="159"/>
      <c r="AI114" s="479"/>
      <c r="AJ114" s="86"/>
      <c r="AK114" s="87"/>
      <c r="AL114" s="89"/>
      <c r="AM114" s="89"/>
      <c r="AN114" s="89"/>
      <c r="AO114" s="89"/>
      <c r="AP114" s="89"/>
      <c r="AQ114" s="169"/>
      <c r="AR114" s="536"/>
    </row>
    <row r="115" spans="1:44" s="2" customFormat="1" x14ac:dyDescent="0.25">
      <c r="A115" s="344"/>
      <c r="B115" s="344"/>
      <c r="C115" s="283"/>
      <c r="D115" s="284"/>
      <c r="E115" s="285">
        <v>60</v>
      </c>
      <c r="F115" s="286">
        <v>1</v>
      </c>
      <c r="G115" s="292"/>
      <c r="H115" s="293"/>
      <c r="I115" s="294"/>
      <c r="J115" s="53"/>
      <c r="K115" s="250"/>
      <c r="L115" s="54"/>
      <c r="M115" s="54"/>
      <c r="N115" s="54"/>
      <c r="O115" s="54"/>
      <c r="P115" s="54"/>
      <c r="Q115" s="211"/>
      <c r="R115" s="345"/>
      <c r="S115" s="400"/>
      <c r="T115" s="346"/>
      <c r="U115" s="64"/>
      <c r="V115" s="64"/>
      <c r="W115" s="64"/>
      <c r="X115" s="64"/>
      <c r="Y115" s="125">
        <f t="shared" si="36"/>
        <v>0</v>
      </c>
      <c r="Z115" s="502"/>
      <c r="AA115" s="96"/>
      <c r="AB115" s="133"/>
      <c r="AC115" s="95"/>
      <c r="AD115" s="95"/>
      <c r="AE115" s="95"/>
      <c r="AF115" s="95"/>
      <c r="AG115" s="95"/>
      <c r="AH115" s="159"/>
      <c r="AI115" s="479"/>
      <c r="AJ115" s="86"/>
      <c r="AK115" s="87"/>
      <c r="AL115" s="89"/>
      <c r="AM115" s="89"/>
      <c r="AN115" s="89"/>
      <c r="AO115" s="89"/>
      <c r="AP115" s="89"/>
      <c r="AQ115" s="169"/>
      <c r="AR115" s="536"/>
    </row>
    <row r="116" spans="1:44" s="2" customFormat="1" x14ac:dyDescent="0.25">
      <c r="A116" s="344"/>
      <c r="B116" s="344"/>
      <c r="C116" s="283"/>
      <c r="D116" s="284"/>
      <c r="E116" s="285">
        <v>60</v>
      </c>
      <c r="F116" s="286">
        <v>1</v>
      </c>
      <c r="G116" s="292"/>
      <c r="H116" s="293"/>
      <c r="I116" s="294"/>
      <c r="J116" s="53"/>
      <c r="K116" s="250"/>
      <c r="L116" s="54"/>
      <c r="M116" s="54"/>
      <c r="N116" s="54"/>
      <c r="O116" s="54"/>
      <c r="P116" s="54"/>
      <c r="Q116" s="211"/>
      <c r="R116" s="345"/>
      <c r="S116" s="400"/>
      <c r="T116" s="346"/>
      <c r="U116" s="64"/>
      <c r="V116" s="64"/>
      <c r="W116" s="64"/>
      <c r="X116" s="64"/>
      <c r="Y116" s="125">
        <f t="shared" si="36"/>
        <v>0</v>
      </c>
      <c r="Z116" s="502"/>
      <c r="AA116" s="96"/>
      <c r="AB116" s="133"/>
      <c r="AC116" s="95"/>
      <c r="AD116" s="95"/>
      <c r="AE116" s="95"/>
      <c r="AF116" s="95"/>
      <c r="AG116" s="95"/>
      <c r="AH116" s="159"/>
      <c r="AI116" s="479"/>
      <c r="AJ116" s="86"/>
      <c r="AK116" s="87"/>
      <c r="AL116" s="89"/>
      <c r="AM116" s="89"/>
      <c r="AN116" s="89"/>
      <c r="AO116" s="89"/>
      <c r="AP116" s="89"/>
      <c r="AQ116" s="169"/>
      <c r="AR116" s="536"/>
    </row>
    <row r="117" spans="1:44" s="2" customFormat="1" x14ac:dyDescent="0.25">
      <c r="A117" s="344"/>
      <c r="B117" s="344"/>
      <c r="C117" s="283"/>
      <c r="D117" s="284"/>
      <c r="E117" s="285">
        <v>60</v>
      </c>
      <c r="F117" s="286">
        <v>1</v>
      </c>
      <c r="G117" s="292"/>
      <c r="H117" s="293"/>
      <c r="I117" s="294"/>
      <c r="J117" s="53"/>
      <c r="K117" s="250"/>
      <c r="L117" s="54"/>
      <c r="M117" s="54"/>
      <c r="N117" s="54"/>
      <c r="O117" s="54"/>
      <c r="P117" s="54"/>
      <c r="Q117" s="211"/>
      <c r="R117" s="345"/>
      <c r="S117" s="400"/>
      <c r="T117" s="346"/>
      <c r="U117" s="64"/>
      <c r="V117" s="64"/>
      <c r="W117" s="64"/>
      <c r="X117" s="64"/>
      <c r="Y117" s="125">
        <f t="shared" si="36"/>
        <v>0</v>
      </c>
      <c r="Z117" s="502"/>
      <c r="AA117" s="96"/>
      <c r="AB117" s="133"/>
      <c r="AC117" s="95"/>
      <c r="AD117" s="95"/>
      <c r="AE117" s="95"/>
      <c r="AF117" s="95"/>
      <c r="AG117" s="95"/>
      <c r="AH117" s="159"/>
      <c r="AI117" s="479"/>
      <c r="AJ117" s="86"/>
      <c r="AK117" s="87"/>
      <c r="AL117" s="89"/>
      <c r="AM117" s="89"/>
      <c r="AN117" s="89"/>
      <c r="AO117" s="89"/>
      <c r="AP117" s="89"/>
      <c r="AQ117" s="169"/>
      <c r="AR117" s="536"/>
    </row>
    <row r="118" spans="1:44" s="2" customFormat="1" x14ac:dyDescent="0.25">
      <c r="A118" s="541"/>
      <c r="B118" s="541"/>
      <c r="C118" s="283"/>
      <c r="D118" s="284"/>
      <c r="E118" s="285"/>
      <c r="F118" s="286"/>
      <c r="G118" s="292"/>
      <c r="H118" s="293"/>
      <c r="I118" s="294"/>
      <c r="J118" s="53"/>
      <c r="K118" s="250"/>
      <c r="L118" s="54"/>
      <c r="M118" s="54"/>
      <c r="N118" s="54"/>
      <c r="O118" s="54"/>
      <c r="P118" s="54"/>
      <c r="Q118" s="211"/>
      <c r="R118" s="62"/>
      <c r="S118" s="389"/>
      <c r="T118" s="64"/>
      <c r="U118" s="64"/>
      <c r="V118" s="64"/>
      <c r="W118" s="64"/>
      <c r="X118" s="64"/>
      <c r="Y118" s="125"/>
      <c r="Z118" s="365"/>
      <c r="AA118" s="96"/>
      <c r="AB118" s="133"/>
      <c r="AC118" s="95"/>
      <c r="AD118" s="95"/>
      <c r="AE118" s="95"/>
      <c r="AF118" s="95"/>
      <c r="AG118" s="95"/>
      <c r="AH118" s="159"/>
      <c r="AI118" s="479"/>
      <c r="AJ118" s="86"/>
      <c r="AK118" s="87"/>
      <c r="AL118" s="89"/>
      <c r="AM118" s="89"/>
      <c r="AN118" s="89"/>
      <c r="AO118" s="89"/>
      <c r="AP118" s="89"/>
      <c r="AQ118" s="169"/>
      <c r="AR118" s="536"/>
    </row>
    <row r="119" spans="1:44" s="2" customFormat="1" x14ac:dyDescent="0.25">
      <c r="A119" s="283"/>
      <c r="B119" s="283"/>
      <c r="C119" s="283"/>
      <c r="D119" s="284"/>
      <c r="E119" s="285"/>
      <c r="F119" s="286"/>
      <c r="G119" s="292"/>
      <c r="H119" s="293"/>
      <c r="I119" s="294"/>
      <c r="J119" s="53"/>
      <c r="K119" s="250"/>
      <c r="L119" s="54"/>
      <c r="M119" s="54"/>
      <c r="N119" s="54"/>
      <c r="O119" s="54"/>
      <c r="P119" s="54"/>
      <c r="Q119" s="211"/>
      <c r="R119" s="62"/>
      <c r="S119" s="389"/>
      <c r="T119" s="64"/>
      <c r="U119" s="64"/>
      <c r="V119" s="64"/>
      <c r="W119" s="64"/>
      <c r="X119" s="64"/>
      <c r="Y119" s="125"/>
      <c r="Z119" s="365"/>
      <c r="AA119" s="96"/>
      <c r="AB119" s="133"/>
      <c r="AC119" s="95"/>
      <c r="AD119" s="95"/>
      <c r="AE119" s="95"/>
      <c r="AF119" s="95"/>
      <c r="AG119" s="95"/>
      <c r="AH119" s="159"/>
      <c r="AI119" s="479"/>
      <c r="AJ119" s="86"/>
      <c r="AK119" s="87"/>
      <c r="AL119" s="89"/>
      <c r="AM119" s="89"/>
      <c r="AN119" s="89"/>
      <c r="AO119" s="89"/>
      <c r="AP119" s="89"/>
      <c r="AQ119" s="169"/>
      <c r="AR119" s="536"/>
    </row>
    <row r="120" spans="1:44" s="23" customFormat="1" ht="3.75" customHeight="1" x14ac:dyDescent="0.25">
      <c r="A120" s="16"/>
      <c r="B120" s="16"/>
      <c r="C120" s="16"/>
      <c r="D120" s="16"/>
      <c r="E120" s="18"/>
      <c r="F120" s="18"/>
      <c r="G120" s="18"/>
      <c r="H120" s="18"/>
      <c r="I120" s="18"/>
      <c r="J120" s="16"/>
      <c r="K120" s="19"/>
      <c r="L120" s="17"/>
      <c r="M120" s="17"/>
      <c r="N120" s="17"/>
      <c r="O120" s="17"/>
      <c r="P120" s="17"/>
      <c r="Q120" s="17"/>
      <c r="R120" s="16"/>
      <c r="S120" s="385"/>
      <c r="T120" s="21"/>
      <c r="U120" s="21"/>
      <c r="V120" s="21"/>
      <c r="W120" s="21"/>
      <c r="X120" s="21"/>
      <c r="Y120" s="21"/>
      <c r="Z120" s="21"/>
      <c r="AA120" s="263"/>
      <c r="AB120" s="20"/>
      <c r="AC120" s="21"/>
      <c r="AD120" s="21"/>
      <c r="AE120" s="21"/>
      <c r="AF120" s="21"/>
      <c r="AG120" s="21"/>
      <c r="AH120" s="21"/>
      <c r="AI120" s="412"/>
      <c r="AJ120" s="20"/>
      <c r="AK120" s="20"/>
      <c r="AL120" s="20"/>
      <c r="AM120" s="20"/>
      <c r="AN120" s="20"/>
      <c r="AO120" s="20"/>
      <c r="AP120" s="20"/>
      <c r="AQ120" s="22"/>
      <c r="AR120" s="412"/>
    </row>
    <row r="121" spans="1:44" s="151" customFormat="1" x14ac:dyDescent="0.25">
      <c r="A121" s="77"/>
      <c r="B121" s="77"/>
      <c r="C121" s="298" t="s">
        <v>485</v>
      </c>
      <c r="D121" s="115"/>
      <c r="E121" s="144"/>
      <c r="F121" s="144"/>
      <c r="G121" s="144"/>
      <c r="H121" s="144"/>
      <c r="I121" s="145"/>
      <c r="J121" s="304" t="str">
        <f>C121</f>
        <v>Implementation and Setup Fees for Optional Processing Sum:</v>
      </c>
      <c r="K121" s="303"/>
      <c r="L121" s="146"/>
      <c r="M121" s="146"/>
      <c r="N121" s="146"/>
      <c r="O121" s="146"/>
      <c r="P121" s="146"/>
      <c r="Q121" s="210">
        <f>SUM(Q100:Q119)</f>
        <v>0</v>
      </c>
      <c r="R121" s="320" t="str">
        <f>C121</f>
        <v>Implementation and Setup Fees for Optional Processing Sum:</v>
      </c>
      <c r="S121" s="387"/>
      <c r="T121" s="147"/>
      <c r="U121" s="147"/>
      <c r="V121" s="147"/>
      <c r="W121" s="147"/>
      <c r="X121" s="147"/>
      <c r="Y121" s="202">
        <f>SUM(Y89:Y119)</f>
        <v>0</v>
      </c>
      <c r="Z121" s="363"/>
      <c r="AA121" s="299" t="str">
        <f>C121</f>
        <v>Implementation and Setup Fees for Optional Processing Sum:</v>
      </c>
      <c r="AB121" s="256"/>
      <c r="AC121" s="153"/>
      <c r="AD121" s="153"/>
      <c r="AE121" s="153"/>
      <c r="AF121" s="153"/>
      <c r="AG121" s="153"/>
      <c r="AH121" s="305">
        <f>SUM(AH89:AH119)</f>
        <v>0</v>
      </c>
      <c r="AI121" s="477"/>
      <c r="AJ121" s="318" t="str">
        <f>C121</f>
        <v>Implementation and Setup Fees for Optional Processing Sum:</v>
      </c>
      <c r="AK121" s="150"/>
      <c r="AL121" s="155"/>
      <c r="AM121" s="155"/>
      <c r="AN121" s="155"/>
      <c r="AO121" s="155"/>
      <c r="AP121" s="155"/>
      <c r="AQ121" s="166">
        <f>SUM(AQ89:AQ119)</f>
        <v>0</v>
      </c>
      <c r="AR121" s="551"/>
    </row>
    <row r="122" spans="1:44" s="23" customFormat="1" ht="3.75" customHeight="1" x14ac:dyDescent="0.25">
      <c r="A122" s="16"/>
      <c r="B122" s="16"/>
      <c r="C122" s="16"/>
      <c r="D122" s="16"/>
      <c r="E122" s="18"/>
      <c r="F122" s="18"/>
      <c r="G122" s="18"/>
      <c r="H122" s="18"/>
      <c r="I122" s="18"/>
      <c r="J122" s="16"/>
      <c r="K122" s="19"/>
      <c r="L122" s="17"/>
      <c r="M122" s="17"/>
      <c r="N122" s="17"/>
      <c r="O122" s="17"/>
      <c r="P122" s="17"/>
      <c r="Q122" s="17"/>
      <c r="R122" s="16"/>
      <c r="S122" s="385"/>
      <c r="T122" s="21"/>
      <c r="U122" s="21"/>
      <c r="V122" s="21"/>
      <c r="W122" s="21"/>
      <c r="X122" s="21"/>
      <c r="Y122" s="21"/>
      <c r="Z122" s="21"/>
      <c r="AA122" s="16"/>
      <c r="AB122" s="20"/>
      <c r="AC122" s="21"/>
      <c r="AD122" s="21"/>
      <c r="AE122" s="21"/>
      <c r="AF122" s="21"/>
      <c r="AG122" s="21"/>
      <c r="AH122" s="21"/>
      <c r="AI122" s="412"/>
      <c r="AJ122" s="20"/>
      <c r="AK122" s="20"/>
      <c r="AL122" s="20"/>
      <c r="AM122" s="20"/>
      <c r="AN122" s="20"/>
      <c r="AO122" s="20"/>
      <c r="AP122" s="20"/>
      <c r="AQ122" s="22"/>
      <c r="AR122" s="412"/>
    </row>
    <row r="123" spans="1:44" s="199" customFormat="1" ht="21" x14ac:dyDescent="0.25">
      <c r="A123" s="189"/>
      <c r="B123" s="189"/>
      <c r="C123" s="189" t="s">
        <v>419</v>
      </c>
      <c r="D123" s="190"/>
      <c r="E123" s="191"/>
      <c r="F123" s="191"/>
      <c r="G123" s="191"/>
      <c r="H123" s="191"/>
      <c r="I123" s="192"/>
      <c r="J123" s="141" t="s">
        <v>419</v>
      </c>
      <c r="K123" s="302"/>
      <c r="L123" s="143"/>
      <c r="M123" s="143"/>
      <c r="N123" s="143"/>
      <c r="O123" s="143"/>
      <c r="P123" s="143"/>
      <c r="Q123" s="215"/>
      <c r="R123" s="142" t="s">
        <v>419</v>
      </c>
      <c r="S123" s="392"/>
      <c r="T123" s="139"/>
      <c r="U123" s="139"/>
      <c r="V123" s="139"/>
      <c r="W123" s="139"/>
      <c r="X123" s="139"/>
      <c r="Y123" s="193" t="e">
        <f>SUM(Y76,Y86,Y121)</f>
        <v>#REF!</v>
      </c>
      <c r="Z123" s="367"/>
      <c r="AA123" s="340" t="s">
        <v>419</v>
      </c>
      <c r="AB123" s="259"/>
      <c r="AC123" s="154"/>
      <c r="AD123" s="154"/>
      <c r="AE123" s="154"/>
      <c r="AF123" s="154"/>
      <c r="AG123" s="154"/>
      <c r="AH123" s="194">
        <f>SUM(AH76,AH86,AH121)</f>
        <v>0</v>
      </c>
      <c r="AI123" s="481"/>
      <c r="AJ123" s="546" t="str">
        <f>AA123</f>
        <v>Term Totals</v>
      </c>
      <c r="AK123" s="196"/>
      <c r="AL123" s="197"/>
      <c r="AM123" s="197"/>
      <c r="AN123" s="197"/>
      <c r="AO123" s="197"/>
      <c r="AP123" s="197"/>
      <c r="AQ123" s="198">
        <f>SUM(AQ76,AQ86,AQ121)</f>
        <v>0</v>
      </c>
      <c r="AR123" s="554"/>
    </row>
    <row r="124" spans="1:44" s="23" customFormat="1" ht="3.75" customHeight="1" x14ac:dyDescent="0.25">
      <c r="A124" s="16"/>
      <c r="B124" s="16"/>
      <c r="C124" s="16"/>
      <c r="D124" s="16"/>
      <c r="E124" s="18"/>
      <c r="F124" s="18"/>
      <c r="G124" s="18"/>
      <c r="H124" s="18"/>
      <c r="I124" s="18"/>
      <c r="J124" s="16"/>
      <c r="K124" s="19"/>
      <c r="L124" s="17"/>
      <c r="M124" s="17"/>
      <c r="N124" s="17"/>
      <c r="O124" s="17"/>
      <c r="P124" s="17"/>
      <c r="Q124" s="17"/>
      <c r="R124" s="16"/>
      <c r="S124" s="385"/>
      <c r="T124" s="21"/>
      <c r="U124" s="21"/>
      <c r="V124" s="21"/>
      <c r="W124" s="21"/>
      <c r="X124" s="21"/>
      <c r="Y124" s="21"/>
      <c r="Z124" s="21"/>
      <c r="AA124" s="16"/>
      <c r="AB124" s="20"/>
      <c r="AC124" s="21"/>
      <c r="AD124" s="21"/>
      <c r="AE124" s="21"/>
      <c r="AF124" s="21"/>
      <c r="AG124" s="21"/>
      <c r="AH124" s="21"/>
      <c r="AI124" s="412"/>
      <c r="AJ124" s="20"/>
      <c r="AK124" s="20"/>
      <c r="AL124" s="20"/>
      <c r="AM124" s="20"/>
      <c r="AN124" s="20"/>
      <c r="AO124" s="20"/>
      <c r="AP124" s="20"/>
      <c r="AQ124" s="22"/>
      <c r="AR124" s="412"/>
    </row>
    <row r="125" spans="1:44" s="13" customFormat="1" ht="18.75" x14ac:dyDescent="0.25">
      <c r="A125" s="78"/>
      <c r="B125" s="78"/>
      <c r="C125" s="78"/>
      <c r="D125" s="116"/>
      <c r="E125" s="68"/>
      <c r="F125" s="68"/>
      <c r="G125" s="68"/>
      <c r="H125" s="68"/>
      <c r="I125" s="69"/>
      <c r="J125" s="59"/>
      <c r="K125" s="321"/>
      <c r="L125" s="60"/>
      <c r="M125" s="60"/>
      <c r="N125" s="60"/>
      <c r="O125" s="60"/>
      <c r="P125" s="60"/>
      <c r="Q125" s="213"/>
      <c r="R125" s="82"/>
      <c r="S125" s="393"/>
      <c r="T125" s="64"/>
      <c r="U125" s="64"/>
      <c r="V125" s="64"/>
      <c r="W125" s="64"/>
      <c r="X125" s="64"/>
      <c r="Y125" s="130"/>
      <c r="Z125" s="368"/>
      <c r="AA125" s="98"/>
      <c r="AB125" s="260"/>
      <c r="AC125" s="97"/>
      <c r="AD125" s="97"/>
      <c r="AE125" s="97"/>
      <c r="AF125" s="97"/>
      <c r="AG125" s="97"/>
      <c r="AH125" s="161"/>
      <c r="AI125" s="482"/>
      <c r="AJ125" s="90"/>
      <c r="AK125" s="91"/>
      <c r="AL125" s="88"/>
      <c r="AM125" s="88"/>
      <c r="AN125" s="88"/>
      <c r="AO125" s="88"/>
      <c r="AP125" s="88"/>
      <c r="AQ125" s="170"/>
      <c r="AR125" s="555"/>
    </row>
    <row r="126" spans="1:44" s="2" customFormat="1" x14ac:dyDescent="0.25">
      <c r="A126" s="79"/>
      <c r="B126" s="79"/>
      <c r="C126" s="79"/>
      <c r="D126" s="117"/>
      <c r="E126" s="73"/>
      <c r="F126" s="73"/>
      <c r="G126" s="73"/>
      <c r="H126" s="73"/>
      <c r="I126" s="74"/>
      <c r="J126" s="56"/>
      <c r="K126" s="322"/>
      <c r="L126" s="61"/>
      <c r="M126" s="61"/>
      <c r="N126" s="61"/>
      <c r="O126" s="61"/>
      <c r="P126" s="61"/>
      <c r="Q126" s="214"/>
      <c r="R126" s="65"/>
      <c r="S126" s="394"/>
      <c r="T126" s="83"/>
      <c r="U126" s="83"/>
      <c r="V126" s="83"/>
      <c r="W126" s="83"/>
      <c r="X126" s="83"/>
      <c r="Y126" s="126"/>
      <c r="Z126" s="369"/>
      <c r="AA126" s="99"/>
      <c r="AB126" s="261"/>
      <c r="AC126" s="100"/>
      <c r="AD126" s="100"/>
      <c r="AE126" s="100"/>
      <c r="AF126" s="100"/>
      <c r="AG126" s="100"/>
      <c r="AH126" s="162"/>
      <c r="AI126" s="483"/>
      <c r="AJ126" s="92"/>
      <c r="AK126" s="93"/>
      <c r="AL126" s="93"/>
      <c r="AM126" s="93"/>
      <c r="AN126" s="93"/>
      <c r="AO126" s="93"/>
      <c r="AP126" s="93"/>
      <c r="AQ126" s="171"/>
      <c r="AR126" s="539"/>
    </row>
  </sheetData>
  <mergeCells count="10">
    <mergeCell ref="J5:Q5"/>
    <mergeCell ref="R5:Y5"/>
    <mergeCell ref="AA5:AH5"/>
    <mergeCell ref="AJ5:AQ5"/>
    <mergeCell ref="E3:E4"/>
    <mergeCell ref="F3:I3"/>
    <mergeCell ref="J4:Q4"/>
    <mergeCell ref="R4:Y4"/>
    <mergeCell ref="AA4:AH4"/>
    <mergeCell ref="AJ4:AQ4"/>
  </mergeCells>
  <phoneticPr fontId="22" type="noConversion"/>
  <conditionalFormatting sqref="J6:K6">
    <cfRule type="containsText" dxfId="29" priority="1" operator="containsText" text="Red Text">
      <formula>NOT(ISERROR(SEARCH("Red Text",J6)))</formula>
    </cfRule>
  </conditionalFormatting>
  <pageMargins left="0.7" right="0.7" top="0.75" bottom="0.75" header="0.3" footer="0.3"/>
  <pageSetup scale="11" orientation="portrait" r:id="rId1"/>
  <colBreaks count="3" manualBreakCount="3">
    <brk id="17" max="1048575" man="1"/>
    <brk id="26" max="1048575" man="1"/>
    <brk id="3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4BDFD-9937-47C7-B85B-3D8F8432161B}">
  <sheetPr codeName="Sheet4"/>
  <dimension ref="A1:AS126"/>
  <sheetViews>
    <sheetView showGridLines="0" view="pageBreakPreview" topLeftCell="A2" zoomScale="70" zoomScaleNormal="75" zoomScaleSheetLayoutView="70" workbookViewId="0">
      <pane xSplit="4" ySplit="6" topLeftCell="E8" activePane="bottomRight" state="frozen"/>
      <selection pane="topRight" activeCell="D2" sqref="D2"/>
      <selection pane="bottomLeft" activeCell="B8" sqref="B8"/>
      <selection pane="bottomRight" activeCell="C4" sqref="C4"/>
    </sheetView>
  </sheetViews>
  <sheetFormatPr defaultColWidth="9.28515625" defaultRowHeight="15.75" x14ac:dyDescent="0.25"/>
  <cols>
    <col min="1" max="1" width="15.28515625" style="36" bestFit="1" customWidth="1"/>
    <col min="2" max="2" width="7.7109375" style="36" bestFit="1" customWidth="1"/>
    <col min="3" max="3" width="72.5703125" style="36" bestFit="1" customWidth="1"/>
    <col min="4" max="4" width="14.85546875" style="36" customWidth="1"/>
    <col min="5" max="9" width="12" style="38" customWidth="1"/>
    <col min="10" max="10" width="42.28515625" style="34" hidden="1" customWidth="1"/>
    <col min="11" max="11" width="13" style="216" hidden="1" customWidth="1"/>
    <col min="12" max="16" width="13" style="35" hidden="1" customWidth="1"/>
    <col min="17" max="17" width="19.28515625" style="35" hidden="1" customWidth="1"/>
    <col min="18" max="18" width="58.28515625" style="34" bestFit="1" customWidth="1"/>
    <col min="19" max="19" width="15" style="395" customWidth="1"/>
    <col min="20" max="24" width="12" style="35" customWidth="1"/>
    <col min="25" max="25" width="18.28515625" style="35" customWidth="1"/>
    <col min="26" max="26" width="61.7109375" style="35" customWidth="1"/>
    <col min="27" max="27" width="58.28515625" style="34" bestFit="1" customWidth="1"/>
    <col min="28" max="28" width="14" style="27" customWidth="1"/>
    <col min="29" max="33" width="12" style="35" customWidth="1"/>
    <col min="34" max="34" width="18.7109375" style="35" customWidth="1"/>
    <col min="35" max="35" width="44.7109375" style="413" customWidth="1"/>
    <col min="36" max="36" width="47" style="27" customWidth="1"/>
    <col min="37" max="37" width="13" style="27" customWidth="1"/>
    <col min="38" max="42" width="12.85546875" style="27" customWidth="1"/>
    <col min="43" max="43" width="18.85546875" style="27" customWidth="1"/>
    <col min="44" max="44" width="44.7109375" style="413" customWidth="1"/>
    <col min="45" max="16384" width="9.28515625" style="36"/>
  </cols>
  <sheetData>
    <row r="1" spans="1:44" s="2" customFormat="1" x14ac:dyDescent="0.25">
      <c r="E1" s="3"/>
      <c r="F1" s="3"/>
      <c r="G1" s="3"/>
      <c r="H1" s="3"/>
      <c r="I1" s="3"/>
      <c r="J1" s="4"/>
      <c r="K1" s="5"/>
      <c r="L1" s="6"/>
      <c r="M1" s="6"/>
      <c r="N1" s="6"/>
      <c r="O1" s="6"/>
      <c r="P1" s="6"/>
      <c r="Q1" s="6"/>
      <c r="R1" s="7"/>
      <c r="S1" s="382"/>
      <c r="T1" s="9"/>
      <c r="U1" s="9"/>
      <c r="V1" s="9"/>
      <c r="W1" s="9"/>
      <c r="X1" s="9"/>
      <c r="Y1" s="9"/>
      <c r="Z1" s="9"/>
      <c r="AA1" s="10"/>
      <c r="AB1" s="11"/>
      <c r="AC1" s="12"/>
      <c r="AD1" s="12"/>
      <c r="AE1" s="12"/>
      <c r="AF1" s="12"/>
      <c r="AG1" s="12"/>
      <c r="AH1" s="12"/>
      <c r="AI1" s="410"/>
      <c r="AJ1" s="1"/>
      <c r="AK1" s="1"/>
      <c r="AL1" s="27"/>
      <c r="AM1" s="27"/>
      <c r="AN1" s="27"/>
      <c r="AO1" s="27"/>
      <c r="AP1" s="27"/>
      <c r="AQ1" s="27"/>
      <c r="AR1" s="410"/>
    </row>
    <row r="2" spans="1:44" s="2" customFormat="1" ht="16.5" thickBot="1" x14ac:dyDescent="0.3">
      <c r="E2" s="3"/>
      <c r="F2" s="3"/>
      <c r="G2" s="3"/>
      <c r="H2" s="3"/>
      <c r="I2" s="3"/>
      <c r="J2" s="4"/>
      <c r="K2" s="5"/>
      <c r="L2" s="6"/>
      <c r="M2" s="6"/>
      <c r="N2" s="6"/>
      <c r="O2" s="6"/>
      <c r="P2" s="6"/>
      <c r="Q2" s="6"/>
      <c r="R2" s="7"/>
      <c r="S2" s="382"/>
      <c r="T2" s="9"/>
      <c r="U2" s="9"/>
      <c r="V2" s="9"/>
      <c r="W2" s="9"/>
      <c r="X2" s="9"/>
      <c r="Y2" s="9"/>
      <c r="Z2" s="9"/>
      <c r="AA2" s="10"/>
      <c r="AB2" s="11"/>
      <c r="AC2" s="12"/>
      <c r="AD2" s="12"/>
      <c r="AE2" s="12"/>
      <c r="AF2" s="12"/>
      <c r="AG2" s="12"/>
      <c r="AH2" s="12"/>
      <c r="AI2" s="474"/>
      <c r="AJ2" s="1"/>
      <c r="AK2" s="1"/>
      <c r="AL2" s="27"/>
      <c r="AM2" s="27"/>
      <c r="AN2" s="27"/>
      <c r="AO2" s="27"/>
      <c r="AP2" s="27"/>
      <c r="AQ2" s="27"/>
      <c r="AR2" s="474"/>
    </row>
    <row r="3" spans="1:44" s="2" customFormat="1" ht="26.25" x14ac:dyDescent="0.25">
      <c r="A3" s="24"/>
      <c r="B3" s="24"/>
      <c r="C3" s="24" t="s">
        <v>486</v>
      </c>
      <c r="D3" s="231"/>
      <c r="E3" s="1312" t="s">
        <v>28</v>
      </c>
      <c r="F3" s="1314" t="s">
        <v>29</v>
      </c>
      <c r="G3" s="1315"/>
      <c r="H3" s="1315"/>
      <c r="I3" s="1316"/>
      <c r="J3" s="137"/>
      <c r="K3" s="135"/>
      <c r="L3" s="134"/>
      <c r="M3" s="136"/>
      <c r="N3" s="136"/>
      <c r="O3" s="136"/>
      <c r="P3" s="136"/>
      <c r="Q3" s="136"/>
      <c r="R3" s="137"/>
      <c r="S3" s="383"/>
      <c r="T3" s="134"/>
      <c r="U3" s="136"/>
      <c r="V3" s="136"/>
      <c r="W3" s="136"/>
      <c r="X3" s="136"/>
      <c r="Y3" s="136"/>
      <c r="Z3" s="136"/>
      <c r="AA3" s="137"/>
      <c r="AB3" s="135"/>
      <c r="AC3" s="134"/>
      <c r="AD3" s="136"/>
      <c r="AE3" s="136"/>
      <c r="AF3" s="136"/>
      <c r="AG3" s="136"/>
      <c r="AH3" s="136"/>
      <c r="AI3" s="411"/>
      <c r="AJ3" s="137"/>
      <c r="AK3" s="135"/>
      <c r="AL3" s="134"/>
      <c r="AM3" s="136"/>
      <c r="AN3" s="136"/>
      <c r="AO3" s="136"/>
      <c r="AP3" s="136"/>
      <c r="AQ3" s="136"/>
      <c r="AR3" s="411"/>
    </row>
    <row r="4" spans="1:44" s="233" customFormat="1" ht="26.25" customHeight="1" x14ac:dyDescent="0.25">
      <c r="A4" s="232"/>
      <c r="B4" s="232"/>
      <c r="C4" s="309" t="str">
        <f>'(INTERNAL) Basic Entry '!$C$7</f>
        <v>First State Bank of Waynesboro</v>
      </c>
      <c r="E4" s="1313"/>
      <c r="F4" s="225" t="s">
        <v>30</v>
      </c>
      <c r="G4" s="226" t="s">
        <v>31</v>
      </c>
      <c r="H4" s="228" t="s">
        <v>32</v>
      </c>
      <c r="I4" s="229" t="s">
        <v>33</v>
      </c>
      <c r="J4" s="1317" t="str">
        <f>'(INTERNAL) Basic Entry '!$C$17</f>
        <v>Current (FIS Bankway)</v>
      </c>
      <c r="K4" s="1318"/>
      <c r="L4" s="1318"/>
      <c r="M4" s="1318"/>
      <c r="N4" s="1318"/>
      <c r="O4" s="1318"/>
      <c r="P4" s="1318"/>
      <c r="Q4" s="1319"/>
      <c r="R4" s="1320" t="str">
        <f>'(INTERNAL) Basic Entry '!$C$19</f>
        <v>FIS Horizon with D1 Flex</v>
      </c>
      <c r="S4" s="1321"/>
      <c r="T4" s="1321"/>
      <c r="U4" s="1321"/>
      <c r="V4" s="1321"/>
      <c r="W4" s="1321"/>
      <c r="X4" s="1321"/>
      <c r="Y4" s="1322"/>
      <c r="Z4" s="371"/>
      <c r="AA4" s="1323" t="str">
        <f>'(INTERNAL) Basic Entry '!C21</f>
        <v>FIS Horizon WITHOUT D1 Flex</v>
      </c>
      <c r="AB4" s="1324"/>
      <c r="AC4" s="1324"/>
      <c r="AD4" s="1324"/>
      <c r="AE4" s="1324"/>
      <c r="AF4" s="1324"/>
      <c r="AG4" s="1324"/>
      <c r="AH4" s="1325"/>
      <c r="AI4" s="475"/>
      <c r="AJ4" s="1326" t="str">
        <f>'(INTERNAL) Basic Entry '!C23</f>
        <v>Vendor #3</v>
      </c>
      <c r="AK4" s="1327"/>
      <c r="AL4" s="1327"/>
      <c r="AM4" s="1327"/>
      <c r="AN4" s="1327"/>
      <c r="AO4" s="1327"/>
      <c r="AP4" s="1327"/>
      <c r="AQ4" s="1328"/>
      <c r="AR4" s="548"/>
    </row>
    <row r="5" spans="1:44" s="2" customFormat="1" ht="18.399999999999999" customHeight="1" thickBot="1" x14ac:dyDescent="0.3">
      <c r="A5" s="26"/>
      <c r="B5" s="25"/>
      <c r="C5" s="273" t="str">
        <f>'(INTERNAL) Basic Entry '!$C$9&amp;" Pricing Analysis"</f>
        <v>CORE &amp; DIGITAL Pricing Analysis</v>
      </c>
      <c r="E5" s="224">
        <v>0</v>
      </c>
      <c r="F5" s="223">
        <v>0</v>
      </c>
      <c r="G5" s="227">
        <v>0</v>
      </c>
      <c r="H5" s="227">
        <v>0</v>
      </c>
      <c r="I5" s="230">
        <v>0</v>
      </c>
      <c r="J5" s="1332" t="str">
        <f>'(INTERNAL) Basic Entry '!$B$14</f>
        <v>Baseline from Current Invoices</v>
      </c>
      <c r="K5" s="1333"/>
      <c r="L5" s="1333"/>
      <c r="M5" s="1333"/>
      <c r="N5" s="1333"/>
      <c r="O5" s="1333"/>
      <c r="P5" s="1333"/>
      <c r="Q5" s="1334"/>
      <c r="R5" s="1335" t="str">
        <f>'(INTERNAL) Basic Entry '!F19</f>
        <v>Proposal Dated 12/13/2023</v>
      </c>
      <c r="S5" s="1336"/>
      <c r="T5" s="1336"/>
      <c r="U5" s="1336"/>
      <c r="V5" s="1336"/>
      <c r="W5" s="1336"/>
      <c r="X5" s="1336"/>
      <c r="Y5" s="1337"/>
      <c r="Z5" s="372"/>
      <c r="AA5" s="1338" t="str">
        <f>'(INTERNAL) Basic Entry '!F21</f>
        <v>Proposal Dated 12/13/2023</v>
      </c>
      <c r="AB5" s="1339"/>
      <c r="AC5" s="1339"/>
      <c r="AD5" s="1339"/>
      <c r="AE5" s="1339"/>
      <c r="AF5" s="1339"/>
      <c r="AG5" s="1339"/>
      <c r="AH5" s="1340"/>
      <c r="AI5" s="484"/>
      <c r="AJ5" s="1309" t="str">
        <f>'(INTERNAL) Basic Entry '!F23</f>
        <v>Month Year</v>
      </c>
      <c r="AK5" s="1310"/>
      <c r="AL5" s="1310"/>
      <c r="AM5" s="1310"/>
      <c r="AN5" s="1310"/>
      <c r="AO5" s="1310"/>
      <c r="AP5" s="1310"/>
      <c r="AQ5" s="1311"/>
      <c r="AR5" s="549"/>
    </row>
    <row r="6" spans="1:44" s="15" customFormat="1" ht="56.25" x14ac:dyDescent="0.3">
      <c r="A6" s="101" t="s">
        <v>464</v>
      </c>
      <c r="B6" s="101" t="s">
        <v>465</v>
      </c>
      <c r="C6" s="28" t="s">
        <v>46</v>
      </c>
      <c r="D6" s="101" t="s">
        <v>40</v>
      </c>
      <c r="E6" s="217" t="s">
        <v>41</v>
      </c>
      <c r="F6" s="217" t="s">
        <v>42</v>
      </c>
      <c r="G6" s="217" t="s">
        <v>43</v>
      </c>
      <c r="H6" s="217" t="s">
        <v>44</v>
      </c>
      <c r="I6" s="217" t="s">
        <v>45</v>
      </c>
      <c r="J6" s="29" t="s">
        <v>46</v>
      </c>
      <c r="K6" s="338" t="s">
        <v>47</v>
      </c>
      <c r="L6" s="30" t="s">
        <v>48</v>
      </c>
      <c r="M6" s="30" t="s">
        <v>49</v>
      </c>
      <c r="N6" s="30" t="s">
        <v>50</v>
      </c>
      <c r="O6" s="30" t="s">
        <v>51</v>
      </c>
      <c r="P6" s="30" t="s">
        <v>52</v>
      </c>
      <c r="Q6" s="208" t="s">
        <v>53</v>
      </c>
      <c r="R6" s="235" t="s">
        <v>55</v>
      </c>
      <c r="S6" s="384" t="s">
        <v>47</v>
      </c>
      <c r="T6" s="31" t="s">
        <v>48</v>
      </c>
      <c r="U6" s="31" t="s">
        <v>49</v>
      </c>
      <c r="V6" s="31" t="s">
        <v>50</v>
      </c>
      <c r="W6" s="31" t="s">
        <v>51</v>
      </c>
      <c r="X6" s="31" t="s">
        <v>52</v>
      </c>
      <c r="Y6" s="122" t="s">
        <v>58</v>
      </c>
      <c r="Z6" s="373" t="s">
        <v>466</v>
      </c>
      <c r="AA6" s="32" t="s">
        <v>55</v>
      </c>
      <c r="AB6" s="254" t="s">
        <v>47</v>
      </c>
      <c r="AC6" s="33" t="s">
        <v>48</v>
      </c>
      <c r="AD6" s="33" t="s">
        <v>49</v>
      </c>
      <c r="AE6" s="33" t="s">
        <v>50</v>
      </c>
      <c r="AF6" s="33" t="s">
        <v>51</v>
      </c>
      <c r="AG6" s="33" t="s">
        <v>52</v>
      </c>
      <c r="AH6" s="157" t="s">
        <v>58</v>
      </c>
      <c r="AI6" s="485" t="s">
        <v>466</v>
      </c>
      <c r="AJ6" s="236" t="s">
        <v>55</v>
      </c>
      <c r="AK6" s="37" t="s">
        <v>47</v>
      </c>
      <c r="AL6" s="37" t="s">
        <v>48</v>
      </c>
      <c r="AM6" s="37" t="s">
        <v>49</v>
      </c>
      <c r="AN6" s="37" t="s">
        <v>50</v>
      </c>
      <c r="AO6" s="37" t="s">
        <v>51</v>
      </c>
      <c r="AP6" s="37" t="s">
        <v>52</v>
      </c>
      <c r="AQ6" s="164" t="s">
        <v>58</v>
      </c>
      <c r="AR6" s="550" t="s">
        <v>466</v>
      </c>
    </row>
    <row r="7" spans="1:44" s="23" customFormat="1" ht="3.75" customHeight="1" x14ac:dyDescent="0.25">
      <c r="A7" s="16"/>
      <c r="B7" s="16"/>
      <c r="C7" s="16"/>
      <c r="D7" s="16"/>
      <c r="E7" s="18"/>
      <c r="F7" s="18"/>
      <c r="G7" s="18"/>
      <c r="H7" s="18"/>
      <c r="I7" s="18"/>
      <c r="J7" s="16"/>
      <c r="K7" s="19"/>
      <c r="L7" s="17"/>
      <c r="M7" s="17"/>
      <c r="N7" s="17"/>
      <c r="O7" s="17"/>
      <c r="P7" s="17"/>
      <c r="Q7" s="17"/>
      <c r="R7" s="16"/>
      <c r="S7" s="385"/>
      <c r="T7" s="21"/>
      <c r="U7" s="21"/>
      <c r="V7" s="21"/>
      <c r="W7" s="21"/>
      <c r="X7" s="21"/>
      <c r="Y7" s="21"/>
      <c r="Z7" s="21"/>
      <c r="AA7" s="16"/>
      <c r="AB7" s="20"/>
      <c r="AC7" s="21"/>
      <c r="AD7" s="21"/>
      <c r="AE7" s="21"/>
      <c r="AF7" s="21"/>
      <c r="AG7" s="21"/>
      <c r="AH7" s="21"/>
      <c r="AI7" s="412"/>
      <c r="AJ7" s="20"/>
      <c r="AK7" s="20"/>
      <c r="AL7" s="20"/>
      <c r="AM7" s="20"/>
      <c r="AN7" s="20"/>
      <c r="AO7" s="20"/>
      <c r="AP7" s="20"/>
      <c r="AQ7" s="22"/>
      <c r="AR7" s="412"/>
    </row>
    <row r="8" spans="1:44" s="109" customFormat="1" x14ac:dyDescent="0.25">
      <c r="A8" s="253"/>
      <c r="B8" s="374"/>
      <c r="C8" s="242" t="s">
        <v>467</v>
      </c>
      <c r="D8" s="243"/>
      <c r="E8" s="243"/>
      <c r="F8" s="243"/>
      <c r="G8" s="243"/>
      <c r="H8" s="243"/>
      <c r="I8" s="244"/>
      <c r="J8" s="121"/>
      <c r="K8" s="247"/>
      <c r="L8" s="118"/>
      <c r="M8" s="118"/>
      <c r="N8" s="118"/>
      <c r="O8" s="118"/>
      <c r="P8" s="118"/>
      <c r="Q8" s="209"/>
      <c r="R8" s="252" t="str">
        <f>C8</f>
        <v>IHC ITEMS</v>
      </c>
      <c r="S8" s="386"/>
      <c r="T8" s="243"/>
      <c r="U8" s="243"/>
      <c r="V8" s="243"/>
      <c r="W8" s="243"/>
      <c r="X8" s="244"/>
      <c r="Y8" s="123"/>
      <c r="Z8" s="362"/>
      <c r="AA8" s="242" t="s">
        <v>467</v>
      </c>
      <c r="AB8" s="243"/>
      <c r="AC8" s="243"/>
      <c r="AD8" s="243"/>
      <c r="AE8" s="243"/>
      <c r="AF8" s="243"/>
      <c r="AG8" s="244"/>
      <c r="AH8" s="158"/>
      <c r="AI8" s="473"/>
      <c r="AJ8" s="242" t="s">
        <v>467</v>
      </c>
      <c r="AK8" s="243"/>
      <c r="AL8" s="243"/>
      <c r="AM8" s="243"/>
      <c r="AN8" s="243"/>
      <c r="AO8" s="243"/>
      <c r="AP8" s="244"/>
      <c r="AQ8" s="165"/>
      <c r="AR8" s="531"/>
    </row>
    <row r="9" spans="1:44" s="109" customFormat="1" x14ac:dyDescent="0.25">
      <c r="A9" s="445"/>
      <c r="B9" s="253"/>
      <c r="C9" s="453"/>
      <c r="D9" s="128"/>
      <c r="E9" s="127">
        <f t="shared" ref="E9:E19" si="0">D9*12</f>
        <v>0</v>
      </c>
      <c r="F9" s="127">
        <f t="shared" ref="F9:I19" si="1">IF(E9&gt;12,(((E9)*$E$5)+E9),(E9*1))</f>
        <v>0</v>
      </c>
      <c r="G9" s="127">
        <f t="shared" si="1"/>
        <v>0</v>
      </c>
      <c r="H9" s="127">
        <f t="shared" si="1"/>
        <v>0</v>
      </c>
      <c r="I9" s="127">
        <f t="shared" si="1"/>
        <v>0</v>
      </c>
      <c r="J9" s="121"/>
      <c r="K9" s="247"/>
      <c r="L9" s="118"/>
      <c r="M9" s="118"/>
      <c r="N9" s="118"/>
      <c r="O9" s="118"/>
      <c r="P9" s="118"/>
      <c r="Q9" s="209"/>
      <c r="R9" s="222"/>
      <c r="S9" s="335"/>
      <c r="T9" s="103">
        <f t="shared" ref="T9:X19" si="2">IF($S9&gt;0,PRODUCT(E9,$S9),0)</f>
        <v>0</v>
      </c>
      <c r="U9" s="103">
        <f t="shared" si="2"/>
        <v>0</v>
      </c>
      <c r="V9" s="103">
        <f t="shared" si="2"/>
        <v>0</v>
      </c>
      <c r="W9" s="103">
        <f t="shared" si="2"/>
        <v>0</v>
      </c>
      <c r="X9" s="103">
        <f t="shared" si="2"/>
        <v>0</v>
      </c>
      <c r="Y9" s="123">
        <f t="shared" ref="Y9:Y20" si="3">SUM(T9:X9)</f>
        <v>0</v>
      </c>
      <c r="Z9" s="370"/>
      <c r="AA9" s="104"/>
      <c r="AB9" s="255"/>
      <c r="AC9" s="105">
        <f>IF(AB9&gt;0,PRODUCT(E9,$AB9),0)</f>
        <v>0</v>
      </c>
      <c r="AD9" s="105">
        <f>IF(AC9&gt;0,PRODUCT(F9,$AB9),0)</f>
        <v>0</v>
      </c>
      <c r="AE9" s="105">
        <f>IF(AD9&gt;0,PRODUCT(G9,$AB9),0)</f>
        <v>0</v>
      </c>
      <c r="AF9" s="105">
        <f>IF(AE9&gt;0,PRODUCT(H9,$AB9),0)</f>
        <v>0</v>
      </c>
      <c r="AG9" s="105">
        <f>IF(AF9&gt;0,PRODUCT(I9,$AB9),0)</f>
        <v>0</v>
      </c>
      <c r="AH9" s="158">
        <f>SUM(AC9:AG9)</f>
        <v>0</v>
      </c>
      <c r="AI9" s="473"/>
      <c r="AJ9" s="106"/>
      <c r="AK9" s="107"/>
      <c r="AL9" s="108"/>
      <c r="AM9" s="108"/>
      <c r="AN9" s="108"/>
      <c r="AO9" s="108"/>
      <c r="AP9" s="108"/>
      <c r="AQ9" s="165"/>
      <c r="AR9" s="531"/>
    </row>
    <row r="10" spans="1:44" s="109" customFormat="1" x14ac:dyDescent="0.25">
      <c r="A10" s="253"/>
      <c r="B10" s="253"/>
      <c r="C10" s="453"/>
      <c r="D10" s="128"/>
      <c r="E10" s="127">
        <f t="shared" si="0"/>
        <v>0</v>
      </c>
      <c r="F10" s="127">
        <f t="shared" si="1"/>
        <v>0</v>
      </c>
      <c r="G10" s="127">
        <f t="shared" si="1"/>
        <v>0</v>
      </c>
      <c r="H10" s="127">
        <f t="shared" si="1"/>
        <v>0</v>
      </c>
      <c r="I10" s="127">
        <f t="shared" si="1"/>
        <v>0</v>
      </c>
      <c r="J10" s="121"/>
      <c r="K10" s="247"/>
      <c r="L10" s="118"/>
      <c r="M10" s="118"/>
      <c r="N10" s="118"/>
      <c r="O10" s="118"/>
      <c r="P10" s="118"/>
      <c r="Q10" s="209"/>
      <c r="R10" s="222"/>
      <c r="S10" s="335"/>
      <c r="T10" s="103">
        <f t="shared" si="2"/>
        <v>0</v>
      </c>
      <c r="U10" s="103">
        <f t="shared" si="2"/>
        <v>0</v>
      </c>
      <c r="V10" s="103">
        <f t="shared" si="2"/>
        <v>0</v>
      </c>
      <c r="W10" s="103">
        <f t="shared" si="2"/>
        <v>0</v>
      </c>
      <c r="X10" s="103">
        <f t="shared" si="2"/>
        <v>0</v>
      </c>
      <c r="Y10" s="123">
        <f t="shared" si="3"/>
        <v>0</v>
      </c>
      <c r="Z10" s="370"/>
      <c r="AA10" s="104"/>
      <c r="AB10" s="255"/>
      <c r="AC10" s="105"/>
      <c r="AD10" s="105"/>
      <c r="AE10" s="105"/>
      <c r="AF10" s="105"/>
      <c r="AG10" s="105"/>
      <c r="AH10" s="158"/>
      <c r="AI10" s="473"/>
      <c r="AJ10" s="106"/>
      <c r="AK10" s="107"/>
      <c r="AL10" s="108"/>
      <c r="AM10" s="108"/>
      <c r="AN10" s="108"/>
      <c r="AO10" s="108"/>
      <c r="AP10" s="108"/>
      <c r="AQ10" s="165"/>
      <c r="AR10" s="531"/>
    </row>
    <row r="11" spans="1:44" s="109" customFormat="1" x14ac:dyDescent="0.25">
      <c r="A11" s="445"/>
      <c r="B11" s="253"/>
      <c r="C11" s="453"/>
      <c r="D11" s="128"/>
      <c r="E11" s="127">
        <f t="shared" si="0"/>
        <v>0</v>
      </c>
      <c r="F11" s="127">
        <f t="shared" si="1"/>
        <v>0</v>
      </c>
      <c r="G11" s="127">
        <f t="shared" si="1"/>
        <v>0</v>
      </c>
      <c r="H11" s="127">
        <f t="shared" si="1"/>
        <v>0</v>
      </c>
      <c r="I11" s="127">
        <f t="shared" si="1"/>
        <v>0</v>
      </c>
      <c r="J11" s="121"/>
      <c r="K11" s="247"/>
      <c r="L11" s="118"/>
      <c r="M11" s="118"/>
      <c r="N11" s="118"/>
      <c r="O11" s="118"/>
      <c r="P11" s="118"/>
      <c r="Q11" s="209"/>
      <c r="R11" s="222"/>
      <c r="S11" s="335"/>
      <c r="T11" s="103">
        <f t="shared" si="2"/>
        <v>0</v>
      </c>
      <c r="U11" s="103">
        <f t="shared" si="2"/>
        <v>0</v>
      </c>
      <c r="V11" s="103">
        <f t="shared" si="2"/>
        <v>0</v>
      </c>
      <c r="W11" s="103">
        <f t="shared" si="2"/>
        <v>0</v>
      </c>
      <c r="X11" s="103">
        <f t="shared" si="2"/>
        <v>0</v>
      </c>
      <c r="Y11" s="123">
        <f t="shared" si="3"/>
        <v>0</v>
      </c>
      <c r="Z11" s="370"/>
      <c r="AA11" s="104"/>
      <c r="AB11" s="269"/>
      <c r="AC11" s="105">
        <f t="shared" ref="AC11:AG15" si="4">IF(AB11&gt;0,PRODUCT(E11,$AB11),0)</f>
        <v>0</v>
      </c>
      <c r="AD11" s="105">
        <f t="shared" si="4"/>
        <v>0</v>
      </c>
      <c r="AE11" s="105">
        <f t="shared" si="4"/>
        <v>0</v>
      </c>
      <c r="AF11" s="105">
        <f t="shared" si="4"/>
        <v>0</v>
      </c>
      <c r="AG11" s="105">
        <f t="shared" si="4"/>
        <v>0</v>
      </c>
      <c r="AH11" s="158">
        <f>SUM(AC11:AG11)</f>
        <v>0</v>
      </c>
      <c r="AI11" s="473"/>
      <c r="AJ11" s="106"/>
      <c r="AK11" s="107"/>
      <c r="AL11" s="108"/>
      <c r="AM11" s="108"/>
      <c r="AN11" s="108"/>
      <c r="AO11" s="108"/>
      <c r="AP11" s="108"/>
      <c r="AQ11" s="165"/>
      <c r="AR11" s="531"/>
    </row>
    <row r="12" spans="1:44" s="109" customFormat="1" x14ac:dyDescent="0.25">
      <c r="A12" s="445"/>
      <c r="B12" s="253"/>
      <c r="C12" s="453"/>
      <c r="D12" s="128"/>
      <c r="E12" s="127">
        <f t="shared" si="0"/>
        <v>0</v>
      </c>
      <c r="F12" s="127">
        <f t="shared" si="1"/>
        <v>0</v>
      </c>
      <c r="G12" s="127">
        <f t="shared" si="1"/>
        <v>0</v>
      </c>
      <c r="H12" s="127">
        <f t="shared" si="1"/>
        <v>0</v>
      </c>
      <c r="I12" s="127">
        <f t="shared" si="1"/>
        <v>0</v>
      </c>
      <c r="J12" s="121"/>
      <c r="K12" s="247"/>
      <c r="L12" s="118"/>
      <c r="M12" s="118"/>
      <c r="N12" s="118"/>
      <c r="O12" s="118"/>
      <c r="P12" s="118"/>
      <c r="Q12" s="209"/>
      <c r="R12" s="222"/>
      <c r="S12" s="335"/>
      <c r="T12" s="103">
        <f t="shared" si="2"/>
        <v>0</v>
      </c>
      <c r="U12" s="103">
        <f t="shared" si="2"/>
        <v>0</v>
      </c>
      <c r="V12" s="103">
        <f t="shared" si="2"/>
        <v>0</v>
      </c>
      <c r="W12" s="103">
        <f t="shared" si="2"/>
        <v>0</v>
      </c>
      <c r="X12" s="103">
        <f t="shared" si="2"/>
        <v>0</v>
      </c>
      <c r="Y12" s="123">
        <f t="shared" si="3"/>
        <v>0</v>
      </c>
      <c r="Z12" s="370"/>
      <c r="AA12" s="104"/>
      <c r="AB12" s="269"/>
      <c r="AC12" s="105">
        <f t="shared" si="4"/>
        <v>0</v>
      </c>
      <c r="AD12" s="105">
        <f t="shared" si="4"/>
        <v>0</v>
      </c>
      <c r="AE12" s="105">
        <f t="shared" si="4"/>
        <v>0</v>
      </c>
      <c r="AF12" s="105">
        <f t="shared" si="4"/>
        <v>0</v>
      </c>
      <c r="AG12" s="105">
        <f t="shared" si="4"/>
        <v>0</v>
      </c>
      <c r="AH12" s="158">
        <f>SUM(AC12:AG12)</f>
        <v>0</v>
      </c>
      <c r="AI12" s="473"/>
      <c r="AJ12" s="106"/>
      <c r="AK12" s="107"/>
      <c r="AL12" s="108"/>
      <c r="AM12" s="108"/>
      <c r="AN12" s="108"/>
      <c r="AO12" s="108"/>
      <c r="AP12" s="108"/>
      <c r="AQ12" s="165"/>
      <c r="AR12" s="531"/>
    </row>
    <row r="13" spans="1:44" s="495" customFormat="1" x14ac:dyDescent="0.25">
      <c r="A13" s="253"/>
      <c r="B13" s="253"/>
      <c r="C13" s="200"/>
      <c r="D13" s="128"/>
      <c r="E13" s="127">
        <f>D13*12</f>
        <v>0</v>
      </c>
      <c r="F13" s="127">
        <f>IF(E13&gt;12,(((E13)*#REF!)+E13),(E13*1))</f>
        <v>0</v>
      </c>
      <c r="G13" s="127">
        <f>IF(F13&gt;12,(((F13)*#REF!)+F13),(F13*1))</f>
        <v>0</v>
      </c>
      <c r="H13" s="127">
        <f>IF(G13&gt;12,(((G13)*#REF!)+G13),(G13*1))</f>
        <v>0</v>
      </c>
      <c r="I13" s="127">
        <f>IF(H13&gt;12,(((H13)*#REF!)+H13),(H13*1))</f>
        <v>0</v>
      </c>
      <c r="J13" s="245"/>
      <c r="K13" s="247"/>
      <c r="L13" s="129"/>
      <c r="M13" s="129"/>
      <c r="N13" s="129"/>
      <c r="O13" s="129"/>
      <c r="P13" s="129"/>
      <c r="Q13" s="209"/>
      <c r="R13" s="102"/>
      <c r="S13" s="324"/>
      <c r="T13" s="103"/>
      <c r="U13" s="103"/>
      <c r="V13" s="103"/>
      <c r="W13" s="103"/>
      <c r="X13" s="103"/>
      <c r="Y13" s="123"/>
      <c r="Z13" s="370"/>
      <c r="AA13" s="272"/>
      <c r="AB13" s="255"/>
      <c r="AC13" s="105">
        <f t="shared" si="4"/>
        <v>0</v>
      </c>
      <c r="AD13" s="105">
        <f t="shared" si="4"/>
        <v>0</v>
      </c>
      <c r="AE13" s="105">
        <f t="shared" si="4"/>
        <v>0</v>
      </c>
      <c r="AF13" s="105">
        <f t="shared" si="4"/>
        <v>0</v>
      </c>
      <c r="AG13" s="105">
        <f t="shared" si="4"/>
        <v>0</v>
      </c>
      <c r="AH13" s="158">
        <f>SUM(AC13:AG13)</f>
        <v>0</v>
      </c>
      <c r="AI13" s="473"/>
      <c r="AJ13" s="398"/>
      <c r="AK13" s="107"/>
      <c r="AL13" s="108"/>
      <c r="AM13" s="108"/>
      <c r="AN13" s="108"/>
      <c r="AO13" s="108"/>
      <c r="AP13" s="108"/>
      <c r="AQ13" s="165"/>
      <c r="AR13" s="531"/>
    </row>
    <row r="14" spans="1:44" s="495" customFormat="1" x14ac:dyDescent="0.25">
      <c r="A14" s="253"/>
      <c r="B14" s="253"/>
      <c r="C14" s="200"/>
      <c r="D14" s="128"/>
      <c r="E14" s="127">
        <f>D14*12</f>
        <v>0</v>
      </c>
      <c r="F14" s="127">
        <f>IF(E14&gt;12,(((E14)*#REF!)+E14),(E14*1))</f>
        <v>0</v>
      </c>
      <c r="G14" s="127">
        <f>IF(F14&gt;12,(((F14)*#REF!)+F14),(F14*1))</f>
        <v>0</v>
      </c>
      <c r="H14" s="127">
        <f>IF(G14&gt;12,(((G14)*#REF!)+G14),(G14*1))</f>
        <v>0</v>
      </c>
      <c r="I14" s="127">
        <f>IF(H14&gt;12,(((H14)*#REF!)+H14),(H14*1))</f>
        <v>0</v>
      </c>
      <c r="J14" s="245"/>
      <c r="K14" s="247"/>
      <c r="L14" s="129"/>
      <c r="M14" s="129"/>
      <c r="N14" s="129"/>
      <c r="O14" s="129"/>
      <c r="P14" s="129"/>
      <c r="Q14" s="209"/>
      <c r="R14" s="102"/>
      <c r="S14" s="324"/>
      <c r="T14" s="103"/>
      <c r="U14" s="103"/>
      <c r="V14" s="103"/>
      <c r="W14" s="103"/>
      <c r="X14" s="103"/>
      <c r="Y14" s="123"/>
      <c r="Z14" s="370"/>
      <c r="AA14" s="272"/>
      <c r="AB14" s="255"/>
      <c r="AC14" s="105">
        <f t="shared" si="4"/>
        <v>0</v>
      </c>
      <c r="AD14" s="105">
        <f t="shared" si="4"/>
        <v>0</v>
      </c>
      <c r="AE14" s="105">
        <f t="shared" si="4"/>
        <v>0</v>
      </c>
      <c r="AF14" s="105">
        <f t="shared" si="4"/>
        <v>0</v>
      </c>
      <c r="AG14" s="105">
        <f t="shared" si="4"/>
        <v>0</v>
      </c>
      <c r="AH14" s="158">
        <f>SUM(AC14:AG14)</f>
        <v>0</v>
      </c>
      <c r="AI14" s="473"/>
      <c r="AJ14" s="398"/>
      <c r="AK14" s="107"/>
      <c r="AL14" s="108"/>
      <c r="AM14" s="108"/>
      <c r="AN14" s="108"/>
      <c r="AO14" s="108"/>
      <c r="AP14" s="108"/>
      <c r="AQ14" s="165"/>
      <c r="AR14" s="531"/>
    </row>
    <row r="15" spans="1:44" s="109" customFormat="1" x14ac:dyDescent="0.25">
      <c r="A15" s="253"/>
      <c r="B15" s="253"/>
      <c r="C15" s="200"/>
      <c r="D15" s="128"/>
      <c r="E15" s="127">
        <f>D15*12</f>
        <v>0</v>
      </c>
      <c r="F15" s="127">
        <f>IF(E15&gt;12,(((E15)*#REF!)+E15),(E15*1))</f>
        <v>0</v>
      </c>
      <c r="G15" s="127">
        <f>IF(F15&gt;12,(((F15)*#REF!)+F15),(F15*1))</f>
        <v>0</v>
      </c>
      <c r="H15" s="127">
        <f>IF(G15&gt;12,(((G15)*#REF!)+G15),(G15*1))</f>
        <v>0</v>
      </c>
      <c r="I15" s="127">
        <f>IF(H15&gt;12,(((H15)*#REF!)+H15),(H15*1))</f>
        <v>0</v>
      </c>
      <c r="J15" s="245"/>
      <c r="K15" s="247"/>
      <c r="L15" s="129"/>
      <c r="M15" s="129"/>
      <c r="N15" s="129"/>
      <c r="O15" s="129"/>
      <c r="P15" s="129"/>
      <c r="Q15" s="209"/>
      <c r="R15" s="102"/>
      <c r="S15" s="324"/>
      <c r="T15" s="103"/>
      <c r="U15" s="103"/>
      <c r="V15" s="103"/>
      <c r="W15" s="103"/>
      <c r="X15" s="103"/>
      <c r="Y15" s="123"/>
      <c r="Z15" s="370"/>
      <c r="AA15" s="272"/>
      <c r="AB15" s="255"/>
      <c r="AC15" s="105">
        <f t="shared" si="4"/>
        <v>0</v>
      </c>
      <c r="AD15" s="105">
        <f t="shared" si="4"/>
        <v>0</v>
      </c>
      <c r="AE15" s="105">
        <f t="shared" si="4"/>
        <v>0</v>
      </c>
      <c r="AF15" s="105">
        <f t="shared" si="4"/>
        <v>0</v>
      </c>
      <c r="AG15" s="105">
        <f t="shared" si="4"/>
        <v>0</v>
      </c>
      <c r="AH15" s="158">
        <f>SUM(AC15:AG15)</f>
        <v>0</v>
      </c>
      <c r="AI15" s="473"/>
      <c r="AJ15" s="106"/>
      <c r="AK15" s="107"/>
      <c r="AL15" s="108"/>
      <c r="AM15" s="108"/>
      <c r="AN15" s="108"/>
      <c r="AO15" s="108"/>
      <c r="AP15" s="108"/>
      <c r="AQ15" s="165"/>
      <c r="AR15" s="531"/>
    </row>
    <row r="16" spans="1:44" s="109" customFormat="1" x14ac:dyDescent="0.25">
      <c r="A16" s="253"/>
      <c r="B16" s="253"/>
      <c r="C16" s="200"/>
      <c r="D16" s="128"/>
      <c r="E16" s="127"/>
      <c r="F16" s="127"/>
      <c r="G16" s="127"/>
      <c r="H16" s="127"/>
      <c r="I16" s="127"/>
      <c r="J16" s="245"/>
      <c r="K16" s="247"/>
      <c r="L16" s="129"/>
      <c r="M16" s="129"/>
      <c r="N16" s="129"/>
      <c r="O16" s="129"/>
      <c r="P16" s="129"/>
      <c r="Q16" s="209"/>
      <c r="R16" s="102"/>
      <c r="S16" s="324"/>
      <c r="T16" s="103"/>
      <c r="U16" s="103"/>
      <c r="V16" s="103"/>
      <c r="W16" s="103"/>
      <c r="X16" s="103"/>
      <c r="Y16" s="123"/>
      <c r="Z16" s="370"/>
      <c r="AA16" s="272"/>
      <c r="AB16" s="255"/>
      <c r="AC16" s="105"/>
      <c r="AD16" s="105"/>
      <c r="AE16" s="105"/>
      <c r="AF16" s="105"/>
      <c r="AG16" s="105"/>
      <c r="AH16" s="158"/>
      <c r="AI16" s="473"/>
      <c r="AJ16" s="106"/>
      <c r="AK16" s="107"/>
      <c r="AL16" s="108"/>
      <c r="AM16" s="108"/>
      <c r="AN16" s="108"/>
      <c r="AO16" s="108"/>
      <c r="AP16" s="108"/>
      <c r="AQ16" s="165"/>
      <c r="AR16" s="531"/>
    </row>
    <row r="17" spans="1:44" s="109" customFormat="1" x14ac:dyDescent="0.25">
      <c r="A17" s="253"/>
      <c r="B17" s="374"/>
      <c r="C17" s="242" t="s">
        <v>468</v>
      </c>
      <c r="D17" s="243"/>
      <c r="E17" s="243"/>
      <c r="F17" s="243"/>
      <c r="G17" s="243"/>
      <c r="H17" s="243"/>
      <c r="I17" s="244"/>
      <c r="J17" s="121"/>
      <c r="K17" s="247"/>
      <c r="L17" s="118"/>
      <c r="M17" s="118"/>
      <c r="N17" s="118"/>
      <c r="O17" s="118"/>
      <c r="P17" s="118"/>
      <c r="Q17" s="209"/>
      <c r="R17" s="252" t="str">
        <f>C17</f>
        <v>IHC - REWARDS UPGRADE</v>
      </c>
      <c r="S17" s="386"/>
      <c r="T17" s="243"/>
      <c r="U17" s="243"/>
      <c r="V17" s="243"/>
      <c r="W17" s="243"/>
      <c r="X17" s="244"/>
      <c r="Y17" s="123"/>
      <c r="Z17" s="362"/>
      <c r="AA17" s="242" t="s">
        <v>467</v>
      </c>
      <c r="AB17" s="243"/>
      <c r="AC17" s="243"/>
      <c r="AD17" s="243"/>
      <c r="AE17" s="243"/>
      <c r="AF17" s="243"/>
      <c r="AG17" s="244"/>
      <c r="AH17" s="158"/>
      <c r="AI17" s="473"/>
      <c r="AJ17" s="242" t="s">
        <v>467</v>
      </c>
      <c r="AK17" s="243"/>
      <c r="AL17" s="243"/>
      <c r="AM17" s="243"/>
      <c r="AN17" s="243"/>
      <c r="AO17" s="243"/>
      <c r="AP17" s="244"/>
      <c r="AQ17" s="165"/>
      <c r="AR17" s="531"/>
    </row>
    <row r="18" spans="1:44" s="109" customFormat="1" x14ac:dyDescent="0.25">
      <c r="A18" s="253"/>
      <c r="B18" s="374"/>
      <c r="C18" s="407"/>
      <c r="D18" s="128"/>
      <c r="E18" s="127">
        <f t="shared" si="0"/>
        <v>0</v>
      </c>
      <c r="F18" s="127">
        <f t="shared" si="1"/>
        <v>0</v>
      </c>
      <c r="G18" s="127">
        <f t="shared" si="1"/>
        <v>0</v>
      </c>
      <c r="H18" s="127">
        <f t="shared" si="1"/>
        <v>0</v>
      </c>
      <c r="I18" s="127">
        <f t="shared" si="1"/>
        <v>0</v>
      </c>
      <c r="J18" s="121"/>
      <c r="K18" s="247"/>
      <c r="L18" s="118"/>
      <c r="M18" s="118"/>
      <c r="N18" s="118"/>
      <c r="O18" s="118"/>
      <c r="P18" s="118"/>
      <c r="Q18" s="209"/>
      <c r="R18" s="222"/>
      <c r="S18" s="335"/>
      <c r="T18" s="103">
        <f t="shared" si="2"/>
        <v>0</v>
      </c>
      <c r="U18" s="103">
        <f t="shared" si="2"/>
        <v>0</v>
      </c>
      <c r="V18" s="103">
        <f t="shared" si="2"/>
        <v>0</v>
      </c>
      <c r="W18" s="103">
        <f t="shared" si="2"/>
        <v>0</v>
      </c>
      <c r="X18" s="103">
        <f t="shared" si="2"/>
        <v>0</v>
      </c>
      <c r="Y18" s="123">
        <f t="shared" si="3"/>
        <v>0</v>
      </c>
      <c r="Z18" s="370"/>
      <c r="AA18" s="104"/>
      <c r="AB18" s="255"/>
      <c r="AC18" s="105"/>
      <c r="AD18" s="105"/>
      <c r="AE18" s="105"/>
      <c r="AF18" s="105"/>
      <c r="AG18" s="105"/>
      <c r="AH18" s="158"/>
      <c r="AI18" s="473"/>
      <c r="AJ18" s="106"/>
      <c r="AK18" s="107"/>
      <c r="AL18" s="108"/>
      <c r="AM18" s="108"/>
      <c r="AN18" s="108"/>
      <c r="AO18" s="108"/>
      <c r="AP18" s="108"/>
      <c r="AQ18" s="165"/>
      <c r="AR18" s="531"/>
    </row>
    <row r="19" spans="1:44" s="109" customFormat="1" x14ac:dyDescent="0.25">
      <c r="A19" s="253"/>
      <c r="B19" s="374"/>
      <c r="C19" s="407"/>
      <c r="D19" s="128"/>
      <c r="E19" s="127">
        <f t="shared" si="0"/>
        <v>0</v>
      </c>
      <c r="F19" s="127">
        <f t="shared" si="1"/>
        <v>0</v>
      </c>
      <c r="G19" s="127">
        <f t="shared" si="1"/>
        <v>0</v>
      </c>
      <c r="H19" s="127">
        <f t="shared" si="1"/>
        <v>0</v>
      </c>
      <c r="I19" s="127">
        <f t="shared" si="1"/>
        <v>0</v>
      </c>
      <c r="J19" s="121"/>
      <c r="K19" s="247"/>
      <c r="L19" s="118"/>
      <c r="M19" s="118"/>
      <c r="N19" s="118"/>
      <c r="O19" s="118"/>
      <c r="P19" s="118"/>
      <c r="Q19" s="209"/>
      <c r="R19" s="222"/>
      <c r="S19" s="401"/>
      <c r="T19" s="103">
        <f t="shared" si="2"/>
        <v>0</v>
      </c>
      <c r="U19" s="103">
        <f t="shared" si="2"/>
        <v>0</v>
      </c>
      <c r="V19" s="103">
        <f t="shared" si="2"/>
        <v>0</v>
      </c>
      <c r="W19" s="103">
        <f t="shared" si="2"/>
        <v>0</v>
      </c>
      <c r="X19" s="103">
        <f t="shared" si="2"/>
        <v>0</v>
      </c>
      <c r="Y19" s="123">
        <f t="shared" si="3"/>
        <v>0</v>
      </c>
      <c r="Z19" s="370"/>
      <c r="AA19" s="104"/>
      <c r="AB19" s="255"/>
      <c r="AC19" s="105"/>
      <c r="AD19" s="105"/>
      <c r="AE19" s="105"/>
      <c r="AF19" s="105"/>
      <c r="AG19" s="105"/>
      <c r="AH19" s="158"/>
      <c r="AI19" s="473"/>
      <c r="AJ19" s="106"/>
      <c r="AK19" s="107"/>
      <c r="AL19" s="108"/>
      <c r="AM19" s="108"/>
      <c r="AN19" s="108"/>
      <c r="AO19" s="108"/>
      <c r="AP19" s="108"/>
      <c r="AQ19" s="165"/>
      <c r="AR19" s="531"/>
    </row>
    <row r="20" spans="1:44" s="109" customFormat="1" x14ac:dyDescent="0.25">
      <c r="A20" s="253"/>
      <c r="B20" s="374"/>
      <c r="C20" s="407"/>
      <c r="D20" s="128"/>
      <c r="E20" s="127"/>
      <c r="F20" s="127"/>
      <c r="G20" s="127"/>
      <c r="H20" s="127"/>
      <c r="I20" s="127"/>
      <c r="J20" s="121"/>
      <c r="K20" s="247"/>
      <c r="L20" s="118"/>
      <c r="M20" s="118"/>
      <c r="N20" s="118"/>
      <c r="O20" s="118"/>
      <c r="P20" s="118"/>
      <c r="Q20" s="209"/>
      <c r="R20" s="222"/>
      <c r="S20" s="401"/>
      <c r="T20" s="103" t="e">
        <f>SUM(#REF!,#REF!,#REF!)*-1</f>
        <v>#REF!</v>
      </c>
      <c r="U20" s="103" t="e">
        <f>SUM(#REF!,#REF!,#REF!)*-1</f>
        <v>#REF!</v>
      </c>
      <c r="V20" s="103" t="e">
        <f>SUM(#REF!,#REF!,#REF!)*-1</f>
        <v>#REF!</v>
      </c>
      <c r="W20" s="103" t="e">
        <f>SUM(#REF!,#REF!,#REF!)*-1</f>
        <v>#REF!</v>
      </c>
      <c r="X20" s="103" t="e">
        <f>SUM(#REF!,#REF!,#REF!)*-1</f>
        <v>#REF!</v>
      </c>
      <c r="Y20" s="123" t="e">
        <f t="shared" si="3"/>
        <v>#REF!</v>
      </c>
      <c r="Z20" s="370"/>
      <c r="AA20" s="104"/>
      <c r="AB20" s="255"/>
      <c r="AC20" s="105"/>
      <c r="AD20" s="105"/>
      <c r="AE20" s="105"/>
      <c r="AF20" s="105"/>
      <c r="AG20" s="105"/>
      <c r="AH20" s="158"/>
      <c r="AI20" s="473"/>
      <c r="AJ20" s="106"/>
      <c r="AK20" s="107"/>
      <c r="AL20" s="108"/>
      <c r="AM20" s="108"/>
      <c r="AN20" s="108"/>
      <c r="AO20" s="108"/>
      <c r="AP20" s="108"/>
      <c r="AQ20" s="165"/>
      <c r="AR20" s="531"/>
    </row>
    <row r="21" spans="1:44" s="109" customFormat="1" x14ac:dyDescent="0.25">
      <c r="A21" s="253"/>
      <c r="B21" s="253"/>
      <c r="C21" s="200"/>
      <c r="D21" s="128"/>
      <c r="E21" s="127"/>
      <c r="F21" s="127"/>
      <c r="G21" s="127"/>
      <c r="H21" s="127"/>
      <c r="I21" s="127"/>
      <c r="J21" s="121"/>
      <c r="K21" s="247"/>
      <c r="L21" s="118"/>
      <c r="M21" s="118"/>
      <c r="N21" s="118"/>
      <c r="O21" s="118"/>
      <c r="P21" s="118"/>
      <c r="Q21" s="209"/>
      <c r="R21" s="102"/>
      <c r="S21" s="335"/>
      <c r="T21" s="103"/>
      <c r="U21" s="103"/>
      <c r="V21" s="103"/>
      <c r="W21" s="103"/>
      <c r="X21" s="103"/>
      <c r="Y21" s="123"/>
      <c r="Z21" s="362"/>
      <c r="AA21" s="104"/>
      <c r="AB21" s="255"/>
      <c r="AC21" s="105"/>
      <c r="AD21" s="105"/>
      <c r="AE21" s="105"/>
      <c r="AF21" s="105"/>
      <c r="AG21" s="105"/>
      <c r="AH21" s="158"/>
      <c r="AI21" s="473"/>
      <c r="AJ21" s="106"/>
      <c r="AK21" s="107"/>
      <c r="AL21" s="108"/>
      <c r="AM21" s="108"/>
      <c r="AN21" s="108"/>
      <c r="AO21" s="108"/>
      <c r="AP21" s="108"/>
      <c r="AQ21" s="165"/>
      <c r="AR21" s="531"/>
    </row>
    <row r="22" spans="1:44" s="109" customFormat="1" x14ac:dyDescent="0.25">
      <c r="A22" s="253"/>
      <c r="B22" s="374"/>
      <c r="C22" s="242" t="s">
        <v>469</v>
      </c>
      <c r="D22" s="243"/>
      <c r="E22" s="243"/>
      <c r="F22" s="243"/>
      <c r="G22" s="243"/>
      <c r="H22" s="243"/>
      <c r="I22" s="244"/>
      <c r="J22" s="121"/>
      <c r="K22" s="247"/>
      <c r="L22" s="118"/>
      <c r="M22" s="118"/>
      <c r="N22" s="118"/>
      <c r="O22" s="118"/>
      <c r="P22" s="118"/>
      <c r="Q22" s="209"/>
      <c r="R22" s="252" t="str">
        <f>C22</f>
        <v>APIs &amp; INTEGRATIONS</v>
      </c>
      <c r="S22" s="386"/>
      <c r="T22" s="243"/>
      <c r="U22" s="243"/>
      <c r="V22" s="243"/>
      <c r="W22" s="243"/>
      <c r="X22" s="244"/>
      <c r="Y22" s="123"/>
      <c r="Z22" s="362"/>
      <c r="AA22" s="252" t="str">
        <f>C22</f>
        <v>APIs &amp; INTEGRATIONS</v>
      </c>
      <c r="AB22" s="386"/>
      <c r="AC22" s="243"/>
      <c r="AD22" s="243"/>
      <c r="AE22" s="243"/>
      <c r="AF22" s="243"/>
      <c r="AG22" s="244"/>
      <c r="AH22" s="158"/>
      <c r="AI22" s="473"/>
      <c r="AJ22" s="252" t="str">
        <f>C22</f>
        <v>APIs &amp; INTEGRATIONS</v>
      </c>
      <c r="AK22" s="386"/>
      <c r="AL22" s="243"/>
      <c r="AM22" s="243"/>
      <c r="AN22" s="243"/>
      <c r="AO22" s="243"/>
      <c r="AP22" s="244"/>
      <c r="AQ22" s="165"/>
      <c r="AR22" s="531"/>
    </row>
    <row r="23" spans="1:44" s="109" customFormat="1" x14ac:dyDescent="0.25">
      <c r="A23" s="253"/>
      <c r="B23" s="445"/>
      <c r="C23" s="444"/>
      <c r="D23" s="128"/>
      <c r="E23" s="127">
        <f t="shared" ref="E23:E32" si="5">D23*12</f>
        <v>0</v>
      </c>
      <c r="F23" s="127">
        <f t="shared" ref="F23:I27" si="6">IF(E23&gt;12,(((E23)*$E$5)+E23),(E23*1))</f>
        <v>0</v>
      </c>
      <c r="G23" s="127">
        <f t="shared" si="6"/>
        <v>0</v>
      </c>
      <c r="H23" s="127">
        <f t="shared" si="6"/>
        <v>0</v>
      </c>
      <c r="I23" s="127">
        <f t="shared" si="6"/>
        <v>0</v>
      </c>
      <c r="J23" s="121"/>
      <c r="K23" s="247"/>
      <c r="L23" s="118"/>
      <c r="M23" s="118"/>
      <c r="N23" s="118"/>
      <c r="O23" s="118"/>
      <c r="P23" s="118"/>
      <c r="Q23" s="209"/>
      <c r="R23" s="222"/>
      <c r="S23" s="335"/>
      <c r="T23" s="103">
        <f t="shared" ref="T23:X25" si="7">IF($S23&gt;0,PRODUCT(E23,$S23),0)</f>
        <v>0</v>
      </c>
      <c r="U23" s="103">
        <f t="shared" si="7"/>
        <v>0</v>
      </c>
      <c r="V23" s="103">
        <f t="shared" si="7"/>
        <v>0</v>
      </c>
      <c r="W23" s="103">
        <f t="shared" si="7"/>
        <v>0</v>
      </c>
      <c r="X23" s="103">
        <f t="shared" si="7"/>
        <v>0</v>
      </c>
      <c r="Y23" s="123">
        <f>SUM(T23:X23)</f>
        <v>0</v>
      </c>
      <c r="Z23" s="370"/>
      <c r="AA23" s="104"/>
      <c r="AB23" s="255"/>
      <c r="AC23" s="105"/>
      <c r="AD23" s="105"/>
      <c r="AE23" s="105"/>
      <c r="AF23" s="105"/>
      <c r="AG23" s="105"/>
      <c r="AH23" s="158"/>
      <c r="AI23" s="473"/>
      <c r="AJ23" s="106"/>
      <c r="AK23" s="107"/>
      <c r="AL23" s="108"/>
      <c r="AM23" s="108"/>
      <c r="AN23" s="108"/>
      <c r="AO23" s="108"/>
      <c r="AP23" s="108"/>
      <c r="AQ23" s="165"/>
      <c r="AR23" s="531"/>
    </row>
    <row r="24" spans="1:44" s="109" customFormat="1" x14ac:dyDescent="0.25">
      <c r="A24" s="253"/>
      <c r="B24" s="445"/>
      <c r="C24" s="444"/>
      <c r="D24" s="128"/>
      <c r="E24" s="127">
        <f t="shared" si="5"/>
        <v>0</v>
      </c>
      <c r="F24" s="127">
        <f t="shared" si="6"/>
        <v>0</v>
      </c>
      <c r="G24" s="127">
        <f t="shared" si="6"/>
        <v>0</v>
      </c>
      <c r="H24" s="127">
        <f t="shared" si="6"/>
        <v>0</v>
      </c>
      <c r="I24" s="127">
        <f t="shared" si="6"/>
        <v>0</v>
      </c>
      <c r="J24" s="121"/>
      <c r="K24" s="247"/>
      <c r="L24" s="118"/>
      <c r="M24" s="118"/>
      <c r="N24" s="118"/>
      <c r="O24" s="118"/>
      <c r="P24" s="118"/>
      <c r="Q24" s="209"/>
      <c r="R24" s="222"/>
      <c r="S24" s="335"/>
      <c r="T24" s="103">
        <f t="shared" si="7"/>
        <v>0</v>
      </c>
      <c r="U24" s="103">
        <f t="shared" si="7"/>
        <v>0</v>
      </c>
      <c r="V24" s="103">
        <f t="shared" si="7"/>
        <v>0</v>
      </c>
      <c r="W24" s="103">
        <f t="shared" si="7"/>
        <v>0</v>
      </c>
      <c r="X24" s="103">
        <f t="shared" si="7"/>
        <v>0</v>
      </c>
      <c r="Y24" s="123">
        <f>SUM(T24:X24)</f>
        <v>0</v>
      </c>
      <c r="Z24" s="370"/>
      <c r="AA24" s="104"/>
      <c r="AB24" s="255"/>
      <c r="AC24" s="105"/>
      <c r="AD24" s="105"/>
      <c r="AE24" s="105"/>
      <c r="AF24" s="105"/>
      <c r="AG24" s="105"/>
      <c r="AH24" s="158"/>
      <c r="AI24" s="473"/>
      <c r="AJ24" s="106"/>
      <c r="AK24" s="107"/>
      <c r="AL24" s="108"/>
      <c r="AM24" s="108"/>
      <c r="AN24" s="108"/>
      <c r="AO24" s="108"/>
      <c r="AP24" s="108"/>
      <c r="AQ24" s="165"/>
      <c r="AR24" s="531"/>
    </row>
    <row r="25" spans="1:44" s="109" customFormat="1" x14ac:dyDescent="0.25">
      <c r="A25" s="253"/>
      <c r="B25" s="445"/>
      <c r="C25" s="444"/>
      <c r="D25" s="128"/>
      <c r="E25" s="127">
        <f t="shared" si="5"/>
        <v>0</v>
      </c>
      <c r="F25" s="127">
        <f t="shared" si="6"/>
        <v>0</v>
      </c>
      <c r="G25" s="127">
        <f t="shared" si="6"/>
        <v>0</v>
      </c>
      <c r="H25" s="127">
        <f t="shared" si="6"/>
        <v>0</v>
      </c>
      <c r="I25" s="127">
        <f t="shared" si="6"/>
        <v>0</v>
      </c>
      <c r="J25" s="121"/>
      <c r="K25" s="247"/>
      <c r="L25" s="118"/>
      <c r="M25" s="118"/>
      <c r="N25" s="118"/>
      <c r="O25" s="118"/>
      <c r="P25" s="118"/>
      <c r="Q25" s="209"/>
      <c r="R25" s="222"/>
      <c r="S25" s="335"/>
      <c r="T25" s="103">
        <f t="shared" si="7"/>
        <v>0</v>
      </c>
      <c r="U25" s="103">
        <f t="shared" si="7"/>
        <v>0</v>
      </c>
      <c r="V25" s="103">
        <f t="shared" si="7"/>
        <v>0</v>
      </c>
      <c r="W25" s="103">
        <f t="shared" si="7"/>
        <v>0</v>
      </c>
      <c r="X25" s="103">
        <f t="shared" si="7"/>
        <v>0</v>
      </c>
      <c r="Y25" s="123">
        <f>SUM(T25:X25)</f>
        <v>0</v>
      </c>
      <c r="Z25" s="370"/>
      <c r="AA25" s="104"/>
      <c r="AB25" s="255"/>
      <c r="AC25" s="105"/>
      <c r="AD25" s="105"/>
      <c r="AE25" s="105"/>
      <c r="AF25" s="105"/>
      <c r="AG25" s="105"/>
      <c r="AH25" s="158"/>
      <c r="AI25" s="473"/>
      <c r="AJ25" s="106"/>
      <c r="AK25" s="107"/>
      <c r="AL25" s="108"/>
      <c r="AM25" s="108"/>
      <c r="AN25" s="108"/>
      <c r="AO25" s="108"/>
      <c r="AP25" s="108"/>
      <c r="AQ25" s="165"/>
      <c r="AR25" s="531"/>
    </row>
    <row r="26" spans="1:44" s="109" customFormat="1" x14ac:dyDescent="0.25">
      <c r="A26" s="253"/>
      <c r="B26" s="445"/>
      <c r="C26" s="444"/>
      <c r="D26" s="128"/>
      <c r="E26" s="127">
        <f t="shared" si="5"/>
        <v>0</v>
      </c>
      <c r="F26" s="127">
        <f t="shared" si="6"/>
        <v>0</v>
      </c>
      <c r="G26" s="127">
        <f t="shared" si="6"/>
        <v>0</v>
      </c>
      <c r="H26" s="127">
        <f t="shared" si="6"/>
        <v>0</v>
      </c>
      <c r="I26" s="127">
        <f t="shared" si="6"/>
        <v>0</v>
      </c>
      <c r="J26" s="121"/>
      <c r="K26" s="247"/>
      <c r="L26" s="118"/>
      <c r="M26" s="118"/>
      <c r="N26" s="118"/>
      <c r="O26" s="118"/>
      <c r="P26" s="118"/>
      <c r="Q26" s="209"/>
      <c r="R26" s="222"/>
      <c r="S26" s="335"/>
      <c r="T26" s="103"/>
      <c r="U26" s="103"/>
      <c r="V26" s="103"/>
      <c r="W26" s="103"/>
      <c r="X26" s="103"/>
      <c r="Y26" s="123"/>
      <c r="Z26" s="370"/>
      <c r="AA26" s="104"/>
      <c r="AB26" s="255"/>
      <c r="AC26" s="105"/>
      <c r="AD26" s="105"/>
      <c r="AE26" s="105"/>
      <c r="AF26" s="105"/>
      <c r="AG26" s="105"/>
      <c r="AH26" s="158"/>
      <c r="AI26" s="473"/>
      <c r="AJ26" s="106"/>
      <c r="AK26" s="107"/>
      <c r="AL26" s="108"/>
      <c r="AM26" s="108"/>
      <c r="AN26" s="108"/>
      <c r="AO26" s="108"/>
      <c r="AP26" s="108"/>
      <c r="AQ26" s="165"/>
      <c r="AR26" s="531"/>
    </row>
    <row r="27" spans="1:44" s="109" customFormat="1" x14ac:dyDescent="0.25">
      <c r="A27" s="253"/>
      <c r="B27" s="445"/>
      <c r="C27" s="444"/>
      <c r="D27" s="128"/>
      <c r="E27" s="127">
        <f t="shared" si="5"/>
        <v>0</v>
      </c>
      <c r="F27" s="127">
        <f t="shared" si="6"/>
        <v>0</v>
      </c>
      <c r="G27" s="127">
        <f t="shared" si="6"/>
        <v>0</v>
      </c>
      <c r="H27" s="127">
        <f t="shared" si="6"/>
        <v>0</v>
      </c>
      <c r="I27" s="127">
        <f t="shared" si="6"/>
        <v>0</v>
      </c>
      <c r="J27" s="121"/>
      <c r="K27" s="247"/>
      <c r="L27" s="118"/>
      <c r="M27" s="118"/>
      <c r="N27" s="118"/>
      <c r="O27" s="118"/>
      <c r="P27" s="118"/>
      <c r="Q27" s="209"/>
      <c r="R27" s="222"/>
      <c r="S27" s="335"/>
      <c r="T27" s="103"/>
      <c r="U27" s="103"/>
      <c r="V27" s="103"/>
      <c r="W27" s="103"/>
      <c r="X27" s="103"/>
      <c r="Y27" s="123"/>
      <c r="Z27" s="370"/>
      <c r="AA27" s="104"/>
      <c r="AB27" s="501"/>
      <c r="AC27" s="105"/>
      <c r="AD27" s="105"/>
      <c r="AE27" s="105"/>
      <c r="AF27" s="105"/>
      <c r="AG27" s="105"/>
      <c r="AH27" s="158"/>
      <c r="AI27" s="473"/>
      <c r="AJ27" s="106"/>
      <c r="AK27" s="107"/>
      <c r="AL27" s="108"/>
      <c r="AM27" s="108"/>
      <c r="AN27" s="108"/>
      <c r="AO27" s="108"/>
      <c r="AP27" s="108"/>
      <c r="AQ27" s="165"/>
      <c r="AR27" s="531"/>
    </row>
    <row r="28" spans="1:44" s="109" customFormat="1" x14ac:dyDescent="0.25">
      <c r="A28" s="253"/>
      <c r="B28" s="374"/>
      <c r="C28" s="407"/>
      <c r="D28" s="128"/>
      <c r="E28" s="127">
        <f t="shared" si="5"/>
        <v>0</v>
      </c>
      <c r="F28" s="127">
        <f>IF(E28&gt;12,(((E28)*$E$5)+E28),(E28*1))</f>
        <v>0</v>
      </c>
      <c r="G28" s="127">
        <f>IF(F28&gt;12,(((F28)*$E$5)+F28),(F28*1))</f>
        <v>0</v>
      </c>
      <c r="H28" s="127">
        <f>IF(G28&gt;12,(((G28)*$E$5)+G28),(G28*1))</f>
        <v>0</v>
      </c>
      <c r="I28" s="127">
        <f>IF(H28&gt;12,(((H28)*$E$5)+H28),(H28*1))</f>
        <v>0</v>
      </c>
      <c r="J28" s="121"/>
      <c r="K28" s="247"/>
      <c r="L28" s="118"/>
      <c r="M28" s="118"/>
      <c r="N28" s="118"/>
      <c r="O28" s="118"/>
      <c r="P28" s="118"/>
      <c r="Q28" s="209"/>
      <c r="R28" s="222"/>
      <c r="S28" s="335"/>
      <c r="T28" s="103">
        <f>IF($S28&gt;0,PRODUCT(E28,$S28),0)</f>
        <v>0</v>
      </c>
      <c r="U28" s="103">
        <f>IF($S28&gt;0,PRODUCT(F28,$S28),0)</f>
        <v>0</v>
      </c>
      <c r="V28" s="103">
        <f>IF($S28&gt;0,PRODUCT(G28,$S28),0)</f>
        <v>0</v>
      </c>
      <c r="W28" s="103">
        <f>IF($S28&gt;0,PRODUCT(H28,$S28),0)</f>
        <v>0</v>
      </c>
      <c r="X28" s="103">
        <f>IF($S28&gt;0,PRODUCT(I28,$S28),0)</f>
        <v>0</v>
      </c>
      <c r="Y28" s="123">
        <f>SUM(T28:X28)</f>
        <v>0</v>
      </c>
      <c r="Z28" s="370"/>
      <c r="AA28" s="104"/>
      <c r="AB28" s="255"/>
      <c r="AC28" s="105"/>
      <c r="AD28" s="105"/>
      <c r="AE28" s="105"/>
      <c r="AF28" s="105"/>
      <c r="AG28" s="105"/>
      <c r="AH28" s="158"/>
      <c r="AI28" s="473"/>
      <c r="AJ28" s="106"/>
      <c r="AK28" s="107"/>
      <c r="AL28" s="108"/>
      <c r="AM28" s="108"/>
      <c r="AN28" s="108"/>
      <c r="AO28" s="108"/>
      <c r="AP28" s="108"/>
      <c r="AQ28" s="165"/>
      <c r="AR28" s="531"/>
    </row>
    <row r="29" spans="1:44" s="109" customFormat="1" x14ac:dyDescent="0.25">
      <c r="A29" s="253"/>
      <c r="B29" s="253"/>
      <c r="C29" s="444"/>
      <c r="D29" s="128"/>
      <c r="E29" s="127">
        <f t="shared" si="5"/>
        <v>0</v>
      </c>
      <c r="F29" s="127">
        <f>IF(E29&gt;12,(((E29)*'CORE Recurring Items'!$H$5)+E29),(E29*1))</f>
        <v>0</v>
      </c>
      <c r="G29" s="127">
        <f>IF(F29&gt;12,(((F29)*'CORE Recurring Items'!$H$5)+F29),(F29*1))</f>
        <v>0</v>
      </c>
      <c r="H29" s="127">
        <f>IF(G29&gt;12,(((G29)*'CORE Recurring Items'!$H$5)+G29),(G29*1))</f>
        <v>0</v>
      </c>
      <c r="I29" s="127">
        <f>IF(H29&gt;12,(((H29)*'CORE Recurring Items'!$H$5)+H29),(H29*1))</f>
        <v>0</v>
      </c>
      <c r="J29" s="121"/>
      <c r="K29" s="247"/>
      <c r="L29" s="129">
        <f t="shared" ref="L29:P32" si="8">IF(K29&gt;0,PRODUCT(E29,$K29),0)</f>
        <v>0</v>
      </c>
      <c r="M29" s="129">
        <f t="shared" si="8"/>
        <v>0</v>
      </c>
      <c r="N29" s="129">
        <f t="shared" si="8"/>
        <v>0</v>
      </c>
      <c r="O29" s="129">
        <f t="shared" si="8"/>
        <v>0</v>
      </c>
      <c r="P29" s="129">
        <f t="shared" si="8"/>
        <v>0</v>
      </c>
      <c r="Q29" s="209">
        <f>SUM(L29:P29)</f>
        <v>0</v>
      </c>
      <c r="R29" s="102"/>
      <c r="S29" s="324"/>
      <c r="T29" s="103"/>
      <c r="U29" s="103"/>
      <c r="V29" s="103"/>
      <c r="W29" s="103"/>
      <c r="X29" s="103"/>
      <c r="Y29" s="123"/>
      <c r="Z29" s="370"/>
      <c r="AA29" s="272"/>
      <c r="AB29" s="255"/>
      <c r="AC29" s="105">
        <f t="shared" ref="AC29:AG32" si="9">IF(AB29&gt;0,PRODUCT(E29,$AB29),0)</f>
        <v>0</v>
      </c>
      <c r="AD29" s="105">
        <f t="shared" si="9"/>
        <v>0</v>
      </c>
      <c r="AE29" s="105">
        <f t="shared" si="9"/>
        <v>0</v>
      </c>
      <c r="AF29" s="105">
        <f t="shared" si="9"/>
        <v>0</v>
      </c>
      <c r="AG29" s="105">
        <f t="shared" si="9"/>
        <v>0</v>
      </c>
      <c r="AH29" s="158">
        <f>SUM(AC29:AG29)</f>
        <v>0</v>
      </c>
      <c r="AI29" s="473"/>
      <c r="AJ29" s="106"/>
      <c r="AK29" s="107"/>
      <c r="AL29" s="108">
        <f t="shared" ref="AL29:AP32" si="10">IF(AK29&gt;0,PRODUCT(E29,$AK29),0)</f>
        <v>0</v>
      </c>
      <c r="AM29" s="108">
        <f t="shared" si="10"/>
        <v>0</v>
      </c>
      <c r="AN29" s="108">
        <f t="shared" si="10"/>
        <v>0</v>
      </c>
      <c r="AO29" s="108">
        <f t="shared" si="10"/>
        <v>0</v>
      </c>
      <c r="AP29" s="108">
        <f t="shared" si="10"/>
        <v>0</v>
      </c>
      <c r="AQ29" s="165">
        <f>SUM(AL29:AP29)</f>
        <v>0</v>
      </c>
      <c r="AR29" s="531"/>
    </row>
    <row r="30" spans="1:44" s="109" customFormat="1" x14ac:dyDescent="0.25">
      <c r="A30" s="253"/>
      <c r="B30" s="253"/>
      <c r="C30" s="444"/>
      <c r="D30" s="128"/>
      <c r="E30" s="127">
        <f t="shared" si="5"/>
        <v>0</v>
      </c>
      <c r="F30" s="127">
        <f>IF(E30&gt;12,(((E30)*'CORE Recurring Items'!$H$5)+E30),(E30*1))</f>
        <v>0</v>
      </c>
      <c r="G30" s="127">
        <f>IF(F30&gt;12,(((F30)*'CORE Recurring Items'!$H$5)+F30),(F30*1))</f>
        <v>0</v>
      </c>
      <c r="H30" s="127">
        <f>IF(G30&gt;12,(((G30)*'CORE Recurring Items'!$H$5)+G30),(G30*1))</f>
        <v>0</v>
      </c>
      <c r="I30" s="127">
        <f>IF(H30&gt;12,(((H30)*'CORE Recurring Items'!$H$5)+H30),(H30*1))</f>
        <v>0</v>
      </c>
      <c r="J30" s="121"/>
      <c r="K30" s="247"/>
      <c r="L30" s="129">
        <f t="shared" si="8"/>
        <v>0</v>
      </c>
      <c r="M30" s="129">
        <f t="shared" si="8"/>
        <v>0</v>
      </c>
      <c r="N30" s="129">
        <f t="shared" si="8"/>
        <v>0</v>
      </c>
      <c r="O30" s="129">
        <f t="shared" si="8"/>
        <v>0</v>
      </c>
      <c r="P30" s="129">
        <f t="shared" si="8"/>
        <v>0</v>
      </c>
      <c r="Q30" s="209">
        <f>SUM(L30:P30)</f>
        <v>0</v>
      </c>
      <c r="R30" s="102"/>
      <c r="S30" s="324"/>
      <c r="T30" s="103"/>
      <c r="U30" s="103"/>
      <c r="V30" s="103"/>
      <c r="W30" s="103"/>
      <c r="X30" s="103"/>
      <c r="Y30" s="123"/>
      <c r="Z30" s="370"/>
      <c r="AA30" s="272"/>
      <c r="AB30" s="255"/>
      <c r="AC30" s="105">
        <f t="shared" si="9"/>
        <v>0</v>
      </c>
      <c r="AD30" s="105">
        <f t="shared" si="9"/>
        <v>0</v>
      </c>
      <c r="AE30" s="105">
        <f t="shared" si="9"/>
        <v>0</v>
      </c>
      <c r="AF30" s="105">
        <f t="shared" si="9"/>
        <v>0</v>
      </c>
      <c r="AG30" s="105">
        <f t="shared" si="9"/>
        <v>0</v>
      </c>
      <c r="AH30" s="158">
        <f>SUM(AC30:AG30)</f>
        <v>0</v>
      </c>
      <c r="AI30" s="473"/>
      <c r="AJ30" s="106"/>
      <c r="AK30" s="107"/>
      <c r="AL30" s="108">
        <f t="shared" si="10"/>
        <v>0</v>
      </c>
      <c r="AM30" s="108">
        <f t="shared" si="10"/>
        <v>0</v>
      </c>
      <c r="AN30" s="108">
        <f t="shared" si="10"/>
        <v>0</v>
      </c>
      <c r="AO30" s="108">
        <f t="shared" si="10"/>
        <v>0</v>
      </c>
      <c r="AP30" s="108">
        <f t="shared" si="10"/>
        <v>0</v>
      </c>
      <c r="AQ30" s="165">
        <f>SUM(AL30:AP30)</f>
        <v>0</v>
      </c>
      <c r="AR30" s="531"/>
    </row>
    <row r="31" spans="1:44" s="109" customFormat="1" x14ac:dyDescent="0.25">
      <c r="A31" s="253"/>
      <c r="B31" s="253"/>
      <c r="C31" s="444"/>
      <c r="D31" s="128"/>
      <c r="E31" s="127">
        <f t="shared" si="5"/>
        <v>0</v>
      </c>
      <c r="F31" s="127">
        <f>IF(E31&gt;12,(((E31)*'CORE Recurring Items'!$H$5)+E31),(E31*1))</f>
        <v>0</v>
      </c>
      <c r="G31" s="127">
        <f>IF(F31&gt;12,(((F31)*'CORE Recurring Items'!$H$5)+F31),(F31*1))</f>
        <v>0</v>
      </c>
      <c r="H31" s="127">
        <f>IF(G31&gt;12,(((G31)*'CORE Recurring Items'!$H$5)+G31),(G31*1))</f>
        <v>0</v>
      </c>
      <c r="I31" s="127">
        <f>IF(H31&gt;12,(((H31)*'CORE Recurring Items'!$H$5)+H31),(H31*1))</f>
        <v>0</v>
      </c>
      <c r="J31" s="121"/>
      <c r="K31" s="247"/>
      <c r="L31" s="129">
        <f t="shared" si="8"/>
        <v>0</v>
      </c>
      <c r="M31" s="129">
        <f t="shared" si="8"/>
        <v>0</v>
      </c>
      <c r="N31" s="129">
        <f t="shared" si="8"/>
        <v>0</v>
      </c>
      <c r="O31" s="129">
        <f t="shared" si="8"/>
        <v>0</v>
      </c>
      <c r="P31" s="129">
        <f t="shared" si="8"/>
        <v>0</v>
      </c>
      <c r="Q31" s="209">
        <f>SUM(L31:P31)</f>
        <v>0</v>
      </c>
      <c r="R31" s="102"/>
      <c r="S31" s="324"/>
      <c r="T31" s="103"/>
      <c r="U31" s="103"/>
      <c r="V31" s="103"/>
      <c r="W31" s="103"/>
      <c r="X31" s="103"/>
      <c r="Y31" s="123"/>
      <c r="Z31" s="362"/>
      <c r="AA31" s="272"/>
      <c r="AB31" s="255"/>
      <c r="AC31" s="105">
        <f t="shared" si="9"/>
        <v>0</v>
      </c>
      <c r="AD31" s="105">
        <f t="shared" si="9"/>
        <v>0</v>
      </c>
      <c r="AE31" s="105">
        <f t="shared" si="9"/>
        <v>0</v>
      </c>
      <c r="AF31" s="105">
        <f t="shared" si="9"/>
        <v>0</v>
      </c>
      <c r="AG31" s="105">
        <f t="shared" si="9"/>
        <v>0</v>
      </c>
      <c r="AH31" s="158">
        <f>SUM(AC31:AG31)</f>
        <v>0</v>
      </c>
      <c r="AI31" s="473"/>
      <c r="AJ31" s="106"/>
      <c r="AK31" s="107"/>
      <c r="AL31" s="108">
        <f t="shared" si="10"/>
        <v>0</v>
      </c>
      <c r="AM31" s="108">
        <f t="shared" si="10"/>
        <v>0</v>
      </c>
      <c r="AN31" s="108">
        <f t="shared" si="10"/>
        <v>0</v>
      </c>
      <c r="AO31" s="108">
        <f t="shared" si="10"/>
        <v>0</v>
      </c>
      <c r="AP31" s="108">
        <f t="shared" si="10"/>
        <v>0</v>
      </c>
      <c r="AQ31" s="165">
        <f>SUM(AL31:AP31)</f>
        <v>0</v>
      </c>
      <c r="AR31" s="531"/>
    </row>
    <row r="32" spans="1:44" s="109" customFormat="1" x14ac:dyDescent="0.25">
      <c r="A32" s="253"/>
      <c r="B32" s="253"/>
      <c r="C32" s="444"/>
      <c r="D32" s="128"/>
      <c r="E32" s="127">
        <f t="shared" si="5"/>
        <v>0</v>
      </c>
      <c r="F32" s="127">
        <f>IF(E32&gt;12,(((E32)*'CORE Recurring Items'!$H$5)+E32),(E32*1))</f>
        <v>0</v>
      </c>
      <c r="G32" s="127">
        <f>IF(F32&gt;12,(((F32)*'CORE Recurring Items'!$H$5)+F32),(F32*1))</f>
        <v>0</v>
      </c>
      <c r="H32" s="127">
        <f>IF(G32&gt;12,(((G32)*'CORE Recurring Items'!$H$5)+G32),(G32*1))</f>
        <v>0</v>
      </c>
      <c r="I32" s="127">
        <f>IF(H32&gt;12,(((H32)*'CORE Recurring Items'!$H$5)+H32),(H32*1))</f>
        <v>0</v>
      </c>
      <c r="J32" s="121"/>
      <c r="K32" s="247"/>
      <c r="L32" s="129">
        <f t="shared" si="8"/>
        <v>0</v>
      </c>
      <c r="M32" s="129">
        <f t="shared" si="8"/>
        <v>0</v>
      </c>
      <c r="N32" s="129">
        <f t="shared" si="8"/>
        <v>0</v>
      </c>
      <c r="O32" s="129">
        <f t="shared" si="8"/>
        <v>0</v>
      </c>
      <c r="P32" s="129">
        <f t="shared" si="8"/>
        <v>0</v>
      </c>
      <c r="Q32" s="209">
        <f>SUM(L32:P32)</f>
        <v>0</v>
      </c>
      <c r="R32" s="102"/>
      <c r="S32" s="324"/>
      <c r="T32" s="103"/>
      <c r="U32" s="103"/>
      <c r="V32" s="103"/>
      <c r="W32" s="103"/>
      <c r="X32" s="103"/>
      <c r="Y32" s="123"/>
      <c r="Z32" s="362"/>
      <c r="AA32" s="272"/>
      <c r="AB32" s="255"/>
      <c r="AC32" s="105">
        <f t="shared" si="9"/>
        <v>0</v>
      </c>
      <c r="AD32" s="105">
        <f t="shared" si="9"/>
        <v>0</v>
      </c>
      <c r="AE32" s="105">
        <f t="shared" si="9"/>
        <v>0</v>
      </c>
      <c r="AF32" s="105">
        <f t="shared" si="9"/>
        <v>0</v>
      </c>
      <c r="AG32" s="105">
        <f t="shared" si="9"/>
        <v>0</v>
      </c>
      <c r="AH32" s="158">
        <f>SUM(AC32:AG32)</f>
        <v>0</v>
      </c>
      <c r="AI32" s="473"/>
      <c r="AJ32" s="106"/>
      <c r="AK32" s="107"/>
      <c r="AL32" s="108">
        <f t="shared" si="10"/>
        <v>0</v>
      </c>
      <c r="AM32" s="108">
        <f t="shared" si="10"/>
        <v>0</v>
      </c>
      <c r="AN32" s="108">
        <f t="shared" si="10"/>
        <v>0</v>
      </c>
      <c r="AO32" s="108">
        <f t="shared" si="10"/>
        <v>0</v>
      </c>
      <c r="AP32" s="108">
        <f t="shared" si="10"/>
        <v>0</v>
      </c>
      <c r="AQ32" s="165">
        <f>SUM(AL32:AP32)</f>
        <v>0</v>
      </c>
      <c r="AR32" s="531"/>
    </row>
    <row r="33" spans="1:44" s="109" customFormat="1" x14ac:dyDescent="0.25">
      <c r="A33" s="253"/>
      <c r="B33" s="253"/>
      <c r="C33" s="200"/>
      <c r="D33" s="128"/>
      <c r="E33" s="127"/>
      <c r="F33" s="127"/>
      <c r="G33" s="127"/>
      <c r="H33" s="127"/>
      <c r="I33" s="127"/>
      <c r="J33" s="121"/>
      <c r="K33" s="247"/>
      <c r="L33" s="118"/>
      <c r="M33" s="118"/>
      <c r="N33" s="118"/>
      <c r="O33" s="118"/>
      <c r="P33" s="118"/>
      <c r="Q33" s="209"/>
      <c r="R33" s="102"/>
      <c r="S33" s="335"/>
      <c r="T33" s="103"/>
      <c r="U33" s="103"/>
      <c r="V33" s="103"/>
      <c r="W33" s="103"/>
      <c r="X33" s="103"/>
      <c r="Y33" s="123"/>
      <c r="Z33" s="362"/>
      <c r="AA33" s="104"/>
      <c r="AB33" s="255"/>
      <c r="AC33" s="105"/>
      <c r="AD33" s="105"/>
      <c r="AE33" s="105"/>
      <c r="AF33" s="105"/>
      <c r="AG33" s="105"/>
      <c r="AH33" s="158"/>
      <c r="AI33" s="473"/>
      <c r="AJ33" s="106"/>
      <c r="AK33" s="107"/>
      <c r="AL33" s="108"/>
      <c r="AM33" s="108"/>
      <c r="AN33" s="108"/>
      <c r="AO33" s="108"/>
      <c r="AP33" s="108"/>
      <c r="AQ33" s="165"/>
      <c r="AR33" s="531"/>
    </row>
    <row r="34" spans="1:44" s="109" customFormat="1" x14ac:dyDescent="0.25">
      <c r="A34" s="253"/>
      <c r="B34" s="374"/>
      <c r="C34" s="242" t="s">
        <v>470</v>
      </c>
      <c r="D34" s="243"/>
      <c r="E34" s="243"/>
      <c r="F34" s="243"/>
      <c r="G34" s="243"/>
      <c r="H34" s="243"/>
      <c r="I34" s="244"/>
      <c r="J34" s="121"/>
      <c r="K34" s="247"/>
      <c r="L34" s="118"/>
      <c r="M34" s="118"/>
      <c r="N34" s="118"/>
      <c r="O34" s="118"/>
      <c r="P34" s="118"/>
      <c r="Q34" s="209"/>
      <c r="R34" s="252" t="str">
        <f>C34</f>
        <v>TOKENS &amp; PROVISIONING</v>
      </c>
      <c r="S34" s="386"/>
      <c r="T34" s="243"/>
      <c r="U34" s="243"/>
      <c r="V34" s="243"/>
      <c r="W34" s="243"/>
      <c r="X34" s="244"/>
      <c r="Y34" s="123"/>
      <c r="Z34" s="362"/>
      <c r="AA34" s="252" t="str">
        <f>C34</f>
        <v>TOKENS &amp; PROVISIONING</v>
      </c>
      <c r="AB34" s="386"/>
      <c r="AC34" s="243"/>
      <c r="AD34" s="243"/>
      <c r="AE34" s="243"/>
      <c r="AF34" s="243"/>
      <c r="AG34" s="244"/>
      <c r="AH34" s="158"/>
      <c r="AI34" s="473"/>
      <c r="AJ34" s="252" t="str">
        <f>C34</f>
        <v>TOKENS &amp; PROVISIONING</v>
      </c>
      <c r="AK34" s="386"/>
      <c r="AL34" s="243"/>
      <c r="AM34" s="243"/>
      <c r="AN34" s="243"/>
      <c r="AO34" s="243"/>
      <c r="AP34" s="244"/>
      <c r="AQ34" s="165"/>
      <c r="AR34" s="531"/>
    </row>
    <row r="35" spans="1:44" s="109" customFormat="1" x14ac:dyDescent="0.25">
      <c r="A35" s="445"/>
      <c r="B35" s="445"/>
      <c r="C35" s="454"/>
      <c r="D35" s="128"/>
      <c r="E35" s="127">
        <f>D35*12</f>
        <v>0</v>
      </c>
      <c r="F35" s="127">
        <f>IF(E35&gt;12,(((E35)*$E$5)+E35),(E35*1))</f>
        <v>0</v>
      </c>
      <c r="G35" s="127">
        <f>IF(F35&gt;12,(((F35)*$E$5)+F35),(F35*1))</f>
        <v>0</v>
      </c>
      <c r="H35" s="127">
        <f>IF(G35&gt;12,(((G35)*$E$5)+G35),(G35*1))</f>
        <v>0</v>
      </c>
      <c r="I35" s="127">
        <f>IF(H35&gt;12,(((H35)*$E$5)+H35),(H35*1))</f>
        <v>0</v>
      </c>
      <c r="J35" s="121"/>
      <c r="K35" s="247"/>
      <c r="L35" s="118"/>
      <c r="M35" s="118"/>
      <c r="N35" s="118"/>
      <c r="O35" s="118"/>
      <c r="P35" s="118"/>
      <c r="Q35" s="209"/>
      <c r="R35" s="222"/>
      <c r="S35" s="335"/>
      <c r="T35" s="103">
        <f>IF($S35&gt;0,PRODUCT(E35,$S35),0)</f>
        <v>0</v>
      </c>
      <c r="U35" s="103">
        <f>IF($S35&gt;0,PRODUCT(F35,$S35),0)</f>
        <v>0</v>
      </c>
      <c r="V35" s="103">
        <f>IF($S35&gt;0,PRODUCT(G35,$S35),0)</f>
        <v>0</v>
      </c>
      <c r="W35" s="103">
        <f>IF($S35&gt;0,PRODUCT(H35,$S35),0)</f>
        <v>0</v>
      </c>
      <c r="X35" s="103">
        <f>IF($S35&gt;0,PRODUCT(I35,$S35),0)</f>
        <v>0</v>
      </c>
      <c r="Y35" s="123">
        <f>SUM(T35:X35)</f>
        <v>0</v>
      </c>
      <c r="Z35" s="370"/>
      <c r="AA35" s="221"/>
      <c r="AB35" s="255"/>
      <c r="AC35" s="105">
        <f t="shared" ref="AC35:AG39" si="11">IF(AB35&gt;0,PRODUCT(E35,$AB35),0)</f>
        <v>0</v>
      </c>
      <c r="AD35" s="105">
        <f t="shared" si="11"/>
        <v>0</v>
      </c>
      <c r="AE35" s="105">
        <f t="shared" si="11"/>
        <v>0</v>
      </c>
      <c r="AF35" s="105">
        <f t="shared" si="11"/>
        <v>0</v>
      </c>
      <c r="AG35" s="105">
        <f t="shared" si="11"/>
        <v>0</v>
      </c>
      <c r="AH35" s="158">
        <f>SUM(AC35:AG35)</f>
        <v>0</v>
      </c>
      <c r="AI35" s="473"/>
      <c r="AJ35" s="106"/>
      <c r="AK35" s="107"/>
      <c r="AL35" s="108">
        <f t="shared" ref="AL35:AP39" si="12">IF(AK35&gt;0,PRODUCT(E35,$AK35),0)</f>
        <v>0</v>
      </c>
      <c r="AM35" s="108">
        <f t="shared" si="12"/>
        <v>0</v>
      </c>
      <c r="AN35" s="108">
        <f t="shared" si="12"/>
        <v>0</v>
      </c>
      <c r="AO35" s="108">
        <f t="shared" si="12"/>
        <v>0</v>
      </c>
      <c r="AP35" s="108">
        <f t="shared" si="12"/>
        <v>0</v>
      </c>
      <c r="AQ35" s="165">
        <f>SUM(AL35:AP35)</f>
        <v>0</v>
      </c>
      <c r="AR35" s="531"/>
    </row>
    <row r="36" spans="1:44" s="109" customFormat="1" x14ac:dyDescent="0.25">
      <c r="A36" s="253"/>
      <c r="B36" s="253"/>
      <c r="C36" s="454"/>
      <c r="D36" s="251"/>
      <c r="E36" s="127">
        <f>D36*12</f>
        <v>0</v>
      </c>
      <c r="F36" s="127">
        <f>IF(E36&gt;12,(((E36)*'CORE Recurring Items'!$H$5)+E36),(E36*1))</f>
        <v>0</v>
      </c>
      <c r="G36" s="127">
        <f>IF(F36&gt;12,(((F36)*'CORE Recurring Items'!$H$5)+F36),(F36*1))</f>
        <v>0</v>
      </c>
      <c r="H36" s="127">
        <f>IF(G36&gt;12,(((G36)*'CORE Recurring Items'!$H$5)+G36),(G36*1))</f>
        <v>0</v>
      </c>
      <c r="I36" s="127">
        <f>IF(H36&gt;12,(((H36)*'CORE Recurring Items'!$H$5)+H36),(H36*1))</f>
        <v>0</v>
      </c>
      <c r="J36" s="121"/>
      <c r="K36" s="247"/>
      <c r="L36" s="129"/>
      <c r="M36" s="129"/>
      <c r="N36" s="129"/>
      <c r="O36" s="129"/>
      <c r="P36" s="129"/>
      <c r="Q36" s="209"/>
      <c r="R36" s="102"/>
      <c r="S36" s="324"/>
      <c r="T36" s="103"/>
      <c r="U36" s="103"/>
      <c r="V36" s="103"/>
      <c r="W36" s="103"/>
      <c r="X36" s="103"/>
      <c r="Y36" s="123"/>
      <c r="Z36" s="370"/>
      <c r="AA36" s="414"/>
      <c r="AB36" s="255"/>
      <c r="AC36" s="105">
        <f t="shared" si="11"/>
        <v>0</v>
      </c>
      <c r="AD36" s="105">
        <f t="shared" si="11"/>
        <v>0</v>
      </c>
      <c r="AE36" s="105">
        <f t="shared" si="11"/>
        <v>0</v>
      </c>
      <c r="AF36" s="105">
        <f t="shared" si="11"/>
        <v>0</v>
      </c>
      <c r="AG36" s="105">
        <f t="shared" si="11"/>
        <v>0</v>
      </c>
      <c r="AH36" s="158">
        <f>SUM(AC36:AG36)</f>
        <v>0</v>
      </c>
      <c r="AI36" s="473"/>
      <c r="AJ36" s="106"/>
      <c r="AK36" s="107"/>
      <c r="AL36" s="108">
        <f t="shared" si="12"/>
        <v>0</v>
      </c>
      <c r="AM36" s="108">
        <f t="shared" si="12"/>
        <v>0</v>
      </c>
      <c r="AN36" s="108">
        <f t="shared" si="12"/>
        <v>0</v>
      </c>
      <c r="AO36" s="108">
        <f t="shared" si="12"/>
        <v>0</v>
      </c>
      <c r="AP36" s="108">
        <f t="shared" si="12"/>
        <v>0</v>
      </c>
      <c r="AQ36" s="165">
        <f>SUM(AL36:AP36)</f>
        <v>0</v>
      </c>
      <c r="AR36" s="531"/>
    </row>
    <row r="37" spans="1:44" s="109" customFormat="1" x14ac:dyDescent="0.25">
      <c r="A37" s="253"/>
      <c r="B37" s="253"/>
      <c r="C37" s="454"/>
      <c r="D37" s="251"/>
      <c r="E37" s="127">
        <f>D37*12</f>
        <v>0</v>
      </c>
      <c r="F37" s="127">
        <f>IF(E37&gt;12,(((E37)*'CORE Recurring Items'!$H$5)+E37),(E37*1))</f>
        <v>0</v>
      </c>
      <c r="G37" s="127">
        <f>IF(F37&gt;12,(((F37)*'CORE Recurring Items'!$H$5)+F37),(F37*1))</f>
        <v>0</v>
      </c>
      <c r="H37" s="127">
        <f>IF(G37&gt;12,(((G37)*'CORE Recurring Items'!$H$5)+G37),(G37*1))</f>
        <v>0</v>
      </c>
      <c r="I37" s="127">
        <f>IF(H37&gt;12,(((H37)*'CORE Recurring Items'!$H$5)+H37),(H37*1))</f>
        <v>0</v>
      </c>
      <c r="J37" s="121"/>
      <c r="K37" s="247"/>
      <c r="L37" s="129"/>
      <c r="M37" s="129"/>
      <c r="N37" s="129"/>
      <c r="O37" s="129"/>
      <c r="P37" s="129"/>
      <c r="Q37" s="209"/>
      <c r="R37" s="102"/>
      <c r="S37" s="324"/>
      <c r="T37" s="103"/>
      <c r="U37" s="103"/>
      <c r="V37" s="103"/>
      <c r="W37" s="103"/>
      <c r="X37" s="103"/>
      <c r="Y37" s="123"/>
      <c r="Z37" s="370"/>
      <c r="AA37" s="414"/>
      <c r="AB37" s="255"/>
      <c r="AC37" s="105">
        <f t="shared" si="11"/>
        <v>0</v>
      </c>
      <c r="AD37" s="105">
        <f t="shared" si="11"/>
        <v>0</v>
      </c>
      <c r="AE37" s="105">
        <f t="shared" si="11"/>
        <v>0</v>
      </c>
      <c r="AF37" s="105">
        <f t="shared" si="11"/>
        <v>0</v>
      </c>
      <c r="AG37" s="105">
        <f t="shared" si="11"/>
        <v>0</v>
      </c>
      <c r="AH37" s="158">
        <f>SUM(AC37:AG37)</f>
        <v>0</v>
      </c>
      <c r="AI37" s="473"/>
      <c r="AJ37" s="106"/>
      <c r="AK37" s="107"/>
      <c r="AL37" s="108">
        <f t="shared" si="12"/>
        <v>0</v>
      </c>
      <c r="AM37" s="108">
        <f t="shared" si="12"/>
        <v>0</v>
      </c>
      <c r="AN37" s="108">
        <f t="shared" si="12"/>
        <v>0</v>
      </c>
      <c r="AO37" s="108">
        <f t="shared" si="12"/>
        <v>0</v>
      </c>
      <c r="AP37" s="108">
        <f t="shared" si="12"/>
        <v>0</v>
      </c>
      <c r="AQ37" s="165">
        <f>SUM(AL37:AP37)</f>
        <v>0</v>
      </c>
      <c r="AR37" s="531"/>
    </row>
    <row r="38" spans="1:44" s="109" customFormat="1" x14ac:dyDescent="0.25">
      <c r="A38" s="253"/>
      <c r="B38" s="253"/>
      <c r="C38" s="492"/>
      <c r="D38" s="251"/>
      <c r="E38" s="127">
        <f>D38*12</f>
        <v>0</v>
      </c>
      <c r="F38" s="127">
        <f t="shared" ref="F38:I39" si="13">IF(E38&gt;12,(((E38)*$E$5)+E38),(E38*1))</f>
        <v>0</v>
      </c>
      <c r="G38" s="127">
        <f t="shared" si="13"/>
        <v>0</v>
      </c>
      <c r="H38" s="127">
        <f t="shared" si="13"/>
        <v>0</v>
      </c>
      <c r="I38" s="127">
        <f t="shared" si="13"/>
        <v>0</v>
      </c>
      <c r="J38" s="245"/>
      <c r="K38" s="247"/>
      <c r="L38" s="129"/>
      <c r="M38" s="129"/>
      <c r="N38" s="129"/>
      <c r="O38" s="129"/>
      <c r="P38" s="129"/>
      <c r="Q38" s="209"/>
      <c r="R38" s="102"/>
      <c r="S38" s="324"/>
      <c r="T38" s="103"/>
      <c r="U38" s="103"/>
      <c r="V38" s="103"/>
      <c r="W38" s="103"/>
      <c r="X38" s="103"/>
      <c r="Y38" s="123"/>
      <c r="Z38" s="362"/>
      <c r="AA38" s="272"/>
      <c r="AB38" s="255"/>
      <c r="AC38" s="105">
        <f t="shared" si="11"/>
        <v>0</v>
      </c>
      <c r="AD38" s="105">
        <f t="shared" si="11"/>
        <v>0</v>
      </c>
      <c r="AE38" s="105">
        <f t="shared" si="11"/>
        <v>0</v>
      </c>
      <c r="AF38" s="105">
        <f t="shared" si="11"/>
        <v>0</v>
      </c>
      <c r="AG38" s="105">
        <f t="shared" si="11"/>
        <v>0</v>
      </c>
      <c r="AH38" s="158">
        <f>SUM(AC38:AG38)</f>
        <v>0</v>
      </c>
      <c r="AI38" s="473"/>
      <c r="AJ38" s="106"/>
      <c r="AK38" s="107"/>
      <c r="AL38" s="108">
        <f t="shared" si="12"/>
        <v>0</v>
      </c>
      <c r="AM38" s="108">
        <f t="shared" si="12"/>
        <v>0</v>
      </c>
      <c r="AN38" s="108">
        <f t="shared" si="12"/>
        <v>0</v>
      </c>
      <c r="AO38" s="108">
        <f t="shared" si="12"/>
        <v>0</v>
      </c>
      <c r="AP38" s="108">
        <f t="shared" si="12"/>
        <v>0</v>
      </c>
      <c r="AQ38" s="165">
        <f>SUM(AL38:AP38)</f>
        <v>0</v>
      </c>
      <c r="AR38" s="531"/>
    </row>
    <row r="39" spans="1:44" s="109" customFormat="1" x14ac:dyDescent="0.25">
      <c r="A39" s="253"/>
      <c r="B39" s="253"/>
      <c r="C39" s="492"/>
      <c r="D39" s="251"/>
      <c r="E39" s="127">
        <f>D39*12</f>
        <v>0</v>
      </c>
      <c r="F39" s="127">
        <f t="shared" si="13"/>
        <v>0</v>
      </c>
      <c r="G39" s="127">
        <f t="shared" si="13"/>
        <v>0</v>
      </c>
      <c r="H39" s="127">
        <f t="shared" si="13"/>
        <v>0</v>
      </c>
      <c r="I39" s="127">
        <f t="shared" si="13"/>
        <v>0</v>
      </c>
      <c r="J39" s="245"/>
      <c r="K39" s="247"/>
      <c r="L39" s="129"/>
      <c r="M39" s="129"/>
      <c r="N39" s="129"/>
      <c r="O39" s="129"/>
      <c r="P39" s="129"/>
      <c r="Q39" s="209"/>
      <c r="R39" s="102"/>
      <c r="S39" s="324"/>
      <c r="T39" s="103"/>
      <c r="U39" s="103"/>
      <c r="V39" s="103"/>
      <c r="W39" s="103"/>
      <c r="X39" s="103"/>
      <c r="Y39" s="123"/>
      <c r="Z39" s="370"/>
      <c r="AA39" s="272"/>
      <c r="AB39" s="255"/>
      <c r="AC39" s="105">
        <f t="shared" si="11"/>
        <v>0</v>
      </c>
      <c r="AD39" s="105">
        <f t="shared" si="11"/>
        <v>0</v>
      </c>
      <c r="AE39" s="105">
        <f t="shared" si="11"/>
        <v>0</v>
      </c>
      <c r="AF39" s="105">
        <f t="shared" si="11"/>
        <v>0</v>
      </c>
      <c r="AG39" s="105">
        <f t="shared" si="11"/>
        <v>0</v>
      </c>
      <c r="AH39" s="158">
        <f>SUM(AC39:AG39)</f>
        <v>0</v>
      </c>
      <c r="AI39" s="473"/>
      <c r="AJ39" s="106"/>
      <c r="AK39" s="107"/>
      <c r="AL39" s="108">
        <f t="shared" si="12"/>
        <v>0</v>
      </c>
      <c r="AM39" s="108">
        <f t="shared" si="12"/>
        <v>0</v>
      </c>
      <c r="AN39" s="108">
        <f t="shared" si="12"/>
        <v>0</v>
      </c>
      <c r="AO39" s="108">
        <f t="shared" si="12"/>
        <v>0</v>
      </c>
      <c r="AP39" s="108">
        <f t="shared" si="12"/>
        <v>0</v>
      </c>
      <c r="AQ39" s="165">
        <f>SUM(AL39:AP39)</f>
        <v>0</v>
      </c>
      <c r="AR39" s="531"/>
    </row>
    <row r="40" spans="1:44" s="109" customFormat="1" x14ac:dyDescent="0.25">
      <c r="A40" s="253"/>
      <c r="B40" s="253"/>
      <c r="C40" s="200"/>
      <c r="D40" s="128"/>
      <c r="E40" s="127"/>
      <c r="F40" s="127"/>
      <c r="G40" s="127"/>
      <c r="H40" s="127"/>
      <c r="I40" s="127"/>
      <c r="J40" s="121"/>
      <c r="K40" s="247"/>
      <c r="L40" s="118"/>
      <c r="M40" s="118"/>
      <c r="N40" s="118"/>
      <c r="O40" s="118"/>
      <c r="P40" s="118"/>
      <c r="Q40" s="209"/>
      <c r="R40" s="102"/>
      <c r="S40" s="335"/>
      <c r="T40" s="103"/>
      <c r="U40" s="103"/>
      <c r="V40" s="103"/>
      <c r="W40" s="103"/>
      <c r="X40" s="103"/>
      <c r="Y40" s="123"/>
      <c r="Z40" s="362"/>
      <c r="AA40" s="104"/>
      <c r="AB40" s="255"/>
      <c r="AC40" s="105"/>
      <c r="AD40" s="105"/>
      <c r="AE40" s="105"/>
      <c r="AF40" s="105"/>
      <c r="AG40" s="105"/>
      <c r="AH40" s="158"/>
      <c r="AI40" s="473"/>
      <c r="AJ40" s="106"/>
      <c r="AK40" s="107"/>
      <c r="AL40" s="108"/>
      <c r="AM40" s="108"/>
      <c r="AN40" s="108"/>
      <c r="AO40" s="108"/>
      <c r="AP40" s="108"/>
      <c r="AQ40" s="165"/>
      <c r="AR40" s="531"/>
    </row>
    <row r="41" spans="1:44" s="109" customFormat="1" x14ac:dyDescent="0.25">
      <c r="A41" s="253"/>
      <c r="B41" s="374"/>
      <c r="C41" s="242" t="s">
        <v>471</v>
      </c>
      <c r="D41" s="243"/>
      <c r="E41" s="243"/>
      <c r="F41" s="243"/>
      <c r="G41" s="243"/>
      <c r="H41" s="243"/>
      <c r="I41" s="244"/>
      <c r="J41" s="121"/>
      <c r="K41" s="247"/>
      <c r="L41" s="118"/>
      <c r="M41" s="118"/>
      <c r="N41" s="118"/>
      <c r="O41" s="118"/>
      <c r="P41" s="118"/>
      <c r="Q41" s="209"/>
      <c r="R41" s="252" t="str">
        <f>C41</f>
        <v>INSIGHT CENTER WILL REPLACE TOTAL REVELATION PROGRAM</v>
      </c>
      <c r="S41" s="386"/>
      <c r="T41" s="243"/>
      <c r="U41" s="243"/>
      <c r="V41" s="243"/>
      <c r="W41" s="243"/>
      <c r="X41" s="244"/>
      <c r="Y41" s="123"/>
      <c r="Z41" s="362"/>
      <c r="AA41" s="252" t="str">
        <f>C41</f>
        <v>INSIGHT CENTER WILL REPLACE TOTAL REVELATION PROGRAM</v>
      </c>
      <c r="AB41" s="386"/>
      <c r="AC41" s="243"/>
      <c r="AD41" s="243"/>
      <c r="AE41" s="243"/>
      <c r="AF41" s="243"/>
      <c r="AG41" s="244"/>
      <c r="AH41" s="158"/>
      <c r="AI41" s="473"/>
      <c r="AJ41" s="252" t="str">
        <f>C41</f>
        <v>INSIGHT CENTER WILL REPLACE TOTAL REVELATION PROGRAM</v>
      </c>
      <c r="AK41" s="386"/>
      <c r="AL41" s="243"/>
      <c r="AM41" s="243"/>
      <c r="AN41" s="243"/>
      <c r="AO41" s="243"/>
      <c r="AP41" s="244"/>
      <c r="AQ41" s="165"/>
      <c r="AR41" s="531"/>
    </row>
    <row r="42" spans="1:44" s="109" customFormat="1" x14ac:dyDescent="0.25">
      <c r="A42" s="253"/>
      <c r="B42" s="445"/>
      <c r="C42" s="453"/>
      <c r="D42" s="128"/>
      <c r="E42" s="127">
        <f>D42*12</f>
        <v>0</v>
      </c>
      <c r="F42" s="127">
        <f t="shared" ref="F42:I43" si="14">IF(E42&gt;12,(((E42)*$E$5)+E42),(E42*1))</f>
        <v>0</v>
      </c>
      <c r="G42" s="127">
        <f t="shared" si="14"/>
        <v>0</v>
      </c>
      <c r="H42" s="127">
        <f t="shared" si="14"/>
        <v>0</v>
      </c>
      <c r="I42" s="127">
        <f t="shared" si="14"/>
        <v>0</v>
      </c>
      <c r="J42" s="121"/>
      <c r="K42" s="247"/>
      <c r="L42" s="118"/>
      <c r="M42" s="118"/>
      <c r="N42" s="118"/>
      <c r="O42" s="118"/>
      <c r="P42" s="118"/>
      <c r="Q42" s="209"/>
      <c r="R42" s="222"/>
      <c r="S42" s="335"/>
      <c r="T42" s="103">
        <f>PRODUCT(E42,$S42)</f>
        <v>0</v>
      </c>
      <c r="U42" s="103">
        <f>PRODUCT(F42,$S42)</f>
        <v>0</v>
      </c>
      <c r="V42" s="103">
        <f>PRODUCT(G42,$S42)</f>
        <v>0</v>
      </c>
      <c r="W42" s="103">
        <f>PRODUCT(H42,$S42)</f>
        <v>0</v>
      </c>
      <c r="X42" s="103">
        <f>PRODUCT(I42,$S42)</f>
        <v>0</v>
      </c>
      <c r="Y42" s="123">
        <f>SUM(T42:X42)</f>
        <v>0</v>
      </c>
      <c r="Z42" s="370"/>
      <c r="AA42" s="104"/>
      <c r="AB42" s="255"/>
      <c r="AC42" s="105"/>
      <c r="AD42" s="105"/>
      <c r="AE42" s="105"/>
      <c r="AF42" s="105"/>
      <c r="AG42" s="105"/>
      <c r="AH42" s="158"/>
      <c r="AI42" s="473"/>
      <c r="AJ42" s="106"/>
      <c r="AK42" s="107"/>
      <c r="AL42" s="108"/>
      <c r="AM42" s="108"/>
      <c r="AN42" s="108"/>
      <c r="AO42" s="108"/>
      <c r="AP42" s="108"/>
      <c r="AQ42" s="165"/>
      <c r="AR42" s="531"/>
    </row>
    <row r="43" spans="1:44" s="109" customFormat="1" x14ac:dyDescent="0.25">
      <c r="A43" s="253"/>
      <c r="B43" s="445"/>
      <c r="C43" s="453"/>
      <c r="D43" s="128"/>
      <c r="E43" s="127">
        <f>D43*12</f>
        <v>0</v>
      </c>
      <c r="F43" s="127">
        <f t="shared" si="14"/>
        <v>0</v>
      </c>
      <c r="G43" s="127">
        <f t="shared" si="14"/>
        <v>0</v>
      </c>
      <c r="H43" s="127">
        <f t="shared" si="14"/>
        <v>0</v>
      </c>
      <c r="I43" s="127">
        <f t="shared" si="14"/>
        <v>0</v>
      </c>
      <c r="J43" s="121"/>
      <c r="K43" s="247"/>
      <c r="L43" s="118"/>
      <c r="M43" s="118"/>
      <c r="N43" s="118"/>
      <c r="O43" s="118"/>
      <c r="P43" s="118"/>
      <c r="Q43" s="209"/>
      <c r="R43" s="222"/>
      <c r="S43" s="335"/>
      <c r="T43" s="103">
        <f>IF($S43&gt;0,PRODUCT(E43,$S43),0)</f>
        <v>0</v>
      </c>
      <c r="U43" s="103">
        <f>IF($S43&gt;0,PRODUCT(F43,$S43),0)</f>
        <v>0</v>
      </c>
      <c r="V43" s="103">
        <f>IF($S43&gt;0,PRODUCT(G43,$S43),0)</f>
        <v>0</v>
      </c>
      <c r="W43" s="103">
        <f>IF($S43&gt;0,PRODUCT(H43,$S43),0)</f>
        <v>0</v>
      </c>
      <c r="X43" s="103">
        <f>IF($S43&gt;0,PRODUCT(I43,$S43),0)</f>
        <v>0</v>
      </c>
      <c r="Y43" s="123">
        <f>SUM(T43:X43)</f>
        <v>0</v>
      </c>
      <c r="Z43" s="370"/>
      <c r="AA43" s="104"/>
      <c r="AB43" s="255"/>
      <c r="AC43" s="105"/>
      <c r="AD43" s="105"/>
      <c r="AE43" s="105"/>
      <c r="AF43" s="105"/>
      <c r="AG43" s="105"/>
      <c r="AH43" s="158"/>
      <c r="AI43" s="473"/>
      <c r="AJ43" s="106"/>
      <c r="AK43" s="107"/>
      <c r="AL43" s="108"/>
      <c r="AM43" s="108"/>
      <c r="AN43" s="108"/>
      <c r="AO43" s="108"/>
      <c r="AP43" s="108"/>
      <c r="AQ43" s="165"/>
      <c r="AR43" s="531"/>
    </row>
    <row r="44" spans="1:44" s="109" customFormat="1" x14ac:dyDescent="0.25">
      <c r="A44" s="253"/>
      <c r="B44" s="253"/>
      <c r="C44" s="200"/>
      <c r="D44" s="128"/>
      <c r="E44" s="127"/>
      <c r="F44" s="127"/>
      <c r="G44" s="127"/>
      <c r="H44" s="127"/>
      <c r="I44" s="127"/>
      <c r="J44" s="121"/>
      <c r="K44" s="247"/>
      <c r="L44" s="118"/>
      <c r="M44" s="118"/>
      <c r="N44" s="118"/>
      <c r="O44" s="118"/>
      <c r="P44" s="118"/>
      <c r="Q44" s="209"/>
      <c r="R44" s="102"/>
      <c r="S44" s="335"/>
      <c r="T44" s="103"/>
      <c r="U44" s="103"/>
      <c r="V44" s="103"/>
      <c r="W44" s="103"/>
      <c r="X44" s="103"/>
      <c r="Y44" s="123"/>
      <c r="Z44" s="362"/>
      <c r="AA44" s="104"/>
      <c r="AB44" s="255"/>
      <c r="AC44" s="105"/>
      <c r="AD44" s="105"/>
      <c r="AE44" s="105"/>
      <c r="AF44" s="105"/>
      <c r="AG44" s="105"/>
      <c r="AH44" s="158"/>
      <c r="AI44" s="473"/>
      <c r="AJ44" s="106"/>
      <c r="AK44" s="107"/>
      <c r="AL44" s="108"/>
      <c r="AM44" s="108"/>
      <c r="AN44" s="108"/>
      <c r="AO44" s="108"/>
      <c r="AP44" s="108"/>
      <c r="AQ44" s="165"/>
      <c r="AR44" s="531"/>
    </row>
    <row r="45" spans="1:44" s="109" customFormat="1" x14ac:dyDescent="0.25">
      <c r="A45" s="253"/>
      <c r="B45" s="374"/>
      <c r="C45" s="242" t="s">
        <v>472</v>
      </c>
      <c r="D45" s="243"/>
      <c r="E45" s="243"/>
      <c r="F45" s="243"/>
      <c r="G45" s="243"/>
      <c r="H45" s="243"/>
      <c r="I45" s="244"/>
      <c r="J45" s="121"/>
      <c r="K45" s="247"/>
      <c r="L45" s="118"/>
      <c r="M45" s="118"/>
      <c r="N45" s="118"/>
      <c r="O45" s="118"/>
      <c r="P45" s="118"/>
      <c r="Q45" s="209"/>
      <c r="R45" s="252" t="str">
        <f>C45</f>
        <v>EMV CONTACT TO EMV CONTACTLESS</v>
      </c>
      <c r="S45" s="386"/>
      <c r="T45" s="243"/>
      <c r="U45" s="243"/>
      <c r="V45" s="243"/>
      <c r="W45" s="243"/>
      <c r="X45" s="244"/>
      <c r="Y45" s="123"/>
      <c r="Z45" s="362"/>
      <c r="AA45" s="252" t="str">
        <f>C45</f>
        <v>EMV CONTACT TO EMV CONTACTLESS</v>
      </c>
      <c r="AB45" s="386"/>
      <c r="AC45" s="243"/>
      <c r="AD45" s="243"/>
      <c r="AE45" s="243"/>
      <c r="AF45" s="243"/>
      <c r="AG45" s="244"/>
      <c r="AH45" s="158"/>
      <c r="AI45" s="473"/>
      <c r="AJ45" s="252" t="str">
        <f>C45</f>
        <v>EMV CONTACT TO EMV CONTACTLESS</v>
      </c>
      <c r="AK45" s="386"/>
      <c r="AL45" s="243"/>
      <c r="AM45" s="243"/>
      <c r="AN45" s="243"/>
      <c r="AO45" s="243"/>
      <c r="AP45" s="244"/>
      <c r="AQ45" s="165"/>
      <c r="AR45" s="531"/>
    </row>
    <row r="46" spans="1:44" s="109" customFormat="1" x14ac:dyDescent="0.25">
      <c r="A46" s="253"/>
      <c r="B46" s="253"/>
      <c r="C46" s="453"/>
      <c r="D46" s="128"/>
      <c r="E46" s="127">
        <f>D46*12</f>
        <v>0</v>
      </c>
      <c r="F46" s="127">
        <f>IF(E46&gt;12,(((E46)*'CORE Recurring Items'!$H$5)+E46),(E46*1))</f>
        <v>0</v>
      </c>
      <c r="G46" s="127">
        <f>IF(F46&gt;12,(((F46)*'CORE Recurring Items'!$H$5)+F46),(F46*1))</f>
        <v>0</v>
      </c>
      <c r="H46" s="127">
        <f>IF(G46&gt;12,(((G46)*'CORE Recurring Items'!$H$5)+G46),(G46*1))</f>
        <v>0</v>
      </c>
      <c r="I46" s="127">
        <f>IF(H46&gt;12,(((H46)*'CORE Recurring Items'!$H$5)+H46),(H46*1))</f>
        <v>0</v>
      </c>
      <c r="J46" s="121"/>
      <c r="K46" s="246"/>
      <c r="L46" s="129"/>
      <c r="M46" s="129"/>
      <c r="N46" s="129"/>
      <c r="O46" s="129"/>
      <c r="P46" s="129"/>
      <c r="Q46" s="209"/>
      <c r="R46" s="102"/>
      <c r="S46" s="335"/>
      <c r="T46" s="103"/>
      <c r="U46" s="103"/>
      <c r="V46" s="103"/>
      <c r="W46" s="103"/>
      <c r="X46" s="103"/>
      <c r="Y46" s="123"/>
      <c r="Z46" s="362"/>
      <c r="AA46" s="272"/>
      <c r="AB46" s="269"/>
      <c r="AC46" s="105">
        <f>IF(AB46&gt;0,PRODUCT(E46,$AB46),0)</f>
        <v>0</v>
      </c>
      <c r="AD46" s="105">
        <f>IF(AC46&gt;0,PRODUCT(F46,$AB46),0)</f>
        <v>0</v>
      </c>
      <c r="AE46" s="105">
        <f>IF(AD46&gt;0,PRODUCT(G46,$AB46),0)</f>
        <v>0</v>
      </c>
      <c r="AF46" s="105">
        <f>IF(AE46&gt;0,PRODUCT(H46,$AB46),0)</f>
        <v>0</v>
      </c>
      <c r="AG46" s="105">
        <f>IF(AF46&gt;0,PRODUCT(I46,$AB46),0)</f>
        <v>0</v>
      </c>
      <c r="AH46" s="158">
        <f>SUM(AC46:AG46)</f>
        <v>0</v>
      </c>
      <c r="AI46" s="473"/>
      <c r="AJ46" s="106"/>
      <c r="AK46" s="132"/>
      <c r="AL46" s="108">
        <f>IF(AK46&gt;0,PRODUCT(E46,$AK46),0)</f>
        <v>0</v>
      </c>
      <c r="AM46" s="108">
        <f>IF(AL46&gt;0,PRODUCT(F46,$AK46),0)</f>
        <v>0</v>
      </c>
      <c r="AN46" s="108">
        <f>IF(AM46&gt;0,PRODUCT(G46,$AK46),0)</f>
        <v>0</v>
      </c>
      <c r="AO46" s="108">
        <f>IF(AN46&gt;0,PRODUCT(H46,$AK46),0)</f>
        <v>0</v>
      </c>
      <c r="AP46" s="108">
        <f>IF(AO46&gt;0,PRODUCT(I46,$AK46),0)</f>
        <v>0</v>
      </c>
      <c r="AQ46" s="165">
        <f>SUM(AL46:AP46)</f>
        <v>0</v>
      </c>
      <c r="AR46" s="531"/>
    </row>
    <row r="47" spans="1:44" s="109" customFormat="1" x14ac:dyDescent="0.25">
      <c r="A47" s="253"/>
      <c r="B47" s="445"/>
      <c r="C47" s="453"/>
      <c r="D47" s="128"/>
      <c r="E47" s="127">
        <f>D47*12</f>
        <v>0</v>
      </c>
      <c r="F47" s="127">
        <f>IF(E47&gt;12,(((E47)*$E$5)+E47),(E47*1))</f>
        <v>0</v>
      </c>
      <c r="G47" s="127">
        <f>IF(F47&gt;12,(((F47)*$E$5)+F47),(F47*1))</f>
        <v>0</v>
      </c>
      <c r="H47" s="127">
        <f>IF(G47&gt;12,(((G47)*$E$5)+G47),(G47*1))</f>
        <v>0</v>
      </c>
      <c r="I47" s="127">
        <f>IF(H47&gt;12,(((H47)*$E$5)+H47),(H47*1))</f>
        <v>0</v>
      </c>
      <c r="J47" s="121"/>
      <c r="K47" s="247"/>
      <c r="L47" s="118"/>
      <c r="M47" s="118"/>
      <c r="N47" s="118"/>
      <c r="O47" s="118"/>
      <c r="P47" s="118"/>
      <c r="Q47" s="209"/>
      <c r="R47" s="222"/>
      <c r="S47" s="335"/>
      <c r="T47" s="103">
        <f>IF($S47&gt;0,PRODUCT(E47,$S47),0)</f>
        <v>0</v>
      </c>
      <c r="U47" s="103">
        <f>IF($S47&gt;0,PRODUCT(F47,$S47),0)</f>
        <v>0</v>
      </c>
      <c r="V47" s="103">
        <f>IF($S47&gt;0,PRODUCT(G47,$S47),0)</f>
        <v>0</v>
      </c>
      <c r="W47" s="103">
        <f>IF($S47&gt;0,PRODUCT(H47,$S47),0)</f>
        <v>0</v>
      </c>
      <c r="X47" s="103">
        <f>IF($S47&gt;0,PRODUCT(I47,$S47),0)</f>
        <v>0</v>
      </c>
      <c r="Y47" s="123">
        <f>SUM(T47:X47)</f>
        <v>0</v>
      </c>
      <c r="Z47" s="370"/>
      <c r="AA47" s="104"/>
      <c r="AB47" s="255"/>
      <c r="AC47" s="105"/>
      <c r="AD47" s="105"/>
      <c r="AE47" s="105"/>
      <c r="AF47" s="105"/>
      <c r="AG47" s="105"/>
      <c r="AH47" s="158"/>
      <c r="AI47" s="473"/>
      <c r="AJ47" s="106"/>
      <c r="AK47" s="107"/>
      <c r="AL47" s="108"/>
      <c r="AM47" s="108"/>
      <c r="AN47" s="108"/>
      <c r="AO47" s="108"/>
      <c r="AP47" s="108"/>
      <c r="AQ47" s="165"/>
      <c r="AR47" s="531"/>
    </row>
    <row r="48" spans="1:44" s="109" customFormat="1" x14ac:dyDescent="0.25">
      <c r="A48" s="253"/>
      <c r="B48" s="253"/>
      <c r="C48" s="200"/>
      <c r="D48" s="128"/>
      <c r="E48" s="127"/>
      <c r="F48" s="127"/>
      <c r="G48" s="127"/>
      <c r="H48" s="127"/>
      <c r="I48" s="127"/>
      <c r="J48" s="121"/>
      <c r="K48" s="247"/>
      <c r="L48" s="118"/>
      <c r="M48" s="118"/>
      <c r="N48" s="118"/>
      <c r="O48" s="118"/>
      <c r="P48" s="118"/>
      <c r="Q48" s="209"/>
      <c r="R48" s="102"/>
      <c r="S48" s="335"/>
      <c r="T48" s="103"/>
      <c r="U48" s="103"/>
      <c r="V48" s="103"/>
      <c r="W48" s="103"/>
      <c r="X48" s="103"/>
      <c r="Y48" s="123"/>
      <c r="Z48" s="362"/>
      <c r="AA48" s="104"/>
      <c r="AB48" s="255"/>
      <c r="AC48" s="105"/>
      <c r="AD48" s="105"/>
      <c r="AE48" s="105"/>
      <c r="AF48" s="105"/>
      <c r="AG48" s="105"/>
      <c r="AH48" s="158"/>
      <c r="AI48" s="473"/>
      <c r="AJ48" s="106"/>
      <c r="AK48" s="107"/>
      <c r="AL48" s="108"/>
      <c r="AM48" s="108"/>
      <c r="AN48" s="108"/>
      <c r="AO48" s="108"/>
      <c r="AP48" s="108"/>
      <c r="AQ48" s="165"/>
      <c r="AR48" s="531"/>
    </row>
    <row r="49" spans="1:44" s="109" customFormat="1" x14ac:dyDescent="0.25">
      <c r="A49" s="253"/>
      <c r="B49" s="374"/>
      <c r="C49" s="242" t="s">
        <v>473</v>
      </c>
      <c r="D49" s="243"/>
      <c r="E49" s="243"/>
      <c r="F49" s="243"/>
      <c r="G49" s="243"/>
      <c r="H49" s="243"/>
      <c r="I49" s="244"/>
      <c r="J49" s="121"/>
      <c r="K49" s="247"/>
      <c r="L49" s="118"/>
      <c r="M49" s="118"/>
      <c r="N49" s="118"/>
      <c r="O49" s="118"/>
      <c r="P49" s="118"/>
      <c r="Q49" s="209"/>
      <c r="R49" s="252" t="str">
        <f>C49</f>
        <v>3D SECURE</v>
      </c>
      <c r="S49" s="386"/>
      <c r="T49" s="243"/>
      <c r="U49" s="243"/>
      <c r="V49" s="243"/>
      <c r="W49" s="243"/>
      <c r="X49" s="244"/>
      <c r="Y49" s="123"/>
      <c r="Z49" s="362"/>
      <c r="AA49" s="252" t="str">
        <f>C49</f>
        <v>3D SECURE</v>
      </c>
      <c r="AB49" s="386"/>
      <c r="AC49" s="243"/>
      <c r="AD49" s="243"/>
      <c r="AE49" s="243"/>
      <c r="AF49" s="243"/>
      <c r="AG49" s="244"/>
      <c r="AH49" s="158"/>
      <c r="AI49" s="473"/>
      <c r="AJ49" s="252" t="str">
        <f>C49</f>
        <v>3D SECURE</v>
      </c>
      <c r="AK49" s="386"/>
      <c r="AL49" s="243"/>
      <c r="AM49" s="243"/>
      <c r="AN49" s="243"/>
      <c r="AO49" s="243"/>
      <c r="AP49" s="244"/>
      <c r="AQ49" s="165"/>
      <c r="AR49" s="531"/>
    </row>
    <row r="50" spans="1:44" s="109" customFormat="1" x14ac:dyDescent="0.25">
      <c r="A50" s="445"/>
      <c r="B50" s="445"/>
      <c r="C50" s="453"/>
      <c r="D50" s="128"/>
      <c r="E50" s="127">
        <f t="shared" ref="E50:E57" si="15">D50*12</f>
        <v>0</v>
      </c>
      <c r="F50" s="127">
        <f t="shared" ref="F50:I57" si="16">IF(E50&gt;12,(((E50)*$E$5)+E50),(E50*1))</f>
        <v>0</v>
      </c>
      <c r="G50" s="127">
        <f t="shared" si="16"/>
        <v>0</v>
      </c>
      <c r="H50" s="127">
        <f t="shared" si="16"/>
        <v>0</v>
      </c>
      <c r="I50" s="127">
        <f t="shared" si="16"/>
        <v>0</v>
      </c>
      <c r="J50" s="121"/>
      <c r="K50" s="247"/>
      <c r="L50" s="118"/>
      <c r="M50" s="118"/>
      <c r="N50" s="118"/>
      <c r="O50" s="118"/>
      <c r="P50" s="118"/>
      <c r="Q50" s="209"/>
      <c r="R50" s="222"/>
      <c r="S50" s="335"/>
      <c r="T50" s="103">
        <f t="shared" ref="T50:X57" si="17">IF($S50&gt;0,PRODUCT(E50,$S50),0)</f>
        <v>0</v>
      </c>
      <c r="U50" s="103">
        <f t="shared" si="17"/>
        <v>0</v>
      </c>
      <c r="V50" s="103">
        <f t="shared" si="17"/>
        <v>0</v>
      </c>
      <c r="W50" s="103">
        <f t="shared" si="17"/>
        <v>0</v>
      </c>
      <c r="X50" s="103">
        <f t="shared" si="17"/>
        <v>0</v>
      </c>
      <c r="Y50" s="123">
        <f t="shared" ref="Y50:Y57" si="18">SUM(T50:X50)</f>
        <v>0</v>
      </c>
      <c r="Z50" s="370"/>
      <c r="AA50" s="272"/>
      <c r="AB50" s="255"/>
      <c r="AC50" s="105">
        <f>IF(AB50&gt;0,PRODUCT(E50,$AB50),0)</f>
        <v>0</v>
      </c>
      <c r="AD50" s="105">
        <f>IF(AC50&gt;0,PRODUCT(F50,$AB50),0)</f>
        <v>0</v>
      </c>
      <c r="AE50" s="105">
        <f>IF(AD50&gt;0,PRODUCT(G50,$AB50),0)</f>
        <v>0</v>
      </c>
      <c r="AF50" s="105">
        <f>IF(AE50&gt;0,PRODUCT(H50,$AB50),0)</f>
        <v>0</v>
      </c>
      <c r="AG50" s="105">
        <f>IF(AF50&gt;0,PRODUCT(I50,$AB50),0)</f>
        <v>0</v>
      </c>
      <c r="AH50" s="158">
        <f>SUM(AC50:AG50)</f>
        <v>0</v>
      </c>
      <c r="AI50" s="473"/>
      <c r="AJ50" s="106"/>
      <c r="AK50" s="107"/>
      <c r="AL50" s="108">
        <f>IF(AK50&gt;0,PRODUCT(E50,$AK50),0)</f>
        <v>0</v>
      </c>
      <c r="AM50" s="108">
        <f>IF(AL50&gt;0,PRODUCT(F50,$AK50),0)</f>
        <v>0</v>
      </c>
      <c r="AN50" s="108">
        <f>IF(AM50&gt;0,PRODUCT(G50,$AK50),0)</f>
        <v>0</v>
      </c>
      <c r="AO50" s="108">
        <f>IF(AN50&gt;0,PRODUCT(H50,$AK50),0)</f>
        <v>0</v>
      </c>
      <c r="AP50" s="108">
        <f>IF(AO50&gt;0,PRODUCT(I50,$AK50),0)</f>
        <v>0</v>
      </c>
      <c r="AQ50" s="165">
        <f>SUM(AL50:AP50)</f>
        <v>0</v>
      </c>
      <c r="AR50" s="531"/>
    </row>
    <row r="51" spans="1:44" s="109" customFormat="1" x14ac:dyDescent="0.25">
      <c r="A51" s="253"/>
      <c r="B51" s="445"/>
      <c r="C51" s="453"/>
      <c r="D51" s="128"/>
      <c r="E51" s="127">
        <f t="shared" si="15"/>
        <v>0</v>
      </c>
      <c r="F51" s="127">
        <f t="shared" si="16"/>
        <v>0</v>
      </c>
      <c r="G51" s="127">
        <f t="shared" si="16"/>
        <v>0</v>
      </c>
      <c r="H51" s="127">
        <f t="shared" si="16"/>
        <v>0</v>
      </c>
      <c r="I51" s="127">
        <f t="shared" si="16"/>
        <v>0</v>
      </c>
      <c r="J51" s="121"/>
      <c r="K51" s="247"/>
      <c r="L51" s="118"/>
      <c r="M51" s="118"/>
      <c r="N51" s="118"/>
      <c r="O51" s="118"/>
      <c r="P51" s="118"/>
      <c r="Q51" s="209"/>
      <c r="R51" s="222"/>
      <c r="S51" s="335"/>
      <c r="T51" s="103">
        <f t="shared" si="17"/>
        <v>0</v>
      </c>
      <c r="U51" s="103">
        <f t="shared" si="17"/>
        <v>0</v>
      </c>
      <c r="V51" s="103">
        <f t="shared" si="17"/>
        <v>0</v>
      </c>
      <c r="W51" s="103">
        <f t="shared" si="17"/>
        <v>0</v>
      </c>
      <c r="X51" s="103">
        <f t="shared" si="17"/>
        <v>0</v>
      </c>
      <c r="Y51" s="123">
        <f t="shared" si="18"/>
        <v>0</v>
      </c>
      <c r="Z51" s="370"/>
      <c r="AA51" s="104"/>
      <c r="AB51" s="255"/>
      <c r="AC51" s="105"/>
      <c r="AD51" s="105"/>
      <c r="AE51" s="105"/>
      <c r="AF51" s="105"/>
      <c r="AG51" s="105"/>
      <c r="AH51" s="158"/>
      <c r="AI51" s="473"/>
      <c r="AJ51" s="106"/>
      <c r="AK51" s="107"/>
      <c r="AL51" s="108"/>
      <c r="AM51" s="108"/>
      <c r="AN51" s="108"/>
      <c r="AO51" s="108"/>
      <c r="AP51" s="108"/>
      <c r="AQ51" s="165"/>
      <c r="AR51" s="531"/>
    </row>
    <row r="52" spans="1:44" s="109" customFormat="1" x14ac:dyDescent="0.25">
      <c r="A52" s="253"/>
      <c r="B52" s="445"/>
      <c r="C52" s="453"/>
      <c r="D52" s="128"/>
      <c r="E52" s="127">
        <f t="shared" si="15"/>
        <v>0</v>
      </c>
      <c r="F52" s="127">
        <f t="shared" si="16"/>
        <v>0</v>
      </c>
      <c r="G52" s="127">
        <f t="shared" si="16"/>
        <v>0</v>
      </c>
      <c r="H52" s="127">
        <f t="shared" si="16"/>
        <v>0</v>
      </c>
      <c r="I52" s="127">
        <f t="shared" si="16"/>
        <v>0</v>
      </c>
      <c r="J52" s="121"/>
      <c r="K52" s="247"/>
      <c r="L52" s="118"/>
      <c r="M52" s="118"/>
      <c r="N52" s="118"/>
      <c r="O52" s="118"/>
      <c r="P52" s="118"/>
      <c r="Q52" s="209"/>
      <c r="R52" s="222"/>
      <c r="S52" s="335"/>
      <c r="T52" s="103">
        <f t="shared" si="17"/>
        <v>0</v>
      </c>
      <c r="U52" s="103">
        <f t="shared" si="17"/>
        <v>0</v>
      </c>
      <c r="V52" s="103">
        <f t="shared" si="17"/>
        <v>0</v>
      </c>
      <c r="W52" s="103">
        <f t="shared" si="17"/>
        <v>0</v>
      </c>
      <c r="X52" s="103">
        <f t="shared" si="17"/>
        <v>0</v>
      </c>
      <c r="Y52" s="123">
        <f t="shared" si="18"/>
        <v>0</v>
      </c>
      <c r="Z52" s="370"/>
      <c r="AA52" s="104"/>
      <c r="AB52" s="255"/>
      <c r="AC52" s="105"/>
      <c r="AD52" s="105"/>
      <c r="AE52" s="105"/>
      <c r="AF52" s="105"/>
      <c r="AG52" s="105"/>
      <c r="AH52" s="158"/>
      <c r="AI52" s="473"/>
      <c r="AJ52" s="106"/>
      <c r="AK52" s="107"/>
      <c r="AL52" s="108"/>
      <c r="AM52" s="108"/>
      <c r="AN52" s="108"/>
      <c r="AO52" s="108"/>
      <c r="AP52" s="108"/>
      <c r="AQ52" s="165"/>
      <c r="AR52" s="531"/>
    </row>
    <row r="53" spans="1:44" s="109" customFormat="1" x14ac:dyDescent="0.25">
      <c r="A53" s="253"/>
      <c r="B53" s="445"/>
      <c r="C53" s="453"/>
      <c r="D53" s="128"/>
      <c r="E53" s="127">
        <f t="shared" si="15"/>
        <v>0</v>
      </c>
      <c r="F53" s="127">
        <f t="shared" si="16"/>
        <v>0</v>
      </c>
      <c r="G53" s="127">
        <f t="shared" si="16"/>
        <v>0</v>
      </c>
      <c r="H53" s="127">
        <f t="shared" si="16"/>
        <v>0</v>
      </c>
      <c r="I53" s="127">
        <f t="shared" si="16"/>
        <v>0</v>
      </c>
      <c r="J53" s="121"/>
      <c r="K53" s="247"/>
      <c r="L53" s="118"/>
      <c r="M53" s="118"/>
      <c r="N53" s="118"/>
      <c r="O53" s="118"/>
      <c r="P53" s="118"/>
      <c r="Q53" s="209"/>
      <c r="R53" s="222"/>
      <c r="S53" s="335"/>
      <c r="T53" s="103">
        <f t="shared" si="17"/>
        <v>0</v>
      </c>
      <c r="U53" s="103">
        <f t="shared" si="17"/>
        <v>0</v>
      </c>
      <c r="V53" s="103">
        <f t="shared" si="17"/>
        <v>0</v>
      </c>
      <c r="W53" s="103">
        <f t="shared" si="17"/>
        <v>0</v>
      </c>
      <c r="X53" s="103">
        <f t="shared" si="17"/>
        <v>0</v>
      </c>
      <c r="Y53" s="123">
        <f t="shared" si="18"/>
        <v>0</v>
      </c>
      <c r="Z53" s="370"/>
      <c r="AA53" s="104"/>
      <c r="AB53" s="255"/>
      <c r="AC53" s="105"/>
      <c r="AD53" s="105"/>
      <c r="AE53" s="105"/>
      <c r="AF53" s="105"/>
      <c r="AG53" s="105"/>
      <c r="AH53" s="158"/>
      <c r="AI53" s="473"/>
      <c r="AJ53" s="106"/>
      <c r="AK53" s="107"/>
      <c r="AL53" s="108"/>
      <c r="AM53" s="108"/>
      <c r="AN53" s="108"/>
      <c r="AO53" s="108"/>
      <c r="AP53" s="108"/>
      <c r="AQ53" s="165"/>
      <c r="AR53" s="531"/>
    </row>
    <row r="54" spans="1:44" s="109" customFormat="1" x14ac:dyDescent="0.25">
      <c r="A54" s="253"/>
      <c r="B54" s="445"/>
      <c r="C54" s="453"/>
      <c r="D54" s="128"/>
      <c r="E54" s="127">
        <f t="shared" si="15"/>
        <v>0</v>
      </c>
      <c r="F54" s="127">
        <f t="shared" si="16"/>
        <v>0</v>
      </c>
      <c r="G54" s="127">
        <f t="shared" si="16"/>
        <v>0</v>
      </c>
      <c r="H54" s="127">
        <f t="shared" si="16"/>
        <v>0</v>
      </c>
      <c r="I54" s="127">
        <f t="shared" si="16"/>
        <v>0</v>
      </c>
      <c r="J54" s="121"/>
      <c r="K54" s="247"/>
      <c r="L54" s="118"/>
      <c r="M54" s="118"/>
      <c r="N54" s="118"/>
      <c r="O54" s="118"/>
      <c r="P54" s="118"/>
      <c r="Q54" s="209"/>
      <c r="R54" s="222"/>
      <c r="S54" s="335"/>
      <c r="T54" s="103">
        <f t="shared" si="17"/>
        <v>0</v>
      </c>
      <c r="U54" s="103">
        <f t="shared" si="17"/>
        <v>0</v>
      </c>
      <c r="V54" s="103">
        <f t="shared" si="17"/>
        <v>0</v>
      </c>
      <c r="W54" s="103">
        <f t="shared" si="17"/>
        <v>0</v>
      </c>
      <c r="X54" s="103">
        <f t="shared" si="17"/>
        <v>0</v>
      </c>
      <c r="Y54" s="123">
        <f t="shared" si="18"/>
        <v>0</v>
      </c>
      <c r="Z54" s="370"/>
      <c r="AA54" s="104"/>
      <c r="AB54" s="255"/>
      <c r="AC54" s="105"/>
      <c r="AD54" s="105"/>
      <c r="AE54" s="105"/>
      <c r="AF54" s="105"/>
      <c r="AG54" s="105"/>
      <c r="AH54" s="158"/>
      <c r="AI54" s="473"/>
      <c r="AJ54" s="106"/>
      <c r="AK54" s="107"/>
      <c r="AL54" s="108"/>
      <c r="AM54" s="108"/>
      <c r="AN54" s="108"/>
      <c r="AO54" s="108"/>
      <c r="AP54" s="108"/>
      <c r="AQ54" s="165"/>
      <c r="AR54" s="531"/>
    </row>
    <row r="55" spans="1:44" s="109" customFormat="1" x14ac:dyDescent="0.25">
      <c r="A55" s="253"/>
      <c r="B55" s="445"/>
      <c r="C55" s="453"/>
      <c r="D55" s="128"/>
      <c r="E55" s="127">
        <f t="shared" si="15"/>
        <v>0</v>
      </c>
      <c r="F55" s="127">
        <f t="shared" si="16"/>
        <v>0</v>
      </c>
      <c r="G55" s="127">
        <f t="shared" si="16"/>
        <v>0</v>
      </c>
      <c r="H55" s="127">
        <f t="shared" si="16"/>
        <v>0</v>
      </c>
      <c r="I55" s="127">
        <f t="shared" si="16"/>
        <v>0</v>
      </c>
      <c r="J55" s="121"/>
      <c r="K55" s="247"/>
      <c r="L55" s="118"/>
      <c r="M55" s="118"/>
      <c r="N55" s="118"/>
      <c r="O55" s="118"/>
      <c r="P55" s="118"/>
      <c r="Q55" s="209"/>
      <c r="R55" s="222"/>
      <c r="S55" s="335"/>
      <c r="T55" s="103">
        <f t="shared" si="17"/>
        <v>0</v>
      </c>
      <c r="U55" s="103">
        <f t="shared" si="17"/>
        <v>0</v>
      </c>
      <c r="V55" s="103">
        <f t="shared" si="17"/>
        <v>0</v>
      </c>
      <c r="W55" s="103">
        <f t="shared" si="17"/>
        <v>0</v>
      </c>
      <c r="X55" s="103">
        <f t="shared" si="17"/>
        <v>0</v>
      </c>
      <c r="Y55" s="123">
        <f t="shared" si="18"/>
        <v>0</v>
      </c>
      <c r="Z55" s="370"/>
      <c r="AA55" s="104"/>
      <c r="AB55" s="255"/>
      <c r="AC55" s="105"/>
      <c r="AD55" s="105"/>
      <c r="AE55" s="105"/>
      <c r="AF55" s="105"/>
      <c r="AG55" s="105"/>
      <c r="AH55" s="158"/>
      <c r="AI55" s="473"/>
      <c r="AJ55" s="106"/>
      <c r="AK55" s="107"/>
      <c r="AL55" s="108"/>
      <c r="AM55" s="108"/>
      <c r="AN55" s="108"/>
      <c r="AO55" s="108"/>
      <c r="AP55" s="108"/>
      <c r="AQ55" s="165"/>
      <c r="AR55" s="531"/>
    </row>
    <row r="56" spans="1:44" s="109" customFormat="1" x14ac:dyDescent="0.25">
      <c r="A56" s="445"/>
      <c r="B56" s="445"/>
      <c r="C56" s="453"/>
      <c r="D56" s="128"/>
      <c r="E56" s="127">
        <f t="shared" si="15"/>
        <v>0</v>
      </c>
      <c r="F56" s="127">
        <f t="shared" si="16"/>
        <v>0</v>
      </c>
      <c r="G56" s="127">
        <f t="shared" si="16"/>
        <v>0</v>
      </c>
      <c r="H56" s="127">
        <f t="shared" si="16"/>
        <v>0</v>
      </c>
      <c r="I56" s="127">
        <f t="shared" si="16"/>
        <v>0</v>
      </c>
      <c r="J56" s="121"/>
      <c r="K56" s="247"/>
      <c r="L56" s="118"/>
      <c r="M56" s="118"/>
      <c r="N56" s="118"/>
      <c r="O56" s="118"/>
      <c r="P56" s="118"/>
      <c r="Q56" s="209"/>
      <c r="R56" s="222"/>
      <c r="S56" s="335"/>
      <c r="T56" s="103">
        <f t="shared" si="17"/>
        <v>0</v>
      </c>
      <c r="U56" s="103">
        <f t="shared" si="17"/>
        <v>0</v>
      </c>
      <c r="V56" s="103">
        <f t="shared" si="17"/>
        <v>0</v>
      </c>
      <c r="W56" s="103">
        <f t="shared" si="17"/>
        <v>0</v>
      </c>
      <c r="X56" s="103">
        <f t="shared" si="17"/>
        <v>0</v>
      </c>
      <c r="Y56" s="123">
        <f t="shared" si="18"/>
        <v>0</v>
      </c>
      <c r="Z56" s="370"/>
      <c r="AA56" s="272"/>
      <c r="AB56" s="255"/>
      <c r="AC56" s="105">
        <f>IF(AB56&gt;0,PRODUCT(E56,$AB56),0)</f>
        <v>0</v>
      </c>
      <c r="AD56" s="105">
        <f>IF(AC56&gt;0,PRODUCT(F56,$AB56),0)</f>
        <v>0</v>
      </c>
      <c r="AE56" s="105">
        <f>IF(AD56&gt;0,PRODUCT(G56,$AB56),0)</f>
        <v>0</v>
      </c>
      <c r="AF56" s="105">
        <f>IF(AE56&gt;0,PRODUCT(H56,$AB56),0)</f>
        <v>0</v>
      </c>
      <c r="AG56" s="105">
        <f>IF(AF56&gt;0,PRODUCT(I56,$AB56),0)</f>
        <v>0</v>
      </c>
      <c r="AH56" s="158">
        <f>SUM(AC56:AG56)</f>
        <v>0</v>
      </c>
      <c r="AI56" s="473"/>
      <c r="AJ56" s="106"/>
      <c r="AK56" s="107"/>
      <c r="AL56" s="108">
        <f>IF(AK56&gt;0,PRODUCT(E56,$AK56),0)</f>
        <v>0</v>
      </c>
      <c r="AM56" s="108">
        <f>IF(AL56&gt;0,PRODUCT(F56,$AK56),0)</f>
        <v>0</v>
      </c>
      <c r="AN56" s="108">
        <f>IF(AM56&gt;0,PRODUCT(G56,$AK56),0)</f>
        <v>0</v>
      </c>
      <c r="AO56" s="108">
        <f>IF(AN56&gt;0,PRODUCT(H56,$AK56),0)</f>
        <v>0</v>
      </c>
      <c r="AP56" s="108">
        <f>IF(AO56&gt;0,PRODUCT(I56,$AK56),0)</f>
        <v>0</v>
      </c>
      <c r="AQ56" s="165">
        <f>SUM(AL56:AP56)</f>
        <v>0</v>
      </c>
      <c r="AR56" s="531"/>
    </row>
    <row r="57" spans="1:44" s="109" customFormat="1" x14ac:dyDescent="0.25">
      <c r="A57" s="253"/>
      <c r="B57" s="445"/>
      <c r="C57" s="453"/>
      <c r="D57" s="128"/>
      <c r="E57" s="127">
        <f t="shared" si="15"/>
        <v>0</v>
      </c>
      <c r="F57" s="127">
        <f t="shared" si="16"/>
        <v>0</v>
      </c>
      <c r="G57" s="127">
        <f t="shared" si="16"/>
        <v>0</v>
      </c>
      <c r="H57" s="127">
        <f t="shared" si="16"/>
        <v>0</v>
      </c>
      <c r="I57" s="127">
        <f t="shared" si="16"/>
        <v>0</v>
      </c>
      <c r="J57" s="121"/>
      <c r="K57" s="247"/>
      <c r="L57" s="118"/>
      <c r="M57" s="118"/>
      <c r="N57" s="118"/>
      <c r="O57" s="118"/>
      <c r="P57" s="118"/>
      <c r="Q57" s="209"/>
      <c r="R57" s="222"/>
      <c r="S57" s="335"/>
      <c r="T57" s="103">
        <f t="shared" si="17"/>
        <v>0</v>
      </c>
      <c r="U57" s="103">
        <f t="shared" si="17"/>
        <v>0</v>
      </c>
      <c r="V57" s="103">
        <f t="shared" si="17"/>
        <v>0</v>
      </c>
      <c r="W57" s="103">
        <f t="shared" si="17"/>
        <v>0</v>
      </c>
      <c r="X57" s="103">
        <f t="shared" si="17"/>
        <v>0</v>
      </c>
      <c r="Y57" s="123">
        <f t="shared" si="18"/>
        <v>0</v>
      </c>
      <c r="Z57" s="370"/>
      <c r="AA57" s="104"/>
      <c r="AB57" s="255"/>
      <c r="AC57" s="105"/>
      <c r="AD57" s="105"/>
      <c r="AE57" s="105"/>
      <c r="AF57" s="105"/>
      <c r="AG57" s="105"/>
      <c r="AH57" s="158"/>
      <c r="AI57" s="473"/>
      <c r="AJ57" s="106"/>
      <c r="AK57" s="107"/>
      <c r="AL57" s="108"/>
      <c r="AM57" s="108"/>
      <c r="AN57" s="108"/>
      <c r="AO57" s="108"/>
      <c r="AP57" s="108"/>
      <c r="AQ57" s="165"/>
      <c r="AR57" s="531"/>
    </row>
    <row r="58" spans="1:44" s="109" customFormat="1" x14ac:dyDescent="0.25">
      <c r="A58" s="253"/>
      <c r="B58" s="253"/>
      <c r="C58" s="200"/>
      <c r="D58" s="128"/>
      <c r="E58" s="127"/>
      <c r="F58" s="127"/>
      <c r="G58" s="127"/>
      <c r="H58" s="127"/>
      <c r="I58" s="127"/>
      <c r="J58" s="121"/>
      <c r="K58" s="247"/>
      <c r="L58" s="118"/>
      <c r="M58" s="118"/>
      <c r="N58" s="118"/>
      <c r="O58" s="118"/>
      <c r="P58" s="118"/>
      <c r="Q58" s="209"/>
      <c r="R58" s="102"/>
      <c r="S58" s="335"/>
      <c r="T58" s="103"/>
      <c r="U58" s="103"/>
      <c r="V58" s="103"/>
      <c r="W58" s="103"/>
      <c r="X58" s="103"/>
      <c r="Y58" s="123"/>
      <c r="Z58" s="362"/>
      <c r="AA58" s="104"/>
      <c r="AB58" s="255"/>
      <c r="AC58" s="105"/>
      <c r="AD58" s="105"/>
      <c r="AE58" s="105"/>
      <c r="AF58" s="105"/>
      <c r="AG58" s="105"/>
      <c r="AH58" s="158"/>
      <c r="AI58" s="473"/>
      <c r="AJ58" s="106"/>
      <c r="AK58" s="107"/>
      <c r="AL58" s="108"/>
      <c r="AM58" s="108"/>
      <c r="AN58" s="108"/>
      <c r="AO58" s="108"/>
      <c r="AP58" s="108"/>
      <c r="AQ58" s="165"/>
      <c r="AR58" s="531"/>
    </row>
    <row r="59" spans="1:44" s="109" customFormat="1" x14ac:dyDescent="0.25">
      <c r="A59" s="253"/>
      <c r="B59" s="374"/>
      <c r="C59" s="242" t="s">
        <v>474</v>
      </c>
      <c r="D59" s="243"/>
      <c r="E59" s="243"/>
      <c r="F59" s="243"/>
      <c r="G59" s="243"/>
      <c r="H59" s="243"/>
      <c r="I59" s="244"/>
      <c r="J59" s="121"/>
      <c r="K59" s="247"/>
      <c r="L59" s="118"/>
      <c r="M59" s="118"/>
      <c r="N59" s="118"/>
      <c r="O59" s="118"/>
      <c r="P59" s="118"/>
      <c r="Q59" s="209"/>
      <c r="R59" s="252" t="str">
        <f>C59</f>
        <v>DIGITAL CARD ISSUANCE &amp; CARDNAV BRANDED TO CARDNAV COMPANION</v>
      </c>
      <c r="S59" s="386"/>
      <c r="T59" s="243"/>
      <c r="U59" s="243"/>
      <c r="V59" s="243"/>
      <c r="W59" s="243"/>
      <c r="X59" s="244"/>
      <c r="Y59" s="123"/>
      <c r="Z59" s="362"/>
      <c r="AA59" s="252" t="str">
        <f>C59</f>
        <v>DIGITAL CARD ISSUANCE &amp; CARDNAV BRANDED TO CARDNAV COMPANION</v>
      </c>
      <c r="AB59" s="386"/>
      <c r="AC59" s="243"/>
      <c r="AD59" s="243"/>
      <c r="AE59" s="243"/>
      <c r="AF59" s="243"/>
      <c r="AG59" s="244"/>
      <c r="AH59" s="158"/>
      <c r="AI59" s="473"/>
      <c r="AJ59" s="252" t="str">
        <f>C59</f>
        <v>DIGITAL CARD ISSUANCE &amp; CARDNAV BRANDED TO CARDNAV COMPANION</v>
      </c>
      <c r="AK59" s="386"/>
      <c r="AL59" s="243"/>
      <c r="AM59" s="243"/>
      <c r="AN59" s="243"/>
      <c r="AO59" s="243"/>
      <c r="AP59" s="244"/>
      <c r="AQ59" s="165"/>
      <c r="AR59" s="531"/>
    </row>
    <row r="60" spans="1:44" s="109" customFormat="1" x14ac:dyDescent="0.25">
      <c r="A60" s="445"/>
      <c r="B60" s="445"/>
      <c r="C60" s="453"/>
      <c r="D60" s="128"/>
      <c r="E60" s="127">
        <f>D60*12</f>
        <v>0</v>
      </c>
      <c r="F60" s="127">
        <f t="shared" ref="F60:I61" si="19">IF(E60&gt;12,(((E60)*$E$5)+E60),(E60*1))</f>
        <v>0</v>
      </c>
      <c r="G60" s="127">
        <f t="shared" si="19"/>
        <v>0</v>
      </c>
      <c r="H60" s="127">
        <f t="shared" si="19"/>
        <v>0</v>
      </c>
      <c r="I60" s="127">
        <f t="shared" si="19"/>
        <v>0</v>
      </c>
      <c r="J60" s="121"/>
      <c r="K60" s="247"/>
      <c r="L60" s="118"/>
      <c r="M60" s="118"/>
      <c r="N60" s="118"/>
      <c r="O60" s="118"/>
      <c r="P60" s="118"/>
      <c r="Q60" s="209"/>
      <c r="R60" s="222"/>
      <c r="S60" s="335"/>
      <c r="T60" s="103">
        <f t="shared" ref="T60:X61" si="20">IF($S60&gt;0,PRODUCT(E60,$S60),0)</f>
        <v>0</v>
      </c>
      <c r="U60" s="103">
        <f t="shared" si="20"/>
        <v>0</v>
      </c>
      <c r="V60" s="103">
        <f t="shared" si="20"/>
        <v>0</v>
      </c>
      <c r="W60" s="103">
        <f t="shared" si="20"/>
        <v>0</v>
      </c>
      <c r="X60" s="103">
        <f t="shared" si="20"/>
        <v>0</v>
      </c>
      <c r="Y60" s="123">
        <f>SUM(T60:X60)</f>
        <v>0</v>
      </c>
      <c r="Z60" s="370"/>
      <c r="AA60" s="272"/>
      <c r="AB60" s="255"/>
      <c r="AC60" s="105">
        <f>IF(AB60&gt;0,PRODUCT(E60,$AB60),0)</f>
        <v>0</v>
      </c>
      <c r="AD60" s="105">
        <f>IF(AC60&gt;0,PRODUCT(F60,$AB60),0)</f>
        <v>0</v>
      </c>
      <c r="AE60" s="105">
        <f>IF(AD60&gt;0,PRODUCT(G60,$AB60),0)</f>
        <v>0</v>
      </c>
      <c r="AF60" s="105">
        <f>IF(AE60&gt;0,PRODUCT(H60,$AB60),0)</f>
        <v>0</v>
      </c>
      <c r="AG60" s="105">
        <f>IF(AF60&gt;0,PRODUCT(I60,$AB60),0)</f>
        <v>0</v>
      </c>
      <c r="AH60" s="158">
        <f>SUM(AC60:AG60)</f>
        <v>0</v>
      </c>
      <c r="AI60" s="473"/>
      <c r="AJ60" s="106"/>
      <c r="AK60" s="107"/>
      <c r="AL60" s="108">
        <f>IF(AK60&gt;0,PRODUCT(E60,$AK60),0)</f>
        <v>0</v>
      </c>
      <c r="AM60" s="108">
        <f>IF(AL60&gt;0,PRODUCT(F60,$AK60),0)</f>
        <v>0</v>
      </c>
      <c r="AN60" s="108">
        <f>IF(AM60&gt;0,PRODUCT(G60,$AK60),0)</f>
        <v>0</v>
      </c>
      <c r="AO60" s="108">
        <f>IF(AN60&gt;0,PRODUCT(H60,$AK60),0)</f>
        <v>0</v>
      </c>
      <c r="AP60" s="108">
        <f>IF(AO60&gt;0,PRODUCT(I60,$AK60),0)</f>
        <v>0</v>
      </c>
      <c r="AQ60" s="165">
        <f>SUM(AL60:AP60)</f>
        <v>0</v>
      </c>
      <c r="AR60" s="531"/>
    </row>
    <row r="61" spans="1:44" s="109" customFormat="1" x14ac:dyDescent="0.25">
      <c r="A61" s="253"/>
      <c r="B61" s="445"/>
      <c r="C61" s="453"/>
      <c r="D61" s="128"/>
      <c r="E61" s="127">
        <f>D61*12</f>
        <v>0</v>
      </c>
      <c r="F61" s="127">
        <f t="shared" si="19"/>
        <v>0</v>
      </c>
      <c r="G61" s="127">
        <f t="shared" si="19"/>
        <v>0</v>
      </c>
      <c r="H61" s="127">
        <f t="shared" si="19"/>
        <v>0</v>
      </c>
      <c r="I61" s="127">
        <f t="shared" si="19"/>
        <v>0</v>
      </c>
      <c r="J61" s="121"/>
      <c r="K61" s="247"/>
      <c r="L61" s="118"/>
      <c r="M61" s="118"/>
      <c r="N61" s="118"/>
      <c r="O61" s="118"/>
      <c r="P61" s="118"/>
      <c r="Q61" s="209"/>
      <c r="R61" s="222"/>
      <c r="S61" s="335"/>
      <c r="T61" s="103">
        <f t="shared" si="20"/>
        <v>0</v>
      </c>
      <c r="U61" s="103">
        <f t="shared" si="20"/>
        <v>0</v>
      </c>
      <c r="V61" s="103">
        <f t="shared" si="20"/>
        <v>0</v>
      </c>
      <c r="W61" s="103">
        <f t="shared" si="20"/>
        <v>0</v>
      </c>
      <c r="X61" s="103">
        <f t="shared" si="20"/>
        <v>0</v>
      </c>
      <c r="Y61" s="123">
        <f>SUM(T61:X61)</f>
        <v>0</v>
      </c>
      <c r="Z61" s="370"/>
      <c r="AA61" s="104"/>
      <c r="AB61" s="255"/>
      <c r="AC61" s="105"/>
      <c r="AD61" s="105"/>
      <c r="AE61" s="105"/>
      <c r="AF61" s="105"/>
      <c r="AG61" s="105"/>
      <c r="AH61" s="158"/>
      <c r="AI61" s="473"/>
      <c r="AJ61" s="106"/>
      <c r="AK61" s="107"/>
      <c r="AL61" s="108"/>
      <c r="AM61" s="108"/>
      <c r="AN61" s="108"/>
      <c r="AO61" s="108"/>
      <c r="AP61" s="108"/>
      <c r="AQ61" s="165"/>
      <c r="AR61" s="531"/>
    </row>
    <row r="62" spans="1:44" s="109" customFormat="1" x14ac:dyDescent="0.25">
      <c r="A62" s="253"/>
      <c r="B62" s="253"/>
      <c r="C62" s="200"/>
      <c r="D62" s="128"/>
      <c r="E62" s="127"/>
      <c r="F62" s="127"/>
      <c r="G62" s="127"/>
      <c r="H62" s="127"/>
      <c r="I62" s="127"/>
      <c r="J62" s="121"/>
      <c r="K62" s="247"/>
      <c r="L62" s="118"/>
      <c r="M62" s="118"/>
      <c r="N62" s="118"/>
      <c r="O62" s="118"/>
      <c r="P62" s="118"/>
      <c r="Q62" s="209"/>
      <c r="R62" s="102"/>
      <c r="S62" s="335"/>
      <c r="T62" s="103"/>
      <c r="U62" s="103"/>
      <c r="V62" s="103"/>
      <c r="W62" s="103"/>
      <c r="X62" s="103"/>
      <c r="Y62" s="123"/>
      <c r="Z62" s="362"/>
      <c r="AA62" s="104"/>
      <c r="AB62" s="255"/>
      <c r="AC62" s="105"/>
      <c r="AD62" s="105"/>
      <c r="AE62" s="105"/>
      <c r="AF62" s="105"/>
      <c r="AG62" s="105"/>
      <c r="AH62" s="158"/>
      <c r="AI62" s="473"/>
      <c r="AJ62" s="106"/>
      <c r="AK62" s="107"/>
      <c r="AL62" s="108"/>
      <c r="AM62" s="108"/>
      <c r="AN62" s="108"/>
      <c r="AO62" s="108"/>
      <c r="AP62" s="108"/>
      <c r="AQ62" s="165"/>
      <c r="AR62" s="531"/>
    </row>
    <row r="63" spans="1:44" s="109" customFormat="1" x14ac:dyDescent="0.25">
      <c r="A63" s="253"/>
      <c r="B63" s="374"/>
      <c r="C63" s="242" t="s">
        <v>475</v>
      </c>
      <c r="D63" s="243"/>
      <c r="E63" s="243"/>
      <c r="F63" s="243"/>
      <c r="G63" s="243"/>
      <c r="H63" s="243"/>
      <c r="I63" s="244"/>
      <c r="J63" s="121"/>
      <c r="K63" s="247"/>
      <c r="L63" s="118"/>
      <c r="M63" s="118"/>
      <c r="N63" s="118"/>
      <c r="O63" s="118"/>
      <c r="P63" s="118"/>
      <c r="Q63" s="209"/>
      <c r="R63" s="252" t="str">
        <f>C63</f>
        <v>CONTACT CENTER / CALL CENTER</v>
      </c>
      <c r="S63" s="386"/>
      <c r="T63" s="243"/>
      <c r="U63" s="243"/>
      <c r="V63" s="243"/>
      <c r="W63" s="243"/>
      <c r="X63" s="244"/>
      <c r="Y63" s="123"/>
      <c r="Z63" s="362"/>
      <c r="AA63" s="252" t="str">
        <f>C63</f>
        <v>CONTACT CENTER / CALL CENTER</v>
      </c>
      <c r="AB63" s="386"/>
      <c r="AC63" s="243"/>
      <c r="AD63" s="243"/>
      <c r="AE63" s="243"/>
      <c r="AF63" s="243"/>
      <c r="AG63" s="244"/>
      <c r="AH63" s="158"/>
      <c r="AI63" s="473"/>
      <c r="AJ63" s="252" t="str">
        <f>C63</f>
        <v>CONTACT CENTER / CALL CENTER</v>
      </c>
      <c r="AK63" s="386"/>
      <c r="AL63" s="243"/>
      <c r="AM63" s="243"/>
      <c r="AN63" s="243"/>
      <c r="AO63" s="243"/>
      <c r="AP63" s="244"/>
      <c r="AQ63" s="165"/>
      <c r="AR63" s="531"/>
    </row>
    <row r="64" spans="1:44" s="109" customFormat="1" x14ac:dyDescent="0.25">
      <c r="A64" s="253"/>
      <c r="B64" s="445"/>
      <c r="C64" s="453"/>
      <c r="D64" s="128"/>
      <c r="E64" s="127">
        <f>D64*12</f>
        <v>0</v>
      </c>
      <c r="F64" s="127">
        <f t="shared" ref="F64:I65" si="21">IF(E64&gt;12,(((E64)*$E$5)+E64),(E64*1))</f>
        <v>0</v>
      </c>
      <c r="G64" s="127">
        <f t="shared" si="21"/>
        <v>0</v>
      </c>
      <c r="H64" s="127">
        <f t="shared" si="21"/>
        <v>0</v>
      </c>
      <c r="I64" s="127">
        <f t="shared" si="21"/>
        <v>0</v>
      </c>
      <c r="J64" s="121"/>
      <c r="K64" s="247"/>
      <c r="L64" s="118"/>
      <c r="M64" s="118"/>
      <c r="N64" s="118"/>
      <c r="O64" s="118"/>
      <c r="P64" s="118"/>
      <c r="Q64" s="209"/>
      <c r="R64" s="222"/>
      <c r="S64" s="335"/>
      <c r="T64" s="103">
        <f>IF($S64&gt;0,PRODUCT(E64,$S64),0)</f>
        <v>0</v>
      </c>
      <c r="U64" s="103">
        <f>IF($S64&gt;0,PRODUCT(F64,$S64),0)</f>
        <v>0</v>
      </c>
      <c r="V64" s="103">
        <f>IF($S64&gt;0,PRODUCT(G64,$S64),0)</f>
        <v>0</v>
      </c>
      <c r="W64" s="103">
        <f>IF($S64&gt;0,PRODUCT(H64,$S64),0)</f>
        <v>0</v>
      </c>
      <c r="X64" s="103">
        <f>IF($S64&gt;0,PRODUCT(I64,$S64),0)</f>
        <v>0</v>
      </c>
      <c r="Y64" s="123">
        <f>SUM(T64:X64)</f>
        <v>0</v>
      </c>
      <c r="Z64" s="370"/>
      <c r="AA64" s="104"/>
      <c r="AB64" s="255"/>
      <c r="AC64" s="105"/>
      <c r="AD64" s="105"/>
      <c r="AE64" s="105"/>
      <c r="AF64" s="105"/>
      <c r="AG64" s="105"/>
      <c r="AH64" s="158"/>
      <c r="AI64" s="473"/>
      <c r="AJ64" s="106"/>
      <c r="AK64" s="107"/>
      <c r="AL64" s="108"/>
      <c r="AM64" s="108"/>
      <c r="AN64" s="108"/>
      <c r="AO64" s="108"/>
      <c r="AP64" s="108"/>
      <c r="AQ64" s="165"/>
      <c r="AR64" s="531"/>
    </row>
    <row r="65" spans="1:45" s="495" customFormat="1" x14ac:dyDescent="0.25">
      <c r="A65" s="253"/>
      <c r="B65" s="253"/>
      <c r="C65" s="200"/>
      <c r="D65" s="128"/>
      <c r="E65" s="127">
        <f>D65*12</f>
        <v>0</v>
      </c>
      <c r="F65" s="127">
        <f t="shared" si="21"/>
        <v>0</v>
      </c>
      <c r="G65" s="127">
        <f t="shared" si="21"/>
        <v>0</v>
      </c>
      <c r="H65" s="127">
        <f t="shared" si="21"/>
        <v>0</v>
      </c>
      <c r="I65" s="127">
        <f t="shared" si="21"/>
        <v>0</v>
      </c>
      <c r="J65" s="121"/>
      <c r="K65" s="247"/>
      <c r="L65" s="129">
        <f>IF(K65&gt;0,PRODUCT(E65,$K65),0)</f>
        <v>0</v>
      </c>
      <c r="M65" s="129">
        <f>IF(L65&gt;0,PRODUCT(F65,$K65),0)</f>
        <v>0</v>
      </c>
      <c r="N65" s="129">
        <f>IF(M65&gt;0,PRODUCT(G65,$K65),0)</f>
        <v>0</v>
      </c>
      <c r="O65" s="129">
        <f>IF(N65&gt;0,PRODUCT(H65,$K65),0)</f>
        <v>0</v>
      </c>
      <c r="P65" s="129">
        <f>IF(O65&gt;0,PRODUCT(I65,$K65),0)</f>
        <v>0</v>
      </c>
      <c r="Q65" s="209">
        <f>SUM(L65:P65)</f>
        <v>0</v>
      </c>
      <c r="R65" s="102"/>
      <c r="S65" s="324"/>
      <c r="T65" s="103"/>
      <c r="U65" s="103"/>
      <c r="V65" s="103"/>
      <c r="W65" s="103"/>
      <c r="X65" s="103"/>
      <c r="Y65" s="123"/>
      <c r="Z65" s="370"/>
      <c r="AA65" s="272"/>
      <c r="AB65" s="255"/>
      <c r="AC65" s="105">
        <f>IF(AB65&gt;0,PRODUCT(E65,$AB65),0)</f>
        <v>0</v>
      </c>
      <c r="AD65" s="105">
        <f>IF(AC65&gt;0,PRODUCT(F65,$AB65),0)</f>
        <v>0</v>
      </c>
      <c r="AE65" s="105">
        <f>IF(AD65&gt;0,PRODUCT(G65,$AB65),0)</f>
        <v>0</v>
      </c>
      <c r="AF65" s="105">
        <f>IF(AE65&gt;0,PRODUCT(H65,$AB65),0)</f>
        <v>0</v>
      </c>
      <c r="AG65" s="105">
        <f>IF(AF65&gt;0,PRODUCT(I65,$AB65),0)</f>
        <v>0</v>
      </c>
      <c r="AH65" s="158">
        <f>SUM(AC65:AG65)</f>
        <v>0</v>
      </c>
      <c r="AI65" s="473"/>
      <c r="AJ65" s="106"/>
      <c r="AK65" s="107"/>
      <c r="AL65" s="108">
        <f>IF(AK65&gt;0,PRODUCT(E65,$AK65),0)</f>
        <v>0</v>
      </c>
      <c r="AM65" s="108">
        <f>IF(AL65&gt;0,PRODUCT(F65,$AK65),0)</f>
        <v>0</v>
      </c>
      <c r="AN65" s="108">
        <f>IF(AM65&gt;0,PRODUCT(G65,$AK65),0)</f>
        <v>0</v>
      </c>
      <c r="AO65" s="108">
        <f>IF(AN65&gt;0,PRODUCT(H65,$AK65),0)</f>
        <v>0</v>
      </c>
      <c r="AP65" s="108">
        <f>IF(AO65&gt;0,PRODUCT(I65,$AK65),0)</f>
        <v>0</v>
      </c>
      <c r="AQ65" s="165">
        <f>SUM(AL65:AP65)</f>
        <v>0</v>
      </c>
      <c r="AR65" s="531"/>
    </row>
    <row r="66" spans="1:45" s="495" customFormat="1" x14ac:dyDescent="0.25">
      <c r="A66" s="253"/>
      <c r="B66" s="253"/>
      <c r="C66" s="200"/>
      <c r="D66" s="128"/>
      <c r="E66" s="127"/>
      <c r="F66" s="127"/>
      <c r="G66" s="127"/>
      <c r="H66" s="127"/>
      <c r="I66" s="127"/>
      <c r="J66" s="121"/>
      <c r="K66" s="247"/>
      <c r="L66" s="129"/>
      <c r="M66" s="129"/>
      <c r="N66" s="129"/>
      <c r="O66" s="129"/>
      <c r="P66" s="129"/>
      <c r="Q66" s="209"/>
      <c r="R66" s="102"/>
      <c r="S66" s="324"/>
      <c r="T66" s="103"/>
      <c r="U66" s="103"/>
      <c r="V66" s="103"/>
      <c r="W66" s="103"/>
      <c r="X66" s="103"/>
      <c r="Y66" s="123"/>
      <c r="Z66" s="370"/>
      <c r="AA66" s="272"/>
      <c r="AB66" s="255"/>
      <c r="AC66" s="105"/>
      <c r="AD66" s="105"/>
      <c r="AE66" s="105"/>
      <c r="AF66" s="105"/>
      <c r="AG66" s="105"/>
      <c r="AH66" s="158"/>
      <c r="AI66" s="473"/>
      <c r="AJ66" s="106"/>
      <c r="AK66" s="107"/>
      <c r="AL66" s="108"/>
      <c r="AM66" s="108"/>
      <c r="AN66" s="108"/>
      <c r="AO66" s="108"/>
      <c r="AP66" s="108"/>
      <c r="AQ66" s="165"/>
      <c r="AR66" s="531"/>
    </row>
    <row r="67" spans="1:45" s="109" customFormat="1" x14ac:dyDescent="0.25">
      <c r="A67" s="253"/>
      <c r="B67" s="374"/>
      <c r="C67" s="242" t="s">
        <v>476</v>
      </c>
      <c r="D67" s="243"/>
      <c r="E67" s="243"/>
      <c r="F67" s="243"/>
      <c r="G67" s="243"/>
      <c r="H67" s="243"/>
      <c r="I67" s="244"/>
      <c r="J67" s="121"/>
      <c r="K67" s="247"/>
      <c r="L67" s="118"/>
      <c r="M67" s="118"/>
      <c r="N67" s="118"/>
      <c r="O67" s="118"/>
      <c r="P67" s="118"/>
      <c r="Q67" s="209"/>
      <c r="R67" s="252" t="str">
        <f>C67</f>
        <v>OTHER</v>
      </c>
      <c r="S67" s="386"/>
      <c r="T67" s="243"/>
      <c r="U67" s="243"/>
      <c r="V67" s="243"/>
      <c r="W67" s="243"/>
      <c r="X67" s="244"/>
      <c r="Y67" s="123"/>
      <c r="Z67" s="362"/>
      <c r="AA67" s="252" t="str">
        <f>C67</f>
        <v>OTHER</v>
      </c>
      <c r="AB67" s="386"/>
      <c r="AC67" s="243"/>
      <c r="AD67" s="243"/>
      <c r="AE67" s="243"/>
      <c r="AF67" s="243"/>
      <c r="AG67" s="244"/>
      <c r="AH67" s="158"/>
      <c r="AI67" s="473"/>
      <c r="AJ67" s="252" t="str">
        <f>C67</f>
        <v>OTHER</v>
      </c>
      <c r="AK67" s="386"/>
      <c r="AL67" s="243"/>
      <c r="AM67" s="243"/>
      <c r="AN67" s="243"/>
      <c r="AO67" s="243"/>
      <c r="AP67" s="244"/>
      <c r="AQ67" s="165"/>
      <c r="AR67" s="531"/>
    </row>
    <row r="68" spans="1:45" s="109" customFormat="1" x14ac:dyDescent="0.25">
      <c r="A68" s="253"/>
      <c r="B68" s="253"/>
      <c r="C68" s="200"/>
      <c r="D68" s="518"/>
      <c r="E68" s="127">
        <f>D68*12</f>
        <v>0</v>
      </c>
      <c r="F68" s="127">
        <f t="shared" ref="F68:I70" si="22">IF(E68&gt;12,(((E68)*$E$5)+E68),(E68*1))</f>
        <v>0</v>
      </c>
      <c r="G68" s="127">
        <f t="shared" si="22"/>
        <v>0</v>
      </c>
      <c r="H68" s="127">
        <f t="shared" si="22"/>
        <v>0</v>
      </c>
      <c r="I68" s="127">
        <f t="shared" si="22"/>
        <v>0</v>
      </c>
      <c r="J68" s="245"/>
      <c r="K68" s="247"/>
      <c r="L68" s="129"/>
      <c r="M68" s="129"/>
      <c r="N68" s="129"/>
      <c r="O68" s="129"/>
      <c r="P68" s="129"/>
      <c r="Q68" s="209"/>
      <c r="R68" s="102"/>
      <c r="S68" s="324"/>
      <c r="T68" s="103"/>
      <c r="U68" s="103"/>
      <c r="V68" s="103"/>
      <c r="W68" s="103"/>
      <c r="X68" s="103"/>
      <c r="Y68" s="123"/>
      <c r="Z68" s="370"/>
      <c r="AA68" s="272"/>
      <c r="AB68" s="271"/>
      <c r="AC68" s="105">
        <f t="shared" ref="AC68:AG72" si="23">IF(AB68&gt;0,PRODUCT(E68,$AB68),0)</f>
        <v>0</v>
      </c>
      <c r="AD68" s="105">
        <f t="shared" si="23"/>
        <v>0</v>
      </c>
      <c r="AE68" s="105">
        <f t="shared" si="23"/>
        <v>0</v>
      </c>
      <c r="AF68" s="105">
        <f t="shared" si="23"/>
        <v>0</v>
      </c>
      <c r="AG68" s="105">
        <f t="shared" si="23"/>
        <v>0</v>
      </c>
      <c r="AH68" s="158">
        <f>SUM(AC68:AG68)</f>
        <v>0</v>
      </c>
      <c r="AI68" s="473"/>
      <c r="AJ68" s="398"/>
      <c r="AK68" s="107"/>
      <c r="AL68" s="108">
        <f t="shared" ref="AL68:AP72" si="24">IF(AK68&gt;0,PRODUCT(E68,$AK68),0)</f>
        <v>0</v>
      </c>
      <c r="AM68" s="108">
        <f t="shared" si="24"/>
        <v>0</v>
      </c>
      <c r="AN68" s="108">
        <f t="shared" si="24"/>
        <v>0</v>
      </c>
      <c r="AO68" s="108">
        <f t="shared" si="24"/>
        <v>0</v>
      </c>
      <c r="AP68" s="108">
        <f t="shared" si="24"/>
        <v>0</v>
      </c>
      <c r="AQ68" s="165">
        <f>SUM(AL68:AP68)</f>
        <v>0</v>
      </c>
      <c r="AR68" s="531"/>
    </row>
    <row r="69" spans="1:45" s="109" customFormat="1" x14ac:dyDescent="0.25">
      <c r="A69" s="253"/>
      <c r="B69" s="253"/>
      <c r="C69" s="200"/>
      <c r="D69" s="518"/>
      <c r="E69" s="127">
        <f>D69*12</f>
        <v>0</v>
      </c>
      <c r="F69" s="127">
        <f t="shared" si="22"/>
        <v>0</v>
      </c>
      <c r="G69" s="127">
        <f t="shared" si="22"/>
        <v>0</v>
      </c>
      <c r="H69" s="127">
        <f t="shared" si="22"/>
        <v>0</v>
      </c>
      <c r="I69" s="127">
        <f t="shared" si="22"/>
        <v>0</v>
      </c>
      <c r="J69" s="245"/>
      <c r="K69" s="247"/>
      <c r="L69" s="129"/>
      <c r="M69" s="129"/>
      <c r="N69" s="129"/>
      <c r="O69" s="129"/>
      <c r="P69" s="129"/>
      <c r="Q69" s="209"/>
      <c r="R69" s="102"/>
      <c r="S69" s="324"/>
      <c r="T69" s="103"/>
      <c r="U69" s="103"/>
      <c r="V69" s="103"/>
      <c r="W69" s="103"/>
      <c r="X69" s="103"/>
      <c r="Y69" s="123"/>
      <c r="Z69" s="370"/>
      <c r="AA69" s="272"/>
      <c r="AB69" s="271"/>
      <c r="AC69" s="105">
        <f t="shared" si="23"/>
        <v>0</v>
      </c>
      <c r="AD69" s="105">
        <f t="shared" si="23"/>
        <v>0</v>
      </c>
      <c r="AE69" s="105">
        <f t="shared" si="23"/>
        <v>0</v>
      </c>
      <c r="AF69" s="105">
        <f t="shared" si="23"/>
        <v>0</v>
      </c>
      <c r="AG69" s="105">
        <f t="shared" si="23"/>
        <v>0</v>
      </c>
      <c r="AH69" s="158">
        <f>SUM(AC69:AG69)</f>
        <v>0</v>
      </c>
      <c r="AI69" s="473"/>
      <c r="AJ69" s="398"/>
      <c r="AK69" s="107"/>
      <c r="AL69" s="108">
        <f t="shared" si="24"/>
        <v>0</v>
      </c>
      <c r="AM69" s="108">
        <f t="shared" si="24"/>
        <v>0</v>
      </c>
      <c r="AN69" s="108">
        <f t="shared" si="24"/>
        <v>0</v>
      </c>
      <c r="AO69" s="108">
        <f t="shared" si="24"/>
        <v>0</v>
      </c>
      <c r="AP69" s="108">
        <f t="shared" si="24"/>
        <v>0</v>
      </c>
      <c r="AQ69" s="165">
        <f>SUM(AL69:AP69)</f>
        <v>0</v>
      </c>
      <c r="AR69" s="531"/>
    </row>
    <row r="70" spans="1:45" s="109" customFormat="1" x14ac:dyDescent="0.25">
      <c r="A70" s="253"/>
      <c r="B70" s="253"/>
      <c r="C70" s="200"/>
      <c r="D70" s="518"/>
      <c r="E70" s="127">
        <f>D70*12</f>
        <v>0</v>
      </c>
      <c r="F70" s="127">
        <f t="shared" si="22"/>
        <v>0</v>
      </c>
      <c r="G70" s="127">
        <f t="shared" si="22"/>
        <v>0</v>
      </c>
      <c r="H70" s="127">
        <f t="shared" si="22"/>
        <v>0</v>
      </c>
      <c r="I70" s="127">
        <f t="shared" si="22"/>
        <v>0</v>
      </c>
      <c r="J70" s="245"/>
      <c r="K70" s="247"/>
      <c r="L70" s="129"/>
      <c r="M70" s="129"/>
      <c r="N70" s="129"/>
      <c r="O70" s="129"/>
      <c r="P70" s="129"/>
      <c r="Q70" s="209"/>
      <c r="R70" s="102"/>
      <c r="S70" s="324"/>
      <c r="T70" s="103"/>
      <c r="U70" s="103"/>
      <c r="V70" s="103"/>
      <c r="W70" s="103"/>
      <c r="X70" s="103"/>
      <c r="Y70" s="123"/>
      <c r="Z70" s="370"/>
      <c r="AA70" s="272"/>
      <c r="AB70" s="271"/>
      <c r="AC70" s="105">
        <f t="shared" si="23"/>
        <v>0</v>
      </c>
      <c r="AD70" s="105">
        <f t="shared" si="23"/>
        <v>0</v>
      </c>
      <c r="AE70" s="105">
        <f t="shared" si="23"/>
        <v>0</v>
      </c>
      <c r="AF70" s="105">
        <f t="shared" si="23"/>
        <v>0</v>
      </c>
      <c r="AG70" s="105">
        <f t="shared" si="23"/>
        <v>0</v>
      </c>
      <c r="AH70" s="158">
        <f>SUM(AC70:AG70)</f>
        <v>0</v>
      </c>
      <c r="AI70" s="473"/>
      <c r="AJ70" s="398"/>
      <c r="AK70" s="107"/>
      <c r="AL70" s="108">
        <f t="shared" si="24"/>
        <v>0</v>
      </c>
      <c r="AM70" s="108">
        <f t="shared" si="24"/>
        <v>0</v>
      </c>
      <c r="AN70" s="108">
        <f t="shared" si="24"/>
        <v>0</v>
      </c>
      <c r="AO70" s="108">
        <f t="shared" si="24"/>
        <v>0</v>
      </c>
      <c r="AP70" s="108">
        <f t="shared" si="24"/>
        <v>0</v>
      </c>
      <c r="AQ70" s="165">
        <f>SUM(AL70:AP70)</f>
        <v>0</v>
      </c>
      <c r="AR70" s="531"/>
    </row>
    <row r="71" spans="1:45" s="109" customFormat="1" x14ac:dyDescent="0.25">
      <c r="A71" s="253"/>
      <c r="B71" s="253"/>
      <c r="C71" s="444"/>
      <c r="D71" s="128"/>
      <c r="E71" s="127">
        <f>D71*12</f>
        <v>0</v>
      </c>
      <c r="F71" s="127">
        <f>IF(E71&gt;12,(((E71)*'CORE Recurring Items'!$H$5)+E71),(E71*1))</f>
        <v>0</v>
      </c>
      <c r="G71" s="127">
        <f>IF(F71&gt;12,(((F71)*'CORE Recurring Items'!$H$5)+F71),(F71*1))</f>
        <v>0</v>
      </c>
      <c r="H71" s="127">
        <f>IF(G71&gt;12,(((G71)*'CORE Recurring Items'!$H$5)+G71),(G71*1))</f>
        <v>0</v>
      </c>
      <c r="I71" s="127">
        <f>IF(H71&gt;12,(((H71)*'CORE Recurring Items'!$H$5)+H71),(H71*1))</f>
        <v>0</v>
      </c>
      <c r="J71" s="245"/>
      <c r="K71" s="247"/>
      <c r="L71" s="129"/>
      <c r="M71" s="129"/>
      <c r="N71" s="129"/>
      <c r="O71" s="129"/>
      <c r="P71" s="129"/>
      <c r="Q71" s="209"/>
      <c r="R71" s="102"/>
      <c r="S71" s="324"/>
      <c r="T71" s="103"/>
      <c r="U71" s="103"/>
      <c r="V71" s="103"/>
      <c r="W71" s="103"/>
      <c r="X71" s="103"/>
      <c r="Y71" s="123"/>
      <c r="Z71" s="362"/>
      <c r="AA71" s="272"/>
      <c r="AB71" s="255"/>
      <c r="AC71" s="105">
        <f t="shared" si="23"/>
        <v>0</v>
      </c>
      <c r="AD71" s="105">
        <f t="shared" si="23"/>
        <v>0</v>
      </c>
      <c r="AE71" s="105">
        <f t="shared" si="23"/>
        <v>0</v>
      </c>
      <c r="AF71" s="105">
        <f t="shared" si="23"/>
        <v>0</v>
      </c>
      <c r="AG71" s="105">
        <f t="shared" si="23"/>
        <v>0</v>
      </c>
      <c r="AH71" s="158">
        <f>SUM(AC71:AG71)</f>
        <v>0</v>
      </c>
      <c r="AI71" s="473"/>
      <c r="AJ71" s="106"/>
      <c r="AK71" s="107"/>
      <c r="AL71" s="108">
        <f t="shared" si="24"/>
        <v>0</v>
      </c>
      <c r="AM71" s="108">
        <f t="shared" si="24"/>
        <v>0</v>
      </c>
      <c r="AN71" s="108">
        <f t="shared" si="24"/>
        <v>0</v>
      </c>
      <c r="AO71" s="108">
        <f t="shared" si="24"/>
        <v>0</v>
      </c>
      <c r="AP71" s="108">
        <f t="shared" si="24"/>
        <v>0</v>
      </c>
      <c r="AQ71" s="165">
        <f>SUM(AL71:AP71)</f>
        <v>0</v>
      </c>
      <c r="AR71" s="531"/>
    </row>
    <row r="72" spans="1:45" s="109" customFormat="1" x14ac:dyDescent="0.25">
      <c r="A72" s="253"/>
      <c r="B72" s="253"/>
      <c r="C72" s="444"/>
      <c r="D72" s="128"/>
      <c r="E72" s="127">
        <f>D72*12</f>
        <v>0</v>
      </c>
      <c r="F72" s="127">
        <f>IF(E72&gt;12,(((E72)*'CORE Recurring Items'!$H$5)+E72),(E72*1))</f>
        <v>0</v>
      </c>
      <c r="G72" s="127">
        <f>IF(F72&gt;12,(((F72)*'CORE Recurring Items'!$H$5)+F72),(F72*1))</f>
        <v>0</v>
      </c>
      <c r="H72" s="127">
        <f>IF(G72&gt;12,(((G72)*'CORE Recurring Items'!$H$5)+G72),(G72*1))</f>
        <v>0</v>
      </c>
      <c r="I72" s="127">
        <f>IF(H72&gt;12,(((H72)*'CORE Recurring Items'!$H$5)+H72),(H72*1))</f>
        <v>0</v>
      </c>
      <c r="J72" s="121"/>
      <c r="K72" s="247"/>
      <c r="L72" s="129"/>
      <c r="M72" s="129"/>
      <c r="N72" s="129"/>
      <c r="O72" s="129"/>
      <c r="P72" s="129"/>
      <c r="Q72" s="209"/>
      <c r="R72" s="102"/>
      <c r="S72" s="324"/>
      <c r="T72" s="103"/>
      <c r="U72" s="103"/>
      <c r="V72" s="103"/>
      <c r="W72" s="103"/>
      <c r="X72" s="103"/>
      <c r="Y72" s="123"/>
      <c r="Z72" s="370"/>
      <c r="AA72" s="272"/>
      <c r="AB72" s="270"/>
      <c r="AC72" s="105">
        <f t="shared" si="23"/>
        <v>0</v>
      </c>
      <c r="AD72" s="105">
        <f t="shared" si="23"/>
        <v>0</v>
      </c>
      <c r="AE72" s="105">
        <f t="shared" si="23"/>
        <v>0</v>
      </c>
      <c r="AF72" s="105">
        <f t="shared" si="23"/>
        <v>0</v>
      </c>
      <c r="AG72" s="105">
        <f t="shared" si="23"/>
        <v>0</v>
      </c>
      <c r="AH72" s="158">
        <f>SUM(AC72:AG72)</f>
        <v>0</v>
      </c>
      <c r="AI72" s="473"/>
      <c r="AJ72" s="106"/>
      <c r="AK72" s="380"/>
      <c r="AL72" s="108">
        <f t="shared" si="24"/>
        <v>0</v>
      </c>
      <c r="AM72" s="108">
        <f t="shared" si="24"/>
        <v>0</v>
      </c>
      <c r="AN72" s="108">
        <f t="shared" si="24"/>
        <v>0</v>
      </c>
      <c r="AO72" s="108">
        <f t="shared" si="24"/>
        <v>0</v>
      </c>
      <c r="AP72" s="108">
        <f t="shared" si="24"/>
        <v>0</v>
      </c>
      <c r="AQ72" s="165">
        <f>SUM(AL72:AP72)</f>
        <v>0</v>
      </c>
      <c r="AR72" s="531"/>
    </row>
    <row r="73" spans="1:45" s="109" customFormat="1" x14ac:dyDescent="0.25">
      <c r="A73" s="253"/>
      <c r="B73" s="253"/>
      <c r="C73" s="200"/>
      <c r="D73" s="128"/>
      <c r="E73" s="127"/>
      <c r="F73" s="127"/>
      <c r="G73" s="127"/>
      <c r="H73" s="127"/>
      <c r="I73" s="127"/>
      <c r="J73" s="121"/>
      <c r="K73" s="247"/>
      <c r="L73" s="118"/>
      <c r="M73" s="118"/>
      <c r="N73" s="118"/>
      <c r="O73" s="118"/>
      <c r="P73" s="118"/>
      <c r="Q73" s="209"/>
      <c r="R73" s="102"/>
      <c r="S73" s="335"/>
      <c r="T73" s="103"/>
      <c r="U73" s="103"/>
      <c r="V73" s="103"/>
      <c r="W73" s="103"/>
      <c r="X73" s="103"/>
      <c r="Y73" s="123"/>
      <c r="Z73" s="362"/>
      <c r="AA73" s="104"/>
      <c r="AB73" s="255"/>
      <c r="AC73" s="105"/>
      <c r="AD73" s="105"/>
      <c r="AE73" s="105"/>
      <c r="AF73" s="105"/>
      <c r="AG73" s="105"/>
      <c r="AH73" s="158"/>
      <c r="AI73" s="473"/>
      <c r="AJ73" s="106"/>
      <c r="AK73" s="107"/>
      <c r="AL73" s="108"/>
      <c r="AM73" s="108"/>
      <c r="AN73" s="108"/>
      <c r="AO73" s="108"/>
      <c r="AP73" s="108"/>
      <c r="AQ73" s="165"/>
      <c r="AR73" s="531"/>
    </row>
    <row r="74" spans="1:45" s="109" customFormat="1" x14ac:dyDescent="0.25">
      <c r="A74" s="111"/>
      <c r="B74" s="111"/>
      <c r="C74" s="200"/>
      <c r="D74" s="128"/>
      <c r="E74" s="127"/>
      <c r="F74" s="127"/>
      <c r="G74" s="127"/>
      <c r="H74" s="127"/>
      <c r="I74" s="127"/>
      <c r="J74" s="121"/>
      <c r="K74" s="247"/>
      <c r="L74" s="118"/>
      <c r="M74" s="118"/>
      <c r="N74" s="118"/>
      <c r="O74" s="118"/>
      <c r="P74" s="118"/>
      <c r="Q74" s="209"/>
      <c r="R74" s="102"/>
      <c r="S74" s="335"/>
      <c r="T74" s="103"/>
      <c r="U74" s="103"/>
      <c r="V74" s="103"/>
      <c r="W74" s="103"/>
      <c r="X74" s="103"/>
      <c r="Y74" s="123"/>
      <c r="Z74" s="362"/>
      <c r="AA74" s="104"/>
      <c r="AB74" s="255"/>
      <c r="AC74" s="105"/>
      <c r="AD74" s="105"/>
      <c r="AE74" s="105"/>
      <c r="AF74" s="105"/>
      <c r="AG74" s="105"/>
      <c r="AH74" s="158"/>
      <c r="AI74" s="473"/>
      <c r="AJ74" s="106"/>
      <c r="AK74" s="107"/>
      <c r="AL74" s="108"/>
      <c r="AM74" s="108"/>
      <c r="AN74" s="108"/>
      <c r="AO74" s="108"/>
      <c r="AP74" s="108"/>
      <c r="AQ74" s="165"/>
      <c r="AR74" s="531"/>
    </row>
    <row r="75" spans="1:45" s="23" customFormat="1" ht="3.75" customHeight="1" x14ac:dyDescent="0.25">
      <c r="A75" s="16"/>
      <c r="B75" s="16"/>
      <c r="C75" s="16"/>
      <c r="D75" s="16"/>
      <c r="E75" s="18"/>
      <c r="F75" s="18"/>
      <c r="G75" s="18"/>
      <c r="H75" s="18"/>
      <c r="I75" s="18"/>
      <c r="J75" s="16"/>
      <c r="K75" s="19"/>
      <c r="L75" s="17"/>
      <c r="M75" s="17"/>
      <c r="N75" s="17"/>
      <c r="O75" s="17"/>
      <c r="P75" s="17"/>
      <c r="Q75" s="17"/>
      <c r="R75" s="16"/>
      <c r="S75" s="385"/>
      <c r="T75" s="21"/>
      <c r="U75" s="21"/>
      <c r="V75" s="21"/>
      <c r="W75" s="21"/>
      <c r="X75" s="21"/>
      <c r="Y75" s="21"/>
      <c r="Z75" s="21"/>
      <c r="AA75" s="16"/>
      <c r="AB75" s="20"/>
      <c r="AC75" s="21"/>
      <c r="AD75" s="21"/>
      <c r="AE75" s="21"/>
      <c r="AF75" s="21"/>
      <c r="AG75" s="21"/>
      <c r="AH75" s="21"/>
      <c r="AI75" s="412"/>
      <c r="AJ75" s="20"/>
      <c r="AK75" s="20"/>
      <c r="AL75" s="20"/>
      <c r="AM75" s="20"/>
      <c r="AN75" s="20"/>
      <c r="AO75" s="20"/>
      <c r="AP75" s="20"/>
      <c r="AQ75" s="22"/>
      <c r="AR75" s="412"/>
    </row>
    <row r="76" spans="1:45" s="151" customFormat="1" x14ac:dyDescent="0.25">
      <c r="A76" s="77"/>
      <c r="B76" s="77"/>
      <c r="C76" s="77"/>
      <c r="D76" s="115"/>
      <c r="E76" s="144"/>
      <c r="F76" s="144"/>
      <c r="G76" s="144"/>
      <c r="H76" s="144"/>
      <c r="I76" s="145"/>
      <c r="J76" s="140" t="s">
        <v>477</v>
      </c>
      <c r="K76" s="303"/>
      <c r="L76" s="146">
        <f t="shared" ref="L76:Q76" si="25">SUM(L8:L74)</f>
        <v>0</v>
      </c>
      <c r="M76" s="146">
        <f t="shared" si="25"/>
        <v>0</v>
      </c>
      <c r="N76" s="146">
        <f t="shared" si="25"/>
        <v>0</v>
      </c>
      <c r="O76" s="146">
        <f t="shared" si="25"/>
        <v>0</v>
      </c>
      <c r="P76" s="146">
        <f t="shared" si="25"/>
        <v>0</v>
      </c>
      <c r="Q76" s="210">
        <f t="shared" si="25"/>
        <v>0</v>
      </c>
      <c r="R76" s="138" t="s">
        <v>477</v>
      </c>
      <c r="S76" s="387"/>
      <c r="T76" s="147" t="e">
        <f t="shared" ref="T76:Y76" si="26">SUM(T8:T74)</f>
        <v>#REF!</v>
      </c>
      <c r="U76" s="147" t="e">
        <f t="shared" si="26"/>
        <v>#REF!</v>
      </c>
      <c r="V76" s="147" t="e">
        <f t="shared" si="26"/>
        <v>#REF!</v>
      </c>
      <c r="W76" s="147" t="e">
        <f t="shared" si="26"/>
        <v>#REF!</v>
      </c>
      <c r="X76" s="147" t="e">
        <f t="shared" si="26"/>
        <v>#REF!</v>
      </c>
      <c r="Y76" s="202" t="e">
        <f t="shared" si="26"/>
        <v>#REF!</v>
      </c>
      <c r="Z76" s="363"/>
      <c r="AA76" s="148" t="s">
        <v>477</v>
      </c>
      <c r="AB76" s="256"/>
      <c r="AC76" s="153">
        <f t="shared" ref="AC76:AH76" si="27">SUM(AC8:AC74)</f>
        <v>0</v>
      </c>
      <c r="AD76" s="153">
        <f t="shared" si="27"/>
        <v>0</v>
      </c>
      <c r="AE76" s="153">
        <f t="shared" si="27"/>
        <v>0</v>
      </c>
      <c r="AF76" s="153">
        <f t="shared" si="27"/>
        <v>0</v>
      </c>
      <c r="AG76" s="153">
        <f t="shared" si="27"/>
        <v>0</v>
      </c>
      <c r="AH76" s="409">
        <f t="shared" si="27"/>
        <v>0</v>
      </c>
      <c r="AI76" s="477"/>
      <c r="AJ76" s="149" t="s">
        <v>477</v>
      </c>
      <c r="AK76" s="150"/>
      <c r="AL76" s="155">
        <f t="shared" ref="AL76:AQ76" si="28">SUM(AL8:AL74)</f>
        <v>0</v>
      </c>
      <c r="AM76" s="155">
        <f t="shared" si="28"/>
        <v>0</v>
      </c>
      <c r="AN76" s="155">
        <f t="shared" si="28"/>
        <v>0</v>
      </c>
      <c r="AO76" s="155">
        <f t="shared" si="28"/>
        <v>0</v>
      </c>
      <c r="AP76" s="155">
        <f t="shared" si="28"/>
        <v>0</v>
      </c>
      <c r="AQ76" s="166">
        <f t="shared" si="28"/>
        <v>0</v>
      </c>
      <c r="AR76" s="551"/>
    </row>
    <row r="77" spans="1:45" s="23" customFormat="1" ht="3.75" customHeight="1" x14ac:dyDescent="0.25">
      <c r="A77" s="16"/>
      <c r="B77" s="16"/>
      <c r="C77" s="16"/>
      <c r="D77" s="16"/>
      <c r="E77" s="18"/>
      <c r="F77" s="18"/>
      <c r="G77" s="18"/>
      <c r="H77" s="18"/>
      <c r="I77" s="18"/>
      <c r="J77" s="16"/>
      <c r="K77" s="19"/>
      <c r="L77" s="17"/>
      <c r="M77" s="17"/>
      <c r="N77" s="17"/>
      <c r="O77" s="17"/>
      <c r="P77" s="17"/>
      <c r="Q77" s="17"/>
      <c r="R77" s="16"/>
      <c r="S77" s="385"/>
      <c r="T77" s="21"/>
      <c r="U77" s="21"/>
      <c r="V77" s="21"/>
      <c r="W77" s="21"/>
      <c r="X77" s="21"/>
      <c r="Y77" s="21"/>
      <c r="Z77" s="21"/>
      <c r="AA77" s="16"/>
      <c r="AB77" s="20"/>
      <c r="AC77" s="21"/>
      <c r="AD77" s="21"/>
      <c r="AE77" s="21"/>
      <c r="AF77" s="21"/>
      <c r="AG77" s="21"/>
      <c r="AH77" s="21"/>
      <c r="AI77" s="412"/>
      <c r="AJ77" s="20"/>
      <c r="AK77" s="20"/>
      <c r="AL77" s="20"/>
      <c r="AM77" s="20"/>
      <c r="AN77" s="20"/>
      <c r="AO77" s="20"/>
      <c r="AP77" s="20"/>
      <c r="AQ77" s="22"/>
      <c r="AR77" s="412"/>
    </row>
    <row r="78" spans="1:45" s="280" customFormat="1" ht="38.25" x14ac:dyDescent="0.35">
      <c r="A78" s="295"/>
      <c r="B78" s="375"/>
      <c r="C78" s="311" t="s">
        <v>382</v>
      </c>
      <c r="D78" s="317"/>
      <c r="E78" s="297"/>
      <c r="F78" s="297"/>
      <c r="G78" s="290"/>
      <c r="H78" s="290"/>
      <c r="I78" s="291"/>
      <c r="J78" s="300" t="str">
        <f>C78</f>
        <v>CPI CALCULATIONS</v>
      </c>
      <c r="K78" s="301"/>
      <c r="L78" s="30" t="s">
        <v>48</v>
      </c>
      <c r="M78" s="30" t="s">
        <v>49</v>
      </c>
      <c r="N78" s="30" t="s">
        <v>50</v>
      </c>
      <c r="O78" s="30" t="s">
        <v>51</v>
      </c>
      <c r="P78" s="30" t="s">
        <v>52</v>
      </c>
      <c r="Q78" s="208" t="s">
        <v>53</v>
      </c>
      <c r="R78" s="332" t="str">
        <f>C78</f>
        <v>CPI CALCULATIONS</v>
      </c>
      <c r="S78" s="384" t="s">
        <v>47</v>
      </c>
      <c r="T78" s="31" t="s">
        <v>48</v>
      </c>
      <c r="U78" s="31" t="s">
        <v>49</v>
      </c>
      <c r="V78" s="31" t="s">
        <v>50</v>
      </c>
      <c r="W78" s="31" t="s">
        <v>51</v>
      </c>
      <c r="X78" s="31" t="s">
        <v>52</v>
      </c>
      <c r="Y78" s="122" t="s">
        <v>58</v>
      </c>
      <c r="Z78" s="373" t="s">
        <v>478</v>
      </c>
      <c r="AA78" s="314" t="str">
        <f>C78</f>
        <v>CPI CALCULATIONS</v>
      </c>
      <c r="AB78" s="254"/>
      <c r="AC78" s="33" t="s">
        <v>48</v>
      </c>
      <c r="AD78" s="33" t="s">
        <v>49</v>
      </c>
      <c r="AE78" s="33" t="s">
        <v>50</v>
      </c>
      <c r="AF78" s="33" t="s">
        <v>51</v>
      </c>
      <c r="AG78" s="33" t="s">
        <v>52</v>
      </c>
      <c r="AH78" s="157" t="s">
        <v>58</v>
      </c>
      <c r="AI78" s="476"/>
      <c r="AJ78" s="545" t="str">
        <f>C78</f>
        <v>CPI CALCULATIONS</v>
      </c>
      <c r="AK78" s="37"/>
      <c r="AL78" s="37" t="s">
        <v>48</v>
      </c>
      <c r="AM78" s="37" t="s">
        <v>49</v>
      </c>
      <c r="AN78" s="37" t="s">
        <v>50</v>
      </c>
      <c r="AO78" s="37" t="s">
        <v>51</v>
      </c>
      <c r="AP78" s="37" t="s">
        <v>52</v>
      </c>
      <c r="AQ78" s="164" t="s">
        <v>58</v>
      </c>
      <c r="AR78" s="552"/>
      <c r="AS78" s="544"/>
    </row>
    <row r="79" spans="1:45" s="14" customFormat="1" ht="18.75" x14ac:dyDescent="0.25">
      <c r="A79" s="66"/>
      <c r="B79" s="66"/>
      <c r="C79" s="110"/>
      <c r="D79" s="112"/>
      <c r="E79" s="75"/>
      <c r="F79" s="75"/>
      <c r="G79" s="75"/>
      <c r="H79" s="75"/>
      <c r="I79" s="76"/>
      <c r="J79" s="53"/>
      <c r="K79" s="248"/>
      <c r="L79" s="55"/>
      <c r="M79" s="55"/>
      <c r="N79" s="55"/>
      <c r="O79" s="55"/>
      <c r="P79" s="55"/>
      <c r="Q79" s="211"/>
      <c r="R79" s="80"/>
      <c r="S79" s="388"/>
      <c r="T79" s="63"/>
      <c r="U79" s="63"/>
      <c r="V79" s="63"/>
      <c r="W79" s="63"/>
      <c r="X79" s="63"/>
      <c r="Y79" s="124"/>
      <c r="Z79" s="364"/>
      <c r="AA79" s="94"/>
      <c r="AB79" s="257"/>
      <c r="AC79" s="95"/>
      <c r="AD79" s="95"/>
      <c r="AE79" s="95"/>
      <c r="AF79" s="95"/>
      <c r="AG79" s="95"/>
      <c r="AH79" s="159"/>
      <c r="AI79" s="478"/>
      <c r="AJ79" s="84"/>
      <c r="AK79" s="85"/>
      <c r="AL79" s="85"/>
      <c r="AM79" s="85"/>
      <c r="AN79" s="85"/>
      <c r="AO79" s="85"/>
      <c r="AP79" s="85"/>
      <c r="AQ79" s="167"/>
      <c r="AR79" s="535"/>
    </row>
    <row r="80" spans="1:45" s="2" customFormat="1" x14ac:dyDescent="0.25">
      <c r="A80" s="70"/>
      <c r="B80" s="70"/>
      <c r="C80" s="183" t="str">
        <f>"CPI Rate for Current State at "&amp;F5</f>
        <v>CPI Rate for Current State at 0</v>
      </c>
      <c r="D80" s="113" t="s">
        <v>479</v>
      </c>
      <c r="E80" s="152">
        <f>$F$5</f>
        <v>0</v>
      </c>
      <c r="F80" s="152">
        <f>$F$5</f>
        <v>0</v>
      </c>
      <c r="G80" s="152">
        <f>$F$5</f>
        <v>0</v>
      </c>
      <c r="H80" s="152">
        <f>$F$5</f>
        <v>0</v>
      </c>
      <c r="I80" s="201">
        <f>$F$5</f>
        <v>0</v>
      </c>
      <c r="J80" s="188" t="str">
        <f>C80</f>
        <v>CPI Rate for Current State at 0</v>
      </c>
      <c r="K80" s="249">
        <f>F5</f>
        <v>0</v>
      </c>
      <c r="L80" s="55"/>
      <c r="M80" s="55">
        <f>L76*((1+$F$5)^1-1)</f>
        <v>0</v>
      </c>
      <c r="N80" s="55">
        <f>M76*((1+$F$5)^2-1)</f>
        <v>0</v>
      </c>
      <c r="O80" s="55">
        <f>N76*((1+$F$5)^3-1)</f>
        <v>0</v>
      </c>
      <c r="P80" s="55">
        <f>O76*((1+$F$5)^4-1)</f>
        <v>0</v>
      </c>
      <c r="Q80" s="212">
        <f>SUM(L80:P80)</f>
        <v>0</v>
      </c>
      <c r="R80" s="81"/>
      <c r="S80" s="389"/>
      <c r="T80" s="64"/>
      <c r="U80" s="64"/>
      <c r="V80" s="64"/>
      <c r="W80" s="64"/>
      <c r="X80" s="64"/>
      <c r="Y80" s="125"/>
      <c r="Z80" s="365"/>
      <c r="AA80" s="131"/>
      <c r="AB80" s="133"/>
      <c r="AC80" s="97"/>
      <c r="AD80" s="97"/>
      <c r="AE80" s="97"/>
      <c r="AF80" s="97"/>
      <c r="AG80" s="97"/>
      <c r="AH80" s="160"/>
      <c r="AI80" s="479"/>
      <c r="AJ80" s="156"/>
      <c r="AK80" s="87"/>
      <c r="AL80" s="88"/>
      <c r="AM80" s="88"/>
      <c r="AN80" s="88"/>
      <c r="AO80" s="88"/>
      <c r="AP80" s="88"/>
      <c r="AQ80" s="168"/>
      <c r="AR80" s="536"/>
    </row>
    <row r="81" spans="1:45" s="2" customFormat="1" x14ac:dyDescent="0.25">
      <c r="A81" s="70"/>
      <c r="B81" s="70"/>
      <c r="C81" s="185" t="str">
        <f>"CPI Rate for "&amp;R4&amp;" at "&amp;G5</f>
        <v>CPI Rate for FIS Horizon with D1 Flex at 0</v>
      </c>
      <c r="D81" s="113" t="s">
        <v>480</v>
      </c>
      <c r="E81" s="152">
        <f>$G$5</f>
        <v>0</v>
      </c>
      <c r="F81" s="152">
        <f>$G$5</f>
        <v>0</v>
      </c>
      <c r="G81" s="152">
        <f>$G$5</f>
        <v>0</v>
      </c>
      <c r="H81" s="152">
        <f>$G$5</f>
        <v>0</v>
      </c>
      <c r="I81" s="201">
        <f>$G$5</f>
        <v>0</v>
      </c>
      <c r="J81" s="53"/>
      <c r="K81" s="250"/>
      <c r="L81" s="55"/>
      <c r="M81" s="55"/>
      <c r="N81" s="55"/>
      <c r="O81" s="55"/>
      <c r="P81" s="55"/>
      <c r="Q81" s="212"/>
      <c r="R81" s="184" t="str">
        <f>C81</f>
        <v>CPI Rate for FIS Horizon with D1 Flex at 0</v>
      </c>
      <c r="S81" s="390">
        <f>G5</f>
        <v>0</v>
      </c>
      <c r="T81" s="9"/>
      <c r="U81" s="64" t="e">
        <f>T76*((1+$G$5)^1-1)</f>
        <v>#REF!</v>
      </c>
      <c r="V81" s="64" t="e">
        <f>U76*((1+$G$5)^2-1)</f>
        <v>#REF!</v>
      </c>
      <c r="W81" s="64" t="e">
        <f>V76*((1+$G$5)^3-1)</f>
        <v>#REF!</v>
      </c>
      <c r="X81" s="64" t="e">
        <f>W76*((1+$G$5)^4-1)</f>
        <v>#REF!</v>
      </c>
      <c r="Y81" s="125" t="e">
        <f>SUM(T81:X81)</f>
        <v>#REF!</v>
      </c>
      <c r="Z81" s="366"/>
      <c r="AA81" s="10"/>
      <c r="AB81" s="133"/>
      <c r="AC81" s="97"/>
      <c r="AD81" s="97"/>
      <c r="AE81" s="97"/>
      <c r="AF81" s="97"/>
      <c r="AG81" s="97"/>
      <c r="AH81" s="160"/>
      <c r="AI81" s="480"/>
      <c r="AJ81" s="186"/>
      <c r="AK81" s="87"/>
      <c r="AL81" s="88"/>
      <c r="AM81" s="88"/>
      <c r="AN81" s="88"/>
      <c r="AO81" s="88"/>
      <c r="AP81" s="88"/>
      <c r="AQ81" s="168"/>
      <c r="AR81" s="553"/>
    </row>
    <row r="82" spans="1:45" s="2" customFormat="1" x14ac:dyDescent="0.25">
      <c r="A82" s="67"/>
      <c r="B82" s="67"/>
      <c r="C82" s="185" t="str">
        <f>"CPI Rate for "&amp;AA4&amp;" at "&amp;H5</f>
        <v>CPI Rate for FIS Horizon WITHOUT D1 Flex at 0</v>
      </c>
      <c r="D82" s="114" t="s">
        <v>481</v>
      </c>
      <c r="E82" s="152">
        <f>$H$5</f>
        <v>0</v>
      </c>
      <c r="F82" s="152">
        <f>$H$5</f>
        <v>0</v>
      </c>
      <c r="G82" s="152">
        <f>$H$5</f>
        <v>0</v>
      </c>
      <c r="H82" s="152">
        <f>$H$5</f>
        <v>0</v>
      </c>
      <c r="I82" s="201">
        <f>$H$5</f>
        <v>0</v>
      </c>
      <c r="J82" s="53"/>
      <c r="K82" s="250"/>
      <c r="L82" s="55"/>
      <c r="M82" s="55"/>
      <c r="N82" s="55"/>
      <c r="O82" s="55"/>
      <c r="P82" s="55"/>
      <c r="Q82" s="212"/>
      <c r="R82" s="81"/>
      <c r="S82" s="389"/>
      <c r="T82" s="64"/>
      <c r="U82" s="64"/>
      <c r="V82" s="64"/>
      <c r="W82" s="64"/>
      <c r="X82" s="64"/>
      <c r="Y82" s="125"/>
      <c r="Z82" s="365"/>
      <c r="AA82" s="187" t="str">
        <f>C82</f>
        <v>CPI Rate for FIS Horizon WITHOUT D1 Flex at 0</v>
      </c>
      <c r="AB82" s="258">
        <f>H5</f>
        <v>0</v>
      </c>
      <c r="AC82" s="97"/>
      <c r="AD82" s="97">
        <f>AC76*((1+$H$5)^1-1)</f>
        <v>0</v>
      </c>
      <c r="AE82" s="97">
        <f>AD76*((1+$H$5)^2-1)</f>
        <v>0</v>
      </c>
      <c r="AF82" s="97">
        <f>AE76*((1+$H$5)^3-1)</f>
        <v>0</v>
      </c>
      <c r="AG82" s="97">
        <f>AF76*((1+$H$5)^4-1)</f>
        <v>0</v>
      </c>
      <c r="AH82" s="160">
        <f>SUM(AC82:AG82)</f>
        <v>0</v>
      </c>
      <c r="AI82" s="479"/>
      <c r="AJ82" s="86"/>
      <c r="AK82" s="87"/>
      <c r="AL82" s="88"/>
      <c r="AM82" s="88"/>
      <c r="AN82" s="88"/>
      <c r="AO82" s="88"/>
      <c r="AP82" s="88"/>
      <c r="AQ82" s="168"/>
      <c r="AR82" s="536"/>
    </row>
    <row r="83" spans="1:45" s="2" customFormat="1" x14ac:dyDescent="0.25">
      <c r="A83" s="67"/>
      <c r="B83" s="67"/>
      <c r="C83" s="185" t="str">
        <f>"CPI Rate for "&amp;AJ4&amp;" at "&amp;I5</f>
        <v>CPI Rate for Vendor #3 at 0</v>
      </c>
      <c r="D83" s="114" t="s">
        <v>482</v>
      </c>
      <c r="E83" s="152">
        <f>$I$5</f>
        <v>0</v>
      </c>
      <c r="F83" s="152">
        <f>$I$5</f>
        <v>0</v>
      </c>
      <c r="G83" s="152">
        <f>$I$5</f>
        <v>0</v>
      </c>
      <c r="H83" s="152">
        <f>$I$5</f>
        <v>0</v>
      </c>
      <c r="I83" s="152">
        <f>$I$5</f>
        <v>0</v>
      </c>
      <c r="J83" s="53"/>
      <c r="K83" s="250"/>
      <c r="L83" s="55"/>
      <c r="M83" s="55"/>
      <c r="N83" s="55"/>
      <c r="O83" s="55"/>
      <c r="P83" s="55"/>
      <c r="Q83" s="212"/>
      <c r="R83" s="81"/>
      <c r="S83" s="389"/>
      <c r="T83" s="64"/>
      <c r="U83" s="64"/>
      <c r="V83" s="64"/>
      <c r="W83" s="64"/>
      <c r="X83" s="64"/>
      <c r="Y83" s="125"/>
      <c r="Z83" s="366"/>
      <c r="AA83" s="10"/>
      <c r="AB83" s="133"/>
      <c r="AC83" s="97"/>
      <c r="AD83" s="97"/>
      <c r="AE83" s="97"/>
      <c r="AF83" s="97"/>
      <c r="AG83" s="97"/>
      <c r="AH83" s="160"/>
      <c r="AI83" s="480"/>
      <c r="AJ83" s="547" t="str">
        <f>C83</f>
        <v>CPI Rate for Vendor #3 at 0</v>
      </c>
      <c r="AK83" s="234">
        <f>I5</f>
        <v>0</v>
      </c>
      <c r="AL83" s="88"/>
      <c r="AM83" s="88">
        <f>AL76*((1+$I$5)^1-1)</f>
        <v>0</v>
      </c>
      <c r="AN83" s="88">
        <f>AM76*((1+$I$5)^2-1)</f>
        <v>0</v>
      </c>
      <c r="AO83" s="88">
        <f>AN76*((1+$I$5)^3-1)</f>
        <v>0</v>
      </c>
      <c r="AP83" s="88">
        <f>AO76*((1+$I$5)^4-1)</f>
        <v>0</v>
      </c>
      <c r="AQ83" s="168">
        <f>SUM(AL83:AP83)</f>
        <v>0</v>
      </c>
      <c r="AR83" s="553"/>
    </row>
    <row r="84" spans="1:45" s="2" customFormat="1" x14ac:dyDescent="0.25">
      <c r="A84" s="67"/>
      <c r="B84" s="67"/>
      <c r="C84" s="67"/>
      <c r="D84" s="114"/>
      <c r="E84" s="71"/>
      <c r="F84" s="71"/>
      <c r="G84" s="71"/>
      <c r="H84" s="71"/>
      <c r="I84" s="72"/>
      <c r="J84" s="53"/>
      <c r="K84" s="250"/>
      <c r="L84" s="55"/>
      <c r="M84" s="55"/>
      <c r="N84" s="55"/>
      <c r="O84" s="55"/>
      <c r="P84" s="55"/>
      <c r="Q84" s="212"/>
      <c r="R84" s="81"/>
      <c r="S84" s="389"/>
      <c r="T84" s="64"/>
      <c r="U84" s="64"/>
      <c r="V84" s="64"/>
      <c r="W84" s="64"/>
      <c r="X84" s="64"/>
      <c r="Y84" s="125"/>
      <c r="Z84" s="365"/>
      <c r="AA84" s="96"/>
      <c r="AB84" s="133"/>
      <c r="AC84" s="97"/>
      <c r="AD84" s="97"/>
      <c r="AE84" s="97"/>
      <c r="AF84" s="97"/>
      <c r="AG84" s="97"/>
      <c r="AH84" s="160"/>
      <c r="AI84" s="479"/>
      <c r="AJ84" s="86"/>
      <c r="AK84" s="87"/>
      <c r="AL84" s="88"/>
      <c r="AM84" s="88"/>
      <c r="AN84" s="88"/>
      <c r="AO84" s="88"/>
      <c r="AP84" s="88"/>
      <c r="AQ84" s="168"/>
      <c r="AR84" s="536"/>
    </row>
    <row r="85" spans="1:45" s="23" customFormat="1" ht="3.75" customHeight="1" x14ac:dyDescent="0.25">
      <c r="A85" s="16"/>
      <c r="B85" s="16"/>
      <c r="C85" s="263"/>
      <c r="D85" s="16"/>
      <c r="E85" s="18"/>
      <c r="F85" s="18"/>
      <c r="G85" s="18"/>
      <c r="H85" s="18"/>
      <c r="I85" s="18"/>
      <c r="J85" s="16"/>
      <c r="K85" s="19"/>
      <c r="L85" s="17"/>
      <c r="M85" s="17"/>
      <c r="N85" s="17"/>
      <c r="O85" s="17"/>
      <c r="P85" s="17"/>
      <c r="Q85" s="17"/>
      <c r="R85" s="16"/>
      <c r="S85" s="385"/>
      <c r="T85" s="21"/>
      <c r="U85" s="21"/>
      <c r="V85" s="21"/>
      <c r="W85" s="21"/>
      <c r="X85" s="21"/>
      <c r="Y85" s="21"/>
      <c r="Z85" s="21"/>
      <c r="AA85" s="263"/>
      <c r="AB85" s="20"/>
      <c r="AC85" s="21"/>
      <c r="AD85" s="21"/>
      <c r="AE85" s="21"/>
      <c r="AF85" s="21"/>
      <c r="AG85" s="21"/>
      <c r="AH85" s="21"/>
      <c r="AI85" s="412"/>
      <c r="AJ85" s="20"/>
      <c r="AK85" s="20"/>
      <c r="AL85" s="20"/>
      <c r="AM85" s="20"/>
      <c r="AN85" s="20"/>
      <c r="AO85" s="20"/>
      <c r="AP85" s="20"/>
      <c r="AQ85" s="22"/>
      <c r="AR85" s="412"/>
    </row>
    <row r="86" spans="1:45" s="151" customFormat="1" x14ac:dyDescent="0.25">
      <c r="A86" s="77"/>
      <c r="B86" s="77"/>
      <c r="C86" s="298" t="s">
        <v>483</v>
      </c>
      <c r="D86" s="115"/>
      <c r="E86" s="144"/>
      <c r="F86" s="144"/>
      <c r="G86" s="144"/>
      <c r="H86" s="144"/>
      <c r="I86" s="145"/>
      <c r="J86" s="304" t="str">
        <f>C86</f>
        <v>CPI for Optional Processing Sum:</v>
      </c>
      <c r="K86" s="303"/>
      <c r="L86" s="146">
        <f>SUM(L79:L84)</f>
        <v>0</v>
      </c>
      <c r="M86" s="146">
        <f>SUM(M79:M84)</f>
        <v>0</v>
      </c>
      <c r="N86" s="146">
        <f>SUM(N79:N84)</f>
        <v>0</v>
      </c>
      <c r="O86" s="146">
        <f>SUM(O79:O84)</f>
        <v>0</v>
      </c>
      <c r="P86" s="146">
        <f>SUM(P79:P84)</f>
        <v>0</v>
      </c>
      <c r="Q86" s="210">
        <f>SUM(L86:P86)</f>
        <v>0</v>
      </c>
      <c r="R86" s="319" t="str">
        <f>C86</f>
        <v>CPI for Optional Processing Sum:</v>
      </c>
      <c r="S86" s="391"/>
      <c r="T86" s="147">
        <f>SUM(T79:T84)</f>
        <v>0</v>
      </c>
      <c r="U86" s="147" t="e">
        <f>SUM(U79:U84)</f>
        <v>#REF!</v>
      </c>
      <c r="V86" s="147" t="e">
        <f>SUM(V79:V84)</f>
        <v>#REF!</v>
      </c>
      <c r="W86" s="147" t="e">
        <f>SUM(W79:W84)</f>
        <v>#REF!</v>
      </c>
      <c r="X86" s="147" t="e">
        <f>SUM(X79:X84)</f>
        <v>#REF!</v>
      </c>
      <c r="Y86" s="202" t="e">
        <f>SUM(T86:X86)</f>
        <v>#REF!</v>
      </c>
      <c r="Z86" s="363"/>
      <c r="AA86" s="299" t="str">
        <f>C86</f>
        <v>CPI for Optional Processing Sum:</v>
      </c>
      <c r="AB86" s="256"/>
      <c r="AC86" s="153">
        <f>SUM(AC79:AC84)</f>
        <v>0</v>
      </c>
      <c r="AD86" s="153">
        <f>SUM(AD79:AD84)</f>
        <v>0</v>
      </c>
      <c r="AE86" s="153">
        <f>SUM(AE79:AE84)</f>
        <v>0</v>
      </c>
      <c r="AF86" s="153">
        <f>SUM(AF79:AF84)</f>
        <v>0</v>
      </c>
      <c r="AG86" s="153">
        <f>SUM(AG79:AG84)</f>
        <v>0</v>
      </c>
      <c r="AH86" s="163">
        <f>SUM(AC86:AG86)</f>
        <v>0</v>
      </c>
      <c r="AI86" s="477"/>
      <c r="AJ86" s="318" t="str">
        <f>C86</f>
        <v>CPI for Optional Processing Sum:</v>
      </c>
      <c r="AK86" s="150"/>
      <c r="AL86" s="155">
        <f>SUM(AL79:AL84)</f>
        <v>0</v>
      </c>
      <c r="AM86" s="155">
        <f>SUM(AM79:AM84)</f>
        <v>0</v>
      </c>
      <c r="AN86" s="155">
        <f>SUM(AN79:AN84)</f>
        <v>0</v>
      </c>
      <c r="AO86" s="155">
        <f>SUM(AO79:AO84)</f>
        <v>0</v>
      </c>
      <c r="AP86" s="155">
        <f>SUM(AP79:AP84)</f>
        <v>0</v>
      </c>
      <c r="AQ86" s="166">
        <f>SUM(AL86:AP86)</f>
        <v>0</v>
      </c>
      <c r="AR86" s="551"/>
    </row>
    <row r="87" spans="1:45" s="23" customFormat="1" ht="3.75" customHeight="1" x14ac:dyDescent="0.25">
      <c r="A87" s="16"/>
      <c r="B87" s="16"/>
      <c r="C87" s="16"/>
      <c r="D87" s="16"/>
      <c r="E87" s="18"/>
      <c r="F87" s="18"/>
      <c r="G87" s="18"/>
      <c r="H87" s="18"/>
      <c r="I87" s="18"/>
      <c r="J87" s="16"/>
      <c r="K87" s="19"/>
      <c r="L87" s="17"/>
      <c r="M87" s="17"/>
      <c r="N87" s="17"/>
      <c r="O87" s="17"/>
      <c r="P87" s="17"/>
      <c r="Q87" s="17"/>
      <c r="R87" s="16"/>
      <c r="S87" s="385"/>
      <c r="T87" s="21"/>
      <c r="U87" s="21"/>
      <c r="V87" s="21"/>
      <c r="W87" s="21"/>
      <c r="X87" s="21"/>
      <c r="Y87" s="21"/>
      <c r="Z87" s="21"/>
      <c r="AA87" s="16"/>
      <c r="AB87" s="20"/>
      <c r="AC87" s="21"/>
      <c r="AD87" s="21"/>
      <c r="AE87" s="21"/>
      <c r="AF87" s="21"/>
      <c r="AG87" s="21"/>
      <c r="AH87" s="21"/>
      <c r="AI87" s="412"/>
      <c r="AJ87" s="20"/>
      <c r="AK87" s="20"/>
      <c r="AL87" s="20"/>
      <c r="AM87" s="20"/>
      <c r="AN87" s="20"/>
      <c r="AO87" s="20"/>
      <c r="AP87" s="20"/>
      <c r="AQ87" s="22"/>
      <c r="AR87" s="412"/>
    </row>
    <row r="88" spans="1:45" s="280" customFormat="1" ht="42" x14ac:dyDescent="0.35">
      <c r="A88" s="542"/>
      <c r="B88" s="542"/>
      <c r="C88" s="287" t="s">
        <v>484</v>
      </c>
      <c r="D88" s="281" t="s">
        <v>425</v>
      </c>
      <c r="E88" s="282" t="s">
        <v>426</v>
      </c>
      <c r="F88" s="282" t="s">
        <v>427</v>
      </c>
      <c r="G88" s="289"/>
      <c r="H88" s="290"/>
      <c r="I88" s="291"/>
      <c r="J88" s="274"/>
      <c r="K88" s="339"/>
      <c r="L88" s="275"/>
      <c r="M88" s="275"/>
      <c r="N88" s="275"/>
      <c r="O88" s="275"/>
      <c r="P88" s="275"/>
      <c r="Q88" s="276"/>
      <c r="R88" s="332" t="str">
        <f>C88</f>
        <v>IMPLEMENTATION &amp; SETUP FEES 
(FOR OPTIONAL ITEMS)</v>
      </c>
      <c r="S88" s="384" t="s">
        <v>47</v>
      </c>
      <c r="T88" s="277"/>
      <c r="U88" s="277"/>
      <c r="V88" s="277"/>
      <c r="W88" s="277"/>
      <c r="X88" s="277"/>
      <c r="Y88" s="122" t="s">
        <v>58</v>
      </c>
      <c r="Z88" s="373" t="s">
        <v>478</v>
      </c>
      <c r="AA88" s="296" t="s">
        <v>484</v>
      </c>
      <c r="AB88" s="254" t="s">
        <v>47</v>
      </c>
      <c r="AC88" s="278"/>
      <c r="AD88" s="278"/>
      <c r="AE88" s="278"/>
      <c r="AF88" s="278"/>
      <c r="AG88" s="278"/>
      <c r="AH88" s="157" t="s">
        <v>58</v>
      </c>
      <c r="AI88" s="476"/>
      <c r="AJ88" s="545" t="s">
        <v>484</v>
      </c>
      <c r="AK88" s="37" t="s">
        <v>47</v>
      </c>
      <c r="AL88" s="543"/>
      <c r="AM88" s="543"/>
      <c r="AN88" s="543"/>
      <c r="AO88" s="543"/>
      <c r="AP88" s="543"/>
      <c r="AQ88" s="164" t="s">
        <v>58</v>
      </c>
      <c r="AR88" s="552"/>
      <c r="AS88" s="544"/>
    </row>
    <row r="89" spans="1:45" s="2" customFormat="1" x14ac:dyDescent="0.25">
      <c r="A89" s="253"/>
      <c r="B89" s="253"/>
      <c r="C89" s="288"/>
      <c r="D89" s="284"/>
      <c r="E89" s="285">
        <v>60</v>
      </c>
      <c r="F89" s="286">
        <v>1</v>
      </c>
      <c r="G89" s="292"/>
      <c r="H89" s="293"/>
      <c r="I89" s="294"/>
      <c r="J89" s="53"/>
      <c r="K89" s="250"/>
      <c r="L89" s="54"/>
      <c r="M89" s="54"/>
      <c r="N89" s="54"/>
      <c r="O89" s="54"/>
      <c r="P89" s="54"/>
      <c r="Q89" s="211"/>
      <c r="R89" s="62"/>
      <c r="S89" s="389"/>
      <c r="T89" s="64"/>
      <c r="U89" s="64"/>
      <c r="V89" s="64"/>
      <c r="W89" s="64"/>
      <c r="X89" s="64"/>
      <c r="Y89" s="125"/>
      <c r="Z89" s="365"/>
      <c r="AA89" s="131"/>
      <c r="AB89" s="133"/>
      <c r="AC89" s="95"/>
      <c r="AD89" s="95"/>
      <c r="AE89" s="95"/>
      <c r="AF89" s="95"/>
      <c r="AG89" s="95"/>
      <c r="AH89" s="160">
        <f t="shared" ref="AH89:AH99" si="29">$AB89*$D89</f>
        <v>0</v>
      </c>
      <c r="AI89" s="479"/>
      <c r="AJ89" s="86"/>
      <c r="AK89" s="87"/>
      <c r="AL89" s="89"/>
      <c r="AM89" s="89"/>
      <c r="AN89" s="89"/>
      <c r="AO89" s="89"/>
      <c r="AP89" s="89"/>
      <c r="AQ89" s="168">
        <f>$AK89*$D89</f>
        <v>0</v>
      </c>
      <c r="AR89" s="536"/>
    </row>
    <row r="90" spans="1:45" s="2" customFormat="1" x14ac:dyDescent="0.25">
      <c r="A90" s="253"/>
      <c r="B90" s="253"/>
      <c r="C90" s="283"/>
      <c r="D90" s="284"/>
      <c r="E90" s="285">
        <v>60</v>
      </c>
      <c r="F90" s="286">
        <v>1</v>
      </c>
      <c r="G90" s="292"/>
      <c r="H90" s="293"/>
      <c r="I90" s="294"/>
      <c r="J90" s="53"/>
      <c r="K90" s="250"/>
      <c r="L90" s="54"/>
      <c r="M90" s="54"/>
      <c r="N90" s="54"/>
      <c r="O90" s="54"/>
      <c r="P90" s="54"/>
      <c r="Q90" s="211"/>
      <c r="R90" s="62"/>
      <c r="S90" s="389"/>
      <c r="T90" s="64"/>
      <c r="U90" s="64"/>
      <c r="V90" s="64"/>
      <c r="W90" s="64"/>
      <c r="X90" s="64"/>
      <c r="Y90" s="125"/>
      <c r="Z90" s="365"/>
      <c r="AA90" s="131"/>
      <c r="AB90" s="133"/>
      <c r="AC90" s="95"/>
      <c r="AD90" s="95"/>
      <c r="AE90" s="95"/>
      <c r="AF90" s="95"/>
      <c r="AG90" s="95"/>
      <c r="AH90" s="160">
        <f t="shared" si="29"/>
        <v>0</v>
      </c>
      <c r="AI90" s="479"/>
      <c r="AJ90" s="86"/>
      <c r="AK90" s="87"/>
      <c r="AL90" s="89"/>
      <c r="AM90" s="89"/>
      <c r="AN90" s="89"/>
      <c r="AO90" s="89"/>
      <c r="AP90" s="89"/>
      <c r="AQ90" s="168">
        <f t="shared" ref="AQ90:AQ99" si="30">$AK90*$D90</f>
        <v>0</v>
      </c>
      <c r="AR90" s="536"/>
    </row>
    <row r="91" spans="1:45" s="2" customFormat="1" x14ac:dyDescent="0.25">
      <c r="A91" s="253"/>
      <c r="B91" s="253"/>
      <c r="C91" s="283"/>
      <c r="D91" s="284"/>
      <c r="E91" s="285">
        <v>60</v>
      </c>
      <c r="F91" s="286">
        <v>1</v>
      </c>
      <c r="G91" s="292"/>
      <c r="H91" s="293"/>
      <c r="I91" s="294"/>
      <c r="J91" s="53"/>
      <c r="K91" s="250"/>
      <c r="L91" s="54"/>
      <c r="M91" s="54"/>
      <c r="N91" s="54"/>
      <c r="O91" s="54"/>
      <c r="P91" s="54"/>
      <c r="Q91" s="211"/>
      <c r="R91" s="62"/>
      <c r="S91" s="389"/>
      <c r="T91" s="64"/>
      <c r="U91" s="64"/>
      <c r="V91" s="64"/>
      <c r="W91" s="64"/>
      <c r="X91" s="64"/>
      <c r="Y91" s="125"/>
      <c r="Z91" s="365"/>
      <c r="AA91" s="131"/>
      <c r="AB91" s="133"/>
      <c r="AC91" s="95"/>
      <c r="AD91" s="95"/>
      <c r="AE91" s="95"/>
      <c r="AF91" s="95"/>
      <c r="AG91" s="95"/>
      <c r="AH91" s="160">
        <f t="shared" si="29"/>
        <v>0</v>
      </c>
      <c r="AI91" s="479"/>
      <c r="AJ91" s="86"/>
      <c r="AK91" s="87"/>
      <c r="AL91" s="89"/>
      <c r="AM91" s="89"/>
      <c r="AN91" s="89"/>
      <c r="AO91" s="89"/>
      <c r="AP91" s="89"/>
      <c r="AQ91" s="168">
        <f t="shared" si="30"/>
        <v>0</v>
      </c>
      <c r="AR91" s="536"/>
    </row>
    <row r="92" spans="1:45" s="2" customFormat="1" x14ac:dyDescent="0.25">
      <c r="A92" s="253"/>
      <c r="B92" s="253"/>
      <c r="C92" s="288"/>
      <c r="D92" s="284"/>
      <c r="E92" s="285">
        <v>60</v>
      </c>
      <c r="F92" s="286">
        <v>1</v>
      </c>
      <c r="G92" s="292"/>
      <c r="H92" s="293"/>
      <c r="I92" s="294"/>
      <c r="J92" s="53"/>
      <c r="K92" s="250"/>
      <c r="L92" s="54"/>
      <c r="M92" s="54"/>
      <c r="N92" s="54"/>
      <c r="O92" s="54"/>
      <c r="P92" s="54"/>
      <c r="Q92" s="212"/>
      <c r="R92" s="62"/>
      <c r="S92" s="328"/>
      <c r="T92" s="64"/>
      <c r="U92" s="64"/>
      <c r="V92" s="64"/>
      <c r="W92" s="64"/>
      <c r="X92" s="64"/>
      <c r="Y92" s="125"/>
      <c r="Z92" s="362"/>
      <c r="AA92" s="265"/>
      <c r="AB92" s="133"/>
      <c r="AC92" s="95"/>
      <c r="AD92" s="95"/>
      <c r="AE92" s="95"/>
      <c r="AF92" s="95"/>
      <c r="AG92" s="95"/>
      <c r="AH92" s="160">
        <f t="shared" si="29"/>
        <v>0</v>
      </c>
      <c r="AI92" s="473"/>
      <c r="AJ92" s="156"/>
      <c r="AK92" s="87"/>
      <c r="AL92" s="89"/>
      <c r="AM92" s="89"/>
      <c r="AN92" s="89"/>
      <c r="AO92" s="89"/>
      <c r="AP92" s="89"/>
      <c r="AQ92" s="168">
        <f t="shared" si="30"/>
        <v>0</v>
      </c>
      <c r="AR92" s="531"/>
    </row>
    <row r="93" spans="1:45" s="2" customFormat="1" x14ac:dyDescent="0.25">
      <c r="A93" s="253"/>
      <c r="B93" s="253"/>
      <c r="C93" s="288"/>
      <c r="D93" s="284"/>
      <c r="E93" s="285">
        <v>60</v>
      </c>
      <c r="F93" s="286">
        <v>1</v>
      </c>
      <c r="G93" s="292"/>
      <c r="H93" s="293"/>
      <c r="I93" s="294"/>
      <c r="J93" s="53"/>
      <c r="K93" s="250"/>
      <c r="L93" s="54"/>
      <c r="M93" s="54"/>
      <c r="N93" s="54"/>
      <c r="O93" s="54"/>
      <c r="P93" s="54"/>
      <c r="Q93" s="212">
        <f t="shared" ref="Q93:Q99" si="31">$K93*$D93</f>
        <v>0</v>
      </c>
      <c r="R93" s="62"/>
      <c r="S93" s="328"/>
      <c r="T93" s="64"/>
      <c r="U93" s="64"/>
      <c r="V93" s="64"/>
      <c r="W93" s="64"/>
      <c r="X93" s="64"/>
      <c r="Y93" s="125"/>
      <c r="Z93" s="370"/>
      <c r="AA93" s="265"/>
      <c r="AB93" s="133"/>
      <c r="AC93" s="95"/>
      <c r="AD93" s="95"/>
      <c r="AE93" s="95"/>
      <c r="AF93" s="95"/>
      <c r="AG93" s="95"/>
      <c r="AH93" s="160">
        <f t="shared" si="29"/>
        <v>0</v>
      </c>
      <c r="AI93" s="473"/>
      <c r="AJ93" s="86"/>
      <c r="AK93" s="87"/>
      <c r="AL93" s="89"/>
      <c r="AM93" s="89"/>
      <c r="AN93" s="89"/>
      <c r="AO93" s="89"/>
      <c r="AP93" s="89"/>
      <c r="AQ93" s="168">
        <f t="shared" si="30"/>
        <v>0</v>
      </c>
      <c r="AR93" s="531"/>
    </row>
    <row r="94" spans="1:45" s="2" customFormat="1" x14ac:dyDescent="0.25">
      <c r="A94" s="253"/>
      <c r="B94" s="253"/>
      <c r="C94" s="283"/>
      <c r="D94" s="284"/>
      <c r="E94" s="285">
        <v>60</v>
      </c>
      <c r="F94" s="286">
        <v>1</v>
      </c>
      <c r="G94" s="292"/>
      <c r="H94" s="293"/>
      <c r="I94" s="294"/>
      <c r="J94" s="53"/>
      <c r="K94" s="250"/>
      <c r="L94" s="54"/>
      <c r="M94" s="54"/>
      <c r="N94" s="54"/>
      <c r="O94" s="54"/>
      <c r="P94" s="54"/>
      <c r="Q94" s="212">
        <f t="shared" si="31"/>
        <v>0</v>
      </c>
      <c r="R94" s="62"/>
      <c r="S94" s="328"/>
      <c r="T94" s="64"/>
      <c r="U94" s="64"/>
      <c r="V94" s="64"/>
      <c r="W94" s="64"/>
      <c r="X94" s="64"/>
      <c r="Y94" s="125"/>
      <c r="Z94" s="362"/>
      <c r="AA94" s="265"/>
      <c r="AB94" s="133"/>
      <c r="AC94" s="95"/>
      <c r="AD94" s="95"/>
      <c r="AE94" s="95"/>
      <c r="AF94" s="95"/>
      <c r="AG94" s="95"/>
      <c r="AH94" s="160">
        <f t="shared" si="29"/>
        <v>0</v>
      </c>
      <c r="AI94" s="473"/>
      <c r="AJ94" s="86"/>
      <c r="AK94" s="87"/>
      <c r="AL94" s="89"/>
      <c r="AM94" s="89"/>
      <c r="AN94" s="89"/>
      <c r="AO94" s="89"/>
      <c r="AP94" s="89"/>
      <c r="AQ94" s="168">
        <f t="shared" si="30"/>
        <v>0</v>
      </c>
      <c r="AR94" s="531"/>
    </row>
    <row r="95" spans="1:45" s="2" customFormat="1" x14ac:dyDescent="0.25">
      <c r="A95" s="253"/>
      <c r="B95" s="253"/>
      <c r="C95" s="288"/>
      <c r="D95" s="284"/>
      <c r="E95" s="285">
        <v>60</v>
      </c>
      <c r="F95" s="286">
        <v>1</v>
      </c>
      <c r="G95" s="292"/>
      <c r="H95" s="293"/>
      <c r="I95" s="294"/>
      <c r="J95" s="53"/>
      <c r="K95" s="250"/>
      <c r="L95" s="54"/>
      <c r="M95" s="54"/>
      <c r="N95" s="54"/>
      <c r="O95" s="54"/>
      <c r="P95" s="54"/>
      <c r="Q95" s="212">
        <f t="shared" si="31"/>
        <v>0</v>
      </c>
      <c r="R95" s="62"/>
      <c r="S95" s="328"/>
      <c r="T95" s="64"/>
      <c r="U95" s="64"/>
      <c r="V95" s="64"/>
      <c r="W95" s="64"/>
      <c r="X95" s="64"/>
      <c r="Y95" s="125"/>
      <c r="Z95" s="370"/>
      <c r="AA95" s="315"/>
      <c r="AB95" s="133"/>
      <c r="AC95" s="95"/>
      <c r="AD95" s="95"/>
      <c r="AE95" s="95"/>
      <c r="AF95" s="95"/>
      <c r="AG95" s="95"/>
      <c r="AH95" s="160">
        <f t="shared" si="29"/>
        <v>0</v>
      </c>
      <c r="AI95" s="473"/>
      <c r="AJ95" s="86"/>
      <c r="AK95" s="87"/>
      <c r="AL95" s="89"/>
      <c r="AM95" s="89"/>
      <c r="AN95" s="89"/>
      <c r="AO95" s="89"/>
      <c r="AP95" s="89"/>
      <c r="AQ95" s="168">
        <f t="shared" si="30"/>
        <v>0</v>
      </c>
      <c r="AR95" s="531"/>
    </row>
    <row r="96" spans="1:45" s="2" customFormat="1" x14ac:dyDescent="0.25">
      <c r="A96" s="253"/>
      <c r="B96" s="253"/>
      <c r="C96" s="288"/>
      <c r="D96" s="284"/>
      <c r="E96" s="285">
        <v>60</v>
      </c>
      <c r="F96" s="286">
        <v>1</v>
      </c>
      <c r="G96" s="292"/>
      <c r="H96" s="293"/>
      <c r="I96" s="294"/>
      <c r="J96" s="53"/>
      <c r="K96" s="250"/>
      <c r="L96" s="54"/>
      <c r="M96" s="54"/>
      <c r="N96" s="54"/>
      <c r="O96" s="54"/>
      <c r="P96" s="54"/>
      <c r="Q96" s="212">
        <f t="shared" si="31"/>
        <v>0</v>
      </c>
      <c r="R96" s="62"/>
      <c r="S96" s="328"/>
      <c r="T96" s="64"/>
      <c r="U96" s="64"/>
      <c r="V96" s="64"/>
      <c r="W96" s="64"/>
      <c r="X96" s="64"/>
      <c r="Y96" s="125"/>
      <c r="Z96" s="370"/>
      <c r="AA96" s="265"/>
      <c r="AB96" s="133"/>
      <c r="AC96" s="95"/>
      <c r="AD96" s="95"/>
      <c r="AE96" s="95"/>
      <c r="AF96" s="95"/>
      <c r="AG96" s="95"/>
      <c r="AH96" s="160">
        <f t="shared" si="29"/>
        <v>0</v>
      </c>
      <c r="AI96" s="473"/>
      <c r="AJ96" s="86"/>
      <c r="AK96" s="87"/>
      <c r="AL96" s="89"/>
      <c r="AM96" s="89"/>
      <c r="AN96" s="89"/>
      <c r="AO96" s="89"/>
      <c r="AP96" s="89"/>
      <c r="AQ96" s="168">
        <f t="shared" si="30"/>
        <v>0</v>
      </c>
      <c r="AR96" s="531"/>
    </row>
    <row r="97" spans="1:44" s="2" customFormat="1" x14ac:dyDescent="0.25">
      <c r="A97" s="253"/>
      <c r="B97" s="253"/>
      <c r="C97" s="283"/>
      <c r="D97" s="284"/>
      <c r="E97" s="285">
        <v>60</v>
      </c>
      <c r="F97" s="286">
        <v>1</v>
      </c>
      <c r="G97" s="292"/>
      <c r="H97" s="293"/>
      <c r="I97" s="294"/>
      <c r="J97" s="53"/>
      <c r="K97" s="250"/>
      <c r="L97" s="54"/>
      <c r="M97" s="54"/>
      <c r="N97" s="54"/>
      <c r="O97" s="54"/>
      <c r="P97" s="54"/>
      <c r="Q97" s="212">
        <f t="shared" si="31"/>
        <v>0</v>
      </c>
      <c r="R97" s="62"/>
      <c r="S97" s="328"/>
      <c r="T97" s="64"/>
      <c r="U97" s="64"/>
      <c r="V97" s="64"/>
      <c r="W97" s="64"/>
      <c r="X97" s="64"/>
      <c r="Y97" s="125"/>
      <c r="Z97" s="370"/>
      <c r="AA97" s="265"/>
      <c r="AB97" s="133"/>
      <c r="AC97" s="95"/>
      <c r="AD97" s="95"/>
      <c r="AE97" s="95"/>
      <c r="AF97" s="95"/>
      <c r="AG97" s="95"/>
      <c r="AH97" s="160">
        <f t="shared" si="29"/>
        <v>0</v>
      </c>
      <c r="AI97" s="473"/>
      <c r="AJ97" s="86"/>
      <c r="AK97" s="87"/>
      <c r="AL97" s="89"/>
      <c r="AM97" s="89"/>
      <c r="AN97" s="89"/>
      <c r="AO97" s="89"/>
      <c r="AP97" s="89"/>
      <c r="AQ97" s="168">
        <f t="shared" si="30"/>
        <v>0</v>
      </c>
      <c r="AR97" s="531"/>
    </row>
    <row r="98" spans="1:44" s="2" customFormat="1" x14ac:dyDescent="0.25">
      <c r="A98" s="253"/>
      <c r="B98" s="253"/>
      <c r="C98" s="283"/>
      <c r="D98" s="284"/>
      <c r="E98" s="285">
        <v>60</v>
      </c>
      <c r="F98" s="286">
        <v>1</v>
      </c>
      <c r="G98" s="292"/>
      <c r="H98" s="293"/>
      <c r="I98" s="294"/>
      <c r="J98" s="53"/>
      <c r="K98" s="250"/>
      <c r="L98" s="54"/>
      <c r="M98" s="54"/>
      <c r="N98" s="54"/>
      <c r="O98" s="54"/>
      <c r="P98" s="54"/>
      <c r="Q98" s="212">
        <f t="shared" si="31"/>
        <v>0</v>
      </c>
      <c r="R98" s="62"/>
      <c r="S98" s="328"/>
      <c r="T98" s="64"/>
      <c r="U98" s="64"/>
      <c r="V98" s="64"/>
      <c r="W98" s="64"/>
      <c r="X98" s="64"/>
      <c r="Y98" s="125"/>
      <c r="Z98" s="370"/>
      <c r="AA98" s="265"/>
      <c r="AB98" s="133"/>
      <c r="AC98" s="95"/>
      <c r="AD98" s="95"/>
      <c r="AE98" s="95"/>
      <c r="AF98" s="95"/>
      <c r="AG98" s="95"/>
      <c r="AH98" s="160">
        <f t="shared" si="29"/>
        <v>0</v>
      </c>
      <c r="AI98" s="473"/>
      <c r="AJ98" s="86"/>
      <c r="AK98" s="87"/>
      <c r="AL98" s="89"/>
      <c r="AM98" s="89"/>
      <c r="AN98" s="89"/>
      <c r="AO98" s="89"/>
      <c r="AP98" s="89"/>
      <c r="AQ98" s="168">
        <f t="shared" si="30"/>
        <v>0</v>
      </c>
      <c r="AR98" s="531"/>
    </row>
    <row r="99" spans="1:44" s="2" customFormat="1" x14ac:dyDescent="0.25">
      <c r="A99" s="253"/>
      <c r="B99" s="253"/>
      <c r="C99" s="288"/>
      <c r="D99" s="284"/>
      <c r="E99" s="285">
        <v>60</v>
      </c>
      <c r="F99" s="286">
        <v>1</v>
      </c>
      <c r="G99" s="292"/>
      <c r="H99" s="293"/>
      <c r="I99" s="294"/>
      <c r="J99" s="53"/>
      <c r="K99" s="250"/>
      <c r="L99" s="54"/>
      <c r="M99" s="54"/>
      <c r="N99" s="54"/>
      <c r="O99" s="54"/>
      <c r="P99" s="54"/>
      <c r="Q99" s="212">
        <f t="shared" si="31"/>
        <v>0</v>
      </c>
      <c r="R99" s="62"/>
      <c r="S99" s="328"/>
      <c r="T99" s="64"/>
      <c r="U99" s="64"/>
      <c r="V99" s="64"/>
      <c r="W99" s="64"/>
      <c r="X99" s="64"/>
      <c r="Y99" s="125"/>
      <c r="Z99" s="370"/>
      <c r="AA99" s="265"/>
      <c r="AB99" s="133"/>
      <c r="AC99" s="95"/>
      <c r="AD99" s="95"/>
      <c r="AE99" s="95"/>
      <c r="AF99" s="95"/>
      <c r="AG99" s="95"/>
      <c r="AH99" s="160">
        <f t="shared" si="29"/>
        <v>0</v>
      </c>
      <c r="AI99" s="473"/>
      <c r="AJ99" s="86"/>
      <c r="AK99" s="87"/>
      <c r="AL99" s="89"/>
      <c r="AM99" s="89"/>
      <c r="AN99" s="89"/>
      <c r="AO99" s="89"/>
      <c r="AP99" s="89"/>
      <c r="AQ99" s="168">
        <f t="shared" si="30"/>
        <v>0</v>
      </c>
      <c r="AR99" s="531"/>
    </row>
    <row r="100" spans="1:44" s="2" customFormat="1" x14ac:dyDescent="0.25">
      <c r="A100" s="344"/>
      <c r="B100" s="344"/>
      <c r="C100" s="283"/>
      <c r="D100" s="284"/>
      <c r="E100" s="285">
        <v>60</v>
      </c>
      <c r="F100" s="286">
        <v>1</v>
      </c>
      <c r="G100" s="292"/>
      <c r="H100" s="293"/>
      <c r="I100" s="294"/>
      <c r="J100" s="53"/>
      <c r="K100" s="250"/>
      <c r="L100" s="54"/>
      <c r="M100" s="54"/>
      <c r="N100" s="54"/>
      <c r="O100" s="54"/>
      <c r="P100" s="54"/>
      <c r="Q100" s="211"/>
      <c r="R100" s="337"/>
      <c r="S100" s="328"/>
      <c r="T100" s="346"/>
      <c r="U100" s="64"/>
      <c r="V100" s="64"/>
      <c r="W100" s="64"/>
      <c r="X100" s="64"/>
      <c r="Y100" s="125">
        <f>$S100*$D100</f>
        <v>0</v>
      </c>
      <c r="Z100" s="502"/>
      <c r="AA100" s="96"/>
      <c r="AB100" s="133"/>
      <c r="AC100" s="95"/>
      <c r="AD100" s="95"/>
      <c r="AE100" s="95"/>
      <c r="AF100" s="95"/>
      <c r="AG100" s="95"/>
      <c r="AH100" s="159"/>
      <c r="AI100" s="479"/>
      <c r="AJ100" s="86"/>
      <c r="AK100" s="87"/>
      <c r="AL100" s="89"/>
      <c r="AM100" s="89"/>
      <c r="AN100" s="89"/>
      <c r="AO100" s="89"/>
      <c r="AP100" s="89"/>
      <c r="AQ100" s="169"/>
      <c r="AR100" s="536"/>
    </row>
    <row r="101" spans="1:44" s="2" customFormat="1" x14ac:dyDescent="0.25">
      <c r="A101" s="344"/>
      <c r="B101" s="344"/>
      <c r="C101" s="341"/>
      <c r="D101" s="284"/>
      <c r="E101" s="285">
        <v>60</v>
      </c>
      <c r="F101" s="286">
        <v>1</v>
      </c>
      <c r="G101" s="292"/>
      <c r="H101" s="293"/>
      <c r="I101" s="294"/>
      <c r="J101" s="53"/>
      <c r="K101" s="250"/>
      <c r="L101" s="54"/>
      <c r="M101" s="54"/>
      <c r="N101" s="54"/>
      <c r="O101" s="54"/>
      <c r="P101" s="54"/>
      <c r="Q101" s="211"/>
      <c r="R101" s="343"/>
      <c r="S101" s="328"/>
      <c r="T101" s="346"/>
      <c r="U101" s="64"/>
      <c r="V101" s="64"/>
      <c r="W101" s="64"/>
      <c r="X101" s="64"/>
      <c r="Y101" s="125">
        <f t="shared" ref="Y101:Y117" si="32">$S101*$D101</f>
        <v>0</v>
      </c>
      <c r="Z101" s="502"/>
      <c r="AA101" s="96"/>
      <c r="AB101" s="133"/>
      <c r="AC101" s="95"/>
      <c r="AD101" s="95"/>
      <c r="AE101" s="95"/>
      <c r="AF101" s="95"/>
      <c r="AG101" s="95"/>
      <c r="AH101" s="159"/>
      <c r="AI101" s="479"/>
      <c r="AJ101" s="86"/>
      <c r="AK101" s="87"/>
      <c r="AL101" s="89"/>
      <c r="AM101" s="89"/>
      <c r="AN101" s="89"/>
      <c r="AO101" s="89"/>
      <c r="AP101" s="89"/>
      <c r="AQ101" s="169"/>
      <c r="AR101" s="536"/>
    </row>
    <row r="102" spans="1:44" s="2" customFormat="1" x14ac:dyDescent="0.25">
      <c r="A102" s="344"/>
      <c r="B102" s="344"/>
      <c r="C102" s="341"/>
      <c r="D102" s="284"/>
      <c r="E102" s="285">
        <v>60</v>
      </c>
      <c r="F102" s="286">
        <v>1</v>
      </c>
      <c r="G102" s="292"/>
      <c r="H102" s="293"/>
      <c r="I102" s="294"/>
      <c r="J102" s="53"/>
      <c r="K102" s="250"/>
      <c r="L102" s="54"/>
      <c r="M102" s="54"/>
      <c r="N102" s="54"/>
      <c r="O102" s="54"/>
      <c r="P102" s="54"/>
      <c r="Q102" s="211"/>
      <c r="R102" s="343"/>
      <c r="S102" s="328"/>
      <c r="T102" s="346"/>
      <c r="U102" s="64"/>
      <c r="V102" s="64"/>
      <c r="W102" s="64"/>
      <c r="X102" s="64"/>
      <c r="Y102" s="125">
        <f t="shared" si="32"/>
        <v>0</v>
      </c>
      <c r="Z102" s="502"/>
      <c r="AA102" s="96"/>
      <c r="AB102" s="133"/>
      <c r="AC102" s="95"/>
      <c r="AD102" s="95"/>
      <c r="AE102" s="95"/>
      <c r="AF102" s="95"/>
      <c r="AG102" s="95"/>
      <c r="AH102" s="159"/>
      <c r="AI102" s="479"/>
      <c r="AJ102" s="86"/>
      <c r="AK102" s="87"/>
      <c r="AL102" s="89"/>
      <c r="AM102" s="89"/>
      <c r="AN102" s="89"/>
      <c r="AO102" s="89"/>
      <c r="AP102" s="89"/>
      <c r="AQ102" s="169"/>
      <c r="AR102" s="536"/>
    </row>
    <row r="103" spans="1:44" s="2" customFormat="1" x14ac:dyDescent="0.25">
      <c r="A103" s="344"/>
      <c r="B103" s="344"/>
      <c r="C103" s="283"/>
      <c r="D103" s="284"/>
      <c r="E103" s="285">
        <v>60</v>
      </c>
      <c r="F103" s="286">
        <v>1</v>
      </c>
      <c r="G103" s="292"/>
      <c r="H103" s="293"/>
      <c r="I103" s="294"/>
      <c r="J103" s="53"/>
      <c r="K103" s="250"/>
      <c r="L103" s="54"/>
      <c r="M103" s="54"/>
      <c r="N103" s="54"/>
      <c r="O103" s="54"/>
      <c r="P103" s="54"/>
      <c r="Q103" s="211"/>
      <c r="R103" s="62"/>
      <c r="S103" s="328"/>
      <c r="T103" s="346"/>
      <c r="U103" s="64"/>
      <c r="V103" s="64"/>
      <c r="W103" s="64"/>
      <c r="X103" s="64"/>
      <c r="Y103" s="125">
        <f t="shared" si="32"/>
        <v>0</v>
      </c>
      <c r="Z103" s="502"/>
      <c r="AA103" s="96"/>
      <c r="AB103" s="133"/>
      <c r="AC103" s="95"/>
      <c r="AD103" s="95"/>
      <c r="AE103" s="95"/>
      <c r="AF103" s="95"/>
      <c r="AG103" s="95"/>
      <c r="AH103" s="159"/>
      <c r="AI103" s="479"/>
      <c r="AJ103" s="86"/>
      <c r="AK103" s="87"/>
      <c r="AL103" s="89"/>
      <c r="AM103" s="89"/>
      <c r="AN103" s="89"/>
      <c r="AO103" s="89"/>
      <c r="AP103" s="89"/>
      <c r="AQ103" s="169"/>
      <c r="AR103" s="536"/>
    </row>
    <row r="104" spans="1:44" s="2" customFormat="1" x14ac:dyDescent="0.25">
      <c r="A104" s="344"/>
      <c r="B104" s="344"/>
      <c r="C104" s="283"/>
      <c r="D104" s="284"/>
      <c r="E104" s="285">
        <v>60</v>
      </c>
      <c r="F104" s="286">
        <v>1</v>
      </c>
      <c r="G104" s="292"/>
      <c r="H104" s="293"/>
      <c r="I104" s="294"/>
      <c r="J104" s="53"/>
      <c r="K104" s="250"/>
      <c r="L104" s="54"/>
      <c r="M104" s="54"/>
      <c r="N104" s="54"/>
      <c r="O104" s="54"/>
      <c r="P104" s="54"/>
      <c r="Q104" s="211"/>
      <c r="R104" s="62"/>
      <c r="S104" s="328"/>
      <c r="T104" s="346"/>
      <c r="U104" s="64"/>
      <c r="V104" s="64"/>
      <c r="W104" s="64"/>
      <c r="X104" s="64"/>
      <c r="Y104" s="125">
        <f t="shared" si="32"/>
        <v>0</v>
      </c>
      <c r="Z104" s="502"/>
      <c r="AA104" s="96"/>
      <c r="AB104" s="133"/>
      <c r="AC104" s="95"/>
      <c r="AD104" s="95"/>
      <c r="AE104" s="95"/>
      <c r="AF104" s="95"/>
      <c r="AG104" s="95"/>
      <c r="AH104" s="159"/>
      <c r="AI104" s="479"/>
      <c r="AJ104" s="86"/>
      <c r="AK104" s="87"/>
      <c r="AL104" s="89"/>
      <c r="AM104" s="89"/>
      <c r="AN104" s="89"/>
      <c r="AO104" s="89"/>
      <c r="AP104" s="89"/>
      <c r="AQ104" s="169"/>
      <c r="AR104" s="536"/>
    </row>
    <row r="105" spans="1:44" s="2" customFormat="1" x14ac:dyDescent="0.25">
      <c r="A105" s="344"/>
      <c r="B105" s="344"/>
      <c r="C105" s="283"/>
      <c r="D105" s="284"/>
      <c r="E105" s="285">
        <v>60</v>
      </c>
      <c r="F105" s="286">
        <v>1</v>
      </c>
      <c r="G105" s="292"/>
      <c r="H105" s="293"/>
      <c r="I105" s="294"/>
      <c r="J105" s="53"/>
      <c r="K105" s="250"/>
      <c r="L105" s="54"/>
      <c r="M105" s="54"/>
      <c r="N105" s="54"/>
      <c r="O105" s="54"/>
      <c r="P105" s="54"/>
      <c r="Q105" s="211"/>
      <c r="R105" s="336"/>
      <c r="S105" s="328"/>
      <c r="T105" s="346"/>
      <c r="U105" s="64"/>
      <c r="V105" s="64"/>
      <c r="W105" s="64"/>
      <c r="X105" s="64"/>
      <c r="Y105" s="125">
        <f t="shared" si="32"/>
        <v>0</v>
      </c>
      <c r="Z105" s="502"/>
      <c r="AA105" s="96"/>
      <c r="AB105" s="133"/>
      <c r="AC105" s="95"/>
      <c r="AD105" s="95"/>
      <c r="AE105" s="95"/>
      <c r="AF105" s="95"/>
      <c r="AG105" s="95"/>
      <c r="AH105" s="159"/>
      <c r="AI105" s="479"/>
      <c r="AJ105" s="86"/>
      <c r="AK105" s="87"/>
      <c r="AL105" s="89"/>
      <c r="AM105" s="89"/>
      <c r="AN105" s="89"/>
      <c r="AO105" s="89"/>
      <c r="AP105" s="89"/>
      <c r="AQ105" s="169"/>
      <c r="AR105" s="536"/>
    </row>
    <row r="106" spans="1:44" s="2" customFormat="1" x14ac:dyDescent="0.25">
      <c r="A106" s="344"/>
      <c r="B106" s="344"/>
      <c r="C106" s="341"/>
      <c r="D106" s="284"/>
      <c r="E106" s="285">
        <v>60</v>
      </c>
      <c r="F106" s="286">
        <v>1</v>
      </c>
      <c r="G106" s="292"/>
      <c r="H106" s="293"/>
      <c r="I106" s="294"/>
      <c r="J106" s="53"/>
      <c r="K106" s="250"/>
      <c r="L106" s="54"/>
      <c r="M106" s="54"/>
      <c r="N106" s="54"/>
      <c r="O106" s="54"/>
      <c r="P106" s="54"/>
      <c r="Q106" s="211"/>
      <c r="R106" s="342"/>
      <c r="S106" s="328"/>
      <c r="T106" s="346"/>
      <c r="U106" s="64"/>
      <c r="V106" s="64"/>
      <c r="W106" s="64"/>
      <c r="X106" s="64"/>
      <c r="Y106" s="125">
        <f t="shared" si="32"/>
        <v>0</v>
      </c>
      <c r="Z106" s="502"/>
      <c r="AA106" s="96"/>
      <c r="AB106" s="133"/>
      <c r="AC106" s="95"/>
      <c r="AD106" s="95"/>
      <c r="AE106" s="95"/>
      <c r="AF106" s="95"/>
      <c r="AG106" s="95"/>
      <c r="AH106" s="159"/>
      <c r="AI106" s="479"/>
      <c r="AJ106" s="86"/>
      <c r="AK106" s="87"/>
      <c r="AL106" s="89"/>
      <c r="AM106" s="89"/>
      <c r="AN106" s="89"/>
      <c r="AO106" s="89"/>
      <c r="AP106" s="89"/>
      <c r="AQ106" s="169"/>
      <c r="AR106" s="536"/>
    </row>
    <row r="107" spans="1:44" s="2" customFormat="1" x14ac:dyDescent="0.25">
      <c r="A107" s="344"/>
      <c r="B107" s="344"/>
      <c r="C107" s="283"/>
      <c r="D107" s="284"/>
      <c r="E107" s="285">
        <v>60</v>
      </c>
      <c r="F107" s="286">
        <v>1</v>
      </c>
      <c r="G107" s="292"/>
      <c r="H107" s="293"/>
      <c r="I107" s="294"/>
      <c r="J107" s="53"/>
      <c r="K107" s="250"/>
      <c r="L107" s="54"/>
      <c r="M107" s="54"/>
      <c r="N107" s="54"/>
      <c r="O107" s="54"/>
      <c r="P107" s="54"/>
      <c r="Q107" s="211"/>
      <c r="R107" s="336"/>
      <c r="S107" s="328"/>
      <c r="T107" s="346"/>
      <c r="U107" s="64"/>
      <c r="V107" s="64"/>
      <c r="W107" s="64"/>
      <c r="X107" s="64"/>
      <c r="Y107" s="125">
        <f t="shared" si="32"/>
        <v>0</v>
      </c>
      <c r="Z107" s="502"/>
      <c r="AA107" s="96"/>
      <c r="AB107" s="133"/>
      <c r="AC107" s="95"/>
      <c r="AD107" s="95"/>
      <c r="AE107" s="95"/>
      <c r="AF107" s="95"/>
      <c r="AG107" s="95"/>
      <c r="AH107" s="159"/>
      <c r="AI107" s="479"/>
      <c r="AJ107" s="86"/>
      <c r="AK107" s="87"/>
      <c r="AL107" s="89"/>
      <c r="AM107" s="89"/>
      <c r="AN107" s="89"/>
      <c r="AO107" s="89"/>
      <c r="AP107" s="89"/>
      <c r="AQ107" s="169"/>
      <c r="AR107" s="536"/>
    </row>
    <row r="108" spans="1:44" s="2" customFormat="1" x14ac:dyDescent="0.25">
      <c r="A108" s="344"/>
      <c r="B108" s="344"/>
      <c r="C108" s="341"/>
      <c r="D108" s="284"/>
      <c r="E108" s="285">
        <v>60</v>
      </c>
      <c r="F108" s="286">
        <v>1</v>
      </c>
      <c r="G108" s="292"/>
      <c r="H108" s="293"/>
      <c r="I108" s="294"/>
      <c r="J108" s="53"/>
      <c r="K108" s="250"/>
      <c r="L108" s="54"/>
      <c r="M108" s="54"/>
      <c r="N108" s="54"/>
      <c r="O108" s="54"/>
      <c r="P108" s="54"/>
      <c r="Q108" s="211"/>
      <c r="R108" s="342"/>
      <c r="S108" s="328"/>
      <c r="T108" s="346"/>
      <c r="U108" s="64"/>
      <c r="V108" s="64"/>
      <c r="W108" s="64"/>
      <c r="X108" s="64"/>
      <c r="Y108" s="125">
        <f t="shared" si="32"/>
        <v>0</v>
      </c>
      <c r="Z108" s="502"/>
      <c r="AA108" s="96"/>
      <c r="AB108" s="133"/>
      <c r="AC108" s="95"/>
      <c r="AD108" s="95"/>
      <c r="AE108" s="95"/>
      <c r="AF108" s="95"/>
      <c r="AG108" s="95"/>
      <c r="AH108" s="159"/>
      <c r="AI108" s="479"/>
      <c r="AJ108" s="86"/>
      <c r="AK108" s="87"/>
      <c r="AL108" s="89"/>
      <c r="AM108" s="89"/>
      <c r="AN108" s="89"/>
      <c r="AO108" s="89"/>
      <c r="AP108" s="89"/>
      <c r="AQ108" s="169"/>
      <c r="AR108" s="536"/>
    </row>
    <row r="109" spans="1:44" s="2" customFormat="1" x14ac:dyDescent="0.25">
      <c r="A109" s="344"/>
      <c r="B109" s="344"/>
      <c r="C109" s="399"/>
      <c r="D109" s="344"/>
      <c r="E109" s="285">
        <v>60</v>
      </c>
      <c r="F109" s="286">
        <v>1</v>
      </c>
      <c r="G109" s="292"/>
      <c r="H109" s="293"/>
      <c r="I109" s="294"/>
      <c r="J109" s="53"/>
      <c r="K109" s="250"/>
      <c r="L109" s="54"/>
      <c r="M109" s="54"/>
      <c r="N109" s="54"/>
      <c r="O109" s="54"/>
      <c r="P109" s="54"/>
      <c r="Q109" s="211"/>
      <c r="R109" s="345"/>
      <c r="S109" s="400"/>
      <c r="T109" s="346"/>
      <c r="U109" s="64"/>
      <c r="V109" s="64"/>
      <c r="W109" s="64"/>
      <c r="X109" s="64"/>
      <c r="Y109" s="125">
        <f t="shared" si="32"/>
        <v>0</v>
      </c>
      <c r="Z109" s="502"/>
      <c r="AA109" s="96"/>
      <c r="AB109" s="133"/>
      <c r="AC109" s="95"/>
      <c r="AD109" s="95"/>
      <c r="AE109" s="95"/>
      <c r="AF109" s="95"/>
      <c r="AG109" s="95"/>
      <c r="AH109" s="159"/>
      <c r="AI109" s="479"/>
      <c r="AJ109" s="86"/>
      <c r="AK109" s="87"/>
      <c r="AL109" s="89"/>
      <c r="AM109" s="89"/>
      <c r="AN109" s="89"/>
      <c r="AO109" s="89"/>
      <c r="AP109" s="89"/>
      <c r="AQ109" s="169"/>
      <c r="AR109" s="536"/>
    </row>
    <row r="110" spans="1:44" s="2" customFormat="1" x14ac:dyDescent="0.25">
      <c r="A110" s="344"/>
      <c r="B110" s="344"/>
      <c r="C110" s="341"/>
      <c r="D110" s="284"/>
      <c r="E110" s="285"/>
      <c r="F110" s="286"/>
      <c r="G110" s="292"/>
      <c r="H110" s="293"/>
      <c r="I110" s="294"/>
      <c r="J110" s="53"/>
      <c r="K110" s="250"/>
      <c r="L110" s="54"/>
      <c r="M110" s="54"/>
      <c r="N110" s="54"/>
      <c r="O110" s="54"/>
      <c r="P110" s="54"/>
      <c r="Q110" s="211"/>
      <c r="R110" s="342"/>
      <c r="S110" s="328"/>
      <c r="T110" s="346"/>
      <c r="U110" s="64"/>
      <c r="V110" s="64"/>
      <c r="W110" s="64"/>
      <c r="X110" s="64"/>
      <c r="Y110" s="125"/>
      <c r="Z110" s="502"/>
      <c r="AA110" s="96"/>
      <c r="AB110" s="133"/>
      <c r="AC110" s="95"/>
      <c r="AD110" s="95"/>
      <c r="AE110" s="95"/>
      <c r="AF110" s="95"/>
      <c r="AG110" s="95"/>
      <c r="AH110" s="159"/>
      <c r="AI110" s="479"/>
      <c r="AJ110" s="86"/>
      <c r="AK110" s="87"/>
      <c r="AL110" s="89"/>
      <c r="AM110" s="89"/>
      <c r="AN110" s="89"/>
      <c r="AO110" s="89"/>
      <c r="AP110" s="89"/>
      <c r="AQ110" s="169"/>
      <c r="AR110" s="536"/>
    </row>
    <row r="111" spans="1:44" s="2" customFormat="1" x14ac:dyDescent="0.25">
      <c r="A111" s="344"/>
      <c r="B111" s="344"/>
      <c r="C111" s="283"/>
      <c r="D111" s="284"/>
      <c r="E111" s="285">
        <v>60</v>
      </c>
      <c r="F111" s="286">
        <v>1</v>
      </c>
      <c r="G111" s="292"/>
      <c r="H111" s="293"/>
      <c r="I111" s="294"/>
      <c r="J111" s="53"/>
      <c r="K111" s="250"/>
      <c r="L111" s="54"/>
      <c r="M111" s="54"/>
      <c r="N111" s="54"/>
      <c r="O111" s="54"/>
      <c r="P111" s="54"/>
      <c r="Q111" s="211"/>
      <c r="R111" s="336"/>
      <c r="S111" s="328"/>
      <c r="T111" s="346"/>
      <c r="U111" s="64"/>
      <c r="V111" s="64"/>
      <c r="W111" s="64"/>
      <c r="X111" s="64"/>
      <c r="Y111" s="125">
        <f>$S111*$D111</f>
        <v>0</v>
      </c>
      <c r="Z111" s="502"/>
      <c r="AA111" s="96"/>
      <c r="AB111" s="133"/>
      <c r="AC111" s="95"/>
      <c r="AD111" s="95"/>
      <c r="AE111" s="95"/>
      <c r="AF111" s="95"/>
      <c r="AG111" s="95"/>
      <c r="AH111" s="159"/>
      <c r="AI111" s="479"/>
      <c r="AJ111" s="86"/>
      <c r="AK111" s="87"/>
      <c r="AL111" s="89"/>
      <c r="AM111" s="89"/>
      <c r="AN111" s="89"/>
      <c r="AO111" s="89"/>
      <c r="AP111" s="89"/>
      <c r="AQ111" s="169"/>
      <c r="AR111" s="536"/>
    </row>
    <row r="112" spans="1:44" s="2" customFormat="1" x14ac:dyDescent="0.25">
      <c r="A112" s="344"/>
      <c r="B112" s="344"/>
      <c r="C112" s="341"/>
      <c r="D112" s="284"/>
      <c r="E112" s="285">
        <v>60</v>
      </c>
      <c r="F112" s="286">
        <v>1</v>
      </c>
      <c r="G112" s="292"/>
      <c r="H112" s="293"/>
      <c r="I112" s="294"/>
      <c r="J112" s="53"/>
      <c r="K112" s="250"/>
      <c r="L112" s="54"/>
      <c r="M112" s="54"/>
      <c r="N112" s="54"/>
      <c r="O112" s="54"/>
      <c r="P112" s="54"/>
      <c r="Q112" s="211"/>
      <c r="R112" s="342"/>
      <c r="S112" s="328"/>
      <c r="T112" s="346"/>
      <c r="U112" s="64"/>
      <c r="V112" s="64"/>
      <c r="W112" s="64"/>
      <c r="X112" s="64"/>
      <c r="Y112" s="125">
        <f>$S112*$D112</f>
        <v>0</v>
      </c>
      <c r="Z112" s="502"/>
      <c r="AA112" s="96"/>
      <c r="AB112" s="133"/>
      <c r="AC112" s="95"/>
      <c r="AD112" s="95"/>
      <c r="AE112" s="95"/>
      <c r="AF112" s="95"/>
      <c r="AG112" s="95"/>
      <c r="AH112" s="159"/>
      <c r="AI112" s="479"/>
      <c r="AJ112" s="86"/>
      <c r="AK112" s="87"/>
      <c r="AL112" s="89"/>
      <c r="AM112" s="89"/>
      <c r="AN112" s="89"/>
      <c r="AO112" s="89"/>
      <c r="AP112" s="89"/>
      <c r="AQ112" s="169"/>
      <c r="AR112" s="536"/>
    </row>
    <row r="113" spans="1:44" s="2" customFormat="1" x14ac:dyDescent="0.25">
      <c r="A113" s="344"/>
      <c r="B113" s="344"/>
      <c r="C113" s="283"/>
      <c r="D113" s="284"/>
      <c r="E113" s="285">
        <v>60</v>
      </c>
      <c r="F113" s="286">
        <v>1</v>
      </c>
      <c r="G113" s="292"/>
      <c r="H113" s="293"/>
      <c r="I113" s="294"/>
      <c r="J113" s="53"/>
      <c r="K113" s="250"/>
      <c r="L113" s="54"/>
      <c r="M113" s="54"/>
      <c r="N113" s="54"/>
      <c r="O113" s="54"/>
      <c r="P113" s="54"/>
      <c r="Q113" s="211"/>
      <c r="R113" s="345"/>
      <c r="S113" s="328"/>
      <c r="T113" s="346"/>
      <c r="U113" s="64"/>
      <c r="V113" s="64"/>
      <c r="W113" s="64"/>
      <c r="X113" s="64"/>
      <c r="Y113" s="125">
        <f t="shared" si="32"/>
        <v>0</v>
      </c>
      <c r="Z113" s="502"/>
      <c r="AA113" s="96"/>
      <c r="AB113" s="133"/>
      <c r="AC113" s="95"/>
      <c r="AD113" s="95"/>
      <c r="AE113" s="95"/>
      <c r="AF113" s="95"/>
      <c r="AG113" s="95"/>
      <c r="AH113" s="159"/>
      <c r="AI113" s="479"/>
      <c r="AJ113" s="86"/>
      <c r="AK113" s="87"/>
      <c r="AL113" s="89"/>
      <c r="AM113" s="89"/>
      <c r="AN113" s="89"/>
      <c r="AO113" s="89"/>
      <c r="AP113" s="89"/>
      <c r="AQ113" s="169"/>
      <c r="AR113" s="536"/>
    </row>
    <row r="114" spans="1:44" s="2" customFormat="1" x14ac:dyDescent="0.25">
      <c r="A114" s="344"/>
      <c r="B114" s="344"/>
      <c r="C114" s="283"/>
      <c r="D114" s="284"/>
      <c r="E114" s="285">
        <v>60</v>
      </c>
      <c r="F114" s="286">
        <v>1</v>
      </c>
      <c r="G114" s="292"/>
      <c r="H114" s="293"/>
      <c r="I114" s="294"/>
      <c r="J114" s="53"/>
      <c r="K114" s="250"/>
      <c r="L114" s="54"/>
      <c r="M114" s="54"/>
      <c r="N114" s="54"/>
      <c r="O114" s="54"/>
      <c r="P114" s="54"/>
      <c r="Q114" s="211"/>
      <c r="R114" s="345"/>
      <c r="S114" s="328"/>
      <c r="T114" s="346"/>
      <c r="U114" s="64"/>
      <c r="V114" s="64"/>
      <c r="W114" s="64"/>
      <c r="X114" s="64"/>
      <c r="Y114" s="125">
        <f t="shared" si="32"/>
        <v>0</v>
      </c>
      <c r="Z114" s="502"/>
      <c r="AA114" s="96"/>
      <c r="AB114" s="133"/>
      <c r="AC114" s="95"/>
      <c r="AD114" s="95"/>
      <c r="AE114" s="95"/>
      <c r="AF114" s="95"/>
      <c r="AG114" s="95"/>
      <c r="AH114" s="159"/>
      <c r="AI114" s="479"/>
      <c r="AJ114" s="86"/>
      <c r="AK114" s="87"/>
      <c r="AL114" s="89"/>
      <c r="AM114" s="89"/>
      <c r="AN114" s="89"/>
      <c r="AO114" s="89"/>
      <c r="AP114" s="89"/>
      <c r="AQ114" s="169"/>
      <c r="AR114" s="536"/>
    </row>
    <row r="115" spans="1:44" s="2" customFormat="1" x14ac:dyDescent="0.25">
      <c r="A115" s="344"/>
      <c r="B115" s="344"/>
      <c r="C115" s="283"/>
      <c r="D115" s="284"/>
      <c r="E115" s="285">
        <v>60</v>
      </c>
      <c r="F115" s="286">
        <v>1</v>
      </c>
      <c r="G115" s="292"/>
      <c r="H115" s="293"/>
      <c r="I115" s="294"/>
      <c r="J115" s="53"/>
      <c r="K115" s="250"/>
      <c r="L115" s="54"/>
      <c r="M115" s="54"/>
      <c r="N115" s="54"/>
      <c r="O115" s="54"/>
      <c r="P115" s="54"/>
      <c r="Q115" s="211"/>
      <c r="R115" s="345"/>
      <c r="S115" s="400"/>
      <c r="T115" s="346"/>
      <c r="U115" s="64"/>
      <c r="V115" s="64"/>
      <c r="W115" s="64"/>
      <c r="X115" s="64"/>
      <c r="Y115" s="125">
        <f t="shared" si="32"/>
        <v>0</v>
      </c>
      <c r="Z115" s="502"/>
      <c r="AA115" s="96"/>
      <c r="AB115" s="133"/>
      <c r="AC115" s="95"/>
      <c r="AD115" s="95"/>
      <c r="AE115" s="95"/>
      <c r="AF115" s="95"/>
      <c r="AG115" s="95"/>
      <c r="AH115" s="159"/>
      <c r="AI115" s="479"/>
      <c r="AJ115" s="86"/>
      <c r="AK115" s="87"/>
      <c r="AL115" s="89"/>
      <c r="AM115" s="89"/>
      <c r="AN115" s="89"/>
      <c r="AO115" s="89"/>
      <c r="AP115" s="89"/>
      <c r="AQ115" s="169"/>
      <c r="AR115" s="536"/>
    </row>
    <row r="116" spans="1:44" s="2" customFormat="1" x14ac:dyDescent="0.25">
      <c r="A116" s="344"/>
      <c r="B116" s="344"/>
      <c r="C116" s="283"/>
      <c r="D116" s="284"/>
      <c r="E116" s="285">
        <v>60</v>
      </c>
      <c r="F116" s="286">
        <v>1</v>
      </c>
      <c r="G116" s="292"/>
      <c r="H116" s="293"/>
      <c r="I116" s="294"/>
      <c r="J116" s="53"/>
      <c r="K116" s="250"/>
      <c r="L116" s="54"/>
      <c r="M116" s="54"/>
      <c r="N116" s="54"/>
      <c r="O116" s="54"/>
      <c r="P116" s="54"/>
      <c r="Q116" s="211"/>
      <c r="R116" s="345"/>
      <c r="S116" s="400"/>
      <c r="T116" s="346"/>
      <c r="U116" s="64"/>
      <c r="V116" s="64"/>
      <c r="W116" s="64"/>
      <c r="X116" s="64"/>
      <c r="Y116" s="125">
        <f t="shared" si="32"/>
        <v>0</v>
      </c>
      <c r="Z116" s="502"/>
      <c r="AA116" s="96"/>
      <c r="AB116" s="133"/>
      <c r="AC116" s="95"/>
      <c r="AD116" s="95"/>
      <c r="AE116" s="95"/>
      <c r="AF116" s="95"/>
      <c r="AG116" s="95"/>
      <c r="AH116" s="159"/>
      <c r="AI116" s="479"/>
      <c r="AJ116" s="86"/>
      <c r="AK116" s="87"/>
      <c r="AL116" s="89"/>
      <c r="AM116" s="89"/>
      <c r="AN116" s="89"/>
      <c r="AO116" s="89"/>
      <c r="AP116" s="89"/>
      <c r="AQ116" s="169"/>
      <c r="AR116" s="536"/>
    </row>
    <row r="117" spans="1:44" s="2" customFormat="1" x14ac:dyDescent="0.25">
      <c r="A117" s="344"/>
      <c r="B117" s="344"/>
      <c r="C117" s="283"/>
      <c r="D117" s="284"/>
      <c r="E117" s="285">
        <v>60</v>
      </c>
      <c r="F117" s="286">
        <v>1</v>
      </c>
      <c r="G117" s="292"/>
      <c r="H117" s="293"/>
      <c r="I117" s="294"/>
      <c r="J117" s="53"/>
      <c r="K117" s="250"/>
      <c r="L117" s="54"/>
      <c r="M117" s="54"/>
      <c r="N117" s="54"/>
      <c r="O117" s="54"/>
      <c r="P117" s="54"/>
      <c r="Q117" s="211"/>
      <c r="R117" s="345"/>
      <c r="S117" s="400"/>
      <c r="T117" s="346"/>
      <c r="U117" s="64"/>
      <c r="V117" s="64"/>
      <c r="W117" s="64"/>
      <c r="X117" s="64"/>
      <c r="Y117" s="125">
        <f t="shared" si="32"/>
        <v>0</v>
      </c>
      <c r="Z117" s="502"/>
      <c r="AA117" s="96"/>
      <c r="AB117" s="133"/>
      <c r="AC117" s="95"/>
      <c r="AD117" s="95"/>
      <c r="AE117" s="95"/>
      <c r="AF117" s="95"/>
      <c r="AG117" s="95"/>
      <c r="AH117" s="159"/>
      <c r="AI117" s="479"/>
      <c r="AJ117" s="86"/>
      <c r="AK117" s="87"/>
      <c r="AL117" s="89"/>
      <c r="AM117" s="89"/>
      <c r="AN117" s="89"/>
      <c r="AO117" s="89"/>
      <c r="AP117" s="89"/>
      <c r="AQ117" s="169"/>
      <c r="AR117" s="536"/>
    </row>
    <row r="118" spans="1:44" s="2" customFormat="1" x14ac:dyDescent="0.25">
      <c r="A118" s="541"/>
      <c r="B118" s="541"/>
      <c r="C118" s="283"/>
      <c r="D118" s="284"/>
      <c r="E118" s="285"/>
      <c r="F118" s="286"/>
      <c r="G118" s="292"/>
      <c r="H118" s="293"/>
      <c r="I118" s="294"/>
      <c r="J118" s="53"/>
      <c r="K118" s="250"/>
      <c r="L118" s="54"/>
      <c r="M118" s="54"/>
      <c r="N118" s="54"/>
      <c r="O118" s="54"/>
      <c r="P118" s="54"/>
      <c r="Q118" s="211"/>
      <c r="R118" s="62"/>
      <c r="S118" s="389"/>
      <c r="T118" s="64"/>
      <c r="U118" s="64"/>
      <c r="V118" s="64"/>
      <c r="W118" s="64"/>
      <c r="X118" s="64"/>
      <c r="Y118" s="125"/>
      <c r="Z118" s="365"/>
      <c r="AA118" s="96"/>
      <c r="AB118" s="133"/>
      <c r="AC118" s="95"/>
      <c r="AD118" s="95"/>
      <c r="AE118" s="95"/>
      <c r="AF118" s="95"/>
      <c r="AG118" s="95"/>
      <c r="AH118" s="159"/>
      <c r="AI118" s="479"/>
      <c r="AJ118" s="86"/>
      <c r="AK118" s="87"/>
      <c r="AL118" s="89"/>
      <c r="AM118" s="89"/>
      <c r="AN118" s="89"/>
      <c r="AO118" s="89"/>
      <c r="AP118" s="89"/>
      <c r="AQ118" s="169"/>
      <c r="AR118" s="536"/>
    </row>
    <row r="119" spans="1:44" s="2" customFormat="1" x14ac:dyDescent="0.25">
      <c r="A119" s="283"/>
      <c r="B119" s="283"/>
      <c r="C119" s="283"/>
      <c r="D119" s="284"/>
      <c r="E119" s="285"/>
      <c r="F119" s="286"/>
      <c r="G119" s="292"/>
      <c r="H119" s="293"/>
      <c r="I119" s="294"/>
      <c r="J119" s="53"/>
      <c r="K119" s="250"/>
      <c r="L119" s="54"/>
      <c r="M119" s="54"/>
      <c r="N119" s="54"/>
      <c r="O119" s="54"/>
      <c r="P119" s="54"/>
      <c r="Q119" s="211"/>
      <c r="R119" s="62"/>
      <c r="S119" s="389"/>
      <c r="T119" s="64"/>
      <c r="U119" s="64"/>
      <c r="V119" s="64"/>
      <c r="W119" s="64"/>
      <c r="X119" s="64"/>
      <c r="Y119" s="125"/>
      <c r="Z119" s="365"/>
      <c r="AA119" s="96"/>
      <c r="AB119" s="133"/>
      <c r="AC119" s="95"/>
      <c r="AD119" s="95"/>
      <c r="AE119" s="95"/>
      <c r="AF119" s="95"/>
      <c r="AG119" s="95"/>
      <c r="AH119" s="159"/>
      <c r="AI119" s="479"/>
      <c r="AJ119" s="86"/>
      <c r="AK119" s="87"/>
      <c r="AL119" s="89"/>
      <c r="AM119" s="89"/>
      <c r="AN119" s="89"/>
      <c r="AO119" s="89"/>
      <c r="AP119" s="89"/>
      <c r="AQ119" s="169"/>
      <c r="AR119" s="536"/>
    </row>
    <row r="120" spans="1:44" s="23" customFormat="1" ht="3.75" customHeight="1" x14ac:dyDescent="0.25">
      <c r="A120" s="16"/>
      <c r="B120" s="16"/>
      <c r="C120" s="16"/>
      <c r="D120" s="16"/>
      <c r="E120" s="18"/>
      <c r="F120" s="18"/>
      <c r="G120" s="18"/>
      <c r="H120" s="18"/>
      <c r="I120" s="18"/>
      <c r="J120" s="16"/>
      <c r="K120" s="19"/>
      <c r="L120" s="17"/>
      <c r="M120" s="17"/>
      <c r="N120" s="17"/>
      <c r="O120" s="17"/>
      <c r="P120" s="17"/>
      <c r="Q120" s="17"/>
      <c r="R120" s="16"/>
      <c r="S120" s="385"/>
      <c r="T120" s="21"/>
      <c r="U120" s="21"/>
      <c r="V120" s="21"/>
      <c r="W120" s="21"/>
      <c r="X120" s="21"/>
      <c r="Y120" s="21"/>
      <c r="Z120" s="21"/>
      <c r="AA120" s="263"/>
      <c r="AB120" s="20"/>
      <c r="AC120" s="21"/>
      <c r="AD120" s="21"/>
      <c r="AE120" s="21"/>
      <c r="AF120" s="21"/>
      <c r="AG120" s="21"/>
      <c r="AH120" s="21"/>
      <c r="AI120" s="412"/>
      <c r="AJ120" s="20"/>
      <c r="AK120" s="20"/>
      <c r="AL120" s="20"/>
      <c r="AM120" s="20"/>
      <c r="AN120" s="20"/>
      <c r="AO120" s="20"/>
      <c r="AP120" s="20"/>
      <c r="AQ120" s="22"/>
      <c r="AR120" s="412"/>
    </row>
    <row r="121" spans="1:44" s="151" customFormat="1" x14ac:dyDescent="0.25">
      <c r="A121" s="77"/>
      <c r="B121" s="77"/>
      <c r="C121" s="298" t="s">
        <v>485</v>
      </c>
      <c r="D121" s="115"/>
      <c r="E121" s="144"/>
      <c r="F121" s="144"/>
      <c r="G121" s="144"/>
      <c r="H121" s="144"/>
      <c r="I121" s="145"/>
      <c r="J121" s="304" t="str">
        <f>C121</f>
        <v>Implementation and Setup Fees for Optional Processing Sum:</v>
      </c>
      <c r="K121" s="303"/>
      <c r="L121" s="146"/>
      <c r="M121" s="146"/>
      <c r="N121" s="146"/>
      <c r="O121" s="146"/>
      <c r="P121" s="146"/>
      <c r="Q121" s="210">
        <f>SUM(Q100:Q119)</f>
        <v>0</v>
      </c>
      <c r="R121" s="320" t="str">
        <f>C121</f>
        <v>Implementation and Setup Fees for Optional Processing Sum:</v>
      </c>
      <c r="S121" s="387"/>
      <c r="T121" s="147"/>
      <c r="U121" s="147"/>
      <c r="V121" s="147"/>
      <c r="W121" s="147"/>
      <c r="X121" s="147"/>
      <c r="Y121" s="202">
        <f>SUM(Y89:Y119)</f>
        <v>0</v>
      </c>
      <c r="Z121" s="363"/>
      <c r="AA121" s="299" t="str">
        <f>C121</f>
        <v>Implementation and Setup Fees for Optional Processing Sum:</v>
      </c>
      <c r="AB121" s="256"/>
      <c r="AC121" s="153"/>
      <c r="AD121" s="153"/>
      <c r="AE121" s="153"/>
      <c r="AF121" s="153"/>
      <c r="AG121" s="153"/>
      <c r="AH121" s="305">
        <f>SUM(AH89:AH119)</f>
        <v>0</v>
      </c>
      <c r="AI121" s="477"/>
      <c r="AJ121" s="318" t="str">
        <f>C121</f>
        <v>Implementation and Setup Fees for Optional Processing Sum:</v>
      </c>
      <c r="AK121" s="150"/>
      <c r="AL121" s="155"/>
      <c r="AM121" s="155"/>
      <c r="AN121" s="155"/>
      <c r="AO121" s="155"/>
      <c r="AP121" s="155"/>
      <c r="AQ121" s="166">
        <f>SUM(AQ89:AQ119)</f>
        <v>0</v>
      </c>
      <c r="AR121" s="551"/>
    </row>
    <row r="122" spans="1:44" s="23" customFormat="1" ht="3.75" customHeight="1" x14ac:dyDescent="0.25">
      <c r="A122" s="16"/>
      <c r="B122" s="16"/>
      <c r="C122" s="16"/>
      <c r="D122" s="16"/>
      <c r="E122" s="18"/>
      <c r="F122" s="18"/>
      <c r="G122" s="18"/>
      <c r="H122" s="18"/>
      <c r="I122" s="18"/>
      <c r="J122" s="16"/>
      <c r="K122" s="19"/>
      <c r="L122" s="17"/>
      <c r="M122" s="17"/>
      <c r="N122" s="17"/>
      <c r="O122" s="17"/>
      <c r="P122" s="17"/>
      <c r="Q122" s="17"/>
      <c r="R122" s="16"/>
      <c r="S122" s="385"/>
      <c r="T122" s="21"/>
      <c r="U122" s="21"/>
      <c r="V122" s="21"/>
      <c r="W122" s="21"/>
      <c r="X122" s="21"/>
      <c r="Y122" s="21"/>
      <c r="Z122" s="21"/>
      <c r="AA122" s="16"/>
      <c r="AB122" s="20"/>
      <c r="AC122" s="21"/>
      <c r="AD122" s="21"/>
      <c r="AE122" s="21"/>
      <c r="AF122" s="21"/>
      <c r="AG122" s="21"/>
      <c r="AH122" s="21"/>
      <c r="AI122" s="412"/>
      <c r="AJ122" s="20"/>
      <c r="AK122" s="20"/>
      <c r="AL122" s="20"/>
      <c r="AM122" s="20"/>
      <c r="AN122" s="20"/>
      <c r="AO122" s="20"/>
      <c r="AP122" s="20"/>
      <c r="AQ122" s="22"/>
      <c r="AR122" s="412"/>
    </row>
    <row r="123" spans="1:44" s="199" customFormat="1" ht="21" x14ac:dyDescent="0.25">
      <c r="A123" s="189"/>
      <c r="B123" s="189"/>
      <c r="C123" s="189" t="s">
        <v>419</v>
      </c>
      <c r="D123" s="190"/>
      <c r="E123" s="191"/>
      <c r="F123" s="191"/>
      <c r="G123" s="191"/>
      <c r="H123" s="191"/>
      <c r="I123" s="192"/>
      <c r="J123" s="141" t="s">
        <v>419</v>
      </c>
      <c r="K123" s="302"/>
      <c r="L123" s="143"/>
      <c r="M123" s="143"/>
      <c r="N123" s="143"/>
      <c r="O123" s="143"/>
      <c r="P123" s="143"/>
      <c r="Q123" s="215"/>
      <c r="R123" s="142" t="s">
        <v>419</v>
      </c>
      <c r="S123" s="392"/>
      <c r="T123" s="139"/>
      <c r="U123" s="139"/>
      <c r="V123" s="139"/>
      <c r="W123" s="139"/>
      <c r="X123" s="139"/>
      <c r="Y123" s="193" t="e">
        <f>SUM(Y76,Y86,Y121)</f>
        <v>#REF!</v>
      </c>
      <c r="Z123" s="367"/>
      <c r="AA123" s="340" t="s">
        <v>419</v>
      </c>
      <c r="AB123" s="259"/>
      <c r="AC123" s="154"/>
      <c r="AD123" s="154"/>
      <c r="AE123" s="154"/>
      <c r="AF123" s="154"/>
      <c r="AG123" s="154"/>
      <c r="AH123" s="194">
        <f>SUM(AH76,AH86,AH121)</f>
        <v>0</v>
      </c>
      <c r="AI123" s="481"/>
      <c r="AJ123" s="546" t="str">
        <f>AA123</f>
        <v>Term Totals</v>
      </c>
      <c r="AK123" s="196"/>
      <c r="AL123" s="197"/>
      <c r="AM123" s="197"/>
      <c r="AN123" s="197"/>
      <c r="AO123" s="197"/>
      <c r="AP123" s="197"/>
      <c r="AQ123" s="198">
        <f>SUM(AQ76,AQ86,AQ121)</f>
        <v>0</v>
      </c>
      <c r="AR123" s="554"/>
    </row>
    <row r="124" spans="1:44" s="23" customFormat="1" ht="3.75" customHeight="1" x14ac:dyDescent="0.25">
      <c r="A124" s="16"/>
      <c r="B124" s="16"/>
      <c r="C124" s="16"/>
      <c r="D124" s="16"/>
      <c r="E124" s="18"/>
      <c r="F124" s="18"/>
      <c r="G124" s="18"/>
      <c r="H124" s="18"/>
      <c r="I124" s="18"/>
      <c r="J124" s="16"/>
      <c r="K124" s="19"/>
      <c r="L124" s="17"/>
      <c r="M124" s="17"/>
      <c r="N124" s="17"/>
      <c r="O124" s="17"/>
      <c r="P124" s="17"/>
      <c r="Q124" s="17"/>
      <c r="R124" s="16"/>
      <c r="S124" s="385"/>
      <c r="T124" s="21"/>
      <c r="U124" s="21"/>
      <c r="V124" s="21"/>
      <c r="W124" s="21"/>
      <c r="X124" s="21"/>
      <c r="Y124" s="21"/>
      <c r="Z124" s="21"/>
      <c r="AA124" s="16"/>
      <c r="AB124" s="20"/>
      <c r="AC124" s="21"/>
      <c r="AD124" s="21"/>
      <c r="AE124" s="21"/>
      <c r="AF124" s="21"/>
      <c r="AG124" s="21"/>
      <c r="AH124" s="21"/>
      <c r="AI124" s="412"/>
      <c r="AJ124" s="20"/>
      <c r="AK124" s="20"/>
      <c r="AL124" s="20"/>
      <c r="AM124" s="20"/>
      <c r="AN124" s="20"/>
      <c r="AO124" s="20"/>
      <c r="AP124" s="20"/>
      <c r="AQ124" s="22"/>
      <c r="AR124" s="412"/>
    </row>
    <row r="125" spans="1:44" s="13" customFormat="1" ht="18.75" x14ac:dyDescent="0.25">
      <c r="A125" s="78"/>
      <c r="B125" s="78"/>
      <c r="C125" s="78"/>
      <c r="D125" s="116"/>
      <c r="E125" s="68"/>
      <c r="F125" s="68"/>
      <c r="G125" s="68"/>
      <c r="H125" s="68"/>
      <c r="I125" s="69"/>
      <c r="J125" s="59"/>
      <c r="K125" s="321"/>
      <c r="L125" s="60"/>
      <c r="M125" s="60"/>
      <c r="N125" s="60"/>
      <c r="O125" s="60"/>
      <c r="P125" s="60"/>
      <c r="Q125" s="213"/>
      <c r="R125" s="82"/>
      <c r="S125" s="393"/>
      <c r="T125" s="64"/>
      <c r="U125" s="64"/>
      <c r="V125" s="64"/>
      <c r="W125" s="64"/>
      <c r="X125" s="64"/>
      <c r="Y125" s="130"/>
      <c r="Z125" s="368"/>
      <c r="AA125" s="98"/>
      <c r="AB125" s="260"/>
      <c r="AC125" s="97"/>
      <c r="AD125" s="97"/>
      <c r="AE125" s="97"/>
      <c r="AF125" s="97"/>
      <c r="AG125" s="97"/>
      <c r="AH125" s="161"/>
      <c r="AI125" s="482"/>
      <c r="AJ125" s="90"/>
      <c r="AK125" s="91"/>
      <c r="AL125" s="88"/>
      <c r="AM125" s="88"/>
      <c r="AN125" s="88"/>
      <c r="AO125" s="88"/>
      <c r="AP125" s="88"/>
      <c r="AQ125" s="170"/>
      <c r="AR125" s="555"/>
    </row>
    <row r="126" spans="1:44" s="2" customFormat="1" x14ac:dyDescent="0.25">
      <c r="A126" s="79"/>
      <c r="B126" s="79"/>
      <c r="C126" s="79"/>
      <c r="D126" s="117"/>
      <c r="E126" s="73"/>
      <c r="F126" s="73"/>
      <c r="G126" s="73"/>
      <c r="H126" s="73"/>
      <c r="I126" s="74"/>
      <c r="J126" s="56"/>
      <c r="K126" s="322"/>
      <c r="L126" s="61"/>
      <c r="M126" s="61"/>
      <c r="N126" s="61"/>
      <c r="O126" s="61"/>
      <c r="P126" s="61"/>
      <c r="Q126" s="214"/>
      <c r="R126" s="65"/>
      <c r="S126" s="394"/>
      <c r="T126" s="83"/>
      <c r="U126" s="83"/>
      <c r="V126" s="83"/>
      <c r="W126" s="83"/>
      <c r="X126" s="83"/>
      <c r="Y126" s="126"/>
      <c r="Z126" s="369"/>
      <c r="AA126" s="99"/>
      <c r="AB126" s="261"/>
      <c r="AC126" s="100"/>
      <c r="AD126" s="100"/>
      <c r="AE126" s="100"/>
      <c r="AF126" s="100"/>
      <c r="AG126" s="100"/>
      <c r="AH126" s="162"/>
      <c r="AI126" s="483"/>
      <c r="AJ126" s="92"/>
      <c r="AK126" s="93"/>
      <c r="AL126" s="93"/>
      <c r="AM126" s="93"/>
      <c r="AN126" s="93"/>
      <c r="AO126" s="93"/>
      <c r="AP126" s="93"/>
      <c r="AQ126" s="171"/>
      <c r="AR126" s="539"/>
    </row>
  </sheetData>
  <mergeCells count="10">
    <mergeCell ref="J5:Q5"/>
    <mergeCell ref="R5:Y5"/>
    <mergeCell ref="AA5:AH5"/>
    <mergeCell ref="AJ5:AQ5"/>
    <mergeCell ref="E3:E4"/>
    <mergeCell ref="F3:I3"/>
    <mergeCell ref="J4:Q4"/>
    <mergeCell ref="R4:Y4"/>
    <mergeCell ref="AA4:AH4"/>
    <mergeCell ref="AJ4:AQ4"/>
  </mergeCells>
  <conditionalFormatting sqref="J6:K6">
    <cfRule type="containsText" dxfId="28" priority="1" operator="containsText" text="Red Text">
      <formula>NOT(ISERROR(SEARCH("Red Text",J6)))</formula>
    </cfRule>
  </conditionalFormatting>
  <pageMargins left="0.7" right="0.7" top="0.75" bottom="0.75" header="0.3" footer="0.3"/>
  <pageSetup scale="11" orientation="portrait" r:id="rId1"/>
  <colBreaks count="3" manualBreakCount="3">
    <brk id="17" max="1048575" man="1"/>
    <brk id="26" max="1048575" man="1"/>
    <brk id="3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59E2B-0F65-4AEB-B1EC-D934894D0CB1}">
  <sheetPr codeName="Sheet6">
    <tabColor theme="6" tint="0.59999389629810485"/>
  </sheetPr>
  <dimension ref="A1:BB192"/>
  <sheetViews>
    <sheetView showGridLines="0" topLeftCell="A2" zoomScale="85" zoomScaleNormal="85" zoomScaleSheetLayoutView="80" workbookViewId="0">
      <pane xSplit="8" ySplit="6" topLeftCell="I38" activePane="bottomRight" state="frozen"/>
      <selection pane="topRight" activeCell="D2" sqref="D2"/>
      <selection pane="bottomLeft" activeCell="B8" sqref="B8"/>
      <selection pane="bottomRight" activeCell="AS24" sqref="AS24"/>
    </sheetView>
  </sheetViews>
  <sheetFormatPr defaultColWidth="9.28515625" defaultRowHeight="15.75" outlineLevelCol="1" x14ac:dyDescent="0.25"/>
  <cols>
    <col min="1" max="1" width="6.85546875" style="617" bestFit="1" customWidth="1"/>
    <col min="2" max="2" width="21.5703125" style="36" customWidth="1"/>
    <col min="3" max="3" width="70.7109375" style="36" customWidth="1"/>
    <col min="4" max="7" width="12.140625" style="617" hidden="1" customWidth="1" outlineLevel="1"/>
    <col min="8" max="8" width="14.85546875" style="36" customWidth="1" collapsed="1"/>
    <col min="9" max="9" width="14.42578125" style="38" customWidth="1" outlineLevel="1"/>
    <col min="10" max="10" width="14.140625" style="38" customWidth="1" outlineLevel="1"/>
    <col min="11" max="11" width="13.85546875" style="38" customWidth="1" outlineLevel="1"/>
    <col min="12" max="12" width="14.28515625" style="38" customWidth="1" outlineLevel="1"/>
    <col min="13" max="13" width="13.7109375" style="38" customWidth="1" outlineLevel="1"/>
    <col min="14" max="14" width="70.28515625" style="34" customWidth="1"/>
    <col min="15" max="15" width="15.5703125" style="216" customWidth="1"/>
    <col min="16" max="16" width="15.5703125" style="769" customWidth="1"/>
    <col min="17" max="17" width="15.5703125" style="35" customWidth="1"/>
    <col min="18" max="21" width="13.85546875" style="35" customWidth="1"/>
    <col min="22" max="22" width="18.5703125" style="35" customWidth="1"/>
    <col min="23" max="23" width="36.85546875" style="35" customWidth="1"/>
    <col min="24" max="24" width="55.28515625" style="34" customWidth="1"/>
    <col min="25" max="25" width="12.28515625" style="27" customWidth="1"/>
    <col min="26" max="26" width="16" style="780" customWidth="1"/>
    <col min="27" max="31" width="12" style="35" customWidth="1"/>
    <col min="32" max="32" width="18.28515625" style="35" customWidth="1"/>
    <col min="33" max="33" width="12" style="817" customWidth="1" outlineLevel="1"/>
    <col min="34" max="34" width="40.140625" style="35" customWidth="1"/>
    <col min="35" max="35" width="66.85546875" style="36" customWidth="1"/>
    <col min="36" max="36" width="16.5703125" style="27" customWidth="1"/>
    <col min="37" max="41" width="12" style="35" customWidth="1"/>
    <col min="42" max="42" width="20.5703125" style="35" customWidth="1"/>
    <col min="43" max="43" width="8.5703125" style="817" customWidth="1"/>
    <col min="44" max="44" width="41.5703125" style="35" customWidth="1"/>
    <col min="45" max="45" width="76.85546875" style="27" bestFit="1" customWidth="1"/>
    <col min="46" max="46" width="14.7109375" style="27" customWidth="1"/>
    <col min="47" max="47" width="14.42578125" style="27" customWidth="1"/>
    <col min="48" max="51" width="12.85546875" style="27" customWidth="1"/>
    <col min="52" max="52" width="18.85546875" style="27" customWidth="1"/>
    <col min="53" max="53" width="9.7109375" style="1197" bestFit="1" customWidth="1"/>
    <col min="54" max="54" width="41.5703125" style="35" customWidth="1"/>
    <col min="55" max="16384" width="9.28515625" style="36"/>
  </cols>
  <sheetData>
    <row r="1" spans="1:54" x14ac:dyDescent="0.25">
      <c r="A1" s="605"/>
      <c r="B1" s="2"/>
      <c r="C1" s="2"/>
      <c r="D1" s="605"/>
      <c r="E1" s="605"/>
      <c r="F1" s="605"/>
      <c r="G1" s="605"/>
      <c r="H1" s="2"/>
      <c r="I1" s="3"/>
      <c r="J1" s="3"/>
      <c r="K1" s="3"/>
      <c r="L1" s="3"/>
      <c r="M1" s="3"/>
      <c r="N1" s="4"/>
      <c r="O1" s="5"/>
      <c r="P1" s="751"/>
      <c r="Q1" s="6"/>
      <c r="R1" s="6"/>
      <c r="S1" s="6"/>
      <c r="T1" s="6"/>
      <c r="U1" s="6"/>
      <c r="V1" s="6"/>
      <c r="W1" s="9"/>
      <c r="X1" s="7"/>
      <c r="Y1" s="8"/>
      <c r="Z1" s="770"/>
      <c r="AA1" s="9"/>
      <c r="AB1" s="9"/>
      <c r="AC1" s="9"/>
      <c r="AD1" s="9"/>
      <c r="AE1" s="9"/>
      <c r="AF1" s="9"/>
      <c r="AG1" s="810"/>
      <c r="AH1" s="9"/>
      <c r="AI1" s="262"/>
      <c r="AJ1" s="11"/>
      <c r="AK1" s="12"/>
      <c r="AL1" s="12"/>
      <c r="AM1" s="12"/>
      <c r="AN1" s="12"/>
      <c r="AO1" s="12"/>
      <c r="AP1" s="12"/>
      <c r="AQ1" s="929"/>
      <c r="AR1" s="12"/>
      <c r="AS1" s="1"/>
      <c r="AT1" s="1"/>
      <c r="BA1" s="1182"/>
      <c r="BB1" s="12"/>
    </row>
    <row r="2" spans="1:54" s="948" customFormat="1" ht="16.5" thickBot="1" x14ac:dyDescent="0.3">
      <c r="A2" s="947"/>
      <c r="D2" s="947"/>
      <c r="E2" s="947"/>
      <c r="F2" s="947"/>
      <c r="G2" s="947"/>
      <c r="I2" s="949"/>
      <c r="J2" s="949"/>
      <c r="K2" s="949"/>
      <c r="L2" s="949"/>
      <c r="M2" s="949"/>
      <c r="N2" s="950"/>
      <c r="O2" s="951"/>
      <c r="P2" s="952"/>
      <c r="Q2" s="953"/>
      <c r="R2" s="953"/>
      <c r="S2" s="953"/>
      <c r="T2" s="953"/>
      <c r="U2" s="953"/>
      <c r="V2" s="953"/>
      <c r="W2" s="953"/>
      <c r="X2" s="950"/>
      <c r="Y2" s="954"/>
      <c r="Z2" s="955"/>
      <c r="AA2" s="953"/>
      <c r="AB2" s="953"/>
      <c r="AC2" s="953"/>
      <c r="AD2" s="953"/>
      <c r="AE2" s="953"/>
      <c r="AF2" s="953"/>
      <c r="AG2" s="956"/>
      <c r="AH2" s="953"/>
      <c r="AJ2" s="954"/>
      <c r="AK2" s="953"/>
      <c r="AL2" s="953"/>
      <c r="AM2" s="953"/>
      <c r="AN2" s="953"/>
      <c r="AO2" s="953"/>
      <c r="AP2" s="953"/>
      <c r="AQ2" s="956"/>
      <c r="AR2" s="953"/>
      <c r="AS2" s="954"/>
      <c r="AT2" s="954"/>
      <c r="AU2" s="954"/>
      <c r="AV2" s="954"/>
      <c r="AW2" s="954"/>
      <c r="AX2" s="954"/>
      <c r="AY2" s="954"/>
      <c r="AZ2" s="954"/>
      <c r="BA2" s="1183"/>
      <c r="BB2" s="953"/>
    </row>
    <row r="3" spans="1:54" ht="26.25" x14ac:dyDescent="0.25">
      <c r="A3" s="24"/>
      <c r="B3" s="24"/>
      <c r="C3" s="24" t="s">
        <v>487</v>
      </c>
      <c r="D3" s="24"/>
      <c r="E3" s="24"/>
      <c r="F3" s="24"/>
      <c r="G3" s="24"/>
      <c r="H3" s="1312" t="s">
        <v>28</v>
      </c>
      <c r="J3" s="1314" t="s">
        <v>29</v>
      </c>
      <c r="K3" s="1315"/>
      <c r="L3" s="1315"/>
      <c r="M3" s="1316"/>
      <c r="N3" s="137"/>
      <c r="O3" s="135"/>
      <c r="P3" s="753"/>
      <c r="Q3" s="134"/>
      <c r="R3" s="136"/>
      <c r="S3" s="136"/>
      <c r="T3" s="136"/>
      <c r="U3" s="136"/>
      <c r="V3" s="136"/>
      <c r="W3" s="136"/>
      <c r="X3" s="137"/>
      <c r="Y3" s="135"/>
      <c r="Z3" s="753"/>
      <c r="AA3" s="134"/>
      <c r="AB3" s="136"/>
      <c r="AC3" s="136"/>
      <c r="AD3" s="136"/>
      <c r="AE3" s="136"/>
      <c r="AF3" s="136"/>
      <c r="AG3" s="809"/>
      <c r="AH3" s="136"/>
      <c r="AI3" s="137"/>
      <c r="AJ3" s="135"/>
      <c r="AK3" s="134"/>
      <c r="AL3" s="136"/>
      <c r="AM3" s="136"/>
      <c r="AN3" s="136"/>
      <c r="AO3" s="136"/>
      <c r="AP3" s="136"/>
      <c r="AQ3" s="809"/>
      <c r="AR3" s="136"/>
      <c r="AS3" s="137"/>
      <c r="AT3" s="135"/>
      <c r="AU3" s="134"/>
      <c r="AV3" s="136"/>
      <c r="AW3" s="136"/>
      <c r="AX3" s="136"/>
      <c r="AY3" s="136"/>
      <c r="AZ3" s="136"/>
      <c r="BA3" s="1184"/>
      <c r="BB3" s="136"/>
    </row>
    <row r="4" spans="1:54" s="493" customFormat="1" ht="26.25" customHeight="1" x14ac:dyDescent="0.25">
      <c r="A4" s="232"/>
      <c r="B4" s="232"/>
      <c r="C4" s="309" t="str">
        <f>'(INTERNAL) Basic Entry '!$C$7</f>
        <v>First State Bank of Waynesboro</v>
      </c>
      <c r="D4" s="606"/>
      <c r="E4" s="606"/>
      <c r="F4" s="606"/>
      <c r="G4" s="606"/>
      <c r="H4" s="1313"/>
      <c r="J4" s="225" t="s">
        <v>30</v>
      </c>
      <c r="K4" s="226" t="s">
        <v>31</v>
      </c>
      <c r="L4" s="228" t="s">
        <v>32</v>
      </c>
      <c r="M4" s="229" t="s">
        <v>33</v>
      </c>
      <c r="N4" s="1317" t="str">
        <f>'(INTERNAL) Basic Entry '!$C$17</f>
        <v>Current (FIS Bankway)</v>
      </c>
      <c r="O4" s="1318"/>
      <c r="P4" s="1318"/>
      <c r="Q4" s="1318"/>
      <c r="R4" s="1318"/>
      <c r="S4" s="1318"/>
      <c r="T4" s="1318"/>
      <c r="U4" s="1318"/>
      <c r="V4" s="1319"/>
      <c r="W4" s="524"/>
      <c r="X4" s="1320" t="str">
        <f>'(INTERNAL) Basic Entry '!$C$19</f>
        <v>FIS Horizon with D1 Flex</v>
      </c>
      <c r="Y4" s="1321"/>
      <c r="Z4" s="1321"/>
      <c r="AA4" s="1321"/>
      <c r="AB4" s="1321"/>
      <c r="AC4" s="1321"/>
      <c r="AD4" s="1321"/>
      <c r="AE4" s="1321"/>
      <c r="AF4" s="1322"/>
      <c r="AG4" s="805"/>
      <c r="AH4" s="371"/>
      <c r="AI4" s="1323" t="s">
        <v>488</v>
      </c>
      <c r="AJ4" s="1324"/>
      <c r="AK4" s="1324"/>
      <c r="AL4" s="1324"/>
      <c r="AM4" s="1324"/>
      <c r="AN4" s="1324"/>
      <c r="AO4" s="1324"/>
      <c r="AP4" s="1325"/>
      <c r="AQ4" s="926"/>
      <c r="AR4" s="472"/>
      <c r="AS4" s="1326" t="s">
        <v>488</v>
      </c>
      <c r="AT4" s="1327"/>
      <c r="AU4" s="1327"/>
      <c r="AV4" s="1327"/>
      <c r="AW4" s="1327"/>
      <c r="AX4" s="1327"/>
      <c r="AY4" s="1327"/>
      <c r="AZ4" s="1328"/>
      <c r="BA4" s="1185"/>
      <c r="BB4" s="1210"/>
    </row>
    <row r="5" spans="1:54" ht="18.399999999999999" customHeight="1" thickBot="1" x14ac:dyDescent="0.3">
      <c r="A5" s="26"/>
      <c r="B5" s="25"/>
      <c r="C5" s="273" t="str">
        <f>'(INTERNAL) Basic Entry '!$C$9&amp;" Pricing Analysis"</f>
        <v>CORE &amp; DIGITAL Pricing Analysis</v>
      </c>
      <c r="D5" s="605"/>
      <c r="E5" s="605"/>
      <c r="F5" s="605"/>
      <c r="G5" s="605"/>
      <c r="H5" s="224">
        <v>0.02</v>
      </c>
      <c r="J5" s="223">
        <v>4.6699999999999998E-2</v>
      </c>
      <c r="K5" s="227">
        <v>4.8000000000000001E-2</v>
      </c>
      <c r="L5" s="227">
        <v>0.05</v>
      </c>
      <c r="M5" s="230">
        <v>4.6699999999999998E-2</v>
      </c>
      <c r="N5" s="1332" t="str">
        <f>'(INTERNAL) Basic Entry '!$B$14</f>
        <v>Baseline from Current Invoices</v>
      </c>
      <c r="O5" s="1333"/>
      <c r="P5" s="1333"/>
      <c r="Q5" s="1333"/>
      <c r="R5" s="1333"/>
      <c r="S5" s="1333"/>
      <c r="T5" s="1333"/>
      <c r="U5" s="1333"/>
      <c r="V5" s="1334"/>
      <c r="W5" s="525"/>
      <c r="X5" s="1335" t="str">
        <f>'(INTERNAL) Basic Entry '!F19</f>
        <v>Proposal Dated 12/13/2023</v>
      </c>
      <c r="Y5" s="1336"/>
      <c r="Z5" s="1336"/>
      <c r="AA5" s="1336"/>
      <c r="AB5" s="1336"/>
      <c r="AC5" s="1336"/>
      <c r="AD5" s="1336"/>
      <c r="AE5" s="1336"/>
      <c r="AF5" s="1337"/>
      <c r="AG5" s="806"/>
      <c r="AH5" s="372"/>
      <c r="AI5" s="1338" t="str">
        <f>'(INTERNAL) Basic Entry '!F21</f>
        <v>Proposal Dated 12/13/2023</v>
      </c>
      <c r="AJ5" s="1339"/>
      <c r="AK5" s="1339"/>
      <c r="AL5" s="1339"/>
      <c r="AM5" s="1339"/>
      <c r="AN5" s="1339"/>
      <c r="AO5" s="1339"/>
      <c r="AP5" s="1340"/>
      <c r="AQ5" s="927"/>
      <c r="AR5" s="471"/>
      <c r="AS5" s="1309" t="s">
        <v>489</v>
      </c>
      <c r="AT5" s="1310"/>
      <c r="AU5" s="1310"/>
      <c r="AV5" s="1310"/>
      <c r="AW5" s="1310"/>
      <c r="AX5" s="1310"/>
      <c r="AY5" s="1310"/>
      <c r="AZ5" s="1311"/>
      <c r="BA5" s="1186"/>
      <c r="BB5" s="1211"/>
    </row>
    <row r="6" spans="1:54" s="494" customFormat="1" ht="56.25" x14ac:dyDescent="0.3">
      <c r="A6" s="101"/>
      <c r="B6" s="101" t="s">
        <v>34</v>
      </c>
      <c r="C6" s="101" t="s">
        <v>35</v>
      </c>
      <c r="D6" s="603" t="s">
        <v>36</v>
      </c>
      <c r="E6" s="603" t="s">
        <v>37</v>
      </c>
      <c r="F6" s="603" t="s">
        <v>38</v>
      </c>
      <c r="G6" s="603" t="s">
        <v>39</v>
      </c>
      <c r="H6" s="359" t="s">
        <v>40</v>
      </c>
      <c r="I6" s="1058" t="s">
        <v>41</v>
      </c>
      <c r="J6" s="217" t="s">
        <v>42</v>
      </c>
      <c r="K6" s="217" t="s">
        <v>43</v>
      </c>
      <c r="L6" s="217" t="s">
        <v>44</v>
      </c>
      <c r="M6" s="217" t="s">
        <v>45</v>
      </c>
      <c r="N6" s="29" t="s">
        <v>46</v>
      </c>
      <c r="O6" s="359" t="s">
        <v>47</v>
      </c>
      <c r="P6" s="754"/>
      <c r="Q6" s="30" t="s">
        <v>48</v>
      </c>
      <c r="R6" s="30" t="s">
        <v>49</v>
      </c>
      <c r="S6" s="30" t="s">
        <v>50</v>
      </c>
      <c r="T6" s="30" t="s">
        <v>51</v>
      </c>
      <c r="U6" s="30" t="s">
        <v>52</v>
      </c>
      <c r="V6" s="208" t="s">
        <v>53</v>
      </c>
      <c r="W6" s="526" t="s">
        <v>54</v>
      </c>
      <c r="X6" s="235" t="s">
        <v>55</v>
      </c>
      <c r="Y6" s="323" t="s">
        <v>47</v>
      </c>
      <c r="Z6" s="772"/>
      <c r="AA6" s="31" t="s">
        <v>48</v>
      </c>
      <c r="AB6" s="31" t="s">
        <v>49</v>
      </c>
      <c r="AC6" s="31" t="s">
        <v>50</v>
      </c>
      <c r="AD6" s="31" t="s">
        <v>51</v>
      </c>
      <c r="AE6" s="31" t="s">
        <v>52</v>
      </c>
      <c r="AF6" s="122" t="s">
        <v>58</v>
      </c>
      <c r="AG6" s="807" t="s">
        <v>59</v>
      </c>
      <c r="AH6" s="373" t="s">
        <v>54</v>
      </c>
      <c r="AI6" s="32" t="s">
        <v>55</v>
      </c>
      <c r="AJ6" s="254" t="s">
        <v>47</v>
      </c>
      <c r="AK6" s="33" t="s">
        <v>48</v>
      </c>
      <c r="AL6" s="33" t="s">
        <v>49</v>
      </c>
      <c r="AM6" s="33" t="s">
        <v>50</v>
      </c>
      <c r="AN6" s="33" t="s">
        <v>51</v>
      </c>
      <c r="AO6" s="33" t="s">
        <v>52</v>
      </c>
      <c r="AP6" s="157" t="s">
        <v>58</v>
      </c>
      <c r="AQ6" s="928" t="s">
        <v>490</v>
      </c>
      <c r="AR6" s="33" t="s">
        <v>54</v>
      </c>
      <c r="AS6" s="236" t="s">
        <v>55</v>
      </c>
      <c r="AT6" s="236" t="s">
        <v>47</v>
      </c>
      <c r="AU6" s="37" t="s">
        <v>48</v>
      </c>
      <c r="AV6" s="37" t="s">
        <v>49</v>
      </c>
      <c r="AW6" s="37" t="s">
        <v>50</v>
      </c>
      <c r="AX6" s="37" t="s">
        <v>51</v>
      </c>
      <c r="AY6" s="37" t="s">
        <v>52</v>
      </c>
      <c r="AZ6" s="164" t="s">
        <v>58</v>
      </c>
      <c r="BA6" s="1198" t="s">
        <v>490</v>
      </c>
      <c r="BB6" s="354" t="s">
        <v>54</v>
      </c>
    </row>
    <row r="7" spans="1:54" ht="3.75" customHeight="1" x14ac:dyDescent="0.25">
      <c r="A7" s="607"/>
      <c r="B7" s="16"/>
      <c r="C7" s="263"/>
      <c r="D7" s="607"/>
      <c r="E7" s="607"/>
      <c r="F7" s="607"/>
      <c r="G7" s="607"/>
      <c r="H7" s="16"/>
      <c r="I7" s="18"/>
      <c r="J7" s="18"/>
      <c r="K7" s="18"/>
      <c r="L7" s="18"/>
      <c r="M7" s="18"/>
      <c r="N7" s="16"/>
      <c r="O7" s="19"/>
      <c r="P7" s="755"/>
      <c r="Q7" s="17"/>
      <c r="R7" s="17"/>
      <c r="S7" s="17"/>
      <c r="T7" s="17"/>
      <c r="U7" s="17"/>
      <c r="V7" s="17"/>
      <c r="W7" s="21"/>
      <c r="X7" s="16"/>
      <c r="Y7" s="20"/>
      <c r="Z7" s="773"/>
      <c r="AA7" s="21"/>
      <c r="AB7" s="21"/>
      <c r="AC7" s="21"/>
      <c r="AD7" s="21"/>
      <c r="AE7" s="21"/>
      <c r="AF7" s="21"/>
      <c r="AG7" s="811"/>
      <c r="AH7" s="21"/>
      <c r="AI7" s="263"/>
      <c r="AJ7" s="20"/>
      <c r="AK7" s="21"/>
      <c r="AL7" s="21"/>
      <c r="AM7" s="21"/>
      <c r="AN7" s="21"/>
      <c r="AO7" s="21"/>
      <c r="AP7" s="21"/>
      <c r="AQ7" s="811"/>
      <c r="AR7" s="21"/>
      <c r="AS7" s="20"/>
      <c r="AT7" s="20"/>
      <c r="AU7" s="20"/>
      <c r="AV7" s="20"/>
      <c r="AW7" s="20"/>
      <c r="AX7" s="20"/>
      <c r="AY7" s="20"/>
      <c r="AZ7" s="22"/>
      <c r="BA7" s="1188"/>
      <c r="BB7" s="21"/>
    </row>
    <row r="8" spans="1:54" s="495" customFormat="1" x14ac:dyDescent="0.25">
      <c r="A8" s="445"/>
      <c r="B8" s="252" t="str">
        <f>C8</f>
        <v>DIGITAL BANKING:</v>
      </c>
      <c r="C8" s="242" t="s">
        <v>491</v>
      </c>
      <c r="D8" s="609"/>
      <c r="E8" s="609"/>
      <c r="F8" s="609"/>
      <c r="G8" s="609"/>
      <c r="H8" s="619"/>
      <c r="I8" s="243"/>
      <c r="J8" s="243"/>
      <c r="K8" s="243"/>
      <c r="L8" s="243"/>
      <c r="M8" s="244"/>
      <c r="N8" s="252" t="str">
        <f>IF(C8="","",C8)</f>
        <v>DIGITAL BANKING:</v>
      </c>
      <c r="O8" s="243"/>
      <c r="P8" s="756"/>
      <c r="Q8" s="243"/>
      <c r="R8" s="243"/>
      <c r="S8" s="243"/>
      <c r="T8" s="243"/>
      <c r="U8" s="244"/>
      <c r="V8" s="209"/>
      <c r="W8" s="527"/>
      <c r="X8" s="252" t="str">
        <f>C8 &amp; " [DIGITAL ONE SERVICE]"</f>
        <v>DIGITAL BANKING: [DIGITAL ONE SERVICE]</v>
      </c>
      <c r="Y8" s="243"/>
      <c r="Z8" s="756"/>
      <c r="AA8" s="243"/>
      <c r="AB8" s="243"/>
      <c r="AC8" s="243"/>
      <c r="AD8" s="243"/>
      <c r="AE8" s="244"/>
      <c r="AF8" s="123"/>
      <c r="AG8" s="812"/>
      <c r="AH8" s="808"/>
      <c r="AI8" s="252" t="str">
        <f>C8</f>
        <v>DIGITAL BANKING:</v>
      </c>
      <c r="AJ8" s="243"/>
      <c r="AK8" s="243"/>
      <c r="AL8" s="243"/>
      <c r="AM8" s="243"/>
      <c r="AN8" s="243"/>
      <c r="AO8" s="244"/>
      <c r="AP8" s="158"/>
      <c r="AQ8" s="812"/>
      <c r="AR8" s="812"/>
      <c r="AS8" s="252" t="s">
        <v>491</v>
      </c>
      <c r="AT8" s="243"/>
      <c r="AU8" s="243"/>
      <c r="AV8" s="243"/>
      <c r="AW8" s="243"/>
      <c r="AX8" s="243"/>
      <c r="AY8" s="244"/>
      <c r="AZ8" s="165"/>
      <c r="BA8" s="812"/>
      <c r="BB8" s="1212"/>
    </row>
    <row r="9" spans="1:54" s="495" customFormat="1" x14ac:dyDescent="0.25">
      <c r="A9" s="787"/>
      <c r="B9" s="620" t="s">
        <v>492</v>
      </c>
      <c r="C9" s="632" t="s">
        <v>493</v>
      </c>
      <c r="D9" s="604">
        <v>11107</v>
      </c>
      <c r="E9" s="604">
        <v>11010</v>
      </c>
      <c r="F9" s="604">
        <v>10923</v>
      </c>
      <c r="G9" s="604"/>
      <c r="H9" s="618">
        <v>12000</v>
      </c>
      <c r="I9" s="127">
        <f t="shared" ref="I9:I30" si="0">H9*12</f>
        <v>144000</v>
      </c>
      <c r="J9" s="127">
        <f t="shared" ref="J9:M30" si="1">IF(I9&gt;12,(((I9)*$H$5)+I9),(I9*1))</f>
        <v>146880</v>
      </c>
      <c r="K9" s="127">
        <f t="shared" si="1"/>
        <v>149817.60000000001</v>
      </c>
      <c r="L9" s="127">
        <f t="shared" si="1"/>
        <v>152813.95200000002</v>
      </c>
      <c r="M9" s="127">
        <f t="shared" si="1"/>
        <v>155870.23104000001</v>
      </c>
      <c r="N9" s="245" t="str">
        <f>IF(C9="","",C9)</f>
        <v>Retail Banking Module</v>
      </c>
      <c r="O9" s="688">
        <v>1.5554223</v>
      </c>
      <c r="P9" s="757">
        <f t="shared" ref="P9:P57" si="2">Q9/12</f>
        <v>18665.067599999998</v>
      </c>
      <c r="Q9" s="129">
        <f>IF(O9&gt;0,PRODUCT(I9,$O9),0)</f>
        <v>223980.8112</v>
      </c>
      <c r="R9" s="129">
        <f>IF(Q9&gt;0,PRODUCT(J9,$O9),0)</f>
        <v>228460.42742399999</v>
      </c>
      <c r="S9" s="129">
        <f>IF(R9&gt;0,PRODUCT(K9,$O9),0)</f>
        <v>233029.63597248003</v>
      </c>
      <c r="T9" s="129">
        <f>IF(S9&gt;0,PRODUCT(L9,$O9),0)</f>
        <v>237690.22869192963</v>
      </c>
      <c r="U9" s="129">
        <f>IF(T9&gt;0,PRODUCT(M9,$O9),0)</f>
        <v>242444.03326576823</v>
      </c>
      <c r="V9" s="209">
        <f>SUM(Q9:U9)</f>
        <v>1165605.1365541779</v>
      </c>
      <c r="W9" s="528"/>
      <c r="X9" s="222"/>
      <c r="Y9" s="324"/>
      <c r="Z9" s="774">
        <f t="shared" ref="Z9:Z57" si="3">AA9/12</f>
        <v>0</v>
      </c>
      <c r="AA9" s="103">
        <f>IF(Y9&gt;0,PRODUCT(#REF!,$Y9),0)</f>
        <v>0</v>
      </c>
      <c r="AB9" s="103">
        <f>IF(AA9&gt;0,PRODUCT(#REF!,$Y9),0)</f>
        <v>0</v>
      </c>
      <c r="AC9" s="103">
        <f>IF(AB9&gt;0,PRODUCT(#REF!,$Y9),0)</f>
        <v>0</v>
      </c>
      <c r="AD9" s="103">
        <f>IF(AC9&gt;0,PRODUCT(#REF!,$Y9),0)</f>
        <v>0</v>
      </c>
      <c r="AE9" s="103">
        <f>IF(AD9&gt;0,PRODUCT(#REF!,$Y9),0)</f>
        <v>0</v>
      </c>
      <c r="AF9" s="123">
        <f t="shared" ref="AF9:AF32" si="4">SUM(AA9:AE9)</f>
        <v>0</v>
      </c>
      <c r="AG9" s="813"/>
      <c r="AH9" s="818" t="s">
        <v>494</v>
      </c>
      <c r="AI9" s="625"/>
      <c r="AJ9" s="626"/>
      <c r="AK9" s="627"/>
      <c r="AL9" s="627"/>
      <c r="AM9" s="627"/>
      <c r="AN9" s="627"/>
      <c r="AO9" s="627"/>
      <c r="AP9" s="158"/>
      <c r="AQ9" s="931"/>
      <c r="AR9" s="486"/>
      <c r="AS9" s="106"/>
      <c r="AT9" s="1207"/>
      <c r="AU9" s="108">
        <f t="shared" ref="AU9" si="5">IF(AT9&gt;0,PRODUCT(I9,$AT9),0)</f>
        <v>0</v>
      </c>
      <c r="AV9" s="108">
        <f t="shared" ref="AV9" si="6">IF(AU9&gt;0,PRODUCT(J9,$AT9),0)</f>
        <v>0</v>
      </c>
      <c r="AW9" s="108">
        <f t="shared" ref="AW9" si="7">IF(AV9&gt;0,PRODUCT(K9,$AT9),0)</f>
        <v>0</v>
      </c>
      <c r="AX9" s="108">
        <f t="shared" ref="AX9" si="8">IF(AW9&gt;0,PRODUCT(L9,$AT9),0)</f>
        <v>0</v>
      </c>
      <c r="AY9" s="108">
        <f t="shared" ref="AY9" si="9">IF(AX9&gt;0,PRODUCT(M9,$AT9),0)</f>
        <v>0</v>
      </c>
      <c r="AZ9" s="165">
        <f t="shared" ref="AZ9" si="10">SUM(AU9:AY9)</f>
        <v>0</v>
      </c>
      <c r="BA9" s="1189"/>
      <c r="BB9" s="1213"/>
    </row>
    <row r="10" spans="1:54" s="495" customFormat="1" x14ac:dyDescent="0.25">
      <c r="A10" s="804"/>
      <c r="B10" s="620" t="s">
        <v>492</v>
      </c>
      <c r="C10" s="310" t="s">
        <v>495</v>
      </c>
      <c r="D10" s="604"/>
      <c r="E10" s="604"/>
      <c r="F10" s="604"/>
      <c r="G10" s="604"/>
      <c r="H10" s="618">
        <f>H30</f>
        <v>10082.666666666666</v>
      </c>
      <c r="I10" s="127">
        <f t="shared" si="0"/>
        <v>120992</v>
      </c>
      <c r="J10" s="127">
        <f t="shared" si="1"/>
        <v>123411.84</v>
      </c>
      <c r="K10" s="127">
        <f t="shared" si="1"/>
        <v>125880.0768</v>
      </c>
      <c r="L10" s="127">
        <f t="shared" si="1"/>
        <v>128397.678336</v>
      </c>
      <c r="M10" s="127">
        <f t="shared" si="1"/>
        <v>130965.63190271999</v>
      </c>
      <c r="N10" s="245"/>
      <c r="O10" s="586"/>
      <c r="P10" s="757">
        <f t="shared" si="2"/>
        <v>0</v>
      </c>
      <c r="Q10" s="129"/>
      <c r="R10" s="129"/>
      <c r="S10" s="129"/>
      <c r="T10" s="129"/>
      <c r="U10" s="129"/>
      <c r="V10" s="209"/>
      <c r="W10" s="528"/>
      <c r="X10" s="222" t="str">
        <f>C10</f>
        <v>D1 Retail (Devices)</v>
      </c>
      <c r="Y10" s="325">
        <v>2.4700000000000002</v>
      </c>
      <c r="Z10" s="774">
        <f t="shared" si="3"/>
        <v>24904.186666666672</v>
      </c>
      <c r="AA10" s="103">
        <f t="shared" ref="AA10:AA32" si="11">IF(Y10&gt;0,PRODUCT(I10,$Y10),0)</f>
        <v>298850.24000000005</v>
      </c>
      <c r="AB10" s="103">
        <f t="shared" ref="AB10:AB32" si="12">IF(AA10&gt;0,PRODUCT(J10,$Y10),0)</f>
        <v>304827.24480000004</v>
      </c>
      <c r="AC10" s="103">
        <f t="shared" ref="AC10:AC32" si="13">IF(AB10&gt;0,PRODUCT(K10,$Y10),0)</f>
        <v>310923.78969599999</v>
      </c>
      <c r="AD10" s="103">
        <f t="shared" ref="AD10:AD32" si="14">IF(AC10&gt;0,PRODUCT(L10,$Y10),0)</f>
        <v>317142.26548992004</v>
      </c>
      <c r="AE10" s="103">
        <f t="shared" ref="AE10:AE32" si="15">IF(AD10&gt;0,PRODUCT(M10,$Y10),0)</f>
        <v>323485.11079971842</v>
      </c>
      <c r="AF10" s="123">
        <f t="shared" si="4"/>
        <v>1555228.6507856385</v>
      </c>
      <c r="AG10" s="813" t="s">
        <v>496</v>
      </c>
      <c r="AH10" s="370"/>
      <c r="AI10" s="221"/>
      <c r="AJ10" s="255"/>
      <c r="AK10" s="105">
        <f t="shared" ref="AK10:AK32" si="16">IF(AJ10&gt;0,PRODUCT(I10,$AJ10),0)</f>
        <v>0</v>
      </c>
      <c r="AL10" s="105">
        <f t="shared" ref="AL10:AL32" si="17">IF(AK10&gt;0,PRODUCT(J10,$AJ10),0)</f>
        <v>0</v>
      </c>
      <c r="AM10" s="105">
        <f t="shared" ref="AM10:AM32" si="18">IF(AL10&gt;0,PRODUCT(K10,$AJ10),0)</f>
        <v>0</v>
      </c>
      <c r="AN10" s="105">
        <f t="shared" ref="AN10:AN32" si="19">IF(AM10&gt;0,PRODUCT(L10,$AJ10),0)</f>
        <v>0</v>
      </c>
      <c r="AO10" s="105">
        <f t="shared" ref="AO10:AO32" si="20">IF(AN10&gt;0,PRODUCT(M10,$AJ10),0)</f>
        <v>0</v>
      </c>
      <c r="AP10" s="158">
        <f t="shared" ref="AP10:AP32" si="21">SUM(AK10:AO10)</f>
        <v>0</v>
      </c>
      <c r="AQ10" s="930"/>
      <c r="AR10" s="473"/>
      <c r="AS10" s="106"/>
      <c r="AT10" s="1207"/>
      <c r="AU10" s="108">
        <f t="shared" ref="AU10" si="22">IF(AT10&gt;0,PRODUCT(I10,$AT10),0)</f>
        <v>0</v>
      </c>
      <c r="AV10" s="108">
        <f t="shared" ref="AV10" si="23">IF(AU10&gt;0,PRODUCT(J10,$AT10),0)</f>
        <v>0</v>
      </c>
      <c r="AW10" s="108">
        <f t="shared" ref="AW10" si="24">IF(AV10&gt;0,PRODUCT(K10,$AT10),0)</f>
        <v>0</v>
      </c>
      <c r="AX10" s="108">
        <f t="shared" ref="AX10" si="25">IF(AW10&gt;0,PRODUCT(L10,$AT10),0)</f>
        <v>0</v>
      </c>
      <c r="AY10" s="108">
        <f t="shared" ref="AY10" si="26">IF(AX10&gt;0,PRODUCT(M10,$AT10),0)</f>
        <v>0</v>
      </c>
      <c r="AZ10" s="165">
        <f t="shared" ref="AZ10:AZ73" si="27">SUM(AU10:AY10)</f>
        <v>0</v>
      </c>
      <c r="BA10" s="1190"/>
      <c r="BB10" s="1214"/>
    </row>
    <row r="11" spans="1:54" s="495" customFormat="1" x14ac:dyDescent="0.25">
      <c r="A11" s="890"/>
      <c r="B11" s="620" t="s">
        <v>492</v>
      </c>
      <c r="C11" s="310" t="s">
        <v>497</v>
      </c>
      <c r="D11" s="604"/>
      <c r="E11" s="604"/>
      <c r="F11" s="604"/>
      <c r="G11" s="604"/>
      <c r="H11" s="618">
        <v>12000</v>
      </c>
      <c r="I11" s="1059">
        <f t="shared" ref="I11" si="28">H11*12</f>
        <v>144000</v>
      </c>
      <c r="J11" s="1059">
        <f t="shared" si="1"/>
        <v>146880</v>
      </c>
      <c r="K11" s="1059">
        <f t="shared" si="1"/>
        <v>149817.60000000001</v>
      </c>
      <c r="L11" s="1059">
        <f t="shared" si="1"/>
        <v>152813.95200000002</v>
      </c>
      <c r="M11" s="1059">
        <f t="shared" si="1"/>
        <v>155870.23104000001</v>
      </c>
      <c r="N11" s="245"/>
      <c r="O11" s="586"/>
      <c r="P11" s="757">
        <f t="shared" ref="P11" si="29">Q11/12</f>
        <v>0</v>
      </c>
      <c r="Q11" s="129"/>
      <c r="R11" s="129"/>
      <c r="S11" s="129"/>
      <c r="T11" s="129"/>
      <c r="U11" s="129"/>
      <c r="V11" s="209"/>
      <c r="W11" s="528"/>
      <c r="X11" s="222"/>
      <c r="Y11" s="325"/>
      <c r="Z11" s="774">
        <f t="shared" ref="Z11" si="30">AA11/12</f>
        <v>0</v>
      </c>
      <c r="AA11" s="103">
        <f t="shared" ref="AA11" si="31">IF(Y11&gt;0,PRODUCT(I11,$Y11),0)</f>
        <v>0</v>
      </c>
      <c r="AB11" s="103">
        <f t="shared" ref="AB11" si="32">IF(AA11&gt;0,PRODUCT(J11,$Y11),0)</f>
        <v>0</v>
      </c>
      <c r="AC11" s="103">
        <f t="shared" ref="AC11" si="33">IF(AB11&gt;0,PRODUCT(K11,$Y11),0)</f>
        <v>0</v>
      </c>
      <c r="AD11" s="103">
        <f t="shared" ref="AD11" si="34">IF(AC11&gt;0,PRODUCT(L11,$Y11),0)</f>
        <v>0</v>
      </c>
      <c r="AE11" s="103">
        <f t="shared" ref="AE11" si="35">IF(AD11&gt;0,PRODUCT(M11,$Y11),0)</f>
        <v>0</v>
      </c>
      <c r="AF11" s="123">
        <f t="shared" ref="AF11" si="36">SUM(AA11:AE11)</f>
        <v>0</v>
      </c>
      <c r="AG11" s="813"/>
      <c r="AH11" s="370"/>
      <c r="AI11" s="221" t="str">
        <f>C11</f>
        <v>Consumer Banking [QTY CALCULATIONS]</v>
      </c>
      <c r="AJ11" s="255"/>
      <c r="AK11" s="105"/>
      <c r="AL11" s="105"/>
      <c r="AM11" s="105"/>
      <c r="AN11" s="105"/>
      <c r="AO11" s="105"/>
      <c r="AP11" s="158"/>
      <c r="AQ11" s="930"/>
      <c r="AR11" s="473"/>
      <c r="AS11" s="106" t="s">
        <v>497</v>
      </c>
      <c r="AT11" s="1207"/>
      <c r="AU11" s="108">
        <f t="shared" ref="AU11" si="37">IF(AT11&gt;0,PRODUCT(I11,$AT11),0)</f>
        <v>0</v>
      </c>
      <c r="AV11" s="108">
        <f t="shared" ref="AV11" si="38">IF(AU11&gt;0,PRODUCT(J11,$AT11),0)</f>
        <v>0</v>
      </c>
      <c r="AW11" s="108">
        <f t="shared" ref="AW11" si="39">IF(AV11&gt;0,PRODUCT(K11,$AT11),0)</f>
        <v>0</v>
      </c>
      <c r="AX11" s="108">
        <f t="shared" ref="AX11" si="40">IF(AW11&gt;0,PRODUCT(L11,$AT11),0)</f>
        <v>0</v>
      </c>
      <c r="AY11" s="108">
        <f t="shared" ref="AY11" si="41">IF(AX11&gt;0,PRODUCT(M11,$AT11),0)</f>
        <v>0</v>
      </c>
      <c r="AZ11" s="165">
        <f t="shared" si="27"/>
        <v>0</v>
      </c>
      <c r="BA11" s="1190"/>
      <c r="BB11" s="1214"/>
    </row>
    <row r="12" spans="1:54" s="495" customFormat="1" x14ac:dyDescent="0.25">
      <c r="A12" s="890"/>
      <c r="B12" s="620" t="s">
        <v>492</v>
      </c>
      <c r="C12" s="200" t="s">
        <v>498</v>
      </c>
      <c r="D12" s="604"/>
      <c r="E12" s="604"/>
      <c r="F12" s="604"/>
      <c r="G12" s="604"/>
      <c r="H12" s="699">
        <v>12000</v>
      </c>
      <c r="I12" s="127" cm="1">
        <f t="array" ref="I12">_xlfn.IFS(I11=($H12*12),($H12*12), I11&gt;($H12*12),$H12*12,I11&lt;($H12*12),0, I11=0,0)</f>
        <v>144000</v>
      </c>
      <c r="J12" s="127" cm="1">
        <f t="array" ref="J12">_xlfn.IFS(J11=($H12*12),($H12*12), J11&gt;($H12*12),$H12*12,J11&lt;($H12*12),0, J11=0,0)</f>
        <v>144000</v>
      </c>
      <c r="K12" s="127" cm="1">
        <f t="array" ref="K12">_xlfn.IFS(K11=($H12*12),($H12*12), K11&gt;($H12*12),$H12*12,K11&lt;($H12*12),0, K11=0,0)</f>
        <v>144000</v>
      </c>
      <c r="L12" s="127" cm="1">
        <f t="array" ref="L12">_xlfn.IFS(L11=($H12*12),($H12*12), L11&gt;($H12*12),$H12*12,L11&lt;($H12*12),0, L11=0,0)</f>
        <v>144000</v>
      </c>
      <c r="M12" s="127" cm="1">
        <f t="array" ref="M12">_xlfn.IFS(M11=($H12*12),($H12*12), M11&gt;($H12*12),$H12*12,M11&lt;($H12*12),0, M11=0,0)</f>
        <v>144000</v>
      </c>
      <c r="N12" s="245"/>
      <c r="O12" s="586"/>
      <c r="P12" s="757">
        <f t="shared" si="2"/>
        <v>0</v>
      </c>
      <c r="Q12" s="129"/>
      <c r="R12" s="129"/>
      <c r="S12" s="129"/>
      <c r="T12" s="129"/>
      <c r="U12" s="129"/>
      <c r="V12" s="209"/>
      <c r="W12" s="528"/>
      <c r="X12" s="222"/>
      <c r="Y12" s="325"/>
      <c r="Z12" s="774">
        <f t="shared" si="3"/>
        <v>0</v>
      </c>
      <c r="AA12" s="103">
        <f t="shared" si="11"/>
        <v>0</v>
      </c>
      <c r="AB12" s="103">
        <f t="shared" si="12"/>
        <v>0</v>
      </c>
      <c r="AC12" s="103">
        <f t="shared" si="13"/>
        <v>0</v>
      </c>
      <c r="AD12" s="103">
        <f t="shared" si="14"/>
        <v>0</v>
      </c>
      <c r="AE12" s="103">
        <f t="shared" si="15"/>
        <v>0</v>
      </c>
      <c r="AF12" s="123">
        <f t="shared" si="4"/>
        <v>0</v>
      </c>
      <c r="AG12" s="813"/>
      <c r="AH12" s="370"/>
      <c r="AI12" s="221" t="str">
        <f>C12</f>
        <v>Consumer Banking - Includes 12k Consumer Banking End Users</v>
      </c>
      <c r="AJ12" s="255">
        <v>1</v>
      </c>
      <c r="AK12" s="105">
        <f>IF(AJ12&gt;0,PRODUCT(I12,$AJ12),0)</f>
        <v>144000</v>
      </c>
      <c r="AL12" s="105">
        <f t="shared" si="17"/>
        <v>144000</v>
      </c>
      <c r="AM12" s="105">
        <f t="shared" si="18"/>
        <v>144000</v>
      </c>
      <c r="AN12" s="105">
        <f t="shared" si="19"/>
        <v>144000</v>
      </c>
      <c r="AO12" s="105">
        <f t="shared" si="20"/>
        <v>144000</v>
      </c>
      <c r="AP12" s="158">
        <f t="shared" si="21"/>
        <v>720000</v>
      </c>
      <c r="AQ12" s="930">
        <v>40000</v>
      </c>
      <c r="AR12" s="473"/>
      <c r="AS12" s="1181" t="s">
        <v>498</v>
      </c>
      <c r="AT12" s="1207">
        <v>1</v>
      </c>
      <c r="AU12" s="108">
        <f>IF($AT12&gt;0,PRODUCT(I12,$AT12),0)</f>
        <v>144000</v>
      </c>
      <c r="AV12" s="108">
        <f t="shared" ref="AV12:AY12" si="42">IF($AT12&gt;0,PRODUCT(J12,$AT12),0)</f>
        <v>144000</v>
      </c>
      <c r="AW12" s="108">
        <f t="shared" si="42"/>
        <v>144000</v>
      </c>
      <c r="AX12" s="108">
        <f t="shared" si="42"/>
        <v>144000</v>
      </c>
      <c r="AY12" s="108">
        <f t="shared" si="42"/>
        <v>144000</v>
      </c>
      <c r="AZ12" s="165">
        <f t="shared" si="27"/>
        <v>720000</v>
      </c>
      <c r="BA12" s="1190">
        <v>40000</v>
      </c>
      <c r="BB12" s="1214"/>
    </row>
    <row r="13" spans="1:54" s="495" customFormat="1" x14ac:dyDescent="0.25">
      <c r="A13" s="890"/>
      <c r="B13" s="620" t="s">
        <v>492</v>
      </c>
      <c r="C13" s="200" t="s">
        <v>499</v>
      </c>
      <c r="D13" s="604"/>
      <c r="E13" s="604"/>
      <c r="F13" s="604"/>
      <c r="G13" s="604"/>
      <c r="H13" s="699">
        <v>0</v>
      </c>
      <c r="I13" s="127">
        <f>I11-I12</f>
        <v>0</v>
      </c>
      <c r="J13" s="127">
        <f t="shared" ref="J13:M13" si="43">J11-J12</f>
        <v>2880</v>
      </c>
      <c r="K13" s="127">
        <f t="shared" si="43"/>
        <v>5817.6000000000058</v>
      </c>
      <c r="L13" s="127">
        <f t="shared" si="43"/>
        <v>8813.9520000000193</v>
      </c>
      <c r="M13" s="127">
        <f t="shared" si="43"/>
        <v>11870.231040000013</v>
      </c>
      <c r="N13" s="245"/>
      <c r="O13" s="586"/>
      <c r="P13" s="757">
        <f t="shared" si="2"/>
        <v>0</v>
      </c>
      <c r="Q13" s="129"/>
      <c r="R13" s="129"/>
      <c r="S13" s="129"/>
      <c r="T13" s="129"/>
      <c r="U13" s="129"/>
      <c r="V13" s="209"/>
      <c r="W13" s="528"/>
      <c r="X13" s="222"/>
      <c r="Y13" s="325"/>
      <c r="Z13" s="774">
        <f t="shared" si="3"/>
        <v>0</v>
      </c>
      <c r="AA13" s="103">
        <f t="shared" si="11"/>
        <v>0</v>
      </c>
      <c r="AB13" s="103">
        <f t="shared" si="12"/>
        <v>0</v>
      </c>
      <c r="AC13" s="103">
        <f t="shared" si="13"/>
        <v>0</v>
      </c>
      <c r="AD13" s="103">
        <f t="shared" si="14"/>
        <v>0</v>
      </c>
      <c r="AE13" s="103">
        <f t="shared" si="15"/>
        <v>0</v>
      </c>
      <c r="AF13" s="123">
        <f t="shared" si="4"/>
        <v>0</v>
      </c>
      <c r="AG13" s="813"/>
      <c r="AH13" s="370"/>
      <c r="AI13" s="880" t="str">
        <f>C13</f>
        <v>Consumer Banking - Beyond 12k Consumer Banking End Users</v>
      </c>
      <c r="AJ13" s="255">
        <v>1</v>
      </c>
      <c r="AK13" s="105">
        <f>IF($AJ13&gt;0,PRODUCT(I13,$AJ13),0)</f>
        <v>0</v>
      </c>
      <c r="AL13" s="105">
        <f t="shared" ref="AL13:AO13" si="44">IF($AJ13&gt;0,PRODUCT(J13,$AJ13),0)</f>
        <v>2880</v>
      </c>
      <c r="AM13" s="105">
        <f t="shared" si="44"/>
        <v>5817.6000000000058</v>
      </c>
      <c r="AN13" s="105">
        <f t="shared" si="44"/>
        <v>8813.9520000000193</v>
      </c>
      <c r="AO13" s="105">
        <f t="shared" si="44"/>
        <v>11870.231040000013</v>
      </c>
      <c r="AP13" s="158">
        <f t="shared" si="21"/>
        <v>29381.783040000038</v>
      </c>
      <c r="AQ13" s="930"/>
      <c r="AR13" s="473"/>
      <c r="AS13" s="1181" t="s">
        <v>499</v>
      </c>
      <c r="AT13" s="1207">
        <v>0.8</v>
      </c>
      <c r="AU13" s="108">
        <f t="shared" ref="AU13:AU57" si="45">IF($AT13&gt;0,PRODUCT(I13,$AT13),0)</f>
        <v>0</v>
      </c>
      <c r="AV13" s="108">
        <f t="shared" ref="AV13:AV57" si="46">IF($AT13&gt;0,PRODUCT(J13,$AT13),0)</f>
        <v>2304</v>
      </c>
      <c r="AW13" s="108">
        <f t="shared" ref="AW13:AW57" si="47">IF($AT13&gt;0,PRODUCT(K13,$AT13),0)</f>
        <v>4654.0800000000045</v>
      </c>
      <c r="AX13" s="108">
        <f t="shared" ref="AX13:AX57" si="48">IF($AT13&gt;0,PRODUCT(L13,$AT13),0)</f>
        <v>7051.1616000000158</v>
      </c>
      <c r="AY13" s="108">
        <f t="shared" ref="AY13:AY57" si="49">IF($AT13&gt;0,PRODUCT(M13,$AT13),0)</f>
        <v>9496.1848320000117</v>
      </c>
      <c r="AZ13" s="165">
        <f t="shared" si="27"/>
        <v>23505.426432000029</v>
      </c>
      <c r="BA13" s="1190"/>
      <c r="BB13" s="1214"/>
    </row>
    <row r="14" spans="1:54" s="495" customFormat="1" x14ac:dyDescent="0.25">
      <c r="A14" s="890"/>
      <c r="B14" s="620" t="s">
        <v>492</v>
      </c>
      <c r="C14" s="310" t="s">
        <v>500</v>
      </c>
      <c r="D14" s="604"/>
      <c r="E14" s="604"/>
      <c r="F14" s="604"/>
      <c r="G14" s="604"/>
      <c r="H14" s="618">
        <v>0</v>
      </c>
      <c r="I14" s="127">
        <f t="shared" si="0"/>
        <v>0</v>
      </c>
      <c r="J14" s="127">
        <f t="shared" si="1"/>
        <v>0</v>
      </c>
      <c r="K14" s="127">
        <f t="shared" si="1"/>
        <v>0</v>
      </c>
      <c r="L14" s="127">
        <f t="shared" si="1"/>
        <v>0</v>
      </c>
      <c r="M14" s="127">
        <f t="shared" si="1"/>
        <v>0</v>
      </c>
      <c r="N14" s="245"/>
      <c r="O14" s="586"/>
      <c r="P14" s="757">
        <f t="shared" si="2"/>
        <v>0</v>
      </c>
      <c r="Q14" s="129"/>
      <c r="R14" s="129"/>
      <c r="S14" s="129"/>
      <c r="T14" s="129"/>
      <c r="U14" s="129"/>
      <c r="V14" s="209"/>
      <c r="W14" s="528"/>
      <c r="X14" s="222"/>
      <c r="Y14" s="325"/>
      <c r="Z14" s="774">
        <f t="shared" si="3"/>
        <v>0</v>
      </c>
      <c r="AA14" s="103">
        <f t="shared" si="11"/>
        <v>0</v>
      </c>
      <c r="AB14" s="103">
        <f t="shared" si="12"/>
        <v>0</v>
      </c>
      <c r="AC14" s="103">
        <f t="shared" si="13"/>
        <v>0</v>
      </c>
      <c r="AD14" s="103">
        <f t="shared" si="14"/>
        <v>0</v>
      </c>
      <c r="AE14" s="103">
        <f t="shared" si="15"/>
        <v>0</v>
      </c>
      <c r="AF14" s="123">
        <f t="shared" si="4"/>
        <v>0</v>
      </c>
      <c r="AG14" s="813"/>
      <c r="AH14" s="370"/>
      <c r="AI14" s="880" t="str">
        <f>C14</f>
        <v>Data Migration from Legacy Retail Online Banking Provider - FIS Online Banking</v>
      </c>
      <c r="AJ14" s="255">
        <v>0</v>
      </c>
      <c r="AK14" s="105">
        <f t="shared" si="16"/>
        <v>0</v>
      </c>
      <c r="AL14" s="105">
        <f t="shared" si="17"/>
        <v>0</v>
      </c>
      <c r="AM14" s="105">
        <f t="shared" si="18"/>
        <v>0</v>
      </c>
      <c r="AN14" s="105">
        <f t="shared" si="19"/>
        <v>0</v>
      </c>
      <c r="AO14" s="105">
        <f t="shared" si="20"/>
        <v>0</v>
      </c>
      <c r="AP14" s="158">
        <f t="shared" si="21"/>
        <v>0</v>
      </c>
      <c r="AQ14" s="930"/>
      <c r="AR14" s="473"/>
      <c r="AS14" s="106" t="s">
        <v>500</v>
      </c>
      <c r="AT14" s="1207">
        <v>0</v>
      </c>
      <c r="AU14" s="108">
        <f t="shared" si="45"/>
        <v>0</v>
      </c>
      <c r="AV14" s="108">
        <f t="shared" si="46"/>
        <v>0</v>
      </c>
      <c r="AW14" s="108">
        <f t="shared" si="47"/>
        <v>0</v>
      </c>
      <c r="AX14" s="108">
        <f t="shared" si="48"/>
        <v>0</v>
      </c>
      <c r="AY14" s="108">
        <f t="shared" si="49"/>
        <v>0</v>
      </c>
      <c r="AZ14" s="165">
        <f t="shared" si="27"/>
        <v>0</v>
      </c>
      <c r="BA14" s="1190"/>
      <c r="BB14" s="1214"/>
    </row>
    <row r="15" spans="1:54" s="495" customFormat="1" x14ac:dyDescent="0.25">
      <c r="A15" s="445"/>
      <c r="B15" s="623"/>
      <c r="C15" s="310"/>
      <c r="D15" s="604"/>
      <c r="E15" s="604"/>
      <c r="F15" s="604"/>
      <c r="G15" s="604"/>
      <c r="H15" s="618"/>
      <c r="I15" s="127">
        <f t="shared" si="0"/>
        <v>0</v>
      </c>
      <c r="J15" s="127">
        <f t="shared" si="1"/>
        <v>0</v>
      </c>
      <c r="K15" s="127">
        <f t="shared" si="1"/>
        <v>0</v>
      </c>
      <c r="L15" s="127">
        <f t="shared" si="1"/>
        <v>0</v>
      </c>
      <c r="M15" s="127">
        <f t="shared" si="1"/>
        <v>0</v>
      </c>
      <c r="N15" s="245"/>
      <c r="O15" s="586"/>
      <c r="P15" s="757">
        <f t="shared" si="2"/>
        <v>0</v>
      </c>
      <c r="Q15" s="129"/>
      <c r="R15" s="129"/>
      <c r="S15" s="129"/>
      <c r="T15" s="129"/>
      <c r="U15" s="129"/>
      <c r="V15" s="209"/>
      <c r="W15" s="528"/>
      <c r="X15" s="222"/>
      <c r="Y15" s="325"/>
      <c r="Z15" s="774">
        <f t="shared" si="3"/>
        <v>0</v>
      </c>
      <c r="AA15" s="103">
        <f t="shared" si="11"/>
        <v>0</v>
      </c>
      <c r="AB15" s="103">
        <f t="shared" si="12"/>
        <v>0</v>
      </c>
      <c r="AC15" s="103">
        <f t="shared" si="13"/>
        <v>0</v>
      </c>
      <c r="AD15" s="103">
        <f t="shared" si="14"/>
        <v>0</v>
      </c>
      <c r="AE15" s="103">
        <f t="shared" si="15"/>
        <v>0</v>
      </c>
      <c r="AF15" s="123">
        <f t="shared" si="4"/>
        <v>0</v>
      </c>
      <c r="AG15" s="813"/>
      <c r="AH15" s="370"/>
      <c r="AI15" s="221"/>
      <c r="AJ15" s="255"/>
      <c r="AK15" s="105">
        <f t="shared" si="16"/>
        <v>0</v>
      </c>
      <c r="AL15" s="105">
        <f t="shared" si="17"/>
        <v>0</v>
      </c>
      <c r="AM15" s="105">
        <f t="shared" si="18"/>
        <v>0</v>
      </c>
      <c r="AN15" s="105">
        <f t="shared" si="19"/>
        <v>0</v>
      </c>
      <c r="AO15" s="105">
        <f t="shared" si="20"/>
        <v>0</v>
      </c>
      <c r="AP15" s="158">
        <f t="shared" si="21"/>
        <v>0</v>
      </c>
      <c r="AQ15" s="930"/>
      <c r="AR15" s="473"/>
      <c r="AS15" s="106"/>
      <c r="AT15" s="1207"/>
      <c r="AU15" s="108">
        <f t="shared" si="45"/>
        <v>0</v>
      </c>
      <c r="AV15" s="108">
        <f t="shared" si="46"/>
        <v>0</v>
      </c>
      <c r="AW15" s="108">
        <f t="shared" si="47"/>
        <v>0</v>
      </c>
      <c r="AX15" s="108">
        <f t="shared" si="48"/>
        <v>0</v>
      </c>
      <c r="AY15" s="108">
        <f t="shared" si="49"/>
        <v>0</v>
      </c>
      <c r="AZ15" s="165">
        <f t="shared" si="27"/>
        <v>0</v>
      </c>
      <c r="BA15" s="1190"/>
      <c r="BB15" s="1214"/>
    </row>
    <row r="16" spans="1:54" s="495" customFormat="1" x14ac:dyDescent="0.25">
      <c r="A16" s="890"/>
      <c r="B16" s="623" t="s">
        <v>501</v>
      </c>
      <c r="C16" s="310" t="s">
        <v>502</v>
      </c>
      <c r="D16" s="604"/>
      <c r="E16" s="604"/>
      <c r="F16" s="604"/>
      <c r="G16" s="604"/>
      <c r="H16" s="618">
        <v>2400</v>
      </c>
      <c r="I16" s="1059">
        <f t="shared" ref="I16" si="50">H16*12</f>
        <v>28800</v>
      </c>
      <c r="J16" s="1059">
        <f t="shared" si="1"/>
        <v>29376</v>
      </c>
      <c r="K16" s="1059">
        <f t="shared" si="1"/>
        <v>29963.52</v>
      </c>
      <c r="L16" s="1059">
        <f t="shared" si="1"/>
        <v>30562.790400000002</v>
      </c>
      <c r="M16" s="1059">
        <f t="shared" si="1"/>
        <v>31174.046208000003</v>
      </c>
      <c r="N16" s="245"/>
      <c r="O16" s="586"/>
      <c r="P16" s="757">
        <f t="shared" ref="P16" si="51">Q16/12</f>
        <v>0</v>
      </c>
      <c r="Q16" s="129"/>
      <c r="R16" s="129"/>
      <c r="S16" s="129"/>
      <c r="T16" s="129"/>
      <c r="U16" s="129"/>
      <c r="V16" s="209"/>
      <c r="W16" s="528"/>
      <c r="X16" s="222"/>
      <c r="Y16" s="325"/>
      <c r="Z16" s="774">
        <f t="shared" ref="Z16" si="52">AA16/12</f>
        <v>0</v>
      </c>
      <c r="AA16" s="103">
        <f t="shared" ref="AA16" si="53">IF(Y16&gt;0,PRODUCT(I16,$Y16),0)</f>
        <v>0</v>
      </c>
      <c r="AB16" s="103">
        <f t="shared" ref="AB16" si="54">IF(AA16&gt;0,PRODUCT(J16,$Y16),0)</f>
        <v>0</v>
      </c>
      <c r="AC16" s="103">
        <f t="shared" ref="AC16" si="55">IF(AB16&gt;0,PRODUCT(K16,$Y16),0)</f>
        <v>0</v>
      </c>
      <c r="AD16" s="103">
        <f t="shared" ref="AD16" si="56">IF(AC16&gt;0,PRODUCT(L16,$Y16),0)</f>
        <v>0</v>
      </c>
      <c r="AE16" s="103">
        <f t="shared" ref="AE16" si="57">IF(AD16&gt;0,PRODUCT(M16,$Y16),0)</f>
        <v>0</v>
      </c>
      <c r="AF16" s="123">
        <f t="shared" ref="AF16" si="58">SUM(AA16:AE16)</f>
        <v>0</v>
      </c>
      <c r="AG16" s="813"/>
      <c r="AH16" s="370"/>
      <c r="AI16" s="1148" t="str">
        <f t="shared" ref="AI16:AI21" si="59">C16</f>
        <v>Q2 Contextual PFM (Aggregation Separate) (CPFM) [QTY CALCULATIONS]</v>
      </c>
      <c r="AJ16" s="255"/>
      <c r="AK16" s="105"/>
      <c r="AL16" s="105"/>
      <c r="AM16" s="105"/>
      <c r="AN16" s="105"/>
      <c r="AO16" s="105"/>
      <c r="AP16" s="158"/>
      <c r="AQ16" s="930"/>
      <c r="AR16" s="473"/>
      <c r="AS16" s="106" t="s">
        <v>502</v>
      </c>
      <c r="AT16" s="1207"/>
      <c r="AU16" s="108">
        <f t="shared" si="45"/>
        <v>0</v>
      </c>
      <c r="AV16" s="108">
        <f t="shared" si="46"/>
        <v>0</v>
      </c>
      <c r="AW16" s="108">
        <f t="shared" si="47"/>
        <v>0</v>
      </c>
      <c r="AX16" s="108">
        <f t="shared" si="48"/>
        <v>0</v>
      </c>
      <c r="AY16" s="108">
        <f t="shared" si="49"/>
        <v>0</v>
      </c>
      <c r="AZ16" s="165">
        <f t="shared" si="27"/>
        <v>0</v>
      </c>
      <c r="BA16" s="1190"/>
      <c r="BB16" s="1214"/>
    </row>
    <row r="17" spans="1:54" s="495" customFormat="1" x14ac:dyDescent="0.25">
      <c r="A17" s="890"/>
      <c r="B17" s="623" t="s">
        <v>501</v>
      </c>
      <c r="C17" s="200" t="s">
        <v>503</v>
      </c>
      <c r="D17" s="604"/>
      <c r="E17" s="604"/>
      <c r="F17" s="604"/>
      <c r="G17" s="604"/>
      <c r="H17" s="699">
        <v>2400</v>
      </c>
      <c r="I17" s="127" cm="1">
        <f t="array" ref="I17">_xlfn.IFS(I16=($H17*12),($H17*12), I16&gt;($H17*12),$H17*12,I16&lt;($H17*12),0, I16=0,0)</f>
        <v>28800</v>
      </c>
      <c r="J17" s="127" cm="1">
        <f t="array" ref="J17">_xlfn.IFS(J16=($H17*12),($H17*12), J16&gt;($H17*12),$H17*12,J16&lt;($H17*12),0, J16=0,0)</f>
        <v>28800</v>
      </c>
      <c r="K17" s="127" cm="1">
        <f t="array" ref="K17">_xlfn.IFS(K16=($H17*12),($H17*12), K16&gt;($H17*12),$H17*12,K16&lt;($H17*12),0, K16=0,0)</f>
        <v>28800</v>
      </c>
      <c r="L17" s="127" cm="1">
        <f t="array" ref="L17">_xlfn.IFS(L16=($H17*12),($H17*12), L16&gt;($H17*12),$H17*12,L16&lt;($H17*12),0, L16=0,0)</f>
        <v>28800</v>
      </c>
      <c r="M17" s="127" cm="1">
        <f t="array" ref="M17">_xlfn.IFS(M16=($H17*12),($H17*12), M16&gt;($H17*12),$H17*12,M16&lt;($H17*12),0, M16=0,0)</f>
        <v>28800</v>
      </c>
      <c r="N17" s="245"/>
      <c r="O17" s="586"/>
      <c r="P17" s="757">
        <f t="shared" si="2"/>
        <v>0</v>
      </c>
      <c r="Q17" s="129"/>
      <c r="R17" s="129"/>
      <c r="S17" s="129"/>
      <c r="T17" s="129"/>
      <c r="U17" s="129"/>
      <c r="V17" s="209"/>
      <c r="W17" s="528"/>
      <c r="X17" s="222"/>
      <c r="Y17" s="325"/>
      <c r="Z17" s="774">
        <f t="shared" si="3"/>
        <v>0</v>
      </c>
      <c r="AA17" s="103">
        <f t="shared" si="11"/>
        <v>0</v>
      </c>
      <c r="AB17" s="103">
        <f t="shared" si="12"/>
        <v>0</v>
      </c>
      <c r="AC17" s="103">
        <f t="shared" si="13"/>
        <v>0</v>
      </c>
      <c r="AD17" s="103">
        <f t="shared" si="14"/>
        <v>0</v>
      </c>
      <c r="AE17" s="103">
        <f t="shared" si="15"/>
        <v>0</v>
      </c>
      <c r="AF17" s="123">
        <f t="shared" si="4"/>
        <v>0</v>
      </c>
      <c r="AG17" s="813"/>
      <c r="AH17" s="370"/>
      <c r="AI17" s="1149" t="str">
        <f t="shared" si="59"/>
        <v>Q2 Contextual PFM Includes 2,400 CPFM Users</v>
      </c>
      <c r="AJ17" s="255">
        <v>0.33</v>
      </c>
      <c r="AK17" s="105">
        <f t="shared" si="16"/>
        <v>9504</v>
      </c>
      <c r="AL17" s="105">
        <f t="shared" si="17"/>
        <v>9504</v>
      </c>
      <c r="AM17" s="105">
        <f t="shared" si="18"/>
        <v>9504</v>
      </c>
      <c r="AN17" s="105">
        <f t="shared" si="19"/>
        <v>9504</v>
      </c>
      <c r="AO17" s="105">
        <f t="shared" si="20"/>
        <v>9504</v>
      </c>
      <c r="AP17" s="158">
        <f t="shared" si="21"/>
        <v>47520</v>
      </c>
      <c r="AQ17" s="930">
        <v>12000</v>
      </c>
      <c r="AR17" s="473" t="s">
        <v>504</v>
      </c>
      <c r="AS17" s="1181" t="s">
        <v>505</v>
      </c>
      <c r="AT17" s="1207">
        <f>495/1000</f>
        <v>0.495</v>
      </c>
      <c r="AU17" s="108">
        <f t="shared" si="45"/>
        <v>14256</v>
      </c>
      <c r="AV17" s="108">
        <f t="shared" si="46"/>
        <v>14256</v>
      </c>
      <c r="AW17" s="108">
        <f t="shared" si="47"/>
        <v>14256</v>
      </c>
      <c r="AX17" s="108">
        <f t="shared" si="48"/>
        <v>14256</v>
      </c>
      <c r="AY17" s="108">
        <f t="shared" si="49"/>
        <v>14256</v>
      </c>
      <c r="AZ17" s="165">
        <f t="shared" si="27"/>
        <v>71280</v>
      </c>
      <c r="BA17" s="1190">
        <v>12000</v>
      </c>
      <c r="BB17" s="1214" t="s">
        <v>504</v>
      </c>
    </row>
    <row r="18" spans="1:54" s="495" customFormat="1" x14ac:dyDescent="0.25">
      <c r="A18" s="890"/>
      <c r="B18" s="620" t="s">
        <v>492</v>
      </c>
      <c r="C18" s="200" t="s">
        <v>506</v>
      </c>
      <c r="D18" s="604"/>
      <c r="E18" s="604"/>
      <c r="F18" s="604"/>
      <c r="G18" s="604"/>
      <c r="H18" s="699">
        <v>0</v>
      </c>
      <c r="I18" s="127">
        <f>I16-I17</f>
        <v>0</v>
      </c>
      <c r="J18" s="127">
        <f t="shared" ref="J18" si="60">J16-J17</f>
        <v>576</v>
      </c>
      <c r="K18" s="127">
        <f t="shared" ref="K18" si="61">K16-K17</f>
        <v>1163.5200000000004</v>
      </c>
      <c r="L18" s="127">
        <f t="shared" ref="L18" si="62">L16-L17</f>
        <v>1762.7904000000017</v>
      </c>
      <c r="M18" s="127">
        <f t="shared" ref="M18" si="63">M16-M17</f>
        <v>2374.0462080000034</v>
      </c>
      <c r="N18" s="245"/>
      <c r="O18" s="586"/>
      <c r="P18" s="757">
        <f t="shared" si="2"/>
        <v>0</v>
      </c>
      <c r="Q18" s="129"/>
      <c r="R18" s="129"/>
      <c r="S18" s="129"/>
      <c r="T18" s="129"/>
      <c r="U18" s="129"/>
      <c r="V18" s="209"/>
      <c r="W18" s="528"/>
      <c r="X18" s="222"/>
      <c r="Y18" s="325"/>
      <c r="Z18" s="774">
        <f t="shared" si="3"/>
        <v>0</v>
      </c>
      <c r="AA18" s="103">
        <f t="shared" si="11"/>
        <v>0</v>
      </c>
      <c r="AB18" s="103">
        <f t="shared" si="12"/>
        <v>0</v>
      </c>
      <c r="AC18" s="103">
        <f t="shared" si="13"/>
        <v>0</v>
      </c>
      <c r="AD18" s="103">
        <f t="shared" si="14"/>
        <v>0</v>
      </c>
      <c r="AE18" s="103">
        <f t="shared" si="15"/>
        <v>0</v>
      </c>
      <c r="AF18" s="123">
        <f t="shared" si="4"/>
        <v>0</v>
      </c>
      <c r="AG18" s="813"/>
      <c r="AH18" s="370"/>
      <c r="AI18" s="1149" t="str">
        <f t="shared" si="59"/>
        <v>Q2 Contextual PFM Beyond 2,400 CPFM Users</v>
      </c>
      <c r="AJ18" s="255">
        <v>0.33</v>
      </c>
      <c r="AK18" s="105">
        <f>IF($AJ18&gt;0,PRODUCT(I18,$AJ18),0)</f>
        <v>0</v>
      </c>
      <c r="AL18" s="105">
        <f t="shared" ref="AL18" si="64">IF($AJ18&gt;0,PRODUCT(J18,$AJ18),0)</f>
        <v>190.08</v>
      </c>
      <c r="AM18" s="105">
        <f t="shared" ref="AM18" si="65">IF($AJ18&gt;0,PRODUCT(K18,$AJ18),0)</f>
        <v>383.96160000000015</v>
      </c>
      <c r="AN18" s="105">
        <f t="shared" ref="AN18" si="66">IF($AJ18&gt;0,PRODUCT(L18,$AJ18),0)</f>
        <v>581.72083200000054</v>
      </c>
      <c r="AO18" s="105">
        <f t="shared" ref="AO18" si="67">IF($AJ18&gt;0,PRODUCT(M18,$AJ18),0)</f>
        <v>783.43524864000119</v>
      </c>
      <c r="AP18" s="158">
        <f t="shared" si="21"/>
        <v>1939.1976806400019</v>
      </c>
      <c r="AQ18" s="930"/>
      <c r="AR18" s="473" t="s">
        <v>504</v>
      </c>
      <c r="AS18" s="1181" t="s">
        <v>507</v>
      </c>
      <c r="AT18" s="1207">
        <v>0.5</v>
      </c>
      <c r="AU18" s="108">
        <f t="shared" si="45"/>
        <v>0</v>
      </c>
      <c r="AV18" s="108">
        <f t="shared" si="46"/>
        <v>288</v>
      </c>
      <c r="AW18" s="108">
        <f t="shared" si="47"/>
        <v>581.76000000000022</v>
      </c>
      <c r="AX18" s="108">
        <f t="shared" si="48"/>
        <v>881.39520000000084</v>
      </c>
      <c r="AY18" s="108">
        <f t="shared" si="49"/>
        <v>1187.0231040000017</v>
      </c>
      <c r="AZ18" s="165">
        <f t="shared" si="27"/>
        <v>2938.1783040000028</v>
      </c>
      <c r="BA18" s="1190"/>
      <c r="BB18" s="1214" t="s">
        <v>504</v>
      </c>
    </row>
    <row r="19" spans="1:54" s="495" customFormat="1" x14ac:dyDescent="0.25">
      <c r="A19" s="890"/>
      <c r="B19" s="623" t="s">
        <v>501</v>
      </c>
      <c r="C19" s="310" t="s">
        <v>508</v>
      </c>
      <c r="D19" s="604"/>
      <c r="E19" s="604"/>
      <c r="F19" s="604"/>
      <c r="G19" s="604"/>
      <c r="H19" s="618">
        <v>1200</v>
      </c>
      <c r="I19" s="1059">
        <f t="shared" ref="I19" si="68">H19*12</f>
        <v>14400</v>
      </c>
      <c r="J19" s="1059">
        <f t="shared" si="1"/>
        <v>14688</v>
      </c>
      <c r="K19" s="1059">
        <f t="shared" si="1"/>
        <v>14981.76</v>
      </c>
      <c r="L19" s="1059">
        <f t="shared" si="1"/>
        <v>15281.395200000001</v>
      </c>
      <c r="M19" s="1059">
        <f t="shared" si="1"/>
        <v>15587.023104000002</v>
      </c>
      <c r="N19" s="245"/>
      <c r="O19" s="586"/>
      <c r="P19" s="757">
        <f t="shared" ref="P19" si="69">Q19/12</f>
        <v>0</v>
      </c>
      <c r="Q19" s="129"/>
      <c r="R19" s="129"/>
      <c r="S19" s="129"/>
      <c r="T19" s="129"/>
      <c r="U19" s="129"/>
      <c r="V19" s="209"/>
      <c r="W19" s="528"/>
      <c r="X19" s="222"/>
      <c r="Y19" s="325"/>
      <c r="Z19" s="774">
        <f t="shared" ref="Z19" si="70">AA19/12</f>
        <v>0</v>
      </c>
      <c r="AA19" s="103">
        <f t="shared" ref="AA19" si="71">IF(Y19&gt;0,PRODUCT(I19,$Y19),0)</f>
        <v>0</v>
      </c>
      <c r="AB19" s="103">
        <f t="shared" ref="AB19" si="72">IF(AA19&gt;0,PRODUCT(J19,$Y19),0)</f>
        <v>0</v>
      </c>
      <c r="AC19" s="103">
        <f t="shared" ref="AC19" si="73">IF(AB19&gt;0,PRODUCT(K19,$Y19),0)</f>
        <v>0</v>
      </c>
      <c r="AD19" s="103">
        <f t="shared" ref="AD19" si="74">IF(AC19&gt;0,PRODUCT(L19,$Y19),0)</f>
        <v>0</v>
      </c>
      <c r="AE19" s="103">
        <f t="shared" ref="AE19" si="75">IF(AD19&gt;0,PRODUCT(M19,$Y19),0)</f>
        <v>0</v>
      </c>
      <c r="AF19" s="123">
        <f t="shared" ref="AF19" si="76">SUM(AA19:AE19)</f>
        <v>0</v>
      </c>
      <c r="AG19" s="813"/>
      <c r="AH19" s="370"/>
      <c r="AI19" s="1148" t="str">
        <f t="shared" si="59"/>
        <v>Q2 Contextual PFM - Monthly Aggregation Users [QTY CALCULATIONS]</v>
      </c>
      <c r="AJ19" s="255"/>
      <c r="AK19" s="105"/>
      <c r="AL19" s="105"/>
      <c r="AM19" s="105"/>
      <c r="AN19" s="105"/>
      <c r="AO19" s="105"/>
      <c r="AP19" s="158"/>
      <c r="AQ19" s="930"/>
      <c r="AR19" s="473"/>
      <c r="AS19" s="106" t="s">
        <v>508</v>
      </c>
      <c r="AT19" s="1207"/>
      <c r="AU19" s="108">
        <f t="shared" si="45"/>
        <v>0</v>
      </c>
      <c r="AV19" s="108">
        <f t="shared" si="46"/>
        <v>0</v>
      </c>
      <c r="AW19" s="108">
        <f t="shared" si="47"/>
        <v>0</v>
      </c>
      <c r="AX19" s="108">
        <f t="shared" si="48"/>
        <v>0</v>
      </c>
      <c r="AY19" s="108">
        <f t="shared" si="49"/>
        <v>0</v>
      </c>
      <c r="AZ19" s="165">
        <f t="shared" si="27"/>
        <v>0</v>
      </c>
      <c r="BA19" s="1190"/>
      <c r="BB19" s="1214"/>
    </row>
    <row r="20" spans="1:54" s="495" customFormat="1" x14ac:dyDescent="0.25">
      <c r="A20" s="890"/>
      <c r="B20" s="623" t="s">
        <v>501</v>
      </c>
      <c r="C20" s="200" t="s">
        <v>509</v>
      </c>
      <c r="D20" s="604"/>
      <c r="E20" s="604"/>
      <c r="F20" s="604"/>
      <c r="G20" s="604"/>
      <c r="H20" s="618">
        <v>1200</v>
      </c>
      <c r="I20" s="127" cm="1">
        <f t="array" ref="I20">_xlfn.IFS(I19=($H20*12),($H20*12), I19&gt;($H20*12),$H20*12,I19&lt;($H20*12),0, I19=0,0)</f>
        <v>14400</v>
      </c>
      <c r="J20" s="127" cm="1">
        <f t="array" ref="J20">_xlfn.IFS(J19=($H20*12),($H20*12), J19&gt;($H20*12),$H20*12,J19&lt;($H20*12),0, J19=0,0)</f>
        <v>14400</v>
      </c>
      <c r="K20" s="127" cm="1">
        <f t="array" ref="K20">_xlfn.IFS(K19=($H20*12),($H20*12), K19&gt;($H20*12),$H20*12,K19&lt;($H20*12),0, K19=0,0)</f>
        <v>14400</v>
      </c>
      <c r="L20" s="127" cm="1">
        <f t="array" ref="L20">_xlfn.IFS(L19=($H20*12),($H20*12), L19&gt;($H20*12),$H20*12,L19&lt;($H20*12),0, L19=0,0)</f>
        <v>14400</v>
      </c>
      <c r="M20" s="127" cm="1">
        <f t="array" ref="M20">_xlfn.IFS(M19=($H20*12),($H20*12), M19&gt;($H20*12),$H20*12,M19&lt;($H20*12),0, M19=0,0)</f>
        <v>14400</v>
      </c>
      <c r="N20" s="245"/>
      <c r="O20" s="586"/>
      <c r="P20" s="757">
        <f t="shared" si="2"/>
        <v>0</v>
      </c>
      <c r="Q20" s="129"/>
      <c r="R20" s="129"/>
      <c r="S20" s="129"/>
      <c r="T20" s="129"/>
      <c r="U20" s="129"/>
      <c r="V20" s="209"/>
      <c r="W20" s="528"/>
      <c r="X20" s="222"/>
      <c r="Y20" s="325"/>
      <c r="Z20" s="774">
        <f t="shared" si="3"/>
        <v>0</v>
      </c>
      <c r="AA20" s="103">
        <f t="shared" si="11"/>
        <v>0</v>
      </c>
      <c r="AB20" s="103">
        <f t="shared" si="12"/>
        <v>0</v>
      </c>
      <c r="AC20" s="103">
        <f t="shared" si="13"/>
        <v>0</v>
      </c>
      <c r="AD20" s="103">
        <f t="shared" si="14"/>
        <v>0</v>
      </c>
      <c r="AE20" s="103">
        <f t="shared" si="15"/>
        <v>0</v>
      </c>
      <c r="AF20" s="123">
        <f t="shared" si="4"/>
        <v>0</v>
      </c>
      <c r="AG20" s="813"/>
      <c r="AH20" s="370"/>
      <c r="AI20" s="1148" t="str">
        <f t="shared" si="59"/>
        <v>Q2 Contextual PFM Aggregation Includes 1,200 CPFM</v>
      </c>
      <c r="AJ20" s="255">
        <v>0.495</v>
      </c>
      <c r="AK20" s="105">
        <f t="shared" si="16"/>
        <v>7128</v>
      </c>
      <c r="AL20" s="105">
        <f t="shared" si="17"/>
        <v>7128</v>
      </c>
      <c r="AM20" s="105">
        <f t="shared" si="18"/>
        <v>7128</v>
      </c>
      <c r="AN20" s="105">
        <f t="shared" si="19"/>
        <v>7128</v>
      </c>
      <c r="AO20" s="105">
        <f t="shared" si="20"/>
        <v>7128</v>
      </c>
      <c r="AP20" s="158">
        <f t="shared" si="21"/>
        <v>35640</v>
      </c>
      <c r="AQ20" s="930">
        <v>0</v>
      </c>
      <c r="AR20" s="473" t="s">
        <v>504</v>
      </c>
      <c r="AS20" s="1181" t="s">
        <v>510</v>
      </c>
      <c r="AT20" s="1207">
        <f>248/500</f>
        <v>0.496</v>
      </c>
      <c r="AU20" s="108">
        <f t="shared" si="45"/>
        <v>7142.4</v>
      </c>
      <c r="AV20" s="108">
        <f t="shared" si="46"/>
        <v>7142.4</v>
      </c>
      <c r="AW20" s="108">
        <f t="shared" si="47"/>
        <v>7142.4</v>
      </c>
      <c r="AX20" s="108">
        <f t="shared" si="48"/>
        <v>7142.4</v>
      </c>
      <c r="AY20" s="108">
        <f t="shared" si="49"/>
        <v>7142.4</v>
      </c>
      <c r="AZ20" s="165">
        <f t="shared" si="27"/>
        <v>35712</v>
      </c>
      <c r="BA20" s="1190">
        <v>0</v>
      </c>
      <c r="BB20" s="1214" t="s">
        <v>504</v>
      </c>
    </row>
    <row r="21" spans="1:54" s="495" customFormat="1" x14ac:dyDescent="0.25">
      <c r="A21" s="890"/>
      <c r="B21" s="620" t="s">
        <v>492</v>
      </c>
      <c r="C21" s="200" t="s">
        <v>511</v>
      </c>
      <c r="D21" s="604"/>
      <c r="E21" s="604"/>
      <c r="F21" s="604"/>
      <c r="G21" s="604"/>
      <c r="H21" s="618">
        <v>0</v>
      </c>
      <c r="I21" s="127">
        <f>I19-I20</f>
        <v>0</v>
      </c>
      <c r="J21" s="127">
        <f t="shared" ref="J21" si="77">J19-J20</f>
        <v>288</v>
      </c>
      <c r="K21" s="127">
        <f t="shared" ref="K21" si="78">K19-K20</f>
        <v>581.76000000000022</v>
      </c>
      <c r="L21" s="127">
        <f t="shared" ref="L21" si="79">L19-L20</f>
        <v>881.39520000000084</v>
      </c>
      <c r="M21" s="127">
        <f t="shared" ref="M21" si="80">M19-M20</f>
        <v>1187.0231040000017</v>
      </c>
      <c r="N21" s="245"/>
      <c r="O21" s="586"/>
      <c r="P21" s="757">
        <f t="shared" si="2"/>
        <v>0</v>
      </c>
      <c r="Q21" s="129"/>
      <c r="R21" s="129"/>
      <c r="S21" s="129"/>
      <c r="T21" s="129"/>
      <c r="U21" s="129"/>
      <c r="V21" s="209"/>
      <c r="W21" s="528"/>
      <c r="X21" s="222"/>
      <c r="Y21" s="325"/>
      <c r="Z21" s="774">
        <f t="shared" si="3"/>
        <v>0</v>
      </c>
      <c r="AA21" s="103">
        <f t="shared" si="11"/>
        <v>0</v>
      </c>
      <c r="AB21" s="103">
        <f t="shared" si="12"/>
        <v>0</v>
      </c>
      <c r="AC21" s="103">
        <f t="shared" si="13"/>
        <v>0</v>
      </c>
      <c r="AD21" s="103">
        <f t="shared" si="14"/>
        <v>0</v>
      </c>
      <c r="AE21" s="103">
        <f t="shared" si="15"/>
        <v>0</v>
      </c>
      <c r="AF21" s="123">
        <f t="shared" si="4"/>
        <v>0</v>
      </c>
      <c r="AG21" s="813"/>
      <c r="AH21" s="370"/>
      <c r="AI21" s="1149" t="str">
        <f t="shared" si="59"/>
        <v>Q2 Contextual PFM Aggregation Beyond 1,200 CPFM</v>
      </c>
      <c r="AJ21" s="255">
        <v>0.5</v>
      </c>
      <c r="AK21" s="105">
        <f>IF($AJ21&gt;0,PRODUCT(I21,$AJ21),0)</f>
        <v>0</v>
      </c>
      <c r="AL21" s="105">
        <f t="shared" ref="AL21" si="81">IF($AJ21&gt;0,PRODUCT(J21,$AJ21),0)</f>
        <v>144</v>
      </c>
      <c r="AM21" s="105">
        <f t="shared" ref="AM21" si="82">IF($AJ21&gt;0,PRODUCT(K21,$AJ21),0)</f>
        <v>290.88000000000011</v>
      </c>
      <c r="AN21" s="105">
        <f t="shared" ref="AN21" si="83">IF($AJ21&gt;0,PRODUCT(L21,$AJ21),0)</f>
        <v>440.69760000000042</v>
      </c>
      <c r="AO21" s="105">
        <f t="shared" ref="AO21" si="84">IF($AJ21&gt;0,PRODUCT(M21,$AJ21),0)</f>
        <v>593.51155200000085</v>
      </c>
      <c r="AP21" s="158">
        <f t="shared" si="21"/>
        <v>1469.0891520000014</v>
      </c>
      <c r="AQ21" s="930"/>
      <c r="AR21" s="473" t="s">
        <v>504</v>
      </c>
      <c r="AS21" s="1181" t="s">
        <v>512</v>
      </c>
      <c r="AT21" s="1207">
        <v>0.5</v>
      </c>
      <c r="AU21" s="108">
        <f t="shared" si="45"/>
        <v>0</v>
      </c>
      <c r="AV21" s="108">
        <f t="shared" si="46"/>
        <v>144</v>
      </c>
      <c r="AW21" s="108">
        <f t="shared" si="47"/>
        <v>290.88000000000011</v>
      </c>
      <c r="AX21" s="108">
        <f t="shared" si="48"/>
        <v>440.69760000000042</v>
      </c>
      <c r="AY21" s="108">
        <f t="shared" si="49"/>
        <v>593.51155200000085</v>
      </c>
      <c r="AZ21" s="165">
        <f t="shared" si="27"/>
        <v>1469.0891520000014</v>
      </c>
      <c r="BA21" s="1190"/>
      <c r="BB21" s="1214" t="s">
        <v>504</v>
      </c>
    </row>
    <row r="22" spans="1:54" s="495" customFormat="1" x14ac:dyDescent="0.25">
      <c r="A22" s="445"/>
      <c r="B22" s="623"/>
      <c r="C22" s="310"/>
      <c r="D22" s="604"/>
      <c r="E22" s="604"/>
      <c r="F22" s="604"/>
      <c r="G22" s="604"/>
      <c r="H22" s="618"/>
      <c r="I22" s="127">
        <f t="shared" si="0"/>
        <v>0</v>
      </c>
      <c r="J22" s="127">
        <f t="shared" si="1"/>
        <v>0</v>
      </c>
      <c r="K22" s="127">
        <f t="shared" si="1"/>
        <v>0</v>
      </c>
      <c r="L22" s="127">
        <f t="shared" si="1"/>
        <v>0</v>
      </c>
      <c r="M22" s="127">
        <f t="shared" si="1"/>
        <v>0</v>
      </c>
      <c r="N22" s="245"/>
      <c r="O22" s="586"/>
      <c r="P22" s="757">
        <f t="shared" si="2"/>
        <v>0</v>
      </c>
      <c r="Q22" s="129"/>
      <c r="R22" s="129"/>
      <c r="S22" s="129"/>
      <c r="T22" s="129"/>
      <c r="U22" s="129"/>
      <c r="V22" s="209"/>
      <c r="W22" s="528"/>
      <c r="X22" s="222"/>
      <c r="Y22" s="325"/>
      <c r="Z22" s="774">
        <f t="shared" si="3"/>
        <v>0</v>
      </c>
      <c r="AA22" s="103">
        <f t="shared" si="11"/>
        <v>0</v>
      </c>
      <c r="AB22" s="103">
        <f t="shared" si="12"/>
        <v>0</v>
      </c>
      <c r="AC22" s="103">
        <f t="shared" si="13"/>
        <v>0</v>
      </c>
      <c r="AD22" s="103">
        <f t="shared" si="14"/>
        <v>0</v>
      </c>
      <c r="AE22" s="103">
        <f t="shared" si="15"/>
        <v>0</v>
      </c>
      <c r="AF22" s="123">
        <f t="shared" si="4"/>
        <v>0</v>
      </c>
      <c r="AG22" s="813"/>
      <c r="AH22" s="370"/>
      <c r="AI22" s="221"/>
      <c r="AJ22" s="255"/>
      <c r="AK22" s="105">
        <f t="shared" si="16"/>
        <v>0</v>
      </c>
      <c r="AL22" s="105">
        <f t="shared" si="17"/>
        <v>0</v>
      </c>
      <c r="AM22" s="105">
        <f t="shared" si="18"/>
        <v>0</v>
      </c>
      <c r="AN22" s="105">
        <f t="shared" si="19"/>
        <v>0</v>
      </c>
      <c r="AO22" s="105">
        <f t="shared" si="20"/>
        <v>0</v>
      </c>
      <c r="AP22" s="158">
        <f t="shared" si="21"/>
        <v>0</v>
      </c>
      <c r="AQ22" s="930"/>
      <c r="AR22" s="473"/>
      <c r="AS22" s="106"/>
      <c r="AT22" s="1207"/>
      <c r="AU22" s="108">
        <f t="shared" si="45"/>
        <v>0</v>
      </c>
      <c r="AV22" s="108">
        <f t="shared" si="46"/>
        <v>0</v>
      </c>
      <c r="AW22" s="108">
        <f t="shared" si="47"/>
        <v>0</v>
      </c>
      <c r="AX22" s="108">
        <f t="shared" si="48"/>
        <v>0</v>
      </c>
      <c r="AY22" s="108">
        <f t="shared" si="49"/>
        <v>0</v>
      </c>
      <c r="AZ22" s="165">
        <f t="shared" si="27"/>
        <v>0</v>
      </c>
      <c r="BA22" s="1190"/>
      <c r="BB22" s="1214"/>
    </row>
    <row r="23" spans="1:54" s="495" customFormat="1" x14ac:dyDescent="0.25">
      <c r="A23" s="804"/>
      <c r="B23" s="620" t="s">
        <v>513</v>
      </c>
      <c r="C23" s="310" t="s">
        <v>514</v>
      </c>
      <c r="D23" s="604"/>
      <c r="E23" s="604"/>
      <c r="F23" s="604"/>
      <c r="G23" s="604"/>
      <c r="H23" s="618">
        <v>308</v>
      </c>
      <c r="I23" s="127">
        <f t="shared" si="0"/>
        <v>3696</v>
      </c>
      <c r="J23" s="127">
        <f t="shared" si="1"/>
        <v>3769.92</v>
      </c>
      <c r="K23" s="127">
        <f t="shared" si="1"/>
        <v>3845.3184000000001</v>
      </c>
      <c r="L23" s="127">
        <f t="shared" si="1"/>
        <v>3922.224768</v>
      </c>
      <c r="M23" s="127">
        <f t="shared" si="1"/>
        <v>4000.6692633600001</v>
      </c>
      <c r="N23" s="245"/>
      <c r="O23" s="586"/>
      <c r="P23" s="757">
        <f t="shared" si="2"/>
        <v>0</v>
      </c>
      <c r="Q23" s="129"/>
      <c r="R23" s="129"/>
      <c r="S23" s="129"/>
      <c r="T23" s="129"/>
      <c r="U23" s="129"/>
      <c r="V23" s="209"/>
      <c r="W23" s="528"/>
      <c r="X23" s="222" t="str">
        <f>C23</f>
        <v>D1 Small Business</v>
      </c>
      <c r="Y23" s="325">
        <v>8.25</v>
      </c>
      <c r="Z23" s="774">
        <f t="shared" si="3"/>
        <v>2541</v>
      </c>
      <c r="AA23" s="103">
        <f t="shared" si="11"/>
        <v>30492</v>
      </c>
      <c r="AB23" s="103">
        <f t="shared" si="12"/>
        <v>31101.84</v>
      </c>
      <c r="AC23" s="103">
        <f t="shared" si="13"/>
        <v>31723.876800000002</v>
      </c>
      <c r="AD23" s="103">
        <f t="shared" si="14"/>
        <v>32358.354336</v>
      </c>
      <c r="AE23" s="103">
        <f t="shared" si="15"/>
        <v>33005.521422719998</v>
      </c>
      <c r="AF23" s="123">
        <f t="shared" si="4"/>
        <v>158681.59255872</v>
      </c>
      <c r="AG23" s="813" t="s">
        <v>496</v>
      </c>
      <c r="AH23" s="370"/>
      <c r="AI23" s="221"/>
      <c r="AJ23" s="255"/>
      <c r="AK23" s="105">
        <f t="shared" si="16"/>
        <v>0</v>
      </c>
      <c r="AL23" s="105">
        <f t="shared" si="17"/>
        <v>0</v>
      </c>
      <c r="AM23" s="105">
        <f t="shared" si="18"/>
        <v>0</v>
      </c>
      <c r="AN23" s="105">
        <f t="shared" si="19"/>
        <v>0</v>
      </c>
      <c r="AO23" s="105">
        <f t="shared" si="20"/>
        <v>0</v>
      </c>
      <c r="AP23" s="158">
        <f t="shared" si="21"/>
        <v>0</v>
      </c>
      <c r="AQ23" s="930"/>
      <c r="AR23" s="473"/>
      <c r="AS23" s="106"/>
      <c r="AT23" s="1207"/>
      <c r="AU23" s="108">
        <f t="shared" si="45"/>
        <v>0</v>
      </c>
      <c r="AV23" s="108">
        <f t="shared" si="46"/>
        <v>0</v>
      </c>
      <c r="AW23" s="108">
        <f t="shared" si="47"/>
        <v>0</v>
      </c>
      <c r="AX23" s="108">
        <f t="shared" si="48"/>
        <v>0</v>
      </c>
      <c r="AY23" s="108">
        <f t="shared" si="49"/>
        <v>0</v>
      </c>
      <c r="AZ23" s="165">
        <f t="shared" si="27"/>
        <v>0</v>
      </c>
      <c r="BA23" s="1190"/>
      <c r="BB23" s="1214"/>
    </row>
    <row r="24" spans="1:54" s="495" customFormat="1" x14ac:dyDescent="0.25">
      <c r="A24" s="804"/>
      <c r="B24" s="620" t="s">
        <v>513</v>
      </c>
      <c r="C24" s="310" t="s">
        <v>515</v>
      </c>
      <c r="D24" s="604"/>
      <c r="E24" s="604"/>
      <c r="F24" s="604"/>
      <c r="G24" s="604"/>
      <c r="H24" s="618">
        <v>126</v>
      </c>
      <c r="I24" s="127">
        <f t="shared" si="0"/>
        <v>1512</v>
      </c>
      <c r="J24" s="127">
        <f t="shared" si="1"/>
        <v>1542.24</v>
      </c>
      <c r="K24" s="127">
        <f t="shared" si="1"/>
        <v>1573.0848000000001</v>
      </c>
      <c r="L24" s="127">
        <f t="shared" si="1"/>
        <v>1604.5464960000002</v>
      </c>
      <c r="M24" s="127">
        <f t="shared" si="1"/>
        <v>1636.6374259200002</v>
      </c>
      <c r="N24" s="245"/>
      <c r="O24" s="586"/>
      <c r="P24" s="757">
        <f t="shared" si="2"/>
        <v>0</v>
      </c>
      <c r="Q24" s="129"/>
      <c r="R24" s="129"/>
      <c r="S24" s="129"/>
      <c r="T24" s="129"/>
      <c r="U24" s="129"/>
      <c r="V24" s="209"/>
      <c r="W24" s="528"/>
      <c r="X24" s="222" t="str">
        <f>C24</f>
        <v>D1 Small Business - ACH</v>
      </c>
      <c r="Y24" s="325">
        <v>7</v>
      </c>
      <c r="Z24" s="774">
        <f t="shared" si="3"/>
        <v>882</v>
      </c>
      <c r="AA24" s="103">
        <f t="shared" si="11"/>
        <v>10584</v>
      </c>
      <c r="AB24" s="103">
        <f t="shared" si="12"/>
        <v>10795.68</v>
      </c>
      <c r="AC24" s="103">
        <f t="shared" si="13"/>
        <v>11011.5936</v>
      </c>
      <c r="AD24" s="103">
        <f t="shared" si="14"/>
        <v>11231.825472</v>
      </c>
      <c r="AE24" s="103">
        <f t="shared" si="15"/>
        <v>11456.461981440001</v>
      </c>
      <c r="AF24" s="123">
        <f t="shared" si="4"/>
        <v>55079.561053439997</v>
      </c>
      <c r="AG24" s="813" t="s">
        <v>496</v>
      </c>
      <c r="AH24" s="370"/>
      <c r="AI24" s="221"/>
      <c r="AJ24" s="255"/>
      <c r="AK24" s="105">
        <f t="shared" si="16"/>
        <v>0</v>
      </c>
      <c r="AL24" s="105">
        <f t="shared" si="17"/>
        <v>0</v>
      </c>
      <c r="AM24" s="105">
        <f t="shared" si="18"/>
        <v>0</v>
      </c>
      <c r="AN24" s="105">
        <f t="shared" si="19"/>
        <v>0</v>
      </c>
      <c r="AO24" s="105">
        <f t="shared" si="20"/>
        <v>0</v>
      </c>
      <c r="AP24" s="158">
        <f t="shared" si="21"/>
        <v>0</v>
      </c>
      <c r="AQ24" s="930"/>
      <c r="AR24" s="473"/>
      <c r="AS24" s="106"/>
      <c r="AT24" s="1207"/>
      <c r="AU24" s="108">
        <f t="shared" si="45"/>
        <v>0</v>
      </c>
      <c r="AV24" s="108">
        <f t="shared" si="46"/>
        <v>0</v>
      </c>
      <c r="AW24" s="108">
        <f t="shared" si="47"/>
        <v>0</v>
      </c>
      <c r="AX24" s="108">
        <f t="shared" si="48"/>
        <v>0</v>
      </c>
      <c r="AY24" s="108">
        <f t="shared" si="49"/>
        <v>0</v>
      </c>
      <c r="AZ24" s="165">
        <f t="shared" si="27"/>
        <v>0</v>
      </c>
      <c r="BA24" s="1190"/>
      <c r="BB24" s="1214"/>
    </row>
    <row r="25" spans="1:54" s="495" customFormat="1" x14ac:dyDescent="0.25">
      <c r="A25" s="890"/>
      <c r="B25" s="620" t="s">
        <v>513</v>
      </c>
      <c r="C25" s="310" t="s">
        <v>516</v>
      </c>
      <c r="D25" s="604"/>
      <c r="E25" s="604"/>
      <c r="F25" s="604"/>
      <c r="G25" s="604"/>
      <c r="H25" s="618">
        <v>200</v>
      </c>
      <c r="I25" s="1059">
        <f t="shared" ref="I25" si="85">H25*12</f>
        <v>2400</v>
      </c>
      <c r="J25" s="1059">
        <f t="shared" si="1"/>
        <v>2448</v>
      </c>
      <c r="K25" s="1059">
        <f t="shared" si="1"/>
        <v>2496.96</v>
      </c>
      <c r="L25" s="1059">
        <f t="shared" si="1"/>
        <v>2546.8991999999998</v>
      </c>
      <c r="M25" s="1059">
        <f t="shared" si="1"/>
        <v>2597.837184</v>
      </c>
      <c r="N25" s="245"/>
      <c r="O25" s="586"/>
      <c r="P25" s="757">
        <f t="shared" ref="P25" si="86">Q25/12</f>
        <v>0</v>
      </c>
      <c r="Q25" s="129"/>
      <c r="R25" s="129"/>
      <c r="S25" s="129"/>
      <c r="T25" s="129"/>
      <c r="U25" s="129"/>
      <c r="V25" s="209"/>
      <c r="W25" s="528"/>
      <c r="X25" s="222"/>
      <c r="Y25" s="325"/>
      <c r="Z25" s="774">
        <f t="shared" ref="Z25" si="87">AA25/12</f>
        <v>0</v>
      </c>
      <c r="AA25" s="103">
        <f t="shared" ref="AA25" si="88">IF(Y25&gt;0,PRODUCT(I25,$Y25),0)</f>
        <v>0</v>
      </c>
      <c r="AB25" s="103">
        <f t="shared" ref="AB25" si="89">IF(AA25&gt;0,PRODUCT(J25,$Y25),0)</f>
        <v>0</v>
      </c>
      <c r="AC25" s="103">
        <f t="shared" ref="AC25" si="90">IF(AB25&gt;0,PRODUCT(K25,$Y25),0)</f>
        <v>0</v>
      </c>
      <c r="AD25" s="103">
        <f t="shared" ref="AD25" si="91">IF(AC25&gt;0,PRODUCT(L25,$Y25),0)</f>
        <v>0</v>
      </c>
      <c r="AE25" s="103">
        <f t="shared" ref="AE25" si="92">IF(AD25&gt;0,PRODUCT(M25,$Y25),0)</f>
        <v>0</v>
      </c>
      <c r="AF25" s="123">
        <f t="shared" ref="AF25" si="93">SUM(AA25:AE25)</f>
        <v>0</v>
      </c>
      <c r="AG25" s="813"/>
      <c r="AH25" s="370"/>
      <c r="AI25" s="221" t="str">
        <f>C25</f>
        <v>Small Business and Professional Pacakge[QTY CALCULATIONS]</v>
      </c>
      <c r="AJ25" s="255"/>
      <c r="AK25" s="105"/>
      <c r="AL25" s="105"/>
      <c r="AM25" s="105"/>
      <c r="AN25" s="105"/>
      <c r="AO25" s="105"/>
      <c r="AP25" s="158"/>
      <c r="AQ25" s="930"/>
      <c r="AR25" s="473"/>
      <c r="AS25" s="106" t="s">
        <v>516</v>
      </c>
      <c r="AT25" s="1207"/>
      <c r="AU25" s="108">
        <f t="shared" si="45"/>
        <v>0</v>
      </c>
      <c r="AV25" s="108">
        <f t="shared" si="46"/>
        <v>0</v>
      </c>
      <c r="AW25" s="108">
        <f t="shared" si="47"/>
        <v>0</v>
      </c>
      <c r="AX25" s="108">
        <f t="shared" si="48"/>
        <v>0</v>
      </c>
      <c r="AY25" s="108">
        <f t="shared" si="49"/>
        <v>0</v>
      </c>
      <c r="AZ25" s="165">
        <f t="shared" si="27"/>
        <v>0</v>
      </c>
      <c r="BA25" s="1190"/>
      <c r="BB25" s="1214"/>
    </row>
    <row r="26" spans="1:54" s="495" customFormat="1" x14ac:dyDescent="0.25">
      <c r="A26" s="890"/>
      <c r="B26" s="620" t="s">
        <v>513</v>
      </c>
      <c r="C26" s="200" t="s">
        <v>517</v>
      </c>
      <c r="D26" s="604"/>
      <c r="E26" s="604"/>
      <c r="F26" s="604"/>
      <c r="G26" s="604"/>
      <c r="H26" s="618">
        <v>200</v>
      </c>
      <c r="I26" s="127" cm="1">
        <f t="array" ref="I26">_xlfn.IFS(I25=($H26*12),($H26*12), I25&gt;($H26*12),$H26*12,I25&lt;($H26*12),0, I25=0,0)</f>
        <v>2400</v>
      </c>
      <c r="J26" s="127" cm="1">
        <f t="array" ref="J26">_xlfn.IFS(J25=($H26*12),($H26*12), J25&gt;($H26*12),$H26*12,J25&lt;($H26*12),0, J25=0,0)</f>
        <v>2400</v>
      </c>
      <c r="K26" s="127" cm="1">
        <f t="array" ref="K26">_xlfn.IFS(K25=($H26*12),($H26*12), K25&gt;($H26*12),$H26*12,K25&lt;($H26*12),0, K25=0,0)</f>
        <v>2400</v>
      </c>
      <c r="L26" s="127" cm="1">
        <f t="array" ref="L26">_xlfn.IFS(L25=($H26*12),($H26*12), L25&gt;($H26*12),$H26*12,L25&lt;($H26*12),0, L25=0,0)</f>
        <v>2400</v>
      </c>
      <c r="M26" s="127" cm="1">
        <f t="array" ref="M26">_xlfn.IFS(M25=($H26*12),($H26*12), M25&gt;($H26*12),$H26*12,M25&lt;($H26*12),0, M25=0,0)</f>
        <v>2400</v>
      </c>
      <c r="N26" s="245"/>
      <c r="O26" s="586"/>
      <c r="P26" s="757">
        <f t="shared" si="2"/>
        <v>0</v>
      </c>
      <c r="Q26" s="129"/>
      <c r="R26" s="129"/>
      <c r="S26" s="129"/>
      <c r="T26" s="129"/>
      <c r="U26" s="129"/>
      <c r="V26" s="209"/>
      <c r="W26" s="528"/>
      <c r="X26" s="222"/>
      <c r="Y26" s="325"/>
      <c r="Z26" s="774">
        <f t="shared" si="3"/>
        <v>0</v>
      </c>
      <c r="AA26" s="103">
        <f t="shared" si="11"/>
        <v>0</v>
      </c>
      <c r="AB26" s="103">
        <f t="shared" si="12"/>
        <v>0</v>
      </c>
      <c r="AC26" s="103">
        <f t="shared" si="13"/>
        <v>0</v>
      </c>
      <c r="AD26" s="103">
        <f t="shared" si="14"/>
        <v>0</v>
      </c>
      <c r="AE26" s="103">
        <f t="shared" si="15"/>
        <v>0</v>
      </c>
      <c r="AF26" s="123">
        <f t="shared" si="4"/>
        <v>0</v>
      </c>
      <c r="AG26" s="813"/>
      <c r="AH26" s="370"/>
      <c r="AI26" s="880" t="str">
        <f>C26</f>
        <v>Small Business and Professional Pacakge - Includes 200 Companies</v>
      </c>
      <c r="AJ26" s="255">
        <v>16.66</v>
      </c>
      <c r="AK26" s="105">
        <f t="shared" si="16"/>
        <v>39984</v>
      </c>
      <c r="AL26" s="105">
        <f t="shared" si="17"/>
        <v>39984</v>
      </c>
      <c r="AM26" s="105">
        <f t="shared" si="18"/>
        <v>39984</v>
      </c>
      <c r="AN26" s="105">
        <f t="shared" si="19"/>
        <v>39984</v>
      </c>
      <c r="AO26" s="105">
        <f t="shared" si="20"/>
        <v>39984</v>
      </c>
      <c r="AP26" s="158">
        <f t="shared" si="21"/>
        <v>199920</v>
      </c>
      <c r="AQ26" s="930">
        <v>10000</v>
      </c>
      <c r="AR26" s="473"/>
      <c r="AS26" s="1181" t="s">
        <v>517</v>
      </c>
      <c r="AT26" s="1207">
        <v>16.66</v>
      </c>
      <c r="AU26" s="108">
        <f t="shared" si="45"/>
        <v>39984</v>
      </c>
      <c r="AV26" s="108">
        <f t="shared" si="46"/>
        <v>39984</v>
      </c>
      <c r="AW26" s="108">
        <f t="shared" si="47"/>
        <v>39984</v>
      </c>
      <c r="AX26" s="108">
        <f t="shared" si="48"/>
        <v>39984</v>
      </c>
      <c r="AY26" s="108">
        <f t="shared" si="49"/>
        <v>39984</v>
      </c>
      <c r="AZ26" s="165">
        <f t="shared" si="27"/>
        <v>199920</v>
      </c>
      <c r="BA26" s="1190">
        <v>10000</v>
      </c>
      <c r="BB26" s="1214"/>
    </row>
    <row r="27" spans="1:54" s="495" customFormat="1" x14ac:dyDescent="0.25">
      <c r="A27" s="890"/>
      <c r="B27" s="620" t="s">
        <v>513</v>
      </c>
      <c r="C27" s="200" t="s">
        <v>518</v>
      </c>
      <c r="D27" s="604"/>
      <c r="E27" s="604"/>
      <c r="F27" s="604"/>
      <c r="G27" s="604"/>
      <c r="H27" s="618">
        <v>0</v>
      </c>
      <c r="I27" s="127">
        <f>I25-I26</f>
        <v>0</v>
      </c>
      <c r="J27" s="127">
        <f t="shared" ref="J27" si="94">J25-J26</f>
        <v>48</v>
      </c>
      <c r="K27" s="127">
        <f t="shared" ref="K27" si="95">K25-K26</f>
        <v>96.960000000000036</v>
      </c>
      <c r="L27" s="127">
        <f t="shared" ref="L27" si="96">L25-L26</f>
        <v>146.89919999999984</v>
      </c>
      <c r="M27" s="127">
        <f t="shared" ref="M27" si="97">M25-M26</f>
        <v>197.83718399999998</v>
      </c>
      <c r="N27" s="245"/>
      <c r="O27" s="586"/>
      <c r="P27" s="757">
        <f t="shared" si="2"/>
        <v>0</v>
      </c>
      <c r="Q27" s="129"/>
      <c r="R27" s="129"/>
      <c r="S27" s="129"/>
      <c r="T27" s="129"/>
      <c r="U27" s="129"/>
      <c r="V27" s="209"/>
      <c r="W27" s="528"/>
      <c r="X27" s="222"/>
      <c r="Y27" s="325"/>
      <c r="Z27" s="774">
        <f t="shared" si="3"/>
        <v>0</v>
      </c>
      <c r="AA27" s="103">
        <f t="shared" si="11"/>
        <v>0</v>
      </c>
      <c r="AB27" s="103">
        <f t="shared" si="12"/>
        <v>0</v>
      </c>
      <c r="AC27" s="103">
        <f t="shared" si="13"/>
        <v>0</v>
      </c>
      <c r="AD27" s="103">
        <f t="shared" si="14"/>
        <v>0</v>
      </c>
      <c r="AE27" s="103">
        <f t="shared" si="15"/>
        <v>0</v>
      </c>
      <c r="AF27" s="123">
        <f t="shared" si="4"/>
        <v>0</v>
      </c>
      <c r="AG27" s="813"/>
      <c r="AH27" s="370"/>
      <c r="AI27" s="880" t="str">
        <f>C27</f>
        <v>Small Business and Professional Pacakge - Beyond 200 Companies</v>
      </c>
      <c r="AJ27" s="255">
        <v>16.66</v>
      </c>
      <c r="AK27" s="105">
        <f>IF($AJ27&gt;0,PRODUCT(I27,$AJ27),0)</f>
        <v>0</v>
      </c>
      <c r="AL27" s="105">
        <f t="shared" ref="AL27" si="98">IF($AJ27&gt;0,PRODUCT(J27,$AJ27),0)</f>
        <v>799.68000000000006</v>
      </c>
      <c r="AM27" s="105">
        <f t="shared" ref="AM27" si="99">IF($AJ27&gt;0,PRODUCT(K27,$AJ27),0)</f>
        <v>1615.3536000000006</v>
      </c>
      <c r="AN27" s="105">
        <f t="shared" ref="AN27" si="100">IF($AJ27&gt;0,PRODUCT(L27,$AJ27),0)</f>
        <v>2447.3406719999971</v>
      </c>
      <c r="AO27" s="105">
        <f t="shared" ref="AO27" si="101">IF($AJ27&gt;0,PRODUCT(M27,$AJ27),0)</f>
        <v>3295.9674854399996</v>
      </c>
      <c r="AP27" s="158">
        <f t="shared" si="21"/>
        <v>8158.3417574399973</v>
      </c>
      <c r="AQ27" s="930"/>
      <c r="AR27" s="473"/>
      <c r="AS27" s="1181" t="s">
        <v>518</v>
      </c>
      <c r="AT27" s="1207">
        <v>15</v>
      </c>
      <c r="AU27" s="108">
        <f t="shared" si="45"/>
        <v>0</v>
      </c>
      <c r="AV27" s="108">
        <f t="shared" si="46"/>
        <v>720</v>
      </c>
      <c r="AW27" s="108">
        <f t="shared" si="47"/>
        <v>1454.4000000000005</v>
      </c>
      <c r="AX27" s="108">
        <f t="shared" si="48"/>
        <v>2203.4879999999976</v>
      </c>
      <c r="AY27" s="108">
        <f t="shared" si="49"/>
        <v>2967.5577599999997</v>
      </c>
      <c r="AZ27" s="165">
        <f t="shared" si="27"/>
        <v>7345.4457599999978</v>
      </c>
      <c r="BA27" s="1190"/>
      <c r="BB27" s="1214"/>
    </row>
    <row r="28" spans="1:54" s="495" customFormat="1" x14ac:dyDescent="0.25">
      <c r="A28" s="890"/>
      <c r="B28" s="620" t="s">
        <v>513</v>
      </c>
      <c r="C28" s="310" t="s">
        <v>519</v>
      </c>
      <c r="D28" s="604"/>
      <c r="E28" s="604"/>
      <c r="F28" s="604"/>
      <c r="G28" s="604"/>
      <c r="H28" s="618">
        <v>0</v>
      </c>
      <c r="I28" s="127">
        <f t="shared" si="0"/>
        <v>0</v>
      </c>
      <c r="J28" s="127">
        <f t="shared" si="1"/>
        <v>0</v>
      </c>
      <c r="K28" s="127">
        <f t="shared" si="1"/>
        <v>0</v>
      </c>
      <c r="L28" s="127">
        <f t="shared" si="1"/>
        <v>0</v>
      </c>
      <c r="M28" s="127">
        <f t="shared" si="1"/>
        <v>0</v>
      </c>
      <c r="N28" s="245"/>
      <c r="O28" s="586"/>
      <c r="P28" s="757">
        <f t="shared" si="2"/>
        <v>0</v>
      </c>
      <c r="Q28" s="129"/>
      <c r="R28" s="129"/>
      <c r="S28" s="129"/>
      <c r="T28" s="129"/>
      <c r="U28" s="129"/>
      <c r="V28" s="209"/>
      <c r="W28" s="528"/>
      <c r="X28" s="222"/>
      <c r="Y28" s="325"/>
      <c r="Z28" s="774">
        <f t="shared" si="3"/>
        <v>0</v>
      </c>
      <c r="AA28" s="103">
        <f t="shared" si="11"/>
        <v>0</v>
      </c>
      <c r="AB28" s="103">
        <f t="shared" si="12"/>
        <v>0</v>
      </c>
      <c r="AC28" s="103">
        <f t="shared" si="13"/>
        <v>0</v>
      </c>
      <c r="AD28" s="103">
        <f t="shared" si="14"/>
        <v>0</v>
      </c>
      <c r="AE28" s="103">
        <f t="shared" si="15"/>
        <v>0</v>
      </c>
      <c r="AF28" s="123">
        <f t="shared" si="4"/>
        <v>0</v>
      </c>
      <c r="AG28" s="813"/>
      <c r="AH28" s="370"/>
      <c r="AI28" s="1060" t="str">
        <f>C28</f>
        <v>Data Migration from Legacy Business Online Banking Provider - FIS Online Banking</v>
      </c>
      <c r="AJ28" s="255">
        <v>0</v>
      </c>
      <c r="AK28" s="105">
        <f t="shared" si="16"/>
        <v>0</v>
      </c>
      <c r="AL28" s="105">
        <f t="shared" si="17"/>
        <v>0</v>
      </c>
      <c r="AM28" s="105">
        <f t="shared" si="18"/>
        <v>0</v>
      </c>
      <c r="AN28" s="105">
        <f t="shared" si="19"/>
        <v>0</v>
      </c>
      <c r="AO28" s="105">
        <f t="shared" si="20"/>
        <v>0</v>
      </c>
      <c r="AP28" s="158">
        <f t="shared" si="21"/>
        <v>0</v>
      </c>
      <c r="AQ28" s="930"/>
      <c r="AR28" s="473"/>
      <c r="AS28" s="106" t="s">
        <v>519</v>
      </c>
      <c r="AT28" s="1207">
        <v>0</v>
      </c>
      <c r="AU28" s="108">
        <f t="shared" si="45"/>
        <v>0</v>
      </c>
      <c r="AV28" s="108">
        <f t="shared" si="46"/>
        <v>0</v>
      </c>
      <c r="AW28" s="108">
        <f t="shared" si="47"/>
        <v>0</v>
      </c>
      <c r="AX28" s="108">
        <f t="shared" si="48"/>
        <v>0</v>
      </c>
      <c r="AY28" s="108">
        <f t="shared" si="49"/>
        <v>0</v>
      </c>
      <c r="AZ28" s="165">
        <f t="shared" si="27"/>
        <v>0</v>
      </c>
      <c r="BA28" s="1190"/>
      <c r="BB28" s="1214"/>
    </row>
    <row r="29" spans="1:54" s="495" customFormat="1" x14ac:dyDescent="0.25">
      <c r="A29" s="445"/>
      <c r="B29" s="623"/>
      <c r="C29" s="310"/>
      <c r="D29" s="604"/>
      <c r="E29" s="604"/>
      <c r="F29" s="604"/>
      <c r="G29" s="604"/>
      <c r="H29" s="618"/>
      <c r="I29" s="127">
        <f t="shared" si="0"/>
        <v>0</v>
      </c>
      <c r="J29" s="127">
        <f t="shared" si="1"/>
        <v>0</v>
      </c>
      <c r="K29" s="127">
        <f t="shared" si="1"/>
        <v>0</v>
      </c>
      <c r="L29" s="127">
        <f t="shared" si="1"/>
        <v>0</v>
      </c>
      <c r="M29" s="127">
        <f t="shared" si="1"/>
        <v>0</v>
      </c>
      <c r="N29" s="245"/>
      <c r="O29" s="586"/>
      <c r="P29" s="757">
        <f t="shared" si="2"/>
        <v>0</v>
      </c>
      <c r="Q29" s="129"/>
      <c r="R29" s="129"/>
      <c r="S29" s="129"/>
      <c r="T29" s="129"/>
      <c r="U29" s="129"/>
      <c r="V29" s="209"/>
      <c r="W29" s="528"/>
      <c r="X29" s="222"/>
      <c r="Y29" s="325"/>
      <c r="Z29" s="774">
        <f t="shared" si="3"/>
        <v>0</v>
      </c>
      <c r="AA29" s="103">
        <f t="shared" si="11"/>
        <v>0</v>
      </c>
      <c r="AB29" s="103">
        <f t="shared" si="12"/>
        <v>0</v>
      </c>
      <c r="AC29" s="103">
        <f t="shared" si="13"/>
        <v>0</v>
      </c>
      <c r="AD29" s="103">
        <f t="shared" si="14"/>
        <v>0</v>
      </c>
      <c r="AE29" s="103">
        <f t="shared" si="15"/>
        <v>0</v>
      </c>
      <c r="AF29" s="123">
        <f t="shared" si="4"/>
        <v>0</v>
      </c>
      <c r="AG29" s="813"/>
      <c r="AH29" s="370"/>
      <c r="AI29" s="221"/>
      <c r="AJ29" s="255"/>
      <c r="AK29" s="105">
        <f t="shared" si="16"/>
        <v>0</v>
      </c>
      <c r="AL29" s="105">
        <f t="shared" si="17"/>
        <v>0</v>
      </c>
      <c r="AM29" s="105">
        <f t="shared" si="18"/>
        <v>0</v>
      </c>
      <c r="AN29" s="105">
        <f t="shared" si="19"/>
        <v>0</v>
      </c>
      <c r="AO29" s="105">
        <f t="shared" si="20"/>
        <v>0</v>
      </c>
      <c r="AP29" s="158">
        <f t="shared" si="21"/>
        <v>0</v>
      </c>
      <c r="AQ29" s="930"/>
      <c r="AR29" s="473"/>
      <c r="AS29" s="106"/>
      <c r="AT29" s="1207"/>
      <c r="AU29" s="108">
        <f t="shared" si="45"/>
        <v>0</v>
      </c>
      <c r="AV29" s="108">
        <f t="shared" si="46"/>
        <v>0</v>
      </c>
      <c r="AW29" s="108">
        <f t="shared" si="47"/>
        <v>0</v>
      </c>
      <c r="AX29" s="108">
        <f t="shared" si="48"/>
        <v>0</v>
      </c>
      <c r="AY29" s="108">
        <f t="shared" si="49"/>
        <v>0</v>
      </c>
      <c r="AZ29" s="165">
        <f t="shared" si="27"/>
        <v>0</v>
      </c>
      <c r="BA29" s="1190"/>
      <c r="BB29" s="1214"/>
    </row>
    <row r="30" spans="1:54" s="495" customFormat="1" x14ac:dyDescent="0.25">
      <c r="A30" s="787"/>
      <c r="B30" s="623" t="s">
        <v>441</v>
      </c>
      <c r="C30" s="492" t="s">
        <v>520</v>
      </c>
      <c r="D30" s="604">
        <v>10187</v>
      </c>
      <c r="E30" s="604">
        <v>10083</v>
      </c>
      <c r="F30" s="604">
        <v>9978</v>
      </c>
      <c r="G30" s="604"/>
      <c r="H30" s="618">
        <f>IFERROR(AVERAGE(D30:F30),0)</f>
        <v>10082.666666666666</v>
      </c>
      <c r="I30" s="1059">
        <f t="shared" si="0"/>
        <v>120992</v>
      </c>
      <c r="J30" s="1059">
        <f t="shared" si="1"/>
        <v>123411.84</v>
      </c>
      <c r="K30" s="1059">
        <f t="shared" si="1"/>
        <v>125880.0768</v>
      </c>
      <c r="L30" s="1059">
        <f t="shared" si="1"/>
        <v>128397.678336</v>
      </c>
      <c r="M30" s="1059">
        <f t="shared" si="1"/>
        <v>130965.63190271999</v>
      </c>
      <c r="N30" s="245" t="s">
        <v>521</v>
      </c>
      <c r="O30" s="247"/>
      <c r="P30" s="757">
        <f t="shared" si="2"/>
        <v>0</v>
      </c>
      <c r="Q30" s="129"/>
      <c r="R30" s="129"/>
      <c r="S30" s="129"/>
      <c r="T30" s="129"/>
      <c r="U30" s="129"/>
      <c r="V30" s="209"/>
      <c r="W30" s="528"/>
      <c r="X30" s="734" t="str">
        <f>"See item "&amp;"'"&amp; X10 &amp; "'"</f>
        <v>See item 'D1 Retail (Devices)'</v>
      </c>
      <c r="Y30" s="324"/>
      <c r="Z30" s="774">
        <f t="shared" si="3"/>
        <v>0</v>
      </c>
      <c r="AA30" s="103">
        <f t="shared" si="11"/>
        <v>0</v>
      </c>
      <c r="AB30" s="103">
        <f t="shared" si="12"/>
        <v>0</v>
      </c>
      <c r="AC30" s="103">
        <f t="shared" si="13"/>
        <v>0</v>
      </c>
      <c r="AD30" s="103">
        <f t="shared" si="14"/>
        <v>0</v>
      </c>
      <c r="AE30" s="103">
        <f t="shared" si="15"/>
        <v>0</v>
      </c>
      <c r="AF30" s="123">
        <f t="shared" si="4"/>
        <v>0</v>
      </c>
      <c r="AG30" s="813"/>
      <c r="AH30" s="370"/>
      <c r="AI30" s="272"/>
      <c r="AJ30" s="271"/>
      <c r="AK30" s="105">
        <f t="shared" si="16"/>
        <v>0</v>
      </c>
      <c r="AL30" s="105">
        <f t="shared" si="17"/>
        <v>0</v>
      </c>
      <c r="AM30" s="105">
        <f t="shared" si="18"/>
        <v>0</v>
      </c>
      <c r="AN30" s="105">
        <f t="shared" si="19"/>
        <v>0</v>
      </c>
      <c r="AO30" s="105">
        <f t="shared" si="20"/>
        <v>0</v>
      </c>
      <c r="AP30" s="158">
        <f t="shared" si="21"/>
        <v>0</v>
      </c>
      <c r="AQ30" s="930"/>
      <c r="AR30" s="473"/>
      <c r="AS30" s="106"/>
      <c r="AT30" s="1207"/>
      <c r="AU30" s="108">
        <f t="shared" si="45"/>
        <v>0</v>
      </c>
      <c r="AV30" s="108">
        <f t="shared" si="46"/>
        <v>0</v>
      </c>
      <c r="AW30" s="108">
        <f t="shared" si="47"/>
        <v>0</v>
      </c>
      <c r="AX30" s="108">
        <f t="shared" si="48"/>
        <v>0</v>
      </c>
      <c r="AY30" s="108">
        <f t="shared" si="49"/>
        <v>0</v>
      </c>
      <c r="AZ30" s="165">
        <f t="shared" si="27"/>
        <v>0</v>
      </c>
      <c r="BA30" s="1190"/>
      <c r="BB30" s="1214"/>
    </row>
    <row r="31" spans="1:54" s="495" customFormat="1" x14ac:dyDescent="0.25">
      <c r="A31" s="787"/>
      <c r="B31" s="623" t="s">
        <v>441</v>
      </c>
      <c r="C31" s="444" t="s">
        <v>522</v>
      </c>
      <c r="D31" s="604"/>
      <c r="E31" s="604"/>
      <c r="F31" s="604"/>
      <c r="G31" s="604"/>
      <c r="H31" s="699">
        <v>50000</v>
      </c>
      <c r="I31" s="127">
        <f>IF(I30&gt;($H31*12),$H31*12,I30)</f>
        <v>120992</v>
      </c>
      <c r="J31" s="127">
        <f>IF(J30&gt;($H31*12),$H31*12,J30)</f>
        <v>123411.84</v>
      </c>
      <c r="K31" s="127">
        <f>IF(K30&gt;($H31*12),$H31*12,K30)</f>
        <v>125880.0768</v>
      </c>
      <c r="L31" s="127">
        <f>IF(L30&gt;($H31*12),$H31*12,L30)</f>
        <v>128397.678336</v>
      </c>
      <c r="M31" s="127">
        <f>IF(M30&gt;($H31*12),$H31*12,M30)</f>
        <v>130965.63190271999</v>
      </c>
      <c r="N31" s="750" t="str">
        <f t="shared" ref="N31:N38" si="102">IF(C31="","",C31)</f>
        <v>Mobile Registered Devices Tier 1: Units 1 to 50,000</v>
      </c>
      <c r="O31" s="247">
        <v>1.34727</v>
      </c>
      <c r="P31" s="757">
        <f t="shared" si="2"/>
        <v>13584.07432</v>
      </c>
      <c r="Q31" s="129">
        <f t="shared" ref="Q31:Q36" si="103">IF(O31&gt;0,PRODUCT(I31,$O31),0)</f>
        <v>163008.89184</v>
      </c>
      <c r="R31" s="129">
        <f t="shared" ref="R31:U36" si="104">IF(Q31&gt;0,PRODUCT(J31,$O31),0)</f>
        <v>166269.06967679999</v>
      </c>
      <c r="S31" s="129">
        <f t="shared" si="104"/>
        <v>169594.45107033598</v>
      </c>
      <c r="T31" s="129">
        <f t="shared" si="104"/>
        <v>172986.34009174272</v>
      </c>
      <c r="U31" s="129">
        <f t="shared" si="104"/>
        <v>176446.06689357758</v>
      </c>
      <c r="V31" s="209">
        <f t="shared" ref="V31:V37" si="105">SUM(Q31:U31)</f>
        <v>848304.8195724563</v>
      </c>
      <c r="W31" s="528" t="s">
        <v>523</v>
      </c>
      <c r="X31" s="222"/>
      <c r="Y31" s="324"/>
      <c r="Z31" s="774">
        <f t="shared" si="3"/>
        <v>0</v>
      </c>
      <c r="AA31" s="103">
        <f t="shared" si="11"/>
        <v>0</v>
      </c>
      <c r="AB31" s="103">
        <f t="shared" si="12"/>
        <v>0</v>
      </c>
      <c r="AC31" s="103">
        <f t="shared" si="13"/>
        <v>0</v>
      </c>
      <c r="AD31" s="103">
        <f t="shared" si="14"/>
        <v>0</v>
      </c>
      <c r="AE31" s="103">
        <f t="shared" si="15"/>
        <v>0</v>
      </c>
      <c r="AF31" s="123">
        <f t="shared" si="4"/>
        <v>0</v>
      </c>
      <c r="AG31" s="813"/>
      <c r="AH31" s="370"/>
      <c r="AI31" s="221"/>
      <c r="AJ31" s="271"/>
      <c r="AK31" s="105">
        <f t="shared" si="16"/>
        <v>0</v>
      </c>
      <c r="AL31" s="105">
        <f t="shared" si="17"/>
        <v>0</v>
      </c>
      <c r="AM31" s="105">
        <f t="shared" si="18"/>
        <v>0</v>
      </c>
      <c r="AN31" s="105">
        <f t="shared" si="19"/>
        <v>0</v>
      </c>
      <c r="AO31" s="105">
        <f t="shared" si="20"/>
        <v>0</v>
      </c>
      <c r="AP31" s="158">
        <f t="shared" si="21"/>
        <v>0</v>
      </c>
      <c r="AQ31" s="930"/>
      <c r="AR31" s="473"/>
      <c r="AS31" s="106"/>
      <c r="AT31" s="1200"/>
      <c r="AU31" s="108">
        <f t="shared" si="45"/>
        <v>0</v>
      </c>
      <c r="AV31" s="108">
        <f t="shared" si="46"/>
        <v>0</v>
      </c>
      <c r="AW31" s="108">
        <f t="shared" si="47"/>
        <v>0</v>
      </c>
      <c r="AX31" s="108">
        <f t="shared" si="48"/>
        <v>0</v>
      </c>
      <c r="AY31" s="108">
        <f t="shared" si="49"/>
        <v>0</v>
      </c>
      <c r="AZ31" s="165">
        <f t="shared" si="27"/>
        <v>0</v>
      </c>
      <c r="BA31" s="1190"/>
      <c r="BB31" s="1214"/>
    </row>
    <row r="32" spans="1:54" s="495" customFormat="1" x14ac:dyDescent="0.25">
      <c r="A32" s="787"/>
      <c r="B32" s="623" t="s">
        <v>441</v>
      </c>
      <c r="C32" s="444" t="s">
        <v>524</v>
      </c>
      <c r="D32" s="604"/>
      <c r="E32" s="604"/>
      <c r="F32" s="604"/>
      <c r="G32" s="604"/>
      <c r="H32" s="699">
        <f>100000-50001</f>
        <v>49999</v>
      </c>
      <c r="I32" s="127" cm="1">
        <f t="array" ref="I32">_xlfn.IFS(I30&gt;(SUM($H31:$H32)*12),$H32*12, I30&lt;(SUM(H31:H32)*12),0, I30=(SUM(H31:H32*12)),0)</f>
        <v>0</v>
      </c>
      <c r="J32" s="127" cm="1">
        <f t="array" ref="J32">_xlfn.IFS(J30&gt;(SUM($H31:$H32)*12),$H32*12, J30&lt;(SUM(I31:I32)*12),0, J30=(SUM(I31:I32*12)),0)</f>
        <v>0</v>
      </c>
      <c r="K32" s="127" cm="1">
        <f t="array" ref="K32">_xlfn.IFS(K30&gt;(SUM($H31:$H32)*12),$H32*12, K30&lt;(SUM(J31:J32)*12),0, K30=(SUM(J31:J32*12)),0)</f>
        <v>0</v>
      </c>
      <c r="L32" s="127" cm="1">
        <f t="array" ref="L32">_xlfn.IFS(L30&gt;(SUM($H31:$H32)*12),$H32*12, L30&lt;(SUM(K31:K32)*12),0, L30=(SUM(K31:K32*12)),0)</f>
        <v>0</v>
      </c>
      <c r="M32" s="127" cm="1">
        <f t="array" ref="M32">_xlfn.IFS(M30&gt;(SUM($H31:$H32)*12),$H32*12, M30&lt;(SUM(L31:L32)*12),0, M30=(SUM(L31:L32*12)),0)</f>
        <v>0</v>
      </c>
      <c r="N32" s="750" t="str">
        <f t="shared" si="102"/>
        <v>Mobile Registered Devices Tier 2: Units 50,001 to 100,000</v>
      </c>
      <c r="O32" s="247">
        <v>1.20339</v>
      </c>
      <c r="P32" s="757">
        <f t="shared" si="2"/>
        <v>0</v>
      </c>
      <c r="Q32" s="129">
        <f t="shared" si="103"/>
        <v>0</v>
      </c>
      <c r="R32" s="129">
        <f t="shared" si="104"/>
        <v>0</v>
      </c>
      <c r="S32" s="129">
        <f t="shared" si="104"/>
        <v>0</v>
      </c>
      <c r="T32" s="129">
        <f t="shared" si="104"/>
        <v>0</v>
      </c>
      <c r="U32" s="129">
        <f t="shared" si="104"/>
        <v>0</v>
      </c>
      <c r="V32" s="209">
        <f t="shared" si="105"/>
        <v>0</v>
      </c>
      <c r="W32" s="528"/>
      <c r="X32" s="222"/>
      <c r="Y32" s="324"/>
      <c r="Z32" s="774">
        <f t="shared" si="3"/>
        <v>0</v>
      </c>
      <c r="AA32" s="103">
        <f t="shared" si="11"/>
        <v>0</v>
      </c>
      <c r="AB32" s="103">
        <f t="shared" si="12"/>
        <v>0</v>
      </c>
      <c r="AC32" s="103">
        <f t="shared" si="13"/>
        <v>0</v>
      </c>
      <c r="AD32" s="103">
        <f t="shared" si="14"/>
        <v>0</v>
      </c>
      <c r="AE32" s="103">
        <f t="shared" si="15"/>
        <v>0</v>
      </c>
      <c r="AF32" s="123">
        <f t="shared" si="4"/>
        <v>0</v>
      </c>
      <c r="AG32" s="813"/>
      <c r="AH32" s="370"/>
      <c r="AI32" s="221"/>
      <c r="AJ32" s="271"/>
      <c r="AK32" s="105">
        <f t="shared" si="16"/>
        <v>0</v>
      </c>
      <c r="AL32" s="105">
        <f t="shared" si="17"/>
        <v>0</v>
      </c>
      <c r="AM32" s="105">
        <f t="shared" si="18"/>
        <v>0</v>
      </c>
      <c r="AN32" s="105">
        <f t="shared" si="19"/>
        <v>0</v>
      </c>
      <c r="AO32" s="105">
        <f t="shared" si="20"/>
        <v>0</v>
      </c>
      <c r="AP32" s="158">
        <f t="shared" si="21"/>
        <v>0</v>
      </c>
      <c r="AQ32" s="930"/>
      <c r="AR32" s="473"/>
      <c r="AS32" s="106"/>
      <c r="AT32" s="1200"/>
      <c r="AU32" s="108">
        <f t="shared" si="45"/>
        <v>0</v>
      </c>
      <c r="AV32" s="108">
        <f t="shared" si="46"/>
        <v>0</v>
      </c>
      <c r="AW32" s="108">
        <f t="shared" si="47"/>
        <v>0</v>
      </c>
      <c r="AX32" s="108">
        <f t="shared" si="48"/>
        <v>0</v>
      </c>
      <c r="AY32" s="108">
        <f t="shared" si="49"/>
        <v>0</v>
      </c>
      <c r="AZ32" s="165">
        <f t="shared" si="27"/>
        <v>0</v>
      </c>
      <c r="BA32" s="1190"/>
      <c r="BB32" s="1214"/>
    </row>
    <row r="33" spans="1:54" s="495" customFormat="1" x14ac:dyDescent="0.25">
      <c r="A33" s="787"/>
      <c r="B33" s="623" t="s">
        <v>441</v>
      </c>
      <c r="C33" s="444" t="s">
        <v>525</v>
      </c>
      <c r="D33" s="604"/>
      <c r="E33" s="604"/>
      <c r="F33" s="604"/>
      <c r="G33" s="604"/>
      <c r="H33" s="699">
        <f>250000-100001</f>
        <v>149999</v>
      </c>
      <c r="I33" s="127" cm="1">
        <f t="array" ref="I33">_xlfn.IFS(I30&gt;(SUM($H31:$H33)*12),$H33*12, I30&lt;(SUM(H31:H33)*12),0, I30=(SUM(H31:H33*12)),0)</f>
        <v>0</v>
      </c>
      <c r="J33" s="127" cm="1">
        <f t="array" ref="J33">_xlfn.IFS(J30&gt;(SUM($H31:$H33)*12),$H33*12, J30&lt;(SUM(I31:I33)*12),0, J30=(SUM(I31:I33*12)),0)</f>
        <v>0</v>
      </c>
      <c r="K33" s="127" cm="1">
        <f t="array" ref="K33">_xlfn.IFS(K30&gt;(SUM($H31:$H33)*12),$H33*12, K30&lt;(SUM(J31:J33)*12),0, K30=(SUM(J31:J33*12)),0)</f>
        <v>0</v>
      </c>
      <c r="L33" s="127" cm="1">
        <f t="array" ref="L33">_xlfn.IFS(L30&gt;(SUM($H31:$H33)*12),$H33*12, L30&lt;(SUM(K31:K33)*12),0, L30=(SUM(K31:K33*12)),0)</f>
        <v>0</v>
      </c>
      <c r="M33" s="127" cm="1">
        <f t="array" ref="M33">_xlfn.IFS(M30&gt;(SUM($H31:$H33)*12),$H33*12, M30&lt;(SUM(L31:L33)*12),0, M30=(SUM(L31:L33*12)),0)</f>
        <v>0</v>
      </c>
      <c r="N33" s="750" t="str">
        <f t="shared" si="102"/>
        <v>Mobile Registered Devices Tier 3: Units 100,001 to 250,000</v>
      </c>
      <c r="O33" s="247">
        <v>1.1379900000000001</v>
      </c>
      <c r="P33" s="757">
        <f t="shared" si="2"/>
        <v>0</v>
      </c>
      <c r="Q33" s="129">
        <f t="shared" si="103"/>
        <v>0</v>
      </c>
      <c r="R33" s="129">
        <f t="shared" si="104"/>
        <v>0</v>
      </c>
      <c r="S33" s="129">
        <f t="shared" si="104"/>
        <v>0</v>
      </c>
      <c r="T33" s="129">
        <f t="shared" si="104"/>
        <v>0</v>
      </c>
      <c r="U33" s="129">
        <f t="shared" si="104"/>
        <v>0</v>
      </c>
      <c r="V33" s="209">
        <f t="shared" si="105"/>
        <v>0</v>
      </c>
      <c r="W33" s="528"/>
      <c r="X33" s="222"/>
      <c r="Y33" s="324"/>
      <c r="Z33" s="774">
        <f t="shared" si="3"/>
        <v>0</v>
      </c>
      <c r="AA33" s="103"/>
      <c r="AB33" s="103"/>
      <c r="AC33" s="103"/>
      <c r="AD33" s="103"/>
      <c r="AE33" s="103"/>
      <c r="AF33" s="123"/>
      <c r="AG33" s="813"/>
      <c r="AH33" s="370"/>
      <c r="AI33" s="221"/>
      <c r="AJ33" s="271"/>
      <c r="AK33" s="105"/>
      <c r="AL33" s="105"/>
      <c r="AM33" s="105"/>
      <c r="AN33" s="105"/>
      <c r="AO33" s="105"/>
      <c r="AP33" s="158"/>
      <c r="AQ33" s="930"/>
      <c r="AR33" s="473"/>
      <c r="AS33" s="106"/>
      <c r="AT33" s="1200"/>
      <c r="AU33" s="108">
        <f t="shared" si="45"/>
        <v>0</v>
      </c>
      <c r="AV33" s="108">
        <f t="shared" si="46"/>
        <v>0</v>
      </c>
      <c r="AW33" s="108">
        <f t="shared" si="47"/>
        <v>0</v>
      </c>
      <c r="AX33" s="108">
        <f t="shared" si="48"/>
        <v>0</v>
      </c>
      <c r="AY33" s="108">
        <f t="shared" si="49"/>
        <v>0</v>
      </c>
      <c r="AZ33" s="165">
        <f t="shared" si="27"/>
        <v>0</v>
      </c>
      <c r="BA33" s="1190"/>
      <c r="BB33" s="1214"/>
    </row>
    <row r="34" spans="1:54" s="495" customFormat="1" x14ac:dyDescent="0.25">
      <c r="A34" s="787"/>
      <c r="B34" s="623" t="s">
        <v>441</v>
      </c>
      <c r="C34" s="444" t="s">
        <v>526</v>
      </c>
      <c r="D34" s="604"/>
      <c r="E34" s="604"/>
      <c r="F34" s="604"/>
      <c r="G34" s="604"/>
      <c r="H34" s="699">
        <f>750000-250001</f>
        <v>499999</v>
      </c>
      <c r="I34" s="127" cm="1">
        <f t="array" ref="I34">_xlfn.IFS(I30&gt;(SUM($H31:$H34)*12),$H34*12, I30&lt;(SUM(H31:H34)*12),0, I30=(SUM(H31:H34*12)),0)</f>
        <v>0</v>
      </c>
      <c r="J34" s="127" cm="1">
        <f t="array" ref="J34">_xlfn.IFS(J30&gt;(SUM($H31:$H34)*12),$H34*12, J30&lt;(SUM(I31:I34)*12),0, J30=(SUM(I31:I34*12)),0)</f>
        <v>0</v>
      </c>
      <c r="K34" s="127" cm="1">
        <f t="array" ref="K34">_xlfn.IFS(K30&gt;(SUM($H31:$H34)*12),$H34*12, K30&lt;(SUM(J31:J34)*12),0, K30=(SUM(J31:J34*12)),0)</f>
        <v>0</v>
      </c>
      <c r="L34" s="127" cm="1">
        <f t="array" ref="L34">_xlfn.IFS(L30&gt;(SUM($H31:$H34)*12),$H34*12, L30&lt;(SUM(K31:K34)*12),0, L30=(SUM(K31:K34*12)),0)</f>
        <v>0</v>
      </c>
      <c r="M34" s="127" cm="1">
        <f t="array" ref="M34">_xlfn.IFS(M30&gt;(SUM($H31:$H34)*12),$H34*12, M30&lt;(SUM(L31:L34)*12),0, M30=(SUM(L31:L34*12)),0)</f>
        <v>0</v>
      </c>
      <c r="N34" s="750" t="str">
        <f t="shared" si="102"/>
        <v>Mobile Registered Devices Tier 4: Units 250,001 to 750,000</v>
      </c>
      <c r="O34" s="247">
        <v>1.0725899999999999</v>
      </c>
      <c r="P34" s="757">
        <f t="shared" si="2"/>
        <v>0</v>
      </c>
      <c r="Q34" s="129">
        <f t="shared" si="103"/>
        <v>0</v>
      </c>
      <c r="R34" s="129">
        <f t="shared" si="104"/>
        <v>0</v>
      </c>
      <c r="S34" s="129">
        <f t="shared" si="104"/>
        <v>0</v>
      </c>
      <c r="T34" s="129">
        <f t="shared" si="104"/>
        <v>0</v>
      </c>
      <c r="U34" s="129">
        <f t="shared" si="104"/>
        <v>0</v>
      </c>
      <c r="V34" s="209">
        <f t="shared" si="105"/>
        <v>0</v>
      </c>
      <c r="W34" s="528"/>
      <c r="X34" s="222"/>
      <c r="Y34" s="324"/>
      <c r="Z34" s="774">
        <f t="shared" si="3"/>
        <v>0</v>
      </c>
      <c r="AA34" s="103"/>
      <c r="AB34" s="103"/>
      <c r="AC34" s="103"/>
      <c r="AD34" s="103"/>
      <c r="AE34" s="103"/>
      <c r="AF34" s="123"/>
      <c r="AG34" s="813"/>
      <c r="AH34" s="370"/>
      <c r="AI34" s="221"/>
      <c r="AJ34" s="271"/>
      <c r="AK34" s="105"/>
      <c r="AL34" s="105"/>
      <c r="AM34" s="105"/>
      <c r="AN34" s="105"/>
      <c r="AO34" s="105"/>
      <c r="AP34" s="158"/>
      <c r="AQ34" s="930"/>
      <c r="AR34" s="473"/>
      <c r="AS34" s="106"/>
      <c r="AT34" s="1200"/>
      <c r="AU34" s="108">
        <f t="shared" si="45"/>
        <v>0</v>
      </c>
      <c r="AV34" s="108">
        <f t="shared" si="46"/>
        <v>0</v>
      </c>
      <c r="AW34" s="108">
        <f t="shared" si="47"/>
        <v>0</v>
      </c>
      <c r="AX34" s="108">
        <f t="shared" si="48"/>
        <v>0</v>
      </c>
      <c r="AY34" s="108">
        <f t="shared" si="49"/>
        <v>0</v>
      </c>
      <c r="AZ34" s="165">
        <f t="shared" si="27"/>
        <v>0</v>
      </c>
      <c r="BA34" s="1190"/>
      <c r="BB34" s="1214"/>
    </row>
    <row r="35" spans="1:54" s="495" customFormat="1" x14ac:dyDescent="0.25">
      <c r="A35" s="787"/>
      <c r="B35" s="623" t="s">
        <v>441</v>
      </c>
      <c r="C35" s="444" t="s">
        <v>527</v>
      </c>
      <c r="D35" s="604"/>
      <c r="E35" s="604"/>
      <c r="F35" s="604"/>
      <c r="G35" s="604"/>
      <c r="H35" s="699">
        <f>1000000-750001</f>
        <v>249999</v>
      </c>
      <c r="I35" s="127" cm="1">
        <f t="array" ref="I35">_xlfn.IFS(I30&gt;SUM($H31:$H35)*12, I30-SUM(I31:I34), I30&lt;SUM($H31:$H35)*12, 0, I30=SUM($H31:$H35)*12,0)</f>
        <v>0</v>
      </c>
      <c r="J35" s="127" cm="1">
        <f t="array" ref="J35">_xlfn.IFS(J30&gt;SUM($H31:$H35)*12, J30-SUM(J31:J34), J30&lt;SUM($H31:$H35)*12, 0, J30=SUM($H31:$H35)*12,0)</f>
        <v>0</v>
      </c>
      <c r="K35" s="127" cm="1">
        <f t="array" ref="K35">_xlfn.IFS(K30&gt;SUM($H31:$H35)*12, K30-SUM(K31:K34), K30&lt;SUM($H31:$H35)*12, 0, K30=SUM($H31:$H35)*12,0)</f>
        <v>0</v>
      </c>
      <c r="L35" s="127" cm="1">
        <f t="array" ref="L35">_xlfn.IFS(L30&gt;SUM($H31:$H35)*12, L30-SUM(L31:L34), L30&lt;SUM($H31:$H35)*12, 0, L30=SUM($H31:$H35)*12,0)</f>
        <v>0</v>
      </c>
      <c r="M35" s="127" cm="1">
        <f t="array" ref="M35">_xlfn.IFS(M30&gt;SUM($H31:$H35)*12, M30-SUM(M31:M34), M30&lt;SUM($H31:$H35)*12, 0, M30=SUM($H31:$H35)*12,0)</f>
        <v>0</v>
      </c>
      <c r="N35" s="750" t="str">
        <f t="shared" si="102"/>
        <v>Mobile Registered Devices Tier 5: Units 750,001 to 1,000,000</v>
      </c>
      <c r="O35" s="247">
        <v>1.00718</v>
      </c>
      <c r="P35" s="757">
        <f t="shared" si="2"/>
        <v>0</v>
      </c>
      <c r="Q35" s="129">
        <f t="shared" si="103"/>
        <v>0</v>
      </c>
      <c r="R35" s="129">
        <f t="shared" si="104"/>
        <v>0</v>
      </c>
      <c r="S35" s="129">
        <f t="shared" si="104"/>
        <v>0</v>
      </c>
      <c r="T35" s="129">
        <f t="shared" si="104"/>
        <v>0</v>
      </c>
      <c r="U35" s="129">
        <f t="shared" si="104"/>
        <v>0</v>
      </c>
      <c r="V35" s="209">
        <f t="shared" si="105"/>
        <v>0</v>
      </c>
      <c r="W35" s="528"/>
      <c r="X35" s="222"/>
      <c r="Y35" s="324"/>
      <c r="Z35" s="774">
        <f t="shared" si="3"/>
        <v>0</v>
      </c>
      <c r="AA35" s="103"/>
      <c r="AB35" s="103"/>
      <c r="AC35" s="103"/>
      <c r="AD35" s="103"/>
      <c r="AE35" s="103"/>
      <c r="AF35" s="123"/>
      <c r="AG35" s="813"/>
      <c r="AH35" s="370"/>
      <c r="AI35" s="221"/>
      <c r="AJ35" s="271"/>
      <c r="AK35" s="105"/>
      <c r="AL35" s="105"/>
      <c r="AM35" s="105"/>
      <c r="AN35" s="105"/>
      <c r="AO35" s="105"/>
      <c r="AP35" s="158"/>
      <c r="AQ35" s="930"/>
      <c r="AR35" s="473"/>
      <c r="AS35" s="106"/>
      <c r="AT35" s="1200"/>
      <c r="AU35" s="108">
        <f t="shared" si="45"/>
        <v>0</v>
      </c>
      <c r="AV35" s="108">
        <f t="shared" si="46"/>
        <v>0</v>
      </c>
      <c r="AW35" s="108">
        <f t="shared" si="47"/>
        <v>0</v>
      </c>
      <c r="AX35" s="108">
        <f t="shared" si="48"/>
        <v>0</v>
      </c>
      <c r="AY35" s="108">
        <f t="shared" si="49"/>
        <v>0</v>
      </c>
      <c r="AZ35" s="165">
        <f t="shared" si="27"/>
        <v>0</v>
      </c>
      <c r="BA35" s="1190"/>
      <c r="BB35" s="1214"/>
    </row>
    <row r="36" spans="1:54" s="495" customFormat="1" x14ac:dyDescent="0.25">
      <c r="A36" s="787"/>
      <c r="B36" s="623" t="s">
        <v>441</v>
      </c>
      <c r="C36" s="444" t="s">
        <v>528</v>
      </c>
      <c r="D36" s="604"/>
      <c r="E36" s="604"/>
      <c r="F36" s="604"/>
      <c r="G36" s="604"/>
      <c r="H36" s="699"/>
      <c r="I36" s="127">
        <f>H36*12</f>
        <v>0</v>
      </c>
      <c r="J36" s="127">
        <f t="shared" ref="J36:M37" si="106">IF(I36&gt;12,(((I36)*$H$5)+I36),(I36*1))</f>
        <v>0</v>
      </c>
      <c r="K36" s="127">
        <f t="shared" si="106"/>
        <v>0</v>
      </c>
      <c r="L36" s="127">
        <f t="shared" si="106"/>
        <v>0</v>
      </c>
      <c r="M36" s="127">
        <f t="shared" si="106"/>
        <v>0</v>
      </c>
      <c r="N36" s="750" t="str">
        <f t="shared" si="102"/>
        <v>Mobile Registered Devices Tier 6: Units Over 1,000,000</v>
      </c>
      <c r="O36" s="247">
        <v>0.94177999999999995</v>
      </c>
      <c r="P36" s="757">
        <f t="shared" si="2"/>
        <v>0</v>
      </c>
      <c r="Q36" s="129">
        <f t="shared" si="103"/>
        <v>0</v>
      </c>
      <c r="R36" s="129">
        <f t="shared" si="104"/>
        <v>0</v>
      </c>
      <c r="S36" s="129">
        <f t="shared" si="104"/>
        <v>0</v>
      </c>
      <c r="T36" s="129">
        <f t="shared" si="104"/>
        <v>0</v>
      </c>
      <c r="U36" s="129">
        <f t="shared" si="104"/>
        <v>0</v>
      </c>
      <c r="V36" s="209">
        <f t="shared" si="105"/>
        <v>0</v>
      </c>
      <c r="W36" s="528"/>
      <c r="X36" s="222"/>
      <c r="Y36" s="324"/>
      <c r="Z36" s="774">
        <f t="shared" si="3"/>
        <v>0</v>
      </c>
      <c r="AA36" s="103"/>
      <c r="AB36" s="103"/>
      <c r="AC36" s="103"/>
      <c r="AD36" s="103"/>
      <c r="AE36" s="103"/>
      <c r="AF36" s="123"/>
      <c r="AG36" s="813"/>
      <c r="AH36" s="370"/>
      <c r="AI36" s="221"/>
      <c r="AJ36" s="271"/>
      <c r="AK36" s="105"/>
      <c r="AL36" s="105"/>
      <c r="AM36" s="105"/>
      <c r="AN36" s="105"/>
      <c r="AO36" s="105"/>
      <c r="AP36" s="158"/>
      <c r="AQ36" s="930"/>
      <c r="AR36" s="473"/>
      <c r="AS36" s="106"/>
      <c r="AT36" s="1200"/>
      <c r="AU36" s="108">
        <f t="shared" si="45"/>
        <v>0</v>
      </c>
      <c r="AV36" s="108">
        <f t="shared" si="46"/>
        <v>0</v>
      </c>
      <c r="AW36" s="108">
        <f t="shared" si="47"/>
        <v>0</v>
      </c>
      <c r="AX36" s="108">
        <f t="shared" si="48"/>
        <v>0</v>
      </c>
      <c r="AY36" s="108">
        <f t="shared" si="49"/>
        <v>0</v>
      </c>
      <c r="AZ36" s="165">
        <f t="shared" si="27"/>
        <v>0</v>
      </c>
      <c r="BA36" s="1190"/>
      <c r="BB36" s="1214"/>
    </row>
    <row r="37" spans="1:54" s="495" customFormat="1" x14ac:dyDescent="0.25">
      <c r="A37" s="787"/>
      <c r="B37" s="623" t="s">
        <v>529</v>
      </c>
      <c r="C37" s="310" t="s">
        <v>530</v>
      </c>
      <c r="D37" s="604">
        <v>1</v>
      </c>
      <c r="E37" s="604">
        <v>1</v>
      </c>
      <c r="F37" s="604">
        <v>1</v>
      </c>
      <c r="G37" s="604"/>
      <c r="H37" s="618">
        <f>IFERROR(AVERAGE(D37:F37),0)</f>
        <v>1</v>
      </c>
      <c r="I37" s="127">
        <f>H37*12</f>
        <v>12</v>
      </c>
      <c r="J37" s="127">
        <f t="shared" si="106"/>
        <v>12</v>
      </c>
      <c r="K37" s="127">
        <f t="shared" si="106"/>
        <v>12</v>
      </c>
      <c r="L37" s="127">
        <f t="shared" si="106"/>
        <v>12</v>
      </c>
      <c r="M37" s="127">
        <f t="shared" si="106"/>
        <v>12</v>
      </c>
      <c r="N37" s="245" t="str">
        <f t="shared" si="102"/>
        <v>15% Discount</v>
      </c>
      <c r="O37" s="247">
        <v>-2490.17</v>
      </c>
      <c r="P37" s="757">
        <f t="shared" si="2"/>
        <v>-2490.17</v>
      </c>
      <c r="Q37" s="129">
        <f>$O37*I37</f>
        <v>-29882.04</v>
      </c>
      <c r="R37" s="129">
        <f>$O37*J37</f>
        <v>-29882.04</v>
      </c>
      <c r="S37" s="129">
        <f>$O37*K37</f>
        <v>-29882.04</v>
      </c>
      <c r="T37" s="129">
        <f>$O37*L37</f>
        <v>-29882.04</v>
      </c>
      <c r="U37" s="129">
        <f>$O37*M37</f>
        <v>-29882.04</v>
      </c>
      <c r="V37" s="209">
        <f t="shared" si="105"/>
        <v>-149410.20000000001</v>
      </c>
      <c r="W37" s="528" t="s">
        <v>523</v>
      </c>
      <c r="X37" s="222"/>
      <c r="Y37" s="324"/>
      <c r="Z37" s="774">
        <f t="shared" si="3"/>
        <v>0</v>
      </c>
      <c r="AA37" s="103">
        <f t="shared" ref="AA37:AA57" si="107">IF(Y37&gt;0,PRODUCT(I37,$Y37),0)</f>
        <v>0</v>
      </c>
      <c r="AB37" s="103">
        <f t="shared" ref="AB37:AB57" si="108">IF(AA37&gt;0,PRODUCT(J37,$Y37),0)</f>
        <v>0</v>
      </c>
      <c r="AC37" s="103">
        <f t="shared" ref="AC37:AC57" si="109">IF(AB37&gt;0,PRODUCT(K37,$Y37),0)</f>
        <v>0</v>
      </c>
      <c r="AD37" s="103">
        <f t="shared" ref="AD37:AD57" si="110">IF(AC37&gt;0,PRODUCT(L37,$Y37),0)</f>
        <v>0</v>
      </c>
      <c r="AE37" s="103">
        <f t="shared" ref="AE37:AE57" si="111">IF(AD37&gt;0,PRODUCT(M37,$Y37),0)</f>
        <v>0</v>
      </c>
      <c r="AF37" s="123">
        <f t="shared" ref="AF37:AF57" si="112">SUM(AA37:AE37)</f>
        <v>0</v>
      </c>
      <c r="AG37" s="813"/>
      <c r="AH37" s="370"/>
      <c r="AI37" s="221"/>
      <c r="AJ37" s="255"/>
      <c r="AK37" s="105">
        <f t="shared" ref="AK37:AK57" si="113">IF(AJ37&gt;0,PRODUCT(I37,$AJ37),0)</f>
        <v>0</v>
      </c>
      <c r="AL37" s="105">
        <f t="shared" ref="AL37:AL57" si="114">IF(AK37&gt;0,PRODUCT(J37,$AJ37),0)</f>
        <v>0</v>
      </c>
      <c r="AM37" s="105">
        <f t="shared" ref="AM37:AM57" si="115">IF(AL37&gt;0,PRODUCT(K37,$AJ37),0)</f>
        <v>0</v>
      </c>
      <c r="AN37" s="105">
        <f t="shared" ref="AN37:AN57" si="116">IF(AM37&gt;0,PRODUCT(L37,$AJ37),0)</f>
        <v>0</v>
      </c>
      <c r="AO37" s="105">
        <f t="shared" ref="AO37:AO57" si="117">IF(AN37&gt;0,PRODUCT(M37,$AJ37),0)</f>
        <v>0</v>
      </c>
      <c r="AP37" s="158">
        <f t="shared" ref="AP37:AP57" si="118">SUM(AK37:AO37)</f>
        <v>0</v>
      </c>
      <c r="AQ37" s="930"/>
      <c r="AR37" s="473"/>
      <c r="AS37" s="106"/>
      <c r="AT37" s="1207"/>
      <c r="AU37" s="108">
        <f t="shared" si="45"/>
        <v>0</v>
      </c>
      <c r="AV37" s="108">
        <f t="shared" si="46"/>
        <v>0</v>
      </c>
      <c r="AW37" s="108">
        <f t="shared" si="47"/>
        <v>0</v>
      </c>
      <c r="AX37" s="108">
        <f t="shared" si="48"/>
        <v>0</v>
      </c>
      <c r="AY37" s="108">
        <f t="shared" si="49"/>
        <v>0</v>
      </c>
      <c r="AZ37" s="165">
        <f t="shared" si="27"/>
        <v>0</v>
      </c>
      <c r="BA37" s="1190"/>
      <c r="BB37" s="1214"/>
    </row>
    <row r="38" spans="1:54" s="495" customFormat="1" x14ac:dyDescent="0.25">
      <c r="A38" s="445"/>
      <c r="B38" s="445"/>
      <c r="C38" s="492"/>
      <c r="D38" s="604"/>
      <c r="E38" s="604"/>
      <c r="F38" s="604"/>
      <c r="G38" s="604"/>
      <c r="H38" s="618"/>
      <c r="I38" s="127"/>
      <c r="J38" s="127"/>
      <c r="K38" s="127"/>
      <c r="L38" s="127"/>
      <c r="M38" s="127"/>
      <c r="N38" s="245" t="str">
        <f t="shared" si="102"/>
        <v/>
      </c>
      <c r="O38" s="247"/>
      <c r="P38" s="757">
        <f t="shared" si="2"/>
        <v>0</v>
      </c>
      <c r="Q38" s="129"/>
      <c r="R38" s="129"/>
      <c r="S38" s="129"/>
      <c r="T38" s="129"/>
      <c r="U38" s="129"/>
      <c r="V38" s="209"/>
      <c r="W38" s="528"/>
      <c r="X38" s="222"/>
      <c r="Y38" s="324"/>
      <c r="Z38" s="774">
        <f t="shared" si="3"/>
        <v>0</v>
      </c>
      <c r="AA38" s="103">
        <f t="shared" si="107"/>
        <v>0</v>
      </c>
      <c r="AB38" s="103">
        <f t="shared" si="108"/>
        <v>0</v>
      </c>
      <c r="AC38" s="103">
        <f t="shared" si="109"/>
        <v>0</v>
      </c>
      <c r="AD38" s="103">
        <f t="shared" si="110"/>
        <v>0</v>
      </c>
      <c r="AE38" s="103">
        <f t="shared" si="111"/>
        <v>0</v>
      </c>
      <c r="AF38" s="123">
        <f t="shared" si="112"/>
        <v>0</v>
      </c>
      <c r="AG38" s="813"/>
      <c r="AH38" s="370"/>
      <c r="AI38" s="272"/>
      <c r="AJ38" s="271"/>
      <c r="AK38" s="105">
        <f t="shared" si="113"/>
        <v>0</v>
      </c>
      <c r="AL38" s="105">
        <f t="shared" si="114"/>
        <v>0</v>
      </c>
      <c r="AM38" s="105">
        <f t="shared" si="115"/>
        <v>0</v>
      </c>
      <c r="AN38" s="105">
        <f t="shared" si="116"/>
        <v>0</v>
      </c>
      <c r="AO38" s="105">
        <f t="shared" si="117"/>
        <v>0</v>
      </c>
      <c r="AP38" s="158">
        <f t="shared" si="118"/>
        <v>0</v>
      </c>
      <c r="AQ38" s="930"/>
      <c r="AR38" s="473"/>
      <c r="AS38" s="106"/>
      <c r="AT38" s="1207"/>
      <c r="AU38" s="108">
        <f t="shared" si="45"/>
        <v>0</v>
      </c>
      <c r="AV38" s="108">
        <f t="shared" si="46"/>
        <v>0</v>
      </c>
      <c r="AW38" s="108">
        <f t="shared" si="47"/>
        <v>0</v>
      </c>
      <c r="AX38" s="108">
        <f t="shared" si="48"/>
        <v>0</v>
      </c>
      <c r="AY38" s="108">
        <f t="shared" si="49"/>
        <v>0</v>
      </c>
      <c r="AZ38" s="165">
        <f t="shared" si="27"/>
        <v>0</v>
      </c>
      <c r="BA38" s="1190"/>
      <c r="BB38" s="1214"/>
    </row>
    <row r="39" spans="1:54" s="495" customFormat="1" x14ac:dyDescent="0.25">
      <c r="A39" s="890"/>
      <c r="B39" s="623" t="s">
        <v>531</v>
      </c>
      <c r="C39" s="310" t="s">
        <v>532</v>
      </c>
      <c r="D39" s="604"/>
      <c r="E39" s="604"/>
      <c r="F39" s="604"/>
      <c r="G39" s="604"/>
      <c r="H39" s="618">
        <v>1</v>
      </c>
      <c r="I39" s="127">
        <f t="shared" ref="I39:I53" si="119">H39*12</f>
        <v>12</v>
      </c>
      <c r="J39" s="127">
        <f t="shared" ref="J39:M53" si="120">IF(I39&gt;12,(((I39)*$H$5)+I39),(I39*1))</f>
        <v>12</v>
      </c>
      <c r="K39" s="127">
        <f t="shared" si="120"/>
        <v>12</v>
      </c>
      <c r="L39" s="127">
        <f t="shared" si="120"/>
        <v>12</v>
      </c>
      <c r="M39" s="127">
        <f t="shared" si="120"/>
        <v>12</v>
      </c>
      <c r="N39" s="245"/>
      <c r="O39" s="586"/>
      <c r="P39" s="757">
        <f t="shared" si="2"/>
        <v>0</v>
      </c>
      <c r="Q39" s="129"/>
      <c r="R39" s="129"/>
      <c r="S39" s="129"/>
      <c r="T39" s="129"/>
      <c r="U39" s="129"/>
      <c r="V39" s="209"/>
      <c r="W39" s="528"/>
      <c r="X39" s="222"/>
      <c r="Y39" s="325"/>
      <c r="Z39" s="774">
        <f t="shared" si="3"/>
        <v>0</v>
      </c>
      <c r="AA39" s="103">
        <f t="shared" si="107"/>
        <v>0</v>
      </c>
      <c r="AB39" s="103">
        <f t="shared" si="108"/>
        <v>0</v>
      </c>
      <c r="AC39" s="103">
        <f t="shared" si="109"/>
        <v>0</v>
      </c>
      <c r="AD39" s="103">
        <f t="shared" si="110"/>
        <v>0</v>
      </c>
      <c r="AE39" s="103">
        <f t="shared" si="111"/>
        <v>0</v>
      </c>
      <c r="AF39" s="123">
        <f t="shared" si="112"/>
        <v>0</v>
      </c>
      <c r="AG39" s="813"/>
      <c r="AH39" s="370"/>
      <c r="AI39" s="221" t="str">
        <f t="shared" ref="AI39:AI55" si="121">C39</f>
        <v>Premium Digital Banking Platform</v>
      </c>
      <c r="AJ39" s="255">
        <f>244200/12</f>
        <v>20350</v>
      </c>
      <c r="AK39" s="105">
        <f t="shared" si="113"/>
        <v>244200</v>
      </c>
      <c r="AL39" s="105">
        <f t="shared" si="114"/>
        <v>244200</v>
      </c>
      <c r="AM39" s="105">
        <f t="shared" si="115"/>
        <v>244200</v>
      </c>
      <c r="AN39" s="105">
        <f t="shared" si="116"/>
        <v>244200</v>
      </c>
      <c r="AO39" s="105">
        <f t="shared" si="117"/>
        <v>244200</v>
      </c>
      <c r="AP39" s="158">
        <f t="shared" si="118"/>
        <v>1221000</v>
      </c>
      <c r="AQ39" s="930">
        <v>80000</v>
      </c>
      <c r="AR39" s="473"/>
      <c r="AS39" s="106" t="s">
        <v>532</v>
      </c>
      <c r="AT39" s="1209">
        <v>20350</v>
      </c>
      <c r="AU39" s="108">
        <f t="shared" si="45"/>
        <v>244200</v>
      </c>
      <c r="AV39" s="108">
        <f t="shared" si="46"/>
        <v>244200</v>
      </c>
      <c r="AW39" s="108">
        <f t="shared" si="47"/>
        <v>244200</v>
      </c>
      <c r="AX39" s="108">
        <f t="shared" si="48"/>
        <v>244200</v>
      </c>
      <c r="AY39" s="108">
        <f t="shared" si="49"/>
        <v>244200</v>
      </c>
      <c r="AZ39" s="165">
        <f t="shared" si="27"/>
        <v>1221000</v>
      </c>
      <c r="BA39" s="1190">
        <v>80000</v>
      </c>
      <c r="BB39" s="1214"/>
    </row>
    <row r="40" spans="1:54" s="495" customFormat="1" x14ac:dyDescent="0.25">
      <c r="A40" s="445"/>
      <c r="B40" s="623"/>
      <c r="C40" s="200" t="s">
        <v>533</v>
      </c>
      <c r="D40" s="604"/>
      <c r="E40" s="604"/>
      <c r="F40" s="604"/>
      <c r="G40" s="604"/>
      <c r="H40" s="618"/>
      <c r="I40" s="127">
        <f t="shared" si="119"/>
        <v>0</v>
      </c>
      <c r="J40" s="127">
        <f t="shared" si="120"/>
        <v>0</v>
      </c>
      <c r="K40" s="127">
        <f t="shared" si="120"/>
        <v>0</v>
      </c>
      <c r="L40" s="127">
        <f t="shared" si="120"/>
        <v>0</v>
      </c>
      <c r="M40" s="127">
        <f t="shared" si="120"/>
        <v>0</v>
      </c>
      <c r="N40" s="245"/>
      <c r="O40" s="586"/>
      <c r="P40" s="757">
        <f t="shared" si="2"/>
        <v>0</v>
      </c>
      <c r="Q40" s="129"/>
      <c r="R40" s="129"/>
      <c r="S40" s="129"/>
      <c r="T40" s="129"/>
      <c r="U40" s="129"/>
      <c r="V40" s="209"/>
      <c r="W40" s="528"/>
      <c r="X40" s="222"/>
      <c r="Y40" s="325"/>
      <c r="Z40" s="774">
        <f t="shared" si="3"/>
        <v>0</v>
      </c>
      <c r="AA40" s="103">
        <f t="shared" si="107"/>
        <v>0</v>
      </c>
      <c r="AB40" s="103">
        <f t="shared" si="108"/>
        <v>0</v>
      </c>
      <c r="AC40" s="103">
        <f t="shared" si="109"/>
        <v>0</v>
      </c>
      <c r="AD40" s="103">
        <f t="shared" si="110"/>
        <v>0</v>
      </c>
      <c r="AE40" s="103">
        <f t="shared" si="111"/>
        <v>0</v>
      </c>
      <c r="AF40" s="123">
        <f t="shared" si="112"/>
        <v>0</v>
      </c>
      <c r="AG40" s="813"/>
      <c r="AH40" s="370"/>
      <c r="AI40" s="880" t="str">
        <f t="shared" si="121"/>
        <v>Unified User Experience (UUX) Across Multiple Devices</v>
      </c>
      <c r="AJ40" s="271" t="s">
        <v>77</v>
      </c>
      <c r="AK40" s="105">
        <f t="shared" si="113"/>
        <v>0</v>
      </c>
      <c r="AL40" s="105">
        <f t="shared" si="114"/>
        <v>0</v>
      </c>
      <c r="AM40" s="105">
        <f t="shared" si="115"/>
        <v>0</v>
      </c>
      <c r="AN40" s="105">
        <f t="shared" si="116"/>
        <v>0</v>
      </c>
      <c r="AO40" s="105">
        <f t="shared" si="117"/>
        <v>0</v>
      </c>
      <c r="AP40" s="158">
        <f t="shared" si="118"/>
        <v>0</v>
      </c>
      <c r="AQ40" s="930"/>
      <c r="AR40" s="473"/>
      <c r="AS40" s="1181" t="s">
        <v>533</v>
      </c>
      <c r="AT40" s="1207" t="s">
        <v>77</v>
      </c>
      <c r="AU40" s="108">
        <f t="shared" si="45"/>
        <v>0</v>
      </c>
      <c r="AV40" s="108">
        <f t="shared" si="46"/>
        <v>0</v>
      </c>
      <c r="AW40" s="108">
        <f t="shared" si="47"/>
        <v>0</v>
      </c>
      <c r="AX40" s="108">
        <f t="shared" si="48"/>
        <v>0</v>
      </c>
      <c r="AY40" s="108">
        <f t="shared" si="49"/>
        <v>0</v>
      </c>
      <c r="AZ40" s="165">
        <f t="shared" si="27"/>
        <v>0</v>
      </c>
      <c r="BA40" s="1190"/>
      <c r="BB40" s="1214"/>
    </row>
    <row r="41" spans="1:54" s="495" customFormat="1" x14ac:dyDescent="0.25">
      <c r="A41" s="445"/>
      <c r="B41" s="623"/>
      <c r="C41" s="200" t="s">
        <v>534</v>
      </c>
      <c r="D41" s="604"/>
      <c r="E41" s="604"/>
      <c r="F41" s="604"/>
      <c r="G41" s="604"/>
      <c r="H41" s="618"/>
      <c r="I41" s="127">
        <f t="shared" si="119"/>
        <v>0</v>
      </c>
      <c r="J41" s="127">
        <f t="shared" si="120"/>
        <v>0</v>
      </c>
      <c r="K41" s="127">
        <f t="shared" si="120"/>
        <v>0</v>
      </c>
      <c r="L41" s="127">
        <f t="shared" si="120"/>
        <v>0</v>
      </c>
      <c r="M41" s="127">
        <f t="shared" si="120"/>
        <v>0</v>
      </c>
      <c r="N41" s="245"/>
      <c r="O41" s="586"/>
      <c r="P41" s="757">
        <f t="shared" si="2"/>
        <v>0</v>
      </c>
      <c r="Q41" s="129"/>
      <c r="R41" s="129"/>
      <c r="S41" s="129"/>
      <c r="T41" s="129"/>
      <c r="U41" s="129"/>
      <c r="V41" s="209"/>
      <c r="W41" s="528"/>
      <c r="X41" s="222"/>
      <c r="Y41" s="325"/>
      <c r="Z41" s="774">
        <f t="shared" si="3"/>
        <v>0</v>
      </c>
      <c r="AA41" s="103">
        <f t="shared" si="107"/>
        <v>0</v>
      </c>
      <c r="AB41" s="103">
        <f t="shared" si="108"/>
        <v>0</v>
      </c>
      <c r="AC41" s="103">
        <f t="shared" si="109"/>
        <v>0</v>
      </c>
      <c r="AD41" s="103">
        <f t="shared" si="110"/>
        <v>0</v>
      </c>
      <c r="AE41" s="103">
        <f t="shared" si="111"/>
        <v>0</v>
      </c>
      <c r="AF41" s="123">
        <f t="shared" si="112"/>
        <v>0</v>
      </c>
      <c r="AG41" s="813"/>
      <c r="AH41" s="370"/>
      <c r="AI41" s="880" t="str">
        <f t="shared" si="121"/>
        <v>Mobile App Support for Apple (iOS), Android, and Apple Watch</v>
      </c>
      <c r="AJ41" s="271" t="s">
        <v>77</v>
      </c>
      <c r="AK41" s="105">
        <f t="shared" si="113"/>
        <v>0</v>
      </c>
      <c r="AL41" s="105">
        <f t="shared" si="114"/>
        <v>0</v>
      </c>
      <c r="AM41" s="105">
        <f t="shared" si="115"/>
        <v>0</v>
      </c>
      <c r="AN41" s="105">
        <f t="shared" si="116"/>
        <v>0</v>
      </c>
      <c r="AO41" s="105">
        <f t="shared" si="117"/>
        <v>0</v>
      </c>
      <c r="AP41" s="158">
        <f t="shared" si="118"/>
        <v>0</v>
      </c>
      <c r="AQ41" s="930"/>
      <c r="AR41" s="473"/>
      <c r="AS41" s="1181" t="s">
        <v>534</v>
      </c>
      <c r="AT41" s="1207" t="s">
        <v>77</v>
      </c>
      <c r="AU41" s="108">
        <f t="shared" si="45"/>
        <v>0</v>
      </c>
      <c r="AV41" s="108">
        <f t="shared" si="46"/>
        <v>0</v>
      </c>
      <c r="AW41" s="108">
        <f t="shared" si="47"/>
        <v>0</v>
      </c>
      <c r="AX41" s="108">
        <f t="shared" si="48"/>
        <v>0</v>
      </c>
      <c r="AY41" s="108">
        <f t="shared" si="49"/>
        <v>0</v>
      </c>
      <c r="AZ41" s="165">
        <f t="shared" si="27"/>
        <v>0</v>
      </c>
      <c r="BA41" s="1190"/>
      <c r="BB41" s="1214"/>
    </row>
    <row r="42" spans="1:54" s="495" customFormat="1" x14ac:dyDescent="0.25">
      <c r="A42" s="445"/>
      <c r="B42" s="623"/>
      <c r="C42" s="200" t="s">
        <v>535</v>
      </c>
      <c r="D42" s="604"/>
      <c r="E42" s="604"/>
      <c r="F42" s="604"/>
      <c r="G42" s="604"/>
      <c r="H42" s="618"/>
      <c r="I42" s="127">
        <f t="shared" si="119"/>
        <v>0</v>
      </c>
      <c r="J42" s="127">
        <f t="shared" si="120"/>
        <v>0</v>
      </c>
      <c r="K42" s="127">
        <f t="shared" si="120"/>
        <v>0</v>
      </c>
      <c r="L42" s="127">
        <f t="shared" si="120"/>
        <v>0</v>
      </c>
      <c r="M42" s="127">
        <f t="shared" si="120"/>
        <v>0</v>
      </c>
      <c r="N42" s="245"/>
      <c r="O42" s="586"/>
      <c r="P42" s="757">
        <f t="shared" si="2"/>
        <v>0</v>
      </c>
      <c r="Q42" s="129"/>
      <c r="R42" s="129"/>
      <c r="S42" s="129"/>
      <c r="T42" s="129"/>
      <c r="U42" s="129"/>
      <c r="V42" s="209"/>
      <c r="W42" s="528"/>
      <c r="X42" s="222"/>
      <c r="Y42" s="325"/>
      <c r="Z42" s="774">
        <f t="shared" si="3"/>
        <v>0</v>
      </c>
      <c r="AA42" s="103">
        <f t="shared" si="107"/>
        <v>0</v>
      </c>
      <c r="AB42" s="103">
        <f t="shared" si="108"/>
        <v>0</v>
      </c>
      <c r="AC42" s="103">
        <f t="shared" si="109"/>
        <v>0</v>
      </c>
      <c r="AD42" s="103">
        <f t="shared" si="110"/>
        <v>0</v>
      </c>
      <c r="AE42" s="103">
        <f t="shared" si="111"/>
        <v>0</v>
      </c>
      <c r="AF42" s="123">
        <f t="shared" si="112"/>
        <v>0</v>
      </c>
      <c r="AG42" s="813"/>
      <c r="AH42" s="370"/>
      <c r="AI42" s="880" t="str">
        <f t="shared" si="121"/>
        <v>Flexible Data Spaces with User Experience</v>
      </c>
      <c r="AJ42" s="271" t="s">
        <v>77</v>
      </c>
      <c r="AK42" s="105">
        <f t="shared" si="113"/>
        <v>0</v>
      </c>
      <c r="AL42" s="105">
        <f t="shared" si="114"/>
        <v>0</v>
      </c>
      <c r="AM42" s="105">
        <f t="shared" si="115"/>
        <v>0</v>
      </c>
      <c r="AN42" s="105">
        <f t="shared" si="116"/>
        <v>0</v>
      </c>
      <c r="AO42" s="105">
        <f t="shared" si="117"/>
        <v>0</v>
      </c>
      <c r="AP42" s="158">
        <f t="shared" si="118"/>
        <v>0</v>
      </c>
      <c r="AQ42" s="930"/>
      <c r="AR42" s="473"/>
      <c r="AS42" s="1181" t="s">
        <v>535</v>
      </c>
      <c r="AT42" s="1207" t="s">
        <v>77</v>
      </c>
      <c r="AU42" s="108">
        <f t="shared" si="45"/>
        <v>0</v>
      </c>
      <c r="AV42" s="108">
        <f t="shared" si="46"/>
        <v>0</v>
      </c>
      <c r="AW42" s="108">
        <f t="shared" si="47"/>
        <v>0</v>
      </c>
      <c r="AX42" s="108">
        <f t="shared" si="48"/>
        <v>0</v>
      </c>
      <c r="AY42" s="108">
        <f t="shared" si="49"/>
        <v>0</v>
      </c>
      <c r="AZ42" s="165">
        <f t="shared" si="27"/>
        <v>0</v>
      </c>
      <c r="BA42" s="1190"/>
      <c r="BB42" s="1214"/>
    </row>
    <row r="43" spans="1:54" s="495" customFormat="1" x14ac:dyDescent="0.25">
      <c r="A43" s="445"/>
      <c r="B43" s="623"/>
      <c r="C43" s="200" t="s">
        <v>536</v>
      </c>
      <c r="D43" s="604"/>
      <c r="E43" s="604"/>
      <c r="F43" s="604"/>
      <c r="G43" s="604"/>
      <c r="H43" s="618"/>
      <c r="I43" s="127">
        <f t="shared" si="119"/>
        <v>0</v>
      </c>
      <c r="J43" s="127">
        <f t="shared" si="120"/>
        <v>0</v>
      </c>
      <c r="K43" s="127">
        <f t="shared" si="120"/>
        <v>0</v>
      </c>
      <c r="L43" s="127">
        <f t="shared" si="120"/>
        <v>0</v>
      </c>
      <c r="M43" s="127">
        <f t="shared" si="120"/>
        <v>0</v>
      </c>
      <c r="N43" s="245"/>
      <c r="O43" s="586"/>
      <c r="P43" s="757">
        <f t="shared" si="2"/>
        <v>0</v>
      </c>
      <c r="Q43" s="129"/>
      <c r="R43" s="129"/>
      <c r="S43" s="129"/>
      <c r="T43" s="129"/>
      <c r="U43" s="129"/>
      <c r="V43" s="209"/>
      <c r="W43" s="528"/>
      <c r="X43" s="222"/>
      <c r="Y43" s="325"/>
      <c r="Z43" s="774">
        <f t="shared" si="3"/>
        <v>0</v>
      </c>
      <c r="AA43" s="103">
        <f t="shared" si="107"/>
        <v>0</v>
      </c>
      <c r="AB43" s="103">
        <f t="shared" si="108"/>
        <v>0</v>
      </c>
      <c r="AC43" s="103">
        <f t="shared" si="109"/>
        <v>0</v>
      </c>
      <c r="AD43" s="103">
        <f t="shared" si="110"/>
        <v>0</v>
      </c>
      <c r="AE43" s="103">
        <f t="shared" si="111"/>
        <v>0</v>
      </c>
      <c r="AF43" s="123">
        <f t="shared" si="112"/>
        <v>0</v>
      </c>
      <c r="AG43" s="813"/>
      <c r="AH43" s="370"/>
      <c r="AI43" s="880" t="str">
        <f t="shared" si="121"/>
        <v>Support for Multuple Authentication Methods included Face ID &amp; Touch ID</v>
      </c>
      <c r="AJ43" s="271" t="s">
        <v>77</v>
      </c>
      <c r="AK43" s="105">
        <f t="shared" si="113"/>
        <v>0</v>
      </c>
      <c r="AL43" s="105">
        <f t="shared" si="114"/>
        <v>0</v>
      </c>
      <c r="AM43" s="105">
        <f t="shared" si="115"/>
        <v>0</v>
      </c>
      <c r="AN43" s="105">
        <f t="shared" si="116"/>
        <v>0</v>
      </c>
      <c r="AO43" s="105">
        <f t="shared" si="117"/>
        <v>0</v>
      </c>
      <c r="AP43" s="158">
        <f t="shared" si="118"/>
        <v>0</v>
      </c>
      <c r="AQ43" s="930"/>
      <c r="AR43" s="473"/>
      <c r="AS43" s="1181" t="s">
        <v>536</v>
      </c>
      <c r="AT43" s="1207" t="s">
        <v>77</v>
      </c>
      <c r="AU43" s="108">
        <f t="shared" si="45"/>
        <v>0</v>
      </c>
      <c r="AV43" s="108">
        <f t="shared" si="46"/>
        <v>0</v>
      </c>
      <c r="AW43" s="108">
        <f t="shared" si="47"/>
        <v>0</v>
      </c>
      <c r="AX43" s="108">
        <f t="shared" si="48"/>
        <v>0</v>
      </c>
      <c r="AY43" s="108">
        <f t="shared" si="49"/>
        <v>0</v>
      </c>
      <c r="AZ43" s="165">
        <f t="shared" si="27"/>
        <v>0</v>
      </c>
      <c r="BA43" s="1190"/>
      <c r="BB43" s="1214"/>
    </row>
    <row r="44" spans="1:54" s="495" customFormat="1" x14ac:dyDescent="0.25">
      <c r="A44" s="445"/>
      <c r="B44" s="623"/>
      <c r="C44" s="200" t="s">
        <v>537</v>
      </c>
      <c r="D44" s="604"/>
      <c r="E44" s="604"/>
      <c r="F44" s="604"/>
      <c r="G44" s="604"/>
      <c r="H44" s="618"/>
      <c r="I44" s="127">
        <f t="shared" si="119"/>
        <v>0</v>
      </c>
      <c r="J44" s="127">
        <f t="shared" si="120"/>
        <v>0</v>
      </c>
      <c r="K44" s="127">
        <f t="shared" si="120"/>
        <v>0</v>
      </c>
      <c r="L44" s="127">
        <f t="shared" si="120"/>
        <v>0</v>
      </c>
      <c r="M44" s="127">
        <f t="shared" si="120"/>
        <v>0</v>
      </c>
      <c r="N44" s="245"/>
      <c r="O44" s="586"/>
      <c r="P44" s="757">
        <f t="shared" si="2"/>
        <v>0</v>
      </c>
      <c r="Q44" s="129"/>
      <c r="R44" s="129"/>
      <c r="S44" s="129"/>
      <c r="T44" s="129"/>
      <c r="U44" s="129"/>
      <c r="V44" s="209"/>
      <c r="W44" s="528"/>
      <c r="X44" s="222"/>
      <c r="Y44" s="325"/>
      <c r="Z44" s="774">
        <f t="shared" si="3"/>
        <v>0</v>
      </c>
      <c r="AA44" s="103">
        <f t="shared" si="107"/>
        <v>0</v>
      </c>
      <c r="AB44" s="103">
        <f t="shared" si="108"/>
        <v>0</v>
      </c>
      <c r="AC44" s="103">
        <f t="shared" si="109"/>
        <v>0</v>
      </c>
      <c r="AD44" s="103">
        <f t="shared" si="110"/>
        <v>0</v>
      </c>
      <c r="AE44" s="103">
        <f t="shared" si="111"/>
        <v>0</v>
      </c>
      <c r="AF44" s="123">
        <f t="shared" si="112"/>
        <v>0</v>
      </c>
      <c r="AG44" s="813"/>
      <c r="AH44" s="370"/>
      <c r="AI44" s="880" t="str">
        <f t="shared" si="121"/>
        <v>Group Management and Feature-on-Demand Access</v>
      </c>
      <c r="AJ44" s="271" t="s">
        <v>77</v>
      </c>
      <c r="AK44" s="105">
        <f t="shared" si="113"/>
        <v>0</v>
      </c>
      <c r="AL44" s="105">
        <f t="shared" si="114"/>
        <v>0</v>
      </c>
      <c r="AM44" s="105">
        <f t="shared" si="115"/>
        <v>0</v>
      </c>
      <c r="AN44" s="105">
        <f t="shared" si="116"/>
        <v>0</v>
      </c>
      <c r="AO44" s="105">
        <f t="shared" si="117"/>
        <v>0</v>
      </c>
      <c r="AP44" s="158">
        <f t="shared" si="118"/>
        <v>0</v>
      </c>
      <c r="AQ44" s="930"/>
      <c r="AR44" s="473"/>
      <c r="AS44" s="1181" t="s">
        <v>537</v>
      </c>
      <c r="AT44" s="1207" t="s">
        <v>77</v>
      </c>
      <c r="AU44" s="108">
        <f t="shared" si="45"/>
        <v>0</v>
      </c>
      <c r="AV44" s="108">
        <f t="shared" si="46"/>
        <v>0</v>
      </c>
      <c r="AW44" s="108">
        <f t="shared" si="47"/>
        <v>0</v>
      </c>
      <c r="AX44" s="108">
        <f t="shared" si="48"/>
        <v>0</v>
      </c>
      <c r="AY44" s="108">
        <f t="shared" si="49"/>
        <v>0</v>
      </c>
      <c r="AZ44" s="165">
        <f t="shared" si="27"/>
        <v>0</v>
      </c>
      <c r="BA44" s="1190"/>
      <c r="BB44" s="1214"/>
    </row>
    <row r="45" spans="1:54" s="495" customFormat="1" x14ac:dyDescent="0.25">
      <c r="A45" s="445"/>
      <c r="B45" s="623"/>
      <c r="C45" s="200" t="s">
        <v>538</v>
      </c>
      <c r="D45" s="604"/>
      <c r="E45" s="604"/>
      <c r="F45" s="604"/>
      <c r="G45" s="604"/>
      <c r="H45" s="618"/>
      <c r="I45" s="127">
        <f t="shared" si="119"/>
        <v>0</v>
      </c>
      <c r="J45" s="127">
        <f t="shared" si="120"/>
        <v>0</v>
      </c>
      <c r="K45" s="127">
        <f t="shared" si="120"/>
        <v>0</v>
      </c>
      <c r="L45" s="127">
        <f t="shared" si="120"/>
        <v>0</v>
      </c>
      <c r="M45" s="127">
        <f t="shared" si="120"/>
        <v>0</v>
      </c>
      <c r="N45" s="245"/>
      <c r="O45" s="586"/>
      <c r="P45" s="757">
        <f t="shared" si="2"/>
        <v>0</v>
      </c>
      <c r="Q45" s="129"/>
      <c r="R45" s="129"/>
      <c r="S45" s="129"/>
      <c r="T45" s="129"/>
      <c r="U45" s="129"/>
      <c r="V45" s="209"/>
      <c r="W45" s="528"/>
      <c r="X45" s="222"/>
      <c r="Y45" s="325"/>
      <c r="Z45" s="774">
        <f t="shared" si="3"/>
        <v>0</v>
      </c>
      <c r="AA45" s="103">
        <f t="shared" si="107"/>
        <v>0</v>
      </c>
      <c r="AB45" s="103">
        <f t="shared" si="108"/>
        <v>0</v>
      </c>
      <c r="AC45" s="103">
        <f t="shared" si="109"/>
        <v>0</v>
      </c>
      <c r="AD45" s="103">
        <f t="shared" si="110"/>
        <v>0</v>
      </c>
      <c r="AE45" s="103">
        <f t="shared" si="111"/>
        <v>0</v>
      </c>
      <c r="AF45" s="123">
        <f t="shared" si="112"/>
        <v>0</v>
      </c>
      <c r="AG45" s="813"/>
      <c r="AH45" s="370"/>
      <c r="AI45" s="880" t="str">
        <f t="shared" si="121"/>
        <v>Advanced Credential Stuffing Service</v>
      </c>
      <c r="AJ45" s="271" t="s">
        <v>77</v>
      </c>
      <c r="AK45" s="105">
        <f t="shared" si="113"/>
        <v>0</v>
      </c>
      <c r="AL45" s="105">
        <f t="shared" si="114"/>
        <v>0</v>
      </c>
      <c r="AM45" s="105">
        <f t="shared" si="115"/>
        <v>0</v>
      </c>
      <c r="AN45" s="105">
        <f t="shared" si="116"/>
        <v>0</v>
      </c>
      <c r="AO45" s="105">
        <f t="shared" si="117"/>
        <v>0</v>
      </c>
      <c r="AP45" s="158">
        <f t="shared" si="118"/>
        <v>0</v>
      </c>
      <c r="AQ45" s="930"/>
      <c r="AR45" s="473"/>
      <c r="AS45" s="1181" t="s">
        <v>538</v>
      </c>
      <c r="AT45" s="1207" t="s">
        <v>77</v>
      </c>
      <c r="AU45" s="108">
        <f t="shared" si="45"/>
        <v>0</v>
      </c>
      <c r="AV45" s="108">
        <f t="shared" si="46"/>
        <v>0</v>
      </c>
      <c r="AW45" s="108">
        <f t="shared" si="47"/>
        <v>0</v>
      </c>
      <c r="AX45" s="108">
        <f t="shared" si="48"/>
        <v>0</v>
      </c>
      <c r="AY45" s="108">
        <f t="shared" si="49"/>
        <v>0</v>
      </c>
      <c r="AZ45" s="165">
        <f t="shared" si="27"/>
        <v>0</v>
      </c>
      <c r="BA45" s="1190"/>
      <c r="BB45" s="1214"/>
    </row>
    <row r="46" spans="1:54" s="495" customFormat="1" x14ac:dyDescent="0.25">
      <c r="A46" s="445"/>
      <c r="B46" s="623"/>
      <c r="C46" s="200" t="s">
        <v>539</v>
      </c>
      <c r="D46" s="604"/>
      <c r="E46" s="604"/>
      <c r="F46" s="604"/>
      <c r="G46" s="604"/>
      <c r="H46" s="618"/>
      <c r="I46" s="127">
        <f t="shared" si="119"/>
        <v>0</v>
      </c>
      <c r="J46" s="127">
        <f t="shared" si="120"/>
        <v>0</v>
      </c>
      <c r="K46" s="127">
        <f t="shared" si="120"/>
        <v>0</v>
      </c>
      <c r="L46" s="127">
        <f t="shared" si="120"/>
        <v>0</v>
      </c>
      <c r="M46" s="127">
        <f t="shared" si="120"/>
        <v>0</v>
      </c>
      <c r="N46" s="245"/>
      <c r="O46" s="586"/>
      <c r="P46" s="757">
        <f t="shared" si="2"/>
        <v>0</v>
      </c>
      <c r="Q46" s="129"/>
      <c r="R46" s="129"/>
      <c r="S46" s="129"/>
      <c r="T46" s="129"/>
      <c r="U46" s="129"/>
      <c r="V46" s="209"/>
      <c r="W46" s="528"/>
      <c r="X46" s="222"/>
      <c r="Y46" s="325"/>
      <c r="Z46" s="774">
        <f t="shared" si="3"/>
        <v>0</v>
      </c>
      <c r="AA46" s="103">
        <f t="shared" si="107"/>
        <v>0</v>
      </c>
      <c r="AB46" s="103">
        <f t="shared" si="108"/>
        <v>0</v>
      </c>
      <c r="AC46" s="103">
        <f t="shared" si="109"/>
        <v>0</v>
      </c>
      <c r="AD46" s="103">
        <f t="shared" si="110"/>
        <v>0</v>
      </c>
      <c r="AE46" s="103">
        <f t="shared" si="111"/>
        <v>0</v>
      </c>
      <c r="AF46" s="123">
        <f t="shared" si="112"/>
        <v>0</v>
      </c>
      <c r="AG46" s="813"/>
      <c r="AH46" s="370"/>
      <c r="AI46" s="880" t="str">
        <f t="shared" si="121"/>
        <v>Blockchain Data Tokenization / Protection</v>
      </c>
      <c r="AJ46" s="271" t="s">
        <v>77</v>
      </c>
      <c r="AK46" s="105">
        <f t="shared" si="113"/>
        <v>0</v>
      </c>
      <c r="AL46" s="105">
        <f t="shared" si="114"/>
        <v>0</v>
      </c>
      <c r="AM46" s="105">
        <f t="shared" si="115"/>
        <v>0</v>
      </c>
      <c r="AN46" s="105">
        <f t="shared" si="116"/>
        <v>0</v>
      </c>
      <c r="AO46" s="105">
        <f t="shared" si="117"/>
        <v>0</v>
      </c>
      <c r="AP46" s="158">
        <f t="shared" si="118"/>
        <v>0</v>
      </c>
      <c r="AQ46" s="930"/>
      <c r="AR46" s="473"/>
      <c r="AS46" s="1181" t="s">
        <v>539</v>
      </c>
      <c r="AT46" s="1207" t="s">
        <v>77</v>
      </c>
      <c r="AU46" s="108">
        <f t="shared" si="45"/>
        <v>0</v>
      </c>
      <c r="AV46" s="108">
        <f t="shared" si="46"/>
        <v>0</v>
      </c>
      <c r="AW46" s="108">
        <f t="shared" si="47"/>
        <v>0</v>
      </c>
      <c r="AX46" s="108">
        <f t="shared" si="48"/>
        <v>0</v>
      </c>
      <c r="AY46" s="108">
        <f t="shared" si="49"/>
        <v>0</v>
      </c>
      <c r="AZ46" s="165">
        <f t="shared" si="27"/>
        <v>0</v>
      </c>
      <c r="BA46" s="1190"/>
      <c r="BB46" s="1214"/>
    </row>
    <row r="47" spans="1:54" s="495" customFormat="1" x14ac:dyDescent="0.25">
      <c r="A47" s="445"/>
      <c r="B47" s="623"/>
      <c r="C47" s="200" t="s">
        <v>540</v>
      </c>
      <c r="D47" s="604"/>
      <c r="E47" s="604"/>
      <c r="F47" s="604"/>
      <c r="G47" s="604"/>
      <c r="H47" s="618"/>
      <c r="I47" s="127">
        <f t="shared" si="119"/>
        <v>0</v>
      </c>
      <c r="J47" s="127">
        <f t="shared" si="120"/>
        <v>0</v>
      </c>
      <c r="K47" s="127">
        <f t="shared" si="120"/>
        <v>0</v>
      </c>
      <c r="L47" s="127">
        <f t="shared" si="120"/>
        <v>0</v>
      </c>
      <c r="M47" s="127">
        <f t="shared" si="120"/>
        <v>0</v>
      </c>
      <c r="N47" s="245"/>
      <c r="O47" s="586"/>
      <c r="P47" s="757">
        <f t="shared" si="2"/>
        <v>0</v>
      </c>
      <c r="Q47" s="129"/>
      <c r="R47" s="129"/>
      <c r="S47" s="129"/>
      <c r="T47" s="129"/>
      <c r="U47" s="129"/>
      <c r="V47" s="209"/>
      <c r="W47" s="528"/>
      <c r="X47" s="222"/>
      <c r="Y47" s="325"/>
      <c r="Z47" s="774">
        <f t="shared" si="3"/>
        <v>0</v>
      </c>
      <c r="AA47" s="103">
        <f t="shared" si="107"/>
        <v>0</v>
      </c>
      <c r="AB47" s="103">
        <f t="shared" si="108"/>
        <v>0</v>
      </c>
      <c r="AC47" s="103">
        <f t="shared" si="109"/>
        <v>0</v>
      </c>
      <c r="AD47" s="103">
        <f t="shared" si="110"/>
        <v>0</v>
      </c>
      <c r="AE47" s="103">
        <f t="shared" si="111"/>
        <v>0</v>
      </c>
      <c r="AF47" s="123">
        <f t="shared" si="112"/>
        <v>0</v>
      </c>
      <c r="AG47" s="813"/>
      <c r="AH47" s="370"/>
      <c r="AI47" s="880" t="str">
        <f t="shared" si="121"/>
        <v>Active Disaster Recovery</v>
      </c>
      <c r="AJ47" s="271" t="s">
        <v>77</v>
      </c>
      <c r="AK47" s="105">
        <f t="shared" si="113"/>
        <v>0</v>
      </c>
      <c r="AL47" s="105">
        <f t="shared" si="114"/>
        <v>0</v>
      </c>
      <c r="AM47" s="105">
        <f t="shared" si="115"/>
        <v>0</v>
      </c>
      <c r="AN47" s="105">
        <f t="shared" si="116"/>
        <v>0</v>
      </c>
      <c r="AO47" s="105">
        <f t="shared" si="117"/>
        <v>0</v>
      </c>
      <c r="AP47" s="158">
        <f t="shared" si="118"/>
        <v>0</v>
      </c>
      <c r="AQ47" s="930"/>
      <c r="AR47" s="473"/>
      <c r="AS47" s="1181" t="s">
        <v>540</v>
      </c>
      <c r="AT47" s="1207" t="s">
        <v>77</v>
      </c>
      <c r="AU47" s="108">
        <f t="shared" si="45"/>
        <v>0</v>
      </c>
      <c r="AV47" s="108">
        <f t="shared" si="46"/>
        <v>0</v>
      </c>
      <c r="AW47" s="108">
        <f t="shared" si="47"/>
        <v>0</v>
      </c>
      <c r="AX47" s="108">
        <f t="shared" si="48"/>
        <v>0</v>
      </c>
      <c r="AY47" s="108">
        <f t="shared" si="49"/>
        <v>0</v>
      </c>
      <c r="AZ47" s="165">
        <f t="shared" si="27"/>
        <v>0</v>
      </c>
      <c r="BA47" s="1190"/>
      <c r="BB47" s="1214"/>
    </row>
    <row r="48" spans="1:54" s="495" customFormat="1" x14ac:dyDescent="0.25">
      <c r="A48" s="445"/>
      <c r="B48" s="623"/>
      <c r="C48" s="200" t="s">
        <v>541</v>
      </c>
      <c r="D48" s="604"/>
      <c r="E48" s="604"/>
      <c r="F48" s="604"/>
      <c r="G48" s="604"/>
      <c r="H48" s="618"/>
      <c r="I48" s="127">
        <f t="shared" si="119"/>
        <v>0</v>
      </c>
      <c r="J48" s="127">
        <f t="shared" si="120"/>
        <v>0</v>
      </c>
      <c r="K48" s="127">
        <f t="shared" si="120"/>
        <v>0</v>
      </c>
      <c r="L48" s="127">
        <f t="shared" si="120"/>
        <v>0</v>
      </c>
      <c r="M48" s="127">
        <f t="shared" si="120"/>
        <v>0</v>
      </c>
      <c r="N48" s="245"/>
      <c r="O48" s="586"/>
      <c r="P48" s="757">
        <f t="shared" si="2"/>
        <v>0</v>
      </c>
      <c r="Q48" s="129"/>
      <c r="R48" s="129"/>
      <c r="S48" s="129"/>
      <c r="T48" s="129"/>
      <c r="U48" s="129"/>
      <c r="V48" s="209"/>
      <c r="W48" s="528"/>
      <c r="X48" s="222"/>
      <c r="Y48" s="325"/>
      <c r="Z48" s="774">
        <f t="shared" si="3"/>
        <v>0</v>
      </c>
      <c r="AA48" s="103">
        <f t="shared" si="107"/>
        <v>0</v>
      </c>
      <c r="AB48" s="103">
        <f t="shared" si="108"/>
        <v>0</v>
      </c>
      <c r="AC48" s="103">
        <f t="shared" si="109"/>
        <v>0</v>
      </c>
      <c r="AD48" s="103">
        <f t="shared" si="110"/>
        <v>0</v>
      </c>
      <c r="AE48" s="103">
        <f t="shared" si="111"/>
        <v>0</v>
      </c>
      <c r="AF48" s="123">
        <f t="shared" si="112"/>
        <v>0</v>
      </c>
      <c r="AG48" s="813"/>
      <c r="AH48" s="370"/>
      <c r="AI48" s="880" t="str">
        <f t="shared" si="121"/>
        <v>Every Valuable Event (EVE) Extract</v>
      </c>
      <c r="AJ48" s="271" t="s">
        <v>77</v>
      </c>
      <c r="AK48" s="105">
        <f t="shared" si="113"/>
        <v>0</v>
      </c>
      <c r="AL48" s="105">
        <f t="shared" si="114"/>
        <v>0</v>
      </c>
      <c r="AM48" s="105">
        <f t="shared" si="115"/>
        <v>0</v>
      </c>
      <c r="AN48" s="105">
        <f t="shared" si="116"/>
        <v>0</v>
      </c>
      <c r="AO48" s="105">
        <f t="shared" si="117"/>
        <v>0</v>
      </c>
      <c r="AP48" s="158">
        <f t="shared" si="118"/>
        <v>0</v>
      </c>
      <c r="AQ48" s="930"/>
      <c r="AR48" s="473"/>
      <c r="AS48" s="1181" t="s">
        <v>541</v>
      </c>
      <c r="AT48" s="1207" t="s">
        <v>77</v>
      </c>
      <c r="AU48" s="108">
        <f t="shared" si="45"/>
        <v>0</v>
      </c>
      <c r="AV48" s="108">
        <f t="shared" si="46"/>
        <v>0</v>
      </c>
      <c r="AW48" s="108">
        <f t="shared" si="47"/>
        <v>0</v>
      </c>
      <c r="AX48" s="108">
        <f t="shared" si="48"/>
        <v>0</v>
      </c>
      <c r="AY48" s="108">
        <f t="shared" si="49"/>
        <v>0</v>
      </c>
      <c r="AZ48" s="165">
        <f t="shared" si="27"/>
        <v>0</v>
      </c>
      <c r="BA48" s="1190"/>
      <c r="BB48" s="1214"/>
    </row>
    <row r="49" spans="1:54" s="495" customFormat="1" x14ac:dyDescent="0.25">
      <c r="A49" s="445"/>
      <c r="B49" s="623"/>
      <c r="C49" s="200" t="s">
        <v>542</v>
      </c>
      <c r="D49" s="604"/>
      <c r="E49" s="604"/>
      <c r="F49" s="604"/>
      <c r="G49" s="604"/>
      <c r="H49" s="618"/>
      <c r="I49" s="127">
        <f t="shared" si="119"/>
        <v>0</v>
      </c>
      <c r="J49" s="127">
        <f t="shared" si="120"/>
        <v>0</v>
      </c>
      <c r="K49" s="127">
        <f t="shared" si="120"/>
        <v>0</v>
      </c>
      <c r="L49" s="127">
        <f t="shared" si="120"/>
        <v>0</v>
      </c>
      <c r="M49" s="127">
        <f t="shared" si="120"/>
        <v>0</v>
      </c>
      <c r="N49" s="245"/>
      <c r="O49" s="586"/>
      <c r="P49" s="757">
        <f t="shared" si="2"/>
        <v>0</v>
      </c>
      <c r="Q49" s="129"/>
      <c r="R49" s="129"/>
      <c r="S49" s="129"/>
      <c r="T49" s="129"/>
      <c r="U49" s="129"/>
      <c r="V49" s="209"/>
      <c r="W49" s="528"/>
      <c r="X49" s="222"/>
      <c r="Y49" s="325"/>
      <c r="Z49" s="774">
        <f t="shared" si="3"/>
        <v>0</v>
      </c>
      <c r="AA49" s="103">
        <f t="shared" si="107"/>
        <v>0</v>
      </c>
      <c r="AB49" s="103">
        <f t="shared" si="108"/>
        <v>0</v>
      </c>
      <c r="AC49" s="103">
        <f t="shared" si="109"/>
        <v>0</v>
      </c>
      <c r="AD49" s="103">
        <f t="shared" si="110"/>
        <v>0</v>
      </c>
      <c r="AE49" s="103">
        <f t="shared" si="111"/>
        <v>0</v>
      </c>
      <c r="AF49" s="123">
        <f t="shared" si="112"/>
        <v>0</v>
      </c>
      <c r="AG49" s="813"/>
      <c r="AH49" s="370"/>
      <c r="AI49" s="880" t="str">
        <f t="shared" si="121"/>
        <v>Standard Security Extract</v>
      </c>
      <c r="AJ49" s="271" t="s">
        <v>77</v>
      </c>
      <c r="AK49" s="105">
        <f t="shared" si="113"/>
        <v>0</v>
      </c>
      <c r="AL49" s="105">
        <f t="shared" si="114"/>
        <v>0</v>
      </c>
      <c r="AM49" s="105">
        <f t="shared" si="115"/>
        <v>0</v>
      </c>
      <c r="AN49" s="105">
        <f t="shared" si="116"/>
        <v>0</v>
      </c>
      <c r="AO49" s="105">
        <f t="shared" si="117"/>
        <v>0</v>
      </c>
      <c r="AP49" s="158">
        <f t="shared" si="118"/>
        <v>0</v>
      </c>
      <c r="AQ49" s="930"/>
      <c r="AR49" s="473"/>
      <c r="AS49" s="1181" t="s">
        <v>542</v>
      </c>
      <c r="AT49" s="1207" t="s">
        <v>77</v>
      </c>
      <c r="AU49" s="108">
        <f t="shared" si="45"/>
        <v>0</v>
      </c>
      <c r="AV49" s="108">
        <f t="shared" si="46"/>
        <v>0</v>
      </c>
      <c r="AW49" s="108">
        <f t="shared" si="47"/>
        <v>0</v>
      </c>
      <c r="AX49" s="108">
        <f t="shared" si="48"/>
        <v>0</v>
      </c>
      <c r="AY49" s="108">
        <f t="shared" si="49"/>
        <v>0</v>
      </c>
      <c r="AZ49" s="165">
        <f t="shared" si="27"/>
        <v>0</v>
      </c>
      <c r="BA49" s="1190"/>
      <c r="BB49" s="1214"/>
    </row>
    <row r="50" spans="1:54" s="495" customFormat="1" x14ac:dyDescent="0.25">
      <c r="A50" s="445"/>
      <c r="B50" s="623"/>
      <c r="C50" s="200" t="s">
        <v>543</v>
      </c>
      <c r="D50" s="604"/>
      <c r="E50" s="604"/>
      <c r="F50" s="604"/>
      <c r="G50" s="604"/>
      <c r="H50" s="618"/>
      <c r="I50" s="127">
        <f t="shared" si="119"/>
        <v>0</v>
      </c>
      <c r="J50" s="127">
        <f t="shared" si="120"/>
        <v>0</v>
      </c>
      <c r="K50" s="127">
        <f t="shared" si="120"/>
        <v>0</v>
      </c>
      <c r="L50" s="127">
        <f t="shared" si="120"/>
        <v>0</v>
      </c>
      <c r="M50" s="127">
        <f t="shared" si="120"/>
        <v>0</v>
      </c>
      <c r="N50" s="245"/>
      <c r="O50" s="586"/>
      <c r="P50" s="757">
        <f t="shared" si="2"/>
        <v>0</v>
      </c>
      <c r="Q50" s="129"/>
      <c r="R50" s="129"/>
      <c r="S50" s="129"/>
      <c r="T50" s="129"/>
      <c r="U50" s="129"/>
      <c r="V50" s="209"/>
      <c r="W50" s="528"/>
      <c r="X50" s="222"/>
      <c r="Y50" s="325"/>
      <c r="Z50" s="774">
        <f t="shared" si="3"/>
        <v>0</v>
      </c>
      <c r="AA50" s="103">
        <f t="shared" si="107"/>
        <v>0</v>
      </c>
      <c r="AB50" s="103">
        <f t="shared" si="108"/>
        <v>0</v>
      </c>
      <c r="AC50" s="103">
        <f t="shared" si="109"/>
        <v>0</v>
      </c>
      <c r="AD50" s="103">
        <f t="shared" si="110"/>
        <v>0</v>
      </c>
      <c r="AE50" s="103">
        <f t="shared" si="111"/>
        <v>0</v>
      </c>
      <c r="AF50" s="123">
        <f t="shared" si="112"/>
        <v>0</v>
      </c>
      <c r="AG50" s="813"/>
      <c r="AH50" s="370"/>
      <c r="AI50" s="880" t="str">
        <f t="shared" si="121"/>
        <v>OFAF Login Restriction Service</v>
      </c>
      <c r="AJ50" s="271" t="s">
        <v>77</v>
      </c>
      <c r="AK50" s="105">
        <f t="shared" si="113"/>
        <v>0</v>
      </c>
      <c r="AL50" s="105">
        <f t="shared" si="114"/>
        <v>0</v>
      </c>
      <c r="AM50" s="105">
        <f t="shared" si="115"/>
        <v>0</v>
      </c>
      <c r="AN50" s="105">
        <f t="shared" si="116"/>
        <v>0</v>
      </c>
      <c r="AO50" s="105">
        <f t="shared" si="117"/>
        <v>0</v>
      </c>
      <c r="AP50" s="158">
        <f t="shared" si="118"/>
        <v>0</v>
      </c>
      <c r="AQ50" s="930"/>
      <c r="AR50" s="473"/>
      <c r="AS50" s="1181" t="s">
        <v>543</v>
      </c>
      <c r="AT50" s="1207" t="s">
        <v>77</v>
      </c>
      <c r="AU50" s="108">
        <f t="shared" si="45"/>
        <v>0</v>
      </c>
      <c r="AV50" s="108">
        <f t="shared" si="46"/>
        <v>0</v>
      </c>
      <c r="AW50" s="108">
        <f t="shared" si="47"/>
        <v>0</v>
      </c>
      <c r="AX50" s="108">
        <f t="shared" si="48"/>
        <v>0</v>
      </c>
      <c r="AY50" s="108">
        <f t="shared" si="49"/>
        <v>0</v>
      </c>
      <c r="AZ50" s="165">
        <f t="shared" si="27"/>
        <v>0</v>
      </c>
      <c r="BA50" s="1190"/>
      <c r="BB50" s="1214"/>
    </row>
    <row r="51" spans="1:54" s="495" customFormat="1" x14ac:dyDescent="0.25">
      <c r="A51" s="445"/>
      <c r="B51" s="623"/>
      <c r="C51" s="200" t="s">
        <v>544</v>
      </c>
      <c r="D51" s="604"/>
      <c r="E51" s="604"/>
      <c r="F51" s="604"/>
      <c r="G51" s="604"/>
      <c r="H51" s="618"/>
      <c r="I51" s="127">
        <f t="shared" si="119"/>
        <v>0</v>
      </c>
      <c r="J51" s="127">
        <f t="shared" si="120"/>
        <v>0</v>
      </c>
      <c r="K51" s="127">
        <f t="shared" si="120"/>
        <v>0</v>
      </c>
      <c r="L51" s="127">
        <f t="shared" si="120"/>
        <v>0</v>
      </c>
      <c r="M51" s="127">
        <f t="shared" si="120"/>
        <v>0</v>
      </c>
      <c r="N51" s="245"/>
      <c r="O51" s="586"/>
      <c r="P51" s="757">
        <f t="shared" si="2"/>
        <v>0</v>
      </c>
      <c r="Q51" s="129"/>
      <c r="R51" s="129"/>
      <c r="S51" s="129"/>
      <c r="T51" s="129"/>
      <c r="U51" s="129"/>
      <c r="V51" s="209"/>
      <c r="W51" s="528"/>
      <c r="X51" s="222"/>
      <c r="Y51" s="325"/>
      <c r="Z51" s="774">
        <f t="shared" si="3"/>
        <v>0</v>
      </c>
      <c r="AA51" s="103">
        <f t="shared" si="107"/>
        <v>0</v>
      </c>
      <c r="AB51" s="103">
        <f t="shared" si="108"/>
        <v>0</v>
      </c>
      <c r="AC51" s="103">
        <f t="shared" si="109"/>
        <v>0</v>
      </c>
      <c r="AD51" s="103">
        <f t="shared" si="110"/>
        <v>0</v>
      </c>
      <c r="AE51" s="103">
        <f t="shared" si="111"/>
        <v>0</v>
      </c>
      <c r="AF51" s="123">
        <f t="shared" si="112"/>
        <v>0</v>
      </c>
      <c r="AG51" s="813"/>
      <c r="AH51" s="370"/>
      <c r="AI51" s="880" t="str">
        <f t="shared" si="121"/>
        <v>Q2 Console and Co-Pilot Back Office Experience</v>
      </c>
      <c r="AJ51" s="271" t="s">
        <v>77</v>
      </c>
      <c r="AK51" s="105">
        <f t="shared" si="113"/>
        <v>0</v>
      </c>
      <c r="AL51" s="105">
        <f t="shared" si="114"/>
        <v>0</v>
      </c>
      <c r="AM51" s="105">
        <f t="shared" si="115"/>
        <v>0</v>
      </c>
      <c r="AN51" s="105">
        <f t="shared" si="116"/>
        <v>0</v>
      </c>
      <c r="AO51" s="105">
        <f t="shared" si="117"/>
        <v>0</v>
      </c>
      <c r="AP51" s="158">
        <f t="shared" si="118"/>
        <v>0</v>
      </c>
      <c r="AQ51" s="930"/>
      <c r="AR51" s="473"/>
      <c r="AS51" s="1181" t="s">
        <v>544</v>
      </c>
      <c r="AT51" s="1207" t="s">
        <v>77</v>
      </c>
      <c r="AU51" s="108">
        <f t="shared" si="45"/>
        <v>0</v>
      </c>
      <c r="AV51" s="108">
        <f t="shared" si="46"/>
        <v>0</v>
      </c>
      <c r="AW51" s="108">
        <f t="shared" si="47"/>
        <v>0</v>
      </c>
      <c r="AX51" s="108">
        <f t="shared" si="48"/>
        <v>0</v>
      </c>
      <c r="AY51" s="108">
        <f t="shared" si="49"/>
        <v>0</v>
      </c>
      <c r="AZ51" s="165">
        <f t="shared" si="27"/>
        <v>0</v>
      </c>
      <c r="BA51" s="1190"/>
      <c r="BB51" s="1214"/>
    </row>
    <row r="52" spans="1:54" s="495" customFormat="1" x14ac:dyDescent="0.25">
      <c r="A52" s="445"/>
      <c r="B52" s="623"/>
      <c r="C52" s="200" t="s">
        <v>545</v>
      </c>
      <c r="D52" s="604"/>
      <c r="E52" s="604"/>
      <c r="F52" s="604"/>
      <c r="G52" s="604"/>
      <c r="H52" s="618"/>
      <c r="I52" s="127">
        <f t="shared" si="119"/>
        <v>0</v>
      </c>
      <c r="J52" s="127">
        <f t="shared" si="120"/>
        <v>0</v>
      </c>
      <c r="K52" s="127">
        <f t="shared" si="120"/>
        <v>0</v>
      </c>
      <c r="L52" s="127">
        <f t="shared" si="120"/>
        <v>0</v>
      </c>
      <c r="M52" s="127">
        <f t="shared" si="120"/>
        <v>0</v>
      </c>
      <c r="N52" s="245"/>
      <c r="O52" s="586"/>
      <c r="P52" s="757">
        <f t="shared" si="2"/>
        <v>0</v>
      </c>
      <c r="Q52" s="129"/>
      <c r="R52" s="129"/>
      <c r="S52" s="129"/>
      <c r="T52" s="129"/>
      <c r="U52" s="129"/>
      <c r="V52" s="209"/>
      <c r="W52" s="528"/>
      <c r="X52" s="222"/>
      <c r="Y52" s="325"/>
      <c r="Z52" s="774">
        <f t="shared" si="3"/>
        <v>0</v>
      </c>
      <c r="AA52" s="103">
        <f t="shared" si="107"/>
        <v>0</v>
      </c>
      <c r="AB52" s="103">
        <f t="shared" si="108"/>
        <v>0</v>
      </c>
      <c r="AC52" s="103">
        <f t="shared" si="109"/>
        <v>0</v>
      </c>
      <c r="AD52" s="103">
        <f t="shared" si="110"/>
        <v>0</v>
      </c>
      <c r="AE52" s="103">
        <f t="shared" si="111"/>
        <v>0</v>
      </c>
      <c r="AF52" s="123">
        <f t="shared" si="112"/>
        <v>0</v>
      </c>
      <c r="AG52" s="813"/>
      <c r="AH52" s="370"/>
      <c r="AI52" s="880" t="str">
        <f t="shared" si="121"/>
        <v>Staging and Permanent Test Environments</v>
      </c>
      <c r="AJ52" s="271" t="s">
        <v>77</v>
      </c>
      <c r="AK52" s="105">
        <f t="shared" si="113"/>
        <v>0</v>
      </c>
      <c r="AL52" s="105">
        <f t="shared" si="114"/>
        <v>0</v>
      </c>
      <c r="AM52" s="105">
        <f t="shared" si="115"/>
        <v>0</v>
      </c>
      <c r="AN52" s="105">
        <f t="shared" si="116"/>
        <v>0</v>
      </c>
      <c r="AO52" s="105">
        <f t="shared" si="117"/>
        <v>0</v>
      </c>
      <c r="AP52" s="158">
        <f t="shared" si="118"/>
        <v>0</v>
      </c>
      <c r="AQ52" s="930"/>
      <c r="AR52" s="473"/>
      <c r="AS52" s="1181" t="s">
        <v>545</v>
      </c>
      <c r="AT52" s="1207" t="s">
        <v>77</v>
      </c>
      <c r="AU52" s="108">
        <f t="shared" si="45"/>
        <v>0</v>
      </c>
      <c r="AV52" s="108">
        <f t="shared" si="46"/>
        <v>0</v>
      </c>
      <c r="AW52" s="108">
        <f t="shared" si="47"/>
        <v>0</v>
      </c>
      <c r="AX52" s="108">
        <f t="shared" si="48"/>
        <v>0</v>
      </c>
      <c r="AY52" s="108">
        <f t="shared" si="49"/>
        <v>0</v>
      </c>
      <c r="AZ52" s="165">
        <f t="shared" si="27"/>
        <v>0</v>
      </c>
      <c r="BA52" s="1190"/>
      <c r="BB52" s="1214"/>
    </row>
    <row r="53" spans="1:54" s="495" customFormat="1" x14ac:dyDescent="0.25">
      <c r="A53" s="890"/>
      <c r="B53" s="620" t="s">
        <v>513</v>
      </c>
      <c r="C53" s="310" t="s">
        <v>546</v>
      </c>
      <c r="D53" s="604"/>
      <c r="E53" s="604"/>
      <c r="F53" s="604"/>
      <c r="G53" s="604"/>
      <c r="H53" s="618">
        <v>25</v>
      </c>
      <c r="I53" s="1059">
        <f t="shared" si="119"/>
        <v>300</v>
      </c>
      <c r="J53" s="1059">
        <f t="shared" si="120"/>
        <v>306</v>
      </c>
      <c r="K53" s="1059">
        <f t="shared" si="120"/>
        <v>312.12</v>
      </c>
      <c r="L53" s="1059">
        <f t="shared" si="120"/>
        <v>318.36239999999998</v>
      </c>
      <c r="M53" s="1059">
        <f t="shared" si="120"/>
        <v>324.729648</v>
      </c>
      <c r="N53" s="245"/>
      <c r="O53" s="586"/>
      <c r="P53" s="757">
        <f t="shared" si="2"/>
        <v>0</v>
      </c>
      <c r="Q53" s="129"/>
      <c r="R53" s="129"/>
      <c r="S53" s="129"/>
      <c r="T53" s="129"/>
      <c r="U53" s="129"/>
      <c r="V53" s="209"/>
      <c r="W53" s="528"/>
      <c r="X53" s="222"/>
      <c r="Y53" s="325"/>
      <c r="Z53" s="774">
        <f t="shared" si="3"/>
        <v>0</v>
      </c>
      <c r="AA53" s="103">
        <f t="shared" si="107"/>
        <v>0</v>
      </c>
      <c r="AB53" s="103">
        <f t="shared" si="108"/>
        <v>0</v>
      </c>
      <c r="AC53" s="103">
        <f t="shared" si="109"/>
        <v>0</v>
      </c>
      <c r="AD53" s="103">
        <f t="shared" si="110"/>
        <v>0</v>
      </c>
      <c r="AE53" s="103">
        <f t="shared" si="111"/>
        <v>0</v>
      </c>
      <c r="AF53" s="123">
        <f t="shared" ref="AF53" si="122">SUM(AA53:AE53)</f>
        <v>0</v>
      </c>
      <c r="AG53" s="813"/>
      <c r="AH53" s="370"/>
      <c r="AI53" s="221" t="str">
        <f>C53</f>
        <v>ClickSWITCH [QTY CALCULATIONS]</v>
      </c>
      <c r="AJ53" s="255"/>
      <c r="AK53" s="105"/>
      <c r="AL53" s="105"/>
      <c r="AM53" s="105"/>
      <c r="AN53" s="105"/>
      <c r="AO53" s="105"/>
      <c r="AP53" s="158"/>
      <c r="AQ53" s="930"/>
      <c r="AR53" s="473"/>
      <c r="AS53" s="106" t="s">
        <v>546</v>
      </c>
      <c r="AT53" s="1207"/>
      <c r="AU53" s="108">
        <f t="shared" si="45"/>
        <v>0</v>
      </c>
      <c r="AV53" s="108">
        <f t="shared" si="46"/>
        <v>0</v>
      </c>
      <c r="AW53" s="108">
        <f t="shared" si="47"/>
        <v>0</v>
      </c>
      <c r="AX53" s="108">
        <f t="shared" si="48"/>
        <v>0</v>
      </c>
      <c r="AY53" s="108">
        <f t="shared" si="49"/>
        <v>0</v>
      </c>
      <c r="AZ53" s="165">
        <f t="shared" si="27"/>
        <v>0</v>
      </c>
      <c r="BA53" s="1190"/>
      <c r="BB53" s="1214"/>
    </row>
    <row r="54" spans="1:54" s="495" customFormat="1" x14ac:dyDescent="0.25">
      <c r="A54" s="445"/>
      <c r="B54" s="623"/>
      <c r="C54" s="200" t="s">
        <v>547</v>
      </c>
      <c r="D54" s="604"/>
      <c r="E54" s="604"/>
      <c r="F54" s="604"/>
      <c r="G54" s="604"/>
      <c r="H54" s="618">
        <v>25</v>
      </c>
      <c r="I54" s="127" cm="1">
        <f t="array" ref="I54">_xlfn.IFS(I53=($H54*12),($H54*12), I53&gt;($H54*12),$H54*12,I53&lt;($H54*12),0, I53=0,0)</f>
        <v>300</v>
      </c>
      <c r="J54" s="127" cm="1">
        <f t="array" ref="J54">_xlfn.IFS(J53=($H54*12),($H54*12), J53&gt;($H54*12),$H54*12,J53&lt;($H54*12),0, J53=0,0)</f>
        <v>300</v>
      </c>
      <c r="K54" s="127" cm="1">
        <f t="array" ref="K54">_xlfn.IFS(K53=($H54*12),($H54*12), K53&gt;($H54*12),$H54*12,K53&lt;($H54*12),0, K53=0,0)</f>
        <v>300</v>
      </c>
      <c r="L54" s="127" cm="1">
        <f t="array" ref="L54">_xlfn.IFS(L53=($H54*12),($H54*12), L53&gt;($H54*12),$H54*12,L53&lt;($H54*12),0, L53=0,0)</f>
        <v>300</v>
      </c>
      <c r="M54" s="127" cm="1">
        <f t="array" ref="M54">_xlfn.IFS(M53=($H54*12),($H54*12), M53&gt;($H54*12),$H54*12,M53&lt;($H54*12),0, M53=0,0)</f>
        <v>300</v>
      </c>
      <c r="N54" s="245"/>
      <c r="O54" s="586"/>
      <c r="P54" s="757">
        <f t="shared" si="2"/>
        <v>0</v>
      </c>
      <c r="Q54" s="129"/>
      <c r="R54" s="129"/>
      <c r="S54" s="129"/>
      <c r="T54" s="129"/>
      <c r="U54" s="129"/>
      <c r="V54" s="209"/>
      <c r="W54" s="528"/>
      <c r="X54" s="222"/>
      <c r="Y54" s="325"/>
      <c r="Z54" s="774">
        <f t="shared" si="3"/>
        <v>0</v>
      </c>
      <c r="AA54" s="103">
        <f t="shared" si="107"/>
        <v>0</v>
      </c>
      <c r="AB54" s="103">
        <f t="shared" si="108"/>
        <v>0</v>
      </c>
      <c r="AC54" s="103">
        <f t="shared" si="109"/>
        <v>0</v>
      </c>
      <c r="AD54" s="103">
        <f t="shared" si="110"/>
        <v>0</v>
      </c>
      <c r="AE54" s="103">
        <f t="shared" si="111"/>
        <v>0</v>
      </c>
      <c r="AF54" s="123">
        <f t="shared" si="112"/>
        <v>0</v>
      </c>
      <c r="AG54" s="813"/>
      <c r="AH54" s="370"/>
      <c r="AI54" s="880" t="str">
        <f t="shared" si="121"/>
        <v>ClickSWITCH - includes 25 Switches per Month</v>
      </c>
      <c r="AJ54" s="271" t="s">
        <v>77</v>
      </c>
      <c r="AK54" s="105"/>
      <c r="AL54" s="105"/>
      <c r="AM54" s="105"/>
      <c r="AN54" s="105"/>
      <c r="AO54" s="105"/>
      <c r="AP54" s="158"/>
      <c r="AQ54" s="930"/>
      <c r="AR54" s="473"/>
      <c r="AS54" s="1181" t="s">
        <v>547</v>
      </c>
      <c r="AT54" s="1207" t="s">
        <v>77</v>
      </c>
      <c r="AU54" s="108"/>
      <c r="AV54" s="108"/>
      <c r="AW54" s="108"/>
      <c r="AX54" s="108"/>
      <c r="AY54" s="108"/>
      <c r="AZ54" s="165">
        <f t="shared" si="27"/>
        <v>0</v>
      </c>
      <c r="BA54" s="1190"/>
      <c r="BB54" s="1214"/>
    </row>
    <row r="55" spans="1:54" s="495" customFormat="1" x14ac:dyDescent="0.25">
      <c r="A55" s="445"/>
      <c r="B55" s="623"/>
      <c r="C55" s="200" t="s">
        <v>548</v>
      </c>
      <c r="D55" s="604"/>
      <c r="E55" s="604"/>
      <c r="F55" s="604"/>
      <c r="G55" s="604"/>
      <c r="H55" s="618"/>
      <c r="I55" s="127">
        <f>I53-I54</f>
        <v>0</v>
      </c>
      <c r="J55" s="127">
        <f t="shared" ref="J55" si="123">J53-J54</f>
        <v>6</v>
      </c>
      <c r="K55" s="127">
        <f t="shared" ref="K55" si="124">K53-K54</f>
        <v>12.120000000000005</v>
      </c>
      <c r="L55" s="127">
        <f t="shared" ref="L55" si="125">L53-L54</f>
        <v>18.36239999999998</v>
      </c>
      <c r="M55" s="127">
        <f t="shared" ref="M55" si="126">M53-M54</f>
        <v>24.729647999999997</v>
      </c>
      <c r="N55" s="245"/>
      <c r="O55" s="586"/>
      <c r="P55" s="757">
        <f t="shared" si="2"/>
        <v>0</v>
      </c>
      <c r="Q55" s="129"/>
      <c r="R55" s="129"/>
      <c r="S55" s="129"/>
      <c r="T55" s="129"/>
      <c r="U55" s="129"/>
      <c r="V55" s="209"/>
      <c r="W55" s="528"/>
      <c r="X55" s="222"/>
      <c r="Y55" s="325"/>
      <c r="Z55" s="774">
        <f t="shared" si="3"/>
        <v>0</v>
      </c>
      <c r="AA55" s="103">
        <f t="shared" si="107"/>
        <v>0</v>
      </c>
      <c r="AB55" s="103">
        <f t="shared" si="108"/>
        <v>0</v>
      </c>
      <c r="AC55" s="103">
        <f t="shared" si="109"/>
        <v>0</v>
      </c>
      <c r="AD55" s="103">
        <f t="shared" si="110"/>
        <v>0</v>
      </c>
      <c r="AE55" s="103">
        <f t="shared" si="111"/>
        <v>0</v>
      </c>
      <c r="AF55" s="123">
        <f t="shared" si="112"/>
        <v>0</v>
      </c>
      <c r="AG55" s="813"/>
      <c r="AH55" s="370"/>
      <c r="AI55" s="880" t="str">
        <f t="shared" si="121"/>
        <v>ClickSWITCH beyond 25 Switches per Month</v>
      </c>
      <c r="AJ55" s="270">
        <v>30.25</v>
      </c>
      <c r="AK55" s="105">
        <f>IF($AJ55&gt;0,PRODUCT(I55,$AJ55),0)</f>
        <v>0</v>
      </c>
      <c r="AL55" s="105">
        <f t="shared" ref="AL55" si="127">IF($AJ55&gt;0,PRODUCT(J55,$AJ55),0)</f>
        <v>181.5</v>
      </c>
      <c r="AM55" s="105">
        <f t="shared" ref="AM55" si="128">IF($AJ55&gt;0,PRODUCT(K55,$AJ55),0)</f>
        <v>366.63000000000011</v>
      </c>
      <c r="AN55" s="105">
        <f t="shared" ref="AN55" si="129">IF($AJ55&gt;0,PRODUCT(L55,$AJ55),0)</f>
        <v>555.46259999999938</v>
      </c>
      <c r="AO55" s="105">
        <f t="shared" ref="AO55" si="130">IF($AJ55&gt;0,PRODUCT(M55,$AJ55),0)</f>
        <v>748.07185199999992</v>
      </c>
      <c r="AP55" s="158">
        <f t="shared" si="118"/>
        <v>1851.6644519999995</v>
      </c>
      <c r="AQ55" s="930"/>
      <c r="AR55" s="473"/>
      <c r="AS55" s="1181" t="s">
        <v>548</v>
      </c>
      <c r="AT55" s="1207">
        <v>30.25</v>
      </c>
      <c r="AU55" s="108">
        <f t="shared" si="45"/>
        <v>0</v>
      </c>
      <c r="AV55" s="108">
        <f t="shared" si="46"/>
        <v>181.5</v>
      </c>
      <c r="AW55" s="108">
        <f t="shared" si="47"/>
        <v>366.63000000000011</v>
      </c>
      <c r="AX55" s="108">
        <f t="shared" si="48"/>
        <v>555.46259999999938</v>
      </c>
      <c r="AY55" s="108">
        <f t="shared" si="49"/>
        <v>748.07185199999992</v>
      </c>
      <c r="AZ55" s="165">
        <f t="shared" si="27"/>
        <v>1851.6644519999995</v>
      </c>
      <c r="BA55" s="1190"/>
      <c r="BB55" s="1214"/>
    </row>
    <row r="56" spans="1:54" s="495" customFormat="1" ht="16.5" customHeight="1" x14ac:dyDescent="0.25">
      <c r="A56" s="445"/>
      <c r="B56" s="445"/>
      <c r="C56" s="492"/>
      <c r="D56" s="604"/>
      <c r="E56" s="604"/>
      <c r="F56" s="604"/>
      <c r="G56" s="604"/>
      <c r="H56" s="618"/>
      <c r="I56" s="127"/>
      <c r="J56" s="127"/>
      <c r="K56" s="127"/>
      <c r="L56" s="127"/>
      <c r="M56" s="127"/>
      <c r="N56" s="245" t="str">
        <f>IF(C56="","",C56)</f>
        <v/>
      </c>
      <c r="O56" s="247"/>
      <c r="P56" s="757">
        <f t="shared" si="2"/>
        <v>0</v>
      </c>
      <c r="Q56" s="129"/>
      <c r="R56" s="129"/>
      <c r="S56" s="129"/>
      <c r="T56" s="129"/>
      <c r="U56" s="129"/>
      <c r="V56" s="209"/>
      <c r="W56" s="528"/>
      <c r="X56" s="222"/>
      <c r="Y56" s="324"/>
      <c r="Z56" s="774">
        <f t="shared" si="3"/>
        <v>0</v>
      </c>
      <c r="AA56" s="103">
        <f t="shared" si="107"/>
        <v>0</v>
      </c>
      <c r="AB56" s="103">
        <f t="shared" si="108"/>
        <v>0</v>
      </c>
      <c r="AC56" s="103">
        <f t="shared" si="109"/>
        <v>0</v>
      </c>
      <c r="AD56" s="103">
        <f t="shared" si="110"/>
        <v>0</v>
      </c>
      <c r="AE56" s="103">
        <f t="shared" si="111"/>
        <v>0</v>
      </c>
      <c r="AF56" s="123">
        <f t="shared" si="112"/>
        <v>0</v>
      </c>
      <c r="AG56" s="813"/>
      <c r="AH56" s="370"/>
      <c r="AI56" s="272"/>
      <c r="AJ56" s="271"/>
      <c r="AK56" s="105">
        <f t="shared" ref="AK56" si="131">IF(AJ56&gt;0,PRODUCT(I56,$AJ56),0)</f>
        <v>0</v>
      </c>
      <c r="AL56" s="105">
        <f t="shared" ref="AL56" si="132">IF(AK56&gt;0,PRODUCT(J56,$AJ56),0)</f>
        <v>0</v>
      </c>
      <c r="AM56" s="105">
        <f t="shared" ref="AM56" si="133">IF(AL56&gt;0,PRODUCT(K56,$AJ56),0)</f>
        <v>0</v>
      </c>
      <c r="AN56" s="105">
        <f t="shared" ref="AN56" si="134">IF(AM56&gt;0,PRODUCT(L56,$AJ56),0)</f>
        <v>0</v>
      </c>
      <c r="AO56" s="105">
        <f t="shared" ref="AO56" si="135">IF(AN56&gt;0,PRODUCT(M56,$AJ56),0)</f>
        <v>0</v>
      </c>
      <c r="AP56" s="158">
        <f t="shared" si="118"/>
        <v>0</v>
      </c>
      <c r="AQ56" s="930"/>
      <c r="AR56" s="473"/>
      <c r="AS56" s="106"/>
      <c r="AT56" s="1207"/>
      <c r="AU56" s="108">
        <f t="shared" si="45"/>
        <v>0</v>
      </c>
      <c r="AV56" s="108">
        <f t="shared" si="46"/>
        <v>0</v>
      </c>
      <c r="AW56" s="108">
        <f t="shared" si="47"/>
        <v>0</v>
      </c>
      <c r="AX56" s="108">
        <f t="shared" si="48"/>
        <v>0</v>
      </c>
      <c r="AY56" s="108">
        <f t="shared" si="49"/>
        <v>0</v>
      </c>
      <c r="AZ56" s="165">
        <f t="shared" si="27"/>
        <v>0</v>
      </c>
      <c r="BA56" s="1190"/>
      <c r="BB56" s="1214"/>
    </row>
    <row r="57" spans="1:54" s="495" customFormat="1" x14ac:dyDescent="0.25">
      <c r="A57" s="445"/>
      <c r="B57" s="445"/>
      <c r="C57" s="492"/>
      <c r="D57" s="604"/>
      <c r="E57" s="604"/>
      <c r="F57" s="604"/>
      <c r="G57" s="604"/>
      <c r="H57" s="618"/>
      <c r="I57" s="127"/>
      <c r="J57" s="127"/>
      <c r="K57" s="127"/>
      <c r="L57" s="127"/>
      <c r="M57" s="127"/>
      <c r="N57" s="245" t="str">
        <f>IF(C57="","",C57)</f>
        <v/>
      </c>
      <c r="O57" s="247"/>
      <c r="P57" s="757">
        <f t="shared" si="2"/>
        <v>0</v>
      </c>
      <c r="Q57" s="129"/>
      <c r="R57" s="129"/>
      <c r="S57" s="129"/>
      <c r="T57" s="129"/>
      <c r="U57" s="129"/>
      <c r="V57" s="209"/>
      <c r="W57" s="528"/>
      <c r="X57" s="222"/>
      <c r="Y57" s="324"/>
      <c r="Z57" s="774">
        <f t="shared" si="3"/>
        <v>0</v>
      </c>
      <c r="AA57" s="103">
        <f t="shared" si="107"/>
        <v>0</v>
      </c>
      <c r="AB57" s="103">
        <f t="shared" si="108"/>
        <v>0</v>
      </c>
      <c r="AC57" s="103">
        <f t="shared" si="109"/>
        <v>0</v>
      </c>
      <c r="AD57" s="103">
        <f t="shared" si="110"/>
        <v>0</v>
      </c>
      <c r="AE57" s="103">
        <f t="shared" si="111"/>
        <v>0</v>
      </c>
      <c r="AF57" s="123">
        <f t="shared" si="112"/>
        <v>0</v>
      </c>
      <c r="AG57" s="813"/>
      <c r="AH57" s="370"/>
      <c r="AI57" s="272"/>
      <c r="AJ57" s="271"/>
      <c r="AK57" s="105">
        <f t="shared" si="113"/>
        <v>0</v>
      </c>
      <c r="AL57" s="105">
        <f t="shared" si="114"/>
        <v>0</v>
      </c>
      <c r="AM57" s="105">
        <f t="shared" si="115"/>
        <v>0</v>
      </c>
      <c r="AN57" s="105">
        <f t="shared" si="116"/>
        <v>0</v>
      </c>
      <c r="AO57" s="105">
        <f t="shared" si="117"/>
        <v>0</v>
      </c>
      <c r="AP57" s="158">
        <f t="shared" si="118"/>
        <v>0</v>
      </c>
      <c r="AQ57" s="930"/>
      <c r="AR57" s="473"/>
      <c r="AS57" s="106"/>
      <c r="AT57" s="1207"/>
      <c r="AU57" s="108">
        <f t="shared" si="45"/>
        <v>0</v>
      </c>
      <c r="AV57" s="108">
        <f t="shared" si="46"/>
        <v>0</v>
      </c>
      <c r="AW57" s="108">
        <f t="shared" si="47"/>
        <v>0</v>
      </c>
      <c r="AX57" s="108">
        <f t="shared" si="48"/>
        <v>0</v>
      </c>
      <c r="AY57" s="108">
        <f t="shared" si="49"/>
        <v>0</v>
      </c>
      <c r="AZ57" s="165">
        <f t="shared" si="27"/>
        <v>0</v>
      </c>
      <c r="BA57" s="1190"/>
      <c r="BB57" s="1214"/>
    </row>
    <row r="58" spans="1:54" s="495" customFormat="1" x14ac:dyDescent="0.25">
      <c r="A58" s="445"/>
      <c r="B58" s="252" t="str">
        <f>C58</f>
        <v>AUTHENTICATION ITEMS:</v>
      </c>
      <c r="C58" s="242" t="s">
        <v>549</v>
      </c>
      <c r="D58" s="609"/>
      <c r="E58" s="609"/>
      <c r="F58" s="609"/>
      <c r="G58" s="609"/>
      <c r="H58" s="619"/>
      <c r="I58" s="243"/>
      <c r="J58" s="243"/>
      <c r="K58" s="243"/>
      <c r="L58" s="243"/>
      <c r="M58" s="244"/>
      <c r="N58" s="252" t="str">
        <f>IF(C58="","",C58)</f>
        <v>AUTHENTICATION ITEMS:</v>
      </c>
      <c r="O58" s="243"/>
      <c r="P58" s="756"/>
      <c r="Q58" s="243"/>
      <c r="R58" s="243"/>
      <c r="S58" s="243"/>
      <c r="T58" s="243"/>
      <c r="U58" s="244"/>
      <c r="V58" s="209"/>
      <c r="W58" s="527"/>
      <c r="X58" s="252" t="str">
        <f>C58</f>
        <v>AUTHENTICATION ITEMS:</v>
      </c>
      <c r="Y58" s="243"/>
      <c r="Z58" s="756"/>
      <c r="AA58" s="243"/>
      <c r="AB58" s="243"/>
      <c r="AC58" s="243"/>
      <c r="AD58" s="243"/>
      <c r="AE58" s="244"/>
      <c r="AF58" s="123"/>
      <c r="AG58" s="812"/>
      <c r="AH58" s="808"/>
      <c r="AI58" s="252" t="str">
        <f>C58</f>
        <v>AUTHENTICATION ITEMS:</v>
      </c>
      <c r="AJ58" s="243"/>
      <c r="AK58" s="243"/>
      <c r="AL58" s="243"/>
      <c r="AM58" s="243"/>
      <c r="AN58" s="243"/>
      <c r="AO58" s="244"/>
      <c r="AP58" s="158"/>
      <c r="AQ58" s="812"/>
      <c r="AR58" s="812"/>
      <c r="AS58" s="252" t="s">
        <v>549</v>
      </c>
      <c r="AT58" s="243"/>
      <c r="AU58" s="243"/>
      <c r="AV58" s="243"/>
      <c r="AW58" s="243"/>
      <c r="AX58" s="243"/>
      <c r="AY58" s="244"/>
      <c r="AZ58" s="165">
        <f t="shared" si="27"/>
        <v>0</v>
      </c>
      <c r="BA58" s="812"/>
      <c r="BB58" s="1212"/>
    </row>
    <row r="59" spans="1:54" s="495" customFormat="1" x14ac:dyDescent="0.25">
      <c r="A59" s="787"/>
      <c r="B59" s="623" t="s">
        <v>529</v>
      </c>
      <c r="C59" s="492" t="s">
        <v>550</v>
      </c>
      <c r="D59" s="604">
        <v>91195</v>
      </c>
      <c r="E59" s="604">
        <v>94803</v>
      </c>
      <c r="F59" s="604">
        <v>88351</v>
      </c>
      <c r="G59" s="604"/>
      <c r="H59" s="618">
        <f>IFERROR(AVERAGE(D59:F59),0)</f>
        <v>91449.666666666672</v>
      </c>
      <c r="I59" s="127">
        <f>H59*12</f>
        <v>1097396</v>
      </c>
      <c r="J59" s="127">
        <f t="shared" ref="J59:M62" si="136">IF(I59&gt;12,(((I59)*$H$5)+I59),(I59*1))</f>
        <v>1119343.92</v>
      </c>
      <c r="K59" s="127">
        <f t="shared" si="136"/>
        <v>1141730.7984</v>
      </c>
      <c r="L59" s="127">
        <f t="shared" si="136"/>
        <v>1164565.4143679999</v>
      </c>
      <c r="M59" s="127">
        <f t="shared" si="136"/>
        <v>1187856.7226553599</v>
      </c>
      <c r="N59" s="245" t="str">
        <f>IF(C59="","",C59)</f>
        <v>Advanced Login Authentication Logins</v>
      </c>
      <c r="O59" s="247">
        <v>6.4200000000000004E-3</v>
      </c>
      <c r="P59" s="757">
        <f>Q59/12</f>
        <v>587.10685999999998</v>
      </c>
      <c r="Q59" s="129">
        <f>IF(O59&gt;0,PRODUCT(I59,$O59),0)</f>
        <v>7045.2823200000003</v>
      </c>
      <c r="R59" s="129">
        <f t="shared" ref="R59:U60" si="137">IF(Q59&gt;0,PRODUCT(J59,$O59),0)</f>
        <v>7186.1879663999998</v>
      </c>
      <c r="S59" s="129">
        <f t="shared" si="137"/>
        <v>7329.9117257280004</v>
      </c>
      <c r="T59" s="129">
        <f t="shared" si="137"/>
        <v>7476.5099602425598</v>
      </c>
      <c r="U59" s="129">
        <f t="shared" si="137"/>
        <v>7626.0401594474106</v>
      </c>
      <c r="V59" s="209">
        <f>SUM(Q59:U59)</f>
        <v>36663.932131817972</v>
      </c>
      <c r="W59" s="528" t="s">
        <v>523</v>
      </c>
      <c r="X59" s="734"/>
      <c r="Y59" s="324"/>
      <c r="Z59" s="774">
        <f>AA59/12</f>
        <v>0</v>
      </c>
      <c r="AA59" s="103"/>
      <c r="AB59" s="103"/>
      <c r="AC59" s="103"/>
      <c r="AD59" s="103"/>
      <c r="AE59" s="103"/>
      <c r="AF59" s="123"/>
      <c r="AG59" s="813"/>
      <c r="AH59" s="370"/>
      <c r="AI59" s="221"/>
      <c r="AJ59" s="271"/>
      <c r="AK59" s="105"/>
      <c r="AL59" s="105"/>
      <c r="AM59" s="105"/>
      <c r="AN59" s="105"/>
      <c r="AO59" s="105"/>
      <c r="AP59" s="158"/>
      <c r="AQ59" s="930"/>
      <c r="AR59" s="473"/>
      <c r="AS59" s="106"/>
      <c r="AT59" s="1200"/>
      <c r="AU59" s="108">
        <f t="shared" ref="AU59" si="138">IF($AT59&gt;0,PRODUCT(I59,$AT59),0)</f>
        <v>0</v>
      </c>
      <c r="AV59" s="108">
        <f t="shared" ref="AV59" si="139">IF($AT59&gt;0,PRODUCT(J59,$AT59),0)</f>
        <v>0</v>
      </c>
      <c r="AW59" s="108">
        <f t="shared" ref="AW59" si="140">IF($AT59&gt;0,PRODUCT(K59,$AT59),0)</f>
        <v>0</v>
      </c>
      <c r="AX59" s="108">
        <f t="shared" ref="AX59" si="141">IF($AT59&gt;0,PRODUCT(L59,$AT59),0)</f>
        <v>0</v>
      </c>
      <c r="AY59" s="108">
        <f t="shared" ref="AY59" si="142">IF($AT59&gt;0,PRODUCT(M59,$AT59),0)</f>
        <v>0</v>
      </c>
      <c r="AZ59" s="165">
        <f t="shared" si="27"/>
        <v>0</v>
      </c>
      <c r="BA59" s="1190"/>
      <c r="BB59" s="1214"/>
    </row>
    <row r="60" spans="1:54" s="495" customFormat="1" x14ac:dyDescent="0.25">
      <c r="A60" s="787"/>
      <c r="B60" s="623" t="s">
        <v>529</v>
      </c>
      <c r="C60" s="492" t="s">
        <v>551</v>
      </c>
      <c r="D60" s="604">
        <v>2116</v>
      </c>
      <c r="E60" s="604">
        <v>2239</v>
      </c>
      <c r="F60" s="604">
        <v>2803</v>
      </c>
      <c r="G60" s="604"/>
      <c r="H60" s="618">
        <f>IFERROR(AVERAGE(D60:F60),0)</f>
        <v>2386</v>
      </c>
      <c r="I60" s="127">
        <f>H60*12</f>
        <v>28632</v>
      </c>
      <c r="J60" s="127">
        <f t="shared" si="136"/>
        <v>29204.639999999999</v>
      </c>
      <c r="K60" s="127">
        <f t="shared" si="136"/>
        <v>29788.732799999998</v>
      </c>
      <c r="L60" s="127">
        <f t="shared" si="136"/>
        <v>30384.507455999999</v>
      </c>
      <c r="M60" s="127">
        <f t="shared" si="136"/>
        <v>30992.19760512</v>
      </c>
      <c r="N60" s="245" t="str">
        <f>IF(C60="","",C60)</f>
        <v>Out of Band Authentication</v>
      </c>
      <c r="O60" s="247">
        <v>0.30432999999999999</v>
      </c>
      <c r="P60" s="757">
        <f>Q60/12</f>
        <v>726.13137999999992</v>
      </c>
      <c r="Q60" s="129">
        <f>IF(O60&gt;0,PRODUCT(I60,$O60),0)</f>
        <v>8713.5765599999995</v>
      </c>
      <c r="R60" s="129">
        <f t="shared" si="137"/>
        <v>8887.8480911999995</v>
      </c>
      <c r="S60" s="129">
        <f t="shared" si="137"/>
        <v>9065.6050530239991</v>
      </c>
      <c r="T60" s="129">
        <f t="shared" si="137"/>
        <v>9246.91715408448</v>
      </c>
      <c r="U60" s="129">
        <f t="shared" si="137"/>
        <v>9431.8554971661688</v>
      </c>
      <c r="V60" s="209">
        <f>SUM(Q60:U60)</f>
        <v>45345.802355474647</v>
      </c>
      <c r="W60" s="528" t="s">
        <v>523</v>
      </c>
      <c r="X60" s="734" t="str">
        <f>"See item "&amp;"'"&amp; X61 &amp; "'"</f>
        <v>See item 'D1 Out of Band Authentication'</v>
      </c>
      <c r="Y60" s="324"/>
      <c r="Z60" s="774">
        <f>AA60/12</f>
        <v>0</v>
      </c>
      <c r="AA60" s="103"/>
      <c r="AB60" s="103"/>
      <c r="AC60" s="103"/>
      <c r="AD60" s="103"/>
      <c r="AE60" s="103"/>
      <c r="AF60" s="123"/>
      <c r="AG60" s="813"/>
      <c r="AH60" s="370"/>
      <c r="AI60" s="221"/>
      <c r="AJ60" s="271"/>
      <c r="AK60" s="105"/>
      <c r="AL60" s="105"/>
      <c r="AM60" s="105"/>
      <c r="AN60" s="105"/>
      <c r="AO60" s="105"/>
      <c r="AP60" s="158"/>
      <c r="AQ60" s="930"/>
      <c r="AR60" s="473"/>
      <c r="AS60" s="106"/>
      <c r="AT60" s="1200"/>
      <c r="AU60" s="108">
        <f t="shared" ref="AU60:AU62" si="143">IF($AT60&gt;0,PRODUCT(I60,$AT60),0)</f>
        <v>0</v>
      </c>
      <c r="AV60" s="108">
        <f t="shared" ref="AV60:AV62" si="144">IF($AT60&gt;0,PRODUCT(J60,$AT60),0)</f>
        <v>0</v>
      </c>
      <c r="AW60" s="108">
        <f t="shared" ref="AW60:AW62" si="145">IF($AT60&gt;0,PRODUCT(K60,$AT60),0)</f>
        <v>0</v>
      </c>
      <c r="AX60" s="108">
        <f t="shared" ref="AX60:AX62" si="146">IF($AT60&gt;0,PRODUCT(L60,$AT60),0)</f>
        <v>0</v>
      </c>
      <c r="AY60" s="108">
        <f t="shared" ref="AY60:AY62" si="147">IF($AT60&gt;0,PRODUCT(M60,$AT60),0)</f>
        <v>0</v>
      </c>
      <c r="AZ60" s="165">
        <f t="shared" si="27"/>
        <v>0</v>
      </c>
      <c r="BA60" s="1190"/>
      <c r="BB60" s="1214"/>
    </row>
    <row r="61" spans="1:54" s="495" customFormat="1" x14ac:dyDescent="0.25">
      <c r="A61" s="804"/>
      <c r="B61" s="623" t="s">
        <v>552</v>
      </c>
      <c r="C61" s="310" t="s">
        <v>553</v>
      </c>
      <c r="D61" s="604"/>
      <c r="E61" s="604"/>
      <c r="F61" s="604"/>
      <c r="G61" s="604"/>
      <c r="H61" s="618">
        <f>H60</f>
        <v>2386</v>
      </c>
      <c r="I61" s="127">
        <f>H61*12</f>
        <v>28632</v>
      </c>
      <c r="J61" s="127">
        <f t="shared" si="136"/>
        <v>29204.639999999999</v>
      </c>
      <c r="K61" s="127">
        <f t="shared" si="136"/>
        <v>29788.732799999998</v>
      </c>
      <c r="L61" s="127">
        <f t="shared" si="136"/>
        <v>30384.507455999999</v>
      </c>
      <c r="M61" s="127">
        <f t="shared" si="136"/>
        <v>30992.19760512</v>
      </c>
      <c r="N61" s="245"/>
      <c r="O61" s="586"/>
      <c r="P61" s="757">
        <f>Q61/12</f>
        <v>0</v>
      </c>
      <c r="Q61" s="129"/>
      <c r="R61" s="129"/>
      <c r="S61" s="129"/>
      <c r="T61" s="129"/>
      <c r="U61" s="129"/>
      <c r="V61" s="209"/>
      <c r="W61" s="528"/>
      <c r="X61" s="222" t="str">
        <f>C61</f>
        <v>D1 Out of Band Authentication</v>
      </c>
      <c r="Y61" s="325">
        <v>0.2</v>
      </c>
      <c r="Z61" s="774">
        <f>AA61/12</f>
        <v>477.20000000000005</v>
      </c>
      <c r="AA61" s="103">
        <f>IF(Y61&gt;0,PRODUCT(I61,$Y61),0)</f>
        <v>5726.4000000000005</v>
      </c>
      <c r="AB61" s="103">
        <f>IF(AA61&gt;0,PRODUCT(J61,$Y61),0)</f>
        <v>5840.9279999999999</v>
      </c>
      <c r="AC61" s="103">
        <f>IF(AB61&gt;0,PRODUCT(K61,$Y61),0)</f>
        <v>5957.7465599999996</v>
      </c>
      <c r="AD61" s="103">
        <f>IF(AC61&gt;0,PRODUCT(L61,$Y61),0)</f>
        <v>6076.9014912000002</v>
      </c>
      <c r="AE61" s="103">
        <f>IF(AD61&gt;0,PRODUCT(M61,$Y61),0)</f>
        <v>6198.439521024</v>
      </c>
      <c r="AF61" s="123">
        <f>SUM(AA61:AE61)</f>
        <v>29800.415572223999</v>
      </c>
      <c r="AG61" s="813" t="s">
        <v>496</v>
      </c>
      <c r="AH61" s="370"/>
      <c r="AI61" s="221"/>
      <c r="AJ61" s="255"/>
      <c r="AK61" s="105">
        <f t="shared" ref="AK61:AO62" si="148">IF(AJ61&gt;0,PRODUCT(I61,$AJ61),0)</f>
        <v>0</v>
      </c>
      <c r="AL61" s="105">
        <f t="shared" si="148"/>
        <v>0</v>
      </c>
      <c r="AM61" s="105">
        <f t="shared" si="148"/>
        <v>0</v>
      </c>
      <c r="AN61" s="105">
        <f t="shared" si="148"/>
        <v>0</v>
      </c>
      <c r="AO61" s="105">
        <f t="shared" si="148"/>
        <v>0</v>
      </c>
      <c r="AP61" s="158">
        <f>SUM(AK61:AO61)</f>
        <v>0</v>
      </c>
      <c r="AQ61" s="930"/>
      <c r="AR61" s="473"/>
      <c r="AS61" s="106"/>
      <c r="AT61" s="1207"/>
      <c r="AU61" s="108">
        <f t="shared" si="143"/>
        <v>0</v>
      </c>
      <c r="AV61" s="108">
        <f t="shared" si="144"/>
        <v>0</v>
      </c>
      <c r="AW61" s="108">
        <f t="shared" si="145"/>
        <v>0</v>
      </c>
      <c r="AX61" s="108">
        <f t="shared" si="146"/>
        <v>0</v>
      </c>
      <c r="AY61" s="108">
        <f t="shared" si="147"/>
        <v>0</v>
      </c>
      <c r="AZ61" s="165">
        <f t="shared" si="27"/>
        <v>0</v>
      </c>
      <c r="BA61" s="1190"/>
      <c r="BB61" s="1214"/>
    </row>
    <row r="62" spans="1:54" s="495" customFormat="1" ht="21" customHeight="1" x14ac:dyDescent="0.25">
      <c r="A62" s="445"/>
      <c r="B62" s="623"/>
      <c r="C62" s="310"/>
      <c r="D62" s="604"/>
      <c r="E62" s="604"/>
      <c r="F62" s="604"/>
      <c r="G62" s="604"/>
      <c r="H62" s="618"/>
      <c r="I62" s="127">
        <f>H62*12</f>
        <v>0</v>
      </c>
      <c r="J62" s="127">
        <f t="shared" si="136"/>
        <v>0</v>
      </c>
      <c r="K62" s="127">
        <f t="shared" si="136"/>
        <v>0</v>
      </c>
      <c r="L62" s="127">
        <f t="shared" si="136"/>
        <v>0</v>
      </c>
      <c r="M62" s="127">
        <f t="shared" si="136"/>
        <v>0</v>
      </c>
      <c r="N62" s="245" t="str">
        <f t="shared" ref="N62:N67" si="149">IF(C62="","",C62)</f>
        <v/>
      </c>
      <c r="O62" s="586"/>
      <c r="P62" s="757">
        <f>Q62/12</f>
        <v>0</v>
      </c>
      <c r="Q62" s="129"/>
      <c r="R62" s="129"/>
      <c r="S62" s="129"/>
      <c r="T62" s="129"/>
      <c r="U62" s="129"/>
      <c r="V62" s="209"/>
      <c r="W62" s="528"/>
      <c r="X62" s="222"/>
      <c r="Y62" s="325"/>
      <c r="Z62" s="774"/>
      <c r="AA62" s="103"/>
      <c r="AB62" s="103"/>
      <c r="AC62" s="103"/>
      <c r="AD62" s="103"/>
      <c r="AE62" s="103"/>
      <c r="AF62" s="123"/>
      <c r="AG62" s="813"/>
      <c r="AH62" s="370"/>
      <c r="AI62" s="221"/>
      <c r="AJ62" s="255"/>
      <c r="AK62" s="105">
        <f t="shared" si="148"/>
        <v>0</v>
      </c>
      <c r="AL62" s="105">
        <f t="shared" si="148"/>
        <v>0</v>
      </c>
      <c r="AM62" s="105">
        <f t="shared" si="148"/>
        <v>0</v>
      </c>
      <c r="AN62" s="105">
        <f t="shared" si="148"/>
        <v>0</v>
      </c>
      <c r="AO62" s="105">
        <f t="shared" si="148"/>
        <v>0</v>
      </c>
      <c r="AP62" s="158">
        <f>SUM(AK62:AO62)</f>
        <v>0</v>
      </c>
      <c r="AQ62" s="930"/>
      <c r="AR62" s="473"/>
      <c r="AS62" s="106"/>
      <c r="AT62" s="1207"/>
      <c r="AU62" s="108">
        <f t="shared" si="143"/>
        <v>0</v>
      </c>
      <c r="AV62" s="108">
        <f t="shared" si="144"/>
        <v>0</v>
      </c>
      <c r="AW62" s="108">
        <f t="shared" si="145"/>
        <v>0</v>
      </c>
      <c r="AX62" s="108">
        <f t="shared" si="146"/>
        <v>0</v>
      </c>
      <c r="AY62" s="108">
        <f t="shared" si="147"/>
        <v>0</v>
      </c>
      <c r="AZ62" s="165">
        <f t="shared" si="27"/>
        <v>0</v>
      </c>
      <c r="BA62" s="1190"/>
      <c r="BB62" s="1214"/>
    </row>
    <row r="63" spans="1:54" s="495" customFormat="1" x14ac:dyDescent="0.25">
      <c r="A63" s="445"/>
      <c r="B63" s="252" t="str">
        <f>C63</f>
        <v>Bill Pay / iPay:</v>
      </c>
      <c r="C63" s="242" t="s">
        <v>554</v>
      </c>
      <c r="D63" s="609"/>
      <c r="E63" s="609"/>
      <c r="F63" s="609"/>
      <c r="G63" s="609"/>
      <c r="H63" s="619"/>
      <c r="I63" s="243"/>
      <c r="J63" s="243"/>
      <c r="K63" s="243"/>
      <c r="L63" s="243"/>
      <c r="M63" s="244"/>
      <c r="N63" s="252" t="str">
        <f t="shared" si="149"/>
        <v>Bill Pay / iPay:</v>
      </c>
      <c r="O63" s="243"/>
      <c r="P63" s="756"/>
      <c r="Q63" s="243"/>
      <c r="R63" s="243"/>
      <c r="S63" s="243"/>
      <c r="T63" s="243"/>
      <c r="U63" s="244"/>
      <c r="V63" s="209"/>
      <c r="W63" s="527"/>
      <c r="X63" s="252" t="str">
        <f>C63</f>
        <v>Bill Pay / iPay:</v>
      </c>
      <c r="Y63" s="243"/>
      <c r="Z63" s="756"/>
      <c r="AA63" s="243"/>
      <c r="AB63" s="243"/>
      <c r="AC63" s="243"/>
      <c r="AD63" s="243"/>
      <c r="AE63" s="244"/>
      <c r="AF63" s="123"/>
      <c r="AG63" s="812"/>
      <c r="AH63" s="808"/>
      <c r="AI63" s="252" t="str">
        <f>C63</f>
        <v>Bill Pay / iPay:</v>
      </c>
      <c r="AJ63" s="243"/>
      <c r="AK63" s="243"/>
      <c r="AL63" s="243"/>
      <c r="AM63" s="243"/>
      <c r="AN63" s="243"/>
      <c r="AO63" s="244"/>
      <c r="AP63" s="158"/>
      <c r="AQ63" s="812"/>
      <c r="AR63" s="812"/>
      <c r="AS63" s="252" t="s">
        <v>554</v>
      </c>
      <c r="AT63" s="243"/>
      <c r="AU63" s="243"/>
      <c r="AV63" s="243"/>
      <c r="AW63" s="243"/>
      <c r="AX63" s="243"/>
      <c r="AY63" s="244"/>
      <c r="AZ63" s="165">
        <f t="shared" si="27"/>
        <v>0</v>
      </c>
      <c r="BA63" s="812"/>
      <c r="BB63" s="1212"/>
    </row>
    <row r="64" spans="1:54" s="495" customFormat="1" x14ac:dyDescent="0.25">
      <c r="A64" s="787"/>
      <c r="B64" s="623" t="s">
        <v>555</v>
      </c>
      <c r="C64" s="310" t="s">
        <v>556</v>
      </c>
      <c r="D64" s="604">
        <v>974</v>
      </c>
      <c r="E64" s="604">
        <v>970</v>
      </c>
      <c r="F64" s="604">
        <v>975</v>
      </c>
      <c r="G64" s="604"/>
      <c r="H64" s="618">
        <f>IFERROR(AVERAGE(D64:F64),0)</f>
        <v>973</v>
      </c>
      <c r="I64" s="127">
        <f t="shared" ref="I64:I69" si="150">H64*12</f>
        <v>11676</v>
      </c>
      <c r="J64" s="127">
        <f t="shared" ref="J64:M69" si="151">IF(I64&gt;12,(((I64)*$H$5)+I64),(I64*1))</f>
        <v>11909.52</v>
      </c>
      <c r="K64" s="127">
        <f t="shared" si="151"/>
        <v>12147.7104</v>
      </c>
      <c r="L64" s="127">
        <f t="shared" si="151"/>
        <v>12390.664607999999</v>
      </c>
      <c r="M64" s="127">
        <f t="shared" si="151"/>
        <v>12638.47790016</v>
      </c>
      <c r="N64" s="245" t="str">
        <f t="shared" si="149"/>
        <v>Users</v>
      </c>
      <c r="O64" s="586">
        <v>7.43</v>
      </c>
      <c r="P64" s="757">
        <f t="shared" ref="P64:P72" si="152">Q64/12</f>
        <v>7229.3899999999994</v>
      </c>
      <c r="Q64" s="129">
        <f>IF(O64&gt;0,PRODUCT(I64,$O64),0)</f>
        <v>86752.68</v>
      </c>
      <c r="R64" s="129">
        <f t="shared" ref="R64:U67" si="153">IF(Q64&gt;0,PRODUCT(J64,$O64),0)</f>
        <v>88487.733600000007</v>
      </c>
      <c r="S64" s="129">
        <f t="shared" si="153"/>
        <v>90257.488272000002</v>
      </c>
      <c r="T64" s="129">
        <f t="shared" si="153"/>
        <v>92062.638037439989</v>
      </c>
      <c r="U64" s="129">
        <f t="shared" si="153"/>
        <v>93903.89079818879</v>
      </c>
      <c r="V64" s="209">
        <f>SUM(Q64:U64)</f>
        <v>451464.43070762878</v>
      </c>
      <c r="W64" s="528"/>
      <c r="X64" s="222"/>
      <c r="Y64" s="325"/>
      <c r="Z64" s="774"/>
      <c r="AA64" s="103"/>
      <c r="AB64" s="103"/>
      <c r="AC64" s="103"/>
      <c r="AD64" s="103"/>
      <c r="AE64" s="103"/>
      <c r="AF64" s="123"/>
      <c r="AG64" s="813"/>
      <c r="AH64" s="370"/>
      <c r="AI64" s="221"/>
      <c r="AJ64" s="255"/>
      <c r="AK64" s="105"/>
      <c r="AL64" s="105"/>
      <c r="AM64" s="105"/>
      <c r="AN64" s="105"/>
      <c r="AO64" s="105"/>
      <c r="AP64" s="158"/>
      <c r="AQ64" s="930"/>
      <c r="AR64" s="473"/>
      <c r="AS64" s="106"/>
      <c r="AT64" s="1207"/>
      <c r="AU64" s="108">
        <f t="shared" ref="AU64" si="154">IF($AT64&gt;0,PRODUCT(I64,$AT64),0)</f>
        <v>0</v>
      </c>
      <c r="AV64" s="108">
        <f t="shared" ref="AV64" si="155">IF($AT64&gt;0,PRODUCT(J64,$AT64),0)</f>
        <v>0</v>
      </c>
      <c r="AW64" s="108">
        <f t="shared" ref="AW64" si="156">IF($AT64&gt;0,PRODUCT(K64,$AT64),0)</f>
        <v>0</v>
      </c>
      <c r="AX64" s="108">
        <f t="shared" ref="AX64" si="157">IF($AT64&gt;0,PRODUCT(L64,$AT64),0)</f>
        <v>0</v>
      </c>
      <c r="AY64" s="108">
        <f t="shared" ref="AY64" si="158">IF($AT64&gt;0,PRODUCT(M64,$AT64),0)</f>
        <v>0</v>
      </c>
      <c r="AZ64" s="165">
        <f t="shared" si="27"/>
        <v>0</v>
      </c>
      <c r="BA64" s="1190"/>
      <c r="BB64" s="1214"/>
    </row>
    <row r="65" spans="1:54" s="495" customFormat="1" x14ac:dyDescent="0.25">
      <c r="A65" s="787"/>
      <c r="B65" s="623" t="s">
        <v>555</v>
      </c>
      <c r="C65" s="310" t="s">
        <v>557</v>
      </c>
      <c r="D65" s="604">
        <v>3</v>
      </c>
      <c r="E65" s="604">
        <v>2</v>
      </c>
      <c r="F65" s="604">
        <v>4</v>
      </c>
      <c r="G65" s="604"/>
      <c r="H65" s="618">
        <f>IFERROR(AVERAGE(D65:F65),0)</f>
        <v>3</v>
      </c>
      <c r="I65" s="127">
        <f t="shared" si="150"/>
        <v>36</v>
      </c>
      <c r="J65" s="127">
        <f t="shared" si="151"/>
        <v>36.72</v>
      </c>
      <c r="K65" s="127">
        <f t="shared" si="151"/>
        <v>37.4544</v>
      </c>
      <c r="L65" s="127">
        <f t="shared" si="151"/>
        <v>38.203488</v>
      </c>
      <c r="M65" s="127">
        <f t="shared" si="151"/>
        <v>38.967557759999998</v>
      </c>
      <c r="N65" s="245" t="str">
        <f t="shared" si="149"/>
        <v>NSFs</v>
      </c>
      <c r="O65" s="586">
        <v>14.39</v>
      </c>
      <c r="P65" s="757">
        <f t="shared" si="152"/>
        <v>43.169999999999995</v>
      </c>
      <c r="Q65" s="129">
        <f>IF(O65&gt;0,PRODUCT(I65,$O65),0)</f>
        <v>518.04</v>
      </c>
      <c r="R65" s="129">
        <f t="shared" si="153"/>
        <v>528.4008</v>
      </c>
      <c r="S65" s="129">
        <f t="shared" si="153"/>
        <v>538.96881600000006</v>
      </c>
      <c r="T65" s="129">
        <f t="shared" si="153"/>
        <v>549.74819232000004</v>
      </c>
      <c r="U65" s="129">
        <f t="shared" si="153"/>
        <v>560.74315616640001</v>
      </c>
      <c r="V65" s="209">
        <f>SUM(Q65:U65)</f>
        <v>2695.9009644864</v>
      </c>
      <c r="W65" s="528"/>
      <c r="X65" s="222"/>
      <c r="Y65" s="325"/>
      <c r="Z65" s="774"/>
      <c r="AA65" s="103"/>
      <c r="AB65" s="103"/>
      <c r="AC65" s="103"/>
      <c r="AD65" s="103"/>
      <c r="AE65" s="103"/>
      <c r="AF65" s="123"/>
      <c r="AG65" s="813"/>
      <c r="AH65" s="370"/>
      <c r="AI65" s="221"/>
      <c r="AJ65" s="271"/>
      <c r="AK65" s="105"/>
      <c r="AL65" s="105"/>
      <c r="AM65" s="105"/>
      <c r="AN65" s="105"/>
      <c r="AO65" s="105"/>
      <c r="AP65" s="158"/>
      <c r="AQ65" s="930"/>
      <c r="AR65" s="473"/>
      <c r="AS65" s="106"/>
      <c r="AT65" s="1200"/>
      <c r="AU65" s="108">
        <f t="shared" ref="AU65:AU72" si="159">IF($AT65&gt;0,PRODUCT(I65,$AT65),0)</f>
        <v>0</v>
      </c>
      <c r="AV65" s="108">
        <f t="shared" ref="AV65:AV72" si="160">IF($AT65&gt;0,PRODUCT(J65,$AT65),0)</f>
        <v>0</v>
      </c>
      <c r="AW65" s="108">
        <f t="shared" ref="AW65:AW72" si="161">IF($AT65&gt;0,PRODUCT(K65,$AT65),0)</f>
        <v>0</v>
      </c>
      <c r="AX65" s="108">
        <f t="shared" ref="AX65:AX72" si="162">IF($AT65&gt;0,PRODUCT(L65,$AT65),0)</f>
        <v>0</v>
      </c>
      <c r="AY65" s="108">
        <f t="shared" ref="AY65:AY72" si="163">IF($AT65&gt;0,PRODUCT(M65,$AT65),0)</f>
        <v>0</v>
      </c>
      <c r="AZ65" s="165">
        <f t="shared" si="27"/>
        <v>0</v>
      </c>
      <c r="BA65" s="1190"/>
      <c r="BB65" s="1214"/>
    </row>
    <row r="66" spans="1:54" s="495" customFormat="1" x14ac:dyDescent="0.25">
      <c r="A66" s="787"/>
      <c r="B66" s="623" t="s">
        <v>555</v>
      </c>
      <c r="C66" s="310" t="s">
        <v>558</v>
      </c>
      <c r="D66" s="604">
        <v>1572</v>
      </c>
      <c r="E66" s="604">
        <v>1626</v>
      </c>
      <c r="F66" s="604">
        <v>1500</v>
      </c>
      <c r="G66" s="604"/>
      <c r="H66" s="618">
        <f>IFERROR(AVERAGE(D66:F66),0)</f>
        <v>1566</v>
      </c>
      <c r="I66" s="127">
        <f t="shared" si="150"/>
        <v>18792</v>
      </c>
      <c r="J66" s="127">
        <f t="shared" si="151"/>
        <v>19167.84</v>
      </c>
      <c r="K66" s="127">
        <f t="shared" si="151"/>
        <v>19551.196800000002</v>
      </c>
      <c r="L66" s="127">
        <f t="shared" si="151"/>
        <v>19942.220736000003</v>
      </c>
      <c r="M66" s="127">
        <f t="shared" si="151"/>
        <v>20341.065150720002</v>
      </c>
      <c r="N66" s="245" t="str">
        <f t="shared" si="149"/>
        <v>Fraud Management</v>
      </c>
      <c r="O66" s="586">
        <v>3.925E-2</v>
      </c>
      <c r="P66" s="757">
        <f t="shared" si="152"/>
        <v>61.465499999999999</v>
      </c>
      <c r="Q66" s="129">
        <f>IF(O66&gt;0,PRODUCT(I66,$O66),0)</f>
        <v>737.58600000000001</v>
      </c>
      <c r="R66" s="129">
        <f t="shared" si="153"/>
        <v>752.33771999999999</v>
      </c>
      <c r="S66" s="129">
        <f t="shared" si="153"/>
        <v>767.38447440000004</v>
      </c>
      <c r="T66" s="129">
        <f t="shared" si="153"/>
        <v>782.73216388800017</v>
      </c>
      <c r="U66" s="129">
        <f t="shared" si="153"/>
        <v>798.38680716576005</v>
      </c>
      <c r="V66" s="209">
        <f>SUM(Q66:U66)</f>
        <v>3838.4271654537606</v>
      </c>
      <c r="W66" s="528"/>
      <c r="X66" s="222"/>
      <c r="Y66" s="325"/>
      <c r="Z66" s="774"/>
      <c r="AA66" s="103"/>
      <c r="AB66" s="103"/>
      <c r="AC66" s="103"/>
      <c r="AD66" s="103"/>
      <c r="AE66" s="103"/>
      <c r="AF66" s="123"/>
      <c r="AG66" s="813"/>
      <c r="AH66" s="370"/>
      <c r="AI66" s="221"/>
      <c r="AJ66" s="255"/>
      <c r="AK66" s="105"/>
      <c r="AL66" s="105"/>
      <c r="AM66" s="105"/>
      <c r="AN66" s="105"/>
      <c r="AO66" s="105"/>
      <c r="AP66" s="158"/>
      <c r="AQ66" s="930"/>
      <c r="AR66" s="473"/>
      <c r="AS66" s="106"/>
      <c r="AT66" s="1207"/>
      <c r="AU66" s="108">
        <f t="shared" si="159"/>
        <v>0</v>
      </c>
      <c r="AV66" s="108">
        <f t="shared" si="160"/>
        <v>0</v>
      </c>
      <c r="AW66" s="108">
        <f t="shared" si="161"/>
        <v>0</v>
      </c>
      <c r="AX66" s="108">
        <f t="shared" si="162"/>
        <v>0</v>
      </c>
      <c r="AY66" s="108">
        <f t="shared" si="163"/>
        <v>0</v>
      </c>
      <c r="AZ66" s="165">
        <f t="shared" si="27"/>
        <v>0</v>
      </c>
      <c r="BA66" s="1190"/>
      <c r="BB66" s="1214"/>
    </row>
    <row r="67" spans="1:54" s="495" customFormat="1" x14ac:dyDescent="0.25">
      <c r="A67" s="787"/>
      <c r="B67" s="623" t="s">
        <v>555</v>
      </c>
      <c r="C67" s="310" t="s">
        <v>559</v>
      </c>
      <c r="D67" s="604">
        <v>0</v>
      </c>
      <c r="E67" s="604">
        <v>1</v>
      </c>
      <c r="F67" s="604">
        <v>0</v>
      </c>
      <c r="G67" s="604"/>
      <c r="H67" s="618">
        <f>IFERROR(AVERAGE(D67:F67),0)</f>
        <v>0.33333333333333331</v>
      </c>
      <c r="I67" s="127">
        <f t="shared" si="150"/>
        <v>4</v>
      </c>
      <c r="J67" s="127">
        <f t="shared" si="151"/>
        <v>4</v>
      </c>
      <c r="K67" s="127">
        <f t="shared" si="151"/>
        <v>4</v>
      </c>
      <c r="L67" s="127">
        <f t="shared" si="151"/>
        <v>4</v>
      </c>
      <c r="M67" s="127">
        <f t="shared" si="151"/>
        <v>4</v>
      </c>
      <c r="N67" s="245" t="str">
        <f t="shared" si="149"/>
        <v>Claims</v>
      </c>
      <c r="O67" s="586">
        <v>35.99</v>
      </c>
      <c r="P67" s="757">
        <f t="shared" si="152"/>
        <v>11.996666666666668</v>
      </c>
      <c r="Q67" s="129">
        <f>IF(O67&gt;0,PRODUCT(I67,$O67),0)</f>
        <v>143.96</v>
      </c>
      <c r="R67" s="129">
        <f t="shared" si="153"/>
        <v>143.96</v>
      </c>
      <c r="S67" s="129">
        <f t="shared" si="153"/>
        <v>143.96</v>
      </c>
      <c r="T67" s="129">
        <f t="shared" si="153"/>
        <v>143.96</v>
      </c>
      <c r="U67" s="129">
        <f t="shared" si="153"/>
        <v>143.96</v>
      </c>
      <c r="V67" s="209">
        <f>SUM(Q67:U67)</f>
        <v>719.80000000000007</v>
      </c>
      <c r="W67" s="528"/>
      <c r="X67" s="222"/>
      <c r="Y67" s="325"/>
      <c r="Z67" s="774"/>
      <c r="AA67" s="103"/>
      <c r="AB67" s="103"/>
      <c r="AC67" s="103"/>
      <c r="AD67" s="103"/>
      <c r="AE67" s="103"/>
      <c r="AF67" s="123"/>
      <c r="AG67" s="813"/>
      <c r="AH67" s="370"/>
      <c r="AI67" s="221"/>
      <c r="AJ67" s="255"/>
      <c r="AK67" s="105"/>
      <c r="AL67" s="105"/>
      <c r="AM67" s="105"/>
      <c r="AN67" s="105"/>
      <c r="AO67" s="105"/>
      <c r="AP67" s="158"/>
      <c r="AQ67" s="930"/>
      <c r="AR67" s="473"/>
      <c r="AS67" s="106"/>
      <c r="AT67" s="1207"/>
      <c r="AU67" s="108">
        <f t="shared" si="159"/>
        <v>0</v>
      </c>
      <c r="AV67" s="108">
        <f t="shared" si="160"/>
        <v>0</v>
      </c>
      <c r="AW67" s="108">
        <f t="shared" si="161"/>
        <v>0</v>
      </c>
      <c r="AX67" s="108">
        <f t="shared" si="162"/>
        <v>0</v>
      </c>
      <c r="AY67" s="108">
        <f t="shared" si="163"/>
        <v>0</v>
      </c>
      <c r="AZ67" s="165">
        <f t="shared" si="27"/>
        <v>0</v>
      </c>
      <c r="BA67" s="1190"/>
      <c r="BB67" s="1214"/>
    </row>
    <row r="68" spans="1:54" s="495" customFormat="1" x14ac:dyDescent="0.25">
      <c r="A68" s="1307"/>
      <c r="B68" s="623" t="s">
        <v>552</v>
      </c>
      <c r="C68" s="310" t="s">
        <v>560</v>
      </c>
      <c r="D68" s="604"/>
      <c r="E68" s="604"/>
      <c r="F68" s="604"/>
      <c r="G68" s="604"/>
      <c r="H68" s="618">
        <v>976</v>
      </c>
      <c r="I68" s="127">
        <f t="shared" si="150"/>
        <v>11712</v>
      </c>
      <c r="J68" s="127">
        <f t="shared" si="151"/>
        <v>11946.24</v>
      </c>
      <c r="K68" s="127">
        <f t="shared" si="151"/>
        <v>12185.1648</v>
      </c>
      <c r="L68" s="127">
        <f t="shared" si="151"/>
        <v>12428.868096</v>
      </c>
      <c r="M68" s="127">
        <f t="shared" si="151"/>
        <v>12677.445457920001</v>
      </c>
      <c r="N68" s="245"/>
      <c r="O68" s="586"/>
      <c r="P68" s="757">
        <f t="shared" si="152"/>
        <v>0</v>
      </c>
      <c r="Q68" s="129"/>
      <c r="R68" s="129"/>
      <c r="S68" s="129"/>
      <c r="T68" s="129"/>
      <c r="U68" s="129"/>
      <c r="V68" s="209"/>
      <c r="W68" s="528"/>
      <c r="X68" s="222" t="str">
        <f>C68</f>
        <v>D1 Bill Pay Electronic Payment</v>
      </c>
      <c r="Y68" s="325">
        <v>0.48799999999999999</v>
      </c>
      <c r="Z68" s="774">
        <f>AA68/12</f>
        <v>476.28800000000001</v>
      </c>
      <c r="AA68" s="103">
        <f>IF(Y68&gt;0,PRODUCT(I68,$Y68),0)</f>
        <v>5715.4560000000001</v>
      </c>
      <c r="AB68" s="103">
        <f t="shared" ref="AB68:AE69" si="164">IF(AA68&gt;0,PRODUCT(J68,$Y68),0)</f>
        <v>5829.76512</v>
      </c>
      <c r="AC68" s="103">
        <f t="shared" si="164"/>
        <v>5946.3604224000001</v>
      </c>
      <c r="AD68" s="103">
        <f t="shared" si="164"/>
        <v>6065.2876308479999</v>
      </c>
      <c r="AE68" s="103">
        <f t="shared" si="164"/>
        <v>6186.5933834649604</v>
      </c>
      <c r="AF68" s="123">
        <f>SUM(AA68:AE68)</f>
        <v>29743.462556712962</v>
      </c>
      <c r="AG68" s="813" t="s">
        <v>496</v>
      </c>
      <c r="AH68" s="370"/>
      <c r="AI68" s="221" t="s">
        <v>560</v>
      </c>
      <c r="AJ68" s="255">
        <v>0.48799999999999999</v>
      </c>
      <c r="AK68" s="105">
        <f t="shared" ref="AK68:AO72" si="165">IF(AJ68&gt;0,PRODUCT(I68,$AJ68),0)</f>
        <v>5715.4560000000001</v>
      </c>
      <c r="AL68" s="105">
        <f t="shared" si="165"/>
        <v>5829.76512</v>
      </c>
      <c r="AM68" s="105">
        <f t="shared" si="165"/>
        <v>5946.3604224000001</v>
      </c>
      <c r="AN68" s="105">
        <f t="shared" si="165"/>
        <v>6065.2876308479999</v>
      </c>
      <c r="AO68" s="105">
        <f t="shared" si="165"/>
        <v>6186.5933834649604</v>
      </c>
      <c r="AP68" s="158">
        <f>SUM(AK68:AO68)</f>
        <v>29743.462556712962</v>
      </c>
      <c r="AQ68" s="930"/>
      <c r="AR68" s="974" t="s">
        <v>561</v>
      </c>
      <c r="AS68" s="106" t="s">
        <v>560</v>
      </c>
      <c r="AT68" s="1207">
        <v>0.48799999999999999</v>
      </c>
      <c r="AU68" s="108">
        <f t="shared" si="159"/>
        <v>5715.4560000000001</v>
      </c>
      <c r="AV68" s="108">
        <f t="shared" si="160"/>
        <v>5829.76512</v>
      </c>
      <c r="AW68" s="108">
        <f t="shared" si="161"/>
        <v>5946.3604224000001</v>
      </c>
      <c r="AX68" s="108">
        <f t="shared" si="162"/>
        <v>6065.2876308479999</v>
      </c>
      <c r="AY68" s="108">
        <f t="shared" si="163"/>
        <v>6186.5933834649604</v>
      </c>
      <c r="AZ68" s="165">
        <f t="shared" si="27"/>
        <v>29743.462556712962</v>
      </c>
      <c r="BA68" s="1190"/>
      <c r="BB68" s="1306" t="s">
        <v>561</v>
      </c>
    </row>
    <row r="69" spans="1:54" s="495" customFormat="1" x14ac:dyDescent="0.25">
      <c r="A69" s="1307"/>
      <c r="B69" s="623" t="s">
        <v>552</v>
      </c>
      <c r="C69" s="310" t="s">
        <v>562</v>
      </c>
      <c r="D69" s="604"/>
      <c r="E69" s="604"/>
      <c r="F69" s="604"/>
      <c r="G69" s="604"/>
      <c r="H69" s="618">
        <v>714</v>
      </c>
      <c r="I69" s="127">
        <f t="shared" si="150"/>
        <v>8568</v>
      </c>
      <c r="J69" s="127">
        <f t="shared" si="151"/>
        <v>8739.36</v>
      </c>
      <c r="K69" s="127">
        <f t="shared" si="151"/>
        <v>8914.1472000000012</v>
      </c>
      <c r="L69" s="127">
        <f t="shared" si="151"/>
        <v>9092.4301440000017</v>
      </c>
      <c r="M69" s="127">
        <f t="shared" si="151"/>
        <v>9274.2787468800016</v>
      </c>
      <c r="N69" s="245"/>
      <c r="O69" s="586"/>
      <c r="P69" s="757">
        <f t="shared" si="152"/>
        <v>0</v>
      </c>
      <c r="Q69" s="129"/>
      <c r="R69" s="129"/>
      <c r="S69" s="129"/>
      <c r="T69" s="129"/>
      <c r="U69" s="129"/>
      <c r="V69" s="209"/>
      <c r="W69" s="528"/>
      <c r="X69" s="222" t="str">
        <f>C69</f>
        <v>D1 Bill Pay Check Payments</v>
      </c>
      <c r="Y69" s="325">
        <v>0.57999999999999996</v>
      </c>
      <c r="Z69" s="774">
        <f>AA69/12</f>
        <v>414.11999999999995</v>
      </c>
      <c r="AA69" s="103">
        <f>IF(Y69&gt;0,PRODUCT(I69,$Y69),0)</f>
        <v>4969.4399999999996</v>
      </c>
      <c r="AB69" s="103">
        <f t="shared" si="164"/>
        <v>5068.8288000000002</v>
      </c>
      <c r="AC69" s="103">
        <f t="shared" si="164"/>
        <v>5170.2053760000008</v>
      </c>
      <c r="AD69" s="103">
        <f t="shared" si="164"/>
        <v>5273.609483520001</v>
      </c>
      <c r="AE69" s="103">
        <f t="shared" si="164"/>
        <v>5379.0816731904006</v>
      </c>
      <c r="AF69" s="123">
        <f>SUM(AA69:AE69)</f>
        <v>25861.165332710403</v>
      </c>
      <c r="AG69" s="813" t="s">
        <v>496</v>
      </c>
      <c r="AH69" s="370"/>
      <c r="AI69" s="221" t="s">
        <v>562</v>
      </c>
      <c r="AJ69" s="255">
        <v>0.57999999999999996</v>
      </c>
      <c r="AK69" s="105">
        <f t="shared" si="165"/>
        <v>4969.4399999999996</v>
      </c>
      <c r="AL69" s="105">
        <f t="shared" si="165"/>
        <v>5068.8288000000002</v>
      </c>
      <c r="AM69" s="105">
        <f t="shared" si="165"/>
        <v>5170.2053760000008</v>
      </c>
      <c r="AN69" s="105">
        <f t="shared" si="165"/>
        <v>5273.609483520001</v>
      </c>
      <c r="AO69" s="105">
        <f t="shared" si="165"/>
        <v>5379.0816731904006</v>
      </c>
      <c r="AP69" s="158">
        <f>SUM(AK69:AO69)</f>
        <v>25861.165332710403</v>
      </c>
      <c r="AQ69" s="930"/>
      <c r="AR69" s="974" t="s">
        <v>561</v>
      </c>
      <c r="AS69" s="106" t="s">
        <v>562</v>
      </c>
      <c r="AT69" s="1207">
        <v>0.57999999999999996</v>
      </c>
      <c r="AU69" s="108">
        <f t="shared" si="159"/>
        <v>4969.4399999999996</v>
      </c>
      <c r="AV69" s="108">
        <f t="shared" si="160"/>
        <v>5068.8288000000002</v>
      </c>
      <c r="AW69" s="108">
        <f t="shared" si="161"/>
        <v>5170.2053760000008</v>
      </c>
      <c r="AX69" s="108">
        <f t="shared" si="162"/>
        <v>5273.609483520001</v>
      </c>
      <c r="AY69" s="108">
        <f t="shared" si="163"/>
        <v>5379.0816731904006</v>
      </c>
      <c r="AZ69" s="165">
        <f t="shared" si="27"/>
        <v>25861.165332710403</v>
      </c>
      <c r="BA69" s="1190"/>
      <c r="BB69" s="1306" t="s">
        <v>561</v>
      </c>
    </row>
    <row r="70" spans="1:54" s="495" customFormat="1" x14ac:dyDescent="0.25">
      <c r="A70" s="890"/>
      <c r="B70" s="623" t="s">
        <v>563</v>
      </c>
      <c r="C70" s="310" t="s">
        <v>564</v>
      </c>
      <c r="D70" s="604"/>
      <c r="E70" s="604"/>
      <c r="F70" s="604"/>
      <c r="G70" s="604"/>
      <c r="H70" s="618">
        <v>1</v>
      </c>
      <c r="I70" s="127"/>
      <c r="J70" s="127"/>
      <c r="K70" s="127"/>
      <c r="L70" s="127"/>
      <c r="M70" s="127"/>
      <c r="N70" s="245" t="str">
        <f t="shared" ref="N70:N79" si="166">IF(C70="","",C70)</f>
        <v>Interface to Consumer Bill Pay - FIS</v>
      </c>
      <c r="O70" s="586"/>
      <c r="P70" s="757">
        <f t="shared" si="152"/>
        <v>0</v>
      </c>
      <c r="Q70" s="129"/>
      <c r="R70" s="129"/>
      <c r="S70" s="129"/>
      <c r="T70" s="129"/>
      <c r="U70" s="129"/>
      <c r="V70" s="209"/>
      <c r="W70" s="528"/>
      <c r="X70" s="222"/>
      <c r="Y70" s="325"/>
      <c r="Z70" s="774"/>
      <c r="AA70" s="103"/>
      <c r="AB70" s="103"/>
      <c r="AC70" s="103"/>
      <c r="AD70" s="103"/>
      <c r="AE70" s="103"/>
      <c r="AF70" s="123"/>
      <c r="AG70" s="813"/>
      <c r="AH70" s="370"/>
      <c r="AI70" s="221" t="str">
        <f>C70</f>
        <v>Interface to Consumer Bill Pay - FIS</v>
      </c>
      <c r="AJ70" s="255">
        <f>8580/12</f>
        <v>715</v>
      </c>
      <c r="AK70" s="105">
        <f t="shared" si="165"/>
        <v>715</v>
      </c>
      <c r="AL70" s="105">
        <f t="shared" si="165"/>
        <v>715</v>
      </c>
      <c r="AM70" s="105">
        <f t="shared" si="165"/>
        <v>715</v>
      </c>
      <c r="AN70" s="105">
        <f t="shared" si="165"/>
        <v>715</v>
      </c>
      <c r="AO70" s="105">
        <f t="shared" si="165"/>
        <v>715</v>
      </c>
      <c r="AP70" s="158">
        <f>SUM(AK70:AO70)</f>
        <v>3575</v>
      </c>
      <c r="AQ70" s="930">
        <v>10000</v>
      </c>
      <c r="AR70" s="473" t="s">
        <v>565</v>
      </c>
      <c r="AS70" s="106" t="s">
        <v>564</v>
      </c>
      <c r="AT70" s="1209">
        <v>715</v>
      </c>
      <c r="AU70" s="108">
        <f t="shared" si="159"/>
        <v>715</v>
      </c>
      <c r="AV70" s="108">
        <f t="shared" si="160"/>
        <v>715</v>
      </c>
      <c r="AW70" s="108">
        <f t="shared" si="161"/>
        <v>715</v>
      </c>
      <c r="AX70" s="108">
        <f t="shared" si="162"/>
        <v>715</v>
      </c>
      <c r="AY70" s="108">
        <f t="shared" si="163"/>
        <v>715</v>
      </c>
      <c r="AZ70" s="165">
        <f t="shared" si="27"/>
        <v>3575</v>
      </c>
      <c r="BA70" s="1190">
        <v>10000</v>
      </c>
      <c r="BB70" s="1214" t="s">
        <v>565</v>
      </c>
    </row>
    <row r="71" spans="1:54" s="495" customFormat="1" x14ac:dyDescent="0.25">
      <c r="A71" s="890"/>
      <c r="B71" s="623" t="s">
        <v>563</v>
      </c>
      <c r="C71" s="310" t="s">
        <v>566</v>
      </c>
      <c r="D71" s="604"/>
      <c r="E71" s="604"/>
      <c r="F71" s="604"/>
      <c r="G71" s="604"/>
      <c r="H71" s="618">
        <v>1</v>
      </c>
      <c r="I71" s="127"/>
      <c r="J71" s="127"/>
      <c r="K71" s="127"/>
      <c r="L71" s="127"/>
      <c r="M71" s="127"/>
      <c r="N71" s="245" t="str">
        <f t="shared" si="166"/>
        <v>Interface to Business Bill Pay - FIS</v>
      </c>
      <c r="O71" s="586"/>
      <c r="P71" s="757">
        <f t="shared" si="152"/>
        <v>0</v>
      </c>
      <c r="Q71" s="129"/>
      <c r="R71" s="129"/>
      <c r="S71" s="129"/>
      <c r="T71" s="129"/>
      <c r="U71" s="129"/>
      <c r="V71" s="209"/>
      <c r="W71" s="528"/>
      <c r="X71" s="222"/>
      <c r="Y71" s="325"/>
      <c r="Z71" s="774"/>
      <c r="AA71" s="103"/>
      <c r="AB71" s="103"/>
      <c r="AC71" s="103"/>
      <c r="AD71" s="103"/>
      <c r="AE71" s="103"/>
      <c r="AF71" s="123"/>
      <c r="AG71" s="813"/>
      <c r="AH71" s="370"/>
      <c r="AI71" s="221" t="str">
        <f>C71</f>
        <v>Interface to Business Bill Pay - FIS</v>
      </c>
      <c r="AJ71" s="255">
        <f>4290/12</f>
        <v>357.5</v>
      </c>
      <c r="AK71" s="105">
        <f t="shared" si="165"/>
        <v>357.5</v>
      </c>
      <c r="AL71" s="105">
        <f t="shared" si="165"/>
        <v>357.5</v>
      </c>
      <c r="AM71" s="105">
        <f t="shared" si="165"/>
        <v>357.5</v>
      </c>
      <c r="AN71" s="105">
        <f t="shared" si="165"/>
        <v>357.5</v>
      </c>
      <c r="AO71" s="105">
        <f t="shared" si="165"/>
        <v>357.5</v>
      </c>
      <c r="AP71" s="158">
        <f>SUM(AK71:AO71)</f>
        <v>1787.5</v>
      </c>
      <c r="AQ71" s="930">
        <v>5000</v>
      </c>
      <c r="AR71" s="473" t="s">
        <v>565</v>
      </c>
      <c r="AS71" s="106" t="s">
        <v>566</v>
      </c>
      <c r="AT71" s="1209">
        <v>358</v>
      </c>
      <c r="AU71" s="108">
        <f t="shared" si="159"/>
        <v>358</v>
      </c>
      <c r="AV71" s="108">
        <f t="shared" si="160"/>
        <v>358</v>
      </c>
      <c r="AW71" s="108">
        <f t="shared" si="161"/>
        <v>358</v>
      </c>
      <c r="AX71" s="108">
        <f t="shared" si="162"/>
        <v>358</v>
      </c>
      <c r="AY71" s="108">
        <f t="shared" si="163"/>
        <v>358</v>
      </c>
      <c r="AZ71" s="165">
        <f t="shared" si="27"/>
        <v>1790</v>
      </c>
      <c r="BA71" s="1190">
        <v>5000</v>
      </c>
      <c r="BB71" s="1214" t="s">
        <v>565</v>
      </c>
    </row>
    <row r="72" spans="1:54" s="495" customFormat="1" ht="24.75" customHeight="1" x14ac:dyDescent="0.25">
      <c r="A72" s="445"/>
      <c r="B72" s="623"/>
      <c r="C72" s="310"/>
      <c r="D72" s="604"/>
      <c r="E72" s="604"/>
      <c r="F72" s="604"/>
      <c r="G72" s="604"/>
      <c r="H72" s="618"/>
      <c r="I72" s="127">
        <f>H72*12</f>
        <v>0</v>
      </c>
      <c r="J72" s="127">
        <f>IF(I72&gt;12,(((I72)*$H$5)+I72),(I72*1))</f>
        <v>0</v>
      </c>
      <c r="K72" s="127">
        <f>IF(J72&gt;12,(((J72)*$H$5)+J72),(J72*1))</f>
        <v>0</v>
      </c>
      <c r="L72" s="127">
        <f>IF(K72&gt;12,(((K72)*$H$5)+K72),(K72*1))</f>
        <v>0</v>
      </c>
      <c r="M72" s="127">
        <f>IF(L72&gt;12,(((L72)*$H$5)+L72),(L72*1))</f>
        <v>0</v>
      </c>
      <c r="N72" s="245" t="str">
        <f t="shared" si="166"/>
        <v/>
      </c>
      <c r="O72" s="586"/>
      <c r="P72" s="757">
        <f t="shared" si="152"/>
        <v>0</v>
      </c>
      <c r="Q72" s="129"/>
      <c r="R72" s="129"/>
      <c r="S72" s="129"/>
      <c r="T72" s="129"/>
      <c r="U72" s="129"/>
      <c r="V72" s="209"/>
      <c r="W72" s="528"/>
      <c r="X72" s="222"/>
      <c r="Y72" s="325"/>
      <c r="Z72" s="774"/>
      <c r="AA72" s="103"/>
      <c r="AB72" s="103"/>
      <c r="AC72" s="103"/>
      <c r="AD72" s="103"/>
      <c r="AE72" s="103"/>
      <c r="AF72" s="123"/>
      <c r="AG72" s="813"/>
      <c r="AH72" s="370"/>
      <c r="AI72" s="221"/>
      <c r="AJ72" s="255"/>
      <c r="AK72" s="105">
        <f t="shared" si="165"/>
        <v>0</v>
      </c>
      <c r="AL72" s="105">
        <f t="shared" si="165"/>
        <v>0</v>
      </c>
      <c r="AM72" s="105">
        <f t="shared" si="165"/>
        <v>0</v>
      </c>
      <c r="AN72" s="105">
        <f t="shared" si="165"/>
        <v>0</v>
      </c>
      <c r="AO72" s="105">
        <f t="shared" si="165"/>
        <v>0</v>
      </c>
      <c r="AP72" s="158">
        <f>SUM(AK72:AO72)</f>
        <v>0</v>
      </c>
      <c r="AQ72" s="930"/>
      <c r="AR72" s="473"/>
      <c r="AS72" s="106"/>
      <c r="AT72" s="1207"/>
      <c r="AU72" s="108">
        <f t="shared" si="159"/>
        <v>0</v>
      </c>
      <c r="AV72" s="108">
        <f t="shared" si="160"/>
        <v>0</v>
      </c>
      <c r="AW72" s="108">
        <f t="shared" si="161"/>
        <v>0</v>
      </c>
      <c r="AX72" s="108">
        <f t="shared" si="162"/>
        <v>0</v>
      </c>
      <c r="AY72" s="108">
        <f t="shared" si="163"/>
        <v>0</v>
      </c>
      <c r="AZ72" s="165">
        <f t="shared" si="27"/>
        <v>0</v>
      </c>
      <c r="BA72" s="1190"/>
      <c r="BB72" s="1214"/>
    </row>
    <row r="73" spans="1:54" s="495" customFormat="1" x14ac:dyDescent="0.25">
      <c r="A73" s="445"/>
      <c r="B73" s="252" t="str">
        <f>C73</f>
        <v>Cash Management Service:</v>
      </c>
      <c r="C73" s="242" t="s">
        <v>567</v>
      </c>
      <c r="D73" s="609"/>
      <c r="E73" s="609"/>
      <c r="F73" s="609"/>
      <c r="G73" s="609"/>
      <c r="H73" s="619"/>
      <c r="I73" s="243"/>
      <c r="J73" s="243"/>
      <c r="K73" s="243"/>
      <c r="L73" s="243"/>
      <c r="M73" s="244"/>
      <c r="N73" s="252" t="str">
        <f t="shared" si="166"/>
        <v>Cash Management Service:</v>
      </c>
      <c r="O73" s="243"/>
      <c r="P73" s="756"/>
      <c r="Q73" s="243"/>
      <c r="R73" s="243"/>
      <c r="S73" s="243"/>
      <c r="T73" s="243"/>
      <c r="U73" s="244"/>
      <c r="V73" s="209"/>
      <c r="W73" s="527"/>
      <c r="X73" s="252" t="str">
        <f>C73</f>
        <v>Cash Management Service:</v>
      </c>
      <c r="Y73" s="243"/>
      <c r="Z73" s="756"/>
      <c r="AA73" s="243"/>
      <c r="AB73" s="243"/>
      <c r="AC73" s="243"/>
      <c r="AD73" s="243"/>
      <c r="AE73" s="244"/>
      <c r="AF73" s="123"/>
      <c r="AG73" s="812"/>
      <c r="AH73" s="808"/>
      <c r="AI73" s="252" t="str">
        <f>C73</f>
        <v>Cash Management Service:</v>
      </c>
      <c r="AJ73" s="243"/>
      <c r="AK73" s="243"/>
      <c r="AL73" s="243"/>
      <c r="AM73" s="243"/>
      <c r="AN73" s="243"/>
      <c r="AO73" s="244"/>
      <c r="AP73" s="158"/>
      <c r="AQ73" s="812"/>
      <c r="AR73" s="812"/>
      <c r="AS73" s="252" t="s">
        <v>567</v>
      </c>
      <c r="AT73" s="243"/>
      <c r="AU73" s="243"/>
      <c r="AV73" s="243"/>
      <c r="AW73" s="243"/>
      <c r="AX73" s="243"/>
      <c r="AY73" s="244"/>
      <c r="AZ73" s="165">
        <f t="shared" si="27"/>
        <v>0</v>
      </c>
      <c r="BA73" s="1189"/>
      <c r="BB73" s="1213"/>
    </row>
    <row r="74" spans="1:54" s="495" customFormat="1" x14ac:dyDescent="0.25">
      <c r="A74" s="787"/>
      <c r="B74" s="623" t="s">
        <v>568</v>
      </c>
      <c r="C74" s="492" t="s">
        <v>569</v>
      </c>
      <c r="D74" s="604">
        <v>136</v>
      </c>
      <c r="E74" s="604">
        <v>133</v>
      </c>
      <c r="F74" s="604">
        <v>130</v>
      </c>
      <c r="G74" s="604"/>
      <c r="H74" s="618">
        <f t="shared" ref="H74:H79" si="167">IFERROR(AVERAGE(D74:F74),0)</f>
        <v>133</v>
      </c>
      <c r="I74" s="127">
        <f t="shared" ref="I74:I82" si="168">H74*12</f>
        <v>1596</v>
      </c>
      <c r="J74" s="127">
        <f t="shared" ref="J74:M82" si="169">IF(I74&gt;12,(((I74)*$H$5)+I74),(I74*1))</f>
        <v>1627.92</v>
      </c>
      <c r="K74" s="127">
        <f t="shared" si="169"/>
        <v>1660.4784</v>
      </c>
      <c r="L74" s="127">
        <f t="shared" si="169"/>
        <v>1693.687968</v>
      </c>
      <c r="M74" s="127">
        <f t="shared" si="169"/>
        <v>1727.5617273599998</v>
      </c>
      <c r="N74" s="245" t="str">
        <f t="shared" si="166"/>
        <v>Cash Management ACH (Per Company)</v>
      </c>
      <c r="O74" s="688">
        <v>8.1659667999999996</v>
      </c>
      <c r="P74" s="757">
        <f t="shared" ref="P74:P82" si="170">Q74/12</f>
        <v>1086.0735843999998</v>
      </c>
      <c r="Q74" s="129">
        <f t="shared" ref="Q74:Q79" si="171">IF(O74&gt;0,PRODUCT(I74,$O74),0)</f>
        <v>13032.883012799999</v>
      </c>
      <c r="R74" s="129">
        <f t="shared" ref="R74:U79" si="172">IF(Q74&gt;0,PRODUCT(J74,$O74),0)</f>
        <v>13293.540673056001</v>
      </c>
      <c r="S74" s="129">
        <f t="shared" si="172"/>
        <v>13559.41148651712</v>
      </c>
      <c r="T74" s="129">
        <f t="shared" si="172"/>
        <v>13830.599716247461</v>
      </c>
      <c r="U74" s="129">
        <f t="shared" si="172"/>
        <v>14107.21171057241</v>
      </c>
      <c r="V74" s="209">
        <f t="shared" ref="V74:V79" si="173">SUM(Q74:U74)</f>
        <v>67823.646599192987</v>
      </c>
      <c r="W74" s="528"/>
      <c r="X74" s="222"/>
      <c r="Y74" s="324"/>
      <c r="Z74" s="774">
        <f t="shared" ref="Z74:Z82" si="174">AA74/12</f>
        <v>0</v>
      </c>
      <c r="AA74" s="103">
        <f>IF(Y74&gt;0,PRODUCT(#REF!,$Y74),0)</f>
        <v>0</v>
      </c>
      <c r="AB74" s="103">
        <f>IF(AA74&gt;0,PRODUCT(#REF!,$Y74),0)</f>
        <v>0</v>
      </c>
      <c r="AC74" s="103">
        <f>IF(AB74&gt;0,PRODUCT(#REF!,$Y74),0)</f>
        <v>0</v>
      </c>
      <c r="AD74" s="103">
        <f>IF(AC74&gt;0,PRODUCT(#REF!,$Y74),0)</f>
        <v>0</v>
      </c>
      <c r="AE74" s="103">
        <f>IF(AD74&gt;0,PRODUCT(#REF!,$Y74),0)</f>
        <v>0</v>
      </c>
      <c r="AF74" s="123">
        <f t="shared" ref="AF74:AF82" si="175">SUM(AA74:AE74)</f>
        <v>0</v>
      </c>
      <c r="AG74" s="813"/>
      <c r="AH74" s="818" t="s">
        <v>494</v>
      </c>
      <c r="AI74" s="272"/>
      <c r="AJ74" s="271"/>
      <c r="AK74" s="105">
        <f>IF(AJ74&gt;0,PRODUCT(I121,$AJ74),0)</f>
        <v>0</v>
      </c>
      <c r="AL74" s="105">
        <f>IF(AK74&gt;0,PRODUCT(J121,$AJ74),0)</f>
        <v>0</v>
      </c>
      <c r="AM74" s="105">
        <f>IF(AL74&gt;0,PRODUCT(K121,$AJ74),0)</f>
        <v>0</v>
      </c>
      <c r="AN74" s="105">
        <f>IF(AM74&gt;0,PRODUCT(L121,$AJ74),0)</f>
        <v>0</v>
      </c>
      <c r="AO74" s="105">
        <f>IF(AN74&gt;0,PRODUCT(M121,$AJ74),0)</f>
        <v>0</v>
      </c>
      <c r="AP74" s="158">
        <f>SUM(AK74:AO74)</f>
        <v>0</v>
      </c>
      <c r="AQ74" s="930"/>
      <c r="AR74" s="473"/>
      <c r="AS74" s="106"/>
      <c r="AT74" s="1207"/>
      <c r="AU74" s="108">
        <f t="shared" ref="AU74" si="176">IF($AT74&gt;0,PRODUCT(I74,$AT74),0)</f>
        <v>0</v>
      </c>
      <c r="AV74" s="108">
        <f t="shared" ref="AV74" si="177">IF($AT74&gt;0,PRODUCT(J74,$AT74),0)</f>
        <v>0</v>
      </c>
      <c r="AW74" s="108">
        <f t="shared" ref="AW74" si="178">IF($AT74&gt;0,PRODUCT(K74,$AT74),0)</f>
        <v>0</v>
      </c>
      <c r="AX74" s="108">
        <f t="shared" ref="AX74" si="179">IF($AT74&gt;0,PRODUCT(L74,$AT74),0)</f>
        <v>0</v>
      </c>
      <c r="AY74" s="108">
        <f t="shared" ref="AY74" si="180">IF($AT74&gt;0,PRODUCT(M74,$AT74),0)</f>
        <v>0</v>
      </c>
      <c r="AZ74" s="165">
        <f t="shared" ref="AZ74:AZ119" si="181">SUM(AU74:AY74)</f>
        <v>0</v>
      </c>
      <c r="BA74" s="1190"/>
      <c r="BB74" s="1214"/>
    </row>
    <row r="75" spans="1:54" s="495" customFormat="1" x14ac:dyDescent="0.25">
      <c r="A75" s="787"/>
      <c r="B75" s="623" t="s">
        <v>568</v>
      </c>
      <c r="C75" s="632" t="s">
        <v>570</v>
      </c>
      <c r="D75" s="604">
        <v>1</v>
      </c>
      <c r="E75" s="604">
        <v>1</v>
      </c>
      <c r="F75" s="604">
        <v>1</v>
      </c>
      <c r="G75" s="604"/>
      <c r="H75" s="618">
        <f t="shared" si="167"/>
        <v>1</v>
      </c>
      <c r="I75" s="127">
        <f t="shared" si="168"/>
        <v>12</v>
      </c>
      <c r="J75" s="127">
        <f t="shared" si="169"/>
        <v>12</v>
      </c>
      <c r="K75" s="127">
        <f t="shared" si="169"/>
        <v>12</v>
      </c>
      <c r="L75" s="127">
        <f t="shared" si="169"/>
        <v>12</v>
      </c>
      <c r="M75" s="127">
        <f t="shared" si="169"/>
        <v>12</v>
      </c>
      <c r="N75" s="245" t="str">
        <f t="shared" si="166"/>
        <v>Cash Management Alerts</v>
      </c>
      <c r="O75" s="688">
        <v>203.8139467</v>
      </c>
      <c r="P75" s="757">
        <f t="shared" si="170"/>
        <v>203.8139467</v>
      </c>
      <c r="Q75" s="129">
        <f t="shared" si="171"/>
        <v>2445.7673604000001</v>
      </c>
      <c r="R75" s="129">
        <f t="shared" si="172"/>
        <v>2445.7673604000001</v>
      </c>
      <c r="S75" s="129">
        <f t="shared" si="172"/>
        <v>2445.7673604000001</v>
      </c>
      <c r="T75" s="129">
        <f t="shared" si="172"/>
        <v>2445.7673604000001</v>
      </c>
      <c r="U75" s="129">
        <f t="shared" si="172"/>
        <v>2445.7673604000001</v>
      </c>
      <c r="V75" s="209">
        <f t="shared" si="173"/>
        <v>12228.836802000002</v>
      </c>
      <c r="W75" s="528"/>
      <c r="X75" s="222"/>
      <c r="Y75" s="324"/>
      <c r="Z75" s="774">
        <f t="shared" si="174"/>
        <v>0</v>
      </c>
      <c r="AA75" s="103">
        <f>IF(Y75&gt;0,PRODUCT(#REF!,$Y75),0)</f>
        <v>0</v>
      </c>
      <c r="AB75" s="103">
        <f>IF(AA75&gt;0,PRODUCT(#REF!,$Y75),0)</f>
        <v>0</v>
      </c>
      <c r="AC75" s="103">
        <f>IF(AB75&gt;0,PRODUCT(#REF!,$Y75),0)</f>
        <v>0</v>
      </c>
      <c r="AD75" s="103">
        <f>IF(AC75&gt;0,PRODUCT(#REF!,$Y75),0)</f>
        <v>0</v>
      </c>
      <c r="AE75" s="103">
        <f>IF(AD75&gt;0,PRODUCT(#REF!,$Y75),0)</f>
        <v>0</v>
      </c>
      <c r="AF75" s="123">
        <f t="shared" si="175"/>
        <v>0</v>
      </c>
      <c r="AG75" s="813"/>
      <c r="AH75" s="818" t="s">
        <v>494</v>
      </c>
      <c r="AI75" s="625"/>
      <c r="AJ75" s="626"/>
      <c r="AK75" s="627"/>
      <c r="AL75" s="627"/>
      <c r="AM75" s="627"/>
      <c r="AN75" s="627"/>
      <c r="AO75" s="627"/>
      <c r="AP75" s="158"/>
      <c r="AQ75" s="931"/>
      <c r="AR75" s="486"/>
      <c r="AS75" s="628"/>
      <c r="AT75" s="1208"/>
      <c r="AU75" s="108">
        <f t="shared" ref="AU75:AU82" si="182">IF($AT75&gt;0,PRODUCT(I75,$AT75),0)</f>
        <v>0</v>
      </c>
      <c r="AV75" s="108">
        <f t="shared" ref="AV75:AV82" si="183">IF($AT75&gt;0,PRODUCT(J75,$AT75),0)</f>
        <v>0</v>
      </c>
      <c r="AW75" s="108">
        <f t="shared" ref="AW75:AW82" si="184">IF($AT75&gt;0,PRODUCT(K75,$AT75),0)</f>
        <v>0</v>
      </c>
      <c r="AX75" s="108">
        <f t="shared" ref="AX75:AX82" si="185">IF($AT75&gt;0,PRODUCT(L75,$AT75),0)</f>
        <v>0</v>
      </c>
      <c r="AY75" s="108">
        <f t="shared" ref="AY75:AY82" si="186">IF($AT75&gt;0,PRODUCT(M75,$AT75),0)</f>
        <v>0</v>
      </c>
      <c r="AZ75" s="165">
        <f t="shared" si="181"/>
        <v>0</v>
      </c>
      <c r="BA75" s="1189"/>
      <c r="BB75" s="1213"/>
    </row>
    <row r="76" spans="1:54" s="495" customFormat="1" x14ac:dyDescent="0.25">
      <c r="A76" s="787"/>
      <c r="B76" s="623" t="s">
        <v>568</v>
      </c>
      <c r="C76" s="310" t="s">
        <v>571</v>
      </c>
      <c r="D76" s="604">
        <v>1</v>
      </c>
      <c r="E76" s="604">
        <v>1</v>
      </c>
      <c r="F76" s="604">
        <v>1</v>
      </c>
      <c r="G76" s="604"/>
      <c r="H76" s="618">
        <f t="shared" si="167"/>
        <v>1</v>
      </c>
      <c r="I76" s="127">
        <f t="shared" si="168"/>
        <v>12</v>
      </c>
      <c r="J76" s="127">
        <f t="shared" si="169"/>
        <v>12</v>
      </c>
      <c r="K76" s="127">
        <f t="shared" si="169"/>
        <v>12</v>
      </c>
      <c r="L76" s="127">
        <f t="shared" si="169"/>
        <v>12</v>
      </c>
      <c r="M76" s="127">
        <f t="shared" si="169"/>
        <v>12</v>
      </c>
      <c r="N76" s="245" t="str">
        <f t="shared" si="166"/>
        <v>Cash Management Advanced Auth - Support Fee</v>
      </c>
      <c r="O76" s="688">
        <v>183.70072809999999</v>
      </c>
      <c r="P76" s="757">
        <f t="shared" si="170"/>
        <v>183.70072809999999</v>
      </c>
      <c r="Q76" s="129">
        <f t="shared" si="171"/>
        <v>2204.4087371999999</v>
      </c>
      <c r="R76" s="129">
        <f t="shared" si="172"/>
        <v>2204.4087371999999</v>
      </c>
      <c r="S76" s="129">
        <f t="shared" si="172"/>
        <v>2204.4087371999999</v>
      </c>
      <c r="T76" s="129">
        <f t="shared" si="172"/>
        <v>2204.4087371999999</v>
      </c>
      <c r="U76" s="129">
        <f t="shared" si="172"/>
        <v>2204.4087371999999</v>
      </c>
      <c r="V76" s="209">
        <f t="shared" si="173"/>
        <v>11022.043685999999</v>
      </c>
      <c r="W76" s="527"/>
      <c r="X76" s="222"/>
      <c r="Y76" s="324"/>
      <c r="Z76" s="774">
        <f t="shared" si="174"/>
        <v>0</v>
      </c>
      <c r="AA76" s="103">
        <f>IF(Y76&gt;0,PRODUCT(#REF!,$Y76),0)</f>
        <v>0</v>
      </c>
      <c r="AB76" s="103">
        <f>IF(AA76&gt;0,PRODUCT(#REF!,$Y76),0)</f>
        <v>0</v>
      </c>
      <c r="AC76" s="103">
        <f>IF(AB76&gt;0,PRODUCT(#REF!,$Y76),0)</f>
        <v>0</v>
      </c>
      <c r="AD76" s="103">
        <f>IF(AC76&gt;0,PRODUCT(#REF!,$Y76),0)</f>
        <v>0</v>
      </c>
      <c r="AE76" s="103">
        <f>IF(AD76&gt;0,PRODUCT(#REF!,$Y76),0)</f>
        <v>0</v>
      </c>
      <c r="AF76" s="123">
        <f t="shared" si="175"/>
        <v>0</v>
      </c>
      <c r="AG76" s="813"/>
      <c r="AH76" s="818" t="s">
        <v>494</v>
      </c>
      <c r="AI76" s="221"/>
      <c r="AJ76" s="271"/>
      <c r="AK76" s="105">
        <f>IF(AJ76&gt;0,PRODUCT(#REF!,$AJ76),0)</f>
        <v>0</v>
      </c>
      <c r="AL76" s="105">
        <f>IF(AK76&gt;0,PRODUCT(#REF!,$AJ76),0)</f>
        <v>0</v>
      </c>
      <c r="AM76" s="105">
        <f>IF(AL76&gt;0,PRODUCT(#REF!,$AJ76),0)</f>
        <v>0</v>
      </c>
      <c r="AN76" s="105">
        <f>IF(AM76&gt;0,PRODUCT(#REF!,$AJ76),0)</f>
        <v>0</v>
      </c>
      <c r="AO76" s="105">
        <f>IF(AN76&gt;0,PRODUCT(#REF!,$AJ76),0)</f>
        <v>0</v>
      </c>
      <c r="AP76" s="158">
        <f>SUM(AK76:AO76)</f>
        <v>0</v>
      </c>
      <c r="AQ76" s="930"/>
      <c r="AR76" s="473"/>
      <c r="AS76" s="106"/>
      <c r="AT76" s="1200"/>
      <c r="AU76" s="108">
        <f t="shared" si="182"/>
        <v>0</v>
      </c>
      <c r="AV76" s="108">
        <f t="shared" si="183"/>
        <v>0</v>
      </c>
      <c r="AW76" s="108">
        <f t="shared" si="184"/>
        <v>0</v>
      </c>
      <c r="AX76" s="108">
        <f t="shared" si="185"/>
        <v>0</v>
      </c>
      <c r="AY76" s="108">
        <f t="shared" si="186"/>
        <v>0</v>
      </c>
      <c r="AZ76" s="165">
        <f t="shared" si="181"/>
        <v>0</v>
      </c>
      <c r="BA76" s="1190"/>
      <c r="BB76" s="1214"/>
    </row>
    <row r="77" spans="1:54" s="495" customFormat="1" x14ac:dyDescent="0.25">
      <c r="A77" s="787"/>
      <c r="B77" s="623" t="s">
        <v>568</v>
      </c>
      <c r="C77" s="310" t="s">
        <v>572</v>
      </c>
      <c r="D77" s="604">
        <v>11431</v>
      </c>
      <c r="E77" s="604">
        <v>11329</v>
      </c>
      <c r="F77" s="604">
        <v>11239</v>
      </c>
      <c r="G77" s="604"/>
      <c r="H77" s="618">
        <f t="shared" si="167"/>
        <v>11333</v>
      </c>
      <c r="I77" s="127">
        <f t="shared" si="168"/>
        <v>135996</v>
      </c>
      <c r="J77" s="127">
        <f t="shared" si="169"/>
        <v>138715.92000000001</v>
      </c>
      <c r="K77" s="127">
        <f t="shared" si="169"/>
        <v>141490.2384</v>
      </c>
      <c r="L77" s="127">
        <f t="shared" si="169"/>
        <v>144320.043168</v>
      </c>
      <c r="M77" s="127">
        <f t="shared" si="169"/>
        <v>147206.44403136001</v>
      </c>
      <c r="N77" s="245" t="str">
        <f t="shared" si="166"/>
        <v>Cash Management Advanced Auth Per User Fee</v>
      </c>
      <c r="O77" s="688">
        <v>0.40226450000000002</v>
      </c>
      <c r="P77" s="757">
        <f t="shared" si="170"/>
        <v>4558.8635784999997</v>
      </c>
      <c r="Q77" s="129">
        <f t="shared" si="171"/>
        <v>54706.362942</v>
      </c>
      <c r="R77" s="129">
        <f t="shared" si="172"/>
        <v>55800.490200840009</v>
      </c>
      <c r="S77" s="129">
        <f t="shared" si="172"/>
        <v>56916.500004856804</v>
      </c>
      <c r="T77" s="129">
        <f t="shared" si="172"/>
        <v>58054.830004953939</v>
      </c>
      <c r="U77" s="129">
        <f t="shared" si="172"/>
        <v>59215.92660505302</v>
      </c>
      <c r="V77" s="209">
        <f t="shared" si="173"/>
        <v>284694.10975770379</v>
      </c>
      <c r="W77" s="527"/>
      <c r="X77" s="222"/>
      <c r="Y77" s="324"/>
      <c r="Z77" s="774">
        <f t="shared" si="174"/>
        <v>0</v>
      </c>
      <c r="AA77" s="103">
        <f>IF(Y77&gt;0,PRODUCT(#REF!,$Y77),0)</f>
        <v>0</v>
      </c>
      <c r="AB77" s="103">
        <f>IF(AA77&gt;0,PRODUCT(#REF!,$Y77),0)</f>
        <v>0</v>
      </c>
      <c r="AC77" s="103">
        <f>IF(AB77&gt;0,PRODUCT(#REF!,$Y77),0)</f>
        <v>0</v>
      </c>
      <c r="AD77" s="103">
        <f>IF(AC77&gt;0,PRODUCT(#REF!,$Y77),0)</f>
        <v>0</v>
      </c>
      <c r="AE77" s="103">
        <f>IF(AD77&gt;0,PRODUCT(#REF!,$Y77),0)</f>
        <v>0</v>
      </c>
      <c r="AF77" s="123">
        <f t="shared" si="175"/>
        <v>0</v>
      </c>
      <c r="AG77" s="813"/>
      <c r="AH77" s="818" t="s">
        <v>494</v>
      </c>
      <c r="AI77" s="221"/>
      <c r="AJ77" s="255"/>
      <c r="AK77" s="105">
        <f>IF(AJ77&gt;0,PRODUCT(I76,$AJ77),0)</f>
        <v>0</v>
      </c>
      <c r="AL77" s="105">
        <f>IF(AK77&gt;0,PRODUCT(J76,$AJ77),0)</f>
        <v>0</v>
      </c>
      <c r="AM77" s="105">
        <f>IF(AL77&gt;0,PRODUCT(K76,$AJ77),0)</f>
        <v>0</v>
      </c>
      <c r="AN77" s="105">
        <f>IF(AM77&gt;0,PRODUCT(L76,$AJ77),0)</f>
        <v>0</v>
      </c>
      <c r="AO77" s="105">
        <f>IF(AN77&gt;0,PRODUCT(M76,$AJ77),0)</f>
        <v>0</v>
      </c>
      <c r="AP77" s="158">
        <f>SUM(AK77:AO77)</f>
        <v>0</v>
      </c>
      <c r="AQ77" s="930"/>
      <c r="AR77" s="473"/>
      <c r="AS77" s="106"/>
      <c r="AT77" s="1207"/>
      <c r="AU77" s="108">
        <f t="shared" si="182"/>
        <v>0</v>
      </c>
      <c r="AV77" s="108">
        <f t="shared" si="183"/>
        <v>0</v>
      </c>
      <c r="AW77" s="108">
        <f t="shared" si="184"/>
        <v>0</v>
      </c>
      <c r="AX77" s="108">
        <f t="shared" si="185"/>
        <v>0</v>
      </c>
      <c r="AY77" s="108">
        <f t="shared" si="186"/>
        <v>0</v>
      </c>
      <c r="AZ77" s="165">
        <f t="shared" si="181"/>
        <v>0</v>
      </c>
      <c r="BA77" s="1190"/>
      <c r="BB77" s="1214"/>
    </row>
    <row r="78" spans="1:54" s="495" customFormat="1" x14ac:dyDescent="0.25">
      <c r="A78" s="787"/>
      <c r="B78" s="623" t="s">
        <v>568</v>
      </c>
      <c r="C78" s="632" t="s">
        <v>573</v>
      </c>
      <c r="D78" s="604">
        <v>3994</v>
      </c>
      <c r="E78" s="604">
        <v>3760</v>
      </c>
      <c r="F78" s="604">
        <v>3759</v>
      </c>
      <c r="G78" s="604"/>
      <c r="H78" s="618">
        <f t="shared" si="167"/>
        <v>3837.6666666666665</v>
      </c>
      <c r="I78" s="127">
        <f t="shared" si="168"/>
        <v>46052</v>
      </c>
      <c r="J78" s="127">
        <f t="shared" si="169"/>
        <v>46973.04</v>
      </c>
      <c r="K78" s="127">
        <f t="shared" si="169"/>
        <v>47912.500800000002</v>
      </c>
      <c r="L78" s="127">
        <f t="shared" si="169"/>
        <v>48870.750816</v>
      </c>
      <c r="M78" s="127">
        <f t="shared" si="169"/>
        <v>49848.165832320003</v>
      </c>
      <c r="N78" s="245" t="str">
        <f t="shared" si="166"/>
        <v>Cash Management Out-Of-Band Auth Request</v>
      </c>
      <c r="O78" s="688">
        <v>0.26320189999999999</v>
      </c>
      <c r="P78" s="757">
        <f t="shared" si="170"/>
        <v>1010.0811582333332</v>
      </c>
      <c r="Q78" s="129">
        <f t="shared" si="171"/>
        <v>12120.973898799999</v>
      </c>
      <c r="R78" s="129">
        <f t="shared" si="172"/>
        <v>12363.393376775999</v>
      </c>
      <c r="S78" s="129">
        <f t="shared" si="172"/>
        <v>12610.661244311519</v>
      </c>
      <c r="T78" s="129">
        <f t="shared" si="172"/>
        <v>12862.87446919775</v>
      </c>
      <c r="U78" s="129">
        <f t="shared" si="172"/>
        <v>13120.131958581705</v>
      </c>
      <c r="V78" s="209">
        <f t="shared" si="173"/>
        <v>63078.034947666973</v>
      </c>
      <c r="W78" s="528"/>
      <c r="X78" s="222"/>
      <c r="Y78" s="324"/>
      <c r="Z78" s="774">
        <f t="shared" si="174"/>
        <v>0</v>
      </c>
      <c r="AA78" s="103">
        <f>IF(Y78&gt;0,PRODUCT(#REF!,$Y78),0)</f>
        <v>0</v>
      </c>
      <c r="AB78" s="103">
        <f>IF(AA78&gt;0,PRODUCT(#REF!,$Y78),0)</f>
        <v>0</v>
      </c>
      <c r="AC78" s="103">
        <f>IF(AB78&gt;0,PRODUCT(#REF!,$Y78),0)</f>
        <v>0</v>
      </c>
      <c r="AD78" s="103">
        <f>IF(AC78&gt;0,PRODUCT(#REF!,$Y78),0)</f>
        <v>0</v>
      </c>
      <c r="AE78" s="103">
        <f>IF(AD78&gt;0,PRODUCT(#REF!,$Y78),0)</f>
        <v>0</v>
      </c>
      <c r="AF78" s="123">
        <f t="shared" si="175"/>
        <v>0</v>
      </c>
      <c r="AG78" s="813"/>
      <c r="AH78" s="818" t="s">
        <v>494</v>
      </c>
      <c r="AI78" s="625"/>
      <c r="AJ78" s="626"/>
      <c r="AK78" s="627"/>
      <c r="AL78" s="627"/>
      <c r="AM78" s="627"/>
      <c r="AN78" s="627"/>
      <c r="AO78" s="627"/>
      <c r="AP78" s="158"/>
      <c r="AQ78" s="931"/>
      <c r="AR78" s="486"/>
      <c r="AS78" s="628"/>
      <c r="AT78" s="1208"/>
      <c r="AU78" s="108">
        <f t="shared" si="182"/>
        <v>0</v>
      </c>
      <c r="AV78" s="108">
        <f t="shared" si="183"/>
        <v>0</v>
      </c>
      <c r="AW78" s="108">
        <f t="shared" si="184"/>
        <v>0</v>
      </c>
      <c r="AX78" s="108">
        <f t="shared" si="185"/>
        <v>0</v>
      </c>
      <c r="AY78" s="108">
        <f t="shared" si="186"/>
        <v>0</v>
      </c>
      <c r="AZ78" s="165">
        <f t="shared" si="181"/>
        <v>0</v>
      </c>
      <c r="BA78" s="1189"/>
      <c r="BB78" s="1213"/>
    </row>
    <row r="79" spans="1:54" s="495" customFormat="1" x14ac:dyDescent="0.25">
      <c r="A79" s="787"/>
      <c r="B79" s="623" t="s">
        <v>568</v>
      </c>
      <c r="C79" s="492" t="s">
        <v>574</v>
      </c>
      <c r="D79" s="604">
        <v>324</v>
      </c>
      <c r="E79" s="604">
        <v>319</v>
      </c>
      <c r="F79" s="604">
        <v>316</v>
      </c>
      <c r="G79" s="604"/>
      <c r="H79" s="618">
        <f t="shared" si="167"/>
        <v>319.66666666666669</v>
      </c>
      <c r="I79" s="127">
        <f t="shared" si="168"/>
        <v>3836</v>
      </c>
      <c r="J79" s="127">
        <f t="shared" si="169"/>
        <v>3912.72</v>
      </c>
      <c r="K79" s="127">
        <f t="shared" si="169"/>
        <v>3990.9743999999996</v>
      </c>
      <c r="L79" s="127">
        <f t="shared" si="169"/>
        <v>4070.7938879999997</v>
      </c>
      <c r="M79" s="127">
        <f t="shared" si="169"/>
        <v>4152.2097657599998</v>
      </c>
      <c r="N79" s="245" t="str">
        <f t="shared" si="166"/>
        <v>Monthly Cash Management (CM) Module</v>
      </c>
      <c r="O79" s="688">
        <v>12.242245499999999</v>
      </c>
      <c r="P79" s="757">
        <f t="shared" si="170"/>
        <v>3913.4378115</v>
      </c>
      <c r="Q79" s="129">
        <f t="shared" si="171"/>
        <v>46961.253737999999</v>
      </c>
      <c r="R79" s="129">
        <f t="shared" si="172"/>
        <v>47900.478812759997</v>
      </c>
      <c r="S79" s="129">
        <f t="shared" si="172"/>
        <v>48858.48838901519</v>
      </c>
      <c r="T79" s="129">
        <f t="shared" si="172"/>
        <v>49835.6581567955</v>
      </c>
      <c r="U79" s="129">
        <f t="shared" si="172"/>
        <v>50832.371319931408</v>
      </c>
      <c r="V79" s="209">
        <f t="shared" si="173"/>
        <v>244388.25041650212</v>
      </c>
      <c r="W79" s="528"/>
      <c r="X79" s="222"/>
      <c r="Y79" s="324"/>
      <c r="Z79" s="774">
        <f t="shared" si="174"/>
        <v>0</v>
      </c>
      <c r="AA79" s="103">
        <f>IF(Y79&gt;0,PRODUCT(#REF!,$Y79),0)</f>
        <v>0</v>
      </c>
      <c r="AB79" s="103">
        <f>IF(AA79&gt;0,PRODUCT(#REF!,$Y79),0)</f>
        <v>0</v>
      </c>
      <c r="AC79" s="103">
        <f>IF(AB79&gt;0,PRODUCT(#REF!,$Y79),0)</f>
        <v>0</v>
      </c>
      <c r="AD79" s="103">
        <f>IF(AC79&gt;0,PRODUCT(#REF!,$Y79),0)</f>
        <v>0</v>
      </c>
      <c r="AE79" s="103">
        <f>IF(AD79&gt;0,PRODUCT(#REF!,$Y79),0)</f>
        <v>0</v>
      </c>
      <c r="AF79" s="123">
        <f t="shared" si="175"/>
        <v>0</v>
      </c>
      <c r="AG79" s="813"/>
      <c r="AH79" s="818" t="s">
        <v>494</v>
      </c>
      <c r="AI79" s="221"/>
      <c r="AJ79" s="271"/>
      <c r="AK79" s="105">
        <f>IF(AJ79&gt;0,PRODUCT(I74,$AJ79),0)</f>
        <v>0</v>
      </c>
      <c r="AL79" s="105">
        <f>IF(AK79&gt;0,PRODUCT(J74,$AJ79),0)</f>
        <v>0</v>
      </c>
      <c r="AM79" s="105">
        <f>IF(AL79&gt;0,PRODUCT(K74,$AJ79),0)</f>
        <v>0</v>
      </c>
      <c r="AN79" s="105">
        <f>IF(AM79&gt;0,PRODUCT(L74,$AJ79),0)</f>
        <v>0</v>
      </c>
      <c r="AO79" s="105">
        <f>IF(AN79&gt;0,PRODUCT(M74,$AJ79),0)</f>
        <v>0</v>
      </c>
      <c r="AP79" s="158">
        <f>SUM(AK79:AO79)</f>
        <v>0</v>
      </c>
      <c r="AQ79" s="930"/>
      <c r="AR79" s="473"/>
      <c r="AS79" s="106"/>
      <c r="AT79" s="1200"/>
      <c r="AU79" s="108">
        <f t="shared" si="182"/>
        <v>0</v>
      </c>
      <c r="AV79" s="108">
        <f t="shared" si="183"/>
        <v>0</v>
      </c>
      <c r="AW79" s="108">
        <f t="shared" si="184"/>
        <v>0</v>
      </c>
      <c r="AX79" s="108">
        <f t="shared" si="185"/>
        <v>0</v>
      </c>
      <c r="AY79" s="108">
        <f t="shared" si="186"/>
        <v>0</v>
      </c>
      <c r="AZ79" s="165">
        <f t="shared" si="181"/>
        <v>0</v>
      </c>
      <c r="BA79" s="1190"/>
      <c r="BB79" s="1214"/>
    </row>
    <row r="80" spans="1:54" s="495" customFormat="1" x14ac:dyDescent="0.25">
      <c r="A80" s="804"/>
      <c r="B80" s="623" t="s">
        <v>568</v>
      </c>
      <c r="C80" s="310" t="s">
        <v>575</v>
      </c>
      <c r="D80" s="604"/>
      <c r="E80" s="604"/>
      <c r="F80" s="604"/>
      <c r="G80" s="604"/>
      <c r="H80" s="618"/>
      <c r="I80" s="127">
        <f t="shared" si="168"/>
        <v>0</v>
      </c>
      <c r="J80" s="127">
        <f t="shared" si="169"/>
        <v>0</v>
      </c>
      <c r="K80" s="127">
        <f t="shared" si="169"/>
        <v>0</v>
      </c>
      <c r="L80" s="127">
        <f t="shared" si="169"/>
        <v>0</v>
      </c>
      <c r="M80" s="127">
        <f t="shared" si="169"/>
        <v>0</v>
      </c>
      <c r="N80" s="245"/>
      <c r="O80" s="586"/>
      <c r="P80" s="1061">
        <f t="shared" si="170"/>
        <v>0</v>
      </c>
      <c r="Q80" s="129"/>
      <c r="R80" s="129"/>
      <c r="S80" s="129"/>
      <c r="T80" s="129"/>
      <c r="U80" s="129"/>
      <c r="V80" s="209"/>
      <c r="W80" s="528"/>
      <c r="X80" s="222" t="s">
        <v>575</v>
      </c>
      <c r="Y80" s="325"/>
      <c r="Z80" s="324">
        <f t="shared" si="174"/>
        <v>0</v>
      </c>
      <c r="AA80" s="103">
        <f>IF(Y80&gt;0,PRODUCT(I80,$Y80),0)</f>
        <v>0</v>
      </c>
      <c r="AB80" s="103">
        <f t="shared" ref="AB80:AE82" si="187">IF(AA80&gt;0,PRODUCT(J80,$Y80),0)</f>
        <v>0</v>
      </c>
      <c r="AC80" s="103">
        <f t="shared" si="187"/>
        <v>0</v>
      </c>
      <c r="AD80" s="103">
        <f t="shared" si="187"/>
        <v>0</v>
      </c>
      <c r="AE80" s="103">
        <f t="shared" si="187"/>
        <v>0</v>
      </c>
      <c r="AF80" s="123">
        <f t="shared" si="175"/>
        <v>0</v>
      </c>
      <c r="AG80" s="1086"/>
      <c r="AH80" s="370"/>
      <c r="AI80" s="221"/>
      <c r="AJ80" s="255"/>
      <c r="AK80" s="105">
        <f t="shared" ref="AK80:AO82" si="188">IF(AJ80&gt;0,PRODUCT(I80,$AJ80),0)</f>
        <v>0</v>
      </c>
      <c r="AL80" s="105">
        <f t="shared" si="188"/>
        <v>0</v>
      </c>
      <c r="AM80" s="105">
        <f t="shared" si="188"/>
        <v>0</v>
      </c>
      <c r="AN80" s="105">
        <f t="shared" si="188"/>
        <v>0</v>
      </c>
      <c r="AO80" s="105">
        <f t="shared" si="188"/>
        <v>0</v>
      </c>
      <c r="AP80" s="158">
        <f>SUM(AK80:AO80)</f>
        <v>0</v>
      </c>
      <c r="AQ80" s="1087"/>
      <c r="AR80" s="473"/>
      <c r="AS80" s="106"/>
      <c r="AT80" s="1207"/>
      <c r="AU80" s="108">
        <f t="shared" si="182"/>
        <v>0</v>
      </c>
      <c r="AV80" s="108">
        <f t="shared" si="183"/>
        <v>0</v>
      </c>
      <c r="AW80" s="108">
        <f t="shared" si="184"/>
        <v>0</v>
      </c>
      <c r="AX80" s="108">
        <f t="shared" si="185"/>
        <v>0</v>
      </c>
      <c r="AY80" s="108">
        <f t="shared" si="186"/>
        <v>0</v>
      </c>
      <c r="AZ80" s="165">
        <f t="shared" si="181"/>
        <v>0</v>
      </c>
      <c r="BA80" s="1190"/>
      <c r="BB80" s="1214"/>
    </row>
    <row r="81" spans="1:54" s="495" customFormat="1" x14ac:dyDescent="0.25">
      <c r="A81" s="890"/>
      <c r="B81" s="623" t="s">
        <v>568</v>
      </c>
      <c r="C81" s="310" t="s">
        <v>576</v>
      </c>
      <c r="D81" s="604"/>
      <c r="E81" s="604"/>
      <c r="F81" s="604"/>
      <c r="G81" s="604"/>
      <c r="H81" s="618">
        <v>1</v>
      </c>
      <c r="I81" s="127">
        <f t="shared" si="168"/>
        <v>12</v>
      </c>
      <c r="J81" s="127">
        <f t="shared" si="169"/>
        <v>12</v>
      </c>
      <c r="K81" s="127">
        <f t="shared" si="169"/>
        <v>12</v>
      </c>
      <c r="L81" s="127">
        <f t="shared" si="169"/>
        <v>12</v>
      </c>
      <c r="M81" s="127">
        <f t="shared" si="169"/>
        <v>12</v>
      </c>
      <c r="N81" s="245"/>
      <c r="O81" s="586"/>
      <c r="P81" s="757">
        <f t="shared" si="170"/>
        <v>0</v>
      </c>
      <c r="Q81" s="129"/>
      <c r="R81" s="129"/>
      <c r="S81" s="129"/>
      <c r="T81" s="129"/>
      <c r="U81" s="129"/>
      <c r="V81" s="209"/>
      <c r="W81" s="528"/>
      <c r="X81" s="222"/>
      <c r="Y81" s="325"/>
      <c r="Z81" s="774">
        <f t="shared" si="174"/>
        <v>0</v>
      </c>
      <c r="AA81" s="103">
        <f>IF(Y81&gt;0,PRODUCT(I81,$Y81),0)</f>
        <v>0</v>
      </c>
      <c r="AB81" s="103">
        <f t="shared" si="187"/>
        <v>0</v>
      </c>
      <c r="AC81" s="103">
        <f t="shared" si="187"/>
        <v>0</v>
      </c>
      <c r="AD81" s="103">
        <f t="shared" si="187"/>
        <v>0</v>
      </c>
      <c r="AE81" s="103">
        <f t="shared" si="187"/>
        <v>0</v>
      </c>
      <c r="AF81" s="123">
        <f t="shared" si="175"/>
        <v>0</v>
      </c>
      <c r="AG81" s="813"/>
      <c r="AH81" s="370"/>
      <c r="AI81" s="221" t="str">
        <f>C81</f>
        <v>CentrixDTS: Regulation E Dispute Tracking System</v>
      </c>
      <c r="AJ81" s="255">
        <f>12540/12</f>
        <v>1045</v>
      </c>
      <c r="AK81" s="105">
        <f t="shared" si="188"/>
        <v>12540</v>
      </c>
      <c r="AL81" s="105">
        <f t="shared" si="188"/>
        <v>12540</v>
      </c>
      <c r="AM81" s="105">
        <f t="shared" si="188"/>
        <v>12540</v>
      </c>
      <c r="AN81" s="105">
        <f t="shared" si="188"/>
        <v>12540</v>
      </c>
      <c r="AO81" s="105">
        <f t="shared" si="188"/>
        <v>12540</v>
      </c>
      <c r="AP81" s="158">
        <f>SUM(AK81:AO81)</f>
        <v>62700</v>
      </c>
      <c r="AQ81" s="930">
        <v>3500</v>
      </c>
      <c r="AR81" s="473" t="s">
        <v>577</v>
      </c>
      <c r="AS81" s="106" t="s">
        <v>576</v>
      </c>
      <c r="AT81" s="1209">
        <v>1045</v>
      </c>
      <c r="AU81" s="108">
        <f t="shared" si="182"/>
        <v>12540</v>
      </c>
      <c r="AV81" s="108">
        <f t="shared" si="183"/>
        <v>12540</v>
      </c>
      <c r="AW81" s="108">
        <f t="shared" si="184"/>
        <v>12540</v>
      </c>
      <c r="AX81" s="108">
        <f t="shared" si="185"/>
        <v>12540</v>
      </c>
      <c r="AY81" s="108">
        <f t="shared" si="186"/>
        <v>12540</v>
      </c>
      <c r="AZ81" s="165">
        <f t="shared" si="181"/>
        <v>62700</v>
      </c>
      <c r="BA81" s="1190">
        <v>3500</v>
      </c>
      <c r="BB81" s="1214" t="s">
        <v>577</v>
      </c>
    </row>
    <row r="82" spans="1:54" s="495" customFormat="1" x14ac:dyDescent="0.25">
      <c r="A82" s="445"/>
      <c r="B82" s="623"/>
      <c r="C82" s="310"/>
      <c r="D82" s="604"/>
      <c r="E82" s="604"/>
      <c r="F82" s="604"/>
      <c r="G82" s="604"/>
      <c r="H82" s="618"/>
      <c r="I82" s="127">
        <f t="shared" si="168"/>
        <v>0</v>
      </c>
      <c r="J82" s="127">
        <f t="shared" si="169"/>
        <v>0</v>
      </c>
      <c r="K82" s="127">
        <f t="shared" si="169"/>
        <v>0</v>
      </c>
      <c r="L82" s="127">
        <f t="shared" si="169"/>
        <v>0</v>
      </c>
      <c r="M82" s="127">
        <f t="shared" si="169"/>
        <v>0</v>
      </c>
      <c r="N82" s="245"/>
      <c r="O82" s="586"/>
      <c r="P82" s="757">
        <f t="shared" si="170"/>
        <v>0</v>
      </c>
      <c r="Q82" s="129"/>
      <c r="R82" s="129"/>
      <c r="S82" s="129"/>
      <c r="T82" s="129"/>
      <c r="U82" s="129"/>
      <c r="V82" s="209"/>
      <c r="W82" s="528"/>
      <c r="X82" s="222"/>
      <c r="Y82" s="325"/>
      <c r="Z82" s="774">
        <f t="shared" si="174"/>
        <v>0</v>
      </c>
      <c r="AA82" s="103">
        <f>IF(Y82&gt;0,PRODUCT(I82,$Y82),0)</f>
        <v>0</v>
      </c>
      <c r="AB82" s="103">
        <f t="shared" si="187"/>
        <v>0</v>
      </c>
      <c r="AC82" s="103">
        <f t="shared" si="187"/>
        <v>0</v>
      </c>
      <c r="AD82" s="103">
        <f t="shared" si="187"/>
        <v>0</v>
      </c>
      <c r="AE82" s="103">
        <f t="shared" si="187"/>
        <v>0</v>
      </c>
      <c r="AF82" s="123">
        <f t="shared" si="175"/>
        <v>0</v>
      </c>
      <c r="AG82" s="813"/>
      <c r="AH82" s="370"/>
      <c r="AI82" s="221"/>
      <c r="AJ82" s="255"/>
      <c r="AK82" s="105">
        <f t="shared" si="188"/>
        <v>0</v>
      </c>
      <c r="AL82" s="105">
        <f t="shared" si="188"/>
        <v>0</v>
      </c>
      <c r="AM82" s="105">
        <f t="shared" si="188"/>
        <v>0</v>
      </c>
      <c r="AN82" s="105">
        <f t="shared" si="188"/>
        <v>0</v>
      </c>
      <c r="AO82" s="105">
        <f t="shared" si="188"/>
        <v>0</v>
      </c>
      <c r="AP82" s="158">
        <f>SUM(AK82:AO82)</f>
        <v>0</v>
      </c>
      <c r="AQ82" s="930"/>
      <c r="AR82" s="473"/>
      <c r="AS82" s="106"/>
      <c r="AT82" s="1207"/>
      <c r="AU82" s="108">
        <f t="shared" si="182"/>
        <v>0</v>
      </c>
      <c r="AV82" s="108">
        <f t="shared" si="183"/>
        <v>0</v>
      </c>
      <c r="AW82" s="108">
        <f t="shared" si="184"/>
        <v>0</v>
      </c>
      <c r="AX82" s="108">
        <f t="shared" si="185"/>
        <v>0</v>
      </c>
      <c r="AY82" s="108">
        <f t="shared" si="186"/>
        <v>0</v>
      </c>
      <c r="AZ82" s="165">
        <f t="shared" si="181"/>
        <v>0</v>
      </c>
      <c r="BA82" s="1190"/>
      <c r="BB82" s="1214"/>
    </row>
    <row r="83" spans="1:54" s="495" customFormat="1" x14ac:dyDescent="0.25">
      <c r="A83" s="445"/>
      <c r="B83" s="252" t="str">
        <f>C83</f>
        <v>DIGITAL ANALYTICS AND MARKETING:</v>
      </c>
      <c r="C83" s="242" t="s">
        <v>578</v>
      </c>
      <c r="D83" s="609"/>
      <c r="E83" s="609"/>
      <c r="F83" s="609"/>
      <c r="G83" s="609"/>
      <c r="H83" s="619"/>
      <c r="I83" s="243"/>
      <c r="J83" s="243"/>
      <c r="K83" s="243"/>
      <c r="L83" s="243"/>
      <c r="M83" s="244"/>
      <c r="N83" s="252" t="str">
        <f>IF(C83="","",C83)</f>
        <v>DIGITAL ANALYTICS AND MARKETING:</v>
      </c>
      <c r="O83" s="243"/>
      <c r="P83" s="756"/>
      <c r="Q83" s="243"/>
      <c r="R83" s="243"/>
      <c r="S83" s="243"/>
      <c r="T83" s="243"/>
      <c r="U83" s="244"/>
      <c r="V83" s="209"/>
      <c r="W83" s="527"/>
      <c r="X83" s="252" t="str">
        <f>C83 &amp; " [DIGITAL ONE SERVICE]"</f>
        <v>DIGITAL ANALYTICS AND MARKETING: [DIGITAL ONE SERVICE]</v>
      </c>
      <c r="Y83" s="243"/>
      <c r="Z83" s="756"/>
      <c r="AA83" s="243"/>
      <c r="AB83" s="243"/>
      <c r="AC83" s="243"/>
      <c r="AD83" s="243"/>
      <c r="AE83" s="244"/>
      <c r="AF83" s="123"/>
      <c r="AG83" s="812"/>
      <c r="AH83" s="808"/>
      <c r="AI83" s="252" t="str">
        <f>C83</f>
        <v>DIGITAL ANALYTICS AND MARKETING:</v>
      </c>
      <c r="AJ83" s="243"/>
      <c r="AK83" s="243"/>
      <c r="AL83" s="243"/>
      <c r="AM83" s="243"/>
      <c r="AN83" s="243"/>
      <c r="AO83" s="244"/>
      <c r="AP83" s="158"/>
      <c r="AQ83" s="812"/>
      <c r="AR83" s="812"/>
      <c r="AS83" s="252" t="s">
        <v>578</v>
      </c>
      <c r="AT83" s="243"/>
      <c r="AU83" s="243"/>
      <c r="AV83" s="243"/>
      <c r="AW83" s="243"/>
      <c r="AX83" s="243"/>
      <c r="AY83" s="244"/>
      <c r="AZ83" s="165">
        <f t="shared" si="181"/>
        <v>0</v>
      </c>
      <c r="BA83" s="1189"/>
      <c r="BB83" s="1213"/>
    </row>
    <row r="84" spans="1:54" s="495" customFormat="1" x14ac:dyDescent="0.25">
      <c r="A84" s="787"/>
      <c r="B84" s="623" t="s">
        <v>529</v>
      </c>
      <c r="C84" s="310" t="s">
        <v>579</v>
      </c>
      <c r="D84" s="604">
        <v>2</v>
      </c>
      <c r="E84" s="604">
        <v>2</v>
      </c>
      <c r="F84" s="604">
        <v>2</v>
      </c>
      <c r="G84" s="604"/>
      <c r="H84" s="618">
        <f>IFERROR(AVERAGE(D84:F84),0)</f>
        <v>2</v>
      </c>
      <c r="I84" s="127">
        <f t="shared" ref="I84:I89" si="189">H84*12</f>
        <v>24</v>
      </c>
      <c r="J84" s="127">
        <f t="shared" ref="J84:M89" si="190">IF(I84&gt;12,(((I84)*$H$5)+I84),(I84*1))</f>
        <v>24.48</v>
      </c>
      <c r="K84" s="127">
        <f t="shared" si="190"/>
        <v>24.9696</v>
      </c>
      <c r="L84" s="127">
        <f t="shared" si="190"/>
        <v>25.468992</v>
      </c>
      <c r="M84" s="127">
        <f t="shared" si="190"/>
        <v>25.978371840000001</v>
      </c>
      <c r="N84" s="245" t="str">
        <f>IF(C84="","",C84)</f>
        <v>Metrics Intelligence Analytics</v>
      </c>
      <c r="O84" s="247">
        <v>282.03372000000002</v>
      </c>
      <c r="P84" s="757">
        <f t="shared" ref="P84:P90" si="191">Q84/12</f>
        <v>564.06744000000003</v>
      </c>
      <c r="Q84" s="129">
        <f>IF(O84&gt;0,PRODUCT(I84,$O84),0)</f>
        <v>6768.8092800000004</v>
      </c>
      <c r="R84" s="129">
        <f t="shared" ref="R84:U85" si="192">IF(Q84&gt;0,PRODUCT(J84,$O84),0)</f>
        <v>6904.1854656000005</v>
      </c>
      <c r="S84" s="129">
        <f t="shared" si="192"/>
        <v>7042.2691749120004</v>
      </c>
      <c r="T84" s="129">
        <f t="shared" si="192"/>
        <v>7183.1145584102405</v>
      </c>
      <c r="U84" s="129">
        <f t="shared" si="192"/>
        <v>7326.7768495784458</v>
      </c>
      <c r="V84" s="209">
        <f>SUM(Q84:U84)</f>
        <v>35225.155328500688</v>
      </c>
      <c r="W84" s="528" t="s">
        <v>523</v>
      </c>
      <c r="X84" s="734" t="str">
        <f>"See item "&amp;"'"&amp; X86 &amp; "'"</f>
        <v>See item 'Mobile - Metrics Intelligence Analytics'</v>
      </c>
      <c r="Y84" s="324"/>
      <c r="Z84" s="774">
        <f t="shared" ref="Z84:Z90" si="193">AA84/12</f>
        <v>0</v>
      </c>
      <c r="AA84" s="103">
        <f>IF(Y84&gt;0,PRODUCT(I84,$Y84),0)</f>
        <v>0</v>
      </c>
      <c r="AB84" s="103">
        <f>IF(AA84&gt;0,PRODUCT(J84,$Y84),0)</f>
        <v>0</v>
      </c>
      <c r="AC84" s="103">
        <f>IF(AB84&gt;0,PRODUCT(K84,$Y84),0)</f>
        <v>0</v>
      </c>
      <c r="AD84" s="103">
        <f>IF(AC84&gt;0,PRODUCT(L84,$Y84),0)</f>
        <v>0</v>
      </c>
      <c r="AE84" s="103">
        <f>IF(AD84&gt;0,PRODUCT(M84,$Y84),0)</f>
        <v>0</v>
      </c>
      <c r="AF84" s="123">
        <f>SUM(AA84:AE84)</f>
        <v>0</v>
      </c>
      <c r="AG84" s="813"/>
      <c r="AH84" s="362"/>
      <c r="AI84" s="221"/>
      <c r="AJ84" s="271"/>
      <c r="AK84" s="105">
        <f>IF(AJ84&gt;0,PRODUCT(I84,$AJ84),0)</f>
        <v>0</v>
      </c>
      <c r="AL84" s="105">
        <f>IF(AK84&gt;0,PRODUCT(J84,$AJ84),0)</f>
        <v>0</v>
      </c>
      <c r="AM84" s="105">
        <f>IF(AL84&gt;0,PRODUCT(K84,$AJ84),0)</f>
        <v>0</v>
      </c>
      <c r="AN84" s="105">
        <f>IF(AM84&gt;0,PRODUCT(L84,$AJ84),0)</f>
        <v>0</v>
      </c>
      <c r="AO84" s="105">
        <f>IF(AN84&gt;0,PRODUCT(M84,$AJ84),0)</f>
        <v>0</v>
      </c>
      <c r="AP84" s="158">
        <f>SUM(AK84:AO84)</f>
        <v>0</v>
      </c>
      <c r="AQ84" s="930"/>
      <c r="AR84" s="473"/>
      <c r="AS84" s="106"/>
      <c r="AT84" s="1200"/>
      <c r="AU84" s="108">
        <f t="shared" ref="AU84" si="194">IF($AT84&gt;0,PRODUCT(I84,$AT84),0)</f>
        <v>0</v>
      </c>
      <c r="AV84" s="108">
        <f t="shared" ref="AV84" si="195">IF($AT84&gt;0,PRODUCT(J84,$AT84),0)</f>
        <v>0</v>
      </c>
      <c r="AW84" s="108">
        <f t="shared" ref="AW84" si="196">IF($AT84&gt;0,PRODUCT(K84,$AT84),0)</f>
        <v>0</v>
      </c>
      <c r="AX84" s="108">
        <f t="shared" ref="AX84" si="197">IF($AT84&gt;0,PRODUCT(L84,$AT84),0)</f>
        <v>0</v>
      </c>
      <c r="AY84" s="108">
        <f t="shared" ref="AY84" si="198">IF($AT84&gt;0,PRODUCT(M84,$AT84),0)</f>
        <v>0</v>
      </c>
      <c r="AZ84" s="165">
        <f t="shared" si="181"/>
        <v>0</v>
      </c>
      <c r="BA84" s="1190"/>
      <c r="BB84" s="1214"/>
    </row>
    <row r="85" spans="1:54" s="495" customFormat="1" x14ac:dyDescent="0.25">
      <c r="A85" s="787"/>
      <c r="B85" s="623" t="s">
        <v>529</v>
      </c>
      <c r="C85" s="492" t="s">
        <v>580</v>
      </c>
      <c r="D85" s="604">
        <v>1</v>
      </c>
      <c r="E85" s="604">
        <v>1</v>
      </c>
      <c r="F85" s="604">
        <v>1</v>
      </c>
      <c r="G85" s="604"/>
      <c r="H85" s="618">
        <f>IFERROR(AVERAGE(D85:F85),0)</f>
        <v>1</v>
      </c>
      <c r="I85" s="127">
        <f t="shared" si="189"/>
        <v>12</v>
      </c>
      <c r="J85" s="127">
        <f t="shared" si="190"/>
        <v>12</v>
      </c>
      <c r="K85" s="127">
        <f t="shared" si="190"/>
        <v>12</v>
      </c>
      <c r="L85" s="127">
        <f t="shared" si="190"/>
        <v>12</v>
      </c>
      <c r="M85" s="127">
        <f t="shared" si="190"/>
        <v>12</v>
      </c>
      <c r="N85" s="245" t="str">
        <f>IF(C85="","",C85)</f>
        <v>mPromote</v>
      </c>
      <c r="O85" s="247">
        <v>1233.89753</v>
      </c>
      <c r="P85" s="757">
        <f t="shared" si="191"/>
        <v>1233.89753</v>
      </c>
      <c r="Q85" s="129">
        <f>IF(O85&gt;0,PRODUCT(I85,$O85),0)</f>
        <v>14806.770359999999</v>
      </c>
      <c r="R85" s="129">
        <f t="shared" si="192"/>
        <v>14806.770359999999</v>
      </c>
      <c r="S85" s="129">
        <f t="shared" si="192"/>
        <v>14806.770359999999</v>
      </c>
      <c r="T85" s="129">
        <f t="shared" si="192"/>
        <v>14806.770359999999</v>
      </c>
      <c r="U85" s="129">
        <f t="shared" si="192"/>
        <v>14806.770359999999</v>
      </c>
      <c r="V85" s="209">
        <f>SUM(Q85:U85)</f>
        <v>74033.851799999989</v>
      </c>
      <c r="W85" s="528" t="s">
        <v>523</v>
      </c>
      <c r="X85" s="734" t="str">
        <f>"See item "&amp;"'"&amp; X87 &amp; "'"</f>
        <v>See item 'Mobile - Digital Marketing Platform'</v>
      </c>
      <c r="Y85" s="324"/>
      <c r="Z85" s="774">
        <f t="shared" si="193"/>
        <v>0</v>
      </c>
      <c r="AA85" s="103"/>
      <c r="AB85" s="103"/>
      <c r="AC85" s="103"/>
      <c r="AD85" s="103"/>
      <c r="AE85" s="103"/>
      <c r="AF85" s="123"/>
      <c r="AG85" s="813"/>
      <c r="AH85" s="370"/>
      <c r="AI85" s="221"/>
      <c r="AJ85" s="271"/>
      <c r="AK85" s="105"/>
      <c r="AL85" s="105"/>
      <c r="AM85" s="105"/>
      <c r="AN85" s="105"/>
      <c r="AO85" s="105"/>
      <c r="AP85" s="158"/>
      <c r="AQ85" s="930"/>
      <c r="AR85" s="473"/>
      <c r="AS85" s="106"/>
      <c r="AT85" s="1200"/>
      <c r="AU85" s="108">
        <f t="shared" ref="AU85:AU90" si="199">IF($AT85&gt;0,PRODUCT(I85,$AT85),0)</f>
        <v>0</v>
      </c>
      <c r="AV85" s="108">
        <f t="shared" ref="AV85:AV90" si="200">IF($AT85&gt;0,PRODUCT(J85,$AT85),0)</f>
        <v>0</v>
      </c>
      <c r="AW85" s="108">
        <f t="shared" ref="AW85:AW90" si="201">IF($AT85&gt;0,PRODUCT(K85,$AT85),0)</f>
        <v>0</v>
      </c>
      <c r="AX85" s="108">
        <f t="shared" ref="AX85:AX90" si="202">IF($AT85&gt;0,PRODUCT(L85,$AT85),0)</f>
        <v>0</v>
      </c>
      <c r="AY85" s="108">
        <f t="shared" ref="AY85:AY90" si="203">IF($AT85&gt;0,PRODUCT(M85,$AT85),0)</f>
        <v>0</v>
      </c>
      <c r="AZ85" s="165">
        <f t="shared" si="181"/>
        <v>0</v>
      </c>
      <c r="BA85" s="1190"/>
      <c r="BB85" s="1214"/>
    </row>
    <row r="86" spans="1:54" s="495" customFormat="1" x14ac:dyDescent="0.25">
      <c r="A86" s="804"/>
      <c r="B86" s="623" t="s">
        <v>552</v>
      </c>
      <c r="C86" s="310" t="s">
        <v>581</v>
      </c>
      <c r="D86" s="604"/>
      <c r="E86" s="604"/>
      <c r="F86" s="604"/>
      <c r="G86" s="604"/>
      <c r="H86" s="618">
        <f>H84</f>
        <v>2</v>
      </c>
      <c r="I86" s="127">
        <f t="shared" si="189"/>
        <v>24</v>
      </c>
      <c r="J86" s="127">
        <f t="shared" si="190"/>
        <v>24.48</v>
      </c>
      <c r="K86" s="127">
        <f t="shared" si="190"/>
        <v>24.9696</v>
      </c>
      <c r="L86" s="127">
        <f t="shared" si="190"/>
        <v>25.468992</v>
      </c>
      <c r="M86" s="127">
        <f t="shared" si="190"/>
        <v>25.978371840000001</v>
      </c>
      <c r="N86" s="245"/>
      <c r="O86" s="586"/>
      <c r="P86" s="757">
        <f t="shared" si="191"/>
        <v>0</v>
      </c>
      <c r="Q86" s="129"/>
      <c r="R86" s="129"/>
      <c r="S86" s="129"/>
      <c r="T86" s="129"/>
      <c r="U86" s="129"/>
      <c r="V86" s="209"/>
      <c r="W86" s="528"/>
      <c r="X86" s="222" t="str">
        <f>C86</f>
        <v>Mobile - Metrics Intelligence Analytics</v>
      </c>
      <c r="Y86" s="325">
        <v>240</v>
      </c>
      <c r="Z86" s="774">
        <f t="shared" si="193"/>
        <v>480</v>
      </c>
      <c r="AA86" s="103">
        <f t="shared" ref="AA86:AA90" si="204">IF(Y86&gt;0,PRODUCT(I86,$Y86),0)</f>
        <v>5760</v>
      </c>
      <c r="AB86" s="103">
        <f t="shared" ref="AB86:AE90" si="205">IF(AA86&gt;0,PRODUCT(J86,$Y86),0)</f>
        <v>5875.2</v>
      </c>
      <c r="AC86" s="103">
        <f t="shared" si="205"/>
        <v>5992.7039999999997</v>
      </c>
      <c r="AD86" s="103">
        <f t="shared" si="205"/>
        <v>6112.5580799999998</v>
      </c>
      <c r="AE86" s="103">
        <f t="shared" si="205"/>
        <v>6234.8092416</v>
      </c>
      <c r="AF86" s="123">
        <f t="shared" ref="AF86:AF90" si="206">SUM(AA86:AE86)</f>
        <v>29975.271321600001</v>
      </c>
      <c r="AG86" s="813" t="s">
        <v>496</v>
      </c>
      <c r="AH86" s="370"/>
      <c r="AI86" s="221"/>
      <c r="AJ86" s="255"/>
      <c r="AK86" s="105">
        <f t="shared" ref="AK86:AO89" si="207">IF(AJ86&gt;0,PRODUCT(I86,$AJ86),0)</f>
        <v>0</v>
      </c>
      <c r="AL86" s="105">
        <f t="shared" si="207"/>
        <v>0</v>
      </c>
      <c r="AM86" s="105">
        <f t="shared" si="207"/>
        <v>0</v>
      </c>
      <c r="AN86" s="105">
        <f t="shared" si="207"/>
        <v>0</v>
      </c>
      <c r="AO86" s="105">
        <f t="shared" si="207"/>
        <v>0</v>
      </c>
      <c r="AP86" s="158">
        <f t="shared" ref="AP86:AP89" si="208">SUM(AK86:AO86)</f>
        <v>0</v>
      </c>
      <c r="AQ86" s="930"/>
      <c r="AR86" s="473"/>
      <c r="AS86" s="106"/>
      <c r="AT86" s="1207"/>
      <c r="AU86" s="108">
        <f t="shared" si="199"/>
        <v>0</v>
      </c>
      <c r="AV86" s="108">
        <f t="shared" si="200"/>
        <v>0</v>
      </c>
      <c r="AW86" s="108">
        <f t="shared" si="201"/>
        <v>0</v>
      </c>
      <c r="AX86" s="108">
        <f t="shared" si="202"/>
        <v>0</v>
      </c>
      <c r="AY86" s="108">
        <f t="shared" si="203"/>
        <v>0</v>
      </c>
      <c r="AZ86" s="165">
        <f t="shared" si="181"/>
        <v>0</v>
      </c>
      <c r="BA86" s="1190"/>
      <c r="BB86" s="1214"/>
    </row>
    <row r="87" spans="1:54" s="495" customFormat="1" x14ac:dyDescent="0.25">
      <c r="A87" s="804"/>
      <c r="B87" s="623" t="s">
        <v>552</v>
      </c>
      <c r="C87" s="310" t="s">
        <v>582</v>
      </c>
      <c r="D87" s="604"/>
      <c r="E87" s="604"/>
      <c r="F87" s="604"/>
      <c r="G87" s="604"/>
      <c r="H87" s="618">
        <f>H85</f>
        <v>1</v>
      </c>
      <c r="I87" s="127">
        <f t="shared" si="189"/>
        <v>12</v>
      </c>
      <c r="J87" s="127">
        <f t="shared" si="190"/>
        <v>12</v>
      </c>
      <c r="K87" s="127">
        <f t="shared" si="190"/>
        <v>12</v>
      </c>
      <c r="L87" s="127">
        <f t="shared" si="190"/>
        <v>12</v>
      </c>
      <c r="M87" s="127">
        <f t="shared" si="190"/>
        <v>12</v>
      </c>
      <c r="N87" s="245"/>
      <c r="O87" s="586"/>
      <c r="P87" s="757">
        <f t="shared" si="191"/>
        <v>0</v>
      </c>
      <c r="Q87" s="129"/>
      <c r="R87" s="129"/>
      <c r="S87" s="129"/>
      <c r="T87" s="129"/>
      <c r="U87" s="129"/>
      <c r="V87" s="209"/>
      <c r="W87" s="528"/>
      <c r="X87" s="222" t="str">
        <f>C87</f>
        <v>Mobile - Digital Marketing Platform</v>
      </c>
      <c r="Y87" s="325">
        <v>500</v>
      </c>
      <c r="Z87" s="774">
        <f t="shared" si="193"/>
        <v>500</v>
      </c>
      <c r="AA87" s="103">
        <f t="shared" si="204"/>
        <v>6000</v>
      </c>
      <c r="AB87" s="103">
        <f t="shared" si="205"/>
        <v>6000</v>
      </c>
      <c r="AC87" s="103">
        <f t="shared" si="205"/>
        <v>6000</v>
      </c>
      <c r="AD87" s="103">
        <f t="shared" si="205"/>
        <v>6000</v>
      </c>
      <c r="AE87" s="103">
        <f t="shared" si="205"/>
        <v>6000</v>
      </c>
      <c r="AF87" s="123">
        <f t="shared" si="206"/>
        <v>30000</v>
      </c>
      <c r="AG87" s="813" t="s">
        <v>496</v>
      </c>
      <c r="AH87" s="370"/>
      <c r="AI87" s="221"/>
      <c r="AJ87" s="255"/>
      <c r="AK87" s="105">
        <f t="shared" si="207"/>
        <v>0</v>
      </c>
      <c r="AL87" s="105">
        <f t="shared" si="207"/>
        <v>0</v>
      </c>
      <c r="AM87" s="105">
        <f t="shared" si="207"/>
        <v>0</v>
      </c>
      <c r="AN87" s="105">
        <f t="shared" si="207"/>
        <v>0</v>
      </c>
      <c r="AO87" s="105">
        <f t="shared" si="207"/>
        <v>0</v>
      </c>
      <c r="AP87" s="158">
        <f t="shared" si="208"/>
        <v>0</v>
      </c>
      <c r="AQ87" s="930"/>
      <c r="AR87" s="473"/>
      <c r="AS87" s="106"/>
      <c r="AT87" s="1207"/>
      <c r="AU87" s="108">
        <f t="shared" si="199"/>
        <v>0</v>
      </c>
      <c r="AV87" s="108">
        <f t="shared" si="200"/>
        <v>0</v>
      </c>
      <c r="AW87" s="108">
        <f t="shared" si="201"/>
        <v>0</v>
      </c>
      <c r="AX87" s="108">
        <f t="shared" si="202"/>
        <v>0</v>
      </c>
      <c r="AY87" s="108">
        <f t="shared" si="203"/>
        <v>0</v>
      </c>
      <c r="AZ87" s="165">
        <f t="shared" si="181"/>
        <v>0</v>
      </c>
      <c r="BA87" s="1190"/>
      <c r="BB87" s="1214"/>
    </row>
    <row r="88" spans="1:54" s="495" customFormat="1" x14ac:dyDescent="0.25">
      <c r="A88" s="890"/>
      <c r="B88" s="623" t="s">
        <v>531</v>
      </c>
      <c r="C88" s="310" t="s">
        <v>583</v>
      </c>
      <c r="D88" s="604"/>
      <c r="E88" s="604"/>
      <c r="F88" s="604"/>
      <c r="G88" s="604"/>
      <c r="H88" s="618">
        <v>1</v>
      </c>
      <c r="I88" s="127">
        <f t="shared" si="189"/>
        <v>12</v>
      </c>
      <c r="J88" s="127">
        <f t="shared" si="190"/>
        <v>12</v>
      </c>
      <c r="K88" s="127">
        <f t="shared" si="190"/>
        <v>12</v>
      </c>
      <c r="L88" s="127">
        <f t="shared" si="190"/>
        <v>12</v>
      </c>
      <c r="M88" s="127">
        <f t="shared" si="190"/>
        <v>12</v>
      </c>
      <c r="N88" s="245"/>
      <c r="O88" s="586"/>
      <c r="P88" s="757">
        <f t="shared" si="191"/>
        <v>0</v>
      </c>
      <c r="Q88" s="129"/>
      <c r="R88" s="129"/>
      <c r="S88" s="129"/>
      <c r="T88" s="129"/>
      <c r="U88" s="129"/>
      <c r="V88" s="209"/>
      <c r="W88" s="528"/>
      <c r="X88" s="222"/>
      <c r="Y88" s="325"/>
      <c r="Z88" s="774">
        <f t="shared" si="193"/>
        <v>0</v>
      </c>
      <c r="AA88" s="103">
        <f t="shared" si="204"/>
        <v>0</v>
      </c>
      <c r="AB88" s="103">
        <f t="shared" si="205"/>
        <v>0</v>
      </c>
      <c r="AC88" s="103">
        <f t="shared" si="205"/>
        <v>0</v>
      </c>
      <c r="AD88" s="103">
        <f t="shared" si="205"/>
        <v>0</v>
      </c>
      <c r="AE88" s="103">
        <f t="shared" si="205"/>
        <v>0</v>
      </c>
      <c r="AF88" s="123">
        <f t="shared" si="206"/>
        <v>0</v>
      </c>
      <c r="AG88" s="813"/>
      <c r="AH88" s="370"/>
      <c r="AI88" s="221" t="str">
        <f>C88</f>
        <v>Q2 CardSwap</v>
      </c>
      <c r="AJ88" s="255">
        <f>6600/12</f>
        <v>550</v>
      </c>
      <c r="AK88" s="105">
        <f t="shared" si="207"/>
        <v>6600</v>
      </c>
      <c r="AL88" s="105">
        <f t="shared" si="207"/>
        <v>6600</v>
      </c>
      <c r="AM88" s="105">
        <f t="shared" si="207"/>
        <v>6600</v>
      </c>
      <c r="AN88" s="105">
        <f t="shared" si="207"/>
        <v>6600</v>
      </c>
      <c r="AO88" s="105">
        <f t="shared" si="207"/>
        <v>6600</v>
      </c>
      <c r="AP88" s="158">
        <f t="shared" si="208"/>
        <v>33000</v>
      </c>
      <c r="AQ88" s="930">
        <v>2500</v>
      </c>
      <c r="AR88" s="473" t="s">
        <v>584</v>
      </c>
      <c r="AS88" s="106" t="s">
        <v>583</v>
      </c>
      <c r="AT88" s="1209">
        <v>550</v>
      </c>
      <c r="AU88" s="108">
        <f t="shared" si="199"/>
        <v>6600</v>
      </c>
      <c r="AV88" s="108">
        <f t="shared" si="200"/>
        <v>6600</v>
      </c>
      <c r="AW88" s="108">
        <f t="shared" si="201"/>
        <v>6600</v>
      </c>
      <c r="AX88" s="108">
        <f t="shared" si="202"/>
        <v>6600</v>
      </c>
      <c r="AY88" s="108">
        <f t="shared" si="203"/>
        <v>6600</v>
      </c>
      <c r="AZ88" s="165">
        <f t="shared" si="181"/>
        <v>33000</v>
      </c>
      <c r="BA88" s="1190">
        <v>2500</v>
      </c>
      <c r="BB88" s="1214" t="s">
        <v>584</v>
      </c>
    </row>
    <row r="89" spans="1:54" s="495" customFormat="1" x14ac:dyDescent="0.25">
      <c r="A89" s="890"/>
      <c r="B89" s="623" t="s">
        <v>531</v>
      </c>
      <c r="C89" s="200" t="s">
        <v>585</v>
      </c>
      <c r="D89" s="604"/>
      <c r="E89" s="604"/>
      <c r="F89" s="604"/>
      <c r="G89" s="604"/>
      <c r="H89" s="782">
        <v>0</v>
      </c>
      <c r="I89" s="127">
        <f t="shared" si="189"/>
        <v>0</v>
      </c>
      <c r="J89" s="127">
        <f t="shared" si="190"/>
        <v>0</v>
      </c>
      <c r="K89" s="127">
        <f t="shared" si="190"/>
        <v>0</v>
      </c>
      <c r="L89" s="127">
        <f t="shared" si="190"/>
        <v>0</v>
      </c>
      <c r="M89" s="127">
        <f t="shared" si="190"/>
        <v>0</v>
      </c>
      <c r="N89" s="245"/>
      <c r="O89" s="586"/>
      <c r="P89" s="757">
        <f t="shared" si="191"/>
        <v>0</v>
      </c>
      <c r="Q89" s="129"/>
      <c r="R89" s="129"/>
      <c r="S89" s="129"/>
      <c r="T89" s="129"/>
      <c r="U89" s="129"/>
      <c r="V89" s="209"/>
      <c r="W89" s="528"/>
      <c r="X89" s="222"/>
      <c r="Y89" s="325"/>
      <c r="Z89" s="774">
        <f t="shared" si="193"/>
        <v>0</v>
      </c>
      <c r="AA89" s="103">
        <f t="shared" si="204"/>
        <v>0</v>
      </c>
      <c r="AB89" s="103">
        <f t="shared" si="205"/>
        <v>0</v>
      </c>
      <c r="AC89" s="103">
        <f t="shared" si="205"/>
        <v>0</v>
      </c>
      <c r="AD89" s="103">
        <f t="shared" si="205"/>
        <v>0</v>
      </c>
      <c r="AE89" s="103">
        <f t="shared" si="205"/>
        <v>0</v>
      </c>
      <c r="AF89" s="123">
        <f t="shared" si="206"/>
        <v>0</v>
      </c>
      <c r="AG89" s="813"/>
      <c r="AH89" s="370"/>
      <c r="AI89" s="221" t="str">
        <f>C89</f>
        <v>Q2 CardSwap per Swap Fee</v>
      </c>
      <c r="AJ89" s="270">
        <v>0.28000000000000003</v>
      </c>
      <c r="AK89" s="105">
        <f t="shared" si="207"/>
        <v>0</v>
      </c>
      <c r="AL89" s="105">
        <f t="shared" si="207"/>
        <v>0</v>
      </c>
      <c r="AM89" s="105">
        <f t="shared" si="207"/>
        <v>0</v>
      </c>
      <c r="AN89" s="105">
        <f t="shared" si="207"/>
        <v>0</v>
      </c>
      <c r="AO89" s="105">
        <f t="shared" si="207"/>
        <v>0</v>
      </c>
      <c r="AP89" s="158">
        <f t="shared" si="208"/>
        <v>0</v>
      </c>
      <c r="AQ89" s="930"/>
      <c r="AR89" s="473"/>
      <c r="AS89" s="1181" t="s">
        <v>585</v>
      </c>
      <c r="AT89" s="1207">
        <v>0.28000000000000003</v>
      </c>
      <c r="AU89" s="108">
        <f t="shared" si="199"/>
        <v>0</v>
      </c>
      <c r="AV89" s="108">
        <f t="shared" si="200"/>
        <v>0</v>
      </c>
      <c r="AW89" s="108">
        <f t="shared" si="201"/>
        <v>0</v>
      </c>
      <c r="AX89" s="108">
        <f t="shared" si="202"/>
        <v>0</v>
      </c>
      <c r="AY89" s="108">
        <f t="shared" si="203"/>
        <v>0</v>
      </c>
      <c r="AZ89" s="165">
        <f t="shared" si="181"/>
        <v>0</v>
      </c>
      <c r="BA89" s="1190"/>
      <c r="BB89" s="1214"/>
    </row>
    <row r="90" spans="1:54" s="495" customFormat="1" x14ac:dyDescent="0.25">
      <c r="A90" s="445"/>
      <c r="B90" s="623"/>
      <c r="C90" s="310" t="s">
        <v>586</v>
      </c>
      <c r="D90" s="604"/>
      <c r="E90" s="604"/>
      <c r="F90" s="604"/>
      <c r="G90" s="604"/>
      <c r="H90" s="618">
        <v>1</v>
      </c>
      <c r="I90" s="127">
        <f t="shared" ref="I90" si="209">H90*12</f>
        <v>12</v>
      </c>
      <c r="J90" s="127">
        <f t="shared" ref="J90" si="210">IF(I90&gt;12,(((I90)*$H$5)+I90),(I90*1))</f>
        <v>12</v>
      </c>
      <c r="K90" s="127">
        <f t="shared" ref="K90" si="211">IF(J90&gt;12,(((J90)*$H$5)+J90),(J90*1))</f>
        <v>12</v>
      </c>
      <c r="L90" s="127">
        <f t="shared" ref="L90" si="212">IF(K90&gt;12,(((K90)*$H$5)+K90),(K90*1))</f>
        <v>12</v>
      </c>
      <c r="M90" s="127">
        <f t="shared" ref="M90" si="213">IF(L90&gt;12,(((L90)*$H$5)+L90),(L90*1))</f>
        <v>12</v>
      </c>
      <c r="N90" s="245"/>
      <c r="O90" s="586"/>
      <c r="P90" s="757">
        <f t="shared" si="191"/>
        <v>0</v>
      </c>
      <c r="Q90" s="129"/>
      <c r="R90" s="129"/>
      <c r="S90" s="129"/>
      <c r="T90" s="129"/>
      <c r="U90" s="129"/>
      <c r="V90" s="209"/>
      <c r="W90" s="528"/>
      <c r="X90" s="222"/>
      <c r="Y90" s="325"/>
      <c r="Z90" s="774">
        <f t="shared" si="193"/>
        <v>0</v>
      </c>
      <c r="AA90" s="103">
        <f t="shared" si="204"/>
        <v>0</v>
      </c>
      <c r="AB90" s="103">
        <f t="shared" si="205"/>
        <v>0</v>
      </c>
      <c r="AC90" s="103">
        <f t="shared" si="205"/>
        <v>0</v>
      </c>
      <c r="AD90" s="103">
        <f t="shared" si="205"/>
        <v>0</v>
      </c>
      <c r="AE90" s="103">
        <f t="shared" si="205"/>
        <v>0</v>
      </c>
      <c r="AF90" s="123">
        <f t="shared" si="206"/>
        <v>0</v>
      </c>
      <c r="AG90" s="813"/>
      <c r="AH90" s="370"/>
      <c r="AI90" s="221" t="s">
        <v>587</v>
      </c>
      <c r="AJ90" s="255">
        <v>1800</v>
      </c>
      <c r="AK90" s="105">
        <f>IF(AJ90&gt;0,PRODUCT(I90,$AJ90),0)</f>
        <v>21600</v>
      </c>
      <c r="AL90" s="105">
        <f t="shared" ref="AL90" si="214">IF(AK90&gt;0,PRODUCT(J90,$AJ90),0)</f>
        <v>21600</v>
      </c>
      <c r="AM90" s="105">
        <f t="shared" ref="AM90" si="215">IF(AL90&gt;0,PRODUCT(K90,$AJ90),0)</f>
        <v>21600</v>
      </c>
      <c r="AN90" s="105">
        <f t="shared" ref="AN90" si="216">IF(AM90&gt;0,PRODUCT(L90,$AJ90),0)</f>
        <v>21600</v>
      </c>
      <c r="AO90" s="105">
        <f t="shared" ref="AO90" si="217">IF(AN90&gt;0,PRODUCT(M90,$AJ90),0)</f>
        <v>21600</v>
      </c>
      <c r="AP90" s="158">
        <f t="shared" ref="AP90" si="218">SUM(AK90:AO90)</f>
        <v>108000</v>
      </c>
      <c r="AQ90" s="930"/>
      <c r="AR90" s="473"/>
      <c r="AS90" s="106" t="s">
        <v>587</v>
      </c>
      <c r="AT90" s="1207">
        <v>1800</v>
      </c>
      <c r="AU90" s="108">
        <f t="shared" si="199"/>
        <v>21600</v>
      </c>
      <c r="AV90" s="108">
        <f t="shared" si="200"/>
        <v>21600</v>
      </c>
      <c r="AW90" s="108">
        <f t="shared" si="201"/>
        <v>21600</v>
      </c>
      <c r="AX90" s="108">
        <f t="shared" si="202"/>
        <v>21600</v>
      </c>
      <c r="AY90" s="108">
        <f t="shared" si="203"/>
        <v>21600</v>
      </c>
      <c r="AZ90" s="165">
        <f t="shared" si="181"/>
        <v>108000</v>
      </c>
      <c r="BA90" s="1190"/>
      <c r="BB90" s="1214"/>
    </row>
    <row r="91" spans="1:54" s="495" customFormat="1" x14ac:dyDescent="0.25">
      <c r="A91" s="445"/>
      <c r="B91" s="252" t="str">
        <f>C91</f>
        <v>INTUIT / QUICKEN / QUICKBOOKS:</v>
      </c>
      <c r="C91" s="242" t="s">
        <v>588</v>
      </c>
      <c r="D91" s="609"/>
      <c r="E91" s="609"/>
      <c r="F91" s="609"/>
      <c r="G91" s="609"/>
      <c r="H91" s="619"/>
      <c r="I91" s="243"/>
      <c r="J91" s="243"/>
      <c r="K91" s="243"/>
      <c r="L91" s="243"/>
      <c r="M91" s="244"/>
      <c r="N91" s="252" t="str">
        <f>IF(C91="","",C91)</f>
        <v>INTUIT / QUICKEN / QUICKBOOKS:</v>
      </c>
      <c r="O91" s="243"/>
      <c r="P91" s="756"/>
      <c r="Q91" s="243"/>
      <c r="R91" s="243"/>
      <c r="S91" s="243"/>
      <c r="T91" s="243"/>
      <c r="U91" s="244"/>
      <c r="V91" s="209"/>
      <c r="W91" s="527"/>
      <c r="X91" s="252" t="str">
        <f>C91 &amp; " [DIGITAL ONE SERVICE]"</f>
        <v>INTUIT / QUICKEN / QUICKBOOKS: [DIGITAL ONE SERVICE]</v>
      </c>
      <c r="Y91" s="243"/>
      <c r="Z91" s="756"/>
      <c r="AA91" s="243"/>
      <c r="AB91" s="243"/>
      <c r="AC91" s="243"/>
      <c r="AD91" s="243"/>
      <c r="AE91" s="244"/>
      <c r="AF91" s="123"/>
      <c r="AG91" s="812"/>
      <c r="AH91" s="808"/>
      <c r="AI91" s="252" t="str">
        <f>C91</f>
        <v>INTUIT / QUICKEN / QUICKBOOKS:</v>
      </c>
      <c r="AJ91" s="243"/>
      <c r="AK91" s="243"/>
      <c r="AL91" s="243"/>
      <c r="AM91" s="243"/>
      <c r="AN91" s="243"/>
      <c r="AO91" s="244"/>
      <c r="AP91" s="158"/>
      <c r="AQ91" s="812"/>
      <c r="AR91" s="812"/>
      <c r="AS91" s="252" t="s">
        <v>588</v>
      </c>
      <c r="AT91" s="243"/>
      <c r="AU91" s="243"/>
      <c r="AV91" s="243"/>
      <c r="AW91" s="243"/>
      <c r="AX91" s="243"/>
      <c r="AY91" s="244"/>
      <c r="AZ91" s="165">
        <f t="shared" si="181"/>
        <v>0</v>
      </c>
      <c r="BA91" s="1189"/>
      <c r="BB91" s="1213"/>
    </row>
    <row r="92" spans="1:54" s="495" customFormat="1" x14ac:dyDescent="0.25">
      <c r="A92" s="787"/>
      <c r="B92" s="620" t="s">
        <v>589</v>
      </c>
      <c r="C92" s="632" t="s">
        <v>590</v>
      </c>
      <c r="D92" s="604">
        <v>1</v>
      </c>
      <c r="E92" s="604">
        <v>1</v>
      </c>
      <c r="F92" s="604">
        <v>1</v>
      </c>
      <c r="G92" s="604"/>
      <c r="H92" s="618">
        <f>IFERROR(AVERAGE(D92:F92),0)</f>
        <v>1</v>
      </c>
      <c r="I92" s="127">
        <f>H92*12</f>
        <v>12</v>
      </c>
      <c r="J92" s="127">
        <f t="shared" ref="J92:M93" si="219">IF(I92&gt;12,(((I92)*$H$5)+I92),(I92*1))</f>
        <v>12</v>
      </c>
      <c r="K92" s="127">
        <f t="shared" si="219"/>
        <v>12</v>
      </c>
      <c r="L92" s="127">
        <f t="shared" si="219"/>
        <v>12</v>
      </c>
      <c r="M92" s="127">
        <f t="shared" si="219"/>
        <v>12</v>
      </c>
      <c r="N92" s="245" t="str">
        <f>IF(C92="","",C92)</f>
        <v>Webconnect Quicken</v>
      </c>
      <c r="O92" s="688">
        <v>1377.0850210000001</v>
      </c>
      <c r="P92" s="757">
        <f>Q92/12</f>
        <v>1377.0850210000001</v>
      </c>
      <c r="Q92" s="129">
        <f>IF(O92&gt;0,PRODUCT(I92,$O92),0)</f>
        <v>16525.020252000002</v>
      </c>
      <c r="R92" s="129">
        <f>IF(Q92&gt;0,PRODUCT(J92,$O92),0)</f>
        <v>16525.020252000002</v>
      </c>
      <c r="S92" s="129">
        <f>IF(R92&gt;0,PRODUCT(K92,$O92),0)</f>
        <v>16525.020252000002</v>
      </c>
      <c r="T92" s="129">
        <f>IF(S92&gt;0,PRODUCT(L92,$O92),0)</f>
        <v>16525.020252000002</v>
      </c>
      <c r="U92" s="129">
        <f>IF(T92&gt;0,PRODUCT(M92,$O92),0)</f>
        <v>16525.020252000002</v>
      </c>
      <c r="V92" s="209">
        <f>SUM(Q92:U92)</f>
        <v>82625.10126000001</v>
      </c>
      <c r="W92" s="528"/>
      <c r="X92" s="222"/>
      <c r="Y92" s="324"/>
      <c r="Z92" s="774">
        <f>AA92/12</f>
        <v>0</v>
      </c>
      <c r="AA92" s="103">
        <f>IF(Y92&gt;0,PRODUCT(#REF!,$Y92),0)</f>
        <v>0</v>
      </c>
      <c r="AB92" s="103">
        <f>IF(AA92&gt;0,PRODUCT(#REF!,$Y92),0)</f>
        <v>0</v>
      </c>
      <c r="AC92" s="103">
        <f>IF(AB92&gt;0,PRODUCT(#REF!,$Y92),0)</f>
        <v>0</v>
      </c>
      <c r="AD92" s="103">
        <f>IF(AC92&gt;0,PRODUCT(#REF!,$Y92),0)</f>
        <v>0</v>
      </c>
      <c r="AE92" s="103">
        <f>IF(AD92&gt;0,PRODUCT(#REF!,$Y92),0)</f>
        <v>0</v>
      </c>
      <c r="AF92" s="123">
        <f>SUM(AA92:AE92)</f>
        <v>0</v>
      </c>
      <c r="AG92" s="813"/>
      <c r="AH92" s="818" t="s">
        <v>494</v>
      </c>
      <c r="AI92" s="625"/>
      <c r="AJ92" s="626"/>
      <c r="AK92" s="627"/>
      <c r="AL92" s="627"/>
      <c r="AM92" s="627"/>
      <c r="AN92" s="627"/>
      <c r="AO92" s="627"/>
      <c r="AP92" s="158"/>
      <c r="AQ92" s="931"/>
      <c r="AR92" s="486"/>
      <c r="AS92" s="628"/>
      <c r="AT92" s="1208"/>
      <c r="AU92" s="108">
        <f t="shared" ref="AU92" si="220">IF($AT92&gt;0,PRODUCT(I92,$AT92),0)</f>
        <v>0</v>
      </c>
      <c r="AV92" s="108">
        <f t="shared" ref="AV92" si="221">IF($AT92&gt;0,PRODUCT(J92,$AT92),0)</f>
        <v>0</v>
      </c>
      <c r="AW92" s="108">
        <f t="shared" ref="AW92" si="222">IF($AT92&gt;0,PRODUCT(K92,$AT92),0)</f>
        <v>0</v>
      </c>
      <c r="AX92" s="108">
        <f t="shared" ref="AX92" si="223">IF($AT92&gt;0,PRODUCT(L92,$AT92),0)</f>
        <v>0</v>
      </c>
      <c r="AY92" s="108">
        <f t="shared" ref="AY92" si="224">IF($AT92&gt;0,PRODUCT(M92,$AT92),0)</f>
        <v>0</v>
      </c>
      <c r="AZ92" s="165">
        <f t="shared" si="181"/>
        <v>0</v>
      </c>
      <c r="BA92" s="1189"/>
      <c r="BB92" s="1213"/>
    </row>
    <row r="93" spans="1:54" s="495" customFormat="1" x14ac:dyDescent="0.25">
      <c r="A93" s="804"/>
      <c r="B93" s="623" t="s">
        <v>552</v>
      </c>
      <c r="C93" s="310" t="s">
        <v>591</v>
      </c>
      <c r="D93" s="604"/>
      <c r="E93" s="604"/>
      <c r="F93" s="604"/>
      <c r="G93" s="604"/>
      <c r="H93" s="618">
        <v>1</v>
      </c>
      <c r="I93" s="127">
        <f>H93*12</f>
        <v>12</v>
      </c>
      <c r="J93" s="127">
        <f t="shared" si="219"/>
        <v>12</v>
      </c>
      <c r="K93" s="127">
        <f t="shared" si="219"/>
        <v>12</v>
      </c>
      <c r="L93" s="127">
        <f t="shared" si="219"/>
        <v>12</v>
      </c>
      <c r="M93" s="127">
        <f t="shared" si="219"/>
        <v>12</v>
      </c>
      <c r="N93" s="245"/>
      <c r="O93" s="586"/>
      <c r="P93" s="757">
        <f>Q93/12</f>
        <v>0</v>
      </c>
      <c r="Q93" s="129"/>
      <c r="R93" s="129"/>
      <c r="S93" s="129"/>
      <c r="T93" s="129"/>
      <c r="U93" s="129"/>
      <c r="V93" s="209"/>
      <c r="W93" s="528"/>
      <c r="X93" s="222" t="str">
        <f>C93</f>
        <v>D1 WebConnect Quicken</v>
      </c>
      <c r="Y93" s="325">
        <v>660</v>
      </c>
      <c r="Z93" s="774">
        <f>AA93/12</f>
        <v>660</v>
      </c>
      <c r="AA93" s="103">
        <f>IF(Y93&gt;0,PRODUCT(I93,$Y93),0)</f>
        <v>7920</v>
      </c>
      <c r="AB93" s="103">
        <f t="shared" ref="AB93:AE96" si="225">IF(AA93&gt;0,PRODUCT(J93,$Y93),0)</f>
        <v>7920</v>
      </c>
      <c r="AC93" s="103">
        <f t="shared" si="225"/>
        <v>7920</v>
      </c>
      <c r="AD93" s="103">
        <f t="shared" si="225"/>
        <v>7920</v>
      </c>
      <c r="AE93" s="103">
        <f t="shared" si="225"/>
        <v>7920</v>
      </c>
      <c r="AF93" s="123">
        <f>SUM(AA93:AE93)</f>
        <v>39600</v>
      </c>
      <c r="AG93" s="813" t="s">
        <v>496</v>
      </c>
      <c r="AH93" s="370"/>
      <c r="AI93" s="221"/>
      <c r="AJ93" s="255"/>
      <c r="AK93" s="105">
        <f t="shared" ref="AK93:AO96" si="226">IF(AJ93&gt;0,PRODUCT(I93,$AJ93),0)</f>
        <v>0</v>
      </c>
      <c r="AL93" s="105">
        <f t="shared" si="226"/>
        <v>0</v>
      </c>
      <c r="AM93" s="105">
        <f t="shared" si="226"/>
        <v>0</v>
      </c>
      <c r="AN93" s="105">
        <f t="shared" si="226"/>
        <v>0</v>
      </c>
      <c r="AO93" s="105">
        <f t="shared" si="226"/>
        <v>0</v>
      </c>
      <c r="AP93" s="158">
        <f>SUM(AK93:AO93)</f>
        <v>0</v>
      </c>
      <c r="AQ93" s="930"/>
      <c r="AR93" s="473"/>
      <c r="AS93" s="106"/>
      <c r="AT93" s="1207"/>
      <c r="AU93" s="108">
        <f t="shared" ref="AU93:AU96" si="227">IF($AT93&gt;0,PRODUCT(I93,$AT93),0)</f>
        <v>0</v>
      </c>
      <c r="AV93" s="108">
        <f t="shared" ref="AV93:AV96" si="228">IF($AT93&gt;0,PRODUCT(J93,$AT93),0)</f>
        <v>0</v>
      </c>
      <c r="AW93" s="108">
        <f t="shared" ref="AW93:AW96" si="229">IF($AT93&gt;0,PRODUCT(K93,$AT93),0)</f>
        <v>0</v>
      </c>
      <c r="AX93" s="108">
        <f t="shared" ref="AX93:AX96" si="230">IF($AT93&gt;0,PRODUCT(L93,$AT93),0)</f>
        <v>0</v>
      </c>
      <c r="AY93" s="108">
        <f t="shared" ref="AY93:AY96" si="231">IF($AT93&gt;0,PRODUCT(M93,$AT93),0)</f>
        <v>0</v>
      </c>
      <c r="AZ93" s="165">
        <f t="shared" si="181"/>
        <v>0</v>
      </c>
      <c r="BA93" s="1190"/>
      <c r="BB93" s="1214"/>
    </row>
    <row r="94" spans="1:54" s="495" customFormat="1" x14ac:dyDescent="0.25">
      <c r="A94" s="890"/>
      <c r="B94" s="623" t="s">
        <v>501</v>
      </c>
      <c r="C94" s="310" t="s">
        <v>592</v>
      </c>
      <c r="D94" s="604"/>
      <c r="E94" s="604"/>
      <c r="F94" s="604"/>
      <c r="G94" s="604"/>
      <c r="H94" s="618">
        <v>1</v>
      </c>
      <c r="I94" s="127">
        <f>H94*12</f>
        <v>12</v>
      </c>
      <c r="J94" s="127">
        <f>IF(I94&gt;12,(((I94)*'DGTL Recurring Items'!$H$5)+I94),(I94*1))</f>
        <v>12</v>
      </c>
      <c r="K94" s="127">
        <f>IF(J94&gt;12,(((J94)*'DGTL Recurring Items'!$H$5)+J94),(J94*1))</f>
        <v>12</v>
      </c>
      <c r="L94" s="127">
        <f>IF(K94&gt;12,(((K94)*'DGTL Recurring Items'!$H$5)+K94),(K94*1))</f>
        <v>12</v>
      </c>
      <c r="M94" s="127">
        <f>IF(L94&gt;12,(((L94)*'DGTL Recurring Items'!$H$5)+L94),(L94*1))</f>
        <v>12</v>
      </c>
      <c r="N94" s="245"/>
      <c r="O94" s="586"/>
      <c r="P94" s="757">
        <f>Q94/12</f>
        <v>0</v>
      </c>
      <c r="Q94" s="129"/>
      <c r="R94" s="129"/>
      <c r="S94" s="129"/>
      <c r="T94" s="129"/>
      <c r="U94" s="129"/>
      <c r="V94" s="209"/>
      <c r="W94" s="528"/>
      <c r="X94" s="222"/>
      <c r="Y94" s="325"/>
      <c r="Z94" s="774">
        <f>AA94/12</f>
        <v>0</v>
      </c>
      <c r="AA94" s="103">
        <f>IF(Y94&gt;0,PRODUCT(I94,$Y94),0)</f>
        <v>0</v>
      </c>
      <c r="AB94" s="103">
        <f t="shared" si="225"/>
        <v>0</v>
      </c>
      <c r="AC94" s="103">
        <f t="shared" si="225"/>
        <v>0</v>
      </c>
      <c r="AD94" s="103">
        <f t="shared" si="225"/>
        <v>0</v>
      </c>
      <c r="AE94" s="103">
        <f t="shared" si="225"/>
        <v>0</v>
      </c>
      <c r="AF94" s="123">
        <f>SUM(AA94:AE94)</f>
        <v>0</v>
      </c>
      <c r="AG94" s="813"/>
      <c r="AH94" s="370"/>
      <c r="AI94" s="221" t="str">
        <f>C94</f>
        <v>Intuit QuickBooks and Quicken Web Connect and Direct Conenct</v>
      </c>
      <c r="AJ94" s="255">
        <f>21240/12</f>
        <v>1770</v>
      </c>
      <c r="AK94" s="105">
        <f t="shared" si="226"/>
        <v>21240</v>
      </c>
      <c r="AL94" s="105">
        <f t="shared" si="226"/>
        <v>21240</v>
      </c>
      <c r="AM94" s="105">
        <f t="shared" si="226"/>
        <v>21240</v>
      </c>
      <c r="AN94" s="105">
        <f t="shared" si="226"/>
        <v>21240</v>
      </c>
      <c r="AO94" s="105">
        <f t="shared" si="226"/>
        <v>21240</v>
      </c>
      <c r="AP94" s="158">
        <f t="shared" ref="AP94:AP95" si="232">SUM(AK94:AO94)</f>
        <v>106200</v>
      </c>
      <c r="AQ94" s="930">
        <v>8949</v>
      </c>
      <c r="AR94" s="473"/>
      <c r="AS94" s="106" t="s">
        <v>592</v>
      </c>
      <c r="AT94" s="1209">
        <v>1770</v>
      </c>
      <c r="AU94" s="108">
        <f t="shared" si="227"/>
        <v>21240</v>
      </c>
      <c r="AV94" s="108">
        <f t="shared" si="228"/>
        <v>21240</v>
      </c>
      <c r="AW94" s="108">
        <f t="shared" si="229"/>
        <v>21240</v>
      </c>
      <c r="AX94" s="108">
        <f t="shared" si="230"/>
        <v>21240</v>
      </c>
      <c r="AY94" s="108">
        <f t="shared" si="231"/>
        <v>21240</v>
      </c>
      <c r="AZ94" s="165">
        <f t="shared" si="181"/>
        <v>106200</v>
      </c>
      <c r="BA94" s="1190">
        <v>8949</v>
      </c>
      <c r="BB94" s="1214"/>
    </row>
    <row r="95" spans="1:54" s="495" customFormat="1" x14ac:dyDescent="0.25">
      <c r="A95" s="890"/>
      <c r="B95" s="623" t="s">
        <v>501</v>
      </c>
      <c r="C95" s="310" t="s">
        <v>593</v>
      </c>
      <c r="D95" s="604"/>
      <c r="E95" s="604"/>
      <c r="F95" s="604"/>
      <c r="G95" s="604"/>
      <c r="H95" s="618">
        <v>1</v>
      </c>
      <c r="I95" s="127">
        <f>H95*12</f>
        <v>12</v>
      </c>
      <c r="J95" s="127">
        <f>IF(I95&gt;12,(((I95)*'DGTL Recurring Items'!$H$5)+I95),(I95*1))</f>
        <v>12</v>
      </c>
      <c r="K95" s="127">
        <f>IF(J95&gt;12,(((J95)*'DGTL Recurring Items'!$H$5)+J95),(J95*1))</f>
        <v>12</v>
      </c>
      <c r="L95" s="127">
        <f>IF(K95&gt;12,(((K95)*'DGTL Recurring Items'!$H$5)+K95),(K95*1))</f>
        <v>12</v>
      </c>
      <c r="M95" s="127">
        <f>IF(L95&gt;12,(((L95)*'DGTL Recurring Items'!$H$5)+L95),(L95*1))</f>
        <v>12</v>
      </c>
      <c r="N95" s="245"/>
      <c r="O95" s="586"/>
      <c r="P95" s="757">
        <f>Q95/12</f>
        <v>0</v>
      </c>
      <c r="Q95" s="129"/>
      <c r="R95" s="129"/>
      <c r="S95" s="129"/>
      <c r="T95" s="129"/>
      <c r="U95" s="129"/>
      <c r="V95" s="209"/>
      <c r="W95" s="528"/>
      <c r="X95" s="222"/>
      <c r="Y95" s="325"/>
      <c r="Z95" s="774">
        <f>AA95/12</f>
        <v>0</v>
      </c>
      <c r="AA95" s="103">
        <f>IF(Y95&gt;0,PRODUCT(I95,$Y95),0)</f>
        <v>0</v>
      </c>
      <c r="AB95" s="103">
        <f t="shared" si="225"/>
        <v>0</v>
      </c>
      <c r="AC95" s="103">
        <f t="shared" si="225"/>
        <v>0</v>
      </c>
      <c r="AD95" s="103">
        <f t="shared" si="225"/>
        <v>0</v>
      </c>
      <c r="AE95" s="103">
        <f t="shared" si="225"/>
        <v>0</v>
      </c>
      <c r="AF95" s="123">
        <f>SUM(AA95:AE95)</f>
        <v>0</v>
      </c>
      <c r="AG95" s="813"/>
      <c r="AH95" s="370"/>
      <c r="AI95" s="221" t="str">
        <f>C95</f>
        <v>Intuit OFX Service Conversion</v>
      </c>
      <c r="AJ95" s="255">
        <v>0</v>
      </c>
      <c r="AK95" s="105">
        <f t="shared" si="226"/>
        <v>0</v>
      </c>
      <c r="AL95" s="105">
        <f t="shared" si="226"/>
        <v>0</v>
      </c>
      <c r="AM95" s="105">
        <f t="shared" si="226"/>
        <v>0</v>
      </c>
      <c r="AN95" s="105">
        <f t="shared" si="226"/>
        <v>0</v>
      </c>
      <c r="AO95" s="105">
        <f t="shared" si="226"/>
        <v>0</v>
      </c>
      <c r="AP95" s="158">
        <f t="shared" si="232"/>
        <v>0</v>
      </c>
      <c r="AQ95" s="930">
        <v>3000</v>
      </c>
      <c r="AR95" s="473"/>
      <c r="AS95" s="106" t="s">
        <v>593</v>
      </c>
      <c r="AT95" s="1207">
        <v>0</v>
      </c>
      <c r="AU95" s="108">
        <f t="shared" si="227"/>
        <v>0</v>
      </c>
      <c r="AV95" s="108">
        <f t="shared" si="228"/>
        <v>0</v>
      </c>
      <c r="AW95" s="108">
        <f t="shared" si="229"/>
        <v>0</v>
      </c>
      <c r="AX95" s="108">
        <f t="shared" si="230"/>
        <v>0</v>
      </c>
      <c r="AY95" s="108">
        <f t="shared" si="231"/>
        <v>0</v>
      </c>
      <c r="AZ95" s="165">
        <f t="shared" si="181"/>
        <v>0</v>
      </c>
      <c r="BA95" s="1190">
        <v>3000</v>
      </c>
      <c r="BB95" s="1214"/>
    </row>
    <row r="96" spans="1:54" s="495" customFormat="1" x14ac:dyDescent="0.25">
      <c r="A96" s="445"/>
      <c r="B96" s="623"/>
      <c r="C96" s="310"/>
      <c r="D96" s="604"/>
      <c r="E96" s="604"/>
      <c r="F96" s="604"/>
      <c r="G96" s="604"/>
      <c r="H96" s="618"/>
      <c r="I96" s="127">
        <f>H96*12</f>
        <v>0</v>
      </c>
      <c r="J96" s="127">
        <f>IF(I96&gt;12,(((I96)*$H$5)+I96),(I96*1))</f>
        <v>0</v>
      </c>
      <c r="K96" s="127">
        <f>IF(J96&gt;12,(((J96)*$H$5)+J96),(J96*1))</f>
        <v>0</v>
      </c>
      <c r="L96" s="127">
        <f>IF(K96&gt;12,(((K96)*$H$5)+K96),(K96*1))</f>
        <v>0</v>
      </c>
      <c r="M96" s="127">
        <f>IF(L96&gt;12,(((L96)*$H$5)+L96),(L96*1))</f>
        <v>0</v>
      </c>
      <c r="N96" s="245" t="str">
        <f>IF(C96="","",C96)</f>
        <v/>
      </c>
      <c r="O96" s="586"/>
      <c r="P96" s="757">
        <f>Q96/12</f>
        <v>0</v>
      </c>
      <c r="Q96" s="129"/>
      <c r="R96" s="129"/>
      <c r="S96" s="129"/>
      <c r="T96" s="129"/>
      <c r="U96" s="129"/>
      <c r="V96" s="209"/>
      <c r="W96" s="528"/>
      <c r="X96" s="222"/>
      <c r="Y96" s="325"/>
      <c r="Z96" s="774">
        <f>AA96/12</f>
        <v>0</v>
      </c>
      <c r="AA96" s="103">
        <f>IF(Y96&gt;0,PRODUCT(I96,$Y96),0)</f>
        <v>0</v>
      </c>
      <c r="AB96" s="103">
        <f t="shared" si="225"/>
        <v>0</v>
      </c>
      <c r="AC96" s="103">
        <f t="shared" si="225"/>
        <v>0</v>
      </c>
      <c r="AD96" s="103">
        <f t="shared" si="225"/>
        <v>0</v>
      </c>
      <c r="AE96" s="103">
        <f t="shared" si="225"/>
        <v>0</v>
      </c>
      <c r="AF96" s="123">
        <f>SUM(AA96:AE96)</f>
        <v>0</v>
      </c>
      <c r="AG96" s="813"/>
      <c r="AH96" s="370"/>
      <c r="AI96" s="221"/>
      <c r="AJ96" s="255"/>
      <c r="AK96" s="105">
        <f t="shared" si="226"/>
        <v>0</v>
      </c>
      <c r="AL96" s="105">
        <f t="shared" si="226"/>
        <v>0</v>
      </c>
      <c r="AM96" s="105">
        <f t="shared" si="226"/>
        <v>0</v>
      </c>
      <c r="AN96" s="105">
        <f t="shared" si="226"/>
        <v>0</v>
      </c>
      <c r="AO96" s="105">
        <f t="shared" si="226"/>
        <v>0</v>
      </c>
      <c r="AP96" s="158">
        <f>SUM(AK96:AO96)</f>
        <v>0</v>
      </c>
      <c r="AQ96" s="930"/>
      <c r="AR96" s="473"/>
      <c r="AS96" s="106"/>
      <c r="AT96" s="1207"/>
      <c r="AU96" s="108">
        <f t="shared" si="227"/>
        <v>0</v>
      </c>
      <c r="AV96" s="108">
        <f t="shared" si="228"/>
        <v>0</v>
      </c>
      <c r="AW96" s="108">
        <f t="shared" si="229"/>
        <v>0</v>
      </c>
      <c r="AX96" s="108">
        <f t="shared" si="230"/>
        <v>0</v>
      </c>
      <c r="AY96" s="108">
        <f t="shared" si="231"/>
        <v>0</v>
      </c>
      <c r="AZ96" s="165">
        <f t="shared" si="181"/>
        <v>0</v>
      </c>
      <c r="BA96" s="1190"/>
      <c r="BB96" s="1214"/>
    </row>
    <row r="97" spans="1:54" s="495" customFormat="1" x14ac:dyDescent="0.25">
      <c r="A97" s="445"/>
      <c r="B97" s="252" t="str">
        <f>C97</f>
        <v>SECURITY &amp; ENCRYPTION:</v>
      </c>
      <c r="C97" s="242" t="s">
        <v>594</v>
      </c>
      <c r="D97" s="609"/>
      <c r="E97" s="609"/>
      <c r="F97" s="609"/>
      <c r="G97" s="609"/>
      <c r="H97" s="619"/>
      <c r="I97" s="243"/>
      <c r="J97" s="243"/>
      <c r="K97" s="243"/>
      <c r="L97" s="243"/>
      <c r="M97" s="244"/>
      <c r="N97" s="252" t="str">
        <f>IF(C97="","",C97)</f>
        <v>SECURITY &amp; ENCRYPTION:</v>
      </c>
      <c r="O97" s="243"/>
      <c r="P97" s="756"/>
      <c r="Q97" s="243"/>
      <c r="R97" s="243"/>
      <c r="S97" s="243"/>
      <c r="T97" s="243"/>
      <c r="U97" s="244"/>
      <c r="V97" s="209"/>
      <c r="W97" s="527"/>
      <c r="X97" s="252" t="str">
        <f>C97</f>
        <v>SECURITY &amp; ENCRYPTION:</v>
      </c>
      <c r="Y97" s="707"/>
      <c r="Z97" s="756"/>
      <c r="AA97" s="243"/>
      <c r="AB97" s="243"/>
      <c r="AC97" s="243"/>
      <c r="AD97" s="243"/>
      <c r="AE97" s="244"/>
      <c r="AF97" s="123"/>
      <c r="AG97" s="812"/>
      <c r="AH97" s="808"/>
      <c r="AI97" s="252" t="str">
        <f>C97</f>
        <v>SECURITY &amp; ENCRYPTION:</v>
      </c>
      <c r="AJ97" s="243"/>
      <c r="AK97" s="243"/>
      <c r="AL97" s="243"/>
      <c r="AM97" s="243"/>
      <c r="AN97" s="243"/>
      <c r="AO97" s="244"/>
      <c r="AP97" s="158"/>
      <c r="AQ97" s="812"/>
      <c r="AR97" s="812"/>
      <c r="AS97" s="252" t="s">
        <v>594</v>
      </c>
      <c r="AT97" s="243"/>
      <c r="AU97" s="243"/>
      <c r="AV97" s="243"/>
      <c r="AW97" s="243"/>
      <c r="AX97" s="243"/>
      <c r="AY97" s="244"/>
      <c r="AZ97" s="165">
        <f t="shared" si="181"/>
        <v>0</v>
      </c>
      <c r="BA97" s="1190"/>
      <c r="BB97" s="1214"/>
    </row>
    <row r="98" spans="1:54" s="495" customFormat="1" x14ac:dyDescent="0.25">
      <c r="A98" s="804"/>
      <c r="B98" s="623" t="s">
        <v>595</v>
      </c>
      <c r="C98" s="310" t="s">
        <v>596</v>
      </c>
      <c r="D98" s="604"/>
      <c r="E98" s="604"/>
      <c r="F98" s="604"/>
      <c r="G98" s="604"/>
      <c r="H98" s="618">
        <v>1</v>
      </c>
      <c r="I98" s="127">
        <f>H98*12</f>
        <v>12</v>
      </c>
      <c r="J98" s="127">
        <f>IF(I98&gt;12,(((I98)*'CORE Recurring Items'!$H$5)+I98),(I98*1))</f>
        <v>12</v>
      </c>
      <c r="K98" s="127">
        <f>IF(J98&gt;12,(((J98)*'CORE Recurring Items'!$H$5)+J98),(J98*1))</f>
        <v>12</v>
      </c>
      <c r="L98" s="127">
        <f>IF(K98&gt;12,(((K98)*'CORE Recurring Items'!$H$5)+K98),(K98*1))</f>
        <v>12</v>
      </c>
      <c r="M98" s="127">
        <f>IF(L98&gt;12,(((L98)*'CORE Recurring Items'!$H$5)+L98),(L98*1))</f>
        <v>12</v>
      </c>
      <c r="N98" s="245" t="str">
        <f>IF(C98="","",C98)</f>
        <v>VeriSign Standard SSL Encryption Certificate per Site (OLB)</v>
      </c>
      <c r="O98" s="748">
        <v>114.248333</v>
      </c>
      <c r="P98" s="757">
        <f>Q98/12</f>
        <v>114.248333</v>
      </c>
      <c r="Q98" s="129">
        <f>IF(O98&gt;0,PRODUCT(I98,$O98),0)</f>
        <v>1370.979996</v>
      </c>
      <c r="R98" s="129">
        <f>IF(Q98&gt;0,PRODUCT(J98,$O98),0)</f>
        <v>1370.979996</v>
      </c>
      <c r="S98" s="129">
        <f>IF(R98&gt;0,PRODUCT(K98,$O98),0)</f>
        <v>1370.979996</v>
      </c>
      <c r="T98" s="129">
        <f>IF(S98&gt;0,PRODUCT(L98,$O98),0)</f>
        <v>1370.979996</v>
      </c>
      <c r="U98" s="129">
        <f>IF(T98&gt;0,PRODUCT(M98,$O98),0)</f>
        <v>1370.979996</v>
      </c>
      <c r="V98" s="209">
        <f>SUM(Q98:U98)</f>
        <v>6854.8999800000001</v>
      </c>
      <c r="W98" s="621"/>
      <c r="X98" s="222" t="str">
        <f>C98</f>
        <v>VeriSign Standard SSL Encryption Certificate per Site (OLB)</v>
      </c>
      <c r="Y98" s="325">
        <v>119.58369999999999</v>
      </c>
      <c r="Z98" s="774">
        <f>AA98/12</f>
        <v>119.58369999999998</v>
      </c>
      <c r="AA98" s="103">
        <f>IF(Y98&gt;0,PRODUCT(I98,$Y98),0)</f>
        <v>1435.0043999999998</v>
      </c>
      <c r="AB98" s="103">
        <f t="shared" ref="AB98:AE100" si="233">IF(AA98&gt;0,PRODUCT(J98,$Y98),0)</f>
        <v>1435.0043999999998</v>
      </c>
      <c r="AC98" s="103">
        <f t="shared" si="233"/>
        <v>1435.0043999999998</v>
      </c>
      <c r="AD98" s="103">
        <f t="shared" si="233"/>
        <v>1435.0043999999998</v>
      </c>
      <c r="AE98" s="103">
        <f t="shared" si="233"/>
        <v>1435.0043999999998</v>
      </c>
      <c r="AF98" s="123">
        <f>SUM(AA98:AE98)</f>
        <v>7175.021999999999</v>
      </c>
      <c r="AG98" s="743"/>
      <c r="AH98" s="362"/>
      <c r="AI98" s="221"/>
      <c r="AJ98" s="255"/>
      <c r="AK98" s="105">
        <f t="shared" ref="AK98:AO100" si="234">IF(AJ98&gt;0,PRODUCT(I98,$AJ98),0)</f>
        <v>0</v>
      </c>
      <c r="AL98" s="105">
        <f t="shared" si="234"/>
        <v>0</v>
      </c>
      <c r="AM98" s="105">
        <f t="shared" si="234"/>
        <v>0</v>
      </c>
      <c r="AN98" s="105">
        <f t="shared" si="234"/>
        <v>0</v>
      </c>
      <c r="AO98" s="105">
        <f t="shared" si="234"/>
        <v>0</v>
      </c>
      <c r="AP98" s="158">
        <f>SUM(AK98:AO98)</f>
        <v>0</v>
      </c>
      <c r="AQ98" s="930"/>
      <c r="AR98" s="473"/>
      <c r="AS98" s="106"/>
      <c r="AT98" s="1207"/>
      <c r="AU98" s="108">
        <f t="shared" ref="AU98" si="235">IF($AT98&gt;0,PRODUCT(I98,$AT98),0)</f>
        <v>0</v>
      </c>
      <c r="AV98" s="108">
        <f t="shared" ref="AV98" si="236">IF($AT98&gt;0,PRODUCT(J98,$AT98),0)</f>
        <v>0</v>
      </c>
      <c r="AW98" s="108">
        <f t="shared" ref="AW98" si="237">IF($AT98&gt;0,PRODUCT(K98,$AT98),0)</f>
        <v>0</v>
      </c>
      <c r="AX98" s="108">
        <f t="shared" ref="AX98" si="238">IF($AT98&gt;0,PRODUCT(L98,$AT98),0)</f>
        <v>0</v>
      </c>
      <c r="AY98" s="108">
        <f t="shared" ref="AY98" si="239">IF($AT98&gt;0,PRODUCT(M98,$AT98),0)</f>
        <v>0</v>
      </c>
      <c r="AZ98" s="165">
        <f t="shared" si="181"/>
        <v>0</v>
      </c>
      <c r="BA98" s="1190"/>
      <c r="BB98" s="1214"/>
    </row>
    <row r="99" spans="1:54" s="495" customFormat="1" x14ac:dyDescent="0.25">
      <c r="A99" s="890"/>
      <c r="B99" s="623" t="s">
        <v>531</v>
      </c>
      <c r="C99" s="310" t="s">
        <v>597</v>
      </c>
      <c r="D99" s="604"/>
      <c r="E99" s="604"/>
      <c r="F99" s="604"/>
      <c r="G99" s="604"/>
      <c r="H99" s="618">
        <v>1</v>
      </c>
      <c r="I99" s="127">
        <f>H99*12</f>
        <v>12</v>
      </c>
      <c r="J99" s="127">
        <f>IF(I99&gt;12,(((I99)*$H$5)+I99),(I99*1))</f>
        <v>12</v>
      </c>
      <c r="K99" s="127">
        <f>IF(J99&gt;12,(((J99)*$H$5)+J99),(J99*1))</f>
        <v>12</v>
      </c>
      <c r="L99" s="127">
        <f>IF(K99&gt;12,(((K99)*$H$5)+K99),(K99*1))</f>
        <v>12</v>
      </c>
      <c r="M99" s="127">
        <f>IF(L99&gt;12,(((L99)*$H$5)+L99),(L99*1))</f>
        <v>12</v>
      </c>
      <c r="N99" s="245"/>
      <c r="O99" s="586"/>
      <c r="P99" s="757">
        <f>Q99/12</f>
        <v>0</v>
      </c>
      <c r="Q99" s="129"/>
      <c r="R99" s="129"/>
      <c r="S99" s="129"/>
      <c r="T99" s="129"/>
      <c r="U99" s="129"/>
      <c r="V99" s="209"/>
      <c r="W99" s="528"/>
      <c r="X99" s="222"/>
      <c r="Y99" s="325"/>
      <c r="Z99" s="774">
        <f>AA99/12</f>
        <v>0</v>
      </c>
      <c r="AA99" s="103">
        <f>IF(Y99&gt;0,PRODUCT(I99,$Y99),0)</f>
        <v>0</v>
      </c>
      <c r="AB99" s="103">
        <f t="shared" si="233"/>
        <v>0</v>
      </c>
      <c r="AC99" s="103">
        <f t="shared" si="233"/>
        <v>0</v>
      </c>
      <c r="AD99" s="103">
        <f t="shared" si="233"/>
        <v>0</v>
      </c>
      <c r="AE99" s="103">
        <f t="shared" si="233"/>
        <v>0</v>
      </c>
      <c r="AF99" s="123">
        <f>SUM(AA99:AE99)</f>
        <v>0</v>
      </c>
      <c r="AG99" s="813"/>
      <c r="AH99" s="370"/>
      <c r="AI99" s="221" t="str">
        <f>C99</f>
        <v>Verafin - Standard Security Extract</v>
      </c>
      <c r="AJ99" s="255">
        <f>6600/12</f>
        <v>550</v>
      </c>
      <c r="AK99" s="105">
        <f t="shared" si="234"/>
        <v>6600</v>
      </c>
      <c r="AL99" s="105">
        <f t="shared" si="234"/>
        <v>6600</v>
      </c>
      <c r="AM99" s="105">
        <f t="shared" si="234"/>
        <v>6600</v>
      </c>
      <c r="AN99" s="105">
        <f t="shared" si="234"/>
        <v>6600</v>
      </c>
      <c r="AO99" s="105">
        <f t="shared" si="234"/>
        <v>6600</v>
      </c>
      <c r="AP99" s="158">
        <f>SUM(AK99:AO99)</f>
        <v>33000</v>
      </c>
      <c r="AQ99" s="930">
        <v>5000</v>
      </c>
      <c r="AR99" s="473"/>
      <c r="AS99" s="106" t="s">
        <v>597</v>
      </c>
      <c r="AT99" s="1209">
        <v>550</v>
      </c>
      <c r="AU99" s="108">
        <f t="shared" ref="AU99:AU100" si="240">IF($AT99&gt;0,PRODUCT(I99,$AT99),0)</f>
        <v>6600</v>
      </c>
      <c r="AV99" s="108">
        <f t="shared" ref="AV99:AV100" si="241">IF($AT99&gt;0,PRODUCT(J99,$AT99),0)</f>
        <v>6600</v>
      </c>
      <c r="AW99" s="108">
        <f t="shared" ref="AW99:AW100" si="242">IF($AT99&gt;0,PRODUCT(K99,$AT99),0)</f>
        <v>6600</v>
      </c>
      <c r="AX99" s="108">
        <f t="shared" ref="AX99:AX100" si="243">IF($AT99&gt;0,PRODUCT(L99,$AT99),0)</f>
        <v>6600</v>
      </c>
      <c r="AY99" s="108">
        <f t="shared" ref="AY99:AY100" si="244">IF($AT99&gt;0,PRODUCT(M99,$AT99),0)</f>
        <v>6600</v>
      </c>
      <c r="AZ99" s="165">
        <f t="shared" si="181"/>
        <v>33000</v>
      </c>
      <c r="BA99" s="1190">
        <v>5000</v>
      </c>
      <c r="BB99" s="1214"/>
    </row>
    <row r="100" spans="1:54" s="495" customFormat="1" x14ac:dyDescent="0.25">
      <c r="A100" s="445"/>
      <c r="B100" s="445"/>
      <c r="C100" s="492"/>
      <c r="D100" s="604"/>
      <c r="E100" s="604"/>
      <c r="F100" s="604"/>
      <c r="G100" s="604"/>
      <c r="H100" s="618"/>
      <c r="I100" s="127"/>
      <c r="J100" s="127"/>
      <c r="K100" s="127"/>
      <c r="L100" s="127"/>
      <c r="M100" s="127"/>
      <c r="N100" s="245" t="str">
        <f>IF(C100="","",C100)</f>
        <v/>
      </c>
      <c r="O100" s="247"/>
      <c r="P100" s="757">
        <f>Q100/12</f>
        <v>0</v>
      </c>
      <c r="Q100" s="129"/>
      <c r="R100" s="129"/>
      <c r="S100" s="129"/>
      <c r="T100" s="129"/>
      <c r="U100" s="129"/>
      <c r="V100" s="209"/>
      <c r="W100" s="528"/>
      <c r="X100" s="222"/>
      <c r="Y100" s="324"/>
      <c r="Z100" s="774">
        <f>AA100/12</f>
        <v>0</v>
      </c>
      <c r="AA100" s="103">
        <f>IF(Y100&gt;0,PRODUCT(I100,$Y100),0)</f>
        <v>0</v>
      </c>
      <c r="AB100" s="103">
        <f t="shared" si="233"/>
        <v>0</v>
      </c>
      <c r="AC100" s="103">
        <f t="shared" si="233"/>
        <v>0</v>
      </c>
      <c r="AD100" s="103">
        <f t="shared" si="233"/>
        <v>0</v>
      </c>
      <c r="AE100" s="103">
        <f t="shared" si="233"/>
        <v>0</v>
      </c>
      <c r="AF100" s="123">
        <f>SUM(AA100:AE100)</f>
        <v>0</v>
      </c>
      <c r="AG100" s="813"/>
      <c r="AH100" s="370"/>
      <c r="AI100" s="272"/>
      <c r="AJ100" s="271"/>
      <c r="AK100" s="105">
        <f t="shared" si="234"/>
        <v>0</v>
      </c>
      <c r="AL100" s="105">
        <f t="shared" si="234"/>
        <v>0</v>
      </c>
      <c r="AM100" s="105">
        <f t="shared" si="234"/>
        <v>0</v>
      </c>
      <c r="AN100" s="105">
        <f t="shared" si="234"/>
        <v>0</v>
      </c>
      <c r="AO100" s="105">
        <f t="shared" si="234"/>
        <v>0</v>
      </c>
      <c r="AP100" s="158">
        <f>SUM(AK100:AO100)</f>
        <v>0</v>
      </c>
      <c r="AQ100" s="930"/>
      <c r="AR100" s="473"/>
      <c r="AS100" s="106"/>
      <c r="AT100" s="1207"/>
      <c r="AU100" s="108">
        <f t="shared" si="240"/>
        <v>0</v>
      </c>
      <c r="AV100" s="108">
        <f t="shared" si="241"/>
        <v>0</v>
      </c>
      <c r="AW100" s="108">
        <f t="shared" si="242"/>
        <v>0</v>
      </c>
      <c r="AX100" s="108">
        <f t="shared" si="243"/>
        <v>0</v>
      </c>
      <c r="AY100" s="108">
        <f t="shared" si="244"/>
        <v>0</v>
      </c>
      <c r="AZ100" s="165">
        <f t="shared" si="181"/>
        <v>0</v>
      </c>
      <c r="BA100" s="1190"/>
      <c r="BB100" s="1214"/>
    </row>
    <row r="101" spans="1:54" s="495" customFormat="1" x14ac:dyDescent="0.25">
      <c r="A101" s="445"/>
      <c r="B101" s="252" t="str">
        <f>C101</f>
        <v>SMS:</v>
      </c>
      <c r="C101" s="242" t="s">
        <v>598</v>
      </c>
      <c r="D101" s="609"/>
      <c r="E101" s="609"/>
      <c r="F101" s="609"/>
      <c r="G101" s="609"/>
      <c r="H101" s="619"/>
      <c r="I101" s="243"/>
      <c r="J101" s="243"/>
      <c r="K101" s="243"/>
      <c r="L101" s="243"/>
      <c r="M101" s="244"/>
      <c r="N101" s="252" t="str">
        <f>IF(C101="","",C101)</f>
        <v>SMS:</v>
      </c>
      <c r="O101" s="243"/>
      <c r="P101" s="756"/>
      <c r="Q101" s="243"/>
      <c r="R101" s="243"/>
      <c r="S101" s="243"/>
      <c r="T101" s="243"/>
      <c r="U101" s="244"/>
      <c r="V101" s="209"/>
      <c r="W101" s="527"/>
      <c r="X101" s="252" t="str">
        <f>C101 &amp; " [DIGITAL ONE SERVICE]"</f>
        <v>SMS: [DIGITAL ONE SERVICE]</v>
      </c>
      <c r="Y101" s="243"/>
      <c r="Z101" s="756"/>
      <c r="AA101" s="243"/>
      <c r="AB101" s="243"/>
      <c r="AC101" s="243"/>
      <c r="AD101" s="243"/>
      <c r="AE101" s="244"/>
      <c r="AF101" s="123"/>
      <c r="AG101" s="812"/>
      <c r="AH101" s="808"/>
      <c r="AI101" s="252" t="str">
        <f>C101</f>
        <v>SMS:</v>
      </c>
      <c r="AJ101" s="243"/>
      <c r="AK101" s="243"/>
      <c r="AL101" s="243"/>
      <c r="AM101" s="243"/>
      <c r="AN101" s="243"/>
      <c r="AO101" s="244"/>
      <c r="AP101" s="158"/>
      <c r="AQ101" s="812"/>
      <c r="AR101" s="812"/>
      <c r="AS101" s="252" t="s">
        <v>598</v>
      </c>
      <c r="AT101" s="243"/>
      <c r="AU101" s="243"/>
      <c r="AV101" s="243"/>
      <c r="AW101" s="243"/>
      <c r="AX101" s="243"/>
      <c r="AY101" s="244"/>
      <c r="AZ101" s="165">
        <f t="shared" si="181"/>
        <v>0</v>
      </c>
      <c r="BA101" s="1190"/>
      <c r="BB101" s="1214"/>
    </row>
    <row r="102" spans="1:54" s="495" customFormat="1" x14ac:dyDescent="0.25">
      <c r="A102" s="787"/>
      <c r="B102" s="623" t="s">
        <v>599</v>
      </c>
      <c r="C102" s="492" t="s">
        <v>600</v>
      </c>
      <c r="D102" s="604">
        <v>5711</v>
      </c>
      <c r="E102" s="604">
        <v>5645</v>
      </c>
      <c r="F102" s="604">
        <v>5135</v>
      </c>
      <c r="G102" s="604"/>
      <c r="H102" s="618">
        <f>IFERROR(AVERAGE(D102:F102),0)</f>
        <v>5497</v>
      </c>
      <c r="I102" s="127">
        <f>H102*12</f>
        <v>65964</v>
      </c>
      <c r="J102" s="127">
        <f>IF(I102&gt;12,(((I102)*$H$5)+I102),(I102*1))</f>
        <v>67283.28</v>
      </c>
      <c r="K102" s="127">
        <f>IF(J102&gt;12,(((J102)*$H$5)+J102),(J102*1))</f>
        <v>68628.945599999992</v>
      </c>
      <c r="L102" s="127">
        <f>IF(K102&gt;12,(((K102)*$H$5)+K102),(K102*1))</f>
        <v>70001.524511999989</v>
      </c>
      <c r="M102" s="127">
        <f>IF(L102&gt;12,(((L102)*$H$5)+L102),(L102*1))</f>
        <v>71401.555002239984</v>
      </c>
      <c r="N102" s="245" t="s">
        <v>601</v>
      </c>
      <c r="O102" s="247"/>
      <c r="P102" s="757">
        <f t="shared" ref="P102:P109" si="245">Q102/12</f>
        <v>0</v>
      </c>
      <c r="Q102" s="129"/>
      <c r="R102" s="129"/>
      <c r="S102" s="129"/>
      <c r="T102" s="129"/>
      <c r="U102" s="129"/>
      <c r="V102" s="209"/>
      <c r="W102" s="528"/>
      <c r="X102" s="734" t="str">
        <f>"See item "&amp;"'"&amp; X108 &amp; "'"</f>
        <v>See item 'D1 SMS Messages'</v>
      </c>
      <c r="Y102" s="324"/>
      <c r="Z102" s="774">
        <f t="shared" ref="Z102:Z109" si="246">AA102/12</f>
        <v>0</v>
      </c>
      <c r="AA102" s="103"/>
      <c r="AB102" s="103"/>
      <c r="AC102" s="103"/>
      <c r="AD102" s="103"/>
      <c r="AE102" s="103"/>
      <c r="AF102" s="123"/>
      <c r="AG102" s="813"/>
      <c r="AH102" s="370"/>
      <c r="AI102" s="221"/>
      <c r="AJ102" s="271"/>
      <c r="AK102" s="105"/>
      <c r="AL102" s="105"/>
      <c r="AM102" s="105"/>
      <c r="AN102" s="105"/>
      <c r="AO102" s="105"/>
      <c r="AP102" s="158"/>
      <c r="AQ102" s="930"/>
      <c r="AR102" s="473"/>
      <c r="AS102" s="106"/>
      <c r="AT102" s="1200"/>
      <c r="AU102" s="108">
        <f t="shared" ref="AU102" si="247">IF($AT102&gt;0,PRODUCT(I102,$AT102),0)</f>
        <v>0</v>
      </c>
      <c r="AV102" s="108">
        <f t="shared" ref="AV102" si="248">IF($AT102&gt;0,PRODUCT(J102,$AT102),0)</f>
        <v>0</v>
      </c>
      <c r="AW102" s="108">
        <f t="shared" ref="AW102" si="249">IF($AT102&gt;0,PRODUCT(K102,$AT102),0)</f>
        <v>0</v>
      </c>
      <c r="AX102" s="108">
        <f t="shared" ref="AX102" si="250">IF($AT102&gt;0,PRODUCT(L102,$AT102),0)</f>
        <v>0</v>
      </c>
      <c r="AY102" s="108">
        <f t="shared" ref="AY102" si="251">IF($AT102&gt;0,PRODUCT(M102,$AT102),0)</f>
        <v>0</v>
      </c>
      <c r="AZ102" s="165">
        <f t="shared" si="181"/>
        <v>0</v>
      </c>
      <c r="BA102" s="1190"/>
      <c r="BB102" s="1214"/>
    </row>
    <row r="103" spans="1:54" s="495" customFormat="1" x14ac:dyDescent="0.25">
      <c r="A103" s="787"/>
      <c r="B103" s="623" t="s">
        <v>599</v>
      </c>
      <c r="C103" s="444" t="s">
        <v>602</v>
      </c>
      <c r="D103" s="604"/>
      <c r="E103" s="604"/>
      <c r="F103" s="604"/>
      <c r="G103" s="604"/>
      <c r="H103" s="699">
        <v>500000</v>
      </c>
      <c r="I103" s="127">
        <f>IF(I102&gt;($H103*12),$H103*12,I102)</f>
        <v>65964</v>
      </c>
      <c r="J103" s="127">
        <f>IF(J102&gt;($H103*12),$H103*12,J102)</f>
        <v>67283.28</v>
      </c>
      <c r="K103" s="127">
        <f>IF(K102&gt;($H103*12),$H103*12,K102)</f>
        <v>68628.945599999992</v>
      </c>
      <c r="L103" s="127">
        <f>IF(L102&gt;($H103*12),$H103*12,L102)</f>
        <v>70001.524511999989</v>
      </c>
      <c r="M103" s="127">
        <f>IF(M102&gt;($H103*12),$H103*12,M102)</f>
        <v>71401.555002239984</v>
      </c>
      <c r="N103" s="750" t="str">
        <f>IF(C103="","",C103)</f>
        <v>Mobile SMS Messages Tier 1: Units 1 to 500,000</v>
      </c>
      <c r="O103" s="247">
        <v>2.5510000000000001E-2</v>
      </c>
      <c r="P103" s="757">
        <f t="shared" si="245"/>
        <v>140.22847000000002</v>
      </c>
      <c r="Q103" s="129">
        <f>IF(O103&gt;0,PRODUCT(I103,$O103),0)</f>
        <v>1682.7416400000002</v>
      </c>
      <c r="R103" s="129">
        <f t="shared" ref="R103:U107" si="252">IF(Q103&gt;0,PRODUCT(J103,$O103),0)</f>
        <v>1716.3964728000001</v>
      </c>
      <c r="S103" s="129">
        <f t="shared" si="252"/>
        <v>1750.7244022559998</v>
      </c>
      <c r="T103" s="129">
        <f t="shared" si="252"/>
        <v>1785.7388903011199</v>
      </c>
      <c r="U103" s="129">
        <f t="shared" si="252"/>
        <v>1821.453668107142</v>
      </c>
      <c r="V103" s="209">
        <f>SUM(Q103:U103)</f>
        <v>8757.055073464262</v>
      </c>
      <c r="W103" s="528" t="s">
        <v>523</v>
      </c>
      <c r="X103" s="222"/>
      <c r="Y103" s="324"/>
      <c r="Z103" s="774">
        <f t="shared" si="246"/>
        <v>0</v>
      </c>
      <c r="AA103" s="103"/>
      <c r="AB103" s="103"/>
      <c r="AC103" s="103"/>
      <c r="AD103" s="103"/>
      <c r="AE103" s="103"/>
      <c r="AF103" s="123"/>
      <c r="AG103" s="813"/>
      <c r="AH103" s="370"/>
      <c r="AI103" s="221"/>
      <c r="AJ103" s="271"/>
      <c r="AK103" s="105"/>
      <c r="AL103" s="105"/>
      <c r="AM103" s="105"/>
      <c r="AN103" s="105"/>
      <c r="AO103" s="105"/>
      <c r="AP103" s="158"/>
      <c r="AQ103" s="930"/>
      <c r="AR103" s="473"/>
      <c r="AS103" s="106"/>
      <c r="AT103" s="1200"/>
      <c r="AU103" s="108">
        <f t="shared" ref="AU103:AU109" si="253">IF($AT103&gt;0,PRODUCT(I103,$AT103),0)</f>
        <v>0</v>
      </c>
      <c r="AV103" s="108">
        <f t="shared" ref="AV103:AV109" si="254">IF($AT103&gt;0,PRODUCT(J103,$AT103),0)</f>
        <v>0</v>
      </c>
      <c r="AW103" s="108">
        <f t="shared" ref="AW103:AW109" si="255">IF($AT103&gt;0,PRODUCT(K103,$AT103),0)</f>
        <v>0</v>
      </c>
      <c r="AX103" s="108">
        <f t="shared" ref="AX103:AX109" si="256">IF($AT103&gt;0,PRODUCT(L103,$AT103),0)</f>
        <v>0</v>
      </c>
      <c r="AY103" s="108">
        <f t="shared" ref="AY103:AY109" si="257">IF($AT103&gt;0,PRODUCT(M103,$AT103),0)</f>
        <v>0</v>
      </c>
      <c r="AZ103" s="165">
        <f t="shared" si="181"/>
        <v>0</v>
      </c>
      <c r="BA103" s="1190"/>
      <c r="BB103" s="1214"/>
    </row>
    <row r="104" spans="1:54" s="495" customFormat="1" x14ac:dyDescent="0.25">
      <c r="A104" s="787"/>
      <c r="B104" s="623" t="s">
        <v>599</v>
      </c>
      <c r="C104" s="444" t="s">
        <v>603</v>
      </c>
      <c r="D104" s="604"/>
      <c r="E104" s="604"/>
      <c r="F104" s="604"/>
      <c r="G104" s="604"/>
      <c r="H104" s="699">
        <f>1000000-500001</f>
        <v>499999</v>
      </c>
      <c r="I104" s="127" cm="1">
        <f t="array" ref="I104">_xlfn.IFS(I102&gt;(SUM($H103:$H104)*12),$H104*12, I102&lt;(SUM(H103:H104)*12),0, I102=(SUM(H103:H104*12)),0)</f>
        <v>0</v>
      </c>
      <c r="J104" s="127" cm="1">
        <f t="array" ref="J104">_xlfn.IFS(J102&gt;(SUM($H103:$H104)*12),$H104*12, J102&lt;(SUM(I103:I104)*12),0, J102=(SUM(I103:I104*12)),0)</f>
        <v>0</v>
      </c>
      <c r="K104" s="127" cm="1">
        <f t="array" ref="K104">_xlfn.IFS(K102&gt;(SUM($H103:$H104)*12),$H104*12, K102&lt;(SUM(J103:J104)*12),0, K102=(SUM(J103:J104*12)),0)</f>
        <v>0</v>
      </c>
      <c r="L104" s="127" cm="1">
        <f t="array" ref="L104">_xlfn.IFS(L102&gt;(SUM($H103:$H104)*12),$H104*12, L102&lt;(SUM(K103:K104)*12),0, L102=(SUM(K103:K104*12)),0)</f>
        <v>0</v>
      </c>
      <c r="M104" s="127" cm="1">
        <f t="array" ref="M104">_xlfn.IFS(M102&gt;(SUM($H103:$H104)*12),$H104*12, M102&lt;(SUM(L103:L104)*12),0, M102=(SUM(L103:L104*12)),0)</f>
        <v>0</v>
      </c>
      <c r="N104" s="750" t="str">
        <f>IF(C104="","",C104)</f>
        <v>Mobile SMS Messages Tier 2: Units 500,001 to 1,000,000</v>
      </c>
      <c r="O104" s="247">
        <v>1.7000000000000001E-2</v>
      </c>
      <c r="P104" s="757">
        <f t="shared" si="245"/>
        <v>0</v>
      </c>
      <c r="Q104" s="129">
        <f>IF(O104&gt;0,PRODUCT(I104,$O104),0)</f>
        <v>0</v>
      </c>
      <c r="R104" s="129">
        <f t="shared" si="252"/>
        <v>0</v>
      </c>
      <c r="S104" s="129">
        <f t="shared" si="252"/>
        <v>0</v>
      </c>
      <c r="T104" s="129">
        <f t="shared" si="252"/>
        <v>0</v>
      </c>
      <c r="U104" s="129">
        <f t="shared" si="252"/>
        <v>0</v>
      </c>
      <c r="V104" s="209">
        <f>SUM(Q104:U104)</f>
        <v>0</v>
      </c>
      <c r="W104" s="528"/>
      <c r="X104" s="222"/>
      <c r="Y104" s="324"/>
      <c r="Z104" s="774">
        <f t="shared" si="246"/>
        <v>0</v>
      </c>
      <c r="AA104" s="103"/>
      <c r="AB104" s="103"/>
      <c r="AC104" s="103"/>
      <c r="AD104" s="103"/>
      <c r="AE104" s="103"/>
      <c r="AF104" s="123"/>
      <c r="AG104" s="813"/>
      <c r="AH104" s="370"/>
      <c r="AI104" s="221"/>
      <c r="AJ104" s="271"/>
      <c r="AK104" s="105"/>
      <c r="AL104" s="105"/>
      <c r="AM104" s="105"/>
      <c r="AN104" s="105"/>
      <c r="AO104" s="105"/>
      <c r="AP104" s="158"/>
      <c r="AQ104" s="930"/>
      <c r="AR104" s="473"/>
      <c r="AS104" s="106"/>
      <c r="AT104" s="1200"/>
      <c r="AU104" s="108">
        <f t="shared" si="253"/>
        <v>0</v>
      </c>
      <c r="AV104" s="108">
        <f t="shared" si="254"/>
        <v>0</v>
      </c>
      <c r="AW104" s="108">
        <f t="shared" si="255"/>
        <v>0</v>
      </c>
      <c r="AX104" s="108">
        <f t="shared" si="256"/>
        <v>0</v>
      </c>
      <c r="AY104" s="108">
        <f t="shared" si="257"/>
        <v>0</v>
      </c>
      <c r="AZ104" s="165">
        <f t="shared" si="181"/>
        <v>0</v>
      </c>
      <c r="BA104" s="1190"/>
      <c r="BB104" s="1214"/>
    </row>
    <row r="105" spans="1:54" s="495" customFormat="1" x14ac:dyDescent="0.25">
      <c r="A105" s="787"/>
      <c r="B105" s="623" t="s">
        <v>599</v>
      </c>
      <c r="C105" s="444" t="s">
        <v>604</v>
      </c>
      <c r="D105" s="604"/>
      <c r="E105" s="604"/>
      <c r="F105" s="604"/>
      <c r="G105" s="604"/>
      <c r="H105" s="699">
        <f>3000000-1000001</f>
        <v>1999999</v>
      </c>
      <c r="I105" s="127" cm="1">
        <f t="array" ref="I105">_xlfn.IFS(I102&gt;(SUM($H103:$H105)*12),$H105*12, I102&lt;(SUM(H103:H105)*12),0, I102=(SUM(H103:H105*12)),0)</f>
        <v>0</v>
      </c>
      <c r="J105" s="127" cm="1">
        <f t="array" ref="J105">_xlfn.IFS(J102&gt;(SUM($H103:$H105)*12),$H105*12, J102&lt;(SUM(I103:I105)*12),0, J102=(SUM(I103:I105*12)),0)</f>
        <v>0</v>
      </c>
      <c r="K105" s="127" cm="1">
        <f t="array" ref="K105">_xlfn.IFS(K102&gt;(SUM($H103:$H105)*12),$H105*12, K102&lt;(SUM(J103:J105)*12),0, K102=(SUM(J103:J105*12)),0)</f>
        <v>0</v>
      </c>
      <c r="L105" s="127" cm="1">
        <f t="array" ref="L105">_xlfn.IFS(L102&gt;(SUM($H103:$H105)*12),$H105*12, L102&lt;(SUM(K103:K105)*12),0, L102=(SUM(K103:K105*12)),0)</f>
        <v>0</v>
      </c>
      <c r="M105" s="127" cm="1">
        <f t="array" ref="M105">_xlfn.IFS(M102&gt;(SUM($H103:$H105)*12),$H105*12, M102&lt;(SUM(L103:L105)*12),0, M102=(SUM(L103:L105*12)),0)</f>
        <v>0</v>
      </c>
      <c r="N105" s="750" t="str">
        <f>IF(C105="","",C105)</f>
        <v>Mobile SMS Messages Tier 3: Units 1,000,001 to 3,000,000</v>
      </c>
      <c r="O105" s="247">
        <v>1.282E-2</v>
      </c>
      <c r="P105" s="757">
        <f t="shared" si="245"/>
        <v>0</v>
      </c>
      <c r="Q105" s="129">
        <f>IF(O105&gt;0,PRODUCT(I105,$O105),0)</f>
        <v>0</v>
      </c>
      <c r="R105" s="129">
        <f t="shared" si="252"/>
        <v>0</v>
      </c>
      <c r="S105" s="129">
        <f t="shared" si="252"/>
        <v>0</v>
      </c>
      <c r="T105" s="129">
        <f t="shared" si="252"/>
        <v>0</v>
      </c>
      <c r="U105" s="129">
        <f t="shared" si="252"/>
        <v>0</v>
      </c>
      <c r="V105" s="209">
        <f>SUM(Q105:U105)</f>
        <v>0</v>
      </c>
      <c r="W105" s="528"/>
      <c r="X105" s="222"/>
      <c r="Y105" s="324"/>
      <c r="Z105" s="774">
        <f t="shared" si="246"/>
        <v>0</v>
      </c>
      <c r="AA105" s="103"/>
      <c r="AB105" s="103"/>
      <c r="AC105" s="103"/>
      <c r="AD105" s="103"/>
      <c r="AE105" s="103"/>
      <c r="AF105" s="123"/>
      <c r="AG105" s="813"/>
      <c r="AH105" s="370"/>
      <c r="AI105" s="221"/>
      <c r="AJ105" s="271"/>
      <c r="AK105" s="105"/>
      <c r="AL105" s="105"/>
      <c r="AM105" s="105"/>
      <c r="AN105" s="105"/>
      <c r="AO105" s="105"/>
      <c r="AP105" s="158"/>
      <c r="AQ105" s="930"/>
      <c r="AR105" s="473"/>
      <c r="AS105" s="106"/>
      <c r="AT105" s="1200"/>
      <c r="AU105" s="108">
        <f t="shared" si="253"/>
        <v>0</v>
      </c>
      <c r="AV105" s="108">
        <f t="shared" si="254"/>
        <v>0</v>
      </c>
      <c r="AW105" s="108">
        <f t="shared" si="255"/>
        <v>0</v>
      </c>
      <c r="AX105" s="108">
        <f t="shared" si="256"/>
        <v>0</v>
      </c>
      <c r="AY105" s="108">
        <f t="shared" si="257"/>
        <v>0</v>
      </c>
      <c r="AZ105" s="165">
        <f t="shared" si="181"/>
        <v>0</v>
      </c>
      <c r="BA105" s="1190"/>
      <c r="BB105" s="1214"/>
    </row>
    <row r="106" spans="1:54" s="495" customFormat="1" x14ac:dyDescent="0.25">
      <c r="A106" s="787"/>
      <c r="B106" s="623" t="s">
        <v>599</v>
      </c>
      <c r="C106" s="444" t="s">
        <v>605</v>
      </c>
      <c r="D106" s="604"/>
      <c r="E106" s="604"/>
      <c r="F106" s="604"/>
      <c r="G106" s="604"/>
      <c r="H106" s="699">
        <f>5000000-3000001</f>
        <v>1999999</v>
      </c>
      <c r="I106" s="127" cm="1">
        <f t="array" ref="I106">_xlfn.IFS(I102&gt;(SUM($H103:$H106)*12),$H106*12, I102&lt;(SUM(H103:H106)*12),0, I102=(SUM(H103:H106*12)),0)</f>
        <v>0</v>
      </c>
      <c r="J106" s="127" cm="1">
        <f t="array" ref="J106">_xlfn.IFS(J102&gt;(SUM($H103:$H106)*12),$H106*12, J102&lt;(SUM(I103:I106)*12),0, J102=(SUM(I103:I106*12)),0)</f>
        <v>0</v>
      </c>
      <c r="K106" s="127" cm="1">
        <f t="array" ref="K106">_xlfn.IFS(K102&gt;(SUM($H103:$H106)*12),$H106*12, K102&lt;(SUM(J103:J106)*12),0, K102=(SUM(J103:J106*12)),0)</f>
        <v>0</v>
      </c>
      <c r="L106" s="127" cm="1">
        <f t="array" ref="L106">_xlfn.IFS(L102&gt;(SUM($H103:$H106)*12),$H106*12, L102&lt;(SUM(K103:K106)*12),0, L102=(SUM(K103:K106*12)),0)</f>
        <v>0</v>
      </c>
      <c r="M106" s="127" cm="1">
        <f t="array" ref="M106">_xlfn.IFS(M102&gt;(SUM($H103:$H106)*12),$H106*12, M102&lt;(SUM(L103:L106)*12),0, M102=(SUM(L103:L106*12)),0)</f>
        <v>0</v>
      </c>
      <c r="N106" s="750" t="str">
        <f>IF(C106="","",C106)</f>
        <v>Mobile SMS Messages Tier 4:Units 3,000,001 to 5,000,000</v>
      </c>
      <c r="O106" s="247">
        <v>8.5000000000000006E-3</v>
      </c>
      <c r="P106" s="757">
        <f t="shared" si="245"/>
        <v>0</v>
      </c>
      <c r="Q106" s="129">
        <f>IF(O106&gt;0,PRODUCT(I106,$O106),0)</f>
        <v>0</v>
      </c>
      <c r="R106" s="129">
        <f t="shared" si="252"/>
        <v>0</v>
      </c>
      <c r="S106" s="129">
        <f t="shared" si="252"/>
        <v>0</v>
      </c>
      <c r="T106" s="129">
        <f t="shared" si="252"/>
        <v>0</v>
      </c>
      <c r="U106" s="129">
        <f t="shared" si="252"/>
        <v>0</v>
      </c>
      <c r="V106" s="209">
        <f>SUM(Q106:U106)</f>
        <v>0</v>
      </c>
      <c r="W106" s="528"/>
      <c r="X106" s="222"/>
      <c r="Y106" s="324"/>
      <c r="Z106" s="774">
        <f t="shared" si="246"/>
        <v>0</v>
      </c>
      <c r="AA106" s="103"/>
      <c r="AB106" s="103"/>
      <c r="AC106" s="103"/>
      <c r="AD106" s="103"/>
      <c r="AE106" s="103"/>
      <c r="AF106" s="123"/>
      <c r="AG106" s="813"/>
      <c r="AH106" s="370"/>
      <c r="AI106" s="221"/>
      <c r="AJ106" s="271"/>
      <c r="AK106" s="105"/>
      <c r="AL106" s="105"/>
      <c r="AM106" s="105"/>
      <c r="AN106" s="105"/>
      <c r="AO106" s="105"/>
      <c r="AP106" s="158"/>
      <c r="AQ106" s="930"/>
      <c r="AR106" s="473"/>
      <c r="AS106" s="106"/>
      <c r="AT106" s="1200"/>
      <c r="AU106" s="108">
        <f t="shared" si="253"/>
        <v>0</v>
      </c>
      <c r="AV106" s="108">
        <f t="shared" si="254"/>
        <v>0</v>
      </c>
      <c r="AW106" s="108">
        <f t="shared" si="255"/>
        <v>0</v>
      </c>
      <c r="AX106" s="108">
        <f t="shared" si="256"/>
        <v>0</v>
      </c>
      <c r="AY106" s="108">
        <f t="shared" si="257"/>
        <v>0</v>
      </c>
      <c r="AZ106" s="165">
        <f t="shared" si="181"/>
        <v>0</v>
      </c>
      <c r="BA106" s="1190"/>
      <c r="BB106" s="1214"/>
    </row>
    <row r="107" spans="1:54" s="495" customFormat="1" x14ac:dyDescent="0.25">
      <c r="A107" s="787"/>
      <c r="B107" s="623" t="s">
        <v>599</v>
      </c>
      <c r="C107" s="444" t="s">
        <v>606</v>
      </c>
      <c r="D107" s="604"/>
      <c r="E107" s="604"/>
      <c r="F107" s="604"/>
      <c r="G107" s="604"/>
      <c r="H107" s="699"/>
      <c r="I107" s="127" cm="1">
        <f t="array" ref="I107">_xlfn.IFS(I102&gt;SUM($H103:$H107)*12, I102-SUM(I103:I106), I102&lt;SUM($H103:$H107)*12, 0, I102=SUM($H103:$H107)*12,0)</f>
        <v>0</v>
      </c>
      <c r="J107" s="127" cm="1">
        <f t="array" ref="J107">_xlfn.IFS(J102&gt;SUM($H103:$H107)*12, J102-SUM(J103:J106), J102&lt;SUM($H103:$H107)*12, 0, J102=SUM($H103:$H107)*12,0)</f>
        <v>0</v>
      </c>
      <c r="K107" s="127" cm="1">
        <f t="array" ref="K107">_xlfn.IFS(K102&gt;SUM($H103:$H107)*12, K102-SUM(K103:K106), K102&lt;SUM($H103:$H107)*12, 0, K102=SUM($H103:$H107)*12,0)</f>
        <v>0</v>
      </c>
      <c r="L107" s="127" cm="1">
        <f t="array" ref="L107">_xlfn.IFS(L102&gt;SUM($H103:$H107)*12, L102-SUM(L103:L106), L102&lt;SUM($H103:$H107)*12, 0, L102=SUM($H103:$H107)*12,0)</f>
        <v>0</v>
      </c>
      <c r="M107" s="127" cm="1">
        <f t="array" ref="M107">_xlfn.IFS(M102&gt;SUM($H103:$H107)*12, M102-SUM(M103:M106), M102&lt;SUM($H103:$H107)*12, 0, M102=SUM($H103:$H107)*12,0)</f>
        <v>0</v>
      </c>
      <c r="N107" s="750" t="str">
        <f>IF(C107="","",C107)</f>
        <v>Mobile SMS Messages Tier 5: Units Over 5,000,000</v>
      </c>
      <c r="O107" s="247">
        <v>7.7200000000000003E-3</v>
      </c>
      <c r="P107" s="757">
        <f t="shared" si="245"/>
        <v>0</v>
      </c>
      <c r="Q107" s="129">
        <f>IF(O107&gt;0,PRODUCT(I107,$O107),0)</f>
        <v>0</v>
      </c>
      <c r="R107" s="129">
        <f t="shared" si="252"/>
        <v>0</v>
      </c>
      <c r="S107" s="129">
        <f t="shared" si="252"/>
        <v>0</v>
      </c>
      <c r="T107" s="129">
        <f t="shared" si="252"/>
        <v>0</v>
      </c>
      <c r="U107" s="129">
        <f t="shared" si="252"/>
        <v>0</v>
      </c>
      <c r="V107" s="209">
        <f>SUM(Q107:U107)</f>
        <v>0</v>
      </c>
      <c r="W107" s="528"/>
      <c r="X107" s="222"/>
      <c r="Y107" s="324"/>
      <c r="Z107" s="774">
        <f t="shared" si="246"/>
        <v>0</v>
      </c>
      <c r="AA107" s="103"/>
      <c r="AB107" s="103"/>
      <c r="AC107" s="103"/>
      <c r="AD107" s="103"/>
      <c r="AE107" s="103"/>
      <c r="AF107" s="123"/>
      <c r="AG107" s="813"/>
      <c r="AH107" s="370"/>
      <c r="AI107" s="221"/>
      <c r="AJ107" s="271"/>
      <c r="AK107" s="105"/>
      <c r="AL107" s="105"/>
      <c r="AM107" s="105"/>
      <c r="AN107" s="105"/>
      <c r="AO107" s="105"/>
      <c r="AP107" s="158"/>
      <c r="AQ107" s="930"/>
      <c r="AR107" s="473"/>
      <c r="AS107" s="106"/>
      <c r="AT107" s="1200"/>
      <c r="AU107" s="108">
        <f t="shared" si="253"/>
        <v>0</v>
      </c>
      <c r="AV107" s="108">
        <f t="shared" si="254"/>
        <v>0</v>
      </c>
      <c r="AW107" s="108">
        <f t="shared" si="255"/>
        <v>0</v>
      </c>
      <c r="AX107" s="108">
        <f t="shared" si="256"/>
        <v>0</v>
      </c>
      <c r="AY107" s="108">
        <f t="shared" si="257"/>
        <v>0</v>
      </c>
      <c r="AZ107" s="165">
        <f t="shared" si="181"/>
        <v>0</v>
      </c>
      <c r="BA107" s="1190"/>
      <c r="BB107" s="1214"/>
    </row>
    <row r="108" spans="1:54" s="495" customFormat="1" x14ac:dyDescent="0.25">
      <c r="A108" s="804"/>
      <c r="B108" s="623" t="s">
        <v>599</v>
      </c>
      <c r="C108" s="310" t="s">
        <v>607</v>
      </c>
      <c r="D108" s="604"/>
      <c r="E108" s="604"/>
      <c r="F108" s="604"/>
      <c r="G108" s="604"/>
      <c r="H108" s="618">
        <f>H102</f>
        <v>5497</v>
      </c>
      <c r="I108" s="127">
        <f>H108*12</f>
        <v>65964</v>
      </c>
      <c r="J108" s="127">
        <f>IF(I108&gt;12,(((I108)*$H$5)+I108),(I108*1))</f>
        <v>67283.28</v>
      </c>
      <c r="K108" s="127">
        <f>IF(J108&gt;12,(((J108)*$H$5)+J108),(J108*1))</f>
        <v>68628.945599999992</v>
      </c>
      <c r="L108" s="127">
        <f>IF(K108&gt;12,(((K108)*$H$5)+K108),(K108*1))</f>
        <v>70001.524511999989</v>
      </c>
      <c r="M108" s="127">
        <f>IF(L108&gt;12,(((L108)*$H$5)+L108),(L108*1))</f>
        <v>71401.555002239984</v>
      </c>
      <c r="N108" s="245"/>
      <c r="O108" s="586"/>
      <c r="P108" s="757">
        <f t="shared" si="245"/>
        <v>0</v>
      </c>
      <c r="Q108" s="129"/>
      <c r="R108" s="129"/>
      <c r="S108" s="129"/>
      <c r="T108" s="129"/>
      <c r="U108" s="129"/>
      <c r="V108" s="209"/>
      <c r="W108" s="528"/>
      <c r="X108" s="222" t="str">
        <f>C108</f>
        <v>D1 SMS Messages</v>
      </c>
      <c r="Y108" s="325">
        <v>0.02</v>
      </c>
      <c r="Z108" s="774">
        <f t="shared" si="246"/>
        <v>109.94</v>
      </c>
      <c r="AA108" s="103">
        <f>IF(Y108&gt;0,PRODUCT(I108,$Y108),0)</f>
        <v>1319.28</v>
      </c>
      <c r="AB108" s="103">
        <f t="shared" ref="AB108:AE109" si="258">IF(AA108&gt;0,PRODUCT(J108,$Y108),0)</f>
        <v>1345.6656</v>
      </c>
      <c r="AC108" s="103">
        <f t="shared" si="258"/>
        <v>1372.5789119999999</v>
      </c>
      <c r="AD108" s="103">
        <f t="shared" si="258"/>
        <v>1400.0304902399998</v>
      </c>
      <c r="AE108" s="103">
        <f t="shared" si="258"/>
        <v>1428.0311000447998</v>
      </c>
      <c r="AF108" s="123">
        <f>SUM(AA108:AE108)</f>
        <v>6865.5861022848003</v>
      </c>
      <c r="AG108" s="813" t="s">
        <v>496</v>
      </c>
      <c r="AH108" s="370"/>
      <c r="AI108" s="221"/>
      <c r="AJ108" s="255"/>
      <c r="AK108" s="105">
        <f t="shared" ref="AK108:AO109" si="259">IF(AJ108&gt;0,PRODUCT(I108,$AJ108),0)</f>
        <v>0</v>
      </c>
      <c r="AL108" s="105">
        <f t="shared" si="259"/>
        <v>0</v>
      </c>
      <c r="AM108" s="105">
        <f t="shared" si="259"/>
        <v>0</v>
      </c>
      <c r="AN108" s="105">
        <f t="shared" si="259"/>
        <v>0</v>
      </c>
      <c r="AO108" s="105">
        <f t="shared" si="259"/>
        <v>0</v>
      </c>
      <c r="AP108" s="158">
        <f>SUM(AK108:AO108)</f>
        <v>0</v>
      </c>
      <c r="AQ108" s="930"/>
      <c r="AR108" s="473"/>
      <c r="AS108" s="106"/>
      <c r="AT108" s="1207"/>
      <c r="AU108" s="108">
        <f t="shared" si="253"/>
        <v>0</v>
      </c>
      <c r="AV108" s="108">
        <f t="shared" si="254"/>
        <v>0</v>
      </c>
      <c r="AW108" s="108">
        <f t="shared" si="255"/>
        <v>0</v>
      </c>
      <c r="AX108" s="108">
        <f t="shared" si="256"/>
        <v>0</v>
      </c>
      <c r="AY108" s="108">
        <f t="shared" si="257"/>
        <v>0</v>
      </c>
      <c r="AZ108" s="165">
        <f t="shared" si="181"/>
        <v>0</v>
      </c>
      <c r="BA108" s="1190"/>
      <c r="BB108" s="1214"/>
    </row>
    <row r="109" spans="1:54" s="495" customFormat="1" x14ac:dyDescent="0.25">
      <c r="A109" s="445"/>
      <c r="B109" s="445"/>
      <c r="C109" s="492"/>
      <c r="D109" s="604"/>
      <c r="E109" s="604"/>
      <c r="F109" s="604"/>
      <c r="G109" s="604"/>
      <c r="H109" s="618"/>
      <c r="I109" s="127"/>
      <c r="J109" s="127"/>
      <c r="K109" s="127"/>
      <c r="L109" s="127"/>
      <c r="M109" s="127"/>
      <c r="N109" s="245" t="str">
        <f>IF(C109="","",C109)</f>
        <v/>
      </c>
      <c r="O109" s="247"/>
      <c r="P109" s="757">
        <f t="shared" si="245"/>
        <v>0</v>
      </c>
      <c r="Q109" s="129"/>
      <c r="R109" s="129"/>
      <c r="S109" s="129"/>
      <c r="T109" s="129"/>
      <c r="U109" s="129"/>
      <c r="V109" s="209"/>
      <c r="W109" s="528"/>
      <c r="X109" s="222"/>
      <c r="Y109" s="324"/>
      <c r="Z109" s="774">
        <f t="shared" si="246"/>
        <v>0</v>
      </c>
      <c r="AA109" s="103">
        <f>IF(Y109&gt;0,PRODUCT(I109,$Y109),0)</f>
        <v>0</v>
      </c>
      <c r="AB109" s="103">
        <f t="shared" si="258"/>
        <v>0</v>
      </c>
      <c r="AC109" s="103">
        <f t="shared" si="258"/>
        <v>0</v>
      </c>
      <c r="AD109" s="103">
        <f t="shared" si="258"/>
        <v>0</v>
      </c>
      <c r="AE109" s="103">
        <f t="shared" si="258"/>
        <v>0</v>
      </c>
      <c r="AF109" s="123">
        <f>SUM(AA109:AE109)</f>
        <v>0</v>
      </c>
      <c r="AG109" s="813"/>
      <c r="AH109" s="370"/>
      <c r="AI109" s="272"/>
      <c r="AJ109" s="271"/>
      <c r="AK109" s="105">
        <f t="shared" si="259"/>
        <v>0</v>
      </c>
      <c r="AL109" s="105">
        <f t="shared" si="259"/>
        <v>0</v>
      </c>
      <c r="AM109" s="105">
        <f t="shared" si="259"/>
        <v>0</v>
      </c>
      <c r="AN109" s="105">
        <f t="shared" si="259"/>
        <v>0</v>
      </c>
      <c r="AO109" s="105">
        <f t="shared" si="259"/>
        <v>0</v>
      </c>
      <c r="AP109" s="158">
        <f>SUM(AK109:AO109)</f>
        <v>0</v>
      </c>
      <c r="AQ109" s="930"/>
      <c r="AR109" s="473"/>
      <c r="AS109" s="106"/>
      <c r="AT109" s="1207"/>
      <c r="AU109" s="108">
        <f t="shared" si="253"/>
        <v>0</v>
      </c>
      <c r="AV109" s="108">
        <f t="shared" si="254"/>
        <v>0</v>
      </c>
      <c r="AW109" s="108">
        <f t="shared" si="255"/>
        <v>0</v>
      </c>
      <c r="AX109" s="108">
        <f t="shared" si="256"/>
        <v>0</v>
      </c>
      <c r="AY109" s="108">
        <f t="shared" si="257"/>
        <v>0</v>
      </c>
      <c r="AZ109" s="165">
        <f t="shared" si="181"/>
        <v>0</v>
      </c>
      <c r="BA109" s="1190"/>
      <c r="BB109" s="1214"/>
    </row>
    <row r="110" spans="1:54" s="495" customFormat="1" x14ac:dyDescent="0.25">
      <c r="A110" s="445"/>
      <c r="B110" s="252" t="str">
        <f>C110</f>
        <v>Telephone Banking Services:</v>
      </c>
      <c r="C110" s="242" t="s">
        <v>608</v>
      </c>
      <c r="D110" s="608"/>
      <c r="E110" s="608"/>
      <c r="F110" s="608"/>
      <c r="G110" s="608"/>
      <c r="H110" s="243"/>
      <c r="I110" s="243"/>
      <c r="J110" s="243"/>
      <c r="K110" s="243"/>
      <c r="L110" s="243"/>
      <c r="M110" s="244"/>
      <c r="N110" s="252" t="str">
        <f>C110</f>
        <v>Telephone Banking Services:</v>
      </c>
      <c r="O110" s="243"/>
      <c r="P110" s="756"/>
      <c r="Q110" s="243"/>
      <c r="R110" s="243"/>
      <c r="S110" s="243"/>
      <c r="T110" s="243"/>
      <c r="U110" s="244"/>
      <c r="V110" s="209"/>
      <c r="W110" s="527"/>
      <c r="X110" s="252" t="str">
        <f>C110</f>
        <v>Telephone Banking Services:</v>
      </c>
      <c r="Y110" s="707"/>
      <c r="Z110" s="756"/>
      <c r="AA110" s="243"/>
      <c r="AB110" s="243"/>
      <c r="AC110" s="243"/>
      <c r="AD110" s="243"/>
      <c r="AE110" s="244"/>
      <c r="AF110" s="123"/>
      <c r="AG110" s="742"/>
      <c r="AH110" s="244"/>
      <c r="AI110" s="252" t="str">
        <f>C110</f>
        <v>Telephone Banking Services:</v>
      </c>
      <c r="AJ110" s="707"/>
      <c r="AK110" s="895"/>
      <c r="AL110" s="243"/>
      <c r="AM110" s="243"/>
      <c r="AN110" s="243"/>
      <c r="AO110" s="243"/>
      <c r="AP110" s="244"/>
      <c r="AQ110" s="874"/>
      <c r="AR110" s="874"/>
      <c r="AS110" s="252" t="s">
        <v>608</v>
      </c>
      <c r="AT110" s="243"/>
      <c r="AU110" s="243"/>
      <c r="AV110" s="243"/>
      <c r="AW110" s="243"/>
      <c r="AX110" s="243"/>
      <c r="AY110" s="244"/>
      <c r="AZ110" s="165">
        <f t="shared" si="181"/>
        <v>0</v>
      </c>
      <c r="BA110" s="1190"/>
      <c r="BB110" s="1214"/>
    </row>
    <row r="111" spans="1:54" s="495" customFormat="1" x14ac:dyDescent="0.25">
      <c r="A111" s="787"/>
      <c r="B111" s="623" t="s">
        <v>609</v>
      </c>
      <c r="C111" s="632" t="s">
        <v>610</v>
      </c>
      <c r="D111" s="604">
        <v>1</v>
      </c>
      <c r="E111" s="604">
        <v>1</v>
      </c>
      <c r="F111" s="604">
        <v>1</v>
      </c>
      <c r="G111" s="604"/>
      <c r="H111" s="618">
        <f>IFERROR(AVERAGE(D111:F111),0)</f>
        <v>1</v>
      </c>
      <c r="I111" s="127">
        <f>H111*12</f>
        <v>12</v>
      </c>
      <c r="J111" s="127">
        <f>IF(I111&gt;12,(((I111)*$H$5)+I111),(I111*1))</f>
        <v>12</v>
      </c>
      <c r="K111" s="127">
        <f>IF(J111&gt;12,(((J111)*$H$5)+J111),(J111*1))</f>
        <v>12</v>
      </c>
      <c r="L111" s="127">
        <f>IF(K111&gt;12,(((K111)*$H$5)+K111),(K111*1))</f>
        <v>12</v>
      </c>
      <c r="M111" s="127">
        <f>IF(L111&gt;12,(((L111)*$H$5)+L111),(L111*1))</f>
        <v>12</v>
      </c>
      <c r="N111" s="245" t="str">
        <f>IF(C111="","",C111)</f>
        <v>Oncall Monthly Maintanance</v>
      </c>
      <c r="O111" s="688">
        <v>496.63001919999999</v>
      </c>
      <c r="P111" s="757">
        <f>Q111/12</f>
        <v>496.63001920000005</v>
      </c>
      <c r="Q111" s="129">
        <f>IF(O111&gt;0,PRODUCT(I111,$O111),0)</f>
        <v>5959.5602304000004</v>
      </c>
      <c r="R111" s="129">
        <f t="shared" ref="R111:U113" si="260">IF(Q111&gt;0,PRODUCT(J111,$O111),0)</f>
        <v>5959.5602304000004</v>
      </c>
      <c r="S111" s="129">
        <f t="shared" si="260"/>
        <v>5959.5602304000004</v>
      </c>
      <c r="T111" s="129">
        <f t="shared" si="260"/>
        <v>5959.5602304000004</v>
      </c>
      <c r="U111" s="129">
        <f t="shared" si="260"/>
        <v>5959.5602304000004</v>
      </c>
      <c r="V111" s="209">
        <f>SUM(Q111:U111)</f>
        <v>29797.801152</v>
      </c>
      <c r="W111" s="528"/>
      <c r="X111" s="222"/>
      <c r="Y111" s="324"/>
      <c r="Z111" s="774">
        <f>AA111/12</f>
        <v>0</v>
      </c>
      <c r="AA111" s="103">
        <f>IF(Y111&gt;0,PRODUCT(#REF!,$Y111),0)</f>
        <v>0</v>
      </c>
      <c r="AB111" s="103">
        <f>IF(AA111&gt;0,PRODUCT(#REF!,$Y111),0)</f>
        <v>0</v>
      </c>
      <c r="AC111" s="103">
        <f>IF(AB111&gt;0,PRODUCT(#REF!,$Y111),0)</f>
        <v>0</v>
      </c>
      <c r="AD111" s="103">
        <f>IF(AC111&gt;0,PRODUCT(#REF!,$Y111),0)</f>
        <v>0</v>
      </c>
      <c r="AE111" s="103">
        <f>IF(AD111&gt;0,PRODUCT(#REF!,$Y111),0)</f>
        <v>0</v>
      </c>
      <c r="AF111" s="123">
        <f>SUM(AA111:AE111)</f>
        <v>0</v>
      </c>
      <c r="AG111" s="813"/>
      <c r="AH111" s="818" t="s">
        <v>494</v>
      </c>
      <c r="AI111" s="625"/>
      <c r="AJ111" s="626"/>
      <c r="AK111" s="627"/>
      <c r="AL111" s="627"/>
      <c r="AM111" s="627"/>
      <c r="AN111" s="627"/>
      <c r="AO111" s="627"/>
      <c r="AP111" s="158"/>
      <c r="AQ111" s="931"/>
      <c r="AR111" s="486"/>
      <c r="AS111" s="628"/>
      <c r="AT111" s="1208"/>
      <c r="AU111" s="108">
        <f t="shared" ref="AU111" si="261">IF($AT111&gt;0,PRODUCT(I111,$AT111),0)</f>
        <v>0</v>
      </c>
      <c r="AV111" s="108">
        <f t="shared" ref="AV111" si="262">IF($AT111&gt;0,PRODUCT(J111,$AT111),0)</f>
        <v>0</v>
      </c>
      <c r="AW111" s="108">
        <f t="shared" ref="AW111" si="263">IF($AT111&gt;0,PRODUCT(K111,$AT111),0)</f>
        <v>0</v>
      </c>
      <c r="AX111" s="108">
        <f t="shared" ref="AX111" si="264">IF($AT111&gt;0,PRODUCT(L111,$AT111),0)</f>
        <v>0</v>
      </c>
      <c r="AY111" s="108">
        <f t="shared" ref="AY111" si="265">IF($AT111&gt;0,PRODUCT(M111,$AT111),0)</f>
        <v>0</v>
      </c>
      <c r="AZ111" s="165">
        <f t="shared" si="181"/>
        <v>0</v>
      </c>
      <c r="BA111" s="1190"/>
      <c r="BB111" s="1214"/>
    </row>
    <row r="112" spans="1:54" s="495" customFormat="1" x14ac:dyDescent="0.25">
      <c r="A112" s="804"/>
      <c r="B112" s="623" t="s">
        <v>609</v>
      </c>
      <c r="C112" s="310" t="s">
        <v>379</v>
      </c>
      <c r="D112" s="604"/>
      <c r="E112" s="604"/>
      <c r="F112" s="604"/>
      <c r="G112" s="604"/>
      <c r="H112" s="618">
        <v>1</v>
      </c>
      <c r="I112" s="127">
        <f>H112*12</f>
        <v>12</v>
      </c>
      <c r="J112" s="127">
        <f>IF(I112&gt;12,(((I112)*'CORE Recurring Items'!$H$5)+I112),(I112*1))</f>
        <v>12</v>
      </c>
      <c r="K112" s="127">
        <f>IF(J112&gt;12,(((J112)*'CORE Recurring Items'!$H$5)+J112),(J112*1))</f>
        <v>12</v>
      </c>
      <c r="L112" s="127">
        <f>IF(K112&gt;12,(((K112)*'CORE Recurring Items'!$H$5)+K112),(K112*1))</f>
        <v>12</v>
      </c>
      <c r="M112" s="127">
        <f>IF(L112&gt;12,(((L112)*'CORE Recurring Items'!$H$5)+L112),(L112*1))</f>
        <v>12</v>
      </c>
      <c r="N112" s="245"/>
      <c r="O112" s="748"/>
      <c r="P112" s="757">
        <f>Q112/12</f>
        <v>0</v>
      </c>
      <c r="Q112" s="129">
        <f>IF(O112&gt;0,PRODUCT(I112,$O112),0)</f>
        <v>0</v>
      </c>
      <c r="R112" s="129">
        <f t="shared" si="260"/>
        <v>0</v>
      </c>
      <c r="S112" s="129">
        <f t="shared" si="260"/>
        <v>0</v>
      </c>
      <c r="T112" s="129">
        <f t="shared" si="260"/>
        <v>0</v>
      </c>
      <c r="U112" s="129">
        <f t="shared" si="260"/>
        <v>0</v>
      </c>
      <c r="V112" s="209">
        <f>SUM(Q112:U112)</f>
        <v>0</v>
      </c>
      <c r="W112" s="621"/>
      <c r="X112" s="222" t="str">
        <f>C112</f>
        <v>On-Call Server (Enterprise License) (Non-Hosted)</v>
      </c>
      <c r="Y112" s="325">
        <v>519.82259999999997</v>
      </c>
      <c r="Z112" s="774">
        <f>AA112/12</f>
        <v>519.82259999999997</v>
      </c>
      <c r="AA112" s="103">
        <f>IF(Y112&gt;0,PRODUCT(I112,$Y112),0)</f>
        <v>6237.8711999999996</v>
      </c>
      <c r="AB112" s="103">
        <f t="shared" ref="AB112:AE114" si="266">IF(AA112&gt;0,PRODUCT(J112,$Y112),0)</f>
        <v>6237.8711999999996</v>
      </c>
      <c r="AC112" s="103">
        <f t="shared" si="266"/>
        <v>6237.8711999999996</v>
      </c>
      <c r="AD112" s="103">
        <f t="shared" si="266"/>
        <v>6237.8711999999996</v>
      </c>
      <c r="AE112" s="103">
        <f t="shared" si="266"/>
        <v>6237.8711999999996</v>
      </c>
      <c r="AF112" s="123">
        <f>SUM(AA112:AE112)</f>
        <v>31189.356</v>
      </c>
      <c r="AG112" s="743"/>
      <c r="AH112" s="362"/>
      <c r="AI112" s="221"/>
      <c r="AJ112" s="270"/>
      <c r="AK112" s="627"/>
      <c r="AL112" s="105"/>
      <c r="AM112" s="105"/>
      <c r="AN112" s="105"/>
      <c r="AO112" s="105"/>
      <c r="AP112" s="158"/>
      <c r="AQ112" s="875"/>
      <c r="AR112" s="473"/>
      <c r="AS112" s="106"/>
      <c r="AT112" s="1207"/>
      <c r="AU112" s="108">
        <f t="shared" ref="AU112:AU114" si="267">IF($AT112&gt;0,PRODUCT(I112,$AT112),0)</f>
        <v>0</v>
      </c>
      <c r="AV112" s="108">
        <f t="shared" ref="AV112:AV114" si="268">IF($AT112&gt;0,PRODUCT(J112,$AT112),0)</f>
        <v>0</v>
      </c>
      <c r="AW112" s="108">
        <f t="shared" ref="AW112:AW114" si="269">IF($AT112&gt;0,PRODUCT(K112,$AT112),0)</f>
        <v>0</v>
      </c>
      <c r="AX112" s="108">
        <f t="shared" ref="AX112:AX114" si="270">IF($AT112&gt;0,PRODUCT(L112,$AT112),0)</f>
        <v>0</v>
      </c>
      <c r="AY112" s="108">
        <f t="shared" ref="AY112:AY114" si="271">IF($AT112&gt;0,PRODUCT(M112,$AT112),0)</f>
        <v>0</v>
      </c>
      <c r="AZ112" s="165">
        <f t="shared" si="181"/>
        <v>0</v>
      </c>
      <c r="BA112" s="1190"/>
      <c r="BB112" s="1214"/>
    </row>
    <row r="113" spans="1:54" s="495" customFormat="1" x14ac:dyDescent="0.25">
      <c r="A113" s="804"/>
      <c r="B113" s="623" t="s">
        <v>609</v>
      </c>
      <c r="C113" s="310" t="s">
        <v>611</v>
      </c>
      <c r="D113" s="604"/>
      <c r="E113" s="604"/>
      <c r="F113" s="604"/>
      <c r="G113" s="604"/>
      <c r="H113" s="618">
        <f>IFERROR(AVERAGE(D113:G113),0)</f>
        <v>0</v>
      </c>
      <c r="I113" s="127">
        <f>H113*12</f>
        <v>0</v>
      </c>
      <c r="J113" s="127">
        <f>IF(I113&gt;12,(((I113)*'CORE Recurring Items'!$H$5)+I113),(I113*1))</f>
        <v>0</v>
      </c>
      <c r="K113" s="127">
        <f>IF(J113&gt;12,(((J113)*'CORE Recurring Items'!$H$5)+J113),(J113*1))</f>
        <v>0</v>
      </c>
      <c r="L113" s="127">
        <f>IF(K113&gt;12,(((K113)*'CORE Recurring Items'!$H$5)+K113),(K113*1))</f>
        <v>0</v>
      </c>
      <c r="M113" s="127">
        <f>IF(L113&gt;12,(((L113)*'CORE Recurring Items'!$H$5)+L113),(L113*1))</f>
        <v>0</v>
      </c>
      <c r="N113" s="245"/>
      <c r="O113" s="748"/>
      <c r="P113" s="757">
        <f>Q113/12</f>
        <v>0</v>
      </c>
      <c r="Q113" s="129">
        <f>IF(O113&gt;0,PRODUCT(I113,$O113),0)</f>
        <v>0</v>
      </c>
      <c r="R113" s="129">
        <f t="shared" si="260"/>
        <v>0</v>
      </c>
      <c r="S113" s="129">
        <f t="shared" si="260"/>
        <v>0</v>
      </c>
      <c r="T113" s="129">
        <f t="shared" si="260"/>
        <v>0</v>
      </c>
      <c r="U113" s="129">
        <f t="shared" si="260"/>
        <v>0</v>
      </c>
      <c r="V113" s="209">
        <f>SUM(Q113:U113)</f>
        <v>0</v>
      </c>
      <c r="W113" s="621"/>
      <c r="X113" s="222" t="str">
        <f>C113</f>
        <v>2 Port Analog System (New On-Call Purchase)</v>
      </c>
      <c r="Y113" s="325"/>
      <c r="Z113" s="774">
        <f>AA113/12</f>
        <v>0</v>
      </c>
      <c r="AA113" s="103">
        <f>IF(Y113&gt;0,PRODUCT(I113,$Y113),0)</f>
        <v>0</v>
      </c>
      <c r="AB113" s="103">
        <f t="shared" si="266"/>
        <v>0</v>
      </c>
      <c r="AC113" s="103">
        <f t="shared" si="266"/>
        <v>0</v>
      </c>
      <c r="AD113" s="103">
        <f t="shared" si="266"/>
        <v>0</v>
      </c>
      <c r="AE113" s="103">
        <f t="shared" si="266"/>
        <v>0</v>
      </c>
      <c r="AF113" s="123">
        <f>SUM(AA113:AE113)</f>
        <v>0</v>
      </c>
      <c r="AG113" s="743"/>
      <c r="AH113" s="711"/>
      <c r="AI113" s="221"/>
      <c r="AJ113" s="270"/>
      <c r="AK113" s="627"/>
      <c r="AL113" s="105"/>
      <c r="AM113" s="105"/>
      <c r="AN113" s="105"/>
      <c r="AO113" s="105"/>
      <c r="AP113" s="158"/>
      <c r="AQ113" s="875"/>
      <c r="AR113" s="889"/>
      <c r="AS113" s="106"/>
      <c r="AT113" s="1207"/>
      <c r="AU113" s="108">
        <f t="shared" si="267"/>
        <v>0</v>
      </c>
      <c r="AV113" s="108">
        <f t="shared" si="268"/>
        <v>0</v>
      </c>
      <c r="AW113" s="108">
        <f t="shared" si="269"/>
        <v>0</v>
      </c>
      <c r="AX113" s="108">
        <f t="shared" si="270"/>
        <v>0</v>
      </c>
      <c r="AY113" s="108">
        <f t="shared" si="271"/>
        <v>0</v>
      </c>
      <c r="AZ113" s="165">
        <f t="shared" si="181"/>
        <v>0</v>
      </c>
      <c r="BA113" s="1190"/>
      <c r="BB113" s="1214"/>
    </row>
    <row r="114" spans="1:54" s="495" customFormat="1" x14ac:dyDescent="0.25">
      <c r="A114" s="445"/>
      <c r="B114" s="623"/>
      <c r="C114" s="310"/>
      <c r="D114" s="604"/>
      <c r="E114" s="604"/>
      <c r="F114" s="604"/>
      <c r="G114" s="604"/>
      <c r="H114" s="618"/>
      <c r="I114" s="127">
        <f>H114*12</f>
        <v>0</v>
      </c>
      <c r="J114" s="127">
        <f>IF(I114&gt;12,(((I114)*$H$5)+I114),(I114*1))</f>
        <v>0</v>
      </c>
      <c r="K114" s="127">
        <f>IF(J114&gt;12,(((J114)*$H$5)+J114),(J114*1))</f>
        <v>0</v>
      </c>
      <c r="L114" s="127">
        <f>IF(K114&gt;12,(((K114)*$H$5)+K114),(K114*1))</f>
        <v>0</v>
      </c>
      <c r="M114" s="127">
        <f>IF(L114&gt;12,(((L114)*$H$5)+L114),(L114*1))</f>
        <v>0</v>
      </c>
      <c r="N114" s="245" t="str">
        <f>IF(C114="","",C114)</f>
        <v/>
      </c>
      <c r="O114" s="586"/>
      <c r="P114" s="757">
        <f>Q114/12</f>
        <v>0</v>
      </c>
      <c r="Q114" s="129"/>
      <c r="R114" s="129"/>
      <c r="S114" s="129"/>
      <c r="T114" s="129"/>
      <c r="U114" s="129"/>
      <c r="V114" s="209"/>
      <c r="W114" s="528"/>
      <c r="X114" s="222"/>
      <c r="Y114" s="325"/>
      <c r="Z114" s="774">
        <f>AA114/12</f>
        <v>0</v>
      </c>
      <c r="AA114" s="103">
        <f>IF(Y114&gt;0,PRODUCT(I114,$Y114),0)</f>
        <v>0</v>
      </c>
      <c r="AB114" s="103">
        <f t="shared" si="266"/>
        <v>0</v>
      </c>
      <c r="AC114" s="103">
        <f t="shared" si="266"/>
        <v>0</v>
      </c>
      <c r="AD114" s="103">
        <f t="shared" si="266"/>
        <v>0</v>
      </c>
      <c r="AE114" s="103">
        <f t="shared" si="266"/>
        <v>0</v>
      </c>
      <c r="AF114" s="123">
        <f>SUM(AA114:AE114)</f>
        <v>0</v>
      </c>
      <c r="AG114" s="813"/>
      <c r="AH114" s="370"/>
      <c r="AI114" s="221"/>
      <c r="AJ114" s="255"/>
      <c r="AK114" s="627"/>
      <c r="AL114" s="105">
        <f>IF(AK114&gt;0,PRODUCT(J114,$AJ114),0)</f>
        <v>0</v>
      </c>
      <c r="AM114" s="105">
        <f>IF(AL114&gt;0,PRODUCT(K114,$AJ114),0)</f>
        <v>0</v>
      </c>
      <c r="AN114" s="105">
        <f>IF(AM114&gt;0,PRODUCT(L114,$AJ114),0)</f>
        <v>0</v>
      </c>
      <c r="AO114" s="105">
        <f>IF(AN114&gt;0,PRODUCT(M114,$AJ114),0)</f>
        <v>0</v>
      </c>
      <c r="AP114" s="158">
        <f>SUM(AK114:AO114)</f>
        <v>0</v>
      </c>
      <c r="AQ114" s="930"/>
      <c r="AR114" s="473"/>
      <c r="AS114" s="106"/>
      <c r="AT114" s="1207"/>
      <c r="AU114" s="108">
        <f t="shared" si="267"/>
        <v>0</v>
      </c>
      <c r="AV114" s="108">
        <f t="shared" si="268"/>
        <v>0</v>
      </c>
      <c r="AW114" s="108">
        <f t="shared" si="269"/>
        <v>0</v>
      </c>
      <c r="AX114" s="108">
        <f t="shared" si="270"/>
        <v>0</v>
      </c>
      <c r="AY114" s="108">
        <f t="shared" si="271"/>
        <v>0</v>
      </c>
      <c r="AZ114" s="165">
        <f t="shared" si="181"/>
        <v>0</v>
      </c>
      <c r="BA114" s="1190"/>
      <c r="BB114" s="1214"/>
    </row>
    <row r="115" spans="1:54" s="495" customFormat="1" x14ac:dyDescent="0.25">
      <c r="A115" s="445"/>
      <c r="B115" s="252" t="str">
        <f>C115</f>
        <v>DIGITAL ITEMS - OTHER:</v>
      </c>
      <c r="C115" s="242" t="s">
        <v>612</v>
      </c>
      <c r="D115" s="609"/>
      <c r="E115" s="609"/>
      <c r="F115" s="609"/>
      <c r="G115" s="609"/>
      <c r="H115" s="619"/>
      <c r="I115" s="243"/>
      <c r="J115" s="243"/>
      <c r="K115" s="243"/>
      <c r="L115" s="243"/>
      <c r="M115" s="244"/>
      <c r="N115" s="252" t="str">
        <f>IF(C115="","",C115)</f>
        <v>DIGITAL ITEMS - OTHER:</v>
      </c>
      <c r="O115" s="243"/>
      <c r="P115" s="756"/>
      <c r="Q115" s="243"/>
      <c r="R115" s="243"/>
      <c r="S115" s="243"/>
      <c r="T115" s="243"/>
      <c r="U115" s="244"/>
      <c r="V115" s="209"/>
      <c r="W115" s="527"/>
      <c r="X115" s="252" t="str">
        <f>C115</f>
        <v>DIGITAL ITEMS - OTHER:</v>
      </c>
      <c r="Y115" s="243"/>
      <c r="Z115" s="756"/>
      <c r="AA115" s="243"/>
      <c r="AB115" s="243"/>
      <c r="AC115" s="243"/>
      <c r="AD115" s="243"/>
      <c r="AE115" s="244"/>
      <c r="AF115" s="123"/>
      <c r="AG115" s="812"/>
      <c r="AH115" s="808"/>
      <c r="AI115" s="252" t="str">
        <f>C115</f>
        <v>DIGITAL ITEMS - OTHER:</v>
      </c>
      <c r="AJ115" s="243"/>
      <c r="AK115" s="243"/>
      <c r="AL115" s="243"/>
      <c r="AM115" s="243"/>
      <c r="AN115" s="243"/>
      <c r="AO115" s="244"/>
      <c r="AP115" s="158"/>
      <c r="AQ115" s="812"/>
      <c r="AR115" s="812"/>
      <c r="AS115" s="252" t="s">
        <v>612</v>
      </c>
      <c r="AT115" s="243"/>
      <c r="AU115" s="243"/>
      <c r="AV115" s="243"/>
      <c r="AW115" s="243"/>
      <c r="AX115" s="243"/>
      <c r="AY115" s="244"/>
      <c r="AZ115" s="165">
        <f t="shared" si="181"/>
        <v>0</v>
      </c>
      <c r="BA115" s="1189"/>
      <c r="BB115" s="1213"/>
    </row>
    <row r="116" spans="1:54" s="495" customFormat="1" x14ac:dyDescent="0.25">
      <c r="A116" s="890"/>
      <c r="B116" s="623" t="s">
        <v>531</v>
      </c>
      <c r="C116" s="310" t="s">
        <v>613</v>
      </c>
      <c r="D116" s="604"/>
      <c r="E116" s="604"/>
      <c r="F116" s="604"/>
      <c r="G116" s="604"/>
      <c r="H116" s="618"/>
      <c r="I116" s="127">
        <f>H116*12</f>
        <v>0</v>
      </c>
      <c r="J116" s="127">
        <f t="shared" ref="J116:M120" si="272">IF(I116&gt;12,(((I116)*$H$5)+I116),(I116*1))</f>
        <v>0</v>
      </c>
      <c r="K116" s="127">
        <f t="shared" si="272"/>
        <v>0</v>
      </c>
      <c r="L116" s="127">
        <f t="shared" si="272"/>
        <v>0</v>
      </c>
      <c r="M116" s="127">
        <f t="shared" si="272"/>
        <v>0</v>
      </c>
      <c r="N116" s="245"/>
      <c r="O116" s="586"/>
      <c r="P116" s="757">
        <f t="shared" ref="P116:P121" si="273">Q116/12</f>
        <v>0</v>
      </c>
      <c r="Q116" s="129"/>
      <c r="R116" s="129"/>
      <c r="S116" s="129"/>
      <c r="T116" s="129"/>
      <c r="U116" s="129"/>
      <c r="V116" s="209"/>
      <c r="W116" s="528"/>
      <c r="X116" s="222"/>
      <c r="Y116" s="325"/>
      <c r="Z116" s="774">
        <f>AA116/12</f>
        <v>0</v>
      </c>
      <c r="AA116" s="103">
        <f>IF(Y116&gt;0,PRODUCT(I116,$Y116),0)</f>
        <v>0</v>
      </c>
      <c r="AB116" s="103">
        <f t="shared" ref="AB116:AE120" si="274">IF(AA116&gt;0,PRODUCT(J116,$Y116),0)</f>
        <v>0</v>
      </c>
      <c r="AC116" s="103">
        <f t="shared" si="274"/>
        <v>0</v>
      </c>
      <c r="AD116" s="103">
        <f t="shared" si="274"/>
        <v>0</v>
      </c>
      <c r="AE116" s="103">
        <f t="shared" si="274"/>
        <v>0</v>
      </c>
      <c r="AF116" s="123">
        <f>SUM(AA116:AE116)</f>
        <v>0</v>
      </c>
      <c r="AG116" s="813"/>
      <c r="AH116" s="370"/>
      <c r="AI116" s="221" t="str">
        <f>C116</f>
        <v>Q2 Marketplace</v>
      </c>
      <c r="AJ116" s="255">
        <v>0</v>
      </c>
      <c r="AK116" s="105">
        <f t="shared" ref="AK116:AO120" si="275">IF(AJ116&gt;0,PRODUCT(I116,$AJ116),0)</f>
        <v>0</v>
      </c>
      <c r="AL116" s="105">
        <f t="shared" si="275"/>
        <v>0</v>
      </c>
      <c r="AM116" s="105">
        <f t="shared" si="275"/>
        <v>0</v>
      </c>
      <c r="AN116" s="105">
        <f t="shared" si="275"/>
        <v>0</v>
      </c>
      <c r="AO116" s="105">
        <f t="shared" si="275"/>
        <v>0</v>
      </c>
      <c r="AP116" s="158">
        <f>SUM(AK116:AO116)</f>
        <v>0</v>
      </c>
      <c r="AQ116" s="930"/>
      <c r="AR116" s="473" t="s">
        <v>614</v>
      </c>
      <c r="AS116" s="106" t="s">
        <v>613</v>
      </c>
      <c r="AT116" s="1207">
        <v>0</v>
      </c>
      <c r="AU116" s="108">
        <f t="shared" ref="AU116:AY120" si="276">IF(AT116&gt;0,PRODUCT(I116,$AT116),0)</f>
        <v>0</v>
      </c>
      <c r="AV116" s="108">
        <f t="shared" si="276"/>
        <v>0</v>
      </c>
      <c r="AW116" s="108">
        <f t="shared" si="276"/>
        <v>0</v>
      </c>
      <c r="AX116" s="108">
        <f t="shared" si="276"/>
        <v>0</v>
      </c>
      <c r="AY116" s="108">
        <f t="shared" si="276"/>
        <v>0</v>
      </c>
      <c r="AZ116" s="165">
        <f t="shared" si="181"/>
        <v>0</v>
      </c>
      <c r="BA116" s="1190"/>
      <c r="BB116" s="1214" t="s">
        <v>614</v>
      </c>
    </row>
    <row r="117" spans="1:54" s="495" customFormat="1" x14ac:dyDescent="0.25">
      <c r="A117" s="890"/>
      <c r="B117" s="623" t="s">
        <v>615</v>
      </c>
      <c r="C117" s="310" t="s">
        <v>616</v>
      </c>
      <c r="D117" s="604"/>
      <c r="E117" s="604"/>
      <c r="F117" s="604"/>
      <c r="G117" s="604"/>
      <c r="H117" s="618">
        <v>1</v>
      </c>
      <c r="I117" s="127">
        <f>H117*12</f>
        <v>12</v>
      </c>
      <c r="J117" s="127">
        <f t="shared" si="272"/>
        <v>12</v>
      </c>
      <c r="K117" s="127">
        <f t="shared" si="272"/>
        <v>12</v>
      </c>
      <c r="L117" s="127">
        <f t="shared" si="272"/>
        <v>12</v>
      </c>
      <c r="M117" s="127">
        <f t="shared" si="272"/>
        <v>12</v>
      </c>
      <c r="N117" s="245"/>
      <c r="O117" s="586"/>
      <c r="P117" s="757">
        <f t="shared" si="273"/>
        <v>0</v>
      </c>
      <c r="Q117" s="129"/>
      <c r="R117" s="129"/>
      <c r="S117" s="129"/>
      <c r="T117" s="129"/>
      <c r="U117" s="129"/>
      <c r="V117" s="209"/>
      <c r="W117" s="528"/>
      <c r="X117" s="222"/>
      <c r="Y117" s="325"/>
      <c r="Z117" s="774">
        <f>AA117/12</f>
        <v>0</v>
      </c>
      <c r="AA117" s="103">
        <f>IF(Y117&gt;0,PRODUCT(I117,$Y117),0)</f>
        <v>0</v>
      </c>
      <c r="AB117" s="103">
        <f t="shared" si="274"/>
        <v>0</v>
      </c>
      <c r="AC117" s="103">
        <f t="shared" si="274"/>
        <v>0</v>
      </c>
      <c r="AD117" s="103">
        <f t="shared" si="274"/>
        <v>0</v>
      </c>
      <c r="AE117" s="103">
        <f t="shared" si="274"/>
        <v>0</v>
      </c>
      <c r="AF117" s="123">
        <f>SUM(AA117:AE117)</f>
        <v>0</v>
      </c>
      <c r="AG117" s="813"/>
      <c r="AH117" s="370"/>
      <c r="AI117" s="221" t="str">
        <f>C117</f>
        <v>Q2mobile RDC Adapter - Ensenta</v>
      </c>
      <c r="AJ117" s="255">
        <f>6600/12</f>
        <v>550</v>
      </c>
      <c r="AK117" s="105">
        <f t="shared" si="275"/>
        <v>6600</v>
      </c>
      <c r="AL117" s="105">
        <f t="shared" si="275"/>
        <v>6600</v>
      </c>
      <c r="AM117" s="105">
        <f t="shared" si="275"/>
        <v>6600</v>
      </c>
      <c r="AN117" s="105">
        <f t="shared" si="275"/>
        <v>6600</v>
      </c>
      <c r="AO117" s="105">
        <f t="shared" si="275"/>
        <v>6600</v>
      </c>
      <c r="AP117" s="158">
        <f>SUM(AK117:AO117)</f>
        <v>33000</v>
      </c>
      <c r="AQ117" s="930">
        <v>5000</v>
      </c>
      <c r="AR117" s="473"/>
      <c r="AS117" s="106" t="s">
        <v>616</v>
      </c>
      <c r="AT117" s="1209">
        <v>550</v>
      </c>
      <c r="AU117" s="108">
        <f t="shared" si="276"/>
        <v>6600</v>
      </c>
      <c r="AV117" s="108">
        <f t="shared" si="276"/>
        <v>6600</v>
      </c>
      <c r="AW117" s="108">
        <f t="shared" si="276"/>
        <v>6600</v>
      </c>
      <c r="AX117" s="108">
        <f t="shared" si="276"/>
        <v>6600</v>
      </c>
      <c r="AY117" s="108">
        <f t="shared" si="276"/>
        <v>6600</v>
      </c>
      <c r="AZ117" s="165">
        <f t="shared" si="181"/>
        <v>33000</v>
      </c>
      <c r="BA117" s="1190">
        <v>5000</v>
      </c>
      <c r="BB117" s="1214"/>
    </row>
    <row r="118" spans="1:54" s="495" customFormat="1" x14ac:dyDescent="0.25">
      <c r="A118" s="890"/>
      <c r="B118" s="623" t="s">
        <v>617</v>
      </c>
      <c r="C118" s="310" t="s">
        <v>618</v>
      </c>
      <c r="D118" s="604"/>
      <c r="E118" s="604"/>
      <c r="F118" s="604"/>
      <c r="G118" s="604"/>
      <c r="H118" s="618">
        <v>1</v>
      </c>
      <c r="I118" s="127">
        <f>H118*12</f>
        <v>12</v>
      </c>
      <c r="J118" s="127">
        <f t="shared" si="272"/>
        <v>12</v>
      </c>
      <c r="K118" s="127">
        <f t="shared" si="272"/>
        <v>12</v>
      </c>
      <c r="L118" s="127">
        <f t="shared" si="272"/>
        <v>12</v>
      </c>
      <c r="M118" s="127">
        <f t="shared" si="272"/>
        <v>12</v>
      </c>
      <c r="N118" s="245"/>
      <c r="O118" s="586"/>
      <c r="P118" s="757">
        <f t="shared" si="273"/>
        <v>0</v>
      </c>
      <c r="Q118" s="129"/>
      <c r="R118" s="129"/>
      <c r="S118" s="129"/>
      <c r="T118" s="129"/>
      <c r="U118" s="129"/>
      <c r="V118" s="209"/>
      <c r="W118" s="528"/>
      <c r="X118" s="222"/>
      <c r="Y118" s="325"/>
      <c r="Z118" s="774">
        <f>AA118/12</f>
        <v>0</v>
      </c>
      <c r="AA118" s="103">
        <f>IF(Y118&gt;0,PRODUCT(I118,$Y118),0)</f>
        <v>0</v>
      </c>
      <c r="AB118" s="103">
        <f t="shared" si="274"/>
        <v>0</v>
      </c>
      <c r="AC118" s="103">
        <f t="shared" si="274"/>
        <v>0</v>
      </c>
      <c r="AD118" s="103">
        <f t="shared" si="274"/>
        <v>0</v>
      </c>
      <c r="AE118" s="103">
        <f t="shared" si="274"/>
        <v>0</v>
      </c>
      <c r="AF118" s="123">
        <f>SUM(AA118:AE118)</f>
        <v>0</v>
      </c>
      <c r="AG118" s="813"/>
      <c r="AH118" s="370"/>
      <c r="AI118" s="221" t="str">
        <f>C118</f>
        <v>Interface to RFC - FIS</v>
      </c>
      <c r="AJ118" s="255">
        <f>5148/12</f>
        <v>429</v>
      </c>
      <c r="AK118" s="105">
        <f t="shared" si="275"/>
        <v>5148</v>
      </c>
      <c r="AL118" s="105">
        <f t="shared" si="275"/>
        <v>5148</v>
      </c>
      <c r="AM118" s="105">
        <f t="shared" si="275"/>
        <v>5148</v>
      </c>
      <c r="AN118" s="105">
        <f t="shared" si="275"/>
        <v>5148</v>
      </c>
      <c r="AO118" s="105">
        <f t="shared" si="275"/>
        <v>5148</v>
      </c>
      <c r="AP118" s="158">
        <f>SUM(AK118:AO118)</f>
        <v>25740</v>
      </c>
      <c r="AQ118" s="930">
        <v>5000</v>
      </c>
      <c r="AR118" s="473"/>
      <c r="AS118" s="106" t="s">
        <v>618</v>
      </c>
      <c r="AT118" s="1209">
        <v>429</v>
      </c>
      <c r="AU118" s="108">
        <f t="shared" si="276"/>
        <v>5148</v>
      </c>
      <c r="AV118" s="108">
        <f t="shared" si="276"/>
        <v>5148</v>
      </c>
      <c r="AW118" s="108">
        <f t="shared" si="276"/>
        <v>5148</v>
      </c>
      <c r="AX118" s="108">
        <f t="shared" si="276"/>
        <v>5148</v>
      </c>
      <c r="AY118" s="108">
        <f t="shared" si="276"/>
        <v>5148</v>
      </c>
      <c r="AZ118" s="165">
        <f t="shared" si="181"/>
        <v>25740</v>
      </c>
      <c r="BA118" s="1190">
        <v>5000</v>
      </c>
      <c r="BB118" s="1214"/>
    </row>
    <row r="119" spans="1:54" s="495" customFormat="1" x14ac:dyDescent="0.25">
      <c r="A119" s="445"/>
      <c r="B119" s="623"/>
      <c r="C119" s="310"/>
      <c r="D119" s="604"/>
      <c r="E119" s="604"/>
      <c r="F119" s="604"/>
      <c r="G119" s="604"/>
      <c r="H119" s="618"/>
      <c r="I119" s="127">
        <f>H119*12</f>
        <v>0</v>
      </c>
      <c r="J119" s="127">
        <f t="shared" si="272"/>
        <v>0</v>
      </c>
      <c r="K119" s="127">
        <f t="shared" si="272"/>
        <v>0</v>
      </c>
      <c r="L119" s="127">
        <f t="shared" si="272"/>
        <v>0</v>
      </c>
      <c r="M119" s="127">
        <f t="shared" si="272"/>
        <v>0</v>
      </c>
      <c r="N119" s="245"/>
      <c r="O119" s="586"/>
      <c r="P119" s="757">
        <f t="shared" si="273"/>
        <v>0</v>
      </c>
      <c r="Q119" s="129"/>
      <c r="R119" s="129"/>
      <c r="S119" s="129"/>
      <c r="T119" s="129"/>
      <c r="U119" s="129"/>
      <c r="V119" s="209"/>
      <c r="W119" s="528"/>
      <c r="X119" s="222"/>
      <c r="Y119" s="325"/>
      <c r="Z119" s="774">
        <f>AA119/12</f>
        <v>0</v>
      </c>
      <c r="AA119" s="103">
        <f>IF(Y119&gt;0,PRODUCT(I119,$Y119),0)</f>
        <v>0</v>
      </c>
      <c r="AB119" s="103">
        <f t="shared" si="274"/>
        <v>0</v>
      </c>
      <c r="AC119" s="103">
        <f t="shared" si="274"/>
        <v>0</v>
      </c>
      <c r="AD119" s="103">
        <f t="shared" si="274"/>
        <v>0</v>
      </c>
      <c r="AE119" s="103">
        <f t="shared" si="274"/>
        <v>0</v>
      </c>
      <c r="AF119" s="123">
        <f>SUM(AA119:AE119)</f>
        <v>0</v>
      </c>
      <c r="AG119" s="813"/>
      <c r="AH119" s="370"/>
      <c r="AI119" s="221"/>
      <c r="AJ119" s="255"/>
      <c r="AK119" s="105">
        <f t="shared" si="275"/>
        <v>0</v>
      </c>
      <c r="AL119" s="105">
        <f t="shared" si="275"/>
        <v>0</v>
      </c>
      <c r="AM119" s="105">
        <f t="shared" si="275"/>
        <v>0</v>
      </c>
      <c r="AN119" s="105">
        <f t="shared" si="275"/>
        <v>0</v>
      </c>
      <c r="AO119" s="105">
        <f t="shared" si="275"/>
        <v>0</v>
      </c>
      <c r="AP119" s="158">
        <f>SUM(AK119:AO119)</f>
        <v>0</v>
      </c>
      <c r="AQ119" s="930"/>
      <c r="AR119" s="473"/>
      <c r="AS119" s="106"/>
      <c r="AT119" s="1207"/>
      <c r="AU119" s="108">
        <f t="shared" si="276"/>
        <v>0</v>
      </c>
      <c r="AV119" s="108">
        <f t="shared" si="276"/>
        <v>0</v>
      </c>
      <c r="AW119" s="108">
        <f t="shared" si="276"/>
        <v>0</v>
      </c>
      <c r="AX119" s="108">
        <f t="shared" si="276"/>
        <v>0</v>
      </c>
      <c r="AY119" s="108">
        <f t="shared" si="276"/>
        <v>0</v>
      </c>
      <c r="AZ119" s="165">
        <f t="shared" si="181"/>
        <v>0</v>
      </c>
      <c r="BA119" s="1190"/>
      <c r="BB119" s="1214"/>
    </row>
    <row r="120" spans="1:54" s="495" customFormat="1" x14ac:dyDescent="0.25">
      <c r="A120" s="445"/>
      <c r="B120" s="623"/>
      <c r="C120" s="310"/>
      <c r="D120" s="604"/>
      <c r="E120" s="604"/>
      <c r="F120" s="604"/>
      <c r="G120" s="604"/>
      <c r="H120" s="618"/>
      <c r="I120" s="127">
        <f>H120*12</f>
        <v>0</v>
      </c>
      <c r="J120" s="127">
        <f t="shared" si="272"/>
        <v>0</v>
      </c>
      <c r="K120" s="127">
        <f t="shared" si="272"/>
        <v>0</v>
      </c>
      <c r="L120" s="127">
        <f t="shared" si="272"/>
        <v>0</v>
      </c>
      <c r="M120" s="127">
        <f t="shared" si="272"/>
        <v>0</v>
      </c>
      <c r="N120" s="245"/>
      <c r="O120" s="586"/>
      <c r="P120" s="757">
        <f t="shared" si="273"/>
        <v>0</v>
      </c>
      <c r="Q120" s="129"/>
      <c r="R120" s="129"/>
      <c r="S120" s="129"/>
      <c r="T120" s="129"/>
      <c r="U120" s="129"/>
      <c r="V120" s="209"/>
      <c r="W120" s="528"/>
      <c r="X120" s="222"/>
      <c r="Y120" s="325"/>
      <c r="Z120" s="774">
        <f>AA120/12</f>
        <v>0</v>
      </c>
      <c r="AA120" s="103">
        <f>IF(Y120&gt;0,PRODUCT(I120,$Y120),0)</f>
        <v>0</v>
      </c>
      <c r="AB120" s="103">
        <f t="shared" si="274"/>
        <v>0</v>
      </c>
      <c r="AC120" s="103">
        <f t="shared" si="274"/>
        <v>0</v>
      </c>
      <c r="AD120" s="103">
        <f t="shared" si="274"/>
        <v>0</v>
      </c>
      <c r="AE120" s="103">
        <f t="shared" si="274"/>
        <v>0</v>
      </c>
      <c r="AF120" s="123">
        <f>SUM(AA120:AE120)</f>
        <v>0</v>
      </c>
      <c r="AG120" s="813"/>
      <c r="AH120" s="370"/>
      <c r="AI120" s="221"/>
      <c r="AJ120" s="255"/>
      <c r="AK120" s="105">
        <f t="shared" si="275"/>
        <v>0</v>
      </c>
      <c r="AL120" s="105">
        <f t="shared" si="275"/>
        <v>0</v>
      </c>
      <c r="AM120" s="105">
        <f t="shared" si="275"/>
        <v>0</v>
      </c>
      <c r="AN120" s="105">
        <f t="shared" si="275"/>
        <v>0</v>
      </c>
      <c r="AO120" s="105">
        <f t="shared" si="275"/>
        <v>0</v>
      </c>
      <c r="AP120" s="158">
        <f>SUM(AK120:AO120)</f>
        <v>0</v>
      </c>
      <c r="AQ120" s="930"/>
      <c r="AR120" s="473"/>
      <c r="AS120" s="106"/>
      <c r="AT120" s="1207"/>
      <c r="AU120" s="108">
        <f t="shared" si="276"/>
        <v>0</v>
      </c>
      <c r="AV120" s="108">
        <f t="shared" si="276"/>
        <v>0</v>
      </c>
      <c r="AW120" s="108">
        <f t="shared" si="276"/>
        <v>0</v>
      </c>
      <c r="AX120" s="108">
        <f t="shared" si="276"/>
        <v>0</v>
      </c>
      <c r="AY120" s="108">
        <f t="shared" si="276"/>
        <v>0</v>
      </c>
      <c r="AZ120" s="165">
        <f>SUM(AU120:AY120)</f>
        <v>0</v>
      </c>
      <c r="BA120" s="1190"/>
      <c r="BB120" s="1214"/>
    </row>
    <row r="121" spans="1:54" s="495" customFormat="1" x14ac:dyDescent="0.25">
      <c r="A121" s="445"/>
      <c r="B121" s="445"/>
      <c r="C121" s="492"/>
      <c r="D121" s="604"/>
      <c r="E121" s="604"/>
      <c r="F121" s="604"/>
      <c r="G121" s="604"/>
      <c r="H121" s="618"/>
      <c r="I121" s="127"/>
      <c r="J121" s="127"/>
      <c r="K121" s="127"/>
      <c r="L121" s="127"/>
      <c r="M121" s="127"/>
      <c r="N121" s="245" t="str">
        <f>IF(C121="","",C121)</f>
        <v/>
      </c>
      <c r="O121" s="247"/>
      <c r="P121" s="757">
        <f t="shared" si="273"/>
        <v>0</v>
      </c>
      <c r="Q121" s="129"/>
      <c r="R121" s="129"/>
      <c r="S121" s="129"/>
      <c r="T121" s="129"/>
      <c r="U121" s="129"/>
      <c r="V121" s="209"/>
      <c r="W121" s="528"/>
      <c r="X121" s="222"/>
      <c r="Y121" s="324"/>
      <c r="Z121" s="774">
        <f t="shared" ref="Z121" si="277">AA121/12</f>
        <v>0</v>
      </c>
      <c r="AA121" s="103"/>
      <c r="AB121" s="103"/>
      <c r="AC121" s="103"/>
      <c r="AD121" s="103"/>
      <c r="AE121" s="103"/>
      <c r="AF121" s="123"/>
      <c r="AG121" s="813"/>
      <c r="AH121" s="370"/>
      <c r="AI121" s="272"/>
      <c r="AJ121" s="271"/>
      <c r="AK121" s="105"/>
      <c r="AL121" s="105"/>
      <c r="AM121" s="105"/>
      <c r="AN121" s="105"/>
      <c r="AO121" s="105"/>
      <c r="AP121" s="158"/>
      <c r="AQ121" s="930"/>
      <c r="AR121" s="473"/>
      <c r="AS121" s="106"/>
      <c r="AT121" s="1207"/>
      <c r="AU121" s="108"/>
      <c r="AV121" s="108"/>
      <c r="AW121" s="108"/>
      <c r="AX121" s="108"/>
      <c r="AY121" s="108"/>
      <c r="AZ121" s="165"/>
      <c r="BA121" s="1190"/>
      <c r="BB121" s="1214"/>
    </row>
    <row r="122" spans="1:54" ht="3.75" customHeight="1" x14ac:dyDescent="0.25">
      <c r="A122" s="607"/>
      <c r="B122" s="16"/>
      <c r="C122" s="16"/>
      <c r="D122" s="16"/>
      <c r="E122" s="16"/>
      <c r="F122" s="16"/>
      <c r="G122" s="16"/>
      <c r="H122" s="16">
        <f>IFERROR(AVERAGE(D122:F122),0)</f>
        <v>0</v>
      </c>
      <c r="I122" s="16">
        <f t="shared" ref="I122" si="278">H122*12</f>
        <v>0</v>
      </c>
      <c r="J122" s="16">
        <f>IF(I122&gt;12,(((I122)*$H$5)+I122),(I122*1))</f>
        <v>0</v>
      </c>
      <c r="K122" s="16">
        <f>IF(J122&gt;12,(((J122)*$H$5)+J122),(J122*1))</f>
        <v>0</v>
      </c>
      <c r="L122" s="16">
        <f>IF(K122&gt;12,(((K122)*$H$5)+K122),(K122*1))</f>
        <v>0</v>
      </c>
      <c r="M122" s="16">
        <f>IF(L122&gt;12,(((L122)*$H$5)+L122),(L122*1))</f>
        <v>0</v>
      </c>
      <c r="N122" s="16"/>
      <c r="O122" s="16"/>
      <c r="P122" s="761"/>
      <c r="Q122" s="16"/>
      <c r="R122" s="16"/>
      <c r="S122" s="16"/>
      <c r="T122" s="16"/>
      <c r="U122" s="16"/>
      <c r="V122" s="16"/>
      <c r="W122" s="16"/>
      <c r="X122" s="16"/>
      <c r="Y122" s="20"/>
      <c r="Z122" s="773"/>
      <c r="AA122" s="21"/>
      <c r="AB122" s="21"/>
      <c r="AC122" s="21"/>
      <c r="AD122" s="21"/>
      <c r="AE122" s="21"/>
      <c r="AF122" s="21"/>
      <c r="AG122" s="811"/>
      <c r="AH122" s="21"/>
      <c r="AI122" s="263"/>
      <c r="AJ122" s="20"/>
      <c r="AK122" s="21"/>
      <c r="AL122" s="21"/>
      <c r="AM122" s="21"/>
      <c r="AN122" s="21"/>
      <c r="AO122" s="21"/>
      <c r="AP122" s="21"/>
      <c r="AQ122" s="811"/>
      <c r="AR122" s="21"/>
      <c r="AS122" s="20"/>
      <c r="AT122" s="20"/>
      <c r="AU122" s="20"/>
      <c r="AV122" s="20"/>
      <c r="AW122" s="20"/>
      <c r="AX122" s="20"/>
      <c r="AY122" s="20"/>
      <c r="AZ122" s="22"/>
      <c r="BA122" s="1188"/>
      <c r="BB122" s="21"/>
    </row>
    <row r="123" spans="1:54" s="495" customFormat="1" x14ac:dyDescent="0.25">
      <c r="A123" s="677"/>
      <c r="B123" s="77"/>
      <c r="C123" s="298" t="s">
        <v>380</v>
      </c>
      <c r="D123" s="610"/>
      <c r="E123" s="610"/>
      <c r="F123" s="610"/>
      <c r="G123" s="610"/>
      <c r="H123" s="115"/>
      <c r="I123" s="664"/>
      <c r="J123" s="665"/>
      <c r="K123" s="666"/>
      <c r="L123" s="666"/>
      <c r="M123" s="667"/>
      <c r="N123" s="304" t="s">
        <v>380</v>
      </c>
      <c r="O123" s="303"/>
      <c r="P123" s="762"/>
      <c r="Q123" s="146">
        <f t="shared" ref="Q123:V123" si="279">SUM(Q8:Q121)</f>
        <v>639604.31936760002</v>
      </c>
      <c r="R123" s="146">
        <f t="shared" si="279"/>
        <v>652124.91721623193</v>
      </c>
      <c r="S123" s="146">
        <f t="shared" si="279"/>
        <v>664895.92702183651</v>
      </c>
      <c r="T123" s="146">
        <f t="shared" si="279"/>
        <v>677922.35702355322</v>
      </c>
      <c r="U123" s="146">
        <f t="shared" si="279"/>
        <v>691209.31562530447</v>
      </c>
      <c r="V123" s="210">
        <f t="shared" si="279"/>
        <v>3325756.8362545269</v>
      </c>
      <c r="W123" s="528"/>
      <c r="X123" s="102" t="str">
        <f>C124</f>
        <v>Processing Fees Sum:</v>
      </c>
      <c r="Y123" s="324"/>
      <c r="Z123" s="774"/>
      <c r="AA123" s="103">
        <f t="shared" ref="AA123:AF123" si="280">SUM(AA8:AA121)</f>
        <v>385009.69160000008</v>
      </c>
      <c r="AB123" s="103">
        <f t="shared" si="280"/>
        <v>392278.02792000008</v>
      </c>
      <c r="AC123" s="103">
        <f t="shared" si="280"/>
        <v>399691.73096640006</v>
      </c>
      <c r="AD123" s="103">
        <f t="shared" si="280"/>
        <v>407253.70807372802</v>
      </c>
      <c r="AE123" s="103">
        <f t="shared" si="280"/>
        <v>414966.92472320254</v>
      </c>
      <c r="AF123" s="123">
        <f t="shared" si="280"/>
        <v>1999200.0832833305</v>
      </c>
      <c r="AG123" s="813"/>
      <c r="AH123" s="370"/>
      <c r="AI123" s="221" t="str">
        <f>C124</f>
        <v>Processing Fees Sum:</v>
      </c>
      <c r="AJ123" s="271"/>
      <c r="AK123" s="105">
        <f t="shared" ref="AK123:AP123" si="281">SUM(AK8:AK121)</f>
        <v>536901.39599999995</v>
      </c>
      <c r="AL123" s="105">
        <f t="shared" si="281"/>
        <v>541310.35392000002</v>
      </c>
      <c r="AM123" s="105">
        <f t="shared" si="281"/>
        <v>545807.49099840014</v>
      </c>
      <c r="AN123" s="105">
        <f t="shared" si="281"/>
        <v>550394.570818368</v>
      </c>
      <c r="AO123" s="105">
        <f t="shared" si="281"/>
        <v>555073.39223473542</v>
      </c>
      <c r="AP123" s="158">
        <f t="shared" si="281"/>
        <v>2729487.2039715033</v>
      </c>
      <c r="AQ123" s="930"/>
      <c r="AR123" s="473"/>
      <c r="AS123" s="106" t="s">
        <v>381</v>
      </c>
      <c r="AT123" s="1200"/>
      <c r="AU123" s="108">
        <f t="shared" ref="AU123:AZ123" si="282">SUM(AU8:AU121)</f>
        <v>541668.29600000009</v>
      </c>
      <c r="AV123" s="108">
        <f t="shared" si="282"/>
        <v>545519.49392000004</v>
      </c>
      <c r="AW123" s="108">
        <f t="shared" si="282"/>
        <v>549447.71579840011</v>
      </c>
      <c r="AX123" s="108">
        <f t="shared" si="282"/>
        <v>553454.50211436802</v>
      </c>
      <c r="AY123" s="108">
        <f t="shared" si="282"/>
        <v>557541.42415665532</v>
      </c>
      <c r="AZ123" s="165">
        <f t="shared" si="282"/>
        <v>2747631.4319894235</v>
      </c>
      <c r="BA123" s="1190"/>
      <c r="BB123" s="1214"/>
    </row>
    <row r="124" spans="1:54" ht="3.75" customHeight="1" x14ac:dyDescent="0.25">
      <c r="A124" s="607"/>
      <c r="B124" s="16"/>
      <c r="C124" s="633" t="s">
        <v>381</v>
      </c>
      <c r="D124" s="634"/>
      <c r="E124" s="634"/>
      <c r="F124" s="634"/>
      <c r="G124" s="634"/>
      <c r="H124" s="635"/>
      <c r="I124" s="636"/>
      <c r="J124" s="636"/>
      <c r="K124" s="636"/>
      <c r="L124" s="636"/>
      <c r="M124" s="637"/>
      <c r="N124" s="638" t="str">
        <f>C124</f>
        <v>Processing Fees Sum:</v>
      </c>
      <c r="O124" s="639"/>
      <c r="P124" s="763"/>
      <c r="Q124" s="640">
        <f t="shared" ref="Q124:V124" si="283">SUM(Q8:Q122)</f>
        <v>639604.31936760002</v>
      </c>
      <c r="R124" s="640">
        <f t="shared" si="283"/>
        <v>652124.91721623193</v>
      </c>
      <c r="S124" s="640">
        <f t="shared" si="283"/>
        <v>664895.92702183651</v>
      </c>
      <c r="T124" s="640">
        <f t="shared" si="283"/>
        <v>677922.35702355322</v>
      </c>
      <c r="U124" s="640">
        <f t="shared" si="283"/>
        <v>691209.31562530447</v>
      </c>
      <c r="V124" s="641">
        <f t="shared" si="283"/>
        <v>3325756.8362545269</v>
      </c>
      <c r="W124" s="21"/>
      <c r="X124" s="16"/>
      <c r="Y124" s="20"/>
      <c r="Z124" s="773"/>
      <c r="AA124" s="21"/>
      <c r="AB124" s="21"/>
      <c r="AC124" s="21"/>
      <c r="AD124" s="21"/>
      <c r="AE124" s="21"/>
      <c r="AF124" s="21"/>
      <c r="AG124" s="811"/>
      <c r="AH124" s="21"/>
      <c r="AI124" s="263"/>
      <c r="AJ124" s="20"/>
      <c r="AK124" s="21"/>
      <c r="AL124" s="21"/>
      <c r="AM124" s="21"/>
      <c r="AN124" s="21"/>
      <c r="AO124" s="21"/>
      <c r="AP124" s="21"/>
      <c r="AQ124" s="811"/>
      <c r="AR124" s="21"/>
      <c r="AS124" s="20"/>
      <c r="AT124" s="20"/>
      <c r="AU124" s="20"/>
      <c r="AV124" s="20"/>
      <c r="AW124" s="20"/>
      <c r="AX124" s="20"/>
      <c r="AY124" s="20"/>
      <c r="AZ124" s="22"/>
      <c r="BA124" s="1188"/>
      <c r="BB124" s="21"/>
    </row>
    <row r="125" spans="1:54" s="498" customFormat="1" ht="38.25" x14ac:dyDescent="0.35">
      <c r="A125" s="311"/>
      <c r="B125" s="311"/>
      <c r="C125" s="311" t="s">
        <v>382</v>
      </c>
      <c r="D125" s="317"/>
      <c r="E125" s="317"/>
      <c r="F125" s="317"/>
      <c r="G125" s="317"/>
      <c r="H125" s="317"/>
      <c r="I125" s="297"/>
      <c r="J125" s="297"/>
      <c r="K125" s="290"/>
      <c r="L125" s="290"/>
      <c r="M125" s="291"/>
      <c r="N125" s="300" t="str">
        <f>C125</f>
        <v>CPI CALCULATIONS</v>
      </c>
      <c r="O125" s="301"/>
      <c r="P125" s="764"/>
      <c r="Q125" s="30" t="s">
        <v>48</v>
      </c>
      <c r="R125" s="30" t="s">
        <v>49</v>
      </c>
      <c r="S125" s="30" t="s">
        <v>50</v>
      </c>
      <c r="T125" s="30" t="s">
        <v>51</v>
      </c>
      <c r="U125" s="30" t="s">
        <v>52</v>
      </c>
      <c r="V125" s="208" t="s">
        <v>53</v>
      </c>
      <c r="W125" s="527"/>
      <c r="X125" s="80"/>
      <c r="Y125" s="327"/>
      <c r="Z125" s="777"/>
      <c r="AA125" s="63"/>
      <c r="AB125" s="63"/>
      <c r="AC125" s="63"/>
      <c r="AD125" s="63"/>
      <c r="AE125" s="63"/>
      <c r="AF125" s="124"/>
      <c r="AG125" s="814"/>
      <c r="AH125" s="362"/>
      <c r="AI125" s="264"/>
      <c r="AJ125" s="257"/>
      <c r="AK125" s="95"/>
      <c r="AL125" s="95"/>
      <c r="AM125" s="95"/>
      <c r="AN125" s="95"/>
      <c r="AO125" s="95"/>
      <c r="AP125" s="159"/>
      <c r="AQ125" s="932"/>
      <c r="AR125" s="478"/>
      <c r="AS125" s="84"/>
      <c r="AT125" s="1203"/>
      <c r="AU125" s="85"/>
      <c r="AV125" s="85"/>
      <c r="AW125" s="85"/>
      <c r="AX125" s="85"/>
      <c r="AY125" s="85"/>
      <c r="AZ125" s="167"/>
      <c r="BA125" s="1191"/>
      <c r="BB125" s="1215"/>
    </row>
    <row r="126" spans="1:54" ht="18.75" x14ac:dyDescent="0.25">
      <c r="A126" s="678"/>
      <c r="B126" s="70"/>
      <c r="C126" s="308"/>
      <c r="D126" s="611"/>
      <c r="E126" s="611"/>
      <c r="F126" s="611"/>
      <c r="G126" s="611"/>
      <c r="H126" s="316"/>
      <c r="I126" s="75"/>
      <c r="J126" s="75"/>
      <c r="K126" s="75"/>
      <c r="L126" s="75"/>
      <c r="M126" s="76"/>
      <c r="N126" s="53"/>
      <c r="O126" s="248"/>
      <c r="P126" s="765"/>
      <c r="Q126" s="55"/>
      <c r="R126" s="55"/>
      <c r="S126" s="55"/>
      <c r="T126" s="55"/>
      <c r="U126" s="55"/>
      <c r="V126" s="211"/>
      <c r="W126" s="527"/>
      <c r="X126" s="81"/>
      <c r="Y126" s="328"/>
      <c r="Z126" s="774"/>
      <c r="AA126" s="64"/>
      <c r="AB126" s="64"/>
      <c r="AC126" s="64"/>
      <c r="AD126" s="64"/>
      <c r="AE126" s="64"/>
      <c r="AF126" s="125"/>
      <c r="AG126" s="813"/>
      <c r="AH126" s="362"/>
      <c r="AI126" s="265"/>
      <c r="AJ126" s="133"/>
      <c r="AK126" s="97"/>
      <c r="AL126" s="97"/>
      <c r="AM126" s="97"/>
      <c r="AN126" s="97"/>
      <c r="AO126" s="97"/>
      <c r="AP126" s="160"/>
      <c r="AQ126" s="930"/>
      <c r="AR126" s="479"/>
      <c r="AS126" s="156"/>
      <c r="AT126" s="1204"/>
      <c r="AU126" s="88"/>
      <c r="AV126" s="88"/>
      <c r="AW126" s="88"/>
      <c r="AX126" s="88"/>
      <c r="AY126" s="88"/>
      <c r="AZ126" s="168"/>
      <c r="BA126" s="1190"/>
      <c r="BB126" s="1216"/>
    </row>
    <row r="127" spans="1:54" x14ac:dyDescent="0.25">
      <c r="A127" s="682"/>
      <c r="B127" s="683"/>
      <c r="C127" s="684" t="s">
        <v>383</v>
      </c>
      <c r="D127" s="685"/>
      <c r="E127" s="685"/>
      <c r="F127" s="685"/>
      <c r="G127" s="685"/>
      <c r="H127" s="1012" t="s">
        <v>384</v>
      </c>
      <c r="I127" s="686"/>
      <c r="J127" s="686"/>
      <c r="K127" s="686"/>
      <c r="L127" s="686"/>
      <c r="M127" s="687"/>
      <c r="N127" s="188" t="str">
        <f>C127</f>
        <v>[CPI Calculation] Annual Revenue including Growth (if any)</v>
      </c>
      <c r="O127" s="540" t="s">
        <v>384</v>
      </c>
      <c r="P127" s="766"/>
      <c r="Q127" s="55">
        <f>Q123</f>
        <v>639604.31936760002</v>
      </c>
      <c r="R127" s="55">
        <f t="shared" ref="R127:U127" si="284">R123</f>
        <v>652124.91721623193</v>
      </c>
      <c r="S127" s="55">
        <f t="shared" si="284"/>
        <v>664895.92702183651</v>
      </c>
      <c r="T127" s="55">
        <f t="shared" si="284"/>
        <v>677922.35702355322</v>
      </c>
      <c r="U127" s="55">
        <f t="shared" si="284"/>
        <v>691209.31562530447</v>
      </c>
      <c r="V127" s="212" t="s">
        <v>384</v>
      </c>
      <c r="W127" s="528"/>
      <c r="X127" s="184"/>
      <c r="Y127" s="333"/>
      <c r="Z127" s="774"/>
      <c r="AA127" s="64"/>
      <c r="AB127" s="64"/>
      <c r="AC127" s="64"/>
      <c r="AD127" s="64"/>
      <c r="AE127" s="64"/>
      <c r="AF127" s="125"/>
      <c r="AG127" s="810"/>
      <c r="AH127" s="370"/>
      <c r="AI127" s="265"/>
      <c r="AJ127" s="133"/>
      <c r="AK127" s="97"/>
      <c r="AL127" s="97"/>
      <c r="AM127" s="97"/>
      <c r="AN127" s="97"/>
      <c r="AO127" s="97"/>
      <c r="AP127" s="160"/>
      <c r="AQ127" s="930"/>
      <c r="AR127" s="479"/>
      <c r="AS127" s="186"/>
      <c r="AT127" s="1204"/>
      <c r="AU127" s="88"/>
      <c r="AV127" s="88"/>
      <c r="AW127" s="88"/>
      <c r="AX127" s="88"/>
      <c r="AY127" s="88"/>
      <c r="AZ127" s="168"/>
      <c r="BA127" s="1190"/>
      <c r="BB127" s="1216"/>
    </row>
    <row r="128" spans="1:54" x14ac:dyDescent="0.25">
      <c r="A128" s="682"/>
      <c r="B128" s="683"/>
      <c r="C128" s="684" t="s">
        <v>385</v>
      </c>
      <c r="D128" s="685"/>
      <c r="E128" s="685"/>
      <c r="F128" s="685"/>
      <c r="G128" s="685"/>
      <c r="H128" s="1012" t="s">
        <v>384</v>
      </c>
      <c r="I128" s="686"/>
      <c r="J128" s="686"/>
      <c r="K128" s="686"/>
      <c r="L128" s="686"/>
      <c r="M128" s="687"/>
      <c r="N128" s="188" t="str">
        <f t="shared" ref="N128:N129" si="285">C128</f>
        <v>[CPI Calculation] Annual CPI Year by Year (No Growth)</v>
      </c>
      <c r="O128" s="540" t="s">
        <v>384</v>
      </c>
      <c r="P128" s="766"/>
      <c r="Q128" s="681" t="s">
        <v>386</v>
      </c>
      <c r="R128" s="55">
        <f>Q127*O130</f>
        <v>29869.521714466919</v>
      </c>
      <c r="S128" s="55">
        <f>((S127-R127)+R129)*O130</f>
        <v>32445.546455985372</v>
      </c>
      <c r="T128" s="55">
        <f>((T127-S127)+S129)*O130</f>
        <v>34569.08775656006</v>
      </c>
      <c r="U128" s="55">
        <f>((U127-T127)+T129)*O130</f>
        <v>36803.965121493202</v>
      </c>
      <c r="V128" s="212" t="s">
        <v>384</v>
      </c>
      <c r="W128" s="528"/>
      <c r="X128" s="184"/>
      <c r="Y128" s="333"/>
      <c r="Z128" s="774"/>
      <c r="AA128" s="64"/>
      <c r="AB128" s="64"/>
      <c r="AC128" s="64"/>
      <c r="AD128" s="64"/>
      <c r="AE128" s="64"/>
      <c r="AF128" s="125"/>
      <c r="AG128" s="810"/>
      <c r="AH128" s="370"/>
      <c r="AI128" s="265"/>
      <c r="AJ128" s="133"/>
      <c r="AK128" s="97"/>
      <c r="AL128" s="97"/>
      <c r="AM128" s="97"/>
      <c r="AN128" s="97"/>
      <c r="AO128" s="97"/>
      <c r="AP128" s="160"/>
      <c r="AQ128" s="930"/>
      <c r="AR128" s="479"/>
      <c r="AS128" s="186"/>
      <c r="AT128" s="1204"/>
      <c r="AU128" s="88"/>
      <c r="AV128" s="88"/>
      <c r="AW128" s="88"/>
      <c r="AX128" s="88"/>
      <c r="AY128" s="88"/>
      <c r="AZ128" s="168"/>
      <c r="BA128" s="1190"/>
      <c r="BB128" s="1216"/>
    </row>
    <row r="129" spans="1:54" x14ac:dyDescent="0.25">
      <c r="A129" s="682"/>
      <c r="B129" s="683"/>
      <c r="C129" s="684" t="s">
        <v>387</v>
      </c>
      <c r="D129" s="685"/>
      <c r="E129" s="685"/>
      <c r="F129" s="685"/>
      <c r="G129" s="685"/>
      <c r="H129" s="1012" t="s">
        <v>384</v>
      </c>
      <c r="I129" s="686"/>
      <c r="J129" s="686"/>
      <c r="K129" s="686"/>
      <c r="L129" s="686"/>
      <c r="M129" s="687"/>
      <c r="N129" s="188" t="str">
        <f t="shared" si="285"/>
        <v>[CPI Calculation] Annual Expenses &amp; CPI Year by Year</v>
      </c>
      <c r="O129" s="540" t="s">
        <v>384</v>
      </c>
      <c r="P129" s="766"/>
      <c r="Q129" s="681" t="s">
        <v>386</v>
      </c>
      <c r="R129" s="55">
        <f>(R127+R128)</f>
        <v>681994.4389306989</v>
      </c>
      <c r="S129" s="55">
        <f>(S127+S128+R128)</f>
        <v>727210.99519228889</v>
      </c>
      <c r="T129" s="55">
        <f>(T127+T128+S128+R128)</f>
        <v>774806.51295056567</v>
      </c>
      <c r="U129" s="55">
        <f>(U127+U128+T128+S128+R128)</f>
        <v>824897.43667381012</v>
      </c>
      <c r="V129" s="212" t="s">
        <v>384</v>
      </c>
      <c r="W129" s="528"/>
      <c r="X129" s="184"/>
      <c r="Y129" s="333"/>
      <c r="Z129" s="774"/>
      <c r="AA129" s="64"/>
      <c r="AB129" s="64"/>
      <c r="AC129" s="64"/>
      <c r="AD129" s="64"/>
      <c r="AE129" s="64"/>
      <c r="AF129" s="125"/>
      <c r="AG129" s="810"/>
      <c r="AH129" s="370"/>
      <c r="AI129" s="265"/>
      <c r="AJ129" s="133"/>
      <c r="AK129" s="97"/>
      <c r="AL129" s="97"/>
      <c r="AM129" s="97"/>
      <c r="AN129" s="97"/>
      <c r="AO129" s="97"/>
      <c r="AP129" s="160"/>
      <c r="AQ129" s="930"/>
      <c r="AR129" s="479"/>
      <c r="AS129" s="186"/>
      <c r="AT129" s="1204"/>
      <c r="AU129" s="88"/>
      <c r="AV129" s="88"/>
      <c r="AW129" s="88"/>
      <c r="AX129" s="88"/>
      <c r="AY129" s="88"/>
      <c r="AZ129" s="168"/>
      <c r="BA129" s="1190"/>
      <c r="BB129" s="1216"/>
    </row>
    <row r="130" spans="1:54" s="496" customFormat="1" x14ac:dyDescent="0.25">
      <c r="A130" s="1005"/>
      <c r="B130" s="1006"/>
      <c r="C130" s="1007" t="s">
        <v>388</v>
      </c>
      <c r="D130" s="1008"/>
      <c r="E130" s="1008"/>
      <c r="F130" s="1008"/>
      <c r="G130" s="1008"/>
      <c r="H130" s="1009" t="s">
        <v>389</v>
      </c>
      <c r="I130" s="1010"/>
      <c r="J130" s="1010"/>
      <c r="K130" s="1010"/>
      <c r="L130" s="1010"/>
      <c r="M130" s="1011"/>
      <c r="N130" s="982" t="str">
        <f>C130</f>
        <v>Aggregate CPI</v>
      </c>
      <c r="O130" s="983">
        <f>$J$5</f>
        <v>4.6699999999999998E-2</v>
      </c>
      <c r="P130" s="984"/>
      <c r="Q130" s="985" t="s">
        <v>386</v>
      </c>
      <c r="R130" s="60">
        <f>R128</f>
        <v>29869.521714466919</v>
      </c>
      <c r="S130" s="60">
        <f>SUM(R128:S128)</f>
        <v>62315.068170452287</v>
      </c>
      <c r="T130" s="60">
        <f>SUM(R128:T128)</f>
        <v>96884.155927012354</v>
      </c>
      <c r="U130" s="60">
        <f>SUM(R128:U128)</f>
        <v>133688.12104850556</v>
      </c>
      <c r="V130" s="986">
        <f>SUM(R130:U130)</f>
        <v>322756.86686043709</v>
      </c>
      <c r="W130" s="987"/>
      <c r="X130" s="988"/>
      <c r="Y130" s="989"/>
      <c r="Z130" s="990"/>
      <c r="AA130" s="991"/>
      <c r="AB130" s="991"/>
      <c r="AC130" s="991"/>
      <c r="AD130" s="991"/>
      <c r="AE130" s="991"/>
      <c r="AF130" s="992"/>
      <c r="AG130" s="993"/>
      <c r="AH130" s="994"/>
      <c r="AI130" s="995"/>
      <c r="AJ130" s="996"/>
      <c r="AK130" s="997"/>
      <c r="AL130" s="997"/>
      <c r="AM130" s="997"/>
      <c r="AN130" s="997"/>
      <c r="AO130" s="997"/>
      <c r="AP130" s="161"/>
      <c r="AQ130" s="998"/>
      <c r="AR130" s="999"/>
      <c r="AS130" s="1000"/>
      <c r="AT130" s="1205"/>
      <c r="AU130" s="1002"/>
      <c r="AV130" s="1002"/>
      <c r="AW130" s="1002"/>
      <c r="AX130" s="1002"/>
      <c r="AY130" s="1002"/>
      <c r="AZ130" s="170"/>
      <c r="BA130" s="1192"/>
      <c r="BB130" s="1217"/>
    </row>
    <row r="131" spans="1:54" x14ac:dyDescent="0.25">
      <c r="A131" s="678"/>
      <c r="B131" s="70"/>
      <c r="C131" s="312"/>
      <c r="D131" s="612"/>
      <c r="E131" s="612"/>
      <c r="F131" s="612"/>
      <c r="G131" s="612"/>
      <c r="H131" s="113"/>
      <c r="I131" s="152"/>
      <c r="J131" s="152"/>
      <c r="K131" s="152"/>
      <c r="L131" s="152"/>
      <c r="M131" s="201"/>
      <c r="N131" s="188"/>
      <c r="O131" s="540"/>
      <c r="P131" s="766"/>
      <c r="Q131" s="55"/>
      <c r="R131" s="55"/>
      <c r="S131" s="55"/>
      <c r="T131" s="55"/>
      <c r="U131" s="55"/>
      <c r="V131" s="212"/>
      <c r="W131" s="528"/>
      <c r="X131" s="184"/>
      <c r="Y131" s="333"/>
      <c r="Z131" s="774"/>
      <c r="AA131" s="64"/>
      <c r="AB131" s="64"/>
      <c r="AC131" s="64"/>
      <c r="AD131" s="64"/>
      <c r="AE131" s="64"/>
      <c r="AF131" s="125"/>
      <c r="AG131" s="810"/>
      <c r="AH131" s="370"/>
      <c r="AI131" s="265"/>
      <c r="AJ131" s="133"/>
      <c r="AK131" s="97"/>
      <c r="AL131" s="97"/>
      <c r="AM131" s="97"/>
      <c r="AN131" s="97"/>
      <c r="AO131" s="97"/>
      <c r="AP131" s="160"/>
      <c r="AQ131" s="930"/>
      <c r="AR131" s="479"/>
      <c r="AS131" s="186"/>
      <c r="AT131" s="1204"/>
      <c r="AU131" s="88"/>
      <c r="AV131" s="88"/>
      <c r="AW131" s="88"/>
      <c r="AX131" s="88"/>
      <c r="AY131" s="88"/>
      <c r="AZ131" s="168"/>
      <c r="BA131" s="1190"/>
      <c r="BB131" s="1216"/>
    </row>
    <row r="132" spans="1:54" ht="31.5" x14ac:dyDescent="0.25">
      <c r="A132" s="791"/>
      <c r="B132" s="792"/>
      <c r="C132" s="793" t="s">
        <v>383</v>
      </c>
      <c r="D132" s="794"/>
      <c r="E132" s="794"/>
      <c r="F132" s="794"/>
      <c r="G132" s="794"/>
      <c r="H132" s="1004" t="s">
        <v>384</v>
      </c>
      <c r="I132" s="797"/>
      <c r="J132" s="797"/>
      <c r="K132" s="797"/>
      <c r="L132" s="797"/>
      <c r="M132" s="798"/>
      <c r="N132" s="188"/>
      <c r="O132" s="540"/>
      <c r="P132" s="766"/>
      <c r="Q132" s="55"/>
      <c r="R132" s="55"/>
      <c r="S132" s="55"/>
      <c r="T132" s="55"/>
      <c r="U132" s="55"/>
      <c r="V132" s="212"/>
      <c r="W132" s="528"/>
      <c r="X132" s="184" t="str">
        <f>C132</f>
        <v>[CPI Calculation] Annual Revenue including Growth (if any)</v>
      </c>
      <c r="Y132" s="1004" t="s">
        <v>384</v>
      </c>
      <c r="Z132" s="774"/>
      <c r="AA132" s="64">
        <f>AA123</f>
        <v>385009.69160000008</v>
      </c>
      <c r="AB132" s="64">
        <f t="shared" ref="AB132:AE132" si="286">AB123</f>
        <v>392278.02792000008</v>
      </c>
      <c r="AC132" s="64">
        <f t="shared" si="286"/>
        <v>399691.73096640006</v>
      </c>
      <c r="AD132" s="64">
        <f t="shared" si="286"/>
        <v>407253.70807372802</v>
      </c>
      <c r="AE132" s="64">
        <f t="shared" si="286"/>
        <v>414966.92472320254</v>
      </c>
      <c r="AF132" s="125" t="s">
        <v>384</v>
      </c>
      <c r="AG132" s="810"/>
      <c r="AH132" s="370"/>
      <c r="AI132" s="265"/>
      <c r="AJ132" s="133"/>
      <c r="AK132" s="97"/>
      <c r="AL132" s="97"/>
      <c r="AM132" s="97"/>
      <c r="AN132" s="97"/>
      <c r="AO132" s="97"/>
      <c r="AP132" s="160"/>
      <c r="AQ132" s="930"/>
      <c r="AR132" s="479"/>
      <c r="AS132" s="186"/>
      <c r="AT132" s="1204"/>
      <c r="AU132" s="88"/>
      <c r="AV132" s="88"/>
      <c r="AW132" s="88"/>
      <c r="AX132" s="88"/>
      <c r="AY132" s="88"/>
      <c r="AZ132" s="168"/>
      <c r="BA132" s="1190"/>
      <c r="BB132" s="1216"/>
    </row>
    <row r="133" spans="1:54" x14ac:dyDescent="0.25">
      <c r="A133" s="791"/>
      <c r="B133" s="792"/>
      <c r="C133" s="793" t="s">
        <v>385</v>
      </c>
      <c r="D133" s="794"/>
      <c r="E133" s="794"/>
      <c r="F133" s="794"/>
      <c r="G133" s="794"/>
      <c r="H133" s="1004" t="s">
        <v>384</v>
      </c>
      <c r="I133" s="797"/>
      <c r="J133" s="797"/>
      <c r="K133" s="797"/>
      <c r="L133" s="797"/>
      <c r="M133" s="798"/>
      <c r="N133" s="188"/>
      <c r="O133" s="540"/>
      <c r="P133" s="766"/>
      <c r="Q133" s="681"/>
      <c r="R133" s="55"/>
      <c r="S133" s="55"/>
      <c r="T133" s="55"/>
      <c r="U133" s="55"/>
      <c r="V133" s="212"/>
      <c r="W133" s="528"/>
      <c r="X133" s="184" t="str">
        <f t="shared" ref="X133:X135" si="287">C133</f>
        <v>[CPI Calculation] Annual CPI Year by Year (No Growth)</v>
      </c>
      <c r="Y133" s="1004" t="s">
        <v>384</v>
      </c>
      <c r="Z133" s="774"/>
      <c r="AA133" s="64" t="s">
        <v>386</v>
      </c>
      <c r="AB133" s="64">
        <f>AA132*$Y$135</f>
        <v>18480.465196800003</v>
      </c>
      <c r="AC133" s="64">
        <f>((AC132-AB132)+AB134)*Y135</f>
        <v>20072.265415833604</v>
      </c>
      <c r="AD133" s="64">
        <f>((AD132-AC132)+AC134)*Y135</f>
        <v>21398.709056945361</v>
      </c>
      <c r="AE133" s="64">
        <f>((AE132-AD132)+AD134)*Y135</f>
        <v>22796.081490853514</v>
      </c>
      <c r="AF133" s="125" t="s">
        <v>384</v>
      </c>
      <c r="AG133" s="810"/>
      <c r="AH133" s="370"/>
      <c r="AI133" s="265"/>
      <c r="AJ133" s="133"/>
      <c r="AK133" s="97"/>
      <c r="AL133" s="97"/>
      <c r="AM133" s="97"/>
      <c r="AN133" s="97"/>
      <c r="AO133" s="97"/>
      <c r="AP133" s="160"/>
      <c r="AQ133" s="930"/>
      <c r="AR133" s="479"/>
      <c r="AS133" s="186"/>
      <c r="AT133" s="1204"/>
      <c r="AU133" s="88"/>
      <c r="AV133" s="88"/>
      <c r="AW133" s="88"/>
      <c r="AX133" s="88"/>
      <c r="AY133" s="88"/>
      <c r="AZ133" s="168"/>
      <c r="BA133" s="1190"/>
      <c r="BB133" s="1216"/>
    </row>
    <row r="134" spans="1:54" x14ac:dyDescent="0.25">
      <c r="A134" s="791"/>
      <c r="B134" s="792"/>
      <c r="C134" s="793" t="s">
        <v>387</v>
      </c>
      <c r="D134" s="794"/>
      <c r="E134" s="794"/>
      <c r="F134" s="794"/>
      <c r="G134" s="794"/>
      <c r="H134" s="1004" t="s">
        <v>384</v>
      </c>
      <c r="I134" s="797"/>
      <c r="J134" s="797"/>
      <c r="K134" s="797"/>
      <c r="L134" s="797"/>
      <c r="M134" s="798"/>
      <c r="N134" s="188"/>
      <c r="O134" s="540"/>
      <c r="P134" s="766"/>
      <c r="Q134" s="681"/>
      <c r="R134" s="55"/>
      <c r="S134" s="55"/>
      <c r="T134" s="55"/>
      <c r="U134" s="55"/>
      <c r="V134" s="212"/>
      <c r="W134" s="528"/>
      <c r="X134" s="184" t="str">
        <f t="shared" si="287"/>
        <v>[CPI Calculation] Annual Expenses &amp; CPI Year by Year</v>
      </c>
      <c r="Y134" s="1004" t="s">
        <v>384</v>
      </c>
      <c r="Z134" s="774"/>
      <c r="AA134" s="64" t="s">
        <v>386</v>
      </c>
      <c r="AB134" s="64">
        <f>(AB132+AB133)</f>
        <v>410758.49311680009</v>
      </c>
      <c r="AC134" s="64">
        <f>(AC132+AC133+AB133)</f>
        <v>438244.4615790337</v>
      </c>
      <c r="AD134" s="64">
        <f>(AD132+AD133+AC133+AB133)</f>
        <v>467205.147743307</v>
      </c>
      <c r="AE134" s="64">
        <f>(AE132+AE133+AD133+AC133+AB133)</f>
        <v>497714.44588363502</v>
      </c>
      <c r="AF134" s="125" t="s">
        <v>384</v>
      </c>
      <c r="AG134" s="810"/>
      <c r="AH134" s="370"/>
      <c r="AI134" s="265"/>
      <c r="AJ134" s="133"/>
      <c r="AK134" s="97"/>
      <c r="AL134" s="97"/>
      <c r="AM134" s="97"/>
      <c r="AN134" s="97"/>
      <c r="AO134" s="97"/>
      <c r="AP134" s="160"/>
      <c r="AQ134" s="930"/>
      <c r="AR134" s="479"/>
      <c r="AS134" s="186"/>
      <c r="AT134" s="1204"/>
      <c r="AU134" s="88"/>
      <c r="AV134" s="88"/>
      <c r="AW134" s="88"/>
      <c r="AX134" s="88"/>
      <c r="AY134" s="88"/>
      <c r="AZ134" s="168"/>
      <c r="BA134" s="1190"/>
      <c r="BB134" s="1216"/>
    </row>
    <row r="135" spans="1:54" s="496" customFormat="1" x14ac:dyDescent="0.25">
      <c r="A135" s="976"/>
      <c r="B135" s="977"/>
      <c r="C135" s="978" t="s">
        <v>388</v>
      </c>
      <c r="D135" s="979"/>
      <c r="E135" s="979"/>
      <c r="F135" s="979"/>
      <c r="G135" s="979"/>
      <c r="H135" s="795" t="s">
        <v>390</v>
      </c>
      <c r="I135" s="980"/>
      <c r="J135" s="980"/>
      <c r="K135" s="980"/>
      <c r="L135" s="980"/>
      <c r="M135" s="981"/>
      <c r="N135" s="982"/>
      <c r="O135" s="983"/>
      <c r="P135" s="984"/>
      <c r="Q135" s="985"/>
      <c r="R135" s="60"/>
      <c r="S135" s="60"/>
      <c r="T135" s="60"/>
      <c r="U135" s="60"/>
      <c r="V135" s="986"/>
      <c r="W135" s="987"/>
      <c r="X135" s="988" t="str">
        <f t="shared" si="287"/>
        <v>Aggregate CPI</v>
      </c>
      <c r="Y135" s="989">
        <f>$K$5</f>
        <v>4.8000000000000001E-2</v>
      </c>
      <c r="Z135" s="990"/>
      <c r="AA135" s="991" t="s">
        <v>386</v>
      </c>
      <c r="AB135" s="991">
        <f>AB133</f>
        <v>18480.465196800003</v>
      </c>
      <c r="AC135" s="991">
        <f>SUM(AB133:AC133)</f>
        <v>38552.730612633604</v>
      </c>
      <c r="AD135" s="991">
        <f>SUM(AB133:AD133)</f>
        <v>59951.439669578962</v>
      </c>
      <c r="AE135" s="991">
        <f>SUM(AB133:AE133)</f>
        <v>82747.521160432472</v>
      </c>
      <c r="AF135" s="992">
        <f>SUM(AB135:AE135)</f>
        <v>199732.15663944505</v>
      </c>
      <c r="AG135" s="993"/>
      <c r="AH135" s="994"/>
      <c r="AI135" s="995"/>
      <c r="AJ135" s="996"/>
      <c r="AK135" s="997"/>
      <c r="AL135" s="997"/>
      <c r="AM135" s="997"/>
      <c r="AN135" s="997"/>
      <c r="AO135" s="997"/>
      <c r="AP135" s="161"/>
      <c r="AQ135" s="998"/>
      <c r="AR135" s="999"/>
      <c r="AS135" s="1000"/>
      <c r="AT135" s="1205"/>
      <c r="AU135" s="1002"/>
      <c r="AV135" s="1002"/>
      <c r="AW135" s="1002"/>
      <c r="AX135" s="1002"/>
      <c r="AY135" s="1002"/>
      <c r="AZ135" s="170"/>
      <c r="BA135" s="1192"/>
      <c r="BB135" s="1217"/>
    </row>
    <row r="136" spans="1:54" x14ac:dyDescent="0.25">
      <c r="A136" s="678"/>
      <c r="B136" s="70"/>
      <c r="C136" s="312"/>
      <c r="D136" s="612"/>
      <c r="E136" s="612"/>
      <c r="F136" s="612"/>
      <c r="G136" s="612"/>
      <c r="H136" s="113"/>
      <c r="I136" s="152"/>
      <c r="J136" s="152"/>
      <c r="K136" s="152"/>
      <c r="L136" s="152"/>
      <c r="M136" s="201"/>
      <c r="N136" s="188"/>
      <c r="O136" s="540"/>
      <c r="P136" s="766"/>
      <c r="Q136" s="55"/>
      <c r="R136" s="55"/>
      <c r="S136" s="55"/>
      <c r="T136" s="55"/>
      <c r="U136" s="55"/>
      <c r="V136" s="212"/>
      <c r="W136" s="528"/>
      <c r="X136" s="184"/>
      <c r="Y136" s="333"/>
      <c r="Z136" s="774"/>
      <c r="AA136" s="64"/>
      <c r="AB136" s="64"/>
      <c r="AC136" s="64"/>
      <c r="AD136" s="64"/>
      <c r="AE136" s="64"/>
      <c r="AF136" s="125"/>
      <c r="AG136" s="810"/>
      <c r="AH136" s="370"/>
      <c r="AI136" s="265"/>
      <c r="AJ136" s="133"/>
      <c r="AK136" s="97"/>
      <c r="AL136" s="97"/>
      <c r="AM136" s="97"/>
      <c r="AN136" s="97"/>
      <c r="AO136" s="97"/>
      <c r="AP136" s="160"/>
      <c r="AQ136" s="930"/>
      <c r="AR136" s="479"/>
      <c r="AS136" s="1000"/>
      <c r="AT136" s="1205"/>
      <c r="AU136" s="1002"/>
      <c r="AV136" s="1002"/>
      <c r="AW136" s="1002"/>
      <c r="AX136" s="1002"/>
      <c r="AY136" s="1002"/>
      <c r="AZ136" s="170"/>
      <c r="BA136" s="1190"/>
      <c r="BB136" s="1216"/>
    </row>
    <row r="137" spans="1:54" x14ac:dyDescent="0.25">
      <c r="A137" s="939"/>
      <c r="B137" s="940"/>
      <c r="C137" s="941" t="s">
        <v>383</v>
      </c>
      <c r="D137" s="942"/>
      <c r="E137" s="942"/>
      <c r="F137" s="942"/>
      <c r="G137" s="942"/>
      <c r="H137" s="1015" t="s">
        <v>384</v>
      </c>
      <c r="I137" s="943"/>
      <c r="J137" s="943"/>
      <c r="K137" s="943"/>
      <c r="L137" s="943"/>
      <c r="M137" s="944"/>
      <c r="N137" s="188"/>
      <c r="O137" s="540"/>
      <c r="P137" s="766"/>
      <c r="Q137" s="55"/>
      <c r="R137" s="55"/>
      <c r="S137" s="55"/>
      <c r="T137" s="55"/>
      <c r="U137" s="55"/>
      <c r="V137" s="212"/>
      <c r="W137" s="528"/>
      <c r="X137" s="184"/>
      <c r="Y137" s="1004"/>
      <c r="Z137" s="774"/>
      <c r="AA137" s="64"/>
      <c r="AB137" s="64"/>
      <c r="AC137" s="64"/>
      <c r="AD137" s="64"/>
      <c r="AE137" s="64"/>
      <c r="AF137" s="125"/>
      <c r="AG137" s="810"/>
      <c r="AH137" s="370"/>
      <c r="AI137" s="945" t="str">
        <f>C137</f>
        <v>[CPI Calculation] Annual Revenue including Growth (if any)</v>
      </c>
      <c r="AJ137" s="133" t="str">
        <f>H137</f>
        <v>[Formula in Use]</v>
      </c>
      <c r="AK137" s="97">
        <f>AK123</f>
        <v>536901.39599999995</v>
      </c>
      <c r="AL137" s="97">
        <f t="shared" ref="AL137:AO137" si="288">AL123</f>
        <v>541310.35392000002</v>
      </c>
      <c r="AM137" s="97">
        <f t="shared" si="288"/>
        <v>545807.49099840014</v>
      </c>
      <c r="AN137" s="97">
        <f t="shared" si="288"/>
        <v>550394.570818368</v>
      </c>
      <c r="AO137" s="97">
        <f t="shared" si="288"/>
        <v>555073.39223473542</v>
      </c>
      <c r="AP137" s="160" t="s">
        <v>384</v>
      </c>
      <c r="AQ137" s="930"/>
      <c r="AR137" s="479"/>
      <c r="AS137" s="1000"/>
      <c r="AT137" s="1205"/>
      <c r="AU137" s="1002"/>
      <c r="AV137" s="1002"/>
      <c r="AW137" s="1002"/>
      <c r="AX137" s="1002"/>
      <c r="AY137" s="1002"/>
      <c r="AZ137" s="170"/>
      <c r="BA137" s="1190"/>
      <c r="BB137" s="1216"/>
    </row>
    <row r="138" spans="1:54" x14ac:dyDescent="0.25">
      <c r="A138" s="939"/>
      <c r="B138" s="940"/>
      <c r="C138" s="941" t="s">
        <v>385</v>
      </c>
      <c r="D138" s="942"/>
      <c r="E138" s="942"/>
      <c r="F138" s="942"/>
      <c r="G138" s="942"/>
      <c r="H138" s="1015" t="s">
        <v>384</v>
      </c>
      <c r="I138" s="943"/>
      <c r="J138" s="943"/>
      <c r="K138" s="943"/>
      <c r="L138" s="943"/>
      <c r="M138" s="944"/>
      <c r="N138" s="188"/>
      <c r="O138" s="540"/>
      <c r="P138" s="766"/>
      <c r="Q138" s="681"/>
      <c r="R138" s="55"/>
      <c r="S138" s="55"/>
      <c r="T138" s="55"/>
      <c r="U138" s="55"/>
      <c r="V138" s="212"/>
      <c r="W138" s="528"/>
      <c r="X138" s="184"/>
      <c r="Y138" s="1004"/>
      <c r="Z138" s="774"/>
      <c r="AA138" s="64"/>
      <c r="AB138" s="64"/>
      <c r="AC138" s="64"/>
      <c r="AD138" s="64"/>
      <c r="AE138" s="64"/>
      <c r="AF138" s="125"/>
      <c r="AG138" s="810"/>
      <c r="AH138" s="370"/>
      <c r="AI138" s="945" t="str">
        <f t="shared" ref="AI138:AI140" si="289">C138</f>
        <v>[CPI Calculation] Annual CPI Year by Year (No Growth)</v>
      </c>
      <c r="AJ138" s="133" t="str">
        <f t="shared" ref="AJ138:AJ139" si="290">H138</f>
        <v>[Formula in Use]</v>
      </c>
      <c r="AK138" s="97" t="s">
        <v>386</v>
      </c>
      <c r="AL138" s="97">
        <f>AK137*AJ140</f>
        <v>26845.069799999997</v>
      </c>
      <c r="AM138" s="97">
        <f>((AM137-AL137)+AL139)*AJ140</f>
        <v>28632.628039920011</v>
      </c>
      <c r="AN138" s="97">
        <f>((AN137-AM137)+AM139)*AJ140</f>
        <v>30293.613432914397</v>
      </c>
      <c r="AO138" s="97">
        <f>((AO137-AN137)+AN139)*AJ140</f>
        <v>32042.23517537849</v>
      </c>
      <c r="AP138" s="160" t="s">
        <v>384</v>
      </c>
      <c r="AQ138" s="930"/>
      <c r="AR138" s="479"/>
      <c r="AS138" s="1000"/>
      <c r="AT138" s="1205"/>
      <c r="AU138" s="1002"/>
      <c r="AV138" s="1002"/>
      <c r="AW138" s="1002"/>
      <c r="AX138" s="1002"/>
      <c r="AY138" s="1002"/>
      <c r="AZ138" s="170"/>
      <c r="BA138" s="1190"/>
      <c r="BB138" s="1216"/>
    </row>
    <row r="139" spans="1:54" x14ac:dyDescent="0.25">
      <c r="A139" s="939"/>
      <c r="B139" s="940"/>
      <c r="C139" s="941" t="s">
        <v>387</v>
      </c>
      <c r="D139" s="942"/>
      <c r="E139" s="942"/>
      <c r="F139" s="942"/>
      <c r="G139" s="942"/>
      <c r="H139" s="1015" t="s">
        <v>384</v>
      </c>
      <c r="I139" s="943"/>
      <c r="J139" s="943"/>
      <c r="K139" s="943"/>
      <c r="L139" s="943"/>
      <c r="M139" s="944"/>
      <c r="N139" s="188"/>
      <c r="O139" s="540"/>
      <c r="P139" s="766"/>
      <c r="Q139" s="681"/>
      <c r="R139" s="55"/>
      <c r="S139" s="55"/>
      <c r="T139" s="55"/>
      <c r="U139" s="55"/>
      <c r="V139" s="212"/>
      <c r="W139" s="528"/>
      <c r="X139" s="184"/>
      <c r="Y139" s="1004"/>
      <c r="Z139" s="774"/>
      <c r="AA139" s="64"/>
      <c r="AB139" s="64"/>
      <c r="AC139" s="64"/>
      <c r="AD139" s="64"/>
      <c r="AE139" s="64"/>
      <c r="AF139" s="125"/>
      <c r="AG139" s="810"/>
      <c r="AH139" s="370"/>
      <c r="AI139" s="945" t="str">
        <f t="shared" si="289"/>
        <v>[CPI Calculation] Annual Expenses &amp; CPI Year by Year</v>
      </c>
      <c r="AJ139" s="133" t="str">
        <f t="shared" si="290"/>
        <v>[Formula in Use]</v>
      </c>
      <c r="AK139" s="97" t="s">
        <v>386</v>
      </c>
      <c r="AL139" s="97">
        <f>(AL137+AL138)</f>
        <v>568155.42372000008</v>
      </c>
      <c r="AM139" s="97">
        <f>(AM137+AM138+AL138)</f>
        <v>601285.18883832009</v>
      </c>
      <c r="AN139" s="97">
        <f>(AN137+AN138+AM138+AL138)</f>
        <v>636165.88209120231</v>
      </c>
      <c r="AO139" s="97">
        <f>(AO137+AO138+AN138+AM138+AL138)</f>
        <v>672886.93868294824</v>
      </c>
      <c r="AP139" s="160" t="s">
        <v>384</v>
      </c>
      <c r="AQ139" s="930"/>
      <c r="AR139" s="479"/>
      <c r="AS139" s="1000"/>
      <c r="AT139" s="1205"/>
      <c r="AU139" s="1002"/>
      <c r="AV139" s="1002"/>
      <c r="AW139" s="1002"/>
      <c r="AX139" s="1002"/>
      <c r="AY139" s="1002"/>
      <c r="AZ139" s="170"/>
      <c r="BA139" s="1190"/>
      <c r="BB139" s="1216"/>
    </row>
    <row r="140" spans="1:54" s="496" customFormat="1" x14ac:dyDescent="0.25">
      <c r="A140" s="1016"/>
      <c r="B140" s="1017"/>
      <c r="C140" s="1018" t="s">
        <v>388</v>
      </c>
      <c r="D140" s="1019"/>
      <c r="E140" s="1019"/>
      <c r="F140" s="1019"/>
      <c r="G140" s="1019"/>
      <c r="H140" s="1020" t="s">
        <v>391</v>
      </c>
      <c r="I140" s="1021"/>
      <c r="J140" s="1021"/>
      <c r="K140" s="1021"/>
      <c r="L140" s="1021"/>
      <c r="M140" s="1022"/>
      <c r="N140" s="982"/>
      <c r="O140" s="983"/>
      <c r="P140" s="984"/>
      <c r="Q140" s="985"/>
      <c r="R140" s="60"/>
      <c r="S140" s="60"/>
      <c r="T140" s="60"/>
      <c r="U140" s="60"/>
      <c r="V140" s="986"/>
      <c r="W140" s="987"/>
      <c r="X140" s="988"/>
      <c r="Y140" s="989"/>
      <c r="Z140" s="990"/>
      <c r="AA140" s="991"/>
      <c r="AB140" s="991"/>
      <c r="AC140" s="991"/>
      <c r="AD140" s="991"/>
      <c r="AE140" s="991"/>
      <c r="AF140" s="992"/>
      <c r="AG140" s="993"/>
      <c r="AH140" s="994"/>
      <c r="AI140" s="1013" t="str">
        <f t="shared" si="289"/>
        <v>Aggregate CPI</v>
      </c>
      <c r="AJ140" s="1014">
        <f>$L$5</f>
        <v>0.05</v>
      </c>
      <c r="AK140" s="997" t="s">
        <v>386</v>
      </c>
      <c r="AL140" s="997">
        <f>AL138</f>
        <v>26845.069799999997</v>
      </c>
      <c r="AM140" s="997">
        <f>SUM(AL138:AM138)</f>
        <v>55477.697839920009</v>
      </c>
      <c r="AN140" s="997">
        <f>SUM(AL138:AN138)</f>
        <v>85771.311272834399</v>
      </c>
      <c r="AO140" s="997">
        <f>SUM(AL138:AO138)</f>
        <v>117813.54644821289</v>
      </c>
      <c r="AP140" s="161">
        <f>SUM(AL140:AO140)</f>
        <v>285907.6253609673</v>
      </c>
      <c r="AQ140" s="998"/>
      <c r="AR140" s="999"/>
      <c r="AS140" s="1000"/>
      <c r="AT140" s="1205"/>
      <c r="AU140" s="1002"/>
      <c r="AV140" s="1002"/>
      <c r="AW140" s="1002"/>
      <c r="AX140" s="1002"/>
      <c r="AY140" s="1002"/>
      <c r="AZ140" s="170"/>
      <c r="BA140" s="1192"/>
      <c r="BB140" s="1217"/>
    </row>
    <row r="141" spans="1:54" x14ac:dyDescent="0.25">
      <c r="A141" s="678"/>
      <c r="B141" s="70"/>
      <c r="C141" s="312"/>
      <c r="D141" s="612"/>
      <c r="E141" s="612"/>
      <c r="F141" s="612"/>
      <c r="G141" s="612"/>
      <c r="H141" s="113"/>
      <c r="I141" s="152"/>
      <c r="J141" s="152"/>
      <c r="K141" s="152"/>
      <c r="L141" s="152"/>
      <c r="M141" s="201"/>
      <c r="N141" s="188"/>
      <c r="O141" s="540"/>
      <c r="P141" s="766"/>
      <c r="Q141" s="55"/>
      <c r="R141" s="55"/>
      <c r="S141" s="55"/>
      <c r="T141" s="55"/>
      <c r="U141" s="55"/>
      <c r="V141" s="212"/>
      <c r="W141" s="528"/>
      <c r="X141" s="184"/>
      <c r="Y141" s="333"/>
      <c r="Z141" s="774"/>
      <c r="AA141" s="64"/>
      <c r="AB141" s="64"/>
      <c r="AC141" s="64"/>
      <c r="AD141" s="64"/>
      <c r="AE141" s="64"/>
      <c r="AF141" s="125"/>
      <c r="AG141" s="810"/>
      <c r="AH141" s="370"/>
      <c r="AI141" s="265"/>
      <c r="AJ141" s="133"/>
      <c r="AK141" s="97"/>
      <c r="AL141" s="97"/>
      <c r="AM141" s="97"/>
      <c r="AN141" s="97"/>
      <c r="AO141" s="97"/>
      <c r="AP141" s="160"/>
      <c r="AQ141" s="930"/>
      <c r="AR141" s="479"/>
      <c r="AS141" s="186"/>
      <c r="AT141" s="1204"/>
      <c r="AU141" s="88"/>
      <c r="AV141" s="88"/>
      <c r="AW141" s="88"/>
      <c r="AX141" s="88"/>
      <c r="AY141" s="88"/>
      <c r="AZ141" s="168"/>
      <c r="BA141" s="1190"/>
      <c r="BB141" s="1216"/>
    </row>
    <row r="142" spans="1:54" x14ac:dyDescent="0.25">
      <c r="A142" s="1167"/>
      <c r="B142" s="1168"/>
      <c r="C142" s="1169" t="s">
        <v>383</v>
      </c>
      <c r="D142" s="1170"/>
      <c r="E142" s="1170"/>
      <c r="F142" s="1170"/>
      <c r="G142" s="1170"/>
      <c r="H142" s="1171" t="s">
        <v>384</v>
      </c>
      <c r="I142" s="1172"/>
      <c r="J142" s="1172"/>
      <c r="K142" s="1172"/>
      <c r="L142" s="1172"/>
      <c r="M142" s="1173"/>
      <c r="N142" s="188"/>
      <c r="O142" s="540"/>
      <c r="P142" s="766"/>
      <c r="Q142" s="55"/>
      <c r="R142" s="55"/>
      <c r="S142" s="55"/>
      <c r="T142" s="55"/>
      <c r="U142" s="55"/>
      <c r="V142" s="212"/>
      <c r="W142" s="528"/>
      <c r="X142" s="184"/>
      <c r="Y142" s="1004"/>
      <c r="Z142" s="774"/>
      <c r="AA142" s="64"/>
      <c r="AB142" s="64"/>
      <c r="AC142" s="64"/>
      <c r="AD142" s="64"/>
      <c r="AE142" s="64"/>
      <c r="AF142" s="125"/>
      <c r="AG142" s="810"/>
      <c r="AH142" s="370"/>
      <c r="AI142" s="945"/>
      <c r="AJ142" s="133"/>
      <c r="AK142" s="97"/>
      <c r="AL142" s="97"/>
      <c r="AM142" s="97"/>
      <c r="AN142" s="97"/>
      <c r="AO142" s="97"/>
      <c r="AP142" s="160"/>
      <c r="AQ142" s="930"/>
      <c r="AR142" s="479"/>
      <c r="AS142" s="186" t="s">
        <v>383</v>
      </c>
      <c r="AT142" s="1204" t="s">
        <v>384</v>
      </c>
      <c r="AU142" s="88">
        <f>AU123</f>
        <v>541668.29600000009</v>
      </c>
      <c r="AV142" s="88">
        <f>AV123</f>
        <v>545519.49392000004</v>
      </c>
      <c r="AW142" s="88">
        <f>AW123</f>
        <v>549447.71579840011</v>
      </c>
      <c r="AX142" s="88">
        <f>AX123</f>
        <v>553454.50211436802</v>
      </c>
      <c r="AY142" s="88">
        <f>AY123</f>
        <v>557541.42415665532</v>
      </c>
      <c r="AZ142" s="168" t="s">
        <v>384</v>
      </c>
      <c r="BA142" s="1190"/>
      <c r="BB142" s="1216"/>
    </row>
    <row r="143" spans="1:54" x14ac:dyDescent="0.25">
      <c r="A143" s="1167"/>
      <c r="B143" s="1168"/>
      <c r="C143" s="1169" t="s">
        <v>385</v>
      </c>
      <c r="D143" s="1170"/>
      <c r="E143" s="1170"/>
      <c r="F143" s="1170"/>
      <c r="G143" s="1170"/>
      <c r="H143" s="1171" t="s">
        <v>384</v>
      </c>
      <c r="I143" s="1172"/>
      <c r="J143" s="1172"/>
      <c r="K143" s="1172"/>
      <c r="L143" s="1172"/>
      <c r="M143" s="1173"/>
      <c r="N143" s="188"/>
      <c r="O143" s="540"/>
      <c r="P143" s="766"/>
      <c r="Q143" s="681"/>
      <c r="R143" s="55"/>
      <c r="S143" s="55"/>
      <c r="T143" s="55"/>
      <c r="U143" s="55"/>
      <c r="V143" s="212"/>
      <c r="W143" s="528"/>
      <c r="X143" s="184"/>
      <c r="Y143" s="1004"/>
      <c r="Z143" s="774"/>
      <c r="AA143" s="64"/>
      <c r="AB143" s="64"/>
      <c r="AC143" s="64"/>
      <c r="AD143" s="64"/>
      <c r="AE143" s="64"/>
      <c r="AF143" s="125"/>
      <c r="AG143" s="810"/>
      <c r="AH143" s="370"/>
      <c r="AI143" s="945"/>
      <c r="AJ143" s="133"/>
      <c r="AK143" s="97"/>
      <c r="AL143" s="97"/>
      <c r="AM143" s="97"/>
      <c r="AN143" s="97"/>
      <c r="AO143" s="97"/>
      <c r="AP143" s="160"/>
      <c r="AQ143" s="930"/>
      <c r="AR143" s="479"/>
      <c r="AS143" s="186" t="s">
        <v>385</v>
      </c>
      <c r="AT143" s="1204" t="s">
        <v>384</v>
      </c>
      <c r="AU143" s="88" t="s">
        <v>386</v>
      </c>
      <c r="AV143" s="88">
        <f>AU142*AT145</f>
        <v>27083.414800000006</v>
      </c>
      <c r="AW143" s="88">
        <f>((AW142-AV142)+AV144)*AT145</f>
        <v>28826.55652992001</v>
      </c>
      <c r="AX143" s="88">
        <f>((AX142-AW142)+AW144)*AT145</f>
        <v>30468.223672214401</v>
      </c>
      <c r="AY143" s="88">
        <f>((AY142-AX142)+AX144)*AT145</f>
        <v>32195.98095793949</v>
      </c>
      <c r="AZ143" s="168" t="s">
        <v>384</v>
      </c>
      <c r="BA143" s="1190"/>
      <c r="BB143" s="1216"/>
    </row>
    <row r="144" spans="1:54" x14ac:dyDescent="0.25">
      <c r="A144" s="1167"/>
      <c r="B144" s="1168"/>
      <c r="C144" s="1169" t="s">
        <v>387</v>
      </c>
      <c r="D144" s="1170"/>
      <c r="E144" s="1170"/>
      <c r="F144" s="1170"/>
      <c r="G144" s="1170"/>
      <c r="H144" s="1171" t="s">
        <v>384</v>
      </c>
      <c r="I144" s="1172"/>
      <c r="J144" s="1172"/>
      <c r="K144" s="1172"/>
      <c r="L144" s="1172"/>
      <c r="M144" s="1173"/>
      <c r="N144" s="188"/>
      <c r="O144" s="540"/>
      <c r="P144" s="766"/>
      <c r="Q144" s="681"/>
      <c r="R144" s="55"/>
      <c r="S144" s="55"/>
      <c r="T144" s="55"/>
      <c r="U144" s="55"/>
      <c r="V144" s="212"/>
      <c r="W144" s="528"/>
      <c r="X144" s="184"/>
      <c r="Y144" s="1004"/>
      <c r="Z144" s="774"/>
      <c r="AA144" s="64"/>
      <c r="AB144" s="64"/>
      <c r="AC144" s="64"/>
      <c r="AD144" s="64"/>
      <c r="AE144" s="64"/>
      <c r="AF144" s="125"/>
      <c r="AG144" s="810"/>
      <c r="AH144" s="370"/>
      <c r="AI144" s="945"/>
      <c r="AJ144" s="133"/>
      <c r="AK144" s="97"/>
      <c r="AL144" s="97"/>
      <c r="AM144" s="97"/>
      <c r="AN144" s="97"/>
      <c r="AO144" s="97"/>
      <c r="AP144" s="160"/>
      <c r="AQ144" s="930"/>
      <c r="AR144" s="479"/>
      <c r="AS144" s="186" t="s">
        <v>387</v>
      </c>
      <c r="AT144" s="1204" t="s">
        <v>384</v>
      </c>
      <c r="AU144" s="88" t="s">
        <v>386</v>
      </c>
      <c r="AV144" s="88">
        <f>(AV142+AV143)</f>
        <v>572602.90872000006</v>
      </c>
      <c r="AW144" s="88">
        <f>(AW142+AW143+AV143)</f>
        <v>605357.6871283201</v>
      </c>
      <c r="AX144" s="88">
        <f>(AX142+AX143+AW143+AV143)</f>
        <v>639832.69711650244</v>
      </c>
      <c r="AY144" s="88">
        <f>(AY142+AY143+AX143+AW143+AV143)</f>
        <v>676115.60011672927</v>
      </c>
      <c r="AZ144" s="168" t="s">
        <v>384</v>
      </c>
      <c r="BA144" s="1190"/>
      <c r="BB144" s="1216"/>
    </row>
    <row r="145" spans="1:54" s="496" customFormat="1" x14ac:dyDescent="0.25">
      <c r="A145" s="1174"/>
      <c r="B145" s="1175"/>
      <c r="C145" s="1176" t="s">
        <v>388</v>
      </c>
      <c r="D145" s="1177"/>
      <c r="E145" s="1177"/>
      <c r="F145" s="1177"/>
      <c r="G145" s="1177"/>
      <c r="H145" s="1178" t="s">
        <v>391</v>
      </c>
      <c r="I145" s="1179"/>
      <c r="J145" s="1179"/>
      <c r="K145" s="1179"/>
      <c r="L145" s="1179"/>
      <c r="M145" s="1180"/>
      <c r="N145" s="982"/>
      <c r="O145" s="983"/>
      <c r="P145" s="984"/>
      <c r="Q145" s="985"/>
      <c r="R145" s="60"/>
      <c r="S145" s="60"/>
      <c r="T145" s="60"/>
      <c r="U145" s="60"/>
      <c r="V145" s="986"/>
      <c r="W145" s="987"/>
      <c r="X145" s="988"/>
      <c r="Y145" s="989"/>
      <c r="Z145" s="990"/>
      <c r="AA145" s="991"/>
      <c r="AB145" s="991"/>
      <c r="AC145" s="991"/>
      <c r="AD145" s="991"/>
      <c r="AE145" s="991"/>
      <c r="AF145" s="992"/>
      <c r="AG145" s="993"/>
      <c r="AH145" s="994"/>
      <c r="AI145" s="1013"/>
      <c r="AJ145" s="1014"/>
      <c r="AK145" s="997"/>
      <c r="AL145" s="997"/>
      <c r="AM145" s="997"/>
      <c r="AN145" s="997"/>
      <c r="AO145" s="997"/>
      <c r="AP145" s="161"/>
      <c r="AQ145" s="998"/>
      <c r="AR145" s="999"/>
      <c r="AS145" s="1000" t="s">
        <v>388</v>
      </c>
      <c r="AT145" s="1206">
        <f>$L$5</f>
        <v>0.05</v>
      </c>
      <c r="AU145" s="1002" t="s">
        <v>386</v>
      </c>
      <c r="AV145" s="1002">
        <f>AV143</f>
        <v>27083.414800000006</v>
      </c>
      <c r="AW145" s="1002">
        <f>SUM(AV143:AW143)</f>
        <v>55909.971329920016</v>
      </c>
      <c r="AX145" s="1002">
        <f>SUM(AV143:AX143)</f>
        <v>86378.195002134424</v>
      </c>
      <c r="AY145" s="1002">
        <f>SUM(AV143:AY143)</f>
        <v>118574.17596007392</v>
      </c>
      <c r="AZ145" s="170">
        <f>SUM(AV145:AY145)</f>
        <v>287945.75709212839</v>
      </c>
      <c r="BA145" s="1192"/>
      <c r="BB145" s="1217"/>
    </row>
    <row r="146" spans="1:54" x14ac:dyDescent="0.25">
      <c r="A146" s="679"/>
      <c r="B146" s="67"/>
      <c r="C146" s="313"/>
      <c r="D146" s="613"/>
      <c r="E146" s="613"/>
      <c r="F146" s="613"/>
      <c r="G146" s="613"/>
      <c r="H146" s="114"/>
      <c r="I146" s="152"/>
      <c r="J146" s="152"/>
      <c r="K146" s="152"/>
      <c r="L146" s="152"/>
      <c r="M146" s="152"/>
      <c r="N146" s="53"/>
      <c r="O146" s="250"/>
      <c r="P146" s="760"/>
      <c r="Q146" s="55"/>
      <c r="R146" s="55"/>
      <c r="S146" s="55"/>
      <c r="T146" s="55"/>
      <c r="U146" s="55"/>
      <c r="V146" s="212"/>
      <c r="W146" s="528"/>
      <c r="X146" s="81"/>
      <c r="Y146" s="328"/>
      <c r="Z146" s="774"/>
      <c r="AA146" s="64"/>
      <c r="AB146" s="64"/>
      <c r="AC146" s="64"/>
      <c r="AD146" s="64"/>
      <c r="AE146" s="64"/>
      <c r="AF146" s="125"/>
      <c r="AG146" s="813"/>
      <c r="AH146" s="370"/>
      <c r="AI146" s="266"/>
      <c r="AJ146" s="133"/>
      <c r="AK146" s="97"/>
      <c r="AL146" s="97"/>
      <c r="AM146" s="97"/>
      <c r="AN146" s="97"/>
      <c r="AO146" s="97"/>
      <c r="AP146" s="160"/>
      <c r="AQ146" s="930"/>
      <c r="AR146" s="479"/>
      <c r="AS146" s="86"/>
      <c r="AT146" s="1204"/>
      <c r="AU146" s="88"/>
      <c r="AV146" s="88"/>
      <c r="AW146" s="88"/>
      <c r="AX146" s="88"/>
      <c r="AY146" s="88"/>
      <c r="AZ146" s="168"/>
      <c r="BA146" s="1190"/>
      <c r="BB146" s="1216"/>
    </row>
    <row r="147" spans="1:54" ht="3.75" customHeight="1" x14ac:dyDescent="0.25">
      <c r="A147" s="607"/>
      <c r="B147" s="16"/>
      <c r="C147" s="642"/>
      <c r="D147" s="643"/>
      <c r="E147" s="643"/>
      <c r="F147" s="643"/>
      <c r="G147" s="643"/>
      <c r="H147" s="644"/>
      <c r="I147" s="645"/>
      <c r="J147" s="645"/>
      <c r="K147" s="645"/>
      <c r="L147" s="645"/>
      <c r="M147" s="646"/>
      <c r="N147" s="647"/>
      <c r="O147" s="648"/>
      <c r="P147" s="767"/>
      <c r="Q147" s="649"/>
      <c r="R147" s="649"/>
      <c r="S147" s="649"/>
      <c r="T147" s="649"/>
      <c r="U147" s="649"/>
      <c r="V147" s="650"/>
      <c r="W147" s="21"/>
      <c r="X147" s="16"/>
      <c r="Y147" s="20"/>
      <c r="Z147" s="773"/>
      <c r="AA147" s="21"/>
      <c r="AB147" s="21"/>
      <c r="AC147" s="21"/>
      <c r="AD147" s="21"/>
      <c r="AE147" s="21"/>
      <c r="AF147" s="21"/>
      <c r="AG147" s="811"/>
      <c r="AH147" s="21"/>
      <c r="AI147" s="263"/>
      <c r="AJ147" s="20"/>
      <c r="AK147" s="21"/>
      <c r="AL147" s="21"/>
      <c r="AM147" s="21"/>
      <c r="AN147" s="21"/>
      <c r="AO147" s="21"/>
      <c r="AP147" s="21"/>
      <c r="AQ147" s="811"/>
      <c r="AR147" s="21"/>
      <c r="AS147" s="20"/>
      <c r="AT147" s="20"/>
      <c r="AU147" s="20"/>
      <c r="AV147" s="20"/>
      <c r="AW147" s="20"/>
      <c r="AX147" s="20"/>
      <c r="AY147" s="20"/>
      <c r="AZ147" s="22"/>
      <c r="BA147" s="1188"/>
      <c r="BB147" s="21"/>
    </row>
    <row r="148" spans="1:54" s="496" customFormat="1" x14ac:dyDescent="0.25">
      <c r="A148" s="677"/>
      <c r="B148" s="77"/>
      <c r="C148" s="298" t="s">
        <v>392</v>
      </c>
      <c r="D148" s="610"/>
      <c r="E148" s="610"/>
      <c r="F148" s="610"/>
      <c r="G148" s="610"/>
      <c r="H148" s="115"/>
      <c r="I148" s="144"/>
      <c r="J148" s="144"/>
      <c r="K148" s="144"/>
      <c r="L148" s="144"/>
      <c r="M148" s="145"/>
      <c r="N148" s="304" t="str">
        <f>C148</f>
        <v>CPI Sum:</v>
      </c>
      <c r="O148" s="303"/>
      <c r="P148" s="762"/>
      <c r="Q148" s="146"/>
      <c r="R148" s="146"/>
      <c r="S148" s="146"/>
      <c r="T148" s="146"/>
      <c r="U148" s="146"/>
      <c r="V148" s="210">
        <f>SUM(V126:V146)</f>
        <v>322756.86686043709</v>
      </c>
      <c r="W148" s="527"/>
      <c r="X148" s="319" t="str">
        <f>C148</f>
        <v>CPI Sum:</v>
      </c>
      <c r="Y148" s="326"/>
      <c r="Z148" s="778"/>
      <c r="AA148" s="147"/>
      <c r="AB148" s="147"/>
      <c r="AC148" s="147"/>
      <c r="AD148" s="147"/>
      <c r="AE148" s="147"/>
      <c r="AF148" s="202">
        <f>AF135</f>
        <v>199732.15663944505</v>
      </c>
      <c r="AG148" s="815"/>
      <c r="AH148" s="362"/>
      <c r="AI148" s="299" t="str">
        <f>C148</f>
        <v>CPI Sum:</v>
      </c>
      <c r="AJ148" s="256"/>
      <c r="AK148" s="153"/>
      <c r="AL148" s="153"/>
      <c r="AM148" s="153"/>
      <c r="AN148" s="153"/>
      <c r="AO148" s="153"/>
      <c r="AP148" s="163">
        <f>AP140</f>
        <v>285907.6253609673</v>
      </c>
      <c r="AQ148" s="933"/>
      <c r="AR148" s="487"/>
      <c r="AS148" s="318" t="s">
        <v>392</v>
      </c>
      <c r="AT148" s="1202"/>
      <c r="AU148" s="155"/>
      <c r="AV148" s="155"/>
      <c r="AW148" s="155"/>
      <c r="AX148" s="155"/>
      <c r="AY148" s="155"/>
      <c r="AZ148" s="166">
        <f>AZ145</f>
        <v>287945.75709212839</v>
      </c>
      <c r="BA148" s="1193"/>
      <c r="BB148" s="1218"/>
    </row>
    <row r="149" spans="1:54" ht="3.75" customHeight="1" x14ac:dyDescent="0.25">
      <c r="A149" s="607"/>
      <c r="B149" s="16"/>
      <c r="C149" s="263"/>
      <c r="D149" s="607"/>
      <c r="E149" s="607"/>
      <c r="F149" s="607"/>
      <c r="G149" s="607"/>
      <c r="H149" s="16"/>
      <c r="I149" s="18"/>
      <c r="J149" s="18"/>
      <c r="K149" s="18"/>
      <c r="L149" s="18"/>
      <c r="M149" s="18"/>
      <c r="N149" s="16"/>
      <c r="O149" s="19"/>
      <c r="P149" s="755"/>
      <c r="Q149" s="17"/>
      <c r="R149" s="17"/>
      <c r="S149" s="17"/>
      <c r="T149" s="17"/>
      <c r="U149" s="17"/>
      <c r="V149" s="17"/>
      <c r="W149" s="21"/>
      <c r="X149" s="16"/>
      <c r="Y149" s="20"/>
      <c r="Z149" s="773"/>
      <c r="AA149" s="21"/>
      <c r="AB149" s="21"/>
      <c r="AC149" s="21"/>
      <c r="AD149" s="21"/>
      <c r="AE149" s="21"/>
      <c r="AF149" s="21"/>
      <c r="AG149" s="811"/>
      <c r="AH149" s="21"/>
      <c r="AI149" s="263"/>
      <c r="AJ149" s="20"/>
      <c r="AK149" s="21"/>
      <c r="AL149" s="21"/>
      <c r="AM149" s="21"/>
      <c r="AN149" s="21"/>
      <c r="AO149" s="21"/>
      <c r="AP149" s="21"/>
      <c r="AQ149" s="811"/>
      <c r="AR149" s="21"/>
      <c r="AS149" s="20"/>
      <c r="AT149" s="20"/>
      <c r="AU149" s="20"/>
      <c r="AV149" s="20"/>
      <c r="AW149" s="20"/>
      <c r="AX149" s="20"/>
      <c r="AY149" s="20"/>
      <c r="AZ149" s="22"/>
      <c r="BA149" s="1188"/>
      <c r="BB149" s="21"/>
    </row>
    <row r="150" spans="1:54" s="494" customFormat="1" ht="37.5" x14ac:dyDescent="0.3">
      <c r="A150" s="101"/>
      <c r="B150" s="101" t="s">
        <v>393</v>
      </c>
      <c r="C150" s="669" t="s">
        <v>394</v>
      </c>
      <c r="D150" s="668"/>
      <c r="E150" s="603"/>
      <c r="F150" s="603"/>
      <c r="G150" s="603" t="s">
        <v>395</v>
      </c>
      <c r="H150" s="359" t="s">
        <v>396</v>
      </c>
      <c r="I150" s="661"/>
      <c r="J150" s="662"/>
      <c r="K150" s="290"/>
      <c r="L150" s="290"/>
      <c r="M150" s="291"/>
      <c r="N150" s="29" t="s">
        <v>394</v>
      </c>
      <c r="O150" s="359" t="s">
        <v>47</v>
      </c>
      <c r="P150" s="754"/>
      <c r="Q150" s="30" t="s">
        <v>48</v>
      </c>
      <c r="R150" s="30" t="s">
        <v>49</v>
      </c>
      <c r="S150" s="30" t="s">
        <v>50</v>
      </c>
      <c r="T150" s="30" t="s">
        <v>51</v>
      </c>
      <c r="U150" s="30" t="s">
        <v>52</v>
      </c>
      <c r="V150" s="208" t="s">
        <v>53</v>
      </c>
      <c r="W150" s="526" t="s">
        <v>54</v>
      </c>
      <c r="X150" s="235" t="s">
        <v>55</v>
      </c>
      <c r="Y150" s="323" t="s">
        <v>47</v>
      </c>
      <c r="Z150" s="772"/>
      <c r="AA150" s="31" t="s">
        <v>48</v>
      </c>
      <c r="AB150" s="31" t="s">
        <v>49</v>
      </c>
      <c r="AC150" s="31" t="s">
        <v>50</v>
      </c>
      <c r="AD150" s="31" t="s">
        <v>51</v>
      </c>
      <c r="AE150" s="31" t="s">
        <v>52</v>
      </c>
      <c r="AF150" s="122" t="s">
        <v>58</v>
      </c>
      <c r="AG150" s="807"/>
      <c r="AH150" s="373" t="s">
        <v>54</v>
      </c>
      <c r="AI150" s="32" t="s">
        <v>55</v>
      </c>
      <c r="AJ150" s="254" t="s">
        <v>47</v>
      </c>
      <c r="AK150" s="33" t="s">
        <v>48</v>
      </c>
      <c r="AL150" s="33" t="s">
        <v>49</v>
      </c>
      <c r="AM150" s="33" t="s">
        <v>50</v>
      </c>
      <c r="AN150" s="33" t="s">
        <v>51</v>
      </c>
      <c r="AO150" s="33" t="s">
        <v>52</v>
      </c>
      <c r="AP150" s="157" t="s">
        <v>58</v>
      </c>
      <c r="AQ150" s="928"/>
      <c r="AR150" s="33" t="s">
        <v>54</v>
      </c>
      <c r="AS150" s="236" t="s">
        <v>55</v>
      </c>
      <c r="AT150" s="1201" t="s">
        <v>47</v>
      </c>
      <c r="AU150" s="37" t="s">
        <v>48</v>
      </c>
      <c r="AV150" s="37" t="s">
        <v>49</v>
      </c>
      <c r="AW150" s="37" t="s">
        <v>50</v>
      </c>
      <c r="AX150" s="37" t="s">
        <v>51</v>
      </c>
      <c r="AY150" s="37" t="s">
        <v>52</v>
      </c>
      <c r="AZ150" s="164" t="s">
        <v>58</v>
      </c>
      <c r="BA150" s="1187"/>
      <c r="BB150" s="354" t="s">
        <v>54</v>
      </c>
    </row>
    <row r="151" spans="1:54" s="495" customFormat="1" x14ac:dyDescent="0.25">
      <c r="A151" s="656"/>
      <c r="B151" s="655"/>
      <c r="C151" s="242" t="s">
        <v>619</v>
      </c>
      <c r="D151" s="608"/>
      <c r="E151" s="608"/>
      <c r="F151" s="608"/>
      <c r="G151" s="608"/>
      <c r="H151" s="243"/>
      <c r="I151" s="663"/>
      <c r="J151" s="297"/>
      <c r="K151" s="293"/>
      <c r="L151" s="293"/>
      <c r="M151" s="294"/>
      <c r="N151" s="252" t="str">
        <f>IF(C151="","",C151)</f>
        <v>BillPay / iPay Annual Items:</v>
      </c>
      <c r="O151" s="243"/>
      <c r="P151" s="756"/>
      <c r="Q151" s="243"/>
      <c r="R151" s="243"/>
      <c r="S151" s="243"/>
      <c r="T151" s="243"/>
      <c r="U151" s="244"/>
      <c r="V151" s="209"/>
      <c r="W151" s="527"/>
      <c r="X151" s="102"/>
      <c r="Y151" s="324"/>
      <c r="Z151" s="774"/>
      <c r="AA151" s="103"/>
      <c r="AB151" s="103"/>
      <c r="AC151" s="103"/>
      <c r="AD151" s="103"/>
      <c r="AE151" s="103"/>
      <c r="AF151" s="123"/>
      <c r="AG151" s="813"/>
      <c r="AH151" s="370"/>
      <c r="AI151" s="221"/>
      <c r="AJ151" s="271"/>
      <c r="AK151" s="105"/>
      <c r="AL151" s="105"/>
      <c r="AM151" s="105"/>
      <c r="AN151" s="105"/>
      <c r="AO151" s="105"/>
      <c r="AP151" s="158"/>
      <c r="AQ151" s="930"/>
      <c r="AR151" s="473"/>
      <c r="AS151" s="106"/>
      <c r="AT151" s="1200"/>
      <c r="AU151" s="108"/>
      <c r="AV151" s="108"/>
      <c r="AW151" s="108"/>
      <c r="AX151" s="108"/>
      <c r="AY151" s="108"/>
      <c r="AZ151" s="165"/>
      <c r="BA151" s="1190"/>
      <c r="BB151" s="1214"/>
    </row>
    <row r="152" spans="1:54" s="495" customFormat="1" x14ac:dyDescent="0.25">
      <c r="A152" s="284"/>
      <c r="B152" s="654" t="s">
        <v>620</v>
      </c>
      <c r="C152" s="599" t="s">
        <v>621</v>
      </c>
      <c r="D152" s="600"/>
      <c r="E152" s="600"/>
      <c r="F152" s="600"/>
      <c r="G152" s="652">
        <v>1</v>
      </c>
      <c r="H152" s="652">
        <v>1</v>
      </c>
      <c r="I152" s="663"/>
      <c r="J152" s="297"/>
      <c r="K152" s="293"/>
      <c r="L152" s="293"/>
      <c r="M152" s="294"/>
      <c r="N152" s="659" t="str">
        <f>IF(C152="","",C152)</f>
        <v>Maintenance 12/22 thru 11/23</v>
      </c>
      <c r="O152" s="250"/>
      <c r="P152" s="760"/>
      <c r="Q152" s="55">
        <f>($O152*$G152)*$H152</f>
        <v>0</v>
      </c>
      <c r="R152" s="55">
        <f t="shared" ref="R152:U155" si="291">($O152*$G152)*$H152</f>
        <v>0</v>
      </c>
      <c r="S152" s="55">
        <f t="shared" si="291"/>
        <v>0</v>
      </c>
      <c r="T152" s="55">
        <f t="shared" si="291"/>
        <v>0</v>
      </c>
      <c r="U152" s="55">
        <f t="shared" si="291"/>
        <v>0</v>
      </c>
      <c r="V152" s="212">
        <f>SUM(Q152:U152)</f>
        <v>0</v>
      </c>
      <c r="W152" s="527"/>
      <c r="X152" s="102"/>
      <c r="Y152" s="324"/>
      <c r="Z152" s="774"/>
      <c r="AA152" s="103"/>
      <c r="AB152" s="103"/>
      <c r="AC152" s="103"/>
      <c r="AD152" s="103"/>
      <c r="AE152" s="103"/>
      <c r="AF152" s="123"/>
      <c r="AG152" s="813"/>
      <c r="AH152" s="370"/>
      <c r="AI152" s="221"/>
      <c r="AJ152" s="271"/>
      <c r="AK152" s="105"/>
      <c r="AL152" s="105"/>
      <c r="AM152" s="105"/>
      <c r="AN152" s="105"/>
      <c r="AO152" s="105"/>
      <c r="AP152" s="158"/>
      <c r="AQ152" s="930"/>
      <c r="AR152" s="473"/>
      <c r="AS152" s="106"/>
      <c r="AT152" s="1200"/>
      <c r="AU152" s="108"/>
      <c r="AV152" s="108"/>
      <c r="AW152" s="108"/>
      <c r="AX152" s="108"/>
      <c r="AY152" s="108"/>
      <c r="AZ152" s="165"/>
      <c r="BA152" s="1190"/>
      <c r="BB152" s="1214"/>
    </row>
    <row r="153" spans="1:54" s="495" customFormat="1" x14ac:dyDescent="0.25">
      <c r="A153" s="284"/>
      <c r="B153" s="651" t="s">
        <v>622</v>
      </c>
      <c r="C153" s="599" t="s">
        <v>556</v>
      </c>
      <c r="D153" s="600"/>
      <c r="E153" s="600"/>
      <c r="F153" s="600"/>
      <c r="G153" s="652">
        <v>6816.72</v>
      </c>
      <c r="H153" s="652">
        <v>6816.72</v>
      </c>
      <c r="I153" s="663"/>
      <c r="J153" s="297"/>
      <c r="K153" s="293"/>
      <c r="L153" s="293"/>
      <c r="M153" s="294"/>
      <c r="N153" s="659" t="str">
        <f>IF(C153="","",C153)</f>
        <v>Users</v>
      </c>
      <c r="O153" s="250"/>
      <c r="P153" s="760"/>
      <c r="Q153" s="55">
        <f t="shared" ref="Q153:Q155" si="292">($O153*$G153)*$H153</f>
        <v>0</v>
      </c>
      <c r="R153" s="55">
        <f t="shared" si="291"/>
        <v>0</v>
      </c>
      <c r="S153" s="55">
        <f t="shared" si="291"/>
        <v>0</v>
      </c>
      <c r="T153" s="55">
        <f t="shared" si="291"/>
        <v>0</v>
      </c>
      <c r="U153" s="55">
        <f t="shared" si="291"/>
        <v>0</v>
      </c>
      <c r="V153" s="212">
        <f>SUM(Q153:U153)</f>
        <v>0</v>
      </c>
      <c r="W153" s="527"/>
      <c r="X153" s="102"/>
      <c r="Y153" s="324"/>
      <c r="Z153" s="774"/>
      <c r="AA153" s="103"/>
      <c r="AB153" s="103"/>
      <c r="AC153" s="103"/>
      <c r="AD153" s="103"/>
      <c r="AE153" s="103"/>
      <c r="AF153" s="123"/>
      <c r="AG153" s="813"/>
      <c r="AH153" s="370"/>
      <c r="AI153" s="221"/>
      <c r="AJ153" s="271"/>
      <c r="AK153" s="105"/>
      <c r="AL153" s="105"/>
      <c r="AM153" s="105"/>
      <c r="AN153" s="105"/>
      <c r="AO153" s="105"/>
      <c r="AP153" s="158"/>
      <c r="AQ153" s="930"/>
      <c r="AR153" s="473"/>
      <c r="AS153" s="106"/>
      <c r="AT153" s="1200"/>
      <c r="AU153" s="108"/>
      <c r="AV153" s="108"/>
      <c r="AW153" s="108"/>
      <c r="AX153" s="108"/>
      <c r="AY153" s="108"/>
      <c r="AZ153" s="165"/>
      <c r="BA153" s="1190"/>
      <c r="BB153" s="1214"/>
    </row>
    <row r="154" spans="1:54" s="495" customFormat="1" x14ac:dyDescent="0.25">
      <c r="A154" s="284"/>
      <c r="B154" s="651" t="s">
        <v>622</v>
      </c>
      <c r="C154" s="599" t="s">
        <v>557</v>
      </c>
      <c r="D154" s="600"/>
      <c r="E154" s="600"/>
      <c r="F154" s="600"/>
      <c r="G154" s="652">
        <v>82.28</v>
      </c>
      <c r="H154" s="652">
        <v>82.28</v>
      </c>
      <c r="I154" s="663"/>
      <c r="J154" s="297"/>
      <c r="K154" s="293"/>
      <c r="L154" s="293"/>
      <c r="M154" s="294"/>
      <c r="N154" s="659" t="str">
        <f>IF(C154="","",C154)</f>
        <v>NSFs</v>
      </c>
      <c r="O154" s="250"/>
      <c r="P154" s="760"/>
      <c r="Q154" s="55">
        <f t="shared" si="292"/>
        <v>0</v>
      </c>
      <c r="R154" s="55">
        <f t="shared" si="291"/>
        <v>0</v>
      </c>
      <c r="S154" s="55">
        <f t="shared" si="291"/>
        <v>0</v>
      </c>
      <c r="T154" s="55">
        <f t="shared" si="291"/>
        <v>0</v>
      </c>
      <c r="U154" s="55">
        <f t="shared" si="291"/>
        <v>0</v>
      </c>
      <c r="V154" s="212">
        <f>SUM(Q154:U154)</f>
        <v>0</v>
      </c>
      <c r="W154" s="527"/>
      <c r="X154" s="102"/>
      <c r="Y154" s="324"/>
      <c r="Z154" s="774"/>
      <c r="AA154" s="103"/>
      <c r="AB154" s="103"/>
      <c r="AC154" s="103"/>
      <c r="AD154" s="103"/>
      <c r="AE154" s="103"/>
      <c r="AF154" s="123"/>
      <c r="AG154" s="813"/>
      <c r="AH154" s="370"/>
      <c r="AI154" s="221"/>
      <c r="AJ154" s="271"/>
      <c r="AK154" s="105"/>
      <c r="AL154" s="105"/>
      <c r="AM154" s="105"/>
      <c r="AN154" s="105"/>
      <c r="AO154" s="105"/>
      <c r="AP154" s="158"/>
      <c r="AQ154" s="930"/>
      <c r="AR154" s="473"/>
      <c r="AS154" s="106"/>
      <c r="AT154" s="1200"/>
      <c r="AU154" s="108"/>
      <c r="AV154" s="108"/>
      <c r="AW154" s="108"/>
      <c r="AX154" s="108"/>
      <c r="AY154" s="108"/>
      <c r="AZ154" s="165"/>
      <c r="BA154" s="1190"/>
      <c r="BB154" s="1214"/>
    </row>
    <row r="155" spans="1:54" s="495" customFormat="1" x14ac:dyDescent="0.25">
      <c r="A155" s="284"/>
      <c r="B155" s="651" t="s">
        <v>622</v>
      </c>
      <c r="C155" s="599" t="s">
        <v>558</v>
      </c>
      <c r="D155" s="600"/>
      <c r="E155" s="600"/>
      <c r="F155" s="600"/>
      <c r="G155" s="652">
        <v>55.85</v>
      </c>
      <c r="H155" s="652">
        <v>55.85</v>
      </c>
      <c r="I155" s="663"/>
      <c r="J155" s="297"/>
      <c r="K155" s="293"/>
      <c r="L155" s="293"/>
      <c r="M155" s="294"/>
      <c r="N155" s="659" t="str">
        <f>IF(C155="","",C155)</f>
        <v>Fraud Management</v>
      </c>
      <c r="O155" s="250"/>
      <c r="P155" s="760"/>
      <c r="Q155" s="55">
        <f t="shared" si="292"/>
        <v>0</v>
      </c>
      <c r="R155" s="55">
        <f t="shared" si="291"/>
        <v>0</v>
      </c>
      <c r="S155" s="55">
        <f t="shared" si="291"/>
        <v>0</v>
      </c>
      <c r="T155" s="55">
        <f t="shared" si="291"/>
        <v>0</v>
      </c>
      <c r="U155" s="55">
        <f t="shared" si="291"/>
        <v>0</v>
      </c>
      <c r="V155" s="212">
        <f>SUM(Q155:U155)</f>
        <v>0</v>
      </c>
      <c r="W155" s="527"/>
      <c r="X155" s="102"/>
      <c r="Y155" s="324"/>
      <c r="Z155" s="774"/>
      <c r="AA155" s="103"/>
      <c r="AB155" s="103"/>
      <c r="AC155" s="103"/>
      <c r="AD155" s="103"/>
      <c r="AE155" s="103"/>
      <c r="AF155" s="123"/>
      <c r="AG155" s="813"/>
      <c r="AH155" s="370"/>
      <c r="AI155" s="221"/>
      <c r="AJ155" s="271"/>
      <c r="AK155" s="105"/>
      <c r="AL155" s="105"/>
      <c r="AM155" s="105"/>
      <c r="AN155" s="105"/>
      <c r="AO155" s="105"/>
      <c r="AP155" s="158"/>
      <c r="AQ155" s="930"/>
      <c r="AR155" s="473"/>
      <c r="AS155" s="106"/>
      <c r="AT155" s="1200"/>
      <c r="AU155" s="108"/>
      <c r="AV155" s="108"/>
      <c r="AW155" s="108"/>
      <c r="AX155" s="108"/>
      <c r="AY155" s="108"/>
      <c r="AZ155" s="165"/>
      <c r="BA155" s="1190"/>
      <c r="BB155" s="1214"/>
    </row>
    <row r="156" spans="1:54" s="495" customFormat="1" x14ac:dyDescent="0.25">
      <c r="A156" s="284"/>
      <c r="B156" s="283"/>
      <c r="C156" s="599"/>
      <c r="D156" s="600"/>
      <c r="E156" s="600"/>
      <c r="F156" s="600"/>
      <c r="G156" s="284"/>
      <c r="H156" s="284"/>
      <c r="I156" s="663"/>
      <c r="J156" s="297"/>
      <c r="K156" s="293"/>
      <c r="L156" s="293"/>
      <c r="M156" s="294"/>
      <c r="N156" s="53"/>
      <c r="O156" s="250"/>
      <c r="P156" s="760"/>
      <c r="Q156" s="55"/>
      <c r="R156" s="55"/>
      <c r="S156" s="55"/>
      <c r="T156" s="55"/>
      <c r="U156" s="55"/>
      <c r="V156" s="212"/>
      <c r="W156" s="528"/>
      <c r="X156" s="102"/>
      <c r="Y156" s="324"/>
      <c r="Z156" s="774"/>
      <c r="AA156" s="103"/>
      <c r="AB156" s="103"/>
      <c r="AC156" s="103"/>
      <c r="AD156" s="103"/>
      <c r="AE156" s="103"/>
      <c r="AF156" s="123"/>
      <c r="AG156" s="813"/>
      <c r="AH156" s="370"/>
      <c r="AI156" s="221"/>
      <c r="AJ156" s="271"/>
      <c r="AK156" s="105"/>
      <c r="AL156" s="105"/>
      <c r="AM156" s="105"/>
      <c r="AN156" s="105"/>
      <c r="AO156" s="105"/>
      <c r="AP156" s="158"/>
      <c r="AQ156" s="930"/>
      <c r="AR156" s="473"/>
      <c r="AS156" s="106"/>
      <c r="AT156" s="1200"/>
      <c r="AU156" s="108"/>
      <c r="AV156" s="108"/>
      <c r="AW156" s="108"/>
      <c r="AX156" s="108"/>
      <c r="AY156" s="108"/>
      <c r="AZ156" s="165"/>
      <c r="BA156" s="1190"/>
      <c r="BB156" s="1214"/>
    </row>
    <row r="157" spans="1:54" s="495" customFormat="1" x14ac:dyDescent="0.25">
      <c r="A157" s="253"/>
      <c r="B157" s="374"/>
      <c r="C157" s="242" t="s">
        <v>623</v>
      </c>
      <c r="D157" s="608"/>
      <c r="E157" s="608"/>
      <c r="F157" s="608"/>
      <c r="G157" s="243"/>
      <c r="H157" s="243"/>
      <c r="I157" s="663"/>
      <c r="J157" s="297"/>
      <c r="K157" s="293"/>
      <c r="L157" s="293"/>
      <c r="M157" s="294"/>
      <c r="N157" s="252" t="str">
        <f>IF(C157="","",C157)</f>
        <v>Verisign SSL Encryption Annual Items:</v>
      </c>
      <c r="O157" s="243"/>
      <c r="P157" s="756"/>
      <c r="Q157" s="243"/>
      <c r="R157" s="243"/>
      <c r="S157" s="243"/>
      <c r="T157" s="243"/>
      <c r="U157" s="244"/>
      <c r="V157" s="209"/>
      <c r="W157" s="527"/>
      <c r="X157" s="102"/>
      <c r="Y157" s="324"/>
      <c r="Z157" s="774"/>
      <c r="AA157" s="103"/>
      <c r="AB157" s="103"/>
      <c r="AC157" s="103"/>
      <c r="AD157" s="103"/>
      <c r="AE157" s="103"/>
      <c r="AF157" s="123"/>
      <c r="AG157" s="813"/>
      <c r="AH157" s="370"/>
      <c r="AI157" s="221"/>
      <c r="AJ157" s="271"/>
      <c r="AK157" s="105"/>
      <c r="AL157" s="105"/>
      <c r="AM157" s="105"/>
      <c r="AN157" s="105"/>
      <c r="AO157" s="105"/>
      <c r="AP157" s="158"/>
      <c r="AQ157" s="930"/>
      <c r="AR157" s="473"/>
      <c r="AS157" s="106"/>
      <c r="AT157" s="1200"/>
      <c r="AU157" s="108"/>
      <c r="AV157" s="108"/>
      <c r="AW157" s="108"/>
      <c r="AX157" s="108"/>
      <c r="AY157" s="108"/>
      <c r="AZ157" s="165"/>
      <c r="BA157" s="1190"/>
      <c r="BB157" s="1214"/>
    </row>
    <row r="158" spans="1:54" s="495" customFormat="1" x14ac:dyDescent="0.25">
      <c r="A158" s="284"/>
      <c r="B158" s="651" t="s">
        <v>624</v>
      </c>
      <c r="C158" s="599" t="s">
        <v>625</v>
      </c>
      <c r="D158" s="600"/>
      <c r="E158" s="600"/>
      <c r="F158" s="600"/>
      <c r="G158" s="284">
        <v>1</v>
      </c>
      <c r="H158" s="284">
        <v>1</v>
      </c>
      <c r="I158" s="663"/>
      <c r="J158" s="297"/>
      <c r="K158" s="293"/>
      <c r="L158" s="293"/>
      <c r="M158" s="294"/>
      <c r="N158" s="659" t="str">
        <f>IF(C158="","",C158)</f>
        <v>1 Verisign Standard SSL Encryption Certificate (Per Site)</v>
      </c>
      <c r="O158" s="250">
        <v>1370.98</v>
      </c>
      <c r="P158" s="760"/>
      <c r="Q158" s="55">
        <f>($O158*$G158)*$H158</f>
        <v>1370.98</v>
      </c>
      <c r="R158" s="55">
        <f t="shared" ref="R158:U158" si="293">($O158*$G158)*$H158</f>
        <v>1370.98</v>
      </c>
      <c r="S158" s="55">
        <f t="shared" si="293"/>
        <v>1370.98</v>
      </c>
      <c r="T158" s="55">
        <f t="shared" si="293"/>
        <v>1370.98</v>
      </c>
      <c r="U158" s="55">
        <f t="shared" si="293"/>
        <v>1370.98</v>
      </c>
      <c r="V158" s="212">
        <f>SUM(Q158:U158)</f>
        <v>6854.9</v>
      </c>
      <c r="W158" s="527"/>
      <c r="X158" s="102"/>
      <c r="Y158" s="324"/>
      <c r="Z158" s="774"/>
      <c r="AA158" s="103"/>
      <c r="AB158" s="103"/>
      <c r="AC158" s="103"/>
      <c r="AD158" s="103"/>
      <c r="AE158" s="103"/>
      <c r="AF158" s="123"/>
      <c r="AG158" s="813"/>
      <c r="AH158" s="370"/>
      <c r="AI158" s="221"/>
      <c r="AJ158" s="271"/>
      <c r="AK158" s="105"/>
      <c r="AL158" s="105"/>
      <c r="AM158" s="105"/>
      <c r="AN158" s="105"/>
      <c r="AO158" s="105"/>
      <c r="AP158" s="158"/>
      <c r="AQ158" s="930"/>
      <c r="AR158" s="473"/>
      <c r="AS158" s="106"/>
      <c r="AT158" s="1200"/>
      <c r="AU158" s="108"/>
      <c r="AV158" s="108"/>
      <c r="AW158" s="108"/>
      <c r="AX158" s="108"/>
      <c r="AY158" s="108"/>
      <c r="AZ158" s="165"/>
      <c r="BA158" s="1190"/>
      <c r="BB158" s="1214"/>
    </row>
    <row r="159" spans="1:54" s="495" customFormat="1" x14ac:dyDescent="0.25">
      <c r="A159" s="284"/>
      <c r="B159" s="283"/>
      <c r="C159" s="599"/>
      <c r="D159" s="600"/>
      <c r="E159" s="600"/>
      <c r="F159" s="600"/>
      <c r="G159" s="284"/>
      <c r="H159" s="284"/>
      <c r="I159" s="663"/>
      <c r="J159" s="297"/>
      <c r="K159" s="293"/>
      <c r="L159" s="293"/>
      <c r="M159" s="294"/>
      <c r="N159" s="53"/>
      <c r="O159" s="250"/>
      <c r="P159" s="760"/>
      <c r="Q159" s="55"/>
      <c r="R159" s="55"/>
      <c r="S159" s="55"/>
      <c r="T159" s="55"/>
      <c r="U159" s="55"/>
      <c r="V159" s="212"/>
      <c r="W159" s="528"/>
      <c r="X159" s="102"/>
      <c r="Y159" s="324"/>
      <c r="Z159" s="774"/>
      <c r="AA159" s="103"/>
      <c r="AB159" s="103"/>
      <c r="AC159" s="103"/>
      <c r="AD159" s="103"/>
      <c r="AE159" s="103"/>
      <c r="AF159" s="123"/>
      <c r="AG159" s="813"/>
      <c r="AH159" s="370"/>
      <c r="AI159" s="221"/>
      <c r="AJ159" s="271"/>
      <c r="AK159" s="105"/>
      <c r="AL159" s="105"/>
      <c r="AM159" s="105"/>
      <c r="AN159" s="105"/>
      <c r="AO159" s="105"/>
      <c r="AP159" s="158"/>
      <c r="AQ159" s="930"/>
      <c r="AR159" s="473"/>
      <c r="AS159" s="106"/>
      <c r="AT159" s="1200"/>
      <c r="AU159" s="108"/>
      <c r="AV159" s="108"/>
      <c r="AW159" s="108"/>
      <c r="AX159" s="108"/>
      <c r="AY159" s="108"/>
      <c r="AZ159" s="165"/>
      <c r="BA159" s="1190"/>
      <c r="BB159" s="1214"/>
    </row>
    <row r="160" spans="1:54" ht="3.75" customHeight="1" x14ac:dyDescent="0.25">
      <c r="A160" s="607"/>
      <c r="B160" s="16"/>
      <c r="C160" s="263"/>
      <c r="D160" s="607"/>
      <c r="E160" s="607"/>
      <c r="F160" s="607"/>
      <c r="G160" s="607"/>
      <c r="H160" s="16"/>
      <c r="I160" s="18"/>
      <c r="J160" s="18"/>
      <c r="K160" s="18"/>
      <c r="L160" s="18"/>
      <c r="M160" s="18"/>
      <c r="N160" s="16"/>
      <c r="O160" s="19"/>
      <c r="P160" s="755"/>
      <c r="Q160" s="17"/>
      <c r="R160" s="17"/>
      <c r="S160" s="17"/>
      <c r="T160" s="17"/>
      <c r="U160" s="17"/>
      <c r="V160" s="17"/>
      <c r="W160" s="21"/>
      <c r="X160" s="16"/>
      <c r="Y160" s="20"/>
      <c r="Z160" s="773"/>
      <c r="AA160" s="21"/>
      <c r="AB160" s="21"/>
      <c r="AC160" s="21"/>
      <c r="AD160" s="21"/>
      <c r="AE160" s="21"/>
      <c r="AF160" s="21"/>
      <c r="AG160" s="811"/>
      <c r="AH160" s="21"/>
      <c r="AI160" s="263"/>
      <c r="AJ160" s="20"/>
      <c r="AK160" s="21"/>
      <c r="AL160" s="21"/>
      <c r="AM160" s="21"/>
      <c r="AN160" s="21"/>
      <c r="AO160" s="21"/>
      <c r="AP160" s="21"/>
      <c r="AQ160" s="811"/>
      <c r="AR160" s="21"/>
      <c r="AS160" s="20"/>
      <c r="AT160" s="20"/>
      <c r="AU160" s="20"/>
      <c r="AV160" s="20"/>
      <c r="AW160" s="20"/>
      <c r="AX160" s="20"/>
      <c r="AY160" s="20"/>
      <c r="AZ160" s="22"/>
      <c r="BA160" s="1188"/>
      <c r="BB160" s="21"/>
    </row>
    <row r="161" spans="1:54" s="495" customFormat="1" x14ac:dyDescent="0.25">
      <c r="A161" s="677"/>
      <c r="B161" s="77"/>
      <c r="C161" s="298" t="s">
        <v>418</v>
      </c>
      <c r="D161" s="610"/>
      <c r="E161" s="610"/>
      <c r="F161" s="610"/>
      <c r="G161" s="610"/>
      <c r="H161" s="115"/>
      <c r="I161" s="664"/>
      <c r="J161" s="665"/>
      <c r="K161" s="666"/>
      <c r="L161" s="666"/>
      <c r="M161" s="667"/>
      <c r="N161" s="304" t="str">
        <f>C161</f>
        <v>Annual and Quarterly Fees Sum:</v>
      </c>
      <c r="O161" s="303"/>
      <c r="P161" s="762"/>
      <c r="Q161" s="146">
        <f>SUM(Q152:Q159)</f>
        <v>1370.98</v>
      </c>
      <c r="R161" s="146">
        <f>SUM(R152:R159)</f>
        <v>1370.98</v>
      </c>
      <c r="S161" s="146">
        <f>SUM(S152:S159)</f>
        <v>1370.98</v>
      </c>
      <c r="T161" s="146">
        <f>SUM(T152:T159)</f>
        <v>1370.98</v>
      </c>
      <c r="U161" s="146">
        <f>SUM(U152:U159)</f>
        <v>1370.98</v>
      </c>
      <c r="V161" s="210">
        <f>SUM(Q161:U178)</f>
        <v>6854.9</v>
      </c>
      <c r="W161" s="528"/>
      <c r="X161" s="102"/>
      <c r="Y161" s="324"/>
      <c r="Z161" s="774"/>
      <c r="AA161" s="103"/>
      <c r="AB161" s="103"/>
      <c r="AC161" s="103"/>
      <c r="AD161" s="103"/>
      <c r="AE161" s="103"/>
      <c r="AF161" s="123"/>
      <c r="AG161" s="813"/>
      <c r="AH161" s="370"/>
      <c r="AI161" s="221"/>
      <c r="AJ161" s="271"/>
      <c r="AK161" s="105"/>
      <c r="AL161" s="105"/>
      <c r="AM161" s="105"/>
      <c r="AN161" s="105"/>
      <c r="AO161" s="105"/>
      <c r="AP161" s="158"/>
      <c r="AQ161" s="930"/>
      <c r="AR161" s="473"/>
      <c r="AS161" s="106"/>
      <c r="AT161" s="1200"/>
      <c r="AU161" s="108"/>
      <c r="AV161" s="108"/>
      <c r="AW161" s="108"/>
      <c r="AX161" s="108"/>
      <c r="AY161" s="108"/>
      <c r="AZ161" s="165"/>
      <c r="BA161" s="1190"/>
      <c r="BB161" s="1214"/>
    </row>
    <row r="162" spans="1:54" ht="3.75" customHeight="1" x14ac:dyDescent="0.25">
      <c r="A162" s="607"/>
      <c r="B162" s="16"/>
      <c r="C162" s="263"/>
      <c r="D162" s="607"/>
      <c r="E162" s="607"/>
      <c r="F162" s="607"/>
      <c r="G162" s="607"/>
      <c r="H162" s="16"/>
      <c r="I162" s="18"/>
      <c r="J162" s="18"/>
      <c r="K162" s="18"/>
      <c r="L162" s="18"/>
      <c r="M162" s="18"/>
      <c r="N162" s="16"/>
      <c r="O162" s="19"/>
      <c r="P162" s="755"/>
      <c r="Q162" s="17"/>
      <c r="R162" s="17"/>
      <c r="S162" s="17"/>
      <c r="T162" s="17"/>
      <c r="U162" s="17"/>
      <c r="V162" s="17"/>
      <c r="W162" s="21"/>
      <c r="X162" s="16"/>
      <c r="Y162" s="20"/>
      <c r="Z162" s="773"/>
      <c r="AA162" s="21"/>
      <c r="AB162" s="21"/>
      <c r="AC162" s="21"/>
      <c r="AD162" s="21"/>
      <c r="AE162" s="21"/>
      <c r="AF162" s="21"/>
      <c r="AG162" s="811"/>
      <c r="AH162" s="21"/>
      <c r="AI162" s="263"/>
      <c r="AJ162" s="20"/>
      <c r="AK162" s="21"/>
      <c r="AL162" s="21"/>
      <c r="AM162" s="21"/>
      <c r="AN162" s="21"/>
      <c r="AO162" s="21"/>
      <c r="AP162" s="21"/>
      <c r="AQ162" s="811"/>
      <c r="AR162" s="21"/>
      <c r="AS162" s="20"/>
      <c r="AT162" s="20"/>
      <c r="AU162" s="20"/>
      <c r="AV162" s="20"/>
      <c r="AW162" s="20"/>
      <c r="AX162" s="20"/>
      <c r="AY162" s="20"/>
      <c r="AZ162" s="22"/>
      <c r="BA162" s="1188"/>
      <c r="BB162" s="21"/>
    </row>
    <row r="163" spans="1:54" s="494" customFormat="1" ht="37.5" x14ac:dyDescent="0.3">
      <c r="A163" s="101"/>
      <c r="B163" s="101" t="s">
        <v>393</v>
      </c>
      <c r="C163" s="669" t="s">
        <v>626</v>
      </c>
      <c r="D163" s="668"/>
      <c r="E163" s="603"/>
      <c r="F163" s="603"/>
      <c r="G163" s="603" t="s">
        <v>395</v>
      </c>
      <c r="H163" s="652"/>
      <c r="I163" s="1222" t="s">
        <v>41</v>
      </c>
      <c r="J163" s="1223" t="s">
        <v>42</v>
      </c>
      <c r="K163" s="1223" t="s">
        <v>43</v>
      </c>
      <c r="L163" s="1223" t="s">
        <v>44</v>
      </c>
      <c r="M163" s="1223" t="s">
        <v>45</v>
      </c>
      <c r="N163" s="29" t="s">
        <v>394</v>
      </c>
      <c r="O163" s="359" t="s">
        <v>47</v>
      </c>
      <c r="P163" s="754"/>
      <c r="Q163" s="30" t="s">
        <v>48</v>
      </c>
      <c r="R163" s="30" t="s">
        <v>49</v>
      </c>
      <c r="S163" s="30" t="s">
        <v>50</v>
      </c>
      <c r="T163" s="30" t="s">
        <v>51</v>
      </c>
      <c r="U163" s="30" t="s">
        <v>52</v>
      </c>
      <c r="V163" s="208" t="s">
        <v>53</v>
      </c>
      <c r="W163" s="526" t="s">
        <v>54</v>
      </c>
      <c r="X163" s="235" t="s">
        <v>55</v>
      </c>
      <c r="Y163" s="323" t="s">
        <v>47</v>
      </c>
      <c r="Z163" s="772"/>
      <c r="AA163" s="31" t="s">
        <v>48</v>
      </c>
      <c r="AB163" s="31" t="s">
        <v>49</v>
      </c>
      <c r="AC163" s="31" t="s">
        <v>50</v>
      </c>
      <c r="AD163" s="31" t="s">
        <v>51</v>
      </c>
      <c r="AE163" s="31" t="s">
        <v>52</v>
      </c>
      <c r="AF163" s="122" t="s">
        <v>58</v>
      </c>
      <c r="AG163" s="807"/>
      <c r="AH163" s="373" t="s">
        <v>54</v>
      </c>
      <c r="AI163" s="32" t="s">
        <v>55</v>
      </c>
      <c r="AJ163" s="254" t="s">
        <v>47</v>
      </c>
      <c r="AK163" s="33" t="s">
        <v>48</v>
      </c>
      <c r="AL163" s="33" t="s">
        <v>49</v>
      </c>
      <c r="AM163" s="33" t="s">
        <v>50</v>
      </c>
      <c r="AN163" s="33" t="s">
        <v>51</v>
      </c>
      <c r="AO163" s="33" t="s">
        <v>52</v>
      </c>
      <c r="AP163" s="157" t="s">
        <v>58</v>
      </c>
      <c r="AQ163" s="928"/>
      <c r="AR163" s="33" t="s">
        <v>54</v>
      </c>
      <c r="AS163" s="236" t="s">
        <v>55</v>
      </c>
      <c r="AT163" s="1201" t="s">
        <v>47</v>
      </c>
      <c r="AU163" s="37" t="s">
        <v>48</v>
      </c>
      <c r="AV163" s="37" t="s">
        <v>49</v>
      </c>
      <c r="AW163" s="37" t="s">
        <v>50</v>
      </c>
      <c r="AX163" s="37" t="s">
        <v>51</v>
      </c>
      <c r="AY163" s="37" t="s">
        <v>52</v>
      </c>
      <c r="AZ163" s="164" t="s">
        <v>58</v>
      </c>
      <c r="BA163" s="1187"/>
      <c r="BB163" s="354" t="s">
        <v>54</v>
      </c>
    </row>
    <row r="164" spans="1:54" s="495" customFormat="1" x14ac:dyDescent="0.25">
      <c r="A164" s="890"/>
      <c r="B164" s="654" t="s">
        <v>627</v>
      </c>
      <c r="C164" s="599" t="s">
        <v>628</v>
      </c>
      <c r="D164" s="600"/>
      <c r="E164" s="600"/>
      <c r="F164" s="600"/>
      <c r="G164" s="652"/>
      <c r="H164" s="652">
        <v>1</v>
      </c>
      <c r="I164" s="127">
        <f>H164*12</f>
        <v>12</v>
      </c>
      <c r="J164" s="127">
        <f t="shared" ref="J164:J169" si="294">IF(I164&gt;12,(((I164)*$H$5)+I164),(I164*1))</f>
        <v>12</v>
      </c>
      <c r="K164" s="127">
        <f t="shared" ref="K164:K169" si="295">IF(J164&gt;12,(((J164)*$H$5)+J164),(J164*1))</f>
        <v>12</v>
      </c>
      <c r="L164" s="127">
        <f t="shared" ref="L164:L169" si="296">IF(K164&gt;12,(((K164)*$H$5)+K164),(K164*1))</f>
        <v>12</v>
      </c>
      <c r="M164" s="127">
        <f t="shared" ref="M164:M169" si="297">IF(L164&gt;12,(((L164)*$H$5)+L164),(L164*1))</f>
        <v>12</v>
      </c>
      <c r="N164" s="659"/>
      <c r="O164" s="250"/>
      <c r="P164" s="760"/>
      <c r="Q164" s="55"/>
      <c r="R164" s="55"/>
      <c r="S164" s="55"/>
      <c r="T164" s="55"/>
      <c r="U164" s="55"/>
      <c r="V164" s="212"/>
      <c r="W164" s="527"/>
      <c r="X164" s="102"/>
      <c r="Y164" s="324"/>
      <c r="Z164" s="774"/>
      <c r="AA164" s="103"/>
      <c r="AB164" s="103"/>
      <c r="AC164" s="103"/>
      <c r="AD164" s="103"/>
      <c r="AE164" s="103"/>
      <c r="AF164" s="123"/>
      <c r="AG164" s="813"/>
      <c r="AH164" s="370"/>
      <c r="AI164" s="221"/>
      <c r="AJ164" s="271"/>
      <c r="AK164" s="105"/>
      <c r="AL164" s="105"/>
      <c r="AM164" s="105"/>
      <c r="AN164" s="105"/>
      <c r="AO164" s="105"/>
      <c r="AP164" s="158"/>
      <c r="AQ164" s="930"/>
      <c r="AR164" s="473"/>
      <c r="AS164" s="106" t="str">
        <f>C164</f>
        <v>Digital Banking Platform Monthly Fees Discount</v>
      </c>
      <c r="AT164" s="1200">
        <v>-5200</v>
      </c>
      <c r="AU164" s="108">
        <f>IF($AT164&lt;0,PRODUCT(I164,$AT164),0)</f>
        <v>-62400</v>
      </c>
      <c r="AV164" s="108">
        <f t="shared" ref="AV164:AY164" si="298">IF($AT164&lt;0,PRODUCT(J164,$AT164),0)</f>
        <v>-62400</v>
      </c>
      <c r="AW164" s="108">
        <f t="shared" si="298"/>
        <v>-62400</v>
      </c>
      <c r="AX164" s="108">
        <f t="shared" si="298"/>
        <v>-62400</v>
      </c>
      <c r="AY164" s="108">
        <f t="shared" si="298"/>
        <v>-62400</v>
      </c>
      <c r="AZ164" s="165">
        <f t="shared" ref="AZ164:AZ169" si="299">SUM(AU164:AY164)</f>
        <v>-312000</v>
      </c>
      <c r="BA164" s="1190"/>
      <c r="BB164" s="1214"/>
    </row>
    <row r="165" spans="1:54" s="495" customFormat="1" x14ac:dyDescent="0.25">
      <c r="A165" s="890"/>
      <c r="B165" s="654" t="s">
        <v>627</v>
      </c>
      <c r="C165" s="599" t="s">
        <v>629</v>
      </c>
      <c r="D165" s="600"/>
      <c r="E165" s="600"/>
      <c r="F165" s="600"/>
      <c r="G165" s="652"/>
      <c r="H165" s="652">
        <v>1</v>
      </c>
      <c r="I165" s="127">
        <f t="shared" ref="I165:I169" si="300">H165*12</f>
        <v>12</v>
      </c>
      <c r="J165" s="127">
        <f t="shared" si="294"/>
        <v>12</v>
      </c>
      <c r="K165" s="127">
        <f t="shared" si="295"/>
        <v>12</v>
      </c>
      <c r="L165" s="127">
        <f t="shared" si="296"/>
        <v>12</v>
      </c>
      <c r="M165" s="127">
        <f t="shared" si="297"/>
        <v>12</v>
      </c>
      <c r="N165" s="659"/>
      <c r="O165" s="250"/>
      <c r="P165" s="760"/>
      <c r="Q165" s="55"/>
      <c r="R165" s="55"/>
      <c r="S165" s="55"/>
      <c r="T165" s="55"/>
      <c r="U165" s="55"/>
      <c r="V165" s="212"/>
      <c r="W165" s="527"/>
      <c r="X165" s="102"/>
      <c r="Y165" s="324"/>
      <c r="Z165" s="774"/>
      <c r="AA165" s="103"/>
      <c r="AB165" s="103"/>
      <c r="AC165" s="103"/>
      <c r="AD165" s="103"/>
      <c r="AE165" s="103"/>
      <c r="AF165" s="123"/>
      <c r="AG165" s="813"/>
      <c r="AH165" s="370"/>
      <c r="AI165" s="221"/>
      <c r="AJ165" s="271"/>
      <c r="AK165" s="105"/>
      <c r="AL165" s="105"/>
      <c r="AM165" s="105"/>
      <c r="AN165" s="105"/>
      <c r="AO165" s="105"/>
      <c r="AP165" s="158"/>
      <c r="AQ165" s="930"/>
      <c r="AR165" s="473"/>
      <c r="AS165" s="106" t="str">
        <f>C165</f>
        <v>Adapters and Interfaces Monthly Fees Discount</v>
      </c>
      <c r="AT165" s="1200">
        <v>-452</v>
      </c>
      <c r="AU165" s="108">
        <f t="shared" ref="AU165:AU175" si="301">IF($AT165&lt;0,PRODUCT(I165,$AT165),0)</f>
        <v>-5424</v>
      </c>
      <c r="AV165" s="108">
        <f t="shared" ref="AV165:AV175" si="302">IF($AT165&lt;0,PRODUCT(J165,$AT165),0)</f>
        <v>-5424</v>
      </c>
      <c r="AW165" s="108">
        <f t="shared" ref="AW165:AW175" si="303">IF($AT165&lt;0,PRODUCT(K165,$AT165),0)</f>
        <v>-5424</v>
      </c>
      <c r="AX165" s="108">
        <f t="shared" ref="AX165:AX175" si="304">IF($AT165&lt;0,PRODUCT(L165,$AT165),0)</f>
        <v>-5424</v>
      </c>
      <c r="AY165" s="108">
        <f t="shared" ref="AY165:AY175" si="305">IF($AT165&lt;0,PRODUCT(M165,$AT165),0)</f>
        <v>-5424</v>
      </c>
      <c r="AZ165" s="165">
        <f t="shared" si="299"/>
        <v>-27120</v>
      </c>
      <c r="BA165" s="1190"/>
      <c r="BB165" s="1214"/>
    </row>
    <row r="166" spans="1:54" s="495" customFormat="1" x14ac:dyDescent="0.25">
      <c r="A166" s="890"/>
      <c r="B166" s="654" t="s">
        <v>627</v>
      </c>
      <c r="C166" s="599" t="s">
        <v>630</v>
      </c>
      <c r="D166" s="600"/>
      <c r="E166" s="600"/>
      <c r="F166" s="600"/>
      <c r="G166" s="652"/>
      <c r="H166" s="652">
        <v>1</v>
      </c>
      <c r="I166" s="127">
        <f t="shared" si="300"/>
        <v>12</v>
      </c>
      <c r="J166" s="127">
        <f t="shared" si="294"/>
        <v>12</v>
      </c>
      <c r="K166" s="127">
        <f t="shared" si="295"/>
        <v>12</v>
      </c>
      <c r="L166" s="127">
        <f t="shared" si="296"/>
        <v>12</v>
      </c>
      <c r="M166" s="127">
        <f t="shared" si="297"/>
        <v>12</v>
      </c>
      <c r="N166" s="659"/>
      <c r="O166" s="250"/>
      <c r="P166" s="760"/>
      <c r="Q166" s="55"/>
      <c r="R166" s="55"/>
      <c r="S166" s="55"/>
      <c r="T166" s="55"/>
      <c r="U166" s="55"/>
      <c r="V166" s="212"/>
      <c r="W166" s="527"/>
      <c r="X166" s="102"/>
      <c r="Y166" s="324"/>
      <c r="Z166" s="774"/>
      <c r="AA166" s="103"/>
      <c r="AB166" s="103"/>
      <c r="AC166" s="103"/>
      <c r="AD166" s="103"/>
      <c r="AE166" s="103"/>
      <c r="AF166" s="123"/>
      <c r="AG166" s="813"/>
      <c r="AH166" s="370"/>
      <c r="AI166" s="221"/>
      <c r="AJ166" s="271"/>
      <c r="AK166" s="105"/>
      <c r="AL166" s="105"/>
      <c r="AM166" s="105"/>
      <c r="AN166" s="105"/>
      <c r="AO166" s="105"/>
      <c r="AP166" s="158"/>
      <c r="AQ166" s="930"/>
      <c r="AR166" s="473"/>
      <c r="AS166" s="106" t="str">
        <f>C166</f>
        <v>Retail Solutions Monthly Fees Discount</v>
      </c>
      <c r="AT166" s="1200">
        <v>-3000</v>
      </c>
      <c r="AU166" s="108">
        <f t="shared" si="301"/>
        <v>-36000</v>
      </c>
      <c r="AV166" s="108">
        <f t="shared" si="302"/>
        <v>-36000</v>
      </c>
      <c r="AW166" s="108">
        <f t="shared" si="303"/>
        <v>-36000</v>
      </c>
      <c r="AX166" s="108">
        <f t="shared" si="304"/>
        <v>-36000</v>
      </c>
      <c r="AY166" s="108">
        <f t="shared" si="305"/>
        <v>-36000</v>
      </c>
      <c r="AZ166" s="165">
        <f t="shared" si="299"/>
        <v>-180000</v>
      </c>
      <c r="BA166" s="1190"/>
      <c r="BB166" s="1214"/>
    </row>
    <row r="167" spans="1:54" s="495" customFormat="1" x14ac:dyDescent="0.25">
      <c r="A167" s="890"/>
      <c r="B167" s="654" t="s">
        <v>627</v>
      </c>
      <c r="C167" s="599" t="s">
        <v>631</v>
      </c>
      <c r="D167" s="600"/>
      <c r="E167" s="600"/>
      <c r="F167" s="600"/>
      <c r="G167" s="652"/>
      <c r="H167" s="652">
        <v>1</v>
      </c>
      <c r="I167" s="127">
        <f t="shared" si="300"/>
        <v>12</v>
      </c>
      <c r="J167" s="127">
        <f t="shared" si="294"/>
        <v>12</v>
      </c>
      <c r="K167" s="127">
        <f t="shared" si="295"/>
        <v>12</v>
      </c>
      <c r="L167" s="127">
        <f t="shared" si="296"/>
        <v>12</v>
      </c>
      <c r="M167" s="127">
        <f t="shared" si="297"/>
        <v>12</v>
      </c>
      <c r="N167" s="659"/>
      <c r="O167" s="250"/>
      <c r="P167" s="760"/>
      <c r="Q167" s="55"/>
      <c r="R167" s="55"/>
      <c r="S167" s="55"/>
      <c r="T167" s="55"/>
      <c r="U167" s="55"/>
      <c r="V167" s="212"/>
      <c r="W167" s="527"/>
      <c r="X167" s="102"/>
      <c r="Y167" s="324"/>
      <c r="Z167" s="774"/>
      <c r="AA167" s="103"/>
      <c r="AB167" s="103"/>
      <c r="AC167" s="103"/>
      <c r="AD167" s="103"/>
      <c r="AE167" s="103"/>
      <c r="AF167" s="123"/>
      <c r="AG167" s="813"/>
      <c r="AH167" s="370"/>
      <c r="AI167" s="221"/>
      <c r="AJ167" s="271"/>
      <c r="AK167" s="105"/>
      <c r="AL167" s="105"/>
      <c r="AM167" s="105"/>
      <c r="AN167" s="105"/>
      <c r="AO167" s="105"/>
      <c r="AP167" s="158"/>
      <c r="AQ167" s="930"/>
      <c r="AR167" s="473"/>
      <c r="AS167" s="106" t="str">
        <f>C167</f>
        <v>Business Solutions Monthly Fees Discount</v>
      </c>
      <c r="AT167" s="1200">
        <v>-532</v>
      </c>
      <c r="AU167" s="108">
        <f t="shared" si="301"/>
        <v>-6384</v>
      </c>
      <c r="AV167" s="108">
        <f t="shared" si="302"/>
        <v>-6384</v>
      </c>
      <c r="AW167" s="108">
        <f t="shared" si="303"/>
        <v>-6384</v>
      </c>
      <c r="AX167" s="108">
        <f t="shared" si="304"/>
        <v>-6384</v>
      </c>
      <c r="AY167" s="108">
        <f t="shared" si="305"/>
        <v>-6384</v>
      </c>
      <c r="AZ167" s="165">
        <f t="shared" si="299"/>
        <v>-31920</v>
      </c>
      <c r="BA167" s="1190"/>
      <c r="BB167" s="1214"/>
    </row>
    <row r="168" spans="1:54" s="495" customFormat="1" x14ac:dyDescent="0.25">
      <c r="A168" s="890"/>
      <c r="B168" s="654" t="s">
        <v>627</v>
      </c>
      <c r="C168" s="599" t="s">
        <v>632</v>
      </c>
      <c r="D168" s="600"/>
      <c r="E168" s="600"/>
      <c r="F168" s="600"/>
      <c r="G168" s="284"/>
      <c r="H168" s="284">
        <v>1</v>
      </c>
      <c r="I168" s="127">
        <f t="shared" si="300"/>
        <v>12</v>
      </c>
      <c r="J168" s="127">
        <f t="shared" si="294"/>
        <v>12</v>
      </c>
      <c r="K168" s="127">
        <f t="shared" si="295"/>
        <v>12</v>
      </c>
      <c r="L168" s="127">
        <f t="shared" si="296"/>
        <v>12</v>
      </c>
      <c r="M168" s="127">
        <f t="shared" si="297"/>
        <v>12</v>
      </c>
      <c r="N168" s="53"/>
      <c r="O168" s="250"/>
      <c r="P168" s="760"/>
      <c r="Q168" s="55"/>
      <c r="R168" s="55"/>
      <c r="S168" s="55"/>
      <c r="T168" s="55"/>
      <c r="U168" s="55"/>
      <c r="V168" s="212"/>
      <c r="W168" s="528"/>
      <c r="X168" s="102"/>
      <c r="Y168" s="324"/>
      <c r="Z168" s="774"/>
      <c r="AA168" s="103"/>
      <c r="AB168" s="103"/>
      <c r="AC168" s="103"/>
      <c r="AD168" s="103"/>
      <c r="AE168" s="103"/>
      <c r="AF168" s="123"/>
      <c r="AG168" s="813"/>
      <c r="AH168" s="370"/>
      <c r="AI168" s="221"/>
      <c r="AJ168" s="271"/>
      <c r="AK168" s="105"/>
      <c r="AL168" s="105"/>
      <c r="AM168" s="105"/>
      <c r="AN168" s="105"/>
      <c r="AO168" s="105"/>
      <c r="AP168" s="158"/>
      <c r="AQ168" s="930"/>
      <c r="AR168" s="473"/>
      <c r="AS168" s="106" t="str">
        <f>C168</f>
        <v>Security Solutions Monthly Fees Discount</v>
      </c>
      <c r="AT168" s="1200">
        <v>-245</v>
      </c>
      <c r="AU168" s="108">
        <f t="shared" si="301"/>
        <v>-2940</v>
      </c>
      <c r="AV168" s="108">
        <f t="shared" si="302"/>
        <v>-2940</v>
      </c>
      <c r="AW168" s="108">
        <f t="shared" si="303"/>
        <v>-2940</v>
      </c>
      <c r="AX168" s="108">
        <f t="shared" si="304"/>
        <v>-2940</v>
      </c>
      <c r="AY168" s="108">
        <f t="shared" si="305"/>
        <v>-2940</v>
      </c>
      <c r="AZ168" s="165">
        <f t="shared" si="299"/>
        <v>-14700</v>
      </c>
      <c r="BA168" s="1190"/>
      <c r="BB168" s="1214"/>
    </row>
    <row r="169" spans="1:54" s="495" customFormat="1" x14ac:dyDescent="0.25">
      <c r="A169" s="890"/>
      <c r="B169" s="651"/>
      <c r="C169" s="599"/>
      <c r="D169" s="600"/>
      <c r="E169" s="600"/>
      <c r="F169" s="600"/>
      <c r="G169" s="284"/>
      <c r="H169" s="284"/>
      <c r="I169" s="127">
        <f t="shared" si="300"/>
        <v>0</v>
      </c>
      <c r="J169" s="127">
        <f t="shared" si="294"/>
        <v>0</v>
      </c>
      <c r="K169" s="127">
        <f t="shared" si="295"/>
        <v>0</v>
      </c>
      <c r="L169" s="127">
        <f t="shared" si="296"/>
        <v>0</v>
      </c>
      <c r="M169" s="127">
        <f t="shared" si="297"/>
        <v>0</v>
      </c>
      <c r="N169" s="659"/>
      <c r="O169" s="250"/>
      <c r="P169" s="760"/>
      <c r="Q169" s="55"/>
      <c r="R169" s="55"/>
      <c r="S169" s="55"/>
      <c r="T169" s="55"/>
      <c r="U169" s="55"/>
      <c r="V169" s="212"/>
      <c r="W169" s="527"/>
      <c r="X169" s="102"/>
      <c r="Y169" s="324"/>
      <c r="Z169" s="774"/>
      <c r="AA169" s="103"/>
      <c r="AB169" s="103"/>
      <c r="AC169" s="103"/>
      <c r="AD169" s="103"/>
      <c r="AE169" s="103"/>
      <c r="AF169" s="123"/>
      <c r="AG169" s="813"/>
      <c r="AH169" s="370"/>
      <c r="AI169" s="221"/>
      <c r="AJ169" s="271"/>
      <c r="AK169" s="105"/>
      <c r="AL169" s="105"/>
      <c r="AM169" s="105"/>
      <c r="AN169" s="105"/>
      <c r="AO169" s="105"/>
      <c r="AP169" s="158"/>
      <c r="AQ169" s="930"/>
      <c r="AR169" s="473"/>
      <c r="AS169" s="106"/>
      <c r="AT169" s="1200"/>
      <c r="AU169" s="108">
        <f t="shared" si="301"/>
        <v>0</v>
      </c>
      <c r="AV169" s="108">
        <f t="shared" si="302"/>
        <v>0</v>
      </c>
      <c r="AW169" s="108">
        <f t="shared" si="303"/>
        <v>0</v>
      </c>
      <c r="AX169" s="108">
        <f t="shared" si="304"/>
        <v>0</v>
      </c>
      <c r="AY169" s="108">
        <f t="shared" si="305"/>
        <v>0</v>
      </c>
      <c r="AZ169" s="165">
        <f t="shared" si="299"/>
        <v>0</v>
      </c>
      <c r="BA169" s="1190"/>
      <c r="BB169" s="1214"/>
    </row>
    <row r="170" spans="1:54" s="495" customFormat="1" x14ac:dyDescent="0.25">
      <c r="A170" s="890"/>
      <c r="B170" s="651" t="s">
        <v>633</v>
      </c>
      <c r="C170" s="599" t="s">
        <v>634</v>
      </c>
      <c r="D170" s="600"/>
      <c r="E170" s="600"/>
      <c r="F170" s="600"/>
      <c r="G170" s="652"/>
      <c r="H170" s="652">
        <v>1</v>
      </c>
      <c r="I170" s="127">
        <f t="shared" ref="I170:I175" si="306">H170*12</f>
        <v>12</v>
      </c>
      <c r="J170" s="1226">
        <v>0</v>
      </c>
      <c r="K170" s="1226">
        <v>0</v>
      </c>
      <c r="L170" s="1226">
        <v>0</v>
      </c>
      <c r="M170" s="1226">
        <v>0</v>
      </c>
      <c r="N170" s="659"/>
      <c r="O170" s="250"/>
      <c r="P170" s="760"/>
      <c r="Q170" s="55"/>
      <c r="R170" s="55"/>
      <c r="S170" s="55"/>
      <c r="T170" s="55"/>
      <c r="U170" s="55"/>
      <c r="V170" s="212"/>
      <c r="W170" s="527"/>
      <c r="X170" s="102"/>
      <c r="Y170" s="324"/>
      <c r="Z170" s="774"/>
      <c r="AA170" s="103"/>
      <c r="AB170" s="103"/>
      <c r="AC170" s="103"/>
      <c r="AD170" s="103"/>
      <c r="AE170" s="103"/>
      <c r="AF170" s="123"/>
      <c r="AG170" s="813"/>
      <c r="AH170" s="370"/>
      <c r="AI170" s="221"/>
      <c r="AJ170" s="271"/>
      <c r="AK170" s="105"/>
      <c r="AL170" s="105"/>
      <c r="AM170" s="105"/>
      <c r="AN170" s="105"/>
      <c r="AO170" s="105"/>
      <c r="AP170" s="158"/>
      <c r="AQ170" s="930"/>
      <c r="AR170" s="473"/>
      <c r="AS170" s="106" t="str">
        <f>C170</f>
        <v>Base Monthly Subscription Fee Discounts - Year 1</v>
      </c>
      <c r="AT170" s="1200">
        <v>-5000</v>
      </c>
      <c r="AU170" s="108">
        <f t="shared" si="301"/>
        <v>-60000</v>
      </c>
      <c r="AV170" s="108">
        <f t="shared" si="302"/>
        <v>0</v>
      </c>
      <c r="AW170" s="108">
        <f t="shared" si="303"/>
        <v>0</v>
      </c>
      <c r="AX170" s="108">
        <f t="shared" si="304"/>
        <v>0</v>
      </c>
      <c r="AY170" s="108">
        <f t="shared" si="305"/>
        <v>0</v>
      </c>
      <c r="AZ170" s="165">
        <f t="shared" ref="AZ170:AZ175" si="307">SUM(AU170:AY170)</f>
        <v>-60000</v>
      </c>
      <c r="BA170" s="1190"/>
      <c r="BB170" s="1214"/>
    </row>
    <row r="171" spans="1:54" s="495" customFormat="1" x14ac:dyDescent="0.25">
      <c r="A171" s="890"/>
      <c r="B171" s="651" t="s">
        <v>635</v>
      </c>
      <c r="C171" s="599" t="s">
        <v>636</v>
      </c>
      <c r="D171" s="600"/>
      <c r="E171" s="600"/>
      <c r="F171" s="600"/>
      <c r="G171" s="652"/>
      <c r="H171" s="652">
        <v>1</v>
      </c>
      <c r="I171" s="1226">
        <v>0</v>
      </c>
      <c r="J171" s="127">
        <v>12</v>
      </c>
      <c r="K171" s="1226">
        <v>0</v>
      </c>
      <c r="L171" s="1226">
        <v>0</v>
      </c>
      <c r="M171" s="1226">
        <v>0</v>
      </c>
      <c r="N171" s="659"/>
      <c r="O171" s="250"/>
      <c r="P171" s="760"/>
      <c r="Q171" s="55"/>
      <c r="R171" s="55"/>
      <c r="S171" s="55"/>
      <c r="T171" s="55"/>
      <c r="U171" s="55"/>
      <c r="V171" s="212"/>
      <c r="W171" s="527"/>
      <c r="X171" s="102"/>
      <c r="Y171" s="324"/>
      <c r="Z171" s="774"/>
      <c r="AA171" s="103"/>
      <c r="AB171" s="103"/>
      <c r="AC171" s="103"/>
      <c r="AD171" s="103"/>
      <c r="AE171" s="103"/>
      <c r="AF171" s="123"/>
      <c r="AG171" s="813"/>
      <c r="AH171" s="370"/>
      <c r="AI171" s="221"/>
      <c r="AJ171" s="271"/>
      <c r="AK171" s="105"/>
      <c r="AL171" s="105"/>
      <c r="AM171" s="105"/>
      <c r="AN171" s="105"/>
      <c r="AO171" s="105"/>
      <c r="AP171" s="158"/>
      <c r="AQ171" s="930"/>
      <c r="AR171" s="473"/>
      <c r="AS171" s="106" t="str">
        <f>C171</f>
        <v>Base Monthly Subscription Fee Discounts - Year 2</v>
      </c>
      <c r="AT171" s="1200">
        <v>-2500</v>
      </c>
      <c r="AU171" s="108">
        <f t="shared" si="301"/>
        <v>0</v>
      </c>
      <c r="AV171" s="108">
        <f t="shared" si="302"/>
        <v>-30000</v>
      </c>
      <c r="AW171" s="108">
        <f t="shared" si="303"/>
        <v>0</v>
      </c>
      <c r="AX171" s="108">
        <f t="shared" si="304"/>
        <v>0</v>
      </c>
      <c r="AY171" s="108">
        <f t="shared" si="305"/>
        <v>0</v>
      </c>
      <c r="AZ171" s="165">
        <f t="shared" si="307"/>
        <v>-30000</v>
      </c>
      <c r="BA171" s="1190"/>
      <c r="BB171" s="1214"/>
    </row>
    <row r="172" spans="1:54" s="495" customFormat="1" x14ac:dyDescent="0.25">
      <c r="A172" s="890"/>
      <c r="B172" s="651"/>
      <c r="C172" s="599"/>
      <c r="D172" s="600"/>
      <c r="E172" s="600"/>
      <c r="F172" s="600"/>
      <c r="G172" s="652"/>
      <c r="H172" s="652"/>
      <c r="I172" s="127">
        <f t="shared" si="306"/>
        <v>0</v>
      </c>
      <c r="J172" s="127">
        <f t="shared" ref="J172:J175" si="308">IF(I172&gt;12,(((I172)*$H$5)+I172),(I172*1))</f>
        <v>0</v>
      </c>
      <c r="K172" s="127">
        <f t="shared" ref="K172:K175" si="309">IF(J172&gt;12,(((J172)*$H$5)+J172),(J172*1))</f>
        <v>0</v>
      </c>
      <c r="L172" s="127">
        <f t="shared" ref="L172:L175" si="310">IF(K172&gt;12,(((K172)*$H$5)+K172),(K172*1))</f>
        <v>0</v>
      </c>
      <c r="M172" s="127">
        <f t="shared" ref="M172:M175" si="311">IF(L172&gt;12,(((L172)*$H$5)+L172),(L172*1))</f>
        <v>0</v>
      </c>
      <c r="N172" s="659"/>
      <c r="O172" s="250"/>
      <c r="P172" s="760"/>
      <c r="Q172" s="55"/>
      <c r="R172" s="55"/>
      <c r="S172" s="55"/>
      <c r="T172" s="55"/>
      <c r="U172" s="55"/>
      <c r="V172" s="212"/>
      <c r="W172" s="527"/>
      <c r="X172" s="102"/>
      <c r="Y172" s="324"/>
      <c r="Z172" s="774"/>
      <c r="AA172" s="103"/>
      <c r="AB172" s="103"/>
      <c r="AC172" s="103"/>
      <c r="AD172" s="103"/>
      <c r="AE172" s="103"/>
      <c r="AF172" s="123"/>
      <c r="AG172" s="813"/>
      <c r="AH172" s="370"/>
      <c r="AI172" s="221"/>
      <c r="AJ172" s="271"/>
      <c r="AK172" s="105"/>
      <c r="AL172" s="105"/>
      <c r="AM172" s="105"/>
      <c r="AN172" s="105"/>
      <c r="AO172" s="105"/>
      <c r="AP172" s="158"/>
      <c r="AQ172" s="930"/>
      <c r="AR172" s="473"/>
      <c r="AS172" s="106"/>
      <c r="AT172" s="1200"/>
      <c r="AU172" s="108">
        <f t="shared" si="301"/>
        <v>0</v>
      </c>
      <c r="AV172" s="108">
        <f t="shared" si="302"/>
        <v>0</v>
      </c>
      <c r="AW172" s="108">
        <f t="shared" si="303"/>
        <v>0</v>
      </c>
      <c r="AX172" s="108">
        <f t="shared" si="304"/>
        <v>0</v>
      </c>
      <c r="AY172" s="108">
        <f t="shared" si="305"/>
        <v>0</v>
      </c>
      <c r="AZ172" s="165">
        <f t="shared" si="307"/>
        <v>0</v>
      </c>
      <c r="BA172" s="1190"/>
      <c r="BB172" s="1214"/>
    </row>
    <row r="173" spans="1:54" s="495" customFormat="1" x14ac:dyDescent="0.25">
      <c r="A173" s="890"/>
      <c r="B173" s="283"/>
      <c r="C173" s="599"/>
      <c r="D173" s="600"/>
      <c r="E173" s="600"/>
      <c r="F173" s="600"/>
      <c r="G173" s="284"/>
      <c r="H173" s="284"/>
      <c r="I173" s="127">
        <f t="shared" si="306"/>
        <v>0</v>
      </c>
      <c r="J173" s="127">
        <f t="shared" si="308"/>
        <v>0</v>
      </c>
      <c r="K173" s="127">
        <f t="shared" si="309"/>
        <v>0</v>
      </c>
      <c r="L173" s="127">
        <f t="shared" si="310"/>
        <v>0</v>
      </c>
      <c r="M173" s="127">
        <f t="shared" si="311"/>
        <v>0</v>
      </c>
      <c r="N173" s="53"/>
      <c r="O173" s="250"/>
      <c r="P173" s="760"/>
      <c r="Q173" s="55"/>
      <c r="R173" s="55"/>
      <c r="S173" s="55"/>
      <c r="T173" s="55"/>
      <c r="U173" s="55"/>
      <c r="V173" s="212"/>
      <c r="W173" s="528"/>
      <c r="X173" s="102"/>
      <c r="Y173" s="324"/>
      <c r="Z173" s="774"/>
      <c r="AA173" s="103"/>
      <c r="AB173" s="103"/>
      <c r="AC173" s="103"/>
      <c r="AD173" s="103"/>
      <c r="AE173" s="103"/>
      <c r="AF173" s="123"/>
      <c r="AG173" s="813"/>
      <c r="AH173" s="370"/>
      <c r="AI173" s="221"/>
      <c r="AJ173" s="271"/>
      <c r="AK173" s="105"/>
      <c r="AL173" s="105"/>
      <c r="AM173" s="105"/>
      <c r="AN173" s="105"/>
      <c r="AO173" s="105"/>
      <c r="AP173" s="158"/>
      <c r="AQ173" s="930"/>
      <c r="AR173" s="473"/>
      <c r="AS173" s="106"/>
      <c r="AT173" s="1200"/>
      <c r="AU173" s="108">
        <f t="shared" si="301"/>
        <v>0</v>
      </c>
      <c r="AV173" s="108">
        <f t="shared" si="302"/>
        <v>0</v>
      </c>
      <c r="AW173" s="108">
        <f t="shared" si="303"/>
        <v>0</v>
      </c>
      <c r="AX173" s="108">
        <f t="shared" si="304"/>
        <v>0</v>
      </c>
      <c r="AY173" s="108">
        <f t="shared" si="305"/>
        <v>0</v>
      </c>
      <c r="AZ173" s="165">
        <f t="shared" si="307"/>
        <v>0</v>
      </c>
      <c r="BA173" s="1190"/>
      <c r="BB173" s="1214"/>
    </row>
    <row r="174" spans="1:54" s="495" customFormat="1" x14ac:dyDescent="0.25">
      <c r="A174" s="890"/>
      <c r="B174" s="651"/>
      <c r="C174" s="599"/>
      <c r="D174" s="600"/>
      <c r="E174" s="600"/>
      <c r="F174" s="600"/>
      <c r="G174" s="284"/>
      <c r="H174" s="284"/>
      <c r="I174" s="127">
        <f t="shared" si="306"/>
        <v>0</v>
      </c>
      <c r="J174" s="127">
        <f t="shared" si="308"/>
        <v>0</v>
      </c>
      <c r="K174" s="127">
        <f t="shared" si="309"/>
        <v>0</v>
      </c>
      <c r="L174" s="127">
        <f t="shared" si="310"/>
        <v>0</v>
      </c>
      <c r="M174" s="127">
        <f t="shared" si="311"/>
        <v>0</v>
      </c>
      <c r="N174" s="659"/>
      <c r="O174" s="250"/>
      <c r="P174" s="760"/>
      <c r="Q174" s="55"/>
      <c r="R174" s="55"/>
      <c r="S174" s="55"/>
      <c r="T174" s="55"/>
      <c r="U174" s="55"/>
      <c r="V174" s="212"/>
      <c r="W174" s="527"/>
      <c r="X174" s="102"/>
      <c r="Y174" s="324"/>
      <c r="Z174" s="774"/>
      <c r="AA174" s="103"/>
      <c r="AB174" s="103"/>
      <c r="AC174" s="103"/>
      <c r="AD174" s="103"/>
      <c r="AE174" s="103"/>
      <c r="AF174" s="123"/>
      <c r="AG174" s="813"/>
      <c r="AH174" s="370"/>
      <c r="AI174" s="221"/>
      <c r="AJ174" s="271"/>
      <c r="AK174" s="105"/>
      <c r="AL174" s="105"/>
      <c r="AM174" s="105"/>
      <c r="AN174" s="105"/>
      <c r="AO174" s="105"/>
      <c r="AP174" s="158"/>
      <c r="AQ174" s="930"/>
      <c r="AR174" s="473"/>
      <c r="AS174" s="106"/>
      <c r="AT174" s="1200"/>
      <c r="AU174" s="108">
        <f t="shared" si="301"/>
        <v>0</v>
      </c>
      <c r="AV174" s="108">
        <f t="shared" si="302"/>
        <v>0</v>
      </c>
      <c r="AW174" s="108">
        <f t="shared" si="303"/>
        <v>0</v>
      </c>
      <c r="AX174" s="108">
        <f t="shared" si="304"/>
        <v>0</v>
      </c>
      <c r="AY174" s="108">
        <f t="shared" si="305"/>
        <v>0</v>
      </c>
      <c r="AZ174" s="165">
        <f t="shared" si="307"/>
        <v>0</v>
      </c>
      <c r="BA174" s="1190"/>
      <c r="BB174" s="1214"/>
    </row>
    <row r="175" spans="1:54" s="495" customFormat="1" x14ac:dyDescent="0.25">
      <c r="A175" s="284"/>
      <c r="B175" s="283"/>
      <c r="C175" s="599"/>
      <c r="D175" s="600"/>
      <c r="E175" s="600"/>
      <c r="F175" s="600"/>
      <c r="G175" s="284"/>
      <c r="H175" s="284"/>
      <c r="I175" s="127">
        <f t="shared" si="306"/>
        <v>0</v>
      </c>
      <c r="J175" s="127">
        <f t="shared" si="308"/>
        <v>0</v>
      </c>
      <c r="K175" s="127">
        <f t="shared" si="309"/>
        <v>0</v>
      </c>
      <c r="L175" s="127">
        <f t="shared" si="310"/>
        <v>0</v>
      </c>
      <c r="M175" s="127">
        <f t="shared" si="311"/>
        <v>0</v>
      </c>
      <c r="N175" s="53"/>
      <c r="O175" s="250"/>
      <c r="P175" s="760"/>
      <c r="Q175" s="55"/>
      <c r="R175" s="55"/>
      <c r="S175" s="55"/>
      <c r="T175" s="55"/>
      <c r="U175" s="55"/>
      <c r="V175" s="212"/>
      <c r="W175" s="528"/>
      <c r="X175" s="102"/>
      <c r="Y175" s="324"/>
      <c r="Z175" s="774"/>
      <c r="AA175" s="103"/>
      <c r="AB175" s="103"/>
      <c r="AC175" s="103"/>
      <c r="AD175" s="103"/>
      <c r="AE175" s="103"/>
      <c r="AF175" s="123"/>
      <c r="AG175" s="813"/>
      <c r="AH175" s="370"/>
      <c r="AI175" s="221"/>
      <c r="AJ175" s="271"/>
      <c r="AK175" s="105"/>
      <c r="AL175" s="105"/>
      <c r="AM175" s="105"/>
      <c r="AN175" s="105"/>
      <c r="AO175" s="105"/>
      <c r="AP175" s="158"/>
      <c r="AQ175" s="930"/>
      <c r="AR175" s="473"/>
      <c r="AS175" s="106"/>
      <c r="AT175" s="1200"/>
      <c r="AU175" s="108">
        <f t="shared" si="301"/>
        <v>0</v>
      </c>
      <c r="AV175" s="108">
        <f t="shared" si="302"/>
        <v>0</v>
      </c>
      <c r="AW175" s="108">
        <f t="shared" si="303"/>
        <v>0</v>
      </c>
      <c r="AX175" s="108">
        <f t="shared" si="304"/>
        <v>0</v>
      </c>
      <c r="AY175" s="108">
        <f t="shared" si="305"/>
        <v>0</v>
      </c>
      <c r="AZ175" s="165">
        <f t="shared" si="307"/>
        <v>0</v>
      </c>
      <c r="BA175" s="1190"/>
      <c r="BB175" s="1214"/>
    </row>
    <row r="176" spans="1:54" s="495" customFormat="1" ht="3.95" customHeight="1" x14ac:dyDescent="0.25">
      <c r="A176" s="607"/>
      <c r="B176" s="16"/>
      <c r="C176" s="263"/>
      <c r="D176" s="607"/>
      <c r="E176" s="607"/>
      <c r="F176" s="607"/>
      <c r="G176" s="607"/>
      <c r="H176" s="16"/>
      <c r="I176" s="16"/>
      <c r="J176" s="16"/>
      <c r="K176" s="16"/>
      <c r="L176" s="16"/>
      <c r="M176" s="16"/>
      <c r="N176" s="16"/>
      <c r="O176" s="19"/>
      <c r="P176" s="755"/>
      <c r="Q176" s="17"/>
      <c r="R176" s="17"/>
      <c r="S176" s="17"/>
      <c r="T176" s="17"/>
      <c r="U176" s="17"/>
      <c r="V176" s="17"/>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1162"/>
      <c r="AT176" s="1163"/>
      <c r="AU176" s="909"/>
      <c r="AV176" s="909"/>
      <c r="AW176" s="909"/>
      <c r="AX176" s="909"/>
      <c r="AY176" s="909"/>
      <c r="AZ176" s="910"/>
      <c r="BA176" s="1194"/>
      <c r="BB176" s="1219"/>
    </row>
    <row r="177" spans="1:54" s="495" customFormat="1" x14ac:dyDescent="0.25">
      <c r="A177" s="677"/>
      <c r="B177" s="77"/>
      <c r="C177" s="298" t="s">
        <v>418</v>
      </c>
      <c r="D177" s="610"/>
      <c r="E177" s="610"/>
      <c r="F177" s="610"/>
      <c r="G177" s="610"/>
      <c r="H177" s="115"/>
      <c r="I177" s="664"/>
      <c r="J177" s="665"/>
      <c r="K177" s="666"/>
      <c r="L177" s="666"/>
      <c r="M177" s="667"/>
      <c r="N177" s="304" t="str">
        <f>C177</f>
        <v>Annual and Quarterly Fees Sum:</v>
      </c>
      <c r="O177" s="303"/>
      <c r="P177" s="762"/>
      <c r="Q177" s="146">
        <f>SUM(Q164:Q175)</f>
        <v>0</v>
      </c>
      <c r="R177" s="146">
        <f>SUM(R164:R175)</f>
        <v>0</v>
      </c>
      <c r="S177" s="146">
        <f>SUM(S164:S175)</f>
        <v>0</v>
      </c>
      <c r="T177" s="146">
        <f>SUM(T164:T175)</f>
        <v>0</v>
      </c>
      <c r="U177" s="146">
        <f>SUM(U164:U175)</f>
        <v>0</v>
      </c>
      <c r="V177" s="210">
        <f>SUM(Q177:U190)</f>
        <v>0</v>
      </c>
      <c r="W177" s="528"/>
      <c r="X177" s="102"/>
      <c r="Y177" s="324"/>
      <c r="Z177" s="774"/>
      <c r="AA177" s="103"/>
      <c r="AB177" s="103"/>
      <c r="AC177" s="103"/>
      <c r="AD177" s="103"/>
      <c r="AE177" s="103"/>
      <c r="AF177" s="123"/>
      <c r="AG177" s="813"/>
      <c r="AH177" s="370"/>
      <c r="AI177" s="221"/>
      <c r="AJ177" s="271"/>
      <c r="AK177" s="105"/>
      <c r="AL177" s="105"/>
      <c r="AM177" s="105"/>
      <c r="AN177" s="105"/>
      <c r="AO177" s="105"/>
      <c r="AP177" s="158"/>
      <c r="AQ177" s="930"/>
      <c r="AR177" s="473"/>
      <c r="AS177" s="106"/>
      <c r="AT177" s="1200"/>
      <c r="AU177" s="108"/>
      <c r="AV177" s="108"/>
      <c r="AW177" s="108"/>
      <c r="AX177" s="108"/>
      <c r="AY177" s="108"/>
      <c r="AZ177" s="165">
        <f>SUM(AZ164:AZ175)</f>
        <v>-655740</v>
      </c>
      <c r="BA177" s="1190"/>
      <c r="BB177" s="1214"/>
    </row>
    <row r="178" spans="1:54" ht="3.95" customHeight="1" x14ac:dyDescent="0.25">
      <c r="A178" s="607"/>
      <c r="B178" s="16"/>
      <c r="C178" s="263"/>
      <c r="D178" s="607"/>
      <c r="E178" s="607"/>
      <c r="F178" s="607"/>
      <c r="G178" s="607"/>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164"/>
      <c r="AT178" s="1165"/>
      <c r="AU178" s="1165"/>
      <c r="AV178" s="1165"/>
      <c r="AW178" s="1165"/>
      <c r="AX178" s="1165"/>
      <c r="AY178" s="1165"/>
      <c r="AZ178" s="1166"/>
      <c r="BA178" s="1195"/>
      <c r="BB178" s="1220"/>
    </row>
    <row r="179" spans="1:54" s="499" customFormat="1" ht="21" x14ac:dyDescent="0.25">
      <c r="A179" s="680"/>
      <c r="B179" s="189"/>
      <c r="C179" s="189" t="s">
        <v>419</v>
      </c>
      <c r="D179" s="614"/>
      <c r="E179" s="614"/>
      <c r="F179" s="614"/>
      <c r="G179" s="614"/>
      <c r="H179" s="190"/>
      <c r="I179" s="191"/>
      <c r="J179" s="191"/>
      <c r="K179" s="191"/>
      <c r="L179" s="191"/>
      <c r="M179" s="192"/>
      <c r="N179" s="141" t="s">
        <v>419</v>
      </c>
      <c r="O179" s="302"/>
      <c r="P179" s="768"/>
      <c r="Q179" s="143"/>
      <c r="R179" s="143"/>
      <c r="S179" s="143"/>
      <c r="T179" s="143"/>
      <c r="U179" s="143"/>
      <c r="V179" s="215">
        <f>SUM(V123,V148,V161)</f>
        <v>3655368.603114964</v>
      </c>
      <c r="W179" s="527"/>
      <c r="X179" s="142" t="s">
        <v>419</v>
      </c>
      <c r="Y179" s="329"/>
      <c r="Z179" s="779"/>
      <c r="AA179" s="139"/>
      <c r="AB179" s="139"/>
      <c r="AC179" s="139"/>
      <c r="AD179" s="139"/>
      <c r="AE179" s="139"/>
      <c r="AF179" s="193">
        <f>SUM(AF123,AF148,AF161)</f>
        <v>2198932.2399227754</v>
      </c>
      <c r="AG179" s="816"/>
      <c r="AH179" s="362"/>
      <c r="AI179" s="267" t="s">
        <v>419</v>
      </c>
      <c r="AJ179" s="259"/>
      <c r="AK179" s="154"/>
      <c r="AL179" s="154"/>
      <c r="AM179" s="154"/>
      <c r="AN179" s="154"/>
      <c r="AO179" s="154"/>
      <c r="AP179" s="194">
        <f>SUM(AP123,AP148,AP161)</f>
        <v>3015394.8293324704</v>
      </c>
      <c r="AQ179" s="934"/>
      <c r="AR179" s="490"/>
      <c r="AS179" s="195" t="s">
        <v>419</v>
      </c>
      <c r="AT179" s="1199"/>
      <c r="AU179" s="197"/>
      <c r="AV179" s="197"/>
      <c r="AW179" s="197"/>
      <c r="AX179" s="197"/>
      <c r="AY179" s="197"/>
      <c r="AZ179" s="198">
        <f>SUM(AZ123,AZ148,AZ161,AZ177)</f>
        <v>2379837.189081552</v>
      </c>
      <c r="BA179" s="1196"/>
      <c r="BB179" s="1221"/>
    </row>
    <row r="180" spans="1:54" ht="3.75" customHeight="1" x14ac:dyDescent="0.25">
      <c r="A180" s="607"/>
      <c r="B180" s="16"/>
      <c r="C180" s="263"/>
      <c r="D180" s="607"/>
      <c r="E180" s="607"/>
      <c r="F180" s="607"/>
      <c r="G180" s="607"/>
      <c r="H180" s="16"/>
      <c r="I180" s="18"/>
      <c r="J180" s="18"/>
      <c r="K180" s="18"/>
      <c r="L180" s="18"/>
      <c r="M180" s="18"/>
      <c r="N180" s="16"/>
      <c r="O180" s="19"/>
      <c r="P180" s="755"/>
      <c r="Q180" s="17"/>
      <c r="R180" s="17"/>
      <c r="S180" s="17"/>
      <c r="T180" s="17"/>
      <c r="U180" s="17"/>
      <c r="V180" s="17"/>
      <c r="W180" s="21"/>
      <c r="X180" s="16"/>
      <c r="Y180" s="20"/>
      <c r="Z180" s="773"/>
      <c r="AA180" s="21"/>
      <c r="AB180" s="21"/>
      <c r="AC180" s="21"/>
      <c r="AD180" s="21"/>
      <c r="AE180" s="21"/>
      <c r="AF180" s="21"/>
      <c r="AG180" s="811"/>
      <c r="AH180" s="21"/>
      <c r="AI180" s="263"/>
      <c r="AJ180" s="20"/>
      <c r="AK180" s="21"/>
      <c r="AL180" s="21"/>
      <c r="AM180" s="21"/>
      <c r="AN180" s="21"/>
      <c r="AO180" s="21"/>
      <c r="AP180" s="21"/>
      <c r="AQ180" s="811"/>
      <c r="AR180" s="21"/>
      <c r="AS180" s="20"/>
      <c r="AT180" s="20"/>
      <c r="AU180" s="20"/>
      <c r="AV180" s="20"/>
      <c r="AW180" s="20"/>
      <c r="AX180" s="20"/>
      <c r="AY180" s="20"/>
      <c r="AZ180" s="22"/>
      <c r="BA180" s="1188"/>
      <c r="BB180" s="21"/>
    </row>
    <row r="183" spans="1:54" x14ac:dyDescent="0.25">
      <c r="AF183" s="35">
        <f>+AF179-V179</f>
        <v>-1456436.3631921886</v>
      </c>
    </row>
    <row r="185" spans="1:54" x14ac:dyDescent="0.25">
      <c r="AJ185" s="1157"/>
    </row>
    <row r="186" spans="1:54" x14ac:dyDescent="0.25">
      <c r="AJ186" s="1157"/>
    </row>
    <row r="189" spans="1:54" x14ac:dyDescent="0.25">
      <c r="AJ189" s="1157"/>
    </row>
    <row r="190" spans="1:54" x14ac:dyDescent="0.25">
      <c r="AJ190" s="1157"/>
    </row>
    <row r="191" spans="1:54" x14ac:dyDescent="0.25">
      <c r="AJ191" s="1157"/>
    </row>
    <row r="192" spans="1:54" x14ac:dyDescent="0.25">
      <c r="AJ192" s="1157"/>
    </row>
  </sheetData>
  <mergeCells count="10">
    <mergeCell ref="N5:V5"/>
    <mergeCell ref="X5:AF5"/>
    <mergeCell ref="AI5:AP5"/>
    <mergeCell ref="AS5:AZ5"/>
    <mergeCell ref="H3:H4"/>
    <mergeCell ref="J3:M3"/>
    <mergeCell ref="N4:V4"/>
    <mergeCell ref="X4:AF4"/>
    <mergeCell ref="AI4:AP4"/>
    <mergeCell ref="AS4:AZ4"/>
  </mergeCells>
  <phoneticPr fontId="22" type="noConversion"/>
  <conditionalFormatting sqref="A1:A111">
    <cfRule type="containsText" dxfId="27" priority="2" operator="containsText" text="DIGITAL">
      <formula>NOT(ISERROR(SEARCH("DIGITAL",A1)))</formula>
    </cfRule>
    <cfRule type="containsText" dxfId="26" priority="3" operator="containsText" text="CORE">
      <formula>NOT(ISERROR(SEARCH("CORE",A1)))</formula>
    </cfRule>
    <cfRule type="containsText" dxfId="25" priority="4" operator="containsText" text="PASSTHRU">
      <formula>NOT(ISERROR(SEARCH("PASSTHRU",A1)))</formula>
    </cfRule>
  </conditionalFormatting>
  <conditionalFormatting sqref="A111:A124 A126:A1048576">
    <cfRule type="containsText" dxfId="24" priority="11" operator="containsText" text="PASSTHRU">
      <formula>NOT(ISERROR(SEARCH("PASSTHRU",A111)))</formula>
    </cfRule>
  </conditionalFormatting>
  <conditionalFormatting sqref="A111:A1048576">
    <cfRule type="containsText" dxfId="23" priority="9" operator="containsText" text="DIGITAL">
      <formula>NOT(ISERROR(SEARCH("DIGITAL",A111)))</formula>
    </cfRule>
    <cfRule type="containsText" dxfId="22" priority="10" operator="containsText" text="CORE">
      <formula>NOT(ISERROR(SEARCH("CORE",A111)))</formula>
    </cfRule>
  </conditionalFormatting>
  <conditionalFormatting sqref="N6:P6">
    <cfRule type="containsText" dxfId="21" priority="28" operator="containsText" text="Red Text">
      <formula>NOT(ISERROR(SEARCH("Red Text",N6)))</formula>
    </cfRule>
  </conditionalFormatting>
  <conditionalFormatting sqref="N150:P150">
    <cfRule type="containsText" dxfId="20" priority="27" operator="containsText" text="Red Text">
      <formula>NOT(ISERROR(SEARCH("Red Text",N150)))</formula>
    </cfRule>
  </conditionalFormatting>
  <conditionalFormatting sqref="N163:P163">
    <cfRule type="containsText" dxfId="19" priority="1" operator="containsText" text="Red Text">
      <formula>NOT(ISERROR(SEARCH("Red Text",N163)))</formula>
    </cfRule>
  </conditionalFormatting>
  <pageMargins left="0.7" right="0.7" top="0.75" bottom="0.75" header="0.3" footer="0.3"/>
  <pageSetup scale="10" orientation="portrait" r:id="rId1"/>
  <colBreaks count="4" manualBreakCount="4">
    <brk id="13" max="1048575" man="1"/>
    <brk id="23" max="1048575" man="1"/>
    <brk id="34" max="1048575" man="1"/>
    <brk id="44" max="1048575" man="1"/>
  </colBreaks>
  <ignoredErrors>
    <ignoredError sqref="N130 I12:M12 AK13:AO13 AK20:AO21 AK18:AO18 AK27:AO27" formula="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A3289-DF01-4904-A69A-E51C6CE3C026}">
  <sheetPr codeName="Sheet7">
    <tabColor theme="6" tint="0.59999389629810485"/>
  </sheetPr>
  <dimension ref="A1:V73"/>
  <sheetViews>
    <sheetView showGridLines="0" topLeftCell="A2" zoomScale="85" zoomScaleNormal="85" zoomScaleSheetLayoutView="90" workbookViewId="0">
      <pane xSplit="6" ySplit="6" topLeftCell="O8" activePane="bottomRight" state="frozen"/>
      <selection pane="topRight" activeCell="D2" sqref="D2"/>
      <selection pane="bottomLeft" activeCell="B8" sqref="B8"/>
      <selection pane="bottomRight" activeCell="S38" sqref="S38:S39"/>
    </sheetView>
  </sheetViews>
  <sheetFormatPr defaultColWidth="9.28515625" defaultRowHeight="15.75" outlineLevelRow="1" x14ac:dyDescent="0.25"/>
  <cols>
    <col min="1" max="1" width="10.28515625" style="36" customWidth="1"/>
    <col min="2" max="2" width="26.85546875" style="835" bestFit="1" customWidth="1"/>
    <col min="3" max="3" width="63.5703125" style="36" customWidth="1"/>
    <col min="4" max="5" width="14.85546875" style="617" customWidth="1"/>
    <col min="6" max="6" width="14.85546875" style="36" customWidth="1"/>
    <col min="7" max="7" width="56.7109375" style="34" hidden="1" customWidth="1"/>
    <col min="8" max="8" width="15.5703125" style="216" hidden="1" customWidth="1"/>
    <col min="9" max="9" width="18.5703125" style="35" hidden="1" customWidth="1"/>
    <col min="10" max="10" width="30.140625" style="35" hidden="1" customWidth="1"/>
    <col min="11" max="11" width="55.28515625" style="34" hidden="1" customWidth="1"/>
    <col min="12" max="12" width="14.7109375" style="27" hidden="1" customWidth="1"/>
    <col min="13" max="13" width="18.28515625" style="35" hidden="1" customWidth="1"/>
    <col min="14" max="14" width="17.85546875" style="35" hidden="1" customWidth="1"/>
    <col min="15" max="15" width="66.85546875" style="36" customWidth="1"/>
    <col min="16" max="16" width="14" style="27" customWidth="1"/>
    <col min="17" max="17" width="20.5703125" style="35" customWidth="1"/>
    <col min="18" max="18" width="39.7109375" style="35" customWidth="1"/>
    <col min="19" max="19" width="62.140625" style="27" bestFit="1" customWidth="1"/>
    <col min="20" max="20" width="13" style="27" customWidth="1"/>
    <col min="21" max="21" width="18.85546875" style="27" customWidth="1"/>
    <col min="22" max="22" width="41.5703125" style="35" customWidth="1"/>
    <col min="23" max="16384" width="9.28515625" style="36"/>
  </cols>
  <sheetData>
    <row r="1" spans="1:22" x14ac:dyDescent="0.25">
      <c r="A1" s="2"/>
      <c r="B1" s="826"/>
      <c r="C1" s="2"/>
      <c r="D1" s="605"/>
      <c r="E1" s="605"/>
      <c r="F1" s="2"/>
      <c r="G1" s="4"/>
      <c r="H1" s="5"/>
      <c r="I1" s="6"/>
      <c r="J1" s="9"/>
      <c r="K1" s="7"/>
      <c r="L1" s="8"/>
      <c r="M1" s="9"/>
      <c r="N1" s="9"/>
      <c r="O1" s="262"/>
      <c r="P1" s="11"/>
      <c r="Q1" s="12"/>
      <c r="R1" s="12"/>
      <c r="S1" s="1"/>
      <c r="T1" s="1"/>
      <c r="V1" s="12"/>
    </row>
    <row r="2" spans="1:22" s="948" customFormat="1" x14ac:dyDescent="0.25">
      <c r="B2" s="957"/>
      <c r="D2" s="947"/>
      <c r="E2" s="947"/>
      <c r="G2" s="950"/>
      <c r="H2" s="951"/>
      <c r="I2" s="953"/>
      <c r="J2" s="953"/>
      <c r="K2" s="950"/>
      <c r="L2" s="954"/>
      <c r="M2" s="953"/>
      <c r="N2" s="953"/>
      <c r="P2" s="954"/>
      <c r="Q2" s="953"/>
      <c r="R2" s="953"/>
      <c r="S2" s="954"/>
      <c r="T2" s="954"/>
      <c r="U2" s="954"/>
      <c r="V2" s="953"/>
    </row>
    <row r="3" spans="1:22" ht="26.25" x14ac:dyDescent="0.25">
      <c r="A3" s="24"/>
      <c r="B3" s="827"/>
      <c r="C3" s="24" t="s">
        <v>637</v>
      </c>
      <c r="D3" s="24"/>
      <c r="E3" s="24"/>
      <c r="F3" s="24"/>
      <c r="G3" s="137"/>
      <c r="H3" s="135"/>
      <c r="I3" s="136"/>
      <c r="J3" s="136"/>
      <c r="K3" s="137"/>
      <c r="L3" s="135"/>
      <c r="M3" s="136"/>
      <c r="N3" s="136"/>
      <c r="O3" s="137"/>
      <c r="P3" s="135"/>
      <c r="Q3" s="136"/>
      <c r="R3" s="136"/>
      <c r="S3" s="137"/>
      <c r="T3" s="135"/>
      <c r="U3" s="136"/>
      <c r="V3" s="136"/>
    </row>
    <row r="4" spans="1:22" s="493" customFormat="1" ht="26.25" customHeight="1" x14ac:dyDescent="0.25">
      <c r="A4" s="232"/>
      <c r="B4" s="828"/>
      <c r="C4" s="309" t="str">
        <f>'(INTERNAL) Basic Entry '!$C$7</f>
        <v>First State Bank of Waynesboro</v>
      </c>
      <c r="D4" s="606"/>
      <c r="E4" s="606"/>
      <c r="F4" s="233"/>
      <c r="G4" s="1318" t="str">
        <f>'(INTERNAL) Basic Entry '!$C$17</f>
        <v>Current (FIS Bankway)</v>
      </c>
      <c r="H4" s="1318"/>
      <c r="I4" s="1319"/>
      <c r="J4" s="524"/>
      <c r="K4" s="1320" t="str">
        <f>'(INTERNAL) Basic Entry '!$C$19</f>
        <v>FIS Horizon with D1 Flex</v>
      </c>
      <c r="L4" s="1321"/>
      <c r="M4" s="1322"/>
      <c r="N4" s="371"/>
      <c r="O4" s="1323" t="s">
        <v>488</v>
      </c>
      <c r="P4" s="1324"/>
      <c r="Q4" s="1325"/>
      <c r="R4" s="472"/>
      <c r="S4" s="1326" t="s">
        <v>488</v>
      </c>
      <c r="T4" s="1327"/>
      <c r="U4" s="1328"/>
      <c r="V4" s="529"/>
    </row>
    <row r="5" spans="1:22" ht="18.399999999999999" customHeight="1" x14ac:dyDescent="0.25">
      <c r="A5" s="26"/>
      <c r="B5" s="829"/>
      <c r="C5" s="273" t="str">
        <f>'(INTERNAL) Basic Entry '!$C$9&amp;" Pricing Analysis"</f>
        <v>CORE &amp; DIGITAL Pricing Analysis</v>
      </c>
      <c r="D5" s="605"/>
      <c r="E5" s="605"/>
      <c r="F5" s="2"/>
      <c r="G5" s="1333" t="str">
        <f>'(INTERNAL) Basic Entry '!$B$14</f>
        <v>Baseline from Current Invoices</v>
      </c>
      <c r="H5" s="1333"/>
      <c r="I5" s="1334"/>
      <c r="J5" s="525"/>
      <c r="K5" s="1335" t="str">
        <f>'(INTERNAL) Basic Entry '!F19</f>
        <v>Proposal Dated 12/13/2023</v>
      </c>
      <c r="L5" s="1336"/>
      <c r="M5" s="1337"/>
      <c r="N5" s="372"/>
      <c r="O5" s="1338" t="str">
        <f>'(INTERNAL) Basic Entry '!F21</f>
        <v>Proposal Dated 12/13/2023</v>
      </c>
      <c r="P5" s="1339"/>
      <c r="Q5" s="1340"/>
      <c r="R5" s="471"/>
      <c r="S5" s="1309" t="s">
        <v>638</v>
      </c>
      <c r="T5" s="1310"/>
      <c r="U5" s="1311"/>
      <c r="V5" s="530"/>
    </row>
    <row r="6" spans="1:22" s="494" customFormat="1" ht="38.25" x14ac:dyDescent="0.35">
      <c r="A6" s="657"/>
      <c r="B6" s="658" t="s">
        <v>393</v>
      </c>
      <c r="C6" s="602" t="s">
        <v>424</v>
      </c>
      <c r="D6" s="281" t="s">
        <v>425</v>
      </c>
      <c r="E6" s="698" t="s">
        <v>426</v>
      </c>
      <c r="F6" s="698" t="s">
        <v>427</v>
      </c>
      <c r="G6" s="800" t="str">
        <f>C6</f>
        <v xml:space="preserve">IMPLEMENTATION, SETUP, DECONVERSION FEES </v>
      </c>
      <c r="H6" s="301" t="s">
        <v>47</v>
      </c>
      <c r="I6" s="208" t="s">
        <v>53</v>
      </c>
      <c r="J6" s="526" t="s">
        <v>54</v>
      </c>
      <c r="K6" s="334" t="str">
        <f>C6</f>
        <v xml:space="preserve">IMPLEMENTATION, SETUP, DECONVERSION FEES </v>
      </c>
      <c r="L6" s="323" t="s">
        <v>47</v>
      </c>
      <c r="M6" s="122" t="s">
        <v>58</v>
      </c>
      <c r="N6" s="373" t="s">
        <v>54</v>
      </c>
      <c r="O6" s="314" t="str">
        <f>C6</f>
        <v xml:space="preserve">IMPLEMENTATION, SETUP, DECONVERSION FEES </v>
      </c>
      <c r="P6" s="254" t="s">
        <v>47</v>
      </c>
      <c r="Q6" s="157" t="s">
        <v>58</v>
      </c>
      <c r="R6" s="33" t="s">
        <v>54</v>
      </c>
      <c r="S6" s="491" t="str">
        <f>C6</f>
        <v xml:space="preserve">IMPLEMENTATION, SETUP, DECONVERSION FEES </v>
      </c>
      <c r="T6" s="236" t="s">
        <v>47</v>
      </c>
      <c r="U6" s="164" t="s">
        <v>58</v>
      </c>
      <c r="V6" s="354" t="s">
        <v>54</v>
      </c>
    </row>
    <row r="7" spans="1:22" ht="3.75" customHeight="1" x14ac:dyDescent="0.25">
      <c r="A7" s="16"/>
      <c r="B7" s="830"/>
      <c r="C7" s="263"/>
      <c r="D7" s="607"/>
      <c r="E7" s="607"/>
      <c r="F7" s="16"/>
      <c r="G7" s="16"/>
      <c r="H7" s="19"/>
      <c r="I7" s="17"/>
      <c r="J7" s="21"/>
      <c r="K7" s="16"/>
      <c r="L7" s="20"/>
      <c r="M7" s="21"/>
      <c r="N7" s="21"/>
      <c r="O7" s="263"/>
      <c r="P7" s="20"/>
      <c r="Q7" s="21"/>
      <c r="R7" s="21"/>
      <c r="S7" s="20"/>
      <c r="T7" s="20"/>
      <c r="U7" s="22"/>
      <c r="V7" s="21"/>
    </row>
    <row r="8" spans="1:22" outlineLevel="1" x14ac:dyDescent="0.25">
      <c r="A8" s="445"/>
      <c r="B8" s="832"/>
      <c r="C8" s="242" t="s">
        <v>639</v>
      </c>
      <c r="D8" s="242"/>
      <c r="E8" s="285"/>
      <c r="F8" s="286"/>
      <c r="G8" s="242" t="str">
        <f>C8</f>
        <v>INTEGRATIONS AND EXTENSTIONS</v>
      </c>
      <c r="H8" s="242"/>
      <c r="I8" s="212">
        <f t="shared" ref="I8:I32" si="0">$H8*$D8</f>
        <v>0</v>
      </c>
      <c r="J8" s="528"/>
      <c r="K8" s="242" t="str">
        <f>C8</f>
        <v>INTEGRATIONS AND EXTENSTIONS</v>
      </c>
      <c r="L8" s="242"/>
      <c r="M8" s="125">
        <f t="shared" ref="M8:M32" si="1">$L8*$D8</f>
        <v>0</v>
      </c>
      <c r="N8" s="370"/>
      <c r="O8" s="242" t="str">
        <f>$C$8</f>
        <v>INTEGRATIONS AND EXTENSTIONS</v>
      </c>
      <c r="P8" s="242"/>
      <c r="Q8" s="160">
        <f t="shared" ref="Q8:Q32" si="2">$P8*$D8</f>
        <v>0</v>
      </c>
      <c r="R8" s="479"/>
      <c r="S8" s="242" t="str">
        <f>$C$8</f>
        <v>INTEGRATIONS AND EXTENSTIONS</v>
      </c>
      <c r="T8" s="87"/>
      <c r="U8" s="168" cm="1">
        <f t="array" ref="U8">_xlfn.IFS(T8="TBD",0,T8=0,0,T8&gt;0,$P8*$D8)</f>
        <v>0</v>
      </c>
      <c r="V8" s="536"/>
    </row>
    <row r="9" spans="1:22" outlineLevel="1" x14ac:dyDescent="0.25">
      <c r="A9" s="890"/>
      <c r="B9" s="492"/>
      <c r="C9" s="601" t="s">
        <v>640</v>
      </c>
      <c r="D9" s="284">
        <v>1</v>
      </c>
      <c r="E9" s="285">
        <v>60</v>
      </c>
      <c r="F9" s="286">
        <v>1</v>
      </c>
      <c r="G9" s="415"/>
      <c r="H9" s="250"/>
      <c r="I9" s="212">
        <f t="shared" si="0"/>
        <v>0</v>
      </c>
      <c r="J9" s="528"/>
      <c r="K9" s="336"/>
      <c r="L9" s="328"/>
      <c r="M9" s="125">
        <f t="shared" si="1"/>
        <v>0</v>
      </c>
      <c r="N9" s="370"/>
      <c r="O9" s="265" t="str">
        <f>C9</f>
        <v>Real Time Hybrid Interface to Core</v>
      </c>
      <c r="P9" s="836" t="s">
        <v>641</v>
      </c>
      <c r="Q9" s="160" cm="1">
        <f t="array" ref="Q9">_xlfn.IFS(P9="TBD",0,P9=0,0,P9&gt;0,$P9*$D9)</f>
        <v>0</v>
      </c>
      <c r="R9" s="479"/>
      <c r="S9" s="86" t="s">
        <v>640</v>
      </c>
      <c r="T9" s="1225" t="s">
        <v>641</v>
      </c>
      <c r="U9" s="168" cm="1">
        <f t="array" ref="U9">_xlfn.IFS(T9="TBD",0,T9=0,0,T9&gt;0,$P9*$D9)</f>
        <v>0</v>
      </c>
      <c r="V9" s="536"/>
    </row>
    <row r="10" spans="1:22" outlineLevel="1" x14ac:dyDescent="0.25">
      <c r="A10" s="890"/>
      <c r="B10" s="492"/>
      <c r="C10" s="601" t="s">
        <v>642</v>
      </c>
      <c r="D10" s="284">
        <v>1</v>
      </c>
      <c r="E10" s="285">
        <v>60</v>
      </c>
      <c r="F10" s="286">
        <v>1</v>
      </c>
      <c r="G10" s="415"/>
      <c r="H10" s="250"/>
      <c r="I10" s="212">
        <f t="shared" si="0"/>
        <v>0</v>
      </c>
      <c r="J10" s="527"/>
      <c r="K10" s="336"/>
      <c r="L10" s="328"/>
      <c r="M10" s="125">
        <f t="shared" si="1"/>
        <v>0</v>
      </c>
      <c r="N10" s="362"/>
      <c r="O10" s="265" t="str">
        <f>C10</f>
        <v>Interface to Check Image</v>
      </c>
      <c r="P10" s="836">
        <v>0</v>
      </c>
      <c r="Q10" s="160" cm="1">
        <f t="array" ref="Q10">_xlfn.IFS(P10="TBD",0,P10=0,0,P10&gt;0,$P10*$D10)</f>
        <v>0</v>
      </c>
      <c r="R10" s="479" t="s">
        <v>643</v>
      </c>
      <c r="S10" s="86" t="s">
        <v>642</v>
      </c>
      <c r="T10" s="87">
        <v>0</v>
      </c>
      <c r="U10" s="168">
        <f t="shared" ref="U10:U32" si="3">$T10*$D10</f>
        <v>0</v>
      </c>
      <c r="V10" s="536" t="s">
        <v>643</v>
      </c>
    </row>
    <row r="11" spans="1:22" outlineLevel="1" x14ac:dyDescent="0.25">
      <c r="A11" s="890"/>
      <c r="B11" s="492"/>
      <c r="C11" s="601" t="s">
        <v>644</v>
      </c>
      <c r="D11" s="284">
        <v>1</v>
      </c>
      <c r="E11" s="285">
        <v>60</v>
      </c>
      <c r="F11" s="286">
        <v>1</v>
      </c>
      <c r="G11" s="415"/>
      <c r="H11" s="250"/>
      <c r="I11" s="212">
        <f t="shared" si="0"/>
        <v>0</v>
      </c>
      <c r="J11" s="527"/>
      <c r="K11" s="336"/>
      <c r="L11" s="328"/>
      <c r="M11" s="125">
        <f t="shared" si="1"/>
        <v>0</v>
      </c>
      <c r="N11" s="362"/>
      <c r="O11" s="265" t="str">
        <f t="shared" ref="O11:O13" si="4">C11</f>
        <v>Interface to Statement Image</v>
      </c>
      <c r="P11" s="836">
        <v>0</v>
      </c>
      <c r="Q11" s="160" cm="1">
        <f t="array" ref="Q11">_xlfn.IFS(P11="TBD",0,P11=0,0,P11&gt;0,$P11*$D11)</f>
        <v>0</v>
      </c>
      <c r="R11" s="479" t="s">
        <v>643</v>
      </c>
      <c r="S11" s="86" t="s">
        <v>644</v>
      </c>
      <c r="T11" s="87">
        <v>0</v>
      </c>
      <c r="U11" s="168">
        <f t="shared" si="3"/>
        <v>0</v>
      </c>
      <c r="V11" s="536" t="s">
        <v>643</v>
      </c>
    </row>
    <row r="12" spans="1:22" outlineLevel="1" x14ac:dyDescent="0.25">
      <c r="A12" s="890"/>
      <c r="B12" s="492"/>
      <c r="C12" s="601" t="s">
        <v>645</v>
      </c>
      <c r="D12" s="284">
        <v>1</v>
      </c>
      <c r="E12" s="285">
        <v>60</v>
      </c>
      <c r="F12" s="286">
        <v>1</v>
      </c>
      <c r="G12" s="415"/>
      <c r="H12" s="250"/>
      <c r="I12" s="212">
        <f t="shared" si="0"/>
        <v>0</v>
      </c>
      <c r="J12" s="528"/>
      <c r="K12" s="336"/>
      <c r="L12" s="328"/>
      <c r="M12" s="125">
        <f t="shared" si="1"/>
        <v>0</v>
      </c>
      <c r="N12" s="370"/>
      <c r="O12" s="265" t="str">
        <f t="shared" si="4"/>
        <v>Interface to Check Reorder - Mainstreet SSO</v>
      </c>
      <c r="P12" s="836">
        <v>0</v>
      </c>
      <c r="Q12" s="160" cm="1">
        <f t="array" ref="Q12">_xlfn.IFS(P12="TBD",0,P12=0,0,P12&gt;0,$P12*$D12)</f>
        <v>0</v>
      </c>
      <c r="R12" s="479" t="s">
        <v>643</v>
      </c>
      <c r="S12" s="86" t="s">
        <v>645</v>
      </c>
      <c r="T12" s="87">
        <v>0</v>
      </c>
      <c r="U12" s="168">
        <f t="shared" si="3"/>
        <v>0</v>
      </c>
      <c r="V12" s="536" t="s">
        <v>643</v>
      </c>
    </row>
    <row r="13" spans="1:22" outlineLevel="1" x14ac:dyDescent="0.25">
      <c r="A13" s="890"/>
      <c r="B13" s="492"/>
      <c r="C13" s="601" t="s">
        <v>646</v>
      </c>
      <c r="D13" s="284">
        <v>1</v>
      </c>
      <c r="E13" s="285">
        <v>60</v>
      </c>
      <c r="F13" s="286">
        <v>1</v>
      </c>
      <c r="G13" s="415"/>
      <c r="H13" s="250"/>
      <c r="I13" s="212">
        <f t="shared" si="0"/>
        <v>0</v>
      </c>
      <c r="J13" s="527"/>
      <c r="K13" s="336"/>
      <c r="L13" s="328"/>
      <c r="M13" s="125">
        <f t="shared" si="1"/>
        <v>0</v>
      </c>
      <c r="N13" s="362"/>
      <c r="O13" s="265" t="str">
        <f t="shared" si="4"/>
        <v>Interface to Deposit Detail Image</v>
      </c>
      <c r="P13" s="836">
        <v>0</v>
      </c>
      <c r="Q13" s="160" cm="1">
        <f t="array" ref="Q13">_xlfn.IFS(P13="TBD",0,P13=0,0,P13&gt;0,$P13*$D13)</f>
        <v>0</v>
      </c>
      <c r="R13" s="479" t="s">
        <v>643</v>
      </c>
      <c r="S13" s="86" t="s">
        <v>646</v>
      </c>
      <c r="T13" s="87">
        <v>0</v>
      </c>
      <c r="U13" s="168">
        <f t="shared" si="3"/>
        <v>0</v>
      </c>
      <c r="V13" s="536" t="s">
        <v>643</v>
      </c>
    </row>
    <row r="14" spans="1:22" outlineLevel="1" x14ac:dyDescent="0.25">
      <c r="A14" s="890"/>
      <c r="B14" s="492"/>
      <c r="C14" s="601" t="s">
        <v>564</v>
      </c>
      <c r="D14" s="284">
        <v>1</v>
      </c>
      <c r="E14" s="285">
        <v>60</v>
      </c>
      <c r="F14" s="286">
        <v>1</v>
      </c>
      <c r="G14" s="415"/>
      <c r="H14" s="250"/>
      <c r="I14" s="212">
        <f t="shared" si="0"/>
        <v>0</v>
      </c>
      <c r="J14" s="527"/>
      <c r="K14" s="336"/>
      <c r="L14" s="328"/>
      <c r="M14" s="125">
        <f t="shared" si="1"/>
        <v>0</v>
      </c>
      <c r="N14" s="362"/>
      <c r="O14" s="265" t="str">
        <f t="shared" ref="O14:O17" si="5">C14</f>
        <v>Interface to Consumer Bill Pay - FIS</v>
      </c>
      <c r="P14" s="836">
        <v>10000</v>
      </c>
      <c r="Q14" s="160" cm="1">
        <f t="array" ref="Q14">_xlfn.IFS(P14="TBD",0,P14=0,0,P14&gt;0,$P14*$D14)</f>
        <v>10000</v>
      </c>
      <c r="R14" s="479"/>
      <c r="S14" s="86" t="s">
        <v>564</v>
      </c>
      <c r="T14" s="1001">
        <v>10000</v>
      </c>
      <c r="U14" s="168">
        <f t="shared" si="3"/>
        <v>10000</v>
      </c>
      <c r="V14" s="536"/>
    </row>
    <row r="15" spans="1:22" outlineLevel="1" x14ac:dyDescent="0.25">
      <c r="A15" s="890"/>
      <c r="B15" s="492"/>
      <c r="C15" s="601" t="s">
        <v>566</v>
      </c>
      <c r="D15" s="284">
        <v>1</v>
      </c>
      <c r="E15" s="285">
        <v>60</v>
      </c>
      <c r="F15" s="286">
        <v>1</v>
      </c>
      <c r="G15" s="415"/>
      <c r="H15" s="250"/>
      <c r="I15" s="212">
        <f t="shared" si="0"/>
        <v>0</v>
      </c>
      <c r="J15" s="528"/>
      <c r="K15" s="336"/>
      <c r="L15" s="328"/>
      <c r="M15" s="125">
        <f t="shared" si="1"/>
        <v>0</v>
      </c>
      <c r="N15" s="370"/>
      <c r="O15" s="265" t="str">
        <f t="shared" si="5"/>
        <v>Interface to Business Bill Pay - FIS</v>
      </c>
      <c r="P15" s="836">
        <v>5000</v>
      </c>
      <c r="Q15" s="160" cm="1">
        <f t="array" ref="Q15">_xlfn.IFS(P15="TBD",0,P15=0,0,P15&gt;0,$P15*$D15)</f>
        <v>5000</v>
      </c>
      <c r="R15" s="479"/>
      <c r="S15" s="86" t="s">
        <v>566</v>
      </c>
      <c r="T15" s="1001">
        <v>5000</v>
      </c>
      <c r="U15" s="168">
        <f t="shared" si="3"/>
        <v>5000</v>
      </c>
      <c r="V15" s="536"/>
    </row>
    <row r="16" spans="1:22" outlineLevel="1" x14ac:dyDescent="0.25">
      <c r="A16" s="890"/>
      <c r="B16" s="492"/>
      <c r="C16" s="601" t="s">
        <v>647</v>
      </c>
      <c r="D16" s="284">
        <v>1</v>
      </c>
      <c r="E16" s="285">
        <v>60</v>
      </c>
      <c r="F16" s="286">
        <v>1</v>
      </c>
      <c r="G16" s="415"/>
      <c r="H16" s="250"/>
      <c r="I16" s="212">
        <f t="shared" si="0"/>
        <v>0</v>
      </c>
      <c r="J16" s="527"/>
      <c r="K16" s="336"/>
      <c r="L16" s="328"/>
      <c r="M16" s="125">
        <f t="shared" si="1"/>
        <v>0</v>
      </c>
      <c r="N16" s="362"/>
      <c r="O16" s="265" t="str">
        <f t="shared" si="5"/>
        <v>Q2 mobile RDC Adapter - Ensenta</v>
      </c>
      <c r="P16" s="836">
        <v>5000</v>
      </c>
      <c r="Q16" s="160" cm="1">
        <f t="array" ref="Q16">_xlfn.IFS(P16="TBD",0,P16=0,0,P16&gt;0,$P16*$D16)</f>
        <v>5000</v>
      </c>
      <c r="R16" s="479"/>
      <c r="S16" s="86" t="s">
        <v>647</v>
      </c>
      <c r="T16" s="1001">
        <v>5000</v>
      </c>
      <c r="U16" s="168">
        <f t="shared" si="3"/>
        <v>5000</v>
      </c>
      <c r="V16" s="536"/>
    </row>
    <row r="17" spans="1:22" outlineLevel="1" x14ac:dyDescent="0.25">
      <c r="A17" s="445"/>
      <c r="B17" s="492"/>
      <c r="C17" s="601" t="s">
        <v>648</v>
      </c>
      <c r="D17" s="284">
        <v>1</v>
      </c>
      <c r="E17" s="285">
        <v>60</v>
      </c>
      <c r="F17" s="286">
        <v>1</v>
      </c>
      <c r="G17" s="415"/>
      <c r="H17" s="250"/>
      <c r="I17" s="212">
        <f t="shared" si="0"/>
        <v>0</v>
      </c>
      <c r="J17" s="528"/>
      <c r="K17" s="336"/>
      <c r="L17" s="328"/>
      <c r="M17" s="125">
        <f t="shared" si="1"/>
        <v>0</v>
      </c>
      <c r="N17" s="370"/>
      <c r="O17" s="315" t="str">
        <f t="shared" si="5"/>
        <v>Interface to RDC - FIS</v>
      </c>
      <c r="P17" s="836">
        <v>5000</v>
      </c>
      <c r="Q17" s="160" cm="1">
        <f t="array" ref="Q17">_xlfn.IFS(P17="TBD",0,P17=0,0,P17&gt;0,$P17*$D17)</f>
        <v>5000</v>
      </c>
      <c r="R17" s="479"/>
      <c r="S17" s="86" t="s">
        <v>648</v>
      </c>
      <c r="T17" s="1001">
        <v>5000</v>
      </c>
      <c r="U17" s="168">
        <f t="shared" si="3"/>
        <v>5000</v>
      </c>
      <c r="V17" s="536"/>
    </row>
    <row r="18" spans="1:22" outlineLevel="1" x14ac:dyDescent="0.25">
      <c r="A18" s="445"/>
      <c r="B18" s="492"/>
      <c r="C18" s="601"/>
      <c r="D18" s="284"/>
      <c r="E18" s="285">
        <v>60</v>
      </c>
      <c r="F18" s="286">
        <v>1</v>
      </c>
      <c r="G18" s="415"/>
      <c r="H18" s="250"/>
      <c r="I18" s="212">
        <f t="shared" si="0"/>
        <v>0</v>
      </c>
      <c r="J18" s="528"/>
      <c r="K18" s="336"/>
      <c r="L18" s="328"/>
      <c r="M18" s="125">
        <f t="shared" si="1"/>
        <v>0</v>
      </c>
      <c r="N18" s="370"/>
      <c r="O18" s="265"/>
      <c r="P18" s="836"/>
      <c r="Q18" s="160" cm="1">
        <f t="array" ref="Q18">_xlfn.IFS(P18="TBD",0,P18=0,0,P18&gt;0,$P18*$D18)</f>
        <v>0</v>
      </c>
      <c r="R18" s="479"/>
      <c r="S18" s="86"/>
      <c r="T18" s="87"/>
      <c r="U18" s="168">
        <f t="shared" si="3"/>
        <v>0</v>
      </c>
      <c r="V18" s="536"/>
    </row>
    <row r="19" spans="1:22" outlineLevel="1" x14ac:dyDescent="0.25">
      <c r="A19" s="445"/>
      <c r="B19" s="832"/>
      <c r="C19" s="242" t="s">
        <v>649</v>
      </c>
      <c r="D19" s="242"/>
      <c r="E19" s="285"/>
      <c r="F19" s="286"/>
      <c r="G19" s="242" t="str">
        <f>C19</f>
        <v>One Time Fees</v>
      </c>
      <c r="H19" s="242"/>
      <c r="I19" s="212">
        <f t="shared" si="0"/>
        <v>0</v>
      </c>
      <c r="J19" s="528"/>
      <c r="K19" s="242" t="str">
        <f>C19</f>
        <v>One Time Fees</v>
      </c>
      <c r="L19" s="242"/>
      <c r="M19" s="125">
        <f t="shared" si="1"/>
        <v>0</v>
      </c>
      <c r="N19" s="370"/>
      <c r="O19" s="242" t="str">
        <f>$C$19</f>
        <v>One Time Fees</v>
      </c>
      <c r="P19" s="242"/>
      <c r="Q19" s="160">
        <f t="shared" si="2"/>
        <v>0</v>
      </c>
      <c r="R19" s="479"/>
      <c r="S19" s="242" t="str">
        <f>$C$19</f>
        <v>One Time Fees</v>
      </c>
      <c r="T19" s="87"/>
      <c r="U19" s="168">
        <f t="shared" si="3"/>
        <v>0</v>
      </c>
      <c r="V19" s="536"/>
    </row>
    <row r="20" spans="1:22" outlineLevel="1" x14ac:dyDescent="0.25">
      <c r="A20" s="890"/>
      <c r="B20" s="623" t="s">
        <v>650</v>
      </c>
      <c r="C20" s="601" t="s">
        <v>651</v>
      </c>
      <c r="D20" s="284">
        <v>1</v>
      </c>
      <c r="E20" s="285">
        <v>60</v>
      </c>
      <c r="F20" s="286">
        <v>1</v>
      </c>
      <c r="G20" s="415"/>
      <c r="H20" s="250"/>
      <c r="I20" s="212">
        <f t="shared" si="0"/>
        <v>0</v>
      </c>
      <c r="J20" s="527"/>
      <c r="K20" s="336"/>
      <c r="L20" s="328"/>
      <c r="M20" s="125">
        <f t="shared" si="1"/>
        <v>0</v>
      </c>
      <c r="N20" s="362"/>
      <c r="O20" s="265" t="str">
        <f t="shared" ref="O20:O22" si="6">C20</f>
        <v>Premium Digital Banking Platform One Time Fee</v>
      </c>
      <c r="P20" s="836">
        <v>80000</v>
      </c>
      <c r="Q20" s="160" cm="1">
        <f t="array" ref="Q20">_xlfn.IFS(P20="TBD",0,P20=0,0,P20&gt;0,$P20*$D20)</f>
        <v>80000</v>
      </c>
      <c r="R20" s="479"/>
      <c r="S20" s="86" t="s">
        <v>651</v>
      </c>
      <c r="T20" s="1001">
        <v>80000</v>
      </c>
      <c r="U20" s="168">
        <f t="shared" si="3"/>
        <v>80000</v>
      </c>
      <c r="V20" s="536"/>
    </row>
    <row r="21" spans="1:22" outlineLevel="1" x14ac:dyDescent="0.25">
      <c r="A21" s="890"/>
      <c r="B21" s="623" t="s">
        <v>650</v>
      </c>
      <c r="C21" s="601" t="s">
        <v>652</v>
      </c>
      <c r="D21" s="284">
        <v>1</v>
      </c>
      <c r="E21" s="285">
        <v>60</v>
      </c>
      <c r="F21" s="286">
        <v>1</v>
      </c>
      <c r="G21" s="415"/>
      <c r="H21" s="250"/>
      <c r="I21" s="212">
        <f t="shared" si="0"/>
        <v>0</v>
      </c>
      <c r="J21" s="528"/>
      <c r="K21" s="336"/>
      <c r="L21" s="328"/>
      <c r="M21" s="125">
        <f t="shared" si="1"/>
        <v>0</v>
      </c>
      <c r="N21" s="370"/>
      <c r="O21" s="265" t="str">
        <f t="shared" si="6"/>
        <v>Verafin - Standard Security Extract One Time Fee</v>
      </c>
      <c r="P21" s="836">
        <v>5000</v>
      </c>
      <c r="Q21" s="160" cm="1">
        <f t="array" ref="Q21">_xlfn.IFS(P21="TBD",0,P21=0,0,P21&gt;0,$P21*$D21)</f>
        <v>5000</v>
      </c>
      <c r="R21" s="479"/>
      <c r="S21" s="86" t="s">
        <v>652</v>
      </c>
      <c r="T21" s="1001">
        <v>5000</v>
      </c>
      <c r="U21" s="168">
        <f t="shared" si="3"/>
        <v>5000</v>
      </c>
      <c r="V21" s="536"/>
    </row>
    <row r="22" spans="1:22" outlineLevel="1" x14ac:dyDescent="0.25">
      <c r="A22" s="890"/>
      <c r="B22" s="623" t="s">
        <v>650</v>
      </c>
      <c r="C22" s="601" t="s">
        <v>653</v>
      </c>
      <c r="D22" s="284">
        <v>1</v>
      </c>
      <c r="E22" s="285">
        <v>60</v>
      </c>
      <c r="F22" s="286">
        <v>1</v>
      </c>
      <c r="G22" s="415"/>
      <c r="H22" s="250"/>
      <c r="I22" s="212">
        <f t="shared" si="0"/>
        <v>0</v>
      </c>
      <c r="J22" s="527"/>
      <c r="K22" s="336"/>
      <c r="L22" s="328"/>
      <c r="M22" s="125">
        <f t="shared" si="1"/>
        <v>0</v>
      </c>
      <c r="N22" s="362"/>
      <c r="O22" s="265" t="str">
        <f t="shared" si="6"/>
        <v>Q2 CardSwap One Time Fee</v>
      </c>
      <c r="P22" s="836">
        <v>2500</v>
      </c>
      <c r="Q22" s="160" cm="1">
        <f t="array" ref="Q22">_xlfn.IFS(P22="TBD",0,P22=0,0,P22&gt;0,$P22*$D22)</f>
        <v>2500</v>
      </c>
      <c r="R22" s="479"/>
      <c r="S22" s="86" t="s">
        <v>653</v>
      </c>
      <c r="T22" s="1001">
        <v>2500</v>
      </c>
      <c r="U22" s="168">
        <f t="shared" si="3"/>
        <v>2500</v>
      </c>
      <c r="V22" s="536"/>
    </row>
    <row r="23" spans="1:22" outlineLevel="1" x14ac:dyDescent="0.25">
      <c r="A23" s="890"/>
      <c r="B23" s="623" t="s">
        <v>654</v>
      </c>
      <c r="C23" s="601" t="s">
        <v>655</v>
      </c>
      <c r="D23" s="284">
        <v>1</v>
      </c>
      <c r="E23" s="285">
        <v>60</v>
      </c>
      <c r="F23" s="286">
        <v>1</v>
      </c>
      <c r="G23" s="415"/>
      <c r="H23" s="250"/>
      <c r="I23" s="212">
        <f t="shared" si="0"/>
        <v>0</v>
      </c>
      <c r="J23" s="527"/>
      <c r="K23" s="336"/>
      <c r="L23" s="328"/>
      <c r="M23" s="125">
        <f t="shared" si="1"/>
        <v>0</v>
      </c>
      <c r="N23" s="362"/>
      <c r="O23" s="265" t="str">
        <f>C23</f>
        <v>Q2 Small Business Advisory Services</v>
      </c>
      <c r="P23" s="836">
        <v>15840</v>
      </c>
      <c r="Q23" s="160" cm="1">
        <f t="array" ref="Q23">_xlfn.IFS(P23="TBD",0,P23=0,0,P23&gt;0,$P23*$D23)</f>
        <v>15840</v>
      </c>
      <c r="R23" s="479"/>
      <c r="S23" s="86" t="s">
        <v>655</v>
      </c>
      <c r="T23" s="1001">
        <v>15840</v>
      </c>
      <c r="U23" s="168">
        <f t="shared" si="3"/>
        <v>15840</v>
      </c>
      <c r="V23" s="536"/>
    </row>
    <row r="24" spans="1:22" outlineLevel="1" x14ac:dyDescent="0.25">
      <c r="A24" s="890"/>
      <c r="B24" s="623" t="s">
        <v>656</v>
      </c>
      <c r="C24" s="601" t="s">
        <v>657</v>
      </c>
      <c r="D24" s="284">
        <v>1</v>
      </c>
      <c r="E24" s="285">
        <v>60</v>
      </c>
      <c r="F24" s="286">
        <v>1</v>
      </c>
      <c r="G24" s="415"/>
      <c r="H24" s="250"/>
      <c r="I24" s="212">
        <f t="shared" si="0"/>
        <v>0</v>
      </c>
      <c r="J24" s="527"/>
      <c r="K24" s="336"/>
      <c r="L24" s="328"/>
      <c r="M24" s="125">
        <f t="shared" si="1"/>
        <v>0</v>
      </c>
      <c r="N24" s="362"/>
      <c r="O24" s="265" t="str">
        <f t="shared" ref="O24:O29" si="7">C24</f>
        <v>Consumer Banking One Time Fee</v>
      </c>
      <c r="P24" s="836">
        <v>40000</v>
      </c>
      <c r="Q24" s="160" cm="1">
        <f t="array" ref="Q24">_xlfn.IFS(P24="TBD",0,P24=0,0,P24&gt;0,$P24*$D24)</f>
        <v>40000</v>
      </c>
      <c r="R24" s="479"/>
      <c r="S24" s="86" t="s">
        <v>657</v>
      </c>
      <c r="T24" s="1001">
        <v>40000</v>
      </c>
      <c r="U24" s="168">
        <f t="shared" si="3"/>
        <v>40000</v>
      </c>
      <c r="V24" s="536"/>
    </row>
    <row r="25" spans="1:22" outlineLevel="1" x14ac:dyDescent="0.25">
      <c r="A25" s="890"/>
      <c r="B25" s="623" t="s">
        <v>658</v>
      </c>
      <c r="C25" s="601" t="s">
        <v>659</v>
      </c>
      <c r="D25" s="284">
        <v>1</v>
      </c>
      <c r="E25" s="285">
        <v>60</v>
      </c>
      <c r="F25" s="286">
        <v>1</v>
      </c>
      <c r="G25" s="415"/>
      <c r="H25" s="250"/>
      <c r="I25" s="212">
        <f t="shared" si="0"/>
        <v>0</v>
      </c>
      <c r="J25" s="528"/>
      <c r="K25" s="336"/>
      <c r="L25" s="328"/>
      <c r="M25" s="125">
        <f t="shared" si="1"/>
        <v>0</v>
      </c>
      <c r="N25" s="370"/>
      <c r="O25" s="265" t="str">
        <f t="shared" si="7"/>
        <v>Business Banking One Time Fee</v>
      </c>
      <c r="P25" s="836">
        <v>10000</v>
      </c>
      <c r="Q25" s="160" cm="1">
        <f t="array" ref="Q25">_xlfn.IFS(P25="TBD",0,P25=0,0,P25&gt;0,$P25*$D25)</f>
        <v>10000</v>
      </c>
      <c r="R25" s="479"/>
      <c r="S25" s="86" t="s">
        <v>659</v>
      </c>
      <c r="T25" s="1001">
        <v>10000</v>
      </c>
      <c r="U25" s="168">
        <f t="shared" si="3"/>
        <v>10000</v>
      </c>
      <c r="V25" s="536"/>
    </row>
    <row r="26" spans="1:22" outlineLevel="1" x14ac:dyDescent="0.25">
      <c r="A26" s="890"/>
      <c r="B26" s="623" t="s">
        <v>660</v>
      </c>
      <c r="C26" s="601" t="s">
        <v>576</v>
      </c>
      <c r="D26" s="284">
        <v>1</v>
      </c>
      <c r="E26" s="285">
        <v>60</v>
      </c>
      <c r="F26" s="286">
        <v>1</v>
      </c>
      <c r="G26" s="415"/>
      <c r="H26" s="250"/>
      <c r="I26" s="212">
        <f t="shared" si="0"/>
        <v>0</v>
      </c>
      <c r="J26" s="527"/>
      <c r="K26" s="336"/>
      <c r="L26" s="328"/>
      <c r="M26" s="125">
        <f t="shared" si="1"/>
        <v>0</v>
      </c>
      <c r="N26" s="362"/>
      <c r="O26" s="265" t="str">
        <f t="shared" si="7"/>
        <v>CentrixDTS: Regulation E Dispute Tracking System</v>
      </c>
      <c r="P26" s="836">
        <v>3500</v>
      </c>
      <c r="Q26" s="160" cm="1">
        <f t="array" ref="Q26">_xlfn.IFS(P26="TBD",0,P26=0,0,P26&gt;0,$P26*$D26)</f>
        <v>3500</v>
      </c>
      <c r="R26" s="479"/>
      <c r="S26" s="86" t="s">
        <v>576</v>
      </c>
      <c r="T26" s="1001">
        <v>3500</v>
      </c>
      <c r="U26" s="168">
        <f t="shared" si="3"/>
        <v>3500</v>
      </c>
      <c r="V26" s="536"/>
    </row>
    <row r="27" spans="1:22" outlineLevel="1" x14ac:dyDescent="0.25">
      <c r="A27" s="890"/>
      <c r="B27" s="623" t="s">
        <v>661</v>
      </c>
      <c r="C27" s="601" t="s">
        <v>662</v>
      </c>
      <c r="D27" s="284">
        <v>1</v>
      </c>
      <c r="E27" s="285">
        <v>60</v>
      </c>
      <c r="F27" s="286">
        <v>1</v>
      </c>
      <c r="G27" s="415"/>
      <c r="H27" s="250"/>
      <c r="I27" s="212">
        <f t="shared" si="0"/>
        <v>0</v>
      </c>
      <c r="J27" s="528"/>
      <c r="K27" s="336"/>
      <c r="L27" s="328"/>
      <c r="M27" s="125">
        <f t="shared" si="1"/>
        <v>0</v>
      </c>
      <c r="N27" s="370"/>
      <c r="O27" s="265" t="str">
        <f t="shared" si="7"/>
        <v>Q2 Contextual PFM</v>
      </c>
      <c r="P27" s="836">
        <v>12000</v>
      </c>
      <c r="Q27" s="160" cm="1">
        <f t="array" ref="Q27">_xlfn.IFS(P27="TBD",0,P27=0,0,P27&gt;0,$P27*$D27)</f>
        <v>12000</v>
      </c>
      <c r="R27" s="479"/>
      <c r="S27" s="86" t="s">
        <v>662</v>
      </c>
      <c r="T27" s="1001">
        <v>12000</v>
      </c>
      <c r="U27" s="168">
        <f t="shared" si="3"/>
        <v>12000</v>
      </c>
      <c r="V27" s="536"/>
    </row>
    <row r="28" spans="1:22" outlineLevel="1" x14ac:dyDescent="0.25">
      <c r="A28" s="890"/>
      <c r="B28" s="623" t="s">
        <v>661</v>
      </c>
      <c r="C28" s="601" t="s">
        <v>663</v>
      </c>
      <c r="D28" s="284">
        <v>1</v>
      </c>
      <c r="E28" s="285">
        <v>60</v>
      </c>
      <c r="F28" s="286">
        <v>1</v>
      </c>
      <c r="G28" s="415"/>
      <c r="H28" s="250"/>
      <c r="I28" s="212">
        <f t="shared" si="0"/>
        <v>0</v>
      </c>
      <c r="J28" s="528"/>
      <c r="K28" s="336"/>
      <c r="L28" s="328"/>
      <c r="M28" s="125">
        <f t="shared" si="1"/>
        <v>0</v>
      </c>
      <c r="N28" s="370"/>
      <c r="O28" s="265" t="str">
        <f t="shared" si="7"/>
        <v>Intuit Quickbooks , Quicken Web Connect, Direct Connect</v>
      </c>
      <c r="P28" s="836">
        <v>8949</v>
      </c>
      <c r="Q28" s="160" cm="1">
        <f t="array" ref="Q28">_xlfn.IFS(P28="TBD",0,P28=0,0,P28&gt;0,$P28*$D28)</f>
        <v>8949</v>
      </c>
      <c r="R28" s="479"/>
      <c r="S28" s="86" t="s">
        <v>663</v>
      </c>
      <c r="T28" s="1001">
        <v>8949</v>
      </c>
      <c r="U28" s="168">
        <f t="shared" si="3"/>
        <v>8949</v>
      </c>
      <c r="V28" s="536"/>
    </row>
    <row r="29" spans="1:22" outlineLevel="1" x14ac:dyDescent="0.25">
      <c r="A29" s="890"/>
      <c r="B29" s="623" t="s">
        <v>661</v>
      </c>
      <c r="C29" s="601" t="s">
        <v>593</v>
      </c>
      <c r="D29" s="284">
        <v>1</v>
      </c>
      <c r="E29" s="285">
        <v>60</v>
      </c>
      <c r="F29" s="286">
        <v>1</v>
      </c>
      <c r="G29" s="415"/>
      <c r="H29" s="250"/>
      <c r="I29" s="212">
        <f t="shared" si="0"/>
        <v>0</v>
      </c>
      <c r="J29" s="528"/>
      <c r="K29" s="336"/>
      <c r="L29" s="328"/>
      <c r="M29" s="125">
        <f t="shared" si="1"/>
        <v>0</v>
      </c>
      <c r="N29" s="370"/>
      <c r="O29" s="265" t="str">
        <f t="shared" si="7"/>
        <v>Intuit OFX Service Conversion</v>
      </c>
      <c r="P29" s="836">
        <v>3000</v>
      </c>
      <c r="Q29" s="160" cm="1">
        <f t="array" ref="Q29">_xlfn.IFS(P29="TBD",0,P29=0,0,P29&gt;0,$P29*$D29)</f>
        <v>3000</v>
      </c>
      <c r="R29" s="479"/>
      <c r="S29" s="86" t="s">
        <v>593</v>
      </c>
      <c r="T29" s="1001">
        <v>3000</v>
      </c>
      <c r="U29" s="168">
        <f t="shared" si="3"/>
        <v>3000</v>
      </c>
      <c r="V29" s="536"/>
    </row>
    <row r="30" spans="1:22" outlineLevel="1" x14ac:dyDescent="0.25">
      <c r="A30" s="890"/>
      <c r="B30" s="623"/>
      <c r="C30" s="601" t="s">
        <v>664</v>
      </c>
      <c r="D30" s="284">
        <v>1</v>
      </c>
      <c r="E30" s="285">
        <v>60</v>
      </c>
      <c r="F30" s="286">
        <v>1</v>
      </c>
      <c r="G30" s="415"/>
      <c r="H30" s="250"/>
      <c r="I30" s="212">
        <f t="shared" si="0"/>
        <v>0</v>
      </c>
      <c r="J30" s="528"/>
      <c r="K30" s="336"/>
      <c r="L30" s="328"/>
      <c r="M30" s="125">
        <f t="shared" si="1"/>
        <v>0</v>
      </c>
      <c r="N30" s="370"/>
      <c r="O30" s="265" t="s">
        <v>664</v>
      </c>
      <c r="P30" s="1147">
        <v>12350</v>
      </c>
      <c r="Q30" s="160" cm="1">
        <f t="array" ref="Q30">_xlfn.IFS(P30="TBD",0,P30=0,0,P30&gt;0,$P30*$D30)</f>
        <v>12350</v>
      </c>
      <c r="R30" s="479"/>
      <c r="S30" s="86" t="s">
        <v>664</v>
      </c>
      <c r="T30" s="87">
        <v>12350</v>
      </c>
      <c r="U30" s="168">
        <f t="shared" si="3"/>
        <v>12350</v>
      </c>
      <c r="V30" s="536"/>
    </row>
    <row r="31" spans="1:22" outlineLevel="1" x14ac:dyDescent="0.25">
      <c r="A31" s="445"/>
      <c r="B31" s="623"/>
      <c r="C31" s="601"/>
      <c r="D31" s="284"/>
      <c r="E31" s="285"/>
      <c r="F31" s="286"/>
      <c r="G31" s="415"/>
      <c r="H31" s="250"/>
      <c r="I31" s="212">
        <f t="shared" si="0"/>
        <v>0</v>
      </c>
      <c r="J31" s="528"/>
      <c r="K31" s="336"/>
      <c r="L31" s="328"/>
      <c r="M31" s="125">
        <f t="shared" si="1"/>
        <v>0</v>
      </c>
      <c r="N31" s="370"/>
      <c r="O31" s="265"/>
      <c r="P31" s="836"/>
      <c r="Q31" s="160" cm="1">
        <f t="array" ref="Q31">_xlfn.IFS(P31="TBD",0,P31=0,0,P31&gt;0,$P31*$D31)</f>
        <v>0</v>
      </c>
      <c r="R31" s="479"/>
      <c r="S31" s="86"/>
      <c r="T31" s="87"/>
      <c r="U31" s="168">
        <f t="shared" si="3"/>
        <v>0</v>
      </c>
      <c r="V31" s="536"/>
    </row>
    <row r="32" spans="1:22" outlineLevel="1" x14ac:dyDescent="0.25">
      <c r="A32" s="283"/>
      <c r="B32" s="399"/>
      <c r="C32" s="601"/>
      <c r="D32" s="284"/>
      <c r="E32" s="285"/>
      <c r="F32" s="286"/>
      <c r="G32" s="415"/>
      <c r="H32" s="825"/>
      <c r="I32" s="212">
        <f t="shared" si="0"/>
        <v>0</v>
      </c>
      <c r="J32" s="528"/>
      <c r="K32" s="336"/>
      <c r="L32" s="381"/>
      <c r="M32" s="125">
        <f t="shared" si="1"/>
        <v>0</v>
      </c>
      <c r="N32" s="370"/>
      <c r="O32" s="266"/>
      <c r="P32" s="133"/>
      <c r="Q32" s="160">
        <f t="shared" si="2"/>
        <v>0</v>
      </c>
      <c r="R32" s="478"/>
      <c r="S32" s="86"/>
      <c r="T32" s="87"/>
      <c r="U32" s="168">
        <f t="shared" si="3"/>
        <v>0</v>
      </c>
      <c r="V32" s="535"/>
    </row>
    <row r="33" spans="1:22" ht="3.75" customHeight="1" outlineLevel="1" x14ac:dyDescent="0.25">
      <c r="A33" s="16"/>
      <c r="B33" s="830"/>
      <c r="C33" s="263"/>
      <c r="D33" s="607"/>
      <c r="E33" s="607"/>
      <c r="F33" s="16"/>
      <c r="G33" s="16"/>
      <c r="H33" s="19"/>
      <c r="I33" s="17"/>
      <c r="J33" s="21"/>
      <c r="K33" s="16"/>
      <c r="L33" s="20"/>
      <c r="M33" s="21"/>
      <c r="N33" s="21"/>
      <c r="O33" s="263"/>
      <c r="P33" s="20"/>
      <c r="Q33" s="21"/>
      <c r="R33" s="21"/>
      <c r="S33" s="20"/>
      <c r="T33" s="20"/>
      <c r="U33" s="22"/>
      <c r="V33" s="21"/>
    </row>
    <row r="34" spans="1:22" s="496" customFormat="1" x14ac:dyDescent="0.25">
      <c r="A34" s="77"/>
      <c r="B34" s="298"/>
      <c r="C34" s="298" t="s">
        <v>453</v>
      </c>
      <c r="D34" s="610"/>
      <c r="E34" s="610"/>
      <c r="F34" s="115"/>
      <c r="G34" s="304" t="str">
        <f>C34</f>
        <v>Implementation and Setup Fees Sum:</v>
      </c>
      <c r="H34" s="303"/>
      <c r="I34" s="210">
        <f>SUM(I8:I32)</f>
        <v>0</v>
      </c>
      <c r="J34" s="527"/>
      <c r="K34" s="320" t="str">
        <f>C34</f>
        <v>Implementation and Setup Fees Sum:</v>
      </c>
      <c r="L34" s="326"/>
      <c r="M34" s="202">
        <f>SUM(M8:M32)</f>
        <v>0</v>
      </c>
      <c r="N34" s="362"/>
      <c r="O34" s="299" t="str">
        <f>C34</f>
        <v>Implementation and Setup Fees Sum:</v>
      </c>
      <c r="P34" s="256"/>
      <c r="Q34" s="163">
        <f>SUM(Q8:Q32)</f>
        <v>218139</v>
      </c>
      <c r="R34" s="487"/>
      <c r="S34" s="318" t="str">
        <f>C34</f>
        <v>Implementation and Setup Fees Sum:</v>
      </c>
      <c r="T34" s="150"/>
      <c r="U34" s="1224">
        <f>SUM(U8:U32)</f>
        <v>218139</v>
      </c>
      <c r="V34" s="533"/>
    </row>
    <row r="35" spans="1:22" ht="3.75" customHeight="1" x14ac:dyDescent="0.25">
      <c r="A35" s="16"/>
      <c r="B35" s="830"/>
      <c r="C35" s="263"/>
      <c r="D35" s="607"/>
      <c r="E35" s="607"/>
      <c r="F35" s="16"/>
      <c r="G35" s="16"/>
      <c r="H35" s="19"/>
      <c r="I35" s="17"/>
      <c r="J35" s="21"/>
      <c r="K35" s="16"/>
      <c r="L35" s="20"/>
      <c r="M35" s="21"/>
      <c r="N35" s="21"/>
      <c r="O35" s="263"/>
      <c r="P35" s="20"/>
      <c r="Q35" s="21"/>
      <c r="R35" s="21"/>
      <c r="S35" s="20"/>
      <c r="T35" s="20"/>
      <c r="U35" s="22"/>
      <c r="V35" s="21"/>
    </row>
    <row r="36" spans="1:22" s="497" customFormat="1" ht="38.25" x14ac:dyDescent="0.35">
      <c r="A36" s="295"/>
      <c r="B36" s="833"/>
      <c r="C36" s="602" t="s">
        <v>665</v>
      </c>
      <c r="D36" s="281" t="s">
        <v>425</v>
      </c>
      <c r="E36" s="282" t="s">
        <v>426</v>
      </c>
      <c r="F36" s="282" t="s">
        <v>427</v>
      </c>
      <c r="G36" s="800" t="str">
        <f>C36</f>
        <v>DECONVERSION FEES</v>
      </c>
      <c r="H36" s="301" t="s">
        <v>47</v>
      </c>
      <c r="I36" s="208" t="s">
        <v>53</v>
      </c>
      <c r="J36" s="528"/>
      <c r="K36" s="334" t="str">
        <f>C36</f>
        <v>DECONVERSION FEES</v>
      </c>
      <c r="L36" s="323" t="s">
        <v>47</v>
      </c>
      <c r="M36" s="122" t="s">
        <v>58</v>
      </c>
      <c r="N36" s="370"/>
      <c r="O36" s="314" t="str">
        <f t="shared" ref="O36:O44" si="8">C36</f>
        <v>DECONVERSION FEES</v>
      </c>
      <c r="P36" s="254" t="s">
        <v>47</v>
      </c>
      <c r="Q36" s="157" t="s">
        <v>58</v>
      </c>
      <c r="R36" s="488"/>
      <c r="S36" s="491" t="str">
        <f>C36</f>
        <v>DECONVERSION FEES</v>
      </c>
      <c r="T36" s="236" t="s">
        <v>47</v>
      </c>
      <c r="U36" s="355" t="s">
        <v>58</v>
      </c>
      <c r="V36" s="534"/>
    </row>
    <row r="37" spans="1:22" outlineLevel="1" x14ac:dyDescent="0.25">
      <c r="A37" s="445"/>
      <c r="B37" s="832"/>
      <c r="C37" s="242" t="s">
        <v>666</v>
      </c>
      <c r="D37" s="242"/>
      <c r="E37" s="285"/>
      <c r="F37" s="286"/>
      <c r="G37" s="242" t="str">
        <f>C37</f>
        <v>Deconversion - Digital on 07/31/2025</v>
      </c>
      <c r="H37" s="242"/>
      <c r="I37" s="212">
        <f t="shared" ref="I37:I52" si="9">$H37*$D37</f>
        <v>0</v>
      </c>
      <c r="J37" s="528"/>
      <c r="K37" s="242" t="str">
        <f>C37</f>
        <v>Deconversion - Digital on 07/31/2025</v>
      </c>
      <c r="L37" s="242"/>
      <c r="M37" s="125">
        <f t="shared" ref="M37:M52" si="10">$L37*$D37</f>
        <v>0</v>
      </c>
      <c r="N37" s="370"/>
      <c r="O37" s="242" t="str">
        <f>$C$37</f>
        <v>Deconversion - Digital on 07/31/2025</v>
      </c>
      <c r="P37" s="242"/>
      <c r="Q37" s="160">
        <f t="shared" ref="Q37" si="11">$P37*$D37</f>
        <v>0</v>
      </c>
      <c r="R37" s="479"/>
      <c r="S37" s="242" t="str">
        <f>$C$37</f>
        <v>Deconversion - Digital on 07/31/2025</v>
      </c>
      <c r="T37" s="87"/>
      <c r="U37" s="168">
        <f t="shared" ref="U37:U52" si="12">$T37*$D37</f>
        <v>0</v>
      </c>
      <c r="V37" s="536"/>
    </row>
    <row r="38" spans="1:22" outlineLevel="1" x14ac:dyDescent="0.25">
      <c r="A38" s="804"/>
      <c r="B38" s="623" t="s">
        <v>667</v>
      </c>
      <c r="C38" s="601" t="s">
        <v>668</v>
      </c>
      <c r="D38" s="284">
        <v>0</v>
      </c>
      <c r="E38" s="285">
        <v>60</v>
      </c>
      <c r="F38" s="286">
        <v>1</v>
      </c>
      <c r="G38" s="415"/>
      <c r="H38" s="250"/>
      <c r="I38" s="212">
        <f t="shared" si="9"/>
        <v>0</v>
      </c>
      <c r="J38" s="527"/>
      <c r="K38" s="336"/>
      <c r="L38" s="328"/>
      <c r="M38" s="125">
        <f t="shared" si="10"/>
        <v>0</v>
      </c>
      <c r="N38" s="362"/>
      <c r="O38" s="265" t="str">
        <f t="shared" si="8"/>
        <v>Bill Pay - Payment Manager Consumer</v>
      </c>
      <c r="P38" s="1146">
        <v>3000</v>
      </c>
      <c r="Q38" s="160" cm="1">
        <f t="array" ref="Q38">_xlfn.IFS(P38="TBD",0,P38=0,0,P38&gt;0,$P38*$D38)</f>
        <v>0</v>
      </c>
      <c r="R38" s="479" t="s">
        <v>669</v>
      </c>
      <c r="S38" s="86" t="s">
        <v>668</v>
      </c>
      <c r="T38" s="1303">
        <v>3000</v>
      </c>
      <c r="U38" s="168">
        <f t="shared" si="12"/>
        <v>0</v>
      </c>
      <c r="V38" s="536" t="s">
        <v>669</v>
      </c>
    </row>
    <row r="39" spans="1:22" outlineLevel="1" x14ac:dyDescent="0.25">
      <c r="A39" s="804"/>
      <c r="B39" s="623" t="s">
        <v>667</v>
      </c>
      <c r="C39" s="601" t="s">
        <v>670</v>
      </c>
      <c r="D39" s="284">
        <v>1</v>
      </c>
      <c r="E39" s="285">
        <v>60</v>
      </c>
      <c r="F39" s="286">
        <v>1</v>
      </c>
      <c r="G39" s="415"/>
      <c r="H39" s="250"/>
      <c r="I39" s="212">
        <f t="shared" si="9"/>
        <v>0</v>
      </c>
      <c r="J39" s="528"/>
      <c r="K39" s="336"/>
      <c r="L39" s="328"/>
      <c r="M39" s="125">
        <f t="shared" si="10"/>
        <v>0</v>
      </c>
      <c r="N39" s="370"/>
      <c r="O39" s="265" t="str">
        <f t="shared" si="8"/>
        <v>Bill Pay - Deconversion Cost for 500 - 999 End Users</v>
      </c>
      <c r="P39" s="1146">
        <v>17900</v>
      </c>
      <c r="Q39" s="160" cm="1">
        <f t="array" ref="Q39">_xlfn.IFS(P39="TBD",0,P39=0,0,P39&gt;0,$P39*$D39)</f>
        <v>17900</v>
      </c>
      <c r="R39" s="479" t="s">
        <v>671</v>
      </c>
      <c r="S39" s="86" t="s">
        <v>670</v>
      </c>
      <c r="T39" s="1303">
        <v>17900</v>
      </c>
      <c r="U39" s="168">
        <f t="shared" si="12"/>
        <v>17900</v>
      </c>
      <c r="V39" s="536" t="s">
        <v>671</v>
      </c>
    </row>
    <row r="40" spans="1:22" outlineLevel="1" x14ac:dyDescent="0.25">
      <c r="A40" s="804"/>
      <c r="B40" s="623" t="s">
        <v>667</v>
      </c>
      <c r="C40" s="601" t="s">
        <v>672</v>
      </c>
      <c r="D40" s="284">
        <v>1</v>
      </c>
      <c r="E40" s="285">
        <v>60</v>
      </c>
      <c r="F40" s="286">
        <v>1</v>
      </c>
      <c r="G40" s="415"/>
      <c r="H40" s="250"/>
      <c r="I40" s="212">
        <f t="shared" si="9"/>
        <v>0</v>
      </c>
      <c r="J40" s="527"/>
      <c r="K40" s="336"/>
      <c r="L40" s="328"/>
      <c r="M40" s="125">
        <f t="shared" si="10"/>
        <v>0</v>
      </c>
      <c r="N40" s="362"/>
      <c r="O40" s="265" t="str">
        <f t="shared" si="8"/>
        <v>Mobile Banking</v>
      </c>
      <c r="P40" s="836">
        <v>3500</v>
      </c>
      <c r="Q40" s="160" cm="1">
        <f t="array" ref="Q40">_xlfn.IFS(P40="TBD",0,P40=0,0,P40&gt;0,$P40*$D40)</f>
        <v>3500</v>
      </c>
      <c r="R40" s="479" t="s">
        <v>673</v>
      </c>
      <c r="S40" s="86" t="s">
        <v>672</v>
      </c>
      <c r="T40" s="87">
        <v>3500</v>
      </c>
      <c r="U40" s="168">
        <f t="shared" si="12"/>
        <v>3500</v>
      </c>
      <c r="V40" s="536" t="s">
        <v>673</v>
      </c>
    </row>
    <row r="41" spans="1:22" outlineLevel="1" x14ac:dyDescent="0.25">
      <c r="A41" s="804"/>
      <c r="B41" s="623" t="s">
        <v>667</v>
      </c>
      <c r="C41" s="601" t="s">
        <v>674</v>
      </c>
      <c r="D41" s="284">
        <v>1</v>
      </c>
      <c r="E41" s="285">
        <v>60</v>
      </c>
      <c r="F41" s="286">
        <v>1</v>
      </c>
      <c r="G41" s="415"/>
      <c r="H41" s="250"/>
      <c r="I41" s="212">
        <f>$H41*$D41</f>
        <v>0</v>
      </c>
      <c r="J41" s="527"/>
      <c r="K41" s="336"/>
      <c r="L41" s="328"/>
      <c r="M41" s="125">
        <f>$L41*$D41</f>
        <v>0</v>
      </c>
      <c r="N41" s="362"/>
      <c r="O41" s="265" t="str">
        <f t="shared" si="8"/>
        <v>eBanking - Online Banking (OLB)</v>
      </c>
      <c r="P41" s="836">
        <v>3000</v>
      </c>
      <c r="Q41" s="160" cm="1">
        <f t="array" ref="Q41">_xlfn.IFS(P41="TBD",0,P41=0,0,P41&gt;0,$P41*$D41)</f>
        <v>3000</v>
      </c>
      <c r="R41" s="479" t="s">
        <v>675</v>
      </c>
      <c r="S41" s="86" t="s">
        <v>674</v>
      </c>
      <c r="T41" s="87">
        <v>3000</v>
      </c>
      <c r="U41" s="168">
        <f>$T41*$D41</f>
        <v>3000</v>
      </c>
      <c r="V41" s="536" t="s">
        <v>675</v>
      </c>
    </row>
    <row r="42" spans="1:22" outlineLevel="1" x14ac:dyDescent="0.25">
      <c r="A42" s="804"/>
      <c r="B42" s="623" t="s">
        <v>667</v>
      </c>
      <c r="C42" s="601" t="s">
        <v>676</v>
      </c>
      <c r="D42" s="284">
        <v>1</v>
      </c>
      <c r="E42" s="285">
        <v>60</v>
      </c>
      <c r="F42" s="286">
        <v>1</v>
      </c>
      <c r="G42" s="415"/>
      <c r="H42" s="250"/>
      <c r="I42" s="212">
        <f t="shared" si="9"/>
        <v>0</v>
      </c>
      <c r="J42" s="527"/>
      <c r="K42" s="336"/>
      <c r="L42" s="328"/>
      <c r="M42" s="125">
        <f t="shared" si="10"/>
        <v>0</v>
      </c>
      <c r="N42" s="362"/>
      <c r="O42" s="265" t="str">
        <f t="shared" si="8"/>
        <v>eBanking - Cash Management Internet Banking Data</v>
      </c>
      <c r="P42" s="836">
        <v>9000</v>
      </c>
      <c r="Q42" s="160" cm="1">
        <f t="array" ref="Q42">_xlfn.IFS(P42="TBD",0,P42=0,0,P42&gt;0,$P42*$D42)</f>
        <v>9000</v>
      </c>
      <c r="R42" s="479" t="s">
        <v>677</v>
      </c>
      <c r="S42" s="86" t="s">
        <v>676</v>
      </c>
      <c r="T42" s="87">
        <v>9000</v>
      </c>
      <c r="U42" s="168">
        <f t="shared" si="12"/>
        <v>9000</v>
      </c>
      <c r="V42" s="536" t="s">
        <v>677</v>
      </c>
    </row>
    <row r="43" spans="1:22" outlineLevel="1" x14ac:dyDescent="0.25">
      <c r="A43" s="804"/>
      <c r="B43" s="623" t="s">
        <v>667</v>
      </c>
      <c r="C43" s="601" t="s">
        <v>678</v>
      </c>
      <c r="D43" s="284">
        <v>1</v>
      </c>
      <c r="E43" s="285">
        <v>60</v>
      </c>
      <c r="F43" s="286">
        <v>1</v>
      </c>
      <c r="G43" s="415"/>
      <c r="H43" s="250"/>
      <c r="I43" s="212">
        <f t="shared" si="9"/>
        <v>0</v>
      </c>
      <c r="J43" s="527"/>
      <c r="K43" s="336"/>
      <c r="L43" s="328"/>
      <c r="M43" s="125">
        <f t="shared" si="10"/>
        <v>0</v>
      </c>
      <c r="N43" s="362"/>
      <c r="O43" s="265" t="str">
        <f t="shared" si="8"/>
        <v>eBanking - OLB Retail Internet Banking Data</v>
      </c>
      <c r="P43" s="836">
        <v>6500</v>
      </c>
      <c r="Q43" s="160" cm="1">
        <f t="array" ref="Q43">_xlfn.IFS(P43="TBD",0,P43=0,0,P43&gt;0,$P43*$D43)</f>
        <v>6500</v>
      </c>
      <c r="R43" s="479" t="s">
        <v>677</v>
      </c>
      <c r="S43" s="86" t="s">
        <v>678</v>
      </c>
      <c r="T43" s="87">
        <v>6500</v>
      </c>
      <c r="U43" s="168">
        <f t="shared" si="12"/>
        <v>6500</v>
      </c>
      <c r="V43" s="536" t="s">
        <v>677</v>
      </c>
    </row>
    <row r="44" spans="1:22" outlineLevel="1" x14ac:dyDescent="0.25">
      <c r="A44" s="804"/>
      <c r="B44" s="623" t="s">
        <v>667</v>
      </c>
      <c r="C44" s="601" t="s">
        <v>679</v>
      </c>
      <c r="D44" s="284">
        <v>1</v>
      </c>
      <c r="E44" s="285">
        <v>60</v>
      </c>
      <c r="F44" s="286">
        <v>1</v>
      </c>
      <c r="G44" s="415"/>
      <c r="H44" s="250"/>
      <c r="I44" s="212">
        <f t="shared" si="9"/>
        <v>0</v>
      </c>
      <c r="J44" s="528"/>
      <c r="K44" s="336"/>
      <c r="L44" s="328"/>
      <c r="M44" s="125">
        <f t="shared" si="10"/>
        <v>0</v>
      </c>
      <c r="N44" s="370"/>
      <c r="O44" s="265" t="str">
        <f t="shared" si="8"/>
        <v>eBanking - Passmark - Advanced Authentication</v>
      </c>
      <c r="P44" s="836">
        <v>3000</v>
      </c>
      <c r="Q44" s="160" cm="1">
        <f t="array" ref="Q44">_xlfn.IFS(P44="TBD",0,P44=0,0,P44&gt;0,$P44*$D44)</f>
        <v>3000</v>
      </c>
      <c r="R44" s="479" t="s">
        <v>680</v>
      </c>
      <c r="S44" s="86" t="s">
        <v>679</v>
      </c>
      <c r="T44" s="87">
        <v>3000</v>
      </c>
      <c r="U44" s="168">
        <f t="shared" si="12"/>
        <v>3000</v>
      </c>
      <c r="V44" s="536" t="s">
        <v>680</v>
      </c>
    </row>
    <row r="45" spans="1:22" outlineLevel="1" x14ac:dyDescent="0.25">
      <c r="A45" s="445"/>
      <c r="B45" s="623"/>
      <c r="C45" s="601"/>
      <c r="D45" s="284"/>
      <c r="E45" s="285">
        <v>60</v>
      </c>
      <c r="F45" s="286">
        <v>1</v>
      </c>
      <c r="G45" s="415"/>
      <c r="H45" s="250"/>
      <c r="I45" s="212">
        <f t="shared" si="9"/>
        <v>0</v>
      </c>
      <c r="J45" s="527"/>
      <c r="K45" s="336"/>
      <c r="L45" s="328"/>
      <c r="M45" s="125">
        <f t="shared" si="10"/>
        <v>0</v>
      </c>
      <c r="N45" s="362"/>
      <c r="O45" s="265"/>
      <c r="P45" s="836"/>
      <c r="Q45" s="160" cm="1">
        <f t="array" ref="Q45">_xlfn.IFS(P45="TBD",0,P45=0,0,P45&gt;0,$P45*$D45)</f>
        <v>0</v>
      </c>
      <c r="R45" s="479"/>
      <c r="S45" s="86"/>
      <c r="T45" s="87"/>
      <c r="U45" s="168">
        <f t="shared" si="12"/>
        <v>0</v>
      </c>
      <c r="V45" s="536"/>
    </row>
    <row r="46" spans="1:22" outlineLevel="1" x14ac:dyDescent="0.25">
      <c r="A46" s="445"/>
      <c r="B46" s="623"/>
      <c r="C46" s="601"/>
      <c r="D46" s="284"/>
      <c r="E46" s="285">
        <v>60</v>
      </c>
      <c r="F46" s="286">
        <v>1</v>
      </c>
      <c r="G46" s="415"/>
      <c r="H46" s="250"/>
      <c r="I46" s="212">
        <f t="shared" si="9"/>
        <v>0</v>
      </c>
      <c r="J46" s="528"/>
      <c r="K46" s="336"/>
      <c r="L46" s="328"/>
      <c r="M46" s="125">
        <f t="shared" si="10"/>
        <v>0</v>
      </c>
      <c r="N46" s="370"/>
      <c r="O46" s="265"/>
      <c r="P46" s="836"/>
      <c r="Q46" s="160" cm="1">
        <f t="array" ref="Q46">_xlfn.IFS(P46="TBD",0,P46=0,0,P46&gt;0,$P46*$D46)</f>
        <v>0</v>
      </c>
      <c r="R46" s="479"/>
      <c r="S46" s="86"/>
      <c r="T46" s="87"/>
      <c r="U46" s="168">
        <f t="shared" si="12"/>
        <v>0</v>
      </c>
      <c r="V46" s="536"/>
    </row>
    <row r="47" spans="1:22" outlineLevel="1" x14ac:dyDescent="0.25">
      <c r="A47" s="445"/>
      <c r="B47" s="623"/>
      <c r="C47" s="601"/>
      <c r="D47" s="284"/>
      <c r="E47" s="285">
        <v>60</v>
      </c>
      <c r="F47" s="286">
        <v>1</v>
      </c>
      <c r="G47" s="415"/>
      <c r="H47" s="250"/>
      <c r="I47" s="212">
        <f t="shared" si="9"/>
        <v>0</v>
      </c>
      <c r="J47" s="528"/>
      <c r="K47" s="336"/>
      <c r="L47" s="328"/>
      <c r="M47" s="125">
        <f t="shared" si="10"/>
        <v>0</v>
      </c>
      <c r="N47" s="370"/>
      <c r="O47" s="265"/>
      <c r="P47" s="836"/>
      <c r="Q47" s="160" cm="1">
        <f t="array" ref="Q47">_xlfn.IFS(P47="TBD",0,P47=0,0,P47&gt;0,$P47*$D47)</f>
        <v>0</v>
      </c>
      <c r="R47" s="479"/>
      <c r="S47" s="86"/>
      <c r="T47" s="87"/>
      <c r="U47" s="168">
        <f t="shared" si="12"/>
        <v>0</v>
      </c>
      <c r="V47" s="536"/>
    </row>
    <row r="48" spans="1:22" outlineLevel="1" x14ac:dyDescent="0.25">
      <c r="A48" s="445"/>
      <c r="B48" s="623"/>
      <c r="C48" s="601"/>
      <c r="D48" s="284"/>
      <c r="E48" s="285">
        <v>60</v>
      </c>
      <c r="F48" s="286">
        <v>1</v>
      </c>
      <c r="G48" s="415"/>
      <c r="H48" s="250"/>
      <c r="I48" s="212">
        <f t="shared" si="9"/>
        <v>0</v>
      </c>
      <c r="J48" s="528"/>
      <c r="K48" s="336"/>
      <c r="L48" s="328"/>
      <c r="M48" s="125">
        <f t="shared" si="10"/>
        <v>0</v>
      </c>
      <c r="N48" s="370"/>
      <c r="O48" s="265"/>
      <c r="P48" s="836"/>
      <c r="Q48" s="160" cm="1">
        <f t="array" ref="Q48">_xlfn.IFS(P48="TBD",0,P48=0,0,P48&gt;0,$P48*$D48)</f>
        <v>0</v>
      </c>
      <c r="R48" s="479"/>
      <c r="S48" s="86"/>
      <c r="T48" s="87"/>
      <c r="U48" s="168">
        <f t="shared" si="12"/>
        <v>0</v>
      </c>
      <c r="V48" s="536"/>
    </row>
    <row r="49" spans="1:22" outlineLevel="1" x14ac:dyDescent="0.25">
      <c r="A49" s="445"/>
      <c r="B49" s="623"/>
      <c r="C49" s="601"/>
      <c r="D49" s="284"/>
      <c r="E49" s="285">
        <v>60</v>
      </c>
      <c r="F49" s="286">
        <v>1</v>
      </c>
      <c r="G49" s="415"/>
      <c r="H49" s="250"/>
      <c r="I49" s="212">
        <f t="shared" si="9"/>
        <v>0</v>
      </c>
      <c r="J49" s="528"/>
      <c r="K49" s="336"/>
      <c r="L49" s="328"/>
      <c r="M49" s="125">
        <f t="shared" si="10"/>
        <v>0</v>
      </c>
      <c r="N49" s="370"/>
      <c r="O49" s="265"/>
      <c r="P49" s="836"/>
      <c r="Q49" s="160" cm="1">
        <f t="array" ref="Q49">_xlfn.IFS(P49="TBD",0,P49=0,0,P49&gt;0,$P49*$D49)</f>
        <v>0</v>
      </c>
      <c r="R49" s="479"/>
      <c r="S49" s="86"/>
      <c r="T49" s="87"/>
      <c r="U49" s="168">
        <f t="shared" si="12"/>
        <v>0</v>
      </c>
      <c r="V49" s="536"/>
    </row>
    <row r="50" spans="1:22" outlineLevel="1" x14ac:dyDescent="0.25">
      <c r="A50" s="445"/>
      <c r="B50" s="623"/>
      <c r="C50" s="601"/>
      <c r="D50" s="284"/>
      <c r="E50" s="285">
        <v>60</v>
      </c>
      <c r="F50" s="286">
        <v>1</v>
      </c>
      <c r="G50" s="415"/>
      <c r="H50" s="250"/>
      <c r="I50" s="212">
        <f t="shared" si="9"/>
        <v>0</v>
      </c>
      <c r="J50" s="528"/>
      <c r="K50" s="336"/>
      <c r="L50" s="328"/>
      <c r="M50" s="125">
        <f t="shared" si="10"/>
        <v>0</v>
      </c>
      <c r="N50" s="370"/>
      <c r="O50" s="265"/>
      <c r="P50" s="836"/>
      <c r="Q50" s="160" cm="1">
        <f t="array" ref="Q50">_xlfn.IFS(P50="TBD",0,P50=0,0,P50&gt;0,$P50*$D50)</f>
        <v>0</v>
      </c>
      <c r="R50" s="479"/>
      <c r="S50" s="86"/>
      <c r="T50" s="87"/>
      <c r="U50" s="168">
        <f t="shared" si="12"/>
        <v>0</v>
      </c>
      <c r="V50" s="536"/>
    </row>
    <row r="51" spans="1:22" outlineLevel="1" x14ac:dyDescent="0.25">
      <c r="A51" s="445"/>
      <c r="B51" s="623"/>
      <c r="C51" s="601"/>
      <c r="D51" s="284"/>
      <c r="E51" s="285">
        <v>60</v>
      </c>
      <c r="F51" s="286">
        <v>1</v>
      </c>
      <c r="G51" s="415"/>
      <c r="H51" s="250"/>
      <c r="I51" s="212">
        <f t="shared" si="9"/>
        <v>0</v>
      </c>
      <c r="J51" s="528"/>
      <c r="K51" s="336"/>
      <c r="L51" s="328"/>
      <c r="M51" s="125">
        <f t="shared" si="10"/>
        <v>0</v>
      </c>
      <c r="N51" s="370"/>
      <c r="O51" s="265"/>
      <c r="P51" s="836"/>
      <c r="Q51" s="160" cm="1">
        <f t="array" ref="Q51">_xlfn.IFS(P51="TBD",0,P51=0,0,P51&gt;0,$P51*$D51)</f>
        <v>0</v>
      </c>
      <c r="R51" s="479"/>
      <c r="S51" s="86"/>
      <c r="T51" s="87"/>
      <c r="U51" s="168">
        <f t="shared" si="12"/>
        <v>0</v>
      </c>
      <c r="V51" s="536"/>
    </row>
    <row r="52" spans="1:22" outlineLevel="1" x14ac:dyDescent="0.25">
      <c r="A52" s="283"/>
      <c r="B52" s="399"/>
      <c r="C52" s="601"/>
      <c r="D52" s="284"/>
      <c r="E52" s="285"/>
      <c r="F52" s="286"/>
      <c r="G52" s="415"/>
      <c r="H52" s="825"/>
      <c r="I52" s="212">
        <f t="shared" si="9"/>
        <v>0</v>
      </c>
      <c r="J52" s="528"/>
      <c r="K52" s="336"/>
      <c r="L52" s="381"/>
      <c r="M52" s="125">
        <f t="shared" si="10"/>
        <v>0</v>
      </c>
      <c r="N52" s="370"/>
      <c r="O52" s="266"/>
      <c r="P52" s="133"/>
      <c r="Q52" s="160">
        <f t="shared" ref="Q52" si="13">$P52*$D52</f>
        <v>0</v>
      </c>
      <c r="R52" s="478"/>
      <c r="S52" s="86"/>
      <c r="T52" s="87"/>
      <c r="U52" s="168">
        <f t="shared" si="12"/>
        <v>0</v>
      </c>
      <c r="V52" s="535"/>
    </row>
    <row r="53" spans="1:22" ht="3.75" customHeight="1" outlineLevel="1" x14ac:dyDescent="0.25">
      <c r="A53" s="16"/>
      <c r="B53" s="830"/>
      <c r="C53" s="263"/>
      <c r="D53" s="607"/>
      <c r="E53" s="607"/>
      <c r="F53" s="16"/>
      <c r="G53" s="16"/>
      <c r="H53" s="19"/>
      <c r="I53" s="17"/>
      <c r="J53" s="21"/>
      <c r="K53" s="16"/>
      <c r="L53" s="20"/>
      <c r="M53" s="21"/>
      <c r="N53" s="21"/>
      <c r="O53" s="263"/>
      <c r="P53" s="20"/>
      <c r="Q53" s="21"/>
      <c r="R53" s="21"/>
      <c r="S53" s="20"/>
      <c r="T53" s="20"/>
      <c r="U53" s="22"/>
      <c r="V53" s="21"/>
    </row>
    <row r="54" spans="1:22" s="496" customFormat="1" x14ac:dyDescent="0.25">
      <c r="A54" s="77"/>
      <c r="B54" s="298"/>
      <c r="C54" s="298" t="s">
        <v>453</v>
      </c>
      <c r="D54" s="610"/>
      <c r="E54" s="610"/>
      <c r="F54" s="115"/>
      <c r="G54" s="304" t="str">
        <f>C54</f>
        <v>Implementation and Setup Fees Sum:</v>
      </c>
      <c r="H54" s="303"/>
      <c r="I54" s="210">
        <f>SUM(I38:I52)</f>
        <v>0</v>
      </c>
      <c r="J54" s="527"/>
      <c r="K54" s="320" t="str">
        <f>C54</f>
        <v>Implementation and Setup Fees Sum:</v>
      </c>
      <c r="L54" s="326"/>
      <c r="M54" s="202">
        <f>SUM(M38:M52)</f>
        <v>0</v>
      </c>
      <c r="N54" s="362"/>
      <c r="O54" s="299" t="str">
        <f>C54</f>
        <v>Implementation and Setup Fees Sum:</v>
      </c>
      <c r="P54" s="256"/>
      <c r="Q54" s="163">
        <f>SUM(Q38:Q52)</f>
        <v>42900</v>
      </c>
      <c r="R54" s="487"/>
      <c r="S54" s="318" t="str">
        <f>C54</f>
        <v>Implementation and Setup Fees Sum:</v>
      </c>
      <c r="T54" s="150"/>
      <c r="U54" s="1224">
        <f>SUM(U38:U52)</f>
        <v>42900</v>
      </c>
      <c r="V54" s="533"/>
    </row>
    <row r="55" spans="1:22" ht="3.75" customHeight="1" x14ac:dyDescent="0.25">
      <c r="A55" s="16"/>
      <c r="B55" s="830"/>
      <c r="C55" s="263"/>
      <c r="D55" s="607"/>
      <c r="E55" s="607"/>
      <c r="F55" s="16"/>
      <c r="G55" s="16"/>
      <c r="H55" s="19"/>
      <c r="I55" s="17"/>
      <c r="J55" s="21"/>
      <c r="K55" s="16"/>
      <c r="L55" s="20"/>
      <c r="M55" s="21"/>
      <c r="N55" s="21"/>
      <c r="O55" s="263"/>
      <c r="P55" s="20"/>
      <c r="Q55" s="21"/>
      <c r="R55" s="21"/>
      <c r="S55" s="20"/>
      <c r="T55" s="20"/>
      <c r="U55" s="22"/>
      <c r="V55" s="21"/>
    </row>
    <row r="56" spans="1:22" s="497" customFormat="1" ht="38.25" x14ac:dyDescent="0.35">
      <c r="A56" s="295"/>
      <c r="B56" s="833"/>
      <c r="C56" s="602" t="s">
        <v>454</v>
      </c>
      <c r="D56" s="281" t="s">
        <v>425</v>
      </c>
      <c r="E56" s="282" t="s">
        <v>426</v>
      </c>
      <c r="F56" s="282" t="s">
        <v>427</v>
      </c>
      <c r="G56" s="800" t="str">
        <f>C56</f>
        <v>INCENTIVES, REBATES, TERM DISCOUNTS</v>
      </c>
      <c r="H56" s="301" t="s">
        <v>47</v>
      </c>
      <c r="I56" s="208" t="s">
        <v>53</v>
      </c>
      <c r="J56" s="528"/>
      <c r="K56" s="334" t="str">
        <f>C56</f>
        <v>INCENTIVES, REBATES, TERM DISCOUNTS</v>
      </c>
      <c r="L56" s="323" t="s">
        <v>47</v>
      </c>
      <c r="M56" s="122" t="s">
        <v>58</v>
      </c>
      <c r="N56" s="370"/>
      <c r="O56" s="314" t="str">
        <f>C56</f>
        <v>INCENTIVES, REBATES, TERM DISCOUNTS</v>
      </c>
      <c r="P56" s="254" t="s">
        <v>47</v>
      </c>
      <c r="Q56" s="157" t="s">
        <v>58</v>
      </c>
      <c r="R56" s="488"/>
      <c r="S56" s="491" t="str">
        <f t="shared" ref="S56:S61" si="14">C56</f>
        <v>INCENTIVES, REBATES, TERM DISCOUNTS</v>
      </c>
      <c r="T56" s="236" t="s">
        <v>47</v>
      </c>
      <c r="U56" s="355" t="s">
        <v>58</v>
      </c>
      <c r="V56" s="534"/>
    </row>
    <row r="57" spans="1:22" outlineLevel="1" x14ac:dyDescent="0.25">
      <c r="A57" s="890"/>
      <c r="B57" s="623" t="s">
        <v>681</v>
      </c>
      <c r="C57" s="601" t="s">
        <v>682</v>
      </c>
      <c r="D57" s="284">
        <v>1</v>
      </c>
      <c r="E57" s="285">
        <v>60</v>
      </c>
      <c r="F57" s="286">
        <v>1</v>
      </c>
      <c r="G57" s="415"/>
      <c r="H57" s="250"/>
      <c r="I57" s="212">
        <f>$H57*$D57</f>
        <v>0</v>
      </c>
      <c r="J57" s="527"/>
      <c r="K57" s="416"/>
      <c r="L57" s="381"/>
      <c r="M57" s="125">
        <f>$L57*D57</f>
        <v>0</v>
      </c>
      <c r="N57" s="362"/>
      <c r="O57" s="265"/>
      <c r="P57" s="133"/>
      <c r="Q57" s="160"/>
      <c r="R57" s="479"/>
      <c r="S57" s="86" t="str">
        <f t="shared" si="14"/>
        <v>Digital Banking Platform One Time Fee Discount</v>
      </c>
      <c r="T57" s="87">
        <v>-32000</v>
      </c>
      <c r="U57" s="168">
        <f t="shared" ref="U57:U66" si="15">$T57*$D57</f>
        <v>-32000</v>
      </c>
      <c r="V57" s="536"/>
    </row>
    <row r="58" spans="1:22" outlineLevel="1" x14ac:dyDescent="0.25">
      <c r="A58" s="890"/>
      <c r="B58" s="623" t="s">
        <v>681</v>
      </c>
      <c r="C58" s="601" t="s">
        <v>683</v>
      </c>
      <c r="D58" s="284">
        <v>1</v>
      </c>
      <c r="E58" s="285">
        <v>60</v>
      </c>
      <c r="F58" s="286">
        <v>1</v>
      </c>
      <c r="G58" s="415"/>
      <c r="H58" s="250"/>
      <c r="I58" s="212"/>
      <c r="J58" s="527"/>
      <c r="K58" s="336"/>
      <c r="L58" s="381"/>
      <c r="M58" s="125">
        <f>$L58*D58</f>
        <v>0</v>
      </c>
      <c r="N58" s="362"/>
      <c r="O58" s="315"/>
      <c r="P58" s="133"/>
      <c r="Q58" s="160"/>
      <c r="R58" s="479"/>
      <c r="S58" s="86" t="str">
        <f t="shared" si="14"/>
        <v>Adapters and Interfaces One Time Fee Discount</v>
      </c>
      <c r="T58" s="87">
        <v>-10200</v>
      </c>
      <c r="U58" s="168">
        <f t="shared" si="15"/>
        <v>-10200</v>
      </c>
      <c r="V58" s="536"/>
    </row>
    <row r="59" spans="1:22" outlineLevel="1" x14ac:dyDescent="0.25">
      <c r="A59" s="890"/>
      <c r="B59" s="623" t="s">
        <v>681</v>
      </c>
      <c r="C59" s="601" t="s">
        <v>684</v>
      </c>
      <c r="D59" s="284">
        <v>1</v>
      </c>
      <c r="E59" s="285">
        <v>60</v>
      </c>
      <c r="F59" s="286">
        <v>1</v>
      </c>
      <c r="G59" s="415"/>
      <c r="H59" s="250"/>
      <c r="I59" s="212"/>
      <c r="J59" s="528"/>
      <c r="K59" s="336"/>
      <c r="L59" s="381"/>
      <c r="M59" s="125">
        <f>$L59*$D59</f>
        <v>0</v>
      </c>
      <c r="N59" s="370"/>
      <c r="O59" s="315"/>
      <c r="P59" s="133"/>
      <c r="Q59" s="160"/>
      <c r="R59" s="479"/>
      <c r="S59" s="86" t="str">
        <f t="shared" si="14"/>
        <v>Retail Solutions One Time Fee Discount</v>
      </c>
      <c r="T59" s="87">
        <v>-10000</v>
      </c>
      <c r="U59" s="168">
        <f t="shared" si="15"/>
        <v>-10000</v>
      </c>
      <c r="V59" s="536"/>
    </row>
    <row r="60" spans="1:22" outlineLevel="1" x14ac:dyDescent="0.25">
      <c r="A60" s="890"/>
      <c r="B60" s="623" t="s">
        <v>681</v>
      </c>
      <c r="C60" s="601" t="s">
        <v>685</v>
      </c>
      <c r="D60" s="284">
        <v>1</v>
      </c>
      <c r="E60" s="285">
        <v>60</v>
      </c>
      <c r="F60" s="286">
        <v>1</v>
      </c>
      <c r="G60" s="53"/>
      <c r="H60" s="250"/>
      <c r="I60" s="212"/>
      <c r="J60" s="528"/>
      <c r="K60" s="62"/>
      <c r="L60" s="328"/>
      <c r="M60" s="125"/>
      <c r="N60" s="370"/>
      <c r="O60" s="315"/>
      <c r="P60" s="133"/>
      <c r="Q60" s="160"/>
      <c r="R60" s="479"/>
      <c r="S60" s="86" t="str">
        <f t="shared" si="14"/>
        <v>Business Solutions One Time Fees Discount</v>
      </c>
      <c r="T60" s="87">
        <v>-3000</v>
      </c>
      <c r="U60" s="168">
        <f t="shared" si="15"/>
        <v>-3000</v>
      </c>
      <c r="V60" s="536"/>
    </row>
    <row r="61" spans="1:22" outlineLevel="1" x14ac:dyDescent="0.25">
      <c r="A61" s="890"/>
      <c r="B61" s="623" t="s">
        <v>681</v>
      </c>
      <c r="C61" s="601" t="s">
        <v>686</v>
      </c>
      <c r="D61" s="284">
        <v>1</v>
      </c>
      <c r="E61" s="285">
        <v>60</v>
      </c>
      <c r="F61" s="286">
        <v>1</v>
      </c>
      <c r="G61" s="53"/>
      <c r="H61" s="250"/>
      <c r="I61" s="212">
        <f>$H61*$D61</f>
        <v>0</v>
      </c>
      <c r="J61" s="528"/>
      <c r="K61" s="62"/>
      <c r="L61" s="328"/>
      <c r="M61" s="125"/>
      <c r="N61" s="370"/>
      <c r="O61" s="315"/>
      <c r="P61" s="306"/>
      <c r="Q61" s="160"/>
      <c r="R61" s="479"/>
      <c r="S61" s="86" t="str">
        <f t="shared" si="14"/>
        <v>Security Solutions One Time Fees Discount</v>
      </c>
      <c r="T61" s="357">
        <v>-800</v>
      </c>
      <c r="U61" s="168">
        <f t="shared" si="15"/>
        <v>-800</v>
      </c>
      <c r="V61" s="536"/>
    </row>
    <row r="62" spans="1:22" outlineLevel="1" x14ac:dyDescent="0.25">
      <c r="A62" s="890"/>
      <c r="B62" s="831"/>
      <c r="C62" s="601"/>
      <c r="D62" s="284"/>
      <c r="E62" s="285"/>
      <c r="F62" s="286"/>
      <c r="G62" s="53"/>
      <c r="H62" s="250"/>
      <c r="I62" s="212">
        <f>$H62*$D62</f>
        <v>0</v>
      </c>
      <c r="J62" s="528"/>
      <c r="K62" s="62"/>
      <c r="L62" s="328"/>
      <c r="M62" s="125"/>
      <c r="N62" s="370"/>
      <c r="O62" s="265"/>
      <c r="P62" s="133"/>
      <c r="Q62" s="160"/>
      <c r="R62" s="479"/>
      <c r="S62" s="86"/>
      <c r="T62" s="87"/>
      <c r="U62" s="168">
        <f t="shared" si="15"/>
        <v>0</v>
      </c>
      <c r="V62" s="536"/>
    </row>
    <row r="63" spans="1:22" outlineLevel="1" x14ac:dyDescent="0.25">
      <c r="A63" s="890"/>
      <c r="B63" s="831"/>
      <c r="C63" s="601"/>
      <c r="D63" s="284"/>
      <c r="E63" s="285"/>
      <c r="F63" s="286"/>
      <c r="G63" s="53"/>
      <c r="H63" s="250"/>
      <c r="I63" s="212"/>
      <c r="J63" s="528"/>
      <c r="K63" s="62"/>
      <c r="L63" s="328"/>
      <c r="M63" s="125"/>
      <c r="N63" s="370"/>
      <c r="O63" s="315"/>
      <c r="P63" s="133"/>
      <c r="Q63" s="160"/>
      <c r="R63" s="479"/>
      <c r="S63" s="86"/>
      <c r="T63" s="87"/>
      <c r="U63" s="168">
        <f t="shared" si="15"/>
        <v>0</v>
      </c>
      <c r="V63" s="536"/>
    </row>
    <row r="64" spans="1:22" outlineLevel="1" x14ac:dyDescent="0.25">
      <c r="A64" s="890"/>
      <c r="B64" s="831"/>
      <c r="C64" s="601"/>
      <c r="D64" s="284"/>
      <c r="E64" s="285"/>
      <c r="F64" s="286"/>
      <c r="G64" s="53"/>
      <c r="H64" s="250"/>
      <c r="I64" s="212">
        <f>$H64*$D64</f>
        <v>0</v>
      </c>
      <c r="J64" s="528"/>
      <c r="K64" s="62"/>
      <c r="L64" s="328"/>
      <c r="M64" s="125"/>
      <c r="N64" s="370"/>
      <c r="O64" s="315"/>
      <c r="P64" s="306"/>
      <c r="Q64" s="160"/>
      <c r="R64" s="479"/>
      <c r="S64" s="86"/>
      <c r="T64" s="357"/>
      <c r="U64" s="168">
        <f t="shared" si="15"/>
        <v>0</v>
      </c>
      <c r="V64" s="536"/>
    </row>
    <row r="65" spans="1:22" outlineLevel="1" x14ac:dyDescent="0.25">
      <c r="A65" s="890"/>
      <c r="B65" s="831"/>
      <c r="C65" s="601"/>
      <c r="D65" s="284"/>
      <c r="E65" s="285"/>
      <c r="F65" s="286"/>
      <c r="G65" s="53"/>
      <c r="H65" s="250"/>
      <c r="I65" s="212">
        <f>$H65*$D65</f>
        <v>0</v>
      </c>
      <c r="J65" s="528"/>
      <c r="K65" s="62"/>
      <c r="L65" s="328"/>
      <c r="M65" s="125"/>
      <c r="N65" s="370"/>
      <c r="O65" s="265"/>
      <c r="P65" s="133"/>
      <c r="Q65" s="160"/>
      <c r="R65" s="479"/>
      <c r="S65" s="86"/>
      <c r="T65" s="87"/>
      <c r="U65" s="168">
        <f t="shared" si="15"/>
        <v>0</v>
      </c>
      <c r="V65" s="536"/>
    </row>
    <row r="66" spans="1:22" outlineLevel="1" x14ac:dyDescent="0.25">
      <c r="A66" s="283"/>
      <c r="B66" s="399"/>
      <c r="C66" s="601"/>
      <c r="D66" s="284"/>
      <c r="E66" s="285"/>
      <c r="F66" s="286"/>
      <c r="G66" s="53"/>
      <c r="H66" s="250"/>
      <c r="I66" s="212">
        <f>$H66*$D66</f>
        <v>0</v>
      </c>
      <c r="J66" s="528"/>
      <c r="K66" s="62"/>
      <c r="L66" s="328"/>
      <c r="M66" s="125"/>
      <c r="N66" s="370"/>
      <c r="O66" s="266"/>
      <c r="P66" s="133"/>
      <c r="Q66" s="159"/>
      <c r="R66" s="478"/>
      <c r="S66" s="86"/>
      <c r="T66" s="87"/>
      <c r="U66" s="168">
        <f t="shared" si="15"/>
        <v>0</v>
      </c>
      <c r="V66" s="535"/>
    </row>
    <row r="67" spans="1:22" ht="3.75" customHeight="1" outlineLevel="1" x14ac:dyDescent="0.25">
      <c r="A67" s="16"/>
      <c r="B67" s="830"/>
      <c r="C67" s="263"/>
      <c r="D67" s="607"/>
      <c r="E67" s="607"/>
      <c r="F67" s="16"/>
      <c r="G67" s="16"/>
      <c r="H67" s="19"/>
      <c r="I67" s="17"/>
      <c r="J67" s="21"/>
      <c r="K67" s="16"/>
      <c r="L67" s="20"/>
      <c r="M67" s="21"/>
      <c r="N67" s="21"/>
      <c r="O67" s="263"/>
      <c r="P67" s="20"/>
      <c r="Q67" s="21"/>
      <c r="R67" s="21"/>
      <c r="S67" s="20"/>
      <c r="T67" s="20"/>
      <c r="U67" s="22"/>
      <c r="V67" s="21"/>
    </row>
    <row r="68" spans="1:22" s="496" customFormat="1" x14ac:dyDescent="0.25">
      <c r="A68" s="77"/>
      <c r="B68" s="298"/>
      <c r="C68" s="298" t="s">
        <v>461</v>
      </c>
      <c r="D68" s="610"/>
      <c r="E68" s="610"/>
      <c r="F68" s="115"/>
      <c r="G68" s="304" t="str">
        <f>C68</f>
        <v>Incentives Sum:</v>
      </c>
      <c r="H68" s="303"/>
      <c r="I68" s="210">
        <f>SUM(I57:I66)</f>
        <v>0</v>
      </c>
      <c r="J68" s="528"/>
      <c r="K68" s="319" t="str">
        <f>C68</f>
        <v>Incentives Sum:</v>
      </c>
      <c r="L68" s="326"/>
      <c r="M68" s="202">
        <f>SUM(M57:M66)</f>
        <v>0</v>
      </c>
      <c r="N68" s="370"/>
      <c r="O68" s="299" t="str">
        <f>C68</f>
        <v>Incentives Sum:</v>
      </c>
      <c r="P68" s="256"/>
      <c r="Q68" s="305">
        <f>SUM(Q57:Q66)</f>
        <v>0</v>
      </c>
      <c r="R68" s="489"/>
      <c r="S68" s="318" t="str">
        <f>C68</f>
        <v>Incentives Sum:</v>
      </c>
      <c r="T68" s="150"/>
      <c r="U68" s="166">
        <f>SUM(U57:U66)</f>
        <v>-56000</v>
      </c>
      <c r="V68" s="537"/>
    </row>
    <row r="69" spans="1:22" ht="3.75" customHeight="1" x14ac:dyDescent="0.25">
      <c r="A69" s="16"/>
      <c r="B69" s="830"/>
      <c r="C69" s="263"/>
      <c r="D69" s="607"/>
      <c r="E69" s="607"/>
      <c r="F69" s="16"/>
      <c r="G69" s="16"/>
      <c r="H69" s="19"/>
      <c r="I69" s="17"/>
      <c r="J69" s="21"/>
      <c r="K69" s="16"/>
      <c r="L69" s="20"/>
      <c r="M69" s="21"/>
      <c r="N69" s="21"/>
      <c r="O69" s="263"/>
      <c r="P69" s="20"/>
      <c r="Q69" s="21"/>
      <c r="R69" s="21"/>
      <c r="S69" s="20"/>
      <c r="T69" s="20"/>
      <c r="U69" s="22"/>
      <c r="V69" s="21"/>
    </row>
    <row r="70" spans="1:22" s="499" customFormat="1" ht="21" x14ac:dyDescent="0.25">
      <c r="A70" s="189"/>
      <c r="B70" s="189"/>
      <c r="C70" s="189" t="s">
        <v>419</v>
      </c>
      <c r="D70" s="614"/>
      <c r="E70" s="614"/>
      <c r="F70" s="190"/>
      <c r="G70" s="141" t="s">
        <v>419</v>
      </c>
      <c r="H70" s="302"/>
      <c r="I70" s="215">
        <f>SUM(I34,I54,I68)</f>
        <v>0</v>
      </c>
      <c r="J70" s="527"/>
      <c r="K70" s="142" t="s">
        <v>419</v>
      </c>
      <c r="L70" s="329"/>
      <c r="M70" s="193">
        <f>SUM(M34,M54,M68)</f>
        <v>0</v>
      </c>
      <c r="N70" s="362"/>
      <c r="O70" s="267" t="s">
        <v>419</v>
      </c>
      <c r="P70" s="259"/>
      <c r="Q70" s="194">
        <f>SUM(Q34,Q54,Q68)</f>
        <v>261039</v>
      </c>
      <c r="R70" s="490"/>
      <c r="S70" s="195"/>
      <c r="T70" s="196"/>
      <c r="U70" s="198">
        <f>SUM(U34,U54,U68)</f>
        <v>205039</v>
      </c>
      <c r="V70" s="538"/>
    </row>
    <row r="71" spans="1:22" ht="3.75" customHeight="1" x14ac:dyDescent="0.25">
      <c r="A71" s="16"/>
      <c r="B71" s="830"/>
      <c r="C71" s="263"/>
      <c r="D71" s="607"/>
      <c r="E71" s="607"/>
      <c r="F71" s="16"/>
      <c r="G71" s="16"/>
      <c r="H71" s="19"/>
      <c r="I71" s="17"/>
      <c r="J71" s="21"/>
      <c r="K71" s="16"/>
      <c r="L71" s="20"/>
      <c r="M71" s="21"/>
      <c r="N71" s="21"/>
      <c r="O71" s="263"/>
      <c r="P71" s="20"/>
      <c r="Q71" s="21"/>
      <c r="R71" s="21"/>
      <c r="S71" s="20"/>
      <c r="T71" s="20"/>
      <c r="U71" s="22"/>
      <c r="V71" s="21"/>
    </row>
    <row r="72" spans="1:22" s="500" customFormat="1" ht="18.75" x14ac:dyDescent="0.25">
      <c r="A72" s="78"/>
      <c r="B72" s="78"/>
      <c r="C72" s="78"/>
      <c r="D72" s="615"/>
      <c r="E72" s="615"/>
      <c r="F72" s="116"/>
      <c r="G72" s="59"/>
      <c r="H72" s="58"/>
      <c r="I72" s="213">
        <f>I70/60</f>
        <v>0</v>
      </c>
      <c r="J72" s="528"/>
      <c r="K72" s="82" t="s">
        <v>462</v>
      </c>
      <c r="L72" s="330"/>
      <c r="M72" s="130">
        <f>M70/60</f>
        <v>0</v>
      </c>
      <c r="N72" s="370"/>
      <c r="O72" s="307" t="s">
        <v>462</v>
      </c>
      <c r="P72" s="260"/>
      <c r="Q72" s="161">
        <f>Q70/60</f>
        <v>4350.6499999999996</v>
      </c>
      <c r="R72" s="479"/>
      <c r="S72" s="90"/>
      <c r="T72" s="91"/>
      <c r="U72" s="170">
        <f>U70/60</f>
        <v>3417.3166666666666</v>
      </c>
      <c r="V72" s="536"/>
    </row>
    <row r="73" spans="1:22" x14ac:dyDescent="0.25">
      <c r="A73" s="79"/>
      <c r="B73" s="834"/>
      <c r="C73" s="79"/>
      <c r="D73" s="616"/>
      <c r="E73" s="616"/>
      <c r="F73" s="117"/>
      <c r="G73" s="56"/>
      <c r="H73" s="57"/>
      <c r="I73" s="214"/>
      <c r="J73" s="61"/>
      <c r="K73" s="65"/>
      <c r="L73" s="331"/>
      <c r="M73" s="126"/>
      <c r="N73" s="83"/>
      <c r="O73" s="268"/>
      <c r="P73" s="261"/>
      <c r="Q73" s="162"/>
      <c r="R73" s="483"/>
      <c r="S73" s="92"/>
      <c r="T73" s="93"/>
      <c r="U73" s="171"/>
      <c r="V73" s="539"/>
    </row>
  </sheetData>
  <mergeCells count="8">
    <mergeCell ref="G4:I4"/>
    <mergeCell ref="K4:M4"/>
    <mergeCell ref="O4:Q4"/>
    <mergeCell ref="S4:U4"/>
    <mergeCell ref="G5:I5"/>
    <mergeCell ref="K5:M5"/>
    <mergeCell ref="O5:Q5"/>
    <mergeCell ref="S5:U5"/>
  </mergeCells>
  <phoneticPr fontId="22" type="noConversion"/>
  <conditionalFormatting sqref="A1:A1048576">
    <cfRule type="containsText" dxfId="18" priority="2" operator="containsText" text="PASSTHRU">
      <formula>NOT(ISERROR(SEARCH("PASSTHRU",A1)))</formula>
    </cfRule>
  </conditionalFormatting>
  <pageMargins left="0.7" right="0.7" top="0.75" bottom="0.75" header="0.3" footer="0.3"/>
  <pageSetup scale="10" orientation="portrait" r:id="rId1"/>
  <colBreaks count="4" manualBreakCount="4">
    <brk id="6" max="1048575" man="1"/>
    <brk id="10" max="1048575" man="1"/>
    <brk id="14" max="1048575" man="1"/>
    <brk id="18" max="1048575" man="1"/>
  </col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36ABB-0090-4DD0-9BF3-69C4B74259CD}">
  <sheetPr codeName="Sheet8">
    <tabColor rgb="FFCCFFCC"/>
  </sheetPr>
  <dimension ref="A1:BC57"/>
  <sheetViews>
    <sheetView showGridLines="0" topLeftCell="A2" zoomScale="85" zoomScaleNormal="85" zoomScaleSheetLayoutView="90" workbookViewId="0">
      <pane xSplit="8" ySplit="6" topLeftCell="X8" activePane="bottomRight" state="frozen"/>
      <selection pane="topRight" activeCell="D2" sqref="D2"/>
      <selection pane="bottomLeft" activeCell="B8" sqref="B8"/>
      <selection pane="bottomRight" activeCell="X26" sqref="X26"/>
    </sheetView>
  </sheetViews>
  <sheetFormatPr defaultColWidth="9.28515625" defaultRowHeight="15.75" outlineLevelRow="1" outlineLevelCol="1" x14ac:dyDescent="0.25"/>
  <cols>
    <col min="1" max="1" width="11" style="617" bestFit="1" customWidth="1"/>
    <col min="2" max="2" width="29.85546875" style="36" customWidth="1"/>
    <col min="3" max="3" width="63.5703125" style="36" customWidth="1"/>
    <col min="4" max="7" width="12.140625" style="617" hidden="1" customWidth="1" outlineLevel="1"/>
    <col min="8" max="8" width="14.85546875" style="36" customWidth="1" collapsed="1"/>
    <col min="9" max="9" width="14.42578125" style="38" customWidth="1" outlineLevel="1"/>
    <col min="10" max="10" width="14.140625" style="38" customWidth="1" outlineLevel="1"/>
    <col min="11" max="11" width="13.85546875" style="38" customWidth="1" outlineLevel="1"/>
    <col min="12" max="12" width="14.28515625" style="38" customWidth="1" outlineLevel="1"/>
    <col min="13" max="13" width="13.7109375" style="38" customWidth="1" outlineLevel="1"/>
    <col min="14" max="14" width="41.5703125" style="34" customWidth="1"/>
    <col min="15" max="15" width="15.5703125" style="216" customWidth="1" outlineLevel="1"/>
    <col min="16" max="16" width="12.28515625" style="769" customWidth="1" outlineLevel="1"/>
    <col min="17" max="21" width="12" style="35" customWidth="1" outlineLevel="1"/>
    <col min="22" max="22" width="22.28515625" style="35" customWidth="1" outlineLevel="1"/>
    <col min="23" max="23" width="18.42578125" style="35" customWidth="1" outlineLevel="1"/>
    <col min="24" max="24" width="93.42578125" style="34" customWidth="1"/>
    <col min="25" max="25" width="16.7109375" style="710" customWidth="1"/>
    <col min="26" max="26" width="11.28515625" style="780" customWidth="1"/>
    <col min="27" max="32" width="16" style="35" customWidth="1"/>
    <col min="33" max="33" width="18.28515625" style="35" customWidth="1"/>
    <col min="34" max="34" width="18.42578125" style="35" customWidth="1"/>
    <col min="35" max="35" width="93.42578125" style="36" bestFit="1" customWidth="1"/>
    <col min="36" max="36" width="14" style="710" customWidth="1"/>
    <col min="37" max="37" width="14" style="780" customWidth="1"/>
    <col min="38" max="41" width="17.85546875" style="35" customWidth="1"/>
    <col min="42" max="42" width="14.28515625" style="35" customWidth="1"/>
    <col min="43" max="43" width="20.5703125" style="35" customWidth="1"/>
    <col min="44" max="44" width="19.42578125" style="35" customWidth="1"/>
    <col min="45" max="45" width="43.7109375" style="35" customWidth="1"/>
    <col min="46" max="46" width="51.5703125" style="27" customWidth="1"/>
    <col min="47" max="47" width="13" style="27" customWidth="1"/>
    <col min="48" max="53" width="15.7109375" style="27" customWidth="1"/>
    <col min="54" max="54" width="19.42578125" style="35" customWidth="1"/>
    <col min="55" max="55" width="41.5703125" style="35" customWidth="1"/>
    <col min="56" max="16384" width="9.28515625" style="36"/>
  </cols>
  <sheetData>
    <row r="1" spans="1:55" x14ac:dyDescent="0.25">
      <c r="A1" s="605"/>
      <c r="B1" s="2"/>
      <c r="C1" s="2"/>
      <c r="D1" s="605"/>
      <c r="E1" s="605"/>
      <c r="F1" s="605"/>
      <c r="G1" s="605"/>
      <c r="H1" s="2"/>
      <c r="I1" s="3"/>
      <c r="J1" s="3"/>
      <c r="K1" s="3"/>
      <c r="L1" s="3"/>
      <c r="M1" s="3"/>
      <c r="N1" s="4"/>
      <c r="O1" s="5"/>
      <c r="P1" s="751"/>
      <c r="Q1" s="6"/>
      <c r="R1" s="6"/>
      <c r="S1" s="6"/>
      <c r="T1" s="6"/>
      <c r="U1" s="6"/>
      <c r="V1" s="6"/>
      <c r="W1" s="9"/>
      <c r="X1" s="7"/>
      <c r="Y1" s="702"/>
      <c r="Z1" s="770"/>
      <c r="AA1" s="9"/>
      <c r="AB1" s="9"/>
      <c r="AC1" s="9"/>
      <c r="AD1" s="9"/>
      <c r="AE1" s="9"/>
      <c r="AF1" s="9"/>
      <c r="AG1" s="9"/>
      <c r="AH1" s="9"/>
      <c r="AI1" s="262"/>
      <c r="AJ1" s="883"/>
      <c r="AK1" s="892"/>
      <c r="AL1" s="12"/>
      <c r="AM1" s="12"/>
      <c r="AN1" s="12"/>
      <c r="AO1" s="12"/>
      <c r="AP1" s="12"/>
      <c r="AQ1" s="12"/>
      <c r="AR1" s="12"/>
      <c r="AS1" s="12"/>
      <c r="AT1" s="1"/>
      <c r="AU1" s="1"/>
      <c r="BB1" s="12"/>
      <c r="BC1" s="12"/>
    </row>
    <row r="2" spans="1:55" s="690" customFormat="1" ht="16.5" thickBot="1" x14ac:dyDescent="0.3">
      <c r="A2" s="689"/>
      <c r="D2" s="689"/>
      <c r="E2" s="689"/>
      <c r="F2" s="689"/>
      <c r="G2" s="689"/>
      <c r="I2" s="691"/>
      <c r="J2" s="691"/>
      <c r="K2" s="691"/>
      <c r="L2" s="691"/>
      <c r="M2" s="691"/>
      <c r="N2" s="692"/>
      <c r="O2" s="693"/>
      <c r="P2" s="752"/>
      <c r="Q2" s="694"/>
      <c r="R2" s="694"/>
      <c r="S2" s="694"/>
      <c r="T2" s="694"/>
      <c r="U2" s="694"/>
      <c r="V2" s="694"/>
      <c r="W2" s="694"/>
      <c r="X2" s="692"/>
      <c r="Y2" s="703"/>
      <c r="Z2" s="771"/>
      <c r="AA2" s="694"/>
      <c r="AB2" s="694"/>
      <c r="AC2" s="694"/>
      <c r="AD2" s="694"/>
      <c r="AE2" s="694"/>
      <c r="AF2" s="694"/>
      <c r="AG2" s="694"/>
      <c r="AH2" s="694"/>
      <c r="AJ2" s="703"/>
      <c r="AK2" s="771"/>
      <c r="AL2" s="694"/>
      <c r="AM2" s="694"/>
      <c r="AN2" s="694"/>
      <c r="AO2" s="694"/>
      <c r="AP2" s="694"/>
      <c r="AQ2" s="694"/>
      <c r="AR2" s="694"/>
      <c r="AS2" s="694"/>
      <c r="AT2" s="695"/>
      <c r="AU2" s="695"/>
      <c r="AV2" s="695"/>
      <c r="AW2" s="695"/>
      <c r="AX2" s="695"/>
      <c r="AY2" s="695"/>
      <c r="AZ2" s="695"/>
      <c r="BA2" s="695"/>
      <c r="BB2" s="694"/>
      <c r="BC2" s="694"/>
    </row>
    <row r="3" spans="1:55" ht="26.25" x14ac:dyDescent="0.25">
      <c r="A3" s="24"/>
      <c r="B3" s="24"/>
      <c r="C3" s="24" t="s">
        <v>687</v>
      </c>
      <c r="D3" s="24"/>
      <c r="E3" s="24"/>
      <c r="F3" s="24"/>
      <c r="G3" s="24"/>
      <c r="H3" s="1312" t="s">
        <v>28</v>
      </c>
      <c r="J3" s="1314" t="s">
        <v>29</v>
      </c>
      <c r="K3" s="1315"/>
      <c r="L3" s="1315"/>
      <c r="M3" s="1316"/>
      <c r="N3" s="137"/>
      <c r="O3" s="135"/>
      <c r="P3" s="753"/>
      <c r="Q3" s="134"/>
      <c r="R3" s="136"/>
      <c r="S3" s="136"/>
      <c r="T3" s="136"/>
      <c r="U3" s="136"/>
      <c r="V3" s="136"/>
      <c r="W3" s="136"/>
      <c r="X3" s="137"/>
      <c r="Y3" s="704"/>
      <c r="Z3" s="753"/>
      <c r="AA3" s="134"/>
      <c r="AB3" s="136"/>
      <c r="AC3" s="136"/>
      <c r="AD3" s="136"/>
      <c r="AE3" s="136"/>
      <c r="AF3" s="136"/>
      <c r="AG3" s="136"/>
      <c r="AH3" s="136"/>
      <c r="AI3" s="137"/>
      <c r="AJ3" s="704"/>
      <c r="AK3" s="893"/>
      <c r="AL3" s="134"/>
      <c r="AM3" s="136"/>
      <c r="AN3" s="136"/>
      <c r="AO3" s="136"/>
      <c r="AP3" s="136"/>
      <c r="AQ3" s="136"/>
      <c r="AR3" s="134"/>
      <c r="AS3" s="136"/>
      <c r="AT3" s="137"/>
      <c r="AU3" s="135"/>
      <c r="AV3" s="134"/>
      <c r="AW3" s="136"/>
      <c r="AX3" s="136"/>
      <c r="AY3" s="136"/>
      <c r="AZ3" s="136"/>
      <c r="BA3" s="136"/>
      <c r="BB3" s="134"/>
      <c r="BC3" s="136"/>
    </row>
    <row r="4" spans="1:55" s="493" customFormat="1" ht="26.25" customHeight="1" x14ac:dyDescent="0.25">
      <c r="A4" s="232"/>
      <c r="B4" s="232"/>
      <c r="C4" s="309" t="str">
        <f>'(INTERNAL) Basic Entry '!$C$7</f>
        <v>First State Bank of Waynesboro</v>
      </c>
      <c r="D4" s="606"/>
      <c r="E4" s="606"/>
      <c r="F4" s="606"/>
      <c r="G4" s="606"/>
      <c r="H4" s="1313"/>
      <c r="J4" s="225" t="s">
        <v>30</v>
      </c>
      <c r="K4" s="226" t="s">
        <v>31</v>
      </c>
      <c r="L4" s="228" t="s">
        <v>32</v>
      </c>
      <c r="M4" s="229" t="s">
        <v>33</v>
      </c>
      <c r="N4" s="1317" t="str">
        <f>'(INTERNAL) Basic Entry '!$C$17</f>
        <v>Current (FIS Bankway)</v>
      </c>
      <c r="O4" s="1318"/>
      <c r="P4" s="1318"/>
      <c r="Q4" s="1318"/>
      <c r="R4" s="1318"/>
      <c r="S4" s="1318"/>
      <c r="T4" s="1318"/>
      <c r="U4" s="1318"/>
      <c r="V4" s="1319"/>
      <c r="W4" s="524"/>
      <c r="X4" s="1320" t="str">
        <f>'(INTERNAL) Basic Entry '!$C$19</f>
        <v>FIS Horizon with D1 Flex</v>
      </c>
      <c r="Y4" s="1321"/>
      <c r="Z4" s="1321"/>
      <c r="AA4" s="1321"/>
      <c r="AB4" s="1321"/>
      <c r="AC4" s="1321"/>
      <c r="AD4" s="1321"/>
      <c r="AE4" s="1321"/>
      <c r="AF4" s="1322"/>
      <c r="AG4" s="738"/>
      <c r="AH4" s="371"/>
      <c r="AI4" s="1323" t="str">
        <f>'(INTERNAL) Basic Entry '!C21</f>
        <v>FIS Horizon WITHOUT D1 Flex</v>
      </c>
      <c r="AJ4" s="1324"/>
      <c r="AK4" s="1324"/>
      <c r="AL4" s="1324"/>
      <c r="AM4" s="1324"/>
      <c r="AN4" s="1324"/>
      <c r="AO4" s="1324"/>
      <c r="AP4" s="1324"/>
      <c r="AQ4" s="1325"/>
      <c r="AR4" s="870"/>
      <c r="AS4" s="472"/>
      <c r="AT4" s="1326" t="str">
        <f>'(INTERNAL) Basic Entry '!C23</f>
        <v>Vendor #3</v>
      </c>
      <c r="AU4" s="1327"/>
      <c r="AV4" s="1327"/>
      <c r="AW4" s="1327"/>
      <c r="AX4" s="1327"/>
      <c r="AY4" s="1327"/>
      <c r="AZ4" s="1327"/>
      <c r="BA4" s="1328"/>
      <c r="BB4" s="1227"/>
      <c r="BC4" s="529"/>
    </row>
    <row r="5" spans="1:55" ht="18.399999999999999" customHeight="1" thickBot="1" x14ac:dyDescent="0.3">
      <c r="A5" s="26"/>
      <c r="B5" s="25"/>
      <c r="C5" s="273" t="str">
        <f>'(INTERNAL) Basic Entry '!$C$9&amp;" Pricing Analysis"</f>
        <v>CORE &amp; DIGITAL Pricing Analysis</v>
      </c>
      <c r="D5" s="605"/>
      <c r="E5" s="605"/>
      <c r="F5" s="605"/>
      <c r="G5" s="605"/>
      <c r="H5" s="224">
        <v>0.05</v>
      </c>
      <c r="I5" s="796"/>
      <c r="J5" s="223">
        <v>4.6699999999999998E-2</v>
      </c>
      <c r="K5" s="227">
        <v>0.06</v>
      </c>
      <c r="L5" s="227">
        <v>0.06</v>
      </c>
      <c r="M5" s="230">
        <v>0</v>
      </c>
      <c r="N5" s="1332" t="str">
        <f>'(INTERNAL) Basic Entry '!$B$14</f>
        <v>Baseline from Current Invoices</v>
      </c>
      <c r="O5" s="1333"/>
      <c r="P5" s="1333"/>
      <c r="Q5" s="1333"/>
      <c r="R5" s="1333"/>
      <c r="S5" s="1333"/>
      <c r="T5" s="1333"/>
      <c r="U5" s="1333"/>
      <c r="V5" s="1334"/>
      <c r="W5" s="525"/>
      <c r="X5" s="1335" t="str">
        <f>'(INTERNAL) Basic Entry '!F19</f>
        <v>Proposal Dated 12/13/2023</v>
      </c>
      <c r="Y5" s="1336"/>
      <c r="Z5" s="1336"/>
      <c r="AA5" s="1336"/>
      <c r="AB5" s="1336"/>
      <c r="AC5" s="1336"/>
      <c r="AD5" s="1336"/>
      <c r="AE5" s="1336"/>
      <c r="AF5" s="1337"/>
      <c r="AG5" s="739"/>
      <c r="AH5" s="372"/>
      <c r="AI5" s="1338" t="str">
        <f>'(INTERNAL) Basic Entry '!F21</f>
        <v>Proposal Dated 12/13/2023</v>
      </c>
      <c r="AJ5" s="1339"/>
      <c r="AK5" s="1339"/>
      <c r="AL5" s="1339"/>
      <c r="AM5" s="1339"/>
      <c r="AN5" s="1339"/>
      <c r="AO5" s="1339"/>
      <c r="AP5" s="1339"/>
      <c r="AQ5" s="1340"/>
      <c r="AR5" s="871"/>
      <c r="AS5" s="471"/>
      <c r="AT5" s="1309" t="str">
        <f>'(INTERNAL) Basic Entry '!F23</f>
        <v>Month Year</v>
      </c>
      <c r="AU5" s="1310"/>
      <c r="AV5" s="1310"/>
      <c r="AW5" s="1310"/>
      <c r="AX5" s="1310"/>
      <c r="AY5" s="1310"/>
      <c r="AZ5" s="1310"/>
      <c r="BA5" s="1311"/>
      <c r="BB5" s="1228"/>
      <c r="BC5" s="530"/>
    </row>
    <row r="6" spans="1:55" s="494" customFormat="1" ht="56.25" x14ac:dyDescent="0.3">
      <c r="A6" s="101"/>
      <c r="B6" s="101" t="s">
        <v>34</v>
      </c>
      <c r="C6" s="101" t="s">
        <v>35</v>
      </c>
      <c r="D6" s="603" t="s">
        <v>36</v>
      </c>
      <c r="E6" s="603" t="s">
        <v>37</v>
      </c>
      <c r="F6" s="603" t="s">
        <v>38</v>
      </c>
      <c r="G6" s="603" t="s">
        <v>39</v>
      </c>
      <c r="H6" s="359" t="s">
        <v>40</v>
      </c>
      <c r="I6" s="217" t="s">
        <v>41</v>
      </c>
      <c r="J6" s="217" t="s">
        <v>42</v>
      </c>
      <c r="K6" s="217" t="s">
        <v>43</v>
      </c>
      <c r="L6" s="217" t="s">
        <v>44</v>
      </c>
      <c r="M6" s="217" t="s">
        <v>45</v>
      </c>
      <c r="N6" s="29" t="s">
        <v>46</v>
      </c>
      <c r="O6" s="359" t="s">
        <v>47</v>
      </c>
      <c r="P6" s="754"/>
      <c r="Q6" s="30" t="s">
        <v>48</v>
      </c>
      <c r="R6" s="30" t="s">
        <v>49</v>
      </c>
      <c r="S6" s="30" t="s">
        <v>50</v>
      </c>
      <c r="T6" s="30" t="s">
        <v>51</v>
      </c>
      <c r="U6" s="30" t="s">
        <v>52</v>
      </c>
      <c r="V6" s="208" t="s">
        <v>53</v>
      </c>
      <c r="W6" s="526" t="s">
        <v>54</v>
      </c>
      <c r="X6" s="235" t="s">
        <v>55</v>
      </c>
      <c r="Y6" s="705" t="s">
        <v>47</v>
      </c>
      <c r="Z6" s="772" t="s">
        <v>60</v>
      </c>
      <c r="AA6" s="824" t="s">
        <v>56</v>
      </c>
      <c r="AB6" s="824" t="s">
        <v>49</v>
      </c>
      <c r="AC6" s="824" t="s">
        <v>50</v>
      </c>
      <c r="AD6" s="824" t="s">
        <v>51</v>
      </c>
      <c r="AE6" s="824" t="s">
        <v>57</v>
      </c>
      <c r="AF6" s="122" t="s">
        <v>58</v>
      </c>
      <c r="AG6" s="122" t="s">
        <v>649</v>
      </c>
      <c r="AH6" s="373" t="s">
        <v>54</v>
      </c>
      <c r="AI6" s="32" t="s">
        <v>55</v>
      </c>
      <c r="AJ6" s="884" t="s">
        <v>47</v>
      </c>
      <c r="AK6" s="894" t="s">
        <v>60</v>
      </c>
      <c r="AL6" s="33" t="s">
        <v>48</v>
      </c>
      <c r="AM6" s="33" t="s">
        <v>49</v>
      </c>
      <c r="AN6" s="33" t="s">
        <v>50</v>
      </c>
      <c r="AO6" s="33" t="s">
        <v>51</v>
      </c>
      <c r="AP6" s="33" t="s">
        <v>52</v>
      </c>
      <c r="AQ6" s="157" t="s">
        <v>58</v>
      </c>
      <c r="AR6" s="33" t="s">
        <v>649</v>
      </c>
      <c r="AS6" s="33" t="s">
        <v>54</v>
      </c>
      <c r="AT6" s="236" t="s">
        <v>55</v>
      </c>
      <c r="AU6" s="1201" t="s">
        <v>47</v>
      </c>
      <c r="AV6" s="37" t="s">
        <v>48</v>
      </c>
      <c r="AW6" s="37" t="s">
        <v>49</v>
      </c>
      <c r="AX6" s="37" t="s">
        <v>50</v>
      </c>
      <c r="AY6" s="37" t="s">
        <v>51</v>
      </c>
      <c r="AZ6" s="37" t="s">
        <v>52</v>
      </c>
      <c r="BA6" s="164" t="s">
        <v>58</v>
      </c>
      <c r="BB6" s="354" t="s">
        <v>649</v>
      </c>
      <c r="BC6" s="354" t="s">
        <v>54</v>
      </c>
    </row>
    <row r="7" spans="1:55" ht="3.75" customHeight="1" x14ac:dyDescent="0.25">
      <c r="A7" s="607"/>
      <c r="B7" s="16"/>
      <c r="C7" s="263"/>
      <c r="D7" s="607"/>
      <c r="E7" s="607"/>
      <c r="F7" s="607"/>
      <c r="G7" s="607"/>
      <c r="H7" s="16"/>
      <c r="I7" s="18"/>
      <c r="J7" s="18"/>
      <c r="K7" s="18"/>
      <c r="L7" s="18"/>
      <c r="M7" s="18"/>
      <c r="N7" s="16"/>
      <c r="O7" s="19"/>
      <c r="P7" s="755"/>
      <c r="Q7" s="17"/>
      <c r="R7" s="17"/>
      <c r="S7" s="17"/>
      <c r="T7" s="17"/>
      <c r="U7" s="17"/>
      <c r="V7" s="17"/>
      <c r="W7" s="21"/>
      <c r="X7" s="16"/>
      <c r="Y7" s="706"/>
      <c r="Z7" s="773"/>
      <c r="AA7" s="21"/>
      <c r="AB7" s="21"/>
      <c r="AC7" s="21"/>
      <c r="AD7" s="21"/>
      <c r="AE7" s="21"/>
      <c r="AF7" s="21"/>
      <c r="AG7" s="21"/>
      <c r="AH7" s="21"/>
      <c r="AI7" s="263"/>
      <c r="AJ7" s="706"/>
      <c r="AK7" s="773"/>
      <c r="AL7" s="21"/>
      <c r="AM7" s="21"/>
      <c r="AN7" s="21"/>
      <c r="AO7" s="21"/>
      <c r="AP7" s="21"/>
      <c r="AQ7" s="21"/>
      <c r="AR7" s="21"/>
      <c r="AS7" s="21"/>
      <c r="AT7" s="20"/>
      <c r="AU7" s="20"/>
      <c r="AV7" s="20"/>
      <c r="AW7" s="20"/>
      <c r="AX7" s="20"/>
      <c r="AY7" s="20"/>
      <c r="AZ7" s="20"/>
      <c r="BA7" s="22"/>
      <c r="BB7" s="21"/>
      <c r="BC7" s="21"/>
    </row>
    <row r="8" spans="1:55" s="495" customFormat="1" outlineLevel="1" x14ac:dyDescent="0.25">
      <c r="A8" s="445"/>
      <c r="B8" s="252" t="str">
        <f>C8</f>
        <v>[NEW CORE SERVICES / SOLUTIONS IN PROPOSAL]</v>
      </c>
      <c r="C8" s="242" t="s">
        <v>688</v>
      </c>
      <c r="D8" s="609"/>
      <c r="E8" s="609"/>
      <c r="F8" s="609"/>
      <c r="G8" s="609"/>
      <c r="H8" s="619"/>
      <c r="I8" s="243"/>
      <c r="J8" s="243"/>
      <c r="K8" s="243"/>
      <c r="L8" s="243"/>
      <c r="M8" s="244"/>
      <c r="N8" s="252"/>
      <c r="O8" s="243"/>
      <c r="P8" s="756"/>
      <c r="Q8" s="243"/>
      <c r="R8" s="243"/>
      <c r="S8" s="243"/>
      <c r="T8" s="243"/>
      <c r="U8" s="244"/>
      <c r="V8" s="209"/>
      <c r="W8" s="527"/>
      <c r="X8" s="252" t="str">
        <f>C8</f>
        <v>[NEW CORE SERVICES / SOLUTIONS IN PROPOSAL]</v>
      </c>
      <c r="Y8" s="707"/>
      <c r="Z8" s="756"/>
      <c r="AA8" s="243"/>
      <c r="AB8" s="243"/>
      <c r="AC8" s="243"/>
      <c r="AD8" s="243"/>
      <c r="AE8" s="244"/>
      <c r="AF8" s="123"/>
      <c r="AG8" s="972" t="str">
        <f>AG6</f>
        <v>One Time Fees</v>
      </c>
      <c r="AH8" s="808"/>
      <c r="AI8" s="252" t="str">
        <f>C8</f>
        <v>[NEW CORE SERVICES / SOLUTIONS IN PROPOSAL]</v>
      </c>
      <c r="AJ8" s="707"/>
      <c r="AK8" s="895"/>
      <c r="AL8" s="243"/>
      <c r="AM8" s="243"/>
      <c r="AN8" s="243"/>
      <c r="AO8" s="243"/>
      <c r="AP8" s="244"/>
      <c r="AQ8" s="158">
        <f t="shared" ref="AQ8:AQ18" si="0">SUM(AL8:AP8)</f>
        <v>0</v>
      </c>
      <c r="AR8" s="972" t="str">
        <f>AR6</f>
        <v>One Time Fees</v>
      </c>
      <c r="AS8" s="874"/>
      <c r="AT8" s="252" t="str">
        <f>C8</f>
        <v>[NEW CORE SERVICES / SOLUTIONS IN PROPOSAL]</v>
      </c>
      <c r="AU8" s="243"/>
      <c r="AV8" s="243"/>
      <c r="AW8" s="243"/>
      <c r="AX8" s="243"/>
      <c r="AY8" s="243"/>
      <c r="AZ8" s="244"/>
      <c r="BA8" s="165"/>
      <c r="BB8" s="972" t="str">
        <f>BB6</f>
        <v>One Time Fees</v>
      </c>
      <c r="BC8" s="532"/>
    </row>
    <row r="9" spans="1:55" s="495" customFormat="1" outlineLevel="1" x14ac:dyDescent="0.25">
      <c r="A9" s="700" t="s">
        <v>689</v>
      </c>
      <c r="B9" s="623" t="s">
        <v>690</v>
      </c>
      <c r="C9" s="310" t="s">
        <v>691</v>
      </c>
      <c r="D9" s="604"/>
      <c r="E9" s="604"/>
      <c r="F9" s="604"/>
      <c r="G9" s="604"/>
      <c r="H9" s="618">
        <v>1</v>
      </c>
      <c r="I9" s="127">
        <f t="shared" ref="I9:I19" si="1">H9*12</f>
        <v>12</v>
      </c>
      <c r="J9" s="127">
        <f t="shared" ref="J9:M19" si="2">IF(I9&gt;12,(((I9)*$H$5)+I9),(I9*1))</f>
        <v>12</v>
      </c>
      <c r="K9" s="127">
        <f t="shared" si="2"/>
        <v>12</v>
      </c>
      <c r="L9" s="127">
        <f t="shared" si="2"/>
        <v>12</v>
      </c>
      <c r="M9" s="127">
        <f t="shared" si="2"/>
        <v>12</v>
      </c>
      <c r="N9" s="245"/>
      <c r="O9" s="586"/>
      <c r="P9" s="757"/>
      <c r="Q9" s="129"/>
      <c r="R9" s="129"/>
      <c r="S9" s="129"/>
      <c r="T9" s="129"/>
      <c r="U9" s="129"/>
      <c r="V9" s="209"/>
      <c r="W9" s="528"/>
      <c r="X9" s="222" t="str">
        <f>C9</f>
        <v>Horizon - iColletions, HZ Profitability, Conditional Processing</v>
      </c>
      <c r="Y9" s="325">
        <v>3243.65</v>
      </c>
      <c r="Z9" s="774">
        <f t="shared" ref="Z9:Z18" si="3">AA9/12</f>
        <v>3243.65</v>
      </c>
      <c r="AA9" s="103">
        <f t="shared" ref="AA9:AA18" si="4">IF(Y9&gt;0,PRODUCT(I9,$Y9),0)</f>
        <v>38923.800000000003</v>
      </c>
      <c r="AB9" s="103">
        <f t="shared" ref="AB9:AB18" si="5">IF(AA9&gt;0,PRODUCT(J9,$Y9),0)</f>
        <v>38923.800000000003</v>
      </c>
      <c r="AC9" s="103">
        <f t="shared" ref="AC9:AC18" si="6">IF(AB9&gt;0,PRODUCT(K9,$Y9),0)</f>
        <v>38923.800000000003</v>
      </c>
      <c r="AD9" s="103">
        <f t="shared" ref="AD9:AD18" si="7">IF(AC9&gt;0,PRODUCT(L9,$Y9),0)</f>
        <v>38923.800000000003</v>
      </c>
      <c r="AE9" s="103">
        <f t="shared" ref="AE9:AE18" si="8">IF(AD9&gt;0,PRODUCT(M9,$Y9),0)</f>
        <v>38923.800000000003</v>
      </c>
      <c r="AF9" s="123">
        <f t="shared" ref="AF9:AF18" si="9">SUM(AA9:AE9)</f>
        <v>194619</v>
      </c>
      <c r="AG9" s="971" t="s">
        <v>71</v>
      </c>
      <c r="AH9" s="370"/>
      <c r="AI9" s="221" t="str">
        <f>X9</f>
        <v>Horizon - iColletions, HZ Profitability, Conditional Processing</v>
      </c>
      <c r="AJ9" s="886">
        <v>3243.65</v>
      </c>
      <c r="AK9" s="896">
        <f t="shared" ref="AK9:AK18" si="10">AL9/12</f>
        <v>3243.65</v>
      </c>
      <c r="AL9" s="105" cm="1">
        <f t="array" ref="AL9">_xlfn.IFS($AJ9="NO CHARGE",0,$AJ9=0,0,$AJ9&gt;0,PRODUCT(I9,$AJ9))</f>
        <v>38923.800000000003</v>
      </c>
      <c r="AM9" s="105" cm="1">
        <f t="array" ref="AM9">_xlfn.IFS($AJ9="NO CHARGE",0,$AJ9=0,0,$AJ9&gt;0,PRODUCT(J9,$AJ9))</f>
        <v>38923.800000000003</v>
      </c>
      <c r="AN9" s="105" cm="1">
        <f t="array" ref="AN9">_xlfn.IFS($AJ9="NO CHARGE",0,$AJ9=0,0,$AJ9&gt;0,PRODUCT(K9,$AJ9))</f>
        <v>38923.800000000003</v>
      </c>
      <c r="AO9" s="105" cm="1">
        <f t="array" ref="AO9">_xlfn.IFS($AJ9="NO CHARGE",0,$AJ9=0,0,$AJ9&gt;0,PRODUCT(L9,$AJ9))</f>
        <v>38923.800000000003</v>
      </c>
      <c r="AP9" s="105" cm="1">
        <f t="array" ref="AP9">_xlfn.IFS($AJ9="NO CHARGE",0,$AJ9=0,0,$AJ9&gt;0,PRODUCT(M9,$AJ9))</f>
        <v>38923.800000000003</v>
      </c>
      <c r="AQ9" s="158">
        <f t="shared" si="0"/>
        <v>194619</v>
      </c>
      <c r="AR9" s="970" t="s">
        <v>71</v>
      </c>
      <c r="AS9" s="473"/>
      <c r="AT9" s="106"/>
      <c r="AU9" s="1200"/>
      <c r="AV9" s="108"/>
      <c r="AW9" s="108"/>
      <c r="AX9" s="108"/>
      <c r="AY9" s="108"/>
      <c r="AZ9" s="108"/>
      <c r="BA9" s="165"/>
      <c r="BB9" s="1229"/>
      <c r="BC9" s="531"/>
    </row>
    <row r="10" spans="1:55" s="495" customFormat="1" outlineLevel="1" x14ac:dyDescent="0.25">
      <c r="A10" s="700" t="s">
        <v>689</v>
      </c>
      <c r="B10" s="623" t="s">
        <v>447</v>
      </c>
      <c r="C10" s="310" t="s">
        <v>692</v>
      </c>
      <c r="D10" s="604"/>
      <c r="E10" s="604"/>
      <c r="F10" s="604"/>
      <c r="G10" s="604"/>
      <c r="H10" s="618">
        <v>1</v>
      </c>
      <c r="I10" s="127">
        <f t="shared" si="1"/>
        <v>12</v>
      </c>
      <c r="J10" s="127">
        <f t="shared" si="2"/>
        <v>12</v>
      </c>
      <c r="K10" s="127">
        <f t="shared" si="2"/>
        <v>12</v>
      </c>
      <c r="L10" s="127">
        <f t="shared" si="2"/>
        <v>12</v>
      </c>
      <c r="M10" s="127">
        <f t="shared" si="2"/>
        <v>12</v>
      </c>
      <c r="N10" s="245"/>
      <c r="O10" s="586"/>
      <c r="P10" s="757"/>
      <c r="Q10" s="129"/>
      <c r="R10" s="129"/>
      <c r="S10" s="129"/>
      <c r="T10" s="129"/>
      <c r="U10" s="129"/>
      <c r="V10" s="209"/>
      <c r="W10" s="528"/>
      <c r="X10" s="222" t="str">
        <f>C10</f>
        <v>SecurLOCK Predict</v>
      </c>
      <c r="Y10" s="325">
        <v>2113.7399999999998</v>
      </c>
      <c r="Z10" s="774">
        <f t="shared" si="3"/>
        <v>2113.7399999999998</v>
      </c>
      <c r="AA10" s="103">
        <f t="shared" si="4"/>
        <v>25364.879999999997</v>
      </c>
      <c r="AB10" s="103">
        <f t="shared" si="5"/>
        <v>25364.879999999997</v>
      </c>
      <c r="AC10" s="103">
        <f t="shared" si="6"/>
        <v>25364.879999999997</v>
      </c>
      <c r="AD10" s="103">
        <f t="shared" si="7"/>
        <v>25364.879999999997</v>
      </c>
      <c r="AE10" s="103">
        <f t="shared" si="8"/>
        <v>25364.879999999997</v>
      </c>
      <c r="AF10" s="123">
        <f t="shared" si="9"/>
        <v>126824.4</v>
      </c>
      <c r="AG10" s="971" t="s">
        <v>71</v>
      </c>
      <c r="AH10" s="370"/>
      <c r="AI10" s="221" t="str">
        <f>X10</f>
        <v>SecurLOCK Predict</v>
      </c>
      <c r="AJ10" s="886">
        <v>4000</v>
      </c>
      <c r="AK10" s="896">
        <f t="shared" si="10"/>
        <v>4000</v>
      </c>
      <c r="AL10" s="105" cm="1">
        <f t="array" ref="AL10">_xlfn.IFS($AJ10="NO CHARGE",0,$AJ10=0,0,$AJ10&gt;0,PRODUCT(I10,$AJ10))</f>
        <v>48000</v>
      </c>
      <c r="AM10" s="105" cm="1">
        <f t="array" ref="AM10">_xlfn.IFS($AJ10="NO CHARGE",0,$AJ10=0,0,$AJ10&gt;0,PRODUCT(J10,$AJ10))</f>
        <v>48000</v>
      </c>
      <c r="AN10" s="105" cm="1">
        <f t="array" ref="AN10">_xlfn.IFS($AJ10="NO CHARGE",0,$AJ10=0,0,$AJ10&gt;0,PRODUCT(K10,$AJ10))</f>
        <v>48000</v>
      </c>
      <c r="AO10" s="105" cm="1">
        <f t="array" ref="AO10">_xlfn.IFS($AJ10="NO CHARGE",0,$AJ10=0,0,$AJ10&gt;0,PRODUCT(L10,$AJ10))</f>
        <v>48000</v>
      </c>
      <c r="AP10" s="105" cm="1">
        <f t="array" ref="AP10">_xlfn.IFS($AJ10="NO CHARGE",0,$AJ10=0,0,$AJ10&gt;0,PRODUCT(M10,$AJ10))</f>
        <v>48000</v>
      </c>
      <c r="AQ10" s="158">
        <f t="shared" si="0"/>
        <v>240000</v>
      </c>
      <c r="AR10" s="970" t="s">
        <v>71</v>
      </c>
      <c r="AS10" s="473"/>
      <c r="AT10" s="106"/>
      <c r="AU10" s="1200"/>
      <c r="AV10" s="108"/>
      <c r="AW10" s="108"/>
      <c r="AX10" s="108"/>
      <c r="AY10" s="108"/>
      <c r="AZ10" s="108"/>
      <c r="BA10" s="165"/>
      <c r="BB10" s="1229"/>
      <c r="BC10" s="531"/>
    </row>
    <row r="11" spans="1:55" s="495" customFormat="1" outlineLevel="1" x14ac:dyDescent="0.25">
      <c r="A11" s="700" t="s">
        <v>693</v>
      </c>
      <c r="B11" s="623" t="s">
        <v>694</v>
      </c>
      <c r="C11" s="310" t="s">
        <v>695</v>
      </c>
      <c r="D11" s="604"/>
      <c r="E11" s="604"/>
      <c r="F11" s="604"/>
      <c r="G11" s="604"/>
      <c r="H11" s="618">
        <v>1</v>
      </c>
      <c r="I11" s="127">
        <f t="shared" si="1"/>
        <v>12</v>
      </c>
      <c r="J11" s="127">
        <f t="shared" si="2"/>
        <v>12</v>
      </c>
      <c r="K11" s="127">
        <f t="shared" si="2"/>
        <v>12</v>
      </c>
      <c r="L11" s="127">
        <f t="shared" si="2"/>
        <v>12</v>
      </c>
      <c r="M11" s="127">
        <f t="shared" si="2"/>
        <v>12</v>
      </c>
      <c r="N11" s="245"/>
      <c r="O11" s="586"/>
      <c r="P11" s="757"/>
      <c r="Q11" s="129"/>
      <c r="R11" s="129"/>
      <c r="S11" s="129"/>
      <c r="T11" s="129"/>
      <c r="U11" s="129"/>
      <c r="V11" s="209"/>
      <c r="W11" s="528"/>
      <c r="X11" s="222" t="str">
        <f>C11</f>
        <v>CardSuite Pro</v>
      </c>
      <c r="Y11" s="325">
        <v>7557.5</v>
      </c>
      <c r="Z11" s="774">
        <f t="shared" si="3"/>
        <v>7557.5</v>
      </c>
      <c r="AA11" s="103">
        <f t="shared" si="4"/>
        <v>90690</v>
      </c>
      <c r="AB11" s="103">
        <f t="shared" si="5"/>
        <v>90690</v>
      </c>
      <c r="AC11" s="103">
        <f t="shared" si="6"/>
        <v>90690</v>
      </c>
      <c r="AD11" s="103">
        <f t="shared" si="7"/>
        <v>90690</v>
      </c>
      <c r="AE11" s="103">
        <f t="shared" si="8"/>
        <v>90690</v>
      </c>
      <c r="AF11" s="123">
        <f t="shared" si="9"/>
        <v>453450</v>
      </c>
      <c r="AG11" s="971">
        <v>10000</v>
      </c>
      <c r="AH11" s="370"/>
      <c r="AI11" s="221" t="str">
        <f>X11</f>
        <v>CardSuite Pro</v>
      </c>
      <c r="AJ11" s="886">
        <v>7557.5</v>
      </c>
      <c r="AK11" s="896">
        <f t="shared" si="10"/>
        <v>7557.5</v>
      </c>
      <c r="AL11" s="105" cm="1">
        <f t="array" ref="AL11">_xlfn.IFS($AJ11="NO CHARGE",0,$AJ11=0,0,$AJ11&gt;0,PRODUCT(I11,$AJ11))</f>
        <v>90690</v>
      </c>
      <c r="AM11" s="105" cm="1">
        <f t="array" ref="AM11">_xlfn.IFS($AJ11="NO CHARGE",0,$AJ11=0,0,$AJ11&gt;0,PRODUCT(J11,$AJ11))</f>
        <v>90690</v>
      </c>
      <c r="AN11" s="105" cm="1">
        <f t="array" ref="AN11">_xlfn.IFS($AJ11="NO CHARGE",0,$AJ11=0,0,$AJ11&gt;0,PRODUCT(K11,$AJ11))</f>
        <v>90690</v>
      </c>
      <c r="AO11" s="105" cm="1">
        <f t="array" ref="AO11">_xlfn.IFS($AJ11="NO CHARGE",0,$AJ11=0,0,$AJ11&gt;0,PRODUCT(L11,$AJ11))</f>
        <v>90690</v>
      </c>
      <c r="AP11" s="105" cm="1">
        <f t="array" ref="AP11">_xlfn.IFS($AJ11="NO CHARGE",0,$AJ11=0,0,$AJ11&gt;0,PRODUCT(M11,$AJ11))</f>
        <v>90690</v>
      </c>
      <c r="AQ11" s="158">
        <f t="shared" si="0"/>
        <v>453450</v>
      </c>
      <c r="AR11" s="105">
        <v>10000</v>
      </c>
      <c r="AS11" s="473"/>
      <c r="AT11" s="106"/>
      <c r="AU11" s="1200"/>
      <c r="AV11" s="108"/>
      <c r="AW11" s="108"/>
      <c r="AX11" s="108"/>
      <c r="AY11" s="108"/>
      <c r="AZ11" s="108"/>
      <c r="BA11" s="165"/>
      <c r="BB11" s="108"/>
      <c r="BC11" s="531"/>
    </row>
    <row r="12" spans="1:55" s="495" customFormat="1" outlineLevel="1" x14ac:dyDescent="0.25">
      <c r="A12" s="445"/>
      <c r="B12" s="623"/>
      <c r="C12" s="310"/>
      <c r="D12" s="604"/>
      <c r="E12" s="604"/>
      <c r="F12" s="604"/>
      <c r="G12" s="604"/>
      <c r="H12" s="618"/>
      <c r="I12" s="127">
        <f t="shared" si="1"/>
        <v>0</v>
      </c>
      <c r="J12" s="127">
        <f t="shared" si="2"/>
        <v>0</v>
      </c>
      <c r="K12" s="127">
        <f t="shared" si="2"/>
        <v>0</v>
      </c>
      <c r="L12" s="127">
        <f t="shared" si="2"/>
        <v>0</v>
      </c>
      <c r="M12" s="127">
        <f t="shared" si="2"/>
        <v>0</v>
      </c>
      <c r="N12" s="245"/>
      <c r="O12" s="586"/>
      <c r="P12" s="757">
        <f t="shared" ref="P12:P18" si="11">Q12/12</f>
        <v>0</v>
      </c>
      <c r="Q12" s="129">
        <f t="shared" ref="Q12:Q18" si="12">IF(O12&gt;0,PRODUCT(I12,$O12),0)</f>
        <v>0</v>
      </c>
      <c r="R12" s="129">
        <f t="shared" ref="R12:U18" si="13">IF(Q12&gt;0,PRODUCT(J12,$O12),0)</f>
        <v>0</v>
      </c>
      <c r="S12" s="129">
        <f t="shared" si="13"/>
        <v>0</v>
      </c>
      <c r="T12" s="129">
        <f t="shared" si="13"/>
        <v>0</v>
      </c>
      <c r="U12" s="129">
        <f t="shared" si="13"/>
        <v>0</v>
      </c>
      <c r="V12" s="209">
        <f t="shared" ref="V12:V18" si="14">SUM(Q12:U12)</f>
        <v>0</v>
      </c>
      <c r="W12" s="528"/>
      <c r="X12" s="222"/>
      <c r="Y12" s="325"/>
      <c r="Z12" s="774">
        <f t="shared" si="3"/>
        <v>0</v>
      </c>
      <c r="AA12" s="103">
        <f t="shared" si="4"/>
        <v>0</v>
      </c>
      <c r="AB12" s="103">
        <f t="shared" si="5"/>
        <v>0</v>
      </c>
      <c r="AC12" s="103">
        <f t="shared" si="6"/>
        <v>0</v>
      </c>
      <c r="AD12" s="103">
        <f t="shared" si="7"/>
        <v>0</v>
      </c>
      <c r="AE12" s="103">
        <f t="shared" si="8"/>
        <v>0</v>
      </c>
      <c r="AF12" s="123">
        <f t="shared" si="9"/>
        <v>0</v>
      </c>
      <c r="AG12" s="123"/>
      <c r="AH12" s="370"/>
      <c r="AI12" s="221"/>
      <c r="AJ12" s="886"/>
      <c r="AK12" s="896">
        <f t="shared" si="10"/>
        <v>0</v>
      </c>
      <c r="AL12" s="105" cm="1">
        <f t="array" ref="AL12">_xlfn.IFS($AJ12="NO CHARGE",0,$AJ12=0,0,$AJ12&gt;0,PRODUCT(I12,$AJ12))</f>
        <v>0</v>
      </c>
      <c r="AM12" s="105" cm="1">
        <f t="array" ref="AM12">_xlfn.IFS($AJ12="NO CHARGE",0,$AJ12=0,0,$AJ12&gt;0,PRODUCT(J12,$AJ12))</f>
        <v>0</v>
      </c>
      <c r="AN12" s="105" cm="1">
        <f t="array" ref="AN12">_xlfn.IFS($AJ12="NO CHARGE",0,$AJ12=0,0,$AJ12&gt;0,PRODUCT(K12,$AJ12))</f>
        <v>0</v>
      </c>
      <c r="AO12" s="105" cm="1">
        <f t="array" ref="AO12">_xlfn.IFS($AJ12="NO CHARGE",0,$AJ12=0,0,$AJ12&gt;0,PRODUCT(L12,$AJ12))</f>
        <v>0</v>
      </c>
      <c r="AP12" s="105" cm="1">
        <f t="array" ref="AP12">_xlfn.IFS($AJ12="NO CHARGE",0,$AJ12=0,0,$AJ12&gt;0,PRODUCT(M12,$AJ12))</f>
        <v>0</v>
      </c>
      <c r="AQ12" s="158">
        <f t="shared" si="0"/>
        <v>0</v>
      </c>
      <c r="AR12" s="105"/>
      <c r="AS12" s="473"/>
      <c r="AT12" s="106"/>
      <c r="AU12" s="1200"/>
      <c r="AV12" s="108"/>
      <c r="AW12" s="108"/>
      <c r="AX12" s="108"/>
      <c r="AY12" s="108"/>
      <c r="AZ12" s="108"/>
      <c r="BA12" s="165"/>
      <c r="BB12" s="108"/>
      <c r="BC12" s="531"/>
    </row>
    <row r="13" spans="1:55" s="495" customFormat="1" outlineLevel="1" x14ac:dyDescent="0.25">
      <c r="A13" s="445"/>
      <c r="B13" s="623"/>
      <c r="C13" s="310"/>
      <c r="D13" s="604"/>
      <c r="E13" s="604"/>
      <c r="F13" s="604"/>
      <c r="G13" s="604"/>
      <c r="H13" s="618"/>
      <c r="I13" s="127">
        <f t="shared" si="1"/>
        <v>0</v>
      </c>
      <c r="J13" s="127">
        <f t="shared" si="2"/>
        <v>0</v>
      </c>
      <c r="K13" s="127">
        <f t="shared" si="2"/>
        <v>0</v>
      </c>
      <c r="L13" s="127">
        <f t="shared" si="2"/>
        <v>0</v>
      </c>
      <c r="M13" s="127">
        <f t="shared" si="2"/>
        <v>0</v>
      </c>
      <c r="N13" s="245"/>
      <c r="O13" s="586"/>
      <c r="P13" s="757">
        <f t="shared" si="11"/>
        <v>0</v>
      </c>
      <c r="Q13" s="129">
        <f t="shared" si="12"/>
        <v>0</v>
      </c>
      <c r="R13" s="129">
        <f t="shared" si="13"/>
        <v>0</v>
      </c>
      <c r="S13" s="129">
        <f t="shared" si="13"/>
        <v>0</v>
      </c>
      <c r="T13" s="129">
        <f t="shared" si="13"/>
        <v>0</v>
      </c>
      <c r="U13" s="129">
        <f t="shared" si="13"/>
        <v>0</v>
      </c>
      <c r="V13" s="209">
        <f t="shared" si="14"/>
        <v>0</v>
      </c>
      <c r="W13" s="528"/>
      <c r="X13" s="222"/>
      <c r="Y13" s="325"/>
      <c r="Z13" s="774">
        <f t="shared" si="3"/>
        <v>0</v>
      </c>
      <c r="AA13" s="103">
        <f t="shared" si="4"/>
        <v>0</v>
      </c>
      <c r="AB13" s="103">
        <f t="shared" si="5"/>
        <v>0</v>
      </c>
      <c r="AC13" s="103">
        <f t="shared" si="6"/>
        <v>0</v>
      </c>
      <c r="AD13" s="103">
        <f t="shared" si="7"/>
        <v>0</v>
      </c>
      <c r="AE13" s="103">
        <f t="shared" si="8"/>
        <v>0</v>
      </c>
      <c r="AF13" s="123">
        <f t="shared" si="9"/>
        <v>0</v>
      </c>
      <c r="AG13" s="123"/>
      <c r="AH13" s="370"/>
      <c r="AI13" s="221"/>
      <c r="AJ13" s="886"/>
      <c r="AK13" s="896">
        <f t="shared" si="10"/>
        <v>0</v>
      </c>
      <c r="AL13" s="105" cm="1">
        <f t="array" ref="AL13">_xlfn.IFS($AJ13="NO CHARGE",0,$AJ13=0,0,$AJ13&gt;0,PRODUCT(I13,$AJ13))</f>
        <v>0</v>
      </c>
      <c r="AM13" s="105" cm="1">
        <f t="array" ref="AM13">_xlfn.IFS($AJ13="NO CHARGE",0,$AJ13=0,0,$AJ13&gt;0,PRODUCT(J13,$AJ13))</f>
        <v>0</v>
      </c>
      <c r="AN13" s="105" cm="1">
        <f t="array" ref="AN13">_xlfn.IFS($AJ13="NO CHARGE",0,$AJ13=0,0,$AJ13&gt;0,PRODUCT(K13,$AJ13))</f>
        <v>0</v>
      </c>
      <c r="AO13" s="105" cm="1">
        <f t="array" ref="AO13">_xlfn.IFS($AJ13="NO CHARGE",0,$AJ13=0,0,$AJ13&gt;0,PRODUCT(L13,$AJ13))</f>
        <v>0</v>
      </c>
      <c r="AP13" s="105" cm="1">
        <f t="array" ref="AP13">_xlfn.IFS($AJ13="NO CHARGE",0,$AJ13=0,0,$AJ13&gt;0,PRODUCT(M13,$AJ13))</f>
        <v>0</v>
      </c>
      <c r="AQ13" s="158">
        <f t="shared" si="0"/>
        <v>0</v>
      </c>
      <c r="AR13" s="105"/>
      <c r="AS13" s="473"/>
      <c r="AT13" s="106"/>
      <c r="AU13" s="1200"/>
      <c r="AV13" s="108"/>
      <c r="AW13" s="108"/>
      <c r="AX13" s="108"/>
      <c r="AY13" s="108"/>
      <c r="AZ13" s="108"/>
      <c r="BA13" s="165"/>
      <c r="BB13" s="108"/>
      <c r="BC13" s="531"/>
    </row>
    <row r="14" spans="1:55" s="495" customFormat="1" outlineLevel="1" x14ac:dyDescent="0.25">
      <c r="A14" s="445"/>
      <c r="B14" s="623"/>
      <c r="C14" s="310"/>
      <c r="D14" s="604"/>
      <c r="E14" s="604"/>
      <c r="F14" s="604"/>
      <c r="G14" s="604"/>
      <c r="H14" s="618"/>
      <c r="I14" s="127">
        <f t="shared" si="1"/>
        <v>0</v>
      </c>
      <c r="J14" s="127">
        <f t="shared" si="2"/>
        <v>0</v>
      </c>
      <c r="K14" s="127">
        <f t="shared" si="2"/>
        <v>0</v>
      </c>
      <c r="L14" s="127">
        <f t="shared" si="2"/>
        <v>0</v>
      </c>
      <c r="M14" s="127">
        <f t="shared" si="2"/>
        <v>0</v>
      </c>
      <c r="N14" s="245"/>
      <c r="O14" s="586"/>
      <c r="P14" s="757">
        <f t="shared" si="11"/>
        <v>0</v>
      </c>
      <c r="Q14" s="129">
        <f t="shared" si="12"/>
        <v>0</v>
      </c>
      <c r="R14" s="129">
        <f t="shared" si="13"/>
        <v>0</v>
      </c>
      <c r="S14" s="129">
        <f t="shared" si="13"/>
        <v>0</v>
      </c>
      <c r="T14" s="129">
        <f t="shared" si="13"/>
        <v>0</v>
      </c>
      <c r="U14" s="129">
        <f t="shared" si="13"/>
        <v>0</v>
      </c>
      <c r="V14" s="209">
        <f t="shared" si="14"/>
        <v>0</v>
      </c>
      <c r="W14" s="528"/>
      <c r="X14" s="222"/>
      <c r="Y14" s="325"/>
      <c r="Z14" s="774">
        <f t="shared" si="3"/>
        <v>0</v>
      </c>
      <c r="AA14" s="103">
        <f t="shared" si="4"/>
        <v>0</v>
      </c>
      <c r="AB14" s="103">
        <f t="shared" si="5"/>
        <v>0</v>
      </c>
      <c r="AC14" s="103">
        <f t="shared" si="6"/>
        <v>0</v>
      </c>
      <c r="AD14" s="103">
        <f t="shared" si="7"/>
        <v>0</v>
      </c>
      <c r="AE14" s="103">
        <f t="shared" si="8"/>
        <v>0</v>
      </c>
      <c r="AF14" s="123">
        <f t="shared" si="9"/>
        <v>0</v>
      </c>
      <c r="AG14" s="123"/>
      <c r="AH14" s="370"/>
      <c r="AI14" s="221"/>
      <c r="AJ14" s="886"/>
      <c r="AK14" s="896">
        <f t="shared" si="10"/>
        <v>0</v>
      </c>
      <c r="AL14" s="105" cm="1">
        <f t="array" ref="AL14">_xlfn.IFS($AJ14="NO CHARGE",0,$AJ14=0,0,$AJ14&gt;0,PRODUCT(I14,$AJ14))</f>
        <v>0</v>
      </c>
      <c r="AM14" s="105" cm="1">
        <f t="array" ref="AM14">_xlfn.IFS($AJ14="NO CHARGE",0,$AJ14=0,0,$AJ14&gt;0,PRODUCT(J14,$AJ14))</f>
        <v>0</v>
      </c>
      <c r="AN14" s="105" cm="1">
        <f t="array" ref="AN14">_xlfn.IFS($AJ14="NO CHARGE",0,$AJ14=0,0,$AJ14&gt;0,PRODUCT(K14,$AJ14))</f>
        <v>0</v>
      </c>
      <c r="AO14" s="105" cm="1">
        <f t="array" ref="AO14">_xlfn.IFS($AJ14="NO CHARGE",0,$AJ14=0,0,$AJ14&gt;0,PRODUCT(L14,$AJ14))</f>
        <v>0</v>
      </c>
      <c r="AP14" s="105" cm="1">
        <f t="array" ref="AP14">_xlfn.IFS($AJ14="NO CHARGE",0,$AJ14=0,0,$AJ14&gt;0,PRODUCT(M14,$AJ14))</f>
        <v>0</v>
      </c>
      <c r="AQ14" s="158">
        <f t="shared" si="0"/>
        <v>0</v>
      </c>
      <c r="AR14" s="105"/>
      <c r="AS14" s="473"/>
      <c r="AT14" s="106"/>
      <c r="AU14" s="1200"/>
      <c r="AV14" s="108"/>
      <c r="AW14" s="108"/>
      <c r="AX14" s="108"/>
      <c r="AY14" s="108"/>
      <c r="AZ14" s="108"/>
      <c r="BA14" s="165"/>
      <c r="BB14" s="108"/>
      <c r="BC14" s="531"/>
    </row>
    <row r="15" spans="1:55" s="495" customFormat="1" outlineLevel="1" x14ac:dyDescent="0.25">
      <c r="A15" s="445"/>
      <c r="B15" s="623"/>
      <c r="C15" s="310"/>
      <c r="D15" s="604"/>
      <c r="E15" s="604"/>
      <c r="F15" s="604"/>
      <c r="G15" s="604"/>
      <c r="H15" s="618"/>
      <c r="I15" s="127">
        <f t="shared" si="1"/>
        <v>0</v>
      </c>
      <c r="J15" s="127">
        <f t="shared" si="2"/>
        <v>0</v>
      </c>
      <c r="K15" s="127">
        <f t="shared" si="2"/>
        <v>0</v>
      </c>
      <c r="L15" s="127">
        <f t="shared" si="2"/>
        <v>0</v>
      </c>
      <c r="M15" s="127">
        <f t="shared" si="2"/>
        <v>0</v>
      </c>
      <c r="N15" s="245"/>
      <c r="O15" s="586"/>
      <c r="P15" s="757">
        <f t="shared" si="11"/>
        <v>0</v>
      </c>
      <c r="Q15" s="129">
        <f t="shared" si="12"/>
        <v>0</v>
      </c>
      <c r="R15" s="129">
        <f t="shared" si="13"/>
        <v>0</v>
      </c>
      <c r="S15" s="129">
        <f t="shared" si="13"/>
        <v>0</v>
      </c>
      <c r="T15" s="129">
        <f t="shared" si="13"/>
        <v>0</v>
      </c>
      <c r="U15" s="129">
        <f t="shared" si="13"/>
        <v>0</v>
      </c>
      <c r="V15" s="209">
        <f t="shared" si="14"/>
        <v>0</v>
      </c>
      <c r="W15" s="528"/>
      <c r="X15" s="222"/>
      <c r="Y15" s="325"/>
      <c r="Z15" s="774">
        <f t="shared" si="3"/>
        <v>0</v>
      </c>
      <c r="AA15" s="103">
        <f t="shared" si="4"/>
        <v>0</v>
      </c>
      <c r="AB15" s="103">
        <f t="shared" si="5"/>
        <v>0</v>
      </c>
      <c r="AC15" s="103">
        <f t="shared" si="6"/>
        <v>0</v>
      </c>
      <c r="AD15" s="103">
        <f t="shared" si="7"/>
        <v>0</v>
      </c>
      <c r="AE15" s="103">
        <f t="shared" si="8"/>
        <v>0</v>
      </c>
      <c r="AF15" s="123">
        <f t="shared" si="9"/>
        <v>0</v>
      </c>
      <c r="AG15" s="123"/>
      <c r="AH15" s="370"/>
      <c r="AI15" s="221"/>
      <c r="AJ15" s="886"/>
      <c r="AK15" s="896">
        <f t="shared" si="10"/>
        <v>0</v>
      </c>
      <c r="AL15" s="105" cm="1">
        <f t="array" ref="AL15">_xlfn.IFS($AJ15="NO CHARGE",0,$AJ15=0,0,$AJ15&gt;0,PRODUCT(I15,$AJ15))</f>
        <v>0</v>
      </c>
      <c r="AM15" s="105" cm="1">
        <f t="array" ref="AM15">_xlfn.IFS($AJ15="NO CHARGE",0,$AJ15=0,0,$AJ15&gt;0,PRODUCT(J15,$AJ15))</f>
        <v>0</v>
      </c>
      <c r="AN15" s="105" cm="1">
        <f t="array" ref="AN15">_xlfn.IFS($AJ15="NO CHARGE",0,$AJ15=0,0,$AJ15&gt;0,PRODUCT(K15,$AJ15))</f>
        <v>0</v>
      </c>
      <c r="AO15" s="105" cm="1">
        <f t="array" ref="AO15">_xlfn.IFS($AJ15="NO CHARGE",0,$AJ15=0,0,$AJ15&gt;0,PRODUCT(L15,$AJ15))</f>
        <v>0</v>
      </c>
      <c r="AP15" s="105" cm="1">
        <f t="array" ref="AP15">_xlfn.IFS($AJ15="NO CHARGE",0,$AJ15=0,0,$AJ15&gt;0,PRODUCT(M15,$AJ15))</f>
        <v>0</v>
      </c>
      <c r="AQ15" s="158">
        <f t="shared" si="0"/>
        <v>0</v>
      </c>
      <c r="AR15" s="105"/>
      <c r="AS15" s="473"/>
      <c r="AT15" s="106"/>
      <c r="AU15" s="1200"/>
      <c r="AV15" s="108"/>
      <c r="AW15" s="108"/>
      <c r="AX15" s="108"/>
      <c r="AY15" s="108"/>
      <c r="AZ15" s="108"/>
      <c r="BA15" s="165"/>
      <c r="BB15" s="108"/>
      <c r="BC15" s="531"/>
    </row>
    <row r="16" spans="1:55" s="495" customFormat="1" outlineLevel="1" x14ac:dyDescent="0.25">
      <c r="A16" s="445"/>
      <c r="B16" s="623"/>
      <c r="C16" s="310"/>
      <c r="D16" s="604"/>
      <c r="E16" s="604"/>
      <c r="F16" s="604"/>
      <c r="G16" s="604"/>
      <c r="H16" s="618"/>
      <c r="I16" s="127">
        <f t="shared" si="1"/>
        <v>0</v>
      </c>
      <c r="J16" s="127">
        <f t="shared" si="2"/>
        <v>0</v>
      </c>
      <c r="K16" s="127">
        <f t="shared" si="2"/>
        <v>0</v>
      </c>
      <c r="L16" s="127">
        <f t="shared" si="2"/>
        <v>0</v>
      </c>
      <c r="M16" s="127">
        <f t="shared" si="2"/>
        <v>0</v>
      </c>
      <c r="N16" s="245"/>
      <c r="O16" s="586"/>
      <c r="P16" s="757">
        <f t="shared" si="11"/>
        <v>0</v>
      </c>
      <c r="Q16" s="129">
        <f t="shared" si="12"/>
        <v>0</v>
      </c>
      <c r="R16" s="129">
        <f t="shared" si="13"/>
        <v>0</v>
      </c>
      <c r="S16" s="129">
        <f t="shared" si="13"/>
        <v>0</v>
      </c>
      <c r="T16" s="129">
        <f t="shared" si="13"/>
        <v>0</v>
      </c>
      <c r="U16" s="129">
        <f t="shared" si="13"/>
        <v>0</v>
      </c>
      <c r="V16" s="209">
        <f t="shared" si="14"/>
        <v>0</v>
      </c>
      <c r="W16" s="528"/>
      <c r="X16" s="222"/>
      <c r="Y16" s="325"/>
      <c r="Z16" s="774">
        <f t="shared" si="3"/>
        <v>0</v>
      </c>
      <c r="AA16" s="103">
        <f t="shared" si="4"/>
        <v>0</v>
      </c>
      <c r="AB16" s="103">
        <f t="shared" si="5"/>
        <v>0</v>
      </c>
      <c r="AC16" s="103">
        <f t="shared" si="6"/>
        <v>0</v>
      </c>
      <c r="AD16" s="103">
        <f t="shared" si="7"/>
        <v>0</v>
      </c>
      <c r="AE16" s="103">
        <f t="shared" si="8"/>
        <v>0</v>
      </c>
      <c r="AF16" s="123">
        <f t="shared" si="9"/>
        <v>0</v>
      </c>
      <c r="AG16" s="123"/>
      <c r="AH16" s="370"/>
      <c r="AI16" s="221"/>
      <c r="AJ16" s="886"/>
      <c r="AK16" s="896">
        <f t="shared" si="10"/>
        <v>0</v>
      </c>
      <c r="AL16" s="105" cm="1">
        <f t="array" ref="AL16">_xlfn.IFS($AJ16="NO CHARGE",0,$AJ16=0,0,$AJ16&gt;0,PRODUCT(I16,$AJ16))</f>
        <v>0</v>
      </c>
      <c r="AM16" s="105" cm="1">
        <f t="array" ref="AM16">_xlfn.IFS($AJ16="NO CHARGE",0,$AJ16=0,0,$AJ16&gt;0,PRODUCT(J16,$AJ16))</f>
        <v>0</v>
      </c>
      <c r="AN16" s="105" cm="1">
        <f t="array" ref="AN16">_xlfn.IFS($AJ16="NO CHARGE",0,$AJ16=0,0,$AJ16&gt;0,PRODUCT(K16,$AJ16))</f>
        <v>0</v>
      </c>
      <c r="AO16" s="105" cm="1">
        <f t="array" ref="AO16">_xlfn.IFS($AJ16="NO CHARGE",0,$AJ16=0,0,$AJ16&gt;0,PRODUCT(L16,$AJ16))</f>
        <v>0</v>
      </c>
      <c r="AP16" s="105" cm="1">
        <f t="array" ref="AP16">_xlfn.IFS($AJ16="NO CHARGE",0,$AJ16=0,0,$AJ16&gt;0,PRODUCT(M16,$AJ16))</f>
        <v>0</v>
      </c>
      <c r="AQ16" s="158">
        <f t="shared" si="0"/>
        <v>0</v>
      </c>
      <c r="AR16" s="105"/>
      <c r="AS16" s="473"/>
      <c r="AT16" s="106"/>
      <c r="AU16" s="1200"/>
      <c r="AV16" s="108"/>
      <c r="AW16" s="108"/>
      <c r="AX16" s="108"/>
      <c r="AY16" s="108"/>
      <c r="AZ16" s="108"/>
      <c r="BA16" s="165"/>
      <c r="BB16" s="108"/>
      <c r="BC16" s="531"/>
    </row>
    <row r="17" spans="1:55" s="495" customFormat="1" outlineLevel="1" x14ac:dyDescent="0.25">
      <c r="A17" s="445"/>
      <c r="B17" s="623"/>
      <c r="C17" s="310"/>
      <c r="D17" s="604"/>
      <c r="E17" s="604"/>
      <c r="F17" s="604"/>
      <c r="G17" s="604"/>
      <c r="H17" s="618"/>
      <c r="I17" s="127">
        <f t="shared" si="1"/>
        <v>0</v>
      </c>
      <c r="J17" s="127">
        <f t="shared" si="2"/>
        <v>0</v>
      </c>
      <c r="K17" s="127">
        <f t="shared" si="2"/>
        <v>0</v>
      </c>
      <c r="L17" s="127">
        <f t="shared" si="2"/>
        <v>0</v>
      </c>
      <c r="M17" s="127">
        <f t="shared" si="2"/>
        <v>0</v>
      </c>
      <c r="N17" s="245"/>
      <c r="O17" s="586"/>
      <c r="P17" s="757">
        <f t="shared" si="11"/>
        <v>0</v>
      </c>
      <c r="Q17" s="129">
        <f t="shared" si="12"/>
        <v>0</v>
      </c>
      <c r="R17" s="129">
        <f t="shared" si="13"/>
        <v>0</v>
      </c>
      <c r="S17" s="129">
        <f t="shared" si="13"/>
        <v>0</v>
      </c>
      <c r="T17" s="129">
        <f t="shared" si="13"/>
        <v>0</v>
      </c>
      <c r="U17" s="129">
        <f t="shared" si="13"/>
        <v>0</v>
      </c>
      <c r="V17" s="209">
        <f t="shared" si="14"/>
        <v>0</v>
      </c>
      <c r="W17" s="528"/>
      <c r="X17" s="222"/>
      <c r="Y17" s="325"/>
      <c r="Z17" s="774">
        <f t="shared" si="3"/>
        <v>0</v>
      </c>
      <c r="AA17" s="103">
        <f t="shared" si="4"/>
        <v>0</v>
      </c>
      <c r="AB17" s="103">
        <f t="shared" si="5"/>
        <v>0</v>
      </c>
      <c r="AC17" s="103">
        <f t="shared" si="6"/>
        <v>0</v>
      </c>
      <c r="AD17" s="103">
        <f t="shared" si="7"/>
        <v>0</v>
      </c>
      <c r="AE17" s="103">
        <f t="shared" si="8"/>
        <v>0</v>
      </c>
      <c r="AF17" s="123">
        <f t="shared" si="9"/>
        <v>0</v>
      </c>
      <c r="AG17" s="123"/>
      <c r="AH17" s="370"/>
      <c r="AI17" s="221"/>
      <c r="AJ17" s="886"/>
      <c r="AK17" s="896">
        <f t="shared" si="10"/>
        <v>0</v>
      </c>
      <c r="AL17" s="105" cm="1">
        <f t="array" ref="AL17">_xlfn.IFS($AJ17="NO CHARGE",0,$AJ17=0,0,$AJ17&gt;0,PRODUCT(I17,$AJ17))</f>
        <v>0</v>
      </c>
      <c r="AM17" s="105" cm="1">
        <f t="array" ref="AM17">_xlfn.IFS($AJ17="NO CHARGE",0,$AJ17=0,0,$AJ17&gt;0,PRODUCT(J17,$AJ17))</f>
        <v>0</v>
      </c>
      <c r="AN17" s="105" cm="1">
        <f t="array" ref="AN17">_xlfn.IFS($AJ17="NO CHARGE",0,$AJ17=0,0,$AJ17&gt;0,PRODUCT(K17,$AJ17))</f>
        <v>0</v>
      </c>
      <c r="AO17" s="105" cm="1">
        <f t="array" ref="AO17">_xlfn.IFS($AJ17="NO CHARGE",0,$AJ17=0,0,$AJ17&gt;0,PRODUCT(L17,$AJ17))</f>
        <v>0</v>
      </c>
      <c r="AP17" s="105" cm="1">
        <f t="array" ref="AP17">_xlfn.IFS($AJ17="NO CHARGE",0,$AJ17=0,0,$AJ17&gt;0,PRODUCT(M17,$AJ17))</f>
        <v>0</v>
      </c>
      <c r="AQ17" s="158">
        <f t="shared" si="0"/>
        <v>0</v>
      </c>
      <c r="AR17" s="105"/>
      <c r="AS17" s="473"/>
      <c r="AT17" s="106"/>
      <c r="AU17" s="1200"/>
      <c r="AV17" s="108"/>
      <c r="AW17" s="108"/>
      <c r="AX17" s="108"/>
      <c r="AY17" s="108"/>
      <c r="AZ17" s="108"/>
      <c r="BA17" s="165"/>
      <c r="BB17" s="108"/>
      <c r="BC17" s="531"/>
    </row>
    <row r="18" spans="1:55" s="495" customFormat="1" outlineLevel="1" x14ac:dyDescent="0.25">
      <c r="A18" s="445"/>
      <c r="B18" s="623"/>
      <c r="C18" s="310"/>
      <c r="D18" s="604"/>
      <c r="E18" s="604"/>
      <c r="F18" s="604"/>
      <c r="G18" s="604"/>
      <c r="H18" s="618"/>
      <c r="I18" s="127">
        <f t="shared" si="1"/>
        <v>0</v>
      </c>
      <c r="J18" s="127">
        <f t="shared" si="2"/>
        <v>0</v>
      </c>
      <c r="K18" s="127">
        <f t="shared" si="2"/>
        <v>0</v>
      </c>
      <c r="L18" s="127">
        <f t="shared" si="2"/>
        <v>0</v>
      </c>
      <c r="M18" s="127">
        <f t="shared" si="2"/>
        <v>0</v>
      </c>
      <c r="N18" s="245"/>
      <c r="O18" s="586"/>
      <c r="P18" s="757">
        <f t="shared" si="11"/>
        <v>0</v>
      </c>
      <c r="Q18" s="129">
        <f t="shared" si="12"/>
        <v>0</v>
      </c>
      <c r="R18" s="129">
        <f t="shared" si="13"/>
        <v>0</v>
      </c>
      <c r="S18" s="129">
        <f t="shared" si="13"/>
        <v>0</v>
      </c>
      <c r="T18" s="129">
        <f t="shared" si="13"/>
        <v>0</v>
      </c>
      <c r="U18" s="129">
        <f t="shared" si="13"/>
        <v>0</v>
      </c>
      <c r="V18" s="209">
        <f t="shared" si="14"/>
        <v>0</v>
      </c>
      <c r="W18" s="528"/>
      <c r="X18" s="222"/>
      <c r="Y18" s="325"/>
      <c r="Z18" s="774">
        <f t="shared" si="3"/>
        <v>0</v>
      </c>
      <c r="AA18" s="103">
        <f t="shared" si="4"/>
        <v>0</v>
      </c>
      <c r="AB18" s="103">
        <f t="shared" si="5"/>
        <v>0</v>
      </c>
      <c r="AC18" s="103">
        <f t="shared" si="6"/>
        <v>0</v>
      </c>
      <c r="AD18" s="103">
        <f t="shared" si="7"/>
        <v>0</v>
      </c>
      <c r="AE18" s="103">
        <f t="shared" si="8"/>
        <v>0</v>
      </c>
      <c r="AF18" s="123">
        <f t="shared" si="9"/>
        <v>0</v>
      </c>
      <c r="AG18" s="123"/>
      <c r="AH18" s="370"/>
      <c r="AI18" s="221"/>
      <c r="AJ18" s="886"/>
      <c r="AK18" s="896">
        <f t="shared" si="10"/>
        <v>0</v>
      </c>
      <c r="AL18" s="105" cm="1">
        <f t="array" ref="AL18">_xlfn.IFS($AJ18="NO CHARGE",0,$AJ18=0,0,$AJ18&gt;0,PRODUCT(I18,$AJ18))</f>
        <v>0</v>
      </c>
      <c r="AM18" s="105" cm="1">
        <f t="array" ref="AM18">_xlfn.IFS($AJ18="NO CHARGE",0,$AJ18=0,0,$AJ18&gt;0,PRODUCT(J18,$AJ18))</f>
        <v>0</v>
      </c>
      <c r="AN18" s="105" cm="1">
        <f t="array" ref="AN18">_xlfn.IFS($AJ18="NO CHARGE",0,$AJ18=0,0,$AJ18&gt;0,PRODUCT(K18,$AJ18))</f>
        <v>0</v>
      </c>
      <c r="AO18" s="105" cm="1">
        <f t="array" ref="AO18">_xlfn.IFS($AJ18="NO CHARGE",0,$AJ18=0,0,$AJ18&gt;0,PRODUCT(L18,$AJ18))</f>
        <v>0</v>
      </c>
      <c r="AP18" s="105" cm="1">
        <f t="array" ref="AP18">_xlfn.IFS($AJ18="NO CHARGE",0,$AJ18=0,0,$AJ18&gt;0,PRODUCT(M18,$AJ18))</f>
        <v>0</v>
      </c>
      <c r="AQ18" s="158">
        <f t="shared" si="0"/>
        <v>0</v>
      </c>
      <c r="AR18" s="105"/>
      <c r="AS18" s="473"/>
      <c r="AT18" s="106"/>
      <c r="AU18" s="1200"/>
      <c r="AV18" s="108"/>
      <c r="AW18" s="108"/>
      <c r="AX18" s="108"/>
      <c r="AY18" s="108"/>
      <c r="AZ18" s="108"/>
      <c r="BA18" s="165"/>
      <c r="BB18" s="108"/>
      <c r="BC18" s="531"/>
    </row>
    <row r="19" spans="1:55" ht="3.75" customHeight="1" outlineLevel="1" x14ac:dyDescent="0.25">
      <c r="A19" s="607"/>
      <c r="B19" s="16"/>
      <c r="C19" s="16"/>
      <c r="D19" s="16"/>
      <c r="E19" s="16"/>
      <c r="F19" s="16"/>
      <c r="G19" s="16"/>
      <c r="H19" s="16">
        <f>IFERROR(AVERAGE(D19:F19),0)</f>
        <v>0</v>
      </c>
      <c r="I19" s="16">
        <f t="shared" si="1"/>
        <v>0</v>
      </c>
      <c r="J19" s="16">
        <f t="shared" si="2"/>
        <v>0</v>
      </c>
      <c r="K19" s="16">
        <f t="shared" si="2"/>
        <v>0</v>
      </c>
      <c r="L19" s="16">
        <f t="shared" si="2"/>
        <v>0</v>
      </c>
      <c r="M19" s="16">
        <f t="shared" si="2"/>
        <v>0</v>
      </c>
      <c r="N19" s="16"/>
      <c r="O19" s="16"/>
      <c r="P19" s="761"/>
      <c r="Q19" s="16"/>
      <c r="R19" s="16"/>
      <c r="S19" s="16"/>
      <c r="T19" s="16"/>
      <c r="U19" s="16"/>
      <c r="V19" s="16"/>
      <c r="W19" s="16"/>
      <c r="X19" s="16"/>
      <c r="Y19" s="706"/>
      <c r="Z19" s="773"/>
      <c r="AA19" s="21"/>
      <c r="AB19" s="21"/>
      <c r="AC19" s="21"/>
      <c r="AD19" s="21"/>
      <c r="AE19" s="21"/>
      <c r="AF19" s="21"/>
      <c r="AG19" s="21"/>
      <c r="AH19" s="21"/>
      <c r="AI19" s="263"/>
      <c r="AJ19" s="706"/>
      <c r="AK19" s="773"/>
      <c r="AL19" s="21"/>
      <c r="AM19" s="21"/>
      <c r="AN19" s="21"/>
      <c r="AO19" s="21"/>
      <c r="AP19" s="21"/>
      <c r="AQ19" s="21"/>
      <c r="AR19" s="21"/>
      <c r="AS19" s="21"/>
      <c r="AT19" s="20"/>
      <c r="AU19" s="20"/>
      <c r="AV19" s="20"/>
      <c r="AW19" s="20"/>
      <c r="AX19" s="20"/>
      <c r="AY19" s="20"/>
      <c r="AZ19" s="20"/>
      <c r="BA19" s="22"/>
      <c r="BB19" s="21"/>
      <c r="BC19" s="21"/>
    </row>
    <row r="20" spans="1:55" s="1055" customFormat="1" ht="21" outlineLevel="1" x14ac:dyDescent="0.35">
      <c r="A20" s="1023"/>
      <c r="B20" s="1024"/>
      <c r="C20" s="1025" t="s">
        <v>696</v>
      </c>
      <c r="D20" s="1026"/>
      <c r="E20" s="1026"/>
      <c r="F20" s="1026"/>
      <c r="G20" s="1026"/>
      <c r="H20" s="1027"/>
      <c r="I20" s="1028"/>
      <c r="J20" s="1029"/>
      <c r="K20" s="1030"/>
      <c r="L20" s="1030"/>
      <c r="M20" s="1031"/>
      <c r="N20" s="1032" t="str">
        <f>C20</f>
        <v>SUM OF NEW OPTIONAL CORE SERVICES:</v>
      </c>
      <c r="O20" s="1033"/>
      <c r="P20" s="1034"/>
      <c r="Q20" s="1035">
        <f t="shared" ref="Q20:V20" si="15">SUM(Q9:Q18)</f>
        <v>0</v>
      </c>
      <c r="R20" s="1035">
        <f t="shared" si="15"/>
        <v>0</v>
      </c>
      <c r="S20" s="1035">
        <f t="shared" si="15"/>
        <v>0</v>
      </c>
      <c r="T20" s="1035">
        <f t="shared" si="15"/>
        <v>0</v>
      </c>
      <c r="U20" s="1035">
        <f t="shared" si="15"/>
        <v>0</v>
      </c>
      <c r="V20" s="1036">
        <f t="shared" si="15"/>
        <v>0</v>
      </c>
      <c r="W20" s="1037"/>
      <c r="X20" s="1038" t="str">
        <f>C20</f>
        <v>SUM OF NEW OPTIONAL CORE SERVICES:</v>
      </c>
      <c r="Y20" s="1039"/>
      <c r="Z20" s="1040"/>
      <c r="AA20" s="1041">
        <f t="shared" ref="AA20:AG20" si="16">SUM(AA9:AA18)</f>
        <v>154978.68</v>
      </c>
      <c r="AB20" s="1041">
        <f t="shared" si="16"/>
        <v>154978.68</v>
      </c>
      <c r="AC20" s="1041">
        <f t="shared" si="16"/>
        <v>154978.68</v>
      </c>
      <c r="AD20" s="1041">
        <f t="shared" si="16"/>
        <v>154978.68</v>
      </c>
      <c r="AE20" s="1041">
        <f t="shared" si="16"/>
        <v>154978.68</v>
      </c>
      <c r="AF20" s="1042">
        <f t="shared" si="16"/>
        <v>774893.4</v>
      </c>
      <c r="AG20" s="1043">
        <f t="shared" si="16"/>
        <v>10000</v>
      </c>
      <c r="AH20" s="1044"/>
      <c r="AI20" s="1045" t="str">
        <f>C20</f>
        <v>SUM OF NEW OPTIONAL CORE SERVICES:</v>
      </c>
      <c r="AJ20" s="1046"/>
      <c r="AK20" s="1047"/>
      <c r="AL20" s="1048">
        <f t="shared" ref="AL20:AR20" si="17">SUM(AL9:AL18)</f>
        <v>177613.8</v>
      </c>
      <c r="AM20" s="1048">
        <f t="shared" si="17"/>
        <v>177613.8</v>
      </c>
      <c r="AN20" s="1048">
        <f t="shared" si="17"/>
        <v>177613.8</v>
      </c>
      <c r="AO20" s="1048">
        <f t="shared" si="17"/>
        <v>177613.8</v>
      </c>
      <c r="AP20" s="1048">
        <f t="shared" si="17"/>
        <v>177613.8</v>
      </c>
      <c r="AQ20" s="1049">
        <f t="shared" si="17"/>
        <v>888069</v>
      </c>
      <c r="AR20" s="1048">
        <f t="shared" si="17"/>
        <v>10000</v>
      </c>
      <c r="AS20" s="1050"/>
      <c r="AT20" s="1051" t="str">
        <f>C21</f>
        <v>Processing Fees Sum:</v>
      </c>
      <c r="AU20" s="1230"/>
      <c r="AV20" s="1052">
        <f t="shared" ref="AV20:AZ20" si="18">SUM(AV9:AV18)</f>
        <v>0</v>
      </c>
      <c r="AW20" s="1052">
        <f t="shared" si="18"/>
        <v>0</v>
      </c>
      <c r="AX20" s="1052">
        <f t="shared" si="18"/>
        <v>0</v>
      </c>
      <c r="AY20" s="1052">
        <f t="shared" si="18"/>
        <v>0</v>
      </c>
      <c r="AZ20" s="1052">
        <f t="shared" si="18"/>
        <v>0</v>
      </c>
      <c r="BA20" s="1053">
        <f t="shared" ref="BA20:BB20" si="19">SUM(BA9:BA18)</f>
        <v>0</v>
      </c>
      <c r="BB20" s="1052">
        <f t="shared" si="19"/>
        <v>0</v>
      </c>
      <c r="BC20" s="1054"/>
    </row>
    <row r="21" spans="1:55" ht="3.75" customHeight="1" x14ac:dyDescent="0.25">
      <c r="A21" s="607"/>
      <c r="B21" s="16"/>
      <c r="C21" s="633" t="s">
        <v>381</v>
      </c>
      <c r="D21" s="634"/>
      <c r="E21" s="634"/>
      <c r="F21" s="634"/>
      <c r="G21" s="634"/>
      <c r="H21" s="635"/>
      <c r="I21" s="636"/>
      <c r="J21" s="636"/>
      <c r="K21" s="636"/>
      <c r="L21" s="636"/>
      <c r="M21" s="637"/>
      <c r="N21" s="638" t="str">
        <f>C21</f>
        <v>Processing Fees Sum:</v>
      </c>
      <c r="O21" s="639"/>
      <c r="P21" s="763"/>
      <c r="Q21" s="640" t="e">
        <f>SUM(#REF!)</f>
        <v>#REF!</v>
      </c>
      <c r="R21" s="640" t="e">
        <f>SUM(#REF!)</f>
        <v>#REF!</v>
      </c>
      <c r="S21" s="640" t="e">
        <f>SUM(#REF!)</f>
        <v>#REF!</v>
      </c>
      <c r="T21" s="640" t="e">
        <f>SUM(#REF!)</f>
        <v>#REF!</v>
      </c>
      <c r="U21" s="640" t="e">
        <f>SUM(#REF!)</f>
        <v>#REF!</v>
      </c>
      <c r="V21" s="641" t="e">
        <f>SUM(#REF!)</f>
        <v>#REF!</v>
      </c>
      <c r="W21" s="21"/>
      <c r="X21" s="16"/>
      <c r="Y21" s="706"/>
      <c r="Z21" s="773"/>
      <c r="AA21" s="21"/>
      <c r="AB21" s="21"/>
      <c r="AC21" s="21"/>
      <c r="AD21" s="21"/>
      <c r="AE21" s="21"/>
      <c r="AF21" s="21"/>
      <c r="AG21" s="21"/>
      <c r="AH21" s="21"/>
      <c r="AI21" s="263"/>
      <c r="AJ21" s="706"/>
      <c r="AK21" s="773"/>
      <c r="AL21" s="21"/>
      <c r="AM21" s="21"/>
      <c r="AN21" s="21"/>
      <c r="AO21" s="21"/>
      <c r="AP21" s="21"/>
      <c r="AQ21" s="21"/>
      <c r="AR21" s="21"/>
      <c r="AS21" s="21"/>
      <c r="AT21" s="20"/>
      <c r="AU21" s="20"/>
      <c r="AV21" s="20"/>
      <c r="AW21" s="20"/>
      <c r="AX21" s="20"/>
      <c r="AY21" s="20"/>
      <c r="AZ21" s="20"/>
      <c r="BA21" s="22"/>
      <c r="BB21" s="21"/>
      <c r="BC21" s="21"/>
    </row>
    <row r="22" spans="1:55" s="495" customFormat="1" outlineLevel="1" x14ac:dyDescent="0.25">
      <c r="A22" s="445"/>
      <c r="B22" s="252" t="str">
        <f>C22</f>
        <v>[NEW DIGITAL SERVICES / SOLUTIONS IN PROPOSAL]</v>
      </c>
      <c r="C22" s="242" t="s">
        <v>697</v>
      </c>
      <c r="D22" s="609"/>
      <c r="E22" s="609"/>
      <c r="F22" s="609"/>
      <c r="G22" s="609"/>
      <c r="H22" s="619"/>
      <c r="I22" s="243"/>
      <c r="J22" s="243"/>
      <c r="K22" s="243"/>
      <c r="L22" s="243"/>
      <c r="M22" s="244"/>
      <c r="N22" s="252"/>
      <c r="O22" s="243"/>
      <c r="P22" s="756"/>
      <c r="Q22" s="243"/>
      <c r="R22" s="243"/>
      <c r="S22" s="243"/>
      <c r="T22" s="243"/>
      <c r="U22" s="244"/>
      <c r="V22" s="209"/>
      <c r="W22" s="527"/>
      <c r="X22" s="252" t="str">
        <f>C22</f>
        <v>[NEW DIGITAL SERVICES / SOLUTIONS IN PROPOSAL]</v>
      </c>
      <c r="Y22" s="707"/>
      <c r="Z22" s="756"/>
      <c r="AA22" s="243"/>
      <c r="AB22" s="243"/>
      <c r="AC22" s="243"/>
      <c r="AD22" s="243"/>
      <c r="AE22" s="244"/>
      <c r="AF22" s="123"/>
      <c r="AG22" s="972" t="str">
        <f>AG6</f>
        <v>One Time Fees</v>
      </c>
      <c r="AH22" s="808"/>
      <c r="AI22" s="252" t="str">
        <f>C22</f>
        <v>[NEW DIGITAL SERVICES / SOLUTIONS IN PROPOSAL]</v>
      </c>
      <c r="AJ22" s="243"/>
      <c r="AK22" s="243"/>
      <c r="AL22" s="243"/>
      <c r="AM22" s="243"/>
      <c r="AN22" s="243"/>
      <c r="AO22" s="243"/>
      <c r="AP22" s="244"/>
      <c r="AQ22" s="158"/>
      <c r="AR22" s="973" t="s">
        <v>649</v>
      </c>
      <c r="AS22" s="812"/>
      <c r="AT22" s="252" t="str">
        <f>C22</f>
        <v>[NEW DIGITAL SERVICES / SOLUTIONS IN PROPOSAL]</v>
      </c>
      <c r="AU22" s="243"/>
      <c r="AV22" s="243"/>
      <c r="AW22" s="243"/>
      <c r="AX22" s="243"/>
      <c r="AY22" s="243"/>
      <c r="AZ22" s="244"/>
      <c r="BA22" s="165"/>
      <c r="BB22" s="973" t="s">
        <v>649</v>
      </c>
      <c r="BC22" s="532"/>
    </row>
    <row r="23" spans="1:55" s="495" customFormat="1" outlineLevel="1" x14ac:dyDescent="0.25">
      <c r="A23" s="804" t="s">
        <v>689</v>
      </c>
      <c r="B23" s="623" t="s">
        <v>698</v>
      </c>
      <c r="C23" s="601" t="s">
        <v>699</v>
      </c>
      <c r="D23" s="604"/>
      <c r="E23" s="604"/>
      <c r="F23" s="604"/>
      <c r="G23" s="604"/>
      <c r="H23" s="618">
        <v>1</v>
      </c>
      <c r="I23" s="127">
        <f t="shared" ref="I23:I39" si="20">H23*12</f>
        <v>12</v>
      </c>
      <c r="J23" s="127">
        <f>IF(I23&gt;12,(((I23)*'CORE Recurring Items'!$H$5)+I23),(I23*1))</f>
        <v>12</v>
      </c>
      <c r="K23" s="127">
        <f>IF(J23&gt;12,(((J23)*'CORE Recurring Items'!$H$5)+J23),(J23*1))</f>
        <v>12</v>
      </c>
      <c r="L23" s="127">
        <f>IF(K23&gt;12,(((K23)*'CORE Recurring Items'!$H$5)+K23),(K23*1))</f>
        <v>12</v>
      </c>
      <c r="M23" s="127">
        <f>IF(L23&gt;12,(((L23)*'CORE Recurring Items'!$H$5)+L23),(L23*1))</f>
        <v>12</v>
      </c>
      <c r="N23" s="245"/>
      <c r="O23" s="586"/>
      <c r="P23" s="757"/>
      <c r="Q23" s="129"/>
      <c r="R23" s="129"/>
      <c r="S23" s="129"/>
      <c r="T23" s="129"/>
      <c r="U23" s="129"/>
      <c r="V23" s="209"/>
      <c r="W23" s="528"/>
      <c r="X23" s="222" t="str">
        <f>C23</f>
        <v>Online Account Opening</v>
      </c>
      <c r="Y23" s="325">
        <v>500</v>
      </c>
      <c r="Z23" s="774">
        <f t="shared" ref="Z23:Z42" si="21">AA23/12</f>
        <v>500</v>
      </c>
      <c r="AA23" s="103">
        <f t="shared" ref="AA23:AA42" si="22">IF(Y23&gt;0,PRODUCT(I23,$Y23),0)</f>
        <v>6000</v>
      </c>
      <c r="AB23" s="103">
        <f t="shared" ref="AB23:AB42" si="23">IF(AA23&gt;0,PRODUCT(J23,$Y23),0)</f>
        <v>6000</v>
      </c>
      <c r="AC23" s="103">
        <f t="shared" ref="AC23:AC42" si="24">IF(AB23&gt;0,PRODUCT(K23,$Y23),0)</f>
        <v>6000</v>
      </c>
      <c r="AD23" s="103">
        <f t="shared" ref="AD23:AD42" si="25">IF(AC23&gt;0,PRODUCT(L23,$Y23),0)</f>
        <v>6000</v>
      </c>
      <c r="AE23" s="103">
        <f t="shared" ref="AE23:AE42" si="26">IF(AD23&gt;0,PRODUCT(M23,$Y23),0)</f>
        <v>6000</v>
      </c>
      <c r="AF23" s="123">
        <f t="shared" ref="AF23:AF42" si="27">SUM(AA23:AE23)</f>
        <v>30000</v>
      </c>
      <c r="AG23" s="123">
        <v>27750</v>
      </c>
      <c r="AH23" s="370"/>
      <c r="AI23" s="221"/>
      <c r="AJ23" s="271"/>
      <c r="AK23" s="896">
        <f t="shared" ref="AK23:AK43" si="28">AL23/12</f>
        <v>0</v>
      </c>
      <c r="AL23" s="105"/>
      <c r="AM23" s="105"/>
      <c r="AN23" s="105"/>
      <c r="AO23" s="105"/>
      <c r="AP23" s="105"/>
      <c r="AQ23" s="158"/>
      <c r="AR23" s="105"/>
      <c r="AS23" s="473"/>
      <c r="AT23" s="106"/>
      <c r="AU23" s="1200"/>
      <c r="AV23" s="108"/>
      <c r="AW23" s="108"/>
      <c r="AX23" s="108"/>
      <c r="AY23" s="108"/>
      <c r="AZ23" s="108"/>
      <c r="BA23" s="165"/>
      <c r="BB23" s="108"/>
      <c r="BC23" s="531"/>
    </row>
    <row r="24" spans="1:55" s="495" customFormat="1" outlineLevel="1" x14ac:dyDescent="0.25">
      <c r="A24" s="890"/>
      <c r="B24" s="623" t="s">
        <v>700</v>
      </c>
      <c r="C24" s="310" t="s">
        <v>701</v>
      </c>
      <c r="D24" s="604"/>
      <c r="E24" s="604"/>
      <c r="F24" s="604"/>
      <c r="G24" s="604"/>
      <c r="H24" s="618">
        <v>1</v>
      </c>
      <c r="I24" s="127">
        <f t="shared" si="20"/>
        <v>12</v>
      </c>
      <c r="J24" s="127">
        <f>IF(I24&gt;12,(((I24)*'DGTL Recurring Items'!$H$5)+I24),(I24*1))</f>
        <v>12</v>
      </c>
      <c r="K24" s="127">
        <f>IF(J24&gt;12,(((J24)*'DGTL Recurring Items'!$H$5)+J24),(J24*1))</f>
        <v>12</v>
      </c>
      <c r="L24" s="127">
        <f>IF(K24&gt;12,(((K24)*'DGTL Recurring Items'!$H$5)+K24),(K24*1))</f>
        <v>12</v>
      </c>
      <c r="M24" s="127">
        <f>IF(L24&gt;12,(((L24)*'DGTL Recurring Items'!$H$5)+L24),(L24*1))</f>
        <v>12</v>
      </c>
      <c r="N24" s="245"/>
      <c r="O24" s="586"/>
      <c r="P24" s="757">
        <f t="shared" ref="P24:P31" si="29">Q24/12</f>
        <v>0</v>
      </c>
      <c r="Q24" s="129"/>
      <c r="R24" s="129"/>
      <c r="S24" s="129"/>
      <c r="T24" s="129"/>
      <c r="U24" s="129"/>
      <c r="V24" s="209"/>
      <c r="W24" s="528"/>
      <c r="X24" s="222"/>
      <c r="Y24" s="325"/>
      <c r="Z24" s="774">
        <f t="shared" si="21"/>
        <v>0</v>
      </c>
      <c r="AA24" s="103">
        <f t="shared" si="22"/>
        <v>0</v>
      </c>
      <c r="AB24" s="103">
        <f t="shared" si="23"/>
        <v>0</v>
      </c>
      <c r="AC24" s="103">
        <f t="shared" si="24"/>
        <v>0</v>
      </c>
      <c r="AD24" s="103">
        <f t="shared" si="25"/>
        <v>0</v>
      </c>
      <c r="AE24" s="103">
        <f t="shared" si="26"/>
        <v>0</v>
      </c>
      <c r="AF24" s="123">
        <f t="shared" si="27"/>
        <v>0</v>
      </c>
      <c r="AG24" s="123"/>
      <c r="AH24" s="370"/>
      <c r="AI24" s="221" t="str">
        <f t="shared" ref="AI24:AI30" si="30">C24</f>
        <v>Q2 Gro Digital Sales Module</v>
      </c>
      <c r="AJ24" s="255">
        <f>39000/12</f>
        <v>3250</v>
      </c>
      <c r="AK24" s="896">
        <f t="shared" si="28"/>
        <v>3250</v>
      </c>
      <c r="AL24" s="105">
        <f t="shared" ref="AL24:AL30" si="31">IF(AJ24&gt;0,PRODUCT(I24,$AJ24),0)</f>
        <v>39000</v>
      </c>
      <c r="AM24" s="105">
        <f t="shared" ref="AM24:AP30" si="32">IF(AL24&gt;0,PRODUCT(J24,$AJ24),0)</f>
        <v>39000</v>
      </c>
      <c r="AN24" s="105">
        <f t="shared" si="32"/>
        <v>39000</v>
      </c>
      <c r="AO24" s="105">
        <f t="shared" si="32"/>
        <v>39000</v>
      </c>
      <c r="AP24" s="105">
        <f t="shared" si="32"/>
        <v>39000</v>
      </c>
      <c r="AQ24" s="158">
        <f t="shared" ref="AQ24:AQ30" si="33">SUM(AL24:AP24)</f>
        <v>195000</v>
      </c>
      <c r="AR24" s="105">
        <v>10000</v>
      </c>
      <c r="AS24" s="473"/>
      <c r="AT24" s="106" t="s">
        <v>701</v>
      </c>
      <c r="AU24" s="1209">
        <v>2700</v>
      </c>
      <c r="AV24" s="108">
        <f>IF($AU24&gt;0,PRODUCT(I24,$AU24),0)</f>
        <v>32400</v>
      </c>
      <c r="AW24" s="108">
        <f t="shared" ref="AW24:AZ24" si="34">IF($AU24&gt;0,PRODUCT(J24,$AU24),0)</f>
        <v>32400</v>
      </c>
      <c r="AX24" s="108">
        <f t="shared" si="34"/>
        <v>32400</v>
      </c>
      <c r="AY24" s="108">
        <f t="shared" si="34"/>
        <v>32400</v>
      </c>
      <c r="AZ24" s="108">
        <f t="shared" si="34"/>
        <v>32400</v>
      </c>
      <c r="BA24" s="165">
        <f t="shared" ref="BA24:BA30" si="35">SUM(AV24:AZ24)</f>
        <v>162000</v>
      </c>
      <c r="BB24" s="1232">
        <v>8000</v>
      </c>
      <c r="BC24" s="531"/>
    </row>
    <row r="25" spans="1:55" s="495" customFormat="1" outlineLevel="1" x14ac:dyDescent="0.25">
      <c r="A25" s="890"/>
      <c r="B25" s="623" t="s">
        <v>700</v>
      </c>
      <c r="C25" s="310" t="s">
        <v>702</v>
      </c>
      <c r="D25" s="604"/>
      <c r="E25" s="604"/>
      <c r="F25" s="604"/>
      <c r="G25" s="604"/>
      <c r="H25" s="618">
        <v>1</v>
      </c>
      <c r="I25" s="127">
        <f t="shared" si="20"/>
        <v>12</v>
      </c>
      <c r="J25" s="127">
        <f>IF(I25&gt;12,(((I25)*'DGTL Recurring Items'!$H$5)+I25),(I25*1))</f>
        <v>12</v>
      </c>
      <c r="K25" s="127">
        <f>IF(J25&gt;12,(((J25)*'DGTL Recurring Items'!$H$5)+J25),(J25*1))</f>
        <v>12</v>
      </c>
      <c r="L25" s="127">
        <f>IF(K25&gt;12,(((K25)*'DGTL Recurring Items'!$H$5)+K25),(K25*1))</f>
        <v>12</v>
      </c>
      <c r="M25" s="127">
        <f>IF(L25&gt;12,(((L25)*'DGTL Recurring Items'!$H$5)+L25),(L25*1))</f>
        <v>12</v>
      </c>
      <c r="N25" s="245"/>
      <c r="O25" s="586"/>
      <c r="P25" s="757">
        <f t="shared" si="29"/>
        <v>0</v>
      </c>
      <c r="Q25" s="129"/>
      <c r="R25" s="129"/>
      <c r="S25" s="129"/>
      <c r="T25" s="129"/>
      <c r="U25" s="129"/>
      <c r="V25" s="209"/>
      <c r="W25" s="528"/>
      <c r="X25" s="222"/>
      <c r="Y25" s="325"/>
      <c r="Z25" s="774">
        <f t="shared" si="21"/>
        <v>0</v>
      </c>
      <c r="AA25" s="103">
        <f t="shared" si="22"/>
        <v>0</v>
      </c>
      <c r="AB25" s="103">
        <f t="shared" si="23"/>
        <v>0</v>
      </c>
      <c r="AC25" s="103">
        <f t="shared" si="24"/>
        <v>0</v>
      </c>
      <c r="AD25" s="103">
        <f t="shared" si="25"/>
        <v>0</v>
      </c>
      <c r="AE25" s="103">
        <f t="shared" si="26"/>
        <v>0</v>
      </c>
      <c r="AF25" s="123">
        <f t="shared" si="27"/>
        <v>0</v>
      </c>
      <c r="AG25" s="123"/>
      <c r="AH25" s="370"/>
      <c r="AI25" s="221" t="str">
        <f t="shared" si="30"/>
        <v>Q2 Gro Enterprise Extension</v>
      </c>
      <c r="AJ25" s="255">
        <f>18000/12</f>
        <v>1500</v>
      </c>
      <c r="AK25" s="896">
        <f t="shared" si="28"/>
        <v>1500</v>
      </c>
      <c r="AL25" s="105">
        <f t="shared" si="31"/>
        <v>18000</v>
      </c>
      <c r="AM25" s="105">
        <f t="shared" si="32"/>
        <v>18000</v>
      </c>
      <c r="AN25" s="105">
        <f t="shared" si="32"/>
        <v>18000</v>
      </c>
      <c r="AO25" s="105">
        <f t="shared" si="32"/>
        <v>18000</v>
      </c>
      <c r="AP25" s="105">
        <f t="shared" si="32"/>
        <v>18000</v>
      </c>
      <c r="AQ25" s="158">
        <f t="shared" si="33"/>
        <v>90000</v>
      </c>
      <c r="AR25" s="105"/>
      <c r="AS25" s="473"/>
      <c r="AT25" s="106" t="s">
        <v>702</v>
      </c>
      <c r="AU25" s="1209">
        <v>1200</v>
      </c>
      <c r="AV25" s="108">
        <f t="shared" ref="AV25:AV52" si="36">IF($AU25&gt;0,PRODUCT(I25,$AU25),0)</f>
        <v>14400</v>
      </c>
      <c r="AW25" s="108">
        <f t="shared" ref="AW25:AW52" si="37">IF($AU25&gt;0,PRODUCT(J25,$AU25),0)</f>
        <v>14400</v>
      </c>
      <c r="AX25" s="108">
        <f t="shared" ref="AX25:AX52" si="38">IF($AU25&gt;0,PRODUCT(K25,$AU25),0)</f>
        <v>14400</v>
      </c>
      <c r="AY25" s="108">
        <f t="shared" ref="AY25:AY52" si="39">IF($AU25&gt;0,PRODUCT(L25,$AU25),0)</f>
        <v>14400</v>
      </c>
      <c r="AZ25" s="108">
        <f t="shared" ref="AZ25:AZ52" si="40">IF($AU25&gt;0,PRODUCT(M25,$AU25),0)</f>
        <v>14400</v>
      </c>
      <c r="BA25" s="165">
        <f t="shared" si="35"/>
        <v>72000</v>
      </c>
      <c r="BB25" s="108"/>
      <c r="BC25" s="531"/>
    </row>
    <row r="26" spans="1:55" s="495" customFormat="1" outlineLevel="1" x14ac:dyDescent="0.25">
      <c r="A26" s="890"/>
      <c r="B26" s="623" t="s">
        <v>700</v>
      </c>
      <c r="C26" s="310" t="s">
        <v>703</v>
      </c>
      <c r="D26" s="604"/>
      <c r="E26" s="604"/>
      <c r="F26" s="604"/>
      <c r="G26" s="604"/>
      <c r="H26" s="618">
        <v>1</v>
      </c>
      <c r="I26" s="127">
        <f t="shared" si="20"/>
        <v>12</v>
      </c>
      <c r="J26" s="127">
        <f>IF(I26&gt;12,(((I26)*'DGTL Recurring Items'!$H$5)+I26),(I26*1))</f>
        <v>12</v>
      </c>
      <c r="K26" s="127">
        <f>IF(J26&gt;12,(((J26)*'DGTL Recurring Items'!$H$5)+J26),(J26*1))</f>
        <v>12</v>
      </c>
      <c r="L26" s="127">
        <f>IF(K26&gt;12,(((K26)*'DGTL Recurring Items'!$H$5)+K26),(K26*1))</f>
        <v>12</v>
      </c>
      <c r="M26" s="127">
        <f>IF(L26&gt;12,(((L26)*'DGTL Recurring Items'!$H$5)+L26),(L26*1))</f>
        <v>12</v>
      </c>
      <c r="N26" s="245"/>
      <c r="O26" s="586"/>
      <c r="P26" s="757">
        <f t="shared" si="29"/>
        <v>0</v>
      </c>
      <c r="Q26" s="129"/>
      <c r="R26" s="129"/>
      <c r="S26" s="129"/>
      <c r="T26" s="129"/>
      <c r="U26" s="129"/>
      <c r="V26" s="209"/>
      <c r="W26" s="528"/>
      <c r="X26" s="222"/>
      <c r="Y26" s="325"/>
      <c r="Z26" s="774">
        <f t="shared" si="21"/>
        <v>0</v>
      </c>
      <c r="AA26" s="103">
        <f t="shared" si="22"/>
        <v>0</v>
      </c>
      <c r="AB26" s="103">
        <f t="shared" si="23"/>
        <v>0</v>
      </c>
      <c r="AC26" s="103">
        <f t="shared" si="24"/>
        <v>0</v>
      </c>
      <c r="AD26" s="103">
        <f t="shared" si="25"/>
        <v>0</v>
      </c>
      <c r="AE26" s="103">
        <f t="shared" si="26"/>
        <v>0</v>
      </c>
      <c r="AF26" s="123">
        <f t="shared" si="27"/>
        <v>0</v>
      </c>
      <c r="AG26" s="123"/>
      <c r="AH26" s="370"/>
      <c r="AI26" s="221" t="str">
        <f t="shared" si="30"/>
        <v>Q2 Gro Front Drivers License Capture</v>
      </c>
      <c r="AJ26" s="255">
        <v>0</v>
      </c>
      <c r="AK26" s="896">
        <f t="shared" si="28"/>
        <v>0</v>
      </c>
      <c r="AL26" s="105">
        <f t="shared" si="31"/>
        <v>0</v>
      </c>
      <c r="AM26" s="105">
        <f t="shared" si="32"/>
        <v>0</v>
      </c>
      <c r="AN26" s="105">
        <f t="shared" si="32"/>
        <v>0</v>
      </c>
      <c r="AO26" s="105">
        <f t="shared" si="32"/>
        <v>0</v>
      </c>
      <c r="AP26" s="105">
        <f t="shared" si="32"/>
        <v>0</v>
      </c>
      <c r="AQ26" s="158">
        <f t="shared" si="33"/>
        <v>0</v>
      </c>
      <c r="AR26" s="105"/>
      <c r="AS26" s="473"/>
      <c r="AT26" s="106" t="s">
        <v>703</v>
      </c>
      <c r="AU26" s="1209">
        <v>0</v>
      </c>
      <c r="AV26" s="108">
        <f t="shared" si="36"/>
        <v>0</v>
      </c>
      <c r="AW26" s="108">
        <f t="shared" si="37"/>
        <v>0</v>
      </c>
      <c r="AX26" s="108">
        <f t="shared" si="38"/>
        <v>0</v>
      </c>
      <c r="AY26" s="108">
        <f t="shared" si="39"/>
        <v>0</v>
      </c>
      <c r="AZ26" s="108">
        <f t="shared" si="40"/>
        <v>0</v>
      </c>
      <c r="BA26" s="165">
        <f t="shared" si="35"/>
        <v>0</v>
      </c>
      <c r="BB26" s="108"/>
      <c r="BC26" s="531"/>
    </row>
    <row r="27" spans="1:55" s="495" customFormat="1" outlineLevel="1" x14ac:dyDescent="0.25">
      <c r="A27" s="890"/>
      <c r="B27" s="623" t="s">
        <v>700</v>
      </c>
      <c r="C27" s="310" t="s">
        <v>704</v>
      </c>
      <c r="D27" s="604"/>
      <c r="E27" s="604"/>
      <c r="F27" s="604"/>
      <c r="G27" s="604"/>
      <c r="H27" s="618">
        <v>1</v>
      </c>
      <c r="I27" s="127">
        <f t="shared" si="20"/>
        <v>12</v>
      </c>
      <c r="J27" s="127">
        <f>IF(I27&gt;12,(((I27)*'DGTL Recurring Items'!$H$5)+I27),(I27*1))</f>
        <v>12</v>
      </c>
      <c r="K27" s="127">
        <f>IF(J27&gt;12,(((J27)*'DGTL Recurring Items'!$H$5)+J27),(J27*1))</f>
        <v>12</v>
      </c>
      <c r="L27" s="127">
        <f>IF(K27&gt;12,(((K27)*'DGTL Recurring Items'!$H$5)+K27),(K27*1))</f>
        <v>12</v>
      </c>
      <c r="M27" s="127">
        <f>IF(L27&gt;12,(((L27)*'DGTL Recurring Items'!$H$5)+L27),(L27*1))</f>
        <v>12</v>
      </c>
      <c r="N27" s="245"/>
      <c r="O27" s="586"/>
      <c r="P27" s="757">
        <f t="shared" si="29"/>
        <v>0</v>
      </c>
      <c r="Q27" s="129"/>
      <c r="R27" s="129"/>
      <c r="S27" s="129"/>
      <c r="T27" s="129"/>
      <c r="U27" s="129"/>
      <c r="V27" s="209"/>
      <c r="W27" s="528"/>
      <c r="X27" s="222"/>
      <c r="Y27" s="325"/>
      <c r="Z27" s="774">
        <f t="shared" si="21"/>
        <v>0</v>
      </c>
      <c r="AA27" s="103">
        <f t="shared" si="22"/>
        <v>0</v>
      </c>
      <c r="AB27" s="103">
        <f t="shared" si="23"/>
        <v>0</v>
      </c>
      <c r="AC27" s="103">
        <f t="shared" si="24"/>
        <v>0</v>
      </c>
      <c r="AD27" s="103">
        <f t="shared" si="25"/>
        <v>0</v>
      </c>
      <c r="AE27" s="103">
        <f t="shared" si="26"/>
        <v>0</v>
      </c>
      <c r="AF27" s="123">
        <f t="shared" si="27"/>
        <v>0</v>
      </c>
      <c r="AG27" s="123"/>
      <c r="AH27" s="370"/>
      <c r="AI27" s="221" t="str">
        <f t="shared" si="30"/>
        <v>Q2 Gro Retail Core Adapter (deposits only) - FIS Horizon via Xchange</v>
      </c>
      <c r="AJ27" s="255">
        <f>6000/12</f>
        <v>500</v>
      </c>
      <c r="AK27" s="896">
        <f t="shared" si="28"/>
        <v>500</v>
      </c>
      <c r="AL27" s="105">
        <f t="shared" si="31"/>
        <v>6000</v>
      </c>
      <c r="AM27" s="105">
        <f t="shared" si="32"/>
        <v>6000</v>
      </c>
      <c r="AN27" s="105">
        <f t="shared" si="32"/>
        <v>6000</v>
      </c>
      <c r="AO27" s="105">
        <f t="shared" si="32"/>
        <v>6000</v>
      </c>
      <c r="AP27" s="105">
        <f t="shared" si="32"/>
        <v>6000</v>
      </c>
      <c r="AQ27" s="158">
        <f t="shared" si="33"/>
        <v>30000</v>
      </c>
      <c r="AR27" s="105"/>
      <c r="AS27" s="473"/>
      <c r="AT27" s="106" t="s">
        <v>704</v>
      </c>
      <c r="AU27" s="1209">
        <v>400</v>
      </c>
      <c r="AV27" s="108">
        <f t="shared" si="36"/>
        <v>4800</v>
      </c>
      <c r="AW27" s="108">
        <f t="shared" si="37"/>
        <v>4800</v>
      </c>
      <c r="AX27" s="108">
        <f t="shared" si="38"/>
        <v>4800</v>
      </c>
      <c r="AY27" s="108">
        <f t="shared" si="39"/>
        <v>4800</v>
      </c>
      <c r="AZ27" s="108">
        <f t="shared" si="40"/>
        <v>4800</v>
      </c>
      <c r="BA27" s="165">
        <f t="shared" si="35"/>
        <v>24000</v>
      </c>
      <c r="BB27" s="108">
        <v>0</v>
      </c>
      <c r="BC27" s="531"/>
    </row>
    <row r="28" spans="1:55" s="495" customFormat="1" outlineLevel="1" x14ac:dyDescent="0.25">
      <c r="A28" s="890"/>
      <c r="B28" s="623" t="s">
        <v>700</v>
      </c>
      <c r="C28" s="310" t="s">
        <v>705</v>
      </c>
      <c r="D28" s="604"/>
      <c r="E28" s="604"/>
      <c r="F28" s="604"/>
      <c r="G28" s="604"/>
      <c r="H28" s="618">
        <v>1</v>
      </c>
      <c r="I28" s="127">
        <f t="shared" si="20"/>
        <v>12</v>
      </c>
      <c r="J28" s="127">
        <f>IF(I28&gt;12,(((I28)*'DGTL Recurring Items'!$H$5)+I28),(I28*1))</f>
        <v>12</v>
      </c>
      <c r="K28" s="127">
        <f>IF(J28&gt;12,(((J28)*'DGTL Recurring Items'!$H$5)+J28),(J28*1))</f>
        <v>12</v>
      </c>
      <c r="L28" s="127">
        <f>IF(K28&gt;12,(((K28)*'DGTL Recurring Items'!$H$5)+K28),(K28*1))</f>
        <v>12</v>
      </c>
      <c r="M28" s="127">
        <f>IF(L28&gt;12,(((L28)*'DGTL Recurring Items'!$H$5)+L28),(L28*1))</f>
        <v>12</v>
      </c>
      <c r="N28" s="245"/>
      <c r="O28" s="586"/>
      <c r="P28" s="757">
        <f t="shared" si="29"/>
        <v>0</v>
      </c>
      <c r="Q28" s="129"/>
      <c r="R28" s="129"/>
      <c r="S28" s="129"/>
      <c r="T28" s="129"/>
      <c r="U28" s="129"/>
      <c r="V28" s="209"/>
      <c r="W28" s="528"/>
      <c r="X28" s="222"/>
      <c r="Y28" s="325"/>
      <c r="Z28" s="774">
        <f t="shared" si="21"/>
        <v>0</v>
      </c>
      <c r="AA28" s="103">
        <f t="shared" si="22"/>
        <v>0</v>
      </c>
      <c r="AB28" s="103">
        <f t="shared" si="23"/>
        <v>0</v>
      </c>
      <c r="AC28" s="103">
        <f t="shared" si="24"/>
        <v>0</v>
      </c>
      <c r="AD28" s="103">
        <f t="shared" si="25"/>
        <v>0</v>
      </c>
      <c r="AE28" s="103">
        <f t="shared" si="26"/>
        <v>0</v>
      </c>
      <c r="AF28" s="123">
        <f t="shared" si="27"/>
        <v>0</v>
      </c>
      <c r="AG28" s="123"/>
      <c r="AH28" s="370"/>
      <c r="AI28" s="221" t="str">
        <f t="shared" si="30"/>
        <v>Q2 Gro Funding Adapter #1 (Card and/or ACH) - Vendor TBD</v>
      </c>
      <c r="AJ28" s="255">
        <f>3600/12</f>
        <v>300</v>
      </c>
      <c r="AK28" s="896">
        <f t="shared" si="28"/>
        <v>300</v>
      </c>
      <c r="AL28" s="105">
        <f t="shared" si="31"/>
        <v>3600</v>
      </c>
      <c r="AM28" s="105">
        <f t="shared" si="32"/>
        <v>3600</v>
      </c>
      <c r="AN28" s="105">
        <f t="shared" si="32"/>
        <v>3600</v>
      </c>
      <c r="AO28" s="105">
        <f t="shared" si="32"/>
        <v>3600</v>
      </c>
      <c r="AP28" s="105">
        <f t="shared" si="32"/>
        <v>3600</v>
      </c>
      <c r="AQ28" s="158">
        <f t="shared" si="33"/>
        <v>18000</v>
      </c>
      <c r="AR28" s="105"/>
      <c r="AS28" s="473"/>
      <c r="AT28" s="106" t="s">
        <v>705</v>
      </c>
      <c r="AU28" s="1209">
        <v>250</v>
      </c>
      <c r="AV28" s="108">
        <f t="shared" si="36"/>
        <v>3000</v>
      </c>
      <c r="AW28" s="108">
        <f t="shared" si="37"/>
        <v>3000</v>
      </c>
      <c r="AX28" s="108">
        <f t="shared" si="38"/>
        <v>3000</v>
      </c>
      <c r="AY28" s="108">
        <f t="shared" si="39"/>
        <v>3000</v>
      </c>
      <c r="AZ28" s="108">
        <f t="shared" si="40"/>
        <v>3000</v>
      </c>
      <c r="BA28" s="165">
        <f t="shared" si="35"/>
        <v>15000</v>
      </c>
      <c r="BB28" s="108">
        <v>0</v>
      </c>
      <c r="BC28" s="531"/>
    </row>
    <row r="29" spans="1:55" s="495" customFormat="1" outlineLevel="1" x14ac:dyDescent="0.25">
      <c r="A29" s="890"/>
      <c r="B29" s="623" t="s">
        <v>700</v>
      </c>
      <c r="C29" s="310" t="s">
        <v>706</v>
      </c>
      <c r="D29" s="604"/>
      <c r="E29" s="604"/>
      <c r="F29" s="604"/>
      <c r="G29" s="604"/>
      <c r="H29" s="618">
        <v>1</v>
      </c>
      <c r="I29" s="127">
        <f t="shared" si="20"/>
        <v>12</v>
      </c>
      <c r="J29" s="127">
        <f>IF(I29&gt;12,(((I29)*'DGTL Recurring Items'!$H$5)+I29),(I29*1))</f>
        <v>12</v>
      </c>
      <c r="K29" s="127">
        <f>IF(J29&gt;12,(((J29)*'DGTL Recurring Items'!$H$5)+J29),(J29*1))</f>
        <v>12</v>
      </c>
      <c r="L29" s="127">
        <f>IF(K29&gt;12,(((K29)*'DGTL Recurring Items'!$H$5)+K29),(K29*1))</f>
        <v>12</v>
      </c>
      <c r="M29" s="127">
        <f>IF(L29&gt;12,(((L29)*'DGTL Recurring Items'!$H$5)+L29),(L29*1))</f>
        <v>12</v>
      </c>
      <c r="N29" s="245"/>
      <c r="O29" s="586"/>
      <c r="P29" s="757">
        <f t="shared" si="29"/>
        <v>0</v>
      </c>
      <c r="Q29" s="129"/>
      <c r="R29" s="129"/>
      <c r="S29" s="129"/>
      <c r="T29" s="129"/>
      <c r="U29" s="129"/>
      <c r="V29" s="209"/>
      <c r="W29" s="528"/>
      <c r="X29" s="222"/>
      <c r="Y29" s="325"/>
      <c r="Z29" s="774">
        <f t="shared" si="21"/>
        <v>0</v>
      </c>
      <c r="AA29" s="103">
        <f t="shared" si="22"/>
        <v>0</v>
      </c>
      <c r="AB29" s="103">
        <f t="shared" si="23"/>
        <v>0</v>
      </c>
      <c r="AC29" s="103">
        <f t="shared" si="24"/>
        <v>0</v>
      </c>
      <c r="AD29" s="103">
        <f t="shared" si="25"/>
        <v>0</v>
      </c>
      <c r="AE29" s="103">
        <f t="shared" si="26"/>
        <v>0</v>
      </c>
      <c r="AF29" s="123">
        <f t="shared" si="27"/>
        <v>0</v>
      </c>
      <c r="AG29" s="123"/>
      <c r="AH29" s="370"/>
      <c r="AI29" s="221" t="str">
        <f t="shared" si="30"/>
        <v>Q2 Gro KYC/Identity Adapter - Vendor TBD</v>
      </c>
      <c r="AJ29" s="255">
        <f>3600/12</f>
        <v>300</v>
      </c>
      <c r="AK29" s="896">
        <f t="shared" si="28"/>
        <v>300</v>
      </c>
      <c r="AL29" s="105">
        <f t="shared" si="31"/>
        <v>3600</v>
      </c>
      <c r="AM29" s="105">
        <f t="shared" si="32"/>
        <v>3600</v>
      </c>
      <c r="AN29" s="105">
        <f t="shared" si="32"/>
        <v>3600</v>
      </c>
      <c r="AO29" s="105">
        <f t="shared" si="32"/>
        <v>3600</v>
      </c>
      <c r="AP29" s="105">
        <f t="shared" si="32"/>
        <v>3600</v>
      </c>
      <c r="AQ29" s="158">
        <f t="shared" si="33"/>
        <v>18000</v>
      </c>
      <c r="AR29" s="105"/>
      <c r="AS29" s="473"/>
      <c r="AT29" s="106" t="s">
        <v>706</v>
      </c>
      <c r="AU29" s="1209">
        <v>250</v>
      </c>
      <c r="AV29" s="108">
        <f t="shared" si="36"/>
        <v>3000</v>
      </c>
      <c r="AW29" s="108">
        <f t="shared" si="37"/>
        <v>3000</v>
      </c>
      <c r="AX29" s="108">
        <f t="shared" si="38"/>
        <v>3000</v>
      </c>
      <c r="AY29" s="108">
        <f t="shared" si="39"/>
        <v>3000</v>
      </c>
      <c r="AZ29" s="108">
        <f t="shared" si="40"/>
        <v>3000</v>
      </c>
      <c r="BA29" s="165">
        <f t="shared" si="35"/>
        <v>15000</v>
      </c>
      <c r="BB29" s="108">
        <v>0</v>
      </c>
      <c r="BC29" s="531"/>
    </row>
    <row r="30" spans="1:55" s="495" customFormat="1" outlineLevel="1" x14ac:dyDescent="0.25">
      <c r="A30" s="890"/>
      <c r="B30" s="623" t="s">
        <v>700</v>
      </c>
      <c r="C30" s="310" t="s">
        <v>707</v>
      </c>
      <c r="D30" s="604"/>
      <c r="E30" s="604"/>
      <c r="F30" s="604"/>
      <c r="G30" s="604"/>
      <c r="H30" s="618">
        <v>1</v>
      </c>
      <c r="I30" s="127">
        <f t="shared" si="20"/>
        <v>12</v>
      </c>
      <c r="J30" s="127">
        <f>IF(I30&gt;12,(((I30)*'DGTL Recurring Items'!$H$5)+I30),(I30*1))</f>
        <v>12</v>
      </c>
      <c r="K30" s="127">
        <f>IF(J30&gt;12,(((J30)*'DGTL Recurring Items'!$H$5)+J30),(J30*1))</f>
        <v>12</v>
      </c>
      <c r="L30" s="127">
        <f>IF(K30&gt;12,(((K30)*'DGTL Recurring Items'!$H$5)+K30),(K30*1))</f>
        <v>12</v>
      </c>
      <c r="M30" s="127">
        <f>IF(L30&gt;12,(((L30)*'DGTL Recurring Items'!$H$5)+L30),(L30*1))</f>
        <v>12</v>
      </c>
      <c r="N30" s="245"/>
      <c r="O30" s="586"/>
      <c r="P30" s="757">
        <f t="shared" si="29"/>
        <v>0</v>
      </c>
      <c r="Q30" s="129"/>
      <c r="R30" s="129"/>
      <c r="S30" s="129"/>
      <c r="T30" s="129"/>
      <c r="U30" s="129"/>
      <c r="V30" s="209"/>
      <c r="W30" s="528"/>
      <c r="X30" s="222"/>
      <c r="Y30" s="325"/>
      <c r="Z30" s="774">
        <f t="shared" si="21"/>
        <v>0</v>
      </c>
      <c r="AA30" s="103">
        <f t="shared" si="22"/>
        <v>0</v>
      </c>
      <c r="AB30" s="103">
        <f t="shared" si="23"/>
        <v>0</v>
      </c>
      <c r="AC30" s="103">
        <f t="shared" si="24"/>
        <v>0</v>
      </c>
      <c r="AD30" s="103">
        <f t="shared" si="25"/>
        <v>0</v>
      </c>
      <c r="AE30" s="103">
        <f t="shared" si="26"/>
        <v>0</v>
      </c>
      <c r="AF30" s="123">
        <f t="shared" si="27"/>
        <v>0</v>
      </c>
      <c r="AG30" s="123"/>
      <c r="AH30" s="370"/>
      <c r="AI30" s="221" t="str">
        <f t="shared" si="30"/>
        <v>Q2 Gro DDA Risk Adapter - Vendor TBD</v>
      </c>
      <c r="AJ30" s="255">
        <f>3600/12</f>
        <v>300</v>
      </c>
      <c r="AK30" s="896">
        <f t="shared" si="28"/>
        <v>300</v>
      </c>
      <c r="AL30" s="105">
        <f t="shared" si="31"/>
        <v>3600</v>
      </c>
      <c r="AM30" s="105">
        <f t="shared" si="32"/>
        <v>3600</v>
      </c>
      <c r="AN30" s="105">
        <f t="shared" si="32"/>
        <v>3600</v>
      </c>
      <c r="AO30" s="105">
        <f t="shared" si="32"/>
        <v>3600</v>
      </c>
      <c r="AP30" s="105">
        <f t="shared" si="32"/>
        <v>3600</v>
      </c>
      <c r="AQ30" s="158">
        <f t="shared" si="33"/>
        <v>18000</v>
      </c>
      <c r="AR30" s="105"/>
      <c r="AS30" s="473"/>
      <c r="AT30" s="106" t="s">
        <v>707</v>
      </c>
      <c r="AU30" s="1209">
        <v>250</v>
      </c>
      <c r="AV30" s="108">
        <f t="shared" si="36"/>
        <v>3000</v>
      </c>
      <c r="AW30" s="108">
        <f t="shared" si="37"/>
        <v>3000</v>
      </c>
      <c r="AX30" s="108">
        <f t="shared" si="38"/>
        <v>3000</v>
      </c>
      <c r="AY30" s="108">
        <f t="shared" si="39"/>
        <v>3000</v>
      </c>
      <c r="AZ30" s="108">
        <f t="shared" si="40"/>
        <v>3000</v>
      </c>
      <c r="BA30" s="165">
        <f t="shared" si="35"/>
        <v>15000</v>
      </c>
      <c r="BB30" s="108">
        <v>0</v>
      </c>
      <c r="BC30" s="531"/>
    </row>
    <row r="31" spans="1:55" s="495" customFormat="1" outlineLevel="1" x14ac:dyDescent="0.25">
      <c r="A31" s="445"/>
      <c r="B31" s="623"/>
      <c r="C31" s="310" t="s">
        <v>708</v>
      </c>
      <c r="D31" s="604"/>
      <c r="E31" s="604"/>
      <c r="F31" s="604"/>
      <c r="G31" s="604"/>
      <c r="H31" s="618">
        <v>1</v>
      </c>
      <c r="I31" s="127">
        <f t="shared" si="20"/>
        <v>12</v>
      </c>
      <c r="J31" s="127">
        <f>IF(I31&gt;12,(((I31)*'CORE Recurring Items'!$H$5)+I31),(I31*1))</f>
        <v>12</v>
      </c>
      <c r="K31" s="127">
        <f>IF(J31&gt;12,(((J31)*'CORE Recurring Items'!$H$5)+J31),(J31*1))</f>
        <v>12</v>
      </c>
      <c r="L31" s="127">
        <f>IF(K31&gt;12,(((K31)*'CORE Recurring Items'!$H$5)+K31),(K31*1))</f>
        <v>12</v>
      </c>
      <c r="M31" s="127">
        <f>IF(L31&gt;12,(((L31)*'CORE Recurring Items'!$H$5)+L31),(L31*1))</f>
        <v>12</v>
      </c>
      <c r="N31" s="245"/>
      <c r="O31" s="586"/>
      <c r="P31" s="757">
        <f t="shared" si="29"/>
        <v>0</v>
      </c>
      <c r="Q31" s="129">
        <f>IF(O31&gt;0,PRODUCT(I31,$O31),0)</f>
        <v>0</v>
      </c>
      <c r="R31" s="129">
        <f>IF(Q31&gt;0,PRODUCT(J31,$O31),0)</f>
        <v>0</v>
      </c>
      <c r="S31" s="129">
        <f>IF(R31&gt;0,PRODUCT(K31,$O31),0)</f>
        <v>0</v>
      </c>
      <c r="T31" s="129">
        <f>IF(S31&gt;0,PRODUCT(L31,$O31),0)</f>
        <v>0</v>
      </c>
      <c r="U31" s="129">
        <f>IF(T31&gt;0,PRODUCT(M31,$O31),0)</f>
        <v>0</v>
      </c>
      <c r="V31" s="209">
        <f>SUM(Q31:U31)</f>
        <v>0</v>
      </c>
      <c r="W31" s="528"/>
      <c r="X31" s="222" t="str">
        <f>C31</f>
        <v xml:space="preserve"> </v>
      </c>
      <c r="Y31" s="325"/>
      <c r="Z31" s="774">
        <f t="shared" si="21"/>
        <v>0</v>
      </c>
      <c r="AA31" s="103">
        <f t="shared" si="22"/>
        <v>0</v>
      </c>
      <c r="AB31" s="103">
        <f t="shared" si="23"/>
        <v>0</v>
      </c>
      <c r="AC31" s="103">
        <f t="shared" si="24"/>
        <v>0</v>
      </c>
      <c r="AD31" s="103">
        <f t="shared" si="25"/>
        <v>0</v>
      </c>
      <c r="AE31" s="103">
        <f t="shared" si="26"/>
        <v>0</v>
      </c>
      <c r="AF31" s="123">
        <f t="shared" si="27"/>
        <v>0</v>
      </c>
      <c r="AG31" s="123"/>
      <c r="AH31" s="370"/>
      <c r="AI31" s="221"/>
      <c r="AJ31" s="271"/>
      <c r="AK31" s="896">
        <f t="shared" si="28"/>
        <v>0</v>
      </c>
      <c r="AL31" s="105"/>
      <c r="AM31" s="105"/>
      <c r="AN31" s="105"/>
      <c r="AO31" s="105"/>
      <c r="AP31" s="105"/>
      <c r="AQ31" s="158"/>
      <c r="AR31" s="105"/>
      <c r="AS31" s="473"/>
      <c r="AT31" s="106"/>
      <c r="AU31" s="1200"/>
      <c r="AV31" s="108">
        <f t="shared" si="36"/>
        <v>0</v>
      </c>
      <c r="AW31" s="108">
        <f t="shared" si="37"/>
        <v>0</v>
      </c>
      <c r="AX31" s="108">
        <f t="shared" si="38"/>
        <v>0</v>
      </c>
      <c r="AY31" s="108">
        <f t="shared" si="39"/>
        <v>0</v>
      </c>
      <c r="AZ31" s="108">
        <f t="shared" si="40"/>
        <v>0</v>
      </c>
      <c r="BA31" s="165"/>
      <c r="BB31" s="108"/>
      <c r="BC31" s="531"/>
    </row>
    <row r="32" spans="1:55" s="495" customFormat="1" outlineLevel="1" x14ac:dyDescent="0.25">
      <c r="A32" s="804" t="s">
        <v>689</v>
      </c>
      <c r="B32" s="623" t="s">
        <v>709</v>
      </c>
      <c r="C32" s="601" t="s">
        <v>710</v>
      </c>
      <c r="D32" s="604"/>
      <c r="E32" s="604"/>
      <c r="F32" s="604"/>
      <c r="G32" s="604"/>
      <c r="H32" s="618">
        <v>1</v>
      </c>
      <c r="I32" s="127">
        <f t="shared" si="20"/>
        <v>12</v>
      </c>
      <c r="J32" s="127">
        <f>IF(I32&gt;12,(((I32)*'CORE Recurring Items'!$H$5)+I32),(I32*1))</f>
        <v>12</v>
      </c>
      <c r="K32" s="127">
        <f>IF(J32&gt;12,(((J32)*'CORE Recurring Items'!$H$5)+J32),(J32*1))</f>
        <v>12</v>
      </c>
      <c r="L32" s="127">
        <f>IF(K32&gt;12,(((K32)*'CORE Recurring Items'!$H$5)+K32),(K32*1))</f>
        <v>12</v>
      </c>
      <c r="M32" s="127">
        <f>IF(L32&gt;12,(((L32)*'CORE Recurring Items'!$H$5)+L32),(L32*1))</f>
        <v>12</v>
      </c>
      <c r="N32" s="245"/>
      <c r="O32" s="586"/>
      <c r="P32" s="757"/>
      <c r="Q32" s="129"/>
      <c r="R32" s="129"/>
      <c r="S32" s="129"/>
      <c r="T32" s="129"/>
      <c r="U32" s="129"/>
      <c r="V32" s="209"/>
      <c r="W32" s="528"/>
      <c r="X32" s="1148" t="str">
        <f>C32</f>
        <v>Personal Finance - MX</v>
      </c>
      <c r="Y32" s="1150">
        <v>1650</v>
      </c>
      <c r="Z32" s="1151">
        <f t="shared" si="21"/>
        <v>1650</v>
      </c>
      <c r="AA32" s="1152">
        <f t="shared" si="22"/>
        <v>19800</v>
      </c>
      <c r="AB32" s="1152">
        <f t="shared" si="23"/>
        <v>19800</v>
      </c>
      <c r="AC32" s="1152">
        <f t="shared" si="24"/>
        <v>19800</v>
      </c>
      <c r="AD32" s="1152">
        <f t="shared" si="25"/>
        <v>19800</v>
      </c>
      <c r="AE32" s="1152">
        <f t="shared" si="26"/>
        <v>19800</v>
      </c>
      <c r="AF32" s="1095">
        <f t="shared" si="27"/>
        <v>99000</v>
      </c>
      <c r="AG32" s="1095">
        <v>13500</v>
      </c>
      <c r="AH32" s="370"/>
      <c r="AI32" s="221"/>
      <c r="AJ32" s="271"/>
      <c r="AK32" s="896">
        <f t="shared" si="28"/>
        <v>0</v>
      </c>
      <c r="AL32" s="105"/>
      <c r="AM32" s="105"/>
      <c r="AN32" s="105"/>
      <c r="AO32" s="105"/>
      <c r="AP32" s="105"/>
      <c r="AQ32" s="158"/>
      <c r="AR32" s="105"/>
      <c r="AS32" s="473"/>
      <c r="AT32" s="106"/>
      <c r="AU32" s="1200"/>
      <c r="AV32" s="108">
        <f t="shared" si="36"/>
        <v>0</v>
      </c>
      <c r="AW32" s="108">
        <f t="shared" si="37"/>
        <v>0</v>
      </c>
      <c r="AX32" s="108">
        <f t="shared" si="38"/>
        <v>0</v>
      </c>
      <c r="AY32" s="108">
        <f t="shared" si="39"/>
        <v>0</v>
      </c>
      <c r="AZ32" s="108">
        <f t="shared" si="40"/>
        <v>0</v>
      </c>
      <c r="BA32" s="165"/>
      <c r="BB32" s="108"/>
      <c r="BC32" s="531"/>
    </row>
    <row r="33" spans="1:55" s="495" customFormat="1" outlineLevel="1" x14ac:dyDescent="0.25">
      <c r="A33" s="804" t="s">
        <v>689</v>
      </c>
      <c r="B33" s="623" t="s">
        <v>709</v>
      </c>
      <c r="C33" s="601" t="s">
        <v>711</v>
      </c>
      <c r="D33" s="604"/>
      <c r="E33" s="604"/>
      <c r="F33" s="604"/>
      <c r="G33" s="604"/>
      <c r="H33" s="618">
        <v>1</v>
      </c>
      <c r="I33" s="127">
        <f t="shared" si="20"/>
        <v>12</v>
      </c>
      <c r="J33" s="127">
        <f>IF(I33&gt;12,(((I33)*'CORE Recurring Items'!$H$5)+I33),(I33*1))</f>
        <v>12</v>
      </c>
      <c r="K33" s="127">
        <f>IF(J33&gt;12,(((J33)*'CORE Recurring Items'!$H$5)+J33),(J33*1))</f>
        <v>12</v>
      </c>
      <c r="L33" s="127">
        <f>IF(K33&gt;12,(((K33)*'CORE Recurring Items'!$H$5)+K33),(K33*1))</f>
        <v>12</v>
      </c>
      <c r="M33" s="127">
        <f>IF(L33&gt;12,(((L33)*'CORE Recurring Items'!$H$5)+L33),(L33*1))</f>
        <v>12</v>
      </c>
      <c r="N33" s="245"/>
      <c r="O33" s="586"/>
      <c r="P33" s="757"/>
      <c r="Q33" s="129"/>
      <c r="R33" s="129"/>
      <c r="S33" s="129"/>
      <c r="T33" s="129"/>
      <c r="U33" s="129"/>
      <c r="V33" s="209"/>
      <c r="W33" s="528"/>
      <c r="X33" s="222" t="str">
        <f>C33</f>
        <v>Mobile - Banker on the Go</v>
      </c>
      <c r="Y33" s="325">
        <v>1075</v>
      </c>
      <c r="Z33" s="774">
        <f t="shared" si="21"/>
        <v>1075</v>
      </c>
      <c r="AA33" s="103">
        <f t="shared" si="22"/>
        <v>12900</v>
      </c>
      <c r="AB33" s="103">
        <f t="shared" si="23"/>
        <v>12900</v>
      </c>
      <c r="AC33" s="103">
        <f t="shared" si="24"/>
        <v>12900</v>
      </c>
      <c r="AD33" s="103">
        <f t="shared" si="25"/>
        <v>12900</v>
      </c>
      <c r="AE33" s="103">
        <f t="shared" si="26"/>
        <v>12900</v>
      </c>
      <c r="AF33" s="123">
        <f t="shared" si="27"/>
        <v>64500</v>
      </c>
      <c r="AG33" s="123">
        <v>14750</v>
      </c>
      <c r="AH33" s="1057" t="s">
        <v>712</v>
      </c>
      <c r="AI33" s="221"/>
      <c r="AJ33" s="271"/>
      <c r="AK33" s="896">
        <f t="shared" si="28"/>
        <v>0</v>
      </c>
      <c r="AL33" s="105"/>
      <c r="AM33" s="105"/>
      <c r="AN33" s="105"/>
      <c r="AO33" s="105"/>
      <c r="AP33" s="105"/>
      <c r="AQ33" s="158"/>
      <c r="AR33" s="105"/>
      <c r="AS33" s="473"/>
      <c r="AT33" s="106"/>
      <c r="AU33" s="1200"/>
      <c r="AV33" s="108">
        <f t="shared" si="36"/>
        <v>0</v>
      </c>
      <c r="AW33" s="108">
        <f t="shared" si="37"/>
        <v>0</v>
      </c>
      <c r="AX33" s="108">
        <f t="shared" si="38"/>
        <v>0</v>
      </c>
      <c r="AY33" s="108">
        <f t="shared" si="39"/>
        <v>0</v>
      </c>
      <c r="AZ33" s="108">
        <f t="shared" si="40"/>
        <v>0</v>
      </c>
      <c r="BA33" s="165"/>
      <c r="BB33" s="108"/>
      <c r="BC33" s="531"/>
    </row>
    <row r="34" spans="1:55" s="495" customFormat="1" outlineLevel="1" x14ac:dyDescent="0.25">
      <c r="A34" s="890"/>
      <c r="B34" s="623" t="s">
        <v>531</v>
      </c>
      <c r="C34" s="310" t="s">
        <v>713</v>
      </c>
      <c r="D34" s="604"/>
      <c r="E34" s="604"/>
      <c r="F34" s="604"/>
      <c r="G34" s="604"/>
      <c r="H34" s="618">
        <v>1</v>
      </c>
      <c r="I34" s="127">
        <f t="shared" si="20"/>
        <v>12</v>
      </c>
      <c r="J34" s="127">
        <f>IF(I34&gt;12,(((I34)*'DGTL Recurring Items'!$H$5)+I34),(I34*1))</f>
        <v>12</v>
      </c>
      <c r="K34" s="127">
        <f>IF(J34&gt;12,(((J34)*'DGTL Recurring Items'!$H$5)+J34),(J34*1))</f>
        <v>12</v>
      </c>
      <c r="L34" s="127">
        <f>IF(K34&gt;12,(((K34)*'DGTL Recurring Items'!$H$5)+K34),(K34*1))</f>
        <v>12</v>
      </c>
      <c r="M34" s="127">
        <f>IF(L34&gt;12,(((L34)*'DGTL Recurring Items'!$H$5)+L34),(L34*1))</f>
        <v>12</v>
      </c>
      <c r="N34" s="245"/>
      <c r="O34" s="586"/>
      <c r="P34" s="757">
        <f>Q34/12</f>
        <v>0</v>
      </c>
      <c r="Q34" s="129"/>
      <c r="R34" s="129"/>
      <c r="S34" s="129"/>
      <c r="T34" s="129"/>
      <c r="U34" s="129"/>
      <c r="V34" s="209"/>
      <c r="W34" s="528"/>
      <c r="X34" s="222"/>
      <c r="Y34" s="325"/>
      <c r="Z34" s="774">
        <f t="shared" si="21"/>
        <v>0</v>
      </c>
      <c r="AA34" s="103">
        <f t="shared" si="22"/>
        <v>0</v>
      </c>
      <c r="AB34" s="103">
        <f t="shared" si="23"/>
        <v>0</v>
      </c>
      <c r="AC34" s="103">
        <f t="shared" si="24"/>
        <v>0</v>
      </c>
      <c r="AD34" s="103">
        <f t="shared" si="25"/>
        <v>0</v>
      </c>
      <c r="AE34" s="103">
        <f t="shared" si="26"/>
        <v>0</v>
      </c>
      <c r="AF34" s="123">
        <f t="shared" si="27"/>
        <v>0</v>
      </c>
      <c r="AG34" s="123"/>
      <c r="AH34" s="370"/>
      <c r="AI34" s="221" t="str">
        <f>C34</f>
        <v>Sensibill Spend Manager Extension (Consumer)</v>
      </c>
      <c r="AJ34" s="255">
        <f>6000/12</f>
        <v>500</v>
      </c>
      <c r="AK34" s="896">
        <f t="shared" si="28"/>
        <v>500</v>
      </c>
      <c r="AL34" s="105">
        <f>IF(AJ34&gt;0,PRODUCT(I34,$AJ34),0)</f>
        <v>6000</v>
      </c>
      <c r="AM34" s="105">
        <f t="shared" ref="AM34:AP36" si="41">IF(AL34&gt;0,PRODUCT(J34,$AJ34),0)</f>
        <v>6000</v>
      </c>
      <c r="AN34" s="105">
        <f t="shared" si="41"/>
        <v>6000</v>
      </c>
      <c r="AO34" s="105">
        <f t="shared" si="41"/>
        <v>6000</v>
      </c>
      <c r="AP34" s="105">
        <f t="shared" si="41"/>
        <v>6000</v>
      </c>
      <c r="AQ34" s="158">
        <f>SUM(AL34:AP34)</f>
        <v>30000</v>
      </c>
      <c r="AR34" s="105"/>
      <c r="AS34" s="473" t="s">
        <v>714</v>
      </c>
      <c r="AT34" s="106" t="s">
        <v>713</v>
      </c>
      <c r="AU34" s="1209">
        <v>400</v>
      </c>
      <c r="AV34" s="108">
        <f t="shared" si="36"/>
        <v>4800</v>
      </c>
      <c r="AW34" s="108">
        <f t="shared" si="37"/>
        <v>4800</v>
      </c>
      <c r="AX34" s="108">
        <f t="shared" si="38"/>
        <v>4800</v>
      </c>
      <c r="AY34" s="108">
        <f t="shared" si="39"/>
        <v>4800</v>
      </c>
      <c r="AZ34" s="108">
        <f t="shared" si="40"/>
        <v>4800</v>
      </c>
      <c r="BA34" s="165">
        <f>SUM(AV34:AZ34)</f>
        <v>24000</v>
      </c>
      <c r="BB34" s="108">
        <v>0</v>
      </c>
      <c r="BC34" s="531"/>
    </row>
    <row r="35" spans="1:55" s="495" customFormat="1" outlineLevel="1" x14ac:dyDescent="0.25">
      <c r="A35" s="890"/>
      <c r="B35" s="623" t="s">
        <v>531</v>
      </c>
      <c r="C35" s="310" t="s">
        <v>715</v>
      </c>
      <c r="D35" s="604"/>
      <c r="E35" s="604"/>
      <c r="F35" s="604"/>
      <c r="G35" s="604"/>
      <c r="H35" s="618">
        <v>1</v>
      </c>
      <c r="I35" s="127">
        <f t="shared" si="20"/>
        <v>12</v>
      </c>
      <c r="J35" s="127">
        <f>IF(I35&gt;12,(((I35)*'DGTL Recurring Items'!$H$5)+I35),(I35*1))</f>
        <v>12</v>
      </c>
      <c r="K35" s="127">
        <f>IF(J35&gt;12,(((J35)*'DGTL Recurring Items'!$H$5)+J35),(J35*1))</f>
        <v>12</v>
      </c>
      <c r="L35" s="127">
        <f>IF(K35&gt;12,(((K35)*'DGTL Recurring Items'!$H$5)+K35),(K35*1))</f>
        <v>12</v>
      </c>
      <c r="M35" s="127">
        <f>IF(L35&gt;12,(((L35)*'DGTL Recurring Items'!$H$5)+L35),(L35*1))</f>
        <v>12</v>
      </c>
      <c r="N35" s="245"/>
      <c r="O35" s="586"/>
      <c r="P35" s="757">
        <f>Q35/12</f>
        <v>0</v>
      </c>
      <c r="Q35" s="129"/>
      <c r="R35" s="129"/>
      <c r="S35" s="129"/>
      <c r="T35" s="129"/>
      <c r="U35" s="129"/>
      <c r="V35" s="209"/>
      <c r="W35" s="528"/>
      <c r="X35" s="222"/>
      <c r="Y35" s="325"/>
      <c r="Z35" s="774">
        <f t="shared" si="21"/>
        <v>0</v>
      </c>
      <c r="AA35" s="103">
        <f t="shared" si="22"/>
        <v>0</v>
      </c>
      <c r="AB35" s="103">
        <f t="shared" si="23"/>
        <v>0</v>
      </c>
      <c r="AC35" s="103">
        <f t="shared" si="24"/>
        <v>0</v>
      </c>
      <c r="AD35" s="103">
        <f t="shared" si="25"/>
        <v>0</v>
      </c>
      <c r="AE35" s="103">
        <f t="shared" si="26"/>
        <v>0</v>
      </c>
      <c r="AF35" s="123">
        <f t="shared" si="27"/>
        <v>0</v>
      </c>
      <c r="AG35" s="123"/>
      <c r="AH35" s="370"/>
      <c r="AI35" s="221" t="str">
        <f>C35</f>
        <v>Sensibill Spend Manager Extension (SMB)</v>
      </c>
      <c r="AJ35" s="255">
        <f>6000/12</f>
        <v>500</v>
      </c>
      <c r="AK35" s="896">
        <f t="shared" si="28"/>
        <v>500</v>
      </c>
      <c r="AL35" s="105">
        <f>IF(AJ35&gt;0,PRODUCT(I35,$AJ35),0)</f>
        <v>6000</v>
      </c>
      <c r="AM35" s="105">
        <f t="shared" si="41"/>
        <v>6000</v>
      </c>
      <c r="AN35" s="105">
        <f t="shared" si="41"/>
        <v>6000</v>
      </c>
      <c r="AO35" s="105">
        <f t="shared" si="41"/>
        <v>6000</v>
      </c>
      <c r="AP35" s="105">
        <f t="shared" si="41"/>
        <v>6000</v>
      </c>
      <c r="AQ35" s="158">
        <f>SUM(AL35:AP35)</f>
        <v>30000</v>
      </c>
      <c r="AR35" s="105"/>
      <c r="AS35" s="473" t="s">
        <v>714</v>
      </c>
      <c r="AT35" s="106" t="s">
        <v>715</v>
      </c>
      <c r="AU35" s="1209">
        <v>400</v>
      </c>
      <c r="AV35" s="108">
        <f t="shared" si="36"/>
        <v>4800</v>
      </c>
      <c r="AW35" s="108">
        <f t="shared" si="37"/>
        <v>4800</v>
      </c>
      <c r="AX35" s="108">
        <f t="shared" si="38"/>
        <v>4800</v>
      </c>
      <c r="AY35" s="108">
        <f t="shared" si="39"/>
        <v>4800</v>
      </c>
      <c r="AZ35" s="108">
        <f t="shared" si="40"/>
        <v>4800</v>
      </c>
      <c r="BA35" s="165">
        <f>SUM(AV35:AZ35)</f>
        <v>24000</v>
      </c>
      <c r="BB35" s="108">
        <v>0</v>
      </c>
      <c r="BC35" s="531"/>
    </row>
    <row r="36" spans="1:55" s="495" customFormat="1" outlineLevel="1" x14ac:dyDescent="0.25">
      <c r="A36" s="890"/>
      <c r="B36" s="623" t="s">
        <v>531</v>
      </c>
      <c r="C36" s="310" t="s">
        <v>716</v>
      </c>
      <c r="D36" s="604"/>
      <c r="E36" s="604"/>
      <c r="F36" s="604"/>
      <c r="G36" s="604"/>
      <c r="H36" s="618">
        <v>1</v>
      </c>
      <c r="I36" s="127">
        <f t="shared" si="20"/>
        <v>12</v>
      </c>
      <c r="J36" s="127">
        <f>IF(I36&gt;12,(((I36)*'[1]DGTL Recurring Items'!$D$5)+I36),(I36*1))</f>
        <v>12</v>
      </c>
      <c r="K36" s="127">
        <f>IF(J36&gt;12,(((J36)*'[1]DGTL Recurring Items'!$D$5)+J36),(J36*1))</f>
        <v>12</v>
      </c>
      <c r="L36" s="127">
        <f>IF(K36&gt;12,(((K36)*'[1]DGTL Recurring Items'!$D$5)+K36),(K36*1))</f>
        <v>12</v>
      </c>
      <c r="M36" s="127">
        <f>IF(L36&gt;12,(((L36)*'[1]DGTL Recurring Items'!$D$5)+L36),(L36*1))</f>
        <v>12</v>
      </c>
      <c r="N36" s="245"/>
      <c r="O36" s="586"/>
      <c r="P36" s="757">
        <f>Q36/12</f>
        <v>0</v>
      </c>
      <c r="Q36" s="129"/>
      <c r="R36" s="129"/>
      <c r="S36" s="129"/>
      <c r="T36" s="129"/>
      <c r="U36" s="129"/>
      <c r="V36" s="209"/>
      <c r="W36" s="528"/>
      <c r="X36" s="222"/>
      <c r="Y36" s="325"/>
      <c r="Z36" s="774">
        <f t="shared" si="21"/>
        <v>0</v>
      </c>
      <c r="AA36" s="103">
        <f t="shared" si="22"/>
        <v>0</v>
      </c>
      <c r="AB36" s="103">
        <f t="shared" si="23"/>
        <v>0</v>
      </c>
      <c r="AC36" s="103">
        <f t="shared" si="24"/>
        <v>0</v>
      </c>
      <c r="AD36" s="103">
        <f t="shared" si="25"/>
        <v>0</v>
      </c>
      <c r="AE36" s="103">
        <f t="shared" si="26"/>
        <v>0</v>
      </c>
      <c r="AF36" s="123">
        <f t="shared" si="27"/>
        <v>0</v>
      </c>
      <c r="AG36" s="123"/>
      <c r="AH36" s="370"/>
      <c r="AI36" s="221" t="str">
        <f>C36</f>
        <v>OLB Quarterly User Purge</v>
      </c>
      <c r="AJ36" s="1154">
        <v>4000</v>
      </c>
      <c r="AK36" s="1155">
        <f t="shared" si="28"/>
        <v>4000</v>
      </c>
      <c r="AL36" s="1152">
        <f>IF(AJ36&gt;0,PRODUCT(I36,$AJ36),0)</f>
        <v>48000</v>
      </c>
      <c r="AM36" s="1152">
        <f t="shared" si="41"/>
        <v>48000</v>
      </c>
      <c r="AN36" s="1152">
        <f t="shared" si="41"/>
        <v>48000</v>
      </c>
      <c r="AO36" s="1152">
        <f t="shared" si="41"/>
        <v>48000</v>
      </c>
      <c r="AP36" s="1152">
        <f t="shared" si="41"/>
        <v>48000</v>
      </c>
      <c r="AQ36" s="1095">
        <f>SUM(AL36:AP36)</f>
        <v>240000</v>
      </c>
      <c r="AR36" s="105"/>
      <c r="AS36" s="473" t="s">
        <v>714</v>
      </c>
      <c r="AT36" s="106" t="s">
        <v>716</v>
      </c>
      <c r="AU36" s="1209">
        <v>4000</v>
      </c>
      <c r="AV36" s="108">
        <f t="shared" si="36"/>
        <v>48000</v>
      </c>
      <c r="AW36" s="108">
        <f t="shared" si="37"/>
        <v>48000</v>
      </c>
      <c r="AX36" s="108">
        <f t="shared" si="38"/>
        <v>48000</v>
      </c>
      <c r="AY36" s="108">
        <f t="shared" si="39"/>
        <v>48000</v>
      </c>
      <c r="AZ36" s="108">
        <f t="shared" si="40"/>
        <v>48000</v>
      </c>
      <c r="BA36" s="165">
        <f>SUM(AV36:AZ36)</f>
        <v>240000</v>
      </c>
      <c r="BB36" s="108"/>
      <c r="BC36" s="531"/>
    </row>
    <row r="37" spans="1:55" s="495" customFormat="1" outlineLevel="1" x14ac:dyDescent="0.25">
      <c r="A37" s="890"/>
      <c r="B37" s="623" t="s">
        <v>531</v>
      </c>
      <c r="C37" s="310" t="s">
        <v>717</v>
      </c>
      <c r="D37" s="604"/>
      <c r="E37" s="604"/>
      <c r="F37" s="604"/>
      <c r="G37" s="604"/>
      <c r="H37" s="618">
        <v>1</v>
      </c>
      <c r="I37" s="127">
        <f t="shared" ref="I37" si="42">H37*12</f>
        <v>12</v>
      </c>
      <c r="J37" s="127">
        <f>IF(I37&gt;12,(((I37)*'CORE Recurring Items'!$H$5)+I37),(I37*1))</f>
        <v>12</v>
      </c>
      <c r="K37" s="127">
        <f>IF(J37&gt;12,(((J37)*'CORE Recurring Items'!$H$5)+J37),(J37*1))</f>
        <v>12</v>
      </c>
      <c r="L37" s="127">
        <f>IF(K37&gt;12,(((K37)*'CORE Recurring Items'!$H$5)+K37),(K37*1))</f>
        <v>12</v>
      </c>
      <c r="M37" s="127">
        <f>IF(L37&gt;12,(((L37)*'CORE Recurring Items'!$H$5)+L37),(L37*1))</f>
        <v>12</v>
      </c>
      <c r="N37" s="245"/>
      <c r="O37" s="586"/>
      <c r="P37" s="757">
        <f>Q37/12</f>
        <v>0</v>
      </c>
      <c r="Q37" s="129">
        <f>IF(O37&gt;0,PRODUCT(I37,$O37),0)</f>
        <v>0</v>
      </c>
      <c r="R37" s="129">
        <f t="shared" ref="R37:U38" si="43">IF(Q37&gt;0,PRODUCT(J37,$O37),0)</f>
        <v>0</v>
      </c>
      <c r="S37" s="129">
        <f t="shared" si="43"/>
        <v>0</v>
      </c>
      <c r="T37" s="129">
        <f t="shared" si="43"/>
        <v>0</v>
      </c>
      <c r="U37" s="129">
        <f t="shared" si="43"/>
        <v>0</v>
      </c>
      <c r="V37" s="209">
        <f>SUM(Q37:U37)</f>
        <v>0</v>
      </c>
      <c r="W37" s="528"/>
      <c r="X37" s="222" t="str">
        <f>C37</f>
        <v>Q2 SMART</v>
      </c>
      <c r="Y37" s="325"/>
      <c r="Z37" s="774">
        <f t="shared" ref="Z37" si="44">AA37/12</f>
        <v>0</v>
      </c>
      <c r="AA37" s="103">
        <f t="shared" ref="AA37" si="45">IF(Y37&gt;0,PRODUCT(I37,$Y37),0)</f>
        <v>0</v>
      </c>
      <c r="AB37" s="103">
        <f t="shared" ref="AB37" si="46">IF(AA37&gt;0,PRODUCT(J37,$Y37),0)</f>
        <v>0</v>
      </c>
      <c r="AC37" s="103">
        <f t="shared" ref="AC37" si="47">IF(AB37&gt;0,PRODUCT(K37,$Y37),0)</f>
        <v>0</v>
      </c>
      <c r="AD37" s="103">
        <f t="shared" ref="AD37" si="48">IF(AC37&gt;0,PRODUCT(L37,$Y37),0)</f>
        <v>0</v>
      </c>
      <c r="AE37" s="103">
        <f t="shared" ref="AE37" si="49">IF(AD37&gt;0,PRODUCT(M37,$Y37),0)</f>
        <v>0</v>
      </c>
      <c r="AF37" s="123">
        <f t="shared" ref="AF37" si="50">SUM(AA37:AE37)</f>
        <v>0</v>
      </c>
      <c r="AG37" s="123"/>
      <c r="AH37" s="370"/>
      <c r="AI37" s="221" t="str">
        <f>C37</f>
        <v>Q2 SMART</v>
      </c>
      <c r="AJ37" s="271">
        <v>1842.5</v>
      </c>
      <c r="AK37" s="896">
        <f t="shared" ref="AK37" si="51">AL37/12</f>
        <v>1842.5</v>
      </c>
      <c r="AL37" s="105">
        <f>IF(AJ37&gt;0,PRODUCT(I37,$AJ37),0)</f>
        <v>22110</v>
      </c>
      <c r="AM37" s="105">
        <f t="shared" ref="AM37" si="52">IF(AL37&gt;0,PRODUCT(J37,$AJ37),0)</f>
        <v>22110</v>
      </c>
      <c r="AN37" s="105">
        <f t="shared" ref="AN37" si="53">IF(AM37&gt;0,PRODUCT(K37,$AJ37),0)</f>
        <v>22110</v>
      </c>
      <c r="AO37" s="105">
        <f t="shared" ref="AO37" si="54">IF(AN37&gt;0,PRODUCT(L37,$AJ37),0)</f>
        <v>22110</v>
      </c>
      <c r="AP37" s="105">
        <f t="shared" ref="AP37" si="55">IF(AO37&gt;0,PRODUCT(M37,$AJ37),0)</f>
        <v>22110</v>
      </c>
      <c r="AQ37" s="158">
        <f>SUM(AL37:AP37)</f>
        <v>110550</v>
      </c>
      <c r="AR37" s="105">
        <v>3000</v>
      </c>
      <c r="AS37" s="473" t="s">
        <v>718</v>
      </c>
      <c r="AT37" s="106" t="str">
        <f>C37</f>
        <v>Q2 SMART</v>
      </c>
      <c r="AU37" s="1233">
        <v>1500</v>
      </c>
      <c r="AV37" s="108">
        <f t="shared" ref="AV37" si="56">IF($AU37&gt;0,PRODUCT(I37,$AU37),0)</f>
        <v>18000</v>
      </c>
      <c r="AW37" s="108">
        <f t="shared" ref="AW37" si="57">IF($AU37&gt;0,PRODUCT(J37,$AU37),0)</f>
        <v>18000</v>
      </c>
      <c r="AX37" s="108">
        <f t="shared" ref="AX37" si="58">IF($AU37&gt;0,PRODUCT(K37,$AU37),0)</f>
        <v>18000</v>
      </c>
      <c r="AY37" s="108">
        <f t="shared" ref="AY37" si="59">IF($AU37&gt;0,PRODUCT(L37,$AU37),0)</f>
        <v>18000</v>
      </c>
      <c r="AZ37" s="108">
        <f t="shared" ref="AZ37" si="60">IF($AU37&gt;0,PRODUCT(M37,$AU37),0)</f>
        <v>18000</v>
      </c>
      <c r="BA37" s="165">
        <f>SUM(AV37:AZ37)</f>
        <v>90000</v>
      </c>
      <c r="BB37" s="108">
        <v>2000</v>
      </c>
      <c r="BC37" s="531" t="s">
        <v>718</v>
      </c>
    </row>
    <row r="38" spans="1:55" s="495" customFormat="1" outlineLevel="1" x14ac:dyDescent="0.25">
      <c r="A38" s="445"/>
      <c r="B38" s="623"/>
      <c r="C38" s="310" t="s">
        <v>708</v>
      </c>
      <c r="D38" s="604"/>
      <c r="E38" s="604"/>
      <c r="F38" s="604"/>
      <c r="G38" s="604"/>
      <c r="H38" s="618">
        <v>1</v>
      </c>
      <c r="I38" s="127">
        <f t="shared" si="20"/>
        <v>12</v>
      </c>
      <c r="J38" s="127">
        <f>IF(I38&gt;12,(((I38)*'CORE Recurring Items'!$H$5)+I38),(I38*1))</f>
        <v>12</v>
      </c>
      <c r="K38" s="127">
        <f>IF(J38&gt;12,(((J38)*'CORE Recurring Items'!$H$5)+J38),(J38*1))</f>
        <v>12</v>
      </c>
      <c r="L38" s="127">
        <f>IF(K38&gt;12,(((K38)*'CORE Recurring Items'!$H$5)+K38),(K38*1))</f>
        <v>12</v>
      </c>
      <c r="M38" s="127">
        <f>IF(L38&gt;12,(((L38)*'CORE Recurring Items'!$H$5)+L38),(L38*1))</f>
        <v>12</v>
      </c>
      <c r="N38" s="245"/>
      <c r="O38" s="586"/>
      <c r="P38" s="757">
        <f>Q38/12</f>
        <v>0</v>
      </c>
      <c r="Q38" s="129">
        <f>IF(O38&gt;0,PRODUCT(I38,$O38),0)</f>
        <v>0</v>
      </c>
      <c r="R38" s="129">
        <f t="shared" si="43"/>
        <v>0</v>
      </c>
      <c r="S38" s="129">
        <f t="shared" si="43"/>
        <v>0</v>
      </c>
      <c r="T38" s="129">
        <f t="shared" si="43"/>
        <v>0</v>
      </c>
      <c r="U38" s="129">
        <f t="shared" si="43"/>
        <v>0</v>
      </c>
      <c r="V38" s="209">
        <f>SUM(Q38:U38)</f>
        <v>0</v>
      </c>
      <c r="W38" s="528"/>
      <c r="X38" s="222" t="str">
        <f>C38</f>
        <v xml:space="preserve"> </v>
      </c>
      <c r="Y38" s="325"/>
      <c r="Z38" s="774">
        <f t="shared" si="21"/>
        <v>0</v>
      </c>
      <c r="AA38" s="103">
        <f t="shared" si="22"/>
        <v>0</v>
      </c>
      <c r="AB38" s="103">
        <f t="shared" si="23"/>
        <v>0</v>
      </c>
      <c r="AC38" s="103">
        <f t="shared" si="24"/>
        <v>0</v>
      </c>
      <c r="AD38" s="103">
        <f t="shared" si="25"/>
        <v>0</v>
      </c>
      <c r="AE38" s="103">
        <f t="shared" si="26"/>
        <v>0</v>
      </c>
      <c r="AF38" s="123">
        <f t="shared" si="27"/>
        <v>0</v>
      </c>
      <c r="AG38" s="123"/>
      <c r="AH38" s="370"/>
      <c r="AI38" s="221"/>
      <c r="AJ38" s="271"/>
      <c r="AK38" s="896">
        <f t="shared" si="28"/>
        <v>0</v>
      </c>
      <c r="AL38" s="105"/>
      <c r="AM38" s="105"/>
      <c r="AN38" s="105"/>
      <c r="AO38" s="105"/>
      <c r="AP38" s="105"/>
      <c r="AQ38" s="158"/>
      <c r="AR38" s="105"/>
      <c r="AS38" s="473"/>
      <c r="AT38" s="106"/>
      <c r="AU38" s="1200"/>
      <c r="AV38" s="108">
        <f t="shared" si="36"/>
        <v>0</v>
      </c>
      <c r="AW38" s="108">
        <f t="shared" si="37"/>
        <v>0</v>
      </c>
      <c r="AX38" s="108">
        <f t="shared" si="38"/>
        <v>0</v>
      </c>
      <c r="AY38" s="108">
        <f t="shared" si="39"/>
        <v>0</v>
      </c>
      <c r="AZ38" s="108">
        <f t="shared" si="40"/>
        <v>0</v>
      </c>
      <c r="BA38" s="165"/>
      <c r="BB38" s="108"/>
      <c r="BC38" s="531"/>
    </row>
    <row r="39" spans="1:55" s="495" customFormat="1" outlineLevel="1" x14ac:dyDescent="0.25">
      <c r="A39" s="804" t="s">
        <v>689</v>
      </c>
      <c r="B39" s="623" t="s">
        <v>709</v>
      </c>
      <c r="C39" s="601" t="s">
        <v>719</v>
      </c>
      <c r="D39" s="604"/>
      <c r="E39" s="604"/>
      <c r="F39" s="604"/>
      <c r="G39" s="604"/>
      <c r="H39" s="618">
        <v>1</v>
      </c>
      <c r="I39" s="127">
        <f t="shared" si="20"/>
        <v>12</v>
      </c>
      <c r="J39" s="127">
        <f>IF(I39&gt;12,(((I39)*'CORE Recurring Items'!$H$5)+I39),(I39*1))</f>
        <v>12</v>
      </c>
      <c r="K39" s="127">
        <f>IF(J39&gt;12,(((J39)*'CORE Recurring Items'!$H$5)+J39),(J39*1))</f>
        <v>12</v>
      </c>
      <c r="L39" s="127">
        <f>IF(K39&gt;12,(((K39)*'CORE Recurring Items'!$H$5)+K39),(K39*1))</f>
        <v>12</v>
      </c>
      <c r="M39" s="127">
        <f>IF(L39&gt;12,(((L39)*'CORE Recurring Items'!$H$5)+L39),(L39*1))</f>
        <v>12</v>
      </c>
      <c r="N39" s="245"/>
      <c r="O39" s="586"/>
      <c r="P39" s="757"/>
      <c r="Q39" s="129"/>
      <c r="R39" s="129"/>
      <c r="S39" s="129"/>
      <c r="T39" s="129"/>
      <c r="U39" s="129"/>
      <c r="V39" s="209"/>
      <c r="W39" s="528"/>
      <c r="X39" s="222" t="str">
        <f>C39</f>
        <v>Mobile - Credit Insights</v>
      </c>
      <c r="Y39" s="325">
        <v>1000</v>
      </c>
      <c r="Z39" s="774">
        <f t="shared" si="21"/>
        <v>1000</v>
      </c>
      <c r="AA39" s="103">
        <f t="shared" si="22"/>
        <v>12000</v>
      </c>
      <c r="AB39" s="103">
        <f t="shared" si="23"/>
        <v>12000</v>
      </c>
      <c r="AC39" s="103">
        <f t="shared" si="24"/>
        <v>12000</v>
      </c>
      <c r="AD39" s="103">
        <f t="shared" si="25"/>
        <v>12000</v>
      </c>
      <c r="AE39" s="103">
        <f t="shared" si="26"/>
        <v>12000</v>
      </c>
      <c r="AF39" s="123">
        <f t="shared" si="27"/>
        <v>60000</v>
      </c>
      <c r="AG39" s="123">
        <v>6750</v>
      </c>
      <c r="AH39" s="370"/>
      <c r="AI39" s="221"/>
      <c r="AJ39" s="271"/>
      <c r="AK39" s="896">
        <f t="shared" si="28"/>
        <v>0</v>
      </c>
      <c r="AL39" s="105"/>
      <c r="AM39" s="105"/>
      <c r="AN39" s="105"/>
      <c r="AO39" s="105"/>
      <c r="AP39" s="105"/>
      <c r="AQ39" s="158"/>
      <c r="AR39" s="105"/>
      <c r="AS39" s="473"/>
      <c r="AT39" s="106"/>
      <c r="AU39" s="1200"/>
      <c r="AV39" s="108">
        <f t="shared" si="36"/>
        <v>0</v>
      </c>
      <c r="AW39" s="108">
        <f t="shared" si="37"/>
        <v>0</v>
      </c>
      <c r="AX39" s="108">
        <f t="shared" si="38"/>
        <v>0</v>
      </c>
      <c r="AY39" s="108">
        <f t="shared" si="39"/>
        <v>0</v>
      </c>
      <c r="AZ39" s="108">
        <f t="shared" si="40"/>
        <v>0</v>
      </c>
      <c r="BA39" s="165"/>
      <c r="BB39" s="108"/>
      <c r="BC39" s="531"/>
    </row>
    <row r="40" spans="1:55" s="495" customFormat="1" outlineLevel="1" x14ac:dyDescent="0.25">
      <c r="A40" s="890"/>
      <c r="B40" s="623" t="s">
        <v>501</v>
      </c>
      <c r="C40" s="310" t="s">
        <v>720</v>
      </c>
      <c r="D40" s="604"/>
      <c r="E40" s="604"/>
      <c r="F40" s="604"/>
      <c r="G40" s="604"/>
      <c r="H40" s="618">
        <v>2400</v>
      </c>
      <c r="I40" s="1059">
        <f t="shared" ref="I40" si="61">H40*12</f>
        <v>28800</v>
      </c>
      <c r="J40" s="1059">
        <f>IF(I40&gt;12,(((I40)*'DGTL Recurring Items'!$H$5)+I40),(I40*1))</f>
        <v>29376</v>
      </c>
      <c r="K40" s="1059">
        <f>IF(J40&gt;12,(((J40)*'DGTL Recurring Items'!$H$5)+J40),(J40*1))</f>
        <v>29963.52</v>
      </c>
      <c r="L40" s="1059">
        <f>IF(K40&gt;12,(((K40)*'DGTL Recurring Items'!$H$5)+K40),(K40*1))</f>
        <v>30562.790400000002</v>
      </c>
      <c r="M40" s="1059">
        <f>IF(L40&gt;12,(((L40)*'DGTL Recurring Items'!$H$5)+L40),(L40*1))</f>
        <v>31174.046208000003</v>
      </c>
      <c r="N40" s="245"/>
      <c r="O40" s="586"/>
      <c r="P40" s="757">
        <f>Q40/12</f>
        <v>0</v>
      </c>
      <c r="Q40" s="129"/>
      <c r="R40" s="129"/>
      <c r="S40" s="129"/>
      <c r="T40" s="129"/>
      <c r="U40" s="129"/>
      <c r="V40" s="209"/>
      <c r="W40" s="528"/>
      <c r="X40" s="222"/>
      <c r="Y40" s="325"/>
      <c r="Z40" s="774">
        <f t="shared" ref="Z40" si="62">AA40/12</f>
        <v>0</v>
      </c>
      <c r="AA40" s="103">
        <f t="shared" ref="AA40" si="63">IF(Y40&gt;0,PRODUCT(I40,$Y40),0)</f>
        <v>0</v>
      </c>
      <c r="AB40" s="103">
        <f t="shared" ref="AB40" si="64">IF(AA40&gt;0,PRODUCT(J40,$Y40),0)</f>
        <v>0</v>
      </c>
      <c r="AC40" s="103">
        <f t="shared" ref="AC40" si="65">IF(AB40&gt;0,PRODUCT(K40,$Y40),0)</f>
        <v>0</v>
      </c>
      <c r="AD40" s="103">
        <f t="shared" ref="AD40" si="66">IF(AC40&gt;0,PRODUCT(L40,$Y40),0)</f>
        <v>0</v>
      </c>
      <c r="AE40" s="103">
        <f t="shared" ref="AE40" si="67">IF(AD40&gt;0,PRODUCT(M40,$Y40),0)</f>
        <v>0</v>
      </c>
      <c r="AF40" s="123">
        <f t="shared" ref="AF40" si="68">SUM(AA40:AE40)</f>
        <v>0</v>
      </c>
      <c r="AG40" s="123"/>
      <c r="AH40" s="370"/>
      <c r="AI40" s="221" t="str">
        <f>C40</f>
        <v>SavvyMoney SDK Extenstion [QTY CALCULATIONS]</v>
      </c>
      <c r="AJ40" s="255"/>
      <c r="AK40" s="896"/>
      <c r="AL40" s="105"/>
      <c r="AM40" s="105"/>
      <c r="AN40" s="105"/>
      <c r="AO40" s="105"/>
      <c r="AP40" s="105"/>
      <c r="AQ40" s="158"/>
      <c r="AR40" s="105"/>
      <c r="AS40" s="473"/>
      <c r="AT40" s="106" t="s">
        <v>720</v>
      </c>
      <c r="AU40" s="1207"/>
      <c r="AV40" s="108">
        <f t="shared" si="36"/>
        <v>0</v>
      </c>
      <c r="AW40" s="108">
        <f t="shared" si="37"/>
        <v>0</v>
      </c>
      <c r="AX40" s="108">
        <f t="shared" si="38"/>
        <v>0</v>
      </c>
      <c r="AY40" s="108">
        <f t="shared" si="39"/>
        <v>0</v>
      </c>
      <c r="AZ40" s="108">
        <f t="shared" si="40"/>
        <v>0</v>
      </c>
      <c r="BA40" s="165">
        <f>SUM(AV40:AZ40)</f>
        <v>0</v>
      </c>
      <c r="BB40" s="108"/>
      <c r="BC40" s="531"/>
    </row>
    <row r="41" spans="1:55" s="495" customFormat="1" outlineLevel="1" x14ac:dyDescent="0.25">
      <c r="A41" s="890"/>
      <c r="B41" s="623" t="s">
        <v>501</v>
      </c>
      <c r="C41" s="200" t="s">
        <v>721</v>
      </c>
      <c r="D41" s="604"/>
      <c r="E41" s="604"/>
      <c r="F41" s="604"/>
      <c r="G41" s="604"/>
      <c r="H41" s="618">
        <v>2400</v>
      </c>
      <c r="I41" s="127" cm="1">
        <f t="array" ref="I41">_xlfn.IFS(I40=($H41*12),($H41*12), I40&gt;($H41*12),$H41*12,I40&lt;($H41*12),0, I40=0,0)</f>
        <v>28800</v>
      </c>
      <c r="J41" s="127" cm="1">
        <f t="array" ref="J41">_xlfn.IFS(J40=($H41*12),($H41*12), J40&gt;($H41*12),$H41*12,J40&lt;($H41*12),0, J40=0,0)</f>
        <v>28800</v>
      </c>
      <c r="K41" s="127" cm="1">
        <f t="array" ref="K41">_xlfn.IFS(K40=($H41*12),($H41*12), K40&gt;($H41*12),$H41*12,K40&lt;($H41*12),0, K40=0,0)</f>
        <v>28800</v>
      </c>
      <c r="L41" s="127" cm="1">
        <f t="array" ref="L41">_xlfn.IFS(L40=($H41*12),($H41*12), L40&gt;($H41*12),$H41*12,L40&lt;($H41*12),0, L40=0,0)</f>
        <v>28800</v>
      </c>
      <c r="M41" s="127" cm="1">
        <f t="array" ref="M41">_xlfn.IFS(M40=($H41*12),($H41*12), M40&gt;($H41*12),$H41*12,M40&lt;($H41*12),0, M40=0,0)</f>
        <v>28800</v>
      </c>
      <c r="N41" s="245"/>
      <c r="O41" s="586"/>
      <c r="P41" s="757">
        <f>Q41/12</f>
        <v>0</v>
      </c>
      <c r="Q41" s="129"/>
      <c r="R41" s="129"/>
      <c r="S41" s="129"/>
      <c r="T41" s="129"/>
      <c r="U41" s="129"/>
      <c r="V41" s="209"/>
      <c r="W41" s="528"/>
      <c r="X41" s="222"/>
      <c r="Y41" s="325"/>
      <c r="Z41" s="774">
        <f t="shared" si="21"/>
        <v>0</v>
      </c>
      <c r="AA41" s="103">
        <f t="shared" si="22"/>
        <v>0</v>
      </c>
      <c r="AB41" s="103">
        <f t="shared" si="23"/>
        <v>0</v>
      </c>
      <c r="AC41" s="103">
        <f t="shared" si="24"/>
        <v>0</v>
      </c>
      <c r="AD41" s="103">
        <f t="shared" si="25"/>
        <v>0</v>
      </c>
      <c r="AE41" s="103">
        <f t="shared" si="26"/>
        <v>0</v>
      </c>
      <c r="AF41" s="123">
        <f t="shared" si="27"/>
        <v>0</v>
      </c>
      <c r="AG41" s="123"/>
      <c r="AH41" s="370"/>
      <c r="AI41" s="880" t="str">
        <f>C41</f>
        <v>SavvyMoney SDK Extenstion - includes 2,400 Active Users</v>
      </c>
      <c r="AJ41" s="255">
        <v>0.69</v>
      </c>
      <c r="AK41" s="896">
        <f t="shared" si="28"/>
        <v>1656</v>
      </c>
      <c r="AL41" s="105">
        <f>IF($AJ41&gt;0,PRODUCT(I41,$AJ41),0)</f>
        <v>19872</v>
      </c>
      <c r="AM41" s="105">
        <f t="shared" ref="AM41:AP41" si="69">IF($AJ41&gt;0,PRODUCT(J41,$AJ41),0)</f>
        <v>19872</v>
      </c>
      <c r="AN41" s="105">
        <f t="shared" si="69"/>
        <v>19872</v>
      </c>
      <c r="AO41" s="105">
        <f t="shared" si="69"/>
        <v>19872</v>
      </c>
      <c r="AP41" s="105">
        <f t="shared" si="69"/>
        <v>19872</v>
      </c>
      <c r="AQ41" s="158">
        <f>SUM(AL41:AP41)</f>
        <v>99360</v>
      </c>
      <c r="AR41" s="105">
        <v>7000</v>
      </c>
      <c r="AS41" s="473"/>
      <c r="AT41" s="1181" t="s">
        <v>722</v>
      </c>
      <c r="AU41" s="1209">
        <f>690/1000</f>
        <v>0.69</v>
      </c>
      <c r="AV41" s="108">
        <f t="shared" si="36"/>
        <v>19872</v>
      </c>
      <c r="AW41" s="108">
        <f t="shared" si="37"/>
        <v>19872</v>
      </c>
      <c r="AX41" s="108">
        <f t="shared" si="38"/>
        <v>19872</v>
      </c>
      <c r="AY41" s="108">
        <f t="shared" si="39"/>
        <v>19872</v>
      </c>
      <c r="AZ41" s="108">
        <f t="shared" si="40"/>
        <v>19872</v>
      </c>
      <c r="BA41" s="165">
        <f>SUM(AV41:AZ41)</f>
        <v>99360</v>
      </c>
      <c r="BB41" s="108">
        <v>7000</v>
      </c>
      <c r="BC41" s="531"/>
    </row>
    <row r="42" spans="1:55" s="495" customFormat="1" outlineLevel="1" x14ac:dyDescent="0.25">
      <c r="A42" s="890"/>
      <c r="B42" s="623" t="s">
        <v>501</v>
      </c>
      <c r="C42" s="200" t="s">
        <v>723</v>
      </c>
      <c r="D42" s="604"/>
      <c r="E42" s="604"/>
      <c r="F42" s="604"/>
      <c r="G42" s="604"/>
      <c r="H42" s="618">
        <v>0</v>
      </c>
      <c r="I42" s="127">
        <f>I40-I41</f>
        <v>0</v>
      </c>
      <c r="J42" s="127">
        <f t="shared" ref="J42:M42" si="70">J40-J41</f>
        <v>576</v>
      </c>
      <c r="K42" s="127">
        <f t="shared" si="70"/>
        <v>1163.5200000000004</v>
      </c>
      <c r="L42" s="127">
        <f t="shared" si="70"/>
        <v>1762.7904000000017</v>
      </c>
      <c r="M42" s="127">
        <f t="shared" si="70"/>
        <v>2374.0462080000034</v>
      </c>
      <c r="N42" s="245"/>
      <c r="O42" s="586"/>
      <c r="P42" s="757">
        <f>Q42/12</f>
        <v>0</v>
      </c>
      <c r="Q42" s="129"/>
      <c r="R42" s="129"/>
      <c r="S42" s="129"/>
      <c r="T42" s="129"/>
      <c r="U42" s="129"/>
      <c r="V42" s="209"/>
      <c r="W42" s="528"/>
      <c r="X42" s="222"/>
      <c r="Y42" s="325"/>
      <c r="Z42" s="774">
        <f t="shared" si="21"/>
        <v>0</v>
      </c>
      <c r="AA42" s="103">
        <f t="shared" si="22"/>
        <v>0</v>
      </c>
      <c r="AB42" s="103">
        <f t="shared" si="23"/>
        <v>0</v>
      </c>
      <c r="AC42" s="103">
        <f t="shared" si="24"/>
        <v>0</v>
      </c>
      <c r="AD42" s="103">
        <f t="shared" si="25"/>
        <v>0</v>
      </c>
      <c r="AE42" s="103">
        <f t="shared" si="26"/>
        <v>0</v>
      </c>
      <c r="AF42" s="123">
        <f t="shared" si="27"/>
        <v>0</v>
      </c>
      <c r="AG42" s="123"/>
      <c r="AH42" s="370"/>
      <c r="AI42" s="880" t="str">
        <f>C42</f>
        <v>SavvyMoney Active User Beyond 2,400</v>
      </c>
      <c r="AJ42" s="255">
        <v>0.69</v>
      </c>
      <c r="AK42" s="896">
        <f t="shared" si="28"/>
        <v>0</v>
      </c>
      <c r="AL42" s="105">
        <f>IF($AJ42&gt;0,PRODUCT(I42,$AJ42),0)</f>
        <v>0</v>
      </c>
      <c r="AM42" s="105">
        <f t="shared" ref="AM42" si="71">IF($AJ42&gt;0,PRODUCT(J42,$AJ42),0)</f>
        <v>397.43999999999994</v>
      </c>
      <c r="AN42" s="105">
        <f t="shared" ref="AN42" si="72">IF($AJ42&gt;0,PRODUCT(K42,$AJ42),0)</f>
        <v>802.82880000000023</v>
      </c>
      <c r="AO42" s="105">
        <f t="shared" ref="AO42" si="73">IF($AJ42&gt;0,PRODUCT(L42,$AJ42),0)</f>
        <v>1216.3253760000011</v>
      </c>
      <c r="AP42" s="105">
        <f t="shared" ref="AP42" si="74">IF($AJ42&gt;0,PRODUCT(M42,$AJ42),0)</f>
        <v>1638.0918835200023</v>
      </c>
      <c r="AQ42" s="158">
        <f>SUM(AL42:AP42)</f>
        <v>4054.6860595200037</v>
      </c>
      <c r="AR42" s="105"/>
      <c r="AS42" s="473"/>
      <c r="AT42" s="1181" t="s">
        <v>724</v>
      </c>
      <c r="AU42" s="1209">
        <v>0.69</v>
      </c>
      <c r="AV42" s="108">
        <f t="shared" si="36"/>
        <v>0</v>
      </c>
      <c r="AW42" s="108">
        <f t="shared" si="37"/>
        <v>397.43999999999994</v>
      </c>
      <c r="AX42" s="108">
        <f t="shared" si="38"/>
        <v>802.82880000000023</v>
      </c>
      <c r="AY42" s="108">
        <f t="shared" si="39"/>
        <v>1216.3253760000011</v>
      </c>
      <c r="AZ42" s="108">
        <f t="shared" si="40"/>
        <v>1638.0918835200023</v>
      </c>
      <c r="BA42" s="165">
        <f>SUM(AV42:AZ42)</f>
        <v>4054.6860595200037</v>
      </c>
      <c r="BB42" s="108"/>
      <c r="BC42" s="531"/>
    </row>
    <row r="43" spans="1:55" s="495" customFormat="1" outlineLevel="1" x14ac:dyDescent="0.25">
      <c r="A43" s="890"/>
      <c r="B43" s="623" t="s">
        <v>501</v>
      </c>
      <c r="C43" s="310" t="s">
        <v>725</v>
      </c>
      <c r="D43" s="604"/>
      <c r="E43" s="604"/>
      <c r="F43" s="604"/>
      <c r="G43" s="604"/>
      <c r="H43" s="618">
        <v>1</v>
      </c>
      <c r="I43" s="127">
        <f t="shared" ref="I43" si="75">H43*12</f>
        <v>12</v>
      </c>
      <c r="J43" s="127">
        <f>IF(I43&gt;12,(((I43)*'[1]DGTL Recurring Items'!$D$5)+I43),(I43*1))</f>
        <v>12</v>
      </c>
      <c r="K43" s="127">
        <f>IF(J43&gt;12,(((J43)*'[1]DGTL Recurring Items'!$D$5)+J43),(J43*1))</f>
        <v>12</v>
      </c>
      <c r="L43" s="127">
        <f>IF(K43&gt;12,(((K43)*'[1]DGTL Recurring Items'!$D$5)+K43),(K43*1))</f>
        <v>12</v>
      </c>
      <c r="M43" s="127">
        <f>IF(L43&gt;12,(((L43)*'[1]DGTL Recurring Items'!$D$5)+L43),(L43*1))</f>
        <v>12</v>
      </c>
      <c r="N43" s="245"/>
      <c r="O43" s="586"/>
      <c r="P43" s="757"/>
      <c r="Q43" s="129"/>
      <c r="R43" s="129"/>
      <c r="S43" s="129"/>
      <c r="T43" s="129"/>
      <c r="U43" s="129"/>
      <c r="V43" s="209"/>
      <c r="W43" s="528"/>
      <c r="X43" s="222"/>
      <c r="Y43" s="325"/>
      <c r="Z43" s="774"/>
      <c r="AA43" s="103"/>
      <c r="AB43" s="103"/>
      <c r="AC43" s="103"/>
      <c r="AD43" s="103"/>
      <c r="AE43" s="103"/>
      <c r="AF43" s="123"/>
      <c r="AG43" s="123"/>
      <c r="AH43" s="370"/>
      <c r="AI43" s="1060" t="str">
        <f>C43</f>
        <v>Q2 DISCOVER</v>
      </c>
      <c r="AJ43" s="255">
        <v>1500</v>
      </c>
      <c r="AK43" s="896">
        <f t="shared" si="28"/>
        <v>1500</v>
      </c>
      <c r="AL43" s="105">
        <f>IF(AJ43&gt;0,PRODUCT(I43,$AJ43),0)</f>
        <v>18000</v>
      </c>
      <c r="AM43" s="105">
        <f t="shared" ref="AM43" si="76">IF(AL43&gt;0,PRODUCT(J43,$AJ43),0)</f>
        <v>18000</v>
      </c>
      <c r="AN43" s="105">
        <f t="shared" ref="AN43" si="77">IF(AM43&gt;0,PRODUCT(K43,$AJ43),0)</f>
        <v>18000</v>
      </c>
      <c r="AO43" s="105">
        <f t="shared" ref="AO43" si="78">IF(AN43&gt;0,PRODUCT(L43,$AJ43),0)</f>
        <v>18000</v>
      </c>
      <c r="AP43" s="105">
        <f t="shared" ref="AP43" si="79">IF(AO43&gt;0,PRODUCT(M43,$AJ43),0)</f>
        <v>18000</v>
      </c>
      <c r="AQ43" s="158">
        <f>SUM(AL43:AP43)</f>
        <v>90000</v>
      </c>
      <c r="AR43" s="105">
        <v>3000</v>
      </c>
      <c r="AS43" s="473" t="s">
        <v>718</v>
      </c>
      <c r="AT43" s="106" t="str">
        <f>C43</f>
        <v>Q2 DISCOVER</v>
      </c>
      <c r="AU43" s="1209">
        <v>1500</v>
      </c>
      <c r="AV43" s="108">
        <f t="shared" ref="AV43" si="80">IF($AU43&gt;0,PRODUCT(I43,$AU43),0)</f>
        <v>18000</v>
      </c>
      <c r="AW43" s="108">
        <f t="shared" ref="AW43" si="81">IF($AU43&gt;0,PRODUCT(J43,$AU43),0)</f>
        <v>18000</v>
      </c>
      <c r="AX43" s="108">
        <f t="shared" ref="AX43" si="82">IF($AU43&gt;0,PRODUCT(K43,$AU43),0)</f>
        <v>18000</v>
      </c>
      <c r="AY43" s="108">
        <f t="shared" ref="AY43" si="83">IF($AU43&gt;0,PRODUCT(L43,$AU43),0)</f>
        <v>18000</v>
      </c>
      <c r="AZ43" s="108">
        <f t="shared" ref="AZ43" si="84">IF($AU43&gt;0,PRODUCT(M43,$AU43),0)</f>
        <v>18000</v>
      </c>
      <c r="BA43" s="165">
        <f>SUM(AV43:AZ43)</f>
        <v>90000</v>
      </c>
      <c r="BB43" s="108">
        <v>3000</v>
      </c>
      <c r="BC43" s="531" t="s">
        <v>718</v>
      </c>
    </row>
    <row r="44" spans="1:55" s="495" customFormat="1" outlineLevel="1" x14ac:dyDescent="0.25">
      <c r="A44" s="445"/>
      <c r="B44" s="623"/>
      <c r="C44" s="200"/>
      <c r="D44" s="604"/>
      <c r="E44" s="604"/>
      <c r="F44" s="604"/>
      <c r="G44" s="604"/>
      <c r="H44" s="618"/>
      <c r="I44" s="127"/>
      <c r="J44" s="127"/>
      <c r="K44" s="127"/>
      <c r="L44" s="127"/>
      <c r="M44" s="127"/>
      <c r="N44" s="245"/>
      <c r="O44" s="586"/>
      <c r="P44" s="757"/>
      <c r="Q44" s="129"/>
      <c r="R44" s="129"/>
      <c r="S44" s="129"/>
      <c r="T44" s="129"/>
      <c r="U44" s="129"/>
      <c r="V44" s="209"/>
      <c r="W44" s="528"/>
      <c r="X44" s="222"/>
      <c r="Y44" s="325"/>
      <c r="Z44" s="774"/>
      <c r="AA44" s="103"/>
      <c r="AB44" s="103"/>
      <c r="AC44" s="103"/>
      <c r="AD44" s="103"/>
      <c r="AE44" s="103"/>
      <c r="AF44" s="123"/>
      <c r="AG44" s="123"/>
      <c r="AH44" s="370"/>
      <c r="AI44" s="880"/>
      <c r="AJ44" s="255"/>
      <c r="AK44" s="896"/>
      <c r="AL44" s="105"/>
      <c r="AM44" s="105"/>
      <c r="AN44" s="105"/>
      <c r="AO44" s="105"/>
      <c r="AP44" s="105"/>
      <c r="AQ44" s="158"/>
      <c r="AR44" s="105"/>
      <c r="AS44" s="473"/>
      <c r="AT44" s="106"/>
      <c r="AU44" s="1207"/>
      <c r="AV44" s="108">
        <f t="shared" si="36"/>
        <v>0</v>
      </c>
      <c r="AW44" s="108">
        <f t="shared" si="37"/>
        <v>0</v>
      </c>
      <c r="AX44" s="108">
        <f t="shared" si="38"/>
        <v>0</v>
      </c>
      <c r="AY44" s="108">
        <f t="shared" si="39"/>
        <v>0</v>
      </c>
      <c r="AZ44" s="108">
        <f t="shared" si="40"/>
        <v>0</v>
      </c>
      <c r="BA44" s="165"/>
      <c r="BB44" s="108"/>
      <c r="BC44" s="531"/>
    </row>
    <row r="45" spans="1:55" s="495" customFormat="1" outlineLevel="1" x14ac:dyDescent="0.25">
      <c r="A45" s="804" t="s">
        <v>693</v>
      </c>
      <c r="B45" s="623" t="s">
        <v>709</v>
      </c>
      <c r="C45" s="601" t="s">
        <v>726</v>
      </c>
      <c r="D45" s="604"/>
      <c r="E45" s="604"/>
      <c r="F45" s="604"/>
      <c r="G45" s="604"/>
      <c r="H45" s="618">
        <v>1</v>
      </c>
      <c r="I45" s="127">
        <f t="shared" ref="I45:I50" si="85">H45*12</f>
        <v>12</v>
      </c>
      <c r="J45" s="127">
        <f>IF(I45&gt;12,(((I45)*'CORE Recurring Items'!$H$5)+I45),(I45*1))</f>
        <v>12</v>
      </c>
      <c r="K45" s="127">
        <f>IF(J45&gt;12,(((J45)*'CORE Recurring Items'!$H$5)+J45),(J45*1))</f>
        <v>12</v>
      </c>
      <c r="L45" s="127">
        <f>IF(K45&gt;12,(((K45)*'CORE Recurring Items'!$H$5)+K45),(K45*1))</f>
        <v>12</v>
      </c>
      <c r="M45" s="127">
        <f>IF(L45&gt;12,(((L45)*'CORE Recurring Items'!$H$5)+L45),(L45*1))</f>
        <v>12</v>
      </c>
      <c r="N45" s="245"/>
      <c r="O45" s="586"/>
      <c r="P45" s="757"/>
      <c r="Q45" s="129"/>
      <c r="R45" s="129"/>
      <c r="S45" s="129"/>
      <c r="T45" s="129"/>
      <c r="U45" s="129"/>
      <c r="V45" s="209"/>
      <c r="W45" s="528"/>
      <c r="X45" s="222" t="str">
        <f>C45</f>
        <v>Oncall IVR - Hosted</v>
      </c>
      <c r="Y45" s="325">
        <v>1413.13</v>
      </c>
      <c r="Z45" s="774">
        <f t="shared" ref="Z45:Z50" si="86">AA45/12</f>
        <v>1413.13</v>
      </c>
      <c r="AA45" s="103">
        <f t="shared" ref="AA45:AA50" si="87">IF(Y45&gt;0,PRODUCT(I45,$Y45),0)</f>
        <v>16957.560000000001</v>
      </c>
      <c r="AB45" s="103">
        <f t="shared" ref="AB45:AB54" si="88">IF(AA45&gt;0,PRODUCT(J45,$Y45),0)</f>
        <v>16957.560000000001</v>
      </c>
      <c r="AC45" s="103">
        <f t="shared" ref="AC45:AC54" si="89">IF(AB45&gt;0,PRODUCT(K45,$Y45),0)</f>
        <v>16957.560000000001</v>
      </c>
      <c r="AD45" s="103">
        <f t="shared" ref="AD45:AD54" si="90">IF(AC45&gt;0,PRODUCT(L45,$Y45),0)</f>
        <v>16957.560000000001</v>
      </c>
      <c r="AE45" s="103">
        <f t="shared" ref="AE45:AE54" si="91">IF(AD45&gt;0,PRODUCT(M45,$Y45),0)</f>
        <v>16957.560000000001</v>
      </c>
      <c r="AF45" s="123">
        <f t="shared" ref="AF45:AF50" si="92">SUM(AA45:AE45)</f>
        <v>84787.8</v>
      </c>
      <c r="AG45" s="123">
        <v>4250</v>
      </c>
      <c r="AH45" s="370"/>
      <c r="AI45" s="221"/>
      <c r="AJ45" s="271"/>
      <c r="AK45" s="896">
        <f t="shared" ref="AK45:AK54" si="93">AL45/12</f>
        <v>0</v>
      </c>
      <c r="AL45" s="105"/>
      <c r="AM45" s="105"/>
      <c r="AN45" s="105"/>
      <c r="AO45" s="105"/>
      <c r="AP45" s="105"/>
      <c r="AQ45" s="158"/>
      <c r="AR45" s="105"/>
      <c r="AS45" s="473"/>
      <c r="AT45" s="106"/>
      <c r="AU45" s="1200"/>
      <c r="AV45" s="108">
        <f t="shared" si="36"/>
        <v>0</v>
      </c>
      <c r="AW45" s="108">
        <f t="shared" si="37"/>
        <v>0</v>
      </c>
      <c r="AX45" s="108">
        <f t="shared" si="38"/>
        <v>0</v>
      </c>
      <c r="AY45" s="108">
        <f t="shared" si="39"/>
        <v>0</v>
      </c>
      <c r="AZ45" s="108">
        <f t="shared" si="40"/>
        <v>0</v>
      </c>
      <c r="BA45" s="165"/>
      <c r="BB45" s="108"/>
      <c r="BC45" s="531"/>
    </row>
    <row r="46" spans="1:55" s="495" customFormat="1" outlineLevel="1" x14ac:dyDescent="0.25">
      <c r="A46" s="445"/>
      <c r="B46" s="623"/>
      <c r="C46" s="310" t="s">
        <v>708</v>
      </c>
      <c r="D46" s="604"/>
      <c r="E46" s="604"/>
      <c r="F46" s="604"/>
      <c r="G46" s="604"/>
      <c r="H46" s="618">
        <v>1</v>
      </c>
      <c r="I46" s="127">
        <f t="shared" si="85"/>
        <v>12</v>
      </c>
      <c r="J46" s="127">
        <f>IF(I46&gt;12,(((I46)*'CORE Recurring Items'!$H$5)+I46),(I46*1))</f>
        <v>12</v>
      </c>
      <c r="K46" s="127">
        <f>IF(J46&gt;12,(((J46)*'CORE Recurring Items'!$H$5)+J46),(J46*1))</f>
        <v>12</v>
      </c>
      <c r="L46" s="127">
        <f>IF(K46&gt;12,(((K46)*'CORE Recurring Items'!$H$5)+K46),(K46*1))</f>
        <v>12</v>
      </c>
      <c r="M46" s="127">
        <f>IF(L46&gt;12,(((L46)*'CORE Recurring Items'!$H$5)+L46),(L46*1))</f>
        <v>12</v>
      </c>
      <c r="N46" s="245"/>
      <c r="O46" s="586"/>
      <c r="P46" s="757">
        <f>Q46/12</f>
        <v>0</v>
      </c>
      <c r="Q46" s="129">
        <f>IF(O46&gt;0,PRODUCT(I46,$O46),0)</f>
        <v>0</v>
      </c>
      <c r="R46" s="129">
        <f>IF(Q46&gt;0,PRODUCT(J46,$O46),0)</f>
        <v>0</v>
      </c>
      <c r="S46" s="129">
        <f>IF(R46&gt;0,PRODUCT(K46,$O46),0)</f>
        <v>0</v>
      </c>
      <c r="T46" s="129">
        <f>IF(S46&gt;0,PRODUCT(L46,$O46),0)</f>
        <v>0</v>
      </c>
      <c r="U46" s="129">
        <f>IF(T46&gt;0,PRODUCT(M46,$O46),0)</f>
        <v>0</v>
      </c>
      <c r="V46" s="209">
        <f>SUM(Q46:U46)</f>
        <v>0</v>
      </c>
      <c r="W46" s="528"/>
      <c r="X46" s="222" t="str">
        <f>C46</f>
        <v xml:space="preserve"> </v>
      </c>
      <c r="Y46" s="325"/>
      <c r="Z46" s="774">
        <f t="shared" si="86"/>
        <v>0</v>
      </c>
      <c r="AA46" s="103">
        <f t="shared" si="87"/>
        <v>0</v>
      </c>
      <c r="AB46" s="103">
        <f t="shared" si="88"/>
        <v>0</v>
      </c>
      <c r="AC46" s="103">
        <f t="shared" si="89"/>
        <v>0</v>
      </c>
      <c r="AD46" s="103">
        <f t="shared" si="90"/>
        <v>0</v>
      </c>
      <c r="AE46" s="103">
        <f t="shared" si="91"/>
        <v>0</v>
      </c>
      <c r="AF46" s="123">
        <f t="shared" si="92"/>
        <v>0</v>
      </c>
      <c r="AG46" s="123"/>
      <c r="AH46" s="370"/>
      <c r="AI46" s="221"/>
      <c r="AJ46" s="271"/>
      <c r="AK46" s="896">
        <f t="shared" si="93"/>
        <v>0</v>
      </c>
      <c r="AL46" s="105"/>
      <c r="AM46" s="105"/>
      <c r="AN46" s="105"/>
      <c r="AO46" s="105"/>
      <c r="AP46" s="105"/>
      <c r="AQ46" s="158"/>
      <c r="AR46" s="105"/>
      <c r="AS46" s="473"/>
      <c r="AT46" s="106"/>
      <c r="AU46" s="1200"/>
      <c r="AV46" s="108">
        <f t="shared" si="36"/>
        <v>0</v>
      </c>
      <c r="AW46" s="108">
        <f t="shared" si="37"/>
        <v>0</v>
      </c>
      <c r="AX46" s="108">
        <f t="shared" si="38"/>
        <v>0</v>
      </c>
      <c r="AY46" s="108">
        <f t="shared" si="39"/>
        <v>0</v>
      </c>
      <c r="AZ46" s="108">
        <f t="shared" si="40"/>
        <v>0</v>
      </c>
      <c r="BA46" s="165"/>
      <c r="BB46" s="108"/>
      <c r="BC46" s="531"/>
    </row>
    <row r="47" spans="1:55" s="495" customFormat="1" outlineLevel="1" x14ac:dyDescent="0.25">
      <c r="A47" s="890"/>
      <c r="B47" s="623" t="s">
        <v>727</v>
      </c>
      <c r="C47" s="310" t="s">
        <v>728</v>
      </c>
      <c r="D47" s="604"/>
      <c r="E47" s="604"/>
      <c r="F47" s="604"/>
      <c r="G47" s="604"/>
      <c r="H47" s="618">
        <v>1</v>
      </c>
      <c r="I47" s="127">
        <f t="shared" si="85"/>
        <v>12</v>
      </c>
      <c r="J47" s="127">
        <f>IF(I47&gt;12,(((I47)*'DGTL Recurring Items'!$H$5)+I47),(I47*1))</f>
        <v>12</v>
      </c>
      <c r="K47" s="127">
        <f>IF(J47&gt;12,(((J47)*'DGTL Recurring Items'!$H$5)+J47),(J47*1))</f>
        <v>12</v>
      </c>
      <c r="L47" s="127">
        <f>IF(K47&gt;12,(((K47)*'DGTL Recurring Items'!$H$5)+K47),(K47*1))</f>
        <v>12</v>
      </c>
      <c r="M47" s="127">
        <f>IF(L47&gt;12,(((L47)*'DGTL Recurring Items'!$H$5)+L47),(L47*1))</f>
        <v>12</v>
      </c>
      <c r="N47" s="245"/>
      <c r="O47" s="586"/>
      <c r="P47" s="757">
        <f>Q47/12</f>
        <v>0</v>
      </c>
      <c r="Q47" s="129"/>
      <c r="R47" s="129"/>
      <c r="S47" s="129"/>
      <c r="T47" s="129"/>
      <c r="U47" s="129"/>
      <c r="V47" s="209"/>
      <c r="W47" s="528"/>
      <c r="X47" s="222"/>
      <c r="Y47" s="325"/>
      <c r="Z47" s="774">
        <f t="shared" si="86"/>
        <v>0</v>
      </c>
      <c r="AA47" s="103">
        <f t="shared" si="87"/>
        <v>0</v>
      </c>
      <c r="AB47" s="103">
        <f t="shared" si="88"/>
        <v>0</v>
      </c>
      <c r="AC47" s="103">
        <f t="shared" si="89"/>
        <v>0</v>
      </c>
      <c r="AD47" s="103">
        <f t="shared" si="90"/>
        <v>0</v>
      </c>
      <c r="AE47" s="103">
        <f t="shared" si="91"/>
        <v>0</v>
      </c>
      <c r="AF47" s="123">
        <f t="shared" si="92"/>
        <v>0</v>
      </c>
      <c r="AG47" s="123"/>
      <c r="AH47" s="370"/>
      <c r="AI47" s="221" t="str">
        <f>C47</f>
        <v>Q2 Plaid Adapter - Account Opening</v>
      </c>
      <c r="AJ47" s="255">
        <f>28572/12</f>
        <v>2381</v>
      </c>
      <c r="AK47" s="896">
        <f t="shared" si="93"/>
        <v>2381</v>
      </c>
      <c r="AL47" s="105">
        <f>IF(AJ47&gt;0,PRODUCT(I47,$AJ47),0)</f>
        <v>28572</v>
      </c>
      <c r="AM47" s="105">
        <f t="shared" ref="AM47:AP50" si="94">IF(AL47&gt;0,PRODUCT(J47,$AJ47),0)</f>
        <v>28572</v>
      </c>
      <c r="AN47" s="105">
        <f t="shared" si="94"/>
        <v>28572</v>
      </c>
      <c r="AO47" s="105">
        <f t="shared" si="94"/>
        <v>28572</v>
      </c>
      <c r="AP47" s="105">
        <f t="shared" si="94"/>
        <v>28572</v>
      </c>
      <c r="AQ47" s="158">
        <f t="shared" ref="AQ47:AQ54" si="95">SUM(AL47:AP47)</f>
        <v>142860</v>
      </c>
      <c r="AR47" s="105">
        <v>4000</v>
      </c>
      <c r="AS47" s="1056" t="s">
        <v>729</v>
      </c>
      <c r="AT47" s="106" t="s">
        <v>728</v>
      </c>
      <c r="AU47" s="1209">
        <v>2381</v>
      </c>
      <c r="AV47" s="108">
        <f t="shared" si="36"/>
        <v>28572</v>
      </c>
      <c r="AW47" s="108">
        <f t="shared" si="37"/>
        <v>28572</v>
      </c>
      <c r="AX47" s="108">
        <f t="shared" si="38"/>
        <v>28572</v>
      </c>
      <c r="AY47" s="108">
        <f t="shared" si="39"/>
        <v>28572</v>
      </c>
      <c r="AZ47" s="108">
        <f t="shared" si="40"/>
        <v>28572</v>
      </c>
      <c r="BA47" s="165">
        <f>SUM(AV47:AZ47)</f>
        <v>142860</v>
      </c>
      <c r="BB47" s="108">
        <v>4000</v>
      </c>
      <c r="BC47" s="531"/>
    </row>
    <row r="48" spans="1:55" s="495" customFormat="1" outlineLevel="1" x14ac:dyDescent="0.25">
      <c r="A48" s="890"/>
      <c r="B48" s="623" t="s">
        <v>727</v>
      </c>
      <c r="C48" s="200" t="s">
        <v>730</v>
      </c>
      <c r="D48" s="604"/>
      <c r="E48" s="604"/>
      <c r="F48" s="604"/>
      <c r="G48" s="604"/>
      <c r="H48" s="618">
        <v>0</v>
      </c>
      <c r="I48" s="127">
        <f t="shared" si="85"/>
        <v>0</v>
      </c>
      <c r="J48" s="127">
        <f>IF(I48&gt;12,(((I48)*'DGTL Recurring Items'!$H$5)+I48),(I48*1))</f>
        <v>0</v>
      </c>
      <c r="K48" s="127">
        <f>IF(J48&gt;12,(((J48)*'DGTL Recurring Items'!$H$5)+J48),(J48*1))</f>
        <v>0</v>
      </c>
      <c r="L48" s="127">
        <f>IF(K48&gt;12,(((K48)*'DGTL Recurring Items'!$H$5)+K48),(K48*1))</f>
        <v>0</v>
      </c>
      <c r="M48" s="127">
        <f>IF(L48&gt;12,(((L48)*'DGTL Recurring Items'!$H$5)+L48),(L48*1))</f>
        <v>0</v>
      </c>
      <c r="N48" s="245"/>
      <c r="O48" s="586"/>
      <c r="P48" s="757">
        <f>Q48/12</f>
        <v>0</v>
      </c>
      <c r="Q48" s="129"/>
      <c r="R48" s="129"/>
      <c r="S48" s="129"/>
      <c r="T48" s="129"/>
      <c r="U48" s="129"/>
      <c r="V48" s="209"/>
      <c r="W48" s="528"/>
      <c r="X48" s="222"/>
      <c r="Y48" s="325"/>
      <c r="Z48" s="774">
        <f t="shared" si="86"/>
        <v>0</v>
      </c>
      <c r="AA48" s="103">
        <f t="shared" si="87"/>
        <v>0</v>
      </c>
      <c r="AB48" s="103">
        <f t="shared" si="88"/>
        <v>0</v>
      </c>
      <c r="AC48" s="103">
        <f t="shared" si="89"/>
        <v>0</v>
      </c>
      <c r="AD48" s="103">
        <f t="shared" si="90"/>
        <v>0</v>
      </c>
      <c r="AE48" s="103">
        <f t="shared" si="91"/>
        <v>0</v>
      </c>
      <c r="AF48" s="123">
        <f t="shared" si="92"/>
        <v>0</v>
      </c>
      <c r="AG48" s="123"/>
      <c r="AH48" s="370"/>
      <c r="AI48" s="880" t="str">
        <f>C48</f>
        <v>Q2 Plaid Adapter - Account Opening per verification</v>
      </c>
      <c r="AJ48" s="255">
        <v>3.83</v>
      </c>
      <c r="AK48" s="896">
        <f t="shared" si="93"/>
        <v>0</v>
      </c>
      <c r="AL48" s="105">
        <f>IF(AJ48&gt;0,PRODUCT(I48,$AJ48),0)</f>
        <v>0</v>
      </c>
      <c r="AM48" s="105">
        <f t="shared" si="94"/>
        <v>0</v>
      </c>
      <c r="AN48" s="105">
        <f t="shared" si="94"/>
        <v>0</v>
      </c>
      <c r="AO48" s="105">
        <f t="shared" si="94"/>
        <v>0</v>
      </c>
      <c r="AP48" s="105">
        <f t="shared" si="94"/>
        <v>0</v>
      </c>
      <c r="AQ48" s="158">
        <f t="shared" si="95"/>
        <v>0</v>
      </c>
      <c r="AR48" s="105"/>
      <c r="AS48" s="1056" t="s">
        <v>729</v>
      </c>
      <c r="AT48" s="1181" t="s">
        <v>730</v>
      </c>
      <c r="AU48" s="1209">
        <v>3.83</v>
      </c>
      <c r="AV48" s="108">
        <f t="shared" si="36"/>
        <v>0</v>
      </c>
      <c r="AW48" s="108">
        <f t="shared" si="37"/>
        <v>0</v>
      </c>
      <c r="AX48" s="108">
        <f t="shared" si="38"/>
        <v>0</v>
      </c>
      <c r="AY48" s="108">
        <f t="shared" si="39"/>
        <v>0</v>
      </c>
      <c r="AZ48" s="108">
        <f t="shared" si="40"/>
        <v>0</v>
      </c>
      <c r="BA48" s="165">
        <f>SUM(AV48:AZ48)</f>
        <v>0</v>
      </c>
      <c r="BB48" s="108"/>
      <c r="BC48" s="531"/>
    </row>
    <row r="49" spans="1:55" s="495" customFormat="1" outlineLevel="1" x14ac:dyDescent="0.25">
      <c r="A49" s="890"/>
      <c r="B49" s="623" t="s">
        <v>727</v>
      </c>
      <c r="C49" s="310" t="s">
        <v>731</v>
      </c>
      <c r="D49" s="604"/>
      <c r="E49" s="604"/>
      <c r="F49" s="604"/>
      <c r="G49" s="604"/>
      <c r="H49" s="618">
        <v>1</v>
      </c>
      <c r="I49" s="127">
        <f t="shared" si="85"/>
        <v>12</v>
      </c>
      <c r="J49" s="127">
        <f>IF(I49&gt;12,(((I49)*'DGTL Recurring Items'!$H$5)+I49),(I49*1))</f>
        <v>12</v>
      </c>
      <c r="K49" s="127">
        <f>IF(J49&gt;12,(((J49)*'DGTL Recurring Items'!$H$5)+J49),(J49*1))</f>
        <v>12</v>
      </c>
      <c r="L49" s="127">
        <f>IF(K49&gt;12,(((K49)*'DGTL Recurring Items'!$H$5)+K49),(K49*1))</f>
        <v>12</v>
      </c>
      <c r="M49" s="127">
        <f>IF(L49&gt;12,(((L49)*'DGTL Recurring Items'!$H$5)+L49),(L49*1))</f>
        <v>12</v>
      </c>
      <c r="N49" s="245"/>
      <c r="O49" s="586"/>
      <c r="P49" s="757">
        <f>Q49/12</f>
        <v>0</v>
      </c>
      <c r="Q49" s="129"/>
      <c r="R49" s="129"/>
      <c r="S49" s="129"/>
      <c r="T49" s="129"/>
      <c r="U49" s="129"/>
      <c r="V49" s="209"/>
      <c r="W49" s="528"/>
      <c r="X49" s="222"/>
      <c r="Y49" s="325"/>
      <c r="Z49" s="774">
        <f t="shared" si="86"/>
        <v>0</v>
      </c>
      <c r="AA49" s="103">
        <f t="shared" si="87"/>
        <v>0</v>
      </c>
      <c r="AB49" s="103">
        <f t="shared" si="88"/>
        <v>0</v>
      </c>
      <c r="AC49" s="103">
        <f t="shared" si="89"/>
        <v>0</v>
      </c>
      <c r="AD49" s="103">
        <f t="shared" si="90"/>
        <v>0</v>
      </c>
      <c r="AE49" s="103">
        <f t="shared" si="91"/>
        <v>0</v>
      </c>
      <c r="AF49" s="123">
        <f t="shared" si="92"/>
        <v>0</v>
      </c>
      <c r="AG49" s="123"/>
      <c r="AH49" s="370"/>
      <c r="AI49" s="221" t="str">
        <f>C49</f>
        <v>Q2 Plaid Adapter - External Transfer</v>
      </c>
      <c r="AJ49" s="255">
        <f>14280/12</f>
        <v>1190</v>
      </c>
      <c r="AK49" s="896">
        <f t="shared" si="93"/>
        <v>1190</v>
      </c>
      <c r="AL49" s="105">
        <f>IF(AJ49&gt;0,PRODUCT(I49,$AJ49),0)</f>
        <v>14280</v>
      </c>
      <c r="AM49" s="105">
        <f t="shared" si="94"/>
        <v>14280</v>
      </c>
      <c r="AN49" s="105">
        <f t="shared" si="94"/>
        <v>14280</v>
      </c>
      <c r="AO49" s="105">
        <f t="shared" si="94"/>
        <v>14280</v>
      </c>
      <c r="AP49" s="105">
        <f t="shared" si="94"/>
        <v>14280</v>
      </c>
      <c r="AQ49" s="158">
        <f t="shared" si="95"/>
        <v>71400</v>
      </c>
      <c r="AR49" s="105">
        <v>4000</v>
      </c>
      <c r="AS49" s="1056" t="s">
        <v>729</v>
      </c>
      <c r="AT49" s="106" t="s">
        <v>731</v>
      </c>
      <c r="AU49" s="1209">
        <v>1190</v>
      </c>
      <c r="AV49" s="108">
        <f t="shared" si="36"/>
        <v>14280</v>
      </c>
      <c r="AW49" s="108">
        <f t="shared" si="37"/>
        <v>14280</v>
      </c>
      <c r="AX49" s="108">
        <f t="shared" si="38"/>
        <v>14280</v>
      </c>
      <c r="AY49" s="108">
        <f t="shared" si="39"/>
        <v>14280</v>
      </c>
      <c r="AZ49" s="108">
        <f t="shared" si="40"/>
        <v>14280</v>
      </c>
      <c r="BA49" s="165">
        <f>SUM(AV49:AZ49)</f>
        <v>71400</v>
      </c>
      <c r="BB49" s="108">
        <v>4000</v>
      </c>
      <c r="BC49" s="531"/>
    </row>
    <row r="50" spans="1:55" s="495" customFormat="1" outlineLevel="1" x14ac:dyDescent="0.25">
      <c r="A50" s="890"/>
      <c r="B50" s="623" t="s">
        <v>727</v>
      </c>
      <c r="C50" s="200" t="s">
        <v>732</v>
      </c>
      <c r="D50" s="604"/>
      <c r="E50" s="604"/>
      <c r="F50" s="604"/>
      <c r="G50" s="604"/>
      <c r="H50" s="618">
        <v>0</v>
      </c>
      <c r="I50" s="127">
        <f t="shared" si="85"/>
        <v>0</v>
      </c>
      <c r="J50" s="127">
        <f>IF(I50&gt;12,(((I50)*'DGTL Recurring Items'!$H$5)+I50),(I50*1))</f>
        <v>0</v>
      </c>
      <c r="K50" s="127">
        <f>IF(J50&gt;12,(((J50)*'DGTL Recurring Items'!$H$5)+J50),(J50*1))</f>
        <v>0</v>
      </c>
      <c r="L50" s="127">
        <f>IF(K50&gt;12,(((K50)*'DGTL Recurring Items'!$H$5)+K50),(K50*1))</f>
        <v>0</v>
      </c>
      <c r="M50" s="127">
        <f>IF(L50&gt;12,(((L50)*'DGTL Recurring Items'!$H$5)+L50),(L50*1))</f>
        <v>0</v>
      </c>
      <c r="N50" s="245"/>
      <c r="O50" s="586"/>
      <c r="P50" s="757">
        <f>Q50/12</f>
        <v>0</v>
      </c>
      <c r="Q50" s="129"/>
      <c r="R50" s="129"/>
      <c r="S50" s="129"/>
      <c r="T50" s="129"/>
      <c r="U50" s="129"/>
      <c r="V50" s="209"/>
      <c r="W50" s="528"/>
      <c r="X50" s="222"/>
      <c r="Y50" s="325"/>
      <c r="Z50" s="774">
        <f t="shared" si="86"/>
        <v>0</v>
      </c>
      <c r="AA50" s="103">
        <f t="shared" si="87"/>
        <v>0</v>
      </c>
      <c r="AB50" s="103">
        <f t="shared" si="88"/>
        <v>0</v>
      </c>
      <c r="AC50" s="103">
        <f t="shared" si="89"/>
        <v>0</v>
      </c>
      <c r="AD50" s="103">
        <f t="shared" si="90"/>
        <v>0</v>
      </c>
      <c r="AE50" s="103">
        <f t="shared" si="91"/>
        <v>0</v>
      </c>
      <c r="AF50" s="123">
        <f t="shared" si="92"/>
        <v>0</v>
      </c>
      <c r="AG50" s="123"/>
      <c r="AH50" s="370"/>
      <c r="AI50" s="880" t="str">
        <f>C50</f>
        <v>Q2 Plaid Adapter - External Transfer per verification</v>
      </c>
      <c r="AJ50" s="255">
        <v>3.83</v>
      </c>
      <c r="AK50" s="896">
        <f t="shared" si="93"/>
        <v>0</v>
      </c>
      <c r="AL50" s="105">
        <f>IF(AJ50&gt;0,PRODUCT(I50,$AJ50),0)</f>
        <v>0</v>
      </c>
      <c r="AM50" s="105">
        <f t="shared" si="94"/>
        <v>0</v>
      </c>
      <c r="AN50" s="105">
        <f t="shared" si="94"/>
        <v>0</v>
      </c>
      <c r="AO50" s="105">
        <f t="shared" si="94"/>
        <v>0</v>
      </c>
      <c r="AP50" s="105">
        <f t="shared" si="94"/>
        <v>0</v>
      </c>
      <c r="AQ50" s="158">
        <f t="shared" si="95"/>
        <v>0</v>
      </c>
      <c r="AR50" s="105"/>
      <c r="AS50" s="1056" t="s">
        <v>729</v>
      </c>
      <c r="AT50" s="1181" t="s">
        <v>732</v>
      </c>
      <c r="AU50" s="1209">
        <v>3.83</v>
      </c>
      <c r="AV50" s="108">
        <f t="shared" si="36"/>
        <v>0</v>
      </c>
      <c r="AW50" s="108">
        <f t="shared" si="37"/>
        <v>0</v>
      </c>
      <c r="AX50" s="108">
        <f t="shared" si="38"/>
        <v>0</v>
      </c>
      <c r="AY50" s="108">
        <f t="shared" si="39"/>
        <v>0</v>
      </c>
      <c r="AZ50" s="108">
        <f t="shared" si="40"/>
        <v>0</v>
      </c>
      <c r="BA50" s="165">
        <f>SUM(AV50:AZ50)</f>
        <v>0</v>
      </c>
      <c r="BB50" s="108"/>
      <c r="BC50" s="531"/>
    </row>
    <row r="51" spans="1:55" s="495" customFormat="1" outlineLevel="1" x14ac:dyDescent="0.25">
      <c r="A51" s="445"/>
      <c r="B51" s="623"/>
      <c r="C51" s="310"/>
      <c r="D51" s="604"/>
      <c r="E51" s="604"/>
      <c r="F51" s="604"/>
      <c r="G51" s="604"/>
      <c r="H51" s="618"/>
      <c r="I51" s="127">
        <f t="shared" ref="I51" si="96">H51*12</f>
        <v>0</v>
      </c>
      <c r="J51" s="127">
        <f t="shared" ref="J51:M55" si="97">IF(I51&gt;12,(((I51)*$H$5)+I51),(I51*1))</f>
        <v>0</v>
      </c>
      <c r="K51" s="127">
        <f t="shared" si="97"/>
        <v>0</v>
      </c>
      <c r="L51" s="127">
        <f t="shared" si="97"/>
        <v>0</v>
      </c>
      <c r="M51" s="127">
        <f t="shared" si="97"/>
        <v>0</v>
      </c>
      <c r="N51" s="245"/>
      <c r="O51" s="586"/>
      <c r="P51" s="757">
        <f t="shared" ref="P51" si="98">Q51/12</f>
        <v>0</v>
      </c>
      <c r="Q51" s="129">
        <f t="shared" ref="Q51" si="99">IF(O51&gt;0,PRODUCT(I51,$O51),0)</f>
        <v>0</v>
      </c>
      <c r="R51" s="129">
        <f t="shared" ref="R51:U53" si="100">IF(Q51&gt;0,PRODUCT(J51,$O51),0)</f>
        <v>0</v>
      </c>
      <c r="S51" s="129">
        <f t="shared" si="100"/>
        <v>0</v>
      </c>
      <c r="T51" s="129">
        <f t="shared" si="100"/>
        <v>0</v>
      </c>
      <c r="U51" s="129">
        <f t="shared" si="100"/>
        <v>0</v>
      </c>
      <c r="V51" s="209">
        <f t="shared" ref="V51" si="101">SUM(Q51:U51)</f>
        <v>0</v>
      </c>
      <c r="W51" s="528"/>
      <c r="X51" s="222"/>
      <c r="Y51" s="325"/>
      <c r="Z51" s="774">
        <f t="shared" ref="Z51" si="102">AA51/12</f>
        <v>0</v>
      </c>
      <c r="AA51" s="103">
        <f t="shared" ref="AA51" si="103">IF(Y51&gt;0,PRODUCT(I51,$Y51),0)</f>
        <v>0</v>
      </c>
      <c r="AB51" s="103">
        <f t="shared" si="88"/>
        <v>0</v>
      </c>
      <c r="AC51" s="103">
        <f t="shared" si="89"/>
        <v>0</v>
      </c>
      <c r="AD51" s="103">
        <f t="shared" si="90"/>
        <v>0</v>
      </c>
      <c r="AE51" s="103">
        <f t="shared" si="91"/>
        <v>0</v>
      </c>
      <c r="AF51" s="123">
        <f t="shared" ref="AF51" si="104">SUM(AA51:AE51)</f>
        <v>0</v>
      </c>
      <c r="AG51" s="123"/>
      <c r="AH51" s="370"/>
      <c r="AI51" s="221"/>
      <c r="AJ51" s="886"/>
      <c r="AK51" s="896">
        <f t="shared" si="93"/>
        <v>0</v>
      </c>
      <c r="AL51" s="105" cm="1">
        <f t="array" ref="AL51">_xlfn.IFS($AJ51="NO CHARGE",0,$AJ51=0,0,$AJ51&gt;0,PRODUCT(I51,$AJ51))</f>
        <v>0</v>
      </c>
      <c r="AM51" s="105" cm="1">
        <f t="array" ref="AM51">_xlfn.IFS($AJ51="NO CHARGE",0,$AJ51=0,0,$AJ51&gt;0,PRODUCT(J51,$AJ51))</f>
        <v>0</v>
      </c>
      <c r="AN51" s="105" cm="1">
        <f t="array" ref="AN51">_xlfn.IFS($AJ51="NO CHARGE",0,$AJ51=0,0,$AJ51&gt;0,PRODUCT(K51,$AJ51))</f>
        <v>0</v>
      </c>
      <c r="AO51" s="105" cm="1">
        <f t="array" ref="AO51">_xlfn.IFS($AJ51="NO CHARGE",0,$AJ51=0,0,$AJ51&gt;0,PRODUCT(L51,$AJ51))</f>
        <v>0</v>
      </c>
      <c r="AP51" s="105" cm="1">
        <f t="array" ref="AP51">_xlfn.IFS($AJ51="NO CHARGE",0,$AJ51=0,0,$AJ51&gt;0,PRODUCT(M51,$AJ51))</f>
        <v>0</v>
      </c>
      <c r="AQ51" s="158">
        <f t="shared" si="95"/>
        <v>0</v>
      </c>
      <c r="AR51" s="105"/>
      <c r="AS51" s="473"/>
      <c r="AT51" s="106"/>
      <c r="AU51" s="1200"/>
      <c r="AV51" s="108">
        <f t="shared" si="36"/>
        <v>0</v>
      </c>
      <c r="AW51" s="108">
        <f t="shared" si="37"/>
        <v>0</v>
      </c>
      <c r="AX51" s="108">
        <f t="shared" si="38"/>
        <v>0</v>
      </c>
      <c r="AY51" s="108">
        <f t="shared" si="39"/>
        <v>0</v>
      </c>
      <c r="AZ51" s="108">
        <f t="shared" si="40"/>
        <v>0</v>
      </c>
      <c r="BA51" s="165"/>
      <c r="BB51" s="108"/>
      <c r="BC51" s="531"/>
    </row>
    <row r="52" spans="1:55" s="1138" customFormat="1" outlineLevel="1" x14ac:dyDescent="0.25">
      <c r="A52" s="1113"/>
      <c r="B52" s="1112" t="s">
        <v>733</v>
      </c>
      <c r="C52" s="1114" t="s">
        <v>734</v>
      </c>
      <c r="D52" s="1115"/>
      <c r="E52" s="1115"/>
      <c r="F52" s="1115"/>
      <c r="G52" s="1115"/>
      <c r="H52" s="1116">
        <v>1</v>
      </c>
      <c r="I52" s="1117">
        <f>H52*12</f>
        <v>12</v>
      </c>
      <c r="J52" s="1117">
        <f t="shared" si="97"/>
        <v>12</v>
      </c>
      <c r="K52" s="1117">
        <f t="shared" si="97"/>
        <v>12</v>
      </c>
      <c r="L52" s="1117">
        <f t="shared" si="97"/>
        <v>12</v>
      </c>
      <c r="M52" s="1117">
        <f t="shared" si="97"/>
        <v>12</v>
      </c>
      <c r="N52" s="1118"/>
      <c r="O52" s="1119"/>
      <c r="P52" s="1120">
        <f>Q52/12</f>
        <v>0</v>
      </c>
      <c r="Q52" s="1121">
        <f>IF(O52&gt;0,PRODUCT(I52,$O52),0)</f>
        <v>0</v>
      </c>
      <c r="R52" s="1121">
        <f t="shared" si="100"/>
        <v>0</v>
      </c>
      <c r="S52" s="1121">
        <f t="shared" si="100"/>
        <v>0</v>
      </c>
      <c r="T52" s="1121">
        <f t="shared" si="100"/>
        <v>0</v>
      </c>
      <c r="U52" s="1121">
        <f t="shared" si="100"/>
        <v>0</v>
      </c>
      <c r="V52" s="1122">
        <f>SUM(Q52:U52)</f>
        <v>0</v>
      </c>
      <c r="W52" s="1123"/>
      <c r="X52" s="1124" t="str">
        <f>C52</f>
        <v>[PLACEHOLDER] FIS ZELLE QUOTE PENDING</v>
      </c>
      <c r="Y52" s="1125"/>
      <c r="Z52" s="1126">
        <f>AA52/12</f>
        <v>0</v>
      </c>
      <c r="AA52" s="1127">
        <f>IF(Y52&gt;0,PRODUCT(I52,$Y52),0)</f>
        <v>0</v>
      </c>
      <c r="AB52" s="1127">
        <f t="shared" si="88"/>
        <v>0</v>
      </c>
      <c r="AC52" s="1127">
        <f t="shared" si="89"/>
        <v>0</v>
      </c>
      <c r="AD52" s="1127">
        <f t="shared" si="90"/>
        <v>0</v>
      </c>
      <c r="AE52" s="1127">
        <f t="shared" si="91"/>
        <v>0</v>
      </c>
      <c r="AF52" s="1128">
        <v>150000</v>
      </c>
      <c r="AG52" s="1128"/>
      <c r="AH52" s="1129"/>
      <c r="AI52" s="1130" t="str">
        <f>C52</f>
        <v>[PLACEHOLDER] FIS ZELLE QUOTE PENDING</v>
      </c>
      <c r="AJ52" s="1139"/>
      <c r="AK52" s="1131">
        <f t="shared" si="93"/>
        <v>0</v>
      </c>
      <c r="AL52" s="1132" cm="1">
        <f t="array" ref="AL52">_xlfn.IFS($AJ52="NO CHARGE",0,$AJ52=0,0,$AJ52&gt;0,PRODUCT(I52,$AJ52))</f>
        <v>0</v>
      </c>
      <c r="AM52" s="1132" cm="1">
        <f t="array" ref="AM52">_xlfn.IFS($AJ52="NO CHARGE",0,$AJ52=0,0,$AJ52&gt;0,PRODUCT(J52,$AJ52))</f>
        <v>0</v>
      </c>
      <c r="AN52" s="1132" cm="1">
        <f t="array" ref="AN52">_xlfn.IFS($AJ52="NO CHARGE",0,$AJ52=0,0,$AJ52&gt;0,PRODUCT(K52,$AJ52))</f>
        <v>0</v>
      </c>
      <c r="AO52" s="1132" cm="1">
        <f t="array" ref="AO52">_xlfn.IFS($AJ52="NO CHARGE",0,$AJ52=0,0,$AJ52&gt;0,PRODUCT(L52,$AJ52))</f>
        <v>0</v>
      </c>
      <c r="AP52" s="1132" cm="1">
        <f t="array" ref="AP52">_xlfn.IFS($AJ52="NO CHARGE",0,$AJ52=0,0,$AJ52&gt;0,PRODUCT(M52,$AJ52))</f>
        <v>0</v>
      </c>
      <c r="AQ52" s="1133">
        <v>150000</v>
      </c>
      <c r="AR52" s="1132"/>
      <c r="AS52" s="1134"/>
      <c r="AT52" s="1135" t="s">
        <v>734</v>
      </c>
      <c r="AU52" s="1231"/>
      <c r="AV52" s="108">
        <f t="shared" si="36"/>
        <v>0</v>
      </c>
      <c r="AW52" s="108">
        <f t="shared" si="37"/>
        <v>0</v>
      </c>
      <c r="AX52" s="108">
        <f t="shared" si="38"/>
        <v>0</v>
      </c>
      <c r="AY52" s="108">
        <f t="shared" si="39"/>
        <v>0</v>
      </c>
      <c r="AZ52" s="108">
        <f t="shared" si="40"/>
        <v>0</v>
      </c>
      <c r="BA52" s="1133">
        <v>150000</v>
      </c>
      <c r="BB52" s="1136"/>
      <c r="BC52" s="1137"/>
    </row>
    <row r="53" spans="1:55" s="495" customFormat="1" outlineLevel="1" x14ac:dyDescent="0.25">
      <c r="A53" s="890"/>
      <c r="B53" s="623" t="s">
        <v>733</v>
      </c>
      <c r="C53" s="310" t="s">
        <v>735</v>
      </c>
      <c r="D53" s="604"/>
      <c r="E53" s="604"/>
      <c r="F53" s="604"/>
      <c r="G53" s="604"/>
      <c r="H53" s="618"/>
      <c r="I53" s="127">
        <f>H53*12</f>
        <v>0</v>
      </c>
      <c r="J53" s="127">
        <f t="shared" si="97"/>
        <v>0</v>
      </c>
      <c r="K53" s="127">
        <f t="shared" si="97"/>
        <v>0</v>
      </c>
      <c r="L53" s="127">
        <f t="shared" si="97"/>
        <v>0</v>
      </c>
      <c r="M53" s="127">
        <f t="shared" si="97"/>
        <v>0</v>
      </c>
      <c r="N53" s="245"/>
      <c r="O53" s="586"/>
      <c r="P53" s="1061">
        <f>Q53/12</f>
        <v>0</v>
      </c>
      <c r="Q53" s="129">
        <f>IF(O53&gt;0,PRODUCT(I53,$O53),0)</f>
        <v>0</v>
      </c>
      <c r="R53" s="129">
        <f t="shared" si="100"/>
        <v>0</v>
      </c>
      <c r="S53" s="129">
        <f t="shared" si="100"/>
        <v>0</v>
      </c>
      <c r="T53" s="129">
        <f t="shared" si="100"/>
        <v>0</v>
      </c>
      <c r="U53" s="129">
        <f t="shared" si="100"/>
        <v>0</v>
      </c>
      <c r="V53" s="209">
        <f>SUM(Q53:U53)</f>
        <v>0</v>
      </c>
      <c r="W53" s="528"/>
      <c r="X53" s="222"/>
      <c r="Y53" s="325"/>
      <c r="Z53" s="324">
        <f>AA53/12</f>
        <v>0</v>
      </c>
      <c r="AA53" s="103">
        <f>IF(Y53&gt;0,PRODUCT(I53,$Y53),0)</f>
        <v>0</v>
      </c>
      <c r="AB53" s="103">
        <f t="shared" si="88"/>
        <v>0</v>
      </c>
      <c r="AC53" s="103">
        <f t="shared" si="89"/>
        <v>0</v>
      </c>
      <c r="AD53" s="103">
        <f t="shared" si="90"/>
        <v>0</v>
      </c>
      <c r="AE53" s="103">
        <f t="shared" si="91"/>
        <v>0</v>
      </c>
      <c r="AF53" s="123">
        <f>SUM(AA53:AE53)</f>
        <v>0</v>
      </c>
      <c r="AG53" s="123"/>
      <c r="AH53" s="370"/>
      <c r="AI53" s="221" t="s">
        <v>736</v>
      </c>
      <c r="AJ53" s="886"/>
      <c r="AK53" s="271"/>
      <c r="AL53" s="105"/>
      <c r="AM53" s="105"/>
      <c r="AN53" s="105"/>
      <c r="AO53" s="105"/>
      <c r="AP53" s="105"/>
      <c r="AQ53" s="158"/>
      <c r="AR53" s="105"/>
      <c r="AS53" s="473"/>
      <c r="AT53" s="106" t="s">
        <v>736</v>
      </c>
      <c r="AU53" s="1200"/>
      <c r="AV53" s="108"/>
      <c r="AW53" s="108"/>
      <c r="AX53" s="108"/>
      <c r="AY53" s="108"/>
      <c r="AZ53" s="108"/>
      <c r="BA53" s="165"/>
      <c r="BB53" s="108"/>
      <c r="BC53" s="531"/>
    </row>
    <row r="54" spans="1:55" s="495" customFormat="1" outlineLevel="1" x14ac:dyDescent="0.25">
      <c r="A54" s="445"/>
      <c r="B54" s="623"/>
      <c r="C54" s="310"/>
      <c r="D54" s="604"/>
      <c r="E54" s="604"/>
      <c r="F54" s="604"/>
      <c r="G54" s="604"/>
      <c r="H54" s="618"/>
      <c r="I54" s="127">
        <f>H54*12</f>
        <v>0</v>
      </c>
      <c r="J54" s="127">
        <f t="shared" si="97"/>
        <v>0</v>
      </c>
      <c r="K54" s="127">
        <f t="shared" si="97"/>
        <v>0</v>
      </c>
      <c r="L54" s="127">
        <f t="shared" si="97"/>
        <v>0</v>
      </c>
      <c r="M54" s="127">
        <f t="shared" si="97"/>
        <v>0</v>
      </c>
      <c r="N54" s="245"/>
      <c r="O54" s="586"/>
      <c r="P54" s="757"/>
      <c r="Q54" s="129"/>
      <c r="R54" s="129"/>
      <c r="S54" s="129"/>
      <c r="T54" s="129"/>
      <c r="U54" s="129"/>
      <c r="V54" s="209"/>
      <c r="W54" s="528"/>
      <c r="X54" s="222"/>
      <c r="Y54" s="325"/>
      <c r="Z54" s="774">
        <f>AA54/12</f>
        <v>0</v>
      </c>
      <c r="AA54" s="103">
        <f>IF(Y54&gt;0,PRODUCT(I54,$Y54),0)</f>
        <v>0</v>
      </c>
      <c r="AB54" s="103">
        <f t="shared" si="88"/>
        <v>0</v>
      </c>
      <c r="AC54" s="103">
        <f t="shared" si="89"/>
        <v>0</v>
      </c>
      <c r="AD54" s="103">
        <f t="shared" si="90"/>
        <v>0</v>
      </c>
      <c r="AE54" s="103">
        <f t="shared" si="91"/>
        <v>0</v>
      </c>
      <c r="AF54" s="123">
        <f>SUM(AA54:AE54)</f>
        <v>0</v>
      </c>
      <c r="AG54" s="123"/>
      <c r="AH54" s="370"/>
      <c r="AI54" s="221"/>
      <c r="AJ54" s="886"/>
      <c r="AK54" s="896">
        <f t="shared" si="93"/>
        <v>0</v>
      </c>
      <c r="AL54" s="105" cm="1">
        <f t="array" ref="AL54">_xlfn.IFS($AJ54="NO CHARGE",0,$AJ54=0,0,$AJ54&gt;0,PRODUCT(I54,$AJ54))</f>
        <v>0</v>
      </c>
      <c r="AM54" s="105" cm="1">
        <f t="array" ref="AM54">_xlfn.IFS($AJ54="NO CHARGE",0,$AJ54=0,0,$AJ54&gt;0,PRODUCT(J54,$AJ54))</f>
        <v>0</v>
      </c>
      <c r="AN54" s="105" cm="1">
        <f t="array" ref="AN54">_xlfn.IFS($AJ54="NO CHARGE",0,$AJ54=0,0,$AJ54&gt;0,PRODUCT(K54,$AJ54))</f>
        <v>0</v>
      </c>
      <c r="AO54" s="105" cm="1">
        <f t="array" ref="AO54">_xlfn.IFS($AJ54="NO CHARGE",0,$AJ54=0,0,$AJ54&gt;0,PRODUCT(L54,$AJ54))</f>
        <v>0</v>
      </c>
      <c r="AP54" s="105" cm="1">
        <f t="array" ref="AP54">_xlfn.IFS($AJ54="NO CHARGE",0,$AJ54=0,0,$AJ54&gt;0,PRODUCT(M54,$AJ54))</f>
        <v>0</v>
      </c>
      <c r="AQ54" s="158">
        <f t="shared" si="95"/>
        <v>0</v>
      </c>
      <c r="AR54" s="105"/>
      <c r="AS54" s="473"/>
      <c r="AT54" s="106"/>
      <c r="AU54" s="1200"/>
      <c r="AV54" s="108">
        <f>IF(AU54&gt;0,PRODUCT(I55,$AU54),0)</f>
        <v>0</v>
      </c>
      <c r="AW54" s="108">
        <f>IF(AV54&gt;0,PRODUCT(J55,$AU54),0)</f>
        <v>0</v>
      </c>
      <c r="AX54" s="108">
        <f>IF(AW54&gt;0,PRODUCT(K55,$AU54),0)</f>
        <v>0</v>
      </c>
      <c r="AY54" s="108">
        <f>IF(AX54&gt;0,PRODUCT(L55,$AU54),0)</f>
        <v>0</v>
      </c>
      <c r="AZ54" s="108">
        <f>IF(AY54&gt;0,PRODUCT(M55,$AU54),0)</f>
        <v>0</v>
      </c>
      <c r="BA54" s="165">
        <f>SUM(AV54:AZ54)</f>
        <v>0</v>
      </c>
      <c r="BB54" s="108"/>
      <c r="BC54" s="531"/>
    </row>
    <row r="55" spans="1:55" ht="3.75" customHeight="1" outlineLevel="1" x14ac:dyDescent="0.25">
      <c r="A55" s="607"/>
      <c r="B55" s="16"/>
      <c r="C55" s="16"/>
      <c r="D55" s="16"/>
      <c r="E55" s="16"/>
      <c r="F55" s="16"/>
      <c r="G55" s="16"/>
      <c r="H55" s="16">
        <f>IFERROR(AVERAGE(D55:F55),0)</f>
        <v>0</v>
      </c>
      <c r="I55" s="16">
        <f t="shared" ref="I55" si="105">H55*12</f>
        <v>0</v>
      </c>
      <c r="J55" s="16">
        <f t="shared" si="97"/>
        <v>0</v>
      </c>
      <c r="K55" s="16">
        <f t="shared" si="97"/>
        <v>0</v>
      </c>
      <c r="L55" s="16">
        <f t="shared" si="97"/>
        <v>0</v>
      </c>
      <c r="M55" s="16">
        <f t="shared" si="97"/>
        <v>0</v>
      </c>
      <c r="N55" s="16"/>
      <c r="O55" s="16"/>
      <c r="P55" s="761"/>
      <c r="Q55" s="16"/>
      <c r="R55" s="16"/>
      <c r="S55" s="16"/>
      <c r="T55" s="16"/>
      <c r="U55" s="16"/>
      <c r="V55" s="16"/>
      <c r="W55" s="16"/>
      <c r="X55" s="16"/>
      <c r="Y55" s="706"/>
      <c r="Z55" s="773"/>
      <c r="AA55" s="21"/>
      <c r="AB55" s="21"/>
      <c r="AC55" s="21"/>
      <c r="AD55" s="21"/>
      <c r="AE55" s="21"/>
      <c r="AF55" s="21"/>
      <c r="AG55" s="21"/>
      <c r="AH55" s="21"/>
      <c r="AI55" s="263"/>
      <c r="AJ55" s="706"/>
      <c r="AK55" s="773"/>
      <c r="AL55" s="21"/>
      <c r="AM55" s="21"/>
      <c r="AN55" s="21"/>
      <c r="AO55" s="21"/>
      <c r="AP55" s="21"/>
      <c r="AQ55" s="21"/>
      <c r="AR55" s="21"/>
      <c r="AS55" s="21"/>
      <c r="AT55" s="20"/>
      <c r="AU55" s="20"/>
      <c r="AV55" s="20"/>
      <c r="AW55" s="20"/>
      <c r="AX55" s="20"/>
      <c r="AY55" s="20"/>
      <c r="AZ55" s="20"/>
      <c r="BA55" s="22"/>
      <c r="BB55" s="21"/>
      <c r="BC55" s="21"/>
    </row>
    <row r="56" spans="1:55" s="1055" customFormat="1" ht="21" outlineLevel="1" x14ac:dyDescent="0.35">
      <c r="A56" s="1023"/>
      <c r="B56" s="1024"/>
      <c r="C56" s="1025" t="s">
        <v>737</v>
      </c>
      <c r="D56" s="1026"/>
      <c r="E56" s="1026"/>
      <c r="F56" s="1026"/>
      <c r="G56" s="1026"/>
      <c r="H56" s="1027"/>
      <c r="I56" s="1028"/>
      <c r="J56" s="1029"/>
      <c r="K56" s="1030"/>
      <c r="L56" s="1030"/>
      <c r="M56" s="1031"/>
      <c r="N56" s="1032" t="str">
        <f>C56</f>
        <v>SUM OF NEW OPTIONAL DIGITAL SERVICES:</v>
      </c>
      <c r="O56" s="1033"/>
      <c r="P56" s="1034"/>
      <c r="Q56" s="1035">
        <f t="shared" ref="Q56:V56" si="106">SUM(Q23:Q54)</f>
        <v>0</v>
      </c>
      <c r="R56" s="1035">
        <f t="shared" si="106"/>
        <v>0</v>
      </c>
      <c r="S56" s="1035">
        <f t="shared" si="106"/>
        <v>0</v>
      </c>
      <c r="T56" s="1035">
        <f t="shared" si="106"/>
        <v>0</v>
      </c>
      <c r="U56" s="1035">
        <f t="shared" si="106"/>
        <v>0</v>
      </c>
      <c r="V56" s="1036">
        <f t="shared" si="106"/>
        <v>0</v>
      </c>
      <c r="W56" s="1037"/>
      <c r="X56" s="1038" t="str">
        <f>C56</f>
        <v>SUM OF NEW OPTIONAL DIGITAL SERVICES:</v>
      </c>
      <c r="Y56" s="1039"/>
      <c r="Z56" s="1040"/>
      <c r="AA56" s="1041">
        <f t="shared" ref="AA56:AG56" si="107">SUM(AA23:AA54)</f>
        <v>67657.56</v>
      </c>
      <c r="AB56" s="1041">
        <f t="shared" si="107"/>
        <v>67657.56</v>
      </c>
      <c r="AC56" s="1041">
        <f t="shared" si="107"/>
        <v>67657.56</v>
      </c>
      <c r="AD56" s="1041">
        <f t="shared" si="107"/>
        <v>67657.56</v>
      </c>
      <c r="AE56" s="1041">
        <f t="shared" si="107"/>
        <v>67657.56</v>
      </c>
      <c r="AF56" s="1042">
        <f t="shared" si="107"/>
        <v>488287.8</v>
      </c>
      <c r="AG56" s="1043">
        <f t="shared" si="107"/>
        <v>67000</v>
      </c>
      <c r="AH56" s="1044"/>
      <c r="AI56" s="1045" t="str">
        <f>C56</f>
        <v>SUM OF NEW OPTIONAL DIGITAL SERVICES:</v>
      </c>
      <c r="AJ56" s="1046"/>
      <c r="AK56" s="1047"/>
      <c r="AL56" s="1048">
        <f t="shared" ref="AL56:AR56" si="108">SUM(AL23:AL54)</f>
        <v>236634</v>
      </c>
      <c r="AM56" s="1048">
        <f t="shared" si="108"/>
        <v>237031.44</v>
      </c>
      <c r="AN56" s="1048">
        <f t="shared" si="108"/>
        <v>237436.82879999999</v>
      </c>
      <c r="AO56" s="1048">
        <f t="shared" si="108"/>
        <v>237850.32537599999</v>
      </c>
      <c r="AP56" s="1048">
        <f t="shared" si="108"/>
        <v>238272.09188352001</v>
      </c>
      <c r="AQ56" s="1049">
        <f t="shared" si="108"/>
        <v>1337224.6860595201</v>
      </c>
      <c r="AR56" s="1048">
        <f t="shared" si="108"/>
        <v>31000</v>
      </c>
      <c r="AS56" s="1050"/>
      <c r="AT56" s="1051" t="str">
        <f>C57</f>
        <v>Processing Fees Sum:</v>
      </c>
      <c r="AU56" s="1230"/>
      <c r="AV56" s="1052">
        <f>SUM(AV8:AV54)</f>
        <v>216924</v>
      </c>
      <c r="AW56" s="1052">
        <f>SUM(AW8:AW54)</f>
        <v>217321.44</v>
      </c>
      <c r="AX56" s="1052">
        <f>SUM(AX8:AX54)</f>
        <v>217726.82879999999</v>
      </c>
      <c r="AY56" s="1052">
        <f>SUM(AY8:AY54)</f>
        <v>218140.32537599999</v>
      </c>
      <c r="AZ56" s="1052">
        <f>SUM(AZ8:AZ54)</f>
        <v>218562.09188352001</v>
      </c>
      <c r="BA56" s="1053">
        <f t="shared" ref="BA56:BB56" si="109">SUM(BA23:BA54)</f>
        <v>1238674.6860595201</v>
      </c>
      <c r="BB56" s="1052">
        <f t="shared" si="109"/>
        <v>28000</v>
      </c>
      <c r="BC56" s="1054"/>
    </row>
    <row r="57" spans="1:55" ht="3.75" customHeight="1" x14ac:dyDescent="0.25">
      <c r="A57" s="607"/>
      <c r="B57" s="16"/>
      <c r="C57" s="633" t="s">
        <v>381</v>
      </c>
      <c r="D57" s="634"/>
      <c r="E57" s="634"/>
      <c r="F57" s="634"/>
      <c r="G57" s="634"/>
      <c r="H57" s="635"/>
      <c r="I57" s="636"/>
      <c r="J57" s="636"/>
      <c r="K57" s="636"/>
      <c r="L57" s="636"/>
      <c r="M57" s="637"/>
      <c r="N57" s="638" t="str">
        <f>C57</f>
        <v>Processing Fees Sum:</v>
      </c>
      <c r="O57" s="639"/>
      <c r="P57" s="763"/>
      <c r="Q57" s="640" t="e">
        <f t="shared" ref="Q57:V57" si="110">SUM(Q8:Q55)</f>
        <v>#REF!</v>
      </c>
      <c r="R57" s="640" t="e">
        <f t="shared" si="110"/>
        <v>#REF!</v>
      </c>
      <c r="S57" s="640" t="e">
        <f t="shared" si="110"/>
        <v>#REF!</v>
      </c>
      <c r="T57" s="640" t="e">
        <f t="shared" si="110"/>
        <v>#REF!</v>
      </c>
      <c r="U57" s="640" t="e">
        <f t="shared" si="110"/>
        <v>#REF!</v>
      </c>
      <c r="V57" s="641" t="e">
        <f t="shared" si="110"/>
        <v>#REF!</v>
      </c>
      <c r="W57" s="21"/>
      <c r="X57" s="16"/>
      <c r="Y57" s="706"/>
      <c r="Z57" s="773"/>
      <c r="AA57" s="21"/>
      <c r="AB57" s="21"/>
      <c r="AC57" s="21"/>
      <c r="AD57" s="21"/>
      <c r="AE57" s="21"/>
      <c r="AF57" s="21"/>
      <c r="AG57" s="21"/>
      <c r="AH57" s="21"/>
      <c r="AI57" s="263"/>
      <c r="AJ57" s="706"/>
      <c r="AK57" s="773"/>
      <c r="AL57" s="21"/>
      <c r="AM57" s="21"/>
      <c r="AN57" s="21"/>
      <c r="AO57" s="21"/>
      <c r="AP57" s="21"/>
      <c r="AQ57" s="21"/>
      <c r="AR57" s="21"/>
      <c r="AS57" s="21"/>
      <c r="AT57" s="20"/>
      <c r="AU57" s="20"/>
      <c r="AV57" s="20"/>
      <c r="AW57" s="20"/>
      <c r="AX57" s="20"/>
      <c r="AY57" s="20"/>
      <c r="AZ57" s="20"/>
      <c r="BA57" s="22"/>
      <c r="BB57" s="21"/>
      <c r="BC57" s="21"/>
    </row>
  </sheetData>
  <mergeCells count="10">
    <mergeCell ref="N5:V5"/>
    <mergeCell ref="X5:AF5"/>
    <mergeCell ref="AI5:AQ5"/>
    <mergeCell ref="AT5:BA5"/>
    <mergeCell ref="H3:H4"/>
    <mergeCell ref="J3:M3"/>
    <mergeCell ref="N4:V4"/>
    <mergeCell ref="X4:AF4"/>
    <mergeCell ref="AI4:AQ4"/>
    <mergeCell ref="AT4:BA4"/>
  </mergeCells>
  <conditionalFormatting sqref="A1:A22">
    <cfRule type="containsText" dxfId="17" priority="7" operator="containsText" text="DIGITAL">
      <formula>NOT(ISERROR(SEARCH("DIGITAL",A1)))</formula>
    </cfRule>
    <cfRule type="containsText" dxfId="16" priority="8" operator="containsText" text="CORE">
      <formula>NOT(ISERROR(SEARCH("CORE",A1)))</formula>
    </cfRule>
    <cfRule type="containsText" dxfId="15" priority="9" operator="containsText" text="PASSTHRU">
      <formula>NOT(ISERROR(SEARCH("PASSTHRU",A1)))</formula>
    </cfRule>
  </conditionalFormatting>
  <conditionalFormatting sqref="A23:A30">
    <cfRule type="containsText" dxfId="14" priority="6" operator="containsText" text="PASSTHRU">
      <formula>NOT(ISERROR(SEARCH("PASSTHRU",A23)))</formula>
    </cfRule>
  </conditionalFormatting>
  <conditionalFormatting sqref="A24:A31 A40:A44 A46:A1048576">
    <cfRule type="containsText" dxfId="13" priority="10" operator="containsText" text="DIGITAL">
      <formula>NOT(ISERROR(SEARCH("DIGITAL",A24)))</formula>
    </cfRule>
    <cfRule type="containsText" dxfId="12" priority="11" operator="containsText" text="CORE">
      <formula>NOT(ISERROR(SEARCH("CORE",A24)))</formula>
    </cfRule>
  </conditionalFormatting>
  <conditionalFormatting sqref="A24:A35 A38:A1048576">
    <cfRule type="containsText" dxfId="11" priority="12" operator="containsText" text="PASSTHRU">
      <formula>NOT(ISERROR(SEARCH("PASSTHRU",A24)))</formula>
    </cfRule>
  </conditionalFormatting>
  <conditionalFormatting sqref="A34:A38">
    <cfRule type="containsText" dxfId="10" priority="1" operator="containsText" text="DIGITAL">
      <formula>NOT(ISERROR(SEARCH("DIGITAL",A34)))</formula>
    </cfRule>
    <cfRule type="containsText" dxfId="9" priority="2" operator="containsText" text="CORE">
      <formula>NOT(ISERROR(SEARCH("CORE",A34)))</formula>
    </cfRule>
  </conditionalFormatting>
  <conditionalFormatting sqref="A36:A37">
    <cfRule type="containsText" dxfId="8" priority="3" operator="containsText" text="PASSTHRU">
      <formula>NOT(ISERROR(SEARCH("PASSTHRU",A36)))</formula>
    </cfRule>
  </conditionalFormatting>
  <conditionalFormatting sqref="N6:P6">
    <cfRule type="containsText" dxfId="7" priority="14" operator="containsText" text="Red Text">
      <formula>NOT(ISERROR(SEARCH("Red Text",N6)))</formula>
    </cfRule>
  </conditionalFormatting>
  <pageMargins left="0.7" right="0.7" top="0.75" bottom="0.75" header="0.3" footer="0.3"/>
  <pageSetup scale="10" orientation="portrait" r:id="rId1"/>
  <colBreaks count="4" manualBreakCount="4">
    <brk id="13" max="1048575" man="1"/>
    <brk id="23" max="1048575" man="1"/>
    <brk id="34" max="1048575" man="1"/>
    <brk id="45"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B9283-2D19-4C45-9D8F-1A19616FEA1D}">
  <sheetPr codeName="Sheet9"/>
  <dimension ref="A1:AW42"/>
  <sheetViews>
    <sheetView showGridLines="0" view="pageBreakPreview" topLeftCell="A2" zoomScale="90" zoomScaleNormal="75" zoomScaleSheetLayoutView="90" workbookViewId="0">
      <pane xSplit="8" ySplit="6" topLeftCell="I8" activePane="bottomRight" state="frozen"/>
      <selection pane="topRight" activeCell="D2" sqref="D2"/>
      <selection pane="bottomLeft" activeCell="B8" sqref="B8"/>
      <selection pane="bottomRight" activeCell="O42" sqref="O42"/>
    </sheetView>
  </sheetViews>
  <sheetFormatPr defaultColWidth="9.28515625" defaultRowHeight="15.75" outlineLevelRow="1" outlineLevelCol="1" x14ac:dyDescent="0.25"/>
  <cols>
    <col min="1" max="1" width="11" style="36" bestFit="1" customWidth="1"/>
    <col min="2" max="2" width="36.85546875" style="36" bestFit="1" customWidth="1"/>
    <col min="3" max="3" width="53.42578125" style="36" customWidth="1"/>
    <col min="4" max="7" width="12.140625" style="617" hidden="1" customWidth="1" outlineLevel="1"/>
    <col min="8" max="8" width="14.85546875" style="36" customWidth="1" collapsed="1"/>
    <col min="9" max="13" width="12.42578125" style="38" customWidth="1"/>
    <col min="14" max="14" width="36.85546875" style="34" bestFit="1" customWidth="1"/>
    <col min="15" max="15" width="15.5703125" style="216" bestFit="1" customWidth="1"/>
    <col min="16" max="20" width="12.42578125" style="35" customWidth="1"/>
    <col min="21" max="21" width="15.42578125" style="35" customWidth="1"/>
    <col min="22" max="22" width="36.140625" style="35" bestFit="1" customWidth="1"/>
    <col min="23" max="23" width="55.28515625" style="34" hidden="1" customWidth="1"/>
    <col min="24" max="24" width="11.5703125" style="27" hidden="1" customWidth="1"/>
    <col min="25" max="29" width="12" style="35" hidden="1" customWidth="1"/>
    <col min="30" max="30" width="18.28515625" style="35" hidden="1" customWidth="1"/>
    <col min="31" max="31" width="36.85546875" style="35" hidden="1" customWidth="1"/>
    <col min="32" max="32" width="66.85546875" style="36" hidden="1" customWidth="1"/>
    <col min="33" max="33" width="14" style="27" hidden="1" customWidth="1"/>
    <col min="34" max="38" width="12" style="35" hidden="1" customWidth="1"/>
    <col min="39" max="39" width="20.5703125" style="35" hidden="1" customWidth="1"/>
    <col min="40" max="40" width="41.5703125" style="35" hidden="1" customWidth="1"/>
    <col min="41" max="41" width="47" style="27" hidden="1" customWidth="1"/>
    <col min="42" max="42" width="13" style="27" hidden="1" customWidth="1"/>
    <col min="43" max="47" width="12.85546875" style="27" hidden="1" customWidth="1"/>
    <col min="48" max="48" width="18.85546875" style="27" hidden="1" customWidth="1"/>
    <col min="49" max="49" width="41.5703125" style="35" hidden="1" customWidth="1"/>
    <col min="50" max="16384" width="9.28515625" style="36"/>
  </cols>
  <sheetData>
    <row r="1" spans="1:49" x14ac:dyDescent="0.25">
      <c r="A1" s="2"/>
      <c r="B1" s="2"/>
      <c r="C1" s="2"/>
      <c r="D1" s="605"/>
      <c r="E1" s="605"/>
      <c r="F1" s="605"/>
      <c r="G1" s="605"/>
      <c r="H1" s="2"/>
      <c r="I1" s="3"/>
      <c r="J1" s="3"/>
      <c r="K1" s="3"/>
      <c r="L1" s="3"/>
      <c r="M1" s="3"/>
      <c r="N1" s="4"/>
      <c r="O1" s="5"/>
      <c r="P1" s="6"/>
      <c r="Q1" s="6"/>
      <c r="R1" s="6"/>
      <c r="S1" s="6"/>
      <c r="T1" s="6"/>
      <c r="U1" s="6"/>
      <c r="V1" s="9"/>
      <c r="W1" s="7"/>
      <c r="X1" s="8"/>
      <c r="Y1" s="9"/>
      <c r="Z1" s="9"/>
      <c r="AA1" s="9"/>
      <c r="AB1" s="9"/>
      <c r="AC1" s="9"/>
      <c r="AD1" s="9"/>
      <c r="AE1" s="9"/>
      <c r="AF1" s="262"/>
      <c r="AG1" s="11"/>
      <c r="AH1" s="12"/>
      <c r="AI1" s="12"/>
      <c r="AJ1" s="12"/>
      <c r="AK1" s="12"/>
      <c r="AL1" s="12"/>
      <c r="AM1" s="12"/>
      <c r="AN1" s="12"/>
      <c r="AO1" s="1"/>
      <c r="AP1" s="1"/>
      <c r="AW1" s="12"/>
    </row>
    <row r="2" spans="1:49" ht="16.5" thickBot="1" x14ac:dyDescent="0.3">
      <c r="A2" s="2"/>
      <c r="B2" s="2"/>
      <c r="C2" s="2"/>
      <c r="D2" s="605"/>
      <c r="E2" s="605"/>
      <c r="F2" s="605"/>
      <c r="G2" s="605"/>
      <c r="H2" s="2"/>
      <c r="I2" s="3"/>
      <c r="J2" s="3"/>
      <c r="K2" s="3"/>
      <c r="L2" s="3"/>
      <c r="M2" s="3"/>
      <c r="N2" s="4"/>
      <c r="O2" s="5"/>
      <c r="P2" s="6"/>
      <c r="Q2" s="6"/>
      <c r="R2" s="6"/>
      <c r="S2" s="6"/>
      <c r="T2" s="6"/>
      <c r="U2" s="6"/>
      <c r="V2" s="6"/>
      <c r="W2" s="7"/>
      <c r="X2" s="8"/>
      <c r="Y2" s="9"/>
      <c r="Z2" s="9"/>
      <c r="AA2" s="9"/>
      <c r="AB2" s="9"/>
      <c r="AC2" s="9"/>
      <c r="AD2" s="9"/>
      <c r="AE2" s="9"/>
      <c r="AF2" s="262"/>
      <c r="AG2" s="11"/>
      <c r="AH2" s="12"/>
      <c r="AI2" s="12"/>
      <c r="AJ2" s="12"/>
      <c r="AK2" s="12"/>
      <c r="AL2" s="12"/>
      <c r="AM2" s="12"/>
      <c r="AN2" s="12"/>
      <c r="AO2" s="1"/>
      <c r="AP2" s="1"/>
      <c r="AW2" s="12"/>
    </row>
    <row r="3" spans="1:49" ht="26.25" x14ac:dyDescent="0.25">
      <c r="A3" s="24"/>
      <c r="B3" s="24"/>
      <c r="C3" s="24" t="s">
        <v>738</v>
      </c>
      <c r="D3" s="24"/>
      <c r="E3" s="24"/>
      <c r="F3" s="24"/>
      <c r="G3" s="24"/>
      <c r="H3" s="358"/>
      <c r="I3" s="1346"/>
      <c r="J3" s="1348"/>
      <c r="K3" s="1348"/>
      <c r="L3" s="1348"/>
      <c r="M3" s="1349"/>
      <c r="N3" s="137"/>
      <c r="O3" s="135"/>
      <c r="P3" s="134"/>
      <c r="Q3" s="136"/>
      <c r="R3" s="136"/>
      <c r="S3" s="136"/>
      <c r="T3" s="136"/>
      <c r="U3" s="136"/>
      <c r="V3" s="136"/>
      <c r="W3" s="137"/>
      <c r="X3" s="135"/>
      <c r="Y3" s="134"/>
      <c r="Z3" s="136"/>
      <c r="AA3" s="136"/>
      <c r="AB3" s="136"/>
      <c r="AC3" s="136"/>
      <c r="AD3" s="136"/>
      <c r="AE3" s="136"/>
      <c r="AF3" s="137"/>
      <c r="AG3" s="135"/>
      <c r="AH3" s="134"/>
      <c r="AI3" s="136"/>
      <c r="AJ3" s="136"/>
      <c r="AK3" s="136"/>
      <c r="AL3" s="136"/>
      <c r="AM3" s="136"/>
      <c r="AN3" s="136"/>
      <c r="AO3" s="137"/>
      <c r="AP3" s="135"/>
      <c r="AQ3" s="134"/>
      <c r="AR3" s="136"/>
      <c r="AS3" s="136"/>
      <c r="AT3" s="136"/>
      <c r="AU3" s="136"/>
      <c r="AV3" s="136"/>
      <c r="AW3" s="136"/>
    </row>
    <row r="4" spans="1:49" s="493" customFormat="1" ht="26.25" customHeight="1" x14ac:dyDescent="0.25">
      <c r="A4" s="232"/>
      <c r="B4" s="232"/>
      <c r="C4" s="309" t="str">
        <f>'(INTERNAL) Basic Entry '!$C$7</f>
        <v>First State Bank of Waynesboro</v>
      </c>
      <c r="D4" s="606"/>
      <c r="E4" s="606"/>
      <c r="F4" s="606"/>
      <c r="G4" s="606"/>
      <c r="H4" s="233"/>
      <c r="I4" s="1347"/>
      <c r="J4" s="670"/>
      <c r="K4" s="671"/>
      <c r="L4" s="671"/>
      <c r="M4" s="672"/>
      <c r="N4" s="1317" t="str">
        <f>'(INTERNAL) Basic Entry '!$C$17</f>
        <v>Current (FIS Bankway)</v>
      </c>
      <c r="O4" s="1318"/>
      <c r="P4" s="1318"/>
      <c r="Q4" s="1318"/>
      <c r="R4" s="1318"/>
      <c r="S4" s="1318"/>
      <c r="T4" s="1318"/>
      <c r="U4" s="1319"/>
      <c r="V4" s="524"/>
      <c r="W4" s="1320" t="str">
        <f>'(INTERNAL) Basic Entry '!$C$19</f>
        <v>FIS Horizon with D1 Flex</v>
      </c>
      <c r="X4" s="1321"/>
      <c r="Y4" s="1321"/>
      <c r="Z4" s="1321"/>
      <c r="AA4" s="1321"/>
      <c r="AB4" s="1321"/>
      <c r="AC4" s="1321"/>
      <c r="AD4" s="1322"/>
      <c r="AE4" s="371"/>
      <c r="AF4" s="1323" t="str">
        <f>'(INTERNAL) Basic Entry '!C21</f>
        <v>FIS Horizon WITHOUT D1 Flex</v>
      </c>
      <c r="AG4" s="1324"/>
      <c r="AH4" s="1324"/>
      <c r="AI4" s="1324"/>
      <c r="AJ4" s="1324"/>
      <c r="AK4" s="1324"/>
      <c r="AL4" s="1324"/>
      <c r="AM4" s="1325"/>
      <c r="AN4" s="472"/>
      <c r="AO4" s="1326" t="str">
        <f>'(INTERNAL) Basic Entry '!C23</f>
        <v>Vendor #3</v>
      </c>
      <c r="AP4" s="1327"/>
      <c r="AQ4" s="1327"/>
      <c r="AR4" s="1327"/>
      <c r="AS4" s="1327"/>
      <c r="AT4" s="1327"/>
      <c r="AU4" s="1327"/>
      <c r="AV4" s="1328"/>
      <c r="AW4" s="529"/>
    </row>
    <row r="5" spans="1:49" ht="18.399999999999999" customHeight="1" thickBot="1" x14ac:dyDescent="0.3">
      <c r="A5" s="26"/>
      <c r="B5" s="25"/>
      <c r="C5" s="273" t="str">
        <f>'(INTERNAL) Basic Entry '!$C$9&amp;" Pricing Analysis"</f>
        <v>CORE &amp; DIGITAL Pricing Analysis</v>
      </c>
      <c r="D5" s="605"/>
      <c r="E5" s="605"/>
      <c r="F5" s="605"/>
      <c r="G5" s="605"/>
      <c r="H5" s="2"/>
      <c r="I5" s="673"/>
      <c r="J5" s="674"/>
      <c r="K5" s="674"/>
      <c r="L5" s="674"/>
      <c r="M5" s="675"/>
      <c r="N5" s="1332" t="str">
        <f>'(INTERNAL) Basic Entry '!$B$14</f>
        <v>Baseline from Current Invoices</v>
      </c>
      <c r="O5" s="1333"/>
      <c r="P5" s="1333"/>
      <c r="Q5" s="1333"/>
      <c r="R5" s="1333"/>
      <c r="S5" s="1333"/>
      <c r="T5" s="1333"/>
      <c r="U5" s="1334"/>
      <c r="V5" s="525"/>
      <c r="W5" s="1335" t="str">
        <f>'(INTERNAL) Basic Entry '!F19</f>
        <v>Proposal Dated 12/13/2023</v>
      </c>
      <c r="X5" s="1336"/>
      <c r="Y5" s="1336"/>
      <c r="Z5" s="1336"/>
      <c r="AA5" s="1336"/>
      <c r="AB5" s="1336"/>
      <c r="AC5" s="1336"/>
      <c r="AD5" s="1337"/>
      <c r="AE5" s="372"/>
      <c r="AF5" s="1338" t="str">
        <f>'(INTERNAL) Basic Entry '!F21</f>
        <v>Proposal Dated 12/13/2023</v>
      </c>
      <c r="AG5" s="1339"/>
      <c r="AH5" s="1339"/>
      <c r="AI5" s="1339"/>
      <c r="AJ5" s="1339"/>
      <c r="AK5" s="1339"/>
      <c r="AL5" s="1339"/>
      <c r="AM5" s="1340"/>
      <c r="AN5" s="471"/>
      <c r="AO5" s="1309" t="str">
        <f>'(INTERNAL) Basic Entry '!F23</f>
        <v>Month Year</v>
      </c>
      <c r="AP5" s="1310"/>
      <c r="AQ5" s="1310"/>
      <c r="AR5" s="1310"/>
      <c r="AS5" s="1310"/>
      <c r="AT5" s="1310"/>
      <c r="AU5" s="1310"/>
      <c r="AV5" s="1311"/>
      <c r="AW5" s="530"/>
    </row>
    <row r="6" spans="1:49" s="494" customFormat="1" ht="56.25" x14ac:dyDescent="0.3">
      <c r="A6" s="101" t="s">
        <v>423</v>
      </c>
      <c r="B6" s="101" t="s">
        <v>34</v>
      </c>
      <c r="C6" s="101" t="s">
        <v>35</v>
      </c>
      <c r="D6" s="603" t="s">
        <v>36</v>
      </c>
      <c r="E6" s="603" t="s">
        <v>37</v>
      </c>
      <c r="F6" s="603" t="s">
        <v>38</v>
      </c>
      <c r="G6" s="603" t="s">
        <v>39</v>
      </c>
      <c r="H6" s="359" t="s">
        <v>40</v>
      </c>
      <c r="I6" s="217" t="s">
        <v>41</v>
      </c>
      <c r="J6" s="217" t="s">
        <v>42</v>
      </c>
      <c r="K6" s="217" t="s">
        <v>43</v>
      </c>
      <c r="L6" s="217" t="s">
        <v>44</v>
      </c>
      <c r="M6" s="217" t="s">
        <v>45</v>
      </c>
      <c r="N6" s="29" t="s">
        <v>46</v>
      </c>
      <c r="O6" s="359" t="s">
        <v>47</v>
      </c>
      <c r="P6" s="30" t="s">
        <v>48</v>
      </c>
      <c r="Q6" s="30" t="s">
        <v>49</v>
      </c>
      <c r="R6" s="30" t="s">
        <v>50</v>
      </c>
      <c r="S6" s="30" t="s">
        <v>51</v>
      </c>
      <c r="T6" s="30" t="s">
        <v>52</v>
      </c>
      <c r="U6" s="208" t="s">
        <v>53</v>
      </c>
      <c r="V6" s="526" t="s">
        <v>54</v>
      </c>
      <c r="W6" s="235" t="s">
        <v>55</v>
      </c>
      <c r="X6" s="323" t="s">
        <v>47</v>
      </c>
      <c r="Y6" s="31" t="s">
        <v>48</v>
      </c>
      <c r="Z6" s="31" t="s">
        <v>49</v>
      </c>
      <c r="AA6" s="31" t="s">
        <v>50</v>
      </c>
      <c r="AB6" s="31" t="s">
        <v>51</v>
      </c>
      <c r="AC6" s="31" t="s">
        <v>52</v>
      </c>
      <c r="AD6" s="122" t="s">
        <v>58</v>
      </c>
      <c r="AE6" s="373" t="s">
        <v>54</v>
      </c>
      <c r="AF6" s="32" t="s">
        <v>55</v>
      </c>
      <c r="AG6" s="254" t="s">
        <v>47</v>
      </c>
      <c r="AH6" s="33" t="s">
        <v>48</v>
      </c>
      <c r="AI6" s="33" t="s">
        <v>49</v>
      </c>
      <c r="AJ6" s="33" t="s">
        <v>50</v>
      </c>
      <c r="AK6" s="33" t="s">
        <v>51</v>
      </c>
      <c r="AL6" s="33" t="s">
        <v>52</v>
      </c>
      <c r="AM6" s="157" t="s">
        <v>58</v>
      </c>
      <c r="AN6" s="33" t="s">
        <v>54</v>
      </c>
      <c r="AO6" s="236" t="s">
        <v>55</v>
      </c>
      <c r="AP6" s="236" t="s">
        <v>47</v>
      </c>
      <c r="AQ6" s="37" t="s">
        <v>48</v>
      </c>
      <c r="AR6" s="37" t="s">
        <v>49</v>
      </c>
      <c r="AS6" s="37" t="s">
        <v>50</v>
      </c>
      <c r="AT6" s="37" t="s">
        <v>51</v>
      </c>
      <c r="AU6" s="37" t="s">
        <v>52</v>
      </c>
      <c r="AV6" s="164" t="s">
        <v>58</v>
      </c>
      <c r="AW6" s="354" t="s">
        <v>54</v>
      </c>
    </row>
    <row r="7" spans="1:49" ht="3.75" customHeight="1" x14ac:dyDescent="0.25">
      <c r="A7" s="16"/>
      <c r="B7" s="16"/>
      <c r="C7" s="263"/>
      <c r="D7" s="607"/>
      <c r="E7" s="607"/>
      <c r="F7" s="607"/>
      <c r="G7" s="607"/>
      <c r="H7" s="16"/>
      <c r="I7" s="18"/>
      <c r="J7" s="18"/>
      <c r="K7" s="18"/>
      <c r="L7" s="18"/>
      <c r="M7" s="18"/>
      <c r="N7" s="16"/>
      <c r="O7" s="19"/>
      <c r="P7" s="17"/>
      <c r="Q7" s="17"/>
      <c r="R7" s="17"/>
      <c r="S7" s="17"/>
      <c r="T7" s="17"/>
      <c r="U7" s="17"/>
      <c r="V7" s="21"/>
      <c r="W7" s="16"/>
      <c r="X7" s="20"/>
      <c r="Y7" s="21"/>
      <c r="Z7" s="21"/>
      <c r="AA7" s="21"/>
      <c r="AB7" s="21"/>
      <c r="AC7" s="21"/>
      <c r="AD7" s="21"/>
      <c r="AE7" s="21"/>
      <c r="AF7" s="263"/>
      <c r="AG7" s="20"/>
      <c r="AH7" s="21"/>
      <c r="AI7" s="21"/>
      <c r="AJ7" s="21"/>
      <c r="AK7" s="21"/>
      <c r="AL7" s="21"/>
      <c r="AM7" s="21"/>
      <c r="AN7" s="21"/>
      <c r="AO7" s="20"/>
      <c r="AP7" s="20"/>
      <c r="AQ7" s="20"/>
      <c r="AR7" s="20"/>
      <c r="AS7" s="20"/>
      <c r="AT7" s="20"/>
      <c r="AU7" s="20"/>
      <c r="AV7" s="22"/>
      <c r="AW7" s="21"/>
    </row>
    <row r="8" spans="1:49" s="495" customFormat="1" outlineLevel="1" x14ac:dyDescent="0.25">
      <c r="A8" s="253"/>
      <c r="B8" s="252" t="str">
        <f>C8</f>
        <v>AI Manage Transport Circuit:</v>
      </c>
      <c r="C8" s="242" t="s">
        <v>739</v>
      </c>
      <c r="D8" s="608"/>
      <c r="E8" s="608"/>
      <c r="F8" s="608"/>
      <c r="G8" s="608"/>
      <c r="H8" s="243"/>
      <c r="I8" s="243"/>
      <c r="J8" s="243"/>
      <c r="K8" s="243"/>
      <c r="L8" s="243"/>
      <c r="M8" s="244"/>
      <c r="N8" s="252" t="str">
        <f>C8</f>
        <v>AI Manage Transport Circuit:</v>
      </c>
      <c r="O8" s="243"/>
      <c r="P8" s="243"/>
      <c r="Q8" s="243"/>
      <c r="R8" s="243"/>
      <c r="S8" s="243"/>
      <c r="T8" s="244"/>
      <c r="U8" s="209"/>
      <c r="V8" s="527"/>
      <c r="W8" s="252" t="str">
        <f>C8</f>
        <v>AI Manage Transport Circuit:</v>
      </c>
      <c r="X8" s="243"/>
      <c r="Y8" s="243"/>
      <c r="Z8" s="243"/>
      <c r="AA8" s="243"/>
      <c r="AB8" s="243"/>
      <c r="AC8" s="244"/>
      <c r="AD8" s="123"/>
      <c r="AE8" s="362"/>
      <c r="AF8" s="252" t="str">
        <f>C8</f>
        <v>AI Manage Transport Circuit:</v>
      </c>
      <c r="AG8" s="243"/>
      <c r="AH8" s="243"/>
      <c r="AI8" s="243"/>
      <c r="AJ8" s="243"/>
      <c r="AK8" s="243"/>
      <c r="AL8" s="244"/>
      <c r="AM8" s="158"/>
      <c r="AN8" s="486"/>
      <c r="AO8" s="252" t="str">
        <f>C8</f>
        <v>AI Manage Transport Circuit:</v>
      </c>
      <c r="AP8" s="243"/>
      <c r="AQ8" s="243"/>
      <c r="AR8" s="243"/>
      <c r="AS8" s="243"/>
      <c r="AT8" s="243"/>
      <c r="AU8" s="244"/>
      <c r="AV8" s="165"/>
      <c r="AW8" s="532"/>
    </row>
    <row r="9" spans="1:49" s="495" customFormat="1" outlineLevel="1" x14ac:dyDescent="0.25">
      <c r="A9" s="445" t="s">
        <v>740</v>
      </c>
      <c r="B9" s="653" t="s">
        <v>741</v>
      </c>
      <c r="C9" s="310" t="s">
        <v>742</v>
      </c>
      <c r="D9" s="604">
        <v>1</v>
      </c>
      <c r="E9" s="604">
        <v>1</v>
      </c>
      <c r="F9" s="604">
        <v>1</v>
      </c>
      <c r="G9" s="604"/>
      <c r="H9" s="618">
        <f>IFERROR(AVERAGE(D9:F9),0)</f>
        <v>1</v>
      </c>
      <c r="I9" s="127">
        <f>H9*12</f>
        <v>12</v>
      </c>
      <c r="J9" s="127">
        <f t="shared" ref="J9:M10" si="0">IF(I9&gt;12,(((I9)*$I$5)+I9),(I9*1))</f>
        <v>12</v>
      </c>
      <c r="K9" s="127">
        <f t="shared" si="0"/>
        <v>12</v>
      </c>
      <c r="L9" s="127">
        <f t="shared" si="0"/>
        <v>12</v>
      </c>
      <c r="M9" s="127">
        <f t="shared" si="0"/>
        <v>12</v>
      </c>
      <c r="N9" s="245" t="str">
        <f t="shared" ref="N9:N16" si="1">IF(C9="","",C9)</f>
        <v>Circuit UCC Charges-PassThru</v>
      </c>
      <c r="O9" s="586">
        <v>420.74</v>
      </c>
      <c r="P9" s="129">
        <f t="shared" ref="P9:T10" si="2">IF(O9&gt;0,PRODUCT(I9,$O9),0)</f>
        <v>5048.88</v>
      </c>
      <c r="Q9" s="129">
        <f t="shared" si="2"/>
        <v>5048.88</v>
      </c>
      <c r="R9" s="129">
        <f t="shared" si="2"/>
        <v>5048.88</v>
      </c>
      <c r="S9" s="129">
        <f t="shared" si="2"/>
        <v>5048.88</v>
      </c>
      <c r="T9" s="129">
        <f t="shared" si="2"/>
        <v>5048.88</v>
      </c>
      <c r="U9" s="209">
        <f t="shared" ref="U9:U10" si="3">SUM(P9:T9)</f>
        <v>25244.400000000001</v>
      </c>
      <c r="V9" s="528"/>
      <c r="W9" s="102"/>
      <c r="X9" s="324"/>
      <c r="Y9" s="103"/>
      <c r="Z9" s="103"/>
      <c r="AA9" s="103"/>
      <c r="AB9" s="103"/>
      <c r="AC9" s="103"/>
      <c r="AD9" s="123"/>
      <c r="AE9" s="370"/>
      <c r="AF9" s="221"/>
      <c r="AG9" s="255"/>
      <c r="AH9" s="105"/>
      <c r="AI9" s="105"/>
      <c r="AJ9" s="105"/>
      <c r="AK9" s="105"/>
      <c r="AL9" s="105"/>
      <c r="AM9" s="158"/>
      <c r="AN9" s="473"/>
      <c r="AO9" s="106"/>
      <c r="AP9" s="107"/>
      <c r="AQ9" s="108"/>
      <c r="AR9" s="108"/>
      <c r="AS9" s="108"/>
      <c r="AT9" s="108"/>
      <c r="AU9" s="108"/>
      <c r="AV9" s="165"/>
      <c r="AW9" s="531"/>
    </row>
    <row r="10" spans="1:49" s="495" customFormat="1" outlineLevel="1" x14ac:dyDescent="0.25">
      <c r="A10" s="445" t="s">
        <v>740</v>
      </c>
      <c r="B10" s="653" t="s">
        <v>741</v>
      </c>
      <c r="C10" s="310" t="s">
        <v>742</v>
      </c>
      <c r="D10" s="604">
        <v>1</v>
      </c>
      <c r="E10" s="604">
        <v>1</v>
      </c>
      <c r="F10" s="604">
        <v>1</v>
      </c>
      <c r="G10" s="604"/>
      <c r="H10" s="618">
        <f>IFERROR(AVERAGE(D10:F10),0)</f>
        <v>1</v>
      </c>
      <c r="I10" s="127">
        <f>H10*12</f>
        <v>12</v>
      </c>
      <c r="J10" s="127">
        <f t="shared" si="0"/>
        <v>12</v>
      </c>
      <c r="K10" s="127">
        <f t="shared" si="0"/>
        <v>12</v>
      </c>
      <c r="L10" s="127">
        <f t="shared" si="0"/>
        <v>12</v>
      </c>
      <c r="M10" s="127">
        <f t="shared" si="0"/>
        <v>12</v>
      </c>
      <c r="N10" s="245" t="str">
        <f t="shared" si="1"/>
        <v>Circuit UCC Charges-PassThru</v>
      </c>
      <c r="O10" s="586">
        <v>9.67</v>
      </c>
      <c r="P10" s="129">
        <f t="shared" si="2"/>
        <v>116.03999999999999</v>
      </c>
      <c r="Q10" s="129">
        <f t="shared" si="2"/>
        <v>116.03999999999999</v>
      </c>
      <c r="R10" s="129">
        <f t="shared" si="2"/>
        <v>116.03999999999999</v>
      </c>
      <c r="S10" s="129">
        <f t="shared" si="2"/>
        <v>116.03999999999999</v>
      </c>
      <c r="T10" s="129">
        <f t="shared" si="2"/>
        <v>116.03999999999999</v>
      </c>
      <c r="U10" s="209">
        <f t="shared" si="3"/>
        <v>580.19999999999993</v>
      </c>
      <c r="V10" s="528"/>
      <c r="W10" s="102"/>
      <c r="X10" s="324"/>
      <c r="Y10" s="103"/>
      <c r="Z10" s="103"/>
      <c r="AA10" s="103"/>
      <c r="AB10" s="103"/>
      <c r="AC10" s="103"/>
      <c r="AD10" s="123"/>
      <c r="AE10" s="370"/>
      <c r="AF10" s="221"/>
      <c r="AG10" s="255"/>
      <c r="AH10" s="105"/>
      <c r="AI10" s="105"/>
      <c r="AJ10" s="105"/>
      <c r="AK10" s="105"/>
      <c r="AL10" s="105"/>
      <c r="AM10" s="158"/>
      <c r="AN10" s="473"/>
      <c r="AO10" s="106"/>
      <c r="AP10" s="107"/>
      <c r="AQ10" s="108"/>
      <c r="AR10" s="108"/>
      <c r="AS10" s="108"/>
      <c r="AT10" s="108"/>
      <c r="AU10" s="108"/>
      <c r="AV10" s="165"/>
      <c r="AW10" s="531"/>
    </row>
    <row r="11" spans="1:49" s="495" customFormat="1" outlineLevel="1" x14ac:dyDescent="0.25">
      <c r="A11" s="253"/>
      <c r="B11" s="252" t="str">
        <f>C11</f>
        <v>Bill Pay / iPay:</v>
      </c>
      <c r="C11" s="242" t="s">
        <v>554</v>
      </c>
      <c r="D11" s="609"/>
      <c r="E11" s="609"/>
      <c r="F11" s="609"/>
      <c r="G11" s="609"/>
      <c r="H11" s="619"/>
      <c r="I11" s="243"/>
      <c r="J11" s="243"/>
      <c r="K11" s="243"/>
      <c r="L11" s="243"/>
      <c r="M11" s="244"/>
      <c r="N11" s="252" t="str">
        <f t="shared" si="1"/>
        <v>Bill Pay / iPay:</v>
      </c>
      <c r="O11" s="243"/>
      <c r="P11" s="243"/>
      <c r="Q11" s="243"/>
      <c r="R11" s="243"/>
      <c r="S11" s="243"/>
      <c r="T11" s="244"/>
      <c r="U11" s="209"/>
      <c r="V11" s="527"/>
      <c r="W11" s="252" t="str">
        <f>C11</f>
        <v>Bill Pay / iPay:</v>
      </c>
      <c r="X11" s="243"/>
      <c r="Y11" s="243"/>
      <c r="Z11" s="243"/>
      <c r="AA11" s="243"/>
      <c r="AB11" s="243"/>
      <c r="AC11" s="244"/>
      <c r="AD11" s="123"/>
      <c r="AE11" s="362"/>
      <c r="AF11" s="252" t="str">
        <f>C11</f>
        <v>Bill Pay / iPay:</v>
      </c>
      <c r="AG11" s="243"/>
      <c r="AH11" s="243"/>
      <c r="AI11" s="243"/>
      <c r="AJ11" s="243"/>
      <c r="AK11" s="243"/>
      <c r="AL11" s="244"/>
      <c r="AM11" s="158"/>
      <c r="AN11" s="486"/>
      <c r="AO11" s="252" t="str">
        <f>C11</f>
        <v>Bill Pay / iPay:</v>
      </c>
      <c r="AP11" s="243"/>
      <c r="AQ11" s="243"/>
      <c r="AR11" s="243"/>
      <c r="AS11" s="243"/>
      <c r="AT11" s="243"/>
      <c r="AU11" s="244"/>
      <c r="AV11" s="165"/>
      <c r="AW11" s="532"/>
    </row>
    <row r="12" spans="1:49" s="495" customFormat="1" outlineLevel="1" x14ac:dyDescent="0.25">
      <c r="A12" s="445" t="s">
        <v>743</v>
      </c>
      <c r="B12" s="623" t="s">
        <v>744</v>
      </c>
      <c r="C12" s="310" t="s">
        <v>745</v>
      </c>
      <c r="D12" s="604">
        <v>0</v>
      </c>
      <c r="E12" s="604">
        <v>0</v>
      </c>
      <c r="F12" s="604">
        <v>1</v>
      </c>
      <c r="G12" s="604"/>
      <c r="H12" s="618">
        <f>IFERROR(AVERAGE(D12:F12),0)</f>
        <v>0.33333333333333331</v>
      </c>
      <c r="I12" s="127">
        <f>H12*12</f>
        <v>4</v>
      </c>
      <c r="J12" s="127">
        <f>IF(I12&gt;12,(((I12)*'CORE Recurring Items'!$H$5)+I12),(I12*1))</f>
        <v>4</v>
      </c>
      <c r="K12" s="127">
        <f>IF(J12&gt;12,(((J12)*'CORE Recurring Items'!$H$5)+J12),(J12*1))</f>
        <v>4</v>
      </c>
      <c r="L12" s="127">
        <f>IF(K12&gt;12,(((K12)*'CORE Recurring Items'!$H$5)+K12),(K12*1))</f>
        <v>4</v>
      </c>
      <c r="M12" s="127">
        <f>IF(L12&gt;12,(((L12)*'CORE Recurring Items'!$H$5)+L12),(L12*1))</f>
        <v>4</v>
      </c>
      <c r="N12" s="245" t="str">
        <f>IF(C12="","",C12)</f>
        <v>Uncollected Funds - May</v>
      </c>
      <c r="O12" s="586">
        <v>1046.02</v>
      </c>
      <c r="P12" s="129">
        <f>IF(O12&gt;0,PRODUCT(I12,$O12),0)</f>
        <v>4184.08</v>
      </c>
      <c r="Q12" s="129">
        <f>IF(P12&gt;0,PRODUCT(J12,$O12),0)</f>
        <v>4184.08</v>
      </c>
      <c r="R12" s="129">
        <f>IF(Q12&gt;0,PRODUCT(K12,$O12),0)</f>
        <v>4184.08</v>
      </c>
      <c r="S12" s="129">
        <f>IF(R12&gt;0,PRODUCT(L12,$O12),0)</f>
        <v>4184.08</v>
      </c>
      <c r="T12" s="129">
        <f>IF(S12&gt;0,PRODUCT(M12,$O12),0)</f>
        <v>4184.08</v>
      </c>
      <c r="U12" s="209">
        <f>SUM(P12:T12)</f>
        <v>20920.400000000001</v>
      </c>
      <c r="V12" s="621" t="s">
        <v>746</v>
      </c>
      <c r="W12" s="222"/>
      <c r="X12" s="324"/>
      <c r="Y12" s="103">
        <f>IF(X12&gt;0,PRODUCT(I12,$X12),0)</f>
        <v>0</v>
      </c>
      <c r="Z12" s="103">
        <f>IF(Y12&gt;0,PRODUCT(J12,$X12),0)</f>
        <v>0</v>
      </c>
      <c r="AA12" s="103">
        <f>IF(Z12&gt;0,PRODUCT(K12,$X12),0)</f>
        <v>0</v>
      </c>
      <c r="AB12" s="103">
        <f>IF(AA12&gt;0,PRODUCT(L12,$X12),0)</f>
        <v>0</v>
      </c>
      <c r="AC12" s="103">
        <f>IF(AB12&gt;0,PRODUCT(M12,$X12),0)</f>
        <v>0</v>
      </c>
      <c r="AD12" s="123">
        <f>SUM(Y12:AC12)</f>
        <v>0</v>
      </c>
      <c r="AE12" s="362"/>
      <c r="AF12" s="221"/>
      <c r="AG12" s="255"/>
      <c r="AH12" s="105">
        <f>IF(AG12&gt;0,PRODUCT(I12,$AG12),0)</f>
        <v>0</v>
      </c>
      <c r="AI12" s="105">
        <f>IF(AH12&gt;0,PRODUCT(J12,$AG12),0)</f>
        <v>0</v>
      </c>
      <c r="AJ12" s="105">
        <f>IF(AI12&gt;0,PRODUCT(K12,$AG12),0)</f>
        <v>0</v>
      </c>
      <c r="AK12" s="105">
        <f>IF(AJ12&gt;0,PRODUCT(L12,$AG12),0)</f>
        <v>0</v>
      </c>
      <c r="AL12" s="105">
        <f>IF(AK12&gt;0,PRODUCT(M12,$AG12),0)</f>
        <v>0</v>
      </c>
      <c r="AM12" s="158">
        <f>SUM(AH12:AL12)</f>
        <v>0</v>
      </c>
      <c r="AN12" s="473"/>
      <c r="AO12" s="106"/>
      <c r="AP12" s="107"/>
      <c r="AQ12" s="108">
        <f>IF(AP12&gt;0,PRODUCT(I12,$AP12),0)</f>
        <v>0</v>
      </c>
      <c r="AR12" s="108">
        <f>IF(AQ12&gt;0,PRODUCT(J12,$AP12),0)</f>
        <v>0</v>
      </c>
      <c r="AS12" s="108">
        <f>IF(AR12&gt;0,PRODUCT(K12,$AP12),0)</f>
        <v>0</v>
      </c>
      <c r="AT12" s="108">
        <f>IF(AS12&gt;0,PRODUCT(L12,$AP12),0)</f>
        <v>0</v>
      </c>
      <c r="AU12" s="108">
        <f>IF(AT12&gt;0,PRODUCT(M12,$AP12),0)</f>
        <v>0</v>
      </c>
      <c r="AV12" s="165">
        <f>SUM(AQ12:AU12)</f>
        <v>0</v>
      </c>
      <c r="AW12" s="531"/>
    </row>
    <row r="13" spans="1:49" s="495" customFormat="1" outlineLevel="1" x14ac:dyDescent="0.25">
      <c r="A13" s="445" t="s">
        <v>740</v>
      </c>
      <c r="B13" s="623" t="s">
        <v>747</v>
      </c>
      <c r="C13" s="310" t="s">
        <v>748</v>
      </c>
      <c r="D13" s="604"/>
      <c r="E13" s="604">
        <v>443</v>
      </c>
      <c r="F13" s="604">
        <v>461</v>
      </c>
      <c r="G13" s="604">
        <v>456</v>
      </c>
      <c r="H13" s="618">
        <f t="shared" ref="H13:H14" si="4">IFERROR(AVERAGE(D13:G13),0)</f>
        <v>453.33333333333331</v>
      </c>
      <c r="I13" s="127">
        <f t="shared" ref="I13:I14" si="5">H13*12</f>
        <v>5440</v>
      </c>
      <c r="J13" s="127">
        <f t="shared" ref="J13:M13" si="6">IF(I13&gt;12,(((I13)*$I$5)+I13),(I13*1))</f>
        <v>5440</v>
      </c>
      <c r="K13" s="127">
        <f t="shared" si="6"/>
        <v>5440</v>
      </c>
      <c r="L13" s="127">
        <f t="shared" si="6"/>
        <v>5440</v>
      </c>
      <c r="M13" s="127">
        <f t="shared" si="6"/>
        <v>5440</v>
      </c>
      <c r="N13" s="245" t="str">
        <f t="shared" si="1"/>
        <v>Postage - &lt;= 1oz</v>
      </c>
      <c r="O13" s="586">
        <v>0.65129999999999999</v>
      </c>
      <c r="P13" s="129">
        <f t="shared" ref="P13:T14" si="7">IF(O13&gt;0,PRODUCT(I13,$O13),0)</f>
        <v>3543.0720000000001</v>
      </c>
      <c r="Q13" s="129">
        <f t="shared" si="7"/>
        <v>3543.0720000000001</v>
      </c>
      <c r="R13" s="129">
        <f t="shared" si="7"/>
        <v>3543.0720000000001</v>
      </c>
      <c r="S13" s="129">
        <f t="shared" si="7"/>
        <v>3543.0720000000001</v>
      </c>
      <c r="T13" s="129">
        <f t="shared" si="7"/>
        <v>3543.0720000000001</v>
      </c>
      <c r="U13" s="209">
        <f t="shared" ref="U13" si="8">SUM(P13:T13)</f>
        <v>17715.36</v>
      </c>
      <c r="V13" s="528"/>
      <c r="W13" s="222"/>
      <c r="X13" s="324"/>
      <c r="Y13" s="103"/>
      <c r="Z13" s="103"/>
      <c r="AA13" s="103"/>
      <c r="AB13" s="103"/>
      <c r="AC13" s="103"/>
      <c r="AD13" s="123"/>
      <c r="AE13" s="370"/>
      <c r="AF13" s="221"/>
      <c r="AG13" s="271"/>
      <c r="AH13" s="105"/>
      <c r="AI13" s="105"/>
      <c r="AJ13" s="105"/>
      <c r="AK13" s="105"/>
      <c r="AL13" s="105"/>
      <c r="AM13" s="158"/>
      <c r="AN13" s="473"/>
      <c r="AO13" s="106"/>
      <c r="AP13" s="353"/>
      <c r="AQ13" s="108"/>
      <c r="AR13" s="108"/>
      <c r="AS13" s="108"/>
      <c r="AT13" s="108"/>
      <c r="AU13" s="108"/>
      <c r="AV13" s="165"/>
      <c r="AW13" s="531"/>
    </row>
    <row r="14" spans="1:49" s="495" customFormat="1" outlineLevel="1" x14ac:dyDescent="0.25">
      <c r="A14" s="445" t="s">
        <v>740</v>
      </c>
      <c r="B14" s="623" t="s">
        <v>747</v>
      </c>
      <c r="C14" s="310" t="s">
        <v>748</v>
      </c>
      <c r="D14" s="604"/>
      <c r="E14" s="604">
        <v>20</v>
      </c>
      <c r="F14" s="604">
        <v>14</v>
      </c>
      <c r="G14" s="604">
        <v>31</v>
      </c>
      <c r="H14" s="618">
        <f t="shared" si="4"/>
        <v>21.666666666666668</v>
      </c>
      <c r="I14" s="127">
        <f t="shared" si="5"/>
        <v>260</v>
      </c>
      <c r="J14" s="127">
        <f t="shared" ref="J14:M14" si="9">IF(I14&gt;12,(((I14)*$I$5)+I14),(I14*1))</f>
        <v>260</v>
      </c>
      <c r="K14" s="127">
        <f t="shared" si="9"/>
        <v>260</v>
      </c>
      <c r="L14" s="127">
        <f t="shared" si="9"/>
        <v>260</v>
      </c>
      <c r="M14" s="127">
        <f t="shared" si="9"/>
        <v>260</v>
      </c>
      <c r="N14" s="245" t="str">
        <f t="shared" si="1"/>
        <v>Postage - &lt;= 1oz</v>
      </c>
      <c r="O14" s="586">
        <v>0.64649999999999996</v>
      </c>
      <c r="P14" s="129">
        <f t="shared" si="7"/>
        <v>168.09</v>
      </c>
      <c r="Q14" s="129">
        <f t="shared" si="7"/>
        <v>168.09</v>
      </c>
      <c r="R14" s="129">
        <f t="shared" si="7"/>
        <v>168.09</v>
      </c>
      <c r="S14" s="129">
        <f t="shared" si="7"/>
        <v>168.09</v>
      </c>
      <c r="T14" s="129">
        <f t="shared" si="7"/>
        <v>168.09</v>
      </c>
      <c r="U14" s="209">
        <f t="shared" ref="U14" si="10">SUM(P14:T14)</f>
        <v>840.45</v>
      </c>
      <c r="V14" s="528"/>
      <c r="W14" s="222"/>
      <c r="X14" s="324"/>
      <c r="Y14" s="103"/>
      <c r="Z14" s="103"/>
      <c r="AA14" s="103"/>
      <c r="AB14" s="103"/>
      <c r="AC14" s="103"/>
      <c r="AD14" s="123"/>
      <c r="AE14" s="370"/>
      <c r="AF14" s="221"/>
      <c r="AG14" s="271"/>
      <c r="AH14" s="105"/>
      <c r="AI14" s="105"/>
      <c r="AJ14" s="105"/>
      <c r="AK14" s="105"/>
      <c r="AL14" s="105"/>
      <c r="AM14" s="158"/>
      <c r="AN14" s="473"/>
      <c r="AO14" s="106"/>
      <c r="AP14" s="353"/>
      <c r="AQ14" s="108"/>
      <c r="AR14" s="108"/>
      <c r="AS14" s="108"/>
      <c r="AT14" s="108"/>
      <c r="AU14" s="108"/>
      <c r="AV14" s="165"/>
      <c r="AW14" s="531"/>
    </row>
    <row r="15" spans="1:49" s="495" customFormat="1" outlineLevel="1" x14ac:dyDescent="0.25">
      <c r="A15" s="445"/>
      <c r="B15" s="252" t="str">
        <f>C15</f>
        <v>Remote Deposit Image Center (RDC):</v>
      </c>
      <c r="C15" s="242" t="s">
        <v>749</v>
      </c>
      <c r="D15" s="609"/>
      <c r="E15" s="609"/>
      <c r="F15" s="609"/>
      <c r="G15" s="609"/>
      <c r="H15" s="619"/>
      <c r="I15" s="243"/>
      <c r="J15" s="243"/>
      <c r="K15" s="243"/>
      <c r="L15" s="243"/>
      <c r="M15" s="244"/>
      <c r="N15" s="252" t="str">
        <f t="shared" si="1"/>
        <v>Remote Deposit Image Center (RDC):</v>
      </c>
      <c r="O15" s="243"/>
      <c r="P15" s="243"/>
      <c r="Q15" s="243"/>
      <c r="R15" s="243"/>
      <c r="S15" s="243"/>
      <c r="T15" s="244"/>
      <c r="U15" s="209"/>
      <c r="V15" s="528"/>
      <c r="W15" s="102"/>
      <c r="X15" s="324"/>
      <c r="Y15" s="103">
        <f>IF(X15&gt;0,PRODUCT(#REF!,$X15),0)</f>
        <v>0</v>
      </c>
      <c r="Z15" s="103">
        <f>IF(Y15&gt;0,PRODUCT(#REF!,$X15),0)</f>
        <v>0</v>
      </c>
      <c r="AA15" s="103">
        <f>IF(Z15&gt;0,PRODUCT(#REF!,$X15),0)</f>
        <v>0</v>
      </c>
      <c r="AB15" s="103">
        <f>IF(AA15&gt;0,PRODUCT(#REF!,$X15),0)</f>
        <v>0</v>
      </c>
      <c r="AC15" s="103">
        <f>IF(AB15&gt;0,PRODUCT(#REF!,$X15),0)</f>
        <v>0</v>
      </c>
      <c r="AD15" s="123">
        <f>SUM(Y15:AC15)</f>
        <v>0</v>
      </c>
      <c r="AE15" s="370"/>
      <c r="AF15" s="221"/>
      <c r="AG15" s="255"/>
      <c r="AH15" s="105">
        <f>IF(AG15&gt;0,PRODUCT(#REF!,$AG15),0)</f>
        <v>0</v>
      </c>
      <c r="AI15" s="105">
        <f>IF(AH15&gt;0,PRODUCT(#REF!,$AG15),0)</f>
        <v>0</v>
      </c>
      <c r="AJ15" s="105">
        <f>IF(AI15&gt;0,PRODUCT(#REF!,$AG15),0)</f>
        <v>0</v>
      </c>
      <c r="AK15" s="105">
        <f>IF(AJ15&gt;0,PRODUCT(#REF!,$AG15),0)</f>
        <v>0</v>
      </c>
      <c r="AL15" s="105">
        <f>IF(AK15&gt;0,PRODUCT(#REF!,$AG15),0)</f>
        <v>0</v>
      </c>
      <c r="AM15" s="158">
        <f>SUM(AH15:AL15)</f>
        <v>0</v>
      </c>
      <c r="AN15" s="473"/>
      <c r="AO15" s="106"/>
      <c r="AP15" s="107"/>
      <c r="AQ15" s="108">
        <f>IF(AP15&gt;0,PRODUCT(#REF!,$AP15),0)</f>
        <v>0</v>
      </c>
      <c r="AR15" s="108">
        <f>IF(AQ15&gt;0,PRODUCT(#REF!,$AP15),0)</f>
        <v>0</v>
      </c>
      <c r="AS15" s="108">
        <f>IF(AR15&gt;0,PRODUCT(#REF!,$AP15),0)</f>
        <v>0</v>
      </c>
      <c r="AT15" s="108">
        <f>IF(AS15&gt;0,PRODUCT(#REF!,$AP15),0)</f>
        <v>0</v>
      </c>
      <c r="AU15" s="108">
        <f>IF(AT15&gt;0,PRODUCT(#REF!,$AP15),0)</f>
        <v>0</v>
      </c>
      <c r="AV15" s="165">
        <f>SUM(AQ15:AU15)</f>
        <v>0</v>
      </c>
      <c r="AW15" s="531"/>
    </row>
    <row r="16" spans="1:49" s="495" customFormat="1" outlineLevel="1" x14ac:dyDescent="0.25">
      <c r="A16" s="445" t="s">
        <v>740</v>
      </c>
      <c r="B16" s="620" t="s">
        <v>750</v>
      </c>
      <c r="C16" s="310" t="s">
        <v>751</v>
      </c>
      <c r="D16" s="604">
        <v>2</v>
      </c>
      <c r="E16" s="604">
        <v>2</v>
      </c>
      <c r="F16" s="604">
        <v>2</v>
      </c>
      <c r="G16" s="604"/>
      <c r="H16" s="618">
        <f t="shared" ref="H16" si="11">IFERROR(AVERAGE(D16:F16),0)</f>
        <v>2</v>
      </c>
      <c r="I16" s="127">
        <f t="shared" ref="I16" si="12">H16*12</f>
        <v>24</v>
      </c>
      <c r="J16" s="127">
        <f t="shared" ref="J16:M16" si="13">IF(I16&gt;12,(((I16)*$I$5)+I16),(I16*1))</f>
        <v>24</v>
      </c>
      <c r="K16" s="127">
        <f t="shared" si="13"/>
        <v>24</v>
      </c>
      <c r="L16" s="127">
        <f t="shared" si="13"/>
        <v>24</v>
      </c>
      <c r="M16" s="127">
        <f t="shared" si="13"/>
        <v>24</v>
      </c>
      <c r="N16" s="245" t="str">
        <f t="shared" si="1"/>
        <v>BRANCH CAPTURE XPRESS - PACKAG</v>
      </c>
      <c r="O16" s="247">
        <v>96.140079200000002</v>
      </c>
      <c r="P16" s="129">
        <f>IF(O16&gt;0,PRODUCT(I16,$O16),0)</f>
        <v>2307.3619008000001</v>
      </c>
      <c r="Q16" s="129">
        <f>IF(P16&gt;0,PRODUCT(J16,$O16),0)</f>
        <v>2307.3619008000001</v>
      </c>
      <c r="R16" s="129">
        <f>IF(Q16&gt;0,PRODUCT(K16,$O16),0)</f>
        <v>2307.3619008000001</v>
      </c>
      <c r="S16" s="129">
        <f>IF(R16&gt;0,PRODUCT(L16,$O16),0)</f>
        <v>2307.3619008000001</v>
      </c>
      <c r="T16" s="129">
        <f>IF(S16&gt;0,PRODUCT(M16,$O16),0)</f>
        <v>2307.3619008000001</v>
      </c>
      <c r="U16" s="209">
        <f t="shared" ref="U16" si="14">SUM(P16:T16)</f>
        <v>11536.809504000001</v>
      </c>
      <c r="V16" s="528"/>
      <c r="W16" s="102"/>
      <c r="X16" s="324"/>
      <c r="Y16" s="103"/>
      <c r="Z16" s="103"/>
      <c r="AA16" s="103"/>
      <c r="AB16" s="103"/>
      <c r="AC16" s="103"/>
      <c r="AD16" s="123"/>
      <c r="AE16" s="370"/>
      <c r="AF16" s="221"/>
      <c r="AG16" s="271"/>
      <c r="AH16" s="105"/>
      <c r="AI16" s="105"/>
      <c r="AJ16" s="105"/>
      <c r="AK16" s="105"/>
      <c r="AL16" s="105"/>
      <c r="AM16" s="158"/>
      <c r="AN16" s="473"/>
      <c r="AO16" s="106"/>
      <c r="AP16" s="353"/>
      <c r="AQ16" s="108"/>
      <c r="AR16" s="108"/>
      <c r="AS16" s="108"/>
      <c r="AT16" s="108"/>
      <c r="AU16" s="108"/>
      <c r="AV16" s="165"/>
      <c r="AW16" s="531"/>
    </row>
    <row r="17" spans="1:49" s="495" customFormat="1" outlineLevel="1" x14ac:dyDescent="0.25">
      <c r="A17" s="445" t="s">
        <v>740</v>
      </c>
      <c r="B17" s="620" t="s">
        <v>752</v>
      </c>
      <c r="C17" s="310" t="s">
        <v>753</v>
      </c>
      <c r="D17" s="604"/>
      <c r="E17" s="604"/>
      <c r="F17" s="604"/>
      <c r="G17" s="604"/>
      <c r="H17" s="618"/>
      <c r="I17" s="127"/>
      <c r="J17" s="127"/>
      <c r="K17" s="127"/>
      <c r="L17" s="127"/>
      <c r="M17" s="127"/>
      <c r="N17" s="245"/>
      <c r="O17" s="247"/>
      <c r="P17" s="129"/>
      <c r="Q17" s="129"/>
      <c r="R17" s="129"/>
      <c r="S17" s="129"/>
      <c r="T17" s="129"/>
      <c r="U17" s="209"/>
      <c r="V17" s="528"/>
      <c r="W17" s="102"/>
      <c r="X17" s="324"/>
      <c r="Y17" s="103">
        <f>IF(X17&gt;0,PRODUCT(I18,$X17),0)</f>
        <v>0</v>
      </c>
      <c r="Z17" s="103">
        <f>IF(Y17&gt;0,PRODUCT(J18,$X17),0)</f>
        <v>0</v>
      </c>
      <c r="AA17" s="103">
        <f>IF(Z17&gt;0,PRODUCT(K18,$X17),0)</f>
        <v>0</v>
      </c>
      <c r="AB17" s="103">
        <f>IF(AA17&gt;0,PRODUCT(L18,$X17),0)</f>
        <v>0</v>
      </c>
      <c r="AC17" s="103">
        <f>IF(AB17&gt;0,PRODUCT(M18,$X17),0)</f>
        <v>0</v>
      </c>
      <c r="AD17" s="123">
        <f>SUM(Y17:AC17)</f>
        <v>0</v>
      </c>
      <c r="AE17" s="370"/>
      <c r="AF17" s="221"/>
      <c r="AG17" s="271"/>
      <c r="AH17" s="105">
        <f>IF(AG17&gt;0,PRODUCT(I18,$AG17),0)</f>
        <v>0</v>
      </c>
      <c r="AI17" s="105">
        <f>IF(AH17&gt;0,PRODUCT(J18,$AG17),0)</f>
        <v>0</v>
      </c>
      <c r="AJ17" s="105">
        <f>IF(AI17&gt;0,PRODUCT(K18,$AG17),0)</f>
        <v>0</v>
      </c>
      <c r="AK17" s="105">
        <f>IF(AJ17&gt;0,PRODUCT(L18,$AG17),0)</f>
        <v>0</v>
      </c>
      <c r="AL17" s="105">
        <f>IF(AK17&gt;0,PRODUCT(M18,$AG17),0)</f>
        <v>0</v>
      </c>
      <c r="AM17" s="158">
        <f>SUM(AH17:AL17)</f>
        <v>0</v>
      </c>
      <c r="AN17" s="473"/>
      <c r="AO17" s="106"/>
      <c r="AP17" s="353"/>
      <c r="AQ17" s="108">
        <f>IF(AP17&gt;0,PRODUCT(I18,$AP17),0)</f>
        <v>0</v>
      </c>
      <c r="AR17" s="108">
        <f>IF(AQ17&gt;0,PRODUCT(J18,$AP17),0)</f>
        <v>0</v>
      </c>
      <c r="AS17" s="108">
        <f>IF(AR17&gt;0,PRODUCT(K18,$AP17),0)</f>
        <v>0</v>
      </c>
      <c r="AT17" s="108">
        <f>IF(AS17&gt;0,PRODUCT(L18,$AP17),0)</f>
        <v>0</v>
      </c>
      <c r="AU17" s="108">
        <f>IF(AT17&gt;0,PRODUCT(M18,$AP17),0)</f>
        <v>0</v>
      </c>
      <c r="AV17" s="165">
        <f>SUM(AQ17:AU17)</f>
        <v>0</v>
      </c>
      <c r="AW17" s="531"/>
    </row>
    <row r="18" spans="1:49" s="495" customFormat="1" outlineLevel="1" x14ac:dyDescent="0.25">
      <c r="A18" s="445"/>
      <c r="B18" s="252" t="str">
        <f>C18</f>
        <v>ChexSystems:</v>
      </c>
      <c r="C18" s="242" t="s">
        <v>754</v>
      </c>
      <c r="D18" s="609"/>
      <c r="E18" s="609"/>
      <c r="F18" s="609"/>
      <c r="G18" s="609"/>
      <c r="H18" s="619"/>
      <c r="I18" s="243"/>
      <c r="J18" s="243"/>
      <c r="K18" s="243"/>
      <c r="L18" s="243"/>
      <c r="M18" s="244"/>
      <c r="N18" s="252" t="str">
        <f t="shared" ref="N18" si="15">IF(C18="","",C18)</f>
        <v>ChexSystems:</v>
      </c>
      <c r="O18" s="243"/>
      <c r="P18" s="243"/>
      <c r="Q18" s="243"/>
      <c r="R18" s="243"/>
      <c r="S18" s="243"/>
      <c r="T18" s="244"/>
      <c r="U18" s="209"/>
      <c r="V18" s="527"/>
      <c r="W18" s="252" t="str">
        <f>C18</f>
        <v>ChexSystems:</v>
      </c>
      <c r="X18" s="243"/>
      <c r="Y18" s="243"/>
      <c r="Z18" s="243"/>
      <c r="AA18" s="243"/>
      <c r="AB18" s="243"/>
      <c r="AC18" s="244"/>
      <c r="AD18" s="123"/>
      <c r="AE18" s="362"/>
      <c r="AF18" s="252" t="str">
        <f>C18</f>
        <v>ChexSystems:</v>
      </c>
      <c r="AG18" s="243"/>
      <c r="AH18" s="243"/>
      <c r="AI18" s="243"/>
      <c r="AJ18" s="243"/>
      <c r="AK18" s="243"/>
      <c r="AL18" s="244"/>
      <c r="AM18" s="158"/>
      <c r="AN18" s="486"/>
      <c r="AO18" s="252" t="str">
        <f>C18</f>
        <v>ChexSystems:</v>
      </c>
      <c r="AP18" s="243"/>
      <c r="AQ18" s="243"/>
      <c r="AR18" s="243"/>
      <c r="AS18" s="243"/>
      <c r="AT18" s="243"/>
      <c r="AU18" s="244"/>
      <c r="AV18" s="165"/>
      <c r="AW18" s="532"/>
    </row>
    <row r="19" spans="1:49" s="495" customFormat="1" outlineLevel="1" x14ac:dyDescent="0.25">
      <c r="A19" s="445" t="s">
        <v>743</v>
      </c>
      <c r="B19" s="623" t="s">
        <v>755</v>
      </c>
      <c r="C19" s="310" t="s">
        <v>756</v>
      </c>
      <c r="D19" s="604"/>
      <c r="E19" s="604">
        <v>23</v>
      </c>
      <c r="F19" s="604">
        <v>13</v>
      </c>
      <c r="G19" s="604">
        <v>11</v>
      </c>
      <c r="H19" s="618">
        <f>IFERROR(AVERAGE(D19:G19),0)</f>
        <v>15.666666666666666</v>
      </c>
      <c r="I19" s="127">
        <f>H19*12</f>
        <v>188</v>
      </c>
      <c r="J19" s="127">
        <f>IF(I19&gt;12,(((I19)*'CORE Recurring Items'!$H$5)+I19),(I19*1))</f>
        <v>197.4</v>
      </c>
      <c r="K19" s="127">
        <f>IF(J19&gt;12,(((J19)*'CORE Recurring Items'!$H$5)+J19),(J19*1))</f>
        <v>207.27</v>
      </c>
      <c r="L19" s="127">
        <f>IF(K19&gt;12,(((K19)*'CORE Recurring Items'!$H$5)+K19),(K19*1))</f>
        <v>217.63350000000003</v>
      </c>
      <c r="M19" s="127">
        <f>IF(L19&gt;12,(((L19)*'CORE Recurring Items'!$H$5)+L19),(L19*1))</f>
        <v>228.51517500000003</v>
      </c>
      <c r="N19" s="245" t="str">
        <f>IF(C19="","",C19)</f>
        <v>Discounts - Temp Bus Concession</v>
      </c>
      <c r="O19" s="586"/>
      <c r="P19" s="129">
        <f>IF(O19&gt;0,PRODUCT(I19,$O19),0)</f>
        <v>0</v>
      </c>
      <c r="Q19" s="129">
        <f>IF(P19&gt;0,PRODUCT(J19,$O19),0)</f>
        <v>0</v>
      </c>
      <c r="R19" s="129">
        <f>IF(Q19&gt;0,PRODUCT(K19,$O19),0)</f>
        <v>0</v>
      </c>
      <c r="S19" s="129">
        <f>IF(R19&gt;0,PRODUCT(L19,$O19),0)</f>
        <v>0</v>
      </c>
      <c r="T19" s="129">
        <f>IF(S19&gt;0,PRODUCT(M19,$O19),0)</f>
        <v>0</v>
      </c>
      <c r="U19" s="209">
        <f>SUM(P19:T19)</f>
        <v>0</v>
      </c>
      <c r="V19" s="527"/>
      <c r="W19" s="222"/>
      <c r="X19" s="324"/>
      <c r="Y19" s="103">
        <f>IF(X19&gt;0,PRODUCT(I19,$X19),0)</f>
        <v>0</v>
      </c>
      <c r="Z19" s="103">
        <f>IF(Y19&gt;0,PRODUCT(J19,$X19),0)</f>
        <v>0</v>
      </c>
      <c r="AA19" s="103">
        <f>IF(Z19&gt;0,PRODUCT(K19,$X19),0)</f>
        <v>0</v>
      </c>
      <c r="AB19" s="103">
        <f>IF(AA19&gt;0,PRODUCT(L19,$X19),0)</f>
        <v>0</v>
      </c>
      <c r="AC19" s="103">
        <f>IF(AB19&gt;0,PRODUCT(M19,$X19),0)</f>
        <v>0</v>
      </c>
      <c r="AD19" s="123">
        <f>SUM(Y19:AC19)</f>
        <v>0</v>
      </c>
      <c r="AE19" s="362"/>
      <c r="AF19" s="221"/>
      <c r="AG19" s="255"/>
      <c r="AH19" s="105">
        <f>IF(AG19&gt;0,PRODUCT(I19,$AG19),0)</f>
        <v>0</v>
      </c>
      <c r="AI19" s="105">
        <f>IF(AH19&gt;0,PRODUCT(J19,$AG19),0)</f>
        <v>0</v>
      </c>
      <c r="AJ19" s="105">
        <f>IF(AI19&gt;0,PRODUCT(K19,$AG19),0)</f>
        <v>0</v>
      </c>
      <c r="AK19" s="105">
        <f>IF(AJ19&gt;0,PRODUCT(L19,$AG19),0)</f>
        <v>0</v>
      </c>
      <c r="AL19" s="105">
        <f>IF(AK19&gt;0,PRODUCT(M19,$AG19),0)</f>
        <v>0</v>
      </c>
      <c r="AM19" s="158">
        <f>SUM(AH19:AL19)</f>
        <v>0</v>
      </c>
      <c r="AN19" s="473"/>
      <c r="AO19" s="106"/>
      <c r="AP19" s="107"/>
      <c r="AQ19" s="108">
        <f>IF(AP19&gt;0,PRODUCT(I19,$AP19),0)</f>
        <v>0</v>
      </c>
      <c r="AR19" s="108">
        <f>IF(AQ19&gt;0,PRODUCT(J19,$AP19),0)</f>
        <v>0</v>
      </c>
      <c r="AS19" s="108">
        <f>IF(AR19&gt;0,PRODUCT(K19,$AP19),0)</f>
        <v>0</v>
      </c>
      <c r="AT19" s="108">
        <f>IF(AS19&gt;0,PRODUCT(L19,$AP19),0)</f>
        <v>0</v>
      </c>
      <c r="AU19" s="108">
        <f>IF(AT19&gt;0,PRODUCT(M19,$AP19),0)</f>
        <v>0</v>
      </c>
      <c r="AV19" s="165">
        <f>SUM(AQ19:AU19)</f>
        <v>0</v>
      </c>
      <c r="AW19" s="531"/>
    </row>
    <row r="20" spans="1:49" s="495" customFormat="1" outlineLevel="1" x14ac:dyDescent="0.25">
      <c r="A20" s="445"/>
      <c r="B20" s="252" t="str">
        <f>C20</f>
        <v>Payments One (P1) MC SecurLock:</v>
      </c>
      <c r="C20" s="242" t="s">
        <v>757</v>
      </c>
      <c r="D20" s="609"/>
      <c r="E20" s="609"/>
      <c r="F20" s="609"/>
      <c r="G20" s="609"/>
      <c r="H20" s="619"/>
      <c r="I20" s="243"/>
      <c r="J20" s="243"/>
      <c r="K20" s="243"/>
      <c r="L20" s="243"/>
      <c r="M20" s="244"/>
      <c r="N20" s="252" t="str">
        <f t="shared" ref="N20:N21" si="16">IF(C20="","",C20)</f>
        <v>Payments One (P1) MC SecurLock:</v>
      </c>
      <c r="O20" s="243"/>
      <c r="P20" s="243"/>
      <c r="Q20" s="243"/>
      <c r="R20" s="243"/>
      <c r="S20" s="243"/>
      <c r="T20" s="244"/>
      <c r="U20" s="209"/>
      <c r="V20" s="528"/>
      <c r="W20" s="222"/>
      <c r="X20" s="324"/>
      <c r="Y20" s="103">
        <f>IF(X20&gt;0,PRODUCT(#REF!,$X20),0)</f>
        <v>0</v>
      </c>
      <c r="Z20" s="103">
        <f>IF(Y20&gt;0,PRODUCT(#REF!,$X20),0)</f>
        <v>0</v>
      </c>
      <c r="AA20" s="103">
        <f>IF(Z20&gt;0,PRODUCT(#REF!,$X20),0)</f>
        <v>0</v>
      </c>
      <c r="AB20" s="103">
        <f>IF(AA20&gt;0,PRODUCT(#REF!,$X20),0)</f>
        <v>0</v>
      </c>
      <c r="AC20" s="103">
        <f>IF(AB20&gt;0,PRODUCT(#REF!,$X20),0)</f>
        <v>0</v>
      </c>
      <c r="AD20" s="123">
        <f>SUM(Y20:AC20)</f>
        <v>0</v>
      </c>
      <c r="AE20" s="370"/>
      <c r="AF20" s="221"/>
      <c r="AG20" s="255"/>
      <c r="AH20" s="105">
        <f>IF(AG20&gt;0,PRODUCT(#REF!,$AG20),0)</f>
        <v>0</v>
      </c>
      <c r="AI20" s="105">
        <f>IF(AH20&gt;0,PRODUCT(#REF!,$AG20),0)</f>
        <v>0</v>
      </c>
      <c r="AJ20" s="105">
        <f>IF(AI20&gt;0,PRODUCT(#REF!,$AG20),0)</f>
        <v>0</v>
      </c>
      <c r="AK20" s="105">
        <f>IF(AJ20&gt;0,PRODUCT(#REF!,$AG20),0)</f>
        <v>0</v>
      </c>
      <c r="AL20" s="105">
        <f>IF(AK20&gt;0,PRODUCT(#REF!,$AG20),0)</f>
        <v>0</v>
      </c>
      <c r="AM20" s="158">
        <f>SUM(AH20:AL20)</f>
        <v>0</v>
      </c>
      <c r="AN20" s="473"/>
      <c r="AO20" s="106"/>
      <c r="AP20" s="107"/>
      <c r="AQ20" s="108">
        <f>IF(AP20&gt;0,PRODUCT(#REF!,$AP20),0)</f>
        <v>0</v>
      </c>
      <c r="AR20" s="108">
        <f>IF(AQ20&gt;0,PRODUCT(#REF!,$AP20),0)</f>
        <v>0</v>
      </c>
      <c r="AS20" s="108">
        <f>IF(AR20&gt;0,PRODUCT(#REF!,$AP20),0)</f>
        <v>0</v>
      </c>
      <c r="AT20" s="108">
        <f>IF(AS20&gt;0,PRODUCT(#REF!,$AP20),0)</f>
        <v>0</v>
      </c>
      <c r="AU20" s="108">
        <f>IF(AT20&gt;0,PRODUCT(#REF!,$AP20),0)</f>
        <v>0</v>
      </c>
      <c r="AV20" s="165">
        <f>SUM(AQ20:AU20)</f>
        <v>0</v>
      </c>
      <c r="AW20" s="531"/>
    </row>
    <row r="21" spans="1:49" s="495" customFormat="1" outlineLevel="1" x14ac:dyDescent="0.25">
      <c r="A21" s="445" t="s">
        <v>743</v>
      </c>
      <c r="B21" s="620" t="s">
        <v>159</v>
      </c>
      <c r="C21" s="310" t="s">
        <v>758</v>
      </c>
      <c r="D21" s="604"/>
      <c r="E21" s="604"/>
      <c r="F21" s="604"/>
      <c r="G21" s="604"/>
      <c r="H21" s="618"/>
      <c r="I21" s="127"/>
      <c r="J21" s="127"/>
      <c r="K21" s="127"/>
      <c r="L21" s="127"/>
      <c r="M21" s="127"/>
      <c r="N21" s="245" t="str">
        <f t="shared" si="16"/>
        <v>10% ICBA BANCARD MEMBER DISC</v>
      </c>
      <c r="O21" s="247"/>
      <c r="P21" s="129"/>
      <c r="Q21" s="129"/>
      <c r="R21" s="129"/>
      <c r="S21" s="129"/>
      <c r="T21" s="129"/>
      <c r="U21" s="209"/>
      <c r="V21" s="528"/>
      <c r="W21" s="222"/>
      <c r="X21" s="324"/>
      <c r="Y21" s="103"/>
      <c r="Z21" s="103"/>
      <c r="AA21" s="103"/>
      <c r="AB21" s="103"/>
      <c r="AC21" s="103"/>
      <c r="AD21" s="123"/>
      <c r="AE21" s="370"/>
      <c r="AF21" s="221"/>
      <c r="AG21" s="255"/>
      <c r="AH21" s="105"/>
      <c r="AI21" s="105"/>
      <c r="AJ21" s="105"/>
      <c r="AK21" s="105"/>
      <c r="AL21" s="105"/>
      <c r="AM21" s="158"/>
      <c r="AN21" s="473"/>
      <c r="AO21" s="106"/>
      <c r="AP21" s="107"/>
      <c r="AQ21" s="108"/>
      <c r="AR21" s="108"/>
      <c r="AS21" s="108"/>
      <c r="AT21" s="108"/>
      <c r="AU21" s="108"/>
      <c r="AV21" s="165"/>
      <c r="AW21" s="531"/>
    </row>
    <row r="22" spans="1:49" s="495" customFormat="1" outlineLevel="1" x14ac:dyDescent="0.25">
      <c r="A22" s="445" t="s">
        <v>743</v>
      </c>
      <c r="B22" s="620" t="s">
        <v>159</v>
      </c>
      <c r="C22" s="310" t="s">
        <v>758</v>
      </c>
      <c r="D22" s="604"/>
      <c r="E22" s="604"/>
      <c r="F22" s="604"/>
      <c r="G22" s="604"/>
      <c r="H22" s="618"/>
      <c r="I22" s="127"/>
      <c r="J22" s="127"/>
      <c r="K22" s="127"/>
      <c r="L22" s="127"/>
      <c r="M22" s="127"/>
      <c r="N22" s="245" t="str">
        <f t="shared" ref="N22:N34" si="17">IF(C22="","",C22)</f>
        <v>10% ICBA BANCARD MEMBER DISC</v>
      </c>
      <c r="O22" s="247"/>
      <c r="P22" s="129"/>
      <c r="Q22" s="129"/>
      <c r="R22" s="129"/>
      <c r="S22" s="129"/>
      <c r="T22" s="129"/>
      <c r="U22" s="209"/>
      <c r="V22" s="528"/>
      <c r="W22" s="222"/>
      <c r="X22" s="324"/>
      <c r="Y22" s="103"/>
      <c r="Z22" s="103"/>
      <c r="AA22" s="103"/>
      <c r="AB22" s="103"/>
      <c r="AC22" s="103"/>
      <c r="AD22" s="123"/>
      <c r="AE22" s="370"/>
      <c r="AF22" s="221"/>
      <c r="AG22" s="255"/>
      <c r="AH22" s="105"/>
      <c r="AI22" s="105"/>
      <c r="AJ22" s="105"/>
      <c r="AK22" s="105"/>
      <c r="AL22" s="105"/>
      <c r="AM22" s="158"/>
      <c r="AN22" s="473"/>
      <c r="AO22" s="106"/>
      <c r="AP22" s="107"/>
      <c r="AQ22" s="108"/>
      <c r="AR22" s="108"/>
      <c r="AS22" s="108"/>
      <c r="AT22" s="108"/>
      <c r="AU22" s="108"/>
      <c r="AV22" s="165"/>
      <c r="AW22" s="531"/>
    </row>
    <row r="23" spans="1:49" s="495" customFormat="1" outlineLevel="1" x14ac:dyDescent="0.25">
      <c r="A23" s="445" t="s">
        <v>743</v>
      </c>
      <c r="B23" s="620" t="s">
        <v>159</v>
      </c>
      <c r="C23" s="310" t="s">
        <v>758</v>
      </c>
      <c r="D23" s="604"/>
      <c r="E23" s="604"/>
      <c r="F23" s="604"/>
      <c r="G23" s="604"/>
      <c r="H23" s="618"/>
      <c r="I23" s="127"/>
      <c r="J23" s="127"/>
      <c r="K23" s="127"/>
      <c r="L23" s="127"/>
      <c r="M23" s="127"/>
      <c r="N23" s="245" t="str">
        <f t="shared" si="17"/>
        <v>10% ICBA BANCARD MEMBER DISC</v>
      </c>
      <c r="O23" s="247"/>
      <c r="P23" s="129"/>
      <c r="Q23" s="129"/>
      <c r="R23" s="129"/>
      <c r="S23" s="129"/>
      <c r="T23" s="129"/>
      <c r="U23" s="209"/>
      <c r="V23" s="528"/>
      <c r="W23" s="222"/>
      <c r="X23" s="324"/>
      <c r="Y23" s="103"/>
      <c r="Z23" s="103"/>
      <c r="AA23" s="103"/>
      <c r="AB23" s="103"/>
      <c r="AC23" s="103"/>
      <c r="AD23" s="123"/>
      <c r="AE23" s="370"/>
      <c r="AF23" s="221"/>
      <c r="AG23" s="255"/>
      <c r="AH23" s="105"/>
      <c r="AI23" s="105"/>
      <c r="AJ23" s="105"/>
      <c r="AK23" s="105"/>
      <c r="AL23" s="105"/>
      <c r="AM23" s="158"/>
      <c r="AN23" s="473"/>
      <c r="AO23" s="106"/>
      <c r="AP23" s="107"/>
      <c r="AQ23" s="108"/>
      <c r="AR23" s="108"/>
      <c r="AS23" s="108"/>
      <c r="AT23" s="108"/>
      <c r="AU23" s="108"/>
      <c r="AV23" s="165"/>
      <c r="AW23" s="531"/>
    </row>
    <row r="24" spans="1:49" s="495" customFormat="1" outlineLevel="1" x14ac:dyDescent="0.25">
      <c r="A24" s="445" t="s">
        <v>743</v>
      </c>
      <c r="B24" s="620" t="s">
        <v>159</v>
      </c>
      <c r="C24" s="310" t="s">
        <v>758</v>
      </c>
      <c r="D24" s="604"/>
      <c r="E24" s="604"/>
      <c r="F24" s="604"/>
      <c r="G24" s="604"/>
      <c r="H24" s="618"/>
      <c r="I24" s="127"/>
      <c r="J24" s="127"/>
      <c r="K24" s="127"/>
      <c r="L24" s="127"/>
      <c r="M24" s="127"/>
      <c r="N24" s="245" t="str">
        <f t="shared" si="17"/>
        <v>10% ICBA BANCARD MEMBER DISC</v>
      </c>
      <c r="O24" s="247"/>
      <c r="P24" s="129"/>
      <c r="Q24" s="129"/>
      <c r="R24" s="129"/>
      <c r="S24" s="129"/>
      <c r="T24" s="129"/>
      <c r="U24" s="209"/>
      <c r="V24" s="528"/>
      <c r="W24" s="222"/>
      <c r="X24" s="324"/>
      <c r="Y24" s="103"/>
      <c r="Z24" s="103"/>
      <c r="AA24" s="103"/>
      <c r="AB24" s="103"/>
      <c r="AC24" s="103"/>
      <c r="AD24" s="123"/>
      <c r="AE24" s="370"/>
      <c r="AF24" s="221"/>
      <c r="AG24" s="255"/>
      <c r="AH24" s="105"/>
      <c r="AI24" s="105"/>
      <c r="AJ24" s="105"/>
      <c r="AK24" s="105"/>
      <c r="AL24" s="105"/>
      <c r="AM24" s="158"/>
      <c r="AN24" s="473"/>
      <c r="AO24" s="106"/>
      <c r="AP24" s="107"/>
      <c r="AQ24" s="108"/>
      <c r="AR24" s="108"/>
      <c r="AS24" s="108"/>
      <c r="AT24" s="108"/>
      <c r="AU24" s="108"/>
      <c r="AV24" s="165"/>
      <c r="AW24" s="531"/>
    </row>
    <row r="25" spans="1:49" s="495" customFormat="1" outlineLevel="1" x14ac:dyDescent="0.25">
      <c r="A25" s="445" t="s">
        <v>743</v>
      </c>
      <c r="B25" s="620" t="s">
        <v>159</v>
      </c>
      <c r="C25" s="310" t="s">
        <v>758</v>
      </c>
      <c r="D25" s="604"/>
      <c r="E25" s="604"/>
      <c r="F25" s="604"/>
      <c r="G25" s="604"/>
      <c r="H25" s="618"/>
      <c r="I25" s="127"/>
      <c r="J25" s="127"/>
      <c r="K25" s="127"/>
      <c r="L25" s="127"/>
      <c r="M25" s="127"/>
      <c r="N25" s="245" t="str">
        <f t="shared" si="17"/>
        <v>10% ICBA BANCARD MEMBER DISC</v>
      </c>
      <c r="O25" s="247"/>
      <c r="P25" s="129"/>
      <c r="Q25" s="129"/>
      <c r="R25" s="129"/>
      <c r="S25" s="129"/>
      <c r="T25" s="129"/>
      <c r="U25" s="209"/>
      <c r="V25" s="528"/>
      <c r="W25" s="222"/>
      <c r="X25" s="324"/>
      <c r="Y25" s="103"/>
      <c r="Z25" s="103"/>
      <c r="AA25" s="103"/>
      <c r="AB25" s="103"/>
      <c r="AC25" s="103"/>
      <c r="AD25" s="123"/>
      <c r="AE25" s="370"/>
      <c r="AF25" s="221"/>
      <c r="AG25" s="255"/>
      <c r="AH25" s="105"/>
      <c r="AI25" s="105"/>
      <c r="AJ25" s="105"/>
      <c r="AK25" s="105"/>
      <c r="AL25" s="105"/>
      <c r="AM25" s="158"/>
      <c r="AN25" s="473"/>
      <c r="AO25" s="106"/>
      <c r="AP25" s="107"/>
      <c r="AQ25" s="108"/>
      <c r="AR25" s="108"/>
      <c r="AS25" s="108"/>
      <c r="AT25" s="108"/>
      <c r="AU25" s="108"/>
      <c r="AV25" s="165"/>
      <c r="AW25" s="531"/>
    </row>
    <row r="26" spans="1:49" s="495" customFormat="1" outlineLevel="1" x14ac:dyDescent="0.25">
      <c r="A26" s="445" t="s">
        <v>743</v>
      </c>
      <c r="B26" s="620" t="s">
        <v>159</v>
      </c>
      <c r="C26" s="310" t="s">
        <v>758</v>
      </c>
      <c r="D26" s="604"/>
      <c r="E26" s="604"/>
      <c r="F26" s="604"/>
      <c r="G26" s="604"/>
      <c r="H26" s="618">
        <f>IFERROR(AVERAGE(D26:F26),0)</f>
        <v>0</v>
      </c>
      <c r="I26" s="127">
        <f>H26*12</f>
        <v>0</v>
      </c>
      <c r="J26" s="127">
        <f>IF(I26&gt;12,(((I26)*'CORE Recurring Items'!$H$5)+I26),(I26*1))</f>
        <v>0</v>
      </c>
      <c r="K26" s="127">
        <f>IF(J26&gt;12,(((J26)*'CORE Recurring Items'!$H$5)+J26),(J26*1))</f>
        <v>0</v>
      </c>
      <c r="L26" s="127">
        <f>IF(K26&gt;12,(((K26)*'CORE Recurring Items'!$H$5)+K26),(K26*1))</f>
        <v>0</v>
      </c>
      <c r="M26" s="127">
        <f>IF(L26&gt;12,(((L26)*'CORE Recurring Items'!$H$5)+L26),(L26*1))</f>
        <v>0</v>
      </c>
      <c r="N26" s="245" t="str">
        <f t="shared" si="17"/>
        <v>10% ICBA BANCARD MEMBER DISC</v>
      </c>
      <c r="O26" s="247"/>
      <c r="P26" s="129">
        <f t="shared" ref="P26:T28" si="18">IF(O26&gt;0,PRODUCT(I26,$O26),0)</f>
        <v>0</v>
      </c>
      <c r="Q26" s="129">
        <f t="shared" si="18"/>
        <v>0</v>
      </c>
      <c r="R26" s="129">
        <f t="shared" si="18"/>
        <v>0</v>
      </c>
      <c r="S26" s="129">
        <f t="shared" si="18"/>
        <v>0</v>
      </c>
      <c r="T26" s="129">
        <f t="shared" si="18"/>
        <v>0</v>
      </c>
      <c r="U26" s="209">
        <f>SUM(P26:T26)</f>
        <v>0</v>
      </c>
      <c r="V26" s="528"/>
      <c r="W26" s="222"/>
      <c r="X26" s="324"/>
      <c r="Y26" s="103"/>
      <c r="Z26" s="103"/>
      <c r="AA26" s="103"/>
      <c r="AB26" s="103"/>
      <c r="AC26" s="103"/>
      <c r="AD26" s="123"/>
      <c r="AE26" s="370"/>
      <c r="AF26" s="221"/>
      <c r="AG26" s="255"/>
      <c r="AH26" s="105"/>
      <c r="AI26" s="105"/>
      <c r="AJ26" s="105"/>
      <c r="AK26" s="105"/>
      <c r="AL26" s="105"/>
      <c r="AM26" s="158"/>
      <c r="AN26" s="473"/>
      <c r="AO26" s="106"/>
      <c r="AP26" s="107"/>
      <c r="AQ26" s="108"/>
      <c r="AR26" s="108"/>
      <c r="AS26" s="108"/>
      <c r="AT26" s="108"/>
      <c r="AU26" s="108"/>
      <c r="AV26" s="165"/>
      <c r="AW26" s="531"/>
    </row>
    <row r="27" spans="1:49" s="495" customFormat="1" outlineLevel="1" x14ac:dyDescent="0.25">
      <c r="A27" s="445" t="s">
        <v>743</v>
      </c>
      <c r="B27" s="620" t="s">
        <v>159</v>
      </c>
      <c r="C27" s="310" t="s">
        <v>759</v>
      </c>
      <c r="D27" s="604"/>
      <c r="E27" s="604">
        <v>1</v>
      </c>
      <c r="F27" s="604">
        <v>1</v>
      </c>
      <c r="G27" s="604">
        <v>1</v>
      </c>
      <c r="H27" s="618">
        <f>IFERROR(AVERAGE(D27:G27),0)</f>
        <v>1</v>
      </c>
      <c r="I27" s="127">
        <f>H27*12</f>
        <v>12</v>
      </c>
      <c r="J27" s="127">
        <f>IF(I27&gt;12,(((I27)*'CORE Recurring Items'!$H$5)+I27),(I27*1))</f>
        <v>12</v>
      </c>
      <c r="K27" s="127">
        <f>IF(J27&gt;12,(((J27)*'CORE Recurring Items'!$H$5)+J27),(J27*1))</f>
        <v>12</v>
      </c>
      <c r="L27" s="127">
        <f>IF(K27&gt;12,(((K27)*'CORE Recurring Items'!$H$5)+K27),(K27*1))</f>
        <v>12</v>
      </c>
      <c r="M27" s="127">
        <f>IF(L27&gt;12,(((L27)*'CORE Recurring Items'!$H$5)+L27),(L27*1))</f>
        <v>12</v>
      </c>
      <c r="N27" s="245" t="str">
        <f t="shared" si="17"/>
        <v>PULSE PASS THRU FEE</v>
      </c>
      <c r="O27" s="247">
        <v>0</v>
      </c>
      <c r="P27" s="129">
        <f t="shared" si="18"/>
        <v>0</v>
      </c>
      <c r="Q27" s="129">
        <f t="shared" si="18"/>
        <v>0</v>
      </c>
      <c r="R27" s="129">
        <f t="shared" si="18"/>
        <v>0</v>
      </c>
      <c r="S27" s="129">
        <f t="shared" si="18"/>
        <v>0</v>
      </c>
      <c r="T27" s="129">
        <f t="shared" si="18"/>
        <v>0</v>
      </c>
      <c r="U27" s="209">
        <f>SUM(P27:T27)</f>
        <v>0</v>
      </c>
      <c r="V27" s="528"/>
      <c r="W27" s="222"/>
      <c r="X27" s="324"/>
      <c r="Y27" s="103"/>
      <c r="Z27" s="103"/>
      <c r="AA27" s="103"/>
      <c r="AB27" s="103"/>
      <c r="AC27" s="103"/>
      <c r="AD27" s="123"/>
      <c r="AE27" s="370"/>
      <c r="AF27" s="221"/>
      <c r="AG27" s="255"/>
      <c r="AH27" s="105"/>
      <c r="AI27" s="105"/>
      <c r="AJ27" s="105"/>
      <c r="AK27" s="105"/>
      <c r="AL27" s="105"/>
      <c r="AM27" s="158"/>
      <c r="AN27" s="473"/>
      <c r="AO27" s="106"/>
      <c r="AP27" s="107"/>
      <c r="AQ27" s="108"/>
      <c r="AR27" s="108"/>
      <c r="AS27" s="108"/>
      <c r="AT27" s="108"/>
      <c r="AU27" s="108"/>
      <c r="AV27" s="165"/>
      <c r="AW27" s="531"/>
    </row>
    <row r="28" spans="1:49" s="495" customFormat="1" outlineLevel="1" x14ac:dyDescent="0.25">
      <c r="A28" s="445" t="s">
        <v>743</v>
      </c>
      <c r="B28" s="620" t="s">
        <v>159</v>
      </c>
      <c r="C28" s="310" t="s">
        <v>758</v>
      </c>
      <c r="D28" s="604"/>
      <c r="E28" s="604"/>
      <c r="F28" s="604"/>
      <c r="G28" s="604"/>
      <c r="H28" s="618"/>
      <c r="I28" s="127"/>
      <c r="J28" s="127"/>
      <c r="K28" s="127"/>
      <c r="L28" s="127"/>
      <c r="M28" s="127"/>
      <c r="N28" s="245" t="str">
        <f t="shared" si="17"/>
        <v>10% ICBA BANCARD MEMBER DISC</v>
      </c>
      <c r="O28" s="247"/>
      <c r="P28" s="129">
        <f t="shared" si="18"/>
        <v>0</v>
      </c>
      <c r="Q28" s="129">
        <f t="shared" si="18"/>
        <v>0</v>
      </c>
      <c r="R28" s="129">
        <f t="shared" si="18"/>
        <v>0</v>
      </c>
      <c r="S28" s="129">
        <f t="shared" si="18"/>
        <v>0</v>
      </c>
      <c r="T28" s="129">
        <f t="shared" si="18"/>
        <v>0</v>
      </c>
      <c r="U28" s="209">
        <f>SUM(P28:T28)</f>
        <v>0</v>
      </c>
      <c r="V28" s="528"/>
      <c r="W28" s="222"/>
      <c r="X28" s="324"/>
      <c r="Y28" s="103"/>
      <c r="Z28" s="103"/>
      <c r="AA28" s="103"/>
      <c r="AB28" s="103"/>
      <c r="AC28" s="103"/>
      <c r="AD28" s="123"/>
      <c r="AE28" s="370"/>
      <c r="AF28" s="221"/>
      <c r="AG28" s="255"/>
      <c r="AH28" s="105"/>
      <c r="AI28" s="105"/>
      <c r="AJ28" s="105"/>
      <c r="AK28" s="105"/>
      <c r="AL28" s="105"/>
      <c r="AM28" s="158"/>
      <c r="AN28" s="473"/>
      <c r="AO28" s="106"/>
      <c r="AP28" s="107"/>
      <c r="AQ28" s="108"/>
      <c r="AR28" s="108"/>
      <c r="AS28" s="108"/>
      <c r="AT28" s="108"/>
      <c r="AU28" s="108"/>
      <c r="AV28" s="165"/>
      <c r="AW28" s="531"/>
    </row>
    <row r="29" spans="1:49" s="495" customFormat="1" outlineLevel="1" x14ac:dyDescent="0.25">
      <c r="A29" s="445" t="s">
        <v>743</v>
      </c>
      <c r="B29" s="620" t="s">
        <v>159</v>
      </c>
      <c r="C29" s="310" t="s">
        <v>760</v>
      </c>
      <c r="D29" s="604"/>
      <c r="E29" s="604">
        <v>5</v>
      </c>
      <c r="F29" s="604">
        <v>5</v>
      </c>
      <c r="G29" s="604">
        <v>5</v>
      </c>
      <c r="H29" s="618">
        <f>IFERROR(AVERAGE(D29:G29),0)</f>
        <v>5</v>
      </c>
      <c r="I29" s="127">
        <f>H29*12</f>
        <v>60</v>
      </c>
      <c r="J29" s="127">
        <f>IF(I29&gt;12,(((I29)*'CORE Recurring Items'!$H$5)+I29),(I29*1))</f>
        <v>63</v>
      </c>
      <c r="K29" s="127">
        <f>IF(J29&gt;12,(((J29)*'CORE Recurring Items'!$H$5)+J29),(J29*1))</f>
        <v>66.150000000000006</v>
      </c>
      <c r="L29" s="127">
        <f>IF(K29&gt;12,(((K29)*'CORE Recurring Items'!$H$5)+K29),(K29*1))</f>
        <v>69.45750000000001</v>
      </c>
      <c r="M29" s="127">
        <f>IF(L29&gt;12,(((L29)*'CORE Recurring Items'!$H$5)+L29),(L29*1))</f>
        <v>72.930375000000012</v>
      </c>
      <c r="N29" s="245" t="str">
        <f t="shared" si="17"/>
        <v>MC-EQ-CONNECTIVITY/EQUIPMENT</v>
      </c>
      <c r="O29" s="247"/>
      <c r="P29" s="129"/>
      <c r="Q29" s="129">
        <f>IF(P29&gt;0,PRODUCT(J29,$O29),0)</f>
        <v>0</v>
      </c>
      <c r="R29" s="129">
        <f>IF(Q29&gt;0,PRODUCT(K29,$O29),0)</f>
        <v>0</v>
      </c>
      <c r="S29" s="129">
        <f>IF(R29&gt;0,PRODUCT(L29,$O29),0)</f>
        <v>0</v>
      </c>
      <c r="T29" s="129">
        <f>IF(S29&gt;0,PRODUCT(M29,$O29),0)</f>
        <v>0</v>
      </c>
      <c r="U29" s="209">
        <f>SUM(P29:T29)</f>
        <v>0</v>
      </c>
      <c r="V29" s="528"/>
      <c r="W29" s="222"/>
      <c r="X29" s="324"/>
      <c r="Y29" s="103"/>
      <c r="Z29" s="103"/>
      <c r="AA29" s="103"/>
      <c r="AB29" s="103"/>
      <c r="AC29" s="103"/>
      <c r="AD29" s="123"/>
      <c r="AE29" s="370"/>
      <c r="AF29" s="221"/>
      <c r="AG29" s="255"/>
      <c r="AH29" s="105"/>
      <c r="AI29" s="105"/>
      <c r="AJ29" s="105"/>
      <c r="AK29" s="105"/>
      <c r="AL29" s="105"/>
      <c r="AM29" s="158"/>
      <c r="AN29" s="473"/>
      <c r="AO29" s="106"/>
      <c r="AP29" s="107"/>
      <c r="AQ29" s="108"/>
      <c r="AR29" s="108"/>
      <c r="AS29" s="108"/>
      <c r="AT29" s="108"/>
      <c r="AU29" s="108"/>
      <c r="AV29" s="165"/>
      <c r="AW29" s="531"/>
    </row>
    <row r="30" spans="1:49" s="495" customFormat="1" outlineLevel="1" x14ac:dyDescent="0.25">
      <c r="A30" s="445" t="s">
        <v>743</v>
      </c>
      <c r="B30" s="620" t="s">
        <v>159</v>
      </c>
      <c r="C30" s="676" t="s">
        <v>761</v>
      </c>
      <c r="D30" s="604"/>
      <c r="E30" s="604"/>
      <c r="F30" s="604"/>
      <c r="G30" s="604"/>
      <c r="H30" s="618"/>
      <c r="I30" s="127"/>
      <c r="J30" s="127"/>
      <c r="K30" s="127"/>
      <c r="L30" s="127"/>
      <c r="M30" s="127"/>
      <c r="N30" s="245" t="str">
        <f t="shared" si="17"/>
        <v>534900 MC Connectivity/Equip FEE</v>
      </c>
      <c r="O30" s="247"/>
      <c r="P30" s="129"/>
      <c r="Q30" s="129"/>
      <c r="R30" s="129"/>
      <c r="S30" s="129"/>
      <c r="T30" s="129"/>
      <c r="U30" s="209"/>
      <c r="V30" s="528"/>
      <c r="W30" s="222"/>
      <c r="X30" s="324"/>
      <c r="Y30" s="103"/>
      <c r="Z30" s="103"/>
      <c r="AA30" s="103"/>
      <c r="AB30" s="103"/>
      <c r="AC30" s="103"/>
      <c r="AD30" s="123"/>
      <c r="AE30" s="370"/>
      <c r="AF30" s="221"/>
      <c r="AG30" s="255"/>
      <c r="AH30" s="105"/>
      <c r="AI30" s="105"/>
      <c r="AJ30" s="105"/>
      <c r="AK30" s="105"/>
      <c r="AL30" s="105"/>
      <c r="AM30" s="158"/>
      <c r="AN30" s="473"/>
      <c r="AO30" s="106"/>
      <c r="AP30" s="107"/>
      <c r="AQ30" s="108"/>
      <c r="AR30" s="108"/>
      <c r="AS30" s="108"/>
      <c r="AT30" s="108"/>
      <c r="AU30" s="108"/>
      <c r="AV30" s="165"/>
      <c r="AW30" s="531"/>
    </row>
    <row r="31" spans="1:49" s="495" customFormat="1" outlineLevel="1" x14ac:dyDescent="0.25">
      <c r="A31" s="445" t="s">
        <v>743</v>
      </c>
      <c r="B31" s="620" t="s">
        <v>159</v>
      </c>
      <c r="C31" s="676" t="s">
        <v>762</v>
      </c>
      <c r="D31" s="604"/>
      <c r="E31" s="604"/>
      <c r="F31" s="604"/>
      <c r="G31" s="604"/>
      <c r="H31" s="618"/>
      <c r="I31" s="127"/>
      <c r="J31" s="127"/>
      <c r="K31" s="127"/>
      <c r="L31" s="127"/>
      <c r="M31" s="127"/>
      <c r="N31" s="245" t="str">
        <f t="shared" si="17"/>
        <v>535095 MC Connectivity/Equip FEE</v>
      </c>
      <c r="O31" s="247"/>
      <c r="P31" s="129"/>
      <c r="Q31" s="129"/>
      <c r="R31" s="129"/>
      <c r="S31" s="129"/>
      <c r="T31" s="129"/>
      <c r="U31" s="209"/>
      <c r="V31" s="528"/>
      <c r="W31" s="222"/>
      <c r="X31" s="324"/>
      <c r="Y31" s="103"/>
      <c r="Z31" s="103"/>
      <c r="AA31" s="103"/>
      <c r="AB31" s="103"/>
      <c r="AC31" s="103"/>
      <c r="AD31" s="123"/>
      <c r="AE31" s="370"/>
      <c r="AF31" s="221"/>
      <c r="AG31" s="255"/>
      <c r="AH31" s="105"/>
      <c r="AI31" s="105"/>
      <c r="AJ31" s="105"/>
      <c r="AK31" s="105"/>
      <c r="AL31" s="105"/>
      <c r="AM31" s="158"/>
      <c r="AN31" s="473"/>
      <c r="AO31" s="106"/>
      <c r="AP31" s="107"/>
      <c r="AQ31" s="108"/>
      <c r="AR31" s="108"/>
      <c r="AS31" s="108"/>
      <c r="AT31" s="108"/>
      <c r="AU31" s="108"/>
      <c r="AV31" s="165"/>
      <c r="AW31" s="531"/>
    </row>
    <row r="32" spans="1:49" s="495" customFormat="1" outlineLevel="1" x14ac:dyDescent="0.25">
      <c r="A32" s="445" t="s">
        <v>743</v>
      </c>
      <c r="B32" s="620" t="s">
        <v>159</v>
      </c>
      <c r="C32" s="676" t="s">
        <v>763</v>
      </c>
      <c r="D32" s="604"/>
      <c r="E32" s="604"/>
      <c r="F32" s="604"/>
      <c r="G32" s="604"/>
      <c r="H32" s="618"/>
      <c r="I32" s="127"/>
      <c r="J32" s="127"/>
      <c r="K32" s="127"/>
      <c r="L32" s="127"/>
      <c r="M32" s="127"/>
      <c r="N32" s="245" t="str">
        <f t="shared" si="17"/>
        <v>MC Aquirer Connectivity/Equip FEE</v>
      </c>
      <c r="O32" s="247"/>
      <c r="P32" s="129"/>
      <c r="Q32" s="129"/>
      <c r="R32" s="129"/>
      <c r="S32" s="129"/>
      <c r="T32" s="129"/>
      <c r="U32" s="209"/>
      <c r="V32" s="528"/>
      <c r="W32" s="222"/>
      <c r="X32" s="324"/>
      <c r="Y32" s="103"/>
      <c r="Z32" s="103"/>
      <c r="AA32" s="103"/>
      <c r="AB32" s="103"/>
      <c r="AC32" s="103"/>
      <c r="AD32" s="123"/>
      <c r="AE32" s="370"/>
      <c r="AF32" s="221"/>
      <c r="AG32" s="255"/>
      <c r="AH32" s="105"/>
      <c r="AI32" s="105"/>
      <c r="AJ32" s="105"/>
      <c r="AK32" s="105"/>
      <c r="AL32" s="105"/>
      <c r="AM32" s="158"/>
      <c r="AN32" s="473"/>
      <c r="AO32" s="106"/>
      <c r="AP32" s="107"/>
      <c r="AQ32" s="108"/>
      <c r="AR32" s="108"/>
      <c r="AS32" s="108"/>
      <c r="AT32" s="108"/>
      <c r="AU32" s="108"/>
      <c r="AV32" s="165"/>
      <c r="AW32" s="531"/>
    </row>
    <row r="33" spans="1:49" s="495" customFormat="1" outlineLevel="1" x14ac:dyDescent="0.25">
      <c r="A33" s="445" t="s">
        <v>743</v>
      </c>
      <c r="B33" s="620" t="s">
        <v>159</v>
      </c>
      <c r="C33" s="676" t="s">
        <v>764</v>
      </c>
      <c r="D33" s="604"/>
      <c r="E33" s="604"/>
      <c r="F33" s="604"/>
      <c r="G33" s="604"/>
      <c r="H33" s="618"/>
      <c r="I33" s="127"/>
      <c r="J33" s="127"/>
      <c r="K33" s="127"/>
      <c r="L33" s="127"/>
      <c r="M33" s="127"/>
      <c r="N33" s="245" t="str">
        <f t="shared" si="17"/>
        <v>534900 KEY MGT Serv 2EQ3400</v>
      </c>
      <c r="O33" s="247"/>
      <c r="P33" s="129"/>
      <c r="Q33" s="129"/>
      <c r="R33" s="129"/>
      <c r="S33" s="129"/>
      <c r="T33" s="129"/>
      <c r="U33" s="209"/>
      <c r="V33" s="528"/>
      <c r="W33" s="222"/>
      <c r="X33" s="324"/>
      <c r="Y33" s="103"/>
      <c r="Z33" s="103"/>
      <c r="AA33" s="103"/>
      <c r="AB33" s="103"/>
      <c r="AC33" s="103"/>
      <c r="AD33" s="123"/>
      <c r="AE33" s="370"/>
      <c r="AF33" s="221"/>
      <c r="AG33" s="255"/>
      <c r="AH33" s="105"/>
      <c r="AI33" s="105"/>
      <c r="AJ33" s="105"/>
      <c r="AK33" s="105"/>
      <c r="AL33" s="105"/>
      <c r="AM33" s="158"/>
      <c r="AN33" s="473"/>
      <c r="AO33" s="106"/>
      <c r="AP33" s="107"/>
      <c r="AQ33" s="108"/>
      <c r="AR33" s="108"/>
      <c r="AS33" s="108"/>
      <c r="AT33" s="108"/>
      <c r="AU33" s="108"/>
      <c r="AV33" s="165"/>
      <c r="AW33" s="531"/>
    </row>
    <row r="34" spans="1:49" s="495" customFormat="1" outlineLevel="1" x14ac:dyDescent="0.25">
      <c r="A34" s="445" t="s">
        <v>743</v>
      </c>
      <c r="B34" s="620" t="s">
        <v>159</v>
      </c>
      <c r="C34" s="676" t="s">
        <v>765</v>
      </c>
      <c r="D34" s="604"/>
      <c r="E34" s="604"/>
      <c r="F34" s="604"/>
      <c r="G34" s="604"/>
      <c r="H34" s="618"/>
      <c r="I34" s="127"/>
      <c r="J34" s="127"/>
      <c r="K34" s="127"/>
      <c r="L34" s="127"/>
      <c r="M34" s="127"/>
      <c r="N34" s="245" t="str">
        <f t="shared" si="17"/>
        <v>535095 KEY MGT Serv 2EQ3400</v>
      </c>
      <c r="O34" s="247"/>
      <c r="P34" s="129"/>
      <c r="Q34" s="129"/>
      <c r="R34" s="129"/>
      <c r="S34" s="129"/>
      <c r="T34" s="129"/>
      <c r="U34" s="209"/>
      <c r="V34" s="528"/>
      <c r="W34" s="222"/>
      <c r="X34" s="324"/>
      <c r="Y34" s="103"/>
      <c r="Z34" s="103"/>
      <c r="AA34" s="103"/>
      <c r="AB34" s="103"/>
      <c r="AC34" s="103"/>
      <c r="AD34" s="123"/>
      <c r="AE34" s="370"/>
      <c r="AF34" s="221"/>
      <c r="AG34" s="255"/>
      <c r="AH34" s="105"/>
      <c r="AI34" s="105"/>
      <c r="AJ34" s="105"/>
      <c r="AK34" s="105"/>
      <c r="AL34" s="105"/>
      <c r="AM34" s="158"/>
      <c r="AN34" s="473"/>
      <c r="AO34" s="106"/>
      <c r="AP34" s="107"/>
      <c r="AQ34" s="108"/>
      <c r="AR34" s="108"/>
      <c r="AS34" s="108"/>
      <c r="AT34" s="108"/>
      <c r="AU34" s="108"/>
      <c r="AV34" s="165"/>
      <c r="AW34" s="531"/>
    </row>
    <row r="35" spans="1:49" s="495" customFormat="1" outlineLevel="1" x14ac:dyDescent="0.25">
      <c r="A35" s="111"/>
      <c r="B35" s="253"/>
      <c r="C35" s="310"/>
      <c r="D35" s="604"/>
      <c r="E35" s="604"/>
      <c r="F35" s="604"/>
      <c r="G35" s="604"/>
      <c r="H35" s="618"/>
      <c r="I35" s="127"/>
      <c r="J35" s="127"/>
      <c r="K35" s="127"/>
      <c r="L35" s="127"/>
      <c r="M35" s="127"/>
      <c r="N35" s="245"/>
      <c r="O35" s="247"/>
      <c r="P35" s="129"/>
      <c r="Q35" s="129"/>
      <c r="R35" s="129"/>
      <c r="S35" s="129"/>
      <c r="T35" s="129"/>
      <c r="U35" s="209"/>
      <c r="V35" s="528"/>
      <c r="W35" s="102"/>
      <c r="X35" s="324"/>
      <c r="Y35" s="103">
        <f>IF(X35&gt;0,PRODUCT(I36,$X35),0)</f>
        <v>0</v>
      </c>
      <c r="Z35" s="103">
        <f>IF(Y35&gt;0,PRODUCT(J36,$X35),0)</f>
        <v>0</v>
      </c>
      <c r="AA35" s="103">
        <f>IF(Z35&gt;0,PRODUCT(K36,$X35),0)</f>
        <v>0</v>
      </c>
      <c r="AB35" s="103">
        <f>IF(AA35&gt;0,PRODUCT(L36,$X35),0)</f>
        <v>0</v>
      </c>
      <c r="AC35" s="103">
        <f>IF(AB35&gt;0,PRODUCT(M36,$X35),0)</f>
        <v>0</v>
      </c>
      <c r="AD35" s="123">
        <f>SUM(Y35:AC35)</f>
        <v>0</v>
      </c>
      <c r="AE35" s="370"/>
      <c r="AF35" s="221"/>
      <c r="AG35" s="255"/>
      <c r="AH35" s="105">
        <f>IF(AG35&gt;0,PRODUCT(I36,$AG35),0)</f>
        <v>0</v>
      </c>
      <c r="AI35" s="105">
        <f>IF(AH35&gt;0,PRODUCT(J36,$AG35),0)</f>
        <v>0</v>
      </c>
      <c r="AJ35" s="105">
        <f>IF(AI35&gt;0,PRODUCT(K36,$AG35),0)</f>
        <v>0</v>
      </c>
      <c r="AK35" s="105">
        <f>IF(AJ35&gt;0,PRODUCT(L36,$AG35),0)</f>
        <v>0</v>
      </c>
      <c r="AL35" s="105">
        <f>IF(AK35&gt;0,PRODUCT(M36,$AG35),0)</f>
        <v>0</v>
      </c>
      <c r="AM35" s="158">
        <f>SUM(AH35:AL35)</f>
        <v>0</v>
      </c>
      <c r="AN35" s="473"/>
      <c r="AO35" s="106"/>
      <c r="AP35" s="107"/>
      <c r="AQ35" s="108">
        <f>IF(AP35&gt;0,PRODUCT(I36,$AP35),0)</f>
        <v>0</v>
      </c>
      <c r="AR35" s="108">
        <f>IF(AQ35&gt;0,PRODUCT(J36,$AP35),0)</f>
        <v>0</v>
      </c>
      <c r="AS35" s="108">
        <f>IF(AR35&gt;0,PRODUCT(K36,$AP35),0)</f>
        <v>0</v>
      </c>
      <c r="AT35" s="108">
        <f>IF(AS35&gt;0,PRODUCT(L36,$AP35),0)</f>
        <v>0</v>
      </c>
      <c r="AU35" s="108">
        <f>IF(AT35&gt;0,PRODUCT(M36,$AP35),0)</f>
        <v>0</v>
      </c>
      <c r="AV35" s="165">
        <f>SUM(AQ35:AU35)</f>
        <v>0</v>
      </c>
      <c r="AW35" s="531"/>
    </row>
    <row r="36" spans="1:49" ht="3.75" customHeight="1" outlineLevel="1" x14ac:dyDescent="0.25">
      <c r="A36" s="16"/>
      <c r="B36" s="16"/>
      <c r="C36" s="16"/>
      <c r="D36" s="16"/>
      <c r="E36" s="16"/>
      <c r="F36" s="16"/>
      <c r="G36" s="16"/>
      <c r="H36" s="16"/>
      <c r="I36" s="16"/>
      <c r="J36" s="16"/>
      <c r="K36" s="16"/>
      <c r="L36" s="16"/>
      <c r="M36" s="16"/>
      <c r="N36" s="16" t="str">
        <f>IF(C36="","",C36)</f>
        <v/>
      </c>
      <c r="O36" s="16"/>
      <c r="P36" s="16"/>
      <c r="Q36" s="16"/>
      <c r="R36" s="16"/>
      <c r="S36" s="16"/>
      <c r="T36" s="16"/>
      <c r="U36" s="16"/>
      <c r="V36" s="16"/>
      <c r="W36" s="16"/>
      <c r="X36" s="20"/>
      <c r="Y36" s="21"/>
      <c r="Z36" s="21"/>
      <c r="AA36" s="21"/>
      <c r="AB36" s="21"/>
      <c r="AC36" s="21"/>
      <c r="AD36" s="21"/>
      <c r="AE36" s="21"/>
      <c r="AF36" s="263"/>
      <c r="AG36" s="20"/>
      <c r="AH36" s="21"/>
      <c r="AI36" s="21"/>
      <c r="AJ36" s="21"/>
      <c r="AK36" s="21"/>
      <c r="AL36" s="21"/>
      <c r="AM36" s="21"/>
      <c r="AN36" s="21"/>
      <c r="AO36" s="20"/>
      <c r="AP36" s="20"/>
      <c r="AQ36" s="20"/>
      <c r="AR36" s="20"/>
      <c r="AS36" s="20"/>
      <c r="AT36" s="20"/>
      <c r="AU36" s="20"/>
      <c r="AV36" s="22"/>
      <c r="AW36" s="21"/>
    </row>
    <row r="37" spans="1:49" s="495" customFormat="1" outlineLevel="1" x14ac:dyDescent="0.25">
      <c r="A37" s="77"/>
      <c r="B37" s="77"/>
      <c r="C37" s="298" t="s">
        <v>380</v>
      </c>
      <c r="D37" s="610"/>
      <c r="E37" s="610"/>
      <c r="F37" s="610"/>
      <c r="G37" s="610"/>
      <c r="H37" s="115"/>
      <c r="I37" s="664"/>
      <c r="J37" s="665"/>
      <c r="K37" s="666"/>
      <c r="L37" s="666"/>
      <c r="M37" s="667"/>
      <c r="N37" s="304" t="s">
        <v>380</v>
      </c>
      <c r="O37" s="303"/>
      <c r="P37" s="146">
        <f>SUM(P9:P35)</f>
        <v>15367.523900800001</v>
      </c>
      <c r="Q37" s="146">
        <f>SUM(Q9:Q35)</f>
        <v>15367.523900800001</v>
      </c>
      <c r="R37" s="146">
        <f>SUM(R9:R35)</f>
        <v>15367.523900800001</v>
      </c>
      <c r="S37" s="146">
        <f>SUM(S9:S35)</f>
        <v>15367.523900800001</v>
      </c>
      <c r="T37" s="146">
        <f>SUM(T9:T35)</f>
        <v>15367.523900800001</v>
      </c>
      <c r="U37" s="210">
        <f>SUM(U8:U35)</f>
        <v>76837.619504000002</v>
      </c>
      <c r="V37" s="528"/>
      <c r="W37" s="102" t="str">
        <f>C38</f>
        <v>Processing Fees Sum:</v>
      </c>
      <c r="X37" s="324"/>
      <c r="Y37" s="103">
        <f>SUM(Y15:Y35)</f>
        <v>0</v>
      </c>
      <c r="Z37" s="103">
        <f>SUM(Z15:Z35)</f>
        <v>0</v>
      </c>
      <c r="AA37" s="103">
        <f>SUM(AA15:AA35)</f>
        <v>0</v>
      </c>
      <c r="AB37" s="103">
        <f>SUM(AB15:AB35)</f>
        <v>0</v>
      </c>
      <c r="AC37" s="103">
        <f>SUM(AC15:AC35)</f>
        <v>0</v>
      </c>
      <c r="AD37" s="123">
        <f>SUM(AD8:AD35)</f>
        <v>0</v>
      </c>
      <c r="AE37" s="370"/>
      <c r="AF37" s="221" t="str">
        <f>C38</f>
        <v>Processing Fees Sum:</v>
      </c>
      <c r="AG37" s="271"/>
      <c r="AH37" s="105">
        <f t="shared" ref="AH37:AM37" si="19">SUM(AH8:AH35)</f>
        <v>0</v>
      </c>
      <c r="AI37" s="105">
        <f t="shared" si="19"/>
        <v>0</v>
      </c>
      <c r="AJ37" s="105">
        <f t="shared" si="19"/>
        <v>0</v>
      </c>
      <c r="AK37" s="105">
        <f t="shared" si="19"/>
        <v>0</v>
      </c>
      <c r="AL37" s="105">
        <f t="shared" si="19"/>
        <v>0</v>
      </c>
      <c r="AM37" s="158">
        <f t="shared" si="19"/>
        <v>0</v>
      </c>
      <c r="AN37" s="473"/>
      <c r="AO37" s="106" t="str">
        <f>C38</f>
        <v>Processing Fees Sum:</v>
      </c>
      <c r="AP37" s="353"/>
      <c r="AQ37" s="108">
        <f t="shared" ref="AQ37:AV37" si="20">SUM(AQ8:AQ35)</f>
        <v>0</v>
      </c>
      <c r="AR37" s="108">
        <f t="shared" si="20"/>
        <v>0</v>
      </c>
      <c r="AS37" s="108">
        <f t="shared" si="20"/>
        <v>0</v>
      </c>
      <c r="AT37" s="108">
        <f t="shared" si="20"/>
        <v>0</v>
      </c>
      <c r="AU37" s="108">
        <f t="shared" si="20"/>
        <v>0</v>
      </c>
      <c r="AV37" s="165">
        <f t="shared" si="20"/>
        <v>0</v>
      </c>
      <c r="AW37" s="531"/>
    </row>
    <row r="38" spans="1:49" ht="3.75" customHeight="1" x14ac:dyDescent="0.25">
      <c r="A38" s="16"/>
      <c r="B38" s="16"/>
      <c r="C38" s="633" t="s">
        <v>381</v>
      </c>
      <c r="D38" s="634"/>
      <c r="E38" s="634"/>
      <c r="F38" s="634"/>
      <c r="G38" s="634"/>
      <c r="H38" s="635"/>
      <c r="I38" s="636"/>
      <c r="J38" s="636"/>
      <c r="K38" s="636"/>
      <c r="L38" s="636"/>
      <c r="M38" s="637"/>
      <c r="N38" s="638" t="str">
        <f>C38</f>
        <v>Processing Fees Sum:</v>
      </c>
      <c r="O38" s="639"/>
      <c r="P38" s="640">
        <f>SUM(P9:P36)</f>
        <v>15367.523900800001</v>
      </c>
      <c r="Q38" s="640">
        <f>SUM(Q9:Q36)</f>
        <v>15367.523900800001</v>
      </c>
      <c r="R38" s="640">
        <f>SUM(R9:R36)</f>
        <v>15367.523900800001</v>
      </c>
      <c r="S38" s="640">
        <f>SUM(S9:S36)</f>
        <v>15367.523900800001</v>
      </c>
      <c r="T38" s="640">
        <f>SUM(T9:T36)</f>
        <v>15367.523900800001</v>
      </c>
      <c r="U38" s="641">
        <f>SUM(U8:U36)</f>
        <v>76837.619504000002</v>
      </c>
      <c r="V38" s="21"/>
      <c r="W38" s="16"/>
      <c r="X38" s="20"/>
      <c r="Y38" s="21"/>
      <c r="Z38" s="21"/>
      <c r="AA38" s="21"/>
      <c r="AB38" s="21"/>
      <c r="AC38" s="21"/>
      <c r="AD38" s="21"/>
      <c r="AE38" s="21"/>
      <c r="AF38" s="263"/>
      <c r="AG38" s="20"/>
      <c r="AH38" s="21"/>
      <c r="AI38" s="21"/>
      <c r="AJ38" s="21"/>
      <c r="AK38" s="21"/>
      <c r="AL38" s="21"/>
      <c r="AM38" s="21"/>
      <c r="AN38" s="21"/>
      <c r="AO38" s="20"/>
      <c r="AP38" s="20"/>
      <c r="AQ38" s="20"/>
      <c r="AR38" s="20"/>
      <c r="AS38" s="20"/>
      <c r="AT38" s="20"/>
      <c r="AU38" s="20"/>
      <c r="AV38" s="22"/>
      <c r="AW38" s="21"/>
    </row>
    <row r="42" spans="1:49" x14ac:dyDescent="0.25">
      <c r="C42" s="36" t="s">
        <v>766</v>
      </c>
    </row>
  </sheetData>
  <mergeCells count="10">
    <mergeCell ref="N5:U5"/>
    <mergeCell ref="W5:AD5"/>
    <mergeCell ref="AF5:AM5"/>
    <mergeCell ref="AO5:AV5"/>
    <mergeCell ref="I3:I4"/>
    <mergeCell ref="J3:M3"/>
    <mergeCell ref="N4:U4"/>
    <mergeCell ref="W4:AD4"/>
    <mergeCell ref="AF4:AM4"/>
    <mergeCell ref="AO4:AV4"/>
  </mergeCells>
  <conditionalFormatting sqref="A1:A17">
    <cfRule type="containsText" dxfId="6" priority="36" operator="containsText" text="PASSTHRU">
      <formula>NOT(ISERROR(SEARCH("PASSTHRU",A1)))</formula>
    </cfRule>
  </conditionalFormatting>
  <conditionalFormatting sqref="A12">
    <cfRule type="containsText" dxfId="5" priority="34" operator="containsText" text="DIGITAL">
      <formula>NOT(ISERROR(SEARCH("DIGITAL",A12)))</formula>
    </cfRule>
    <cfRule type="containsText" dxfId="4" priority="35" operator="containsText" text="CORE">
      <formula>NOT(ISERROR(SEARCH("CORE",A12)))</formula>
    </cfRule>
  </conditionalFormatting>
  <conditionalFormatting sqref="A18:A34">
    <cfRule type="containsText" dxfId="3" priority="1" operator="containsText" text="DIGITAL">
      <formula>NOT(ISERROR(SEARCH("DIGITAL",A18)))</formula>
    </cfRule>
    <cfRule type="containsText" dxfId="2" priority="2" operator="containsText" text="CORE">
      <formula>NOT(ISERROR(SEARCH("CORE",A18)))</formula>
    </cfRule>
  </conditionalFormatting>
  <conditionalFormatting sqref="A18:A1048576">
    <cfRule type="containsText" dxfId="1" priority="3" operator="containsText" text="PASSTHRU">
      <formula>NOT(ISERROR(SEARCH("PASSTHRU",A18)))</formula>
    </cfRule>
  </conditionalFormatting>
  <conditionalFormatting sqref="N6:O6">
    <cfRule type="containsText" dxfId="0" priority="40" operator="containsText" text="Red Text">
      <formula>NOT(ISERROR(SEARCH("Red Text",N6)))</formula>
    </cfRule>
  </conditionalFormatting>
  <pageMargins left="0.7" right="0.7" top="0.75" bottom="0.75" header="0.3" footer="0.3"/>
  <pageSetup scale="10" orientation="portrait" r:id="rId1"/>
  <colBreaks count="4" manualBreakCount="4">
    <brk id="13" max="1048575" man="1"/>
    <brk id="22" max="1048575" man="1"/>
    <brk id="31" max="1048575" man="1"/>
    <brk id="40"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5F285-394D-4D58-AE1B-B7939E953901}">
  <sheetPr codeName="Sheet10">
    <tabColor rgb="FFCC99FF"/>
  </sheetPr>
  <dimension ref="B1:S36"/>
  <sheetViews>
    <sheetView showGridLines="0" zoomScaleNormal="100" zoomScaleSheetLayoutView="75" workbookViewId="0">
      <selection activeCell="C6" sqref="C6"/>
    </sheetView>
  </sheetViews>
  <sheetFormatPr defaultColWidth="9" defaultRowHeight="19.5" x14ac:dyDescent="0.3"/>
  <cols>
    <col min="1" max="1" width="9" style="573"/>
    <col min="2" max="2" width="56.7109375" style="573" customWidth="1"/>
    <col min="3" max="3" width="19.140625" style="577" customWidth="1"/>
    <col min="4" max="4" width="1.7109375" style="573" customWidth="1"/>
    <col min="5" max="5" width="18.5703125" style="573" customWidth="1"/>
    <col min="6" max="6" width="16.28515625" style="573" hidden="1" customWidth="1"/>
    <col min="7" max="7" width="1.7109375" style="573" customWidth="1"/>
    <col min="8" max="8" width="19.5703125" style="573" customWidth="1"/>
    <col min="9" max="9" width="1.7109375" style="573" customWidth="1"/>
    <col min="10" max="10" width="19.5703125" style="573" customWidth="1"/>
    <col min="11" max="11" width="16.28515625" style="573" customWidth="1"/>
    <col min="12" max="12" width="16" style="573" customWidth="1"/>
    <col min="13" max="18" width="9" style="573"/>
    <col min="19" max="19" width="18.28515625" style="573" bestFit="1" customWidth="1"/>
    <col min="20" max="16384" width="9" style="573"/>
  </cols>
  <sheetData>
    <row r="1" spans="2:12" ht="26.25" x14ac:dyDescent="0.4">
      <c r="B1" s="1350" t="s">
        <v>767</v>
      </c>
      <c r="C1" s="1350"/>
      <c r="D1" s="572"/>
      <c r="E1" s="572"/>
    </row>
    <row r="2" spans="2:12" ht="21" x14ac:dyDescent="0.35">
      <c r="B2" s="1351" t="s">
        <v>4</v>
      </c>
      <c r="C2" s="1351"/>
    </row>
    <row r="3" spans="2:12" ht="21" x14ac:dyDescent="0.35">
      <c r="B3" s="1351" t="s">
        <v>768</v>
      </c>
      <c r="C3" s="1351"/>
    </row>
    <row r="4" spans="2:12" x14ac:dyDescent="0.3">
      <c r="C4" s="1356" t="s">
        <v>769</v>
      </c>
      <c r="D4" s="1356"/>
      <c r="E4" s="1356"/>
      <c r="G4" s="577"/>
      <c r="H4" s="1356" t="s">
        <v>769</v>
      </c>
      <c r="I4" s="1356"/>
      <c r="J4" s="1356"/>
    </row>
    <row r="5" spans="2:12" ht="45.75" x14ac:dyDescent="0.3">
      <c r="B5" s="572"/>
      <c r="C5" s="1359" t="s">
        <v>770</v>
      </c>
      <c r="D5" s="1359"/>
      <c r="E5" s="1359"/>
      <c r="F5" s="49" t="s">
        <v>771</v>
      </c>
      <c r="H5" s="1359" t="s">
        <v>772</v>
      </c>
      <c r="I5" s="1359"/>
      <c r="J5" s="1359"/>
      <c r="K5" s="1140" t="s">
        <v>773</v>
      </c>
      <c r="L5" s="1140" t="s">
        <v>774</v>
      </c>
    </row>
    <row r="6" spans="2:12" ht="26.25" x14ac:dyDescent="0.4">
      <c r="B6" s="574" t="s">
        <v>775</v>
      </c>
      <c r="C6" s="575">
        <f>'CORE Recurring Items'!V380+'CORE One Time Items'!I51</f>
        <v>7345092.3693088545</v>
      </c>
      <c r="D6" s="576"/>
      <c r="E6" s="1352">
        <f>SUM(C6:C7)</f>
        <v>11000460.972423818</v>
      </c>
      <c r="F6" s="1085">
        <f>E6/60</f>
        <v>183341.01620706363</v>
      </c>
      <c r="G6" s="576"/>
      <c r="H6" s="575">
        <f>C6</f>
        <v>7345092.3693088545</v>
      </c>
      <c r="I6" s="576"/>
      <c r="J6" s="1352">
        <f>SUM(H6:H7)</f>
        <v>11000460.972423818</v>
      </c>
      <c r="K6" s="1085">
        <f>E6/60</f>
        <v>183341.01620706363</v>
      </c>
      <c r="L6" s="577">
        <f>+J6/60</f>
        <v>183341.01620706363</v>
      </c>
    </row>
    <row r="7" spans="2:12" ht="26.25" x14ac:dyDescent="0.4">
      <c r="B7" s="574" t="s">
        <v>776</v>
      </c>
      <c r="C7" s="575">
        <f>'DGTL Recurring Items'!V179+'DGTL One Time Items'!I70</f>
        <v>3655368.603114964</v>
      </c>
      <c r="D7" s="576"/>
      <c r="E7" s="1353"/>
      <c r="F7" s="1085"/>
      <c r="G7" s="576"/>
      <c r="H7" s="575">
        <f>C7</f>
        <v>3655368.603114964</v>
      </c>
      <c r="I7" s="576"/>
      <c r="J7" s="1353"/>
      <c r="K7" s="1085"/>
    </row>
    <row r="8" spans="2:12" ht="26.25" x14ac:dyDescent="0.4">
      <c r="D8" s="578"/>
      <c r="G8" s="578"/>
      <c r="H8" s="577"/>
      <c r="I8" s="578"/>
    </row>
    <row r="9" spans="2:12" ht="26.25" x14ac:dyDescent="0.4">
      <c r="B9" s="579" t="s">
        <v>777</v>
      </c>
      <c r="C9" s="580">
        <f>'CORE Recurring Items'!AF380+'CORE One Time Items'!M51</f>
        <v>6492853.6676755892</v>
      </c>
      <c r="D9" s="576"/>
      <c r="E9" s="1354">
        <f>SUM(C9:C10)</f>
        <v>8691785.9075983651</v>
      </c>
      <c r="F9" s="1085">
        <f>E9/60</f>
        <v>144863.09845997274</v>
      </c>
      <c r="G9" s="576"/>
      <c r="H9" s="580">
        <f>C9+'Optional Items'!AF20+'Optional Items'!AG20</f>
        <v>7277747.0676755896</v>
      </c>
      <c r="I9" s="576"/>
      <c r="J9" s="1354">
        <f>SUM(H9:H10)</f>
        <v>10031967.107598364</v>
      </c>
      <c r="K9" s="1085">
        <f>E9/60</f>
        <v>144863.09845997274</v>
      </c>
      <c r="L9" s="577">
        <f>+J9/60</f>
        <v>167199.45179330607</v>
      </c>
    </row>
    <row r="10" spans="2:12" ht="26.25" x14ac:dyDescent="0.4">
      <c r="B10" s="579" t="s">
        <v>778</v>
      </c>
      <c r="C10" s="580">
        <f>'DGTL Recurring Items'!AF179+'DGTL One Time Items'!M70</f>
        <v>2198932.2399227754</v>
      </c>
      <c r="D10" s="576"/>
      <c r="E10" s="1355"/>
      <c r="F10" s="1085"/>
      <c r="G10" s="576"/>
      <c r="H10" s="580">
        <f>C10+'Optional Items'!AF56+'Optional Items'!AG56</f>
        <v>2754220.0399227752</v>
      </c>
      <c r="I10" s="576"/>
      <c r="J10" s="1355"/>
      <c r="K10" s="1085"/>
    </row>
    <row r="11" spans="2:12" ht="26.25" x14ac:dyDescent="0.4">
      <c r="D11" s="578"/>
      <c r="G11" s="578"/>
      <c r="H11" s="577"/>
      <c r="I11" s="578"/>
    </row>
    <row r="12" spans="2:12" ht="26.25" x14ac:dyDescent="0.4">
      <c r="B12" s="1160" t="s">
        <v>777</v>
      </c>
      <c r="C12" s="1161">
        <f>'CORE Recurring Items'!AQ380+'CORE One Time Items'!Q51</f>
        <v>6856555.9068731638</v>
      </c>
      <c r="D12" s="576"/>
      <c r="E12" s="1357">
        <f>SUM(C12:C13)</f>
        <v>10132989.736205634</v>
      </c>
      <c r="F12" s="1085">
        <f>E12/60</f>
        <v>168883.16227009389</v>
      </c>
      <c r="G12" s="576"/>
      <c r="H12" s="582">
        <f>C12+'Optional Items'!AQ20+'Optional Items'!AR20</f>
        <v>7754624.9068731638</v>
      </c>
      <c r="I12" s="576"/>
      <c r="J12" s="1357">
        <f>SUM(H12:H13)</f>
        <v>12399283.422265153</v>
      </c>
      <c r="K12" s="1085">
        <f>E12/60</f>
        <v>168883.16227009389</v>
      </c>
      <c r="L12" s="577">
        <f>+J12/60</f>
        <v>206654.72370441922</v>
      </c>
    </row>
    <row r="13" spans="2:12" ht="26.25" x14ac:dyDescent="0.4">
      <c r="B13" s="581" t="s">
        <v>779</v>
      </c>
      <c r="C13" s="582">
        <f>'DGTL Recurring Items'!AP179+'DGTL One Time Items'!Q70</f>
        <v>3276433.8293324704</v>
      </c>
      <c r="D13" s="576"/>
      <c r="E13" s="1358"/>
      <c r="F13" s="1085"/>
      <c r="G13" s="576"/>
      <c r="H13" s="582">
        <f>C13+'Optional Items'!AQ56+'Optional Items'!AR56</f>
        <v>4644658.5153919905</v>
      </c>
      <c r="I13" s="576"/>
      <c r="J13" s="1358"/>
      <c r="K13" s="1085"/>
    </row>
    <row r="14" spans="2:12" ht="26.25" x14ac:dyDescent="0.4">
      <c r="D14" s="578"/>
      <c r="E14" s="577"/>
    </row>
    <row r="15" spans="2:12" ht="26.25" hidden="1" x14ac:dyDescent="0.4">
      <c r="B15" s="584" t="str">
        <f>"Proposed "&amp;'(INTERNAL) Basic Entry '!C23</f>
        <v>Proposed Vendor #3</v>
      </c>
      <c r="C15" s="585"/>
      <c r="D15" s="576"/>
    </row>
    <row r="16" spans="2:12" x14ac:dyDescent="0.3">
      <c r="C16" s="1091"/>
      <c r="D16" s="583"/>
      <c r="E16" s="577"/>
      <c r="H16" s="577"/>
      <c r="K16" s="1141"/>
    </row>
    <row r="17" spans="2:15" x14ac:dyDescent="0.3">
      <c r="D17" s="583"/>
      <c r="E17" s="577"/>
      <c r="J17" s="577"/>
      <c r="K17" s="1141"/>
    </row>
    <row r="18" spans="2:15" x14ac:dyDescent="0.3">
      <c r="B18" s="1092" t="s">
        <v>780</v>
      </c>
      <c r="C18" s="1156"/>
      <c r="K18" s="1158"/>
    </row>
    <row r="19" spans="2:15" customFormat="1" ht="15" x14ac:dyDescent="0.25">
      <c r="B19" t="s">
        <v>781</v>
      </c>
      <c r="C19" s="1091"/>
      <c r="H19" s="1091"/>
      <c r="J19" s="1091"/>
      <c r="K19" s="1158"/>
    </row>
    <row r="20" spans="2:15" customFormat="1" ht="15" x14ac:dyDescent="0.25">
      <c r="B20" t="s">
        <v>782</v>
      </c>
      <c r="C20" s="1091"/>
      <c r="J20" s="1091"/>
      <c r="K20" s="1158"/>
    </row>
    <row r="21" spans="2:15" customFormat="1" ht="15" x14ac:dyDescent="0.25">
      <c r="B21" t="s">
        <v>783</v>
      </c>
      <c r="C21" s="1091"/>
      <c r="H21" s="1091"/>
      <c r="K21" s="1158"/>
      <c r="M21" s="1142"/>
      <c r="N21" s="1142"/>
      <c r="O21" s="1142"/>
    </row>
    <row r="22" spans="2:15" customFormat="1" ht="15" x14ac:dyDescent="0.25">
      <c r="B22" t="s">
        <v>784</v>
      </c>
      <c r="C22" s="1091"/>
      <c r="K22" s="1158"/>
      <c r="M22" s="1142"/>
    </row>
    <row r="23" spans="2:15" customFormat="1" ht="15" x14ac:dyDescent="0.25">
      <c r="B23" t="s">
        <v>785</v>
      </c>
      <c r="C23" s="1091"/>
      <c r="E23" s="1091"/>
      <c r="J23" s="1091"/>
      <c r="K23" s="1159"/>
      <c r="O23" s="1142"/>
    </row>
    <row r="24" spans="2:15" customFormat="1" x14ac:dyDescent="0.3">
      <c r="B24" t="s">
        <v>786</v>
      </c>
      <c r="C24" s="577"/>
      <c r="E24" s="1091"/>
      <c r="K24" s="1159"/>
      <c r="O24" s="1142"/>
    </row>
    <row r="25" spans="2:15" customFormat="1" ht="15" x14ac:dyDescent="0.25">
      <c r="C25" s="1091"/>
      <c r="E25" s="1153"/>
      <c r="M25" s="1142"/>
      <c r="O25" s="1142"/>
    </row>
    <row r="26" spans="2:15" customFormat="1" ht="15" x14ac:dyDescent="0.25">
      <c r="C26" s="1091"/>
      <c r="E26" s="1091"/>
      <c r="J26" s="1091"/>
      <c r="M26" s="1142"/>
    </row>
    <row r="27" spans="2:15" x14ac:dyDescent="0.3">
      <c r="E27" s="1094"/>
      <c r="M27" s="1143"/>
      <c r="N27" s="1143"/>
    </row>
    <row r="28" spans="2:15" x14ac:dyDescent="0.3">
      <c r="J28" s="577"/>
    </row>
    <row r="30" spans="2:15" x14ac:dyDescent="0.3">
      <c r="B30" s="1111" t="s">
        <v>787</v>
      </c>
    </row>
    <row r="31" spans="2:15" x14ac:dyDescent="0.3">
      <c r="B31" t="s">
        <v>788</v>
      </c>
    </row>
    <row r="32" spans="2:15" x14ac:dyDescent="0.3">
      <c r="B32" s="1109" t="s">
        <v>789</v>
      </c>
    </row>
    <row r="33" spans="2:19" x14ac:dyDescent="0.3">
      <c r="B33" s="1110" t="s">
        <v>790</v>
      </c>
    </row>
    <row r="34" spans="2:19" x14ac:dyDescent="0.3">
      <c r="B34" s="1109" t="s">
        <v>791</v>
      </c>
    </row>
    <row r="35" spans="2:19" x14ac:dyDescent="0.3">
      <c r="B35" s="1110" t="s">
        <v>792</v>
      </c>
      <c r="S35" s="697"/>
    </row>
    <row r="36" spans="2:19" x14ac:dyDescent="0.3">
      <c r="B36" s="462" t="s">
        <v>793</v>
      </c>
    </row>
  </sheetData>
  <mergeCells count="13">
    <mergeCell ref="H4:J4"/>
    <mergeCell ref="J6:J7"/>
    <mergeCell ref="J9:J10"/>
    <mergeCell ref="J12:J13"/>
    <mergeCell ref="C5:E5"/>
    <mergeCell ref="H5:J5"/>
    <mergeCell ref="E12:E13"/>
    <mergeCell ref="B1:C1"/>
    <mergeCell ref="B2:C2"/>
    <mergeCell ref="B3:C3"/>
    <mergeCell ref="E6:E7"/>
    <mergeCell ref="E9:E10"/>
    <mergeCell ref="C4:E4"/>
  </mergeCells>
  <pageMargins left="0.7" right="0.7" top="0.75" bottom="0.75" header="0.3" footer="0.3"/>
  <pageSetup orientation="portrait" horizontalDpi="4294967293" vertic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14B92-D9A5-403C-ACA0-6E4393309EF5}">
  <sheetPr>
    <tabColor rgb="FFCC99FF"/>
  </sheetPr>
  <dimension ref="A2:U52"/>
  <sheetViews>
    <sheetView showGridLines="0" topLeftCell="A4" zoomScaleNormal="100" zoomScaleSheetLayoutView="75" workbookViewId="0">
      <selection activeCell="M10" sqref="M10"/>
    </sheetView>
  </sheetViews>
  <sheetFormatPr defaultColWidth="9" defaultRowHeight="19.5" outlineLevelRow="1" x14ac:dyDescent="0.3"/>
  <cols>
    <col min="1" max="1" width="6.85546875" style="573" customWidth="1"/>
    <col min="2" max="2" width="58.85546875" style="573" customWidth="1"/>
    <col min="3" max="3" width="19.140625" style="577" customWidth="1"/>
    <col min="4" max="4" width="1.7109375" style="573" customWidth="1"/>
    <col min="5" max="5" width="15" style="573" customWidth="1"/>
    <col min="6" max="6" width="16.28515625" style="573" hidden="1" customWidth="1"/>
    <col min="7" max="7" width="1.7109375" style="573" customWidth="1"/>
    <col min="8" max="8" width="19.5703125" style="573" customWidth="1"/>
    <col min="9" max="9" width="1.7109375" style="573" customWidth="1"/>
    <col min="10" max="10" width="23.28515625" style="573" customWidth="1"/>
    <col min="11" max="11" width="7.7109375" style="573" customWidth="1"/>
    <col min="12" max="12" width="58.28515625" style="573" customWidth="1"/>
    <col min="13" max="13" width="21" style="573" customWidth="1"/>
    <col min="14" max="14" width="1.7109375" style="573" customWidth="1"/>
    <col min="15" max="15" width="15.7109375" style="573" customWidth="1"/>
    <col min="16" max="16" width="1.7109375" style="573" customWidth="1"/>
    <col min="17" max="17" width="21" style="573" customWidth="1"/>
    <col min="18" max="18" width="1.7109375" style="573" customWidth="1"/>
    <col min="19" max="19" width="23.28515625" style="573" customWidth="1"/>
    <col min="20" max="20" width="9" style="573"/>
    <col min="21" max="21" width="18.28515625" style="573" bestFit="1" customWidth="1"/>
    <col min="22" max="16384" width="9" style="573"/>
  </cols>
  <sheetData>
    <row r="2" spans="1:19" x14ac:dyDescent="0.3">
      <c r="B2" s="1290" t="s">
        <v>794</v>
      </c>
    </row>
    <row r="4" spans="1:19" ht="26.25" x14ac:dyDescent="0.4">
      <c r="B4" s="1350" t="s">
        <v>767</v>
      </c>
      <c r="C4" s="1350"/>
      <c r="D4" s="572"/>
      <c r="E4" s="572"/>
    </row>
    <row r="5" spans="1:19" ht="21" x14ac:dyDescent="0.35">
      <c r="B5" s="1351" t="s">
        <v>4</v>
      </c>
      <c r="C5" s="1351"/>
    </row>
    <row r="6" spans="1:19" ht="21" x14ac:dyDescent="0.35">
      <c r="B6" s="1351" t="s">
        <v>768</v>
      </c>
      <c r="C6" s="1351"/>
    </row>
    <row r="7" spans="1:19" ht="20.25" thickBot="1" x14ac:dyDescent="0.35"/>
    <row r="8" spans="1:19" ht="53.65" customHeight="1" x14ac:dyDescent="0.3">
      <c r="B8" s="1267" t="s">
        <v>795</v>
      </c>
      <c r="C8" s="1261" t="s">
        <v>796</v>
      </c>
      <c r="D8" s="1262"/>
      <c r="E8" s="1263" t="s">
        <v>797</v>
      </c>
      <c r="F8" s="1264"/>
      <c r="G8" s="1264"/>
      <c r="H8" s="1262" t="s">
        <v>798</v>
      </c>
      <c r="I8" s="1264"/>
      <c r="J8" s="1286" t="s">
        <v>799</v>
      </c>
      <c r="L8" s="1267" t="s">
        <v>800</v>
      </c>
      <c r="M8" s="1261" t="s">
        <v>796</v>
      </c>
      <c r="O8" s="1263" t="s">
        <v>797</v>
      </c>
      <c r="Q8" s="1262" t="s">
        <v>798</v>
      </c>
      <c r="S8" s="1286" t="s">
        <v>799</v>
      </c>
    </row>
    <row r="9" spans="1:19" outlineLevel="1" x14ac:dyDescent="0.3">
      <c r="A9" s="1363" t="s">
        <v>801</v>
      </c>
      <c r="B9" s="1244" t="s">
        <v>802</v>
      </c>
      <c r="C9" s="1245"/>
      <c r="D9" s="1246"/>
      <c r="E9" s="1247"/>
      <c r="F9" s="1246"/>
      <c r="G9" s="1246"/>
      <c r="H9" s="1248"/>
      <c r="J9" s="1299"/>
      <c r="K9" s="1360" t="s">
        <v>801</v>
      </c>
      <c r="L9" s="1268" t="s">
        <v>802</v>
      </c>
      <c r="M9" s="1269"/>
      <c r="O9" s="1270"/>
      <c r="Q9" s="1271"/>
      <c r="S9" s="1299"/>
    </row>
    <row r="10" spans="1:19" outlineLevel="1" x14ac:dyDescent="0.3">
      <c r="A10" s="1364"/>
      <c r="B10" s="1235" t="s">
        <v>803</v>
      </c>
      <c r="C10" s="1236">
        <f>'CORE Recurring Items'!AQ336</f>
        <v>6459827.3116273042</v>
      </c>
      <c r="D10" s="1237"/>
      <c r="E10" s="1240"/>
      <c r="F10" s="1237"/>
      <c r="G10" s="1237"/>
      <c r="H10" s="1238">
        <f>'CORE One Time Items'!Q36</f>
        <v>206901</v>
      </c>
      <c r="J10" s="1302"/>
      <c r="K10" s="1361"/>
      <c r="L10" s="1235" t="s">
        <v>803</v>
      </c>
      <c r="M10" s="1236">
        <f>'CORE Recurring Items'!AQ336</f>
        <v>6459827.3116273042</v>
      </c>
      <c r="O10" s="1240"/>
      <c r="Q10" s="1238">
        <f>'CORE One Time Items'!Q36</f>
        <v>206901</v>
      </c>
      <c r="S10" s="1302"/>
    </row>
    <row r="11" spans="1:19" outlineLevel="1" x14ac:dyDescent="0.3">
      <c r="A11" s="1364"/>
      <c r="B11" s="1235" t="s">
        <v>804</v>
      </c>
      <c r="C11" s="1236">
        <f>'CORE Recurring Items'!AQ356</f>
        <v>631367.39294531196</v>
      </c>
      <c r="D11" s="1237"/>
      <c r="E11" s="1240"/>
      <c r="F11" s="1237"/>
      <c r="G11" s="1237"/>
      <c r="H11" s="1238"/>
      <c r="J11" s="1302"/>
      <c r="K11" s="1361"/>
      <c r="L11" s="1235" t="s">
        <v>804</v>
      </c>
      <c r="M11" s="1236">
        <f>'CORE Recurring Items'!AQ356</f>
        <v>631367.39294531196</v>
      </c>
      <c r="O11" s="1240"/>
      <c r="Q11" s="1238"/>
      <c r="S11" s="1302"/>
    </row>
    <row r="12" spans="1:19" outlineLevel="1" x14ac:dyDescent="0.3">
      <c r="A12" s="1364"/>
      <c r="B12" s="1235" t="s">
        <v>805</v>
      </c>
      <c r="C12" s="1239" t="s">
        <v>196</v>
      </c>
      <c r="D12" s="1237"/>
      <c r="E12" s="1240"/>
      <c r="F12" s="1237"/>
      <c r="G12" s="1237"/>
      <c r="H12" s="1238">
        <f>'CORE One Time Items'!Q49</f>
        <v>-659866</v>
      </c>
      <c r="J12" s="1302"/>
      <c r="K12" s="1361"/>
      <c r="L12" s="1235" t="s">
        <v>805</v>
      </c>
      <c r="M12" s="1239" t="s">
        <v>196</v>
      </c>
      <c r="O12" s="1240"/>
      <c r="Q12" s="1238">
        <f>'CORE One Time Items'!Q49</f>
        <v>-659866</v>
      </c>
      <c r="S12" s="1302"/>
    </row>
    <row r="13" spans="1:19" outlineLevel="1" x14ac:dyDescent="0.3">
      <c r="A13" s="1364"/>
      <c r="B13" s="1243" t="s">
        <v>806</v>
      </c>
      <c r="C13" s="1161">
        <f>SUM(C10:C12)</f>
        <v>7091194.7045726161</v>
      </c>
      <c r="D13" s="581"/>
      <c r="E13" s="1241">
        <f>C13/60</f>
        <v>118186.5784095436</v>
      </c>
      <c r="F13" s="581"/>
      <c r="G13" s="581"/>
      <c r="H13" s="1242">
        <f>SUM(H10:H12)</f>
        <v>-452965</v>
      </c>
      <c r="J13" s="1301"/>
      <c r="K13" s="1361"/>
      <c r="L13" s="1272" t="s">
        <v>806</v>
      </c>
      <c r="M13" s="1273">
        <f>SUM(M10:M12)</f>
        <v>7091194.7045726161</v>
      </c>
      <c r="O13" s="1274">
        <f>M13/60</f>
        <v>118186.5784095436</v>
      </c>
      <c r="Q13" s="1275">
        <f>SUM(Q10:Q12)</f>
        <v>-452965</v>
      </c>
      <c r="S13" s="1301"/>
    </row>
    <row r="14" spans="1:19" outlineLevel="1" x14ac:dyDescent="0.3">
      <c r="A14" s="1364"/>
      <c r="B14" s="1235" t="s">
        <v>807</v>
      </c>
      <c r="C14" s="1236">
        <f>'Optional Items'!AQ20</f>
        <v>888069</v>
      </c>
      <c r="D14" s="1237"/>
      <c r="E14" s="1240"/>
      <c r="F14" s="1237"/>
      <c r="G14" s="1237"/>
      <c r="H14" s="1238">
        <f>'Optional Items'!AR20</f>
        <v>10000</v>
      </c>
      <c r="J14" s="1302"/>
      <c r="K14" s="1361"/>
      <c r="L14" s="1235" t="s">
        <v>807</v>
      </c>
      <c r="M14" s="1236">
        <f>'Optional Items'!AQ20</f>
        <v>888069</v>
      </c>
      <c r="O14" s="1240"/>
      <c r="Q14" s="1238">
        <f>'Optional Items'!AR20</f>
        <v>10000</v>
      </c>
      <c r="S14" s="1302"/>
    </row>
    <row r="15" spans="1:19" outlineLevel="1" x14ac:dyDescent="0.3">
      <c r="A15" s="1365"/>
      <c r="B15" s="1252" t="s">
        <v>808</v>
      </c>
      <c r="C15" s="1253">
        <f>SUM(C13:C14)</f>
        <v>7979263.7045726161</v>
      </c>
      <c r="D15" s="1254"/>
      <c r="E15" s="1255">
        <f>C15/60</f>
        <v>132987.7284095436</v>
      </c>
      <c r="F15" s="1254"/>
      <c r="G15" s="1254"/>
      <c r="H15" s="1253">
        <f>SUM(H13:H14)</f>
        <v>-442965</v>
      </c>
      <c r="J15" s="1301"/>
      <c r="K15" s="1362"/>
      <c r="L15" s="1281" t="s">
        <v>808</v>
      </c>
      <c r="M15" s="1282">
        <f>SUM(M13:M14)</f>
        <v>7979263.7045726161</v>
      </c>
      <c r="O15" s="1283">
        <f>M15/60</f>
        <v>132987.7284095436</v>
      </c>
      <c r="Q15" s="1282">
        <f>SUM(Q13:Q14)</f>
        <v>-442965</v>
      </c>
      <c r="S15" s="1301"/>
    </row>
    <row r="16" spans="1:19" outlineLevel="1" x14ac:dyDescent="0.3">
      <c r="J16" s="1300"/>
      <c r="M16" s="577"/>
      <c r="S16" s="1300"/>
    </row>
    <row r="17" spans="1:19" outlineLevel="1" x14ac:dyDescent="0.3">
      <c r="A17" s="1363" t="s">
        <v>809</v>
      </c>
      <c r="B17" s="1244" t="s">
        <v>810</v>
      </c>
      <c r="C17" s="1245"/>
      <c r="D17" s="1246"/>
      <c r="E17" s="1247"/>
      <c r="F17" s="1246"/>
      <c r="G17" s="1246"/>
      <c r="H17" s="1248"/>
      <c r="J17" s="1300"/>
      <c r="K17" s="1360" t="s">
        <v>809</v>
      </c>
      <c r="L17" s="1268" t="s">
        <v>811</v>
      </c>
      <c r="M17" s="1269"/>
      <c r="O17" s="1270"/>
      <c r="Q17" s="1271"/>
      <c r="S17" s="1300"/>
    </row>
    <row r="18" spans="1:19" outlineLevel="1" x14ac:dyDescent="0.3">
      <c r="A18" s="1364"/>
      <c r="B18" s="1235" t="s">
        <v>812</v>
      </c>
      <c r="C18" s="1236">
        <f>'DGTL Recurring Items'!AP123</f>
        <v>2729487.2039715033</v>
      </c>
      <c r="D18" s="1237"/>
      <c r="E18" s="1240"/>
      <c r="F18" s="1237"/>
      <c r="G18" s="1237"/>
      <c r="H18" s="1238">
        <f>'DGTL One Time Items'!Q34</f>
        <v>218139</v>
      </c>
      <c r="J18" s="1302"/>
      <c r="K18" s="1361"/>
      <c r="L18" s="1235" t="s">
        <v>812</v>
      </c>
      <c r="M18" s="1236">
        <f>'DGTL Recurring Items'!AZ123</f>
        <v>2747631.4319894235</v>
      </c>
      <c r="O18" s="1240"/>
      <c r="Q18" s="1238">
        <f>'DGTL One Time Items'!U34</f>
        <v>218139</v>
      </c>
      <c r="S18" s="1302"/>
    </row>
    <row r="19" spans="1:19" outlineLevel="1" x14ac:dyDescent="0.3">
      <c r="A19" s="1364"/>
      <c r="B19" s="1235" t="s">
        <v>813</v>
      </c>
      <c r="C19" s="1236">
        <f>'DGTL Recurring Items'!AP148</f>
        <v>285907.6253609673</v>
      </c>
      <c r="D19" s="1237"/>
      <c r="E19" s="1240"/>
      <c r="F19" s="1237"/>
      <c r="G19" s="1237"/>
      <c r="H19" s="1238"/>
      <c r="J19" s="1302"/>
      <c r="K19" s="1361"/>
      <c r="L19" s="1235" t="s">
        <v>813</v>
      </c>
      <c r="M19" s="1236">
        <f>'DGTL Recurring Items'!AZ148</f>
        <v>287945.75709212839</v>
      </c>
      <c r="O19" s="1240"/>
      <c r="Q19" s="1238"/>
      <c r="S19" s="1302"/>
    </row>
    <row r="20" spans="1:19" outlineLevel="1" x14ac:dyDescent="0.3">
      <c r="A20" s="1364"/>
      <c r="B20" s="1235" t="s">
        <v>814</v>
      </c>
      <c r="C20" s="1236">
        <f>'DGTL Recurring Items'!AP177</f>
        <v>0</v>
      </c>
      <c r="D20" s="1237"/>
      <c r="E20" s="1240"/>
      <c r="F20" s="1237"/>
      <c r="G20" s="1237"/>
      <c r="H20" s="1238"/>
      <c r="J20" s="1302"/>
      <c r="K20" s="1361"/>
      <c r="L20" s="1235" t="s">
        <v>814</v>
      </c>
      <c r="M20" s="1236">
        <f>'DGTL Recurring Items'!AZ177</f>
        <v>-655740</v>
      </c>
      <c r="O20" s="1240"/>
      <c r="Q20" s="1238"/>
      <c r="S20" s="1302"/>
    </row>
    <row r="21" spans="1:19" outlineLevel="1" x14ac:dyDescent="0.3">
      <c r="A21" s="1364"/>
      <c r="B21" s="1235" t="s">
        <v>815</v>
      </c>
      <c r="C21" s="1239" t="s">
        <v>196</v>
      </c>
      <c r="D21" s="1237"/>
      <c r="E21" s="1240"/>
      <c r="F21" s="1237"/>
      <c r="G21" s="1237"/>
      <c r="H21" s="1238">
        <f>'DGTL One Time Items'!Q54</f>
        <v>42900</v>
      </c>
      <c r="J21" s="1302"/>
      <c r="K21" s="1361"/>
      <c r="L21" s="1235" t="s">
        <v>815</v>
      </c>
      <c r="M21" s="1239" t="s">
        <v>196</v>
      </c>
      <c r="O21" s="1240"/>
      <c r="Q21" s="1238">
        <f>'DGTL One Time Items'!U54</f>
        <v>42900</v>
      </c>
      <c r="S21" s="1302"/>
    </row>
    <row r="22" spans="1:19" outlineLevel="1" x14ac:dyDescent="0.3">
      <c r="A22" s="1364"/>
      <c r="B22" s="1235" t="s">
        <v>816</v>
      </c>
      <c r="C22" s="1239" t="s">
        <v>196</v>
      </c>
      <c r="D22" s="1237"/>
      <c r="E22" s="1240"/>
      <c r="F22" s="1237"/>
      <c r="G22" s="1237"/>
      <c r="H22" s="1238">
        <f>'DGTL One Time Items'!Q68</f>
        <v>0</v>
      </c>
      <c r="J22" s="1302"/>
      <c r="K22" s="1361"/>
      <c r="L22" s="1235" t="s">
        <v>816</v>
      </c>
      <c r="M22" s="1239" t="s">
        <v>196</v>
      </c>
      <c r="O22" s="1240"/>
      <c r="Q22" s="1238">
        <f>'DGTL One Time Items'!U68</f>
        <v>-56000</v>
      </c>
      <c r="S22" s="1302"/>
    </row>
    <row r="23" spans="1:19" outlineLevel="1" x14ac:dyDescent="0.3">
      <c r="A23" s="1364"/>
      <c r="B23" s="1234" t="s">
        <v>817</v>
      </c>
      <c r="C23" s="1161">
        <f>SUM(C18:C22)</f>
        <v>3015394.8293324704</v>
      </c>
      <c r="D23" s="581"/>
      <c r="E23" s="1241">
        <f>C23/60</f>
        <v>50256.580488874504</v>
      </c>
      <c r="F23" s="581"/>
      <c r="G23" s="581"/>
      <c r="H23" s="1161">
        <f>SUM(H18:H22)</f>
        <v>261039</v>
      </c>
      <c r="J23" s="1301"/>
      <c r="K23" s="1361"/>
      <c r="L23" s="1276" t="s">
        <v>817</v>
      </c>
      <c r="M23" s="1273">
        <f>SUM(M18:M22)</f>
        <v>2379837.189081552</v>
      </c>
      <c r="O23" s="1274">
        <f>M23/60</f>
        <v>39663.953151359201</v>
      </c>
      <c r="Q23" s="1273">
        <f>SUM(Q18:Q22)</f>
        <v>205039</v>
      </c>
      <c r="S23" s="1301"/>
    </row>
    <row r="24" spans="1:19" outlineLevel="1" x14ac:dyDescent="0.3">
      <c r="A24" s="1364"/>
      <c r="B24" s="1235" t="s">
        <v>818</v>
      </c>
      <c r="C24" s="1236">
        <f>'Optional Items'!AQ56</f>
        <v>1337224.6860595201</v>
      </c>
      <c r="D24" s="1237"/>
      <c r="E24" s="1240"/>
      <c r="F24" s="1237"/>
      <c r="G24" s="1237"/>
      <c r="H24" s="1249">
        <f>'Optional Items'!AR56</f>
        <v>31000</v>
      </c>
      <c r="J24" s="1302"/>
      <c r="K24" s="1361"/>
      <c r="L24" s="1235" t="s">
        <v>818</v>
      </c>
      <c r="M24" s="1236">
        <f>'Optional Items'!BA56</f>
        <v>1238674.6860595201</v>
      </c>
      <c r="O24" s="1240"/>
      <c r="Q24" s="1249">
        <f>'Optional Items'!BB56</f>
        <v>28000</v>
      </c>
      <c r="S24" s="1302"/>
    </row>
    <row r="25" spans="1:19" outlineLevel="1" x14ac:dyDescent="0.3">
      <c r="A25" s="1365"/>
      <c r="B25" s="1256" t="s">
        <v>819</v>
      </c>
      <c r="C25" s="1253">
        <f>SUM(C23:C24)</f>
        <v>4352619.5153919905</v>
      </c>
      <c r="D25" s="1254"/>
      <c r="E25" s="1255">
        <f>C25/60</f>
        <v>72543.658589866507</v>
      </c>
      <c r="F25" s="1254"/>
      <c r="G25" s="1254"/>
      <c r="H25" s="1253">
        <f>SUM(H23:H24)</f>
        <v>292039</v>
      </c>
      <c r="J25" s="1301"/>
      <c r="K25" s="1362"/>
      <c r="L25" s="1284" t="s">
        <v>819</v>
      </c>
      <c r="M25" s="1282">
        <f>SUM(M23:M24)</f>
        <v>3618511.8751410721</v>
      </c>
      <c r="O25" s="1283">
        <f>M25/60</f>
        <v>60308.531252351204</v>
      </c>
      <c r="Q25" s="1282">
        <f>SUM(Q23:Q24)</f>
        <v>233039</v>
      </c>
      <c r="S25" s="1301"/>
    </row>
    <row r="26" spans="1:19" ht="20.25" outlineLevel="1" thickBot="1" x14ac:dyDescent="0.35">
      <c r="J26" s="1299"/>
      <c r="M26" s="577"/>
      <c r="S26" s="1299"/>
    </row>
    <row r="27" spans="1:19" ht="23.25" x14ac:dyDescent="0.35">
      <c r="B27" s="1265" t="s">
        <v>820</v>
      </c>
      <c r="C27" s="1258">
        <f>SUM(C13,C23)</f>
        <v>10106589.533905087</v>
      </c>
      <c r="D27" s="1257"/>
      <c r="E27" s="1259">
        <f>C27/60</f>
        <v>168443.15889841813</v>
      </c>
      <c r="F27" s="1257"/>
      <c r="G27" s="1257"/>
      <c r="H27" s="1260">
        <f>SUM(H13,H23)</f>
        <v>-191926</v>
      </c>
      <c r="I27" s="1257"/>
      <c r="J27" s="1291">
        <f>SUM(C27,H27)</f>
        <v>9914663.533905087</v>
      </c>
      <c r="L27" s="1277" t="s">
        <v>820</v>
      </c>
      <c r="M27" s="1278">
        <f>SUM(M13,M23)</f>
        <v>9471031.8936541677</v>
      </c>
      <c r="N27" s="1278"/>
      <c r="O27" s="1279">
        <f>M27/60</f>
        <v>157850.5315609028</v>
      </c>
      <c r="P27" s="1278"/>
      <c r="Q27" s="1280">
        <f>SUM(Q13,Q23)</f>
        <v>-247926</v>
      </c>
      <c r="R27" s="1278"/>
      <c r="S27" s="1291">
        <f>SUM(M27,Q27)</f>
        <v>9223105.8936541677</v>
      </c>
    </row>
    <row r="28" spans="1:19" ht="24" thickBot="1" x14ac:dyDescent="0.4">
      <c r="B28" s="1266" t="s">
        <v>821</v>
      </c>
      <c r="C28" s="1253">
        <f>SUM(C15,C25)</f>
        <v>12331883.219964607</v>
      </c>
      <c r="D28" s="1254"/>
      <c r="E28" s="1255">
        <f>C28/60</f>
        <v>205531.38699941011</v>
      </c>
      <c r="F28" s="1254"/>
      <c r="G28" s="1254"/>
      <c r="H28" s="1253">
        <f>SUM(H15,H25)</f>
        <v>-150926</v>
      </c>
      <c r="I28" s="1254"/>
      <c r="J28" s="1287">
        <f>SUM(C28,H28)</f>
        <v>12180957.219964607</v>
      </c>
      <c r="L28" s="1285" t="s">
        <v>821</v>
      </c>
      <c r="M28" s="1250">
        <f>SUM(M15,M25)</f>
        <v>11597775.579713687</v>
      </c>
      <c r="N28" s="1250"/>
      <c r="O28" s="1251">
        <f>M28/60</f>
        <v>193296.25966189479</v>
      </c>
      <c r="P28" s="1250"/>
      <c r="Q28" s="1250">
        <f>SUM(Q15,Q25)</f>
        <v>-209926</v>
      </c>
      <c r="R28" s="1250"/>
      <c r="S28" s="1287">
        <f>SUM(M28,Q28)</f>
        <v>11387849.579713687</v>
      </c>
    </row>
    <row r="30" spans="1:19" x14ac:dyDescent="0.3">
      <c r="M30" s="577"/>
    </row>
    <row r="31" spans="1:19" x14ac:dyDescent="0.3">
      <c r="M31" s="577"/>
      <c r="Q31" s="1289" t="s">
        <v>822</v>
      </c>
      <c r="S31" s="577">
        <f>J27-S27</f>
        <v>691557.64025091939</v>
      </c>
    </row>
    <row r="32" spans="1:19" x14ac:dyDescent="0.3">
      <c r="S32" s="1288">
        <f>S31/J27</f>
        <v>6.9750994361634747E-2</v>
      </c>
    </row>
    <row r="34" spans="2:19" x14ac:dyDescent="0.3">
      <c r="E34" s="577"/>
      <c r="H34" s="577"/>
      <c r="Q34" s="1289" t="s">
        <v>823</v>
      </c>
      <c r="S34" s="577">
        <f>J28-S28</f>
        <v>793107.64025091939</v>
      </c>
    </row>
    <row r="35" spans="2:19" x14ac:dyDescent="0.3">
      <c r="H35" s="577"/>
      <c r="L35" s="1308"/>
      <c r="S35" s="1288">
        <f>S34/J28</f>
        <v>6.5110452809982358E-2</v>
      </c>
    </row>
    <row r="36" spans="2:19" x14ac:dyDescent="0.3">
      <c r="L36" s="1304"/>
    </row>
    <row r="37" spans="2:19" x14ac:dyDescent="0.3">
      <c r="L37" s="1308"/>
    </row>
    <row r="38" spans="2:19" s="172" customFormat="1" ht="18.75" x14ac:dyDescent="0.3">
      <c r="B38" s="1092" t="s">
        <v>780</v>
      </c>
      <c r="C38" s="1292"/>
      <c r="L38" s="1305"/>
    </row>
    <row r="39" spans="2:19" s="172" customFormat="1" ht="15.75" x14ac:dyDescent="0.25">
      <c r="B39" s="172" t="s">
        <v>824</v>
      </c>
      <c r="C39" s="1294"/>
      <c r="H39" s="1294"/>
      <c r="K39" s="1294"/>
      <c r="L39" s="1293"/>
    </row>
    <row r="40" spans="2:19" s="172" customFormat="1" ht="15.75" x14ac:dyDescent="0.25">
      <c r="B40" s="172" t="s">
        <v>782</v>
      </c>
      <c r="C40" s="1294"/>
      <c r="K40" s="1294"/>
      <c r="L40" s="1293"/>
    </row>
    <row r="41" spans="2:19" s="172" customFormat="1" ht="15.75" x14ac:dyDescent="0.25">
      <c r="B41" s="172" t="s">
        <v>784</v>
      </c>
      <c r="C41" s="1294"/>
      <c r="L41" s="1293"/>
    </row>
    <row r="42" spans="2:19" s="172" customFormat="1" ht="15.75" x14ac:dyDescent="0.25">
      <c r="B42" s="172" t="s">
        <v>785</v>
      </c>
      <c r="C42" s="1294"/>
      <c r="E42" s="1294"/>
      <c r="K42" s="1294"/>
      <c r="L42" s="1295"/>
    </row>
    <row r="43" spans="2:19" s="172" customFormat="1" ht="15.75" x14ac:dyDescent="0.25">
      <c r="B43" s="172" t="s">
        <v>786</v>
      </c>
      <c r="C43" s="1294"/>
      <c r="E43" s="1294"/>
      <c r="L43" s="1295"/>
    </row>
    <row r="44" spans="2:19" s="172" customFormat="1" ht="15.75" x14ac:dyDescent="0.25">
      <c r="C44" s="1294"/>
      <c r="E44" s="1296"/>
    </row>
    <row r="45" spans="2:19" s="172" customFormat="1" ht="15.75" x14ac:dyDescent="0.25">
      <c r="C45" s="1294"/>
    </row>
    <row r="46" spans="2:19" s="172" customFormat="1" ht="15.75" x14ac:dyDescent="0.25">
      <c r="B46" s="1092" t="s">
        <v>787</v>
      </c>
      <c r="C46" s="1294"/>
    </row>
    <row r="47" spans="2:19" s="172" customFormat="1" ht="15.75" x14ac:dyDescent="0.25">
      <c r="B47" s="172" t="s">
        <v>788</v>
      </c>
      <c r="C47" s="1294"/>
    </row>
    <row r="48" spans="2:19" s="172" customFormat="1" ht="15.75" x14ac:dyDescent="0.25">
      <c r="B48" s="1297" t="s">
        <v>825</v>
      </c>
      <c r="C48" s="1294"/>
    </row>
    <row r="49" spans="2:21" s="172" customFormat="1" ht="15.75" x14ac:dyDescent="0.25">
      <c r="B49" s="1298" t="s">
        <v>826</v>
      </c>
      <c r="C49" s="1294"/>
    </row>
    <row r="50" spans="2:21" s="172" customFormat="1" ht="15.75" x14ac:dyDescent="0.25">
      <c r="B50" s="1297" t="s">
        <v>827</v>
      </c>
      <c r="C50" s="1294"/>
    </row>
    <row r="51" spans="2:21" s="172" customFormat="1" ht="15.75" x14ac:dyDescent="0.25">
      <c r="B51" s="1298" t="s">
        <v>792</v>
      </c>
      <c r="C51" s="1294"/>
      <c r="U51" s="1296"/>
    </row>
    <row r="52" spans="2:21" s="172" customFormat="1" ht="15.75" x14ac:dyDescent="0.25">
      <c r="B52" s="181" t="s">
        <v>793</v>
      </c>
      <c r="C52" s="1294"/>
    </row>
  </sheetData>
  <mergeCells count="7">
    <mergeCell ref="K17:K25"/>
    <mergeCell ref="A9:A15"/>
    <mergeCell ref="A17:A25"/>
    <mergeCell ref="K9:K15"/>
    <mergeCell ref="B4:C4"/>
    <mergeCell ref="B5:C5"/>
    <mergeCell ref="B6:C6"/>
  </mergeCells>
  <pageMargins left="0.7" right="0.7" top="0.75" bottom="0.75" header="0.3" footer="0.3"/>
  <pageSetup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3DFAD-1685-4603-B527-374A5BFDC662}">
  <sheetPr codeName="Sheet11">
    <tabColor theme="5" tint="0.59999389629810485"/>
  </sheetPr>
  <dimension ref="B2:G15"/>
  <sheetViews>
    <sheetView showGridLines="0" topLeftCell="A4" zoomScale="110" zoomScaleNormal="110" workbookViewId="0">
      <selection activeCell="D15" sqref="D15"/>
    </sheetView>
  </sheetViews>
  <sheetFormatPr defaultColWidth="9" defaultRowHeight="15.75" x14ac:dyDescent="0.25"/>
  <cols>
    <col min="1" max="1" width="9" style="1067"/>
    <col min="2" max="2" width="74" style="1067" customWidth="1"/>
    <col min="3" max="3" width="32.7109375" style="1084" customWidth="1"/>
    <col min="4" max="4" width="34.85546875" style="1067" customWidth="1"/>
    <col min="5" max="5" width="43.28515625" style="1062" bestFit="1" customWidth="1"/>
    <col min="6" max="6" width="9" style="1067"/>
    <col min="7" max="7" width="16.42578125" style="1067" bestFit="1" customWidth="1"/>
    <col min="8" max="16384" width="9" style="1067"/>
  </cols>
  <sheetData>
    <row r="2" spans="2:7" s="1063" customFormat="1" ht="33.75" x14ac:dyDescent="0.25">
      <c r="B2" s="1366" t="s">
        <v>4</v>
      </c>
      <c r="C2" s="1366"/>
      <c r="D2" s="1366"/>
      <c r="E2" s="1062"/>
    </row>
    <row r="3" spans="2:7" s="1063" customFormat="1" ht="33.75" x14ac:dyDescent="0.25">
      <c r="B3" s="1366" t="s">
        <v>828</v>
      </c>
      <c r="C3" s="1366"/>
      <c r="D3" s="1366"/>
      <c r="E3" s="1062"/>
      <c r="G3" s="1064"/>
    </row>
    <row r="4" spans="2:7" ht="33.75" x14ac:dyDescent="0.25">
      <c r="B4" s="1065"/>
      <c r="C4" s="1066"/>
      <c r="D4" s="1065"/>
    </row>
    <row r="5" spans="2:7" ht="33.75" x14ac:dyDescent="0.25">
      <c r="B5" s="1065" t="s">
        <v>829</v>
      </c>
      <c r="C5" s="1066"/>
      <c r="D5" s="1068">
        <v>45869</v>
      </c>
      <c r="E5" s="1069" t="s">
        <v>830</v>
      </c>
    </row>
    <row r="6" spans="2:7" ht="33.75" x14ac:dyDescent="0.25">
      <c r="B6" s="1065" t="s">
        <v>831</v>
      </c>
      <c r="C6" s="1066"/>
      <c r="D6" s="1070">
        <v>45352</v>
      </c>
      <c r="E6" s="1071" t="s">
        <v>832</v>
      </c>
    </row>
    <row r="7" spans="2:7" s="1073" customFormat="1" ht="33.75" hidden="1" x14ac:dyDescent="0.25">
      <c r="B7" s="1065" t="s">
        <v>833</v>
      </c>
      <c r="C7" s="1065"/>
      <c r="D7" s="1072">
        <f>ROUNDDOWN(D5-D6,0)/31</f>
        <v>16.677419354838708</v>
      </c>
      <c r="E7" s="1062"/>
    </row>
    <row r="8" spans="2:7" ht="33.75" x14ac:dyDescent="0.25">
      <c r="B8" s="1065" t="s">
        <v>834</v>
      </c>
      <c r="C8" s="1066"/>
      <c r="D8" s="1074">
        <f>ROUNDDOWN(D7,0)</f>
        <v>16</v>
      </c>
      <c r="E8" s="1069" t="s">
        <v>835</v>
      </c>
    </row>
    <row r="9" spans="2:7" ht="33.75" x14ac:dyDescent="0.25">
      <c r="B9" s="1065"/>
      <c r="C9" s="1066"/>
      <c r="D9" s="1065"/>
    </row>
    <row r="10" spans="2:7" ht="33.75" x14ac:dyDescent="0.25">
      <c r="B10" s="1065"/>
      <c r="C10" s="1075" t="s">
        <v>836</v>
      </c>
      <c r="D10" s="1075" t="str">
        <f>D8&amp;" Months"</f>
        <v>16 Months</v>
      </c>
    </row>
    <row r="11" spans="2:7" ht="33.75" x14ac:dyDescent="0.25">
      <c r="B11" s="1065" t="s">
        <v>837</v>
      </c>
      <c r="C11" s="1076">
        <f>'Vendor TCO'!F6</f>
        <v>183341.01620706363</v>
      </c>
      <c r="D11" s="1077">
        <f>C11*D8</f>
        <v>2933456.2593130181</v>
      </c>
      <c r="E11" s="1069" t="s">
        <v>838</v>
      </c>
    </row>
    <row r="12" spans="2:7" ht="33.75" x14ac:dyDescent="0.25">
      <c r="B12" s="1065" t="s">
        <v>839</v>
      </c>
      <c r="C12" s="1076">
        <f>'Vendor TCO'!K9</f>
        <v>144863.09845997274</v>
      </c>
      <c r="D12" s="1077">
        <f>C12*D8</f>
        <v>2317809.5753595638</v>
      </c>
      <c r="E12" s="1069" t="s">
        <v>838</v>
      </c>
    </row>
    <row r="13" spans="2:7" ht="33.75" x14ac:dyDescent="0.25">
      <c r="B13" s="1065" t="s">
        <v>840</v>
      </c>
      <c r="C13" s="1076">
        <f>C12-C11</f>
        <v>-38477.917747090891</v>
      </c>
      <c r="D13" s="1077">
        <f>D12-D11</f>
        <v>-615646.68395345425</v>
      </c>
      <c r="E13" s="1069" t="s">
        <v>835</v>
      </c>
    </row>
    <row r="14" spans="2:7" ht="33.75" x14ac:dyDescent="0.25">
      <c r="B14" s="1078" t="str">
        <f>$D$8&amp;" Months Early Renewal Savings ($)"</f>
        <v>16 Months Early Renewal Savings ($)</v>
      </c>
      <c r="C14" s="1079">
        <f>C13*D8</f>
        <v>-615646.68395345425</v>
      </c>
      <c r="D14" s="1080">
        <f>D13</f>
        <v>-615646.68395345425</v>
      </c>
      <c r="E14" s="1069"/>
    </row>
    <row r="15" spans="2:7" s="1083" customFormat="1" ht="33.75" x14ac:dyDescent="0.25">
      <c r="B15" s="1081" t="str">
        <f>D8&amp;" Months Early Renewal Savings (%)"</f>
        <v>16 Months Early Renewal Savings (%)</v>
      </c>
      <c r="C15" s="1082">
        <f>C13/C11</f>
        <v>-0.20987075638129055</v>
      </c>
      <c r="D15" s="1082">
        <f>D13/D11</f>
        <v>-0.20987075638129055</v>
      </c>
      <c r="E15" s="1062"/>
    </row>
  </sheetData>
  <mergeCells count="2">
    <mergeCell ref="B2:D2"/>
    <mergeCell ref="B3:D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EB953-8204-494E-9D08-A02B5C44A8F5}">
  <sheetPr codeName="Sheet12"/>
  <dimension ref="B2:K46"/>
  <sheetViews>
    <sheetView showGridLines="0" topLeftCell="A6" zoomScale="110" zoomScaleNormal="110" zoomScaleSheetLayoutView="100" workbookViewId="0">
      <selection activeCell="K18" sqref="K18"/>
    </sheetView>
  </sheetViews>
  <sheetFormatPr defaultColWidth="9" defaultRowHeight="15.75" outlineLevelRow="1" x14ac:dyDescent="0.25"/>
  <cols>
    <col min="1" max="1" width="9" style="172"/>
    <col min="2" max="2" width="9.5703125" style="172" customWidth="1"/>
    <col min="3" max="3" width="59" style="172" bestFit="1" customWidth="1"/>
    <col min="4" max="4" width="19.28515625" style="172" customWidth="1"/>
    <col min="5" max="7" width="17" style="172" customWidth="1"/>
    <col min="8" max="8" width="2" style="172" customWidth="1"/>
    <col min="9" max="9" width="9" style="172" customWidth="1"/>
    <col min="10" max="10" width="8.7109375" style="172" customWidth="1"/>
    <col min="11" max="11" width="19.85546875" style="172" customWidth="1"/>
    <col min="12" max="12" width="8.7109375" style="172" customWidth="1"/>
    <col min="13" max="16384" width="9" style="172"/>
  </cols>
  <sheetData>
    <row r="2" spans="2:10" ht="16.5" thickBot="1" x14ac:dyDescent="0.3"/>
    <row r="3" spans="2:10" x14ac:dyDescent="0.25">
      <c r="B3" s="173"/>
      <c r="C3" s="174"/>
      <c r="D3" s="174"/>
      <c r="E3" s="174"/>
      <c r="F3" s="174"/>
      <c r="G3" s="174"/>
      <c r="H3" s="174"/>
      <c r="I3" s="175"/>
    </row>
    <row r="4" spans="2:10" ht="18.75" x14ac:dyDescent="0.3">
      <c r="B4" s="176"/>
      <c r="C4" s="205" t="s">
        <v>841</v>
      </c>
      <c r="D4" s="206"/>
      <c r="E4" s="206"/>
      <c r="F4" s="206"/>
      <c r="G4" s="206"/>
      <c r="I4" s="177"/>
    </row>
    <row r="5" spans="2:10" ht="18.75" x14ac:dyDescent="0.3">
      <c r="B5" s="176"/>
      <c r="C5" s="205" t="s">
        <v>768</v>
      </c>
      <c r="D5" s="206"/>
      <c r="E5" s="206"/>
      <c r="F5" s="206"/>
      <c r="G5" s="206"/>
      <c r="I5" s="177"/>
    </row>
    <row r="6" spans="2:10" x14ac:dyDescent="0.25">
      <c r="B6" s="176"/>
      <c r="C6" s="237">
        <v>60</v>
      </c>
      <c r="I6" s="177"/>
    </row>
    <row r="7" spans="2:10" ht="18.75" x14ac:dyDescent="0.3">
      <c r="B7" s="176"/>
      <c r="C7" s="207"/>
      <c r="D7" s="206"/>
      <c r="E7" s="206"/>
      <c r="F7" s="206"/>
      <c r="G7" s="206"/>
      <c r="I7" s="177"/>
    </row>
    <row r="8" spans="2:10" ht="16.5" outlineLevel="1" thickBot="1" x14ac:dyDescent="0.3">
      <c r="B8" s="176"/>
      <c r="C8" s="206"/>
      <c r="I8" s="177"/>
    </row>
    <row r="9" spans="2:10" ht="32.25" outlineLevel="1" thickBot="1" x14ac:dyDescent="0.3">
      <c r="B9" s="176"/>
      <c r="C9" s="406" t="s">
        <v>842</v>
      </c>
      <c r="D9" s="238" t="s">
        <v>843</v>
      </c>
      <c r="E9" s="241" t="s">
        <v>844</v>
      </c>
      <c r="F9" s="239" t="s">
        <v>845</v>
      </c>
      <c r="G9" s="360" t="s">
        <v>846</v>
      </c>
      <c r="I9" s="177"/>
    </row>
    <row r="10" spans="2:10" s="181" customFormat="1" ht="21" customHeight="1" outlineLevel="1" x14ac:dyDescent="0.25">
      <c r="B10" s="178"/>
      <c r="C10" s="350" t="s">
        <v>847</v>
      </c>
      <c r="D10" s="220">
        <f>D19/$C$6</f>
        <v>5809.556204679594</v>
      </c>
      <c r="E10" s="219">
        <f>E19/$C$6</f>
        <v>0</v>
      </c>
      <c r="F10" s="204">
        <f>F19/$C$6</f>
        <v>0</v>
      </c>
      <c r="G10" s="204">
        <f>G19/$C$6</f>
        <v>0</v>
      </c>
      <c r="I10" s="179"/>
      <c r="J10" s="180"/>
    </row>
    <row r="11" spans="2:10" s="181" customFormat="1" ht="21" customHeight="1" outlineLevel="1" x14ac:dyDescent="0.25">
      <c r="B11" s="178"/>
      <c r="C11" s="350" t="s">
        <v>848</v>
      </c>
      <c r="D11" s="220" t="e">
        <f>D20/$C$6</f>
        <v>#REF!</v>
      </c>
      <c r="E11" s="219">
        <f t="shared" ref="E11:G13" si="0">E20/$C$6</f>
        <v>0</v>
      </c>
      <c r="F11" s="204">
        <f t="shared" si="0"/>
        <v>0</v>
      </c>
      <c r="G11" s="204">
        <f t="shared" si="0"/>
        <v>0</v>
      </c>
      <c r="I11" s="179"/>
      <c r="J11" s="180"/>
    </row>
    <row r="12" spans="2:10" s="181" customFormat="1" ht="21" customHeight="1" outlineLevel="1" x14ac:dyDescent="0.25">
      <c r="B12" s="178"/>
      <c r="C12" s="350" t="s">
        <v>849</v>
      </c>
      <c r="D12" s="220" t="e">
        <f>D21/$C$6</f>
        <v>#REF!</v>
      </c>
      <c r="E12" s="219">
        <f t="shared" si="0"/>
        <v>0</v>
      </c>
      <c r="F12" s="204">
        <f t="shared" si="0"/>
        <v>0</v>
      </c>
      <c r="G12" s="204">
        <f t="shared" si="0"/>
        <v>0</v>
      </c>
      <c r="I12" s="179"/>
      <c r="J12" s="180"/>
    </row>
    <row r="13" spans="2:10" s="181" customFormat="1" ht="21" customHeight="1" outlineLevel="1" x14ac:dyDescent="0.25">
      <c r="B13" s="178"/>
      <c r="C13" s="350" t="s">
        <v>850</v>
      </c>
      <c r="D13" s="220" t="e">
        <f>D22/$C$6</f>
        <v>#REF!</v>
      </c>
      <c r="E13" s="219">
        <f t="shared" si="0"/>
        <v>0</v>
      </c>
      <c r="F13" s="204">
        <f t="shared" si="0"/>
        <v>0</v>
      </c>
      <c r="G13" s="204">
        <f t="shared" si="0"/>
        <v>0</v>
      </c>
      <c r="I13" s="179"/>
      <c r="J13" s="180"/>
    </row>
    <row r="14" spans="2:10" s="181" customFormat="1" ht="21" customHeight="1" outlineLevel="1" x14ac:dyDescent="0.25">
      <c r="B14" s="178"/>
      <c r="C14" s="351" t="s">
        <v>851</v>
      </c>
      <c r="D14" s="347" t="e">
        <f>D24/$C$6</f>
        <v>#REF!</v>
      </c>
      <c r="E14" s="348">
        <f>E24/$C$6</f>
        <v>0</v>
      </c>
      <c r="F14" s="349">
        <f>F24/$C$6</f>
        <v>0</v>
      </c>
      <c r="G14" s="361">
        <f>G24/$C$6</f>
        <v>0</v>
      </c>
      <c r="I14" s="179"/>
      <c r="J14" s="180"/>
    </row>
    <row r="15" spans="2:10" ht="16.5" outlineLevel="1" thickBot="1" x14ac:dyDescent="0.3">
      <c r="B15" s="176"/>
      <c r="C15" s="590" t="s">
        <v>852</v>
      </c>
      <c r="D15" s="591" t="e">
        <f>SUM(D10:D14)</f>
        <v>#REF!</v>
      </c>
      <c r="E15" s="592">
        <f>SUM(E10:E14)</f>
        <v>0</v>
      </c>
      <c r="F15" s="593">
        <f>SUM(F10:F14)</f>
        <v>0</v>
      </c>
      <c r="G15" s="594">
        <f>SUM(G10:G14)</f>
        <v>0</v>
      </c>
      <c r="I15" s="177"/>
      <c r="J15" s="182"/>
    </row>
    <row r="16" spans="2:10" outlineLevel="1" x14ac:dyDescent="0.25">
      <c r="B16" s="176"/>
      <c r="C16" s="587" t="s">
        <v>853</v>
      </c>
      <c r="D16" s="589" t="e">
        <f>D26/C6</f>
        <v>#REF!</v>
      </c>
      <c r="E16" s="589"/>
      <c r="F16" s="589"/>
      <c r="G16" s="589"/>
      <c r="I16" s="177"/>
      <c r="J16" s="182"/>
    </row>
    <row r="17" spans="2:11" ht="16.5" thickBot="1" x14ac:dyDescent="0.3">
      <c r="B17" s="176"/>
      <c r="C17" s="206"/>
      <c r="D17" s="240"/>
      <c r="E17" s="240"/>
      <c r="F17" s="240"/>
      <c r="G17" s="408"/>
      <c r="I17" s="177"/>
    </row>
    <row r="18" spans="2:11" ht="32.25" thickBot="1" x14ac:dyDescent="0.3">
      <c r="B18" s="176"/>
      <c r="C18" s="406" t="s">
        <v>854</v>
      </c>
      <c r="D18" s="238" t="s">
        <v>855</v>
      </c>
      <c r="E18" s="241" t="s">
        <v>856</v>
      </c>
      <c r="F18" s="239" t="s">
        <v>857</v>
      </c>
      <c r="G18" s="360" t="s">
        <v>858</v>
      </c>
      <c r="I18" s="177"/>
    </row>
    <row r="19" spans="2:11" s="181" customFormat="1" ht="21" customHeight="1" x14ac:dyDescent="0.25">
      <c r="B19" s="178"/>
      <c r="C19" s="350" t="s">
        <v>859</v>
      </c>
      <c r="D19" s="220">
        <f>'CORE Recurring Items'!V337</f>
        <v>348573.37228077563</v>
      </c>
      <c r="E19" s="219"/>
      <c r="F19" s="204"/>
      <c r="G19" s="204"/>
      <c r="I19" s="179"/>
      <c r="J19" s="180"/>
    </row>
    <row r="20" spans="2:11" s="181" customFormat="1" ht="21" customHeight="1" x14ac:dyDescent="0.25">
      <c r="B20" s="178"/>
      <c r="C20" s="350" t="s">
        <v>860</v>
      </c>
      <c r="D20" s="220" t="e">
        <f>'CORE Recurring Items'!#REF!</f>
        <v>#REF!</v>
      </c>
      <c r="E20" s="219"/>
      <c r="F20" s="204"/>
      <c r="G20" s="204"/>
      <c r="I20" s="179"/>
      <c r="J20" s="180"/>
    </row>
    <row r="21" spans="2:11" s="181" customFormat="1" ht="21" customHeight="1" x14ac:dyDescent="0.25">
      <c r="B21" s="178"/>
      <c r="C21" s="350" t="s">
        <v>861</v>
      </c>
      <c r="D21" s="220" t="e">
        <f>'CORE Recurring Items'!#REF!</f>
        <v>#REF!</v>
      </c>
      <c r="E21" s="219"/>
      <c r="F21" s="204"/>
      <c r="G21" s="204"/>
      <c r="I21" s="179"/>
      <c r="J21" s="180"/>
    </row>
    <row r="22" spans="2:11" s="181" customFormat="1" ht="21" customHeight="1" x14ac:dyDescent="0.25">
      <c r="B22" s="178"/>
      <c r="C22" s="350" t="s">
        <v>862</v>
      </c>
      <c r="D22" s="220" t="e">
        <f>'CORE Recurring Items'!#REF!</f>
        <v>#REF!</v>
      </c>
      <c r="E22" s="513"/>
      <c r="F22" s="514"/>
      <c r="G22" s="514"/>
      <c r="I22" s="179"/>
      <c r="J22" s="180"/>
    </row>
    <row r="23" spans="2:11" s="181" customFormat="1" ht="21" customHeight="1" x14ac:dyDescent="0.25">
      <c r="B23" s="178"/>
      <c r="C23" s="350" t="s">
        <v>863</v>
      </c>
      <c r="D23" s="220"/>
      <c r="E23" s="513"/>
      <c r="F23" s="514"/>
      <c r="G23" s="514"/>
      <c r="I23" s="179"/>
      <c r="J23" s="180"/>
    </row>
    <row r="24" spans="2:11" s="181" customFormat="1" ht="21" customHeight="1" x14ac:dyDescent="0.25">
      <c r="B24" s="178"/>
      <c r="C24" s="351" t="s">
        <v>864</v>
      </c>
      <c r="D24" s="347" t="e">
        <f>'CORE Recurring Items'!#REF!</f>
        <v>#REF!</v>
      </c>
      <c r="E24" s="515"/>
      <c r="F24" s="516"/>
      <c r="G24" s="516"/>
      <c r="I24" s="179"/>
      <c r="J24" s="180"/>
    </row>
    <row r="25" spans="2:11" ht="15.75" customHeight="1" thickBot="1" x14ac:dyDescent="0.3">
      <c r="B25" s="176"/>
      <c r="C25" s="590" t="s">
        <v>865</v>
      </c>
      <c r="D25" s="595" t="e">
        <f>SUM(D19:D24)</f>
        <v>#REF!</v>
      </c>
      <c r="E25" s="596">
        <f>SUM(E19:E24)</f>
        <v>0</v>
      </c>
      <c r="F25" s="597">
        <f>SUM(F19:F24)</f>
        <v>0</v>
      </c>
      <c r="G25" s="598">
        <f>SUM(G19:G24)</f>
        <v>0</v>
      </c>
      <c r="I25" s="177"/>
      <c r="J25" s="182"/>
    </row>
    <row r="26" spans="2:11" ht="15.75" customHeight="1" x14ac:dyDescent="0.25">
      <c r="B26" s="176"/>
      <c r="C26" s="587" t="s">
        <v>866</v>
      </c>
      <c r="D26" s="588" t="e">
        <f>#REF!</f>
        <v>#REF!</v>
      </c>
      <c r="E26" s="588"/>
      <c r="F26" s="588"/>
      <c r="G26" s="588"/>
      <c r="I26" s="177"/>
      <c r="J26" s="182"/>
    </row>
    <row r="27" spans="2:11" ht="16.5" thickBot="1" x14ac:dyDescent="0.3">
      <c r="B27" s="176"/>
      <c r="D27" s="203"/>
      <c r="E27" s="203"/>
      <c r="F27" s="203"/>
      <c r="G27" s="203"/>
      <c r="I27" s="177"/>
      <c r="K27" s="203"/>
    </row>
    <row r="28" spans="2:11" s="181" customFormat="1" x14ac:dyDescent="0.25">
      <c r="B28" s="178"/>
      <c r="C28" s="402" t="s">
        <v>867</v>
      </c>
      <c r="E28" s="403" t="e">
        <f>#REF!-#REF!</f>
        <v>#REF!</v>
      </c>
      <c r="F28" s="403" t="e">
        <f>#REF!-#REF!</f>
        <v>#REF!</v>
      </c>
      <c r="G28" s="403" t="e">
        <f>#REF!-#REF!</f>
        <v>#REF!</v>
      </c>
      <c r="H28" s="517"/>
      <c r="I28" s="179"/>
    </row>
    <row r="29" spans="2:11" s="181" customFormat="1" ht="16.5" thickBot="1" x14ac:dyDescent="0.3">
      <c r="B29" s="178"/>
      <c r="C29" s="404" t="s">
        <v>868</v>
      </c>
      <c r="E29" s="405" t="e">
        <f>E28/#REF!</f>
        <v>#REF!</v>
      </c>
      <c r="F29" s="405" t="e">
        <f>F28/#REF!</f>
        <v>#REF!</v>
      </c>
      <c r="G29" s="405" t="e">
        <f>G28/#REF!</f>
        <v>#REF!</v>
      </c>
      <c r="I29" s="179"/>
    </row>
    <row r="30" spans="2:11" ht="16.5" thickBot="1" x14ac:dyDescent="0.3">
      <c r="B30" s="176"/>
      <c r="C30" s="218"/>
      <c r="I30" s="177"/>
    </row>
    <row r="31" spans="2:11" x14ac:dyDescent="0.25">
      <c r="B31" s="557"/>
      <c r="C31" s="559"/>
      <c r="D31" s="558"/>
      <c r="E31" s="558"/>
      <c r="F31" s="558"/>
      <c r="G31" s="558"/>
      <c r="H31" s="558"/>
      <c r="I31" s="560"/>
      <c r="K31" s="182"/>
    </row>
    <row r="32" spans="2:11" x14ac:dyDescent="0.25">
      <c r="B32" s="561" t="s">
        <v>869</v>
      </c>
      <c r="C32" s="562"/>
      <c r="D32" s="563"/>
      <c r="E32" s="562"/>
      <c r="F32" s="562"/>
      <c r="G32" s="562"/>
      <c r="H32" s="562"/>
      <c r="I32" s="564"/>
      <c r="K32" s="397"/>
    </row>
    <row r="33" spans="2:11" x14ac:dyDescent="0.25">
      <c r="B33" s="565">
        <f>'CORE Recurring Items'!$H$5</f>
        <v>0.05</v>
      </c>
      <c r="C33" s="566" t="s">
        <v>870</v>
      </c>
      <c r="D33" s="1367"/>
      <c r="E33" s="1368"/>
      <c r="F33" s="1368"/>
      <c r="G33" s="1368"/>
      <c r="H33" s="1368"/>
      <c r="I33" s="564"/>
      <c r="K33" s="396"/>
    </row>
    <row r="34" spans="2:11" x14ac:dyDescent="0.25">
      <c r="B34" s="565">
        <f>'CORE Recurring Items'!$J$5</f>
        <v>4.6699999999999998E-2</v>
      </c>
      <c r="C34" s="567" t="s">
        <v>871</v>
      </c>
      <c r="D34" s="1368"/>
      <c r="E34" s="1368"/>
      <c r="F34" s="1368"/>
      <c r="G34" s="1368"/>
      <c r="H34" s="1368"/>
      <c r="I34" s="564"/>
    </row>
    <row r="35" spans="2:11" x14ac:dyDescent="0.25">
      <c r="B35" s="565">
        <f>'CORE Recurring Items'!$K$5</f>
        <v>4.6699999999999998E-2</v>
      </c>
      <c r="C35" s="567" t="str">
        <f>E18&amp;" Proposed CPI"</f>
        <v>Proposed Vendor #1 Proposed CPI</v>
      </c>
      <c r="D35" s="1368"/>
      <c r="E35" s="1368"/>
      <c r="F35" s="1368"/>
      <c r="G35" s="1368"/>
      <c r="H35" s="1368"/>
      <c r="I35" s="564"/>
    </row>
    <row r="36" spans="2:11" x14ac:dyDescent="0.25">
      <c r="B36" s="565">
        <f>'CORE Recurring Items'!$L$5</f>
        <v>4.6699999999999998E-2</v>
      </c>
      <c r="C36" s="567" t="str">
        <f>F18&amp;" Proposed CPI"</f>
        <v>Proposed Vendor #2 Proposed CPI</v>
      </c>
      <c r="D36" s="1368"/>
      <c r="E36" s="1368"/>
      <c r="F36" s="1368"/>
      <c r="G36" s="1368"/>
      <c r="H36" s="1368"/>
      <c r="I36" s="564"/>
    </row>
    <row r="37" spans="2:11" x14ac:dyDescent="0.25">
      <c r="B37" s="565">
        <f>'CORE Recurring Items'!$M$5</f>
        <v>0</v>
      </c>
      <c r="C37" s="567" t="str">
        <f>G18&amp;" Proposed CPI"</f>
        <v>Proposed Vendor #3 Proposed CPI</v>
      </c>
      <c r="D37" s="568"/>
      <c r="E37" s="568"/>
      <c r="F37" s="568"/>
      <c r="G37" s="568"/>
      <c r="H37" s="568"/>
      <c r="I37" s="564"/>
    </row>
    <row r="38" spans="2:11" ht="16.5" thickBot="1" x14ac:dyDescent="0.3">
      <c r="B38" s="569"/>
      <c r="C38" s="570"/>
      <c r="D38" s="570"/>
      <c r="E38" s="570"/>
      <c r="F38" s="570"/>
      <c r="G38" s="570"/>
      <c r="H38" s="570"/>
      <c r="I38" s="571"/>
    </row>
    <row r="39" spans="2:11" x14ac:dyDescent="0.25">
      <c r="E39" s="352"/>
    </row>
    <row r="40" spans="2:11" x14ac:dyDescent="0.25">
      <c r="E40" s="352"/>
      <c r="F40" s="352"/>
      <c r="G40" s="352"/>
    </row>
    <row r="41" spans="2:11" x14ac:dyDescent="0.25">
      <c r="C41" s="379"/>
      <c r="E41" s="352"/>
      <c r="F41" s="352"/>
      <c r="G41" s="352"/>
    </row>
    <row r="42" spans="2:11" x14ac:dyDescent="0.25">
      <c r="C42" s="378"/>
    </row>
    <row r="43" spans="2:11" x14ac:dyDescent="0.25">
      <c r="C43" s="378"/>
    </row>
    <row r="44" spans="2:11" x14ac:dyDescent="0.25">
      <c r="C44" s="378"/>
    </row>
    <row r="45" spans="2:11" x14ac:dyDescent="0.25">
      <c r="C45" s="378"/>
    </row>
    <row r="46" spans="2:11" x14ac:dyDescent="0.25">
      <c r="C46" s="378"/>
    </row>
  </sheetData>
  <mergeCells count="1">
    <mergeCell ref="D33:H36"/>
  </mergeCells>
  <phoneticPr fontId="22" type="noConversion"/>
  <pageMargins left="0.7" right="0.7" top="0.75" bottom="0.75" header="0.3" footer="0.3"/>
  <pageSetup scale="35" orientation="portrait" horizontalDpi="1200" verticalDpi="1200" r:id="rId1"/>
  <ignoredErrors>
    <ignoredError sqref="D15:G15"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8A95B-E7EA-441A-92CA-4D3D65E5825D}">
  <sheetPr codeName="Sheet13"/>
  <dimension ref="B2:R51"/>
  <sheetViews>
    <sheetView showGridLines="0" topLeftCell="A4" zoomScale="120" zoomScaleNormal="120" workbookViewId="0">
      <selection activeCell="P16" sqref="P16"/>
    </sheetView>
  </sheetViews>
  <sheetFormatPr defaultRowHeight="15" x14ac:dyDescent="0.25"/>
  <cols>
    <col min="2" max="2" width="60.85546875" bestFit="1" customWidth="1"/>
    <col min="3" max="3" width="0.28515625" customWidth="1"/>
    <col min="4" max="4" width="15.28515625" customWidth="1"/>
    <col min="5" max="5" width="0.28515625" customWidth="1"/>
    <col min="6" max="6" width="15.7109375" customWidth="1"/>
    <col min="7" max="7" width="0.28515625" customWidth="1"/>
    <col min="8" max="8" width="15.7109375" customWidth="1"/>
    <col min="9" max="9" width="0.28515625" customWidth="1"/>
    <col min="10" max="10" width="15.28515625" hidden="1" customWidth="1"/>
    <col min="11" max="11" width="15.7109375" customWidth="1"/>
    <col min="12" max="12" width="12.28515625" bestFit="1" customWidth="1"/>
    <col min="13" max="15" width="12.28515625" hidden="1" customWidth="1"/>
    <col min="16" max="16" width="8.85546875" customWidth="1"/>
    <col min="17" max="17" width="47" customWidth="1"/>
    <col min="18" max="18" width="29.5703125" customWidth="1"/>
  </cols>
  <sheetData>
    <row r="2" spans="2:18" ht="56.25" customHeight="1" x14ac:dyDescent="0.25">
      <c r="B2" s="556" t="s">
        <v>872</v>
      </c>
      <c r="Q2" s="503"/>
    </row>
    <row r="3" spans="2:18" ht="15.75" x14ac:dyDescent="0.25">
      <c r="B3" s="417" t="s">
        <v>841</v>
      </c>
      <c r="Q3" s="503"/>
    </row>
    <row r="4" spans="2:18" ht="15.75" x14ac:dyDescent="0.25">
      <c r="B4" s="417" t="s">
        <v>768</v>
      </c>
      <c r="C4" s="417"/>
      <c r="E4" s="417"/>
      <c r="G4" s="417"/>
      <c r="I4" s="417"/>
    </row>
    <row r="5" spans="2:18" ht="15.75" x14ac:dyDescent="0.25">
      <c r="B5" s="418">
        <v>60</v>
      </c>
      <c r="C5" s="418"/>
      <c r="E5" s="418"/>
      <c r="G5" s="418"/>
      <c r="I5" s="418"/>
    </row>
    <row r="6" spans="2:18" x14ac:dyDescent="0.25">
      <c r="D6" s="419" t="s">
        <v>30</v>
      </c>
      <c r="F6" s="1369" t="s">
        <v>873</v>
      </c>
      <c r="G6" s="1369"/>
      <c r="H6" s="1369"/>
      <c r="I6" s="426"/>
      <c r="J6" s="437"/>
      <c r="K6" s="419" t="s">
        <v>873</v>
      </c>
      <c r="P6" s="1371" t="s">
        <v>874</v>
      </c>
      <c r="Q6" s="1371"/>
    </row>
    <row r="7" spans="2:18" ht="3" customHeight="1" x14ac:dyDescent="0.25"/>
    <row r="8" spans="2:18" ht="15.75" x14ac:dyDescent="0.25">
      <c r="B8" s="438" t="s">
        <v>842</v>
      </c>
      <c r="D8" s="419" t="s">
        <v>875</v>
      </c>
      <c r="F8" s="419" t="s">
        <v>876</v>
      </c>
      <c r="H8" s="419" t="s">
        <v>877</v>
      </c>
      <c r="J8" s="419" t="s">
        <v>878</v>
      </c>
      <c r="K8" s="419" t="s">
        <v>879</v>
      </c>
      <c r="P8" s="509" t="s">
        <v>869</v>
      </c>
      <c r="Q8" s="506"/>
    </row>
    <row r="9" spans="2:18" ht="3" customHeight="1" x14ac:dyDescent="0.25"/>
    <row r="10" spans="2:18" x14ac:dyDescent="0.25">
      <c r="B10" s="420" t="s">
        <v>880</v>
      </c>
      <c r="D10" s="421">
        <f>D22/$B$5</f>
        <v>5809.556204679594</v>
      </c>
      <c r="F10" s="421">
        <f>F22/$B$5</f>
        <v>102479.5280477348</v>
      </c>
      <c r="H10" s="421">
        <f>H22/$B$5</f>
        <v>107663.78852712174</v>
      </c>
      <c r="J10" s="421">
        <f>J22/$B$5</f>
        <v>34455.164095539796</v>
      </c>
      <c r="K10" s="421">
        <f>K22/$B$5</f>
        <v>0</v>
      </c>
      <c r="P10" s="507">
        <f>'CORE Recurring Items'!$H$5</f>
        <v>0.05</v>
      </c>
      <c r="Q10" s="520" t="s">
        <v>870</v>
      </c>
    </row>
    <row r="11" spans="2:18" x14ac:dyDescent="0.25">
      <c r="B11" s="420" t="s">
        <v>881</v>
      </c>
      <c r="D11" s="421" t="e">
        <f>D23/$B$5</f>
        <v>#REF!</v>
      </c>
      <c r="F11" s="421" t="e">
        <f>F23/$B$5</f>
        <v>#REF!</v>
      </c>
      <c r="H11" s="421" t="e">
        <f>H23/$B$5</f>
        <v>#REF!</v>
      </c>
      <c r="J11" s="421"/>
      <c r="K11" s="421" t="e">
        <f>K23/$B$5</f>
        <v>#REF!</v>
      </c>
      <c r="P11" s="507">
        <f>'CORE Recurring Items'!$J$5</f>
        <v>4.6699999999999998E-2</v>
      </c>
      <c r="Q11" s="508" t="s">
        <v>871</v>
      </c>
    </row>
    <row r="12" spans="2:18" x14ac:dyDescent="0.25">
      <c r="B12" s="420" t="s">
        <v>882</v>
      </c>
      <c r="D12" s="421" t="e">
        <f>D24/$B$5</f>
        <v>#REF!</v>
      </c>
      <c r="F12" s="421" t="e">
        <f>F24/$B$5</f>
        <v>#REF!</v>
      </c>
      <c r="H12" s="421" t="e">
        <f>H24/$B$5</f>
        <v>#REF!</v>
      </c>
      <c r="J12" s="421"/>
      <c r="K12" s="421" t="e">
        <f>K24/$B$5</f>
        <v>#REF!</v>
      </c>
      <c r="P12" s="507">
        <f>'CORE Recurring Items'!$K$5</f>
        <v>4.6699999999999998E-2</v>
      </c>
      <c r="Q12" s="508" t="str">
        <f>F8&amp;" "&amp;F6&amp;" CPI"</f>
        <v>(Vendor #1) Proposed CPI</v>
      </c>
    </row>
    <row r="13" spans="2:18" s="426" customFormat="1" x14ac:dyDescent="0.25">
      <c r="B13" s="441" t="s">
        <v>883</v>
      </c>
      <c r="D13" s="446" t="e">
        <f>D25/$B$5</f>
        <v>#REF!</v>
      </c>
      <c r="E13" s="447"/>
      <c r="F13" s="446" t="e">
        <f>F25/$B$5</f>
        <v>#REF!</v>
      </c>
      <c r="G13" s="447"/>
      <c r="H13" s="446" t="e">
        <f>H25/$B$5</f>
        <v>#REF!</v>
      </c>
      <c r="J13" s="439"/>
      <c r="K13" s="446" t="e">
        <f>K25/$B$5</f>
        <v>#REF!</v>
      </c>
      <c r="P13" s="507">
        <f>'CORE Recurring Items'!$L$5</f>
        <v>4.6699999999999998E-2</v>
      </c>
      <c r="Q13" s="508" t="str">
        <f>H8&amp;" "&amp;F6&amp;" CPI"</f>
        <v>(Vendor #2) Proposed CPI</v>
      </c>
    </row>
    <row r="14" spans="2:18" x14ac:dyDescent="0.25">
      <c r="B14" s="422" t="s">
        <v>884</v>
      </c>
      <c r="C14" s="423"/>
      <c r="D14" s="424" t="e">
        <f>SUM(D13,#REF!)</f>
        <v>#REF!</v>
      </c>
      <c r="E14" s="423"/>
      <c r="F14" s="424" t="e">
        <f>SUM(F13,#REF!)</f>
        <v>#REF!</v>
      </c>
      <c r="G14" s="423"/>
      <c r="H14" s="424" t="e">
        <f>SUM(H13,#REF!)</f>
        <v>#REF!</v>
      </c>
      <c r="I14" s="423"/>
      <c r="J14" s="424">
        <f>SUM(J10:J13)</f>
        <v>34455.164095539796</v>
      </c>
      <c r="K14" s="424" t="e">
        <f>SUM(K13,#REF!)</f>
        <v>#REF!</v>
      </c>
      <c r="P14" s="507">
        <f>'CORE Recurring Items'!$M$5</f>
        <v>0</v>
      </c>
      <c r="Q14" s="508" t="str">
        <f>K8&amp;" "&amp;K6&amp;" CPI"</f>
        <v>(Vendor #3) Proposed CPI</v>
      </c>
      <c r="R14" s="426"/>
    </row>
    <row r="15" spans="2:18" x14ac:dyDescent="0.25">
      <c r="B15" s="457" t="s">
        <v>885</v>
      </c>
      <c r="C15" s="458"/>
      <c r="D15" s="459"/>
      <c r="E15" s="458"/>
      <c r="F15" s="460" t="e">
        <f>$D$14-F14</f>
        <v>#REF!</v>
      </c>
      <c r="G15" s="458"/>
      <c r="H15" s="460" t="e">
        <f>$D$14-H14</f>
        <v>#REF!</v>
      </c>
      <c r="I15" s="458"/>
      <c r="J15" s="460" t="e">
        <f>$D$14-J14</f>
        <v>#REF!</v>
      </c>
      <c r="K15" s="460" t="e">
        <f>$D$14-K14</f>
        <v>#REF!</v>
      </c>
      <c r="R15" s="426"/>
    </row>
    <row r="16" spans="2:18" x14ac:dyDescent="0.25">
      <c r="B16" s="457" t="s">
        <v>886</v>
      </c>
      <c r="C16" s="458"/>
      <c r="D16" s="459"/>
      <c r="E16" s="458"/>
      <c r="F16" s="463" t="e">
        <f>F15/$D$14</f>
        <v>#REF!</v>
      </c>
      <c r="G16" s="458"/>
      <c r="H16" s="463" t="e">
        <f>H15/$D$14</f>
        <v>#REF!</v>
      </c>
      <c r="I16" s="458"/>
      <c r="J16" s="460"/>
      <c r="K16" s="463" t="e">
        <f>K15/$D$14</f>
        <v>#REF!</v>
      </c>
      <c r="R16" s="426"/>
    </row>
    <row r="17" spans="2:18" s="426" customFormat="1" x14ac:dyDescent="0.25">
      <c r="B17"/>
      <c r="C17"/>
      <c r="D17"/>
      <c r="E17"/>
      <c r="F17"/>
      <c r="G17"/>
      <c r="H17"/>
      <c r="I17"/>
      <c r="J17"/>
      <c r="K17"/>
    </row>
    <row r="18" spans="2:18" x14ac:dyDescent="0.25">
      <c r="D18" s="419" t="s">
        <v>30</v>
      </c>
      <c r="F18" s="1369" t="str">
        <f>F6</f>
        <v>Proposed</v>
      </c>
      <c r="G18" s="1369"/>
      <c r="H18" s="1369"/>
      <c r="I18" s="426"/>
      <c r="J18" s="437"/>
      <c r="K18" s="419" t="str">
        <f>K6</f>
        <v>Proposed</v>
      </c>
      <c r="R18" s="426"/>
    </row>
    <row r="19" spans="2:18" s="462" customFormat="1" ht="3" customHeight="1" x14ac:dyDescent="0.25">
      <c r="B19"/>
      <c r="C19"/>
      <c r="D19"/>
      <c r="E19"/>
      <c r="F19"/>
      <c r="G19"/>
      <c r="H19"/>
      <c r="I19"/>
      <c r="J19"/>
      <c r="K19"/>
      <c r="L19" s="461"/>
      <c r="R19" s="426"/>
    </row>
    <row r="20" spans="2:18" s="462" customFormat="1" ht="15.75" x14ac:dyDescent="0.25">
      <c r="B20" s="438" t="s">
        <v>854</v>
      </c>
      <c r="C20"/>
      <c r="D20" s="419" t="str">
        <f>D8</f>
        <v>Q2</v>
      </c>
      <c r="E20"/>
      <c r="F20" s="419" t="str">
        <f>F8</f>
        <v>(Vendor #1)</v>
      </c>
      <c r="G20"/>
      <c r="H20" s="419" t="str">
        <f>H8</f>
        <v>(Vendor #2)</v>
      </c>
      <c r="I20"/>
      <c r="J20" s="419" t="s">
        <v>878</v>
      </c>
      <c r="K20" s="419" t="str">
        <f>K8</f>
        <v>(Vendor #3)</v>
      </c>
      <c r="L20" s="461"/>
      <c r="R20" s="426"/>
    </row>
    <row r="21" spans="2:18" ht="3" customHeight="1" x14ac:dyDescent="0.25">
      <c r="R21" s="426"/>
    </row>
    <row r="22" spans="2:18" x14ac:dyDescent="0.25">
      <c r="B22" s="420" t="s">
        <v>880</v>
      </c>
      <c r="D22" s="421">
        <f>'CORE Recurring Items'!V337</f>
        <v>348573.37228077563</v>
      </c>
      <c r="F22" s="421">
        <f>'CORE Recurring Items'!AF336</f>
        <v>6148771.6828640876</v>
      </c>
      <c r="H22" s="421">
        <f>'CORE Recurring Items'!AQ336</f>
        <v>6459827.3116273042</v>
      </c>
      <c r="J22" s="421">
        <f>'[2]Monthly processing fee'!AE141</f>
        <v>2067309.8457323876</v>
      </c>
      <c r="K22" s="421">
        <f>'CORE Recurring Items'!BA336</f>
        <v>0</v>
      </c>
      <c r="P22" s="512" t="s">
        <v>887</v>
      </c>
      <c r="Q22" s="512"/>
      <c r="R22" s="426"/>
    </row>
    <row r="23" spans="2:18" x14ac:dyDescent="0.25">
      <c r="B23" s="420" t="s">
        <v>881</v>
      </c>
      <c r="D23" s="421" t="e">
        <f>'CORE Recurring Items'!#REF!</f>
        <v>#REF!</v>
      </c>
      <c r="F23" s="421" t="e">
        <f>'CORE Recurring Items'!#REF!</f>
        <v>#REF!</v>
      </c>
      <c r="H23" s="421" t="e">
        <f>'CORE Recurring Items'!#REF!</f>
        <v>#REF!</v>
      </c>
      <c r="J23" s="421"/>
      <c r="K23" s="421" t="e">
        <f>'CORE Recurring Items'!#REF!</f>
        <v>#REF!</v>
      </c>
      <c r="P23" s="420"/>
      <c r="Q23" s="521" t="s">
        <v>888</v>
      </c>
    </row>
    <row r="24" spans="2:18" x14ac:dyDescent="0.25">
      <c r="B24" s="420" t="s">
        <v>882</v>
      </c>
      <c r="D24" s="421" t="e">
        <f>'CORE Recurring Items'!#REF!</f>
        <v>#REF!</v>
      </c>
      <c r="F24" s="421" t="e">
        <f>'CORE Recurring Items'!#REF!</f>
        <v>#REF!</v>
      </c>
      <c r="H24" s="421" t="e">
        <f>'CORE Recurring Items'!#REF!</f>
        <v>#REF!</v>
      </c>
      <c r="J24" s="421"/>
      <c r="K24" s="421" t="e">
        <f>'CORE Recurring Items'!#REF!</f>
        <v>#REF!</v>
      </c>
      <c r="P24" s="422"/>
      <c r="Q24" s="521" t="s">
        <v>889</v>
      </c>
    </row>
    <row r="25" spans="2:18" x14ac:dyDescent="0.25">
      <c r="B25" s="440" t="s">
        <v>890</v>
      </c>
      <c r="C25" s="426"/>
      <c r="D25" s="442" t="e">
        <f>SUM(D22:D24)</f>
        <v>#REF!</v>
      </c>
      <c r="E25" s="443"/>
      <c r="F25" s="442" t="e">
        <f>SUM(F22:F24)</f>
        <v>#REF!</v>
      </c>
      <c r="G25" s="443"/>
      <c r="H25" s="442" t="e">
        <f>SUM(H22:H24)</f>
        <v>#REF!</v>
      </c>
      <c r="J25" s="421"/>
      <c r="K25" s="442" t="e">
        <f>SUM(K22:K24)</f>
        <v>#REF!</v>
      </c>
      <c r="P25" s="457"/>
      <c r="Q25" s="521" t="s">
        <v>891</v>
      </c>
    </row>
    <row r="26" spans="2:18" x14ac:dyDescent="0.25">
      <c r="B26" s="422" t="s">
        <v>892</v>
      </c>
      <c r="C26" s="423"/>
      <c r="D26" s="424" t="e">
        <f>SUM(D25,#REF!)</f>
        <v>#REF!</v>
      </c>
      <c r="E26" s="423"/>
      <c r="F26" s="424" t="e">
        <f>SUM(F25,#REF!)</f>
        <v>#REF!</v>
      </c>
      <c r="G26" s="423"/>
      <c r="H26" s="424" t="e">
        <f>SUM(H25,#REF!)</f>
        <v>#REF!</v>
      </c>
      <c r="I26" s="423"/>
      <c r="J26" s="424">
        <f>SUM(J22:J25)</f>
        <v>2067309.8457323876</v>
      </c>
      <c r="K26" s="424" t="e">
        <f>SUM(K25,#REF!)</f>
        <v>#REF!</v>
      </c>
      <c r="P26" s="510"/>
      <c r="Q26" s="521" t="s">
        <v>893</v>
      </c>
    </row>
    <row r="27" spans="2:18" x14ac:dyDescent="0.25">
      <c r="B27" s="519" t="s">
        <v>894</v>
      </c>
      <c r="C27" s="455"/>
      <c r="D27" s="519"/>
      <c r="E27" s="455"/>
      <c r="F27" s="456" t="e">
        <f>$D$26-F26</f>
        <v>#REF!</v>
      </c>
      <c r="G27" s="455"/>
      <c r="H27" s="456" t="e">
        <f>$D$26-H26</f>
        <v>#REF!</v>
      </c>
      <c r="I27" s="455"/>
      <c r="J27" s="456" t="e">
        <f>$D$26-J26</f>
        <v>#REF!</v>
      </c>
      <c r="K27" s="456" t="e">
        <f>$D$26-K26</f>
        <v>#REF!</v>
      </c>
      <c r="P27" s="511"/>
      <c r="Q27" s="521" t="s">
        <v>895</v>
      </c>
    </row>
    <row r="28" spans="2:18" x14ac:dyDescent="0.25">
      <c r="B28" s="420" t="s">
        <v>896</v>
      </c>
      <c r="D28" s="467"/>
      <c r="E28" s="425"/>
      <c r="F28" s="421"/>
      <c r="G28" s="425"/>
      <c r="H28" s="421"/>
      <c r="I28" s="425"/>
      <c r="J28" s="421"/>
      <c r="K28" s="421"/>
      <c r="P28" s="504"/>
      <c r="Q28" s="522" t="s">
        <v>897</v>
      </c>
    </row>
    <row r="29" spans="2:18" x14ac:dyDescent="0.25">
      <c r="B29" s="420" t="s">
        <v>898</v>
      </c>
      <c r="D29" s="467"/>
      <c r="E29" s="425"/>
      <c r="F29" s="421"/>
      <c r="G29" s="425"/>
      <c r="H29" s="421"/>
      <c r="I29" s="425"/>
      <c r="J29" s="468"/>
      <c r="K29" s="421"/>
      <c r="P29" s="505"/>
      <c r="Q29" s="523" t="s">
        <v>899</v>
      </c>
    </row>
    <row r="30" spans="2:18" x14ac:dyDescent="0.25">
      <c r="B30" s="420" t="s">
        <v>900</v>
      </c>
      <c r="D30" s="469"/>
      <c r="E30" s="470"/>
      <c r="F30" s="448"/>
      <c r="G30" s="470"/>
      <c r="H30" s="421"/>
      <c r="I30" s="470"/>
      <c r="J30" s="421"/>
      <c r="K30" s="421"/>
    </row>
    <row r="31" spans="2:18" s="455" customFormat="1" ht="15.75" x14ac:dyDescent="0.2">
      <c r="B31" s="449" t="s">
        <v>799</v>
      </c>
      <c r="C31" s="450"/>
      <c r="D31" s="451" t="e">
        <f>SUM(D26,D28:D30)</f>
        <v>#REF!</v>
      </c>
      <c r="E31" s="450"/>
      <c r="F31" s="451" t="e">
        <f>SUM(F26,F28:F30)</f>
        <v>#REF!</v>
      </c>
      <c r="G31" s="450"/>
      <c r="H31" s="451" t="e">
        <f>SUM(H26,H28:H30)</f>
        <v>#REF!</v>
      </c>
      <c r="I31" s="450"/>
      <c r="J31" s="451">
        <f>SUM(J26,J28:J30)</f>
        <v>2067309.8457323876</v>
      </c>
      <c r="K31" s="451" t="e">
        <f>SUM(K26,K28:K30)</f>
        <v>#REF!</v>
      </c>
    </row>
    <row r="32" spans="2:18" x14ac:dyDescent="0.25">
      <c r="B32" s="464" t="s">
        <v>901</v>
      </c>
      <c r="C32" s="465"/>
      <c r="D32" s="464"/>
      <c r="E32" s="465"/>
      <c r="F32" s="456" t="e">
        <f>$D$31-F31</f>
        <v>#REF!</v>
      </c>
      <c r="G32" s="465"/>
      <c r="H32" s="456" t="e">
        <f>$D$31-H31</f>
        <v>#REF!</v>
      </c>
      <c r="I32" s="455"/>
      <c r="J32" s="456" t="e">
        <f>$D$31-J31</f>
        <v>#REF!</v>
      </c>
      <c r="K32" s="456" t="e">
        <f>$D$31-K31</f>
        <v>#REF!</v>
      </c>
    </row>
    <row r="33" spans="2:15" x14ac:dyDescent="0.25">
      <c r="B33" s="464" t="s">
        <v>902</v>
      </c>
      <c r="C33" s="465"/>
      <c r="D33" s="464"/>
      <c r="E33" s="465"/>
      <c r="F33" s="466" t="e">
        <f>F32/$D$26</f>
        <v>#REF!</v>
      </c>
      <c r="G33" s="465"/>
      <c r="H33" s="466" t="e">
        <f>H32/$D$26</f>
        <v>#REF!</v>
      </c>
      <c r="I33" s="465"/>
      <c r="J33" s="466" t="e">
        <f>J32/$D$26</f>
        <v>#REF!</v>
      </c>
      <c r="K33" s="466" t="e">
        <f>K32/$D$26</f>
        <v>#REF!</v>
      </c>
    </row>
    <row r="35" spans="2:15" hidden="1" x14ac:dyDescent="0.25"/>
    <row r="36" spans="2:15" hidden="1" x14ac:dyDescent="0.25">
      <c r="F36" s="1369" t="str">
        <f>F6</f>
        <v>Proposed</v>
      </c>
      <c r="G36" s="1369"/>
      <c r="H36" s="1369"/>
      <c r="I36" s="426"/>
      <c r="J36" s="437"/>
      <c r="K36" s="419" t="str">
        <f>K6</f>
        <v>Proposed</v>
      </c>
    </row>
    <row r="37" spans="2:15" hidden="1" x14ac:dyDescent="0.25">
      <c r="M37" s="431">
        <f>'[2]Monthly processing fee'!N145+'[2]Monthly processing PASS THROUGH'!O35</f>
        <v>0</v>
      </c>
      <c r="N37" s="432">
        <f>'[2]Monthly processing fee'!W145+'[2]Monthly Optionals'!O38+'[2]Upfront License &amp; HW'!K79+'[2]Monthly processing PASS THROUGH'!X35</f>
        <v>0</v>
      </c>
      <c r="O37" s="433">
        <f>'[2]Monthly processing fee'!AE145+'[2]Monthly processing PASS THROUGH'!AF35+'[2]Monthly Optionals'!X38+'[2]Upfront License &amp; HW'!O79</f>
        <v>0</v>
      </c>
    </row>
    <row r="38" spans="2:15" hidden="1" x14ac:dyDescent="0.25">
      <c r="B38" s="1370" t="s">
        <v>903</v>
      </c>
      <c r="C38" s="1370"/>
      <c r="D38" s="1370"/>
      <c r="F38" s="419" t="str">
        <f>F8</f>
        <v>(Vendor #1)</v>
      </c>
      <c r="H38" s="419" t="str">
        <f>H8</f>
        <v>(Vendor #2)</v>
      </c>
      <c r="J38" s="419" t="s">
        <v>878</v>
      </c>
      <c r="K38" s="419" t="str">
        <f>K8</f>
        <v>(Vendor #3)</v>
      </c>
    </row>
    <row r="39" spans="2:15" hidden="1" x14ac:dyDescent="0.25">
      <c r="B39" s="504" t="s">
        <v>904</v>
      </c>
      <c r="C39" s="427"/>
      <c r="D39" s="427"/>
      <c r="F39" s="428" t="e">
        <f>'Optional Items - DESIRED'!Y76</f>
        <v>#REF!</v>
      </c>
      <c r="H39" s="428">
        <f>'Optional Items - DESIRED'!AH76</f>
        <v>0</v>
      </c>
      <c r="J39" s="428">
        <f>'[2]Monthly Optionals'!X34</f>
        <v>51487.560000000005</v>
      </c>
      <c r="K39" s="428">
        <f>'Optional Items - DESIRED'!AL76</f>
        <v>0</v>
      </c>
    </row>
    <row r="40" spans="2:15" hidden="1" x14ac:dyDescent="0.25">
      <c r="B40" s="504" t="s">
        <v>905</v>
      </c>
      <c r="C40" s="427"/>
      <c r="D40" s="427"/>
      <c r="F40" s="428">
        <f>'Optional Items - DESIRED'!Y121</f>
        <v>0</v>
      </c>
      <c r="H40" s="428">
        <f>'Optional Items - DESIRED'!AH121</f>
        <v>0</v>
      </c>
      <c r="J40" s="428">
        <f>'[2]Upfront License &amp; HW'!O50</f>
        <v>11500</v>
      </c>
      <c r="K40" s="428">
        <f>'Optional Items - DESIRED'!AL121</f>
        <v>0</v>
      </c>
    </row>
    <row r="41" spans="2:15" hidden="1" x14ac:dyDescent="0.25">
      <c r="B41" s="505" t="s">
        <v>906</v>
      </c>
      <c r="C41" s="429"/>
      <c r="D41" s="429"/>
      <c r="E41" s="426"/>
      <c r="F41" s="430" t="e">
        <f>SUM(F39:F40)</f>
        <v>#REF!</v>
      </c>
      <c r="G41" s="426"/>
      <c r="H41" s="430">
        <f>SUM(H39:H40)</f>
        <v>0</v>
      </c>
      <c r="I41" s="426"/>
      <c r="J41" s="430">
        <f>SUM(J31,J39:J40)</f>
        <v>2130297.4057323877</v>
      </c>
      <c r="K41" s="430">
        <f>SUM(K39:K40)</f>
        <v>0</v>
      </c>
      <c r="M41" s="431">
        <f>'[2]Monthly processing fee'!N149+'[2]Monthly processing PASS THROUGH'!O39</f>
        <v>0</v>
      </c>
      <c r="N41" s="432">
        <f>'[2]Monthly processing fee'!W149+'[2]Monthly Optionals'!O42+'[2]Upfront License &amp; HW'!K83+'[2]Monthly processing PASS THROUGH'!X39</f>
        <v>0</v>
      </c>
      <c r="O41" s="433">
        <f>'[2]Monthly processing fee'!AE149+'[2]Monthly processing PASS THROUGH'!AF39+'[2]Monthly Optionals'!X42+'[2]Upfront License &amp; HW'!O83</f>
        <v>0</v>
      </c>
    </row>
    <row r="42" spans="2:15" hidden="1" x14ac:dyDescent="0.25"/>
    <row r="43" spans="2:15" x14ac:dyDescent="0.25">
      <c r="D43" s="452"/>
      <c r="F43" s="452"/>
      <c r="H43" s="452"/>
      <c r="K43" s="452"/>
    </row>
    <row r="49" spans="13:15" x14ac:dyDescent="0.25">
      <c r="M49" s="431">
        <f>'[2]Monthly processing fee'!N141+'[2]Monthly processing PASS THROUGH'!O31</f>
        <v>5458457.5049914801</v>
      </c>
      <c r="N49" s="432">
        <f>'[2]Monthly processing fee'!W141+'[2]Monthly Optionals'!O34+'[2]Upfront License &amp; HW'!K75+'[2]Monthly processing PASS THROUGH'!X31</f>
        <v>2504727.1319838902</v>
      </c>
      <c r="O49" s="433">
        <f>'[2]Monthly processing fee'!AE141+'[2]Monthly processing PASS THROUGH'!AF31+'[2]Monthly Optionals'!X34+'[2]Upfront License &amp; HW'!O75</f>
        <v>3105608.6814183774</v>
      </c>
    </row>
    <row r="50" spans="13:15" x14ac:dyDescent="0.25">
      <c r="M50" s="434"/>
      <c r="N50" s="435" t="e">
        <f>#REF!</f>
        <v>#REF!</v>
      </c>
      <c r="O50" s="436" t="e">
        <f>#REF!</f>
        <v>#REF!</v>
      </c>
    </row>
    <row r="51" spans="13:15" x14ac:dyDescent="0.25">
      <c r="M51" s="434"/>
      <c r="N51" s="435" t="e">
        <f>SUM(N49:N50)</f>
        <v>#REF!</v>
      </c>
      <c r="O51" s="436" t="e">
        <f>SUM(O49:O50)</f>
        <v>#REF!</v>
      </c>
    </row>
  </sheetData>
  <mergeCells count="5">
    <mergeCell ref="F6:H6"/>
    <mergeCell ref="F18:H18"/>
    <mergeCell ref="F36:H36"/>
    <mergeCell ref="B38:D38"/>
    <mergeCell ref="P6:Q6"/>
  </mergeCells>
  <pageMargins left="0.7" right="0.7" top="0.75" bottom="0.75" header="0.3" footer="0.3"/>
  <pageSetup orientation="portrait" r:id="rId1"/>
  <ignoredErrors>
    <ignoredError sqref="F31" formulaRange="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0f553d3-a7a8-499e-8b31-51266332b8bc" xsi:nil="true"/>
    <lcf76f155ced4ddcb4097134ff3c332f xmlns="781bdc3a-95ba-4660-92b5-9954aceb549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E1D7FA0C4B4A3419C7A6FD3FA5B19CF" ma:contentTypeVersion="18" ma:contentTypeDescription="Create a new document." ma:contentTypeScope="" ma:versionID="fded809e7f10f8934c62126ff45acfef">
  <xsd:schema xmlns:xsd="http://www.w3.org/2001/XMLSchema" xmlns:xs="http://www.w3.org/2001/XMLSchema" xmlns:p="http://schemas.microsoft.com/office/2006/metadata/properties" xmlns:ns2="781bdc3a-95ba-4660-92b5-9954aceb5499" xmlns:ns3="c0f553d3-a7a8-499e-8b31-51266332b8bc" targetNamespace="http://schemas.microsoft.com/office/2006/metadata/properties" ma:root="true" ma:fieldsID="b6d7c71e9d3a37622465d5c878958971" ns2:_="" ns3:_="">
    <xsd:import namespace="781bdc3a-95ba-4660-92b5-9954aceb5499"/>
    <xsd:import namespace="c0f553d3-a7a8-499e-8b31-51266332b8b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DateTaken"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1bdc3a-95ba-4660-92b5-9954aceb54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b2034fb-8686-45cb-beaa-cd46e98d5464"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0f553d3-a7a8-499e-8b31-51266332b8b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ea36d35-3a77-4376-b66a-2b037a3659a0}" ma:internalName="TaxCatchAll" ma:showField="CatchAllData" ma:web="c0f553d3-a7a8-499e-8b31-51266332b8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2DA1A6-77D0-40FA-ACC0-897AA3CBA42F}">
  <ds:schemaRefs>
    <ds:schemaRef ds:uri="http://schemas.microsoft.com/office/2006/metadata/properties"/>
    <ds:schemaRef ds:uri="http://schemas.microsoft.com/office/infopath/2007/PartnerControls"/>
    <ds:schemaRef ds:uri="c0f553d3-a7a8-499e-8b31-51266332b8bc"/>
    <ds:schemaRef ds:uri="781bdc3a-95ba-4660-92b5-9954aceb5499"/>
  </ds:schemaRefs>
</ds:datastoreItem>
</file>

<file path=customXml/itemProps2.xml><?xml version="1.0" encoding="utf-8"?>
<ds:datastoreItem xmlns:ds="http://schemas.openxmlformats.org/officeDocument/2006/customXml" ds:itemID="{206071C2-BC5E-481C-9A94-D085066ED2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1bdc3a-95ba-4660-92b5-9954aceb5499"/>
    <ds:schemaRef ds:uri="c0f553d3-a7a8-499e-8b31-51266332b8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C4BF462-0F98-46AE-BC62-6F327417126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10</vt:i4>
      </vt:variant>
    </vt:vector>
  </HeadingPairs>
  <TitlesOfParts>
    <vt:vector size="24" baseType="lpstr">
      <vt:lpstr>(INTERNAL) Basic Entry </vt:lpstr>
      <vt:lpstr>CORE Recurring Items</vt:lpstr>
      <vt:lpstr>CORE One Time Items</vt:lpstr>
      <vt:lpstr>Optional Items - DESIRED</vt:lpstr>
      <vt:lpstr>Optional Items - Unwanted</vt:lpstr>
      <vt:lpstr>DGTL Recurring Items</vt:lpstr>
      <vt:lpstr>DGTL One Time Items</vt:lpstr>
      <vt:lpstr>Optional Items</vt:lpstr>
      <vt:lpstr>PassThru Items</vt:lpstr>
      <vt:lpstr>Vendor TCO</vt:lpstr>
      <vt:lpstr>Vendor TCO (2.15.2024)</vt:lpstr>
      <vt:lpstr>Early Renewal Calculation</vt:lpstr>
      <vt:lpstr>Summary Report - Simple</vt:lpstr>
      <vt:lpstr>Summary Report - Detailed</vt:lpstr>
      <vt:lpstr>'(INTERNAL) Basic Entry '!Print_Area</vt:lpstr>
      <vt:lpstr>'CORE One Time Items'!Print_Area</vt:lpstr>
      <vt:lpstr>'CORE Recurring Items'!Print_Area</vt:lpstr>
      <vt:lpstr>'DGTL One Time Items'!Print_Area</vt:lpstr>
      <vt:lpstr>'DGTL Recurring Items'!Print_Area</vt:lpstr>
      <vt:lpstr>'Optional Items'!Print_Area</vt:lpstr>
      <vt:lpstr>'Optional Items - DESIRED'!Print_Area</vt:lpstr>
      <vt:lpstr>'Optional Items - Unwanted'!Print_Area</vt:lpstr>
      <vt:lpstr>'PassThru Items'!Print_Area</vt:lpstr>
      <vt:lpstr>'Vendor TCO'!Print_Area</vt:lpstr>
    </vt:vector>
  </TitlesOfParts>
  <Manager/>
  <Company>Arriba Advisors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CUofGA CORE TCO</dc:title>
  <dc:subject/>
  <dc:creator>JHuynh@arribaadvisors.com</dc:creator>
  <cp:keywords>Financial Analysis; TCO, CUofGA; CORE</cp:keywords>
  <dc:description/>
  <cp:lastModifiedBy>Noah Callahan</cp:lastModifiedBy>
  <cp:revision/>
  <dcterms:created xsi:type="dcterms:W3CDTF">2017-04-07T11:24:26Z</dcterms:created>
  <dcterms:modified xsi:type="dcterms:W3CDTF">2025-09-02T15:41:41Z</dcterms:modified>
  <cp:category>TCO</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0x0101005E1D7FA0C4B4A3419C7A6FD3FA5B19CF</vt:lpwstr>
  </property>
  <property fmtid="{D5CDD505-2E9C-101B-9397-08002B2CF9AE}" pid="3" name="MediaServiceImageTags">
    <vt:lpwstr/>
  </property>
</Properties>
</file>