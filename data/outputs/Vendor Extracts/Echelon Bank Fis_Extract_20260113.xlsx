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$#,##0.0000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7E6E6"/>
        <bgColor rgb="00E7E6E6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right" vertical="top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right" vertical="top"/>
    </xf>
    <xf numFmtId="165" fontId="0" fillId="0" borderId="1" applyAlignment="1" pivotButton="0" quotePrefix="0" xfId="0">
      <alignment horizontal="right" vertical="top"/>
    </xf>
    <xf numFmtId="0" fontId="0" fillId="0" borderId="1" applyAlignment="1" pivotButton="0" quotePrefix="0" xfId="0">
      <alignment horizontal="right" vertical="top"/>
    </xf>
    <xf numFmtId="164" fontId="2" fillId="0" borderId="1" applyAlignment="1" pivotButton="0" quotePrefix="0" xfId="0">
      <alignment horizontal="right" vertical="top"/>
    </xf>
    <xf numFmtId="0" fontId="4" fillId="0" borderId="1" applyAlignment="1" pivotButton="0" quotePrefix="0" xfId="0">
      <alignment horizontal="left" vertical="top" wrapText="1"/>
    </xf>
    <xf numFmtId="164" fontId="2" fillId="3" borderId="1" applyAlignment="1" pivotButton="0" quotePrefix="0" xfId="0">
      <alignment horizontal="right" vertical="top"/>
    </xf>
    <xf numFmtId="164" fontId="4" fillId="4" borderId="1" applyAlignment="1" pivotButton="0" quotePrefix="0" xfId="0">
      <alignment horizontal="righ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12" customWidth="1" min="4" max="4"/>
    <col width="12" customWidth="1" min="5" max="5"/>
    <col width="18" customWidth="1" min="6" max="6"/>
    <col width="12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6" customWidth="1" min="18" max="18"/>
    <col width="30" customWidth="1" min="19" max="19"/>
  </cols>
  <sheetData>
    <row r="1">
      <c r="A1" s="1" t="inlineStr">
        <is>
          <t>VENDOR PRICING EXTRACT</t>
        </is>
      </c>
    </row>
    <row r="2">
      <c r="A2" s="2" t="inlineStr">
        <is>
          <t>Vendor:</t>
        </is>
      </c>
      <c r="B2" t="inlineStr">
        <is>
          <t>Echelon Bank Fis</t>
        </is>
      </c>
      <c r="E2" s="2" t="inlineStr">
        <is>
          <t>Contract Term:</t>
        </is>
      </c>
      <c r="F2" t="inlineStr">
        <is>
          <t>10 years</t>
        </is>
      </c>
    </row>
    <row r="3">
      <c r="A3" s="2" t="inlineStr">
        <is>
          <t>Client:</t>
        </is>
      </c>
      <c r="B3" t="inlineStr">
        <is>
          <t>Echelon Bank</t>
        </is>
      </c>
      <c r="E3" s="2" t="inlineStr">
        <is>
          <t>Growth Rate:</t>
        </is>
      </c>
      <c r="F3" t="inlineStr">
        <is>
          <t>20.0%</t>
        </is>
      </c>
    </row>
    <row r="4">
      <c r="A4" s="2" t="inlineStr">
        <is>
          <t>Proposal Date:</t>
        </is>
      </c>
      <c r="B4" t="inlineStr">
        <is>
          <t>2025-10-29</t>
        </is>
      </c>
      <c r="E4" s="2" t="inlineStr">
        <is>
          <t>Extracted:</t>
        </is>
      </c>
      <c r="F4" t="inlineStr">
        <is>
          <t>2026-01-13</t>
        </is>
      </c>
    </row>
    <row r="6">
      <c r="A6" s="3" t="inlineStr">
        <is>
          <t>Solution Name</t>
        </is>
      </c>
      <c r="B6" s="3" t="inlineStr">
        <is>
          <t>Category</t>
        </is>
      </c>
      <c r="C6" s="3" t="inlineStr">
        <is>
          <t>Fee Type</t>
        </is>
      </c>
      <c r="D6" s="4" t="inlineStr">
        <is>
          <t>Monthly Fee</t>
        </is>
      </c>
      <c r="E6" s="4" t="inlineStr">
        <is>
          <t>Per Unit Rate</t>
        </is>
      </c>
      <c r="F6" s="4" t="inlineStr">
        <is>
          <t>Unit</t>
        </is>
      </c>
      <c r="G6" s="4" t="inlineStr">
        <is>
          <t>One-Time Fee</t>
        </is>
      </c>
      <c r="H6" s="4" t="inlineStr">
        <is>
          <t>Year 1 Annual</t>
        </is>
      </c>
      <c r="I6" s="4" t="inlineStr">
        <is>
          <t>Year 2 Annual</t>
        </is>
      </c>
      <c r="J6" s="4" t="inlineStr">
        <is>
          <t>Year 3 Annual</t>
        </is>
      </c>
      <c r="K6" s="4" t="inlineStr">
        <is>
          <t>Year 4 Annual</t>
        </is>
      </c>
      <c r="L6" s="4" t="inlineStr">
        <is>
          <t>Year 5 Annual</t>
        </is>
      </c>
      <c r="M6" s="4" t="inlineStr">
        <is>
          <t>Year 6 Annual</t>
        </is>
      </c>
      <c r="N6" s="4" t="inlineStr">
        <is>
          <t>Year 7 Annual</t>
        </is>
      </c>
      <c r="O6" s="4" t="inlineStr">
        <is>
          <t>Year 8 Annual</t>
        </is>
      </c>
      <c r="P6" s="4" t="inlineStr">
        <is>
          <t>Year 9 Annual</t>
        </is>
      </c>
      <c r="Q6" s="4" t="inlineStr">
        <is>
          <t>Year 10 Annual</t>
        </is>
      </c>
      <c r="R6" s="4" t="inlineStr">
        <is>
          <t>Total (All Years)</t>
        </is>
      </c>
      <c r="S6" s="4" t="inlineStr">
        <is>
          <t>Notes</t>
        </is>
      </c>
    </row>
    <row r="7">
      <c r="A7" s="5" t="inlineStr">
        <is>
          <t>FIS Monthly Bundle - Year 1</t>
        </is>
      </c>
      <c r="B7" s="5" t="inlineStr">
        <is>
          <t>Core Banking</t>
        </is>
      </c>
      <c r="C7" s="5" t="inlineStr">
        <is>
          <t>Monthly F</t>
        </is>
      </c>
      <c r="D7" s="6" t="n">
        <v>15000</v>
      </c>
      <c r="E7" s="7" t="n">
        <v>0</v>
      </c>
      <c r="F7" s="8" t="inlineStr"/>
      <c r="G7" s="6" t="n">
        <v>0</v>
      </c>
      <c r="H7" s="6" t="n">
        <v>180000</v>
      </c>
      <c r="I7" s="6" t="n">
        <v>216000</v>
      </c>
      <c r="J7" s="6" t="n">
        <v>259200</v>
      </c>
      <c r="K7" s="6" t="n">
        <v>311039.9999999999</v>
      </c>
      <c r="L7" s="6" t="n">
        <v>373248</v>
      </c>
      <c r="M7" s="6" t="n">
        <v>447897.5999999999</v>
      </c>
      <c r="N7" s="6" t="n">
        <v>537477.1199999999</v>
      </c>
      <c r="O7" s="6" t="n">
        <v>644972.5439999999</v>
      </c>
      <c r="P7" s="6" t="n">
        <v>773967.0527999997</v>
      </c>
      <c r="Q7" s="6" t="n">
        <v>928760.4633599997</v>
      </c>
      <c r="R7" s="9">
        <f>SUM(H7:Q7)</f>
        <v/>
      </c>
      <c r="S7" s="8" t="inlineStr">
        <is>
          <t>10-year term pricing</t>
        </is>
      </c>
    </row>
    <row r="8">
      <c r="A8" s="5" t="inlineStr">
        <is>
          <t>Paper and Envelopes</t>
        </is>
      </c>
      <c r="B8" s="5" t="inlineStr">
        <is>
          <t>Document Services</t>
        </is>
      </c>
      <c r="C8" s="5" t="inlineStr">
        <is>
          <t>Monthly V</t>
        </is>
      </c>
      <c r="D8" s="6" t="n">
        <v>29</v>
      </c>
      <c r="E8" s="7" t="n">
        <v>0.0136</v>
      </c>
      <c r="F8" s="8" t="inlineStr">
        <is>
          <t>per piece of paper</t>
        </is>
      </c>
      <c r="G8" s="6" t="n">
        <v>0</v>
      </c>
      <c r="H8" s="6" t="n">
        <v>348</v>
      </c>
      <c r="I8" s="6" t="n">
        <v>417.6</v>
      </c>
      <c r="J8" s="6" t="n">
        <v>501.12</v>
      </c>
      <c r="K8" s="6" t="n">
        <v>601.3439999999999</v>
      </c>
      <c r="L8" s="6" t="n">
        <v>721.6128</v>
      </c>
      <c r="M8" s="6" t="n">
        <v>865.9353599999998</v>
      </c>
      <c r="N8" s="6" t="n">
        <v>1039.122432</v>
      </c>
      <c r="O8" s="6" t="n">
        <v>1246.9469184</v>
      </c>
      <c r="P8" s="6" t="n">
        <v>1496.33630208</v>
      </c>
      <c r="Q8" s="6" t="n">
        <v>1795.603562496</v>
      </c>
      <c r="R8" s="9">
        <f>SUM(H8:Q8)</f>
        <v/>
      </c>
      <c r="S8" s="8" t="inlineStr">
        <is>
          <t>Also $0.0314 per envelope</t>
        </is>
      </c>
    </row>
    <row r="9">
      <c r="A9" s="5" t="inlineStr">
        <is>
          <t>Debit Card Production</t>
        </is>
      </c>
      <c r="B9" s="5" t="inlineStr">
        <is>
          <t>Card Services</t>
        </is>
      </c>
      <c r="C9" s="5" t="inlineStr">
        <is>
          <t>Monthly V</t>
        </is>
      </c>
      <c r="D9" s="6" t="n">
        <v>1018</v>
      </c>
      <c r="E9" s="7" t="n">
        <v>12</v>
      </c>
      <c r="F9" s="8" t="inlineStr">
        <is>
          <t>per file/job</t>
        </is>
      </c>
      <c r="G9" s="6" t="n">
        <v>1250</v>
      </c>
      <c r="H9" s="6" t="n">
        <v>12216</v>
      </c>
      <c r="I9" s="6" t="n">
        <v>14659.2</v>
      </c>
      <c r="J9" s="6" t="n">
        <v>17591.04</v>
      </c>
      <c r="K9" s="6" t="n">
        <v>21109.248</v>
      </c>
      <c r="L9" s="6" t="n">
        <v>25331.0976</v>
      </c>
      <c r="M9" s="6" t="n">
        <v>30397.31711999999</v>
      </c>
      <c r="N9" s="6" t="n">
        <v>36476.78054399999</v>
      </c>
      <c r="O9" s="6" t="n">
        <v>43772.13665279999</v>
      </c>
      <c r="P9" s="6" t="n">
        <v>52526.56398335998</v>
      </c>
      <c r="Q9" s="6" t="n">
        <v>63031.87678003198</v>
      </c>
      <c r="R9" s="9">
        <f>SUM(H9:Q9)</f>
        <v/>
      </c>
      <c r="S9" s="8" t="inlineStr">
        <is>
          <t>Includes CardPro Connect at $500/month</t>
        </is>
      </c>
    </row>
    <row r="10">
      <c r="A10" s="5" t="inlineStr">
        <is>
          <t>DirectLink Risk Review (DLRR)</t>
        </is>
      </c>
      <c r="B10" s="5" t="inlineStr">
        <is>
          <t>Risk Management</t>
        </is>
      </c>
      <c r="C10" s="5" t="inlineStr">
        <is>
          <t>Monthly V</t>
        </is>
      </c>
      <c r="D10" s="6" t="n">
        <v>233</v>
      </c>
      <c r="E10" s="7" t="n">
        <v>0.0033</v>
      </c>
      <c r="F10" s="8" t="inlineStr">
        <is>
          <t>per transaction</t>
        </is>
      </c>
      <c r="G10" s="6" t="n">
        <v>17015</v>
      </c>
      <c r="H10" s="6" t="n">
        <v>2796</v>
      </c>
      <c r="I10" s="6" t="n">
        <v>3355.2</v>
      </c>
      <c r="J10" s="6" t="n">
        <v>4026.24</v>
      </c>
      <c r="K10" s="6" t="n">
        <v>4831.487999999999</v>
      </c>
      <c r="L10" s="6" t="n">
        <v>5797.785599999999</v>
      </c>
      <c r="M10" s="6" t="n">
        <v>6957.342719999999</v>
      </c>
      <c r="N10" s="6" t="n">
        <v>8348.811263999998</v>
      </c>
      <c r="O10" s="6" t="n">
        <v>10018.5735168</v>
      </c>
      <c r="P10" s="6" t="n">
        <v>12022.28822016</v>
      </c>
      <c r="Q10" s="6" t="n">
        <v>14426.745864192</v>
      </c>
      <c r="R10" s="9">
        <f>SUM(H10:Q10)</f>
        <v/>
      </c>
      <c r="S10" s="8" t="inlineStr">
        <is>
          <t>$200 monthly minimum</t>
        </is>
      </c>
    </row>
    <row r="11">
      <c r="A11" s="5" t="inlineStr">
        <is>
          <t>Card Suite Pro</t>
        </is>
      </c>
      <c r="B11" s="5" t="inlineStr">
        <is>
          <t>Digital Banking</t>
        </is>
      </c>
      <c r="C11" s="5" t="inlineStr">
        <is>
          <t>Monthly V</t>
        </is>
      </c>
      <c r="D11" s="6" t="n">
        <v>425</v>
      </c>
      <c r="E11" s="7" t="n">
        <v>1.24</v>
      </c>
      <c r="F11" s="8" t="inlineStr">
        <is>
          <t>per active user</t>
        </is>
      </c>
      <c r="G11" s="6" t="n">
        <v>4000</v>
      </c>
      <c r="H11" s="6" t="n">
        <v>5100</v>
      </c>
      <c r="I11" s="6" t="n">
        <v>6120</v>
      </c>
      <c r="J11" s="6" t="n">
        <v>7344</v>
      </c>
      <c r="K11" s="6" t="n">
        <v>8812.799999999999</v>
      </c>
      <c r="L11" s="6" t="n">
        <v>10575.36</v>
      </c>
      <c r="M11" s="6" t="n">
        <v>12690.432</v>
      </c>
      <c r="N11" s="6" t="n">
        <v>15228.5184</v>
      </c>
      <c r="O11" s="6" t="n">
        <v>18274.22208</v>
      </c>
      <c r="P11" s="6" t="n">
        <v>21929.06649599999</v>
      </c>
      <c r="Q11" s="6" t="n">
        <v>26314.87979519999</v>
      </c>
      <c r="R11" s="9">
        <f>SUM(H11:Q11)</f>
        <v/>
      </c>
      <c r="S11" s="8" t="inlineStr">
        <is>
          <t>$375 monthly minimum, call center at $1.50/minute</t>
        </is>
      </c>
    </row>
    <row r="12">
      <c r="A12" s="5" t="inlineStr">
        <is>
          <t>Payments One Debit Card Fraud Case Investigation</t>
        </is>
      </c>
      <c r="B12" s="5" t="inlineStr">
        <is>
          <t>Fraud Prevention</t>
        </is>
      </c>
      <c r="C12" s="5" t="inlineStr">
        <is>
          <t>Monthly V</t>
        </is>
      </c>
      <c r="D12" s="6" t="n">
        <v>500</v>
      </c>
      <c r="E12" s="7" t="n">
        <v>25</v>
      </c>
      <c r="F12" s="8" t="inlineStr">
        <is>
          <t>per case</t>
        </is>
      </c>
      <c r="G12" s="6" t="n">
        <v>0</v>
      </c>
      <c r="H12" s="6" t="n">
        <v>6000</v>
      </c>
      <c r="I12" s="6" t="n">
        <v>7200</v>
      </c>
      <c r="J12" s="6" t="n">
        <v>8640</v>
      </c>
      <c r="K12" s="6" t="n">
        <v>10368</v>
      </c>
      <c r="L12" s="6" t="n">
        <v>12441.6</v>
      </c>
      <c r="M12" s="6" t="n">
        <v>14929.92</v>
      </c>
      <c r="N12" s="6" t="n">
        <v>17915.90399999999</v>
      </c>
      <c r="O12" s="6" t="n">
        <v>21499.08479999999</v>
      </c>
      <c r="P12" s="6" t="n">
        <v>25798.90175999999</v>
      </c>
      <c r="Q12" s="6" t="n">
        <v>30958.68211199999</v>
      </c>
      <c r="R12" s="9">
        <f>SUM(H12:Q12)</f>
        <v/>
      </c>
      <c r="S12" s="8" t="inlineStr">
        <is>
          <t>$500 monthly minimum</t>
        </is>
      </c>
    </row>
    <row r="13">
      <c r="A13" s="5" t="inlineStr">
        <is>
          <t>Payments One Full-Service Debit Card Fraud Disputes</t>
        </is>
      </c>
      <c r="B13" s="5" t="inlineStr">
        <is>
          <t>Fraud Prevention</t>
        </is>
      </c>
      <c r="C13" s="5" t="inlineStr">
        <is>
          <t>Monthly V</t>
        </is>
      </c>
      <c r="D13" s="6" t="n">
        <v>175</v>
      </c>
      <c r="E13" s="7" t="n">
        <v>35</v>
      </c>
      <c r="F13" s="8" t="inlineStr">
        <is>
          <t>per dispute</t>
        </is>
      </c>
      <c r="G13" s="6" t="n">
        <v>1500</v>
      </c>
      <c r="H13" s="6" t="n">
        <v>2100</v>
      </c>
      <c r="I13" s="6" t="n">
        <v>2520</v>
      </c>
      <c r="J13" s="6" t="n">
        <v>3024</v>
      </c>
      <c r="K13" s="6" t="n">
        <v>3628.799999999999</v>
      </c>
      <c r="L13" s="6" t="n">
        <v>4354.559999999999</v>
      </c>
      <c r="M13" s="6" t="n">
        <v>5225.471999999999</v>
      </c>
      <c r="N13" s="6" t="n">
        <v>6270.566399999999</v>
      </c>
      <c r="O13" s="6" t="n">
        <v>7524.679679999998</v>
      </c>
      <c r="P13" s="6" t="n">
        <v>9029.615615999997</v>
      </c>
      <c r="Q13" s="6" t="n">
        <v>10835.5387392</v>
      </c>
      <c r="R13" s="9">
        <f>SUM(H13:Q13)</f>
        <v/>
      </c>
      <c r="S13" s="8" t="inlineStr">
        <is>
          <t>Estimated 5 disputes per month</t>
        </is>
      </c>
    </row>
    <row r="14">
      <c r="A14" s="5" t="inlineStr">
        <is>
          <t>Tokenization</t>
        </is>
      </c>
      <c r="B14" s="5" t="inlineStr">
        <is>
          <t>Digital Payments</t>
        </is>
      </c>
      <c r="C14" s="5" t="inlineStr">
        <is>
          <t>Monthly V</t>
        </is>
      </c>
      <c r="D14" s="6" t="n">
        <v>337</v>
      </c>
      <c r="E14" s="7" t="n">
        <v>0.05</v>
      </c>
      <c r="F14" s="8" t="inlineStr">
        <is>
          <t>per token provisioning</t>
        </is>
      </c>
      <c r="G14" s="6" t="n">
        <v>13600</v>
      </c>
      <c r="H14" s="6" t="n">
        <v>4044</v>
      </c>
      <c r="I14" s="6" t="n">
        <v>4852.8</v>
      </c>
      <c r="J14" s="6" t="n">
        <v>5823.36</v>
      </c>
      <c r="K14" s="6" t="n">
        <v>6988.031999999999</v>
      </c>
      <c r="L14" s="6" t="n">
        <v>8385.6384</v>
      </c>
      <c r="M14" s="6" t="n">
        <v>10062.76608</v>
      </c>
      <c r="N14" s="6" t="n">
        <v>12075.319296</v>
      </c>
      <c r="O14" s="6" t="n">
        <v>14490.3831552</v>
      </c>
      <c r="P14" s="6" t="n">
        <v>17388.45978623999</v>
      </c>
      <c r="Q14" s="6" t="n">
        <v>20866.15174348799</v>
      </c>
      <c r="R14" s="9">
        <f>SUM(H14:Q14)</f>
        <v/>
      </c>
      <c r="S14" s="8" t="inlineStr">
        <is>
          <t>Complex pricing with multiple components</t>
        </is>
      </c>
    </row>
    <row r="15">
      <c r="A15" s="5" t="inlineStr">
        <is>
          <t>NYCE Preferred Debit Card Network</t>
        </is>
      </c>
      <c r="B15" s="5" t="inlineStr">
        <is>
          <t>Card Networks</t>
        </is>
      </c>
      <c r="C15" s="5" t="inlineStr">
        <is>
          <t>Monthly V</t>
        </is>
      </c>
      <c r="D15" s="6" t="n">
        <v>152</v>
      </c>
      <c r="E15" s="7" t="n">
        <v>0.035</v>
      </c>
      <c r="F15" s="8" t="inlineStr">
        <is>
          <t>per transaction</t>
        </is>
      </c>
      <c r="G15" s="6" t="n">
        <v>1500</v>
      </c>
      <c r="H15" s="6" t="n">
        <v>1824</v>
      </c>
      <c r="I15" s="6" t="n">
        <v>2188.8</v>
      </c>
      <c r="J15" s="6" t="n">
        <v>2626.56</v>
      </c>
      <c r="K15" s="6" t="n">
        <v>3151.871999999999</v>
      </c>
      <c r="L15" s="6" t="n">
        <v>3782.2464</v>
      </c>
      <c r="M15" s="6" t="n">
        <v>4538.695679999999</v>
      </c>
      <c r="N15" s="6" t="n">
        <v>5446.434815999999</v>
      </c>
      <c r="O15" s="6" t="n">
        <v>6535.721779199998</v>
      </c>
      <c r="P15" s="6" t="n">
        <v>7842.866135039997</v>
      </c>
      <c r="Q15" s="6" t="n">
        <v>9411.439362047997</v>
      </c>
      <c r="R15" s="9">
        <f>SUM(H15:Q15)</f>
        <v/>
      </c>
      <c r="S15" s="8" t="inlineStr">
        <is>
          <t>$100 monthly participation fee</t>
        </is>
      </c>
    </row>
    <row r="16">
      <c r="A16" s="5" t="inlineStr">
        <is>
          <t>Network Services</t>
        </is>
      </c>
      <c r="B16" s="5" t="inlineStr">
        <is>
          <t>Infrastructure</t>
        </is>
      </c>
      <c r="C16" s="5" t="inlineStr">
        <is>
          <t>Monthly F</t>
        </is>
      </c>
      <c r="D16" s="6" t="n">
        <v>2088</v>
      </c>
      <c r="E16" s="7" t="n">
        <v>0</v>
      </c>
      <c r="F16" s="8" t="inlineStr"/>
      <c r="G16" s="6" t="n">
        <v>7905</v>
      </c>
      <c r="H16" s="6" t="n">
        <v>25056</v>
      </c>
      <c r="I16" s="6" t="n">
        <v>30067.2</v>
      </c>
      <c r="J16" s="6" t="n">
        <v>36080.64</v>
      </c>
      <c r="K16" s="6" t="n">
        <v>43296.768</v>
      </c>
      <c r="L16" s="6" t="n">
        <v>51956.1216</v>
      </c>
      <c r="M16" s="6" t="n">
        <v>62347.34591999999</v>
      </c>
      <c r="N16" s="6" t="n">
        <v>74816.81510399998</v>
      </c>
      <c r="O16" s="6" t="n">
        <v>89780.17812479998</v>
      </c>
      <c r="P16" s="6" t="n">
        <v>107736.21374976</v>
      </c>
      <c r="Q16" s="6" t="n">
        <v>129283.456499712</v>
      </c>
      <c r="R16" s="9">
        <f>SUM(H16:Q16)</f>
        <v/>
      </c>
      <c r="S16" s="8" t="inlineStr">
        <is>
          <t>Connectivity to FIS Data Center</t>
        </is>
      </c>
    </row>
    <row r="17">
      <c r="A17" s="5" t="inlineStr">
        <is>
          <t>SmartSign</t>
        </is>
      </c>
      <c r="B17" s="5" t="inlineStr">
        <is>
          <t>Digital Services</t>
        </is>
      </c>
      <c r="C17" s="5" t="inlineStr">
        <is>
          <t>Monthly F</t>
        </is>
      </c>
      <c r="D17" s="6" t="n">
        <v>478</v>
      </c>
      <c r="E17" s="7" t="n">
        <v>0</v>
      </c>
      <c r="F17" s="8" t="inlineStr"/>
      <c r="G17" s="6" t="n">
        <v>15000</v>
      </c>
      <c r="H17" s="6" t="n">
        <v>5736</v>
      </c>
      <c r="I17" s="6" t="n">
        <v>6883.2</v>
      </c>
      <c r="J17" s="6" t="n">
        <v>8259.84</v>
      </c>
      <c r="K17" s="6" t="n">
        <v>9911.807999999999</v>
      </c>
      <c r="L17" s="6" t="n">
        <v>11894.1696</v>
      </c>
      <c r="M17" s="6" t="n">
        <v>14273.00352</v>
      </c>
      <c r="N17" s="6" t="n">
        <v>17127.604224</v>
      </c>
      <c r="O17" s="6" t="n">
        <v>20553.1250688</v>
      </c>
      <c r="P17" s="6" t="n">
        <v>24663.75008255999</v>
      </c>
      <c r="Q17" s="6" t="n">
        <v>29596.50009907199</v>
      </c>
      <c r="R17" s="9">
        <f>SUM(H17:Q17)</f>
        <v/>
      </c>
      <c r="S17" s="8" t="inlineStr">
        <is>
          <t>eSignature solution, asset-based pricing</t>
        </is>
      </c>
    </row>
    <row r="18">
      <c r="A18" s="5" t="inlineStr">
        <is>
          <t>TruStage</t>
        </is>
      </c>
      <c r="B18" s="5" t="inlineStr">
        <is>
          <t>Compliance</t>
        </is>
      </c>
      <c r="C18" s="5" t="inlineStr">
        <is>
          <t>Annual</t>
        </is>
      </c>
      <c r="D18" s="6" t="n">
        <v>1158</v>
      </c>
      <c r="E18" s="7" t="n">
        <v>0</v>
      </c>
      <c r="F18" s="8" t="inlineStr"/>
      <c r="G18" s="6" t="n">
        <v>7650</v>
      </c>
      <c r="H18" s="6" t="n">
        <v>1158</v>
      </c>
      <c r="I18" s="6" t="n">
        <v>1389.6</v>
      </c>
      <c r="J18" s="6" t="n">
        <v>1667.52</v>
      </c>
      <c r="K18" s="6" t="n">
        <v>2001.024</v>
      </c>
      <c r="L18" s="6" t="n">
        <v>2401.2288</v>
      </c>
      <c r="M18" s="6" t="n">
        <v>2881.474559999999</v>
      </c>
      <c r="N18" s="6" t="n">
        <v>3457.769471999999</v>
      </c>
      <c r="O18" s="6" t="n">
        <v>4149.323366399999</v>
      </c>
      <c r="P18" s="6" t="n">
        <v>4979.188039679998</v>
      </c>
      <c r="Q18" s="6" t="n">
        <v>5975.025647615998</v>
      </c>
      <c r="R18" s="9">
        <f>SUM(H18:Q18)</f>
        <v/>
      </c>
      <c r="S18" s="8" t="inlineStr">
        <is>
          <t>New deposit account documents, $13,895 annual fee</t>
        </is>
      </c>
    </row>
    <row r="19">
      <c r="A19" s="5" t="inlineStr">
        <is>
          <t>IBM Cognos (HORIZON 360)</t>
        </is>
      </c>
      <c r="B19" s="5" t="inlineStr">
        <is>
          <t>Reporting</t>
        </is>
      </c>
      <c r="C19" s="5" t="inlineStr">
        <is>
          <t>Monthly F</t>
        </is>
      </c>
      <c r="D19" s="6" t="n">
        <v>1172</v>
      </c>
      <c r="E19" s="7" t="n">
        <v>0</v>
      </c>
      <c r="F19" s="8" t="inlineStr"/>
      <c r="G19" s="6" t="n">
        <v>36698</v>
      </c>
      <c r="H19" s="6" t="n">
        <v>14064</v>
      </c>
      <c r="I19" s="6" t="n">
        <v>16876.8</v>
      </c>
      <c r="J19" s="6" t="n">
        <v>20252.16</v>
      </c>
      <c r="K19" s="6" t="n">
        <v>24302.592</v>
      </c>
      <c r="L19" s="6" t="n">
        <v>29163.1104</v>
      </c>
      <c r="M19" s="6" t="n">
        <v>34995.73247999999</v>
      </c>
      <c r="N19" s="6" t="n">
        <v>41994.87897599999</v>
      </c>
      <c r="O19" s="6" t="n">
        <v>50393.85477119999</v>
      </c>
      <c r="P19" s="6" t="n">
        <v>60472.62572543998</v>
      </c>
      <c r="Q19" s="6" t="n">
        <v>72567.15087052798</v>
      </c>
      <c r="R19" s="9">
        <f>SUM(H19:Q19)</f>
        <v/>
      </c>
      <c r="S19" s="8" t="inlineStr">
        <is>
          <t>Asset-based pricing, includes Web Administrator</t>
        </is>
      </c>
    </row>
    <row r="20">
      <c r="A20" s="5" t="inlineStr">
        <is>
          <t>Subpoena Centre</t>
        </is>
      </c>
      <c r="B20" s="5" t="inlineStr">
        <is>
          <t>Compliance</t>
        </is>
      </c>
      <c r="C20" s="5" t="inlineStr">
        <is>
          <t>Monthly F</t>
        </is>
      </c>
      <c r="D20" s="6" t="n">
        <v>382</v>
      </c>
      <c r="E20" s="7" t="n">
        <v>0</v>
      </c>
      <c r="F20" s="8" t="inlineStr"/>
      <c r="G20" s="6" t="n">
        <v>3399</v>
      </c>
      <c r="H20" s="6" t="n">
        <v>4584</v>
      </c>
      <c r="I20" s="6" t="n">
        <v>5500.8</v>
      </c>
      <c r="J20" s="6" t="n">
        <v>6600.96</v>
      </c>
      <c r="K20" s="6" t="n">
        <v>7921.151999999999</v>
      </c>
      <c r="L20" s="6" t="n">
        <v>9505.382399999999</v>
      </c>
      <c r="M20" s="6" t="n">
        <v>11406.45888</v>
      </c>
      <c r="N20" s="6" t="n">
        <v>13687.750656</v>
      </c>
      <c r="O20" s="6" t="n">
        <v>16425.30078719999</v>
      </c>
      <c r="P20" s="6" t="n">
        <v>19710.36094463999</v>
      </c>
      <c r="Q20" s="6" t="n">
        <v>23652.43313356799</v>
      </c>
      <c r="R20" s="9">
        <f>SUM(H20:Q20)</f>
        <v/>
      </c>
      <c r="S20" s="8" t="inlineStr">
        <is>
          <t>Flat monthly fee</t>
        </is>
      </c>
    </row>
    <row r="21">
      <c r="A21" s="5" t="inlineStr">
        <is>
          <t>Start Card</t>
        </is>
      </c>
      <c r="B21" s="5" t="inlineStr">
        <is>
          <t>Card Services</t>
        </is>
      </c>
      <c r="C21" s="5" t="inlineStr">
        <is>
          <t>Monthly V</t>
        </is>
      </c>
      <c r="D21" s="6" t="n">
        <v>150</v>
      </c>
      <c r="E21" s="7" t="n">
        <v>1.5</v>
      </c>
      <c r="F21" s="8" t="inlineStr">
        <is>
          <t>per card</t>
        </is>
      </c>
      <c r="G21" s="6" t="n">
        <v>2000</v>
      </c>
      <c r="H21" s="6" t="n">
        <v>1800</v>
      </c>
      <c r="I21" s="6" t="n">
        <v>2160</v>
      </c>
      <c r="J21" s="6" t="n">
        <v>2592</v>
      </c>
      <c r="K21" s="6" t="n">
        <v>3110.4</v>
      </c>
      <c r="L21" s="6" t="n">
        <v>3732.48</v>
      </c>
      <c r="M21" s="6" t="n">
        <v>4478.975999999999</v>
      </c>
      <c r="N21" s="6" t="n">
        <v>5374.771199999998</v>
      </c>
      <c r="O21" s="6" t="n">
        <v>6449.725439999998</v>
      </c>
      <c r="P21" s="6" t="n">
        <v>7739.670527999997</v>
      </c>
      <c r="Q21" s="6" t="n">
        <v>9287.604633599998</v>
      </c>
      <c r="R21" s="9">
        <f>SUM(H21:Q21)</f>
        <v/>
      </c>
      <c r="S21" s="8" t="inlineStr">
        <is>
          <t>Temporary debit cards, 100 card minimum</t>
        </is>
      </c>
    </row>
    <row r="22">
      <c r="A22" s="5" t="inlineStr">
        <is>
          <t>FedNOW (Receive Only)</t>
        </is>
      </c>
      <c r="B22" s="5" t="inlineStr">
        <is>
          <t>Payment Processing</t>
        </is>
      </c>
      <c r="C22" s="5" t="inlineStr">
        <is>
          <t>Monthly V</t>
        </is>
      </c>
      <c r="D22" s="6" t="n">
        <v>1500</v>
      </c>
      <c r="E22" s="7" t="n">
        <v>0.02</v>
      </c>
      <c r="F22" s="8" t="inlineStr">
        <is>
          <t>per transaction over 10,000</t>
        </is>
      </c>
      <c r="G22" s="6" t="n">
        <v>9000</v>
      </c>
      <c r="H22" s="6" t="n">
        <v>18000</v>
      </c>
      <c r="I22" s="6" t="n">
        <v>21600</v>
      </c>
      <c r="J22" s="6" t="n">
        <v>25920</v>
      </c>
      <c r="K22" s="6" t="n">
        <v>31104</v>
      </c>
      <c r="L22" s="6" t="n">
        <v>37324.8</v>
      </c>
      <c r="M22" s="6" t="n">
        <v>44789.75999999999</v>
      </c>
      <c r="N22" s="6" t="n">
        <v>53747.71199999998</v>
      </c>
      <c r="O22" s="6" t="n">
        <v>64497.25439999998</v>
      </c>
      <c r="P22" s="6" t="n">
        <v>77396.70527999997</v>
      </c>
      <c r="Q22" s="6" t="n">
        <v>92876.04633599997</v>
      </c>
      <c r="R22" s="9">
        <f>SUM(H22:Q22)</f>
        <v/>
      </c>
      <c r="S22" s="8" t="inlineStr">
        <is>
          <t>Includes 10,000 receive transactions</t>
        </is>
      </c>
    </row>
    <row r="23">
      <c r="A23" s="5" t="inlineStr">
        <is>
          <t>Real-Time Payments (RTP)</t>
        </is>
      </c>
      <c r="B23" s="5" t="inlineStr">
        <is>
          <t>Payment Processing</t>
        </is>
      </c>
      <c r="C23" s="5" t="inlineStr">
        <is>
          <t>Monthly V</t>
        </is>
      </c>
      <c r="D23" s="6" t="n">
        <v>1500</v>
      </c>
      <c r="E23" s="7" t="n">
        <v>0.02</v>
      </c>
      <c r="F23" s="8" t="inlineStr">
        <is>
          <t>per transaction over 10,000</t>
        </is>
      </c>
      <c r="G23" s="6" t="n">
        <v>9000</v>
      </c>
      <c r="H23" s="6" t="n">
        <v>18000</v>
      </c>
      <c r="I23" s="6" t="n">
        <v>21600</v>
      </c>
      <c r="J23" s="6" t="n">
        <v>25920</v>
      </c>
      <c r="K23" s="6" t="n">
        <v>31104</v>
      </c>
      <c r="L23" s="6" t="n">
        <v>37324.8</v>
      </c>
      <c r="M23" s="6" t="n">
        <v>44789.75999999999</v>
      </c>
      <c r="N23" s="6" t="n">
        <v>53747.71199999998</v>
      </c>
      <c r="O23" s="6" t="n">
        <v>64497.25439999998</v>
      </c>
      <c r="P23" s="6" t="n">
        <v>77396.70527999997</v>
      </c>
      <c r="Q23" s="6" t="n">
        <v>92876.04633599997</v>
      </c>
      <c r="R23" s="9">
        <f>SUM(H23:Q23)</f>
        <v/>
      </c>
      <c r="S23" s="8" t="inlineStr">
        <is>
          <t>Receive only, includes 10,000 transactions</t>
        </is>
      </c>
    </row>
    <row r="24">
      <c r="A24" s="5" t="inlineStr">
        <is>
          <t>Zelle</t>
        </is>
      </c>
      <c r="B24" s="5" t="inlineStr">
        <is>
          <t>Digital Payments</t>
        </is>
      </c>
      <c r="C24" s="5" t="inlineStr">
        <is>
          <t>Monthly V</t>
        </is>
      </c>
      <c r="D24" s="6" t="n">
        <v>1325</v>
      </c>
      <c r="E24" s="7" t="n">
        <v>0.65</v>
      </c>
      <c r="F24" s="8" t="inlineStr">
        <is>
          <t>per transaction</t>
        </is>
      </c>
      <c r="G24" s="6" t="n">
        <v>37500</v>
      </c>
      <c r="H24" s="6" t="n">
        <v>15900</v>
      </c>
      <c r="I24" s="6" t="n">
        <v>19080</v>
      </c>
      <c r="J24" s="6" t="n">
        <v>22896</v>
      </c>
      <c r="K24" s="6" t="n">
        <v>27475.2</v>
      </c>
      <c r="L24" s="6" t="n">
        <v>32970.24</v>
      </c>
      <c r="M24" s="6" t="n">
        <v>39564.28799999999</v>
      </c>
      <c r="N24" s="6" t="n">
        <v>47477.14559999999</v>
      </c>
      <c r="O24" s="6" t="n">
        <v>56972.57471999999</v>
      </c>
      <c r="P24" s="6" t="n">
        <v>68367.08966399997</v>
      </c>
      <c r="Q24" s="6" t="n">
        <v>82040.50759679997</v>
      </c>
      <c r="R24" s="9">
        <f>SUM(H24:Q24)</f>
        <v/>
      </c>
      <c r="S24" s="8" t="inlineStr">
        <is>
          <t>Consumer and Small Business, $1,250 participation fees</t>
        </is>
      </c>
    </row>
    <row r="25">
      <c r="A25" s="5" t="inlineStr">
        <is>
          <t>WebConnect and DirectConnect</t>
        </is>
      </c>
      <c r="B25" s="5" t="inlineStr">
        <is>
          <t>Digital Banking</t>
        </is>
      </c>
      <c r="C25" s="5" t="inlineStr">
        <is>
          <t>Monthly F</t>
        </is>
      </c>
      <c r="D25" s="6" t="n">
        <v>859</v>
      </c>
      <c r="E25" s="7" t="n">
        <v>0</v>
      </c>
      <c r="F25" s="8" t="inlineStr"/>
      <c r="G25" s="6" t="n">
        <v>6099</v>
      </c>
      <c r="H25" s="6" t="n">
        <v>10308</v>
      </c>
      <c r="I25" s="6" t="n">
        <v>12369.6</v>
      </c>
      <c r="J25" s="6" t="n">
        <v>14843.52</v>
      </c>
      <c r="K25" s="6" t="n">
        <v>17812.224</v>
      </c>
      <c r="L25" s="6" t="n">
        <v>21374.6688</v>
      </c>
      <c r="M25" s="6" t="n">
        <v>25649.60256</v>
      </c>
      <c r="N25" s="6" t="n">
        <v>30779.52307199999</v>
      </c>
      <c r="O25" s="6" t="n">
        <v>36935.42768639999</v>
      </c>
      <c r="P25" s="6" t="n">
        <v>44322.51322367998</v>
      </c>
      <c r="Q25" s="6" t="n">
        <v>53187.01586841598</v>
      </c>
      <c r="R25" s="9">
        <f>SUM(H25:Q25)</f>
        <v/>
      </c>
      <c r="S25" s="8" t="inlineStr">
        <is>
          <t>Monthly minimum fee</t>
        </is>
      </c>
    </row>
    <row r="26">
      <c r="A26" s="5" t="inlineStr">
        <is>
          <t>Credit Insights</t>
        </is>
      </c>
      <c r="B26" s="5" t="inlineStr">
        <is>
          <t>Analytics</t>
        </is>
      </c>
      <c r="C26" s="5" t="inlineStr">
        <is>
          <t>Monthly F</t>
        </is>
      </c>
      <c r="D26" s="6" t="n">
        <v>1000</v>
      </c>
      <c r="E26" s="7" t="n">
        <v>0</v>
      </c>
      <c r="F26" s="8" t="inlineStr"/>
      <c r="G26" s="6" t="n">
        <v>5000</v>
      </c>
      <c r="H26" s="6" t="n">
        <v>12000</v>
      </c>
      <c r="I26" s="6" t="n">
        <v>14400</v>
      </c>
      <c r="J26" s="6" t="n">
        <v>17280</v>
      </c>
      <c r="K26" s="6" t="n">
        <v>20736</v>
      </c>
      <c r="L26" s="6" t="n">
        <v>24883.2</v>
      </c>
      <c r="M26" s="6" t="n">
        <v>29859.83999999999</v>
      </c>
      <c r="N26" s="6" t="n">
        <v>35831.80799999999</v>
      </c>
      <c r="O26" s="6" t="n">
        <v>42998.16959999999</v>
      </c>
      <c r="P26" s="6" t="n">
        <v>51597.80351999998</v>
      </c>
      <c r="Q26" s="6" t="n">
        <v>61917.36422399998</v>
      </c>
      <c r="R26" s="9">
        <f>SUM(H26:Q26)</f>
        <v/>
      </c>
      <c r="S26" s="8" t="inlineStr">
        <is>
          <t>Monthly minimum fee</t>
        </is>
      </c>
    </row>
    <row r="27">
      <c r="A27" s="5" t="inlineStr">
        <is>
          <t>Collaboration Hub</t>
        </is>
      </c>
      <c r="B27" s="5" t="inlineStr">
        <is>
          <t>Collaboration</t>
        </is>
      </c>
      <c r="C27" s="5" t="inlineStr">
        <is>
          <t>Monthly F</t>
        </is>
      </c>
      <c r="D27" s="6" t="n">
        <v>3300</v>
      </c>
      <c r="E27" s="7" t="n">
        <v>0</v>
      </c>
      <c r="F27" s="8" t="inlineStr"/>
      <c r="G27" s="6" t="n">
        <v>16134</v>
      </c>
      <c r="H27" s="6" t="n">
        <v>39600</v>
      </c>
      <c r="I27" s="6" t="n">
        <v>47520</v>
      </c>
      <c r="J27" s="6" t="n">
        <v>57024</v>
      </c>
      <c r="K27" s="6" t="n">
        <v>68428.79999999999</v>
      </c>
      <c r="L27" s="6" t="n">
        <v>82114.56</v>
      </c>
      <c r="M27" s="6" t="n">
        <v>98537.47199999998</v>
      </c>
      <c r="N27" s="6" t="n">
        <v>118244.9664</v>
      </c>
      <c r="O27" s="6" t="n">
        <v>141893.95968</v>
      </c>
      <c r="P27" s="6" t="n">
        <v>170272.7516159999</v>
      </c>
      <c r="Q27" s="6" t="n">
        <v>204327.3019391999</v>
      </c>
      <c r="R27" s="9">
        <f>SUM(H27:Q27)</f>
        <v/>
      </c>
      <c r="S27" s="8" t="inlineStr">
        <is>
          <t>Up to 10 users</t>
        </is>
      </c>
    </row>
    <row r="28">
      <c r="A28" s="5" t="inlineStr">
        <is>
          <t>AvidAscend</t>
        </is>
      </c>
      <c r="B28" s="5" t="inlineStr">
        <is>
          <t>Financial Management</t>
        </is>
      </c>
      <c r="C28" s="5" t="inlineStr">
        <is>
          <t>Monthly F</t>
        </is>
      </c>
      <c r="D28" s="6" t="n">
        <v>1127</v>
      </c>
      <c r="E28" s="7" t="n">
        <v>0</v>
      </c>
      <c r="F28" s="8" t="inlineStr"/>
      <c r="G28" s="6" t="n">
        <v>5044</v>
      </c>
      <c r="H28" s="6" t="n">
        <v>13524</v>
      </c>
      <c r="I28" s="6" t="n">
        <v>16228.8</v>
      </c>
      <c r="J28" s="6" t="n">
        <v>19474.56</v>
      </c>
      <c r="K28" s="6" t="n">
        <v>23369.472</v>
      </c>
      <c r="L28" s="6" t="n">
        <v>28043.3664</v>
      </c>
      <c r="M28" s="6" t="n">
        <v>33652.03967999999</v>
      </c>
      <c r="N28" s="6" t="n">
        <v>40382.44761599999</v>
      </c>
      <c r="O28" s="6" t="n">
        <v>48458.93713919999</v>
      </c>
      <c r="P28" s="6" t="n">
        <v>58150.72456703998</v>
      </c>
      <c r="Q28" s="6" t="n">
        <v>69780.86948044797</v>
      </c>
      <c r="R28" s="9">
        <f>SUM(H28:Q28)</f>
        <v/>
      </c>
      <c r="S28" s="8" t="inlineStr">
        <is>
          <t>Accounts Payable, Fixed Assets, and Prepaids</t>
        </is>
      </c>
    </row>
    <row r="29">
      <c r="A29" s="5" t="n"/>
      <c r="B29" s="5" t="n"/>
      <c r="C29" s="5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</row>
    <row r="30">
      <c r="A30" s="5" t="n"/>
      <c r="B30" s="5" t="n"/>
      <c r="C30" s="5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</row>
    <row r="31">
      <c r="A31" s="10" t="inlineStr">
        <is>
          <t>TOTAL COSTS</t>
        </is>
      </c>
      <c r="B31" s="5" t="n"/>
      <c r="C31" s="5" t="n"/>
      <c r="D31" s="8" t="n"/>
      <c r="E31" s="8" t="n"/>
      <c r="F31" s="8" t="n"/>
      <c r="G31" s="8" t="n"/>
      <c r="H31" s="11">
        <f>SUM(H7:H29)</f>
        <v/>
      </c>
      <c r="I31" s="11">
        <f>SUM(I7:I29)</f>
        <v/>
      </c>
      <c r="J31" s="11">
        <f>SUM(J7:J29)</f>
        <v/>
      </c>
      <c r="K31" s="11">
        <f>SUM(K7:K29)</f>
        <v/>
      </c>
      <c r="L31" s="11">
        <f>SUM(L7:L29)</f>
        <v/>
      </c>
      <c r="M31" s="11">
        <f>SUM(M7:M29)</f>
        <v/>
      </c>
      <c r="N31" s="11">
        <f>SUM(N7:N29)</f>
        <v/>
      </c>
      <c r="O31" s="11">
        <f>SUM(O7:O29)</f>
        <v/>
      </c>
      <c r="P31" s="11">
        <f>SUM(P7:P29)</f>
        <v/>
      </c>
      <c r="Q31" s="11">
        <f>SUM(Q7:Q29)</f>
        <v/>
      </c>
      <c r="R31" s="12">
        <f>SUM(R7:R29)</f>
        <v/>
      </c>
      <c r="S31" s="8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2026-01-13T21:35:44Z</dcterms:created>
  <dcterms:modified xmlns:dcterms="http://purl.org/dc/terms/" xmlns:xsi="http://www.w3.org/2001/XMLSchema-instance" xsi:type="dcterms:W3CDTF">2026-01-13T21:35:44Z</dcterms:modified>
</cp:coreProperties>
</file>