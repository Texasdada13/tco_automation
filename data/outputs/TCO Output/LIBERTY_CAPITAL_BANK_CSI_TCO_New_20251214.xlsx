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Years 1-7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8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10" fontId="0" fillId="0" borderId="0" pivotButton="0" quotePrefix="0" xfId="0"/>
    <xf numFmtId="0" fontId="3" fillId="2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0" fontId="4" fillId="3" borderId="0" pivotButton="0" quotePrefix="0" xfId="0"/>
    <xf numFmtId="0" fontId="3" fillId="2" borderId="1" applyAlignment="1" pivotButton="0" quotePrefix="0" xfId="0">
      <alignment horizontal="center"/>
    </xf>
    <xf numFmtId="164" fontId="0" fillId="0" borderId="0" pivotButton="0" quotePrefix="0" xfId="0"/>
    <xf numFmtId="3" fontId="0" fillId="0" borderId="0" pivotButton="0" quotePrefix="0" xfId="0"/>
    <xf numFmtId="0" fontId="6" fillId="0" borderId="0" pivotButton="0" quotePrefix="0" xfId="0"/>
    <xf numFmtId="164" fontId="6" fillId="0" borderId="1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20" customWidth="1" min="4" max="4"/>
    <col width="12" customWidth="1" min="5" max="5"/>
    <col width="10" customWidth="1" min="6" max="6"/>
    <col width="15" customWidth="1" min="7" max="7"/>
    <col width="18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8" customWidth="1" min="18" max="18"/>
    <col width="12" customWidth="1" min="19" max="19"/>
    <col width="30" customWidth="1" min="20" max="20"/>
  </cols>
  <sheetData>
    <row r="1">
      <c r="A1" s="5" t="inlineStr">
        <is>
          <t>Row ID</t>
        </is>
      </c>
      <c r="B1" s="5" t="inlineStr">
        <is>
          <t>Fee Type</t>
        </is>
      </c>
      <c r="C1" s="5" t="inlineStr">
        <is>
          <t>Solution Name</t>
        </is>
      </c>
      <c r="D1" s="5" t="inlineStr">
        <is>
          <t>Category</t>
        </is>
      </c>
      <c r="E1" s="5" t="inlineStr">
        <is>
          <t>Third Party</t>
        </is>
      </c>
      <c r="F1" s="5" t="inlineStr">
        <is>
          <t>Optional</t>
        </is>
      </c>
      <c r="G1" s="5" t="inlineStr">
        <is>
          <t>Per Unit Rate</t>
        </is>
      </c>
      <c r="H1" s="5" t="inlineStr">
        <is>
          <t>Unit Description</t>
        </is>
      </c>
      <c r="I1" s="5" t="inlineStr">
        <is>
          <t>Avg Monthly Qty</t>
        </is>
      </c>
      <c r="J1" s="5" t="inlineStr">
        <is>
          <t>Year 1 Monthly</t>
        </is>
      </c>
      <c r="K1" s="5" t="inlineStr">
        <is>
          <t>Year 1 Annual</t>
        </is>
      </c>
      <c r="L1" s="5" t="inlineStr">
        <is>
          <t>Year 2</t>
        </is>
      </c>
      <c r="M1" s="5" t="inlineStr">
        <is>
          <t>Year 3</t>
        </is>
      </c>
      <c r="N1" s="5" t="inlineStr">
        <is>
          <t>Year 4</t>
        </is>
      </c>
      <c r="O1" s="5" t="inlineStr">
        <is>
          <t>Year 5</t>
        </is>
      </c>
      <c r="P1" s="5" t="inlineStr">
        <is>
          <t>Year 6</t>
        </is>
      </c>
      <c r="Q1" s="5" t="inlineStr">
        <is>
          <t>Year 7</t>
        </is>
      </c>
      <c r="R1" s="5" t="inlineStr">
        <is>
          <t>Total 7-Year Cost</t>
        </is>
      </c>
      <c r="S1" s="5" t="inlineStr">
        <is>
          <t>Confidence</t>
        </is>
      </c>
      <c r="T1" s="5" t="inlineStr">
        <is>
          <t>Notes</t>
        </is>
      </c>
    </row>
    <row r="2">
      <c r="A2" t="n">
        <v>8</v>
      </c>
      <c r="B2" t="inlineStr">
        <is>
          <t>Annual</t>
        </is>
      </c>
      <c r="C2" t="inlineStr">
        <is>
          <t>CSI Annual Forms &amp; Statements</t>
        </is>
      </c>
      <c r="D2" t="inlineStr">
        <is>
          <t>Other</t>
        </is>
      </c>
      <c r="E2" t="b">
        <v>0</v>
      </c>
      <c r="F2" t="b">
        <v>0</v>
      </c>
      <c r="G2" s="12" t="n">
        <v>170.33</v>
      </c>
      <c r="H2" t="inlineStr">
        <is>
          <t>per year</t>
        </is>
      </c>
      <c r="J2" s="12">
        <f>IF(B2="Monthly F",G2,IF(B2="Monthly V",G2*I2,IF(B2="Annual",G2/12,0)))</f>
        <v/>
      </c>
      <c r="K2" s="12">
        <f>IF(B2="One-Time",G2,J2*12)</f>
        <v/>
      </c>
      <c r="L2" s="12">
        <f>IF(B2="One-Time",0,K2*(1+Metadata!$B$8))</f>
        <v/>
      </c>
      <c r="M2" s="12">
        <f>IF(B2="One-Time",0,L2*(1+Metadata!$B$8))</f>
        <v/>
      </c>
      <c r="N2" s="12">
        <f>IF(B2="One-Time",0,M2*(1+Metadata!$B$8))</f>
        <v/>
      </c>
      <c r="O2" s="12">
        <f>IF(B2="One-Time",0,N2*(1+Metadata!$B$8))</f>
        <v/>
      </c>
      <c r="P2" s="12">
        <f>IF(B2="One-Time",0,O2*(1+Metadata!$B$8))</f>
        <v/>
      </c>
      <c r="Q2" s="12">
        <f>IF(B2="One-Time",0,P2*(1+Metadata!$B$8))</f>
        <v/>
      </c>
      <c r="R2" s="12">
        <f>SUM(K2:Q2)</f>
        <v/>
      </c>
      <c r="S2" s="3" t="n">
        <v>0.95</v>
      </c>
      <c r="T2" t="inlineStr">
        <is>
          <t>Annual fee of $2,044 converted to monthly</t>
        </is>
      </c>
    </row>
    <row r="3">
      <c r="A3" t="n">
        <v>5</v>
      </c>
      <c r="B3" t="inlineStr">
        <is>
          <t>Monthly F</t>
        </is>
      </c>
      <c r="C3" t="inlineStr">
        <is>
          <t>CSI Fees Included in Organic Growth Based Pricing</t>
        </is>
      </c>
      <c r="D3" t="inlineStr">
        <is>
          <t>Core</t>
        </is>
      </c>
      <c r="E3" t="b">
        <v>0</v>
      </c>
      <c r="F3" t="b">
        <v>0</v>
      </c>
      <c r="G3" s="12" t="n">
        <v>38663</v>
      </c>
      <c r="H3" t="inlineStr">
        <is>
          <t>per month</t>
        </is>
      </c>
      <c r="J3" s="12">
        <f>IF(B3="Monthly F",G3,IF(B3="Monthly V",G3*I3,IF(B3="Annual",G3/12,0)))</f>
        <v/>
      </c>
      <c r="K3" s="12">
        <f>IF(B3="One-Time",G3,J3*12)</f>
        <v/>
      </c>
      <c r="L3" s="12">
        <f>IF(B3="One-Time",0,K3*(1+Metadata!$B$8))</f>
        <v/>
      </c>
      <c r="M3" s="12">
        <f>IF(B3="One-Time",0,L3*(1+Metadata!$B$8))</f>
        <v/>
      </c>
      <c r="N3" s="12">
        <f>IF(B3="One-Time",0,M3*(1+Metadata!$B$8))</f>
        <v/>
      </c>
      <c r="O3" s="12">
        <f>IF(B3="One-Time",0,N3*(1+Metadata!$B$8))</f>
        <v/>
      </c>
      <c r="P3" s="12">
        <f>IF(B3="One-Time",0,O3*(1+Metadata!$B$8))</f>
        <v/>
      </c>
      <c r="Q3" s="12">
        <f>IF(B3="One-Time",0,P3*(1+Metadata!$B$8))</f>
        <v/>
      </c>
      <c r="R3" s="12">
        <f>SUM(K3:Q3)</f>
        <v/>
      </c>
      <c r="S3" s="3" t="n">
        <v>0.95</v>
      </c>
      <c r="T3" t="inlineStr">
        <is>
          <t>Core processing fees</t>
        </is>
      </c>
    </row>
    <row r="4">
      <c r="A4" t="n">
        <v>7</v>
      </c>
      <c r="B4" t="inlineStr">
        <is>
          <t>Monthly F</t>
        </is>
      </c>
      <c r="C4" t="inlineStr">
        <is>
          <t>Monthly Equipment Fees</t>
        </is>
      </c>
      <c r="D4" t="inlineStr">
        <is>
          <t>Item Processing</t>
        </is>
      </c>
      <c r="E4" t="b">
        <v>0</v>
      </c>
      <c r="F4" t="b">
        <v>0</v>
      </c>
      <c r="G4" s="12" t="n">
        <v>250</v>
      </c>
      <c r="H4" t="inlineStr">
        <is>
          <t>per month</t>
        </is>
      </c>
      <c r="J4" s="12">
        <f>IF(B4="Monthly F",G4,IF(B4="Monthly V",G4*I4,IF(B4="Annual",G4/12,0)))</f>
        <v/>
      </c>
      <c r="K4" s="12">
        <f>IF(B4="One-Time",G4,J4*12)</f>
        <v/>
      </c>
      <c r="L4" s="12">
        <f>IF(B4="One-Time",0,K4*(1+Metadata!$B$8))</f>
        <v/>
      </c>
      <c r="M4" s="12">
        <f>IF(B4="One-Time",0,L4*(1+Metadata!$B$8))</f>
        <v/>
      </c>
      <c r="N4" s="12">
        <f>IF(B4="One-Time",0,M4*(1+Metadata!$B$8))</f>
        <v/>
      </c>
      <c r="O4" s="12">
        <f>IF(B4="One-Time",0,N4*(1+Metadata!$B$8))</f>
        <v/>
      </c>
      <c r="P4" s="12">
        <f>IF(B4="One-Time",0,O4*(1+Metadata!$B$8))</f>
        <v/>
      </c>
      <c r="Q4" s="12">
        <f>IF(B4="One-Time",0,P4*(1+Metadata!$B$8))</f>
        <v/>
      </c>
      <c r="R4" s="12">
        <f>SUM(K4:Q4)</f>
        <v/>
      </c>
      <c r="S4" s="3" t="n">
        <v>0.95</v>
      </c>
      <c r="T4" t="inlineStr">
        <is>
          <t>Monthly equipment rental/maintenance</t>
        </is>
      </c>
    </row>
    <row r="5">
      <c r="A5" t="n">
        <v>6</v>
      </c>
      <c r="B5" t="inlineStr">
        <is>
          <t>Monthly F</t>
        </is>
      </c>
      <c r="C5" t="inlineStr">
        <is>
          <t>Other Processing Fees</t>
        </is>
      </c>
      <c r="D5" t="inlineStr">
        <is>
          <t>Other</t>
        </is>
      </c>
      <c r="E5" t="b">
        <v>0</v>
      </c>
      <c r="F5" t="b">
        <v>0</v>
      </c>
      <c r="G5" s="12" t="n">
        <v>12734</v>
      </c>
      <c r="H5" t="inlineStr">
        <is>
          <t>per month</t>
        </is>
      </c>
      <c r="J5" s="12">
        <f>IF(B5="Monthly F",G5,IF(B5="Monthly V",G5*I5,IF(B5="Annual",G5/12,0)))</f>
        <v/>
      </c>
      <c r="K5" s="12">
        <f>IF(B5="One-Time",G5,J5*12)</f>
        <v/>
      </c>
      <c r="L5" s="12">
        <f>IF(B5="One-Time",0,K5*(1+Metadata!$B$8))</f>
        <v/>
      </c>
      <c r="M5" s="12">
        <f>IF(B5="One-Time",0,L5*(1+Metadata!$B$8))</f>
        <v/>
      </c>
      <c r="N5" s="12">
        <f>IF(B5="One-Time",0,M5*(1+Metadata!$B$8))</f>
        <v/>
      </c>
      <c r="O5" s="12">
        <f>IF(B5="One-Time",0,N5*(1+Metadata!$B$8))</f>
        <v/>
      </c>
      <c r="P5" s="12">
        <f>IF(B5="One-Time",0,O5*(1+Metadata!$B$8))</f>
        <v/>
      </c>
      <c r="Q5" s="12">
        <f>IF(B5="One-Time",0,P5*(1+Metadata!$B$8))</f>
        <v/>
      </c>
      <c r="R5" s="12">
        <f>SUM(K5:Q5)</f>
        <v/>
      </c>
      <c r="S5" s="3" t="n">
        <v>0.95</v>
      </c>
      <c r="T5" t="inlineStr">
        <is>
          <t>Additional processing fees</t>
        </is>
      </c>
    </row>
    <row r="6">
      <c r="A6" t="n">
        <v>2</v>
      </c>
      <c r="B6" t="inlineStr">
        <is>
          <t>One-Time</t>
        </is>
      </c>
      <c r="C6" t="inlineStr">
        <is>
          <t>Equipment Fees - Implementation Fee</t>
        </is>
      </c>
      <c r="D6" t="inlineStr">
        <is>
          <t>Item Processing</t>
        </is>
      </c>
      <c r="E6" t="b">
        <v>0</v>
      </c>
      <c r="F6" t="b">
        <v>0</v>
      </c>
      <c r="G6" s="12" t="n">
        <v>76933</v>
      </c>
      <c r="H6" t="inlineStr">
        <is>
          <t>one-time</t>
        </is>
      </c>
      <c r="J6" s="12">
        <f>IF(B6="Monthly F",G6,IF(B6="Monthly V",G6*I6,IF(B6="Annual",G6/12,0)))</f>
        <v/>
      </c>
      <c r="K6" s="12">
        <f>IF(B6="One-Time",G6,J6*12)</f>
        <v/>
      </c>
      <c r="L6" s="12">
        <f>IF(B6="One-Time",0,K6*(1+Metadata!$B$8))</f>
        <v/>
      </c>
      <c r="M6" s="12">
        <f>IF(B6="One-Time",0,L6*(1+Metadata!$B$8))</f>
        <v/>
      </c>
      <c r="N6" s="12">
        <f>IF(B6="One-Time",0,M6*(1+Metadata!$B$8))</f>
        <v/>
      </c>
      <c r="O6" s="12">
        <f>IF(B6="One-Time",0,N6*(1+Metadata!$B$8))</f>
        <v/>
      </c>
      <c r="P6" s="12">
        <f>IF(B6="One-Time",0,O6*(1+Metadata!$B$8))</f>
        <v/>
      </c>
      <c r="Q6" s="12">
        <f>IF(B6="One-Time",0,P6*(1+Metadata!$B$8))</f>
        <v/>
      </c>
      <c r="R6" s="12">
        <f>SUM(K6:Q6)</f>
        <v/>
      </c>
      <c r="S6" s="3" t="n">
        <v>0.95</v>
      </c>
      <c r="T6" t="inlineStr">
        <is>
          <t>Hardware and equipment costs</t>
        </is>
      </c>
    </row>
    <row r="7">
      <c r="A7" t="n">
        <v>1</v>
      </c>
      <c r="B7" t="inlineStr">
        <is>
          <t>One-Time</t>
        </is>
      </c>
      <c r="C7" t="inlineStr">
        <is>
          <t>CSI One-Time Fee - Implementation Fee</t>
        </is>
      </c>
      <c r="D7" t="inlineStr">
        <is>
          <t>Other</t>
        </is>
      </c>
      <c r="E7" t="b">
        <v>0</v>
      </c>
      <c r="F7" t="b">
        <v>0</v>
      </c>
      <c r="G7" s="12" t="n">
        <v>261102</v>
      </c>
      <c r="H7" t="inlineStr">
        <is>
          <t>one-time</t>
        </is>
      </c>
      <c r="J7" s="12">
        <f>IF(B7="Monthly F",G7,IF(B7="Monthly V",G7*I7,IF(B7="Annual",G7/12,0)))</f>
        <v/>
      </c>
      <c r="K7" s="12">
        <f>IF(B7="One-Time",G7,J7*12)</f>
        <v/>
      </c>
      <c r="L7" s="12">
        <f>IF(B7="One-Time",0,K7*(1+Metadata!$B$8))</f>
        <v/>
      </c>
      <c r="M7" s="12">
        <f>IF(B7="One-Time",0,L7*(1+Metadata!$B$8))</f>
        <v/>
      </c>
      <c r="N7" s="12">
        <f>IF(B7="One-Time",0,M7*(1+Metadata!$B$8))</f>
        <v/>
      </c>
      <c r="O7" s="12">
        <f>IF(B7="One-Time",0,N7*(1+Metadata!$B$8))</f>
        <v/>
      </c>
      <c r="P7" s="12">
        <f>IF(B7="One-Time",0,O7*(1+Metadata!$B$8))</f>
        <v/>
      </c>
      <c r="Q7" s="12">
        <f>IF(B7="One-Time",0,P7*(1+Metadata!$B$8))</f>
        <v/>
      </c>
      <c r="R7" s="12">
        <f>SUM(K7:Q7)</f>
        <v/>
      </c>
      <c r="S7" s="3" t="n">
        <v>0.95</v>
      </c>
      <c r="T7" t="inlineStr">
        <is>
          <t>Base implementation fee</t>
        </is>
      </c>
    </row>
    <row r="8">
      <c r="A8" t="n">
        <v>3</v>
      </c>
      <c r="B8" t="inlineStr">
        <is>
          <t>One-Time</t>
        </is>
      </c>
      <c r="C8" t="inlineStr">
        <is>
          <t>Credit for One-Time Fees - Implementation Fee</t>
        </is>
      </c>
      <c r="D8" t="inlineStr">
        <is>
          <t>Other</t>
        </is>
      </c>
      <c r="E8" t="b">
        <v>0</v>
      </c>
      <c r="F8" t="b">
        <v>0</v>
      </c>
      <c r="G8" s="12" t="n">
        <v>-338034</v>
      </c>
      <c r="H8" t="inlineStr">
        <is>
          <t>one-time</t>
        </is>
      </c>
      <c r="J8" s="12">
        <f>IF(B8="Monthly F",G8,IF(B8="Monthly V",G8*I8,IF(B8="Annual",G8/12,0)))</f>
        <v/>
      </c>
      <c r="K8" s="12">
        <f>IF(B8="One-Time",G8,J8*12)</f>
        <v/>
      </c>
      <c r="L8" s="12">
        <f>IF(B8="One-Time",0,K8*(1+Metadata!$B$8))</f>
        <v/>
      </c>
      <c r="M8" s="12">
        <f>IF(B8="One-Time",0,L8*(1+Metadata!$B$8))</f>
        <v/>
      </c>
      <c r="N8" s="12">
        <f>IF(B8="One-Time",0,M8*(1+Metadata!$B$8))</f>
        <v/>
      </c>
      <c r="O8" s="12">
        <f>IF(B8="One-Time",0,N8*(1+Metadata!$B$8))</f>
        <v/>
      </c>
      <c r="P8" s="12">
        <f>IF(B8="One-Time",0,O8*(1+Metadata!$B$8))</f>
        <v/>
      </c>
      <c r="Q8" s="12">
        <f>IF(B8="One-Time",0,P8*(1+Metadata!$B$8))</f>
        <v/>
      </c>
      <c r="R8" s="12">
        <f>SUM(K8:Q8)</f>
        <v/>
      </c>
      <c r="S8" s="3" t="n">
        <v>0.95</v>
      </c>
      <c r="T8" t="inlineStr">
        <is>
          <t>Credit applied to implementation fees</t>
        </is>
      </c>
    </row>
    <row r="9">
      <c r="A9" t="n">
        <v>4</v>
      </c>
      <c r="B9" t="inlineStr">
        <is>
          <t>One-Time</t>
        </is>
      </c>
      <c r="C9" t="inlineStr">
        <is>
          <t>Special Incentive Billing Credit - Implementation Fee</t>
        </is>
      </c>
      <c r="D9" t="inlineStr">
        <is>
          <t>Other</t>
        </is>
      </c>
      <c r="E9" t="b">
        <v>0</v>
      </c>
      <c r="F9" t="b">
        <v>0</v>
      </c>
      <c r="G9" s="12" t="n">
        <v>-375000</v>
      </c>
      <c r="H9" t="inlineStr">
        <is>
          <t>one-time</t>
        </is>
      </c>
      <c r="J9" s="12">
        <f>IF(B9="Monthly F",G9,IF(B9="Monthly V",G9*I9,IF(B9="Annual",G9/12,0)))</f>
        <v/>
      </c>
      <c r="K9" s="12">
        <f>IF(B9="One-Time",G9,J9*12)</f>
        <v/>
      </c>
      <c r="L9" s="12">
        <f>IF(B9="One-Time",0,K9*(1+Metadata!$B$8))</f>
        <v/>
      </c>
      <c r="M9" s="12">
        <f>IF(B9="One-Time",0,L9*(1+Metadata!$B$8))</f>
        <v/>
      </c>
      <c r="N9" s="12">
        <f>IF(B9="One-Time",0,M9*(1+Metadata!$B$8))</f>
        <v/>
      </c>
      <c r="O9" s="12">
        <f>IF(B9="One-Time",0,N9*(1+Metadata!$B$8))</f>
        <v/>
      </c>
      <c r="P9" s="12">
        <f>IF(B9="One-Time",0,O9*(1+Metadata!$B$8))</f>
        <v/>
      </c>
      <c r="Q9" s="12">
        <f>IF(B9="One-Time",0,P9*(1+Metadata!$B$8))</f>
        <v/>
      </c>
      <c r="R9" s="12">
        <f>SUM(K9:Q9)</f>
        <v/>
      </c>
      <c r="S9" s="3" t="n">
        <v>0.95</v>
      </c>
      <c r="T9" t="inlineStr">
        <is>
          <t>Special incentive credit</t>
        </is>
      </c>
    </row>
    <row r="10">
      <c r="A10" t="n">
        <v>17</v>
      </c>
      <c r="B10" t="inlineStr">
        <is>
          <t>Monthly F</t>
        </is>
      </c>
      <c r="C10" t="inlineStr">
        <is>
          <t>PLUS Network Sponsorship</t>
        </is>
      </c>
      <c r="D10" t="inlineStr">
        <is>
          <t>EFT</t>
        </is>
      </c>
      <c r="E10" t="b">
        <v>0</v>
      </c>
      <c r="F10" t="b">
        <v>1</v>
      </c>
      <c r="G10" s="12" t="n">
        <v>50</v>
      </c>
      <c r="H10" t="inlineStr">
        <is>
          <t>per month</t>
        </is>
      </c>
      <c r="J10" s="12">
        <f>IF(B10="Monthly F",G10,IF(B10="Monthly V",G10*I10,IF(B10="Annual",G10/12,0)))</f>
        <v/>
      </c>
      <c r="K10" s="12">
        <f>IF(B10="One-Time",G10,J10*12)</f>
        <v/>
      </c>
      <c r="L10" s="12">
        <f>IF(B10="One-Time",0,K10*(1+Metadata!$B$8))</f>
        <v/>
      </c>
      <c r="M10" s="12">
        <f>IF(B10="One-Time",0,L10*(1+Metadata!$B$8))</f>
        <v/>
      </c>
      <c r="N10" s="12">
        <f>IF(B10="One-Time",0,M10*(1+Metadata!$B$8))</f>
        <v/>
      </c>
      <c r="O10" s="12">
        <f>IF(B10="One-Time",0,N10*(1+Metadata!$B$8))</f>
        <v/>
      </c>
      <c r="P10" s="12">
        <f>IF(B10="One-Time",0,O10*(1+Metadata!$B$8))</f>
        <v/>
      </c>
      <c r="Q10" s="12">
        <f>IF(B10="One-Time",0,P10*(1+Metadata!$B$8))</f>
        <v/>
      </c>
      <c r="R10" s="12">
        <f>SUM(K10:Q10)</f>
        <v/>
      </c>
      <c r="S10" s="3" t="n">
        <v>0.9</v>
      </c>
      <c r="T10" t="inlineStr">
        <is>
          <t>Network sponsorship fee</t>
        </is>
      </c>
    </row>
    <row r="11">
      <c r="A11" t="n">
        <v>36</v>
      </c>
      <c r="B11" t="inlineStr">
        <is>
          <t>Monthly F</t>
        </is>
      </c>
      <c r="C11" t="inlineStr">
        <is>
          <t>Call Report File Download (SmartCall)</t>
        </is>
      </c>
      <c r="D11" t="inlineStr">
        <is>
          <t>Other</t>
        </is>
      </c>
      <c r="E11" t="b">
        <v>0</v>
      </c>
      <c r="F11" t="b">
        <v>1</v>
      </c>
      <c r="G11" s="12" t="n">
        <v>100</v>
      </c>
      <c r="H11" t="inlineStr">
        <is>
          <t>per month</t>
        </is>
      </c>
      <c r="J11" s="12">
        <f>IF(B11="Monthly F",G11,IF(B11="Monthly V",G11*I11,IF(B11="Annual",G11/12,0)))</f>
        <v/>
      </c>
      <c r="K11" s="12">
        <f>IF(B11="One-Time",G11,J11*12)</f>
        <v/>
      </c>
      <c r="L11" s="12">
        <f>IF(B11="One-Time",0,K11*(1+Metadata!$B$8))</f>
        <v/>
      </c>
      <c r="M11" s="12">
        <f>IF(B11="One-Time",0,L11*(1+Metadata!$B$8))</f>
        <v/>
      </c>
      <c r="N11" s="12">
        <f>IF(B11="One-Time",0,M11*(1+Metadata!$B$8))</f>
        <v/>
      </c>
      <c r="O11" s="12">
        <f>IF(B11="One-Time",0,N11*(1+Metadata!$B$8))</f>
        <v/>
      </c>
      <c r="P11" s="12">
        <f>IF(B11="One-Time",0,O11*(1+Metadata!$B$8))</f>
        <v/>
      </c>
      <c r="Q11" s="12">
        <f>IF(B11="One-Time",0,P11*(1+Metadata!$B$8))</f>
        <v/>
      </c>
      <c r="R11" s="12">
        <f>SUM(K11:Q11)</f>
        <v/>
      </c>
      <c r="S11" s="3" t="n">
        <v>0.9</v>
      </c>
      <c r="T11" t="inlineStr">
        <is>
          <t>Fixed monthly fee</t>
        </is>
      </c>
    </row>
    <row r="12">
      <c r="A12" t="n">
        <v>40</v>
      </c>
      <c r="B12" t="inlineStr">
        <is>
          <t>Monthly F</t>
        </is>
      </c>
      <c r="C12" t="inlineStr">
        <is>
          <t>WatchDog CIP</t>
        </is>
      </c>
      <c r="D12" t="inlineStr">
        <is>
          <t>Risk, Fraud &amp; Compliance</t>
        </is>
      </c>
      <c r="E12" t="b">
        <v>0</v>
      </c>
      <c r="F12" t="b">
        <v>1</v>
      </c>
      <c r="G12" s="12" t="n">
        <v>249.58</v>
      </c>
      <c r="H12" t="inlineStr">
        <is>
          <t>per month</t>
        </is>
      </c>
      <c r="J12" s="12">
        <f>IF(B12="Monthly F",G12,IF(B12="Monthly V",G12*I12,IF(B12="Annual",G12/12,0)))</f>
        <v/>
      </c>
      <c r="K12" s="12">
        <f>IF(B12="One-Time",G12,J12*12)</f>
        <v/>
      </c>
      <c r="L12" s="12">
        <f>IF(B12="One-Time",0,K12*(1+Metadata!$B$8))</f>
        <v/>
      </c>
      <c r="M12" s="12">
        <f>IF(B12="One-Time",0,L12*(1+Metadata!$B$8))</f>
        <v/>
      </c>
      <c r="N12" s="12">
        <f>IF(B12="One-Time",0,M12*(1+Metadata!$B$8))</f>
        <v/>
      </c>
      <c r="O12" s="12">
        <f>IF(B12="One-Time",0,N12*(1+Metadata!$B$8))</f>
        <v/>
      </c>
      <c r="P12" s="12">
        <f>IF(B12="One-Time",0,O12*(1+Metadata!$B$8))</f>
        <v/>
      </c>
      <c r="Q12" s="12">
        <f>IF(B12="One-Time",0,P12*(1+Metadata!$B$8))</f>
        <v/>
      </c>
      <c r="R12" s="12">
        <f>SUM(K12:Q12)</f>
        <v/>
      </c>
      <c r="S12" s="3" t="n">
        <v>0.9</v>
      </c>
      <c r="T12" t="inlineStr">
        <is>
          <t>Annual license fee shown monthly</t>
        </is>
      </c>
    </row>
    <row r="13">
      <c r="A13" t="n">
        <v>31</v>
      </c>
      <c r="B13" t="inlineStr">
        <is>
          <t>Monthly V</t>
        </is>
      </c>
      <c r="C13" t="inlineStr">
        <is>
          <t>Card Alerts</t>
        </is>
      </c>
      <c r="D13" t="inlineStr">
        <is>
          <t>Digital</t>
        </is>
      </c>
      <c r="E13" t="b">
        <v>0</v>
      </c>
      <c r="F13" t="b">
        <v>1</v>
      </c>
      <c r="G13" s="12" t="n">
        <v>778</v>
      </c>
      <c r="H13" t="inlineStr">
        <is>
          <t>per alert</t>
        </is>
      </c>
      <c r="I13" s="13" t="n">
        <v>1</v>
      </c>
      <c r="J13" s="12">
        <f>IF(B13="Monthly F",G13,IF(B13="Monthly V",G13*I13,IF(B13="Annual",G13/12,0)))</f>
        <v/>
      </c>
      <c r="K13" s="12">
        <f>IF(B13="One-Time",G13,J13*12)</f>
        <v/>
      </c>
      <c r="L13" s="12">
        <f>IF(B13="One-Time",0,K13*(1+Metadata!$B$8))</f>
        <v/>
      </c>
      <c r="M13" s="12">
        <f>IF(B13="One-Time",0,L13*(1+Metadata!$B$8))</f>
        <v/>
      </c>
      <c r="N13" s="12">
        <f>IF(B13="One-Time",0,M13*(1+Metadata!$B$8))</f>
        <v/>
      </c>
      <c r="O13" s="12">
        <f>IF(B13="One-Time",0,N13*(1+Metadata!$B$8))</f>
        <v/>
      </c>
      <c r="P13" s="12">
        <f>IF(B13="One-Time",0,O13*(1+Metadata!$B$8))</f>
        <v/>
      </c>
      <c r="Q13" s="12">
        <f>IF(B13="One-Time",0,P13*(1+Metadata!$B$8))</f>
        <v/>
      </c>
      <c r="R13" s="12">
        <f>SUM(K13:Q13)</f>
        <v/>
      </c>
      <c r="S13" s="3" t="n">
        <v>0.85</v>
      </c>
      <c r="T13" t="inlineStr">
        <is>
          <t>1,416 alerts at $0.55 per alert</t>
        </is>
      </c>
    </row>
    <row r="14">
      <c r="A14" t="n">
        <v>35</v>
      </c>
      <c r="B14" t="inlineStr">
        <is>
          <t>Monthly V</t>
        </is>
      </c>
      <c r="C14" t="inlineStr">
        <is>
          <t>Digital Chat</t>
        </is>
      </c>
      <c r="D14" t="inlineStr">
        <is>
          <t>Digital</t>
        </is>
      </c>
      <c r="E14" t="b">
        <v>0</v>
      </c>
      <c r="F14" t="b">
        <v>1</v>
      </c>
      <c r="G14" s="12" t="n">
        <v>12</v>
      </c>
      <c r="H14" t="inlineStr">
        <is>
          <t>per chat</t>
        </is>
      </c>
      <c r="I14" s="13" t="n">
        <v>1</v>
      </c>
      <c r="J14" s="12">
        <f>IF(B14="Monthly F",G14,IF(B14="Monthly V",G14*I14,IF(B14="Annual",G14/12,0)))</f>
        <v/>
      </c>
      <c r="K14" s="12">
        <f>IF(B14="One-Time",G14,J14*12)</f>
        <v/>
      </c>
      <c r="L14" s="12">
        <f>IF(B14="One-Time",0,K14*(1+Metadata!$B$8))</f>
        <v/>
      </c>
      <c r="M14" s="12">
        <f>IF(B14="One-Time",0,L14*(1+Metadata!$B$8))</f>
        <v/>
      </c>
      <c r="N14" s="12">
        <f>IF(B14="One-Time",0,M14*(1+Metadata!$B$8))</f>
        <v/>
      </c>
      <c r="O14" s="12">
        <f>IF(B14="One-Time",0,N14*(1+Metadata!$B$8))</f>
        <v/>
      </c>
      <c r="P14" s="12">
        <f>IF(B14="One-Time",0,O14*(1+Metadata!$B$8))</f>
        <v/>
      </c>
      <c r="Q14" s="12">
        <f>IF(B14="One-Time",0,P14*(1+Metadata!$B$8))</f>
        <v/>
      </c>
      <c r="R14" s="12">
        <f>SUM(K14:Q14)</f>
        <v/>
      </c>
      <c r="S14" s="3" t="n">
        <v>0.85</v>
      </c>
      <c r="T14" t="inlineStr">
        <is>
          <t>121 chats at $0.10 per chat</t>
        </is>
      </c>
    </row>
    <row r="15">
      <c r="A15" t="n">
        <v>32</v>
      </c>
      <c r="B15" t="inlineStr">
        <is>
          <t>Monthly V</t>
        </is>
      </c>
      <c r="C15" t="inlineStr">
        <is>
          <t>Digital Wallet - Push Provisioning</t>
        </is>
      </c>
      <c r="D15" t="inlineStr">
        <is>
          <t>Digital</t>
        </is>
      </c>
      <c r="E15" t="b">
        <v>0</v>
      </c>
      <c r="F15" t="b">
        <v>1</v>
      </c>
      <c r="G15" s="12" t="n">
        <v>120</v>
      </c>
      <c r="H15" t="inlineStr">
        <is>
          <t>per provisioning</t>
        </is>
      </c>
      <c r="I15" s="13" t="n">
        <v>1</v>
      </c>
      <c r="J15" s="12">
        <f>IF(B15="Monthly F",G15,IF(B15="Monthly V",G15*I15,IF(B15="Annual",G15/12,0)))</f>
        <v/>
      </c>
      <c r="K15" s="12">
        <f>IF(B15="One-Time",G15,J15*12)</f>
        <v/>
      </c>
      <c r="L15" s="12">
        <f>IF(B15="One-Time",0,K15*(1+Metadata!$B$8))</f>
        <v/>
      </c>
      <c r="M15" s="12">
        <f>IF(B15="One-Time",0,L15*(1+Metadata!$B$8))</f>
        <v/>
      </c>
      <c r="N15" s="12">
        <f>IF(B15="One-Time",0,M15*(1+Metadata!$B$8))</f>
        <v/>
      </c>
      <c r="O15" s="12">
        <f>IF(B15="One-Time",0,N15*(1+Metadata!$B$8))</f>
        <v/>
      </c>
      <c r="P15" s="12">
        <f>IF(B15="One-Time",0,O15*(1+Metadata!$B$8))</f>
        <v/>
      </c>
      <c r="Q15" s="12">
        <f>IF(B15="One-Time",0,P15*(1+Metadata!$B$8))</f>
        <v/>
      </c>
      <c r="R15" s="12">
        <f>SUM(K15:Q15)</f>
        <v/>
      </c>
      <c r="S15" s="3" t="n">
        <v>0.85</v>
      </c>
      <c r="T15" t="inlineStr">
        <is>
          <t>600 provisionings at $0.20 per provisioning</t>
        </is>
      </c>
    </row>
    <row r="16">
      <c r="A16" t="n">
        <v>27</v>
      </c>
      <c r="B16" t="inlineStr">
        <is>
          <t>Monthly V</t>
        </is>
      </c>
      <c r="C16" t="inlineStr">
        <is>
          <t>Mobile Banking Push Notifications</t>
        </is>
      </c>
      <c r="D16" t="inlineStr">
        <is>
          <t>Digital</t>
        </is>
      </c>
      <c r="E16" t="b">
        <v>0</v>
      </c>
      <c r="F16" t="b">
        <v>1</v>
      </c>
      <c r="G16" s="12" t="n">
        <v>161</v>
      </c>
      <c r="H16" t="inlineStr">
        <is>
          <t>per notification</t>
        </is>
      </c>
      <c r="I16" s="13" t="n">
        <v>1</v>
      </c>
      <c r="J16" s="12">
        <f>IF(B16="Monthly F",G16,IF(B16="Monthly V",G16*I16,IF(B16="Annual",G16/12,0)))</f>
        <v/>
      </c>
      <c r="K16" s="12">
        <f>IF(B16="One-Time",G16,J16*12)</f>
        <v/>
      </c>
      <c r="L16" s="12">
        <f>IF(B16="One-Time",0,K16*(1+Metadata!$B$8))</f>
        <v/>
      </c>
      <c r="M16" s="12">
        <f>IF(B16="One-Time",0,L16*(1+Metadata!$B$8))</f>
        <v/>
      </c>
      <c r="N16" s="12">
        <f>IF(B16="One-Time",0,M16*(1+Metadata!$B$8))</f>
        <v/>
      </c>
      <c r="O16" s="12">
        <f>IF(B16="One-Time",0,N16*(1+Metadata!$B$8))</f>
        <v/>
      </c>
      <c r="P16" s="12">
        <f>IF(B16="One-Time",0,O16*(1+Metadata!$B$8))</f>
        <v/>
      </c>
      <c r="Q16" s="12">
        <f>IF(B16="One-Time",0,P16*(1+Metadata!$B$8))</f>
        <v/>
      </c>
      <c r="R16" s="12">
        <f>SUM(K16:Q16)</f>
        <v/>
      </c>
      <c r="S16" s="3" t="n">
        <v>0.85</v>
      </c>
      <c r="T16" t="inlineStr">
        <is>
          <t>3,223 notifications at $0.05 + $100 base fee</t>
        </is>
      </c>
    </row>
    <row r="17">
      <c r="A17" t="n">
        <v>29</v>
      </c>
      <c r="B17" t="inlineStr">
        <is>
          <t>Monthly V</t>
        </is>
      </c>
      <c r="C17" t="inlineStr">
        <is>
          <t>Mobile Deposit</t>
        </is>
      </c>
      <c r="D17" t="inlineStr">
        <is>
          <t>Digital</t>
        </is>
      </c>
      <c r="E17" t="b">
        <v>0</v>
      </c>
      <c r="F17" t="b">
        <v>1</v>
      </c>
      <c r="G17" s="12" t="n">
        <v>525</v>
      </c>
      <c r="H17" t="inlineStr">
        <is>
          <t>per transaction</t>
        </is>
      </c>
      <c r="I17" s="13" t="n">
        <v>1</v>
      </c>
      <c r="J17" s="12">
        <f>IF(B17="Monthly F",G17,IF(B17="Monthly V",G17*I17,IF(B17="Annual",G17/12,0)))</f>
        <v/>
      </c>
      <c r="K17" s="12">
        <f>IF(B17="One-Time",G17,J17*12)</f>
        <v/>
      </c>
      <c r="L17" s="12">
        <f>IF(B17="One-Time",0,K17*(1+Metadata!$B$8))</f>
        <v/>
      </c>
      <c r="M17" s="12">
        <f>IF(B17="One-Time",0,L17*(1+Metadata!$B$8))</f>
        <v/>
      </c>
      <c r="N17" s="12">
        <f>IF(B17="One-Time",0,M17*(1+Metadata!$B$8))</f>
        <v/>
      </c>
      <c r="O17" s="12">
        <f>IF(B17="One-Time",0,N17*(1+Metadata!$B$8))</f>
        <v/>
      </c>
      <c r="P17" s="12">
        <f>IF(B17="One-Time",0,O17*(1+Metadata!$B$8))</f>
        <v/>
      </c>
      <c r="Q17" s="12">
        <f>IF(B17="One-Time",0,P17*(1+Metadata!$B$8))</f>
        <v/>
      </c>
      <c r="R17" s="12">
        <f>SUM(K17:Q17)</f>
        <v/>
      </c>
      <c r="S17" s="3" t="n">
        <v>0.85</v>
      </c>
      <c r="T17" t="inlineStr">
        <is>
          <t>500 transactions at $0.01 + $525 base fee</t>
        </is>
      </c>
    </row>
    <row r="18">
      <c r="A18" t="n">
        <v>23</v>
      </c>
      <c r="B18" t="inlineStr">
        <is>
          <t>Monthly V</t>
        </is>
      </c>
      <c r="C18" t="inlineStr">
        <is>
          <t>Out of Band Authentication (OOBA)</t>
        </is>
      </c>
      <c r="D18" t="inlineStr">
        <is>
          <t>Digital</t>
        </is>
      </c>
      <c r="E18" t="b">
        <v>0</v>
      </c>
      <c r="F18" t="b">
        <v>1</v>
      </c>
      <c r="G18" s="12" t="n">
        <v>101</v>
      </c>
      <c r="H18" t="inlineStr">
        <is>
          <t>per authentication</t>
        </is>
      </c>
      <c r="I18" s="13" t="n">
        <v>1</v>
      </c>
      <c r="J18" s="12">
        <f>IF(B18="Monthly F",G18,IF(B18="Monthly V",G18*I18,IF(B18="Annual",G18/12,0)))</f>
        <v/>
      </c>
      <c r="K18" s="12">
        <f>IF(B18="One-Time",G18,J18*12)</f>
        <v/>
      </c>
      <c r="L18" s="12">
        <f>IF(B18="One-Time",0,K18*(1+Metadata!$B$8))</f>
        <v/>
      </c>
      <c r="M18" s="12">
        <f>IF(B18="One-Time",0,L18*(1+Metadata!$B$8))</f>
        <v/>
      </c>
      <c r="N18" s="12">
        <f>IF(B18="One-Time",0,M18*(1+Metadata!$B$8))</f>
        <v/>
      </c>
      <c r="O18" s="12">
        <f>IF(B18="One-Time",0,N18*(1+Metadata!$B$8))</f>
        <v/>
      </c>
      <c r="P18" s="12">
        <f>IF(B18="One-Time",0,O18*(1+Metadata!$B$8))</f>
        <v/>
      </c>
      <c r="Q18" s="12">
        <f>IF(B18="One-Time",0,P18*(1+Metadata!$B$8))</f>
        <v/>
      </c>
      <c r="R18" s="12">
        <f>SUM(K18:Q18)</f>
        <v/>
      </c>
      <c r="S18" s="3" t="n">
        <v>0.85</v>
      </c>
      <c r="T18" t="inlineStr">
        <is>
          <t>2,027 authentications at $0.05 + $300 base fee</t>
        </is>
      </c>
    </row>
    <row r="19">
      <c r="A19" t="n">
        <v>25</v>
      </c>
      <c r="B19" t="inlineStr">
        <is>
          <t>Monthly V</t>
        </is>
      </c>
      <c r="C19" t="inlineStr">
        <is>
          <t>Text Messages</t>
        </is>
      </c>
      <c r="D19" t="inlineStr">
        <is>
          <t>Digital</t>
        </is>
      </c>
      <c r="E19" t="b">
        <v>0</v>
      </c>
      <c r="F19" t="b">
        <v>1</v>
      </c>
      <c r="G19" s="12" t="n">
        <v>107</v>
      </c>
      <c r="H19" t="inlineStr">
        <is>
          <t>per message</t>
        </is>
      </c>
      <c r="I19" s="13" t="n">
        <v>1</v>
      </c>
      <c r="J19" s="12">
        <f>IF(B19="Monthly F",G19,IF(B19="Monthly V",G19*I19,IF(B19="Annual",G19/12,0)))</f>
        <v/>
      </c>
      <c r="K19" s="12">
        <f>IF(B19="One-Time",G19,J19*12)</f>
        <v/>
      </c>
      <c r="L19" s="12">
        <f>IF(B19="One-Time",0,K19*(1+Metadata!$B$8))</f>
        <v/>
      </c>
      <c r="M19" s="12">
        <f>IF(B19="One-Time",0,L19*(1+Metadata!$B$8))</f>
        <v/>
      </c>
      <c r="N19" s="12">
        <f>IF(B19="One-Time",0,M19*(1+Metadata!$B$8))</f>
        <v/>
      </c>
      <c r="O19" s="12">
        <f>IF(B19="One-Time",0,N19*(1+Metadata!$B$8))</f>
        <v/>
      </c>
      <c r="P19" s="12">
        <f>IF(B19="One-Time",0,O19*(1+Metadata!$B$8))</f>
        <v/>
      </c>
      <c r="Q19" s="12">
        <f>IF(B19="One-Time",0,P19*(1+Metadata!$B$8))</f>
        <v/>
      </c>
      <c r="R19" s="12">
        <f>SUM(K19:Q19)</f>
        <v/>
      </c>
      <c r="S19" s="3" t="n">
        <v>0.85</v>
      </c>
      <c r="T19" t="inlineStr">
        <is>
          <t>10,730 messages at $0.01 per message</t>
        </is>
      </c>
    </row>
    <row r="20">
      <c r="A20" t="n">
        <v>26</v>
      </c>
      <c r="B20" t="inlineStr">
        <is>
          <t>Monthly V</t>
        </is>
      </c>
      <c r="C20" t="inlineStr">
        <is>
          <t>Voice Authentication</t>
        </is>
      </c>
      <c r="D20" t="inlineStr">
        <is>
          <t>Digital</t>
        </is>
      </c>
      <c r="E20" t="b">
        <v>0</v>
      </c>
      <c r="F20" t="b">
        <v>1</v>
      </c>
      <c r="G20" s="12" t="n">
        <v>1</v>
      </c>
      <c r="H20" t="inlineStr">
        <is>
          <t>per call</t>
        </is>
      </c>
      <c r="I20" s="13" t="n">
        <v>1</v>
      </c>
      <c r="J20" s="12">
        <f>IF(B20="Monthly F",G20,IF(B20="Monthly V",G20*I20,IF(B20="Annual",G20/12,0)))</f>
        <v/>
      </c>
      <c r="K20" s="12">
        <f>IF(B20="One-Time",G20,J20*12)</f>
        <v/>
      </c>
      <c r="L20" s="12">
        <f>IF(B20="One-Time",0,K20*(1+Metadata!$B$8))</f>
        <v/>
      </c>
      <c r="M20" s="12">
        <f>IF(B20="One-Time",0,L20*(1+Metadata!$B$8))</f>
        <v/>
      </c>
      <c r="N20" s="12">
        <f>IF(B20="One-Time",0,M20*(1+Metadata!$B$8))</f>
        <v/>
      </c>
      <c r="O20" s="12">
        <f>IF(B20="One-Time",0,N20*(1+Metadata!$B$8))</f>
        <v/>
      </c>
      <c r="P20" s="12">
        <f>IF(B20="One-Time",0,O20*(1+Metadata!$B$8))</f>
        <v/>
      </c>
      <c r="Q20" s="12">
        <f>IF(B20="One-Time",0,P20*(1+Metadata!$B$8))</f>
        <v/>
      </c>
      <c r="R20" s="12">
        <f>SUM(K20:Q20)</f>
        <v/>
      </c>
      <c r="S20" s="3" t="n">
        <v>0.85</v>
      </c>
      <c r="T20" t="inlineStr">
        <is>
          <t>51 calls at $0.02 per call</t>
        </is>
      </c>
    </row>
    <row r="21">
      <c r="A21" t="n">
        <v>13</v>
      </c>
      <c r="B21" t="inlineStr">
        <is>
          <t>Monthly V</t>
        </is>
      </c>
      <c r="C21" t="inlineStr">
        <is>
          <t>Card Production - Instant Issue</t>
        </is>
      </c>
      <c r="D21" t="inlineStr">
        <is>
          <t>EFT</t>
        </is>
      </c>
      <c r="E21" t="b">
        <v>0</v>
      </c>
      <c r="F21" t="b">
        <v>1</v>
      </c>
      <c r="G21" s="12" t="n">
        <v>81</v>
      </c>
      <c r="H21" t="inlineStr">
        <is>
          <t>per card</t>
        </is>
      </c>
      <c r="I21" s="13" t="n">
        <v>1</v>
      </c>
      <c r="J21" s="12">
        <f>IF(B21="Monthly F",G21,IF(B21="Monthly V",G21*I21,IF(B21="Annual",G21/12,0)))</f>
        <v/>
      </c>
      <c r="K21" s="12">
        <f>IF(B21="One-Time",G21,J21*12)</f>
        <v/>
      </c>
      <c r="L21" s="12">
        <f>IF(B21="One-Time",0,K21*(1+Metadata!$B$8))</f>
        <v/>
      </c>
      <c r="M21" s="12">
        <f>IF(B21="One-Time",0,L21*(1+Metadata!$B$8))</f>
        <v/>
      </c>
      <c r="N21" s="12">
        <f>IF(B21="One-Time",0,M21*(1+Metadata!$B$8))</f>
        <v/>
      </c>
      <c r="O21" s="12">
        <f>IF(B21="One-Time",0,N21*(1+Metadata!$B$8))</f>
        <v/>
      </c>
      <c r="P21" s="12">
        <f>IF(B21="One-Time",0,O21*(1+Metadata!$B$8))</f>
        <v/>
      </c>
      <c r="Q21" s="12">
        <f>IF(B21="One-Time",0,P21*(1+Metadata!$B$8))</f>
        <v/>
      </c>
      <c r="R21" s="12">
        <f>SUM(K21:Q21)</f>
        <v/>
      </c>
      <c r="S21" s="3" t="n">
        <v>0.9</v>
      </c>
      <c r="T21" t="inlineStr">
        <is>
          <t>108 cards at $0.75 per card</t>
        </is>
      </c>
    </row>
    <row r="22">
      <c r="A22" t="n">
        <v>16</v>
      </c>
      <c r="B22" t="inlineStr">
        <is>
          <t>Monthly V</t>
        </is>
      </c>
      <c r="C22" t="inlineStr">
        <is>
          <t>Contactless EMV Card Production Fee</t>
        </is>
      </c>
      <c r="D22" t="inlineStr">
        <is>
          <t>EFT</t>
        </is>
      </c>
      <c r="E22" t="b">
        <v>0</v>
      </c>
      <c r="F22" t="b">
        <v>1</v>
      </c>
      <c r="G22" s="12" t="n">
        <v>68</v>
      </c>
      <c r="H22" t="inlineStr">
        <is>
          <t>per card</t>
        </is>
      </c>
      <c r="I22" s="13" t="n">
        <v>1</v>
      </c>
      <c r="J22" s="12">
        <f>IF(B22="Monthly F",G22,IF(B22="Monthly V",G22*I22,IF(B22="Annual",G22/12,0)))</f>
        <v/>
      </c>
      <c r="K22" s="12">
        <f>IF(B22="One-Time",G22,J22*12)</f>
        <v/>
      </c>
      <c r="L22" s="12">
        <f>IF(B22="One-Time",0,K22*(1+Metadata!$B$8))</f>
        <v/>
      </c>
      <c r="M22" s="12">
        <f>IF(B22="One-Time",0,L22*(1+Metadata!$B$8))</f>
        <v/>
      </c>
      <c r="N22" s="12">
        <f>IF(B22="One-Time",0,M22*(1+Metadata!$B$8))</f>
        <v/>
      </c>
      <c r="O22" s="12">
        <f>IF(B22="One-Time",0,N22*(1+Metadata!$B$8))</f>
        <v/>
      </c>
      <c r="P22" s="12">
        <f>IF(B22="One-Time",0,O22*(1+Metadata!$B$8))</f>
        <v/>
      </c>
      <c r="Q22" s="12">
        <f>IF(B22="One-Time",0,P22*(1+Metadata!$B$8))</f>
        <v/>
      </c>
      <c r="R22" s="12">
        <f>SUM(K22:Q22)</f>
        <v/>
      </c>
      <c r="S22" s="3" t="n">
        <v>0.9</v>
      </c>
      <c r="T22" t="inlineStr">
        <is>
          <t>22,710 cards at $0.00 per card</t>
        </is>
      </c>
    </row>
    <row r="23">
      <c r="A23" t="n">
        <v>15</v>
      </c>
      <c r="B23" t="inlineStr">
        <is>
          <t>Monthly V</t>
        </is>
      </c>
      <c r="C23" t="inlineStr">
        <is>
          <t>EFT Processing Fees - Primary Network</t>
        </is>
      </c>
      <c r="D23" t="inlineStr">
        <is>
          <t>EFT</t>
        </is>
      </c>
      <c r="E23" t="b">
        <v>0</v>
      </c>
      <c r="F23" t="b">
        <v>1</v>
      </c>
      <c r="G23" s="12" t="n">
        <v>514</v>
      </c>
      <c r="H23" t="inlineStr">
        <is>
          <t>per transaction</t>
        </is>
      </c>
      <c r="I23" s="13" t="n">
        <v>1</v>
      </c>
      <c r="J23" s="12">
        <f>IF(B23="Monthly F",G23,IF(B23="Monthly V",G23*I23,IF(B23="Annual",G23/12,0)))</f>
        <v/>
      </c>
      <c r="K23" s="12">
        <f>IF(B23="One-Time",G23,J23*12)</f>
        <v/>
      </c>
      <c r="L23" s="12">
        <f>IF(B23="One-Time",0,K23*(1+Metadata!$B$8))</f>
        <v/>
      </c>
      <c r="M23" s="12">
        <f>IF(B23="One-Time",0,L23*(1+Metadata!$B$8))</f>
        <v/>
      </c>
      <c r="N23" s="12">
        <f>IF(B23="One-Time",0,M23*(1+Metadata!$B$8))</f>
        <v/>
      </c>
      <c r="O23" s="12">
        <f>IF(B23="One-Time",0,N23*(1+Metadata!$B$8))</f>
        <v/>
      </c>
      <c r="P23" s="12">
        <f>IF(B23="One-Time",0,O23*(1+Metadata!$B$8))</f>
        <v/>
      </c>
      <c r="Q23" s="12">
        <f>IF(B23="One-Time",0,P23*(1+Metadata!$B$8))</f>
        <v/>
      </c>
      <c r="R23" s="12">
        <f>SUM(K23:Q23)</f>
        <v/>
      </c>
      <c r="S23" s="3" t="n">
        <v>0.9</v>
      </c>
      <c r="T23" t="inlineStr">
        <is>
          <t>41,101 transactions at $0.01 per transaction</t>
        </is>
      </c>
    </row>
    <row r="24">
      <c r="A24" t="n">
        <v>14</v>
      </c>
      <c r="B24" t="inlineStr">
        <is>
          <t>Monthly V</t>
        </is>
      </c>
      <c r="C24" t="inlineStr">
        <is>
          <t>EMV Card Production Fee</t>
        </is>
      </c>
      <c r="D24" t="inlineStr">
        <is>
          <t>EFT</t>
        </is>
      </c>
      <c r="E24" t="b">
        <v>0</v>
      </c>
      <c r="F24" t="b">
        <v>1</v>
      </c>
      <c r="G24" s="12" t="n">
        <v>73</v>
      </c>
      <c r="H24" t="inlineStr">
        <is>
          <t>per card</t>
        </is>
      </c>
      <c r="I24" s="13" t="n">
        <v>1</v>
      </c>
      <c r="J24" s="12">
        <f>IF(B24="Monthly F",G24,IF(B24="Monthly V",G24*I24,IF(B24="Annual",G24/12,0)))</f>
        <v/>
      </c>
      <c r="K24" s="12">
        <f>IF(B24="One-Time",G24,J24*12)</f>
        <v/>
      </c>
      <c r="L24" s="12">
        <f>IF(B24="One-Time",0,K24*(1+Metadata!$B$8))</f>
        <v/>
      </c>
      <c r="M24" s="12">
        <f>IF(B24="One-Time",0,L24*(1+Metadata!$B$8))</f>
        <v/>
      </c>
      <c r="N24" s="12">
        <f>IF(B24="One-Time",0,M24*(1+Metadata!$B$8))</f>
        <v/>
      </c>
      <c r="O24" s="12">
        <f>IF(B24="One-Time",0,N24*(1+Metadata!$B$8))</f>
        <v/>
      </c>
      <c r="P24" s="12">
        <f>IF(B24="One-Time",0,O24*(1+Metadata!$B$8))</f>
        <v/>
      </c>
      <c r="Q24" s="12">
        <f>IF(B24="One-Time",0,P24*(1+Metadata!$B$8))</f>
        <v/>
      </c>
      <c r="R24" s="12">
        <f>SUM(K24:Q24)</f>
        <v/>
      </c>
      <c r="S24" s="3" t="n">
        <v>0.9</v>
      </c>
      <c r="T24" t="inlineStr">
        <is>
          <t>3,672 cards at $0.02 per card</t>
        </is>
      </c>
    </row>
    <row r="25">
      <c r="A25" t="n">
        <v>12</v>
      </c>
      <c r="B25" t="inlineStr">
        <is>
          <t>Monthly V</t>
        </is>
      </c>
      <c r="C25" t="inlineStr">
        <is>
          <t>PIN Change</t>
        </is>
      </c>
      <c r="D25" t="inlineStr">
        <is>
          <t>EFT</t>
        </is>
      </c>
      <c r="E25" t="b">
        <v>0</v>
      </c>
      <c r="F25" t="b">
        <v>1</v>
      </c>
      <c r="G25" s="12" t="n">
        <v>85</v>
      </c>
      <c r="H25" t="inlineStr">
        <is>
          <t>per change</t>
        </is>
      </c>
      <c r="I25" s="13" t="n">
        <v>1</v>
      </c>
      <c r="J25" s="12">
        <f>IF(B25="Monthly F",G25,IF(B25="Monthly V",G25*I25,IF(B25="Annual",G25/12,0)))</f>
        <v/>
      </c>
      <c r="K25" s="12">
        <f>IF(B25="One-Time",G25,J25*12)</f>
        <v/>
      </c>
      <c r="L25" s="12">
        <f>IF(B25="One-Time",0,K25*(1+Metadata!$B$8))</f>
        <v/>
      </c>
      <c r="M25" s="12">
        <f>IF(B25="One-Time",0,L25*(1+Metadata!$B$8))</f>
        <v/>
      </c>
      <c r="N25" s="12">
        <f>IF(B25="One-Time",0,M25*(1+Metadata!$B$8))</f>
        <v/>
      </c>
      <c r="O25" s="12">
        <f>IF(B25="One-Time",0,N25*(1+Metadata!$B$8))</f>
        <v/>
      </c>
      <c r="P25" s="12">
        <f>IF(B25="One-Time",0,O25*(1+Metadata!$B$8))</f>
        <v/>
      </c>
      <c r="Q25" s="12">
        <f>IF(B25="One-Time",0,P25*(1+Metadata!$B$8))</f>
        <v/>
      </c>
      <c r="R25" s="12">
        <f>SUM(K25:Q25)</f>
        <v/>
      </c>
      <c r="S25" s="3" t="n">
        <v>0.9</v>
      </c>
      <c r="T25" t="inlineStr">
        <is>
          <t>85 changes at $1.00 per change</t>
        </is>
      </c>
    </row>
    <row r="26">
      <c r="A26" t="n">
        <v>10</v>
      </c>
      <c r="B26" t="inlineStr">
        <is>
          <t>Monthly V</t>
        </is>
      </c>
      <c r="C26" t="inlineStr">
        <is>
          <t>A2iA CAR/LAR</t>
        </is>
      </c>
      <c r="D26" t="inlineStr">
        <is>
          <t>Image Solutions</t>
        </is>
      </c>
      <c r="E26" t="b">
        <v>0</v>
      </c>
      <c r="F26" t="b">
        <v>1</v>
      </c>
      <c r="G26" s="12" t="n">
        <v>767</v>
      </c>
      <c r="H26" t="inlineStr">
        <is>
          <t>per item</t>
        </is>
      </c>
      <c r="I26" s="13" t="n">
        <v>1</v>
      </c>
      <c r="J26" s="12">
        <f>IF(B26="Monthly F",G26,IF(B26="Monthly V",G26*I26,IF(B26="Annual",G26/12,0)))</f>
        <v/>
      </c>
      <c r="K26" s="12">
        <f>IF(B26="One-Time",G26,J26*12)</f>
        <v/>
      </c>
      <c r="L26" s="12">
        <f>IF(B26="One-Time",0,K26*(1+Metadata!$B$8))</f>
        <v/>
      </c>
      <c r="M26" s="12">
        <f>IF(B26="One-Time",0,L26*(1+Metadata!$B$8))</f>
        <v/>
      </c>
      <c r="N26" s="12">
        <f>IF(B26="One-Time",0,M26*(1+Metadata!$B$8))</f>
        <v/>
      </c>
      <c r="O26" s="12">
        <f>IF(B26="One-Time",0,N26*(1+Metadata!$B$8))</f>
        <v/>
      </c>
      <c r="P26" s="12">
        <f>IF(B26="One-Time",0,O26*(1+Metadata!$B$8))</f>
        <v/>
      </c>
      <c r="Q26" s="12">
        <f>IF(B26="One-Time",0,P26*(1+Metadata!$B$8))</f>
        <v/>
      </c>
      <c r="R26" s="12">
        <f>SUM(K26:Q26)</f>
        <v/>
      </c>
      <c r="S26" s="3" t="n">
        <v>0.9</v>
      </c>
      <c r="T26" t="inlineStr">
        <is>
          <t>5,897 items at $0.13 per item</t>
        </is>
      </c>
    </row>
    <row r="27">
      <c r="A27" t="n">
        <v>9</v>
      </c>
      <c r="B27" t="inlineStr">
        <is>
          <t>Monthly V</t>
        </is>
      </c>
      <c r="C27" t="inlineStr">
        <is>
          <t>Image Capture Processing Fees</t>
        </is>
      </c>
      <c r="D27" t="inlineStr">
        <is>
          <t>Image Solutions</t>
        </is>
      </c>
      <c r="E27" t="b">
        <v>0</v>
      </c>
      <c r="F27" t="b">
        <v>1</v>
      </c>
      <c r="G27" s="12" t="n">
        <v>186</v>
      </c>
      <c r="H27" t="inlineStr">
        <is>
          <t>per item</t>
        </is>
      </c>
      <c r="I27" s="13" t="n">
        <v>1</v>
      </c>
      <c r="J27" s="12">
        <f>IF(B27="Monthly F",G27,IF(B27="Monthly V",G27*I27,IF(B27="Annual",G27/12,0)))</f>
        <v/>
      </c>
      <c r="K27" s="12">
        <f>IF(B27="One-Time",G27,J27*12)</f>
        <v/>
      </c>
      <c r="L27" s="12">
        <f>IF(B27="One-Time",0,K27*(1+Metadata!$B$8))</f>
        <v/>
      </c>
      <c r="M27" s="12">
        <f>IF(B27="One-Time",0,L27*(1+Metadata!$B$8))</f>
        <v/>
      </c>
      <c r="N27" s="12">
        <f>IF(B27="One-Time",0,M27*(1+Metadata!$B$8))</f>
        <v/>
      </c>
      <c r="O27" s="12">
        <f>IF(B27="One-Time",0,N27*(1+Metadata!$B$8))</f>
        <v/>
      </c>
      <c r="P27" s="12">
        <f>IF(B27="One-Time",0,O27*(1+Metadata!$B$8))</f>
        <v/>
      </c>
      <c r="Q27" s="12">
        <f>IF(B27="One-Time",0,P27*(1+Metadata!$B$8))</f>
        <v/>
      </c>
      <c r="R27" s="12">
        <f>SUM(K27:Q27)</f>
        <v/>
      </c>
      <c r="S27" s="3" t="n">
        <v>0.9</v>
      </c>
      <c r="T27" t="inlineStr">
        <is>
          <t>23,248 items at $0.008 per item</t>
        </is>
      </c>
    </row>
    <row r="28">
      <c r="A28" t="n">
        <v>33</v>
      </c>
      <c r="B28" t="inlineStr">
        <is>
          <t>Monthly V</t>
        </is>
      </c>
      <c r="C28" t="inlineStr">
        <is>
          <t>800 Number</t>
        </is>
      </c>
      <c r="D28" t="inlineStr">
        <is>
          <t>Other</t>
        </is>
      </c>
      <c r="E28" t="b">
        <v>0</v>
      </c>
      <c r="F28" t="b">
        <v>1</v>
      </c>
      <c r="G28" s="12" t="n">
        <v>102</v>
      </c>
      <c r="H28" t="inlineStr">
        <is>
          <t>per call</t>
        </is>
      </c>
      <c r="I28" s="13" t="n">
        <v>1</v>
      </c>
      <c r="J28" s="12">
        <f>IF(B28="Monthly F",G28,IF(B28="Monthly V",G28*I28,IF(B28="Annual",G28/12,0)))</f>
        <v/>
      </c>
      <c r="K28" s="12">
        <f>IF(B28="One-Time",G28,J28*12)</f>
        <v/>
      </c>
      <c r="L28" s="12">
        <f>IF(B28="One-Time",0,K28*(1+Metadata!$B$8))</f>
        <v/>
      </c>
      <c r="M28" s="12">
        <f>IF(B28="One-Time",0,L28*(1+Metadata!$B$8))</f>
        <v/>
      </c>
      <c r="N28" s="12">
        <f>IF(B28="One-Time",0,M28*(1+Metadata!$B$8))</f>
        <v/>
      </c>
      <c r="O28" s="12">
        <f>IF(B28="One-Time",0,N28*(1+Metadata!$B$8))</f>
        <v/>
      </c>
      <c r="P28" s="12">
        <f>IF(B28="One-Time",0,O28*(1+Metadata!$B$8))</f>
        <v/>
      </c>
      <c r="Q28" s="12">
        <f>IF(B28="One-Time",0,P28*(1+Metadata!$B$8))</f>
        <v/>
      </c>
      <c r="R28" s="12">
        <f>SUM(K28:Q28)</f>
        <v/>
      </c>
      <c r="S28" s="3" t="n">
        <v>0.85</v>
      </c>
      <c r="T28" t="inlineStr">
        <is>
          <t>20 calls at $1.00 + $100 base fee</t>
        </is>
      </c>
    </row>
    <row r="29">
      <c r="A29" t="n">
        <v>43</v>
      </c>
      <c r="B29" t="inlineStr">
        <is>
          <t>Monthly V</t>
        </is>
      </c>
      <c r="C29" t="inlineStr">
        <is>
          <t>CSI Wire</t>
        </is>
      </c>
      <c r="D29" t="inlineStr">
        <is>
          <t>Other</t>
        </is>
      </c>
      <c r="E29" t="b">
        <v>0</v>
      </c>
      <c r="F29" t="b">
        <v>1</v>
      </c>
      <c r="G29" s="12" t="n">
        <v>3577</v>
      </c>
      <c r="H29" t="inlineStr">
        <is>
          <t>per wire</t>
        </is>
      </c>
      <c r="I29" s="13" t="n">
        <v>1</v>
      </c>
      <c r="J29" s="12">
        <f>IF(B29="Monthly F",G29,IF(B29="Monthly V",G29*I29,IF(B29="Annual",G29/12,0)))</f>
        <v/>
      </c>
      <c r="K29" s="12">
        <f>IF(B29="One-Time",G29,J29*12)</f>
        <v/>
      </c>
      <c r="L29" s="12">
        <f>IF(B29="One-Time",0,K29*(1+Metadata!$B$8))</f>
        <v/>
      </c>
      <c r="M29" s="12">
        <f>IF(B29="One-Time",0,L29*(1+Metadata!$B$8))</f>
        <v/>
      </c>
      <c r="N29" s="12">
        <f>IF(B29="One-Time",0,M29*(1+Metadata!$B$8))</f>
        <v/>
      </c>
      <c r="O29" s="12">
        <f>IF(B29="One-Time",0,N29*(1+Metadata!$B$8))</f>
        <v/>
      </c>
      <c r="P29" s="12">
        <f>IF(B29="One-Time",0,O29*(1+Metadata!$B$8))</f>
        <v/>
      </c>
      <c r="Q29" s="12">
        <f>IF(B29="One-Time",0,P29*(1+Metadata!$B$8))</f>
        <v/>
      </c>
      <c r="R29" s="12">
        <f>SUM(K29:Q29)</f>
        <v/>
      </c>
      <c r="S29" s="3" t="n">
        <v>0.9</v>
      </c>
      <c r="T29" t="inlineStr">
        <is>
          <t>1,022 wires at $3.50 per wire</t>
        </is>
      </c>
    </row>
    <row r="30">
      <c r="A30" t="n">
        <v>38</v>
      </c>
      <c r="B30" t="inlineStr">
        <is>
          <t>Monthly V</t>
        </is>
      </c>
      <c r="C30" t="inlineStr">
        <is>
          <t>FMS Margin Performer</t>
        </is>
      </c>
      <c r="D30" t="inlineStr">
        <is>
          <t>Other</t>
        </is>
      </c>
      <c r="E30" t="b">
        <v>0</v>
      </c>
      <c r="F30" t="b">
        <v>1</v>
      </c>
      <c r="G30" s="12" t="n">
        <v>326</v>
      </c>
      <c r="H30" t="inlineStr">
        <is>
          <t>per record</t>
        </is>
      </c>
      <c r="I30" s="13" t="n">
        <v>1</v>
      </c>
      <c r="J30" s="12">
        <f>IF(B30="Monthly F",G30,IF(B30="Monthly V",G30*I30,IF(B30="Annual",G30/12,0)))</f>
        <v/>
      </c>
      <c r="K30" s="12">
        <f>IF(B30="One-Time",G30,J30*12)</f>
        <v/>
      </c>
      <c r="L30" s="12">
        <f>IF(B30="One-Time",0,K30*(1+Metadata!$B$8))</f>
        <v/>
      </c>
      <c r="M30" s="12">
        <f>IF(B30="One-Time",0,L30*(1+Metadata!$B$8))</f>
        <v/>
      </c>
      <c r="N30" s="12">
        <f>IF(B30="One-Time",0,M30*(1+Metadata!$B$8))</f>
        <v/>
      </c>
      <c r="O30" s="12">
        <f>IF(B30="One-Time",0,N30*(1+Metadata!$B$8))</f>
        <v/>
      </c>
      <c r="P30" s="12">
        <f>IF(B30="One-Time",0,O30*(1+Metadata!$B$8))</f>
        <v/>
      </c>
      <c r="Q30" s="12">
        <f>IF(B30="One-Time",0,P30*(1+Metadata!$B$8))</f>
        <v/>
      </c>
      <c r="R30" s="12">
        <f>SUM(K30:Q30)</f>
        <v/>
      </c>
      <c r="S30" s="3" t="n">
        <v>0.9</v>
      </c>
      <c r="T30" t="inlineStr">
        <is>
          <t>10,874 records at $0.03 per record</t>
        </is>
      </c>
    </row>
    <row r="31">
      <c r="A31" t="n">
        <v>39</v>
      </c>
      <c r="B31" t="inlineStr">
        <is>
          <t>Monthly V</t>
        </is>
      </c>
      <c r="C31" t="inlineStr">
        <is>
          <t>FMS Profit Performer</t>
        </is>
      </c>
      <c r="D31" t="inlineStr">
        <is>
          <t>Other</t>
        </is>
      </c>
      <c r="E31" t="b">
        <v>0</v>
      </c>
      <c r="F31" t="b">
        <v>1</v>
      </c>
      <c r="G31" s="12" t="n">
        <v>326</v>
      </c>
      <c r="H31" t="inlineStr">
        <is>
          <t>per record</t>
        </is>
      </c>
      <c r="I31" s="13" t="n">
        <v>1</v>
      </c>
      <c r="J31" s="12">
        <f>IF(B31="Monthly F",G31,IF(B31="Monthly V",G31*I31,IF(B31="Annual",G31/12,0)))</f>
        <v/>
      </c>
      <c r="K31" s="12">
        <f>IF(B31="One-Time",G31,J31*12)</f>
        <v/>
      </c>
      <c r="L31" s="12">
        <f>IF(B31="One-Time",0,K31*(1+Metadata!$B$8))</f>
        <v/>
      </c>
      <c r="M31" s="12">
        <f>IF(B31="One-Time",0,L31*(1+Metadata!$B$8))</f>
        <v/>
      </c>
      <c r="N31" s="12">
        <f>IF(B31="One-Time",0,M31*(1+Metadata!$B$8))</f>
        <v/>
      </c>
      <c r="O31" s="12">
        <f>IF(B31="One-Time",0,N31*(1+Metadata!$B$8))</f>
        <v/>
      </c>
      <c r="P31" s="12">
        <f>IF(B31="One-Time",0,O31*(1+Metadata!$B$8))</f>
        <v/>
      </c>
      <c r="Q31" s="12">
        <f>IF(B31="One-Time",0,P31*(1+Metadata!$B$8))</f>
        <v/>
      </c>
      <c r="R31" s="12">
        <f>SUM(K31:Q31)</f>
        <v/>
      </c>
      <c r="S31" s="3" t="n">
        <v>0.9</v>
      </c>
      <c r="T31" t="inlineStr">
        <is>
          <t>10,874 records at $0.03 per record</t>
        </is>
      </c>
    </row>
    <row r="32">
      <c r="A32" t="n">
        <v>11</v>
      </c>
      <c r="B32" t="inlineStr">
        <is>
          <t>Monthly V</t>
        </is>
      </c>
      <c r="C32" t="inlineStr">
        <is>
          <t>Monthly Statement Processing Materials - Envelopes &amp; Paper</t>
        </is>
      </c>
      <c r="D32" t="inlineStr">
        <is>
          <t>Other</t>
        </is>
      </c>
      <c r="E32" t="b">
        <v>0</v>
      </c>
      <c r="F32" t="b">
        <v>1</v>
      </c>
      <c r="G32" s="12" t="n">
        <v>72</v>
      </c>
      <c r="H32" t="inlineStr">
        <is>
          <t>per envelope</t>
        </is>
      </c>
      <c r="I32" s="13" t="n">
        <v>1</v>
      </c>
      <c r="J32" s="12">
        <f>IF(B32="Monthly F",G32,IF(B32="Monthly V",G32*I32,IF(B32="Annual",G32/12,0)))</f>
        <v/>
      </c>
      <c r="K32" s="12">
        <f>IF(B32="One-Time",G32,J32*12)</f>
        <v/>
      </c>
      <c r="L32" s="12">
        <f>IF(B32="One-Time",0,K32*(1+Metadata!$B$8))</f>
        <v/>
      </c>
      <c r="M32" s="12">
        <f>IF(B32="One-Time",0,L32*(1+Metadata!$B$8))</f>
        <v/>
      </c>
      <c r="N32" s="12">
        <f>IF(B32="One-Time",0,M32*(1+Metadata!$B$8))</f>
        <v/>
      </c>
      <c r="O32" s="12">
        <f>IF(B32="One-Time",0,N32*(1+Metadata!$B$8))</f>
        <v/>
      </c>
      <c r="P32" s="12">
        <f>IF(B32="One-Time",0,O32*(1+Metadata!$B$8))</f>
        <v/>
      </c>
      <c r="Q32" s="12">
        <f>IF(B32="One-Time",0,P32*(1+Metadata!$B$8))</f>
        <v/>
      </c>
      <c r="R32" s="12">
        <f>SUM(K32:Q32)</f>
        <v/>
      </c>
      <c r="S32" s="3" t="n">
        <v>0.9</v>
      </c>
      <c r="T32" t="inlineStr">
        <is>
          <t>Combined envelope ($0.50) and paper ($2.00) fees</t>
        </is>
      </c>
    </row>
    <row r="33">
      <c r="A33" t="n">
        <v>37</v>
      </c>
      <c r="B33" t="inlineStr">
        <is>
          <t>Monthly V</t>
        </is>
      </c>
      <c r="C33" t="inlineStr">
        <is>
          <t>Child Support Accounts</t>
        </is>
      </c>
      <c r="D33" t="inlineStr">
        <is>
          <t>Risk, Fraud &amp; Compliance</t>
        </is>
      </c>
      <c r="E33" t="b">
        <v>0</v>
      </c>
      <c r="F33" t="b">
        <v>1</v>
      </c>
      <c r="G33" s="12" t="n">
        <v>1</v>
      </c>
      <c r="H33" t="inlineStr">
        <is>
          <t>per account</t>
        </is>
      </c>
      <c r="I33" s="13" t="n">
        <v>1</v>
      </c>
      <c r="J33" s="12">
        <f>IF(B33="Monthly F",G33,IF(B33="Monthly V",G33*I33,IF(B33="Annual",G33/12,0)))</f>
        <v/>
      </c>
      <c r="K33" s="12">
        <f>IF(B33="One-Time",G33,J33*12)</f>
        <v/>
      </c>
      <c r="L33" s="12">
        <f>IF(B33="One-Time",0,K33*(1+Metadata!$B$8))</f>
        <v/>
      </c>
      <c r="M33" s="12">
        <f>IF(B33="One-Time",0,L33*(1+Metadata!$B$8))</f>
        <v/>
      </c>
      <c r="N33" s="12">
        <f>IF(B33="One-Time",0,M33*(1+Metadata!$B$8))</f>
        <v/>
      </c>
      <c r="O33" s="12">
        <f>IF(B33="One-Time",0,N33*(1+Metadata!$B$8))</f>
        <v/>
      </c>
      <c r="P33" s="12">
        <f>IF(B33="One-Time",0,O33*(1+Metadata!$B$8))</f>
        <v/>
      </c>
      <c r="Q33" s="12">
        <f>IF(B33="One-Time",0,P33*(1+Metadata!$B$8))</f>
        <v/>
      </c>
      <c r="R33" s="12">
        <f>SUM(K33:Q33)</f>
        <v/>
      </c>
      <c r="S33" s="3" t="n">
        <v>0.9</v>
      </c>
      <c r="T33" t="inlineStr">
        <is>
          <t>100 accounts at $0.01 per account</t>
        </is>
      </c>
    </row>
    <row r="34">
      <c r="A34" t="n">
        <v>41</v>
      </c>
      <c r="B34" t="inlineStr">
        <is>
          <t>Monthly V</t>
        </is>
      </c>
      <c r="C34" t="inlineStr">
        <is>
          <t>Level 2 ID Verification Transactions</t>
        </is>
      </c>
      <c r="D34" t="inlineStr">
        <is>
          <t>Risk, Fraud &amp; Compliance</t>
        </is>
      </c>
      <c r="E34" t="b">
        <v>0</v>
      </c>
      <c r="F34" t="b">
        <v>1</v>
      </c>
      <c r="G34" s="12" t="n">
        <v>133</v>
      </c>
      <c r="H34" t="inlineStr">
        <is>
          <t>per transaction</t>
        </is>
      </c>
      <c r="I34" s="13" t="n">
        <v>1</v>
      </c>
      <c r="J34" s="12">
        <f>IF(B34="Monthly F",G34,IF(B34="Monthly V",G34*I34,IF(B34="Annual",G34/12,0)))</f>
        <v/>
      </c>
      <c r="K34" s="12">
        <f>IF(B34="One-Time",G34,J34*12)</f>
        <v/>
      </c>
      <c r="L34" s="12">
        <f>IF(B34="One-Time",0,K34*(1+Metadata!$B$8))</f>
        <v/>
      </c>
      <c r="M34" s="12">
        <f>IF(B34="One-Time",0,L34*(1+Metadata!$B$8))</f>
        <v/>
      </c>
      <c r="N34" s="12">
        <f>IF(B34="One-Time",0,M34*(1+Metadata!$B$8))</f>
        <v/>
      </c>
      <c r="O34" s="12">
        <f>IF(B34="One-Time",0,N34*(1+Metadata!$B$8))</f>
        <v/>
      </c>
      <c r="P34" s="12">
        <f>IF(B34="One-Time",0,O34*(1+Metadata!$B$8))</f>
        <v/>
      </c>
      <c r="Q34" s="12">
        <f>IF(B34="One-Time",0,P34*(1+Metadata!$B$8))</f>
        <v/>
      </c>
      <c r="R34" s="12">
        <f>SUM(K34:Q34)</f>
        <v/>
      </c>
      <c r="S34" s="3" t="n">
        <v>0.9</v>
      </c>
      <c r="T34" t="inlineStr">
        <is>
          <t>53 transactions at $2.50 per transaction</t>
        </is>
      </c>
    </row>
    <row r="35">
      <c r="A35" t="n">
        <v>42</v>
      </c>
      <c r="B35" t="inlineStr">
        <is>
          <t>Monthly V</t>
        </is>
      </c>
      <c r="C35" t="inlineStr">
        <is>
          <t>Out of Wallet Transactions</t>
        </is>
      </c>
      <c r="D35" t="inlineStr">
        <is>
          <t>Risk, Fraud &amp; Compliance</t>
        </is>
      </c>
      <c r="E35" t="b">
        <v>0</v>
      </c>
      <c r="F35" t="b">
        <v>1</v>
      </c>
      <c r="G35" s="12" t="n">
        <v>98</v>
      </c>
      <c r="H35" t="inlineStr">
        <is>
          <t>per transaction</t>
        </is>
      </c>
      <c r="I35" s="13" t="n">
        <v>1</v>
      </c>
      <c r="J35" s="12">
        <f>IF(B35="Monthly F",G35,IF(B35="Monthly V",G35*I35,IF(B35="Annual",G35/12,0)))</f>
        <v/>
      </c>
      <c r="K35" s="12">
        <f>IF(B35="One-Time",G35,J35*12)</f>
        <v/>
      </c>
      <c r="L35" s="12">
        <f>IF(B35="One-Time",0,K35*(1+Metadata!$B$8))</f>
        <v/>
      </c>
      <c r="M35" s="12">
        <f>IF(B35="One-Time",0,L35*(1+Metadata!$B$8))</f>
        <v/>
      </c>
      <c r="N35" s="12">
        <f>IF(B35="One-Time",0,M35*(1+Metadata!$B$8))</f>
        <v/>
      </c>
      <c r="O35" s="12">
        <f>IF(B35="One-Time",0,N35*(1+Metadata!$B$8))</f>
        <v/>
      </c>
      <c r="P35" s="12">
        <f>IF(B35="One-Time",0,O35*(1+Metadata!$B$8))</f>
        <v/>
      </c>
      <c r="Q35" s="12">
        <f>IF(B35="One-Time",0,P35*(1+Metadata!$B$8))</f>
        <v/>
      </c>
      <c r="R35" s="12">
        <f>SUM(K35:Q35)</f>
        <v/>
      </c>
      <c r="S35" s="3" t="n">
        <v>0.9</v>
      </c>
      <c r="T35" t="inlineStr">
        <is>
          <t>39 transactions at $2.50 per transaction</t>
        </is>
      </c>
    </row>
    <row r="36">
      <c r="A36" t="n">
        <v>28</v>
      </c>
      <c r="B36" t="inlineStr">
        <is>
          <t>One-Time</t>
        </is>
      </c>
      <c r="C36" t="inlineStr">
        <is>
          <t>Mobile Banking Push Notifications - Implementation Fee</t>
        </is>
      </c>
      <c r="D36" t="inlineStr">
        <is>
          <t>Digital</t>
        </is>
      </c>
      <c r="E36" t="b">
        <v>0</v>
      </c>
      <c r="F36" t="b">
        <v>1</v>
      </c>
      <c r="G36" s="12" t="n">
        <v>100</v>
      </c>
      <c r="H36" t="inlineStr">
        <is>
          <t>per notification</t>
        </is>
      </c>
      <c r="J36" s="12">
        <f>IF(B36="Monthly F",G36,IF(B36="Monthly V",G36*I36,IF(B36="Annual",G36/12,0)))</f>
        <v/>
      </c>
      <c r="K36" s="12">
        <f>IF(B36="One-Time",G36,J36*12)</f>
        <v/>
      </c>
      <c r="L36" s="12">
        <f>IF(B36="One-Time",0,K36*(1+Metadata!$B$8))</f>
        <v/>
      </c>
      <c r="M36" s="12">
        <f>IF(B36="One-Time",0,L36*(1+Metadata!$B$8))</f>
        <v/>
      </c>
      <c r="N36" s="12">
        <f>IF(B36="One-Time",0,M36*(1+Metadata!$B$8))</f>
        <v/>
      </c>
      <c r="O36" s="12">
        <f>IF(B36="One-Time",0,N36*(1+Metadata!$B$8))</f>
        <v/>
      </c>
      <c r="P36" s="12">
        <f>IF(B36="One-Time",0,O36*(1+Metadata!$B$8))</f>
        <v/>
      </c>
      <c r="Q36" s="12">
        <f>IF(B36="One-Time",0,P36*(1+Metadata!$B$8))</f>
        <v/>
      </c>
      <c r="R36" s="12">
        <f>SUM(K36:Q36)</f>
        <v/>
      </c>
      <c r="S36" s="3" t="n">
        <v>0.85</v>
      </c>
      <c r="T36" t="inlineStr">
        <is>
          <t>3,223 notifications at $0.05 + $100 base fee</t>
        </is>
      </c>
    </row>
    <row r="37">
      <c r="A37" t="n">
        <v>30</v>
      </c>
      <c r="B37" t="inlineStr">
        <is>
          <t>One-Time</t>
        </is>
      </c>
      <c r="C37" t="inlineStr">
        <is>
          <t>Mobile Deposit - Implementation Fee</t>
        </is>
      </c>
      <c r="D37" t="inlineStr">
        <is>
          <t>Digital</t>
        </is>
      </c>
      <c r="E37" t="b">
        <v>0</v>
      </c>
      <c r="F37" t="b">
        <v>1</v>
      </c>
      <c r="G37" s="12" t="n">
        <v>525</v>
      </c>
      <c r="H37" t="inlineStr">
        <is>
          <t>per transaction</t>
        </is>
      </c>
      <c r="J37" s="12">
        <f>IF(B37="Monthly F",G37,IF(B37="Monthly V",G37*I37,IF(B37="Annual",G37/12,0)))</f>
        <v/>
      </c>
      <c r="K37" s="12">
        <f>IF(B37="One-Time",G37,J37*12)</f>
        <v/>
      </c>
      <c r="L37" s="12">
        <f>IF(B37="One-Time",0,K37*(1+Metadata!$B$8))</f>
        <v/>
      </c>
      <c r="M37" s="12">
        <f>IF(B37="One-Time",0,L37*(1+Metadata!$B$8))</f>
        <v/>
      </c>
      <c r="N37" s="12">
        <f>IF(B37="One-Time",0,M37*(1+Metadata!$B$8))</f>
        <v/>
      </c>
      <c r="O37" s="12">
        <f>IF(B37="One-Time",0,N37*(1+Metadata!$B$8))</f>
        <v/>
      </c>
      <c r="P37" s="12">
        <f>IF(B37="One-Time",0,O37*(1+Metadata!$B$8))</f>
        <v/>
      </c>
      <c r="Q37" s="12">
        <f>IF(B37="One-Time",0,P37*(1+Metadata!$B$8))</f>
        <v/>
      </c>
      <c r="R37" s="12">
        <f>SUM(K37:Q37)</f>
        <v/>
      </c>
      <c r="S37" s="3" t="n">
        <v>0.85</v>
      </c>
      <c r="T37" t="inlineStr">
        <is>
          <t>500 transactions at $0.01 + $525 base fee</t>
        </is>
      </c>
    </row>
    <row r="38">
      <c r="A38" t="n">
        <v>24</v>
      </c>
      <c r="B38" t="inlineStr">
        <is>
          <t>One-Time</t>
        </is>
      </c>
      <c r="C38" t="inlineStr">
        <is>
          <t>Out of Band Authentication (OOBA) - Implementation Fee</t>
        </is>
      </c>
      <c r="D38" t="inlineStr">
        <is>
          <t>Digital</t>
        </is>
      </c>
      <c r="E38" t="b">
        <v>0</v>
      </c>
      <c r="F38" t="b">
        <v>1</v>
      </c>
      <c r="G38" s="12" t="n">
        <v>300</v>
      </c>
      <c r="H38" t="inlineStr">
        <is>
          <t>per authentication</t>
        </is>
      </c>
      <c r="J38" s="12">
        <f>IF(B38="Monthly F",G38,IF(B38="Monthly V",G38*I38,IF(B38="Annual",G38/12,0)))</f>
        <v/>
      </c>
      <c r="K38" s="12">
        <f>IF(B38="One-Time",G38,J38*12)</f>
        <v/>
      </c>
      <c r="L38" s="12">
        <f>IF(B38="One-Time",0,K38*(1+Metadata!$B$8))</f>
        <v/>
      </c>
      <c r="M38" s="12">
        <f>IF(B38="One-Time",0,L38*(1+Metadata!$B$8))</f>
        <v/>
      </c>
      <c r="N38" s="12">
        <f>IF(B38="One-Time",0,M38*(1+Metadata!$B$8))</f>
        <v/>
      </c>
      <c r="O38" s="12">
        <f>IF(B38="One-Time",0,N38*(1+Metadata!$B$8))</f>
        <v/>
      </c>
      <c r="P38" s="12">
        <f>IF(B38="One-Time",0,O38*(1+Metadata!$B$8))</f>
        <v/>
      </c>
      <c r="Q38" s="12">
        <f>IF(B38="One-Time",0,P38*(1+Metadata!$B$8))</f>
        <v/>
      </c>
      <c r="R38" s="12">
        <f>SUM(K38:Q38)</f>
        <v/>
      </c>
      <c r="S38" s="3" t="n">
        <v>0.85</v>
      </c>
      <c r="T38" t="inlineStr">
        <is>
          <t>2,027 authentications at $0.05 + $300 base fee</t>
        </is>
      </c>
    </row>
    <row r="39">
      <c r="A39" t="n">
        <v>34</v>
      </c>
      <c r="B39" t="inlineStr">
        <is>
          <t>One-Time</t>
        </is>
      </c>
      <c r="C39" t="inlineStr">
        <is>
          <t>800 Number - Implementation Fee</t>
        </is>
      </c>
      <c r="D39" t="inlineStr">
        <is>
          <t>Other</t>
        </is>
      </c>
      <c r="E39" t="b">
        <v>0</v>
      </c>
      <c r="F39" t="b">
        <v>1</v>
      </c>
      <c r="G39" s="12" t="n">
        <v>100</v>
      </c>
      <c r="H39" t="inlineStr">
        <is>
          <t>per call</t>
        </is>
      </c>
      <c r="J39" s="12">
        <f>IF(B39="Monthly F",G39,IF(B39="Monthly V",G39*I39,IF(B39="Annual",G39/12,0)))</f>
        <v/>
      </c>
      <c r="K39" s="12">
        <f>IF(B39="One-Time",G39,J39*12)</f>
        <v/>
      </c>
      <c r="L39" s="12">
        <f>IF(B39="One-Time",0,K39*(1+Metadata!$B$8))</f>
        <v/>
      </c>
      <c r="M39" s="12">
        <f>IF(B39="One-Time",0,L39*(1+Metadata!$B$8))</f>
        <v/>
      </c>
      <c r="N39" s="12">
        <f>IF(B39="One-Time",0,M39*(1+Metadata!$B$8))</f>
        <v/>
      </c>
      <c r="O39" s="12">
        <f>IF(B39="One-Time",0,N39*(1+Metadata!$B$8))</f>
        <v/>
      </c>
      <c r="P39" s="12">
        <f>IF(B39="One-Time",0,O39*(1+Metadata!$B$8))</f>
        <v/>
      </c>
      <c r="Q39" s="12">
        <f>IF(B39="One-Time",0,P39*(1+Metadata!$B$8))</f>
        <v/>
      </c>
      <c r="R39" s="12">
        <f>SUM(K39:Q39)</f>
        <v/>
      </c>
      <c r="S39" s="3" t="n">
        <v>0.85</v>
      </c>
      <c r="T39" t="inlineStr">
        <is>
          <t>20 calls at $1.00 + $100 base fee</t>
        </is>
      </c>
    </row>
    <row r="40">
      <c r="A40" t="n">
        <v>22</v>
      </c>
      <c r="B40" t="inlineStr">
        <is>
          <t>Monthly F</t>
        </is>
      </c>
      <c r="C40" t="inlineStr">
        <is>
          <t>Quicken &amp; QuickBooks</t>
        </is>
      </c>
      <c r="D40" t="inlineStr">
        <is>
          <t>Digital</t>
        </is>
      </c>
      <c r="E40" t="b">
        <v>1</v>
      </c>
      <c r="F40" t="b">
        <v>1</v>
      </c>
      <c r="G40" s="12" t="n">
        <v>736.67</v>
      </c>
      <c r="H40" t="inlineStr">
        <is>
          <t>per month</t>
        </is>
      </c>
      <c r="J40" s="12">
        <f>IF(B40="Monthly F",G40,IF(B40="Monthly V",G40*I40,IF(B40="Annual",G40/12,0)))</f>
        <v/>
      </c>
      <c r="K40" s="12">
        <f>IF(B40="One-Time",G40,J40*12)</f>
        <v/>
      </c>
      <c r="L40" s="12">
        <f>IF(B40="One-Time",0,K40*(1+Metadata!$B$8))</f>
        <v/>
      </c>
      <c r="M40" s="12">
        <f>IF(B40="One-Time",0,L40*(1+Metadata!$B$8))</f>
        <v/>
      </c>
      <c r="N40" s="12">
        <f>IF(B40="One-Time",0,M40*(1+Metadata!$B$8))</f>
        <v/>
      </c>
      <c r="O40" s="12">
        <f>IF(B40="One-Time",0,N40*(1+Metadata!$B$8))</f>
        <v/>
      </c>
      <c r="P40" s="12">
        <f>IF(B40="One-Time",0,O40*(1+Metadata!$B$8))</f>
        <v/>
      </c>
      <c r="Q40" s="12">
        <f>IF(B40="One-Time",0,P40*(1+Metadata!$B$8))</f>
        <v/>
      </c>
      <c r="R40" s="12">
        <f>SUM(K40:Q40)</f>
        <v/>
      </c>
      <c r="S40" s="3" t="n">
        <v>0.85</v>
      </c>
      <c r="T40" t="inlineStr">
        <is>
          <t>Fixed monthly fee for integration</t>
        </is>
      </c>
    </row>
    <row r="41">
      <c r="A41" t="n">
        <v>20</v>
      </c>
      <c r="B41" t="inlineStr">
        <is>
          <t>Monthly V</t>
        </is>
      </c>
      <c r="C41" t="inlineStr">
        <is>
          <t>Integrated (PFM)</t>
        </is>
      </c>
      <c r="D41" t="inlineStr">
        <is>
          <t>Digital</t>
        </is>
      </c>
      <c r="E41" t="b">
        <v>1</v>
      </c>
      <c r="F41" t="b">
        <v>1</v>
      </c>
      <c r="G41" s="12" t="n">
        <v>353</v>
      </c>
      <c r="H41" t="inlineStr">
        <is>
          <t>per user</t>
        </is>
      </c>
      <c r="I41" s="13" t="n">
        <v>1</v>
      </c>
      <c r="J41" s="12">
        <f>IF(B41="Monthly F",G41,IF(B41="Monthly V",G41*I41,IF(B41="Annual",G41/12,0)))</f>
        <v/>
      </c>
      <c r="K41" s="12">
        <f>IF(B41="One-Time",G41,J41*12)</f>
        <v/>
      </c>
      <c r="L41" s="12">
        <f>IF(B41="One-Time",0,K41*(1+Metadata!$B$8))</f>
        <v/>
      </c>
      <c r="M41" s="12">
        <f>IF(B41="One-Time",0,L41*(1+Metadata!$B$8))</f>
        <v/>
      </c>
      <c r="N41" s="12">
        <f>IF(B41="One-Time",0,M41*(1+Metadata!$B$8))</f>
        <v/>
      </c>
      <c r="O41" s="12">
        <f>IF(B41="One-Time",0,N41*(1+Metadata!$B$8))</f>
        <v/>
      </c>
      <c r="P41" s="12">
        <f>IF(B41="One-Time",0,O41*(1+Metadata!$B$8))</f>
        <v/>
      </c>
      <c r="Q41" s="12">
        <f>IF(B41="One-Time",0,P41*(1+Metadata!$B$8))</f>
        <v/>
      </c>
      <c r="R41" s="12">
        <f>SUM(K41:Q41)</f>
        <v/>
      </c>
      <c r="S41" s="3" t="n">
        <v>0.85</v>
      </c>
      <c r="T41" t="inlineStr">
        <is>
          <t>470 users at $0.75 per user</t>
        </is>
      </c>
    </row>
    <row r="42">
      <c r="A42" t="n">
        <v>21</v>
      </c>
      <c r="B42" t="inlineStr">
        <is>
          <t>Monthly V</t>
        </is>
      </c>
      <c r="C42" t="inlineStr">
        <is>
          <t>Integrated (PFM) + Aggregation</t>
        </is>
      </c>
      <c r="D42" t="inlineStr">
        <is>
          <t>Digital</t>
        </is>
      </c>
      <c r="E42" t="b">
        <v>1</v>
      </c>
      <c r="F42" t="b">
        <v>1</v>
      </c>
      <c r="G42" s="12" t="n">
        <v>94</v>
      </c>
      <c r="H42" t="inlineStr">
        <is>
          <t>per user</t>
        </is>
      </c>
      <c r="I42" s="13" t="n">
        <v>1</v>
      </c>
      <c r="J42" s="12">
        <f>IF(B42="Monthly F",G42,IF(B42="Monthly V",G42*I42,IF(B42="Annual",G42/12,0)))</f>
        <v/>
      </c>
      <c r="K42" s="12">
        <f>IF(B42="One-Time",G42,J42*12)</f>
        <v/>
      </c>
      <c r="L42" s="12">
        <f>IF(B42="One-Time",0,K42*(1+Metadata!$B$8))</f>
        <v/>
      </c>
      <c r="M42" s="12">
        <f>IF(B42="One-Time",0,L42*(1+Metadata!$B$8))</f>
        <v/>
      </c>
      <c r="N42" s="12">
        <f>IF(B42="One-Time",0,M42*(1+Metadata!$B$8))</f>
        <v/>
      </c>
      <c r="O42" s="12">
        <f>IF(B42="One-Time",0,N42*(1+Metadata!$B$8))</f>
        <v/>
      </c>
      <c r="P42" s="12">
        <f>IF(B42="One-Time",0,O42*(1+Metadata!$B$8))</f>
        <v/>
      </c>
      <c r="Q42" s="12">
        <f>IF(B42="One-Time",0,P42*(1+Metadata!$B$8))</f>
        <v/>
      </c>
      <c r="R42" s="12">
        <f>SUM(K42:Q42)</f>
        <v/>
      </c>
      <c r="S42" s="3" t="n">
        <v>0.85</v>
      </c>
      <c r="T42" t="inlineStr">
        <is>
          <t>94 users at $1.00 per user</t>
        </is>
      </c>
    </row>
    <row r="43">
      <c r="A43" t="n">
        <v>19</v>
      </c>
      <c r="B43" t="inlineStr">
        <is>
          <t>Monthly V</t>
        </is>
      </c>
      <c r="C43" t="inlineStr">
        <is>
          <t>iPay Business Bill Pay Program</t>
        </is>
      </c>
      <c r="D43" t="inlineStr">
        <is>
          <t>Digital</t>
        </is>
      </c>
      <c r="E43" t="b">
        <v>1</v>
      </c>
      <c r="F43" t="b">
        <v>1</v>
      </c>
      <c r="G43" s="12" t="n">
        <v>737</v>
      </c>
      <c r="H43" t="inlineStr">
        <is>
          <t>per user + $0.45 per payment</t>
        </is>
      </c>
      <c r="I43" s="13" t="n">
        <v>1</v>
      </c>
      <c r="J43" s="12">
        <f>IF(B43="Monthly F",G43,IF(B43="Monthly V",G43*I43,IF(B43="Annual",G43/12,0)))</f>
        <v/>
      </c>
      <c r="K43" s="12">
        <f>IF(B43="One-Time",G43,J43*12)</f>
        <v/>
      </c>
      <c r="L43" s="12">
        <f>IF(B43="One-Time",0,K43*(1+Metadata!$B$8))</f>
        <v/>
      </c>
      <c r="M43" s="12">
        <f>IF(B43="One-Time",0,L43*(1+Metadata!$B$8))</f>
        <v/>
      </c>
      <c r="N43" s="12">
        <f>IF(B43="One-Time",0,M43*(1+Metadata!$B$8))</f>
        <v/>
      </c>
      <c r="O43" s="12">
        <f>IF(B43="One-Time",0,N43*(1+Metadata!$B$8))</f>
        <v/>
      </c>
      <c r="P43" s="12">
        <f>IF(B43="One-Time",0,O43*(1+Metadata!$B$8))</f>
        <v/>
      </c>
      <c r="Q43" s="12">
        <f>IF(B43="One-Time",0,P43*(1+Metadata!$B$8))</f>
        <v/>
      </c>
      <c r="R43" s="12">
        <f>SUM(K43:Q43)</f>
        <v/>
      </c>
      <c r="S43" s="3" t="n">
        <v>0.85</v>
      </c>
      <c r="T43" t="inlineStr">
        <is>
          <t>102 users at $5.95/user + 290 payments at $0.45/payment</t>
        </is>
      </c>
    </row>
    <row r="44">
      <c r="A44" t="n">
        <v>18</v>
      </c>
      <c r="B44" t="inlineStr">
        <is>
          <t>Monthly V</t>
        </is>
      </c>
      <c r="C44" t="inlineStr">
        <is>
          <t>iPay Online Bill Pay</t>
        </is>
      </c>
      <c r="D44" t="inlineStr">
        <is>
          <t>Digital</t>
        </is>
      </c>
      <c r="E44" t="b">
        <v>1</v>
      </c>
      <c r="F44" t="b">
        <v>1</v>
      </c>
      <c r="G44" s="12" t="n">
        <v>1328</v>
      </c>
      <c r="H44" t="inlineStr">
        <is>
          <t>per user</t>
        </is>
      </c>
      <c r="I44" s="13" t="n">
        <v>1</v>
      </c>
      <c r="J44" s="12">
        <f>IF(B44="Monthly F",G44,IF(B44="Monthly V",G44*I44,IF(B44="Annual",G44/12,0)))</f>
        <v/>
      </c>
      <c r="K44" s="12">
        <f>IF(B44="One-Time",G44,J44*12)</f>
        <v/>
      </c>
      <c r="L44" s="12">
        <f>IF(B44="One-Time",0,K44*(1+Metadata!$B$8))</f>
        <v/>
      </c>
      <c r="M44" s="12">
        <f>IF(B44="One-Time",0,L44*(1+Metadata!$B$8))</f>
        <v/>
      </c>
      <c r="N44" s="12">
        <f>IF(B44="One-Time",0,M44*(1+Metadata!$B$8))</f>
        <v/>
      </c>
      <c r="O44" s="12">
        <f>IF(B44="One-Time",0,N44*(1+Metadata!$B$8))</f>
        <v/>
      </c>
      <c r="P44" s="12">
        <f>IF(B44="One-Time",0,O44*(1+Metadata!$B$8))</f>
        <v/>
      </c>
      <c r="Q44" s="12">
        <f>IF(B44="One-Time",0,P44*(1+Metadata!$B$8))</f>
        <v/>
      </c>
      <c r="R44" s="12">
        <f>SUM(K44:Q44)</f>
        <v/>
      </c>
      <c r="S44" s="3" t="n">
        <v>0.85</v>
      </c>
      <c r="T44" t="inlineStr">
        <is>
          <t>1,398 users at $0.95 per user</t>
        </is>
      </c>
    </row>
  </sheetData>
  <dataValidations count="3">
    <dataValidation sqref="B2:B1000" showDropDown="0" showInputMessage="0" showErrorMessage="0" allowBlank="0" errorTitle="Invalid Entry" error="Invalid Fee Type" type="list">
      <formula1>=Enums!$A$2:$A$5</formula1>
    </dataValidation>
    <dataValidation sqref="D2:D1000" showDropDown="0" showInputMessage="0" showErrorMessage="0" allowBlank="0" errorTitle="Invalid Entry" error="Invalid Category" type="list">
      <formula1>=Enums!$B$2:$B$15</formula1>
    </dataValidation>
    <dataValidation sqref="E2:E1000 F2:F1000" showDropDown="0" showInputMessage="0" showErrorMessage="0" allowBlank="0" type="list">
      <formula1>=Enums!$C$2:$C$3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Annual Cost Breakdown (7-Year Projection)</t>
        </is>
      </c>
    </row>
    <row r="2">
      <c r="A2" s="11" t="inlineStr">
        <is>
          <t>Category</t>
        </is>
      </c>
      <c r="B2" s="11" t="inlineStr">
        <is>
          <t>Year 1</t>
        </is>
      </c>
      <c r="C2" s="11" t="inlineStr">
        <is>
          <t>Year 2</t>
        </is>
      </c>
      <c r="D2" s="11" t="inlineStr">
        <is>
          <t>Year 3</t>
        </is>
      </c>
      <c r="E2" s="11" t="inlineStr">
        <is>
          <t>Year 4</t>
        </is>
      </c>
      <c r="F2" s="11" t="inlineStr">
        <is>
          <t>Year 5</t>
        </is>
      </c>
      <c r="G2" s="11" t="inlineStr">
        <is>
          <t>Year 6</t>
        </is>
      </c>
      <c r="H2" s="11" t="inlineStr">
        <is>
          <t>Year 7</t>
        </is>
      </c>
    </row>
    <row r="3">
      <c r="A3" t="inlineStr">
        <is>
          <t>Required Annual Fees</t>
        </is>
      </c>
      <c r="B3" s="9">
        <f>SUMIFS('Line Items'!$K:$K,'Line Items'!$F:$F,FALSE)</f>
        <v/>
      </c>
      <c r="C3" s="9">
        <f>SUMIFS('Line Items'!$L:$L,'Line Items'!$F:$F,FALSE)</f>
        <v/>
      </c>
      <c r="D3" s="9">
        <f>SUMIFS('Line Items'!$M:$M,'Line Items'!$F:$F,FALSE)</f>
        <v/>
      </c>
      <c r="E3" s="9">
        <f>SUMIFS('Line Items'!$N:$N,'Line Items'!$F:$F,FALSE)</f>
        <v/>
      </c>
      <c r="F3" s="9">
        <f>SUMIFS('Line Items'!$O:$O,'Line Items'!$F:$F,FALSE)</f>
        <v/>
      </c>
      <c r="G3" s="9">
        <f>SUMIFS('Line Items'!$P:$P,'Line Items'!$F:$F,FALSE)</f>
        <v/>
      </c>
      <c r="H3" s="9">
        <f>SUMIFS('Line Items'!$Q:$Q,'Line Items'!$F:$F,FALSE)</f>
        <v/>
      </c>
    </row>
    <row r="4">
      <c r="A4" t="inlineStr">
        <is>
          <t>Optional Annual Fees</t>
        </is>
      </c>
      <c r="B4" s="9">
        <f>SUMIFS('Line Items'!$K:$K,'Line Items'!$F:$F,TRUE)</f>
        <v/>
      </c>
      <c r="C4" s="9">
        <f>SUMIFS('Line Items'!$L:$L,'Line Items'!$F:$F,TRUE)</f>
        <v/>
      </c>
      <c r="D4" s="9">
        <f>SUMIFS('Line Items'!$M:$M,'Line Items'!$F:$F,TRUE)</f>
        <v/>
      </c>
      <c r="E4" s="9">
        <f>SUMIFS('Line Items'!$N:$N,'Line Items'!$F:$F,TRUE)</f>
        <v/>
      </c>
      <c r="F4" s="9">
        <f>SUMIFS('Line Items'!$O:$O,'Line Items'!$F:$F,TRUE)</f>
        <v/>
      </c>
      <c r="G4" s="9">
        <f>SUMIFS('Line Items'!$P:$P,'Line Items'!$F:$F,TRUE)</f>
        <v/>
      </c>
      <c r="H4" s="9">
        <f>SUMIFS('Line Items'!$Q:$Q,'Line Items'!$F:$F,TRUE)</f>
        <v/>
      </c>
    </row>
    <row r="5">
      <c r="A5" s="14" t="inlineStr">
        <is>
          <t>Total Annual Cost</t>
        </is>
      </c>
      <c r="B5" s="15">
        <f>B3+B4</f>
        <v/>
      </c>
      <c r="C5" s="15">
        <f>C3+C4</f>
        <v/>
      </c>
      <c r="D5" s="15">
        <f>D3+D4</f>
        <v/>
      </c>
      <c r="E5" s="15">
        <f>E3+E4</f>
        <v/>
      </c>
      <c r="F5" s="15">
        <f>F3+F4</f>
        <v/>
      </c>
      <c r="G5" s="15">
        <f>G3+G4</f>
        <v/>
      </c>
      <c r="H5" s="15">
        <f>H3+H4</f>
        <v/>
      </c>
    </row>
    <row r="6">
      <c r="B6" s="9" t="n"/>
      <c r="C6" s="9" t="n"/>
      <c r="D6" s="9" t="n"/>
      <c r="E6" s="9" t="n"/>
      <c r="F6" s="9" t="n"/>
      <c r="G6" s="9" t="n"/>
      <c r="H6" s="9" t="n"/>
    </row>
    <row r="7">
      <c r="A7" s="10" t="n"/>
      <c r="B7" s="9" t="n"/>
      <c r="C7" s="9" t="n"/>
      <c r="D7" s="9" t="n"/>
      <c r="E7" s="9" t="n"/>
      <c r="F7" s="9" t="n"/>
      <c r="G7" s="9" t="n"/>
      <c r="H7" s="9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Total Cost of Ownership (TCO) Summary</t>
        </is>
      </c>
    </row>
    <row r="2">
      <c r="A2" s="6" t="inlineStr">
        <is>
          <t>Vendor:</t>
        </is>
      </c>
      <c r="B2" s="7">
        <f>Metadata!B2</f>
        <v/>
      </c>
    </row>
    <row r="4">
      <c r="A4" s="8" t="inlineStr">
        <is>
          <t>Category</t>
        </is>
      </c>
      <c r="B4" s="8" t="inlineStr">
        <is>
          <t>7-Year Total</t>
        </is>
      </c>
      <c r="C4" s="8" t="inlineStr">
        <is>
          <t>Monthly Average</t>
        </is>
      </c>
    </row>
    <row r="5">
      <c r="A5" t="inlineStr">
        <is>
          <t>Core</t>
        </is>
      </c>
      <c r="B5" s="9">
        <f>SUMIFS('Line Items'!$R:$R,'Line Items'!$D:$D,A5)</f>
        <v/>
      </c>
      <c r="C5" s="9">
        <f>B5/84</f>
        <v/>
      </c>
    </row>
    <row r="6">
      <c r="A6" t="inlineStr">
        <is>
          <t>Digital</t>
        </is>
      </c>
      <c r="B6" s="9">
        <f>SUMIFS('Line Items'!$R:$R,'Line Items'!$D:$D,A6)</f>
        <v/>
      </c>
      <c r="C6" s="9">
        <f>B6/84</f>
        <v/>
      </c>
    </row>
    <row r="7">
      <c r="A7" t="inlineStr">
        <is>
          <t>EFT</t>
        </is>
      </c>
      <c r="B7" s="9">
        <f>SUMIFS('Line Items'!$R:$R,'Line Items'!$D:$D,A7)</f>
        <v/>
      </c>
      <c r="C7" s="9">
        <f>B7/84</f>
        <v/>
      </c>
    </row>
    <row r="8">
      <c r="A8" t="inlineStr">
        <is>
          <t>Image Solutions</t>
        </is>
      </c>
      <c r="B8" s="9">
        <f>SUMIFS('Line Items'!$R:$R,'Line Items'!$D:$D,A8)</f>
        <v/>
      </c>
      <c r="C8" s="9">
        <f>B8/84</f>
        <v/>
      </c>
    </row>
    <row r="9">
      <c r="A9" t="inlineStr">
        <is>
          <t>Item Processing</t>
        </is>
      </c>
      <c r="B9" s="9">
        <f>SUMIFS('Line Items'!$R:$R,'Line Items'!$D:$D,A9)</f>
        <v/>
      </c>
      <c r="C9" s="9">
        <f>B9/84</f>
        <v/>
      </c>
    </row>
    <row r="10">
      <c r="A10" s="10" t="inlineStr">
        <is>
          <t>Other</t>
        </is>
      </c>
      <c r="B10" s="9">
        <f>SUMIFS('Line Items'!$R:$R,'Line Items'!$D:$D,A10)</f>
        <v/>
      </c>
      <c r="C10" s="9">
        <f>B10/84</f>
        <v/>
      </c>
    </row>
    <row r="11">
      <c r="A11" t="inlineStr">
        <is>
          <t>Risk, Fraud &amp; Compliance</t>
        </is>
      </c>
      <c r="B11" s="9">
        <f>SUMIFS('Line Items'!$R:$R,'Line Items'!$D:$D,A11)</f>
        <v/>
      </c>
      <c r="C11" s="9">
        <f>B11/84</f>
        <v/>
      </c>
    </row>
    <row r="12">
      <c r="A12" t="inlineStr">
        <is>
          <t>Optional Solutions</t>
        </is>
      </c>
      <c r="B12" s="9" t="n"/>
      <c r="C12" s="9" t="n"/>
    </row>
    <row r="13">
      <c r="A13" s="14" t="inlineStr">
        <is>
          <t>Total Required TCO</t>
        </is>
      </c>
      <c r="B13" s="15">
        <f>SUM(B5:B11)</f>
        <v/>
      </c>
      <c r="C13" s="15">
        <f>B13/84</f>
        <v/>
      </c>
    </row>
    <row r="14">
      <c r="A14" s="10" t="inlineStr">
        <is>
          <t>Grand Total (Required + Optional)</t>
        </is>
      </c>
      <c r="B14" s="9" t="n"/>
      <c r="C14" s="9" t="n"/>
    </row>
    <row r="15">
      <c r="A15" s="16" t="inlineStr">
        <is>
          <t>Optional Items Total</t>
        </is>
      </c>
      <c r="B15" s="12">
        <f>SUMIFS('Line Items'!$R:$R,'Line Items'!$F:$F,TRUE)</f>
        <v/>
      </c>
      <c r="C15" s="12">
        <f>B15/84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TCO Analysis - Proposal Metadata</t>
        </is>
      </c>
    </row>
    <row r="2">
      <c r="A2" s="2" t="inlineStr">
        <is>
          <t>Primary Vendor:</t>
        </is>
      </c>
      <c r="B2" t="inlineStr">
        <is>
          <t>LIBERTY_CAPITAL_BANK_CSI</t>
        </is>
      </c>
    </row>
    <row r="3">
      <c r="A3" s="2" t="inlineStr">
        <is>
          <t>Client Name:</t>
        </is>
      </c>
      <c r="B3" t="inlineStr">
        <is>
          <t>Liberty Capital &amp; Texas Heritage (COMBINED)</t>
        </is>
      </c>
    </row>
    <row r="4">
      <c r="A4" s="2" t="inlineStr">
        <is>
          <t>Proposal Type:</t>
        </is>
      </c>
      <c r="B4" t="inlineStr">
        <is>
          <t>CSI Pricing Proposal (Organic Growth 7-yr)</t>
        </is>
      </c>
    </row>
    <row r="5">
      <c r="A5" s="2" t="inlineStr">
        <is>
          <t>Proposal Date:</t>
        </is>
      </c>
      <c r="B5" t="inlineStr">
        <is>
          <t>2024-12-16</t>
        </is>
      </c>
    </row>
    <row r="6">
      <c r="A6" s="2" t="inlineStr">
        <is>
          <t>Contract Term (Years):</t>
        </is>
      </c>
      <c r="B6" t="n">
        <v>7</v>
      </c>
    </row>
    <row r="7">
      <c r="A7" s="2" t="inlineStr">
        <is>
          <t>Annual Growth Rate:</t>
        </is>
      </c>
      <c r="B7" s="3" t="n">
        <v>0.02</v>
      </c>
    </row>
    <row r="8">
      <c r="A8" s="2" t="inlineStr">
        <is>
          <t>Annual CPI Rate:</t>
        </is>
      </c>
      <c r="B8" s="3" t="n">
        <v>0.02</v>
      </c>
    </row>
    <row r="10">
      <c r="A10" s="2" t="inlineStr">
        <is>
          <t>Data Extraction Date:</t>
        </is>
      </c>
      <c r="B10" t="inlineStr">
        <is>
          <t>2025-12-14 15:03:03</t>
        </is>
      </c>
    </row>
    <row r="11">
      <c r="A11" s="2" t="n"/>
    </row>
    <row r="12">
      <c r="A12" s="2" t="inlineStr">
        <is>
          <t>Source Proposal File:</t>
        </is>
      </c>
      <c r="B1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2025-12-08T17:44:20Z</dcterms:created>
  <dcterms:modified xmlns:dcterms="http://purl.org/dc/terms/" xmlns:xsi="http://www.w3.org/2001/XMLSchema-instance" xsi:type="dcterms:W3CDTF">2025-12-14T21:03:03Z</dcterms:modified>
</cp:coreProperties>
</file>