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70" windowWidth="19420" windowHeight="10300" tabRatio="793" firstSheet="1" activeTab="1" autoFilterDateGrouping="1"/>
  </bookViews>
  <sheets>
    <sheet xmlns:r="http://schemas.openxmlformats.org/officeDocument/2006/relationships" name="Control" sheetId="1" state="hidden" r:id="rId1"/>
    <sheet xmlns:r="http://schemas.openxmlformats.org/officeDocument/2006/relationships" name="DeleteThisPageThenSave" sheetId="2" state="visible" r:id="rId2"/>
    <sheet xmlns:r="http://schemas.openxmlformats.org/officeDocument/2006/relationships" name="Confidentiality&amp;Non-Disclosure" sheetId="3" state="visible" r:id="rId3"/>
    <sheet xmlns:r="http://schemas.openxmlformats.org/officeDocument/2006/relationships" name="Line Items" sheetId="4" state="visible" r:id="rId4"/>
    <sheet xmlns:r="http://schemas.openxmlformats.org/officeDocument/2006/relationships" name="Years 1-7" sheetId="5" state="visible" r:id="rId5"/>
    <sheet xmlns:r="http://schemas.openxmlformats.org/officeDocument/2006/relationships" name="Summary" sheetId="6" state="visible" r:id="rId6"/>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thin">
        <color rgb="FF7F7F7F"/>
      </left>
      <right style="medium">
        <color indexed="64"/>
      </right>
      <top style="medium">
        <color indexed="64"/>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2">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5" fillId="8" borderId="55" applyAlignment="1" pivotButton="0" quotePrefix="0" xfId="0">
      <alignment horizontal="center"/>
    </xf>
    <xf numFmtId="0" fontId="5" fillId="8" borderId="7" applyAlignment="1" pivotButton="0" quotePrefix="0" xfId="0">
      <alignment horizontal="center"/>
    </xf>
    <xf numFmtId="0" fontId="5" fillId="8" borderId="57"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5" fillId="8" borderId="6" applyAlignment="1" pivotButton="0" quotePrefix="0" xfId="0">
      <alignment horizontal="center"/>
    </xf>
    <xf numFmtId="0" fontId="5" fillId="8" borderId="8" applyAlignment="1" pivotButton="0" quotePrefix="0" xfId="0">
      <alignment horizontal="center"/>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88"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2" applyAlignment="1" pivotButton="0" quotePrefix="0" xfId="0">
      <alignment horizontal="center" wrapText="1"/>
    </xf>
    <xf numFmtId="0" fontId="4" fillId="7" borderId="48" applyAlignment="1" pivotButton="0" quotePrefix="0" xfId="0">
      <alignment horizontal="center" wrapText="1"/>
    </xf>
    <xf numFmtId="0" fontId="4" fillId="6" borderId="93" applyAlignment="1" pivotButton="0" quotePrefix="0" xfId="0">
      <alignment horizontal="center"/>
    </xf>
    <xf numFmtId="0" fontId="0" fillId="0" borderId="45" pivotButton="0" quotePrefix="0" xfId="0"/>
    <xf numFmtId="0" fontId="0" fillId="0" borderId="46" pivotButton="0" quotePrefix="0" xfId="0"/>
    <xf numFmtId="0" fontId="4" fillId="4" borderId="88" applyAlignment="1" pivotButton="0" quotePrefix="0" xfId="0">
      <alignment horizontal="center"/>
    </xf>
    <xf numFmtId="0" fontId="4" fillId="6" borderId="94"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90"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5"/>
  <cols>
    <col width="14.5703125" customWidth="1"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
  <sheetViews>
    <sheetView tabSelected="1" workbookViewId="0">
      <selection activeCell="C3" sqref="C3"/>
    </sheetView>
  </sheetViews>
  <sheetFormatPr baseColWidth="8" defaultRowHeight="15"/>
  <sheetData>
    <row r="2">
      <c r="B2" t="inlineStr">
        <is>
          <t>OriginalFileName</t>
        </is>
      </c>
      <c r="C2" t="inlineStr">
        <is>
          <t>Echelon_Primary_TCO_v5_11_13_25.xlsx</t>
        </is>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5"/>
  <cols>
    <col width="19.28515625" customWidth="1" min="14" max="14"/>
  </cols>
  <sheetData>
    <row r="1" ht="15.75" customHeight="1" thickBot="1"/>
    <row r="2" ht="14.45" customHeight="1">
      <c r="B2" s="256"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57" t="n"/>
      <c r="D2" s="257" t="n"/>
      <c r="E2" s="257" t="n"/>
      <c r="F2" s="257" t="n"/>
      <c r="G2" s="257" t="n"/>
      <c r="H2" s="257" t="n"/>
      <c r="I2" s="257" t="n"/>
      <c r="J2" s="257" t="n"/>
      <c r="K2" s="257" t="n"/>
      <c r="L2" s="257" t="n"/>
      <c r="M2" s="257" t="n"/>
      <c r="N2" s="258" t="n"/>
      <c r="O2" s="67" t="n"/>
      <c r="P2" s="67" t="n"/>
      <c r="Q2" s="67" t="n"/>
      <c r="R2" s="67" t="n"/>
      <c r="S2" s="66" t="n"/>
      <c r="T2" s="66" t="n"/>
      <c r="U2" s="66" t="n"/>
    </row>
    <row r="3">
      <c r="B3" s="259" t="n"/>
      <c r="N3" s="260" t="n"/>
      <c r="O3" s="67" t="n"/>
      <c r="P3" s="67" t="n"/>
      <c r="Q3" s="67" t="n"/>
      <c r="R3" s="67" t="n"/>
      <c r="S3" s="66" t="n"/>
      <c r="T3" s="66" t="n"/>
      <c r="U3" s="66" t="n"/>
    </row>
    <row r="4">
      <c r="B4" s="259" t="n"/>
      <c r="N4" s="260" t="n"/>
      <c r="O4" s="67" t="n"/>
      <c r="P4" s="67" t="n"/>
      <c r="Q4" s="67" t="n"/>
      <c r="R4" s="67" t="n"/>
      <c r="S4" s="66" t="n"/>
      <c r="T4" s="66" t="n"/>
      <c r="U4" s="66" t="n"/>
    </row>
    <row r="5">
      <c r="B5" s="259" t="n"/>
      <c r="N5" s="260" t="n"/>
      <c r="O5" s="67" t="n"/>
      <c r="P5" s="67" t="n"/>
      <c r="Q5" s="67" t="n"/>
      <c r="R5" s="67" t="n"/>
      <c r="S5" s="66" t="n"/>
      <c r="T5" s="66" t="n"/>
      <c r="U5" s="66" t="n"/>
    </row>
    <row r="6">
      <c r="B6" s="259" t="n"/>
      <c r="N6" s="260" t="n"/>
      <c r="O6" s="67" t="n"/>
      <c r="P6" s="67" t="n"/>
      <c r="Q6" s="67" t="n"/>
      <c r="R6" s="67" t="n"/>
      <c r="S6" s="66" t="n"/>
      <c r="T6" s="66" t="n"/>
      <c r="U6" s="66" t="n"/>
    </row>
    <row r="7">
      <c r="B7" s="259" t="n"/>
      <c r="N7" s="260" t="n"/>
      <c r="O7" s="67" t="n"/>
      <c r="P7" s="67" t="n"/>
      <c r="Q7" s="67" t="n"/>
      <c r="R7" s="67" t="n"/>
      <c r="S7" s="66" t="n"/>
      <c r="T7" s="66" t="n"/>
      <c r="U7" s="66" t="n"/>
    </row>
    <row r="8">
      <c r="B8" s="259" t="n"/>
      <c r="N8" s="260" t="n"/>
      <c r="O8" s="67" t="n"/>
      <c r="P8" s="67" t="n"/>
      <c r="Q8" s="67" t="n"/>
      <c r="R8" s="67" t="n"/>
      <c r="S8" s="66" t="n"/>
      <c r="T8" s="66" t="n"/>
      <c r="U8" s="66" t="n"/>
    </row>
    <row r="9">
      <c r="B9" s="259" t="n"/>
      <c r="N9" s="260" t="n"/>
      <c r="O9" s="67" t="n"/>
      <c r="P9" s="67" t="n"/>
      <c r="Q9" s="67" t="n"/>
      <c r="R9" s="67" t="n"/>
      <c r="S9" s="66" t="n"/>
      <c r="T9" s="66" t="n"/>
      <c r="U9" s="66" t="n"/>
    </row>
    <row r="10">
      <c r="B10" s="259" t="n"/>
      <c r="N10" s="260" t="n"/>
      <c r="O10" s="67" t="n"/>
      <c r="P10" s="67" t="n"/>
      <c r="Q10" s="67" t="n"/>
      <c r="R10" s="67" t="n"/>
      <c r="S10" s="66" t="n"/>
      <c r="T10" s="66" t="n"/>
      <c r="U10" s="66" t="n"/>
    </row>
    <row r="11">
      <c r="B11" s="259" t="n"/>
      <c r="N11" s="260" t="n"/>
      <c r="O11" s="67" t="n"/>
      <c r="P11" s="67" t="n"/>
      <c r="Q11" s="67" t="n"/>
      <c r="R11" s="67" t="n"/>
      <c r="S11" s="66" t="n"/>
      <c r="T11" s="66" t="n"/>
      <c r="U11" s="66" t="n"/>
    </row>
    <row r="12">
      <c r="B12" s="259" t="n"/>
      <c r="N12" s="260" t="n"/>
      <c r="O12" s="67" t="n"/>
      <c r="P12" s="67" t="n"/>
      <c r="Q12" s="67" t="n"/>
      <c r="R12" s="67" t="n"/>
      <c r="S12" s="66" t="n"/>
      <c r="T12" s="66" t="n"/>
      <c r="U12" s="66" t="n"/>
    </row>
    <row r="13">
      <c r="B13" s="259" t="n"/>
      <c r="N13" s="260" t="n"/>
      <c r="O13" s="67" t="n"/>
      <c r="P13" s="67" t="n"/>
      <c r="Q13" s="67" t="n"/>
      <c r="R13" s="67" t="n"/>
      <c r="S13" s="66" t="n"/>
      <c r="T13" s="66" t="n"/>
      <c r="U13" s="66" t="n"/>
    </row>
    <row r="14" ht="15.75" customHeight="1" thickBot="1">
      <c r="B14" s="261" t="n"/>
      <c r="C14" s="183" t="n"/>
      <c r="D14" s="183" t="n"/>
      <c r="E14" s="183" t="n"/>
      <c r="F14" s="183" t="n"/>
      <c r="G14" s="183" t="n"/>
      <c r="H14" s="183" t="n"/>
      <c r="I14" s="183" t="n"/>
      <c r="J14" s="183" t="n"/>
      <c r="K14" s="183" t="n"/>
      <c r="L14" s="183" t="n"/>
      <c r="M14" s="183" t="n"/>
      <c r="N14" s="262"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baseColWidth="8" defaultRowHeight="15"/>
  <cols>
    <col width="2.28515625" customWidth="1" min="1" max="1"/>
    <col width="22.5703125" customWidth="1" min="2" max="2"/>
    <col outlineLevel="2" width="12.42578125" customWidth="1" min="3" max="3"/>
    <col width="12.42578125" customWidth="1" min="4" max="4"/>
    <col outlineLevel="2" width="10.85546875" customWidth="1" min="5" max="5"/>
    <col outlineLevel="2" width="10.28515625" customWidth="1" min="6" max="14"/>
    <col width="68.28515625" customWidth="1" min="15" max="15"/>
    <col width="36" bestFit="1" customWidth="1" min="16" max="16"/>
    <col width="18.85546875" customWidth="1" min="17" max="17"/>
    <col outlineLevel="1" width="16.140625" customWidth="1" min="18" max="18"/>
    <col outlineLevel="1" width="16.85546875" customWidth="1" min="19" max="23"/>
    <col outlineLevel="2" width="16.85546875" customWidth="1" min="24" max="25"/>
    <col outlineLevel="2" width="10.28515625" customWidth="1" min="26" max="27"/>
    <col outlineLevel="2" width="7.42578125" customWidth="1" min="28" max="28"/>
    <col outlineLevel="2" width="6.140625" customWidth="1" min="29" max="29"/>
    <col outlineLevel="2" width="9.5703125" customWidth="1" min="30" max="30"/>
    <col outlineLevel="2" width="10.5703125" customWidth="1" min="31" max="33"/>
    <col outlineLevel="2" width="13.140625" customWidth="1" min="34" max="34"/>
    <col outlineLevel="2" width="14" customWidth="1" min="35" max="35"/>
    <col outlineLevel="2" width="6.5703125" customWidth="1" min="36" max="37"/>
    <col outlineLevel="2" width="7.42578125" customWidth="1" min="38" max="38"/>
    <col outlineLevel="1" width="10.7109375" customWidth="1" min="39" max="39"/>
    <col width="15.28515625" bestFit="1" customWidth="1" min="40" max="40"/>
    <col width="1" customWidth="1" min="41" max="41"/>
    <col width="11.7109375" customWidth="1" min="42" max="42"/>
    <col width="12.42578125" customWidth="1" min="43" max="43"/>
    <col outlineLevel="2" width="9.7109375" customWidth="1" min="44" max="46"/>
    <col outlineLevel="2" width="10.7109375" customWidth="1" min="47" max="47"/>
    <col outlineLevel="2" width="10.28515625" customWidth="1" min="48" max="48"/>
    <col outlineLevel="2" width="10.7109375" customWidth="1" min="49" max="49"/>
    <col outlineLevel="2" width="10.28515625" customWidth="1" min="50" max="50"/>
    <col outlineLevel="2" width="9.7109375" customWidth="1" min="51" max="52"/>
    <col outlineLevel="2" width="10.7109375" customWidth="1" min="53" max="53"/>
    <col width="95" bestFit="1" customWidth="1" min="54" max="54"/>
    <col width="36.28515625" bestFit="1" customWidth="1" min="55" max="55"/>
    <col width="16" customWidth="1" min="56" max="56"/>
    <col outlineLevel="1" width="16" bestFit="1" customWidth="1" min="57" max="57"/>
    <col outlineLevel="1" width="14.5703125" customWidth="1" min="58" max="62"/>
    <col outlineLevel="2" width="14.5703125" customWidth="1" min="63" max="64"/>
    <col outlineLevel="2" width="10.28515625" customWidth="1" min="65" max="66"/>
    <col outlineLevel="2" width="7.42578125" customWidth="1" min="67" max="67"/>
    <col outlineLevel="2" width="7.5703125" customWidth="1" min="68" max="68"/>
    <col outlineLevel="2" width="9.28515625" customWidth="1" min="69" max="72"/>
    <col outlineLevel="2" width="9.85546875" customWidth="1" min="73" max="74"/>
    <col outlineLevel="2" width="6.5703125" customWidth="1" min="75" max="76"/>
    <col outlineLevel="2" width="7.5703125" customWidth="1" min="77" max="77"/>
    <col outlineLevel="1" width="11.28515625" bestFit="1" customWidth="1" min="78" max="78"/>
    <col width="17.7109375" bestFit="1" customWidth="1" min="79" max="79"/>
    <col width="1.28515625" customWidth="1" min="80" max="80"/>
    <col hidden="1" width="10.42578125" customWidth="1" min="81" max="81"/>
    <col hidden="1" width="12.42578125" customWidth="1" min="82" max="82"/>
    <col hidden="1" outlineLevel="2" width="9.7109375" customWidth="1" min="83" max="92"/>
    <col hidden="1" collapsed="1" width="54" customWidth="1" min="93" max="93"/>
    <col hidden="1" width="14.42578125" customWidth="1" min="94" max="94"/>
    <col hidden="1" outlineLevel="1" width="11.7109375" customWidth="1" min="95" max="95"/>
    <col hidden="1" outlineLevel="1" width="11.28515625" customWidth="1" min="96" max="96"/>
    <col hidden="1" outlineLevel="1" width="10.7109375" customWidth="1" min="97" max="99"/>
    <col hidden="1" outlineLevel="1" width="11.7109375" customWidth="1" min="100" max="100"/>
    <col hidden="1" outlineLevel="2" width="10.28515625" customWidth="1" min="101" max="104"/>
    <col hidden="1" outlineLevel="2" width="7.42578125" customWidth="1" min="105" max="105"/>
    <col hidden="1" outlineLevel="2" width="6.140625" customWidth="1" min="106" max="106"/>
    <col hidden="1" outlineLevel="2" width="9.28515625" customWidth="1" min="107" max="110"/>
    <col hidden="1" outlineLevel="2" width="6.5703125" customWidth="1" min="111" max="114"/>
    <col hidden="1" outlineLevel="2" width="7.42578125" customWidth="1" min="115" max="115"/>
    <col hidden="1" outlineLevel="1" collapsed="1" width="10.7109375" customWidth="1" min="116" max="116"/>
    <col hidden="1" collapsed="1" width="12.85546875" customWidth="1" min="117" max="117"/>
    <col width="1.5703125" customWidth="1" min="118" max="118"/>
  </cols>
  <sheetData>
    <row r="1" ht="27" customHeight="1" thickBot="1">
      <c r="O1" s="263" t="inlineStr">
        <is>
          <t>FIS</t>
        </is>
      </c>
      <c r="P1" s="264" t="n"/>
      <c r="Q1" s="264" t="n"/>
      <c r="R1" s="264" t="n"/>
      <c r="S1" s="264" t="n"/>
      <c r="T1" s="264" t="n"/>
      <c r="U1" s="264" t="n"/>
      <c r="V1" s="264" t="n"/>
      <c r="W1" s="264" t="n"/>
      <c r="X1" s="264" t="n"/>
      <c r="Y1" s="264" t="n"/>
      <c r="Z1" s="264" t="n"/>
      <c r="AA1" s="264" t="n"/>
      <c r="AB1" s="264" t="n"/>
      <c r="AC1" s="264" t="n"/>
      <c r="AD1" s="264" t="n"/>
      <c r="AE1" s="264" t="n"/>
      <c r="AF1" s="264" t="n"/>
      <c r="AG1" s="264" t="n"/>
      <c r="AH1" s="264" t="n"/>
      <c r="AI1" s="264" t="n"/>
      <c r="AJ1" s="264" t="n"/>
      <c r="AK1" s="264" t="n"/>
      <c r="AL1" s="264" t="n"/>
      <c r="AM1" s="264" t="n"/>
      <c r="AN1" s="265" t="n"/>
      <c r="BB1" s="266" t="inlineStr">
        <is>
          <t>Jack Henry</t>
        </is>
      </c>
      <c r="BC1" s="267" t="n"/>
      <c r="BD1" s="267" t="n"/>
      <c r="BE1" s="267" t="n"/>
      <c r="BF1" s="267" t="n"/>
      <c r="BG1" s="267" t="n"/>
      <c r="BH1" s="267" t="n"/>
      <c r="BI1" s="267" t="n"/>
      <c r="BJ1" s="267" t="n"/>
      <c r="BK1" s="267" t="n"/>
      <c r="BL1" s="267" t="n"/>
      <c r="BM1" s="267" t="n"/>
      <c r="BN1" s="267" t="n"/>
      <c r="BO1" s="267" t="n"/>
      <c r="BP1" s="267" t="n"/>
      <c r="BQ1" s="267" t="n"/>
      <c r="BR1" s="267" t="n"/>
      <c r="BS1" s="267" t="n"/>
      <c r="BT1" s="267" t="n"/>
      <c r="BU1" s="267" t="n"/>
      <c r="BV1" s="267" t="n"/>
      <c r="BW1" s="267" t="n"/>
      <c r="BX1" s="267" t="n"/>
      <c r="BY1" s="267" t="n"/>
      <c r="BZ1" s="267" t="n"/>
      <c r="CA1" s="268"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5.75" customHeight="1"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thickBot="1">
      <c r="B4" s="269" t="inlineStr">
        <is>
          <t>Type (Monthly/Annual)</t>
        </is>
      </c>
      <c r="C4" s="153" t="n"/>
      <c r="D4" s="270" t="inlineStr">
        <is>
          <t>Average Monthly QTY</t>
        </is>
      </c>
      <c r="E4" s="271" t="inlineStr">
        <is>
          <t>Quantity Per Year with Growth</t>
        </is>
      </c>
      <c r="F4" s="272" t="n"/>
      <c r="G4" s="272" t="n"/>
      <c r="H4" s="272" t="n"/>
      <c r="I4" s="272" t="n"/>
      <c r="J4" s="272" t="n"/>
      <c r="K4" s="272" t="n"/>
      <c r="L4" s="272" t="n"/>
      <c r="M4" s="272" t="n"/>
      <c r="N4" s="273" t="n"/>
      <c r="O4" s="274" t="inlineStr">
        <is>
          <t>FIS</t>
        </is>
      </c>
      <c r="P4" s="264" t="n"/>
      <c r="Q4" s="264" t="n"/>
      <c r="R4" s="264" t="n"/>
      <c r="S4" s="264" t="n"/>
      <c r="T4" s="264" t="n"/>
      <c r="U4" s="264" t="n"/>
      <c r="V4" s="264" t="n"/>
      <c r="W4" s="264" t="n"/>
      <c r="X4" s="264" t="n"/>
      <c r="Y4" s="264" t="n"/>
      <c r="Z4" s="264" t="n"/>
      <c r="AA4" s="264" t="n"/>
      <c r="AB4" s="264" t="n"/>
      <c r="AC4" s="264" t="n"/>
      <c r="AD4" s="264" t="n"/>
      <c r="AE4" s="264" t="n"/>
      <c r="AF4" s="264" t="n"/>
      <c r="AG4" s="264" t="n"/>
      <c r="AH4" s="264" t="n"/>
      <c r="AI4" s="264" t="n"/>
      <c r="AJ4" s="264" t="n"/>
      <c r="AK4" s="264" t="n"/>
      <c r="AL4" s="264" t="n"/>
      <c r="AM4" s="264" t="n"/>
      <c r="AN4" s="265" t="n"/>
      <c r="AP4" s="227" t="inlineStr">
        <is>
          <t>Type (Monthly/Annual)</t>
        </is>
      </c>
      <c r="AQ4" s="219" t="inlineStr">
        <is>
          <t>Average Monthly QTY</t>
        </is>
      </c>
      <c r="AR4" s="275" t="inlineStr">
        <is>
          <t>Quantity Per Year with Growth</t>
        </is>
      </c>
      <c r="AS4" s="257" t="n"/>
      <c r="AT4" s="257" t="n"/>
      <c r="AU4" s="257" t="n"/>
      <c r="AV4" s="257" t="n"/>
      <c r="AW4" s="257" t="n"/>
      <c r="AX4" s="257" t="n"/>
      <c r="AY4" s="257" t="n"/>
      <c r="AZ4" s="257" t="n"/>
      <c r="BA4" s="258" t="n"/>
      <c r="BB4" s="276" t="inlineStr">
        <is>
          <t>Jack Henry</t>
        </is>
      </c>
      <c r="BC4" s="267" t="n"/>
      <c r="BD4" s="267" t="n"/>
      <c r="BE4" s="267" t="n"/>
      <c r="BF4" s="267" t="n"/>
      <c r="BG4" s="267" t="n"/>
      <c r="BH4" s="267" t="n"/>
      <c r="BI4" s="267" t="n"/>
      <c r="BJ4" s="267" t="n"/>
      <c r="BK4" s="267" t="n"/>
      <c r="BL4" s="267" t="n"/>
      <c r="BM4" s="267" t="n"/>
      <c r="BN4" s="267" t="n"/>
      <c r="BO4" s="267" t="n"/>
      <c r="BP4" s="267" t="n"/>
      <c r="BQ4" s="267" t="n"/>
      <c r="BR4" s="267" t="n"/>
      <c r="BS4" s="267" t="n"/>
      <c r="BT4" s="267" t="n"/>
      <c r="BU4" s="267" t="n"/>
      <c r="BV4" s="267" t="n"/>
      <c r="BW4" s="267" t="n"/>
      <c r="BX4" s="267" t="n"/>
      <c r="BY4" s="267" t="n"/>
      <c r="BZ4" s="267" t="n"/>
      <c r="CA4" s="268" t="n"/>
      <c r="CC4" s="227" t="inlineStr">
        <is>
          <t>Type (Monthly/Annual)</t>
        </is>
      </c>
      <c r="CD4" s="219" t="inlineStr">
        <is>
          <t>Average Monthly QTY</t>
        </is>
      </c>
      <c r="CE4" s="275" t="inlineStr">
        <is>
          <t>Quantity Per Year with Growth</t>
        </is>
      </c>
      <c r="CF4" s="257" t="n"/>
      <c r="CG4" s="257" t="n"/>
      <c r="CH4" s="257" t="n"/>
      <c r="CI4" s="257" t="n"/>
      <c r="CJ4" s="257" t="n"/>
      <c r="CK4" s="257" t="n"/>
      <c r="CL4" s="257" t="n"/>
      <c r="CM4" s="257" t="n"/>
      <c r="CN4" s="258" t="n"/>
      <c r="CO4" s="277" t="inlineStr">
        <is>
          <t>Vendor 3</t>
        </is>
      </c>
      <c r="CP4" s="267" t="n"/>
      <c r="CQ4" s="267" t="n"/>
      <c r="CR4" s="267" t="n"/>
      <c r="CS4" s="267" t="n"/>
      <c r="CT4" s="267" t="n"/>
      <c r="CU4" s="267" t="n"/>
      <c r="CV4" s="267" t="n"/>
      <c r="CW4" s="267" t="n"/>
      <c r="CX4" s="267" t="n"/>
      <c r="CY4" s="267" t="n"/>
      <c r="CZ4" s="267" t="n"/>
      <c r="DA4" s="267" t="n"/>
      <c r="DB4" s="267" t="n"/>
      <c r="DC4" s="267" t="n"/>
      <c r="DD4" s="267" t="n"/>
      <c r="DE4" s="267" t="n"/>
      <c r="DF4" s="267" t="n"/>
      <c r="DG4" s="267" t="n"/>
      <c r="DH4" s="267" t="n"/>
      <c r="DI4" s="267" t="n"/>
      <c r="DJ4" s="267" t="n"/>
      <c r="DK4" s="267" t="n"/>
      <c r="DL4" s="267" t="n"/>
      <c r="DM4" s="268" t="n"/>
    </row>
    <row r="5" ht="45.75" customHeight="1" thickBot="1">
      <c r="B5" s="278" t="n"/>
      <c r="C5" s="10" t="inlineStr">
        <is>
          <t>Proposal
(11/2025)</t>
        </is>
      </c>
      <c r="D5" s="183"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59" t="n"/>
      <c r="AQ5" s="279" t="n"/>
      <c r="AR5" s="71" t="inlineStr">
        <is>
          <t>Year 1 Quantity</t>
        </is>
      </c>
      <c r="AS5" s="71" t="inlineStr">
        <is>
          <t>Year 2 Quantity</t>
        </is>
      </c>
      <c r="AT5" s="71" t="inlineStr">
        <is>
          <t>Year 3 Quantity</t>
        </is>
      </c>
      <c r="AU5" s="71" t="inlineStr">
        <is>
          <t>Year 4 Quantity</t>
        </is>
      </c>
      <c r="AV5" s="71" t="inlineStr">
        <is>
          <t>Year 5 Quantity</t>
        </is>
      </c>
      <c r="AW5" s="71" t="inlineStr">
        <is>
          <t>Year 6 Quantity</t>
        </is>
      </c>
      <c r="AX5" s="71" t="inlineStr">
        <is>
          <t>Year 7 Quantity</t>
        </is>
      </c>
      <c r="AY5" s="71" t="inlineStr">
        <is>
          <t>Year 8 Quantity</t>
        </is>
      </c>
      <c r="AZ5" s="71"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59" t="n"/>
      <c r="CD5" s="279" t="n"/>
      <c r="CE5" s="71" t="inlineStr">
        <is>
          <t>Year 1 Quantity</t>
        </is>
      </c>
      <c r="CF5" s="71" t="inlineStr">
        <is>
          <t>Year 2 Quantity</t>
        </is>
      </c>
      <c r="CG5" s="71" t="inlineStr">
        <is>
          <t>Year 3 Quantity</t>
        </is>
      </c>
      <c r="CH5" s="71" t="inlineStr">
        <is>
          <t>Year 4 Quantity</t>
        </is>
      </c>
      <c r="CI5" s="71" t="inlineStr">
        <is>
          <t>Year 5 Quantity</t>
        </is>
      </c>
      <c r="CJ5" s="71" t="inlineStr">
        <is>
          <t>Year 6 Quantity</t>
        </is>
      </c>
      <c r="CK5" s="71" t="inlineStr">
        <is>
          <t>Year 7 Quantity</t>
        </is>
      </c>
      <c r="CL5" s="71" t="inlineStr">
        <is>
          <t>Year 8 Quantity</t>
        </is>
      </c>
      <c r="CM5" s="71"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5.75" customHeight="1" thickBot="1">
      <c r="B6" s="280" t="inlineStr">
        <is>
          <t>Recurring Monthly and Annual Fees - Bundle FIS products</t>
        </is>
      </c>
      <c r="C6" s="267" t="n"/>
      <c r="D6" s="267" t="n"/>
      <c r="E6" s="267" t="n"/>
      <c r="F6" s="267" t="n"/>
      <c r="G6" s="267" t="n"/>
      <c r="H6" s="267" t="n"/>
      <c r="I6" s="267" t="n"/>
      <c r="J6" s="267" t="n"/>
      <c r="K6" s="267" t="n"/>
      <c r="L6" s="267" t="n"/>
      <c r="M6" s="267" t="n"/>
      <c r="N6" s="267" t="n"/>
      <c r="O6" s="267" t="n"/>
      <c r="P6" s="267" t="n"/>
      <c r="Q6" s="267" t="n"/>
      <c r="R6" s="267" t="n"/>
      <c r="S6" s="267" t="n"/>
      <c r="T6" s="267" t="n"/>
      <c r="U6" s="267" t="n"/>
      <c r="V6" s="267" t="n"/>
      <c r="W6" s="267" t="n"/>
      <c r="X6" s="267" t="n"/>
      <c r="Y6" s="267" t="n"/>
      <c r="Z6" s="267" t="n"/>
      <c r="AA6" s="267" t="n"/>
      <c r="AB6" s="267" t="n"/>
      <c r="AC6" s="267" t="n"/>
      <c r="AD6" s="267" t="n"/>
      <c r="AE6" s="267" t="n"/>
      <c r="AF6" s="267" t="n"/>
      <c r="AG6" s="267" t="n"/>
      <c r="AH6" s="267" t="n"/>
      <c r="AI6" s="267" t="n"/>
      <c r="AJ6" s="267" t="n"/>
      <c r="AK6" s="267" t="n"/>
      <c r="AL6" s="267" t="n"/>
      <c r="AM6" s="267" t="n"/>
      <c r="AN6" s="281" t="n"/>
      <c r="AP6" s="282" t="inlineStr">
        <is>
          <t>Recurring Monthly and Annual Fees Jack Henry Product</t>
        </is>
      </c>
      <c r="AQ6" s="267" t="n"/>
      <c r="AR6" s="267" t="n"/>
      <c r="AS6" s="267" t="n"/>
      <c r="AT6" s="267" t="n"/>
      <c r="AU6" s="267" t="n"/>
      <c r="AV6" s="267" t="n"/>
      <c r="AW6" s="267" t="n"/>
      <c r="AX6" s="267" t="n"/>
      <c r="AY6" s="267" t="n"/>
      <c r="AZ6" s="267" t="n"/>
      <c r="BA6" s="267" t="n"/>
      <c r="BB6" s="267" t="n"/>
      <c r="BC6" s="267" t="n"/>
      <c r="BD6" s="267" t="n"/>
      <c r="BE6" s="267" t="n"/>
      <c r="BF6" s="267" t="n"/>
      <c r="BG6" s="267" t="n"/>
      <c r="BH6" s="267" t="n"/>
      <c r="BI6" s="267" t="n"/>
      <c r="BJ6" s="267" t="n"/>
      <c r="BK6" s="267" t="n"/>
      <c r="BL6" s="267" t="n"/>
      <c r="BM6" s="267" t="n"/>
      <c r="BN6" s="267" t="n"/>
      <c r="BO6" s="267" t="n"/>
      <c r="BP6" s="267" t="n"/>
      <c r="BQ6" s="267" t="n"/>
      <c r="BR6" s="267" t="n"/>
      <c r="BS6" s="267" t="n"/>
      <c r="BT6" s="267" t="n"/>
      <c r="BU6" s="267" t="n"/>
      <c r="BV6" s="267" t="n"/>
      <c r="BW6" s="267" t="n"/>
      <c r="BX6" s="267" t="n"/>
      <c r="BY6" s="267" t="n"/>
      <c r="BZ6" s="267" t="n"/>
      <c r="CA6" s="268" t="n"/>
      <c r="CC6" s="282" t="inlineStr">
        <is>
          <t>Recurring Monthly and Annual Fees</t>
        </is>
      </c>
      <c r="CD6" s="267" t="n"/>
      <c r="CE6" s="267" t="n"/>
      <c r="CF6" s="267" t="n"/>
      <c r="CG6" s="267" t="n"/>
      <c r="CH6" s="267" t="n"/>
      <c r="CI6" s="267" t="n"/>
      <c r="CJ6" s="267" t="n"/>
      <c r="CK6" s="267" t="n"/>
      <c r="CL6" s="267" t="n"/>
      <c r="CM6" s="267" t="n"/>
      <c r="CN6" s="267" t="n"/>
      <c r="CO6" s="267" t="n"/>
      <c r="CP6" s="267" t="n"/>
      <c r="CQ6" s="267" t="n"/>
      <c r="CR6" s="267" t="n"/>
      <c r="CS6" s="267" t="n"/>
      <c r="CT6" s="267" t="n"/>
      <c r="CU6" s="267" t="n"/>
      <c r="CV6" s="267" t="n"/>
      <c r="CW6" s="267" t="n"/>
      <c r="CX6" s="267" t="n"/>
      <c r="CY6" s="267" t="n"/>
      <c r="CZ6" s="267" t="n"/>
      <c r="DA6" s="267" t="n"/>
      <c r="DB6" s="267" t="n"/>
      <c r="DC6" s="267" t="n"/>
      <c r="DD6" s="267" t="n"/>
      <c r="DE6" s="267" t="n"/>
      <c r="DF6" s="267" t="n"/>
      <c r="DG6" s="267" t="n"/>
      <c r="DH6" s="267" t="n"/>
      <c r="DI6" s="267" t="n"/>
      <c r="DJ6" s="267" t="n"/>
      <c r="DK6" s="267" t="n"/>
      <c r="DL6" s="267" t="n"/>
      <c r="DM6" s="268" t="n"/>
    </row>
    <row r="7">
      <c r="B7" s="141" t="inlineStr">
        <is>
          <t>Monthly F</t>
        </is>
      </c>
      <c r="C7" s="24" t="n">
        <v>1</v>
      </c>
      <c r="D7" s="147">
        <f>IFERROR(AVERAGE(C7:C7),0)</f>
        <v/>
      </c>
      <c r="E7" s="142">
        <f>IF($B7="Annual",1,IF($B7="Monthly F",12,IF($B7="Monthly V",D7*12,IF($B7="One-Time",1,D7*12))))</f>
        <v/>
      </c>
      <c r="F7" s="14" t="n">
        <v>0</v>
      </c>
      <c r="G7" s="14" t="n">
        <v>0</v>
      </c>
      <c r="H7" s="14" t="n">
        <v>0</v>
      </c>
      <c r="I7" s="14" t="n">
        <v>0</v>
      </c>
      <c r="J7" s="14" t="n">
        <v>0</v>
      </c>
      <c r="K7" s="14" t="n">
        <v>0</v>
      </c>
      <c r="L7" s="14" t="n">
        <v>0</v>
      </c>
      <c r="M7" s="14" t="n">
        <v>0</v>
      </c>
      <c r="N7" s="14" t="n">
        <v>0</v>
      </c>
      <c r="O7" s="127" t="inlineStr">
        <is>
          <t>Year 1 CORE PROCESSING (Bundle)</t>
        </is>
      </c>
      <c r="P7" s="13" t="inlineStr">
        <is>
          <t>HORIZON CORE ACCOUNT PROCESSING</t>
        </is>
      </c>
      <c r="Q7" s="20" t="n">
        <v>15000</v>
      </c>
      <c r="R7" s="21">
        <f>S7/12</f>
        <v/>
      </c>
      <c r="S7" s="6">
        <f>IFERROR($Q7*E7,0)</f>
        <v/>
      </c>
      <c r="T7" s="6">
        <f>IFERROR($Q7*F7,0)</f>
        <v/>
      </c>
      <c r="U7" s="6">
        <f>IFERROR($Q7*G7,0)</f>
        <v/>
      </c>
      <c r="V7" s="6">
        <f>IFERROR($Q7*H7,0)</f>
        <v/>
      </c>
      <c r="W7" s="6">
        <f>IFERROR($Q7*I7,0)</f>
        <v/>
      </c>
      <c r="X7" s="6">
        <f>IFERROR($Q7*J7,0)</f>
        <v/>
      </c>
      <c r="Y7" s="6">
        <f>IFERROR($Q7*K7,0)</f>
        <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P7" s="114" t="inlineStr">
        <is>
          <t>Monthly V</t>
        </is>
      </c>
      <c r="AQ7" s="143" t="n">
        <v>5000</v>
      </c>
      <c r="AR7" s="14">
        <f>IF($AP7="Annual",1,IF($AP7="Monthly F",12,IF($AP7="Monthly V",AQ7*12,IF($AP7="One-Time",1,AQ7*12))))</f>
        <v/>
      </c>
      <c r="AS7" s="14">
        <f t="array" ref="AS7">IFERROR(_xlfn.IFS(VALUE(MID(AS$5,6,1))&gt;$D$2,0,$AP7="Annual",1,AR7=12,12,$AP7="Monthly V",AR7*(1+$BD$2),$AP7="Monthly F",12,$AP7="One-Time",0),AR7*(1+$BD$2))</f>
        <v/>
      </c>
      <c r="AT7" s="14">
        <f t="array" ref="AT7">IFERROR(_xlfn.IFS(VALUE(MID(AT$5,6,1))&gt;$D$2,0,$AP7="Annual",1,AS7=12,12,$AP7="Monthly V",AS7*(1+$BD$2),$AP7="Monthly F",12,$AP7="One-Time",0),AS7*(1+$BD$2))</f>
        <v/>
      </c>
      <c r="AU7" s="14">
        <f t="array" ref="AU7">IFERROR(_xlfn.IFS(VALUE(MID(AU$5,6,1))&gt;$D$2,0,$AP7="Annual",1,AT7=12,12,$AP7="Monthly V",AT7*(1+$BD$2),$AP7="Monthly F",12,$AP7="One-Time",0),AT7*(1+$BD$2))</f>
        <v/>
      </c>
      <c r="AV7" s="14">
        <f t="array" ref="AV7">IFERROR(_xlfn.IFS(VALUE(MID(AV$5,6,1))&gt;$D$2,0,$AP7="Annual",1,AU7=12,12,$AP7="Monthly V",AU7*(1+$BD$2),$AP7="Monthly F",12,$AP7="One-Time",0),AU7*(1+$BD$2))</f>
        <v/>
      </c>
      <c r="AW7" s="14">
        <f t="array" ref="AW7">IFERROR(_xlfn.IFS(VALUE(MID(AW$5,6,1))&gt;$D$2,0,$AP7="Annual",1,AV7=12,12,$AP7="Monthly V",AV7*(1+$BD$2),$AP7="Monthly F",12,$AP7="One-Time",0),AV7*(1+$BD$2))</f>
        <v/>
      </c>
      <c r="AX7" s="14">
        <f t="array" ref="AX7">IFERROR(_xlfn.IFS(VALUE(MID(AX$5,6,1))&gt;$D$2,0,$AP7="Annual",1,AW7=12,12,$AP7="Monthly V",AW7*(1+$BD$2),$AP7="Monthly F",12,$AP7="One-Time",0),AW7*(1+$BD$2))</f>
        <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6" t="inlineStr">
        <is>
          <t>SilverLake System Bundle</t>
        </is>
      </c>
      <c r="BC7" s="144" t="inlineStr">
        <is>
          <t>SilverLake</t>
        </is>
      </c>
      <c r="BD7" s="145" t="n">
        <v>1.2181</v>
      </c>
      <c r="BE7" s="146">
        <f>BF7/12</f>
        <v/>
      </c>
      <c r="BF7" s="39">
        <f>IFERROR(AR7*$BD7,0)</f>
        <v/>
      </c>
      <c r="BG7" s="39">
        <f>IFERROR(AS7*$BD7,0)</f>
        <v/>
      </c>
      <c r="BH7" s="39">
        <f>IFERROR(AT7*$BD7,0)</f>
        <v/>
      </c>
      <c r="BI7" s="39">
        <f>BH7*1.03</f>
        <v/>
      </c>
      <c r="BJ7" s="39">
        <f>BI7*1.03</f>
        <v/>
      </c>
      <c r="BK7" s="39">
        <f>BJ7*1.03</f>
        <v/>
      </c>
      <c r="BL7" s="39">
        <f>BK7*1.03</f>
        <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3" t="n"/>
      <c r="DS7" s="283" t="n"/>
    </row>
    <row r="8">
      <c r="B8" s="141" t="inlineStr">
        <is>
          <t>Monthly F</t>
        </is>
      </c>
      <c r="C8" s="24" t="n">
        <v>1</v>
      </c>
      <c r="D8" s="147">
        <f>IFERROR(AVERAGE(C8:C8),0)</f>
        <v/>
      </c>
      <c r="E8" s="142" t="n">
        <v>0</v>
      </c>
      <c r="F8" s="14">
        <f t="array" ref="F8">IFERROR(_xlfn.IFS(VALUE(MID(F$5,6,1))&gt;$D$2,0,$B8="Annual",1,E8=12,12,$B8="Monthly V",E8*(1+$D$3),$B8="Monthly F",12,$B8="One-Time",0),E8*(1+$D$3))</f>
        <v/>
      </c>
      <c r="G8" s="14" t="n">
        <v>0</v>
      </c>
      <c r="H8" s="14" t="n">
        <v>0</v>
      </c>
      <c r="I8" s="14" t="n">
        <v>0</v>
      </c>
      <c r="J8" s="14" t="n">
        <v>0</v>
      </c>
      <c r="K8" s="14" t="n">
        <v>0</v>
      </c>
      <c r="L8" s="14" t="n">
        <v>0</v>
      </c>
      <c r="M8" s="14" t="n">
        <v>0</v>
      </c>
      <c r="N8" s="14" t="n">
        <v>0</v>
      </c>
      <c r="O8" s="127" t="inlineStr">
        <is>
          <t>Year 2 CORE PROCESSING (Bundle)</t>
        </is>
      </c>
      <c r="P8" s="13" t="inlineStr">
        <is>
          <t>HORIZON CORE ACCOUNT PROCESSING</t>
        </is>
      </c>
      <c r="Q8" s="20" t="n">
        <v>17500</v>
      </c>
      <c r="R8" s="21">
        <f>S8/12</f>
        <v/>
      </c>
      <c r="S8" s="6">
        <f>IFERROR($Q8*E8,0)</f>
        <v/>
      </c>
      <c r="T8" s="6">
        <f>IFERROR($Q8*F8,0)</f>
        <v/>
      </c>
      <c r="U8" s="6">
        <f>IFERROR($Q8*G8,0)</f>
        <v/>
      </c>
      <c r="V8" s="6">
        <f>IFERROR($Q8*H8,0)</f>
        <v/>
      </c>
      <c r="W8" s="6">
        <f>IFERROR($Q8*I8,0)</f>
        <v/>
      </c>
      <c r="X8" s="6">
        <f>IFERROR($Q8*J8,0)</f>
        <v/>
      </c>
      <c r="Y8" s="6">
        <f>IFERROR($Q8*K8,0)</f>
        <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P8" s="102" t="inlineStr">
        <is>
          <t>Monthly V</t>
        </is>
      </c>
      <c r="AQ8" s="12" t="n">
        <v>1</v>
      </c>
      <c r="AR8" s="14">
        <f>IF($AP8="Annual",1,IF($AP8="Monthly F",12,IF($AP8="Monthly V",AQ8*12,IF($AP8="One-Time",1,AQ8*12))))</f>
        <v/>
      </c>
      <c r="AS8" s="14">
        <f t="array" ref="AS8">IFERROR(_xlfn.IFS(VALUE(MID(AS$5,6,1))&gt;$D$2,0,$AP8="Annual",1,AR8=12,12,$AP8="Monthly V",AR8*(1+$BD$2),$AP8="Monthly F",12,$AP8="One-Time",0),AR8*(1+$BD$2))</f>
        <v/>
      </c>
      <c r="AT8" s="14">
        <f t="array" ref="AT8">IFERROR(_xlfn.IFS(VALUE(MID(AT$5,6,1))&gt;$D$2,0,$AP8="Annual",1,AS8=12,12,$AP8="Monthly V",AS8*(1+$BD$2),$AP8="Monthly F",12,$AP8="One-Time",0),AS8*(1+$BD$2))</f>
        <v/>
      </c>
      <c r="AU8" s="14">
        <f t="array" ref="AU8">IFERROR(_xlfn.IFS(VALUE(MID(AU$5,6,1))&gt;$D$2,0,$AP8="Annual",1,AT8=12,12,$AP8="Monthly V",AT8*(1+$BD$2),$AP8="Monthly F",12,$AP8="One-Time",0),AT8*(1+$BD$2))</f>
        <v/>
      </c>
      <c r="AV8" s="14">
        <f t="array" ref="AV8">IFERROR(_xlfn.IFS(VALUE(MID(AV$5,6,1))&gt;$D$2,0,$AP8="Annual",1,AU8=12,12,$AP8="Monthly V",AU8*(1+$BD$2),$AP8="Monthly F",12,$AP8="One-Time",0),AU8*(1+$BD$2))</f>
        <v/>
      </c>
      <c r="AW8" s="14">
        <f t="array" ref="AW8">IFERROR(_xlfn.IFS(VALUE(MID(AW$5,6,1))&gt;$D$2,0,$AP8="Annual",1,AV8=12,12,$AP8="Monthly V",AV8*(1+$BD$2),$AP8="Monthly F",12,$AP8="One-Time",0),AV8*(1+$BD$2))</f>
        <v/>
      </c>
      <c r="AX8" s="14">
        <f t="array" ref="AX8">IFERROR(_xlfn.IFS(VALUE(MID(AX$5,6,1))&gt;$D$2,0,$AP8="Annual",1,AW8=12,12,$AP8="Monthly V",AW8*(1+$BD$2),$AP8="Monthly F",12,$AP8="One-Time",0),AW8*(1+$BD$2))</f>
        <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87" t="inlineStr">
        <is>
          <t>Closed Accounts (PAP)</t>
        </is>
      </c>
      <c r="BC8" s="38" t="inlineStr">
        <is>
          <t>SilverLake</t>
        </is>
      </c>
      <c r="BD8" s="36" t="n">
        <v>0.25</v>
      </c>
      <c r="BE8" s="21">
        <f>BF8/12</f>
        <v/>
      </c>
      <c r="BF8" s="39">
        <f>IFERROR(AR8*$BD8,0)</f>
        <v/>
      </c>
      <c r="BG8" s="39">
        <f>IFERROR(AS8*$BD8,0)</f>
        <v/>
      </c>
      <c r="BH8" s="39">
        <f>IFERROR(AT8*$BD8,0)</f>
        <v/>
      </c>
      <c r="BI8" s="39">
        <f>BH8*1.03</f>
        <v/>
      </c>
      <c r="BJ8" s="39">
        <f>IFERROR(AV8*$BD8,0)</f>
        <v/>
      </c>
      <c r="BK8" s="39">
        <f>IFERROR(AW8*$BD8,0)</f>
        <v/>
      </c>
      <c r="BL8" s="39">
        <f>IFERROR(AX8*$BD8,0)</f>
        <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3" t="n"/>
      <c r="DQ8" s="283" t="n"/>
      <c r="DR8" s="283" t="n"/>
      <c r="DS8" s="283" t="n"/>
    </row>
    <row r="9">
      <c r="B9" s="141" t="inlineStr">
        <is>
          <t>Monthly F</t>
        </is>
      </c>
      <c r="C9" s="24" t="n">
        <v>1</v>
      </c>
      <c r="D9" s="147">
        <f>IFERROR(AVERAGE(C9:C9),0)</f>
        <v/>
      </c>
      <c r="E9" s="14" t="n">
        <v>0</v>
      </c>
      <c r="F9" s="14" t="n">
        <v>0</v>
      </c>
      <c r="G9" s="14">
        <f t="array" ref="G9">IFERROR(_xlfn.IFS(VALUE(MID(G$5,6,1))&gt;$D$2,0,$B9="Annual",1,F9=12,12,$B9="Monthly V",F9*(1+$D$3),$B9="Monthly F",12,$B9="One-Time",0),F9*(1+$D$3))</f>
        <v/>
      </c>
      <c r="H9" s="14" t="n">
        <v>0</v>
      </c>
      <c r="I9" s="14" t="n">
        <v>0</v>
      </c>
      <c r="J9" s="14" t="n">
        <v>0</v>
      </c>
      <c r="K9" s="14" t="n">
        <v>0</v>
      </c>
      <c r="L9" s="14" t="n">
        <v>0</v>
      </c>
      <c r="M9" s="14" t="n">
        <v>0</v>
      </c>
      <c r="N9" s="14" t="n">
        <v>0</v>
      </c>
      <c r="O9" s="127" t="inlineStr">
        <is>
          <t>Year 3 CORE PROCESSING (Bundle)</t>
        </is>
      </c>
      <c r="P9" s="13" t="inlineStr">
        <is>
          <t>HORIZON CORE ACCOUNT PROCESSING</t>
        </is>
      </c>
      <c r="Q9" s="20" t="n">
        <v>22500</v>
      </c>
      <c r="R9" s="21">
        <f>S9/12</f>
        <v/>
      </c>
      <c r="S9" s="6">
        <f>IFERROR($Q9*E9,0)</f>
        <v/>
      </c>
      <c r="T9" s="6">
        <f>IFERROR($Q9*F9,0)</f>
        <v/>
      </c>
      <c r="U9" s="6">
        <f>IFERROR($Q9*G9,0)</f>
        <v/>
      </c>
      <c r="V9" s="6">
        <f>IFERROR($Q9*H9,0)</f>
        <v/>
      </c>
      <c r="W9" s="6">
        <f>IFERROR($Q9*I9,0)</f>
        <v/>
      </c>
      <c r="X9" s="6">
        <f>IFERROR($Q9*J9,0)</f>
        <v/>
      </c>
      <c r="Y9" s="6">
        <f>IFERROR($Q9*K9,0)</f>
        <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P9" s="102" t="inlineStr">
        <is>
          <t>Monthly F</t>
        </is>
      </c>
      <c r="AQ9" s="12" t="n">
        <v>1</v>
      </c>
      <c r="AR9" s="14">
        <f>IF($AP9="Annual",1,IF($AP9="Monthly F",12,IF($AP9="Monthly V",AQ9*12,IF($AP9="One-Time",1,AQ9*12))))</f>
        <v/>
      </c>
      <c r="AS9" s="14">
        <f t="array" ref="AS9">IFERROR(_xlfn.IFS(VALUE(MID(AS$5,6,1))&gt;$D$2,0,$AP9="Annual",1,AR9=12,12,$AP9="Monthly V",AR9*(1+$BD$2),$AP9="Monthly F",12,$AP9="One-Time",0),AR9*(1+$BD$2))</f>
        <v/>
      </c>
      <c r="AT9" s="14">
        <f t="array" ref="AT9">IFERROR(_xlfn.IFS(VALUE(MID(AT$5,6,1))&gt;$D$2,0,$AP9="Annual",1,AS9=12,12,$AP9="Monthly V",AS9*(1+$BD$2),$AP9="Monthly F",12,$AP9="One-Time",0),AS9*(1+$BD$2))</f>
        <v/>
      </c>
      <c r="AU9" s="14">
        <f t="array" ref="AU9">IFERROR(_xlfn.IFS(VALUE(MID(AU$5,6,1))&gt;$D$2,0,$AP9="Annual",1,AT9=12,12,$AP9="Monthly V",AT9*(1+$BD$2),$AP9="Monthly F",12,$AP9="One-Time",0),AT9*(1+$BD$2))</f>
        <v/>
      </c>
      <c r="AV9" s="14">
        <f t="array" ref="AV9">IFERROR(_xlfn.IFS(VALUE(MID(AV$5,6,1))&gt;$D$2,0,$AP9="Annual",1,AU9=12,12,$AP9="Monthly V",AU9*(1+$BD$2),$AP9="Monthly F",12,$AP9="One-Time",0),AU9*(1+$BD$2))</f>
        <v/>
      </c>
      <c r="AW9" s="14">
        <f t="array" ref="AW9">IFERROR(_xlfn.IFS(VALUE(MID(AW$5,6,1))&gt;$D$2,0,$AP9="Annual",1,AV9=12,12,$AP9="Monthly V",AV9*(1+$BD$2),$AP9="Monthly F",12,$AP9="One-Time",0),AV9*(1+$BD$2))</f>
        <v/>
      </c>
      <c r="AX9" s="14">
        <f t="array" ref="AX9">IFERROR(_xlfn.IFS(VALUE(MID(AX$5,6,1))&gt;$D$2,0,$AP9="Annual",1,AW9=12,12,$AP9="Monthly V",AW9*(1+$BD$2),$AP9="Monthly F",12,$AP9="One-Time",0),AW9*(1+$BD$2))</f>
        <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Daily File Transfer Integration IntraFi</t>
        </is>
      </c>
      <c r="BC9" s="38" t="inlineStr">
        <is>
          <t>SilverLake</t>
        </is>
      </c>
      <c r="BD9" s="36" t="n">
        <v>225</v>
      </c>
      <c r="BE9" s="21">
        <f>BF9/12</f>
        <v/>
      </c>
      <c r="BF9" s="39">
        <f>IFERROR(AR9*$BD9,0)</f>
        <v/>
      </c>
      <c r="BG9" s="39">
        <f>IFERROR(AS9*$BD9,0)</f>
        <v/>
      </c>
      <c r="BH9" s="39">
        <f>IFERROR(AT9*$BD9,0)</f>
        <v/>
      </c>
      <c r="BI9" s="39">
        <f>BH9*1.03</f>
        <v/>
      </c>
      <c r="BJ9" s="39">
        <f>BI9*1.03</f>
        <v/>
      </c>
      <c r="BK9" s="39">
        <f>BJ9*1.03</f>
        <v/>
      </c>
      <c r="BL9" s="39">
        <f>BK9*1.03</f>
        <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1</v>
      </c>
      <c r="D10" s="147">
        <f>IFERROR(AVERAGE(C10:C10),0)</f>
        <v/>
      </c>
      <c r="E10" s="14" t="n">
        <v>0</v>
      </c>
      <c r="F10" s="14" t="n">
        <v>0</v>
      </c>
      <c r="G10" s="14" t="n">
        <v>0</v>
      </c>
      <c r="H10" s="14">
        <f t="array" ref="H10">IFERROR(_xlfn.IFS(VALUE(MID(H$5,6,1))&gt;$D$2,0,$B10="Annual",1,G10=12,12,$B10="Monthly V",G10*(1+$D$3),$B10="Monthly F",12,$B10="One-Time",0),G10*(1+$D$3))</f>
        <v/>
      </c>
      <c r="I10" s="14" t="n">
        <v>0</v>
      </c>
      <c r="J10" s="14" t="n">
        <v>0</v>
      </c>
      <c r="K10" s="14" t="n">
        <v>0</v>
      </c>
      <c r="L10" s="14" t="n">
        <v>0</v>
      </c>
      <c r="M10" s="14" t="n">
        <v>0</v>
      </c>
      <c r="N10" s="14" t="n">
        <v>0</v>
      </c>
      <c r="O10" s="127" t="inlineStr">
        <is>
          <t>Year 4 CORE PROCESSING (Bundle)</t>
        </is>
      </c>
      <c r="P10" s="13" t="inlineStr">
        <is>
          <t>HORIZON CORE ACCOUNT PROCESSING</t>
        </is>
      </c>
      <c r="Q10" s="20" t="n">
        <v>28000</v>
      </c>
      <c r="R10" s="21">
        <f>S10/12</f>
        <v/>
      </c>
      <c r="S10" s="6">
        <f>IFERROR($Q10*E10,0)</f>
        <v/>
      </c>
      <c r="T10" s="6">
        <f>IFERROR($Q10*F10,0)</f>
        <v/>
      </c>
      <c r="U10" s="6">
        <f>IFERROR($Q10*G10,0)</f>
        <v/>
      </c>
      <c r="V10" s="6">
        <f>IFERROR($Q10*H10,0)</f>
        <v/>
      </c>
      <c r="W10" s="6">
        <f>IFERROR($Q10*I10,0)</f>
        <v/>
      </c>
      <c r="X10" s="6">
        <f>IFERROR($Q10*J10,0)</f>
        <v/>
      </c>
      <c r="Y10" s="6">
        <f>IFERROR($Q10*K10,0)</f>
        <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P10" s="102" t="inlineStr">
        <is>
          <t>Monthly V</t>
        </is>
      </c>
      <c r="AQ10" s="12" t="n">
        <v>5000</v>
      </c>
      <c r="AR10" s="14">
        <f>IF($AP10="Annual",1,IF($AP10="Monthly F",12,IF($AP10="Monthly V",AQ10*12,IF($AP10="One-Time",1,AQ10*12))))</f>
        <v/>
      </c>
      <c r="AS10" s="14">
        <f t="array" ref="AS10">IFERROR(_xlfn.IFS(VALUE(MID(AS$5,6,1))&gt;$D$2,0,$AP10="Annual",1,AR10=12,12,$AP10="Monthly V",AR10*(1+$BD$2),$AP10="Monthly F",12,$AP10="One-Time",0),AR10*(1+$BD$2))</f>
        <v/>
      </c>
      <c r="AT10" s="14">
        <f t="array" ref="AT10">IFERROR(_xlfn.IFS(VALUE(MID(AT$5,6,1))&gt;$D$2,0,$AP10="Annual",1,AS10=12,12,$AP10="Monthly V",AS10*(1+$BD$2),$AP10="Monthly F",12,$AP10="One-Time",0),AS10*(1+$BD$2))</f>
        <v/>
      </c>
      <c r="AU10" s="14">
        <f t="array" ref="AU10">IFERROR(_xlfn.IFS(VALUE(MID(AU$5,6,1))&gt;$D$2,0,$AP10="Annual",1,AT10=12,12,$AP10="Monthly V",AT10*(1+$BD$2),$AP10="Monthly F",12,$AP10="One-Time",0),AT10*(1+$BD$2))</f>
        <v/>
      </c>
      <c r="AV10" s="14">
        <f t="array" ref="AV10">IFERROR(_xlfn.IFS(VALUE(MID(AV$5,6,1))&gt;$D$2,0,$AP10="Annual",1,AU10=12,12,$AP10="Monthly V",AU10*(1+$BD$2),$AP10="Monthly F",12,$AP10="One-Time",0),AU10*(1+$BD$2))</f>
        <v/>
      </c>
      <c r="AW10" s="14">
        <f t="array" ref="AW10">IFERROR(_xlfn.IFS(VALUE(MID(AW$5,6,1))&gt;$D$2,0,$AP10="Annual",1,AV10=12,12,$AP10="Monthly V",AV10*(1+$BD$2),$AP10="Monthly F",12,$AP10="One-Time",0),AV10*(1+$BD$2))</f>
        <v/>
      </c>
      <c r="AX10" s="14">
        <f t="array" ref="AX10">IFERROR(_xlfn.IFS(VALUE(MID(AX$5,6,1))&gt;$D$2,0,$AP10="Annual",1,AW10=12,12,$AP10="Monthly V",AW10*(1+$BD$2),$AP10="Monthly F",12,$AP10="One-Time",0),AW10*(1+$BD$2))</f>
        <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Hosted Xperience</t>
        </is>
      </c>
      <c r="BC10" s="38" t="inlineStr">
        <is>
          <t>Xperience</t>
        </is>
      </c>
      <c r="BD10" s="36" t="n">
        <v>0.0225</v>
      </c>
      <c r="BE10" s="21">
        <f>BF10/12</f>
        <v/>
      </c>
      <c r="BF10" s="39">
        <f>IFERROR(AR10*$BD10,0)</f>
        <v/>
      </c>
      <c r="BG10" s="39">
        <f>IFERROR(AS10*$BD10,0)</f>
        <v/>
      </c>
      <c r="BH10" s="39">
        <f>IFERROR(AT10*$BD10,0)</f>
        <v/>
      </c>
      <c r="BI10" s="39">
        <f>BH10*1.03</f>
        <v/>
      </c>
      <c r="BJ10" s="39">
        <f>BI10*1.03</f>
        <v/>
      </c>
      <c r="BK10" s="39">
        <f>BJ10*1.03</f>
        <v/>
      </c>
      <c r="BL10" s="39">
        <f>BK10*1.03</f>
        <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1</v>
      </c>
      <c r="D11" s="147">
        <f>IFERROR(AVERAGE(C11:C11),0)</f>
        <v/>
      </c>
      <c r="E11" s="14" t="n">
        <v>0</v>
      </c>
      <c r="F11" s="14" t="n">
        <v>0</v>
      </c>
      <c r="G11" s="14" t="n">
        <v>0</v>
      </c>
      <c r="H11" s="14" t="n">
        <v>0</v>
      </c>
      <c r="I11" s="14">
        <f t="array" ref="I11">IFERROR(_xlfn.IFS(VALUE(MID(I$5,6,1))&gt;$D$2,0,$B11="Annual",1,H11=12,12,$B11="Monthly V",H11*(1+$D$3),$B11="Monthly F",12,$B11="One-Time",0),H11*(1+$D$3))</f>
        <v/>
      </c>
      <c r="J11" s="14" t="n">
        <v>0</v>
      </c>
      <c r="K11" s="14" t="n">
        <v>0</v>
      </c>
      <c r="L11" s="14" t="n">
        <v>0</v>
      </c>
      <c r="M11" s="14" t="n">
        <v>0</v>
      </c>
      <c r="N11" s="14" t="n">
        <v>0</v>
      </c>
      <c r="O11" s="127" t="inlineStr">
        <is>
          <t>Year 5 CORE PROCESSING (Bundle)</t>
        </is>
      </c>
      <c r="P11" s="13" t="inlineStr">
        <is>
          <t>HORIZON CORE ACCOUNT PROCESSING</t>
        </is>
      </c>
      <c r="Q11" s="20" t="n">
        <v>35000</v>
      </c>
      <c r="R11" s="21">
        <f>S11/12</f>
        <v/>
      </c>
      <c r="S11" s="6">
        <f>IFERROR($Q11*E11,0)</f>
        <v/>
      </c>
      <c r="T11" s="6">
        <f>IFERROR($Q11*F11,0)</f>
        <v/>
      </c>
      <c r="U11" s="6">
        <f>IFERROR($Q11*G11,0)</f>
        <v/>
      </c>
      <c r="V11" s="6">
        <f>IFERROR($Q11*H11,0)</f>
        <v/>
      </c>
      <c r="W11" s="6">
        <f>IFERROR($Q11*I11,0)</f>
        <v/>
      </c>
      <c r="X11" s="6">
        <f>IFERROR($Q11*J11,0)</f>
        <v/>
      </c>
      <c r="Y11" s="6">
        <f>IFERROR($Q11*K11,0)</f>
        <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P11" s="102" t="inlineStr">
        <is>
          <t>Monthly V</t>
        </is>
      </c>
      <c r="AQ11" s="12" t="n">
        <v>5000</v>
      </c>
      <c r="AR11" s="14">
        <f>IF($AP11="Annual",1,IF($AP11="Monthly F",12,IF($AP11="Monthly V",AQ11*12,IF($AP11="One-Time",1,AQ11*12))))</f>
        <v/>
      </c>
      <c r="AS11" s="14">
        <f t="array" ref="AS11">IFERROR(_xlfn.IFS(VALUE(MID(AS$5,6,1))&gt;$D$2,0,$AP11="Annual",1,AR11=12,12,$AP11="Monthly V",AR11*(1+$BD$2),$AP11="Monthly F",12,$AP11="One-Time",0),AR11*(1+$BD$2))</f>
        <v/>
      </c>
      <c r="AT11" s="14">
        <f t="array" ref="AT11">IFERROR(_xlfn.IFS(VALUE(MID(AT$5,6,1))&gt;$D$2,0,$AP11="Annual",1,AS11=12,12,$AP11="Monthly V",AS11*(1+$BD$2),$AP11="Monthly F",12,$AP11="One-Time",0),AS11*(1+$BD$2))</f>
        <v/>
      </c>
      <c r="AU11" s="14">
        <f t="array" ref="AU11">IFERROR(_xlfn.IFS(VALUE(MID(AU$5,6,1))&gt;$D$2,0,$AP11="Annual",1,AT11=12,12,$AP11="Monthly V",AT11*(1+$BD$2),$AP11="Monthly F",12,$AP11="One-Time",0),AT11*(1+$BD$2))</f>
        <v/>
      </c>
      <c r="AV11" s="14">
        <f t="array" ref="AV11">IFERROR(_xlfn.IFS(VALUE(MID(AV$5,6,1))&gt;$D$2,0,$AP11="Annual",1,AU11=12,12,$AP11="Monthly V",AU11*(1+$BD$2),$AP11="Monthly F",12,$AP11="One-Time",0),AU11*(1+$BD$2))</f>
        <v/>
      </c>
      <c r="AW11" s="14">
        <f t="array" ref="AW11">IFERROR(_xlfn.IFS(VALUE(MID(AW$5,6,1))&gt;$D$2,0,$AP11="Annual",1,AV11=12,12,$AP11="Monthly V",AV11*(1+$BD$2),$AP11="Monthly F",12,$AP11="One-Time",0),AV11*(1+$BD$2))</f>
        <v/>
      </c>
      <c r="AX11" s="14">
        <f t="array" ref="AX11">IFERROR(_xlfn.IFS(VALUE(MID(AX$5,6,1))&gt;$D$2,0,$AP11="Annual",1,AW11=12,12,$AP11="Monthly V",AW11*(1+$BD$2),$AP11="Monthly F",12,$AP11="One-Time",0),AW11*(1+$BD$2))</f>
        <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OnBoard Deposits</t>
        </is>
      </c>
      <c r="BC11" s="38" t="inlineStr">
        <is>
          <t>OnBoard</t>
        </is>
      </c>
      <c r="BD11" s="36" t="n">
        <v>0.1703</v>
      </c>
      <c r="BE11" s="21">
        <f>BF11/12</f>
        <v/>
      </c>
      <c r="BF11" s="39">
        <f>IFERROR(AR11*$BD11,0)</f>
        <v/>
      </c>
      <c r="BG11" s="39">
        <f>IFERROR(AS11*$BD11,0)</f>
        <v/>
      </c>
      <c r="BH11" s="39">
        <f>IFERROR(AT11*$BD11,0)</f>
        <v/>
      </c>
      <c r="BI11" s="39">
        <f>BH11*1.03</f>
        <v/>
      </c>
      <c r="BJ11" s="39">
        <f>BI11*1.03</f>
        <v/>
      </c>
      <c r="BK11" s="39">
        <f>BJ11*1.03</f>
        <v/>
      </c>
      <c r="BL11" s="39">
        <f>BK11*1.03</f>
        <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1</v>
      </c>
      <c r="D12" s="147">
        <f>IFERROR(AVERAGE(C12:C12),0)</f>
        <v/>
      </c>
      <c r="E12" s="14" t="n">
        <v>0</v>
      </c>
      <c r="F12" s="14" t="n">
        <v>0</v>
      </c>
      <c r="G12" s="14" t="n">
        <v>0</v>
      </c>
      <c r="H12" s="14" t="n">
        <v>0</v>
      </c>
      <c r="I12" s="14" t="n">
        <v>0</v>
      </c>
      <c r="J12" s="14">
        <f t="array" ref="J12">IFERROR(_xlfn.IFS(VALUE(MID(J$5,6,1))&gt;$D$2,0,$B12="Annual",1,I12=12,12,$B12="Monthly V",I12*(1+$D$3),$B12="Monthly F",12,$B12="One-Time",0),I12*(1+$D$3))</f>
        <v/>
      </c>
      <c r="K12" s="14" t="n">
        <v>0</v>
      </c>
      <c r="L12" s="14" t="n">
        <v>0</v>
      </c>
      <c r="M12" s="14" t="n">
        <v>0</v>
      </c>
      <c r="N12" s="14" t="n">
        <v>0</v>
      </c>
      <c r="O12" s="127" t="inlineStr">
        <is>
          <t>Year 6 CORE PROCESSING (Bundle) - CPI Increase Begins</t>
        </is>
      </c>
      <c r="P12" s="13" t="inlineStr">
        <is>
          <t>HORIZON CORE ACCOUNT PROCESSING</t>
        </is>
      </c>
      <c r="Q12" s="20" t="n">
        <v>35000</v>
      </c>
      <c r="R12" s="21">
        <f>S12/12</f>
        <v/>
      </c>
      <c r="S12" s="6">
        <f>IFERROR($Q12*E12,0)</f>
        <v/>
      </c>
      <c r="T12" s="6">
        <f>IFERROR($Q12*F12,0)</f>
        <v/>
      </c>
      <c r="U12" s="6">
        <f>IFERROR($Q12*G12,0)</f>
        <v/>
      </c>
      <c r="V12" s="6">
        <f>IFERROR($Q12*H12,0)</f>
        <v/>
      </c>
      <c r="W12" s="6">
        <f>IFERROR($Q12*I12,0)</f>
        <v/>
      </c>
      <c r="X12" s="6">
        <f>IFERROR($Q12*J12,0)</f>
        <v/>
      </c>
      <c r="Y12" s="6">
        <f>IFERROR($Q12*K12,0)</f>
        <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P12" s="102" t="inlineStr">
        <is>
          <t>Monthly V</t>
        </is>
      </c>
      <c r="AQ12" s="12" t="n">
        <v>5000</v>
      </c>
      <c r="AR12" s="14">
        <f>IF($AP12="Annual",1,IF($AP12="Monthly F",12,IF($AP12="Monthly V",AQ12*12,IF($AP12="One-Time",1,AQ12*12))))</f>
        <v/>
      </c>
      <c r="AS12" s="14">
        <f t="array" ref="AS12">IFERROR(_xlfn.IFS(VALUE(MID(AS$5,6,1))&gt;$D$2,0,$AP12="Annual",1,AR12=12,12,$AP12="Monthly V",AR12*(1+$BD$2),$AP12="Monthly F",12,$AP12="One-Time",0),AR12*(1+$BD$2))</f>
        <v/>
      </c>
      <c r="AT12" s="14">
        <f t="array" ref="AT12">IFERROR(_xlfn.IFS(VALUE(MID(AT$5,6,1))&gt;$D$2,0,$AP12="Annual",1,AS12=12,12,$AP12="Monthly V",AS12*(1+$BD$2),$AP12="Monthly F",12,$AP12="One-Time",0),AS12*(1+$BD$2))</f>
        <v/>
      </c>
      <c r="AU12" s="14">
        <f t="array" ref="AU12">IFERROR(_xlfn.IFS(VALUE(MID(AU$5,6,1))&gt;$D$2,0,$AP12="Annual",1,AT12=12,12,$AP12="Monthly V",AT12*(1+$BD$2),$AP12="Monthly F",12,$AP12="One-Time",0),AT12*(1+$BD$2))</f>
        <v/>
      </c>
      <c r="AV12" s="14">
        <f t="array" ref="AV12">IFERROR(_xlfn.IFS(VALUE(MID(AV$5,6,1))&gt;$D$2,0,$AP12="Annual",1,AU12=12,12,$AP12="Monthly V",AU12*(1+$BD$2),$AP12="Monthly F",12,$AP12="One-Time",0),AU12*(1+$BD$2))</f>
        <v/>
      </c>
      <c r="AW12" s="14">
        <f t="array" ref="AW12">IFERROR(_xlfn.IFS(VALUE(MID(AW$5,6,1))&gt;$D$2,0,$AP12="Annual",1,AV12=12,12,$AP12="Monthly V",AV12*(1+$BD$2),$AP12="Monthly F",12,$AP12="One-Time",0),AV12*(1+$BD$2))</f>
        <v/>
      </c>
      <c r="AX12" s="14">
        <f t="array" ref="AX12">IFERROR(_xlfn.IFS(VALUE(MID(AX$5,6,1))&gt;$D$2,0,$AP12="Annual",1,AW12=12,12,$AP12="Monthly V",AW12*(1+$BD$2),$AP12="Monthly F",12,$AP12="One-Time",0),AW12*(1+$BD$2))</f>
        <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Teller Cash Recycler</t>
        </is>
      </c>
      <c r="BC12" s="38" t="inlineStr">
        <is>
          <t>Teller</t>
        </is>
      </c>
      <c r="BD12" s="36" t="n">
        <v>0.03</v>
      </c>
      <c r="BE12" s="21">
        <f>BF12/12</f>
        <v/>
      </c>
      <c r="BF12" s="39">
        <f>IFERROR(AR12*$BD12,0)</f>
        <v/>
      </c>
      <c r="BG12" s="39">
        <f>IFERROR(AS12*$BD12,0)</f>
        <v/>
      </c>
      <c r="BH12" s="39">
        <f>IFERROR(AT12*$BD12,0)</f>
        <v/>
      </c>
      <c r="BI12" s="39">
        <f>BH12*1.03</f>
        <v/>
      </c>
      <c r="BJ12" s="39">
        <f>BI12*1.03</f>
        <v/>
      </c>
      <c r="BK12" s="39">
        <f>BJ12*1.03</f>
        <v/>
      </c>
      <c r="BL12" s="39">
        <f>BK12*1.03</f>
        <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F</t>
        </is>
      </c>
      <c r="C13" s="24" t="n">
        <v>1</v>
      </c>
      <c r="D13" s="147">
        <f>IFERROR(AVERAGE(C13:C13),0)</f>
        <v/>
      </c>
      <c r="E13" s="14" t="n">
        <v>0</v>
      </c>
      <c r="F13" s="14" t="n">
        <v>0</v>
      </c>
      <c r="G13" s="14" t="n">
        <v>0</v>
      </c>
      <c r="H13" s="14" t="n">
        <v>0</v>
      </c>
      <c r="I13" s="14" t="n">
        <v>0</v>
      </c>
      <c r="J13" s="14" t="n">
        <v>0</v>
      </c>
      <c r="K13" s="14">
        <f t="array" ref="K13">IFERROR(_xlfn.IFS(VALUE(MID(K$5,6,1))&gt;$D$2,0,$B13="Annual",1,J13=12,12,$B13="Monthly V",J13*(1+$D$3),$B13="Monthly F",12,$B13="One-Time",0),J13*(1+$D$3))</f>
        <v/>
      </c>
      <c r="L13" s="14" t="n">
        <v>0</v>
      </c>
      <c r="M13" s="14" t="n">
        <v>0</v>
      </c>
      <c r="N13" s="24" t="n">
        <v>0</v>
      </c>
      <c r="O13" s="127" t="inlineStr">
        <is>
          <t>Year 7 CORE PROCESSING (Bundle) - CPI Increase</t>
        </is>
      </c>
      <c r="P13" s="13" t="inlineStr">
        <is>
          <t>HORIZON CORE ACCOUNT PROCESSING</t>
        </is>
      </c>
      <c r="Q13" s="20">
        <f>AN12/12</f>
        <v/>
      </c>
      <c r="R13" s="21">
        <f>S13/12</f>
        <v/>
      </c>
      <c r="S13" s="6">
        <f>IFERROR($Q13*E13,0)</f>
        <v/>
      </c>
      <c r="T13" s="6">
        <f>IFERROR($Q13*F13,0)</f>
        <v/>
      </c>
      <c r="U13" s="6">
        <f>IFERROR($Q13*G13,0)</f>
        <v/>
      </c>
      <c r="V13" s="6">
        <f>IFERROR($Q13*H13,0)</f>
        <v/>
      </c>
      <c r="W13" s="6">
        <f>IFERROR($Q13*I13,0)</f>
        <v/>
      </c>
      <c r="X13" s="6">
        <f>IFERROR($Q13*J13,0)</f>
        <v/>
      </c>
      <c r="Y13" s="6">
        <f>IFERROR($Q13*K13,0)</f>
        <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P13" s="102" t="inlineStr">
        <is>
          <t>Monthly V</t>
        </is>
      </c>
      <c r="AQ13" s="12" t="n">
        <v>5000</v>
      </c>
      <c r="AR13" s="14">
        <f>IF($AP13="Annual",1,IF($AP13="Monthly F",12,IF($AP13="Monthly V",AQ13*12,IF($AP13="One-Time",1,AQ13*12))))</f>
        <v/>
      </c>
      <c r="AS13" s="14">
        <f t="array" ref="AS13">IFERROR(_xlfn.IFS(VALUE(MID(AS$5,6,1))&gt;$D$2,0,$AP13="Annual",1,AR13=12,12,$AP13="Monthly V",AR13*(1+$BD$2),$AP13="Monthly F",12,$AP13="One-Time",0),AR13*(1+$BD$2))</f>
        <v/>
      </c>
      <c r="AT13" s="14">
        <f t="array" ref="AT13">IFERROR(_xlfn.IFS(VALUE(MID(AT$5,6,1))&gt;$D$2,0,$AP13="Annual",1,AS13=12,12,$AP13="Monthly V",AS13*(1+$BD$2),$AP13="Monthly F",12,$AP13="One-Time",0),AS13*(1+$BD$2))</f>
        <v/>
      </c>
      <c r="AU13" s="14">
        <f t="array" ref="AU13">IFERROR(_xlfn.IFS(VALUE(MID(AU$5,6,1))&gt;$D$2,0,$AP13="Annual",1,AT13=12,12,$AP13="Monthly V",AT13*(1+$BD$2),$AP13="Monthly F",12,$AP13="One-Time",0),AT13*(1+$BD$2))</f>
        <v/>
      </c>
      <c r="AV13" s="14">
        <f t="array" ref="AV13">IFERROR(_xlfn.IFS(VALUE(MID(AV$5,6,1))&gt;$D$2,0,$AP13="Annual",1,AU13=12,12,$AP13="Monthly V",AU13*(1+$BD$2),$AP13="Monthly F",12,$AP13="One-Time",0),AU13*(1+$BD$2))</f>
        <v/>
      </c>
      <c r="AW13" s="14">
        <f t="array" ref="AW13">IFERROR(_xlfn.IFS(VALUE(MID(AW$5,6,1))&gt;$D$2,0,$AP13="Annual",1,AV13=12,12,$AP13="Monthly V",AV13*(1+$BD$2),$AP13="Monthly F",12,$AP13="One-Time",0),AV13*(1+$BD$2))</f>
        <v/>
      </c>
      <c r="AX13" s="14">
        <f t="array" ref="AX13">IFERROR(_xlfn.IFS(VALUE(MID(AX$5,6,1))&gt;$D$2,0,$AP13="Annual",1,AW13=12,12,$AP13="Monthly V",AW13*(1+$BD$2),$AP13="Monthly F",12,$AP13="One-Time",0),AW13*(1+$BD$2))</f>
        <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Teller CheckMaster Plus</t>
        </is>
      </c>
      <c r="BC13" s="38" t="inlineStr">
        <is>
          <t>Teller</t>
        </is>
      </c>
      <c r="BD13" s="36" t="n">
        <v>0.0135</v>
      </c>
      <c r="BE13" s="21">
        <f>BF13/12</f>
        <v/>
      </c>
      <c r="BF13" s="39">
        <f>IFERROR(AR13*$BD13,0)</f>
        <v/>
      </c>
      <c r="BG13" s="39">
        <f>IFERROR(AS13*$BD13,0)</f>
        <v/>
      </c>
      <c r="BH13" s="39">
        <f>IFERROR(AT13*$BD13,0)</f>
        <v/>
      </c>
      <c r="BI13" s="39">
        <f>BH13*1.03</f>
        <v/>
      </c>
      <c r="BJ13" s="39">
        <f>BI13*1.03</f>
        <v/>
      </c>
      <c r="BK13" s="39">
        <f>BJ13*1.03</f>
        <v/>
      </c>
      <c r="BL13" s="39">
        <f>BK13*1.03</f>
        <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n"/>
      <c r="C14" s="24" t="n"/>
      <c r="D14" s="147">
        <f>IFERROR(AVERAGE(C14:C14),0)</f>
        <v/>
      </c>
      <c r="E14" s="142">
        <f>IF($B14="Annual",1,IF($B14="Monthly F",12,IF($B14="Monthly V",D14*12,IF($B14="One-Time",1,D14*12))))</f>
        <v/>
      </c>
      <c r="F14" s="14">
        <f t="array" ref="F14">IFERROR(_xlfn.IFS(VALUE(MID(F$5,6,1))&gt;$D$2,0,$B14="Annual",1,E14=12,12,$B14="Monthly V",E14*(1+$D$3),$B14="Monthly F",12,$B14="One-Time",0),E14*(1+$D$3))</f>
        <v/>
      </c>
      <c r="G14" s="14">
        <f t="array" ref="G14">IFERROR(_xlfn.IFS(VALUE(MID(G$5,6,1))&gt;$D$2,0,$B14="Annual",1,F14=12,12,$B14="Monthly V",F14*(1+$D$3),$B14="Monthly F",12,$B14="One-Time",0),F14*(1+$D$3))</f>
        <v/>
      </c>
      <c r="H14" s="14">
        <f t="array" ref="H14">IFERROR(_xlfn.IFS(VALUE(MID(H$5,6,1))&gt;$D$2,0,$B14="Annual",1,G14=12,12,$B14="Monthly V",G14*(1+$D$3),$B14="Monthly F",12,$B14="One-Time",0),G14*(1+$D$3))</f>
        <v/>
      </c>
      <c r="I14" s="14">
        <f t="array" ref="I14">IFERROR(_xlfn.IFS(VALUE(MID(I$5,6,1))&gt;$D$2,0,$B14="Annual",1,H14=12,12,$B14="Monthly V",H14*(1+$D$3),$B14="Monthly F",12,$B14="One-Time",0),H14*(1+$D$3))</f>
        <v/>
      </c>
      <c r="J14" s="14">
        <f t="array" ref="J14">IFERROR(_xlfn.IFS(VALUE(MID(J$5,6,1))&gt;$D$2,0,$B14="Annual",1,I14=12,12,$B14="Monthly V",I14*(1+$D$3),$B14="Monthly F",12,$B14="One-Time",0),I14*(1+$D$3))</f>
        <v/>
      </c>
      <c r="K14" s="14">
        <f t="array" ref="K14">IFERROR(_xlfn.IFS(VALUE(MID(K$5,6,1))&gt;$D$2,0,$B14="Annual",1,J14=12,12,$B14="Monthly V",J14*(1+$D$3),$B14="Monthly F",12,$B14="One-Time",0),J14*(1+$D$3))</f>
        <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n"/>
      <c r="P14" s="13" t="n"/>
      <c r="Q14" s="20" t="n"/>
      <c r="R14" s="21">
        <f>S14/12</f>
        <v/>
      </c>
      <c r="S14" s="6">
        <f>IFERROR($Q14*E14,0)</f>
        <v/>
      </c>
      <c r="T14" s="6">
        <f>IFERROR($Q14*F14,0)</f>
        <v/>
      </c>
      <c r="U14" s="6">
        <f>IFERROR($Q14*G14,0)</f>
        <v/>
      </c>
      <c r="V14" s="6">
        <f>IFERROR($Q14*H14,0)</f>
        <v/>
      </c>
      <c r="W14" s="6">
        <f>IFERROR($Q14*I14,0)</f>
        <v/>
      </c>
      <c r="X14" s="6">
        <f>IFERROR($Q14*J14,0)</f>
        <v/>
      </c>
      <c r="Y14" s="6">
        <f>IFERROR($Q14*K14,0)</f>
        <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P14" s="102" t="inlineStr">
        <is>
          <t>Monthly V</t>
        </is>
      </c>
      <c r="AQ14" s="12" t="n">
        <v>5000</v>
      </c>
      <c r="AR14" s="14">
        <f>IF($AP14="Annual",1,IF($AP14="Monthly F",12,IF($AP14="Monthly V",AQ14*12,IF($AP14="One-Time",1,AQ14*12))))</f>
        <v/>
      </c>
      <c r="AS14" s="14">
        <f t="array" ref="AS14">IFERROR(_xlfn.IFS(VALUE(MID(AS$5,6,1))&gt;$D$2,0,$AP14="Annual",1,AR14=12,12,$AP14="Monthly V",AR14*(1+$BD$2),$AP14="Monthly F",12,$AP14="One-Time",0),AR14*(1+$BD$2))</f>
        <v/>
      </c>
      <c r="AT14" s="14">
        <f t="array" ref="AT14">IFERROR(_xlfn.IFS(VALUE(MID(AT$5,6,1))&gt;$D$2,0,$AP14="Annual",1,AS14=12,12,$AP14="Monthly V",AS14*(1+$BD$2),$AP14="Monthly F",12,$AP14="One-Time",0),AS14*(1+$BD$2))</f>
        <v/>
      </c>
      <c r="AU14" s="14">
        <f t="array" ref="AU14">IFERROR(_xlfn.IFS(VALUE(MID(AU$5,6,1))&gt;$D$2,0,$AP14="Annual",1,AT14=12,12,$AP14="Monthly V",AT14*(1+$BD$2),$AP14="Monthly F",12,$AP14="One-Time",0),AT14*(1+$BD$2))</f>
        <v/>
      </c>
      <c r="AV14" s="14">
        <f t="array" ref="AV14">IFERROR(_xlfn.IFS(VALUE(MID(AV$5,6,1))&gt;$D$2,0,$AP14="Annual",1,AU14=12,12,$AP14="Monthly V",AU14*(1+$BD$2),$AP14="Monthly F",12,$AP14="One-Time",0),AU14*(1+$BD$2))</f>
        <v/>
      </c>
      <c r="AW14" s="14">
        <f t="array" ref="AW14">IFERROR(_xlfn.IFS(VALUE(MID(AW$5,6,1))&gt;$D$2,0,$AP14="Annual",1,AV14=12,12,$AP14="Monthly V",AV14*(1+$BD$2),$AP14="Monthly F",12,$AP14="One-Time",0),AV14*(1+$BD$2))</f>
        <v/>
      </c>
      <c r="AX14" s="14">
        <f t="array" ref="AX14">IFERROR(_xlfn.IFS(VALUE(MID(AX$5,6,1))&gt;$D$2,0,$AP14="Annual",1,AW14=12,12,$AP14="Monthly V",AW14*(1+$BD$2),$AP14="Monthly F",12,$AP14="One-Time",0),AW14*(1+$BD$2))</f>
        <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Synapsys CRM</t>
        </is>
      </c>
      <c r="BC14" s="38" t="inlineStr">
        <is>
          <t>Synapsys</t>
        </is>
      </c>
      <c r="BD14" s="36" t="n">
        <v>0.1643</v>
      </c>
      <c r="BE14" s="21">
        <f>BF14/12</f>
        <v/>
      </c>
      <c r="BF14" s="39">
        <f>IFERROR(AR14*$BD14,0)</f>
        <v/>
      </c>
      <c r="BG14" s="39">
        <f>IFERROR(AS14*$BD14,0)</f>
        <v/>
      </c>
      <c r="BH14" s="39">
        <f>IFERROR(AT14*$BD14,0)</f>
        <v/>
      </c>
      <c r="BI14" s="39">
        <f>BH14*1.03</f>
        <v/>
      </c>
      <c r="BJ14" s="39">
        <f>BI14*1.03</f>
        <v/>
      </c>
      <c r="BK14" s="39">
        <f>BJ14*1.03</f>
        <v/>
      </c>
      <c r="BL14" s="39">
        <f>BK14*1.03</f>
        <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n"/>
      <c r="C15" s="24" t="n"/>
      <c r="D15" s="147">
        <f>IFERROR(AVERAGE(C15:C15),0)</f>
        <v/>
      </c>
      <c r="E15" s="142">
        <f>IF($B15="Annual",1,IF($B15="Monthly F",12,IF($B15="Monthly V",D15*12,IF($B15="One-Time",1,D15*12))))</f>
        <v/>
      </c>
      <c r="F15" s="14">
        <f t="array" ref="F15">IFERROR(_xlfn.IFS(VALUE(MID(F$5,6,1))&gt;$D$2,0,$B15="Annual",1,E15=12,12,$B15="Monthly V",E15*(1+$D$3),$B15="Monthly F",12,$B15="One-Time",0),E15*(1+$D$3))</f>
        <v/>
      </c>
      <c r="G15" s="14">
        <f t="array" ref="G15">IFERROR(_xlfn.IFS(VALUE(MID(G$5,6,1))&gt;$D$2,0,$B15="Annual",1,F15=12,12,$B15="Monthly V",F15*(1+$D$3),$B15="Monthly F",12,$B15="One-Time",0),F15*(1+$D$3))</f>
        <v/>
      </c>
      <c r="H15" s="14">
        <f t="array" ref="H15">IFERROR(_xlfn.IFS(VALUE(MID(H$5,6,1))&gt;$D$2,0,$B15="Annual",1,G15=12,12,$B15="Monthly V",G15*(1+$D$3),$B15="Monthly F",12,$B15="One-Time",0),G15*(1+$D$3))</f>
        <v/>
      </c>
      <c r="I15" s="14">
        <f t="array" ref="I15">IFERROR(_xlfn.IFS(VALUE(MID(I$5,6,1))&gt;$D$2,0,$B15="Annual",1,H15=12,12,$B15="Monthly V",H15*(1+$D$3),$B15="Monthly F",12,$B15="One-Time",0),H15*(1+$D$3))</f>
        <v/>
      </c>
      <c r="J15" s="14">
        <f t="array" ref="J15">IFERROR(_xlfn.IFS(VALUE(MID(J$5,6,1))&gt;$D$2,0,$B15="Annual",1,I15=12,12,$B15="Monthly V",I15*(1+$D$3),$B15="Monthly F",12,$B15="One-Time",0),I15*(1+$D$3))</f>
        <v/>
      </c>
      <c r="K15" s="14">
        <f t="array" ref="K15">IFERROR(_xlfn.IFS(VALUE(MID(K$5,6,1))&gt;$D$2,0,$B15="Annual",1,J15=12,12,$B15="Monthly V",J15*(1+$D$3),$B15="Monthly F",12,$B15="One-Time",0),J15*(1+$D$3))</f>
        <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n"/>
      <c r="P15" s="13" t="n"/>
      <c r="Q15" s="20" t="n"/>
      <c r="R15" s="21">
        <f>S15/12</f>
        <v/>
      </c>
      <c r="S15" s="6">
        <f>IFERROR($Q15*E15,0)</f>
        <v/>
      </c>
      <c r="T15" s="6">
        <f>IFERROR($Q15*F15,0)</f>
        <v/>
      </c>
      <c r="U15" s="6">
        <f>IFERROR($Q15*G15,0)</f>
        <v/>
      </c>
      <c r="V15" s="6">
        <f>IFERROR($Q15*H15,0)</f>
        <v/>
      </c>
      <c r="W15" s="6">
        <f>IFERROR($Q15*I15,0)</f>
        <v/>
      </c>
      <c r="X15" s="6">
        <f>IFERROR($Q15*J15,0)</f>
        <v/>
      </c>
      <c r="Y15" s="6">
        <f>IFERROR($Q15*K15,0)</f>
        <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P15" s="102" t="inlineStr">
        <is>
          <t>Monthly V</t>
        </is>
      </c>
      <c r="AQ15" s="12" t="n">
        <v>5000</v>
      </c>
      <c r="AR15" s="14">
        <f>IF($AP15="Annual",1,IF($AP15="Monthly F",12,IF($AP15="Monthly V",AQ15*12,IF($AP15="One-Time",1,AQ15*12))))</f>
        <v/>
      </c>
      <c r="AS15" s="14">
        <f t="array" ref="AS15">IFERROR(_xlfn.IFS(VALUE(MID(AS$5,6,1))&gt;$D$2,0,$AP15="Annual",1,AR15=12,12,$AP15="Monthly V",AR15*(1+$BD$2),$AP15="Monthly F",12,$AP15="One-Time",0),AR15*(1+$BD$2))</f>
        <v/>
      </c>
      <c r="AT15" s="14">
        <f t="array" ref="AT15">IFERROR(_xlfn.IFS(VALUE(MID(AT$5,6,1))&gt;$D$2,0,$AP15="Annual",1,AS15=12,12,$AP15="Monthly V",AS15*(1+$BD$2),$AP15="Monthly F",12,$AP15="One-Time",0),AS15*(1+$BD$2))</f>
        <v/>
      </c>
      <c r="AU15" s="14">
        <f t="array" ref="AU15">IFERROR(_xlfn.IFS(VALUE(MID(AU$5,6,1))&gt;$D$2,0,$AP15="Annual",1,AT15=12,12,$AP15="Monthly V",AT15*(1+$BD$2),$AP15="Monthly F",12,$AP15="One-Time",0),AT15*(1+$BD$2))</f>
        <v/>
      </c>
      <c r="AV15" s="14">
        <f t="array" ref="AV15">IFERROR(_xlfn.IFS(VALUE(MID(AV$5,6,1))&gt;$D$2,0,$AP15="Annual",1,AU15=12,12,$AP15="Monthly V",AU15*(1+$BD$2),$AP15="Monthly F",12,$AP15="One-Time",0),AU15*(1+$BD$2))</f>
        <v/>
      </c>
      <c r="AW15" s="14">
        <f t="array" ref="AW15">IFERROR(_xlfn.IFS(VALUE(MID(AW$5,6,1))&gt;$D$2,0,$AP15="Annual",1,AV15=12,12,$AP15="Monthly V",AV15*(1+$BD$2),$AP15="Monthly F",12,$AP15="One-Time",0),AV15*(1+$BD$2))</f>
        <v/>
      </c>
      <c r="AX15" s="14">
        <f t="array" ref="AX15">IFERROR(_xlfn.IFS(VALUE(MID(AX$5,6,1))&gt;$D$2,0,$AP15="Annual",1,AW15=12,12,$AP15="Monthly V",AW15*(1+$BD$2),$AP15="Monthly F",12,$AP15="One-Time",0),AW15*(1+$BD$2))</f>
        <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JHA OpenAnywhere</t>
        </is>
      </c>
      <c r="BC15" s="38" t="inlineStr">
        <is>
          <t>JHA OpenAnywhere</t>
        </is>
      </c>
      <c r="BD15" s="36" t="n">
        <v>0.3323</v>
      </c>
      <c r="BE15" s="21">
        <f>BF15/12</f>
        <v/>
      </c>
      <c r="BF15" s="39">
        <f>IFERROR(AR15*$BD15,0)</f>
        <v/>
      </c>
      <c r="BG15" s="39">
        <f>IFERROR(AS15*$BD15,0)</f>
        <v/>
      </c>
      <c r="BH15" s="39">
        <f>IFERROR(AT15*$BD15,0)</f>
        <v/>
      </c>
      <c r="BI15" s="39">
        <f>BH15*1.03</f>
        <v/>
      </c>
      <c r="BJ15" s="39">
        <f>BI15*1.03</f>
        <v/>
      </c>
      <c r="BK15" s="39">
        <f>BJ15*1.03</f>
        <v/>
      </c>
      <c r="BL15" s="39">
        <f>BK15*1.03</f>
        <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n"/>
      <c r="C16" s="24" t="n"/>
      <c r="D16" s="147">
        <f>IFERROR(AVERAGE(C16:C16),0)</f>
        <v/>
      </c>
      <c r="E16" s="142">
        <f>IF($B16="Annual",1,IF($B16="Monthly F",12,IF($B16="Monthly V",D16*12,IF($B16="One-Time",1,D16*12))))</f>
        <v/>
      </c>
      <c r="F16" s="14">
        <f t="array" ref="F16">IFERROR(_xlfn.IFS(VALUE(MID(F$5,6,1))&gt;$D$2,0,$B16="Annual",1,E16=12,12,$B16="Monthly V",E16*(1+$D$3),$B16="Monthly F",12,$B16="One-Time",0),E16*(1+$D$3))</f>
        <v/>
      </c>
      <c r="G16" s="14">
        <f t="array" ref="G16">IFERROR(_xlfn.IFS(VALUE(MID(G$5,6,1))&gt;$D$2,0,$B16="Annual",1,F16=12,12,$B16="Monthly V",F16*(1+$D$3),$B16="Monthly F",12,$B16="One-Time",0),F16*(1+$D$3))</f>
        <v/>
      </c>
      <c r="H16" s="14">
        <f t="array" ref="H16">IFERROR(_xlfn.IFS(VALUE(MID(H$5,6,1))&gt;$D$2,0,$B16="Annual",1,G16=12,12,$B16="Monthly V",G16*(1+$D$3),$B16="Monthly F",12,$B16="One-Time",0),G16*(1+$D$3))</f>
        <v/>
      </c>
      <c r="I16" s="14">
        <f t="array" ref="I16">IFERROR(_xlfn.IFS(VALUE(MID(I$5,6,1))&gt;$D$2,0,$B16="Annual",1,H16=12,12,$B16="Monthly V",H16*(1+$D$3),$B16="Monthly F",12,$B16="One-Time",0),H16*(1+$D$3))</f>
        <v/>
      </c>
      <c r="J16" s="14">
        <f t="array" ref="J16">IFERROR(_xlfn.IFS(VALUE(MID(J$5,6,1))&gt;$D$2,0,$B16="Annual",1,I16=12,12,$B16="Monthly V",I16*(1+$D$3),$B16="Monthly F",12,$B16="One-Time",0),I16*(1+$D$3))</f>
        <v/>
      </c>
      <c r="K16" s="14">
        <f t="array" ref="K16">IFERROR(_xlfn.IFS(VALUE(MID(K$5,6,1))&gt;$D$2,0,$B16="Annual",1,J16=12,12,$B16="Monthly V",J16*(1+$D$3),$B16="Monthly F",12,$B16="One-Time",0),J16*(1+$D$3))</f>
        <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n"/>
      <c r="P16" s="13" t="n"/>
      <c r="Q16" s="20" t="n"/>
      <c r="R16" s="21">
        <f>S16/12</f>
        <v/>
      </c>
      <c r="S16" s="6">
        <f>IFERROR($Q16*E16,0)</f>
        <v/>
      </c>
      <c r="T16" s="6">
        <f>IFERROR($Q16*F16,0)</f>
        <v/>
      </c>
      <c r="U16" s="6">
        <f>IFERROR($Q16*G16,0)</f>
        <v/>
      </c>
      <c r="V16" s="6">
        <f>IFERROR($Q16*H16,0)</f>
        <v/>
      </c>
      <c r="W16" s="6">
        <f>IFERROR($Q16*I16,0)</f>
        <v/>
      </c>
      <c r="X16" s="6">
        <f>IFERROR($Q16*J16,0)</f>
        <v/>
      </c>
      <c r="Y16" s="6">
        <f>IFERROR($Q16*K16,0)</f>
        <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P16" s="102" t="inlineStr">
        <is>
          <t>Monthly F</t>
        </is>
      </c>
      <c r="AQ16" s="12" t="n">
        <v>1</v>
      </c>
      <c r="AR16" s="14">
        <f>IF($AP16="Annual",1,IF($AP16="Monthly F",12,IF($AP16="Monthly V",AQ16*12,IF($AP16="One-Time",1,AQ16*12))))</f>
        <v/>
      </c>
      <c r="AS16" s="14">
        <f t="array" ref="AS16">IFERROR(_xlfn.IFS(VALUE(MID(AS$5,6,1))&gt;$D$2,0,$AP16="Annual",1,AR16=12,12,$AP16="Monthly V",AR16*(1+$BD$2),$AP16="Monthly F",12,$AP16="One-Time",0),AR16*(1+$BD$2))</f>
        <v/>
      </c>
      <c r="AT16" s="14">
        <f t="array" ref="AT16">IFERROR(_xlfn.IFS(VALUE(MID(AT$5,6,1))&gt;$D$2,0,$AP16="Annual",1,AS16=12,12,$AP16="Monthly V",AS16*(1+$BD$2),$AP16="Monthly F",12,$AP16="One-Time",0),AS16*(1+$BD$2))</f>
        <v/>
      </c>
      <c r="AU16" s="14">
        <f t="array" ref="AU16">IFERROR(_xlfn.IFS(VALUE(MID(AU$5,6,1))&gt;$D$2,0,$AP16="Annual",1,AT16=12,12,$AP16="Monthly V",AT16*(1+$BD$2),$AP16="Monthly F",12,$AP16="One-Time",0),AT16*(1+$BD$2))</f>
        <v/>
      </c>
      <c r="AV16" s="14">
        <f t="array" ref="AV16">IFERROR(_xlfn.IFS(VALUE(MID(AV$5,6,1))&gt;$D$2,0,$AP16="Annual",1,AU16=12,12,$AP16="Monthly V",AU16*(1+$BD$2),$AP16="Monthly F",12,$AP16="One-Time",0),AU16*(1+$BD$2))</f>
        <v/>
      </c>
      <c r="AW16" s="14">
        <f t="array" ref="AW16">IFERROR(_xlfn.IFS(VALUE(MID(AW$5,6,1))&gt;$D$2,0,$AP16="Annual",1,AV16=12,12,$AP16="Monthly V",AV16*(1+$BD$2),$AP16="Monthly F",12,$AP16="One-Time",0),AV16*(1+$BD$2))</f>
        <v/>
      </c>
      <c r="AX16" s="14">
        <f t="array" ref="AX16">IFERROR(_xlfn.IFS(VALUE(MID(AX$5,6,1))&gt;$D$2,0,$AP16="Annual",1,AW16=12,12,$AP16="Monthly V",AW16*(1+$BD$2),$AP16="Monthly F",12,$AP16="One-Time",0),AW16*(1+$BD$2))</f>
        <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IDScan.net OCR</t>
        </is>
      </c>
      <c r="BC16" s="38" t="inlineStr">
        <is>
          <t>JHA OpenAnywhere</t>
        </is>
      </c>
      <c r="BD16" s="36" t="n">
        <v>400</v>
      </c>
      <c r="BE16" s="21">
        <f>BF16/12</f>
        <v/>
      </c>
      <c r="BF16" s="39">
        <f>IFERROR(AR16*$BD16,0)</f>
        <v/>
      </c>
      <c r="BG16" s="39">
        <f>IFERROR(AS16*$BD16,0)</f>
        <v/>
      </c>
      <c r="BH16" s="39">
        <f>IFERROR(AT16*$BD16,0)</f>
        <v/>
      </c>
      <c r="BI16" s="39">
        <f>BH16*1.03</f>
        <v/>
      </c>
      <c r="BJ16" s="39">
        <f>BI16*1.03</f>
        <v/>
      </c>
      <c r="BK16" s="39">
        <f>BJ16*1.03</f>
        <v/>
      </c>
      <c r="BL16" s="39">
        <f>BK16*1.03</f>
        <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n"/>
      <c r="C17" s="24" t="n"/>
      <c r="D17" s="147">
        <f>IFERROR(AVERAGE(C17:C17),0)</f>
        <v/>
      </c>
      <c r="E17" s="142">
        <f>IF($B17="Annual",1,IF($B17="Monthly F",12,IF($B17="Monthly V",D17*12,IF($B17="One-Time",1,D17*12))))</f>
        <v/>
      </c>
      <c r="F17" s="14">
        <f t="array" ref="F17">IFERROR(_xlfn.IFS(VALUE(MID(F$5,6,1))&gt;$D$2,0,$B17="Annual",1,E17=12,12,$B17="Monthly V",E17*(1+$D$3),$B17="Monthly F",12,$B17="One-Time",0),E17*(1+$D$3))</f>
        <v/>
      </c>
      <c r="G17" s="14">
        <f t="array" ref="G17">IFERROR(_xlfn.IFS(VALUE(MID(G$5,6,1))&gt;$D$2,0,$B17="Annual",1,F17=12,12,$B17="Monthly V",F17*(1+$D$3),$B17="Monthly F",12,$B17="One-Time",0),F17*(1+$D$3))</f>
        <v/>
      </c>
      <c r="H17" s="14">
        <f t="array" ref="H17">IFERROR(_xlfn.IFS(VALUE(MID(H$5,6,1))&gt;$D$2,0,$B17="Annual",1,G17=12,12,$B17="Monthly V",G17*(1+$D$3),$B17="Monthly F",12,$B17="One-Time",0),G17*(1+$D$3))</f>
        <v/>
      </c>
      <c r="I17" s="14">
        <f t="array" ref="I17">IFERROR(_xlfn.IFS(VALUE(MID(I$5,6,1))&gt;$D$2,0,$B17="Annual",1,H17=12,12,$B17="Monthly V",H17*(1+$D$3),$B17="Monthly F",12,$B17="One-Time",0),H17*(1+$D$3))</f>
        <v/>
      </c>
      <c r="J17" s="14">
        <f t="array" ref="J17">IFERROR(_xlfn.IFS(VALUE(MID(J$5,6,1))&gt;$D$2,0,$B17="Annual",1,I17=12,12,$B17="Monthly V",I17*(1+$D$3),$B17="Monthly F",12,$B17="One-Time",0),I17*(1+$D$3))</f>
        <v/>
      </c>
      <c r="K17" s="14">
        <f t="array" ref="K17">IFERROR(_xlfn.IFS(VALUE(MID(K$5,6,1))&gt;$D$2,0,$B17="Annual",1,J17=12,12,$B17="Monthly V",J17*(1+$D$3),$B17="Monthly F",12,$B17="One-Time",0),J17*(1+$D$3))</f>
        <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n"/>
      <c r="P17" s="13" t="n"/>
      <c r="Q17" s="20" t="n"/>
      <c r="R17" s="21">
        <f>S17/12</f>
        <v/>
      </c>
      <c r="S17" s="6">
        <f>IFERROR($Q17*E17,0)</f>
        <v/>
      </c>
      <c r="T17" s="6">
        <f>IFERROR($Q17*F17,0)</f>
        <v/>
      </c>
      <c r="U17" s="6">
        <f>IFERROR($Q17*G17,0)</f>
        <v/>
      </c>
      <c r="V17" s="6">
        <f>IFERROR($Q17*H17,0)</f>
        <v/>
      </c>
      <c r="W17" s="6">
        <f>IFERROR($Q17*I17,0)</f>
        <v/>
      </c>
      <c r="X17" s="6">
        <f>IFERROR($Q17*J17,0)</f>
        <v/>
      </c>
      <c r="Y17" s="6">
        <f>IFERROR($Q17*K17,0)</f>
        <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P17" s="102" t="inlineStr">
        <is>
          <t>Monthly F</t>
        </is>
      </c>
      <c r="AQ17" s="12" t="n">
        <v>1</v>
      </c>
      <c r="AR17" s="14">
        <f>IF($AP17="Annual",1,IF($AP17="Monthly F",12,IF($AP17="Monthly V",AQ17*12,IF($AP17="One-Time",1,AQ17*12))))</f>
        <v/>
      </c>
      <c r="AS17" s="14">
        <f t="array" ref="AS17">IFERROR(_xlfn.IFS(VALUE(MID(AS$5,6,1))&gt;$D$2,0,$AP17="Annual",1,AR17=12,12,$AP17="Monthly V",AR17*(1+$BD$2),$AP17="Monthly F",12,$AP17="One-Time",0),AR17*(1+$BD$2))</f>
        <v/>
      </c>
      <c r="AT17" s="14">
        <f t="array" ref="AT17">IFERROR(_xlfn.IFS(VALUE(MID(AT$5,6,1))&gt;$D$2,0,$AP17="Annual",1,AS17=12,12,$AP17="Monthly V",AS17*(1+$BD$2),$AP17="Monthly F",12,$AP17="One-Time",0),AS17*(1+$BD$2))</f>
        <v/>
      </c>
      <c r="AU17" s="14">
        <f t="array" ref="AU17">IFERROR(_xlfn.IFS(VALUE(MID(AU$5,6,1))&gt;$D$2,0,$AP17="Annual",1,AT17=12,12,$AP17="Monthly V",AT17*(1+$BD$2),$AP17="Monthly F",12,$AP17="One-Time",0),AT17*(1+$BD$2))</f>
        <v/>
      </c>
      <c r="AV17" s="14">
        <f t="array" ref="AV17">IFERROR(_xlfn.IFS(VALUE(MID(AV$5,6,1))&gt;$D$2,0,$AP17="Annual",1,AU17=12,12,$AP17="Monthly V",AU17*(1+$BD$2),$AP17="Monthly F",12,$AP17="One-Time",0),AU17*(1+$BD$2))</f>
        <v/>
      </c>
      <c r="AW17" s="14">
        <f t="array" ref="AW17">IFERROR(_xlfn.IFS(VALUE(MID(AW$5,6,1))&gt;$D$2,0,$AP17="Annual",1,AV17=12,12,$AP17="Monthly V",AV17*(1+$BD$2),$AP17="Monthly F",12,$AP17="One-Time",0),AV17*(1+$BD$2))</f>
        <v/>
      </c>
      <c r="AX17" s="14">
        <f t="array" ref="AX17">IFERROR(_xlfn.IFS(VALUE(MID(AX$5,6,1))&gt;$D$2,0,$AP17="Annual",1,AW17=12,12,$AP17="Monthly V",AW17*(1+$BD$2),$AP17="Monthly F",12,$AP17="One-Time",0),AW17*(1+$BD$2))</f>
        <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JHA OpenAnywhere Finicity</t>
        </is>
      </c>
      <c r="BC17" s="38" t="inlineStr">
        <is>
          <t>JHA OpenAnywhere</t>
        </is>
      </c>
      <c r="BD17" s="36" t="n">
        <v>200</v>
      </c>
      <c r="BE17" s="21">
        <f>BF17/12</f>
        <v/>
      </c>
      <c r="BF17" s="39">
        <f>IFERROR(AR17*$BD17,0)</f>
        <v/>
      </c>
      <c r="BG17" s="39">
        <f>IFERROR(AS17*$BD17,0)</f>
        <v/>
      </c>
      <c r="BH17" s="39">
        <f>IFERROR(AT17*$BD17,0)</f>
        <v/>
      </c>
      <c r="BI17" s="39">
        <f>BH17*1.03</f>
        <v/>
      </c>
      <c r="BJ17" s="39">
        <f>BI17*1.03</f>
        <v/>
      </c>
      <c r="BK17" s="39">
        <f>BJ17*1.03</f>
        <v/>
      </c>
      <c r="BL17" s="39">
        <f>BK17*1.03</f>
        <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n"/>
      <c r="C18" s="24" t="n"/>
      <c r="D18" s="147" t="n"/>
      <c r="E18" s="142" t="n"/>
      <c r="F18" s="14" t="n"/>
      <c r="G18" s="14" t="n"/>
      <c r="H18" s="14" t="n"/>
      <c r="I18" s="14" t="n"/>
      <c r="J18" s="14" t="n"/>
      <c r="K18" s="14" t="n"/>
      <c r="L18" s="14" t="n"/>
      <c r="M18" s="14" t="n"/>
      <c r="N18" s="24" t="n"/>
      <c r="O18" s="154" t="n"/>
      <c r="P18" s="13" t="n"/>
      <c r="Q18" s="20" t="n"/>
      <c r="R18" s="21" t="n"/>
      <c r="S18" s="6" t="n"/>
      <c r="T18" s="6" t="n"/>
      <c r="U18" s="6" t="n"/>
      <c r="V18" s="6" t="n"/>
      <c r="W18" s="6" t="n"/>
      <c r="X18" s="6" t="n"/>
      <c r="Y18" s="6" t="n"/>
      <c r="Z18" s="6" t="n"/>
      <c r="AA18" s="6" t="n"/>
      <c r="AB18" s="6" t="n"/>
      <c r="AC18" s="7" t="n"/>
      <c r="AD18" s="152" t="n"/>
      <c r="AE18" s="152" t="n"/>
      <c r="AF18" s="152" t="n"/>
      <c r="AG18" s="152" t="n"/>
      <c r="AH18" s="152" t="n"/>
      <c r="AI18" s="152" t="n"/>
      <c r="AJ18" s="152" t="n"/>
      <c r="AK18" s="152" t="n"/>
      <c r="AL18" s="152" t="n"/>
      <c r="AM18" s="9" t="n"/>
      <c r="AN18" s="80" t="n"/>
      <c r="AP18" s="102" t="inlineStr">
        <is>
          <t>Monthly F</t>
        </is>
      </c>
      <c r="AQ18" s="12" t="n">
        <v>1</v>
      </c>
      <c r="AR18" s="14">
        <f>IF($AP18="Annual",1,IF($AP18="Monthly F",12,IF($AP18="Monthly V",AQ18*12,IF($AP18="One-Time",1,AQ18*12))))</f>
        <v/>
      </c>
      <c r="AS18" s="14">
        <f t="array" ref="AS18">IFERROR(_xlfn.IFS(VALUE(MID(AS$5,6,1))&gt;$D$2,0,$AP18="Annual",1,AR18=12,12,$AP18="Monthly V",AR18*(1+$BD$2),$AP18="Monthly F",12,$AP18="One-Time",0),AR18*(1+$BD$2))</f>
        <v/>
      </c>
      <c r="AT18" s="14">
        <f t="array" ref="AT18">IFERROR(_xlfn.IFS(VALUE(MID(AT$5,6,1))&gt;$D$2,0,$AP18="Annual",1,AS18=12,12,$AP18="Monthly V",AS18*(1+$BD$2),$AP18="Monthly F",12,$AP18="One-Time",0),AS18*(1+$BD$2))</f>
        <v/>
      </c>
      <c r="AU18" s="14">
        <f t="array" ref="AU18">IFERROR(_xlfn.IFS(VALUE(MID(AU$5,6,1))&gt;$D$2,0,$AP18="Annual",1,AT18=12,12,$AP18="Monthly V",AT18*(1+$BD$2),$AP18="Monthly F",12,$AP18="One-Time",0),AT18*(1+$BD$2))</f>
        <v/>
      </c>
      <c r="AV18" s="14">
        <f t="array" ref="AV18">IFERROR(_xlfn.IFS(VALUE(MID(AV$5,6,1))&gt;$D$2,0,$AP18="Annual",1,AU18=12,12,$AP18="Monthly V",AU18*(1+$BD$2),$AP18="Monthly F",12,$AP18="One-Time",0),AU18*(1+$BD$2))</f>
        <v/>
      </c>
      <c r="AW18" s="14">
        <f t="array" ref="AW18">IFERROR(_xlfn.IFS(VALUE(MID(AW$5,6,1))&gt;$D$2,0,$AP18="Annual",1,AV18=12,12,$AP18="Monthly V",AV18*(1+$BD$2),$AP18="Monthly F",12,$AP18="One-Time",0),AV18*(1+$BD$2))</f>
        <v/>
      </c>
      <c r="AX18" s="14">
        <f t="array" ref="AX18">IFERROR(_xlfn.IFS(VALUE(MID(AX$5,6,1))&gt;$D$2,0,$AP18="Annual",1,AW18=12,12,$AP18="Monthly V",AW18*(1+$BD$2),$AP18="Monthly F",12,$AP18="One-Time",0),AW18*(1+$BD$2))</f>
        <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Banno</t>
        </is>
      </c>
      <c r="BC18" s="38" t="inlineStr">
        <is>
          <t>Banno</t>
        </is>
      </c>
      <c r="BD18" s="36" t="n">
        <v>500</v>
      </c>
      <c r="BE18" s="21">
        <f>BF18/12</f>
        <v/>
      </c>
      <c r="BF18" s="39">
        <f>IFERROR(AR18*$BD18,0)</f>
        <v/>
      </c>
      <c r="BG18" s="39">
        <f>IFERROR(AS18*$BD18,0)</f>
        <v/>
      </c>
      <c r="BH18" s="39">
        <f>IFERROR(AT18*$BD18,0)</f>
        <v/>
      </c>
      <c r="BI18" s="39">
        <f>BH18*1.03</f>
        <v/>
      </c>
      <c r="BJ18" s="39">
        <f>BI18*1.03</f>
        <v/>
      </c>
      <c r="BK18" s="39">
        <f>BJ18*1.03</f>
        <v/>
      </c>
      <c r="BL18" s="39">
        <f>BK18*1.03</f>
        <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n"/>
      <c r="C19" s="24" t="n"/>
      <c r="D19" s="147">
        <f>IFERROR(AVERAGE(C19:C19),0)</f>
        <v/>
      </c>
      <c r="E19" s="142">
        <f>IF($B19="Annual",1,IF($B19="Monthly F",12,IF($B19="Monthly V",D19*12,IF($B19="One-Time",1,D19*12))))</f>
        <v/>
      </c>
      <c r="F19" s="14">
        <f t="array" ref="F19">IFERROR(_xlfn.IFS(VALUE(MID(F$5,6,1))&gt;$D$2,0,$B19="Annual",1,E19=12,12,$B19="Monthly V",E19*(1+$D$3),$B19="Monthly F",12,$B19="One-Time",0),E19*(1+$D$3))</f>
        <v/>
      </c>
      <c r="G19" s="14">
        <f t="array" ref="G19">IFERROR(_xlfn.IFS(VALUE(MID(G$5,6,1))&gt;$D$2,0,$B19="Annual",1,F19=12,12,$B19="Monthly V",F19*(1+$D$3),$B19="Monthly F",12,$B19="One-Time",0),F19*(1+$D$3))</f>
        <v/>
      </c>
      <c r="H19" s="14">
        <f t="array" ref="H19">IFERROR(_xlfn.IFS(VALUE(MID(H$5,6,1))&gt;$D$2,0,$B19="Annual",1,G19=12,12,$B19="Monthly V",G19*(1+$D$3),$B19="Monthly F",12,$B19="One-Time",0),G19*(1+$D$3))</f>
        <v/>
      </c>
      <c r="I19" s="14">
        <f t="array" ref="I19">IFERROR(_xlfn.IFS(VALUE(MID(I$5,6,1))&gt;$D$2,0,$B19="Annual",1,H19=12,12,$B19="Monthly V",H19*(1+$D$3),$B19="Monthly F",12,$B19="One-Time",0),H19*(1+$D$3))</f>
        <v/>
      </c>
      <c r="J19" s="14">
        <f t="array" ref="J19">IFERROR(_xlfn.IFS(VALUE(MID(J$5,6,1))&gt;$D$2,0,$B19="Annual",1,I19=12,12,$B19="Monthly V",I19*(1+$D$3),$B19="Monthly F",12,$B19="One-Time",0),I19*(1+$D$3))</f>
        <v/>
      </c>
      <c r="K19" s="14">
        <f t="array" ref="K19">IFERROR(_xlfn.IFS(VALUE(MID(K$5,6,1))&gt;$D$2,0,$B19="Annual",1,J19=12,12,$B19="Monthly V",J19*(1+$D$3),$B19="Monthly F",12,$B19="One-Time",0),J19*(1+$D$3))</f>
        <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n"/>
      <c r="P19" s="13" t="n"/>
      <c r="Q19" s="20" t="n"/>
      <c r="R19" s="21">
        <f>S19/12</f>
        <v/>
      </c>
      <c r="S19" s="6">
        <f>IFERROR($Q19*E19,0)</f>
        <v/>
      </c>
      <c r="T19" s="6">
        <f>IFERROR($Q19*F19,0)</f>
        <v/>
      </c>
      <c r="U19" s="6">
        <f>IFERROR($Q19*G19,0)</f>
        <v/>
      </c>
      <c r="V19" s="6">
        <f>IFERROR($Q19*H19,0)</f>
        <v/>
      </c>
      <c r="W19" s="6">
        <f>IFERROR($Q19*I19,0)</f>
        <v/>
      </c>
      <c r="X19" s="6">
        <f>IFERROR($Q19*J19,0)</f>
        <v/>
      </c>
      <c r="Y19" s="6">
        <f>IFERROR($Q19*K19,0)</f>
        <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P19" s="102" t="inlineStr">
        <is>
          <t>Monthly F</t>
        </is>
      </c>
      <c r="AQ19" s="12" t="n">
        <v>1</v>
      </c>
      <c r="AR19" s="14">
        <f>IF($AP19="Annual",1,IF($AP19="Monthly F",12,IF($AP19="Monthly V",AQ19*12,IF($AP19="One-Time",1,AQ19*12))))</f>
        <v/>
      </c>
      <c r="AS19" s="14">
        <f t="array" ref="AS19">IFERROR(_xlfn.IFS(VALUE(MID(AS$5,6,1))&gt;$D$2,0,$AP19="Annual",1,AR19=12,12,$AP19="Monthly V",AR19*(1+$BD$2),$AP19="Monthly F",12,$AP19="One-Time",0),AR19*(1+$BD$2))</f>
        <v/>
      </c>
      <c r="AT19" s="14">
        <f t="array" ref="AT19">IFERROR(_xlfn.IFS(VALUE(MID(AT$5,6,1))&gt;$D$2,0,$AP19="Annual",1,AS19=12,12,$AP19="Monthly V",AS19*(1+$BD$2),$AP19="Monthly F",12,$AP19="One-Time",0),AS19*(1+$BD$2))</f>
        <v/>
      </c>
      <c r="AU19" s="14">
        <f t="array" ref="AU19">IFERROR(_xlfn.IFS(VALUE(MID(AU$5,6,1))&gt;$D$2,0,$AP19="Annual",1,AT19=12,12,$AP19="Monthly V",AT19*(1+$BD$2),$AP19="Monthly F",12,$AP19="One-Time",0),AT19*(1+$BD$2))</f>
        <v/>
      </c>
      <c r="AV19" s="14">
        <f t="array" ref="AV19">IFERROR(_xlfn.IFS(VALUE(MID(AV$5,6,1))&gt;$D$2,0,$AP19="Annual",1,AU19=12,12,$AP19="Monthly V",AU19*(1+$BD$2),$AP19="Monthly F",12,$AP19="One-Time",0),AU19*(1+$BD$2))</f>
        <v/>
      </c>
      <c r="AW19" s="14">
        <f t="array" ref="AW19">IFERROR(_xlfn.IFS(VALUE(MID(AW$5,6,1))&gt;$D$2,0,$AP19="Annual",1,AV19=12,12,$AP19="Monthly V",AV19*(1+$BD$2),$AP19="Monthly F",12,$AP19="One-Time",0),AV19*(1+$BD$2))</f>
        <v/>
      </c>
      <c r="AX19" s="14">
        <f t="array" ref="AX19">IFERROR(_xlfn.IFS(VALUE(MID(AX$5,6,1))&gt;$D$2,0,$AP19="Annual",1,AW19=12,12,$AP19="Monthly V",AW19*(1+$BD$2),$AP19="Monthly F",12,$AP19="One-Time",0),AW19*(1+$BD$2))</f>
        <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Jack Henry Digital Card Issuance and Provisioning - Mastercard</t>
        </is>
      </c>
      <c r="BC19" s="38" t="inlineStr">
        <is>
          <t>Banno</t>
        </is>
      </c>
      <c r="BD19" s="36" t="n">
        <v>50</v>
      </c>
      <c r="BE19" s="21">
        <f>BF19/12</f>
        <v/>
      </c>
      <c r="BF19" s="39">
        <f>IFERROR(AR19*$BD19,0)</f>
        <v/>
      </c>
      <c r="BG19" s="39">
        <f>IFERROR(AS19*$BD19,0)</f>
        <v/>
      </c>
      <c r="BH19" s="39">
        <f>IFERROR(AT19*$BD19,0)</f>
        <v/>
      </c>
      <c r="BI19" s="39">
        <f>BH19*1.03</f>
        <v/>
      </c>
      <c r="BJ19" s="39">
        <f>BI19*1.03</f>
        <v/>
      </c>
      <c r="BK19" s="39">
        <f>BJ19*1.03</f>
        <v/>
      </c>
      <c r="BL19" s="39">
        <f>BK19*1.03</f>
        <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5.75" customHeight="1" thickBot="1">
      <c r="B20" s="141" t="n"/>
      <c r="C20" s="24" t="n"/>
      <c r="D20" s="147">
        <f>IFERROR(AVERAGE(C20:C20),0)</f>
        <v/>
      </c>
      <c r="E20" s="142">
        <f>IF($B20="Annual",1,IF($B20="Monthly F",12,IF($B20="Monthly V",D20*12,IF($B20="One-Time",1,D20*12))))</f>
        <v/>
      </c>
      <c r="F20" s="14">
        <f t="array" ref="F20">IFERROR(_xlfn.IFS(VALUE(MID(F$5,6,1))&gt;$D$2,0,$B20="Annual",1,E20=12,12,$B20="Monthly V",E20*(1+$D$3),$B20="Monthly F",12,$B20="One-Time",0),E20*(1+$D$3))</f>
        <v/>
      </c>
      <c r="G20" s="14">
        <f t="array" ref="G20">IFERROR(_xlfn.IFS(VALUE(MID(G$5,6,1))&gt;$D$2,0,$B20="Annual",1,F20=12,12,$B20="Monthly V",F20*(1+$D$3),$B20="Monthly F",12,$B20="One-Time",0),F20*(1+$D$3))</f>
        <v/>
      </c>
      <c r="H20" s="14">
        <f t="array" ref="H20">IFERROR(_xlfn.IFS(VALUE(MID(H$5,6,1))&gt;$D$2,0,$B20="Annual",1,G20=12,12,$B20="Monthly V",G20*(1+$D$3),$B20="Monthly F",12,$B20="One-Time",0),G20*(1+$D$3))</f>
        <v/>
      </c>
      <c r="I20" s="14">
        <f t="array" ref="I20">IFERROR(_xlfn.IFS(VALUE(MID(I$5,6,1))&gt;$D$2,0,$B20="Annual",1,H20=12,12,$B20="Monthly V",H20*(1+$D$3),$B20="Monthly F",12,$B20="One-Time",0),H20*(1+$D$3))</f>
        <v/>
      </c>
      <c r="J20" s="14">
        <f t="array" ref="J20">IFERROR(_xlfn.IFS(VALUE(MID(J$5,6,1))&gt;$D$2,0,$B20="Annual",1,I20=12,12,$B20="Monthly V",I20*(1+$D$3),$B20="Monthly F",12,$B20="One-Time",0),I20*(1+$D$3))</f>
        <v/>
      </c>
      <c r="K20" s="14">
        <f t="array" ref="K20">IFERROR(_xlfn.IFS(VALUE(MID(K$5,6,1))&gt;$D$2,0,$B20="Annual",1,J20=12,12,$B20="Monthly V",J20*(1+$D$3),$B20="Monthly F",12,$B20="One-Time",0),J20*(1+$D$3))</f>
        <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n"/>
      <c r="P20" s="13" t="n"/>
      <c r="Q20" s="20" t="n"/>
      <c r="R20" s="21">
        <f>S20/12</f>
        <v/>
      </c>
      <c r="S20" s="6">
        <f>IFERROR($Q20*E20,0)</f>
        <v/>
      </c>
      <c r="T20" s="6">
        <f>IFERROR($Q20*F20,0)</f>
        <v/>
      </c>
      <c r="U20" s="6">
        <f>IFERROR($Q20*G20,0)</f>
        <v/>
      </c>
      <c r="V20" s="6">
        <f>IFERROR($Q20*H20,0)</f>
        <v/>
      </c>
      <c r="W20" s="6">
        <f>IFERROR($Q20*I20,0)</f>
        <v/>
      </c>
      <c r="X20" s="6">
        <f>IFERROR($Q20*J20,0)</f>
        <v/>
      </c>
      <c r="Y20" s="6">
        <f>IFERROR($Q20*K20,0)</f>
        <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P20" s="102" t="inlineStr">
        <is>
          <t>Monthly V</t>
        </is>
      </c>
      <c r="AQ20" s="12" t="n">
        <v>5000</v>
      </c>
      <c r="AR20" s="14">
        <f>IF($AP20="Annual",1,IF($AP20="Monthly F",12,IF($AP20="Monthly V",AQ20*12,IF($AP20="One-Time",1,AQ20*12))))</f>
        <v/>
      </c>
      <c r="AS20" s="14">
        <f t="array" ref="AS20">IFERROR(_xlfn.IFS(VALUE(MID(AS$5,6,1))&gt;$D$2,0,$AP20="Annual",1,AR20=12,12,$AP20="Monthly V",AR20*(1+$BD$2),$AP20="Monthly F",12,$AP20="One-Time",0),AR20*(1+$BD$2))</f>
        <v/>
      </c>
      <c r="AT20" s="14">
        <f t="array" ref="AT20">IFERROR(_xlfn.IFS(VALUE(MID(AT$5,6,1))&gt;$D$2,0,$AP20="Annual",1,AS20=12,12,$AP20="Monthly V",AS20*(1+$BD$2),$AP20="Monthly F",12,$AP20="One-Time",0),AS20*(1+$BD$2))</f>
        <v/>
      </c>
      <c r="AU20" s="14">
        <f t="array" ref="AU20">IFERROR(_xlfn.IFS(VALUE(MID(AU$5,6,1))&gt;$D$2,0,$AP20="Annual",1,AT20=12,12,$AP20="Monthly V",AT20*(1+$BD$2),$AP20="Monthly F",12,$AP20="One-Time",0),AT20*(1+$BD$2))</f>
        <v/>
      </c>
      <c r="AV20" s="14">
        <f t="array" ref="AV20">IFERROR(_xlfn.IFS(VALUE(MID(AV$5,6,1))&gt;$D$2,0,$AP20="Annual",1,AU20=12,12,$AP20="Monthly V",AU20*(1+$BD$2),$AP20="Monthly F",12,$AP20="One-Time",0),AU20*(1+$BD$2))</f>
        <v/>
      </c>
      <c r="AW20" s="14">
        <f t="array" ref="AW20">IFERROR(_xlfn.IFS(VALUE(MID(AW$5,6,1))&gt;$D$2,0,$AP20="Annual",1,AV20=12,12,$AP20="Monthly V",AV20*(1+$BD$2),$AP20="Monthly F",12,$AP20="One-Time",0),AV20*(1+$BD$2))</f>
        <v/>
      </c>
      <c r="AX20" s="14">
        <f t="array" ref="AX20">IFERROR(_xlfn.IFS(VALUE(MID(AX$5,6,1))&gt;$D$2,0,$AP20="Annual",1,AW20=12,12,$AP20="Monthly V",AW20*(1+$BD$2),$AP20="Monthly F",12,$AP20="One-Time",0),AW20*(1+$BD$2))</f>
        <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Electronic Statement Interactive (ESI)</t>
        </is>
      </c>
      <c r="BC20" s="38" t="inlineStr">
        <is>
          <t>Electronic Statements Interactive(ESI)</t>
        </is>
      </c>
      <c r="BD20" s="36" t="n">
        <v>0.021</v>
      </c>
      <c r="BE20" s="21">
        <f>BF20/12</f>
        <v/>
      </c>
      <c r="BF20" s="39">
        <f>IFERROR(AR20*$BD20,0)</f>
        <v/>
      </c>
      <c r="BG20" s="39">
        <f>IFERROR(AS20*$BD20,0)</f>
        <v/>
      </c>
      <c r="BH20" s="39">
        <f>IFERROR(AT20*$BD20,0)</f>
        <v/>
      </c>
      <c r="BI20" s="39">
        <f>BH20*1.03</f>
        <v/>
      </c>
      <c r="BJ20" s="39">
        <f>BI20*1.03</f>
        <v/>
      </c>
      <c r="BK20" s="39">
        <f>BJ20*1.03</f>
        <v/>
      </c>
      <c r="BL20" s="39">
        <f>BK20*1.03</f>
        <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5.75" customHeight="1" thickBot="1">
      <c r="B21" s="280" t="inlineStr">
        <is>
          <t>Recurring Monthly and Annual Fees - Non-Bundle REQUIRED FIS products</t>
        </is>
      </c>
      <c r="C21" s="267" t="n"/>
      <c r="D21" s="267" t="n"/>
      <c r="E21" s="267" t="n"/>
      <c r="F21" s="267" t="n"/>
      <c r="G21" s="267" t="n"/>
      <c r="H21" s="267" t="n"/>
      <c r="I21" s="267" t="n"/>
      <c r="J21" s="267" t="n"/>
      <c r="K21" s="267" t="n"/>
      <c r="L21" s="267" t="n"/>
      <c r="M21" s="267" t="n"/>
      <c r="N21" s="267" t="n"/>
      <c r="O21" s="267" t="n"/>
      <c r="P21" s="267" t="n"/>
      <c r="Q21" s="267" t="n"/>
      <c r="R21" s="267" t="n"/>
      <c r="S21" s="267" t="n"/>
      <c r="T21" s="267" t="n"/>
      <c r="U21" s="267" t="n"/>
      <c r="V21" s="267" t="n"/>
      <c r="W21" s="267" t="n"/>
      <c r="X21" s="267" t="n"/>
      <c r="Y21" s="267" t="n"/>
      <c r="Z21" s="267" t="n"/>
      <c r="AA21" s="267" t="n"/>
      <c r="AB21" s="267" t="n"/>
      <c r="AC21" s="267" t="n"/>
      <c r="AD21" s="267" t="n"/>
      <c r="AE21" s="267" t="n"/>
      <c r="AF21" s="267" t="n"/>
      <c r="AG21" s="267" t="n"/>
      <c r="AH21" s="267" t="n"/>
      <c r="AI21" s="267" t="n"/>
      <c r="AJ21" s="267" t="n"/>
      <c r="AK21" s="267" t="n"/>
      <c r="AL21" s="267" t="n"/>
      <c r="AM21" s="267" t="n"/>
      <c r="AN21" s="281" t="n"/>
      <c r="AP21" s="102" t="inlineStr">
        <is>
          <t>Monthly V</t>
        </is>
      </c>
      <c r="AQ21" s="12" t="n">
        <v>5000</v>
      </c>
      <c r="AR21" s="14">
        <f>IF($AP21="Annual",1,IF($AP21="Monthly F",12,IF($AP21="Monthly V",AQ21*12,IF($AP21="One-Time",1,AQ21*12))))</f>
        <v/>
      </c>
      <c r="AS21" s="14">
        <f t="array" ref="AS21">IFERROR(_xlfn.IFS(VALUE(MID(AS$5,6,1))&gt;$D$2,0,$AP21="Annual",1,AR21=12,12,$AP21="Monthly V",AR21*(1+$BD$2),$AP21="Monthly F",12,$AP21="One-Time",0),AR21*(1+$BD$2))</f>
        <v/>
      </c>
      <c r="AT21" s="14">
        <f t="array" ref="AT21">IFERROR(_xlfn.IFS(VALUE(MID(AT$5,6,1))&gt;$D$2,0,$AP21="Annual",1,AS21=12,12,$AP21="Monthly V",AS21*(1+$BD$2),$AP21="Monthly F",12,$AP21="One-Time",0),AS21*(1+$BD$2))</f>
        <v/>
      </c>
      <c r="AU21" s="14">
        <f t="array" ref="AU21">IFERROR(_xlfn.IFS(VALUE(MID(AU$5,6,1))&gt;$D$2,0,$AP21="Annual",1,AT21=12,12,$AP21="Monthly V",AT21*(1+$BD$2),$AP21="Monthly F",12,$AP21="One-Time",0),AT21*(1+$BD$2))</f>
        <v/>
      </c>
      <c r="AV21" s="14">
        <f t="array" ref="AV21">IFERROR(_xlfn.IFS(VALUE(MID(AV$5,6,1))&gt;$D$2,0,$AP21="Annual",1,AU21=12,12,$AP21="Monthly V",AU21*(1+$BD$2),$AP21="Monthly F",12,$AP21="One-Time",0),AU21*(1+$BD$2))</f>
        <v/>
      </c>
      <c r="AW21" s="14">
        <f t="array" ref="AW21">IFERROR(_xlfn.IFS(VALUE(MID(AW$5,6,1))&gt;$D$2,0,$AP21="Annual",1,AV21=12,12,$AP21="Monthly V",AV21*(1+$BD$2),$AP21="Monthly F",12,$AP21="One-Time",0),AV21*(1+$BD$2))</f>
        <v/>
      </c>
      <c r="AX21" s="14">
        <f t="array" ref="AX21">IFERROR(_xlfn.IFS(VALUE(MID(AX$5,6,1))&gt;$D$2,0,$AP21="Annual",1,AW21=12,12,$AP21="Monthly V",AW21*(1+$BD$2),$AP21="Monthly F",12,$AP21="One-Time",0),AW21*(1+$BD$2))</f>
        <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OutLink Item Imaging</t>
        </is>
      </c>
      <c r="BC21" s="38" t="inlineStr">
        <is>
          <t>OutLink Item Processing</t>
        </is>
      </c>
      <c r="BD21" s="36" t="n">
        <v>0.3338</v>
      </c>
      <c r="BE21" s="21">
        <f>BF21/12</f>
        <v/>
      </c>
      <c r="BF21" s="39">
        <f>IFERROR(AR21*$BD21,0)</f>
        <v/>
      </c>
      <c r="BG21" s="39">
        <f>IFERROR(AS21*$BD21,0)</f>
        <v/>
      </c>
      <c r="BH21" s="39">
        <f>IFERROR(AT21*$BD21,0)</f>
        <v/>
      </c>
      <c r="BI21" s="39">
        <f>BH21*1.03</f>
        <v/>
      </c>
      <c r="BJ21" s="39">
        <f>BI21*1.03</f>
        <v/>
      </c>
      <c r="BK21" s="39">
        <f>BJ21*1.03</f>
        <v/>
      </c>
      <c r="BL21" s="39">
        <f>BK21*1.03</f>
        <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n"/>
      <c r="C22" s="24" t="n"/>
      <c r="D22" s="147" t="n"/>
      <c r="E22" s="142" t="n"/>
      <c r="F22" s="14" t="n"/>
      <c r="G22" s="14" t="n"/>
      <c r="H22" s="14" t="n"/>
      <c r="I22" s="14" t="n"/>
      <c r="J22" s="14" t="n"/>
      <c r="K22" s="14" t="n"/>
      <c r="L22" s="14" t="n"/>
      <c r="M22" s="14" t="n"/>
      <c r="N22" s="24" t="n"/>
      <c r="O22" s="156" t="inlineStr">
        <is>
          <t>Paper and Envelopes</t>
        </is>
      </c>
      <c r="P22" s="13" t="n"/>
      <c r="Q22" s="20" t="n"/>
      <c r="R22" s="21">
        <f>S22/12</f>
        <v/>
      </c>
      <c r="S22" s="6">
        <f>IFERROR($Q22*E22,0)</f>
        <v/>
      </c>
      <c r="T22" s="6">
        <f>IFERROR($Q22*F22,0)</f>
        <v/>
      </c>
      <c r="U22" s="6">
        <f>IFERROR($Q22*G22,0)</f>
        <v/>
      </c>
      <c r="V22" s="6">
        <f>IFERROR($Q22*H22,0)</f>
        <v/>
      </c>
      <c r="W22" s="6">
        <f>IFERROR($Q22*I22,0)</f>
        <v/>
      </c>
      <c r="X22" s="6">
        <f>IFERROR($Q22*J22,0)</f>
        <v/>
      </c>
      <c r="Y22" s="6">
        <f>IFERROR($Q22*K22,0)</f>
        <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P22" s="102" t="inlineStr">
        <is>
          <t>Monthly F</t>
        </is>
      </c>
      <c r="AQ22" s="12" t="n">
        <v>1</v>
      </c>
      <c r="AR22" s="14">
        <f>IF($AP22="Annual",1,IF($AP22="Monthly F",12,IF($AP22="Monthly V",AQ22*12,IF($AP22="One-Time",1,AQ22*12))))</f>
        <v/>
      </c>
      <c r="AS22" s="14">
        <f t="array" ref="AS22">IFERROR(_xlfn.IFS(VALUE(MID(AS$5,6,1))&gt;$D$2,0,$AP22="Annual",1,AR22=12,12,$AP22="Monthly V",AR22*(1+$BD$2),$AP22="Monthly F",12,$AP22="One-Time",0),AR22*(1+$BD$2))</f>
        <v/>
      </c>
      <c r="AT22" s="14">
        <f t="array" ref="AT22">IFERROR(_xlfn.IFS(VALUE(MID(AT$5,6,1))&gt;$D$2,0,$AP22="Annual",1,AS22=12,12,$AP22="Monthly V",AS22*(1+$BD$2),$AP22="Monthly F",12,$AP22="One-Time",0),AS22*(1+$BD$2))</f>
        <v/>
      </c>
      <c r="AU22" s="14">
        <f t="array" ref="AU22">IFERROR(_xlfn.IFS(VALUE(MID(AU$5,6,1))&gt;$D$2,0,$AP22="Annual",1,AT22=12,12,$AP22="Monthly V",AT22*(1+$BD$2),$AP22="Monthly F",12,$AP22="One-Time",0),AT22*(1+$BD$2))</f>
        <v/>
      </c>
      <c r="AV22" s="14">
        <f t="array" ref="AV22">IFERROR(_xlfn.IFS(VALUE(MID(AV$5,6,1))&gt;$D$2,0,$AP22="Annual",1,AU22=12,12,$AP22="Monthly V",AU22*(1+$BD$2),$AP22="Monthly F",12,$AP22="One-Time",0),AU22*(1+$BD$2))</f>
        <v/>
      </c>
      <c r="AW22" s="14">
        <f t="array" ref="AW22">IFERROR(_xlfn.IFS(VALUE(MID(AW$5,6,1))&gt;$D$2,0,$AP22="Annual",1,AV22=12,12,$AP22="Monthly V",AV22*(1+$BD$2),$AP22="Monthly F",12,$AP22="One-Time",0),AV22*(1+$BD$2))</f>
        <v/>
      </c>
      <c r="AX22" s="14">
        <f t="array" ref="AX22">IFERROR(_xlfn.IFS(VALUE(MID(AX$5,6,1))&gt;$D$2,0,$AP22="Annual",1,AW22=12,12,$AP22="Monthly V",AW22*(1+$BD$2),$AP22="Monthly F",12,$AP22="One-Time",0),AW22*(1+$BD$2))</f>
        <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Outlink Statement Printing</t>
        </is>
      </c>
      <c r="BC22" s="38" t="inlineStr">
        <is>
          <t>OutLink Item Processing</t>
        </is>
      </c>
      <c r="BD22" s="36" t="n">
        <v>900</v>
      </c>
      <c r="BE22" s="21">
        <f>BF22/12</f>
        <v/>
      </c>
      <c r="BF22" s="39">
        <f>IFERROR(AR22*$BD22,0)</f>
        <v/>
      </c>
      <c r="BG22" s="39">
        <f>IFERROR(AS22*$BD22,0)</f>
        <v/>
      </c>
      <c r="BH22" s="39">
        <f>IFERROR(AT22*$BD22,0)</f>
        <v/>
      </c>
      <c r="BI22" s="39">
        <f>BH22*1.03</f>
        <v/>
      </c>
      <c r="BJ22" s="39">
        <f>BI22*1.03</f>
        <v/>
      </c>
      <c r="BK22" s="39">
        <f>BJ22*1.03</f>
        <v/>
      </c>
      <c r="BL22" s="39">
        <f>BK22*1.03</f>
        <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V</t>
        </is>
      </c>
      <c r="C23" s="24" t="n">
        <v>1000</v>
      </c>
      <c r="D23" s="147">
        <f>IFERROR(AVERAGE(C23:C23),0)</f>
        <v/>
      </c>
      <c r="E23" s="142">
        <f>IF($B23="Annual",1,IF($B23="Monthly F",12,IF($B23="Monthly V",D23*12,IF($B23="One-Time",1,D23*12))))</f>
        <v/>
      </c>
      <c r="F23" s="14">
        <f t="array" ref="F23">IFERROR(_xlfn.IFS(VALUE(MID(F$5,6,1))&gt;$D$2,0,$B23="Annual",1,E23=12,12,$B23="Monthly V",E23*(1+$D$3),$B23="Monthly F",12,$B23="One-Time",0),E23*(1+$D$3))</f>
        <v/>
      </c>
      <c r="G23" s="14">
        <f t="array" ref="G23">IFERROR(_xlfn.IFS(VALUE(MID(G$5,6,1))&gt;$D$2,0,$B23="Annual",1,F23=12,12,$B23="Monthly V",F23*(1+$D$3),$B23="Monthly F",12,$B23="One-Time",0),F23*(1+$D$3))</f>
        <v/>
      </c>
      <c r="H23" s="14">
        <f t="array" ref="H23">IFERROR(_xlfn.IFS(VALUE(MID(H$5,6,1))&gt;$D$2,0,$B23="Annual",1,G23=12,12,$B23="Monthly V",G23*(1+$D$3),$B23="Monthly F",12,$B23="One-Time",0),G23*(1+$D$3))</f>
        <v/>
      </c>
      <c r="I23" s="14">
        <f t="array" ref="I23">IFERROR(_xlfn.IFS(VALUE(MID(I$5,6,1))&gt;$D$2,0,$B23="Annual",1,H23=12,12,$B23="Monthly V",H23*(1+$D$3),$B23="Monthly F",12,$B23="One-Time",0),H23*(1+$D$3))</f>
        <v/>
      </c>
      <c r="J23" s="14">
        <f t="array" ref="J23">IFERROR(_xlfn.IFS(VALUE(MID(J$5,6,1))&gt;$D$2,0,$B23="Annual",1,I23=12,12,$B23="Monthly V",I23*(1+$D$3),$B23="Monthly F",12,$B23="One-Time",0),I23*(1+$D$3))</f>
        <v/>
      </c>
      <c r="K23" s="14">
        <f t="array" ref="K23">IFERROR(_xlfn.IFS(VALUE(MID(K$5,6,1))&gt;$D$2,0,$B23="Annual",1,J23=12,12,$B23="Monthly V",J23*(1+$D$3),$B23="Monthly F",12,$B23="One-Time",0),J23*(1+$D$3))</f>
        <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Per piece of paper</t>
        </is>
      </c>
      <c r="P23" s="13" t="inlineStr">
        <is>
          <t>Output Solutions</t>
        </is>
      </c>
      <c r="Q23" s="20" t="n">
        <v>0.0136</v>
      </c>
      <c r="R23" s="21">
        <f>S23/12</f>
        <v/>
      </c>
      <c r="S23" s="6">
        <f>IFERROR($Q23*E23,0)</f>
        <v/>
      </c>
      <c r="T23" s="6">
        <f>IFERROR($Q23*F23,0)</f>
        <v/>
      </c>
      <c r="U23" s="6">
        <f>IFERROR($Q23*G23,0)</f>
        <v/>
      </c>
      <c r="V23" s="6">
        <f>IFERROR($Q23*H23,0)</f>
        <v/>
      </c>
      <c r="W23" s="6">
        <f>IFERROR($Q23*I23,0)</f>
        <v/>
      </c>
      <c r="X23" s="6">
        <f>IFERROR($Q23*J23,0)</f>
        <v/>
      </c>
      <c r="Y23" s="6">
        <f>IFERROR($Q23*K23,0)</f>
        <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P23" s="102" t="inlineStr">
        <is>
          <t>Monthly V</t>
        </is>
      </c>
      <c r="AQ23" s="12" t="n">
        <v>5000</v>
      </c>
      <c r="AR23" s="14">
        <f>IF($AP23="Annual",1,IF($AP23="Monthly F",12,IF($AP23="Monthly V",AQ23*12,IF($AP23="One-Time",1,AQ23*12))))</f>
        <v/>
      </c>
      <c r="AS23" s="14">
        <f t="array" ref="AS23">IFERROR(_xlfn.IFS(VALUE(MID(AS$5,6,1))&gt;$D$2,0,$AP23="Annual",1,AR23=12,12,$AP23="Monthly V",AR23*(1+$BD$2),$AP23="Monthly F",12,$AP23="One-Time",0),AR23*(1+$BD$2))</f>
        <v/>
      </c>
      <c r="AT23" s="14">
        <f t="array" ref="AT23">IFERROR(_xlfn.IFS(VALUE(MID(AT$5,6,1))&gt;$D$2,0,$AP23="Annual",1,AS23=12,12,$AP23="Monthly V",AS23*(1+$BD$2),$AP23="Monthly F",12,$AP23="One-Time",0),AS23*(1+$BD$2))</f>
        <v/>
      </c>
      <c r="AU23" s="14">
        <f t="array" ref="AU23">IFERROR(_xlfn.IFS(VALUE(MID(AU$5,6,1))&gt;$D$2,0,$AP23="Annual",1,AT23=12,12,$AP23="Monthly V",AT23*(1+$BD$2),$AP23="Monthly F",12,$AP23="One-Time",0),AT23*(1+$BD$2))</f>
        <v/>
      </c>
      <c r="AV23" s="14">
        <f t="array" ref="AV23">IFERROR(_xlfn.IFS(VALUE(MID(AV$5,6,1))&gt;$D$2,0,$AP23="Annual",1,AU23=12,12,$AP23="Monthly V",AU23*(1+$BD$2),$AP23="Monthly F",12,$AP23="One-Time",0),AU23*(1+$BD$2))</f>
        <v/>
      </c>
      <c r="AW23" s="14">
        <f t="array" ref="AW23">IFERROR(_xlfn.IFS(VALUE(MID(AW$5,6,1))&gt;$D$2,0,$AP23="Annual",1,AV23=12,12,$AP23="Monthly V",AV23*(1+$BD$2),$AP23="Monthly F",12,$AP23="One-Time",0),AV23*(1+$BD$2))</f>
        <v/>
      </c>
      <c r="AX23" s="14">
        <f t="array" ref="AX23">IFERROR(_xlfn.IFS(VALUE(MID(AX$5,6,1))&gt;$D$2,0,$AP23="Annual",1,AW23=12,12,$AP23="Monthly V",AW23*(1+$BD$2),$AP23="Monthly F",12,$AP23="One-Time",0),AW23*(1+$BD$2))</f>
        <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Synergy ECM</t>
        </is>
      </c>
      <c r="BC23" s="38" t="inlineStr">
        <is>
          <t>Synergy</t>
        </is>
      </c>
      <c r="BD23" s="36" t="n">
        <v>0.2055</v>
      </c>
      <c r="BE23" s="21">
        <f>BF23/12</f>
        <v/>
      </c>
      <c r="BF23" s="39">
        <f>IFERROR(AR23*$BD23,0)</f>
        <v/>
      </c>
      <c r="BG23" s="39">
        <f>IFERROR(AS23*$BD23,0)</f>
        <v/>
      </c>
      <c r="BH23" s="39">
        <f>IFERROR(AT23*$BD23,0)</f>
        <v/>
      </c>
      <c r="BI23" s="39">
        <f>BH23*1.03</f>
        <v/>
      </c>
      <c r="BJ23" s="39">
        <f>BI23*1.03</f>
        <v/>
      </c>
      <c r="BK23" s="39">
        <f>BJ23*1.03</f>
        <v/>
      </c>
      <c r="BL23" s="39">
        <f>BK23*1.03</f>
        <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V</t>
        </is>
      </c>
      <c r="C24" s="24" t="n">
        <v>5000</v>
      </c>
      <c r="D24" s="147">
        <f>IFERROR(AVERAGE(C24:C24),0)</f>
        <v/>
      </c>
      <c r="E24" s="142">
        <f>IF($B24="Annual",1,IF($B24="Monthly F",12,IF($B24="Monthly V",D24*12,IF($B24="One-Time",1,D24*12))))</f>
        <v/>
      </c>
      <c r="F24" s="14">
        <f t="array" ref="F24">IFERROR(_xlfn.IFS(VALUE(MID(F$5,6,1))&gt;$D$2,0,$B24="Annual",1,E24=12,12,$B24="Monthly V",E24*(1+$D$3),$B24="Monthly F",12,$B24="One-Time",0),E24*(1+$D$3))</f>
        <v/>
      </c>
      <c r="G24" s="14">
        <f t="array" ref="G24">IFERROR(_xlfn.IFS(VALUE(MID(G$5,6,1))&gt;$D$2,0,$B24="Annual",1,F24=12,12,$B24="Monthly V",F24*(1+$D$3),$B24="Monthly F",12,$B24="One-Time",0),F24*(1+$D$3))</f>
        <v/>
      </c>
      <c r="H24" s="14">
        <f t="array" ref="H24">IFERROR(_xlfn.IFS(VALUE(MID(H$5,6,1))&gt;$D$2,0,$B24="Annual",1,G24=12,12,$B24="Monthly V",G24*(1+$D$3),$B24="Monthly F",12,$B24="One-Time",0),G24*(1+$D$3))</f>
        <v/>
      </c>
      <c r="I24" s="14">
        <f t="array" ref="I24">IFERROR(_xlfn.IFS(VALUE(MID(I$5,6,1))&gt;$D$2,0,$B24="Annual",1,H24=12,12,$B24="Monthly V",H24*(1+$D$3),$B24="Monthly F",12,$B24="One-Time",0),H24*(1+$D$3))</f>
        <v/>
      </c>
      <c r="J24" s="14">
        <f t="array" ref="J24">IFERROR(_xlfn.IFS(VALUE(MID(J$5,6,1))&gt;$D$2,0,$B24="Annual",1,I24=12,12,$B24="Monthly V",I24*(1+$D$3),$B24="Monthly F",12,$B24="One-Time",0),I24*(1+$D$3))</f>
        <v/>
      </c>
      <c r="K24" s="14">
        <f t="array" ref="K24">IFERROR(_xlfn.IFS(VALUE(MID(K$5,6,1))&gt;$D$2,0,$B24="Annual",1,J24=12,12,$B24="Monthly V",J24*(1+$D$3),$B24="Monthly F",12,$B24="One-Time",0),J24*(1+$D$3))</f>
        <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Per envelope x 500</t>
        </is>
      </c>
      <c r="P24" s="13" t="inlineStr">
        <is>
          <t>Output Solutions</t>
        </is>
      </c>
      <c r="Q24" s="20" t="n">
        <v>0.0314</v>
      </c>
      <c r="R24" s="21">
        <f>S24/12</f>
        <v/>
      </c>
      <c r="S24" s="6">
        <f>IFERROR($Q24*E24,0)</f>
        <v/>
      </c>
      <c r="T24" s="6">
        <f>IFERROR($Q24*F24,0)</f>
        <v/>
      </c>
      <c r="U24" s="6">
        <f>IFERROR($Q24*G24,0)</f>
        <v/>
      </c>
      <c r="V24" s="6">
        <f>IFERROR($Q24*H24,0)</f>
        <v/>
      </c>
      <c r="W24" s="6">
        <f>IFERROR($Q24*I24,0)</f>
        <v/>
      </c>
      <c r="X24" s="6">
        <f>IFERROR($Q24*J24,0)</f>
        <v/>
      </c>
      <c r="Y24" s="6">
        <f>IFERROR($Q24*K24,0)</f>
        <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P24" s="102" t="inlineStr">
        <is>
          <t>Monthly V</t>
        </is>
      </c>
      <c r="AQ24" s="12" t="n">
        <v>5000</v>
      </c>
      <c r="AR24" s="14">
        <f>IF($AP24="Annual",1,IF($AP24="Monthly F",12,IF($AP24="Monthly V",AQ24*12,IF($AP24="One-Time",1,AQ24*12))))</f>
        <v/>
      </c>
      <c r="AS24" s="14">
        <f t="array" ref="AS24">IFERROR(_xlfn.IFS(VALUE(MID(AS$5,6,1))&gt;$D$2,0,$AP24="Annual",1,AR24=12,12,$AP24="Monthly V",AR24*(1+$BD$2),$AP24="Monthly F",12,$AP24="One-Time",0),AR24*(1+$BD$2))</f>
        <v/>
      </c>
      <c r="AT24" s="14">
        <f t="array" ref="AT24">IFERROR(_xlfn.IFS(VALUE(MID(AT$5,6,1))&gt;$D$2,0,$AP24="Annual",1,AS24=12,12,$AP24="Monthly V",AS24*(1+$BD$2),$AP24="Monthly F",12,$AP24="One-Time",0),AS24*(1+$BD$2))</f>
        <v/>
      </c>
      <c r="AU24" s="14">
        <f t="array" ref="AU24">IFERROR(_xlfn.IFS(VALUE(MID(AU$5,6,1))&gt;$D$2,0,$AP24="Annual",1,AT24=12,12,$AP24="Monthly V",AT24*(1+$BD$2),$AP24="Monthly F",12,$AP24="One-Time",0),AT24*(1+$BD$2))</f>
        <v/>
      </c>
      <c r="AV24" s="14">
        <f t="array" ref="AV24">IFERROR(_xlfn.IFS(VALUE(MID(AV$5,6,1))&gt;$D$2,0,$AP24="Annual",1,AU24=12,12,$AP24="Monthly V",AU24*(1+$BD$2),$AP24="Monthly F",12,$AP24="One-Time",0),AU24*(1+$BD$2))</f>
        <v/>
      </c>
      <c r="AW24" s="14">
        <f t="array" ref="AW24">IFERROR(_xlfn.IFS(VALUE(MID(AW$5,6,1))&gt;$D$2,0,$AP24="Annual",1,AV24=12,12,$AP24="Monthly V",AV24*(1+$BD$2),$AP24="Monthly F",12,$AP24="One-Time",0),AV24*(1+$BD$2))</f>
        <v/>
      </c>
      <c r="AX24" s="14">
        <f t="array" ref="AX24">IFERROR(_xlfn.IFS(VALUE(MID(AX$5,6,1))&gt;$D$2,0,$AP24="Annual",1,AW24=12,12,$AP24="Monthly V",AW24*(1+$BD$2),$AP24="Monthly F",12,$AP24="One-Time",0),AW24*(1+$BD$2))</f>
        <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Synergy Productivity</t>
        </is>
      </c>
      <c r="BC24" s="38" t="inlineStr">
        <is>
          <t>Synergy</t>
        </is>
      </c>
      <c r="BD24" s="36" t="n">
        <v>0.0765</v>
      </c>
      <c r="BE24" s="21">
        <f>BF24/12</f>
        <v/>
      </c>
      <c r="BF24" s="39">
        <f>IFERROR(AR24*$BD24,0)</f>
        <v/>
      </c>
      <c r="BG24" s="39">
        <f>IFERROR(AS24*$BD24,0)</f>
        <v/>
      </c>
      <c r="BH24" s="39">
        <f>IFERROR(AT24*$BD24,0)</f>
        <v/>
      </c>
      <c r="BI24" s="39">
        <f>BH24*1.03</f>
        <v/>
      </c>
      <c r="BJ24" s="39">
        <f>BI24*1.03</f>
        <v/>
      </c>
      <c r="BK24" s="39">
        <f>BJ24*1.03</f>
        <v/>
      </c>
      <c r="BL24" s="39">
        <f>BK24*1.03</f>
        <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n"/>
      <c r="C25" s="24" t="n"/>
      <c r="D25" s="147" t="n"/>
      <c r="E25" s="142" t="n"/>
      <c r="F25" s="14" t="n"/>
      <c r="G25" s="14" t="n"/>
      <c r="H25" s="14" t="n"/>
      <c r="I25" s="14" t="n"/>
      <c r="J25" s="14" t="n"/>
      <c r="K25" s="14" t="n"/>
      <c r="L25" s="14" t="n"/>
      <c r="M25" s="14" t="n"/>
      <c r="N25" s="24" t="n"/>
      <c r="O25" s="156" t="inlineStr">
        <is>
          <t>Card Production</t>
        </is>
      </c>
      <c r="P25" s="13" t="n"/>
      <c r="Q25" s="20" t="n"/>
      <c r="R25" s="21">
        <f>S25/12</f>
        <v/>
      </c>
      <c r="S25" s="6">
        <f>IFERROR($Q25*E25,0)</f>
        <v/>
      </c>
      <c r="T25" s="6">
        <f>IFERROR($Q25*F25,0)</f>
        <v/>
      </c>
      <c r="U25" s="6">
        <f>IFERROR($Q25*G25,0)</f>
        <v/>
      </c>
      <c r="V25" s="6">
        <f>IFERROR($Q25*H25,0)</f>
        <v/>
      </c>
      <c r="W25" s="6">
        <f>IFERROR($Q25*I25,0)</f>
        <v/>
      </c>
      <c r="X25" s="6">
        <f>IFERROR($Q25*J25,0)</f>
        <v/>
      </c>
      <c r="Y25" s="6">
        <f>IFERROR($Q25*K25,0)</f>
        <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P25" s="102" t="inlineStr">
        <is>
          <t>Monthly V</t>
        </is>
      </c>
      <c r="AQ25" s="12" t="n">
        <v>5000</v>
      </c>
      <c r="AR25" s="14">
        <f>IF($AP25="Annual",1,IF($AP25="Monthly F",12,IF($AP25="Monthly V",AQ25*12,IF($AP25="One-Time",1,AQ25*12))))</f>
        <v/>
      </c>
      <c r="AS25" s="14">
        <f t="array" ref="AS25">IFERROR(_xlfn.IFS(VALUE(MID(AS$5,6,1))&gt;$D$2,0,$AP25="Annual",1,AR25=12,12,$AP25="Monthly V",AR25*(1+$BD$2),$AP25="Monthly F",12,$AP25="One-Time",0),AR25*(1+$BD$2))</f>
        <v/>
      </c>
      <c r="AT25" s="14">
        <f t="array" ref="AT25">IFERROR(_xlfn.IFS(VALUE(MID(AT$5,6,1))&gt;$D$2,0,$AP25="Annual",1,AS25=12,12,$AP25="Monthly V",AS25*(1+$BD$2),$AP25="Monthly F",12,$AP25="One-Time",0),AS25*(1+$BD$2))</f>
        <v/>
      </c>
      <c r="AU25" s="14">
        <f t="array" ref="AU25">IFERROR(_xlfn.IFS(VALUE(MID(AU$5,6,1))&gt;$D$2,0,$AP25="Annual",1,AT25=12,12,$AP25="Monthly V",AT25*(1+$BD$2),$AP25="Monthly F",12,$AP25="One-Time",0),AT25*(1+$BD$2))</f>
        <v/>
      </c>
      <c r="AV25" s="14">
        <f t="array" ref="AV25">IFERROR(_xlfn.IFS(VALUE(MID(AV$5,6,1))&gt;$D$2,0,$AP25="Annual",1,AU25=12,12,$AP25="Monthly V",AU25*(1+$BD$2),$AP25="Monthly F",12,$AP25="One-Time",0),AU25*(1+$BD$2))</f>
        <v/>
      </c>
      <c r="AW25" s="14">
        <f t="array" ref="AW25">IFERROR(_xlfn.IFS(VALUE(MID(AW$5,6,1))&gt;$D$2,0,$AP25="Annual",1,AV25=12,12,$AP25="Monthly V",AV25*(1+$BD$2),$AP25="Monthly F",12,$AP25="One-Time",0),AV25*(1+$BD$2))</f>
        <v/>
      </c>
      <c r="AX25" s="14">
        <f t="array" ref="AX25">IFERROR(_xlfn.IFS(VALUE(MID(AX$5,6,1))&gt;$D$2,0,$AP25="Annual",1,AW25=12,12,$AP25="Monthly V",AW25*(1+$BD$2),$AP25="Monthly F",12,$AP25="One-Time",0),AW25*(1+$BD$2))</f>
        <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Synergy eSign and eSignWeb Bundle</t>
        </is>
      </c>
      <c r="BC25" s="38" t="inlineStr">
        <is>
          <t>Synergy</t>
        </is>
      </c>
      <c r="BD25" s="36" t="n">
        <v>0.184</v>
      </c>
      <c r="BE25" s="21">
        <f>BF25/12</f>
        <v/>
      </c>
      <c r="BF25" s="39">
        <f>IFERROR(AR25*$BD25,0)</f>
        <v/>
      </c>
      <c r="BG25" s="39">
        <f>IFERROR(AS25*$BD25,0)</f>
        <v/>
      </c>
      <c r="BH25" s="39">
        <f>IFERROR(AT25*$BD25,0)</f>
        <v/>
      </c>
      <c r="BI25" s="39">
        <f>BH25*1.03</f>
        <v/>
      </c>
      <c r="BJ25" s="39">
        <f>BI25*1.03</f>
        <v/>
      </c>
      <c r="BK25" s="39">
        <f>BJ25*1.03</f>
        <v/>
      </c>
      <c r="BL25" s="39">
        <f>BK25*1.03</f>
        <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v>
      </c>
      <c r="D26" s="147">
        <f>IFERROR(AVERAGE(C26:C26),0)</f>
        <v/>
      </c>
      <c r="E26" s="142">
        <f>IF($B26="Annual",1,IF($B26="Monthly F",12,IF($B26="Monthly V",D26*12,IF($B26="One-Time",1,D26*12))))</f>
        <v/>
      </c>
      <c r="F26" s="14">
        <f t="array" ref="F26">IFERROR(_xlfn.IFS(VALUE(MID(F$5,6,1))&gt;$D$2,0,$B26="Annual",1,E26=12,12,$B26="Monthly V",E26*(1+$D$3),$B26="Monthly F",12,$B26="One-Time",0),E26*(1+$D$3))</f>
        <v/>
      </c>
      <c r="G26" s="14">
        <f t="array" ref="G26">IFERROR(_xlfn.IFS(VALUE(MID(G$5,6,1))&gt;$D$2,0,$B26="Annual",1,F26=12,12,$B26="Monthly V",F26*(1+$D$3),$B26="Monthly F",12,$B26="One-Time",0),F26*(1+$D$3))</f>
        <v/>
      </c>
      <c r="H26" s="14">
        <f t="array" ref="H26">IFERROR(_xlfn.IFS(VALUE(MID(H$5,6,1))&gt;$D$2,0,$B26="Annual",1,G26=12,12,$B26="Monthly V",G26*(1+$D$3),$B26="Monthly F",12,$B26="One-Time",0),G26*(1+$D$3))</f>
        <v/>
      </c>
      <c r="I26" s="14">
        <f t="array" ref="I26">IFERROR(_xlfn.IFS(VALUE(MID(I$5,6,1))&gt;$D$2,0,$B26="Annual",1,H26=12,12,$B26="Monthly V",H26*(1+$D$3),$B26="Monthly F",12,$B26="One-Time",0),H26*(1+$D$3))</f>
        <v/>
      </c>
      <c r="J26" s="14">
        <f t="array" ref="J26">IFERROR(_xlfn.IFS(VALUE(MID(J$5,6,1))&gt;$D$2,0,$B26="Annual",1,I26=12,12,$B26="Monthly V",I26*(1+$D$3),$B26="Monthly F",12,$B26="One-Time",0),I26*(1+$D$3))</f>
        <v/>
      </c>
      <c r="K26" s="14">
        <f t="array" ref="K26">IFERROR(_xlfn.IFS(VALUE(MID(K$5,6,1))&gt;$D$2,0,$B26="Annual",1,J26=12,12,$B26="Monthly V",J26*(1+$D$3),$B26="Monthly F",12,$B26="One-Time",0),J26*(1+$D$3))</f>
        <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Card Pro Connect</t>
        </is>
      </c>
      <c r="P26" s="13" t="inlineStr">
        <is>
          <t>CardProd</t>
        </is>
      </c>
      <c r="Q26" s="20" t="n">
        <v>500</v>
      </c>
      <c r="R26" s="21">
        <f>S26/12</f>
        <v/>
      </c>
      <c r="S26" s="6">
        <f>IFERROR($Q26*E26,0)</f>
        <v/>
      </c>
      <c r="T26" s="6">
        <f>IFERROR($Q26*F26,0)</f>
        <v/>
      </c>
      <c r="U26" s="6">
        <f>IFERROR($Q26*G26,0)</f>
        <v/>
      </c>
      <c r="V26" s="6">
        <f>IFERROR($Q26*H26,0)</f>
        <v/>
      </c>
      <c r="W26" s="6">
        <f>IFERROR($Q26*I26,0)</f>
        <v/>
      </c>
      <c r="X26" s="6">
        <f>IFERROR($Q26*J26,0)</f>
        <v/>
      </c>
      <c r="Y26" s="6">
        <f>IFERROR($Q26*K26,0)</f>
        <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P26" s="102" t="inlineStr">
        <is>
          <t>Monthly F</t>
        </is>
      </c>
      <c r="AQ26" s="12" t="n">
        <v>1</v>
      </c>
      <c r="AR26" s="14">
        <f>IF($AP26="Annual",1,IF($AP26="Monthly F",12,IF($AP26="Monthly V",AQ26*12,IF($AP26="One-Time",1,AQ26*12))))</f>
        <v/>
      </c>
      <c r="AS26" s="14">
        <f t="array" ref="AS26">IFERROR(_xlfn.IFS(VALUE(MID(AS$5,6,1))&gt;$D$2,0,$AP26="Annual",1,AR26=12,12,$AP26="Monthly V",AR26*(1+$BD$2),$AP26="Monthly F",12,$AP26="One-Time",0),AR26*(1+$BD$2))</f>
        <v/>
      </c>
      <c r="AT26" s="14">
        <f t="array" ref="AT26">IFERROR(_xlfn.IFS(VALUE(MID(AT$5,6,1))&gt;$D$2,0,$AP26="Annual",1,AS26=12,12,$AP26="Monthly V",AS26*(1+$BD$2),$AP26="Monthly F",12,$AP26="One-Time",0),AS26*(1+$BD$2))</f>
        <v/>
      </c>
      <c r="AU26" s="14">
        <f t="array" ref="AU26">IFERROR(_xlfn.IFS(VALUE(MID(AU$5,6,1))&gt;$D$2,0,$AP26="Annual",1,AT26=12,12,$AP26="Monthly V",AT26*(1+$BD$2),$AP26="Monthly F",12,$AP26="One-Time",0),AT26*(1+$BD$2))</f>
        <v/>
      </c>
      <c r="AV26" s="14">
        <f t="array" ref="AV26">IFERROR(_xlfn.IFS(VALUE(MID(AV$5,6,1))&gt;$D$2,0,$AP26="Annual",1,AU26=12,12,$AP26="Monthly V",AU26*(1+$BD$2),$AP26="Monthly F",12,$AP26="One-Time",0),AU26*(1+$BD$2))</f>
        <v/>
      </c>
      <c r="AW26" s="14">
        <f t="array" ref="AW26">IFERROR(_xlfn.IFS(VALUE(MID(AW$5,6,1))&gt;$D$2,0,$AP26="Annual",1,AV26=12,12,$AP26="Monthly V",AV26*(1+$BD$2),$AP26="Monthly F",12,$AP26="One-Time",0),AV26*(1+$BD$2))</f>
        <v/>
      </c>
      <c r="AX26" s="14">
        <f t="array" ref="AX26">IFERROR(_xlfn.IFS(VALUE(MID(AX$5,6,1))&gt;$D$2,0,$AP26="Annual",1,AW26=12,12,$AP26="Monthly V",AW26*(1+$BD$2),$AP26="Monthly F",12,$AP26="One-Time",0),AW26*(1+$BD$2))</f>
        <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iPay Business BillPay Banno</t>
        </is>
      </c>
      <c r="BC26" s="38" t="inlineStr">
        <is>
          <t>iPay</t>
        </is>
      </c>
      <c r="BD26" s="36" t="n">
        <v>400</v>
      </c>
      <c r="BE26" s="21">
        <f>BF26/12</f>
        <v/>
      </c>
      <c r="BF26" s="39">
        <f>IFERROR(AR26*$BD26,0)</f>
        <v/>
      </c>
      <c r="BG26" s="39">
        <f>IFERROR(AS26*$BD26,0)</f>
        <v/>
      </c>
      <c r="BH26" s="39">
        <f>IFERROR(AT26*$BD26,0)</f>
        <v/>
      </c>
      <c r="BI26" s="39">
        <f>BH26*1.03</f>
        <v/>
      </c>
      <c r="BJ26" s="39">
        <f>BI26*1.03</f>
        <v/>
      </c>
      <c r="BK26" s="39">
        <f>BJ26*1.03</f>
        <v/>
      </c>
      <c r="BL26" s="39">
        <f>BK26*1.03</f>
        <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V</t>
        </is>
      </c>
      <c r="C27" s="24" t="n">
        <v>29</v>
      </c>
      <c r="D27" s="147">
        <f>IFERROR(AVERAGE(C27:C27),0)</f>
        <v/>
      </c>
      <c r="E27" s="142">
        <f>IF($B27="Annual",1,IF($B27="Monthly F",12,IF($B27="Monthly V",D27*12,IF($B27="One-Time",1,D27*12))))</f>
        <v/>
      </c>
      <c r="F27" s="14">
        <f t="array" ref="F27">IFERROR(_xlfn.IFS(VALUE(MID(F$5,6,1))&gt;$D$2,0,$B27="Annual",1,E27=12,12,$B27="Monthly V",E27*(1+$D$3),$B27="Monthly F",12,$B27="One-Time",0),E27*(1+$D$3))</f>
        <v/>
      </c>
      <c r="G27" s="14">
        <f t="array" ref="G27">IFERROR(_xlfn.IFS(VALUE(MID(G$5,6,1))&gt;$D$2,0,$B27="Annual",1,F27=12,12,$B27="Monthly V",F27*(1+$D$3),$B27="Monthly F",12,$B27="One-Time",0),F27*(1+$D$3))</f>
        <v/>
      </c>
      <c r="H27" s="14">
        <f t="array" ref="H27">IFERROR(_xlfn.IFS(VALUE(MID(H$5,6,1))&gt;$D$2,0,$B27="Annual",1,G27=12,12,$B27="Monthly V",G27*(1+$D$3),$B27="Monthly F",12,$B27="One-Time",0),G27*(1+$D$3))</f>
        <v/>
      </c>
      <c r="I27" s="14">
        <f t="array" ref="I27">IFERROR(_xlfn.IFS(VALUE(MID(I$5,6,1))&gt;$D$2,0,$B27="Annual",1,H27=12,12,$B27="Monthly V",H27*(1+$D$3),$B27="Monthly F",12,$B27="One-Time",0),H27*(1+$D$3))</f>
        <v/>
      </c>
      <c r="J27" s="14">
        <f t="array" ref="J27">IFERROR(_xlfn.IFS(VALUE(MID(J$5,6,1))&gt;$D$2,0,$B27="Annual",1,I27=12,12,$B27="Monthly V",I27*(1+$D$3),$B27="Monthly F",12,$B27="One-Time",0),I27*(1+$D$3))</f>
        <v/>
      </c>
      <c r="K27" s="14">
        <f t="array" ref="K27">IFERROR(_xlfn.IFS(VALUE(MID(K$5,6,1))&gt;$D$2,0,$B27="Annual",1,J27=12,12,$B27="Monthly V",J27*(1+$D$3),$B27="Monthly F",12,$B27="One-Time",0),J27*(1+$D$3))</f>
        <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Debit Card Production Files/Jobs per month</t>
        </is>
      </c>
      <c r="P27" s="13" t="inlineStr">
        <is>
          <t>CardProd</t>
        </is>
      </c>
      <c r="Q27" s="20" t="n">
        <v>12</v>
      </c>
      <c r="R27" s="21">
        <f>S27/12</f>
        <v/>
      </c>
      <c r="S27" s="6">
        <f>IFERROR($Q27*E27,0)</f>
        <v/>
      </c>
      <c r="T27" s="6">
        <f>IFERROR($Q27*F27,0)</f>
        <v/>
      </c>
      <c r="U27" s="6">
        <f>IFERROR($Q27*G27,0)</f>
        <v/>
      </c>
      <c r="V27" s="6">
        <f>IFERROR($Q27*H27,0)</f>
        <v/>
      </c>
      <c r="W27" s="6">
        <f>IFERROR($Q27*I27,0)</f>
        <v/>
      </c>
      <c r="X27" s="6">
        <f>IFERROR($Q27*J27,0)</f>
        <v/>
      </c>
      <c r="Y27" s="6">
        <f>IFERROR($Q27*K27,0)</f>
        <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P27" s="102" t="inlineStr">
        <is>
          <t>Monthly F</t>
        </is>
      </c>
      <c r="AQ27" s="12" t="n">
        <v>1</v>
      </c>
      <c r="AR27" s="14">
        <f>IF($AP27="Annual",1,IF($AP27="Monthly F",12,IF($AP27="Monthly V",AQ27*12,IF($AP27="One-Time",1,AQ27*12))))</f>
        <v/>
      </c>
      <c r="AS27" s="14">
        <f t="array" ref="AS27">IFERROR(_xlfn.IFS(VALUE(MID(AS$5,6,1))&gt;$D$2,0,$AP27="Annual",1,AR27=12,12,$AP27="Monthly V",AR27*(1+$BD$2),$AP27="Monthly F",12,$AP27="One-Time",0),AR27*(1+$BD$2))</f>
        <v/>
      </c>
      <c r="AT27" s="14">
        <f t="array" ref="AT27">IFERROR(_xlfn.IFS(VALUE(MID(AT$5,6,1))&gt;$D$2,0,$AP27="Annual",1,AS27=12,12,$AP27="Monthly V",AS27*(1+$BD$2),$AP27="Monthly F",12,$AP27="One-Time",0),AS27*(1+$BD$2))</f>
        <v/>
      </c>
      <c r="AU27" s="14">
        <f t="array" ref="AU27">IFERROR(_xlfn.IFS(VALUE(MID(AU$5,6,1))&gt;$D$2,0,$AP27="Annual",1,AT27=12,12,$AP27="Monthly V",AT27*(1+$BD$2),$AP27="Monthly F",12,$AP27="One-Time",0),AT27*(1+$BD$2))</f>
        <v/>
      </c>
      <c r="AV27" s="14">
        <f t="array" ref="AV27">IFERROR(_xlfn.IFS(VALUE(MID(AV$5,6,1))&gt;$D$2,0,$AP27="Annual",1,AU27=12,12,$AP27="Monthly V",AU27*(1+$BD$2),$AP27="Monthly F",12,$AP27="One-Time",0),AU27*(1+$BD$2))</f>
        <v/>
      </c>
      <c r="AW27" s="14">
        <f t="array" ref="AW27">IFERROR(_xlfn.IFS(VALUE(MID(AW$5,6,1))&gt;$D$2,0,$AP27="Annual",1,AV27=12,12,$AP27="Monthly V",AV27*(1+$BD$2),$AP27="Monthly F",12,$AP27="One-Time",0),AV27*(1+$BD$2))</f>
        <v/>
      </c>
      <c r="AX27" s="14">
        <f t="array" ref="AX27">IFERROR(_xlfn.IFS(VALUE(MID(AX$5,6,1))&gt;$D$2,0,$AP27="Annual",1,AW27=12,12,$AP27="Monthly V",AW27*(1+$BD$2),$AP27="Monthly F",12,$AP27="One-Time",0),AW27*(1+$BD$2))</f>
        <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DirectLine Wires</t>
        </is>
      </c>
      <c r="BC27" s="38" t="inlineStr">
        <is>
          <t>DirectLine</t>
        </is>
      </c>
      <c r="BD27" s="36" t="n">
        <v>450</v>
      </c>
      <c r="BE27" s="21">
        <f>BF27/12</f>
        <v/>
      </c>
      <c r="BF27" s="39">
        <f>IFERROR(AR27*$BD27,0)</f>
        <v/>
      </c>
      <c r="BG27" s="39">
        <f>IFERROR(AS27*$BD27,0)</f>
        <v/>
      </c>
      <c r="BH27" s="39">
        <f>IFERROR(AT27*$BD27,0)</f>
        <v/>
      </c>
      <c r="BI27" s="39">
        <f>BH27*1.03</f>
        <v/>
      </c>
      <c r="BJ27" s="39">
        <f>BI27*1.03</f>
        <v/>
      </c>
      <c r="BK27" s="39">
        <f>BJ27*1.03</f>
        <v/>
      </c>
      <c r="BL27" s="39">
        <f>BK27*1.03</f>
        <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V</t>
        </is>
      </c>
      <c r="C28" s="24" t="n">
        <v>25</v>
      </c>
      <c r="D28" s="147">
        <f>IFERROR(AVERAGE(C28:C28),0)</f>
        <v/>
      </c>
      <c r="E28" s="142">
        <f>IF($B28="Annual",1,IF($B28="Monthly F",12,IF($B28="Monthly V",D28*12,IF($B28="One-Time",1,D28*12))))</f>
        <v/>
      </c>
      <c r="F28" s="14">
        <f t="array" ref="F28">IFERROR(_xlfn.IFS(VALUE(MID(F$5,6,1))&gt;$D$2,0,$B28="Annual",1,E28=12,12,$B28="Monthly V",E28*(1+$D$3),$B28="Monthly F",12,$B28="One-Time",0),E28*(1+$D$3))</f>
        <v/>
      </c>
      <c r="G28" s="14">
        <f t="array" ref="G28">IFERROR(_xlfn.IFS(VALUE(MID(G$5,6,1))&gt;$D$2,0,$B28="Annual",1,F28=12,12,$B28="Monthly V",F28*(1+$D$3),$B28="Monthly F",12,$B28="One-Time",0),F28*(1+$D$3))</f>
        <v/>
      </c>
      <c r="H28" s="14">
        <f t="array" ref="H28">IFERROR(_xlfn.IFS(VALUE(MID(H$5,6,1))&gt;$D$2,0,$B28="Annual",1,G28=12,12,$B28="Monthly V",G28*(1+$D$3),$B28="Monthly F",12,$B28="One-Time",0),G28*(1+$D$3))</f>
        <v/>
      </c>
      <c r="I28" s="14">
        <f t="array" ref="I28">IFERROR(_xlfn.IFS(VALUE(MID(I$5,6,1))&gt;$D$2,0,$B28="Annual",1,H28=12,12,$B28="Monthly V",H28*(1+$D$3),$B28="Monthly F",12,$B28="One-Time",0),H28*(1+$D$3))</f>
        <v/>
      </c>
      <c r="J28" s="14">
        <f t="array" ref="J28">IFERROR(_xlfn.IFS(VALUE(MID(J$5,6,1))&gt;$D$2,0,$B28="Annual",1,I28=12,12,$B28="Monthly V",I28*(1+$D$3),$B28="Monthly F",12,$B28="One-Time",0),I28*(1+$D$3))</f>
        <v/>
      </c>
      <c r="K28" s="14">
        <f t="array" ref="K28">IFERROR(_xlfn.IFS(VALUE(MID(K$5,6,1))&gt;$D$2,0,$B28="Annual",1,J28=12,12,$B28="Monthly V",J28*(1+$D$3),$B28="Monthly F",12,$B28="One-Time",0),J28*(1+$D$3))</f>
        <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Debit Cards Produced per month</t>
        </is>
      </c>
      <c r="P28" s="13" t="inlineStr">
        <is>
          <t>CardProd</t>
        </is>
      </c>
      <c r="Q28" s="20" t="n">
        <v>6.82</v>
      </c>
      <c r="R28" s="21">
        <f>S28/12</f>
        <v/>
      </c>
      <c r="S28" s="6">
        <f>IFERROR($Q28*E28,0)</f>
        <v/>
      </c>
      <c r="T28" s="6">
        <f>IFERROR($Q28*F28,0)</f>
        <v/>
      </c>
      <c r="U28" s="6">
        <f>IFERROR($Q28*G28,0)</f>
        <v/>
      </c>
      <c r="V28" s="6">
        <f>IFERROR($Q28*H28,0)</f>
        <v/>
      </c>
      <c r="W28" s="6">
        <f>IFERROR($Q28*I28,0)</f>
        <v/>
      </c>
      <c r="X28" s="6">
        <f>IFERROR($Q28*J28,0)</f>
        <v/>
      </c>
      <c r="Y28" s="6">
        <f>IFERROR($Q28*K28,0)</f>
        <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P28" s="102" t="inlineStr">
        <is>
          <t>Monthly F</t>
        </is>
      </c>
      <c r="AQ28" s="12" t="n">
        <v>1</v>
      </c>
      <c r="AR28" s="14">
        <f>IF($AP28="Annual",1,IF($AP28="Monthly F",12,IF($AP28="Monthly V",AQ28*12,IF($AP28="One-Time",1,AQ28*12))))</f>
        <v/>
      </c>
      <c r="AS28" s="14">
        <f t="array" ref="AS28">IFERROR(_xlfn.IFS(VALUE(MID(AS$5,6,1))&gt;$D$2,0,$AP28="Annual",1,AR28=12,12,$AP28="Monthly V",AR28*(1+$BD$2),$AP28="Monthly F",12,$AP28="One-Time",0),AR28*(1+$BD$2))</f>
        <v/>
      </c>
      <c r="AT28" s="14">
        <f t="array" ref="AT28">IFERROR(_xlfn.IFS(VALUE(MID(AT$5,6,1))&gt;$D$2,0,$AP28="Annual",1,AS28=12,12,$AP28="Monthly V",AS28*(1+$BD$2),$AP28="Monthly F",12,$AP28="One-Time",0),AS28*(1+$BD$2))</f>
        <v/>
      </c>
      <c r="AU28" s="14">
        <f t="array" ref="AU28">IFERROR(_xlfn.IFS(VALUE(MID(AU$5,6,1))&gt;$D$2,0,$AP28="Annual",1,AT28=12,12,$AP28="Monthly V",AT28*(1+$BD$2),$AP28="Monthly F",12,$AP28="One-Time",0),AT28*(1+$BD$2))</f>
        <v/>
      </c>
      <c r="AV28" s="14">
        <f t="array" ref="AV28">IFERROR(_xlfn.IFS(VALUE(MID(AV$5,6,1))&gt;$D$2,0,$AP28="Annual",1,AU28=12,12,$AP28="Monthly V",AU28*(1+$BD$2),$AP28="Monthly F",12,$AP28="One-Time",0),AU28*(1+$BD$2))</f>
        <v/>
      </c>
      <c r="AW28" s="14">
        <f t="array" ref="AW28">IFERROR(_xlfn.IFS(VALUE(MID(AW$5,6,1))&gt;$D$2,0,$AP28="Annual",1,AV28=12,12,$AP28="Monthly V",AV28*(1+$BD$2),$AP28="Monthly F",12,$AP28="One-Time",0),AV28*(1+$BD$2))</f>
        <v/>
      </c>
      <c r="AX28" s="14">
        <f t="array" ref="AX28">IFERROR(_xlfn.IFS(VALUE(MID(AX$5,6,1))&gt;$D$2,0,$AP28="Annual",1,AW28=12,12,$AP28="Monthly V",AW28*(1+$BD$2),$AP28="Monthly F",12,$AP28="One-Time",0),AW28*(1+$BD$2))</f>
        <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CorPay Integration</t>
        </is>
      </c>
      <c r="BC28" s="38" t="inlineStr">
        <is>
          <t>DirectLine</t>
        </is>
      </c>
      <c r="BD28" s="36" t="n">
        <v>300</v>
      </c>
      <c r="BE28" s="21">
        <f>BF28/12</f>
        <v/>
      </c>
      <c r="BF28" s="39">
        <f>IFERROR(AR28*$BD28,0)</f>
        <v/>
      </c>
      <c r="BG28" s="39">
        <f>IFERROR(AS28*$BD28,0)</f>
        <v/>
      </c>
      <c r="BH28" s="39">
        <f>IFERROR(AT28*$BD28,0)</f>
        <v/>
      </c>
      <c r="BI28" s="39">
        <f>BH28*1.03</f>
        <v/>
      </c>
      <c r="BJ28" s="39">
        <f>BI28*1.03</f>
        <v/>
      </c>
      <c r="BK28" s="39">
        <f>BJ28*1.03</f>
        <v/>
      </c>
      <c r="BL28" s="39">
        <f>BK28*1.03</f>
        <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n"/>
      <c r="C29" s="24" t="n"/>
      <c r="D29" s="147" t="n"/>
      <c r="E29" s="142" t="n"/>
      <c r="F29" s="14" t="n"/>
      <c r="G29" s="14" t="n"/>
      <c r="H29" s="14" t="n"/>
      <c r="I29" s="14" t="n"/>
      <c r="J29" s="14" t="n"/>
      <c r="K29" s="14" t="n"/>
      <c r="L29" s="14" t="n"/>
      <c r="M29" s="14" t="n"/>
      <c r="N29" s="24" t="n"/>
      <c r="O29" s="151" t="inlineStr">
        <is>
          <t>DirectLink Risk Review</t>
        </is>
      </c>
      <c r="P29" s="13" t="n"/>
      <c r="Q29" s="20" t="n"/>
      <c r="R29" s="21">
        <f>S29/12</f>
        <v/>
      </c>
      <c r="S29" s="6">
        <f>IFERROR($Q29*E29,0)</f>
        <v/>
      </c>
      <c r="T29" s="6">
        <f>IFERROR($Q29*F29,0)</f>
        <v/>
      </c>
      <c r="U29" s="6">
        <f>IFERROR($Q29*G29,0)</f>
        <v/>
      </c>
      <c r="V29" s="6">
        <f>IFERROR($Q29*H29,0)</f>
        <v/>
      </c>
      <c r="W29" s="6">
        <f>IFERROR($Q29*I29,0)</f>
        <v/>
      </c>
      <c r="X29" s="6">
        <f>IFERROR($Q29*J29,0)</f>
        <v/>
      </c>
      <c r="Y29" s="6">
        <f>IFERROR($Q29*K29,0)</f>
        <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P29" s="102" t="inlineStr">
        <is>
          <t>Monthly F</t>
        </is>
      </c>
      <c r="AQ29" s="12" t="n">
        <v>1</v>
      </c>
      <c r="AR29" s="14">
        <f>IF($AP29="Annual",1,IF($AP29="Monthly F",12,IF($AP29="Monthly V",AQ29*12,IF($AP29="One-Time",1,AQ29*12))))</f>
        <v/>
      </c>
      <c r="AS29" s="14">
        <f t="array" ref="AS29">IFERROR(_xlfn.IFS(VALUE(MID(AS$5,6,1))&gt;$D$2,0,$AP29="Annual",1,AR29=12,12,$AP29="Monthly V",AR29*(1+$BD$2),$AP29="Monthly F",12,$AP29="One-Time",0),AR29*(1+$BD$2))</f>
        <v/>
      </c>
      <c r="AT29" s="14">
        <f t="array" ref="AT29">IFERROR(_xlfn.IFS(VALUE(MID(AT$5,6,1))&gt;$D$2,0,$AP29="Annual",1,AS29=12,12,$AP29="Monthly V",AS29*(1+$BD$2),$AP29="Monthly F",12,$AP29="One-Time",0),AS29*(1+$BD$2))</f>
        <v/>
      </c>
      <c r="AU29" s="14">
        <f t="array" ref="AU29">IFERROR(_xlfn.IFS(VALUE(MID(AU$5,6,1))&gt;$D$2,0,$AP29="Annual",1,AT29=12,12,$AP29="Monthly V",AT29*(1+$BD$2),$AP29="Monthly F",12,$AP29="One-Time",0),AT29*(1+$BD$2))</f>
        <v/>
      </c>
      <c r="AV29" s="14">
        <f t="array" ref="AV29">IFERROR(_xlfn.IFS(VALUE(MID(AV$5,6,1))&gt;$D$2,0,$AP29="Annual",1,AU29=12,12,$AP29="Monthly V",AU29*(1+$BD$2),$AP29="Monthly F",12,$AP29="One-Time",0),AU29*(1+$BD$2))</f>
        <v/>
      </c>
      <c r="AW29" s="14">
        <f t="array" ref="AW29">IFERROR(_xlfn.IFS(VALUE(MID(AW$5,6,1))&gt;$D$2,0,$AP29="Annual",1,AV29=12,12,$AP29="Monthly V",AV29*(1+$BD$2),$AP29="Monthly F",12,$AP29="One-Time",0),AV29*(1+$BD$2))</f>
        <v/>
      </c>
      <c r="AX29" s="14">
        <f t="array" ref="AX29">IFERROR(_xlfn.IFS(VALUE(MID(AX$5,6,1))&gt;$D$2,0,$AP29="Annual",1,AW29=12,12,$AP29="Monthly V",AW29*(1+$BD$2),$AP29="Monthly F",12,$AP29="One-Time",0),AW29*(1+$BD$2))</f>
        <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Zelle Implementation and Monthly Network</t>
        </is>
      </c>
      <c r="BC29" s="38" t="inlineStr">
        <is>
          <t>JHA Payment Center</t>
        </is>
      </c>
      <c r="BD29" s="36" t="n">
        <v>600</v>
      </c>
      <c r="BE29" s="21">
        <f>BF29/12</f>
        <v/>
      </c>
      <c r="BF29" s="39">
        <f>IFERROR(AR29*$BD29,0)</f>
        <v/>
      </c>
      <c r="BG29" s="39">
        <f>IFERROR(AS29*$BD29,0)</f>
        <v/>
      </c>
      <c r="BH29" s="39">
        <f>IFERROR(AT29*$BD29,0)</f>
        <v/>
      </c>
      <c r="BI29" s="39">
        <f>BH29*1.03</f>
        <v/>
      </c>
      <c r="BJ29" s="39">
        <f>BI29*1.03</f>
        <v/>
      </c>
      <c r="BK29" s="39">
        <f>BJ29*1.03</f>
        <v/>
      </c>
      <c r="BL29" s="39">
        <f>BK29*1.03</f>
        <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1</v>
      </c>
      <c r="D30" s="147">
        <f>IFERROR(AVERAGE(C30:C30),0)</f>
        <v/>
      </c>
      <c r="E30" s="142">
        <f>IF($B30="Annual",1,IF($B30="Monthly F",12,IF($B30="Monthly V",D30*12,IF($B30="One-Time",1,D30*12))))</f>
        <v/>
      </c>
      <c r="F30" s="14">
        <f t="array" ref="F30">IFERROR(_xlfn.IFS(VALUE(MID(F$5,6,1))&gt;$D$2,0,$B30="Annual",1,E30=12,12,$B30="Monthly V",E30*(1+$D$3),$B30="Monthly F",12,$B30="One-Time",0),E30*(1+$D$3))</f>
        <v/>
      </c>
      <c r="G30" s="14">
        <f t="array" ref="G30">IFERROR(_xlfn.IFS(VALUE(MID(G$5,6,1))&gt;$D$2,0,$B30="Annual",1,F30=12,12,$B30="Monthly V",F30*(1+$D$3),$B30="Monthly F",12,$B30="One-Time",0),F30*(1+$D$3))</f>
        <v/>
      </c>
      <c r="H30" s="14">
        <f t="array" ref="H30">IFERROR(_xlfn.IFS(VALUE(MID(H$5,6,1))&gt;$D$2,0,$B30="Annual",1,G30=12,12,$B30="Monthly V",G30*(1+$D$3),$B30="Monthly F",12,$B30="One-Time",0),G30*(1+$D$3))</f>
        <v/>
      </c>
      <c r="I30" s="14">
        <f t="array" ref="I30">IFERROR(_xlfn.IFS(VALUE(MID(I$5,6,1))&gt;$D$2,0,$B30="Annual",1,H30=12,12,$B30="Monthly V",H30*(1+$D$3),$B30="Monthly F",12,$B30="One-Time",0),H30*(1+$D$3))</f>
        <v/>
      </c>
      <c r="J30" s="14">
        <f t="array" ref="J30">IFERROR(_xlfn.IFS(VALUE(MID(J$5,6,1))&gt;$D$2,0,$B30="Annual",1,I30=12,12,$B30="Monthly V",I30*(1+$D$3),$B30="Monthly F",12,$B30="One-Time",0),I30*(1+$D$3))</f>
        <v/>
      </c>
      <c r="K30" s="14">
        <f t="array" ref="K30">IFERROR(_xlfn.IFS(VALUE(MID(K$5,6,1))&gt;$D$2,0,$B30="Annual",1,J30=12,12,$B30="Monthly V",J30*(1+$D$3),$B30="Monthly F",12,$B30="One-Time",0),J30*(1+$D$3))</f>
        <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27" t="inlineStr">
        <is>
          <t>Monthly Minimum</t>
        </is>
      </c>
      <c r="P30" s="13" t="inlineStr">
        <is>
          <t>DirectLink</t>
        </is>
      </c>
      <c r="Q30" s="20" t="n">
        <v>200</v>
      </c>
      <c r="R30" s="21">
        <f>S30/12</f>
        <v/>
      </c>
      <c r="S30" s="6">
        <f>IFERROR($Q30*E30,0)</f>
        <v/>
      </c>
      <c r="T30" s="6">
        <f>IFERROR($Q30*F30,0)</f>
        <v/>
      </c>
      <c r="U30" s="6">
        <f>IFERROR($Q30*G30,0)</f>
        <v/>
      </c>
      <c r="V30" s="6">
        <f>IFERROR($Q30*H30,0)</f>
        <v/>
      </c>
      <c r="W30" s="6">
        <f>IFERROR($Q30*I30,0)</f>
        <v/>
      </c>
      <c r="X30" s="6">
        <f>IFERROR($Q30*J30,0)</f>
        <v/>
      </c>
      <c r="Y30" s="6">
        <f>IFERROR($Q30*K30,0)</f>
        <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P30" s="102" t="inlineStr">
        <is>
          <t>Monthly F</t>
        </is>
      </c>
      <c r="AQ30" s="12" t="n">
        <v>1</v>
      </c>
      <c r="AR30" s="14">
        <f>IF($AP30="Annual",1,IF($AP30="Monthly F",12,IF($AP30="Monthly V",AQ30*12,IF($AP30="One-Time",1,AQ30*12))))</f>
        <v/>
      </c>
      <c r="AS30" s="14">
        <f t="array" ref="AS30">IFERROR(_xlfn.IFS(VALUE(MID(AS$5,6,1))&gt;$D$2,0,$AP30="Annual",1,AR30=12,12,$AP30="Monthly V",AR30*(1+$BD$2),$AP30="Monthly F",12,$AP30="One-Time",0),AR30*(1+$BD$2))</f>
        <v/>
      </c>
      <c r="AT30" s="14">
        <f t="array" ref="AT30">IFERROR(_xlfn.IFS(VALUE(MID(AT$5,6,1))&gt;$D$2,0,$AP30="Annual",1,AS30=12,12,$AP30="Monthly V",AS30*(1+$BD$2),$AP30="Monthly F",12,$AP30="One-Time",0),AS30*(1+$BD$2))</f>
        <v/>
      </c>
      <c r="AU30" s="14">
        <f t="array" ref="AU30">IFERROR(_xlfn.IFS(VALUE(MID(AU$5,6,1))&gt;$D$2,0,$AP30="Annual",1,AT30=12,12,$AP30="Monthly V",AT30*(1+$BD$2),$AP30="Monthly F",12,$AP30="One-Time",0),AT30*(1+$BD$2))</f>
        <v/>
      </c>
      <c r="AV30" s="14">
        <f t="array" ref="AV30">IFERROR(_xlfn.IFS(VALUE(MID(AV$5,6,1))&gt;$D$2,0,$AP30="Annual",1,AU30=12,12,$AP30="Monthly V",AU30*(1+$BD$2),$AP30="Monthly F",12,$AP30="One-Time",0),AU30*(1+$BD$2))</f>
        <v/>
      </c>
      <c r="AW30" s="14">
        <f t="array" ref="AW30">IFERROR(_xlfn.IFS(VALUE(MID(AW$5,6,1))&gt;$D$2,0,$AP30="Annual",1,AV30=12,12,$AP30="Monthly V",AV30*(1+$BD$2),$AP30="Monthly F",12,$AP30="One-Time",0),AV30*(1+$BD$2))</f>
        <v/>
      </c>
      <c r="AX30" s="14">
        <f t="array" ref="AX30">IFERROR(_xlfn.IFS(VALUE(MID(AX$5,6,1))&gt;$D$2,0,$AP30="Annual",1,AW30=12,12,$AP30="Monthly V",AW30*(1+$BD$2),$AP30="Monthly F",12,$AP30="One-Time",0),AW30*(1+$BD$2))</f>
        <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RTP Implementation and Monthly Network Receive Only</t>
        </is>
      </c>
      <c r="BC30" s="38" t="inlineStr">
        <is>
          <t>JHA Payment Center</t>
        </is>
      </c>
      <c r="BD30" s="36" t="n">
        <v>400</v>
      </c>
      <c r="BE30" s="21">
        <f>BF30/12</f>
        <v/>
      </c>
      <c r="BF30" s="39">
        <f>IFERROR(AR30*$BD30,0)</f>
        <v/>
      </c>
      <c r="BG30" s="39">
        <f>IFERROR(AS30*$BD30,0)</f>
        <v/>
      </c>
      <c r="BH30" s="39">
        <f>IFERROR(AT30*$BD30,0)</f>
        <v/>
      </c>
      <c r="BI30" s="39">
        <f>BH30*1.03</f>
        <v/>
      </c>
      <c r="BJ30" s="39">
        <f>BI30*1.03</f>
        <v/>
      </c>
      <c r="BK30" s="39">
        <f>BJ30*1.03</f>
        <v/>
      </c>
      <c r="BL30" s="39">
        <f>BK30*1.03</f>
        <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V</t>
        </is>
      </c>
      <c r="C31" s="24" t="n">
        <v>10000</v>
      </c>
      <c r="D31" s="147">
        <f>IFERROR(AVERAGE(C31:C31),0)</f>
        <v/>
      </c>
      <c r="E31" s="142">
        <f>IF($B31="Annual",1,IF($B31="Monthly F",12,IF($B31="Monthly V",D31*12,IF($B31="One-Time",1,D31*12))))</f>
        <v/>
      </c>
      <c r="F31" s="14">
        <f t="array" ref="F31">IFERROR(_xlfn.IFS(VALUE(MID(F$5,6,1))&gt;$D$2,0,$B31="Annual",1,E31=12,12,$B31="Monthly V",E31*(1+$D$3),$B31="Monthly F",12,$B31="One-Time",0),E31*(1+$D$3))</f>
        <v/>
      </c>
      <c r="G31" s="14">
        <f t="array" ref="G31">IFERROR(_xlfn.IFS(VALUE(MID(G$5,6,1))&gt;$D$2,0,$B31="Annual",1,F31=12,12,$B31="Monthly V",F31*(1+$D$3),$B31="Monthly F",12,$B31="One-Time",0),F31*(1+$D$3))</f>
        <v/>
      </c>
      <c r="H31" s="14">
        <f t="array" ref="H31">IFERROR(_xlfn.IFS(VALUE(MID(H$5,6,1))&gt;$D$2,0,$B31="Annual",1,G31=12,12,$B31="Monthly V",G31*(1+$D$3),$B31="Monthly F",12,$B31="One-Time",0),G31*(1+$D$3))</f>
        <v/>
      </c>
      <c r="I31" s="14">
        <f t="array" ref="I31">IFERROR(_xlfn.IFS(VALUE(MID(I$5,6,1))&gt;$D$2,0,$B31="Annual",1,H31=12,12,$B31="Monthly V",H31*(1+$D$3),$B31="Monthly F",12,$B31="One-Time",0),H31*(1+$D$3))</f>
        <v/>
      </c>
      <c r="J31" s="14">
        <f t="array" ref="J31">IFERROR(_xlfn.IFS(VALUE(MID(J$5,6,1))&gt;$D$2,0,$B31="Annual",1,I31=12,12,$B31="Monthly V",I31*(1+$D$3),$B31="Monthly F",12,$B31="One-Time",0),I31*(1+$D$3))</f>
        <v/>
      </c>
      <c r="K31" s="14">
        <f t="array" ref="K31">IFERROR(_xlfn.IFS(VALUE(MID(K$5,6,1))&gt;$D$2,0,$B31="Annual",1,J31=12,12,$B31="Monthly V",J31*(1+$D$3),$B31="Monthly F",12,$B31="One-Time",0),J31*(1+$D$3))</f>
        <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27" t="inlineStr">
        <is>
          <t>DirectLink Risk Review (Transactions)</t>
        </is>
      </c>
      <c r="P31" s="13" t="inlineStr">
        <is>
          <t>DirectLink</t>
        </is>
      </c>
      <c r="Q31" s="20" t="n">
        <v>0.0033</v>
      </c>
      <c r="R31" s="21">
        <f>S31/12</f>
        <v/>
      </c>
      <c r="S31" s="6">
        <f>IFERROR($Q31*E31,0)</f>
        <v/>
      </c>
      <c r="T31" s="6">
        <f>IFERROR($Q31*F31,0)</f>
        <v/>
      </c>
      <c r="U31" s="6">
        <f>IFERROR($Q31*G31,0)</f>
        <v/>
      </c>
      <c r="V31" s="6">
        <f>IFERROR($Q31*H31,0)</f>
        <v/>
      </c>
      <c r="W31" s="6">
        <f>IFERROR($Q31*I31,0)</f>
        <v/>
      </c>
      <c r="X31" s="6">
        <f>IFERROR($Q31*J31,0)</f>
        <v/>
      </c>
      <c r="Y31" s="6">
        <f>IFERROR($Q31*K31,0)</f>
        <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P31" s="102" t="inlineStr">
        <is>
          <t>Monthly F</t>
        </is>
      </c>
      <c r="AQ31" s="12" t="n">
        <v>1</v>
      </c>
      <c r="AR31" s="14">
        <f>IF($AP31="Annual",1,IF($AP31="Monthly F",12,IF($AP31="Monthly V",AQ31*12,IF($AP31="One-Time",1,AQ31*12))))</f>
        <v/>
      </c>
      <c r="AS31" s="14">
        <f t="array" ref="AS31">IFERROR(_xlfn.IFS(VALUE(MID(AS$5,6,1))&gt;$D$2,0,$AP31="Annual",1,AR31=12,12,$AP31="Monthly V",AR31*(1+$BD$2),$AP31="Monthly F",12,$AP31="One-Time",0),AR31*(1+$BD$2))</f>
        <v/>
      </c>
      <c r="AT31" s="14">
        <f t="array" ref="AT31">IFERROR(_xlfn.IFS(VALUE(MID(AT$5,6,1))&gt;$D$2,0,$AP31="Annual",1,AS31=12,12,$AP31="Monthly V",AS31*(1+$BD$2),$AP31="Monthly F",12,$AP31="One-Time",0),AS31*(1+$BD$2))</f>
        <v/>
      </c>
      <c r="AU31" s="14">
        <f t="array" ref="AU31">IFERROR(_xlfn.IFS(VALUE(MID(AU$5,6,1))&gt;$D$2,0,$AP31="Annual",1,AT31=12,12,$AP31="Monthly V",AT31*(1+$BD$2),$AP31="Monthly F",12,$AP31="One-Time",0),AT31*(1+$BD$2))</f>
        <v/>
      </c>
      <c r="AV31" s="14">
        <f t="array" ref="AV31">IFERROR(_xlfn.IFS(VALUE(MID(AV$5,6,1))&gt;$D$2,0,$AP31="Annual",1,AU31=12,12,$AP31="Monthly V",AU31*(1+$BD$2),$AP31="Monthly F",12,$AP31="One-Time",0),AU31*(1+$BD$2))</f>
        <v/>
      </c>
      <c r="AW31" s="14">
        <f t="array" ref="AW31">IFERROR(_xlfn.IFS(VALUE(MID(AW$5,6,1))&gt;$D$2,0,$AP31="Annual",1,AV31=12,12,$AP31="Monthly V",AV31*(1+$BD$2),$AP31="Monthly F",12,$AP31="One-Time",0),AV31*(1+$BD$2))</f>
        <v/>
      </c>
      <c r="AX31" s="14">
        <f t="array" ref="AX31">IFERROR(_xlfn.IFS(VALUE(MID(AX$5,6,1))&gt;$D$2,0,$AP31="Annual",1,AW31=12,12,$AP31="Monthly V",AW31*(1+$BD$2),$AP31="Monthly F",12,$AP31="One-Time",0),AW31*(1+$BD$2))</f>
        <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FedNow Implementation and Monthly Network Receive Only</t>
        </is>
      </c>
      <c r="BC31" s="38" t="inlineStr">
        <is>
          <t>JHA Payment Center</t>
        </is>
      </c>
      <c r="BD31" s="36" t="n">
        <v>400</v>
      </c>
      <c r="BE31" s="21">
        <f>BF31/12</f>
        <v/>
      </c>
      <c r="BF31" s="39">
        <f>IFERROR(AR31*$BD31,0)</f>
        <v/>
      </c>
      <c r="BG31" s="39">
        <f>IFERROR(AS31*$BD31,0)</f>
        <v/>
      </c>
      <c r="BH31" s="39">
        <f>IFERROR(AT31*$BD31,0)</f>
        <v/>
      </c>
      <c r="BI31" s="39">
        <f>BH31*1.03</f>
        <v/>
      </c>
      <c r="BJ31" s="39">
        <f>BI31*1.03</f>
        <v/>
      </c>
      <c r="BK31" s="39">
        <f>BJ31*1.03</f>
        <v/>
      </c>
      <c r="BL31" s="39">
        <f>BK31*1.03</f>
        <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n"/>
      <c r="C32" s="24" t="n"/>
      <c r="D32" s="147" t="n"/>
      <c r="E32" s="142" t="n"/>
      <c r="F32" s="14" t="n"/>
      <c r="G32" s="14" t="n"/>
      <c r="H32" s="14" t="n"/>
      <c r="I32" s="14" t="n"/>
      <c r="J32" s="14" t="n"/>
      <c r="K32" s="14" t="n"/>
      <c r="L32" s="14" t="n"/>
      <c r="M32" s="14" t="n"/>
      <c r="N32" s="24" t="n"/>
      <c r="O32" s="157" t="inlineStr">
        <is>
          <t>Card Suite Pro (digital debit card controls)</t>
        </is>
      </c>
      <c r="P32" s="13" t="n"/>
      <c r="Q32" s="20" t="n"/>
      <c r="R32" s="21">
        <f>S32/12</f>
        <v/>
      </c>
      <c r="S32" s="6">
        <f>IFERROR($Q32*E32,0)</f>
        <v/>
      </c>
      <c r="T32" s="6">
        <f>IFERROR($Q32*F32,0)</f>
        <v/>
      </c>
      <c r="U32" s="6">
        <f>IFERROR($Q32*G32,0)</f>
        <v/>
      </c>
      <c r="V32" s="6">
        <f>IFERROR($Q32*H32,0)</f>
        <v/>
      </c>
      <c r="W32" s="6">
        <f>IFERROR($Q32*I32,0)</f>
        <v/>
      </c>
      <c r="X32" s="6">
        <f>IFERROR($Q32*J32,0)</f>
        <v/>
      </c>
      <c r="Y32" s="6">
        <f>IFERROR($Q32*K32,0)</f>
        <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P32" s="102" t="inlineStr">
        <is>
          <t>Monthly F</t>
        </is>
      </c>
      <c r="AQ32" s="12" t="n">
        <v>1</v>
      </c>
      <c r="AR32" s="14">
        <f>IF($AP32="Annual",1,IF($AP32="Monthly F",12,IF($AP32="Monthly V",AQ32*12,IF($AP32="One-Time",1,AQ32*12))))</f>
        <v/>
      </c>
      <c r="AS32" s="14">
        <f t="array" ref="AS32">IFERROR(_xlfn.IFS(VALUE(MID(AS$5,6,1))&gt;$D$2,0,$AP32="Annual",1,AR32=12,12,$AP32="Monthly V",AR32*(1+$BD$2),$AP32="Monthly F",12,$AP32="One-Time",0),AR32*(1+$BD$2))</f>
        <v/>
      </c>
      <c r="AT32" s="14">
        <f t="array" ref="AT32">IFERROR(_xlfn.IFS(VALUE(MID(AT$5,6,1))&gt;$D$2,0,$AP32="Annual",1,AS32=12,12,$AP32="Monthly V",AS32*(1+$BD$2),$AP32="Monthly F",12,$AP32="One-Time",0),AS32*(1+$BD$2))</f>
        <v/>
      </c>
      <c r="AU32" s="14">
        <f t="array" ref="AU32">IFERROR(_xlfn.IFS(VALUE(MID(AU$5,6,1))&gt;$D$2,0,$AP32="Annual",1,AT32=12,12,$AP32="Monthly V",AT32*(1+$BD$2),$AP32="Monthly F",12,$AP32="One-Time",0),AT32*(1+$BD$2))</f>
        <v/>
      </c>
      <c r="AV32" s="14">
        <f t="array" ref="AV32">IFERROR(_xlfn.IFS(VALUE(MID(AV$5,6,1))&gt;$D$2,0,$AP32="Annual",1,AU32=12,12,$AP32="Monthly V",AU32*(1+$BD$2),$AP32="Monthly F",12,$AP32="One-Time",0),AU32*(1+$BD$2))</f>
        <v/>
      </c>
      <c r="AW32" s="14">
        <f t="array" ref="AW32">IFERROR(_xlfn.IFS(VALUE(MID(AW$5,6,1))&gt;$D$2,0,$AP32="Annual",1,AV32=12,12,$AP32="Monthly V",AV32*(1+$BD$2),$AP32="Monthly F",12,$AP32="One-Time",0),AV32*(1+$BD$2))</f>
        <v/>
      </c>
      <c r="AX32" s="14">
        <f t="array" ref="AX32">IFERROR(_xlfn.IFS(VALUE(MID(AX$5,6,1))&gt;$D$2,0,$AP32="Annual",1,AW32=12,12,$AP32="Monthly V",AW32*(1+$BD$2),$AP32="Monthly F",12,$AP32="One-Time",0),AW32*(1+$BD$2))</f>
        <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JHA SmartPay Remote Deposit Now (RDN)</t>
        </is>
      </c>
      <c r="BC32" s="38" t="inlineStr">
        <is>
          <t>Enterprise Payment Solutions (EPS)</t>
        </is>
      </c>
      <c r="BD32" s="36" t="n">
        <v>350</v>
      </c>
      <c r="BE32" s="21">
        <f>BF32/12</f>
        <v/>
      </c>
      <c r="BF32" s="39">
        <f>IFERROR(AR32*$BD32,0)</f>
        <v/>
      </c>
      <c r="BG32" s="39">
        <f>IFERROR(AS32*$BD32,0)</f>
        <v/>
      </c>
      <c r="BH32" s="39">
        <f>IFERROR(AT32*$BD32,0)</f>
        <v/>
      </c>
      <c r="BI32" s="39">
        <f>BH32*1.03</f>
        <v/>
      </c>
      <c r="BJ32" s="39">
        <f>BI32*1.03</f>
        <v/>
      </c>
      <c r="BK32" s="39">
        <f>BJ32*1.03</f>
        <v/>
      </c>
      <c r="BL32" s="39">
        <f>BK32*1.03</f>
        <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V</t>
        </is>
      </c>
      <c r="C33" s="24" t="n">
        <v>189</v>
      </c>
      <c r="D33" s="147">
        <f>IFERROR(AVERAGE(C33:C33),0)</f>
        <v/>
      </c>
      <c r="E33" s="142">
        <f>IF($B33="Annual",1,IF($B33="Monthly F",12,IF($B33="Monthly V",D33*12,IF($B33="One-Time",1,D33*12))))</f>
        <v/>
      </c>
      <c r="F33" s="14">
        <f t="array" ref="F33">IFERROR(_xlfn.IFS(VALUE(MID(F$5,6,1))&gt;$D$2,0,$B33="Annual",1,E33=12,12,$B33="Monthly V",E33*(1+$D$3),$B33="Monthly F",12,$B33="One-Time",0),E33*(1+$D$3))</f>
        <v/>
      </c>
      <c r="G33" s="14">
        <f t="array" ref="G33">IFERROR(_xlfn.IFS(VALUE(MID(G$5,6,1))&gt;$D$2,0,$B33="Annual",1,F33=12,12,$B33="Monthly V",F33*(1+$D$3),$B33="Monthly F",12,$B33="One-Time",0),F33*(1+$D$3))</f>
        <v/>
      </c>
      <c r="H33" s="14">
        <f t="array" ref="H33">IFERROR(_xlfn.IFS(VALUE(MID(H$5,6,1))&gt;$D$2,0,$B33="Annual",1,G33=12,12,$B33="Monthly V",G33*(1+$D$3),$B33="Monthly F",12,$B33="One-Time",0),G33*(1+$D$3))</f>
        <v/>
      </c>
      <c r="I33" s="14">
        <f t="array" ref="I33">IFERROR(_xlfn.IFS(VALUE(MID(I$5,6,1))&gt;$D$2,0,$B33="Annual",1,H33=12,12,$B33="Monthly V",H33*(1+$D$3),$B33="Monthly F",12,$B33="One-Time",0),H33*(1+$D$3))</f>
        <v/>
      </c>
      <c r="J33" s="14">
        <f t="array" ref="J33">IFERROR(_xlfn.IFS(VALUE(MID(J$5,6,1))&gt;$D$2,0,$B33="Annual",1,I33=12,12,$B33="Monthly V",I33*(1+$D$3),$B33="Monthly F",12,$B33="One-Time",0),I33*(1+$D$3))</f>
        <v/>
      </c>
      <c r="K33" s="14">
        <f t="array" ref="K33">IFERROR(_xlfn.IFS(VALUE(MID(K$5,6,1))&gt;$D$2,0,$B33="Annual",1,J33=12,12,$B33="Monthly V",J33*(1+$D$3),$B33="Monthly F",12,$B33="One-Time",0),J33*(1+$D$3))</f>
        <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27" t="inlineStr">
        <is>
          <t>Active Users</t>
        </is>
      </c>
      <c r="P33" s="13" t="inlineStr">
        <is>
          <t>Card</t>
        </is>
      </c>
      <c r="Q33" s="20" t="n">
        <v>1.24</v>
      </c>
      <c r="R33" s="21">
        <f>S33/12</f>
        <v/>
      </c>
      <c r="S33" s="6">
        <f>IFERROR($Q33*E33,0)</f>
        <v/>
      </c>
      <c r="T33" s="6">
        <f>IFERROR($Q33*F33,0)</f>
        <v/>
      </c>
      <c r="U33" s="6">
        <f>IFERROR($Q33*G33,0)</f>
        <v/>
      </c>
      <c r="V33" s="6">
        <f>IFERROR($Q33*H33,0)</f>
        <v/>
      </c>
      <c r="W33" s="6">
        <f>IFERROR($Q33*I33,0)</f>
        <v/>
      </c>
      <c r="X33" s="6">
        <f>IFERROR($Q33*J33,0)</f>
        <v/>
      </c>
      <c r="Y33" s="6">
        <f>IFERROR($Q33*K33,0)</f>
        <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P33" s="102" t="inlineStr">
        <is>
          <t>Monthly F</t>
        </is>
      </c>
      <c r="AQ33" s="12" t="n">
        <v>1</v>
      </c>
      <c r="AR33" s="14">
        <f>IF($AP33="Annual",1,IF($AP33="Monthly F",12,IF($AP33="Monthly V",AQ33*12,IF($AP33="One-Time",1,AQ33*12))))</f>
        <v/>
      </c>
      <c r="AS33" s="14">
        <f t="array" ref="AS33">IFERROR(_xlfn.IFS(VALUE(MID(AS$5,6,1))&gt;$D$2,0,$AP33="Annual",1,AR33=12,12,$AP33="Monthly V",AR33*(1+$BD$2),$AP33="Monthly F",12,$AP33="One-Time",0),AR33*(1+$BD$2))</f>
        <v/>
      </c>
      <c r="AT33" s="14">
        <f t="array" ref="AT33">IFERROR(_xlfn.IFS(VALUE(MID(AT$5,6,1))&gt;$D$2,0,$AP33="Annual",1,AS33=12,12,$AP33="Monthly V",AS33*(1+$BD$2),$AP33="Monthly F",12,$AP33="One-Time",0),AS33*(1+$BD$2))</f>
        <v/>
      </c>
      <c r="AU33" s="14">
        <f t="array" ref="AU33">IFERROR(_xlfn.IFS(VALUE(MID(AU$5,6,1))&gt;$D$2,0,$AP33="Annual",1,AT33=12,12,$AP33="Monthly V",AT33*(1+$BD$2),$AP33="Monthly F",12,$AP33="One-Time",0),AT33*(1+$BD$2))</f>
        <v/>
      </c>
      <c r="AV33" s="14">
        <f t="array" ref="AV33">IFERROR(_xlfn.IFS(VALUE(MID(AV$5,6,1))&gt;$D$2,0,$AP33="Annual",1,AU33=12,12,$AP33="Monthly V",AU33*(1+$BD$2),$AP33="Monthly F",12,$AP33="One-Time",0),AU33*(1+$BD$2))</f>
        <v/>
      </c>
      <c r="AW33" s="14">
        <f t="array" ref="AW33">IFERROR(_xlfn.IFS(VALUE(MID(AW$5,6,1))&gt;$D$2,0,$AP33="Annual",1,AV33=12,12,$AP33="Monthly V",AV33*(1+$BD$2),$AP33="Monthly F",12,$AP33="One-Time",0),AV33*(1+$BD$2))</f>
        <v/>
      </c>
      <c r="AX33" s="14">
        <f t="array" ref="AX33">IFERROR(_xlfn.IFS(VALUE(MID(AX$5,6,1))&gt;$D$2,0,$AP33="Annual",1,AW33=12,12,$AP33="Monthly V",AW33*(1+$BD$2),$AP33="Monthly F",12,$AP33="One-Time",0),AW33*(1+$BD$2))</f>
        <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JHA SmartPay Remote Deposit Anywhere (RDA)</t>
        </is>
      </c>
      <c r="BC33" s="38" t="inlineStr">
        <is>
          <t>Enterprise Payment Solutions (EPS)</t>
        </is>
      </c>
      <c r="BD33" s="36" t="n">
        <v>500</v>
      </c>
      <c r="BE33" s="21">
        <f>BF33/12</f>
        <v/>
      </c>
      <c r="BF33" s="39">
        <f>IFERROR(AR33*$BD33,0)</f>
        <v/>
      </c>
      <c r="BG33" s="39">
        <f>IFERROR(AS33*$BD33,0)</f>
        <v/>
      </c>
      <c r="BH33" s="39">
        <f>IFERROR(AT33*$BD33,0)</f>
        <v/>
      </c>
      <c r="BI33" s="39">
        <f>BH33*1.03</f>
        <v/>
      </c>
      <c r="BJ33" s="39">
        <f>BI33*1.03</f>
        <v/>
      </c>
      <c r="BK33" s="39">
        <f>BJ33*1.03</f>
        <v/>
      </c>
      <c r="BL33" s="39">
        <f>BK33*1.03</f>
        <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27" t="inlineStr">
        <is>
          <t>Active Users (Monthly Minimum)</t>
        </is>
      </c>
      <c r="P34" s="13" t="inlineStr">
        <is>
          <t>Card</t>
        </is>
      </c>
      <c r="Q34" s="20" t="n">
        <v>375</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P34" s="102" t="inlineStr">
        <is>
          <t>Monthly F</t>
        </is>
      </c>
      <c r="AQ34" s="12" t="n">
        <v>1</v>
      </c>
      <c r="AR34" s="14">
        <f>IF($AP34="Annual",1,IF($AP34="Monthly F",12,IF($AP34="Monthly V",AQ34*12,IF($AP34="One-Time",1,AQ34*12))))</f>
        <v/>
      </c>
      <c r="AS34" s="14">
        <f t="array" ref="AS34">IFERROR(_xlfn.IFS(VALUE(MID(AS$5,6,1))&gt;$D$2,0,$AP34="Annual",1,AR34=12,12,$AP34="Monthly V",AR34*(1+$BD$2),$AP34="Monthly F",12,$AP34="One-Time",0),AR34*(1+$BD$2))</f>
        <v/>
      </c>
      <c r="AT34" s="14">
        <f t="array" ref="AT34">IFERROR(_xlfn.IFS(VALUE(MID(AT$5,6,1))&gt;$D$2,0,$AP34="Annual",1,AS34=12,12,$AP34="Monthly V",AS34*(1+$BD$2),$AP34="Monthly F",12,$AP34="One-Time",0),AS34*(1+$BD$2))</f>
        <v/>
      </c>
      <c r="AU34" s="14">
        <f t="array" ref="AU34">IFERROR(_xlfn.IFS(VALUE(MID(AU$5,6,1))&gt;$D$2,0,$AP34="Annual",1,AT34=12,12,$AP34="Monthly V",AT34*(1+$BD$2),$AP34="Monthly F",12,$AP34="One-Time",0),AT34*(1+$BD$2))</f>
        <v/>
      </c>
      <c r="AV34" s="14">
        <f t="array" ref="AV34">IFERROR(_xlfn.IFS(VALUE(MID(AV$5,6,1))&gt;$D$2,0,$AP34="Annual",1,AU34=12,12,$AP34="Monthly V",AU34*(1+$BD$2),$AP34="Monthly F",12,$AP34="One-Time",0),AU34*(1+$BD$2))</f>
        <v/>
      </c>
      <c r="AW34" s="14">
        <f t="array" ref="AW34">IFERROR(_xlfn.IFS(VALUE(MID(AW$5,6,1))&gt;$D$2,0,$AP34="Annual",1,AV34=12,12,$AP34="Monthly V",AV34*(1+$BD$2),$AP34="Monthly F",12,$AP34="One-Time",0),AV34*(1+$BD$2))</f>
        <v/>
      </c>
      <c r="AX34" s="14">
        <f t="array" ref="AX34">IFERROR(_xlfn.IFS(VALUE(MID(AX$5,6,1))&gt;$D$2,0,$AP34="Annual",1,AW34=12,12,$AP34="Monthly V",AW34*(1+$BD$2),$AP34="Monthly F",12,$AP34="One-Time",0),AW34*(1+$BD$2))</f>
        <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JHA SmartPay mRDC</t>
        </is>
      </c>
      <c r="BC34" s="38" t="inlineStr">
        <is>
          <t>Enterprise Payment Solutions (EPS)</t>
        </is>
      </c>
      <c r="BD34" s="36" t="n">
        <v>175</v>
      </c>
      <c r="BE34" s="21">
        <f>BF34/12</f>
        <v/>
      </c>
      <c r="BF34" s="39">
        <f>IFERROR(AR34*$BD34,0)</f>
        <v/>
      </c>
      <c r="BG34" s="39">
        <f>IFERROR(AS34*$BD34,0)</f>
        <v/>
      </c>
      <c r="BH34" s="39">
        <f>IFERROR(AT34*$BD34,0)</f>
        <v/>
      </c>
      <c r="BI34" s="39">
        <f>BH34*1.03</f>
        <v/>
      </c>
      <c r="BJ34" s="39">
        <f>BI34*1.03</f>
        <v/>
      </c>
      <c r="BK34" s="39">
        <f>BJ34*1.03</f>
        <v/>
      </c>
      <c r="BL34" s="39">
        <f>BK34*1.03</f>
        <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27" t="inlineStr">
        <is>
          <t>Monthly Minimum, Call Center Assistance $1.50/minute</t>
        </is>
      </c>
      <c r="P35" s="13" t="inlineStr">
        <is>
          <t>Card</t>
        </is>
      </c>
      <c r="Q35" s="20" t="n">
        <v>50</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P35" s="102" t="inlineStr">
        <is>
          <t>Monthly F</t>
        </is>
      </c>
      <c r="AQ35" s="12" t="n">
        <v>1</v>
      </c>
      <c r="AR35" s="14">
        <f>IF($AP35="Annual",1,IF($AP35="Monthly F",12,IF($AP35="Monthly V",AQ35*12,IF($AP35="One-Time",1,AQ35*12))))</f>
        <v/>
      </c>
      <c r="AS35" s="14">
        <f t="array" ref="AS35">IFERROR(_xlfn.IFS(VALUE(MID(AS$5,6,1))&gt;$D$2,0,$AP35="Annual",1,AR35=12,12,$AP35="Monthly V",AR35*(1+$BD$2),$AP35="Monthly F",12,$AP35="One-Time",0),AR35*(1+$BD$2))</f>
        <v/>
      </c>
      <c r="AT35" s="14">
        <f t="array" ref="AT35">IFERROR(_xlfn.IFS(VALUE(MID(AT$5,6,1))&gt;$D$2,0,$AP35="Annual",1,AS35=12,12,$AP35="Monthly V",AS35*(1+$BD$2),$AP35="Monthly F",12,$AP35="One-Time",0),AS35*(1+$BD$2))</f>
        <v/>
      </c>
      <c r="AU35" s="14">
        <f t="array" ref="AU35">IFERROR(_xlfn.IFS(VALUE(MID(AU$5,6,1))&gt;$D$2,0,$AP35="Annual",1,AT35=12,12,$AP35="Monthly V",AT35*(1+$BD$2),$AP35="Monthly F",12,$AP35="One-Time",0),AT35*(1+$BD$2))</f>
        <v/>
      </c>
      <c r="AV35" s="14">
        <f t="array" ref="AV35">IFERROR(_xlfn.IFS(VALUE(MID(AV$5,6,1))&gt;$D$2,0,$AP35="Annual",1,AU35=12,12,$AP35="Monthly V",AU35*(1+$BD$2),$AP35="Monthly F",12,$AP35="One-Time",0),AU35*(1+$BD$2))</f>
        <v/>
      </c>
      <c r="AW35" s="14">
        <f t="array" ref="AW35">IFERROR(_xlfn.IFS(VALUE(MID(AW$5,6,1))&gt;$D$2,0,$AP35="Annual",1,AV35=12,12,$AP35="Monthly V",AV35*(1+$BD$2),$AP35="Monthly F",12,$AP35="One-Time",0),AV35*(1+$BD$2))</f>
        <v/>
      </c>
      <c r="AX35" s="14">
        <f t="array" ref="AX35">IFERROR(_xlfn.IFS(VALUE(MID(AX$5,6,1))&gt;$D$2,0,$AP35="Annual",1,AW35=12,12,$AP35="Monthly V",AW35*(1+$BD$2),$AP35="Monthly F",12,$AP35="One-Time",0),AW35*(1+$BD$2))</f>
        <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EPS SmartSight Setup Fee and Monthly Subscription Fee</t>
        </is>
      </c>
      <c r="BC35" s="38" t="inlineStr">
        <is>
          <t>Enterprise Payment Solutions (EPS)</t>
        </is>
      </c>
      <c r="BD35" s="36" t="n">
        <v>300</v>
      </c>
      <c r="BE35" s="21">
        <f>BF35/12</f>
        <v/>
      </c>
      <c r="BF35" s="39">
        <f>IFERROR(AR35*$BD35,0)</f>
        <v/>
      </c>
      <c r="BG35" s="39">
        <f>IFERROR(AS35*$BD35,0)</f>
        <v/>
      </c>
      <c r="BH35" s="39">
        <f>IFERROR(AT35*$BD35,0)</f>
        <v/>
      </c>
      <c r="BI35" s="39">
        <f>BH35*1.03</f>
        <v/>
      </c>
      <c r="BJ35" s="39">
        <f>BI35*1.03</f>
        <v/>
      </c>
      <c r="BK35" s="39">
        <f>BJ35*1.03</f>
        <v/>
      </c>
      <c r="BL35" s="39">
        <f>BK35*1.03</f>
        <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n"/>
      <c r="C36" s="24" t="n"/>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27" t="inlineStr">
        <is>
          <t>Over 5,000, $1.20 per active user</t>
        </is>
      </c>
      <c r="P36" s="13" t="inlineStr">
        <is>
          <t>Card</t>
        </is>
      </c>
      <c r="Q36" s="20" t="n">
        <v>1.2</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P36" s="102" t="inlineStr">
        <is>
          <t>Monthly F</t>
        </is>
      </c>
      <c r="AQ36" s="12" t="n">
        <v>1</v>
      </c>
      <c r="AR36" s="14">
        <f>IF($AP36="Annual",1,IF($AP36="Monthly F",12,IF($AP36="Monthly V",AQ36*12,IF($AP36="One-Time",1,AQ36*12))))</f>
        <v/>
      </c>
      <c r="AS36" s="14">
        <f t="array" ref="AS36">IFERROR(_xlfn.IFS(VALUE(MID(AS$5,6,1))&gt;$D$2,0,$AP36="Annual",1,AR36=12,12,$AP36="Monthly V",AR36*(1+$BD$2),$AP36="Monthly F",12,$AP36="One-Time",0),AR36*(1+$BD$2))</f>
        <v/>
      </c>
      <c r="AT36" s="14">
        <f t="array" ref="AT36">IFERROR(_xlfn.IFS(VALUE(MID(AT$5,6,1))&gt;$D$2,0,$AP36="Annual",1,AS36=12,12,$AP36="Monthly V",AS36*(1+$BD$2),$AP36="Monthly F",12,$AP36="One-Time",0),AS36*(1+$BD$2))</f>
        <v/>
      </c>
      <c r="AU36" s="14">
        <f t="array" ref="AU36">IFERROR(_xlfn.IFS(VALUE(MID(AU$5,6,1))&gt;$D$2,0,$AP36="Annual",1,AT36=12,12,$AP36="Monthly V",AT36*(1+$BD$2),$AP36="Monthly F",12,$AP36="One-Time",0),AT36*(1+$BD$2))</f>
        <v/>
      </c>
      <c r="AV36" s="14">
        <f t="array" ref="AV36">IFERROR(_xlfn.IFS(VALUE(MID(AV$5,6,1))&gt;$D$2,0,$AP36="Annual",1,AU36=12,12,$AP36="Monthly V",AU36*(1+$BD$2),$AP36="Monthly F",12,$AP36="One-Time",0),AU36*(1+$BD$2))</f>
        <v/>
      </c>
      <c r="AW36" s="14">
        <f t="array" ref="AW36">IFERROR(_xlfn.IFS(VALUE(MID(AW$5,6,1))&gt;$D$2,0,$AP36="Annual",1,AV36=12,12,$AP36="Monthly V",AV36*(1+$BD$2),$AP36="Monthly F",12,$AP36="One-Time",0),AV36*(1+$BD$2))</f>
        <v/>
      </c>
      <c r="AX36" s="14">
        <f t="array" ref="AX36">IFERROR(_xlfn.IFS(VALUE(MID(AX$5,6,1))&gt;$D$2,0,$AP36="Annual",1,AW36=12,12,$AP36="Monthly V",AW36*(1+$BD$2),$AP36="Monthly F",12,$AP36="One-Time",0),AW36*(1+$BD$2))</f>
        <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Parascript CAR/LAR</t>
        </is>
      </c>
      <c r="BC36" s="38" t="inlineStr">
        <is>
          <t>Enterprise Payment Solutions (EPS)</t>
        </is>
      </c>
      <c r="BD36" s="36" t="n">
        <v>100</v>
      </c>
      <c r="BE36" s="21">
        <f>BF36/12</f>
        <v/>
      </c>
      <c r="BF36" s="39">
        <f>IFERROR(AR36*$BD36,0)</f>
        <v/>
      </c>
      <c r="BG36" s="39">
        <f>IFERROR(AS36*$BD36,0)</f>
        <v/>
      </c>
      <c r="BH36" s="39">
        <f>IFERROR(AT36*$BD36,0)</f>
        <v/>
      </c>
      <c r="BI36" s="39">
        <f>BH36*1.03</f>
        <v/>
      </c>
      <c r="BJ36" s="39">
        <f>BI36*1.03</f>
        <v/>
      </c>
      <c r="BK36" s="39">
        <f>BJ36*1.03</f>
        <v/>
      </c>
      <c r="BL36" s="39">
        <f>BK36*1.03</f>
        <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n"/>
      <c r="C37" s="24" t="n"/>
      <c r="D37" s="147" t="n"/>
      <c r="E37" s="142" t="n"/>
      <c r="F37" s="14" t="n"/>
      <c r="G37" s="14" t="n"/>
      <c r="H37" s="14" t="n"/>
      <c r="I37" s="14" t="n"/>
      <c r="J37" s="14" t="n"/>
      <c r="K37" s="14" t="n"/>
      <c r="L37" s="14" t="n"/>
      <c r="M37" s="14" t="n"/>
      <c r="N37" s="24" t="n"/>
      <c r="O37" s="157" t="inlineStr">
        <is>
          <t>PaymentsOne Debit Card Fraud Case Investigation Sheets</t>
        </is>
      </c>
      <c r="P37" s="13" t="n"/>
      <c r="Q37" s="20" t="n"/>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P37" s="102" t="inlineStr">
        <is>
          <t>Monthly F</t>
        </is>
      </c>
      <c r="AQ37" s="12" t="n">
        <v>1</v>
      </c>
      <c r="AR37" s="14">
        <f>IF($AP37="Annual",1,IF($AP37="Monthly F",12,IF($AP37="Monthly V",AQ37*12,IF($AP37="One-Time",1,AQ37*12))))</f>
        <v/>
      </c>
      <c r="AS37" s="14">
        <f t="array" ref="AS37">IFERROR(_xlfn.IFS(VALUE(MID(AS$5,6,1))&gt;$D$2,0,$AP37="Annual",1,AR37=12,12,$AP37="Monthly V",AR37*(1+$BD$2),$AP37="Monthly F",12,$AP37="One-Time",0),AR37*(1+$BD$2))</f>
        <v/>
      </c>
      <c r="AT37" s="14">
        <f t="array" ref="AT37">IFERROR(_xlfn.IFS(VALUE(MID(AT$5,6,1))&gt;$D$2,0,$AP37="Annual",1,AS37=12,12,$AP37="Monthly V",AS37*(1+$BD$2),$AP37="Monthly F",12,$AP37="One-Time",0),AS37*(1+$BD$2))</f>
        <v/>
      </c>
      <c r="AU37" s="14">
        <f t="array" ref="AU37">IFERROR(_xlfn.IFS(VALUE(MID(AU$5,6,1))&gt;$D$2,0,$AP37="Annual",1,AT37=12,12,$AP37="Monthly V",AT37*(1+$BD$2),$AP37="Monthly F",12,$AP37="One-Time",0),AT37*(1+$BD$2))</f>
        <v/>
      </c>
      <c r="AV37" s="14">
        <f t="array" ref="AV37">IFERROR(_xlfn.IFS(VALUE(MID(AV$5,6,1))&gt;$D$2,0,$AP37="Annual",1,AU37=12,12,$AP37="Monthly V",AU37*(1+$BD$2),$AP37="Monthly F",12,$AP37="One-Time",0),AU37*(1+$BD$2))</f>
        <v/>
      </c>
      <c r="AW37" s="14">
        <f t="array" ref="AW37">IFERROR(_xlfn.IFS(VALUE(MID(AW$5,6,1))&gt;$D$2,0,$AP37="Annual",1,AV37=12,12,$AP37="Monthly V",AV37*(1+$BD$2),$AP37="Monthly F",12,$AP37="One-Time",0),AV37*(1+$BD$2))</f>
        <v/>
      </c>
      <c r="AX37" s="14">
        <f t="array" ref="AX37">IFERROR(_xlfn.IFS(VALUE(MID(AX$5,6,1))&gt;$D$2,0,$AP37="Annual",1,AW37=12,12,$AP37="Monthly V",AW37*(1+$BD$2),$AP37="Monthly F",12,$AP37="One-Time",0),AW37*(1+$BD$2))</f>
        <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JHA Debit Processing</t>
        </is>
      </c>
      <c r="BC37" s="38" t="inlineStr">
        <is>
          <t>Card Processing Solutions (CPS)</t>
        </is>
      </c>
      <c r="BD37" s="36" t="n">
        <v>650</v>
      </c>
      <c r="BE37" s="21">
        <f>BF37/12</f>
        <v/>
      </c>
      <c r="BF37" s="39">
        <f>IFERROR(AR37*$BD37,0)</f>
        <v/>
      </c>
      <c r="BG37" s="39">
        <f>IFERROR(AS37*$BD37,0)</f>
        <v/>
      </c>
      <c r="BH37" s="39">
        <f>IFERROR(AT37*$BD37,0)</f>
        <v/>
      </c>
      <c r="BI37" s="39">
        <f>BH37*1.03</f>
        <v/>
      </c>
      <c r="BJ37" s="39">
        <f>BI37*1.03</f>
        <v/>
      </c>
      <c r="BK37" s="39">
        <f>BJ37*1.03</f>
        <v/>
      </c>
      <c r="BL37" s="39">
        <f>BK37*1.03</f>
        <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27" t="inlineStr">
        <is>
          <t>Monthly Minimum</t>
        </is>
      </c>
      <c r="P38" s="13" t="inlineStr">
        <is>
          <t>Payments One</t>
        </is>
      </c>
      <c r="Q38" s="20" t="n">
        <v>500</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P38" s="102" t="inlineStr">
        <is>
          <t>Monthly F</t>
        </is>
      </c>
      <c r="AQ38" s="12" t="n">
        <v>1</v>
      </c>
      <c r="AR38" s="14">
        <f>IF($AP38="Annual",1,IF($AP38="Monthly F",12,IF($AP38="Monthly V",AQ38*12,IF($AP38="One-Time",1,AQ38*12))))</f>
        <v/>
      </c>
      <c r="AS38" s="14">
        <f t="array" ref="AS38">IFERROR(_xlfn.IFS(VALUE(MID(AS$5,6,1))&gt;$D$2,0,$AP38="Annual",1,AR38=12,12,$AP38="Monthly V",AR38*(1+$BD$2),$AP38="Monthly F",12,$AP38="One-Time",0),AR38*(1+$BD$2))</f>
        <v/>
      </c>
      <c r="AT38" s="14">
        <f t="array" ref="AT38">IFERROR(_xlfn.IFS(VALUE(MID(AT$5,6,1))&gt;$D$2,0,$AP38="Annual",1,AS38=12,12,$AP38="Monthly V",AS38*(1+$BD$2),$AP38="Monthly F",12,$AP38="One-Time",0),AS38*(1+$BD$2))</f>
        <v/>
      </c>
      <c r="AU38" s="14">
        <f t="array" ref="AU38">IFERROR(_xlfn.IFS(VALUE(MID(AU$5,6,1))&gt;$D$2,0,$AP38="Annual",1,AT38=12,12,$AP38="Monthly V",AT38*(1+$BD$2),$AP38="Monthly F",12,$AP38="One-Time",0),AT38*(1+$BD$2))</f>
        <v/>
      </c>
      <c r="AV38" s="14">
        <f t="array" ref="AV38">IFERROR(_xlfn.IFS(VALUE(MID(AV$5,6,1))&gt;$D$2,0,$AP38="Annual",1,AU38=12,12,$AP38="Monthly V",AU38*(1+$BD$2),$AP38="Monthly F",12,$AP38="One-Time",0),AU38*(1+$BD$2))</f>
        <v/>
      </c>
      <c r="AW38" s="14">
        <f t="array" ref="AW38">IFERROR(_xlfn.IFS(VALUE(MID(AW$5,6,1))&gt;$D$2,0,$AP38="Annual",1,AV38=12,12,$AP38="Monthly V",AV38*(1+$BD$2),$AP38="Monthly F",12,$AP38="One-Time",0),AV38*(1+$BD$2))</f>
        <v/>
      </c>
      <c r="AX38" s="14">
        <f t="array" ref="AX38">IFERROR(_xlfn.IFS(VALUE(MID(AX$5,6,1))&gt;$D$2,0,$AP38="Annual",1,AW38=12,12,$AP38="Monthly V",AW38*(1+$BD$2),$AP38="Monthly F",12,$AP38="One-Time",0),AW38*(1+$BD$2))</f>
        <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Debit Card Authorization subject to {$}250 minimum monthly</t>
        </is>
      </c>
      <c r="BC38" s="38" t="inlineStr">
        <is>
          <t>Card Processing Solutions (CPS)</t>
        </is>
      </c>
      <c r="BD38" s="36" t="n">
        <v>250</v>
      </c>
      <c r="BE38" s="21">
        <f>BF38/12</f>
        <v/>
      </c>
      <c r="BF38" s="39">
        <f>IFERROR(AR38*$BD38,0)</f>
        <v/>
      </c>
      <c r="BG38" s="39">
        <f>IFERROR(AS38*$BD38,0)</f>
        <v/>
      </c>
      <c r="BH38" s="39">
        <f>IFERROR(AT38*$BD38,0)</f>
        <v/>
      </c>
      <c r="BI38" s="39">
        <f>BH38*1.03</f>
        <v/>
      </c>
      <c r="BJ38" s="39">
        <f>BI38*1.03</f>
        <v/>
      </c>
      <c r="BK38" s="39">
        <f>BJ38*1.03</f>
        <v/>
      </c>
      <c r="BL38" s="39">
        <f>BK38*1.03</f>
        <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n"/>
      <c r="C39" s="24" t="n"/>
      <c r="D39" s="147" t="n"/>
      <c r="E39" s="142" t="n"/>
      <c r="F39" s="14" t="n"/>
      <c r="G39" s="14" t="n"/>
      <c r="H39" s="14" t="n"/>
      <c r="I39" s="14" t="n"/>
      <c r="J39" s="14" t="n"/>
      <c r="K39" s="14" t="n"/>
      <c r="L39" s="14" t="n"/>
      <c r="M39" s="14" t="n"/>
      <c r="N39" s="24" t="n"/>
      <c r="O39" s="127" t="n"/>
      <c r="P39" s="13" t="n"/>
      <c r="Q39" s="20" t="n"/>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P39" s="102" t="inlineStr">
        <is>
          <t>Monthly F</t>
        </is>
      </c>
      <c r="AQ39" s="12" t="n">
        <v>1</v>
      </c>
      <c r="AR39" s="14">
        <f>IF($AP39="Annual",1,IF($AP39="Monthly F",12,IF($AP39="Monthly V",AQ39*12,IF($AP39="One-Time",1,AQ39*12))))</f>
        <v/>
      </c>
      <c r="AS39" s="14">
        <f t="array" ref="AS39">IFERROR(_xlfn.IFS(VALUE(MID(AS$5,6,1))&gt;$D$2,0,$AP39="Annual",1,AR39=12,12,$AP39="Monthly V",AR39*(1+$BD$2),$AP39="Monthly F",12,$AP39="One-Time",0),AR39*(1+$BD$2))</f>
        <v/>
      </c>
      <c r="AT39" s="14">
        <f t="array" ref="AT39">IFERROR(_xlfn.IFS(VALUE(MID(AT$5,6,1))&gt;$D$2,0,$AP39="Annual",1,AS39=12,12,$AP39="Monthly V",AS39*(1+$BD$2),$AP39="Monthly F",12,$AP39="One-Time",0),AS39*(1+$BD$2))</f>
        <v/>
      </c>
      <c r="AU39" s="14">
        <f t="array" ref="AU39">IFERROR(_xlfn.IFS(VALUE(MID(AU$5,6,1))&gt;$D$2,0,$AP39="Annual",1,AT39=12,12,$AP39="Monthly V",AT39*(1+$BD$2),$AP39="Monthly F",12,$AP39="One-Time",0),AT39*(1+$BD$2))</f>
        <v/>
      </c>
      <c r="AV39" s="14">
        <f t="array" ref="AV39">IFERROR(_xlfn.IFS(VALUE(MID(AV$5,6,1))&gt;$D$2,0,$AP39="Annual",1,AU39=12,12,$AP39="Monthly V",AU39*(1+$BD$2),$AP39="Monthly F",12,$AP39="One-Time",0),AU39*(1+$BD$2))</f>
        <v/>
      </c>
      <c r="AW39" s="14">
        <f t="array" ref="AW39">IFERROR(_xlfn.IFS(VALUE(MID(AW$5,6,1))&gt;$D$2,0,$AP39="Annual",1,AV39=12,12,$AP39="Monthly V",AV39*(1+$BD$2),$AP39="Monthly F",12,$AP39="One-Time",0),AV39*(1+$BD$2))</f>
        <v/>
      </c>
      <c r="AX39" s="14">
        <f t="array" ref="AX39">IFERROR(_xlfn.IFS(VALUE(MID(AX$5,6,1))&gt;$D$2,0,$AP39="Annual",1,AW39=12,12,$AP39="Monthly V",AW39*(1+$BD$2),$AP39="Monthly F",12,$AP39="One-Time",0),AW39*(1+$BD$2))</f>
        <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JHA ATM/POS Processing</t>
        </is>
      </c>
      <c r="BC39" s="38" t="inlineStr">
        <is>
          <t>Card Processing Solutions (CPS)</t>
        </is>
      </c>
      <c r="BD39" s="36" t="n">
        <v>500</v>
      </c>
      <c r="BE39" s="21">
        <f>BF39/12</f>
        <v/>
      </c>
      <c r="BF39" s="39">
        <f>IFERROR(AR39*$BD39,0)</f>
        <v/>
      </c>
      <c r="BG39" s="39">
        <f>IFERROR(AS39*$BD39,0)</f>
        <v/>
      </c>
      <c r="BH39" s="39">
        <f>IFERROR(AT39*$BD39,0)</f>
        <v/>
      </c>
      <c r="BI39" s="39">
        <f>BH39*1.03</f>
        <v/>
      </c>
      <c r="BJ39" s="39">
        <f>BI39*1.03</f>
        <v/>
      </c>
      <c r="BK39" s="39">
        <f>BJ39*1.03</f>
        <v/>
      </c>
      <c r="BL39" s="39">
        <f>BK39*1.03</f>
        <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n"/>
      <c r="C40" s="24" t="n"/>
      <c r="D40" s="147" t="n"/>
      <c r="E40" s="142" t="n"/>
      <c r="F40" s="14" t="n"/>
      <c r="G40" s="14" t="n"/>
      <c r="H40" s="14" t="n"/>
      <c r="I40" s="14" t="n"/>
      <c r="J40" s="14" t="n"/>
      <c r="K40" s="14" t="n"/>
      <c r="L40" s="14" t="n"/>
      <c r="M40" s="14" t="n"/>
      <c r="N40" s="24" t="n"/>
      <c r="O40" s="157" t="inlineStr">
        <is>
          <t>PaymentsOne Full-Service Debit Card Fraud Disputes</t>
        </is>
      </c>
      <c r="P40" s="13" t="n"/>
      <c r="Q40" s="20" t="n"/>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P40" s="102" t="inlineStr">
        <is>
          <t>Monthly F</t>
        </is>
      </c>
      <c r="AQ40" s="12" t="n">
        <v>1</v>
      </c>
      <c r="AR40" s="14">
        <f>IF($AP40="Annual",1,IF($AP40="Monthly F",12,IF($AP40="Monthly V",AQ40*12,IF($AP40="One-Time",1,AQ40*12))))</f>
        <v/>
      </c>
      <c r="AS40" s="14">
        <f t="array" ref="AS40">IFERROR(_xlfn.IFS(VALUE(MID(AS$5,6,1))&gt;$D$2,0,$AP40="Annual",1,AR40=12,12,$AP40="Monthly V",AR40*(1+$BD$2),$AP40="Monthly F",12,$AP40="One-Time",0),AR40*(1+$BD$2))</f>
        <v/>
      </c>
      <c r="AT40" s="14">
        <f t="array" ref="AT40">IFERROR(_xlfn.IFS(VALUE(MID(AT$5,6,1))&gt;$D$2,0,$AP40="Annual",1,AS40=12,12,$AP40="Monthly V",AS40*(1+$BD$2),$AP40="Monthly F",12,$AP40="One-Time",0),AS40*(1+$BD$2))</f>
        <v/>
      </c>
      <c r="AU40" s="14">
        <f t="array" ref="AU40">IFERROR(_xlfn.IFS(VALUE(MID(AU$5,6,1))&gt;$D$2,0,$AP40="Annual",1,AT40=12,12,$AP40="Monthly V",AT40*(1+$BD$2),$AP40="Monthly F",12,$AP40="One-Time",0),AT40*(1+$BD$2))</f>
        <v/>
      </c>
      <c r="AV40" s="14">
        <f t="array" ref="AV40">IFERROR(_xlfn.IFS(VALUE(MID(AV$5,6,1))&gt;$D$2,0,$AP40="Annual",1,AU40=12,12,$AP40="Monthly V",AU40*(1+$BD$2),$AP40="Monthly F",12,$AP40="One-Time",0),AU40*(1+$BD$2))</f>
        <v/>
      </c>
      <c r="AW40" s="14">
        <f t="array" ref="AW40">IFERROR(_xlfn.IFS(VALUE(MID(AW$5,6,1))&gt;$D$2,0,$AP40="Annual",1,AV40=12,12,$AP40="Monthly V",AV40*(1+$BD$2),$AP40="Monthly F",12,$AP40="One-Time",0),AV40*(1+$BD$2))</f>
        <v/>
      </c>
      <c r="AX40" s="14">
        <f t="array" ref="AX40">IFERROR(_xlfn.IFS(VALUE(MID(AX$5,6,1))&gt;$D$2,0,$AP40="Annual",1,AW40=12,12,$AP40="Monthly V",AW40*(1+$BD$2),$AP40="Monthly F",12,$AP40="One-Time",0),AW40*(1+$BD$2))</f>
        <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ATM/POS Transactions subject to {$}250 minimum monthly</t>
        </is>
      </c>
      <c r="BC40" s="38" t="inlineStr">
        <is>
          <t>Card Processing Solutions (CPS)</t>
        </is>
      </c>
      <c r="BD40" s="36" t="n">
        <v>250</v>
      </c>
      <c r="BE40" s="21">
        <f>BF40/12</f>
        <v/>
      </c>
      <c r="BF40" s="39">
        <f>IFERROR(AR40*$BD40,0)</f>
        <v/>
      </c>
      <c r="BG40" s="39">
        <f>IFERROR(AS40*$BD40,0)</f>
        <v/>
      </c>
      <c r="BH40" s="39">
        <f>IFERROR(AT40*$BD40,0)</f>
        <v/>
      </c>
      <c r="BI40" s="39">
        <f>BH40*1.03</f>
        <v/>
      </c>
      <c r="BJ40" s="39">
        <f>BI40*1.03</f>
        <v/>
      </c>
      <c r="BK40" s="39">
        <f>BJ40*1.03</f>
        <v/>
      </c>
      <c r="BL40" s="39">
        <f>BK40*1.03</f>
        <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27" t="inlineStr">
        <is>
          <t>Monthly Minimum</t>
        </is>
      </c>
      <c r="P41" s="13" t="inlineStr">
        <is>
          <t>Payments One</t>
        </is>
      </c>
      <c r="Q41" s="20" t="n">
        <v>500</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P41" s="102" t="inlineStr">
        <is>
          <t>Monthly F</t>
        </is>
      </c>
      <c r="AQ41" s="12" t="n">
        <v>1</v>
      </c>
      <c r="AR41" s="14">
        <f>IF($AP41="Annual",1,IF($AP41="Monthly F",12,IF($AP41="Monthly V",AQ41*12,IF($AP41="One-Time",1,AQ41*12))))</f>
        <v/>
      </c>
      <c r="AS41" s="14">
        <f t="array" ref="AS41">IFERROR(_xlfn.IFS(VALUE(MID(AS$5,6,1))&gt;$D$2,0,$AP41="Annual",1,AR41=12,12,$AP41="Monthly V",AR41*(1+$BD$2),$AP41="Monthly F",12,$AP41="One-Time",0),AR41*(1+$BD$2))</f>
        <v/>
      </c>
      <c r="AT41" s="14">
        <f t="array" ref="AT41">IFERROR(_xlfn.IFS(VALUE(MID(AT$5,6,1))&gt;$D$2,0,$AP41="Annual",1,AS41=12,12,$AP41="Monthly V",AS41*(1+$BD$2),$AP41="Monthly F",12,$AP41="One-Time",0),AS41*(1+$BD$2))</f>
        <v/>
      </c>
      <c r="AU41" s="14">
        <f t="array" ref="AU41">IFERROR(_xlfn.IFS(VALUE(MID(AU$5,6,1))&gt;$D$2,0,$AP41="Annual",1,AT41=12,12,$AP41="Monthly V",AT41*(1+$BD$2),$AP41="Monthly F",12,$AP41="One-Time",0),AT41*(1+$BD$2))</f>
        <v/>
      </c>
      <c r="AV41" s="14">
        <f t="array" ref="AV41">IFERROR(_xlfn.IFS(VALUE(MID(AV$5,6,1))&gt;$D$2,0,$AP41="Annual",1,AU41=12,12,$AP41="Monthly V",AU41*(1+$BD$2),$AP41="Monthly F",12,$AP41="One-Time",0),AU41*(1+$BD$2))</f>
        <v/>
      </c>
      <c r="AW41" s="14">
        <f t="array" ref="AW41">IFERROR(_xlfn.IFS(VALUE(MID(AW$5,6,1))&gt;$D$2,0,$AP41="Annual",1,AV41=12,12,$AP41="Monthly V",AV41*(1+$BD$2),$AP41="Monthly F",12,$AP41="One-Time",0),AV41*(1+$BD$2))</f>
        <v/>
      </c>
      <c r="AX41" s="14">
        <f t="array" ref="AX41">IFERROR(_xlfn.IFS(VALUE(MID(AX$5,6,1))&gt;$D$2,0,$AP41="Annual",1,AW41=12,12,$AP41="Monthly V",AW41*(1+$BD$2),$AP41="Monthly F",12,$AP41="One-Time",0),AW41*(1+$BD$2))</f>
        <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6" t="inlineStr">
        <is>
          <t>ATM Driving VPN</t>
        </is>
      </c>
      <c r="BC41" s="38" t="inlineStr">
        <is>
          <t>Card Processing Solutions (CPS)</t>
        </is>
      </c>
      <c r="BD41" s="36" t="n">
        <v>100</v>
      </c>
      <c r="BE41" s="21">
        <f>BF41/12</f>
        <v/>
      </c>
      <c r="BF41" s="39">
        <f>IFERROR(AR41*$BD41,0)</f>
        <v/>
      </c>
      <c r="BG41" s="39">
        <f>IFERROR(AS41*$BD41,0)</f>
        <v/>
      </c>
      <c r="BH41" s="39">
        <f>IFERROR(AT41*$BD41,0)</f>
        <v/>
      </c>
      <c r="BI41" s="39">
        <f>BH41*1.03</f>
        <v/>
      </c>
      <c r="BJ41" s="39">
        <f>BI41*1.03</f>
        <v/>
      </c>
      <c r="BK41" s="39">
        <f>BJ41*1.03</f>
        <v/>
      </c>
      <c r="BL41" s="39">
        <f>BK41*1.03</f>
        <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n"/>
      <c r="C42" s="24" t="n"/>
      <c r="D42" s="147" t="n"/>
      <c r="E42" s="142" t="n"/>
      <c r="F42" s="14" t="n"/>
      <c r="G42" s="14" t="n"/>
      <c r="H42" s="14" t="n"/>
      <c r="I42" s="14" t="n"/>
      <c r="J42" s="14" t="n"/>
      <c r="K42" s="14" t="n"/>
      <c r="L42" s="14" t="n"/>
      <c r="M42" s="14" t="n"/>
      <c r="N42" s="24" t="n"/>
      <c r="O42" s="127" t="n"/>
      <c r="P42" s="13" t="n"/>
      <c r="Q42" s="20" t="n"/>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P42" s="102" t="inlineStr">
        <is>
          <t>Monthly F</t>
        </is>
      </c>
      <c r="AQ42" s="12" t="n">
        <v>1</v>
      </c>
      <c r="AR42" s="14">
        <f>IF($AP42="Annual",1,IF($AP42="Monthly F",12,IF($AP42="Monthly V",AQ42*12,IF($AP42="One-Time",1,AQ42*12))))</f>
        <v/>
      </c>
      <c r="AS42" s="14">
        <f t="array" ref="AS42">IFERROR(_xlfn.IFS(VALUE(MID(AS$5,6,1))&gt;$D$2,0,$AP42="Annual",1,AR42=12,12,$AP42="Monthly V",AR42*(1+$BD$2),$AP42="Monthly F",12,$AP42="One-Time",0),AR42*(1+$BD$2))</f>
        <v/>
      </c>
      <c r="AT42" s="14">
        <f t="array" ref="AT42">IFERROR(_xlfn.IFS(VALUE(MID(AT$5,6,1))&gt;$D$2,0,$AP42="Annual",1,AS42=12,12,$AP42="Monthly V",AS42*(1+$BD$2),$AP42="Monthly F",12,$AP42="One-Time",0),AS42*(1+$BD$2))</f>
        <v/>
      </c>
      <c r="AU42" s="14">
        <f t="array" ref="AU42">IFERROR(_xlfn.IFS(VALUE(MID(AU$5,6,1))&gt;$D$2,0,$AP42="Annual",1,AT42=12,12,$AP42="Monthly V",AT42*(1+$BD$2),$AP42="Monthly F",12,$AP42="One-Time",0),AT42*(1+$BD$2))</f>
        <v/>
      </c>
      <c r="AV42" s="14">
        <f t="array" ref="AV42">IFERROR(_xlfn.IFS(VALUE(MID(AV$5,6,1))&gt;$D$2,0,$AP42="Annual",1,AU42=12,12,$AP42="Monthly V",AU42*(1+$BD$2),$AP42="Monthly F",12,$AP42="One-Time",0),AU42*(1+$BD$2))</f>
        <v/>
      </c>
      <c r="AW42" s="14">
        <f t="array" ref="AW42">IFERROR(_xlfn.IFS(VALUE(MID(AW$5,6,1))&gt;$D$2,0,$AP42="Annual",1,AV42=12,12,$AP42="Monthly V",AV42*(1+$BD$2),$AP42="Monthly F",12,$AP42="One-Time",0),AV42*(1+$BD$2))</f>
        <v/>
      </c>
      <c r="AX42" s="14">
        <f t="array" ref="AX42">IFERROR(_xlfn.IFS(VALUE(MID(AX$5,6,1))&gt;$D$2,0,$AP42="Annual",1,AW42=12,12,$AP42="Monthly V",AW42*(1+$BD$2),$AP42="Monthly F",12,$AP42="One-Time",0),AW42*(1+$BD$2))</f>
        <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6" t="inlineStr">
        <is>
          <t>Regional ATM/Debit Network</t>
        </is>
      </c>
      <c r="BC42" s="38" t="inlineStr">
        <is>
          <t>Card Processing Solutions (CPS)</t>
        </is>
      </c>
      <c r="BD42" s="36" t="n">
        <v>75</v>
      </c>
      <c r="BE42" s="21">
        <f>BF42/12</f>
        <v/>
      </c>
      <c r="BF42" s="39">
        <f>IFERROR(AR42*$BD42,0)</f>
        <v/>
      </c>
      <c r="BG42" s="39">
        <f>IFERROR(AS42*$BD42,0)</f>
        <v/>
      </c>
      <c r="BH42" s="39">
        <f>IFERROR(AT42*$BD42,0)</f>
        <v/>
      </c>
      <c r="BI42" s="39">
        <f>BH42*1.03</f>
        <v/>
      </c>
      <c r="BJ42" s="39">
        <f>BI42*1.03</f>
        <v/>
      </c>
      <c r="BK42" s="39">
        <f>BJ42*1.03</f>
        <v/>
      </c>
      <c r="BL42" s="39">
        <f>BK42*1.03</f>
        <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n"/>
      <c r="C43" s="24" t="n"/>
      <c r="D43" s="147" t="n"/>
      <c r="E43" s="142" t="n"/>
      <c r="F43" s="14" t="n"/>
      <c r="G43" s="14" t="n"/>
      <c r="H43" s="14" t="n"/>
      <c r="I43" s="14" t="n"/>
      <c r="J43" s="14" t="n"/>
      <c r="K43" s="14" t="n"/>
      <c r="L43" s="14" t="n"/>
      <c r="M43" s="14" t="n"/>
      <c r="N43" s="24" t="n"/>
      <c r="O43" s="157" t="inlineStr">
        <is>
          <t>Tokenization (Apple Pay, Additional Pays)</t>
        </is>
      </c>
      <c r="P43" s="13" t="n"/>
      <c r="Q43" s="20" t="n"/>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P43" s="102" t="inlineStr">
        <is>
          <t>Monthly V</t>
        </is>
      </c>
      <c r="AQ43" s="12" t="n">
        <v>3</v>
      </c>
      <c r="AR43" s="14">
        <f>IF($AP43="Annual",1,IF($AP43="Monthly F",12,IF($AP43="Monthly V",AQ43*12,IF($AP43="One-Time",1,AQ43*12))))</f>
        <v/>
      </c>
      <c r="AS43" s="14">
        <f t="array" ref="AS43">IFERROR(_xlfn.IFS(VALUE(MID(AS$5,6,1))&gt;$D$2,0,$AP43="Annual",1,AR43=12,12,$AP43="Monthly V",AR43*(1+$BD$2),$AP43="Monthly F",12,$AP43="One-Time",0),AR43*(1+$BD$2))</f>
        <v/>
      </c>
      <c r="AT43" s="14">
        <f t="array" ref="AT43">IFERROR(_xlfn.IFS(VALUE(MID(AT$5,6,1))&gt;$D$2,0,$AP43="Annual",1,AS43=12,12,$AP43="Monthly V",AS43*(1+$BD$2),$AP43="Monthly F",12,$AP43="One-Time",0),AS43*(1+$BD$2))</f>
        <v/>
      </c>
      <c r="AU43" s="14">
        <f t="array" ref="AU43">IFERROR(_xlfn.IFS(VALUE(MID(AU$5,6,1))&gt;$D$2,0,$AP43="Annual",1,AT43=12,12,$AP43="Monthly V",AT43*(1+$BD$2),$AP43="Monthly F",12,$AP43="One-Time",0),AT43*(1+$BD$2))</f>
        <v/>
      </c>
      <c r="AV43" s="14">
        <f t="array" ref="AV43">IFERROR(_xlfn.IFS(VALUE(MID(AV$5,6,1))&gt;$D$2,0,$AP43="Annual",1,AU43=12,12,$AP43="Monthly V",AU43*(1+$BD$2),$AP43="Monthly F",12,$AP43="One-Time",0),AU43*(1+$BD$2))</f>
        <v/>
      </c>
      <c r="AW43" s="14">
        <f t="array" ref="AW43">IFERROR(_xlfn.IFS(VALUE(MID(AW$5,6,1))&gt;$D$2,0,$AP43="Annual",1,AV43=12,12,$AP43="Monthly V",AV43*(1+$BD$2),$AP43="Monthly F",12,$AP43="One-Time",0),AV43*(1+$BD$2))</f>
        <v/>
      </c>
      <c r="AX43" s="14">
        <f t="array" ref="AX43">IFERROR(_xlfn.IFS(VALUE(MID(AX$5,6,1))&gt;$D$2,0,$AP43="Annual",1,AW43=12,12,$AP43="Monthly V",AW43*(1+$BD$2),$AP43="Monthly F",12,$AP43="One-Time",0),AW43*(1+$BD$2))</f>
        <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National ATM/Debit Network</t>
        </is>
      </c>
      <c r="BC43" s="38" t="inlineStr">
        <is>
          <t>Card Processing Solutions (CPS)</t>
        </is>
      </c>
      <c r="BD43" s="36" t="n">
        <v>75</v>
      </c>
      <c r="BE43" s="21">
        <f>BF43/12</f>
        <v/>
      </c>
      <c r="BF43" s="39">
        <f>IFERROR(AR43*$BD43,0)</f>
        <v/>
      </c>
      <c r="BG43" s="39">
        <f>IFERROR(AS43*$BD43,0)</f>
        <v/>
      </c>
      <c r="BH43" s="39">
        <f>IFERROR(AT43*$BD43,0)</f>
        <v/>
      </c>
      <c r="BI43" s="39">
        <f>BH43*1.03</f>
        <v/>
      </c>
      <c r="BJ43" s="39">
        <f>BI43*1.03</f>
        <v/>
      </c>
      <c r="BK43" s="39">
        <f>BJ43*1.03</f>
        <v/>
      </c>
      <c r="BL43" s="39">
        <f>BK43*1.03</f>
        <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V</t>
        </is>
      </c>
      <c r="C44" s="24" t="n">
        <v>16</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27" t="inlineStr">
        <is>
          <t>Token Provisioning</t>
        </is>
      </c>
      <c r="P44" s="13" t="inlineStr">
        <is>
          <t>ATM/EFT</t>
        </is>
      </c>
      <c r="Q44" s="20" t="n">
        <v>1</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P44" s="102" t="inlineStr">
        <is>
          <t>Monthly F</t>
        </is>
      </c>
      <c r="AQ44" s="12" t="n">
        <v>1</v>
      </c>
      <c r="AR44" s="14">
        <f>IF($AP44="Annual",1,IF($AP44="Monthly F",12,IF($AP44="Monthly V",AQ44*12,IF($AP44="One-Time",1,AQ44*12))))</f>
        <v/>
      </c>
      <c r="AS44" s="14">
        <f t="array" ref="AS44">IFERROR(_xlfn.IFS(VALUE(MID(AS$5,6,1))&gt;$D$2,0,$AP44="Annual",1,AR44=12,12,$AP44="Monthly V",AR44*(1+$BD$2),$AP44="Monthly F",12,$AP44="One-Time",0),AR44*(1+$BD$2))</f>
        <v/>
      </c>
      <c r="AT44" s="14">
        <f t="array" ref="AT44">IFERROR(_xlfn.IFS(VALUE(MID(AT$5,6,1))&gt;$D$2,0,$AP44="Annual",1,AS44=12,12,$AP44="Monthly V",AS44*(1+$BD$2),$AP44="Monthly F",12,$AP44="One-Time",0),AS44*(1+$BD$2))</f>
        <v/>
      </c>
      <c r="AU44" s="14">
        <f t="array" ref="AU44">IFERROR(_xlfn.IFS(VALUE(MID(AU$5,6,1))&gt;$D$2,0,$AP44="Annual",1,AT44=12,12,$AP44="Monthly V",AT44*(1+$BD$2),$AP44="Monthly F",12,$AP44="One-Time",0),AT44*(1+$BD$2))</f>
        <v/>
      </c>
      <c r="AV44" s="14">
        <f t="array" ref="AV44">IFERROR(_xlfn.IFS(VALUE(MID(AV$5,6,1))&gt;$D$2,0,$AP44="Annual",1,AU44=12,12,$AP44="Monthly V",AU44*(1+$BD$2),$AP44="Monthly F",12,$AP44="One-Time",0),AU44*(1+$BD$2))</f>
        <v/>
      </c>
      <c r="AW44" s="14">
        <f t="array" ref="AW44">IFERROR(_xlfn.IFS(VALUE(MID(AW$5,6,1))&gt;$D$2,0,$AP44="Annual",1,AV44=12,12,$AP44="Monthly V",AV44*(1+$BD$2),$AP44="Monthly F",12,$AP44="One-Time",0),AV44*(1+$BD$2))</f>
        <v/>
      </c>
      <c r="AX44" s="14">
        <f t="array" ref="AX44">IFERROR(_xlfn.IFS(VALUE(MID(AX$5,6,1))&gt;$D$2,0,$AP44="Annual",1,AW44=12,12,$AP44="Monthly V",AW44*(1+$BD$2),$AP44="Monthly F",12,$AP44="One-Time",0),AW44*(1+$BD$2))</f>
        <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JHA Card Analytics JHA Debit Processing</t>
        </is>
      </c>
      <c r="BC44" s="38" t="inlineStr">
        <is>
          <t>Card Processing Solutions (CPS)</t>
        </is>
      </c>
      <c r="BD44" s="36" t="n">
        <v>350</v>
      </c>
      <c r="BE44" s="21">
        <f>BF44/12</f>
        <v/>
      </c>
      <c r="BF44" s="39">
        <f>IFERROR(AR44*$BD44,0)</f>
        <v/>
      </c>
      <c r="BG44" s="39">
        <f>IFERROR(AS44*$BD44,0)</f>
        <v/>
      </c>
      <c r="BH44" s="39">
        <f>IFERROR(AT44*$BD44,0)</f>
        <v/>
      </c>
      <c r="BI44" s="39">
        <f>BH44*1.03</f>
        <v/>
      </c>
      <c r="BJ44" s="39">
        <f>BI44*1.03</f>
        <v/>
      </c>
      <c r="BK44" s="39">
        <f>BJ44*1.03</f>
        <v/>
      </c>
      <c r="BL44" s="39">
        <f>BK44*1.03</f>
        <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27" t="inlineStr">
        <is>
          <t>Step Up Authentication</t>
        </is>
      </c>
      <c r="P45" s="13" t="inlineStr">
        <is>
          <t>ATM/EFT</t>
        </is>
      </c>
      <c r="Q45" s="20" t="n">
        <v>100</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P45" s="102" t="inlineStr">
        <is>
          <t>Monthly F</t>
        </is>
      </c>
      <c r="AQ45" s="12" t="n">
        <v>1</v>
      </c>
      <c r="AR45" s="14">
        <f>IF($AP45="Annual",1,IF($AP45="Monthly F",12,IF($AP45="Monthly V",AQ45*12,IF($AP45="One-Time",1,AQ45*12))))</f>
        <v/>
      </c>
      <c r="AS45" s="14">
        <f t="array" ref="AS45">IFERROR(_xlfn.IFS(VALUE(MID(AS$5,6,1))&gt;$D$2,0,$AP45="Annual",1,AR45=12,12,$AP45="Monthly V",AR45*(1+$BD$2),$AP45="Monthly F",12,$AP45="One-Time",0),AR45*(1+$BD$2))</f>
        <v/>
      </c>
      <c r="AT45" s="14">
        <f t="array" ref="AT45">IFERROR(_xlfn.IFS(VALUE(MID(AT$5,6,1))&gt;$D$2,0,$AP45="Annual",1,AS45=12,12,$AP45="Monthly V",AS45*(1+$BD$2),$AP45="Monthly F",12,$AP45="One-Time",0),AS45*(1+$BD$2))</f>
        <v/>
      </c>
      <c r="AU45" s="14">
        <f t="array" ref="AU45">IFERROR(_xlfn.IFS(VALUE(MID(AU$5,6,1))&gt;$D$2,0,$AP45="Annual",1,AT45=12,12,$AP45="Monthly V",AT45*(1+$BD$2),$AP45="Monthly F",12,$AP45="One-Time",0),AT45*(1+$BD$2))</f>
        <v/>
      </c>
      <c r="AV45" s="14">
        <f t="array" ref="AV45">IFERROR(_xlfn.IFS(VALUE(MID(AV$5,6,1))&gt;$D$2,0,$AP45="Annual",1,AU45=12,12,$AP45="Monthly V",AU45*(1+$BD$2),$AP45="Monthly F",12,$AP45="One-Time",0),AU45*(1+$BD$2))</f>
        <v/>
      </c>
      <c r="AW45" s="14">
        <f t="array" ref="AW45">IFERROR(_xlfn.IFS(VALUE(MID(AW$5,6,1))&gt;$D$2,0,$AP45="Annual",1,AV45=12,12,$AP45="Monthly V",AV45*(1+$BD$2),$AP45="Monthly F",12,$AP45="One-Time",0),AV45*(1+$BD$2))</f>
        <v/>
      </c>
      <c r="AX45" s="14">
        <f t="array" ref="AX45">IFERROR(_xlfn.IFS(VALUE(MID(AX$5,6,1))&gt;$D$2,0,$AP45="Annual",1,AW45=12,12,$AP45="Monthly V",AW45*(1+$BD$2),$AP45="Monthly F",12,$AP45="One-Time",0),AW45*(1+$BD$2))</f>
        <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JHA Card Connect JHA Debit Processing</t>
        </is>
      </c>
      <c r="BC45" s="38" t="inlineStr">
        <is>
          <t>Card Processing Solutions (CPS)</t>
        </is>
      </c>
      <c r="BD45" s="36" t="n">
        <v>350</v>
      </c>
      <c r="BE45" s="21">
        <f>BF45/12</f>
        <v/>
      </c>
      <c r="BF45" s="39">
        <f>IFERROR(AR45*$BD45,0)</f>
        <v/>
      </c>
      <c r="BG45" s="39">
        <f>IFERROR(AS45*$BD45,0)</f>
        <v/>
      </c>
      <c r="BH45" s="39">
        <f>IFERROR(AT45*$BD45,0)</f>
        <v/>
      </c>
      <c r="BI45" s="39">
        <f>BH45*1.03</f>
        <v/>
      </c>
      <c r="BJ45" s="39">
        <f>BI45*1.03</f>
        <v/>
      </c>
      <c r="BK45" s="39">
        <f>BJ45*1.03</f>
        <v/>
      </c>
      <c r="BL45" s="39">
        <f>BK45*1.03</f>
        <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27" t="inlineStr">
        <is>
          <t>Call Center Support</t>
        </is>
      </c>
      <c r="P46" s="13" t="inlineStr">
        <is>
          <t>ATM/EFT</t>
        </is>
      </c>
      <c r="Q46" s="20" t="n">
        <v>65</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P46" s="102" t="inlineStr">
        <is>
          <t>Monthly F</t>
        </is>
      </c>
      <c r="AQ46" s="12" t="n">
        <v>1</v>
      </c>
      <c r="AR46" s="14">
        <f>IF($AP46="Annual",1,IF($AP46="Monthly F",12,IF($AP46="Monthly V",AQ46*12,IF($AP46="One-Time",1,AQ46*12))))</f>
        <v/>
      </c>
      <c r="AS46" s="14">
        <f t="array" ref="AS46">IFERROR(_xlfn.IFS(VALUE(MID(AS$5,6,1))&gt;$D$2,0,$AP46="Annual",1,AR46=12,12,$AP46="Monthly V",AR46*(1+$BD$2),$AP46="Monthly F",12,$AP46="One-Time",0),AR46*(1+$BD$2))</f>
        <v/>
      </c>
      <c r="AT46" s="14">
        <f t="array" ref="AT46">IFERROR(_xlfn.IFS(VALUE(MID(AT$5,6,1))&gt;$D$2,0,$AP46="Annual",1,AS46=12,12,$AP46="Monthly V",AS46*(1+$BD$2),$AP46="Monthly F",12,$AP46="One-Time",0),AS46*(1+$BD$2))</f>
        <v/>
      </c>
      <c r="AU46" s="14">
        <f t="array" ref="AU46">IFERROR(_xlfn.IFS(VALUE(MID(AU$5,6,1))&gt;$D$2,0,$AP46="Annual",1,AT46=12,12,$AP46="Monthly V",AT46*(1+$BD$2),$AP46="Monthly F",12,$AP46="One-Time",0),AT46*(1+$BD$2))</f>
        <v/>
      </c>
      <c r="AV46" s="14">
        <f t="array" ref="AV46">IFERROR(_xlfn.IFS(VALUE(MID(AV$5,6,1))&gt;$D$2,0,$AP46="Annual",1,AU46=12,12,$AP46="Monthly V",AU46*(1+$BD$2),$AP46="Monthly F",12,$AP46="One-Time",0),AU46*(1+$BD$2))</f>
        <v/>
      </c>
      <c r="AW46" s="14">
        <f t="array" ref="AW46">IFERROR(_xlfn.IFS(VALUE(MID(AW$5,6,1))&gt;$D$2,0,$AP46="Annual",1,AV46=12,12,$AP46="Monthly V",AV46*(1+$BD$2),$AP46="Monthly F",12,$AP46="One-Time",0),AV46*(1+$BD$2))</f>
        <v/>
      </c>
      <c r="AX46" s="14">
        <f t="array" ref="AX46">IFERROR(_xlfn.IFS(VALUE(MID(AX$5,6,1))&gt;$D$2,0,$AP46="Annual",1,AW46=12,12,$AP46="Monthly V",AW46*(1+$BD$2),$AP46="Monthly F",12,$AP46="One-Time",0),AW46*(1+$BD$2))</f>
        <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Footprints Data Storage JHA Debit Processing</t>
        </is>
      </c>
      <c r="BC46" s="38" t="inlineStr">
        <is>
          <t>Card Processing Solutions (CPS)</t>
        </is>
      </c>
      <c r="BD46" s="36" t="n">
        <v>150</v>
      </c>
      <c r="BE46" s="21">
        <f>BF46/12</f>
        <v/>
      </c>
      <c r="BF46" s="39">
        <f>IFERROR(AR46*$BD46,0)</f>
        <v/>
      </c>
      <c r="BG46" s="39">
        <f>IFERROR(AS46*$BD46,0)</f>
        <v/>
      </c>
      <c r="BH46" s="39">
        <f>IFERROR(AT46*$BD46,0)</f>
        <v/>
      </c>
      <c r="BI46" s="39">
        <f>BH46*1.03</f>
        <v/>
      </c>
      <c r="BJ46" s="39">
        <f>BI46*1.03</f>
        <v/>
      </c>
      <c r="BK46" s="39">
        <f>BJ46*1.03</f>
        <v/>
      </c>
      <c r="BL46" s="39">
        <f>BK46*1.03</f>
        <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V</t>
        </is>
      </c>
      <c r="C47" s="24" t="n">
        <v>45</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27" t="inlineStr">
        <is>
          <t>Call Center Support per minute</t>
        </is>
      </c>
      <c r="P47" s="13" t="inlineStr">
        <is>
          <t>ATM/EFT</t>
        </is>
      </c>
      <c r="Q47" s="20" t="n">
        <v>1.5</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P47" s="102" t="inlineStr">
        <is>
          <t>Monthly F</t>
        </is>
      </c>
      <c r="AQ47" s="12" t="n">
        <v>1</v>
      </c>
      <c r="AR47" s="14">
        <f>IF($AP47="Annual",1,IF($AP47="Monthly F",12,IF($AP47="Monthly V",AQ47*12,IF($AP47="One-Time",1,AQ47*12))))</f>
        <v/>
      </c>
      <c r="AS47" s="14">
        <f t="array" ref="AS47">IFERROR(_xlfn.IFS(VALUE(MID(AS$5,6,1))&gt;$D$2,0,$AP47="Annual",1,AR47=12,12,$AP47="Monthly V",AR47*(1+$BD$2),$AP47="Monthly F",12,$AP47="One-Time",0),AR47*(1+$BD$2))</f>
        <v/>
      </c>
      <c r="AT47" s="14">
        <f t="array" ref="AT47">IFERROR(_xlfn.IFS(VALUE(MID(AT$5,6,1))&gt;$D$2,0,$AP47="Annual",1,AS47=12,12,$AP47="Monthly V",AS47*(1+$BD$2),$AP47="Monthly F",12,$AP47="One-Time",0),AS47*(1+$BD$2))</f>
        <v/>
      </c>
      <c r="AU47" s="14">
        <f t="array" ref="AU47">IFERROR(_xlfn.IFS(VALUE(MID(AU$5,6,1))&gt;$D$2,0,$AP47="Annual",1,AT47=12,12,$AP47="Monthly V",AT47*(1+$BD$2),$AP47="Monthly F",12,$AP47="One-Time",0),AT47*(1+$BD$2))</f>
        <v/>
      </c>
      <c r="AV47" s="14">
        <f t="array" ref="AV47">IFERROR(_xlfn.IFS(VALUE(MID(AV$5,6,1))&gt;$D$2,0,$AP47="Annual",1,AU47=12,12,$AP47="Monthly V",AU47*(1+$BD$2),$AP47="Monthly F",12,$AP47="One-Time",0),AU47*(1+$BD$2))</f>
        <v/>
      </c>
      <c r="AW47" s="14">
        <f t="array" ref="AW47">IFERROR(_xlfn.IFS(VALUE(MID(AW$5,6,1))&gt;$D$2,0,$AP47="Annual",1,AV47=12,12,$AP47="Monthly V",AV47*(1+$BD$2),$AP47="Monthly F",12,$AP47="One-Time",0),AV47*(1+$BD$2))</f>
        <v/>
      </c>
      <c r="AX47" s="14">
        <f t="array" ref="AX47">IFERROR(_xlfn.IFS(VALUE(MID(AX$5,6,1))&gt;$D$2,0,$AP47="Annual",1,AW47=12,12,$AP47="Monthly V",AW47*(1+$BD$2),$AP47="Monthly F",12,$AP47="One-Time",0),AW47*(1+$BD$2))</f>
        <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Host Based PIN Authorization JHA Debit Processing</t>
        </is>
      </c>
      <c r="BC47" s="38" t="inlineStr">
        <is>
          <t>Card Processing Solutions (CPS)</t>
        </is>
      </c>
      <c r="BD47" s="36" t="n">
        <v>250</v>
      </c>
      <c r="BE47" s="21">
        <f>BF47/12</f>
        <v/>
      </c>
      <c r="BF47" s="39">
        <f>IFERROR(AR47*$BD47,0)</f>
        <v/>
      </c>
      <c r="BG47" s="39">
        <f>IFERROR(AS47*$BD47,0)</f>
        <v/>
      </c>
      <c r="BH47" s="39">
        <f>IFERROR(AT47*$BD47,0)</f>
        <v/>
      </c>
      <c r="BI47" s="39">
        <f>BH47*1.03</f>
        <v/>
      </c>
      <c r="BJ47" s="39">
        <f>BI47*1.03</f>
        <v/>
      </c>
      <c r="BK47" s="39">
        <f>BJ47*1.03</f>
        <v/>
      </c>
      <c r="BL47" s="39">
        <f>BK47*1.03</f>
        <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27" t="inlineStr">
        <is>
          <t>Automated Customer Notification</t>
        </is>
      </c>
      <c r="P48" s="13" t="inlineStr">
        <is>
          <t>ATM/EFT</t>
        </is>
      </c>
      <c r="Q48" s="20" t="n">
        <v>100</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P48" s="102" t="inlineStr">
        <is>
          <t>Monthly F</t>
        </is>
      </c>
      <c r="AQ48" s="12" t="n">
        <v>1</v>
      </c>
      <c r="AR48" s="14">
        <f>IF($AP48="Annual",1,IF($AP48="Monthly F",12,IF($AP48="Monthly V",AQ48*12,IF($AP48="One-Time",1,AQ48*12))))</f>
        <v/>
      </c>
      <c r="AS48" s="14">
        <f t="array" ref="AS48">IFERROR(_xlfn.IFS(VALUE(MID(AS$5,6,1))&gt;$D$2,0,$AP48="Annual",1,AR48=12,12,$AP48="Monthly V",AR48*(1+$BD$2),$AP48="Monthly F",12,$AP48="One-Time",0),AR48*(1+$BD$2))</f>
        <v/>
      </c>
      <c r="AT48" s="14">
        <f t="array" ref="AT48">IFERROR(_xlfn.IFS(VALUE(MID(AT$5,6,1))&gt;$D$2,0,$AP48="Annual",1,AS48=12,12,$AP48="Monthly V",AS48*(1+$BD$2),$AP48="Monthly F",12,$AP48="One-Time",0),AS48*(1+$BD$2))</f>
        <v/>
      </c>
      <c r="AU48" s="14">
        <f t="array" ref="AU48">IFERROR(_xlfn.IFS(VALUE(MID(AU$5,6,1))&gt;$D$2,0,$AP48="Annual",1,AT48=12,12,$AP48="Monthly V",AT48*(1+$BD$2),$AP48="Monthly F",12,$AP48="One-Time",0),AT48*(1+$BD$2))</f>
        <v/>
      </c>
      <c r="AV48" s="14">
        <f t="array" ref="AV48">IFERROR(_xlfn.IFS(VALUE(MID(AV$5,6,1))&gt;$D$2,0,$AP48="Annual",1,AU48=12,12,$AP48="Monthly V",AU48*(1+$BD$2),$AP48="Monthly F",12,$AP48="One-Time",0),AU48*(1+$BD$2))</f>
        <v/>
      </c>
      <c r="AW48" s="14">
        <f t="array" ref="AW48">IFERROR(_xlfn.IFS(VALUE(MID(AW$5,6,1))&gt;$D$2,0,$AP48="Annual",1,AV48=12,12,$AP48="Monthly V",AV48*(1+$BD$2),$AP48="Monthly F",12,$AP48="One-Time",0),AV48*(1+$BD$2))</f>
        <v/>
      </c>
      <c r="AX48" s="14">
        <f t="array" ref="AX48">IFERROR(_xlfn.IFS(VALUE(MID(AX$5,6,1))&gt;$D$2,0,$AP48="Annual",1,AW48=12,12,$AP48="Monthly V",AW48*(1+$BD$2),$AP48="Monthly F",12,$AP48="One-Time",0),AW48*(1+$BD$2))</f>
        <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Instant Issue JHA Debit Processing</t>
        </is>
      </c>
      <c r="BC48" s="38" t="inlineStr">
        <is>
          <t>Card Processing Solutions (CPS)</t>
        </is>
      </c>
      <c r="BD48" s="36" t="n">
        <v>75</v>
      </c>
      <c r="BE48" s="21">
        <f>BF48/12</f>
        <v/>
      </c>
      <c r="BF48" s="39">
        <f>IFERROR(AR48*$BD48,0)</f>
        <v/>
      </c>
      <c r="BG48" s="39">
        <f>IFERROR(AS48*$BD48,0)</f>
        <v/>
      </c>
      <c r="BH48" s="39">
        <f>IFERROR(AT48*$BD48,0)</f>
        <v/>
      </c>
      <c r="BI48" s="39">
        <f>BH48*1.03</f>
        <v/>
      </c>
      <c r="BJ48" s="39">
        <f>BI48*1.03</f>
        <v/>
      </c>
      <c r="BK48" s="39">
        <f>BJ48*1.03</f>
        <v/>
      </c>
      <c r="BL48" s="39">
        <f>BK48*1.03</f>
        <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27"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P49" s="102" t="inlineStr">
        <is>
          <t>Monthly F</t>
        </is>
      </c>
      <c r="AQ49" s="12" t="n">
        <v>1</v>
      </c>
      <c r="AR49" s="14">
        <f>IF($AP49="Annual",1,IF($AP49="Monthly F",12,IF($AP49="Monthly V",AQ49*12,IF($AP49="One-Time",1,AQ49*12))))</f>
        <v/>
      </c>
      <c r="AS49" s="14">
        <f t="array" ref="AS49">IFERROR(_xlfn.IFS(VALUE(MID(AS$5,6,1))&gt;$D$2,0,$AP49="Annual",1,AR49=12,12,$AP49="Monthly V",AR49*(1+$BD$2),$AP49="Monthly F",12,$AP49="One-Time",0),AR49*(1+$BD$2))</f>
        <v/>
      </c>
      <c r="AT49" s="14">
        <f t="array" ref="AT49">IFERROR(_xlfn.IFS(VALUE(MID(AT$5,6,1))&gt;$D$2,0,$AP49="Annual",1,AS49=12,12,$AP49="Monthly V",AS49*(1+$BD$2),$AP49="Monthly F",12,$AP49="One-Time",0),AS49*(1+$BD$2))</f>
        <v/>
      </c>
      <c r="AU49" s="14">
        <f t="array" ref="AU49">IFERROR(_xlfn.IFS(VALUE(MID(AU$5,6,1))&gt;$D$2,0,$AP49="Annual",1,AT49=12,12,$AP49="Monthly V",AT49*(1+$BD$2),$AP49="Monthly F",12,$AP49="One-Time",0),AT49*(1+$BD$2))</f>
        <v/>
      </c>
      <c r="AV49" s="14">
        <f t="array" ref="AV49">IFERROR(_xlfn.IFS(VALUE(MID(AV$5,6,1))&gt;$D$2,0,$AP49="Annual",1,AU49=12,12,$AP49="Monthly V",AU49*(1+$BD$2),$AP49="Monthly F",12,$AP49="One-Time",0),AU49*(1+$BD$2))</f>
        <v/>
      </c>
      <c r="AW49" s="14">
        <f t="array" ref="AW49">IFERROR(_xlfn.IFS(VALUE(MID(AW$5,6,1))&gt;$D$2,0,$AP49="Annual",1,AV49=12,12,$AP49="Monthly V",AV49*(1+$BD$2),$AP49="Monthly F",12,$AP49="One-Time",0),AV49*(1+$BD$2))</f>
        <v/>
      </c>
      <c r="AX49" s="14">
        <f t="array" ref="AX49">IFERROR(_xlfn.IFS(VALUE(MID(AX$5,6,1))&gt;$D$2,0,$AP49="Annual",1,AW49=12,12,$AP49="Monthly V",AW49*(1+$BD$2),$AP49="Monthly F",12,$AP49="One-Time",0),AW49*(1+$BD$2))</f>
        <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Online ATM &amp; Debit Authorization to CPS Switch Includes 7,000 ATM Transactions per month &amp; 2,50</t>
        </is>
      </c>
      <c r="BC49" s="38" t="inlineStr">
        <is>
          <t>Card Processing Solutions (CPS)</t>
        </is>
      </c>
      <c r="BD49" s="36" t="n">
        <v>405</v>
      </c>
      <c r="BE49" s="21">
        <f>BF49/12</f>
        <v/>
      </c>
      <c r="BF49" s="39">
        <f>IFERROR(AR49*$BD49,0)</f>
        <v/>
      </c>
      <c r="BG49" s="39">
        <f>IFERROR(AS49*$BD49,0)</f>
        <v/>
      </c>
      <c r="BH49" s="39">
        <f>IFERROR(AT49*$BD49,0)</f>
        <v/>
      </c>
      <c r="BI49" s="39">
        <f>BH49*1.03</f>
        <v/>
      </c>
      <c r="BJ49" s="39">
        <f>BI49*1.03</f>
        <v/>
      </c>
      <c r="BK49" s="39">
        <f>BJ49*1.03</f>
        <v/>
      </c>
      <c r="BL49" s="39">
        <f>BK49*1.03</f>
        <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27"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P50" s="102" t="inlineStr">
        <is>
          <t>Monthly F</t>
        </is>
      </c>
      <c r="AQ50" s="12" t="n">
        <v>1</v>
      </c>
      <c r="AR50" s="14">
        <f>IF($AP50="Annual",1,IF($AP50="Monthly F",12,IF($AP50="Monthly V",AQ50*12,IF($AP50="One-Time",1,AQ50*12))))</f>
        <v/>
      </c>
      <c r="AS50" s="14">
        <f t="array" ref="AS50">IFERROR(_xlfn.IFS(VALUE(MID(AS$5,6,1))&gt;$D$2,0,$AP50="Annual",1,AR50=12,12,$AP50="Monthly V",AR50*(1+$BD$2),$AP50="Monthly F",12,$AP50="One-Time",0),AR50*(1+$BD$2))</f>
        <v/>
      </c>
      <c r="AT50" s="14">
        <f t="array" ref="AT50">IFERROR(_xlfn.IFS(VALUE(MID(AT$5,6,1))&gt;$D$2,0,$AP50="Annual",1,AS50=12,12,$AP50="Monthly V",AS50*(1+$BD$2),$AP50="Monthly F",12,$AP50="One-Time",0),AS50*(1+$BD$2))</f>
        <v/>
      </c>
      <c r="AU50" s="14">
        <f t="array" ref="AU50">IFERROR(_xlfn.IFS(VALUE(MID(AU$5,6,1))&gt;$D$2,0,$AP50="Annual",1,AT50=12,12,$AP50="Monthly V",AT50*(1+$BD$2),$AP50="Monthly F",12,$AP50="One-Time",0),AT50*(1+$BD$2))</f>
        <v/>
      </c>
      <c r="AV50" s="14">
        <f t="array" ref="AV50">IFERROR(_xlfn.IFS(VALUE(MID(AV$5,6,1))&gt;$D$2,0,$AP50="Annual",1,AU50=12,12,$AP50="Monthly V",AU50*(1+$BD$2),$AP50="Monthly F",12,$AP50="One-Time",0),AU50*(1+$BD$2))</f>
        <v/>
      </c>
      <c r="AW50" s="14">
        <f t="array" ref="AW50">IFERROR(_xlfn.IFS(VALUE(MID(AW$5,6,1))&gt;$D$2,0,$AP50="Annual",1,AV50=12,12,$AP50="Monthly V",AV50*(1+$BD$2),$AP50="Monthly F",12,$AP50="One-Time",0),AV50*(1+$BD$2))</f>
        <v/>
      </c>
      <c r="AX50" s="14">
        <f t="array" ref="AX50">IFERROR(_xlfn.IFS(VALUE(MID(AX$5,6,1))&gt;$D$2,0,$AP50="Annual",1,AW50=12,12,$AP50="Monthly V",AW50*(1+$BD$2),$AP50="Monthly F",12,$AP50="One-Time",0),AW50*(1+$BD$2))</f>
        <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PIN Management JHA Debit Processing</t>
        </is>
      </c>
      <c r="BC50" s="38" t="inlineStr">
        <is>
          <t>Card Processing Solutions (CPS)</t>
        </is>
      </c>
      <c r="BD50" s="36" t="n">
        <v>150</v>
      </c>
      <c r="BE50" s="21">
        <f>BF50/12</f>
        <v/>
      </c>
      <c r="BF50" s="39">
        <f>IFERROR(AR50*$BD50,0)</f>
        <v/>
      </c>
      <c r="BG50" s="39">
        <f>IFERROR(AS50*$BD50,0)</f>
        <v/>
      </c>
      <c r="BH50" s="39">
        <f>IFERROR(AT50*$BD50,0)</f>
        <v/>
      </c>
      <c r="BI50" s="39">
        <f>BH50*1.03</f>
        <v/>
      </c>
      <c r="BJ50" s="39">
        <f>BI50*1.03</f>
        <v/>
      </c>
      <c r="BK50" s="39">
        <f>BJ50*1.03</f>
        <v/>
      </c>
      <c r="BL50" s="39">
        <f>BK50*1.03</f>
        <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P51" s="102" t="inlineStr">
        <is>
          <t>Monthly F</t>
        </is>
      </c>
      <c r="AQ51" s="12" t="n">
        <v>1</v>
      </c>
      <c r="AR51" s="14">
        <f>IF($AP51="Annual",1,IF($AP51="Monthly F",12,IF($AP51="Monthly V",AQ51*12,IF($AP51="One-Time",1,AQ51*12))))</f>
        <v/>
      </c>
      <c r="AS51" s="14">
        <f t="array" ref="AS51">IFERROR(_xlfn.IFS(VALUE(MID(AS$5,6,1))&gt;$D$2,0,$AP51="Annual",1,AR51=12,12,$AP51="Monthly V",AR51*(1+$BD$2),$AP51="Monthly F",12,$AP51="One-Time",0),AR51*(1+$BD$2))</f>
        <v/>
      </c>
      <c r="AT51" s="14">
        <f t="array" ref="AT51">IFERROR(_xlfn.IFS(VALUE(MID(AT$5,6,1))&gt;$D$2,0,$AP51="Annual",1,AS51=12,12,$AP51="Monthly V",AS51*(1+$BD$2),$AP51="Monthly F",12,$AP51="One-Time",0),AS51*(1+$BD$2))</f>
        <v/>
      </c>
      <c r="AU51" s="14">
        <f t="array" ref="AU51">IFERROR(_xlfn.IFS(VALUE(MID(AU$5,6,1))&gt;$D$2,0,$AP51="Annual",1,AT51=12,12,$AP51="Monthly V",AT51*(1+$BD$2),$AP51="Monthly F",12,$AP51="One-Time",0),AT51*(1+$BD$2))</f>
        <v/>
      </c>
      <c r="AV51" s="14">
        <f t="array" ref="AV51">IFERROR(_xlfn.IFS(VALUE(MID(AV$5,6,1))&gt;$D$2,0,$AP51="Annual",1,AU51=12,12,$AP51="Monthly V",AU51*(1+$BD$2),$AP51="Monthly F",12,$AP51="One-Time",0),AU51*(1+$BD$2))</f>
        <v/>
      </c>
      <c r="AW51" s="14">
        <f t="array" ref="AW51">IFERROR(_xlfn.IFS(VALUE(MID(AW$5,6,1))&gt;$D$2,0,$AP51="Annual",1,AV51=12,12,$AP51="Monthly V",AV51*(1+$BD$2),$AP51="Monthly F",12,$AP51="One-Time",0),AV51*(1+$BD$2))</f>
        <v/>
      </c>
      <c r="AX51" s="14">
        <f t="array" ref="AX51">IFERROR(_xlfn.IFS(VALUE(MID(AX$5,6,1))&gt;$D$2,0,$AP51="Annual",1,AW51=12,12,$AP51="Monthly V",AW51*(1+$BD$2),$AP51="Monthly F",12,$AP51="One-Time",0),AW51*(1+$BD$2))</f>
        <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Two-Way Connect Cardholder Alerts JHA Debit Processing</t>
        </is>
      </c>
      <c r="BC51" s="38" t="inlineStr">
        <is>
          <t>Card Processing Solutions (CPS)</t>
        </is>
      </c>
      <c r="BD51" s="36" t="n">
        <v>50</v>
      </c>
      <c r="BE51" s="21">
        <f>BF51/12</f>
        <v/>
      </c>
      <c r="BF51" s="39">
        <f>IFERROR(AR51*$BD51,0)</f>
        <v/>
      </c>
      <c r="BG51" s="39">
        <f>IFERROR(AS51*$BD51,0)</f>
        <v/>
      </c>
      <c r="BH51" s="39">
        <f>IFERROR(AT51*$BD51,0)</f>
        <v/>
      </c>
      <c r="BI51" s="39">
        <f>BH51*1.03</f>
        <v/>
      </c>
      <c r="BJ51" s="39">
        <f>BI51*1.03</f>
        <v/>
      </c>
      <c r="BK51" s="39">
        <f>BJ51*1.03</f>
        <v/>
      </c>
      <c r="BL51" s="39">
        <f>BK51*1.03</f>
        <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27"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P52" s="102" t="inlineStr">
        <is>
          <t>Monthly F</t>
        </is>
      </c>
      <c r="AQ52" s="12" t="n">
        <v>1</v>
      </c>
      <c r="AR52" s="14">
        <f>IF($AP52="Annual",1,IF($AP52="Monthly F",12,IF($AP52="Monthly V",AQ52*12,IF($AP52="One-Time",1,AQ52*12))))</f>
        <v/>
      </c>
      <c r="AS52" s="14">
        <f t="array" ref="AS52">IFERROR(_xlfn.IFS(VALUE(MID(AS$5,6,1))&gt;$D$2,0,$AP52="Annual",1,AR52=12,12,$AP52="Monthly V",AR52*(1+$BD$2),$AP52="Monthly F",12,$AP52="One-Time",0),AR52*(1+$BD$2))</f>
        <v/>
      </c>
      <c r="AT52" s="14">
        <f t="array" ref="AT52">IFERROR(_xlfn.IFS(VALUE(MID(AT$5,6,1))&gt;$D$2,0,$AP52="Annual",1,AS52=12,12,$AP52="Monthly V",AS52*(1+$BD$2),$AP52="Monthly F",12,$AP52="One-Time",0),AS52*(1+$BD$2))</f>
        <v/>
      </c>
      <c r="AU52" s="14">
        <f t="array" ref="AU52">IFERROR(_xlfn.IFS(VALUE(MID(AU$5,6,1))&gt;$D$2,0,$AP52="Annual",1,AT52=12,12,$AP52="Monthly V",AT52*(1+$BD$2),$AP52="Monthly F",12,$AP52="One-Time",0),AT52*(1+$BD$2))</f>
        <v/>
      </c>
      <c r="AV52" s="14">
        <f t="array" ref="AV52">IFERROR(_xlfn.IFS(VALUE(MID(AV$5,6,1))&gt;$D$2,0,$AP52="Annual",1,AU52=12,12,$AP52="Monthly V",AU52*(1+$BD$2),$AP52="Monthly F",12,$AP52="One-Time",0),AU52*(1+$BD$2))</f>
        <v/>
      </c>
      <c r="AW52" s="14">
        <f t="array" ref="AW52">IFERROR(_xlfn.IFS(VALUE(MID(AW$5,6,1))&gt;$D$2,0,$AP52="Annual",1,AV52=12,12,$AP52="Monthly V",AV52*(1+$BD$2),$AP52="Monthly F",12,$AP52="One-Time",0),AV52*(1+$BD$2))</f>
        <v/>
      </c>
      <c r="AX52" s="14">
        <f t="array" ref="AX52">IFERROR(_xlfn.IFS(VALUE(MID(AX$5,6,1))&gt;$D$2,0,$AP52="Annual",1,AW52=12,12,$AP52="Monthly V",AW52*(1+$BD$2),$AP52="Monthly F",12,$AP52="One-Time",0),AW52*(1+$BD$2))</f>
        <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Full-Service Chargeback Dispute Processing JHA Debit Processing</t>
        </is>
      </c>
      <c r="BC52" s="38" t="inlineStr">
        <is>
          <t>Card Processing Solutions (CPS)</t>
        </is>
      </c>
      <c r="BD52" s="36" t="n">
        <v>150</v>
      </c>
      <c r="BE52" s="21">
        <f>BF52/12</f>
        <v/>
      </c>
      <c r="BF52" s="39">
        <f>IFERROR(AR52*$BD52,0)</f>
        <v/>
      </c>
      <c r="BG52" s="39">
        <f>IFERROR(AS52*$BD52,0)</f>
        <v/>
      </c>
      <c r="BH52" s="39">
        <f>IFERROR(AT52*$BD52,0)</f>
        <v/>
      </c>
      <c r="BI52" s="39">
        <f>BH52*1.03</f>
        <v/>
      </c>
      <c r="BJ52" s="39">
        <f>BI52*1.03</f>
        <v/>
      </c>
      <c r="BK52" s="39">
        <f>BJ52*1.03</f>
        <v/>
      </c>
      <c r="BL52" s="39">
        <f>BK52*1.03</f>
        <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27"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P53" s="102" t="inlineStr">
        <is>
          <t>Monthly F</t>
        </is>
      </c>
      <c r="AQ53" s="12" t="n">
        <v>0</v>
      </c>
      <c r="AR53" s="14">
        <f>IF($AP53="Annual",1,IF($AP53="Monthly F",12,IF($AP53="Monthly V",AQ53*12,IF($AP53="One-Time",1,AQ53*12))))</f>
        <v/>
      </c>
      <c r="AS53" s="14">
        <f t="array" ref="AS53">IFERROR(_xlfn.IFS(VALUE(MID(AS$5,6,1))&gt;$D$2,0,$AP53="Annual",1,AR53=12,12,$AP53="Monthly V",AR53*(1+$BD$2),$AP53="Monthly F",12,$AP53="One-Time",0),AR53*(1+$BD$2))</f>
        <v/>
      </c>
      <c r="AT53" s="14">
        <f t="array" ref="AT53">IFERROR(_xlfn.IFS(VALUE(MID(AT$5,6,1))&gt;$D$2,0,$AP53="Annual",1,AS53=12,12,$AP53="Monthly V",AS53*(1+$BD$2),$AP53="Monthly F",12,$AP53="One-Time",0),AS53*(1+$BD$2))</f>
        <v/>
      </c>
      <c r="AU53" s="14">
        <f t="array" ref="AU53">IFERROR(_xlfn.IFS(VALUE(MID(AU$5,6,1))&gt;$D$2,0,$AP53="Annual",1,AT53=12,12,$AP53="Monthly V",AT53*(1+$BD$2),$AP53="Monthly F",12,$AP53="One-Time",0),AT53*(1+$BD$2))</f>
        <v/>
      </c>
      <c r="AV53" s="14">
        <f t="array" ref="AV53">IFERROR(_xlfn.IFS(VALUE(MID(AV$5,6,1))&gt;$D$2,0,$AP53="Annual",1,AU53=12,12,$AP53="Monthly V",AU53*(1+$BD$2),$AP53="Monthly F",12,$AP53="One-Time",0),AU53*(1+$BD$2))</f>
        <v/>
      </c>
      <c r="AW53" s="14">
        <f t="array" ref="AW53">IFERROR(_xlfn.IFS(VALUE(MID(AW$5,6,1))&gt;$D$2,0,$AP53="Annual",1,AV53=12,12,$AP53="Monthly V",AV53*(1+$BD$2),$AP53="Monthly F",12,$AP53="One-Time",0),AV53*(1+$BD$2))</f>
        <v/>
      </c>
      <c r="AX53" s="14">
        <f t="array" ref="AX53">IFERROR(_xlfn.IFS(VALUE(MID(AX$5,6,1))&gt;$D$2,0,$AP53="Annual",1,AW53=12,12,$AP53="Monthly V",AW53*(1+$BD$2),$AP53="Monthly F",12,$AP53="One-Time",0),AW53*(1+$BD$2))</f>
        <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Full-Service Disputes Digital SSO Support JHA Debit Processing</t>
        </is>
      </c>
      <c r="BC53" s="38" t="inlineStr">
        <is>
          <t>Card Processing Solutions (CPS)</t>
        </is>
      </c>
      <c r="BD53" s="36" t="n">
        <v>100</v>
      </c>
      <c r="BE53" s="21">
        <f>BF53/12</f>
        <v/>
      </c>
      <c r="BF53" s="39">
        <f>IFERROR(AR53*$BD53,0)</f>
        <v/>
      </c>
      <c r="BG53" s="39">
        <f>IFERROR(AS53*$BD53,0)</f>
        <v/>
      </c>
      <c r="BH53" s="39">
        <f>IFERROR(AT53*$BD53,0)</f>
        <v/>
      </c>
      <c r="BI53" s="39">
        <f>BH53*1.03</f>
        <v/>
      </c>
      <c r="BJ53" s="39">
        <f>BI53*1.03</f>
        <v/>
      </c>
      <c r="BK53" s="39">
        <f>BJ53*1.03</f>
        <v/>
      </c>
      <c r="BL53" s="39">
        <f>BK53*1.03</f>
        <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5.75" customHeight="1" thickBot="1">
      <c r="B54" s="141" t="n"/>
      <c r="C54" s="24" t="n"/>
      <c r="D54" s="147" t="n"/>
      <c r="E54" s="142" t="n"/>
      <c r="F54" s="14" t="n"/>
      <c r="G54" s="14" t="n"/>
      <c r="H54" s="14" t="n"/>
      <c r="I54" s="14" t="n"/>
      <c r="J54" s="14" t="n"/>
      <c r="K54" s="14" t="n"/>
      <c r="L54" s="14" t="n"/>
      <c r="M54" s="14" t="n"/>
      <c r="N54" s="24" t="n"/>
      <c r="O54" s="127"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P54" s="102" t="n"/>
      <c r="AQ54" s="12" t="n"/>
      <c r="AR54" s="14" t="n"/>
      <c r="AS54" s="14" t="n"/>
      <c r="AT54" s="14" t="n"/>
      <c r="AU54" s="14" t="n"/>
      <c r="AV54" s="14" t="n"/>
      <c r="AW54" s="14" t="n"/>
      <c r="AX54" s="14" t="n"/>
      <c r="AY54" s="14" t="n"/>
      <c r="AZ54" s="14" t="n"/>
      <c r="BA54" s="125" t="n"/>
      <c r="BB54" s="148" t="n"/>
      <c r="BC54" s="38" t="n"/>
      <c r="BD54" s="36" t="n"/>
      <c r="BE54" s="21" t="n"/>
      <c r="BF54" s="39" t="n"/>
      <c r="BG54" s="39" t="n"/>
      <c r="BH54" s="39" t="n"/>
      <c r="BI54" s="39">
        <f>BH54*1.03</f>
        <v/>
      </c>
      <c r="BJ54" s="39">
        <f>BI54*1.03</f>
        <v/>
      </c>
      <c r="BK54" s="39">
        <f>BJ54*1.03</f>
        <v/>
      </c>
      <c r="BL54" s="39">
        <f>BK54*1.03</f>
        <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5.75" customHeight="1" thickBot="1">
      <c r="B55" s="280" t="inlineStr">
        <is>
          <t>Recurring Monthly and Annual Fees - Non-Bundle REQUIRED Third Parties</t>
        </is>
      </c>
      <c r="C55" s="267" t="n"/>
      <c r="D55" s="267" t="n"/>
      <c r="E55" s="267" t="n"/>
      <c r="F55" s="267" t="n"/>
      <c r="G55" s="267" t="n"/>
      <c r="H55" s="267" t="n"/>
      <c r="I55" s="267" t="n"/>
      <c r="J55" s="267" t="n"/>
      <c r="K55" s="267" t="n"/>
      <c r="L55" s="267" t="n"/>
      <c r="M55" s="267" t="n"/>
      <c r="N55" s="267" t="n"/>
      <c r="O55" s="267" t="n"/>
      <c r="P55" s="267" t="n"/>
      <c r="Q55" s="267" t="n"/>
      <c r="R55" s="267" t="n"/>
      <c r="S55" s="267" t="n"/>
      <c r="T55" s="267" t="n"/>
      <c r="U55" s="267" t="n"/>
      <c r="V55" s="267" t="n"/>
      <c r="W55" s="267" t="n"/>
      <c r="X55" s="267" t="n"/>
      <c r="Y55" s="267" t="n"/>
      <c r="Z55" s="267" t="n"/>
      <c r="AA55" s="267" t="n"/>
      <c r="AB55" s="267" t="n"/>
      <c r="AC55" s="267" t="n"/>
      <c r="AD55" s="267" t="n"/>
      <c r="AE55" s="267" t="n"/>
      <c r="AF55" s="267" t="n"/>
      <c r="AG55" s="267" t="n"/>
      <c r="AH55" s="267" t="n"/>
      <c r="AI55" s="267" t="n"/>
      <c r="AJ55" s="267" t="n"/>
      <c r="AK55" s="267" t="n"/>
      <c r="AL55" s="267" t="n"/>
      <c r="AM55" s="267" t="n"/>
      <c r="AN55" s="281" t="n"/>
      <c r="AP55" s="102" t="inlineStr">
        <is>
          <t>Monthly F</t>
        </is>
      </c>
      <c r="AQ55" s="12" t="n">
        <v>0</v>
      </c>
      <c r="AR55" s="14">
        <f>IF($AP55="Annual",1,IF($AP55="Monthly F",12,IF($AP55="Monthly V",AQ55*12,IF($AP55="One-Time",1,AQ55*12))))</f>
        <v/>
      </c>
      <c r="AS55" s="14">
        <f t="array" ref="AS55">IFERROR(_xlfn.IFS(VALUE(MID(AS$5,6,1))&gt;$D$2,0,$AP55="Annual",1,AR55=12,12,$AP55="Monthly V",AR55*(1+$BD$2),$AP55="Monthly F",12,$AP55="One-Time",0),AR55*(1+$BD$2))</f>
        <v/>
      </c>
      <c r="AT55" s="14">
        <f t="array" ref="AT55">IFERROR(_xlfn.IFS(VALUE(MID(AT$5,6,1))&gt;$D$2,0,$AP55="Annual",1,AS55=12,12,$AP55="Monthly V",AS55*(1+$BD$2),$AP55="Monthly F",12,$AP55="One-Time",0),AS55*(1+$BD$2))</f>
        <v/>
      </c>
      <c r="AU55" s="14">
        <f t="array" ref="AU55">IFERROR(_xlfn.IFS(VALUE(MID(AU$5,6,1))&gt;$D$2,0,$AP55="Annual",1,AT55=12,12,$AP55="Monthly V",AT55*(1+$BD$2),$AP55="Monthly F",12,$AP55="One-Time",0),AT55*(1+$BD$2))</f>
        <v/>
      </c>
      <c r="AV55" s="14">
        <f t="array" ref="AV55">IFERROR(_xlfn.IFS(VALUE(MID(AV$5,6,1))&gt;$D$2,0,$AP55="Annual",1,AU55=12,12,$AP55="Monthly V",AU55*(1+$BD$2),$AP55="Monthly F",12,$AP55="One-Time",0),AU55*(1+$BD$2))</f>
        <v/>
      </c>
      <c r="AW55" s="14">
        <f t="array" ref="AW55">IFERROR(_xlfn.IFS(VALUE(MID(AW$5,6,1))&gt;$D$2,0,$AP55="Annual",1,AV55=12,12,$AP55="Monthly V",AV55*(1+$BD$2),$AP55="Monthly F",12,$AP55="One-Time",0),AV55*(1+$BD$2))</f>
        <v/>
      </c>
      <c r="AX55" s="14">
        <f t="array" ref="AX55">IFERROR(_xlfn.IFS(VALUE(MID(AX$5,6,1))&gt;$D$2,0,$AP55="Annual",1,AW55=12,12,$AP55="Monthly V",AW55*(1+$BD$2),$AP55="Monthly F",12,$AP55="One-Time",0),AW55*(1+$BD$2))</f>
        <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MyCardRules JHA Debit Processing</t>
        </is>
      </c>
      <c r="BC55" s="38" t="inlineStr">
        <is>
          <t>Card Processing Solutions (CPS)</t>
        </is>
      </c>
      <c r="BD55" s="36" t="n">
        <v>250</v>
      </c>
      <c r="BE55" s="21">
        <f>BF55/12</f>
        <v/>
      </c>
      <c r="BF55" s="39">
        <f>IFERROR(AR55*$BD55,0)</f>
        <v/>
      </c>
      <c r="BG55" s="39">
        <f>IFERROR(AS55*$BD55,0)</f>
        <v/>
      </c>
      <c r="BH55" s="39">
        <f>IFERROR(AT55*$BD55,0)</f>
        <v/>
      </c>
      <c r="BI55" s="39">
        <f>BH55*1.03</f>
        <v/>
      </c>
      <c r="BJ55" s="39">
        <f>BI55*1.03</f>
        <v/>
      </c>
      <c r="BK55" s="39">
        <f>BJ55*1.03</f>
        <v/>
      </c>
      <c r="BL55" s="39">
        <f>BK55*1.03</f>
        <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88" t="n"/>
      <c r="C56" s="189" t="n"/>
      <c r="D56" s="189" t="n"/>
      <c r="E56" s="189" t="n"/>
      <c r="F56" s="189" t="n"/>
      <c r="G56" s="189" t="n"/>
      <c r="H56" s="189" t="n"/>
      <c r="I56" s="189" t="n"/>
      <c r="J56" s="189" t="n"/>
      <c r="K56" s="189" t="n"/>
      <c r="L56" s="189" t="n"/>
      <c r="M56" s="189"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90" t="n"/>
      <c r="AP56" s="102" t="inlineStr">
        <is>
          <t>Monthly F</t>
        </is>
      </c>
      <c r="AQ56" s="12" t="n">
        <v>1</v>
      </c>
      <c r="AR56" s="14">
        <f>IF($AP56="Annual",1,IF($AP56="Monthly F",12,IF($AP56="Monthly V",AQ56*12,IF($AP56="One-Time",1,AQ56*12))))</f>
        <v/>
      </c>
      <c r="AS56" s="14">
        <f t="array" ref="AS56">IFERROR(_xlfn.IFS(VALUE(MID(AS$5,6,1))&gt;$D$2,0,$AP56="Annual",1,AR56=12,12,$AP56="Monthly V",AR56*(1+$BD$2),$AP56="Monthly F",12,$AP56="One-Time",0),AR56*(1+$BD$2))</f>
        <v/>
      </c>
      <c r="AT56" s="14">
        <f t="array" ref="AT56">IFERROR(_xlfn.IFS(VALUE(MID(AT$5,6,1))&gt;$D$2,0,$AP56="Annual",1,AS56=12,12,$AP56="Monthly V",AS56*(1+$BD$2),$AP56="Monthly F",12,$AP56="One-Time",0),AS56*(1+$BD$2))</f>
        <v/>
      </c>
      <c r="AU56" s="14">
        <f t="array" ref="AU56">IFERROR(_xlfn.IFS(VALUE(MID(AU$5,6,1))&gt;$D$2,0,$AP56="Annual",1,AT56=12,12,$AP56="Monthly V",AT56*(1+$BD$2),$AP56="Monthly F",12,$AP56="One-Time",0),AT56*(1+$BD$2))</f>
        <v/>
      </c>
      <c r="AV56" s="14">
        <f t="array" ref="AV56">IFERROR(_xlfn.IFS(VALUE(MID(AV$5,6,1))&gt;$D$2,0,$AP56="Annual",1,AU56=12,12,$AP56="Monthly V",AU56*(1+$BD$2),$AP56="Monthly F",12,$AP56="One-Time",0),AU56*(1+$BD$2))</f>
        <v/>
      </c>
      <c r="AW56" s="14">
        <f t="array" ref="AW56">IFERROR(_xlfn.IFS(VALUE(MID(AW$5,6,1))&gt;$D$2,0,$AP56="Annual",1,AV56=12,12,$AP56="Monthly V",AV56*(1+$BD$2),$AP56="Monthly F",12,$AP56="One-Time",0),AV56*(1+$BD$2))</f>
        <v/>
      </c>
      <c r="AX56" s="14">
        <f t="array" ref="AX56">IFERROR(_xlfn.IFS(VALUE(MID(AX$5,6,1))&gt;$D$2,0,$AP56="Annual",1,AW56=12,12,$AP56="Monthly V",AW56*(1+$BD$2),$AP56="Monthly F",12,$AP56="One-Time",0),AW56*(1+$BD$2))</f>
        <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JHA Hot Card Center JHA Debit Processing</t>
        </is>
      </c>
      <c r="BC56" s="38" t="inlineStr">
        <is>
          <t>Card Processing Solutions (CPS)</t>
        </is>
      </c>
      <c r="BD56" s="36" t="n">
        <v>100</v>
      </c>
      <c r="BE56" s="21">
        <f>BF56/12</f>
        <v/>
      </c>
      <c r="BF56" s="39">
        <f>IFERROR(AR56*$BD56,0)</f>
        <v/>
      </c>
      <c r="BG56" s="39">
        <f>IFERROR(AS56*$BD56,0)</f>
        <v/>
      </c>
      <c r="BH56" s="39">
        <f>IFERROR(AT56*$BD56,0)</f>
        <v/>
      </c>
      <c r="BI56" s="39">
        <f>BH56*1.03</f>
        <v/>
      </c>
      <c r="BJ56" s="39">
        <f>BI56*1.03</f>
        <v/>
      </c>
      <c r="BK56" s="39">
        <f>BJ56*1.03</f>
        <v/>
      </c>
      <c r="BL56" s="39">
        <f>BK56*1.03</f>
        <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88"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90" t="n"/>
      <c r="AP57" s="102" t="n"/>
      <c r="AQ57" s="12" t="n"/>
      <c r="AR57" s="14" t="n"/>
      <c r="AS57" s="14" t="n"/>
      <c r="AT57" s="14" t="n"/>
      <c r="AU57" s="14" t="n"/>
      <c r="AV57" s="14" t="n"/>
      <c r="AW57" s="14" t="n"/>
      <c r="AX57" s="14" t="n"/>
      <c r="AY57" s="14" t="n"/>
      <c r="AZ57" s="14" t="n"/>
      <c r="BA57" s="125" t="n"/>
      <c r="BB57" s="148" t="n"/>
      <c r="BC57" s="38" t="n"/>
      <c r="BD57" s="36" t="n"/>
      <c r="BE57" s="21" t="n"/>
      <c r="BF57" s="39" t="n"/>
      <c r="BG57" s="39" t="n"/>
      <c r="BH57" s="39" t="n"/>
      <c r="BI57" s="39">
        <f>BH57*1.03</f>
        <v/>
      </c>
      <c r="BJ57" s="39">
        <f>BI57*1.03</f>
        <v/>
      </c>
      <c r="BK57" s="39">
        <f>BJ57*1.03</f>
        <v/>
      </c>
      <c r="BL57" s="39">
        <f>BK57*1.03</f>
        <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27" t="inlineStr">
        <is>
          <t>Network Services (connectivity to data center)</t>
        </is>
      </c>
      <c r="P58" s="13" t="n"/>
      <c r="Q58" s="20" t="n">
        <v>2088</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P58" s="102" t="inlineStr">
        <is>
          <t>Monthly F</t>
        </is>
      </c>
      <c r="AQ58" s="12" t="n">
        <v>1</v>
      </c>
      <c r="AR58" s="14">
        <f>IF($AP58="Annual",1,IF($AP58="Monthly F",12,IF($AP58="Monthly V",AQ58*12,IF($AP58="One-Time",1,AQ58*12))))</f>
        <v/>
      </c>
      <c r="AS58" s="14">
        <f t="array" ref="AS58">IFERROR(_xlfn.IFS(VALUE(MID(AS$5,6,1))&gt;$D$2,0,$AP58="Annual",1,AR58=12,12,$AP58="Monthly V",AR58*(1+$BD$2),$AP58="Monthly F",12,$AP58="One-Time",0),AR58*(1+$BD$2))</f>
        <v/>
      </c>
      <c r="AT58" s="14">
        <f t="array" ref="AT58">IFERROR(_xlfn.IFS(VALUE(MID(AT$5,6,1))&gt;$D$2,0,$AP58="Annual",1,AS58=12,12,$AP58="Monthly V",AS58*(1+$BD$2),$AP58="Monthly F",12,$AP58="One-Time",0),AS58*(1+$BD$2))</f>
        <v/>
      </c>
      <c r="AU58" s="14">
        <f t="array" ref="AU58">IFERROR(_xlfn.IFS(VALUE(MID(AU$5,6,1))&gt;$D$2,0,$AP58="Annual",1,AT58=12,12,$AP58="Monthly V",AT58*(1+$BD$2),$AP58="Monthly F",12,$AP58="One-Time",0),AT58*(1+$BD$2))</f>
        <v/>
      </c>
      <c r="AV58" s="14">
        <f t="array" ref="AV58">IFERROR(_xlfn.IFS(VALUE(MID(AV$5,6,1))&gt;$D$2,0,$AP58="Annual",1,AU58=12,12,$AP58="Monthly V",AU58*(1+$BD$2),$AP58="Monthly F",12,$AP58="One-Time",0),AU58*(1+$BD$2))</f>
        <v/>
      </c>
      <c r="AW58" s="14">
        <f t="array" ref="AW58">IFERROR(_xlfn.IFS(VALUE(MID(AW$5,6,1))&gt;$D$2,0,$AP58="Annual",1,AV58=12,12,$AP58="Monthly V",AV58*(1+$BD$2),$AP58="Monthly F",12,$AP58="One-Time",0),AV58*(1+$BD$2))</f>
        <v/>
      </c>
      <c r="AX58" s="14">
        <f t="array" ref="AX58">IFERROR(_xlfn.IFS(VALUE(MID(AX$5,6,1))&gt;$D$2,0,$AP58="Annual",1,AW58=12,12,$AP58="Monthly V",AW58*(1+$BD$2),$AP58="Monthly F",12,$AP58="One-Time",0),AW58*(1+$BD$2))</f>
        <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Payrailz Bundle</t>
        </is>
      </c>
      <c r="BC58" s="38" t="inlineStr">
        <is>
          <t>Payrailz</t>
        </is>
      </c>
      <c r="BD58" s="36" t="n">
        <v>350</v>
      </c>
      <c r="BE58" s="21">
        <f>BF58/12</f>
        <v/>
      </c>
      <c r="BF58" s="39">
        <f>IFERROR(AR58*$BD58,0)</f>
        <v/>
      </c>
      <c r="BG58" s="39">
        <f>IFERROR(AS58*$BD58,0)</f>
        <v/>
      </c>
      <c r="BH58" s="39">
        <f>IFERROR(AT58*$BD58,0)</f>
        <v/>
      </c>
      <c r="BI58" s="39">
        <f>BH58*1.03</f>
        <v/>
      </c>
      <c r="BJ58" s="39">
        <f>BI58*1.03</f>
        <v/>
      </c>
      <c r="BK58" s="39">
        <f>BJ58*1.03</f>
        <v/>
      </c>
      <c r="BL58" s="39">
        <f>BK58*1.03</f>
        <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27"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P59" s="102" t="inlineStr">
        <is>
          <t>Monthly V</t>
        </is>
      </c>
      <c r="AQ59" s="12" t="n">
        <v>500</v>
      </c>
      <c r="AR59" s="14">
        <f>IF($AP59="Annual",1,IF($AP59="Monthly F",12,IF($AP59="Monthly V",AQ59*12,IF($AP59="One-Time",1,AQ59*12))))</f>
        <v/>
      </c>
      <c r="AS59" s="14">
        <f t="array" ref="AS59">IFERROR(_xlfn.IFS(VALUE(MID(AS$5,6,1))&gt;$D$2,0,$AP59="Annual",1,AR59=12,12,$AP59="Monthly V",AR59*(1+$BD$2),$AP59="Monthly F",12,$AP59="One-Time",0),AR59*(1+$BD$2))</f>
        <v/>
      </c>
      <c r="AT59" s="14">
        <f t="array" ref="AT59">IFERROR(_xlfn.IFS(VALUE(MID(AT$5,6,1))&gt;$D$2,0,$AP59="Annual",1,AS59=12,12,$AP59="Monthly V",AS59*(1+$BD$2),$AP59="Monthly F",12,$AP59="One-Time",0),AS59*(1+$BD$2))</f>
        <v/>
      </c>
      <c r="AU59" s="14">
        <f t="array" ref="AU59">IFERROR(_xlfn.IFS(VALUE(MID(AU$5,6,1))&gt;$D$2,0,$AP59="Annual",1,AT59=12,12,$AP59="Monthly V",AT59*(1+$BD$2),$AP59="Monthly F",12,$AP59="One-Time",0),AT59*(1+$BD$2))</f>
        <v/>
      </c>
      <c r="AV59" s="14">
        <f t="array" ref="AV59">IFERROR(_xlfn.IFS(VALUE(MID(AV$5,6,1))&gt;$D$2,0,$AP59="Annual",1,AU59=12,12,$AP59="Monthly V",AU59*(1+$BD$2),$AP59="Monthly F",12,$AP59="One-Time",0),AU59*(1+$BD$2))</f>
        <v/>
      </c>
      <c r="AW59" s="14">
        <f t="array" ref="AW59">IFERROR(_xlfn.IFS(VALUE(MID(AW$5,6,1))&gt;$D$2,0,$AP59="Annual",1,AV59=12,12,$AP59="Monthly V",AV59*(1+$BD$2),$AP59="Monthly F",12,$AP59="One-Time",0),AV59*(1+$BD$2))</f>
        <v/>
      </c>
      <c r="AX59" s="14">
        <f t="array" ref="AX59">IFERROR(_xlfn.IFS(VALUE(MID(AX$5,6,1))&gt;$D$2,0,$AP59="Annual",1,AW59=12,12,$AP59="Monthly V",AW59*(1+$BD$2),$AP59="Monthly F",12,$AP59="One-Time",0),AW59*(1+$BD$2))</f>
        <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Payrailz Bundle Transactions</t>
        </is>
      </c>
      <c r="BC59" s="38" t="inlineStr">
        <is>
          <t>Payrailz</t>
        </is>
      </c>
      <c r="BD59" s="36" t="n">
        <v>0.62</v>
      </c>
      <c r="BE59" s="21">
        <f>BF59/12</f>
        <v/>
      </c>
      <c r="BF59" s="39">
        <f>IFERROR(AR59*$BD59,0)</f>
        <v/>
      </c>
      <c r="BG59" s="39">
        <f>IFERROR(AS59*$BD59,0)</f>
        <v/>
      </c>
      <c r="BH59" s="39">
        <f>IFERROR(AT59*$BD59,0)</f>
        <v/>
      </c>
      <c r="BI59" s="39">
        <f>BH59*1.03</f>
        <v/>
      </c>
      <c r="BJ59" s="39">
        <f>BI59*1.03</f>
        <v/>
      </c>
      <c r="BK59" s="39">
        <f>BJ59*1.03</f>
        <v/>
      </c>
      <c r="BL59" s="39">
        <f>BK59*1.03</f>
        <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27"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P60" s="102" t="inlineStr">
        <is>
          <t>Monthly F</t>
        </is>
      </c>
      <c r="AQ60" s="12" t="n">
        <v>1</v>
      </c>
      <c r="AR60" s="14">
        <f>IF($AP60="Annual",1,IF($AP60="Monthly F",12,IF($AP60="Monthly V",AQ60*12,IF($AP60="One-Time",1,AQ60*12))))</f>
        <v/>
      </c>
      <c r="AS60" s="14">
        <f t="array" ref="AS60">IFERROR(_xlfn.IFS(VALUE(MID(AS$5,6,1))&gt;$D$2,0,$AP60="Annual",1,AR60=12,12,$AP60="Monthly V",AR60*(1+$BD$2),$AP60="Monthly F",12,$AP60="One-Time",0),AR60*(1+$BD$2))</f>
        <v/>
      </c>
      <c r="AT60" s="14">
        <f t="array" ref="AT60">IFERROR(_xlfn.IFS(VALUE(MID(AT$5,6,1))&gt;$D$2,0,$AP60="Annual",1,AS60=12,12,$AP60="Monthly V",AS60*(1+$BD$2),$AP60="Monthly F",12,$AP60="One-Time",0),AS60*(1+$BD$2))</f>
        <v/>
      </c>
      <c r="AU60" s="14">
        <f t="array" ref="AU60">IFERROR(_xlfn.IFS(VALUE(MID(AU$5,6,1))&gt;$D$2,0,$AP60="Annual",1,AT60=12,12,$AP60="Monthly V",AT60*(1+$BD$2),$AP60="Monthly F",12,$AP60="One-Time",0),AT60*(1+$BD$2))</f>
        <v/>
      </c>
      <c r="AV60" s="14">
        <f t="array" ref="AV60">IFERROR(_xlfn.IFS(VALUE(MID(AV$5,6,1))&gt;$D$2,0,$AP60="Annual",1,AU60=12,12,$AP60="Monthly V",AU60*(1+$BD$2),$AP60="Monthly F",12,$AP60="One-Time",0),AU60*(1+$BD$2))</f>
        <v/>
      </c>
      <c r="AW60" s="14">
        <f t="array" ref="AW60">IFERROR(_xlfn.IFS(VALUE(MID(AW$5,6,1))&gt;$D$2,0,$AP60="Annual",1,AV60=12,12,$AP60="Monthly V",AV60*(1+$BD$2),$AP60="Monthly F",12,$AP60="One-Time",0),AV60*(1+$BD$2))</f>
        <v/>
      </c>
      <c r="AX60" s="14">
        <f t="array" ref="AX60">IFERROR(_xlfn.IFS(VALUE(MID(AX$5,6,1))&gt;$D$2,0,$AP60="Annual",1,AW60=12,12,$AP60="Monthly V",AW60*(1+$BD$2),$AP60="Monthly F",12,$AP60="One-Time",0),AW60*(1+$BD$2))</f>
        <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Centurion Connectivity for Jack Henry Hosted Services</t>
        </is>
      </c>
      <c r="BC60" s="38" t="inlineStr">
        <is>
          <t>Centurion</t>
        </is>
      </c>
      <c r="BD60" s="36" t="n">
        <v>200</v>
      </c>
      <c r="BE60" s="21">
        <f>BF60/12</f>
        <v/>
      </c>
      <c r="BF60" s="39">
        <f>IFERROR(AR60*$BD60,0)</f>
        <v/>
      </c>
      <c r="BG60" s="39">
        <f>IFERROR(AS60*$BD60,0)</f>
        <v/>
      </c>
      <c r="BH60" s="39">
        <f>IFERROR(AT60*$BD60,0)</f>
        <v/>
      </c>
      <c r="BI60" s="39">
        <f>BH60*1.03</f>
        <v/>
      </c>
      <c r="BJ60" s="39">
        <f>BI60*1.03</f>
        <v/>
      </c>
      <c r="BK60" s="39">
        <f>BJ60*1.03</f>
        <v/>
      </c>
      <c r="BL60" s="39">
        <f>BK60*1.03</f>
        <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P61" s="102" t="inlineStr">
        <is>
          <t>Monthly V</t>
        </is>
      </c>
      <c r="AQ61" s="12" t="n">
        <v>5000</v>
      </c>
      <c r="AR61" s="14">
        <f>IF($AP61="Annual",1,IF($AP61="Monthly F",12,IF($AP61="Monthly V",AQ61*12,IF($AP61="One-Time",1,AQ61*12))))</f>
        <v/>
      </c>
      <c r="AS61" s="14">
        <f t="array" ref="AS61">IFERROR(_xlfn.IFS(VALUE(MID(AS$5,6,1))&gt;$D$2,0,$AP61="Annual",1,AR61=12,12,$AP61="Monthly V",AR61*(1+$BD$2),$AP61="Monthly F",12,$AP61="One-Time",0),AR61*(1+$BD$2))</f>
        <v/>
      </c>
      <c r="AT61" s="14">
        <f t="array" ref="AT61">IFERROR(_xlfn.IFS(VALUE(MID(AT$5,6,1))&gt;$D$2,0,$AP61="Annual",1,AS61=12,12,$AP61="Monthly V",AS61*(1+$BD$2),$AP61="Monthly F",12,$AP61="One-Time",0),AS61*(1+$BD$2))</f>
        <v/>
      </c>
      <c r="AU61" s="14">
        <f t="array" ref="AU61">IFERROR(_xlfn.IFS(VALUE(MID(AU$5,6,1))&gt;$D$2,0,$AP61="Annual",1,AT61=12,12,$AP61="Monthly V",AT61*(1+$BD$2),$AP61="Monthly F",12,$AP61="One-Time",0),AT61*(1+$BD$2))</f>
        <v/>
      </c>
      <c r="AV61" s="14">
        <f t="array" ref="AV61">IFERROR(_xlfn.IFS(VALUE(MID(AV$5,6,1))&gt;$D$2,0,$AP61="Annual",1,AU61=12,12,$AP61="Monthly V",AU61*(1+$BD$2),$AP61="Monthly F",12,$AP61="One-Time",0),AU61*(1+$BD$2))</f>
        <v/>
      </c>
      <c r="AW61" s="14">
        <f t="array" ref="AW61">IFERROR(_xlfn.IFS(VALUE(MID(AW$5,6,1))&gt;$D$2,0,$AP61="Annual",1,AV61=12,12,$AP61="Monthly V",AV61*(1+$BD$2),$AP61="Monthly F",12,$AP61="One-Time",0),AV61*(1+$BD$2))</f>
        <v/>
      </c>
      <c r="AX61" s="14">
        <f t="array" ref="AX61">IFERROR(_xlfn.IFS(VALUE(MID(AX$5,6,1))&gt;$D$2,0,$AP61="Annual",1,AW61=12,12,$AP61="Monthly V",AW61*(1+$BD$2),$AP61="Monthly F",12,$AP61="One-Time",0),AW61*(1+$BD$2))</f>
        <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Jack Henry Financial Crimes Defender Enterprise</t>
        </is>
      </c>
      <c r="BC61" s="38" t="inlineStr">
        <is>
          <t>Fraud</t>
        </is>
      </c>
      <c r="BD61" s="36" t="n">
        <v>0.7164</v>
      </c>
      <c r="BE61" s="21">
        <f>BF61/12</f>
        <v/>
      </c>
      <c r="BF61" s="39">
        <f>IFERROR(AR61*$BD61,0)</f>
        <v/>
      </c>
      <c r="BG61" s="39">
        <f>IFERROR(AS61*$BD61,0)</f>
        <v/>
      </c>
      <c r="BH61" s="39">
        <f>IFERROR(AT61*$BD61,0)</f>
        <v/>
      </c>
      <c r="BI61" s="39">
        <f>BH61*1.03</f>
        <v/>
      </c>
      <c r="BJ61" s="39">
        <f>BI61*1.03</f>
        <v/>
      </c>
      <c r="BK61" s="39">
        <f>BJ61*1.03</f>
        <v/>
      </c>
      <c r="BL61" s="39">
        <f>BK61*1.03</f>
        <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27"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P62" s="102" t="inlineStr">
        <is>
          <t>Monthly F</t>
        </is>
      </c>
      <c r="AQ62" s="12" t="n">
        <v>1</v>
      </c>
      <c r="AR62" s="14">
        <f>IF($AP62="Annual",1,IF($AP62="Monthly F",12,IF($AP62="Monthly V",AQ62*12,IF($AP62="One-Time",1,AQ62*12))))</f>
        <v/>
      </c>
      <c r="AS62" s="14">
        <f t="array" ref="AS62">IFERROR(_xlfn.IFS(VALUE(MID(AS$5,6,1))&gt;$D$2,0,$AP62="Annual",1,AR62=12,12,$AP62="Monthly V",AR62*(1+$BD$2),$AP62="Monthly F",12,$AP62="One-Time",0),AR62*(1+$BD$2))</f>
        <v/>
      </c>
      <c r="AT62" s="14">
        <f t="array" ref="AT62">IFERROR(_xlfn.IFS(VALUE(MID(AT$5,6,1))&gt;$D$2,0,$AP62="Annual",1,AS62=12,12,$AP62="Monthly V",AS62*(1+$BD$2),$AP62="Monthly F",12,$AP62="One-Time",0),AS62*(1+$BD$2))</f>
        <v/>
      </c>
      <c r="AU62" s="14">
        <f t="array" ref="AU62">IFERROR(_xlfn.IFS(VALUE(MID(AU$5,6,1))&gt;$D$2,0,$AP62="Annual",1,AT62=12,12,$AP62="Monthly V",AT62*(1+$BD$2),$AP62="Monthly F",12,$AP62="One-Time",0),AT62*(1+$BD$2))</f>
        <v/>
      </c>
      <c r="AV62" s="14">
        <f t="array" ref="AV62">IFERROR(_xlfn.IFS(VALUE(MID(AV$5,6,1))&gt;$D$2,0,$AP62="Annual",1,AU62=12,12,$AP62="Monthly V",AU62*(1+$BD$2),$AP62="Monthly F",12,$AP62="One-Time",0),AU62*(1+$BD$2))</f>
        <v/>
      </c>
      <c r="AW62" s="14">
        <f t="array" ref="AW62">IFERROR(_xlfn.IFS(VALUE(MID(AW$5,6,1))&gt;$D$2,0,$AP62="Annual",1,AV62=12,12,$AP62="Monthly V",AV62*(1+$BD$2),$AP62="Monthly F",12,$AP62="One-Time",0),AV62*(1+$BD$2))</f>
        <v/>
      </c>
      <c r="AX62" s="14">
        <f t="array" ref="AX62">IFERROR(_xlfn.IFS(VALUE(MID(AX$5,6,1))&gt;$D$2,0,$AP62="Annual",1,AW62=12,12,$AP62="Monthly V",AW62*(1+$BD$2),$AP62="Monthly F",12,$AP62="One-Time",0),AW62*(1+$BD$2))</f>
        <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Jack Henry Financial Crimes Defender Real-time Payments Zelle Initial</t>
        </is>
      </c>
      <c r="BC62" s="38" t="inlineStr">
        <is>
          <t>Fraud</t>
        </is>
      </c>
      <c r="BD62" s="36" t="n">
        <v>2000</v>
      </c>
      <c r="BE62" s="21">
        <f>BF62/12</f>
        <v/>
      </c>
      <c r="BF62" s="39">
        <f>IFERROR(AR62*$BD62,0)</f>
        <v/>
      </c>
      <c r="BG62" s="39">
        <f>IFERROR(AS62*$BD62,0)</f>
        <v/>
      </c>
      <c r="BH62" s="39">
        <f>IFERROR(AT62*$BD62,0)</f>
        <v/>
      </c>
      <c r="BI62" s="39">
        <f>BH62*1.03</f>
        <v/>
      </c>
      <c r="BJ62" s="39">
        <f>BI62*1.03</f>
        <v/>
      </c>
      <c r="BK62" s="39">
        <f>BJ62*1.03</f>
        <v/>
      </c>
      <c r="BL62" s="39">
        <f>BK62*1.03</f>
        <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27"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P63" s="102" t="inlineStr">
        <is>
          <t>Monthly V</t>
        </is>
      </c>
      <c r="AQ63" s="12" t="n">
        <v>5000</v>
      </c>
      <c r="AR63" s="14">
        <f>IF($AP63="Annual",1,IF($AP63="Monthly F",12,IF($AP63="Monthly V",AQ63*12,IF($AP63="One-Time",1,AQ63*12))))</f>
        <v/>
      </c>
      <c r="AS63" s="14">
        <f t="array" ref="AS63">IFERROR(_xlfn.IFS(VALUE(MID(AS$5,6,1))&gt;$D$2,0,$AP63="Annual",1,AR63=12,12,$AP63="Monthly V",AR63*(1+$BD$2),$AP63="Monthly F",12,$AP63="One-Time",0),AR63*(1+$BD$2))</f>
        <v/>
      </c>
      <c r="AT63" s="14">
        <f t="array" ref="AT63">IFERROR(_xlfn.IFS(VALUE(MID(AT$5,6,1))&gt;$D$2,0,$AP63="Annual",1,AS63=12,12,$AP63="Monthly V",AS63*(1+$BD$2),$AP63="Monthly F",12,$AP63="One-Time",0),AS63*(1+$BD$2))</f>
        <v/>
      </c>
      <c r="AU63" s="14">
        <f t="array" ref="AU63">IFERROR(_xlfn.IFS(VALUE(MID(AU$5,6,1))&gt;$D$2,0,$AP63="Annual",1,AT63=12,12,$AP63="Monthly V",AT63*(1+$BD$2),$AP63="Monthly F",12,$AP63="One-Time",0),AT63*(1+$BD$2))</f>
        <v/>
      </c>
      <c r="AV63" s="14">
        <f t="array" ref="AV63">IFERROR(_xlfn.IFS(VALUE(MID(AV$5,6,1))&gt;$D$2,0,$AP63="Annual",1,AU63=12,12,$AP63="Monthly V",AU63*(1+$BD$2),$AP63="Monthly F",12,$AP63="One-Time",0),AU63*(1+$BD$2))</f>
        <v/>
      </c>
      <c r="AW63" s="14">
        <f t="array" ref="AW63">IFERROR(_xlfn.IFS(VALUE(MID(AW$5,6,1))&gt;$D$2,0,$AP63="Annual",1,AV63=12,12,$AP63="Monthly V",AV63*(1+$BD$2),$AP63="Monthly F",12,$AP63="One-Time",0),AV63*(1+$BD$2))</f>
        <v/>
      </c>
      <c r="AX63" s="14">
        <f t="array" ref="AX63">IFERROR(_xlfn.IFS(VALUE(MID(AX$5,6,1))&gt;$D$2,0,$AP63="Annual",1,AW63=12,12,$AP63="Monthly V",AW63*(1+$BD$2),$AP63="Monthly F",12,$AP63="One-Time",0),AW63*(1+$BD$2))</f>
        <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jhaEnterprise Workflow</t>
        </is>
      </c>
      <c r="BC63" s="38" t="inlineStr">
        <is>
          <t>jhaEnterprise Workflow</t>
        </is>
      </c>
      <c r="BD63" s="36" t="n">
        <v>0.1605</v>
      </c>
      <c r="BE63" s="21">
        <f>BF63/12</f>
        <v/>
      </c>
      <c r="BF63" s="39">
        <f>IFERROR(AR63*$BD63,0)</f>
        <v/>
      </c>
      <c r="BG63" s="39">
        <f>IFERROR(AS63*$BD63,0)</f>
        <v/>
      </c>
      <c r="BH63" s="39">
        <f>IFERROR(AT63*$BD63,0)</f>
        <v/>
      </c>
      <c r="BI63" s="39">
        <f>BH63*1.03</f>
        <v/>
      </c>
      <c r="BJ63" s="39">
        <f>BI63*1.03</f>
        <v/>
      </c>
      <c r="BK63" s="39">
        <f>BJ63*1.03</f>
        <v/>
      </c>
      <c r="BL63" s="39">
        <f>BK63*1.03</f>
        <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27"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P64" s="102" t="inlineStr">
        <is>
          <t>Monthly V</t>
        </is>
      </c>
      <c r="AQ64" s="12" t="n">
        <v>5000</v>
      </c>
      <c r="AR64" s="14">
        <f>IF($AP64="Annual",1,IF($AP64="Monthly F",12,IF($AP64="Monthly V",AQ64*12,IF($AP64="One-Time",1,AQ64*12))))</f>
        <v/>
      </c>
      <c r="AS64" s="14">
        <f t="array" ref="AS64">IFERROR(_xlfn.IFS(VALUE(MID(AS$5,6,1))&gt;$D$2,0,$AP64="Annual",1,AR64=12,12,$AP64="Monthly V",AR64*(1+$BD$2),$AP64="Monthly F",12,$AP64="One-Time",0),AR64*(1+$BD$2))</f>
        <v/>
      </c>
      <c r="AT64" s="14">
        <f t="array" ref="AT64">IFERROR(_xlfn.IFS(VALUE(MID(AT$5,6,1))&gt;$D$2,0,$AP64="Annual",1,AS64=12,12,$AP64="Monthly V",AS64*(1+$BD$2),$AP64="Monthly F",12,$AP64="One-Time",0),AS64*(1+$BD$2))</f>
        <v/>
      </c>
      <c r="AU64" s="14">
        <f t="array" ref="AU64">IFERROR(_xlfn.IFS(VALUE(MID(AU$5,6,1))&gt;$D$2,0,$AP64="Annual",1,AT64=12,12,$AP64="Monthly V",AT64*(1+$BD$2),$AP64="Monthly F",12,$AP64="One-Time",0),AT64*(1+$BD$2))</f>
        <v/>
      </c>
      <c r="AV64" s="14">
        <f t="array" ref="AV64">IFERROR(_xlfn.IFS(VALUE(MID(AV$5,6,1))&gt;$D$2,0,$AP64="Annual",1,AU64=12,12,$AP64="Monthly V",AU64*(1+$BD$2),$AP64="Monthly F",12,$AP64="One-Time",0),AU64*(1+$BD$2))</f>
        <v/>
      </c>
      <c r="AW64" s="14">
        <f t="array" ref="AW64">IFERROR(_xlfn.IFS(VALUE(MID(AW$5,6,1))&gt;$D$2,0,$AP64="Annual",1,AV64=12,12,$AP64="Monthly V",AV64*(1+$BD$2),$AP64="Monthly F",12,$AP64="One-Time",0),AV64*(1+$BD$2))</f>
        <v/>
      </c>
      <c r="AX64" s="14">
        <f t="array" ref="AX64">IFERROR(_xlfn.IFS(VALUE(MID(AX$5,6,1))&gt;$D$2,0,$AP64="Annual",1,AW64=12,12,$AP64="Monthly V",AW64*(1+$BD$2),$AP64="Monthly F",12,$AP64="One-Time",0),AW64*(1+$BD$2))</f>
        <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jhaEnterprise Workflow Synergy</t>
        </is>
      </c>
      <c r="BC64" s="38" t="inlineStr">
        <is>
          <t>jhaEnterprise Workflow</t>
        </is>
      </c>
      <c r="BD64" s="36" t="n">
        <v>0.1605</v>
      </c>
      <c r="BE64" s="21">
        <f>BF64/12</f>
        <v/>
      </c>
      <c r="BF64" s="39">
        <f>IFERROR(AR64*$BD64,0)</f>
        <v/>
      </c>
      <c r="BG64" s="39">
        <f>IFERROR(AS64*$BD64,0)</f>
        <v/>
      </c>
      <c r="BH64" s="39">
        <f>IFERROR(AT64*$BD64,0)</f>
        <v/>
      </c>
      <c r="BI64" s="39">
        <f>BH64*1.03</f>
        <v/>
      </c>
      <c r="BJ64" s="39">
        <f>BI64*1.03</f>
        <v/>
      </c>
      <c r="BK64" s="39">
        <f>BJ64*1.03</f>
        <v/>
      </c>
      <c r="BL64" s="39">
        <f>BK64*1.03</f>
        <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27"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P65" s="102" t="inlineStr">
        <is>
          <t>Monthly F</t>
        </is>
      </c>
      <c r="AQ65" s="12" t="n">
        <v>1</v>
      </c>
      <c r="AR65" s="14">
        <f>IF($AP65="Annual",1,IF($AP65="Monthly F",12,IF($AP65="Monthly V",AQ65*12,IF($AP65="One-Time",1,AQ65*12))))</f>
        <v/>
      </c>
      <c r="AS65" s="14">
        <f t="array" ref="AS65">IFERROR(_xlfn.IFS(VALUE(MID(AS$5,6,1))&gt;$D$2,0,$AP65="Annual",1,AR65=12,12,$AP65="Monthly V",AR65*(1+$BD$2),$AP65="Monthly F",12,$AP65="One-Time",0),AR65*(1+$BD$2))</f>
        <v/>
      </c>
      <c r="AT65" s="14">
        <f t="array" ref="AT65">IFERROR(_xlfn.IFS(VALUE(MID(AT$5,6,1))&gt;$D$2,0,$AP65="Annual",1,AS65=12,12,$AP65="Monthly V",AS65*(1+$BD$2),$AP65="Monthly F",12,$AP65="One-Time",0),AS65*(1+$BD$2))</f>
        <v/>
      </c>
      <c r="AU65" s="14">
        <f t="array" ref="AU65">IFERROR(_xlfn.IFS(VALUE(MID(AU$5,6,1))&gt;$D$2,0,$AP65="Annual",1,AT65=12,12,$AP65="Monthly V",AT65*(1+$BD$2),$AP65="Monthly F",12,$AP65="One-Time",0),AT65*(1+$BD$2))</f>
        <v/>
      </c>
      <c r="AV65" s="14">
        <f t="array" ref="AV65">IFERROR(_xlfn.IFS(VALUE(MID(AV$5,6,1))&gt;$D$2,0,$AP65="Annual",1,AU65=12,12,$AP65="Monthly V",AU65*(1+$BD$2),$AP65="Monthly F",12,$AP65="One-Time",0),AU65*(1+$BD$2))</f>
        <v/>
      </c>
      <c r="AW65" s="14">
        <f t="array" ref="AW65">IFERROR(_xlfn.IFS(VALUE(MID(AW$5,6,1))&gt;$D$2,0,$AP65="Annual",1,AV65=12,12,$AP65="Monthly V",AV65*(1+$BD$2),$AP65="Monthly F",12,$AP65="One-Time",0),AV65*(1+$BD$2))</f>
        <v/>
      </c>
      <c r="AX65" s="14">
        <f t="array" ref="AX65">IFERROR(_xlfn.IFS(VALUE(MID(AX$5,6,1))&gt;$D$2,0,$AP65="Annual",1,AW65=12,12,$AP65="Monthly V",AW65*(1+$BD$2),$AP65="Monthly F",12,$AP65="One-Time",0),AW65*(1+$BD$2))</f>
        <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jConnect</t>
        </is>
      </c>
      <c r="BC65" s="38" t="inlineStr">
        <is>
          <t>jConnect</t>
        </is>
      </c>
      <c r="BD65" s="36" t="n">
        <v>1000</v>
      </c>
      <c r="BE65" s="21">
        <f>BF65/12</f>
        <v/>
      </c>
      <c r="BF65" s="39">
        <f>IFERROR(AR65*$BD65,0)</f>
        <v/>
      </c>
      <c r="BG65" s="39">
        <f>IFERROR(AS65*$BD65,0)</f>
        <v/>
      </c>
      <c r="BH65" s="39">
        <f>IFERROR(AT65*$BD65,0)</f>
        <v/>
      </c>
      <c r="BI65" s="39">
        <f>BH65*1.03</f>
        <v/>
      </c>
      <c r="BJ65" s="39">
        <f>BI65*1.03</f>
        <v/>
      </c>
      <c r="BK65" s="39">
        <f>BJ65*1.03</f>
        <v/>
      </c>
      <c r="BL65" s="39">
        <f>BK65*1.03</f>
        <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27"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P66" s="102" t="inlineStr">
        <is>
          <t>Monthly F</t>
        </is>
      </c>
      <c r="AQ66" s="12" t="n">
        <v>1</v>
      </c>
      <c r="AR66" s="14">
        <f>IF($AP66="Annual",1,IF($AP66="Monthly F",12,IF($AP66="Monthly V",AQ66*12,IF($AP66="One-Time",1,AQ66*12))))</f>
        <v/>
      </c>
      <c r="AS66" s="14">
        <f t="array" ref="AS66">IFERROR(_xlfn.IFS(VALUE(MID(AS$5,6,1))&gt;$D$2,0,$AP66="Annual",1,AR66=12,12,$AP66="Monthly V",AR66*(1+$BD$2),$AP66="Monthly F",12,$AP66="One-Time",0),AR66*(1+$BD$2))</f>
        <v/>
      </c>
      <c r="AT66" s="14">
        <f t="array" ref="AT66">IFERROR(_xlfn.IFS(VALUE(MID(AT$5,6,1))&gt;$D$2,0,$AP66="Annual",1,AS66=12,12,$AP66="Monthly V",AS66*(1+$BD$2),$AP66="Monthly F",12,$AP66="One-Time",0),AS66*(1+$BD$2))</f>
        <v/>
      </c>
      <c r="AU66" s="14">
        <f t="array" ref="AU66">IFERROR(_xlfn.IFS(VALUE(MID(AU$5,6,1))&gt;$D$2,0,$AP66="Annual",1,AT66=12,12,$AP66="Monthly V",AT66*(1+$BD$2),$AP66="Monthly F",12,$AP66="One-Time",0),AT66*(1+$BD$2))</f>
        <v/>
      </c>
      <c r="AV66" s="14">
        <f t="array" ref="AV66">IFERROR(_xlfn.IFS(VALUE(MID(AV$5,6,1))&gt;$D$2,0,$AP66="Annual",1,AU66=12,12,$AP66="Monthly V",AU66*(1+$BD$2),$AP66="Monthly F",12,$AP66="One-Time",0),AU66*(1+$BD$2))</f>
        <v/>
      </c>
      <c r="AW66" s="14">
        <f t="array" ref="AW66">IFERROR(_xlfn.IFS(VALUE(MID(AW$5,6,1))&gt;$D$2,0,$AP66="Annual",1,AV66=12,12,$AP66="Monthly V",AV66*(1+$BD$2),$AP66="Monthly F",12,$AP66="One-Time",0),AV66*(1+$BD$2))</f>
        <v/>
      </c>
      <c r="AX66" s="14">
        <f t="array" ref="AX66">IFERROR(_xlfn.IFS(VALUE(MID(AX$5,6,1))&gt;$D$2,0,$AP66="Annual",1,AW66=12,12,$AP66="Monthly V",AW66*(1+$BD$2),$AP66="Monthly F",12,$AP66="One-Time",0),AW66*(1+$BD$2))</f>
        <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Jack Henry Loyalty and Rewards Support - Enterprise</t>
        </is>
      </c>
      <c r="BC66" s="38" t="inlineStr">
        <is>
          <t>Core</t>
        </is>
      </c>
      <c r="BD66" s="36" t="n">
        <v>500</v>
      </c>
      <c r="BE66" s="21">
        <f>BF66/12</f>
        <v/>
      </c>
      <c r="BF66" s="39">
        <f>IFERROR(AR66*$BD66,0)</f>
        <v/>
      </c>
      <c r="BG66" s="39">
        <f>IFERROR(AS66*$BD66,0)</f>
        <v/>
      </c>
      <c r="BH66" s="39">
        <f>IFERROR(AT66*$BD66,0)</f>
        <v/>
      </c>
      <c r="BI66" s="39">
        <f>BH66*1.03</f>
        <v/>
      </c>
      <c r="BJ66" s="39">
        <f>BI66*1.03</f>
        <v/>
      </c>
      <c r="BK66" s="39">
        <f>BJ66*1.03</f>
        <v/>
      </c>
      <c r="BL66" s="39">
        <f>BK66*1.03</f>
        <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27"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P67" s="102" t="inlineStr">
        <is>
          <t>Monthly F</t>
        </is>
      </c>
      <c r="AQ67" s="12" t="n">
        <v>1</v>
      </c>
      <c r="AR67" s="14">
        <f>IF($AP67="Annual",1,IF($AP67="Monthly F",12,IF($AP67="Monthly V",AQ67*12,IF($AP67="One-Time",1,AQ67*12))))</f>
        <v/>
      </c>
      <c r="AS67" s="14">
        <f t="array" ref="AS67">IFERROR(_xlfn.IFS(VALUE(MID(AS$5,6,1))&gt;$D$2,0,$AP67="Annual",1,AR67=12,12,$AP67="Monthly V",AR67*(1+$BD$2),$AP67="Monthly F",12,$AP67="One-Time",0),AR67*(1+$BD$2))</f>
        <v/>
      </c>
      <c r="AT67" s="14">
        <f t="array" ref="AT67">IFERROR(_xlfn.IFS(VALUE(MID(AT$5,6,1))&gt;$D$2,0,$AP67="Annual",1,AS67=12,12,$AP67="Monthly V",AS67*(1+$BD$2),$AP67="Monthly F",12,$AP67="One-Time",0),AS67*(1+$BD$2))</f>
        <v/>
      </c>
      <c r="AU67" s="14">
        <f t="array" ref="AU67">IFERROR(_xlfn.IFS(VALUE(MID(AU$5,6,1))&gt;$D$2,0,$AP67="Annual",1,AT67=12,12,$AP67="Monthly V",AT67*(1+$BD$2),$AP67="Monthly F",12,$AP67="One-Time",0),AT67*(1+$BD$2))</f>
        <v/>
      </c>
      <c r="AV67" s="14">
        <f t="array" ref="AV67">IFERROR(_xlfn.IFS(VALUE(MID(AV$5,6,1))&gt;$D$2,0,$AP67="Annual",1,AU67=12,12,$AP67="Monthly V",AU67*(1+$BD$2),$AP67="Monthly F",12,$AP67="One-Time",0),AU67*(1+$BD$2))</f>
        <v/>
      </c>
      <c r="AW67" s="14">
        <f t="array" ref="AW67">IFERROR(_xlfn.IFS(VALUE(MID(AW$5,6,1))&gt;$D$2,0,$AP67="Annual",1,AV67=12,12,$AP67="Monthly V",AV67*(1+$BD$2),$AP67="Monthly F",12,$AP67="One-Time",0),AV67*(1+$BD$2))</f>
        <v/>
      </c>
      <c r="AX67" s="14">
        <f t="array" ref="AX67">IFERROR(_xlfn.IFS(VALUE(MID(AX$5,6,1))&gt;$D$2,0,$AP67="Annual",1,AW67=12,12,$AP67="Monthly V",AW67*(1+$BD$2),$AP67="Monthly F",12,$AP67="One-Time",0),AW67*(1+$BD$2))</f>
        <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Jack Henry Loyalty and Rewards - Enterprise</t>
        </is>
      </c>
      <c r="BC67" s="38" t="inlineStr">
        <is>
          <t>Core</t>
        </is>
      </c>
      <c r="BD67" s="36" t="n">
        <v>1000</v>
      </c>
      <c r="BE67" s="21">
        <f>BF67/12</f>
        <v/>
      </c>
      <c r="BF67" s="39">
        <f>IFERROR(AR67*$BD67,0)</f>
        <v/>
      </c>
      <c r="BG67" s="39">
        <f>IFERROR(AS67*$BD67,0)</f>
        <v/>
      </c>
      <c r="BH67" s="39">
        <f>IFERROR(AT67*$BD67,0)</f>
        <v/>
      </c>
      <c r="BI67" s="39">
        <f>BH67*1.03</f>
        <v/>
      </c>
      <c r="BJ67" s="39">
        <f>BI67*1.03</f>
        <v/>
      </c>
      <c r="BK67" s="39">
        <f>BJ67*1.03</f>
        <v/>
      </c>
      <c r="BL67" s="39">
        <f>BK67*1.03</f>
        <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27"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P68" s="102" t="inlineStr">
        <is>
          <t>Monthly F</t>
        </is>
      </c>
      <c r="AQ68" s="12" t="n">
        <v>1</v>
      </c>
      <c r="AR68" s="14">
        <f>IF($AP68="Annual",1,IF($AP68="Monthly F",12,IF($AP68="Monthly V",AQ68*12,IF($AP68="One-Time",1,AQ68*12))))</f>
        <v/>
      </c>
      <c r="AS68" s="14">
        <f t="array" ref="AS68">IFERROR(_xlfn.IFS(VALUE(MID(AS$5,6,1))&gt;$D$2,0,$AP68="Annual",1,AR68=12,12,$AP68="Monthly V",AR68*(1+$BD$2),$AP68="Monthly F",12,$AP68="One-Time",0),AR68*(1+$BD$2))</f>
        <v/>
      </c>
      <c r="AT68" s="14">
        <f t="array" ref="AT68">IFERROR(_xlfn.IFS(VALUE(MID(AT$5,6,1))&gt;$D$2,0,$AP68="Annual",1,AS68=12,12,$AP68="Monthly V",AS68*(1+$BD$2),$AP68="Monthly F",12,$AP68="One-Time",0),AS68*(1+$BD$2))</f>
        <v/>
      </c>
      <c r="AU68" s="14">
        <f t="array" ref="AU68">IFERROR(_xlfn.IFS(VALUE(MID(AU$5,6,1))&gt;$D$2,0,$AP68="Annual",1,AT68=12,12,$AP68="Monthly V",AT68*(1+$BD$2),$AP68="Monthly F",12,$AP68="One-Time",0),AT68*(1+$BD$2))</f>
        <v/>
      </c>
      <c r="AV68" s="14">
        <f t="array" ref="AV68">IFERROR(_xlfn.IFS(VALUE(MID(AV$5,6,1))&gt;$D$2,0,$AP68="Annual",1,AU68=12,12,$AP68="Monthly V",AU68*(1+$BD$2),$AP68="Monthly F",12,$AP68="One-Time",0),AU68*(1+$BD$2))</f>
        <v/>
      </c>
      <c r="AW68" s="14">
        <f t="array" ref="AW68">IFERROR(_xlfn.IFS(VALUE(MID(AW$5,6,1))&gt;$D$2,0,$AP68="Annual",1,AV68=12,12,$AP68="Monthly V",AV68*(1+$BD$2),$AP68="Monthly F",12,$AP68="One-Time",0),AV68*(1+$BD$2))</f>
        <v/>
      </c>
      <c r="AX68" s="14">
        <f t="array" ref="AX68">IFERROR(_xlfn.IFS(VALUE(MID(AX$5,6,1))&gt;$D$2,0,$AP68="Annual",1,AW68=12,12,$AP68="Monthly V",AW68*(1+$BD$2),$AP68="Monthly F",12,$AP68="One-Time",0),AW68*(1+$BD$2))</f>
        <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Cognos BI Bundles</t>
        </is>
      </c>
      <c r="BC68" s="38" t="inlineStr">
        <is>
          <t>Cognos</t>
        </is>
      </c>
      <c r="BD68" s="36" t="n">
        <v>665</v>
      </c>
      <c r="BE68" s="21">
        <f>BF68/12</f>
        <v/>
      </c>
      <c r="BF68" s="39">
        <f>IFERROR(AR68*$BD68,0)</f>
        <v/>
      </c>
      <c r="BG68" s="39">
        <f>IFERROR(AS68*$BD68,0)</f>
        <v/>
      </c>
      <c r="BH68" s="39">
        <f>IFERROR(AT68*$BD68,0)</f>
        <v/>
      </c>
      <c r="BI68" s="39">
        <f>BH68*1.03</f>
        <v/>
      </c>
      <c r="BJ68" s="39">
        <f>BI68*1.03</f>
        <v/>
      </c>
      <c r="BK68" s="39">
        <f>BJ68*1.03</f>
        <v/>
      </c>
      <c r="BL68" s="39">
        <f>BK68*1.03</f>
        <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27"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P69" s="102" t="inlineStr">
        <is>
          <t>Monthly V</t>
        </is>
      </c>
      <c r="AQ69" s="12" t="n">
        <v>5000</v>
      </c>
      <c r="AR69" s="14">
        <f>IF($AP69="Annual",1,IF($AP69="Monthly F",12,IF($AP69="Monthly V",AQ69*12,IF($AP69="One-Time",1,AQ69*12))))</f>
        <v/>
      </c>
      <c r="AS69" s="14">
        <f t="array" ref="AS69">IFERROR(_xlfn.IFS(VALUE(MID(AS$5,6,1))&gt;$D$2,0,$AP69="Annual",1,AR69=12,12,$AP69="Monthly V",AR69*(1+$BD$2),$AP69="Monthly F",12,$AP69="One-Time",0),AR69*(1+$BD$2))</f>
        <v/>
      </c>
      <c r="AT69" s="14">
        <f t="array" ref="AT69">IFERROR(_xlfn.IFS(VALUE(MID(AT$5,6,1))&gt;$D$2,0,$AP69="Annual",1,AS69=12,12,$AP69="Monthly V",AS69*(1+$BD$2),$AP69="Monthly F",12,$AP69="One-Time",0),AS69*(1+$BD$2))</f>
        <v/>
      </c>
      <c r="AU69" s="14">
        <f t="array" ref="AU69">IFERROR(_xlfn.IFS(VALUE(MID(AU$5,6,1))&gt;$D$2,0,$AP69="Annual",1,AT69=12,12,$AP69="Monthly V",AT69*(1+$BD$2),$AP69="Monthly F",12,$AP69="One-Time",0),AT69*(1+$BD$2))</f>
        <v/>
      </c>
      <c r="AV69" s="14">
        <f t="array" ref="AV69">IFERROR(_xlfn.IFS(VALUE(MID(AV$5,6,1))&gt;$D$2,0,$AP69="Annual",1,AU69=12,12,$AP69="Monthly V",AU69*(1+$BD$2),$AP69="Monthly F",12,$AP69="One-Time",0),AU69*(1+$BD$2))</f>
        <v/>
      </c>
      <c r="AW69" s="14">
        <f t="array" ref="AW69">IFERROR(_xlfn.IFS(VALUE(MID(AW$5,6,1))&gt;$D$2,0,$AP69="Annual",1,AV69=12,12,$AP69="Monthly V",AV69*(1+$BD$2),$AP69="Monthly F",12,$AP69="One-Time",0),AV69*(1+$BD$2))</f>
        <v/>
      </c>
      <c r="AX69" s="14">
        <f t="array" ref="AX69">IFERROR(_xlfn.IFS(VALUE(MID(AX$5,6,1))&gt;$D$2,0,$AP69="Annual",1,AW69=12,12,$AP69="Monthly V",AW69*(1+$BD$2),$AP69="Monthly F",12,$AP69="One-Time",0),AW69*(1+$BD$2))</f>
        <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Cognos BI Data Dictionary jhaEnterprise Workflow</t>
        </is>
      </c>
      <c r="BC69" s="38" t="inlineStr">
        <is>
          <t>Cognos</t>
        </is>
      </c>
      <c r="BD69" s="36" t="n">
        <v>0.0158</v>
      </c>
      <c r="BE69" s="21">
        <f>BF69/12</f>
        <v/>
      </c>
      <c r="BF69" s="39">
        <f>IFERROR(AR69*$BD69,0)</f>
        <v/>
      </c>
      <c r="BG69" s="39">
        <f>IFERROR(AS69*$BD69,0)</f>
        <v/>
      </c>
      <c r="BH69" s="39">
        <f>IFERROR(AT69*$BD69,0)</f>
        <v/>
      </c>
      <c r="BI69" s="39">
        <f>BH69*1.03</f>
        <v/>
      </c>
      <c r="BJ69" s="39">
        <f>BI69*1.03</f>
        <v/>
      </c>
      <c r="BK69" s="39">
        <f>BJ69*1.03</f>
        <v/>
      </c>
      <c r="BL69" s="39">
        <f>BK69*1.03</f>
        <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P70" s="102" t="inlineStr">
        <is>
          <t>Monthly V</t>
        </is>
      </c>
      <c r="AQ70" s="12" t="n">
        <v>5000</v>
      </c>
      <c r="AR70" s="14">
        <f>IF($AP70="Annual",1,IF($AP70="Monthly F",12,IF($AP70="Monthly V",AQ70*12,IF($AP70="One-Time",1,AQ70*12))))</f>
        <v/>
      </c>
      <c r="AS70" s="14">
        <f t="array" ref="AS70">IFERROR(_xlfn.IFS(VALUE(MID(AS$5,6,1))&gt;$D$2,0,$AP70="Annual",1,AR70=12,12,$AP70="Monthly V",AR70*(1+$BD$2),$AP70="Monthly F",12,$AP70="One-Time",0),AR70*(1+$BD$2))</f>
        <v/>
      </c>
      <c r="AT70" s="14">
        <f t="array" ref="AT70">IFERROR(_xlfn.IFS(VALUE(MID(AT$5,6,1))&gt;$D$2,0,$AP70="Annual",1,AS70=12,12,$AP70="Monthly V",AS70*(1+$BD$2),$AP70="Monthly F",12,$AP70="One-Time",0),AS70*(1+$BD$2))</f>
        <v/>
      </c>
      <c r="AU70" s="14">
        <f t="array" ref="AU70">IFERROR(_xlfn.IFS(VALUE(MID(AU$5,6,1))&gt;$D$2,0,$AP70="Annual",1,AT70=12,12,$AP70="Monthly V",AT70*(1+$BD$2),$AP70="Monthly F",12,$AP70="One-Time",0),AT70*(1+$BD$2))</f>
        <v/>
      </c>
      <c r="AV70" s="14">
        <f t="array" ref="AV70">IFERROR(_xlfn.IFS(VALUE(MID(AV$5,6,1))&gt;$D$2,0,$AP70="Annual",1,AU70=12,12,$AP70="Monthly V",AU70*(1+$BD$2),$AP70="Monthly F",12,$AP70="One-Time",0),AU70*(1+$BD$2))</f>
        <v/>
      </c>
      <c r="AW70" s="14">
        <f t="array" ref="AW70">IFERROR(_xlfn.IFS(VALUE(MID(AW$5,6,1))&gt;$D$2,0,$AP70="Annual",1,AV70=12,12,$AP70="Monthly V",AV70*(1+$BD$2),$AP70="Monthly F",12,$AP70="One-Time",0),AV70*(1+$BD$2))</f>
        <v/>
      </c>
      <c r="AX70" s="14">
        <f t="array" ref="AX70">IFERROR(_xlfn.IFS(VALUE(MID(AX$5,6,1))&gt;$D$2,0,$AP70="Annual",1,AW70=12,12,$AP70="Monthly V",AW70*(1+$BD$2),$AP70="Monthly F",12,$AP70="One-Time",0),AW70*(1+$BD$2))</f>
        <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Cognos BI Data Dictionary Synapsys</t>
        </is>
      </c>
      <c r="BC70" s="38" t="inlineStr">
        <is>
          <t>Cognos</t>
        </is>
      </c>
      <c r="BD70" s="36" t="n">
        <v>0.0158</v>
      </c>
      <c r="BE70" s="21">
        <f>BF70/12</f>
        <v/>
      </c>
      <c r="BF70" s="39">
        <f>IFERROR(AR70*$BD70,0)</f>
        <v/>
      </c>
      <c r="BG70" s="39">
        <f>IFERROR(AS70*$BD70,0)</f>
        <v/>
      </c>
      <c r="BH70" s="39">
        <f>IFERROR(AT70*$BD70,0)</f>
        <v/>
      </c>
      <c r="BI70" s="39">
        <f>BH70*1.03</f>
        <v/>
      </c>
      <c r="BJ70" s="39">
        <f>BI70*1.03</f>
        <v/>
      </c>
      <c r="BK70" s="39">
        <f>BJ70*1.03</f>
        <v/>
      </c>
      <c r="BL70" s="39">
        <f>BK70*1.03</f>
        <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P71" s="102" t="inlineStr">
        <is>
          <t>Monthly V</t>
        </is>
      </c>
      <c r="AQ71" s="12" t="n">
        <v>5000</v>
      </c>
      <c r="AR71" s="14">
        <f>IF($AP71="Annual",1,IF($AP71="Monthly F",12,IF($AP71="Monthly V",AQ71*12,IF($AP71="One-Time",1,AQ71*12))))</f>
        <v/>
      </c>
      <c r="AS71" s="14">
        <f t="array" ref="AS71">IFERROR(_xlfn.IFS(VALUE(MID(AS$5,6,1))&gt;$D$2,0,$AP71="Annual",1,AR71=12,12,$AP71="Monthly V",AR71*(1+$BD$2),$AP71="Monthly F",12,$AP71="One-Time",0),AR71*(1+$BD$2))</f>
        <v/>
      </c>
      <c r="AT71" s="14">
        <f t="array" ref="AT71">IFERROR(_xlfn.IFS(VALUE(MID(AT$5,6,1))&gt;$D$2,0,$AP71="Annual",1,AS71=12,12,$AP71="Monthly V",AS71*(1+$BD$2),$AP71="Monthly F",12,$AP71="One-Time",0),AS71*(1+$BD$2))</f>
        <v/>
      </c>
      <c r="AU71" s="14">
        <f t="array" ref="AU71">IFERROR(_xlfn.IFS(VALUE(MID(AU$5,6,1))&gt;$D$2,0,$AP71="Annual",1,AT71=12,12,$AP71="Monthly V",AT71*(1+$BD$2),$AP71="Monthly F",12,$AP71="One-Time",0),AT71*(1+$BD$2))</f>
        <v/>
      </c>
      <c r="AV71" s="14">
        <f t="array" ref="AV71">IFERROR(_xlfn.IFS(VALUE(MID(AV$5,6,1))&gt;$D$2,0,$AP71="Annual",1,AU71=12,12,$AP71="Monthly V",AU71*(1+$BD$2),$AP71="Monthly F",12,$AP71="One-Time",0),AU71*(1+$BD$2))</f>
        <v/>
      </c>
      <c r="AW71" s="14">
        <f t="array" ref="AW71">IFERROR(_xlfn.IFS(VALUE(MID(AW$5,6,1))&gt;$D$2,0,$AP71="Annual",1,AV71=12,12,$AP71="Monthly V",AV71*(1+$BD$2),$AP71="Monthly F",12,$AP71="One-Time",0),AV71*(1+$BD$2))</f>
        <v/>
      </c>
      <c r="AX71" s="14">
        <f t="array" ref="AX71">IFERROR(_xlfn.IFS(VALUE(MID(AX$5,6,1))&gt;$D$2,0,$AP71="Annual",1,AW71=12,12,$AP71="Monthly V",AW71*(1+$BD$2),$AP71="Monthly F",12,$AP71="One-Time",0),AW71*(1+$BD$2))</f>
        <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Cognos BI Data Dictionary Synergy</t>
        </is>
      </c>
      <c r="BC71" s="38" t="inlineStr">
        <is>
          <t>Cognos</t>
        </is>
      </c>
      <c r="BD71" s="36" t="n">
        <v>0.0158</v>
      </c>
      <c r="BE71" s="21">
        <f>BF71/12</f>
        <v/>
      </c>
      <c r="BF71" s="39">
        <f>IFERROR(AR71*$BD71,0)</f>
        <v/>
      </c>
      <c r="BG71" s="39">
        <f>IFERROR(AS71*$BD71,0)</f>
        <v/>
      </c>
      <c r="BH71" s="39">
        <f>IFERROR(AT71*$BD71,0)</f>
        <v/>
      </c>
      <c r="BI71" s="39">
        <f>BH71*1.03</f>
        <v/>
      </c>
      <c r="BJ71" s="39">
        <f>BI71*1.03</f>
        <v/>
      </c>
      <c r="BK71" s="39">
        <f>BJ71*1.03</f>
        <v/>
      </c>
      <c r="BL71" s="39">
        <f>BK71*1.03</f>
        <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27"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P72" s="102" t="inlineStr">
        <is>
          <t>Monthly V</t>
        </is>
      </c>
      <c r="AQ72" s="12" t="n">
        <v>5000</v>
      </c>
      <c r="AR72" s="14">
        <f>IF($AP72="Annual",1,IF($AP72="Monthly F",12,IF($AP72="Monthly V",AQ72*12,IF($AP72="One-Time",1,AQ72*12))))</f>
        <v/>
      </c>
      <c r="AS72" s="14">
        <f t="array" ref="AS72">IFERROR(_xlfn.IFS(VALUE(MID(AS$5,6,1))&gt;$D$2,0,$AP72="Annual",1,AR72=12,12,$AP72="Monthly V",AR72*(1+$BD$2),$AP72="Monthly F",12,$AP72="One-Time",0),AR72*(1+$BD$2))</f>
        <v/>
      </c>
      <c r="AT72" s="14">
        <f t="array" ref="AT72">IFERROR(_xlfn.IFS(VALUE(MID(AT$5,6,1))&gt;$D$2,0,$AP72="Annual",1,AS72=12,12,$AP72="Monthly V",AS72*(1+$BD$2),$AP72="Monthly F",12,$AP72="One-Time",0),AS72*(1+$BD$2))</f>
        <v/>
      </c>
      <c r="AU72" s="14">
        <f t="array" ref="AU72">IFERROR(_xlfn.IFS(VALUE(MID(AU$5,6,1))&gt;$D$2,0,$AP72="Annual",1,AT72=12,12,$AP72="Monthly V",AT72*(1+$BD$2),$AP72="Monthly F",12,$AP72="One-Time",0),AT72*(1+$BD$2))</f>
        <v/>
      </c>
      <c r="AV72" s="14">
        <f t="array" ref="AV72">IFERROR(_xlfn.IFS(VALUE(MID(AV$5,6,1))&gt;$D$2,0,$AP72="Annual",1,AU72=12,12,$AP72="Monthly V",AU72*(1+$BD$2),$AP72="Monthly F",12,$AP72="One-Time",0),AU72*(1+$BD$2))</f>
        <v/>
      </c>
      <c r="AW72" s="14">
        <f t="array" ref="AW72">IFERROR(_xlfn.IFS(VALUE(MID(AW$5,6,1))&gt;$D$2,0,$AP72="Annual",1,AV72=12,12,$AP72="Monthly V",AV72*(1+$BD$2),$AP72="Monthly F",12,$AP72="One-Time",0),AV72*(1+$BD$2))</f>
        <v/>
      </c>
      <c r="AX72" s="14">
        <f t="array" ref="AX72">IFERROR(_xlfn.IFS(VALUE(MID(AX$5,6,1))&gt;$D$2,0,$AP72="Annual",1,AW72=12,12,$AP72="Monthly V",AW72*(1+$BD$2),$AP72="Monthly F",12,$AP72="One-Time",0),AW72*(1+$BD$2))</f>
        <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Cognos BI Data Dictionary Month-End(Silverlake)</t>
        </is>
      </c>
      <c r="BC72" s="38" t="inlineStr">
        <is>
          <t>Cognos</t>
        </is>
      </c>
      <c r="BD72" s="36" t="n">
        <v>0.0158</v>
      </c>
      <c r="BE72" s="21">
        <f>BF72/12</f>
        <v/>
      </c>
      <c r="BF72" s="39">
        <f>IFERROR(AR72*$BD72,0)</f>
        <v/>
      </c>
      <c r="BG72" s="39">
        <f>IFERROR(AS72*$BD72,0)</f>
        <v/>
      </c>
      <c r="BH72" s="39">
        <f>IFERROR(AT72*$BD72,0)</f>
        <v/>
      </c>
      <c r="BI72" s="39">
        <f>BH72*1.03</f>
        <v/>
      </c>
      <c r="BJ72" s="39">
        <f>BI72*1.03</f>
        <v/>
      </c>
      <c r="BK72" s="39">
        <f>BJ72*1.03</f>
        <v/>
      </c>
      <c r="BL72" s="39">
        <f>BK72*1.03</f>
        <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27"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P73" s="102" t="inlineStr">
        <is>
          <t>Monthly V</t>
        </is>
      </c>
      <c r="AQ73" s="12" t="n">
        <v>5000</v>
      </c>
      <c r="AR73" s="14">
        <f>IF($AP73="Annual",1,IF($AP73="Monthly F",12,IF($AP73="Monthly V",AQ73*12,IF($AP73="One-Time",1,AQ73*12))))</f>
        <v/>
      </c>
      <c r="AS73" s="14">
        <f t="array" ref="AS73">IFERROR(_xlfn.IFS(VALUE(MID(AS$5,6,1))&gt;$D$2,0,$AP73="Annual",1,AR73=12,12,$AP73="Monthly V",AR73*(1+$BD$2),$AP73="Monthly F",12,$AP73="One-Time",0),AR73*(1+$BD$2))</f>
        <v/>
      </c>
      <c r="AT73" s="14">
        <f t="array" ref="AT73">IFERROR(_xlfn.IFS(VALUE(MID(AT$5,6,1))&gt;$D$2,0,$AP73="Annual",1,AS73=12,12,$AP73="Monthly V",AS73*(1+$BD$2),$AP73="Monthly F",12,$AP73="One-Time",0),AS73*(1+$BD$2))</f>
        <v/>
      </c>
      <c r="AU73" s="14">
        <f t="array" ref="AU73">IFERROR(_xlfn.IFS(VALUE(MID(AU$5,6,1))&gt;$D$2,0,$AP73="Annual",1,AT73=12,12,$AP73="Monthly V",AT73*(1+$BD$2),$AP73="Monthly F",12,$AP73="One-Time",0),AT73*(1+$BD$2))</f>
        <v/>
      </c>
      <c r="AV73" s="14">
        <f t="array" ref="AV73">IFERROR(_xlfn.IFS(VALUE(MID(AV$5,6,1))&gt;$D$2,0,$AP73="Annual",1,AU73=12,12,$AP73="Monthly V",AU73*(1+$BD$2),$AP73="Monthly F",12,$AP73="One-Time",0),AU73*(1+$BD$2))</f>
        <v/>
      </c>
      <c r="AW73" s="14">
        <f t="array" ref="AW73">IFERROR(_xlfn.IFS(VALUE(MID(AW$5,6,1))&gt;$D$2,0,$AP73="Annual",1,AV73=12,12,$AP73="Monthly V",AV73*(1+$BD$2),$AP73="Monthly F",12,$AP73="One-Time",0),AV73*(1+$BD$2))</f>
        <v/>
      </c>
      <c r="AX73" s="14">
        <f t="array" ref="AX73">IFERROR(_xlfn.IFS(VALUE(MID(AX$5,6,1))&gt;$D$2,0,$AP73="Annual",1,AW73=12,12,$AP73="Monthly V",AW73*(1+$BD$2),$AP73="Monthly F",12,$AP73="One-Time",0),AW73*(1+$BD$2))</f>
        <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FPS Enterprise</t>
        </is>
      </c>
      <c r="BC73" s="38" t="inlineStr">
        <is>
          <t>ProfitStars Financial Performance</t>
        </is>
      </c>
      <c r="BD73" s="36" t="n">
        <v>0.0278</v>
      </c>
      <c r="BE73" s="21">
        <f>BF73/12</f>
        <v/>
      </c>
      <c r="BF73" s="39">
        <f>IFERROR(AR73*$BD73,0)</f>
        <v/>
      </c>
      <c r="BG73" s="39">
        <f>IFERROR(AS73*$BD73,0)</f>
        <v/>
      </c>
      <c r="BH73" s="39">
        <f>IFERROR(AT73*$BD73,0)</f>
        <v/>
      </c>
      <c r="BI73" s="39">
        <f>BH73*1.03</f>
        <v/>
      </c>
      <c r="BJ73" s="39">
        <f>BI73*1.03</f>
        <v/>
      </c>
      <c r="BK73" s="39">
        <f>BJ73*1.03</f>
        <v/>
      </c>
      <c r="BL73" s="39">
        <f>BK73*1.03</f>
        <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27"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P74" s="102" t="inlineStr">
        <is>
          <t>Monthly V</t>
        </is>
      </c>
      <c r="AQ74" s="12" t="n">
        <v>5000</v>
      </c>
      <c r="AR74" s="14">
        <f>IF($AP74="Annual",1,IF($AP74="Monthly F",12,IF($AP74="Monthly V",AQ74*12,IF($AP74="One-Time",1,AQ74*12))))</f>
        <v/>
      </c>
      <c r="AS74" s="14">
        <f t="array" ref="AS74">IFERROR(_xlfn.IFS(VALUE(MID(AS$5,6,1))&gt;$D$2,0,$AP74="Annual",1,AR74=12,12,$AP74="Monthly V",AR74*(1+$BD$2),$AP74="Monthly F",12,$AP74="One-Time",0),AR74*(1+$BD$2))</f>
        <v/>
      </c>
      <c r="AT74" s="14">
        <f t="array" ref="AT74">IFERROR(_xlfn.IFS(VALUE(MID(AT$5,6,1))&gt;$D$2,0,$AP74="Annual",1,AS74=12,12,$AP74="Monthly V",AS74*(1+$BD$2),$AP74="Monthly F",12,$AP74="One-Time",0),AS74*(1+$BD$2))</f>
        <v/>
      </c>
      <c r="AU74" s="14">
        <f t="array" ref="AU74">IFERROR(_xlfn.IFS(VALUE(MID(AU$5,6,1))&gt;$D$2,0,$AP74="Annual",1,AT74=12,12,$AP74="Monthly V",AT74*(1+$BD$2),$AP74="Monthly F",12,$AP74="One-Time",0),AT74*(1+$BD$2))</f>
        <v/>
      </c>
      <c r="AV74" s="14">
        <f t="array" ref="AV74">IFERROR(_xlfn.IFS(VALUE(MID(AV$5,6,1))&gt;$D$2,0,$AP74="Annual",1,AU74=12,12,$AP74="Monthly V",AU74*(1+$BD$2),$AP74="Monthly F",12,$AP74="One-Time",0),AU74*(1+$BD$2))</f>
        <v/>
      </c>
      <c r="AW74" s="14">
        <f t="array" ref="AW74">IFERROR(_xlfn.IFS(VALUE(MID(AW$5,6,1))&gt;$D$2,0,$AP74="Annual",1,AV74=12,12,$AP74="Monthly V",AV74*(1+$BD$2),$AP74="Monthly F",12,$AP74="One-Time",0),AV74*(1+$BD$2))</f>
        <v/>
      </c>
      <c r="AX74" s="14">
        <f t="array" ref="AX74">IFERROR(_xlfn.IFS(VALUE(MID(AX$5,6,1))&gt;$D$2,0,$AP74="Annual",1,AW74=12,12,$AP74="Monthly V",AW74*(1+$BD$2),$AP74="Monthly F",12,$AP74="One-Time",0),AW74*(1+$BD$2))</f>
        <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FPS Forecasting and Financial Reporting</t>
        </is>
      </c>
      <c r="BC74" s="38" t="inlineStr">
        <is>
          <t>ProfitStars Financial Performance</t>
        </is>
      </c>
      <c r="BD74" s="36" t="n">
        <v>0.0308</v>
      </c>
      <c r="BE74" s="21">
        <f>BF74/12</f>
        <v/>
      </c>
      <c r="BF74" s="39">
        <f>IFERROR(AR74*$BD74,0)</f>
        <v/>
      </c>
      <c r="BG74" s="39">
        <f>IFERROR(AS74*$BD74,0)</f>
        <v/>
      </c>
      <c r="BH74" s="39">
        <f>IFERROR(AT74*$BD74,0)</f>
        <v/>
      </c>
      <c r="BI74" s="39">
        <f>BH74*1.03</f>
        <v/>
      </c>
      <c r="BJ74" s="39">
        <f>BI74*1.03</f>
        <v/>
      </c>
      <c r="BK74" s="39">
        <f>BJ74*1.03</f>
        <v/>
      </c>
      <c r="BL74" s="39">
        <f>BK74*1.03</f>
        <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27"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P75" s="102" t="inlineStr">
        <is>
          <t>Monthly F</t>
        </is>
      </c>
      <c r="AQ75" s="12" t="n">
        <v>1</v>
      </c>
      <c r="AR75" s="14">
        <f>IF($AP75="Annual",1,IF($AP75="Monthly F",12,IF($AP75="Monthly V",AQ75*12,IF($AP75="One-Time",1,AQ75*12))))</f>
        <v/>
      </c>
      <c r="AS75" s="14">
        <f t="array" ref="AS75">IFERROR(_xlfn.IFS(VALUE(MID(AS$5,6,1))&gt;$D$2,0,$AP75="Annual",1,AR75=12,12,$AP75="Monthly V",AR75*(1+$BD$2),$AP75="Monthly F",12,$AP75="One-Time",0),AR75*(1+$BD$2))</f>
        <v/>
      </c>
      <c r="AT75" s="14">
        <f t="array" ref="AT75">IFERROR(_xlfn.IFS(VALUE(MID(AT$5,6,1))&gt;$D$2,0,$AP75="Annual",1,AS75=12,12,$AP75="Monthly V",AS75*(1+$BD$2),$AP75="Monthly F",12,$AP75="One-Time",0),AS75*(1+$BD$2))</f>
        <v/>
      </c>
      <c r="AU75" s="14">
        <f t="array" ref="AU75">IFERROR(_xlfn.IFS(VALUE(MID(AU$5,6,1))&gt;$D$2,0,$AP75="Annual",1,AT75=12,12,$AP75="Monthly V",AT75*(1+$BD$2),$AP75="Monthly F",12,$AP75="One-Time",0),AT75*(1+$BD$2))</f>
        <v/>
      </c>
      <c r="AV75" s="14">
        <f t="array" ref="AV75">IFERROR(_xlfn.IFS(VALUE(MID(AV$5,6,1))&gt;$D$2,0,$AP75="Annual",1,AU75=12,12,$AP75="Monthly V",AU75*(1+$BD$2),$AP75="Monthly F",12,$AP75="One-Time",0),AU75*(1+$BD$2))</f>
        <v/>
      </c>
      <c r="AW75" s="14">
        <f t="array" ref="AW75">IFERROR(_xlfn.IFS(VALUE(MID(AW$5,6,1))&gt;$D$2,0,$AP75="Annual",1,AV75=12,12,$AP75="Monthly V",AV75*(1+$BD$2),$AP75="Monthly F",12,$AP75="One-Time",0),AV75*(1+$BD$2))</f>
        <v/>
      </c>
      <c r="AX75" s="14">
        <f t="array" ref="AX75">IFERROR(_xlfn.IFS(VALUE(MID(AX$5,6,1))&gt;$D$2,0,$AP75="Annual",1,AW75=12,12,$AP75="Monthly V",AW75*(1+$BD$2),$AP75="Monthly F",12,$AP75="One-Time",0),AW75*(1+$BD$2))</f>
        <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Web Hosting Showcase Plus</t>
        </is>
      </c>
      <c r="BC75" s="38" t="inlineStr">
        <is>
          <t>Web Hosting</t>
        </is>
      </c>
      <c r="BD75" s="36" t="n">
        <v>2200</v>
      </c>
      <c r="BE75" s="21">
        <f>BF75/12</f>
        <v/>
      </c>
      <c r="BF75" s="39">
        <f>IFERROR(AR75*$BD75,0)</f>
        <v/>
      </c>
      <c r="BG75" s="39">
        <f>IFERROR(AS75*$BD75,0)</f>
        <v/>
      </c>
      <c r="BH75" s="39">
        <f>IFERROR(AT75*$BD75,0)</f>
        <v/>
      </c>
      <c r="BI75" s="39">
        <f>BH75*1.03</f>
        <v/>
      </c>
      <c r="BJ75" s="39">
        <f>BI75*1.03</f>
        <v/>
      </c>
      <c r="BK75" s="39">
        <f>BJ75*1.03</f>
        <v/>
      </c>
      <c r="BL75" s="39">
        <f>BK75*1.03</f>
        <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27"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P76" s="102" t="inlineStr">
        <is>
          <t>Monthly F</t>
        </is>
      </c>
      <c r="AQ76" s="12" t="n">
        <v>1</v>
      </c>
      <c r="AR76" s="14">
        <f>IF($AP76="Annual",1,IF($AP76="Monthly F",12,IF($AP76="Monthly V",AQ76*12,IF($AP76="One-Time",1,AQ76*12))))</f>
        <v/>
      </c>
      <c r="AS76" s="14">
        <f t="array" ref="AS76">IFERROR(_xlfn.IFS(VALUE(MID(AS$5,6,1))&gt;$D$2,0,$AP76="Annual",1,AR76=12,12,$AP76="Monthly V",AR76*(1+$BD$2),$AP76="Monthly F",12,$AP76="One-Time",0),AR76*(1+$BD$2))</f>
        <v/>
      </c>
      <c r="AT76" s="14">
        <f t="array" ref="AT76">IFERROR(_xlfn.IFS(VALUE(MID(AT$5,6,1))&gt;$D$2,0,$AP76="Annual",1,AS76=12,12,$AP76="Monthly V",AS76*(1+$BD$2),$AP76="Monthly F",12,$AP76="One-Time",0),AS76*(1+$BD$2))</f>
        <v/>
      </c>
      <c r="AU76" s="14">
        <f t="array" ref="AU76">IFERROR(_xlfn.IFS(VALUE(MID(AU$5,6,1))&gt;$D$2,0,$AP76="Annual",1,AT76=12,12,$AP76="Monthly V",AT76*(1+$BD$2),$AP76="Monthly F",12,$AP76="One-Time",0),AT76*(1+$BD$2))</f>
        <v/>
      </c>
      <c r="AV76" s="14">
        <f t="array" ref="AV76">IFERROR(_xlfn.IFS(VALUE(MID(AV$5,6,1))&gt;$D$2,0,$AP76="Annual",1,AU76=12,12,$AP76="Monthly V",AU76*(1+$BD$2),$AP76="Monthly F",12,$AP76="One-Time",0),AU76*(1+$BD$2))</f>
        <v/>
      </c>
      <c r="AW76" s="14">
        <f t="array" ref="AW76">IFERROR(_xlfn.IFS(VALUE(MID(AW$5,6,1))&gt;$D$2,0,$AP76="Annual",1,AV76=12,12,$AP76="Monthly V",AV76*(1+$BD$2),$AP76="Monthly F",12,$AP76="One-Time",0),AV76*(1+$BD$2))</f>
        <v/>
      </c>
      <c r="AX76" s="14">
        <f t="array" ref="AX76">IFERROR(_xlfn.IFS(VALUE(MID(AX$5,6,1))&gt;$D$2,0,$AP76="Annual",1,AW76=12,12,$AP76="Monthly V",AW76*(1+$BD$2),$AP76="Monthly F",12,$AP76="One-Time",0),AW76*(1+$BD$2))</f>
        <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PNV</t>
        </is>
      </c>
      <c r="BC76" s="38" t="inlineStr">
        <is>
          <t>OutLink Item Processing</t>
        </is>
      </c>
      <c r="BD76" s="36" t="n">
        <v>114</v>
      </c>
      <c r="BE76" s="21">
        <f>BF76/12</f>
        <v/>
      </c>
      <c r="BF76" s="39">
        <f>IFERROR(AR76*$BD76,0)</f>
        <v/>
      </c>
      <c r="BG76" s="39">
        <f>IFERROR(AS76*$BD76,0)</f>
        <v/>
      </c>
      <c r="BH76" s="39">
        <f>IFERROR(AT76*$BD76,0)</f>
        <v/>
      </c>
      <c r="BI76" s="39">
        <f>BH76*1.03</f>
        <v/>
      </c>
      <c r="BJ76" s="39">
        <f>BI76*1.03</f>
        <v/>
      </c>
      <c r="BK76" s="39">
        <f>BJ76*1.03</f>
        <v/>
      </c>
      <c r="BL76" s="39">
        <f>BK76*1.03</f>
        <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5.75" customHeight="1"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27"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P77" s="102" t="inlineStr">
        <is>
          <t>Monthly F</t>
        </is>
      </c>
      <c r="AQ77" s="12" t="n">
        <v>1</v>
      </c>
      <c r="AR77" s="14">
        <f>IF($AP77="Annual",1,IF($AP77="Monthly F",12,IF($AP77="Monthly V",AQ77*12,IF($AP77="One-Time",1,AQ77*12))))</f>
        <v/>
      </c>
      <c r="AS77" s="14">
        <f t="array" ref="AS77">IFERROR(_xlfn.IFS(VALUE(MID(AS$5,6,1))&gt;$D$2,0,$AP77="Annual",1,AR77=12,12,$AP77="Monthly V",AR77*(1+$BD$2),$AP77="Monthly F",12,$AP77="One-Time",0),AR77*(1+$BD$2))</f>
        <v/>
      </c>
      <c r="AT77" s="14">
        <f t="array" ref="AT77">IFERROR(_xlfn.IFS(VALUE(MID(AT$5,6,1))&gt;$D$2,0,$AP77="Annual",1,AS77=12,12,$AP77="Monthly V",AS77*(1+$BD$2),$AP77="Monthly F",12,$AP77="One-Time",0),AS77*(1+$BD$2))</f>
        <v/>
      </c>
      <c r="AU77" s="14">
        <f t="array" ref="AU77">IFERROR(_xlfn.IFS(VALUE(MID(AU$5,6,1))&gt;$D$2,0,$AP77="Annual",1,AT77=12,12,$AP77="Monthly V",AT77*(1+$BD$2),$AP77="Monthly F",12,$AP77="One-Time",0),AT77*(1+$BD$2))</f>
        <v/>
      </c>
      <c r="AV77" s="14">
        <f t="array" ref="AV77">IFERROR(_xlfn.IFS(VALUE(MID(AV$5,6,1))&gt;$D$2,0,$AP77="Annual",1,AU77=12,12,$AP77="Monthly V",AU77*(1+$BD$2),$AP77="Monthly F",12,$AP77="One-Time",0),AU77*(1+$BD$2))</f>
        <v/>
      </c>
      <c r="AW77" s="14">
        <f t="array" ref="AW77">IFERROR(_xlfn.IFS(VALUE(MID(AW$5,6,1))&gt;$D$2,0,$AP77="Annual",1,AV77=12,12,$AP77="Monthly V",AV77*(1+$BD$2),$AP77="Monthly F",12,$AP77="One-Time",0),AV77*(1+$BD$2))</f>
        <v/>
      </c>
      <c r="AX77" s="14">
        <f t="array" ref="AX77">IFERROR(_xlfn.IFS(VALUE(MID(AX$5,6,1))&gt;$D$2,0,$AP77="Annual",1,AW77=12,12,$AP77="Monthly V",AW77*(1+$BD$2),$AP77="Monthly F",12,$AP77="One-Time",0),AW77*(1+$BD$2))</f>
        <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FPS Customer Profitability and Pricing</t>
        </is>
      </c>
      <c r="BC77" s="38" t="inlineStr">
        <is>
          <t>ProfitStars Financial Performance</t>
        </is>
      </c>
      <c r="BD77" s="36" t="n">
        <v>401.25</v>
      </c>
      <c r="BE77" s="21">
        <f>BF77/12</f>
        <v/>
      </c>
      <c r="BF77" s="39">
        <f>IFERROR(AR77*$BD77,0)</f>
        <v/>
      </c>
      <c r="BG77" s="39">
        <f>IFERROR(AS77*$BD77,0)</f>
        <v/>
      </c>
      <c r="BH77" s="39">
        <f>IFERROR(AT77*$BD77,0)</f>
        <v/>
      </c>
      <c r="BI77" s="39">
        <f>BH77*1.03</f>
        <v/>
      </c>
      <c r="BJ77" s="39">
        <f>BI77*1.03</f>
        <v/>
      </c>
      <c r="BK77" s="39">
        <f>BJ77*1.03</f>
        <v/>
      </c>
      <c r="BL77" s="39">
        <f>BK77*1.03</f>
        <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5.75" customHeight="1" thickBot="1">
      <c r="B78" s="141" t="n"/>
      <c r="C78" s="24" t="n"/>
      <c r="D78" s="147" t="n"/>
      <c r="E78" s="142" t="n"/>
      <c r="F78" s="14" t="n"/>
      <c r="G78" s="14" t="n"/>
      <c r="H78" s="14" t="n"/>
      <c r="I78" s="14" t="n"/>
      <c r="J78" s="14" t="n"/>
      <c r="K78" s="14" t="n"/>
      <c r="L78" s="14" t="n"/>
      <c r="M78" s="14" t="n"/>
      <c r="N78" s="24" t="n"/>
      <c r="O78" s="127"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P78" s="282" t="inlineStr">
        <is>
          <t>Recurring Monthly and Annual Fees Licensed Products</t>
        </is>
      </c>
      <c r="AQ78" s="267" t="n"/>
      <c r="AR78" s="267" t="n"/>
      <c r="AS78" s="267" t="n"/>
      <c r="AT78" s="267" t="n"/>
      <c r="AU78" s="267" t="n"/>
      <c r="AV78" s="267" t="n"/>
      <c r="AW78" s="267" t="n"/>
      <c r="AX78" s="267" t="n"/>
      <c r="AY78" s="267" t="n"/>
      <c r="AZ78" s="267" t="n"/>
      <c r="BA78" s="267" t="n"/>
      <c r="BB78" s="267" t="n"/>
      <c r="BC78" s="267" t="n"/>
      <c r="BD78" s="267" t="n"/>
      <c r="BE78" s="267" t="n"/>
      <c r="BF78" s="267" t="n"/>
      <c r="BG78" s="267" t="n"/>
      <c r="BH78" s="267" t="n"/>
      <c r="BI78" s="267" t="n"/>
      <c r="BJ78" s="267" t="n"/>
      <c r="BK78" s="267" t="n"/>
      <c r="BL78" s="267" t="n"/>
      <c r="BM78" s="267" t="n"/>
      <c r="BN78" s="267" t="n"/>
      <c r="BO78" s="267" t="n"/>
      <c r="BP78" s="267" t="n"/>
      <c r="BQ78" s="267" t="n"/>
      <c r="BR78" s="267" t="n"/>
      <c r="BS78" s="267" t="n"/>
      <c r="BT78" s="267" t="n"/>
      <c r="BU78" s="267" t="n"/>
      <c r="BV78" s="267" t="n"/>
      <c r="BW78" s="267" t="n"/>
      <c r="BX78" s="267" t="n"/>
      <c r="BY78" s="267" t="n"/>
      <c r="BZ78" s="267" t="n"/>
      <c r="CA78" s="268"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c r="B79" s="141" t="n"/>
      <c r="C79" s="24" t="n"/>
      <c r="D79" s="147" t="n"/>
      <c r="E79" s="142" t="n"/>
      <c r="F79" s="14" t="n"/>
      <c r="G79" s="14" t="n"/>
      <c r="H79" s="14" t="n"/>
      <c r="I79" s="14" t="n"/>
      <c r="J79" s="14" t="n"/>
      <c r="K79" s="14" t="n"/>
      <c r="L79" s="14" t="n"/>
      <c r="M79" s="14" t="n"/>
      <c r="N79" s="24" t="n"/>
      <c r="O79" s="127"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P79" s="102" t="inlineStr">
        <is>
          <t>Annual</t>
        </is>
      </c>
      <c r="AQ79" s="12" t="n">
        <v>1</v>
      </c>
      <c r="AR79" s="14">
        <f>IF($AP79="Annual",1,IF($AP79="Monthly F",12,IF($AP79="Monthly V",AQ79*12,IF($AP79="One-Time",1,AQ79*12))))</f>
        <v/>
      </c>
      <c r="AS79" s="14">
        <f t="array" ref="AS79">IFERROR(_xlfn.IFS(VALUE(MID(AS$5,6,1))&gt;$D$2,0,$AP79="Annual",1,AR79=12,12,$AP79="Monthly V",AR79*(1+$D$3),$AP79="Monthly F",12,$AP79="One-Time",0),AR79*(1+$D$3))</f>
        <v/>
      </c>
      <c r="AT79" s="14">
        <f t="array" ref="AT79">IFERROR(_xlfn.IFS(VALUE(MID(AT$5,6,1))&gt;$D$2,0,$AP79="Annual",1,AS79=12,12,$AP79="Monthly V",AS79*(1+$D$3),$AP79="Monthly F",12,$AP79="One-Time",0),AS79*(1+$D$3))</f>
        <v/>
      </c>
      <c r="AU79" s="14">
        <f t="array" ref="AU79">IFERROR(_xlfn.IFS(VALUE(MID(AU$5,6,1))&gt;$D$2,0,$AP79="Annual",1,AT79=12,12,$AP79="Monthly V",AT79*(1+$D$3),$AP79="Monthly F",12,$AP79="One-Time",0),AT79*(1+$D$3))</f>
        <v/>
      </c>
      <c r="AV79" s="14">
        <f t="array" ref="AV79">IFERROR(_xlfn.IFS(VALUE(MID(AV$5,6,1))&gt;$D$2,0,$AP79="Annual",1,AU79=12,12,$AP79="Monthly V",AU79*(1+$D$3),$AP79="Monthly F",12,$AP79="One-Time",0),AU79*(1+$D$3))</f>
        <v/>
      </c>
      <c r="AW79" s="14">
        <f t="array" ref="AW79">IFERROR(_xlfn.IFS(VALUE(MID(AW$5,6,1))&gt;$D$2,0,$AP79="Annual",1,AV79=12,12,$AP79="Monthly V",AV79*(1+$D$3),$AP79="Monthly F",12,$AP79="One-Time",0),AV79*(1+$D$3))</f>
        <v/>
      </c>
      <c r="AX79" s="14">
        <f t="array" ref="AX79">IFERROR(_xlfn.IFS(VALUE(MID(AX$5,6,1))&gt;$D$2,0,$AP79="Annual",1,AW79=12,12,$AP79="Monthly V",AW79*(1+$D$3),$AP79="Monthly F",12,$AP79="One-Time",0),AW79*(1+$D$3))</f>
        <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iPay Electronic Bill Payment Annual Compliance Package Banno</t>
        </is>
      </c>
      <c r="BC79" s="38" t="inlineStr">
        <is>
          <t>iPay</t>
        </is>
      </c>
      <c r="BD79" s="36" t="n">
        <v>630</v>
      </c>
      <c r="BE79" s="21">
        <f>BF79/12</f>
        <v/>
      </c>
      <c r="BF79" s="39">
        <f>IFERROR(AR79*$BD79,0)</f>
        <v/>
      </c>
      <c r="BG79" s="39">
        <f>IFERROR(AS79*$BD79,0)</f>
        <v/>
      </c>
      <c r="BH79" s="39">
        <f>IFERROR(AT79*$BD79,0)</f>
        <v/>
      </c>
      <c r="BI79" s="39">
        <f>BH79*1.03</f>
        <v/>
      </c>
      <c r="BJ79" s="39">
        <f>BI79*1.03</f>
        <v/>
      </c>
      <c r="BK79" s="39">
        <f>BJ79*1.03</f>
        <v/>
      </c>
      <c r="BL79" s="39">
        <f>BK79*1.03</f>
        <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27"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P80" s="102" t="inlineStr">
        <is>
          <t>Annual</t>
        </is>
      </c>
      <c r="AQ80" s="12" t="n">
        <v>1</v>
      </c>
      <c r="AR80" s="14">
        <f>IF($AP80="Annual",1,IF($AP80="Monthly F",12,IF($AP80="Monthly V",AQ80*12,IF($AP80="One-Time",1,AQ80*12))))</f>
        <v/>
      </c>
      <c r="AS80" s="14">
        <f t="array" ref="AS80">IFERROR(_xlfn.IFS(VALUE(MID(AS$5,6,1))&gt;$D$2,0,$AP80="Annual",1,AR80=12,12,$AP80="Monthly V",AR80*(1+$D$3),$AP80="Monthly F",12,$AP80="One-Time",0),AR80*(1+$D$3))</f>
        <v/>
      </c>
      <c r="AT80" s="14">
        <f t="array" ref="AT80">IFERROR(_xlfn.IFS(VALUE(MID(AT$5,6,1))&gt;$D$2,0,$AP80="Annual",1,AS80=12,12,$AP80="Monthly V",AS80*(1+$D$3),$AP80="Monthly F",12,$AP80="One-Time",0),AS80*(1+$D$3))</f>
        <v/>
      </c>
      <c r="AU80" s="14">
        <f t="array" ref="AU80">IFERROR(_xlfn.IFS(VALUE(MID(AU$5,6,1))&gt;$D$2,0,$AP80="Annual",1,AT80=12,12,$AP80="Monthly V",AT80*(1+$D$3),$AP80="Monthly F",12,$AP80="One-Time",0),AT80*(1+$D$3))</f>
        <v/>
      </c>
      <c r="AV80" s="14">
        <f t="array" ref="AV80">IFERROR(_xlfn.IFS(VALUE(MID(AV$5,6,1))&gt;$D$2,0,$AP80="Annual",1,AU80=12,12,$AP80="Monthly V",AU80*(1+$D$3),$AP80="Monthly F",12,$AP80="One-Time",0),AU80*(1+$D$3))</f>
        <v/>
      </c>
      <c r="AW80" s="14">
        <f t="array" ref="AW80">IFERROR(_xlfn.IFS(VALUE(MID(AW$5,6,1))&gt;$D$2,0,$AP80="Annual",1,AV80=12,12,$AP80="Monthly V",AV80*(1+$D$3),$AP80="Monthly F",12,$AP80="One-Time",0),AV80*(1+$D$3))</f>
        <v/>
      </c>
      <c r="AX80" s="14">
        <f t="array" ref="AX80">IFERROR(_xlfn.IFS(VALUE(MID(AX$5,6,1))&gt;$D$2,0,$AP80="Annual",1,AW80=12,12,$AP80="Monthly V",AW80*(1+$D$3),$AP80="Monthly F",12,$AP80="One-Time",0),AW80*(1+$D$3))</f>
        <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Centurion Remote Data Entry</t>
        </is>
      </c>
      <c r="BC80" s="38" t="inlineStr">
        <is>
          <t>Centurion</t>
        </is>
      </c>
      <c r="BD80" s="36" t="n">
        <v>1880</v>
      </c>
      <c r="BE80" s="21">
        <f>BF80/12</f>
        <v/>
      </c>
      <c r="BF80" s="39">
        <f>IFERROR(AR80*$BD80,0)</f>
        <v/>
      </c>
      <c r="BG80" s="39">
        <f>IFERROR(AS80*$BD80,0)</f>
        <v/>
      </c>
      <c r="BH80" s="39">
        <f>IFERROR(AT80*$BD80,0)</f>
        <v/>
      </c>
      <c r="BI80" s="39">
        <f>BH80*1.03</f>
        <v/>
      </c>
      <c r="BJ80" s="39">
        <f>BI80*1.03</f>
        <v/>
      </c>
      <c r="BK80" s="39">
        <f>BJ80*1.03</f>
        <v/>
      </c>
      <c r="BL80" s="39">
        <f>BK80*1.03</f>
        <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27"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P81" s="102" t="inlineStr">
        <is>
          <t>Annual</t>
        </is>
      </c>
      <c r="AQ81" s="12" t="n">
        <v>1</v>
      </c>
      <c r="AR81" s="14">
        <f>IF($AP81="Annual",1,IF($AP81="Monthly F",12,IF($AP81="Monthly V",AQ81*12,IF($AP81="One-Time",1,AQ81*12))))</f>
        <v/>
      </c>
      <c r="AS81" s="14">
        <f t="array" ref="AS81">IFERROR(_xlfn.IFS(VALUE(MID(AS$5,6,1))&gt;$D$2,0,$AP81="Annual",1,AR81=12,12,$AP81="Monthly V",AR81*(1+$D$3),$AP81="Monthly F",12,$AP81="One-Time",0),AR81*(1+$D$3))</f>
        <v/>
      </c>
      <c r="AT81" s="14">
        <f t="array" ref="AT81">IFERROR(_xlfn.IFS(VALUE(MID(AT$5,6,1))&gt;$D$2,0,$AP81="Annual",1,AS81=12,12,$AP81="Monthly V",AS81*(1+$D$3),$AP81="Monthly F",12,$AP81="One-Time",0),AS81*(1+$D$3))</f>
        <v/>
      </c>
      <c r="AU81" s="14">
        <f t="array" ref="AU81">IFERROR(_xlfn.IFS(VALUE(MID(AU$5,6,1))&gt;$D$2,0,$AP81="Annual",1,AT81=12,12,$AP81="Monthly V",AT81*(1+$D$3),$AP81="Monthly F",12,$AP81="One-Time",0),AT81*(1+$D$3))</f>
        <v/>
      </c>
      <c r="AV81" s="14">
        <f t="array" ref="AV81">IFERROR(_xlfn.IFS(VALUE(MID(AV$5,6,1))&gt;$D$2,0,$AP81="Annual",1,AU81=12,12,$AP81="Monthly V",AU81*(1+$D$3),$AP81="Monthly F",12,$AP81="One-Time",0),AU81*(1+$D$3))</f>
        <v/>
      </c>
      <c r="AW81" s="14">
        <f t="array" ref="AW81">IFERROR(_xlfn.IFS(VALUE(MID(AW$5,6,1))&gt;$D$2,0,$AP81="Annual",1,AV81=12,12,$AP81="Monthly V",AV81*(1+$D$3),$AP81="Monthly F",12,$AP81="One-Time",0),AV81*(1+$D$3))</f>
        <v/>
      </c>
      <c r="AX81" s="14">
        <f t="array" ref="AX81">IFERROR(_xlfn.IFS(VALUE(MID(AX$5,6,1))&gt;$D$2,0,$AP81="Annual",1,AW81=12,12,$AP81="Monthly V",AW81*(1+$D$3),$AP81="Monthly F",12,$AP81="One-Time",0),AW81*(1+$D$3))</f>
        <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ProfitStars ALM Basic Reporting Service</t>
        </is>
      </c>
      <c r="BC81" s="38" t="inlineStr">
        <is>
          <t>ProfitStars Financial Performance</t>
        </is>
      </c>
      <c r="BD81" s="36" t="n">
        <v>4940</v>
      </c>
      <c r="BE81" s="21">
        <f>BF81/12</f>
        <v/>
      </c>
      <c r="BF81" s="39">
        <f>IFERROR(AR81*$BD81,0)</f>
        <v/>
      </c>
      <c r="BG81" s="39">
        <f>IFERROR(AS81*$BD81,0)</f>
        <v/>
      </c>
      <c r="BH81" s="39">
        <f>IFERROR(AT81*$BD81,0)</f>
        <v/>
      </c>
      <c r="BI81" s="39">
        <f>BH81*1.03</f>
        <v/>
      </c>
      <c r="BJ81" s="39">
        <f>BI81*1.03</f>
        <v/>
      </c>
      <c r="BK81" s="39">
        <f>BJ81*1.03</f>
        <v/>
      </c>
      <c r="BL81" s="39">
        <f>BK81*1.03</f>
        <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27"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P82" s="102" t="inlineStr">
        <is>
          <t>Annual</t>
        </is>
      </c>
      <c r="AQ82" s="12" t="n">
        <v>1</v>
      </c>
      <c r="AR82" s="14">
        <f>IF($AP82="Annual",1,IF($AP82="Monthly F",12,IF($AP82="Monthly V",AQ82*12,IF($AP82="One-Time",1,AQ82*12))))</f>
        <v/>
      </c>
      <c r="AS82" s="14">
        <f t="array" ref="AS82">IFERROR(_xlfn.IFS(VALUE(MID(AS$5,6,1))&gt;$D$2,0,$AP82="Annual",1,AR82=12,12,$AP82="Monthly V",AR82*(1+$D$3),$AP82="Monthly F",12,$AP82="One-Time",0),AR82*(1+$D$3))</f>
        <v/>
      </c>
      <c r="AT82" s="14">
        <f t="array" ref="AT82">IFERROR(_xlfn.IFS(VALUE(MID(AT$5,6,1))&gt;$D$2,0,$AP82="Annual",1,AS82=12,12,$AP82="Monthly V",AS82*(1+$D$3),$AP82="Monthly F",12,$AP82="One-Time",0),AS82*(1+$D$3))</f>
        <v/>
      </c>
      <c r="AU82" s="14">
        <f t="array" ref="AU82">IFERROR(_xlfn.IFS(VALUE(MID(AU$5,6,1))&gt;$D$2,0,$AP82="Annual",1,AT82=12,12,$AP82="Monthly V",AT82*(1+$D$3),$AP82="Monthly F",12,$AP82="One-Time",0),AT82*(1+$D$3))</f>
        <v/>
      </c>
      <c r="AV82" s="14">
        <f t="array" ref="AV82">IFERROR(_xlfn.IFS(VALUE(MID(AV$5,6,1))&gt;$D$2,0,$AP82="Annual",1,AU82=12,12,$AP82="Monthly V",AU82*(1+$D$3),$AP82="Monthly F",12,$AP82="One-Time",0),AU82*(1+$D$3))</f>
        <v/>
      </c>
      <c r="AW82" s="14">
        <f t="array" ref="AW82">IFERROR(_xlfn.IFS(VALUE(MID(AW$5,6,1))&gt;$D$2,0,$AP82="Annual",1,AV82=12,12,$AP82="Monthly V",AV82*(1+$D$3),$AP82="Monthly F",12,$AP82="One-Time",0),AV82*(1+$D$3))</f>
        <v/>
      </c>
      <c r="AX82" s="14">
        <f t="array" ref="AX82">IFERROR(_xlfn.IFS(VALUE(MID(AX$5,6,1))&gt;$D$2,0,$AP82="Annual",1,AW82=12,12,$AP82="Monthly V",AW82*(1+$D$3),$AP82="Monthly F",12,$AP82="One-Time",0),AW82*(1+$D$3))</f>
        <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Know-It-All Now eLearning</t>
        </is>
      </c>
      <c r="BC82" s="38" t="inlineStr">
        <is>
          <t>Know-It-All</t>
        </is>
      </c>
      <c r="BD82" s="36" t="n">
        <v>3500</v>
      </c>
      <c r="BE82" s="21">
        <f>BF82/12</f>
        <v/>
      </c>
      <c r="BF82" s="39">
        <f>IFERROR(AR82*$BD82,0)</f>
        <v/>
      </c>
      <c r="BG82" s="39">
        <f>IFERROR(AS82*$BD82,0)</f>
        <v/>
      </c>
      <c r="BH82" s="39">
        <f>IFERROR(AT82*$BD82,0)</f>
        <v/>
      </c>
      <c r="BI82" s="39">
        <f>BH82*1.03</f>
        <v/>
      </c>
      <c r="BJ82" s="39">
        <f>BI82*1.03</f>
        <v/>
      </c>
      <c r="BK82" s="39">
        <f>BJ82*1.03</f>
        <v/>
      </c>
      <c r="BL82" s="39">
        <f>BK82*1.03</f>
        <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27"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P83" s="102" t="inlineStr">
        <is>
          <t>Annual</t>
        </is>
      </c>
      <c r="AQ83" s="12" t="n">
        <v>1</v>
      </c>
      <c r="AR83" s="14">
        <f>IF($AP83="Annual",1,IF($AP83="Monthly F",12,IF($AP83="Monthly V",AQ83*12,IF($AP83="One-Time",1,AQ83*12))))</f>
        <v/>
      </c>
      <c r="AS83" s="14">
        <f t="array" ref="AS83">IFERROR(_xlfn.IFS(VALUE(MID(AS$5,6,1))&gt;$D$2,0,$AP83="Annual",1,AR83=12,12,$AP83="Monthly V",AR83*(1+$D$3),$AP83="Monthly F",12,$AP83="One-Time",0),AR83*(1+$D$3))</f>
        <v/>
      </c>
      <c r="AT83" s="14">
        <f t="array" ref="AT83">IFERROR(_xlfn.IFS(VALUE(MID(AT$5,6,1))&gt;$D$2,0,$AP83="Annual",1,AS83=12,12,$AP83="Monthly V",AS83*(1+$D$3),$AP83="Monthly F",12,$AP83="One-Time",0),AS83*(1+$D$3))</f>
        <v/>
      </c>
      <c r="AU83" s="14">
        <f t="array" ref="AU83">IFERROR(_xlfn.IFS(VALUE(MID(AU$5,6,1))&gt;$D$2,0,$AP83="Annual",1,AT83=12,12,$AP83="Monthly V",AT83*(1+$D$3),$AP83="Monthly F",12,$AP83="One-Time",0),AT83*(1+$D$3))</f>
        <v/>
      </c>
      <c r="AV83" s="14">
        <f t="array" ref="AV83">IFERROR(_xlfn.IFS(VALUE(MID(AV$5,6,1))&gt;$D$2,0,$AP83="Annual",1,AU83=12,12,$AP83="Monthly V",AU83*(1+$D$3),$AP83="Monthly F",12,$AP83="One-Time",0),AU83*(1+$D$3))</f>
        <v/>
      </c>
      <c r="AW83" s="14">
        <f t="array" ref="AW83">IFERROR(_xlfn.IFS(VALUE(MID(AW$5,6,1))&gt;$D$2,0,$AP83="Annual",1,AV83=12,12,$AP83="Monthly V",AV83*(1+$D$3),$AP83="Monthly F",12,$AP83="One-Time",0),AV83*(1+$D$3))</f>
        <v/>
      </c>
      <c r="AX83" s="14">
        <f t="array" ref="AX83">IFERROR(_xlfn.IFS(VALUE(MID(AX$5,6,1))&gt;$D$2,0,$AP83="Annual",1,AW83=12,12,$AP83="Monthly V",AW83*(1+$D$3),$AP83="Monthly F",12,$AP83="One-Time",0),AW83*(1+$D$3))</f>
        <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TruStage Forms-OnBoard Deposits-Includes Tax Favored Acct Svcs Bundle</t>
        </is>
      </c>
      <c r="BC83" s="38" t="inlineStr">
        <is>
          <t>Forms</t>
        </is>
      </c>
      <c r="BD83" s="36" t="n">
        <v>14590</v>
      </c>
      <c r="BE83" s="21">
        <f>BF83/12</f>
        <v/>
      </c>
      <c r="BF83" s="39">
        <f>IFERROR(AR83*$BD83,0)</f>
        <v/>
      </c>
      <c r="BG83" s="39">
        <f>IFERROR(AS83*$BD83,0)</f>
        <v/>
      </c>
      <c r="BH83" s="39">
        <f>IFERROR(AT83*$BD83,0)</f>
        <v/>
      </c>
      <c r="BI83" s="39">
        <f>BH83*1.03</f>
        <v/>
      </c>
      <c r="BJ83" s="39">
        <f>BI83*1.03</f>
        <v/>
      </c>
      <c r="BK83" s="39">
        <f>BJ83*1.03</f>
        <v/>
      </c>
      <c r="BL83" s="39">
        <f>BK83*1.03</f>
        <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5.75" customHeight="1" thickBot="1">
      <c r="B84" s="141" t="n"/>
      <c r="C84" s="24" t="n"/>
      <c r="D84" s="147" t="n"/>
      <c r="E84" s="142" t="n"/>
      <c r="F84" s="14" t="n"/>
      <c r="G84" s="14" t="n"/>
      <c r="H84" s="14" t="n"/>
      <c r="I84" s="14" t="n"/>
      <c r="J84" s="14" t="n"/>
      <c r="K84" s="14" t="n"/>
      <c r="L84" s="14" t="n"/>
      <c r="M84" s="14" t="n"/>
      <c r="N84" s="24" t="n"/>
      <c r="O84" s="127"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P84" s="102" t="inlineStr">
        <is>
          <t>Annual</t>
        </is>
      </c>
      <c r="AQ84" s="12" t="n">
        <v>1</v>
      </c>
      <c r="AR84" s="14">
        <f>IF($AP84="Annual",1,IF($AP84="Monthly F",12,IF($AP84="Monthly V",AQ84*12,IF($AP84="One-Time",1,AQ84*12))))</f>
        <v/>
      </c>
      <c r="AS84" s="14">
        <f t="array" ref="AS84">IFERROR(_xlfn.IFS(VALUE(MID(AS$5,6,1))&gt;$D$2,0,$AP84="Annual",1,AR84=12,12,$AP84="Monthly V",AR84*(1+$D$3),$AP84="Monthly F",12,$AP84="One-Time",0),AR84*(1+$D$3))</f>
        <v/>
      </c>
      <c r="AT84" s="14">
        <f t="array" ref="AT84">IFERROR(_xlfn.IFS(VALUE(MID(AT$5,6,1))&gt;$D$2,0,$AP84="Annual",1,AS84=12,12,$AP84="Monthly V",AS84*(1+$D$3),$AP84="Monthly F",12,$AP84="One-Time",0),AS84*(1+$D$3))</f>
        <v/>
      </c>
      <c r="AU84" s="14">
        <f t="array" ref="AU84">IFERROR(_xlfn.IFS(VALUE(MID(AU$5,6,1))&gt;$D$2,0,$AP84="Annual",1,AT84=12,12,$AP84="Monthly V",AT84*(1+$D$3),$AP84="Monthly F",12,$AP84="One-Time",0),AT84*(1+$D$3))</f>
        <v/>
      </c>
      <c r="AV84" s="14">
        <f t="array" ref="AV84">IFERROR(_xlfn.IFS(VALUE(MID(AV$5,6,1))&gt;$D$2,0,$AP84="Annual",1,AU84=12,12,$AP84="Monthly V",AU84*(1+$D$3),$AP84="Monthly F",12,$AP84="One-Time",0),AU84*(1+$D$3))</f>
        <v/>
      </c>
      <c r="AW84" s="14">
        <f t="array" ref="AW84">IFERROR(_xlfn.IFS(VALUE(MID(AW$5,6,1))&gt;$D$2,0,$AP84="Annual",1,AV84=12,12,$AP84="Monthly V",AV84*(1+$D$3),$AP84="Monthly F",12,$AP84="One-Time",0),AV84*(1+$D$3))</f>
        <v/>
      </c>
      <c r="AX84" s="14">
        <f t="array" ref="AX84">IFERROR(_xlfn.IFS(VALUE(MID(AX$5,6,1))&gt;$D$2,0,$AP84="Annual",1,AW84=12,12,$AP84="Monthly V",AW84*(1+$D$3),$AP84="Monthly F",12,$AP84="One-Time",0),AW84*(1+$D$3))</f>
        <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TruStage Forms-OpenAnywhere</t>
        </is>
      </c>
      <c r="BC84" s="38" t="inlineStr">
        <is>
          <t>Forms</t>
        </is>
      </c>
      <c r="BD84" s="36" t="n">
        <v>2550</v>
      </c>
      <c r="BE84" s="21">
        <f>BF84/12</f>
        <v/>
      </c>
      <c r="BF84" s="39">
        <f>IFERROR(AR84*$BD84,0)</f>
        <v/>
      </c>
      <c r="BG84" s="39">
        <f>IFERROR(AS84*$BD84,0)</f>
        <v/>
      </c>
      <c r="BH84" s="39">
        <f>IFERROR(AT84*$BD84,0)</f>
        <v/>
      </c>
      <c r="BI84" s="39">
        <f>BH84*1.03</f>
        <v/>
      </c>
      <c r="BJ84" s="39">
        <f>BI84*1.03</f>
        <v/>
      </c>
      <c r="BK84" s="39">
        <f>BJ84*1.03</f>
        <v/>
      </c>
      <c r="BL84" s="39">
        <f>BK84*1.03</f>
        <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5.75" customHeight="1"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P85" s="139" t="n"/>
      <c r="AQ85" s="140" t="n"/>
      <c r="AR85" s="140" t="n"/>
      <c r="AS85" s="140" t="n"/>
      <c r="AT85" s="140" t="n"/>
      <c r="AU85" s="140" t="n"/>
      <c r="AV85" s="140" t="n"/>
      <c r="AW85" s="140" t="n"/>
      <c r="AX85" s="140" t="n"/>
      <c r="AY85" s="140" t="n"/>
      <c r="AZ85" s="140" t="n"/>
      <c r="BA85" s="138" t="n"/>
      <c r="BB85" s="90" t="inlineStr">
        <is>
          <t>Total Recurring Expenses</t>
        </is>
      </c>
      <c r="BC85" s="90" t="n"/>
      <c r="BD85" s="91" t="n"/>
      <c r="BE85" s="92">
        <f>SUM(BE7:BE84)</f>
        <v/>
      </c>
      <c r="BF85" s="93">
        <f>SUM(BF7:BF84)</f>
        <v/>
      </c>
      <c r="BG85" s="93">
        <f>SUM(BG7:BG84)</f>
        <v/>
      </c>
      <c r="BH85" s="93">
        <f>SUM(BH7:BH84)</f>
        <v/>
      </c>
      <c r="BI85" s="93">
        <f>SUM(BI7:BI84)</f>
        <v/>
      </c>
      <c r="BJ85" s="93">
        <f>SUM(BJ7:BJ84)</f>
        <v/>
      </c>
      <c r="BK85" s="93">
        <f>SUM(BK7:BK84)</f>
        <v/>
      </c>
      <c r="BL85" s="93">
        <f>SUM(BL7:BL84)</f>
        <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5.75" customHeight="1" thickBot="1">
      <c r="B86" s="280" t="inlineStr">
        <is>
          <t>Implementation Credits and One time fees (FIS ONLY)</t>
        </is>
      </c>
      <c r="C86" s="267" t="n"/>
      <c r="D86" s="267" t="n"/>
      <c r="E86" s="267" t="n"/>
      <c r="F86" s="267" t="n"/>
      <c r="G86" s="267" t="n"/>
      <c r="H86" s="267" t="n"/>
      <c r="I86" s="267" t="n"/>
      <c r="J86" s="267" t="n"/>
      <c r="K86" s="267" t="n"/>
      <c r="L86" s="267" t="n"/>
      <c r="M86" s="267" t="n"/>
      <c r="N86" s="267" t="n"/>
      <c r="O86" s="267" t="n"/>
      <c r="P86" s="267" t="n"/>
      <c r="Q86" s="267" t="n"/>
      <c r="R86" s="267" t="n"/>
      <c r="S86" s="267" t="n"/>
      <c r="T86" s="267" t="n"/>
      <c r="U86" s="267" t="n"/>
      <c r="V86" s="267" t="n"/>
      <c r="W86" s="267" t="n"/>
      <c r="X86" s="267" t="n"/>
      <c r="Y86" s="267" t="n"/>
      <c r="Z86" s="267" t="n"/>
      <c r="AA86" s="267" t="n"/>
      <c r="AB86" s="267" t="n"/>
      <c r="AC86" s="267" t="n"/>
      <c r="AD86" s="267" t="n"/>
      <c r="AE86" s="267" t="n"/>
      <c r="AF86" s="267" t="n"/>
      <c r="AG86" s="267" t="n"/>
      <c r="AH86" s="267" t="n"/>
      <c r="AI86" s="267" t="n"/>
      <c r="AJ86" s="267" t="n"/>
      <c r="AK86" s="267" t="n"/>
      <c r="AL86" s="267" t="n"/>
      <c r="AM86" s="267" t="n"/>
      <c r="AN86" s="281" t="n"/>
      <c r="AP86" s="282" t="inlineStr">
        <is>
          <t>Implementation/Deconversion/Credits Jack Henry Products</t>
        </is>
      </c>
      <c r="AQ86" s="267" t="n"/>
      <c r="AR86" s="267" t="n"/>
      <c r="AS86" s="267" t="n"/>
      <c r="AT86" s="267" t="n"/>
      <c r="AU86" s="267" t="n"/>
      <c r="AV86" s="267" t="n"/>
      <c r="AW86" s="267" t="n"/>
      <c r="AX86" s="267" t="n"/>
      <c r="AY86" s="267" t="n"/>
      <c r="AZ86" s="267" t="n"/>
      <c r="BA86" s="267" t="n"/>
      <c r="BB86" s="267" t="n"/>
      <c r="BC86" s="267" t="n"/>
      <c r="BD86" s="267" t="n"/>
      <c r="BE86" s="267" t="n"/>
      <c r="BF86" s="267" t="n"/>
      <c r="BG86" s="267" t="n"/>
      <c r="BH86" s="267" t="n"/>
      <c r="BI86" s="267" t="n"/>
      <c r="BJ86" s="267" t="n"/>
      <c r="BK86" s="267" t="n"/>
      <c r="BL86" s="267" t="n"/>
      <c r="BM86" s="267" t="n"/>
      <c r="BN86" s="267" t="n"/>
      <c r="BO86" s="267" t="n"/>
      <c r="BP86" s="267" t="n"/>
      <c r="BQ86" s="267" t="n"/>
      <c r="BR86" s="267" t="n"/>
      <c r="BS86" s="267" t="n"/>
      <c r="BT86" s="267" t="n"/>
      <c r="BU86" s="267" t="n"/>
      <c r="BV86" s="267" t="n"/>
      <c r="BW86" s="267" t="n"/>
      <c r="BX86" s="267" t="n"/>
      <c r="BY86" s="267" t="n"/>
      <c r="BZ86" s="267" t="n"/>
      <c r="CA86" s="268" t="n"/>
      <c r="CC86" s="282" t="inlineStr">
        <is>
          <t>Implementation/Deconversion/Credits</t>
        </is>
      </c>
      <c r="CD86" s="267" t="n"/>
      <c r="CE86" s="267" t="n"/>
      <c r="CF86" s="267" t="n"/>
      <c r="CG86" s="267" t="n"/>
      <c r="CH86" s="267" t="n"/>
      <c r="CI86" s="267" t="n"/>
      <c r="CJ86" s="267" t="n"/>
      <c r="CK86" s="267" t="n"/>
      <c r="CL86" s="267" t="n"/>
      <c r="CM86" s="267" t="n"/>
      <c r="CN86" s="267" t="n"/>
      <c r="CO86" s="267" t="n"/>
      <c r="CP86" s="267" t="n"/>
      <c r="CQ86" s="267" t="n"/>
      <c r="CR86" s="267" t="n"/>
      <c r="CS86" s="267" t="n"/>
      <c r="CT86" s="267" t="n"/>
      <c r="CU86" s="267" t="n"/>
      <c r="CV86" s="267" t="n"/>
      <c r="CW86" s="267" t="n"/>
      <c r="CX86" s="267" t="n"/>
      <c r="CY86" s="267" t="n"/>
      <c r="CZ86" s="267" t="n"/>
      <c r="DA86" s="267" t="n"/>
      <c r="DB86" s="267" t="n"/>
      <c r="DC86" s="267" t="n"/>
      <c r="DD86" s="267" t="n"/>
      <c r="DE86" s="267" t="n"/>
      <c r="DF86" s="267" t="n"/>
      <c r="DG86" s="267" t="n"/>
      <c r="DH86" s="267" t="n"/>
      <c r="DI86" s="267" t="n"/>
      <c r="DJ86" s="267" t="n"/>
      <c r="DK86" s="267" t="n"/>
      <c r="DL86" s="267" t="n"/>
      <c r="DM86" s="268"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27" t="inlineStr">
        <is>
          <t>Card Production Implementation Fee</t>
        </is>
      </c>
      <c r="P87" s="13" t="inlineStr">
        <is>
          <t>Card Production</t>
        </is>
      </c>
      <c r="Q87" s="20" t="n">
        <v>1250</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P87" s="114" t="inlineStr">
        <is>
          <t>One-Time</t>
        </is>
      </c>
      <c r="AQ87" s="143" t="n">
        <v>1</v>
      </c>
      <c r="AR87" s="14">
        <f>IF($AP87="Annual",1,IF($AP87="Monthly F",12,IF($AP87="Monthly V",AQ87*12,IF($AP87="One-Time",1,AQ87*12))))</f>
        <v/>
      </c>
      <c r="AS87" s="14">
        <f t="array" ref="AS87">IFERROR(_xlfn.IFS(VALUE(MID(AS$5,6,1))&gt;$D$2,0,$AP87="Annual",1,AR87=12,12,$AP87="Monthly V",AR87*(1+$D$3),$AP87="Monthly F",12,$AP87="One-Time",0),AR87*(1+$D$3))</f>
        <v/>
      </c>
      <c r="AT87" s="14">
        <f t="array" ref="AT87">IFERROR(_xlfn.IFS(VALUE(MID(AT$5,6,1))&gt;$D$2,0,$AP87="Annual",1,AS87=12,12,$AP87="Monthly V",AS87*(1+$D$3),$AP87="Monthly F",12,$AP87="One-Time",0),AS87*(1+$D$3))</f>
        <v/>
      </c>
      <c r="AU87" s="14">
        <f t="array" ref="AU87">IFERROR(_xlfn.IFS(VALUE(MID(AU$5,6,1))&gt;$D$2,0,$AP87="Annual",1,AT87=12,12,$AP87="Monthly V",AT87*(1+$D$3),$AP87="Monthly F",12,$AP87="One-Time",0),AT87*(1+$D$3))</f>
        <v/>
      </c>
      <c r="AV87" s="14">
        <f t="array" ref="AV87">IFERROR(_xlfn.IFS(VALUE(MID(AV$5,6,1))&gt;$D$2,0,$AP87="Annual",1,AU87=12,12,$AP87="Monthly V",AU87*(1+$D$3),$AP87="Monthly F",12,$AP87="One-Time",0),AU87*(1+$D$3))</f>
        <v/>
      </c>
      <c r="AW87" s="14">
        <f t="array" ref="AW87">IFERROR(_xlfn.IFS(VALUE(MID(AW$5,6,1))&gt;$D$2,0,$AP87="Annual",1,AV87=12,12,$AP87="Monthly V",AV87*(1+$D$3),$AP87="Monthly F",12,$AP87="One-Time",0),AV87*(1+$D$3))</f>
        <v/>
      </c>
      <c r="AX87" s="14">
        <f t="array" ref="AX87">IFERROR(_xlfn.IFS(VALUE(MID(AX$5,6,1))&gt;$D$2,0,$AP87="Annual",1,AW87=12,12,$AP87="Monthly V",AW87*(1+$D$3),$AP87="Monthly F",12,$AP87="One-Time",0),AW87*(1+$D$3))</f>
        <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OutLink Item Processing Customer Training</t>
        </is>
      </c>
      <c r="BC87" s="144" t="inlineStr">
        <is>
          <t>OutLink Item Processing</t>
        </is>
      </c>
      <c r="BD87" s="145" t="n">
        <v>1125</v>
      </c>
      <c r="BE87" s="21">
        <f>BF87/12</f>
        <v/>
      </c>
      <c r="BF87" s="39">
        <f>IFERROR(AR87*$BD87,0)</f>
        <v/>
      </c>
      <c r="BG87" s="39">
        <f>IFERROR(AS87*$BD87,0)</f>
        <v/>
      </c>
      <c r="BH87" s="39">
        <f>IFERROR(AT87*$BD87,0)</f>
        <v/>
      </c>
      <c r="BI87" s="39">
        <f>IFERROR(AU87*$BD87,0)</f>
        <v/>
      </c>
      <c r="BJ87" s="39">
        <f>IFERROR(AV87*$BD87,0)</f>
        <v/>
      </c>
      <c r="BK87" s="39">
        <f>IFERROR(AW87*$BD87,0)</f>
        <v/>
      </c>
      <c r="BL87" s="39">
        <f>IFERROR(AX87*$BD87,0)</f>
        <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27" t="inlineStr">
        <is>
          <t>DirectLink Risk Review (DLRR) Implementation Fee</t>
        </is>
      </c>
      <c r="P88" s="13" t="inlineStr">
        <is>
          <t>DirectLink Risk Review (DLRR)</t>
        </is>
      </c>
      <c r="Q88" s="20" t="n">
        <v>17015</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P88" s="114" t="inlineStr">
        <is>
          <t>One-Time</t>
        </is>
      </c>
      <c r="AQ88" s="143" t="n">
        <v>1</v>
      </c>
      <c r="AR88" s="14">
        <f>IF($AP88="Annual",1,IF($AP88="Monthly F",12,IF($AP88="Monthly V",AQ88*12,IF($AP88="One-Time",1,AQ88*12))))</f>
        <v/>
      </c>
      <c r="AS88" s="14">
        <f t="array" ref="AS88">IFERROR(_xlfn.IFS(VALUE(MID(AS$5,6,1))&gt;$D$2,0,$AP88="Annual",1,AR88=12,12,$AP88="Monthly V",AR88*(1+$D$3),$AP88="Monthly F",12,$AP88="One-Time",0),AR88*(1+$D$3))</f>
        <v/>
      </c>
      <c r="AT88" s="14">
        <f t="array" ref="AT88">IFERROR(_xlfn.IFS(VALUE(MID(AT$5,6,1))&gt;$D$2,0,$AP88="Annual",1,AS88=12,12,$AP88="Monthly V",AS88*(1+$D$3),$AP88="Monthly F",12,$AP88="One-Time",0),AS88*(1+$D$3))</f>
        <v/>
      </c>
      <c r="AU88" s="14">
        <f t="array" ref="AU88">IFERROR(_xlfn.IFS(VALUE(MID(AU$5,6,1))&gt;$D$2,0,$AP88="Annual",1,AT88=12,12,$AP88="Monthly V",AT88*(1+$D$3),$AP88="Monthly F",12,$AP88="One-Time",0),AT88*(1+$D$3))</f>
        <v/>
      </c>
      <c r="AV88" s="14">
        <f t="array" ref="AV88">IFERROR(_xlfn.IFS(VALUE(MID(AV$5,6,1))&gt;$D$2,0,$AP88="Annual",1,AU88=12,12,$AP88="Monthly V",AU88*(1+$D$3),$AP88="Monthly F",12,$AP88="One-Time",0),AU88*(1+$D$3))</f>
        <v/>
      </c>
      <c r="AW88" s="14">
        <f t="array" ref="AW88">IFERROR(_xlfn.IFS(VALUE(MID(AW$5,6,1))&gt;$D$2,0,$AP88="Annual",1,AV88=12,12,$AP88="Monthly V",AV88*(1+$D$3),$AP88="Monthly F",12,$AP88="One-Time",0),AV88*(1+$D$3))</f>
        <v/>
      </c>
      <c r="AX88" s="14">
        <f t="array" ref="AX88">IFERROR(_xlfn.IFS(VALUE(MID(AX$5,6,1))&gt;$D$2,0,$AP88="Annual",1,AW88=12,12,$AP88="Monthly V",AW88*(1+$D$3),$AP88="Monthly F",12,$AP88="One-Time",0),AW88*(1+$D$3))</f>
        <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Synergy eSign and eSignWeb Bundle</t>
        </is>
      </c>
      <c r="BC88" s="144" t="inlineStr">
        <is>
          <t>Synergy</t>
        </is>
      </c>
      <c r="BD88" s="145" t="n">
        <v>15750</v>
      </c>
      <c r="BE88" s="21">
        <f>BF88/12</f>
        <v/>
      </c>
      <c r="BF88" s="39">
        <f>IFERROR(AR88*$BD88,0)</f>
        <v/>
      </c>
      <c r="BG88" s="39">
        <f>IFERROR(AS88*$BD88,0)</f>
        <v/>
      </c>
      <c r="BH88" s="39">
        <f>IFERROR(AT88*$BD88,0)</f>
        <v/>
      </c>
      <c r="BI88" s="39">
        <f>IFERROR(AU88*$BD88,0)</f>
        <v/>
      </c>
      <c r="BJ88" s="39">
        <f>IFERROR(AV88*$BD88,0)</f>
        <v/>
      </c>
      <c r="BK88" s="39">
        <f>IFERROR(AW88*$BD88,0)</f>
        <v/>
      </c>
      <c r="BL88" s="39">
        <f>IFERROR(AX88*$BD88,0)</f>
        <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27" t="inlineStr">
        <is>
          <t>Card Suite Pro (digital debit card controls) Implementation Fee</t>
        </is>
      </c>
      <c r="P89" s="13" t="inlineStr">
        <is>
          <t>Card Suite Pro</t>
        </is>
      </c>
      <c r="Q89" s="20" t="n">
        <v>4000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P89" s="114" t="inlineStr">
        <is>
          <t>One-Time</t>
        </is>
      </c>
      <c r="AQ89" s="143" t="n">
        <v>1</v>
      </c>
      <c r="AR89" s="14">
        <f>IF($AP89="Annual",1,IF($AP89="Monthly F",12,IF($AP89="Monthly V",AQ89*12,IF($AP89="One-Time",1,AQ89*12))))</f>
        <v/>
      </c>
      <c r="AS89" s="14">
        <f t="array" ref="AS89">IFERROR(_xlfn.IFS(VALUE(MID(AS$5,6,1))&gt;$D$2,0,$AP89="Annual",1,AR89=12,12,$AP89="Monthly V",AR89*(1+$D$3),$AP89="Monthly F",12,$AP89="One-Time",0),AR89*(1+$D$3))</f>
        <v/>
      </c>
      <c r="AT89" s="14">
        <f t="array" ref="AT89">IFERROR(_xlfn.IFS(VALUE(MID(AT$5,6,1))&gt;$D$2,0,$AP89="Annual",1,AS89=12,12,$AP89="Monthly V",AS89*(1+$D$3),$AP89="Monthly F",12,$AP89="One-Time",0),AS89*(1+$D$3))</f>
        <v/>
      </c>
      <c r="AU89" s="14">
        <f t="array" ref="AU89">IFERROR(_xlfn.IFS(VALUE(MID(AU$5,6,1))&gt;$D$2,0,$AP89="Annual",1,AT89=12,12,$AP89="Monthly V",AT89*(1+$D$3),$AP89="Monthly F",12,$AP89="One-Time",0),AT89*(1+$D$3))</f>
        <v/>
      </c>
      <c r="AV89" s="14">
        <f t="array" ref="AV89">IFERROR(_xlfn.IFS(VALUE(MID(AV$5,6,1))&gt;$D$2,0,$AP89="Annual",1,AU89=12,12,$AP89="Monthly V",AU89*(1+$D$3),$AP89="Monthly F",12,$AP89="One-Time",0),AU89*(1+$D$3))</f>
        <v/>
      </c>
      <c r="AW89" s="14">
        <f t="array" ref="AW89">IFERROR(_xlfn.IFS(VALUE(MID(AW$5,6,1))&gt;$D$2,0,$AP89="Annual",1,AV89=12,12,$AP89="Monthly V",AV89*(1+$D$3),$AP89="Monthly F",12,$AP89="One-Time",0),AV89*(1+$D$3))</f>
        <v/>
      </c>
      <c r="AX89" s="14">
        <f t="array" ref="AX89">IFERROR(_xlfn.IFS(VALUE(MID(AX$5,6,1))&gt;$D$2,0,$AP89="Annual",1,AW89=12,12,$AP89="Monthly V",AW89*(1+$D$3),$AP89="Monthly F",12,$AP89="One-Time",0),AW89*(1+$D$3))</f>
        <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Synergy ECM Administrator Education Pack (Virtual, instructor-led training and eLearning)</t>
        </is>
      </c>
      <c r="BC89" s="144" t="inlineStr">
        <is>
          <t>Synergy</t>
        </is>
      </c>
      <c r="BD89" s="145" t="n">
        <v>2600</v>
      </c>
      <c r="BE89" s="21">
        <f>BF89/12</f>
        <v/>
      </c>
      <c r="BF89" s="39">
        <f>IFERROR(AR89*$BD89,0)</f>
        <v/>
      </c>
      <c r="BG89" s="39">
        <f>IFERROR(AS89*$BD89,0)</f>
        <v/>
      </c>
      <c r="BH89" s="39">
        <f>IFERROR(AT89*$BD89,0)</f>
        <v/>
      </c>
      <c r="BI89" s="39">
        <f>IFERROR(AU89*$BD89,0)</f>
        <v/>
      </c>
      <c r="BJ89" s="39">
        <f>IFERROR(AV89*$BD89,0)</f>
        <v/>
      </c>
      <c r="BK89" s="39">
        <f>IFERROR(AW89*$BD89,0)</f>
        <v/>
      </c>
      <c r="BL89" s="39">
        <f>IFERROR(AX89*$BD89,0)</f>
        <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27" t="inlineStr">
        <is>
          <t>Payments One Full-Service Debit Card Fraud Disputes</t>
        </is>
      </c>
      <c r="P90" s="13" t="inlineStr">
        <is>
          <t>Payments One</t>
        </is>
      </c>
      <c r="Q90" s="20" t="n">
        <v>1500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P90" s="114" t="inlineStr">
        <is>
          <t>One-Time</t>
        </is>
      </c>
      <c r="AQ90" s="143" t="n">
        <v>1</v>
      </c>
      <c r="AR90" s="14">
        <f>IF($AP90="Annual",1,IF($AP90="Monthly F",12,IF($AP90="Monthly V",AQ90*12,IF($AP90="One-Time",1,AQ90*12))))</f>
        <v/>
      </c>
      <c r="AS90" s="14">
        <f t="array" ref="AS90">IFERROR(_xlfn.IFS(VALUE(MID(AS$5,6,1))&gt;$D$2,0,$AP90="Annual",1,AR90=12,12,$AP90="Monthly V",AR90*(1+$D$3),$AP90="Monthly F",12,$AP90="One-Time",0),AR90*(1+$D$3))</f>
        <v/>
      </c>
      <c r="AT90" s="14">
        <f t="array" ref="AT90">IFERROR(_xlfn.IFS(VALUE(MID(AT$5,6,1))&gt;$D$2,0,$AP90="Annual",1,AS90=12,12,$AP90="Monthly V",AS90*(1+$D$3),$AP90="Monthly F",12,$AP90="One-Time",0),AS90*(1+$D$3))</f>
        <v/>
      </c>
      <c r="AU90" s="14">
        <f t="array" ref="AU90">IFERROR(_xlfn.IFS(VALUE(MID(AU$5,6,1))&gt;$D$2,0,$AP90="Annual",1,AT90=12,12,$AP90="Monthly V",AT90*(1+$D$3),$AP90="Monthly F",12,$AP90="One-Time",0),AT90*(1+$D$3))</f>
        <v/>
      </c>
      <c r="AV90" s="14">
        <f t="array" ref="AV90">IFERROR(_xlfn.IFS(VALUE(MID(AV$5,6,1))&gt;$D$2,0,$AP90="Annual",1,AU90=12,12,$AP90="Monthly V",AU90*(1+$D$3),$AP90="Monthly F",12,$AP90="One-Time",0),AU90*(1+$D$3))</f>
        <v/>
      </c>
      <c r="AW90" s="14">
        <f t="array" ref="AW90">IFERROR(_xlfn.IFS(VALUE(MID(AW$5,6,1))&gt;$D$2,0,$AP90="Annual",1,AV90=12,12,$AP90="Monthly V",AV90*(1+$D$3),$AP90="Monthly F",12,$AP90="One-Time",0),AV90*(1+$D$3))</f>
        <v/>
      </c>
      <c r="AX90" s="14">
        <f t="array" ref="AX90">IFERROR(_xlfn.IFS(VALUE(MID(AX$5,6,1))&gt;$D$2,0,$AP90="Annual",1,AW90=12,12,$AP90="Monthly V",AW90*(1+$D$3),$AP90="Monthly F",12,$AP90="One-Time",0),AW90*(1+$D$3))</f>
        <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Synergy ECM User/Operator Education Pack (eLearning)</t>
        </is>
      </c>
      <c r="BC90" s="144" t="inlineStr">
        <is>
          <t>Synergy</t>
        </is>
      </c>
      <c r="BD90" s="145" t="n">
        <v>3250</v>
      </c>
      <c r="BE90" s="21">
        <f>BF90/12</f>
        <v/>
      </c>
      <c r="BF90" s="39">
        <f>IFERROR(AR90*$BD90,0)</f>
        <v/>
      </c>
      <c r="BG90" s="39">
        <f>IFERROR(AS90*$BD90,0)</f>
        <v/>
      </c>
      <c r="BH90" s="39">
        <f>IFERROR(AT90*$BD90,0)</f>
        <v/>
      </c>
      <c r="BI90" s="39">
        <f>IFERROR(AU90*$BD90,0)</f>
        <v/>
      </c>
      <c r="BJ90" s="39">
        <f>IFERROR(AV90*$BD90,0)</f>
        <v/>
      </c>
      <c r="BK90" s="39">
        <f>IFERROR(AW90*$BD90,0)</f>
        <v/>
      </c>
      <c r="BL90" s="39">
        <f>IFERROR(AX90*$BD90,0)</f>
        <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27" t="inlineStr">
        <is>
          <t>Tokenization (Apple Pay, Additional Pays)</t>
        </is>
      </c>
      <c r="P91" s="13" t="inlineStr">
        <is>
          <t>Tokenization</t>
        </is>
      </c>
      <c r="Q91" s="20" t="n">
        <v>13600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P91" s="114" t="inlineStr">
        <is>
          <t>One-Time</t>
        </is>
      </c>
      <c r="AQ91" s="143" t="n">
        <v>1</v>
      </c>
      <c r="AR91" s="14">
        <f>IF($AP91="Annual",1,IF($AP91="Monthly F",12,IF($AP91="Monthly V",AQ91*12,IF($AP91="One-Time",1,AQ91*12))))</f>
        <v/>
      </c>
      <c r="AS91" s="14">
        <f t="array" ref="AS91">IFERROR(_xlfn.IFS(VALUE(MID(AS$5,6,1))&gt;$D$2,0,$AP91="Annual",1,AR91=12,12,$AP91="Monthly V",AR91*(1+$D$3),$AP91="Monthly F",12,$AP91="One-Time",0),AR91*(1+$D$3))</f>
        <v/>
      </c>
      <c r="AT91" s="14">
        <f t="array" ref="AT91">IFERROR(_xlfn.IFS(VALUE(MID(AT$5,6,1))&gt;$D$2,0,$AP91="Annual",1,AS91=12,12,$AP91="Monthly V",AS91*(1+$D$3),$AP91="Monthly F",12,$AP91="One-Time",0),AS91*(1+$D$3))</f>
        <v/>
      </c>
      <c r="AU91" s="14">
        <f t="array" ref="AU91">IFERROR(_xlfn.IFS(VALUE(MID(AU$5,6,1))&gt;$D$2,0,$AP91="Annual",1,AT91=12,12,$AP91="Monthly V",AT91*(1+$D$3),$AP91="Monthly F",12,$AP91="One-Time",0),AT91*(1+$D$3))</f>
        <v/>
      </c>
      <c r="AV91" s="14">
        <f t="array" ref="AV91">IFERROR(_xlfn.IFS(VALUE(MID(AV$5,6,1))&gt;$D$2,0,$AP91="Annual",1,AU91=12,12,$AP91="Monthly V",AU91*(1+$D$3),$AP91="Monthly F",12,$AP91="One-Time",0),AU91*(1+$D$3))</f>
        <v/>
      </c>
      <c r="AW91" s="14">
        <f t="array" ref="AW91">IFERROR(_xlfn.IFS(VALUE(MID(AW$5,6,1))&gt;$D$2,0,$AP91="Annual",1,AV91=12,12,$AP91="Monthly V",AV91*(1+$D$3),$AP91="Monthly F",12,$AP91="One-Time",0),AV91*(1+$D$3))</f>
        <v/>
      </c>
      <c r="AX91" s="14">
        <f t="array" ref="AX91">IFERROR(_xlfn.IFS(VALUE(MID(AX$5,6,1))&gt;$D$2,0,$AP91="Annual",1,AW91=12,12,$AP91="Monthly V",AW91*(1+$D$3),$AP91="Monthly F",12,$AP91="One-Time",0),AW91*(1+$D$3))</f>
        <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Synergy Productivity Education Pack (Virtual, instructor-led training and eLearning)</t>
        </is>
      </c>
      <c r="BC91" s="144" t="inlineStr">
        <is>
          <t>Synergy</t>
        </is>
      </c>
      <c r="BD91" s="145" t="n">
        <v>1150</v>
      </c>
      <c r="BE91" s="21">
        <f>BF91/12</f>
        <v/>
      </c>
      <c r="BF91" s="39">
        <f>IFERROR(AR91*$BD91,0)</f>
        <v/>
      </c>
      <c r="BG91" s="39">
        <f>IFERROR(AS91*$BD91,0)</f>
        <v/>
      </c>
      <c r="BH91" s="39">
        <f>IFERROR(AT91*$BD91,0)</f>
        <v/>
      </c>
      <c r="BI91" s="39">
        <f>IFERROR(AU91*$BD91,0)</f>
        <v/>
      </c>
      <c r="BJ91" s="39">
        <f>IFERROR(AV91*$BD91,0)</f>
        <v/>
      </c>
      <c r="BK91" s="39">
        <f>IFERROR(AW91*$BD91,0)</f>
        <v/>
      </c>
      <c r="BL91" s="39">
        <f>IFERROR(AX91*$BD91,0)</f>
        <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27" t="inlineStr">
        <is>
          <t>NYCE Preferred Debit Card Network</t>
        </is>
      </c>
      <c r="P92" s="13" t="inlineStr">
        <is>
          <t>NYCE</t>
        </is>
      </c>
      <c r="Q92" s="20" t="n">
        <v>1500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P92" s="114" t="inlineStr">
        <is>
          <t>One-Time</t>
        </is>
      </c>
      <c r="AQ92" s="143" t="n">
        <v>1</v>
      </c>
      <c r="AR92" s="14">
        <f>IF($AP92="Annual",1,IF($AP92="Monthly F",12,IF($AP92="Monthly V",AQ92*12,IF($AP92="One-Time",1,AQ92*12))))</f>
        <v/>
      </c>
      <c r="AS92" s="14">
        <f t="array" ref="AS92">IFERROR(_xlfn.IFS(VALUE(MID(AS$5,6,1))&gt;$D$2,0,$AP92="Annual",1,AR92=12,12,$AP92="Monthly V",AR92*(1+$D$3),$AP92="Monthly F",12,$AP92="One-Time",0),AR92*(1+$D$3))</f>
        <v/>
      </c>
      <c r="AT92" s="14">
        <f t="array" ref="AT92">IFERROR(_xlfn.IFS(VALUE(MID(AT$5,6,1))&gt;$D$2,0,$AP92="Annual",1,AS92=12,12,$AP92="Monthly V",AS92*(1+$D$3),$AP92="Monthly F",12,$AP92="One-Time",0),AS92*(1+$D$3))</f>
        <v/>
      </c>
      <c r="AU92" s="14">
        <f t="array" ref="AU92">IFERROR(_xlfn.IFS(VALUE(MID(AU$5,6,1))&gt;$D$2,0,$AP92="Annual",1,AT92=12,12,$AP92="Monthly V",AT92*(1+$D$3),$AP92="Monthly F",12,$AP92="One-Time",0),AT92*(1+$D$3))</f>
        <v/>
      </c>
      <c r="AV92" s="14">
        <f t="array" ref="AV92">IFERROR(_xlfn.IFS(VALUE(MID(AV$5,6,1))&gt;$D$2,0,$AP92="Annual",1,AU92=12,12,$AP92="Monthly V",AU92*(1+$D$3),$AP92="Monthly F",12,$AP92="One-Time",0),AU92*(1+$D$3))</f>
        <v/>
      </c>
      <c r="AW92" s="14">
        <f t="array" ref="AW92">IFERROR(_xlfn.IFS(VALUE(MID(AW$5,6,1))&gt;$D$2,0,$AP92="Annual",1,AV92=12,12,$AP92="Monthly V",AV92*(1+$D$3),$AP92="Monthly F",12,$AP92="One-Time",0),AV92*(1+$D$3))</f>
        <v/>
      </c>
      <c r="AX92" s="14">
        <f t="array" ref="AX92">IFERROR(_xlfn.IFS(VALUE(MID(AX$5,6,1))&gt;$D$2,0,$AP92="Annual",1,AW92=12,12,$AP92="Monthly V",AW92*(1+$D$3),$AP92="Monthly F",12,$AP92="One-Time",0),AW92*(1+$D$3))</f>
        <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Synergy eSign &amp; eSignWeb Education Pack (Virtual, instructor-led training and eLearning)</t>
        </is>
      </c>
      <c r="BC92" s="144" t="inlineStr">
        <is>
          <t>Synergy</t>
        </is>
      </c>
      <c r="BD92" s="145" t="n">
        <v>1900</v>
      </c>
      <c r="BE92" s="21">
        <f>BF92/12</f>
        <v/>
      </c>
      <c r="BF92" s="39">
        <f>IFERROR(AR92*$BD92,0)</f>
        <v/>
      </c>
      <c r="BG92" s="39">
        <f>IFERROR(AS92*$BD92,0)</f>
        <v/>
      </c>
      <c r="BH92" s="39">
        <f>IFERROR(AT92*$BD92,0)</f>
        <v/>
      </c>
      <c r="BI92" s="39">
        <f>IFERROR(AU92*$BD92,0)</f>
        <v/>
      </c>
      <c r="BJ92" s="39">
        <f>IFERROR(AV92*$BD92,0)</f>
        <v/>
      </c>
      <c r="BK92" s="39">
        <f>IFERROR(AW92*$BD92,0)</f>
        <v/>
      </c>
      <c r="BL92" s="39">
        <f>IFERROR(AX92*$BD92,0)</f>
        <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27" t="inlineStr">
        <is>
          <t>FIS Implementation Credits</t>
        </is>
      </c>
      <c r="P93" s="13" t="n"/>
      <c r="Q93" s="20" t="n">
        <v>-844093</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P93" s="114" t="inlineStr">
        <is>
          <t>One-Time</t>
        </is>
      </c>
      <c r="AQ93" s="143" t="n">
        <v>1</v>
      </c>
      <c r="AR93" s="14">
        <f>IF($AP93="Annual",1,IF($AP93="Monthly F",12,IF($AP93="Monthly V",AQ93*12,IF($AP93="One-Time",1,AQ93*12))))</f>
        <v/>
      </c>
      <c r="AS93" s="14">
        <f t="array" ref="AS93">IFERROR(_xlfn.IFS(VALUE(MID(AS$5,6,1))&gt;$D$2,0,$AP93="Annual",1,AR93=12,12,$AP93="Monthly V",AR93*(1+$D$3),$AP93="Monthly F",12,$AP93="One-Time",0),AR93*(1+$D$3))</f>
        <v/>
      </c>
      <c r="AT93" s="14">
        <f t="array" ref="AT93">IFERROR(_xlfn.IFS(VALUE(MID(AT$5,6,1))&gt;$D$2,0,$AP93="Annual",1,AS93=12,12,$AP93="Monthly V",AS93*(1+$D$3),$AP93="Monthly F",12,$AP93="One-Time",0),AS93*(1+$D$3))</f>
        <v/>
      </c>
      <c r="AU93" s="14">
        <f t="array" ref="AU93">IFERROR(_xlfn.IFS(VALUE(MID(AU$5,6,1))&gt;$D$2,0,$AP93="Annual",1,AT93=12,12,$AP93="Monthly V",AT93*(1+$D$3),$AP93="Monthly F",12,$AP93="One-Time",0),AT93*(1+$D$3))</f>
        <v/>
      </c>
      <c r="AV93" s="14">
        <f t="array" ref="AV93">IFERROR(_xlfn.IFS(VALUE(MID(AV$5,6,1))&gt;$D$2,0,$AP93="Annual",1,AU93=12,12,$AP93="Monthly V",AU93*(1+$D$3),$AP93="Monthly F",12,$AP93="One-Time",0),AU93*(1+$D$3))</f>
        <v/>
      </c>
      <c r="AW93" s="14">
        <f t="array" ref="AW93">IFERROR(_xlfn.IFS(VALUE(MID(AW$5,6,1))&gt;$D$2,0,$AP93="Annual",1,AV93=12,12,$AP93="Monthly V",AV93*(1+$D$3),$AP93="Monthly F",12,$AP93="One-Time",0),AV93*(1+$D$3))</f>
        <v/>
      </c>
      <c r="AX93" s="14">
        <f t="array" ref="AX93">IFERROR(_xlfn.IFS(VALUE(MID(AX$5,6,1))&gt;$D$2,0,$AP93="Annual",1,AW93=12,12,$AP93="Monthly V",AW93*(1+$D$3),$AP93="Monthly F",12,$AP93="One-Time",0),AW93*(1+$D$3))</f>
        <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Synergy Implementation Consulting</t>
        </is>
      </c>
      <c r="BC93" s="144" t="inlineStr">
        <is>
          <t>Synergy</t>
        </is>
      </c>
      <c r="BD93" s="145" t="n">
        <v>5200</v>
      </c>
      <c r="BE93" s="21">
        <f>BF93/12</f>
        <v/>
      </c>
      <c r="BF93" s="39">
        <f>IFERROR(AR93*$BD93,0)</f>
        <v/>
      </c>
      <c r="BG93" s="39">
        <f>IFERROR(AS93*$BD93,0)</f>
        <v/>
      </c>
      <c r="BH93" s="39">
        <f>IFERROR(AT93*$BD93,0)</f>
        <v/>
      </c>
      <c r="BI93" s="39">
        <f>IFERROR(AU93*$BD93,0)</f>
        <v/>
      </c>
      <c r="BJ93" s="39">
        <f>IFERROR(AV93*$BD93,0)</f>
        <v/>
      </c>
      <c r="BK93" s="39">
        <f>IFERROR(AW93*$BD93,0)</f>
        <v/>
      </c>
      <c r="BL93" s="39">
        <f>IFERROR(AX93*$BD93,0)</f>
        <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27" t="inlineStr">
        <is>
          <t>Third Party Implementation Credits</t>
        </is>
      </c>
      <c r="P94" s="13" t="n"/>
      <c r="Q94" s="20" t="n">
        <v>-137070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P94" s="114" t="inlineStr">
        <is>
          <t>One-Time</t>
        </is>
      </c>
      <c r="AQ94" s="143" t="n">
        <v>1</v>
      </c>
      <c r="AR94" s="14">
        <f>IF($AP94="Annual",1,IF($AP94="Monthly F",12,IF($AP94="Monthly V",AQ94*12,IF($AP94="One-Time",1,AQ94*12))))</f>
        <v/>
      </c>
      <c r="AS94" s="14">
        <f t="array" ref="AS94">IFERROR(_xlfn.IFS(VALUE(MID(AS$5,6,1))&gt;$D$2,0,$AP94="Annual",1,AR94=12,12,$AP94="Monthly V",AR94*(1+$D$3),$AP94="Monthly F",12,$AP94="One-Time",0),AR94*(1+$D$3))</f>
        <v/>
      </c>
      <c r="AT94" s="14">
        <f t="array" ref="AT94">IFERROR(_xlfn.IFS(VALUE(MID(AT$5,6,1))&gt;$D$2,0,$AP94="Annual",1,AS94=12,12,$AP94="Monthly V",AS94*(1+$D$3),$AP94="Monthly F",12,$AP94="One-Time",0),AS94*(1+$D$3))</f>
        <v/>
      </c>
      <c r="AU94" s="14">
        <f t="array" ref="AU94">IFERROR(_xlfn.IFS(VALUE(MID(AU$5,6,1))&gt;$D$2,0,$AP94="Annual",1,AT94=12,12,$AP94="Monthly V",AT94*(1+$D$3),$AP94="Monthly F",12,$AP94="One-Time",0),AT94*(1+$D$3))</f>
        <v/>
      </c>
      <c r="AV94" s="14">
        <f t="array" ref="AV94">IFERROR(_xlfn.IFS(VALUE(MID(AV$5,6,1))&gt;$D$2,0,$AP94="Annual",1,AU94=12,12,$AP94="Monthly V",AU94*(1+$D$3),$AP94="Monthly F",12,$AP94="One-Time",0),AU94*(1+$D$3))</f>
        <v/>
      </c>
      <c r="AW94" s="14">
        <f t="array" ref="AW94">IFERROR(_xlfn.IFS(VALUE(MID(AW$5,6,1))&gt;$D$2,0,$AP94="Annual",1,AV94=12,12,$AP94="Monthly V",AV94*(1+$D$3),$AP94="Monthly F",12,$AP94="One-Time",0),AV94*(1+$D$3))</f>
        <v/>
      </c>
      <c r="AX94" s="14">
        <f t="array" ref="AX94">IFERROR(_xlfn.IFS(VALUE(MID(AX$5,6,1))&gt;$D$2,0,$AP94="Annual",1,AW94=12,12,$AP94="Monthly V",AW94*(1+$D$3),$AP94="Monthly F",12,$AP94="One-Time",0),AW94*(1+$D$3))</f>
        <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CorPay Integration</t>
        </is>
      </c>
      <c r="BC94" s="144" t="inlineStr">
        <is>
          <t>DirectLine</t>
        </is>
      </c>
      <c r="BD94" s="145" t="n">
        <v>2500</v>
      </c>
      <c r="BE94" s="21">
        <f>BF94/12</f>
        <v/>
      </c>
      <c r="BF94" s="39">
        <f>IFERROR(AR94*$BD94,0)</f>
        <v/>
      </c>
      <c r="BG94" s="39">
        <f>IFERROR(AS94*$BD94,0)</f>
        <v/>
      </c>
      <c r="BH94" s="39">
        <f>IFERROR(AT94*$BD94,0)</f>
        <v/>
      </c>
      <c r="BI94" s="39">
        <f>IFERROR(AU94*$BD94,0)</f>
        <v/>
      </c>
      <c r="BJ94" s="39">
        <f>IFERROR(AV94*$BD94,0)</f>
        <v/>
      </c>
      <c r="BK94" s="39">
        <f>IFERROR(AW94*$BD94,0)</f>
        <v/>
      </c>
      <c r="BL94" s="39">
        <f>IFERROR(AX94*$BD94,0)</f>
        <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27" t="inlineStr">
        <is>
          <t>Signing Bonus</t>
        </is>
      </c>
      <c r="P95" s="13" t="n"/>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P95" s="114" t="inlineStr">
        <is>
          <t>One-Time</t>
        </is>
      </c>
      <c r="AQ95" s="143" t="n">
        <v>1</v>
      </c>
      <c r="AR95" s="14">
        <f>IF($AP95="Annual",1,IF($AP95="Monthly F",12,IF($AP95="Monthly V",AQ95*12,IF($AP95="One-Time",1,AQ95*12))))</f>
        <v/>
      </c>
      <c r="AS95" s="14">
        <f t="array" ref="AS95">IFERROR(_xlfn.IFS(VALUE(MID(AS$5,6,1))&gt;$D$2,0,$AP95="Annual",1,AR95=12,12,$AP95="Monthly V",AR95*(1+$D$3),$AP95="Monthly F",12,$AP95="One-Time",0),AR95*(1+$D$3))</f>
        <v/>
      </c>
      <c r="AT95" s="14">
        <f t="array" ref="AT95">IFERROR(_xlfn.IFS(VALUE(MID(AT$5,6,1))&gt;$D$2,0,$AP95="Annual",1,AS95=12,12,$AP95="Monthly V",AS95*(1+$D$3),$AP95="Monthly F",12,$AP95="One-Time",0),AS95*(1+$D$3))</f>
        <v/>
      </c>
      <c r="AU95" s="14">
        <f t="array" ref="AU95">IFERROR(_xlfn.IFS(VALUE(MID(AU$5,6,1))&gt;$D$2,0,$AP95="Annual",1,AT95=12,12,$AP95="Monthly V",AT95*(1+$D$3),$AP95="Monthly F",12,$AP95="One-Time",0),AT95*(1+$D$3))</f>
        <v/>
      </c>
      <c r="AV95" s="14">
        <f t="array" ref="AV95">IFERROR(_xlfn.IFS(VALUE(MID(AV$5,6,1))&gt;$D$2,0,$AP95="Annual",1,AU95=12,12,$AP95="Monthly V",AU95*(1+$D$3),$AP95="Monthly F",12,$AP95="One-Time",0),AU95*(1+$D$3))</f>
        <v/>
      </c>
      <c r="AW95" s="14">
        <f t="array" ref="AW95">IFERROR(_xlfn.IFS(VALUE(MID(AW$5,6,1))&gt;$D$2,0,$AP95="Annual",1,AV95=12,12,$AP95="Monthly V",AV95*(1+$D$3),$AP95="Monthly F",12,$AP95="One-Time",0),AV95*(1+$D$3))</f>
        <v/>
      </c>
      <c r="AX95" s="14">
        <f t="array" ref="AX95">IFERROR(_xlfn.IFS(VALUE(MID(AX$5,6,1))&gt;$D$2,0,$AP95="Annual",1,AW95=12,12,$AP95="Monthly V",AW95*(1+$D$3),$AP95="Monthly F",12,$AP95="One-Time",0),AW95*(1+$D$3))</f>
        <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Financial Crimes Defender Enterprise</t>
        </is>
      </c>
      <c r="BC95" s="144" t="inlineStr">
        <is>
          <t>Fraud</t>
        </is>
      </c>
      <c r="BD95" s="145" t="n">
        <v>14167.5</v>
      </c>
      <c r="BE95" s="21">
        <f>BF95/12</f>
        <v/>
      </c>
      <c r="BF95" s="39">
        <f>IFERROR(AR95*$BD95,0)</f>
        <v/>
      </c>
      <c r="BG95" s="39">
        <f>IFERROR(AS95*$BD95,0)</f>
        <v/>
      </c>
      <c r="BH95" s="39">
        <f>IFERROR(AT95*$BD95,0)</f>
        <v/>
      </c>
      <c r="BI95" s="39">
        <f>IFERROR(AU95*$BD95,0)</f>
        <v/>
      </c>
      <c r="BJ95" s="39">
        <f>IFERROR(AV95*$BD95,0)</f>
        <v/>
      </c>
      <c r="BK95" s="39">
        <f>IFERROR(AW95*$BD95,0)</f>
        <v/>
      </c>
      <c r="BL95" s="39">
        <f>IFERROR(AX95*$BD95,0)</f>
        <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27" t="inlineStr">
        <is>
          <t>D1 Commercial Implementation Fee</t>
        </is>
      </c>
      <c r="P96" s="13" t="inlineStr">
        <is>
          <t>D1 Commercial</t>
        </is>
      </c>
      <c r="Q96" s="20" t="n">
        <v>350000</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P96" s="114" t="inlineStr">
        <is>
          <t>One-Time</t>
        </is>
      </c>
      <c r="AQ96" s="143" t="n">
        <v>1</v>
      </c>
      <c r="AR96" s="14">
        <f>IF($AP96="Annual",1,IF($AP96="Monthly F",12,IF($AP96="Monthly V",AQ96*12,IF($AP96="One-Time",1,AQ96*12))))</f>
        <v/>
      </c>
      <c r="AS96" s="14">
        <f t="array" ref="AS96">IFERROR(_xlfn.IFS(VALUE(MID(AS$5,6,1))&gt;$D$2,0,$AP96="Annual",1,AR96=12,12,$AP96="Monthly V",AR96*(1+$D$3),$AP96="Monthly F",12,$AP96="One-Time",0),AR96*(1+$D$3))</f>
        <v/>
      </c>
      <c r="AT96" s="14">
        <f t="array" ref="AT96">IFERROR(_xlfn.IFS(VALUE(MID(AT$5,6,1))&gt;$D$2,0,$AP96="Annual",1,AS96=12,12,$AP96="Monthly V",AS96*(1+$D$3),$AP96="Monthly F",12,$AP96="One-Time",0),AS96*(1+$D$3))</f>
        <v/>
      </c>
      <c r="AU96" s="14">
        <f t="array" ref="AU96">IFERROR(_xlfn.IFS(VALUE(MID(AU$5,6,1))&gt;$D$2,0,$AP96="Annual",1,AT96=12,12,$AP96="Monthly V",AT96*(1+$D$3),$AP96="Monthly F",12,$AP96="One-Time",0),AT96*(1+$D$3))</f>
        <v/>
      </c>
      <c r="AV96" s="14">
        <f t="array" ref="AV96">IFERROR(_xlfn.IFS(VALUE(MID(AV$5,6,1))&gt;$D$2,0,$AP96="Annual",1,AU96=12,12,$AP96="Monthly V",AU96*(1+$D$3),$AP96="Monthly F",12,$AP96="One-Time",0),AU96*(1+$D$3))</f>
        <v/>
      </c>
      <c r="AW96" s="14">
        <f t="array" ref="AW96">IFERROR(_xlfn.IFS(VALUE(MID(AW$5,6,1))&gt;$D$2,0,$AP96="Annual",1,AV96=12,12,$AP96="Monthly V",AV96*(1+$D$3),$AP96="Monthly F",12,$AP96="One-Time",0),AV96*(1+$D$3))</f>
        <v/>
      </c>
      <c r="AX96" s="14">
        <f t="array" ref="AX96">IFERROR(_xlfn.IFS(VALUE(MID(AX$5,6,1))&gt;$D$2,0,$AP96="Annual",1,AW96=12,12,$AP96="Monthly V",AW96*(1+$D$3),$AP96="Monthly F",12,$AP96="One-Time",0),AW96*(1+$D$3))</f>
        <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Jack Henry Financial Crimes Defender Real-time Payments Zelle Initial</t>
        </is>
      </c>
      <c r="BC96" s="144" t="inlineStr">
        <is>
          <t>Fraud</t>
        </is>
      </c>
      <c r="BD96" s="145" t="n">
        <v>6000</v>
      </c>
      <c r="BE96" s="21">
        <f>BF96/12</f>
        <v/>
      </c>
      <c r="BF96" s="39">
        <f>IFERROR(AR96*$BD96,0)</f>
        <v/>
      </c>
      <c r="BG96" s="39">
        <f>IFERROR(AS96*$BD96,0)</f>
        <v/>
      </c>
      <c r="BH96" s="39">
        <f>IFERROR(AT96*$BD96,0)</f>
        <v/>
      </c>
      <c r="BI96" s="39">
        <f>IFERROR(AU96*$BD96,0)</f>
        <v/>
      </c>
      <c r="BJ96" s="39">
        <f>IFERROR(AV96*$BD96,0)</f>
        <v/>
      </c>
      <c r="BK96" s="39">
        <f>IFERROR(AW96*$BD96,0)</f>
        <v/>
      </c>
      <c r="BL96" s="39">
        <f>IFERROR(AX96*$BD96,0)</f>
        <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27" t="inlineStr">
        <is>
          <t>Collaboration Hub Implementation Fee</t>
        </is>
      </c>
      <c r="P97" s="13" t="n"/>
      <c r="Q97" s="20" t="n">
        <v>16134</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P97" s="114" t="inlineStr">
        <is>
          <t>One-Time</t>
        </is>
      </c>
      <c r="AQ97" s="143" t="n">
        <v>1</v>
      </c>
      <c r="AR97" s="14">
        <f>IF($AP97="Annual",1,IF($AP97="Monthly F",12,IF($AP97="Monthly V",AQ97*12,IF($AP97="One-Time",1,AQ97*12))))</f>
        <v/>
      </c>
      <c r="AS97" s="14">
        <f t="array" ref="AS97">IFERROR(_xlfn.IFS(VALUE(MID(AS$5,6,1))&gt;$D$2,0,$AP97="Annual",1,AR97=12,12,$AP97="Monthly V",AR97*(1+$D$3),$AP97="Monthly F",12,$AP97="One-Time",0),AR97*(1+$D$3))</f>
        <v/>
      </c>
      <c r="AT97" s="14">
        <f t="array" ref="AT97">IFERROR(_xlfn.IFS(VALUE(MID(AT$5,6,1))&gt;$D$2,0,$AP97="Annual",1,AS97=12,12,$AP97="Monthly V",AS97*(1+$D$3),$AP97="Monthly F",12,$AP97="One-Time",0),AS97*(1+$D$3))</f>
        <v/>
      </c>
      <c r="AU97" s="14">
        <f t="array" ref="AU97">IFERROR(_xlfn.IFS(VALUE(MID(AU$5,6,1))&gt;$D$2,0,$AP97="Annual",1,AT97=12,12,$AP97="Monthly V",AT97*(1+$D$3),$AP97="Monthly F",12,$AP97="One-Time",0),AT97*(1+$D$3))</f>
        <v/>
      </c>
      <c r="AV97" s="14">
        <f t="array" ref="AV97">IFERROR(_xlfn.IFS(VALUE(MID(AV$5,6,1))&gt;$D$2,0,$AP97="Annual",1,AU97=12,12,$AP97="Monthly V",AU97*(1+$D$3),$AP97="Monthly F",12,$AP97="One-Time",0),AU97*(1+$D$3))</f>
        <v/>
      </c>
      <c r="AW97" s="14">
        <f t="array" ref="AW97">IFERROR(_xlfn.IFS(VALUE(MID(AW$5,6,1))&gt;$D$2,0,$AP97="Annual",1,AV97=12,12,$AP97="Monthly V",AV97*(1+$D$3),$AP97="Monthly F",12,$AP97="One-Time",0),AV97*(1+$D$3))</f>
        <v/>
      </c>
      <c r="AX97" s="14">
        <f t="array" ref="AX97">IFERROR(_xlfn.IFS(VALUE(MID(AX$5,6,1))&gt;$D$2,0,$AP97="Annual",1,AW97=12,12,$AP97="Monthly V",AW97*(1+$D$3),$AP97="Monthly F",12,$AP97="One-Time",0),AW97*(1+$D$3))</f>
        <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Jack Henry Financial Crimes Defender Consulting</t>
        </is>
      </c>
      <c r="BC97" s="144" t="inlineStr">
        <is>
          <t>Fraud</t>
        </is>
      </c>
      <c r="BD97" s="145" t="n">
        <v>28500</v>
      </c>
      <c r="BE97" s="21">
        <f>BF97/12</f>
        <v/>
      </c>
      <c r="BF97" s="39">
        <f>IFERROR(AR97*$BD97,0)</f>
        <v/>
      </c>
      <c r="BG97" s="39">
        <f>IFERROR(AS97*$BD97,0)</f>
        <v/>
      </c>
      <c r="BH97" s="39">
        <f>IFERROR(AT97*$BD97,0)</f>
        <v/>
      </c>
      <c r="BI97" s="39">
        <f>IFERROR(AU97*$BD97,0)</f>
        <v/>
      </c>
      <c r="BJ97" s="39">
        <f>IFERROR(AV97*$BD97,0)</f>
        <v/>
      </c>
      <c r="BK97" s="39">
        <f>IFERROR(AW97*$BD97,0)</f>
        <v/>
      </c>
      <c r="BL97" s="39">
        <f>IFERROR(AX97*$BD97,0)</f>
        <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n"/>
      <c r="C98" s="24" t="n"/>
      <c r="D98" s="147" t="n"/>
      <c r="E98" s="142" t="n"/>
      <c r="F98" s="14" t="n"/>
      <c r="G98" s="14" t="n"/>
      <c r="H98" s="14" t="n"/>
      <c r="I98" s="14" t="n"/>
      <c r="J98" s="14" t="n"/>
      <c r="K98" s="14" t="n"/>
      <c r="L98" s="14" t="n"/>
      <c r="M98" s="14" t="n"/>
      <c r="N98" s="24" t="n"/>
      <c r="O98" s="157" t="n"/>
      <c r="P98" s="13" t="n"/>
      <c r="Q98" s="20" t="n"/>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P98" s="114" t="inlineStr">
        <is>
          <t>One-Time</t>
        </is>
      </c>
      <c r="AQ98" s="143" t="n">
        <v>1</v>
      </c>
      <c r="AR98" s="14">
        <f>IF($AP98="Annual",1,IF($AP98="Monthly F",12,IF($AP98="Monthly V",AQ98*12,IF($AP98="One-Time",1,AQ98*12))))</f>
        <v/>
      </c>
      <c r="AS98" s="14">
        <f t="array" ref="AS98">IFERROR(_xlfn.IFS(VALUE(MID(AS$5,6,1))&gt;$D$2,0,$AP98="Annual",1,AR98=12,12,$AP98="Monthly V",AR98*(1+$D$3),$AP98="Monthly F",12,$AP98="One-Time",0),AR98*(1+$D$3))</f>
        <v/>
      </c>
      <c r="AT98" s="14">
        <f t="array" ref="AT98">IFERROR(_xlfn.IFS(VALUE(MID(AT$5,6,1))&gt;$D$2,0,$AP98="Annual",1,AS98=12,12,$AP98="Monthly V",AS98*(1+$D$3),$AP98="Monthly F",12,$AP98="One-Time",0),AS98*(1+$D$3))</f>
        <v/>
      </c>
      <c r="AU98" s="14">
        <f t="array" ref="AU98">IFERROR(_xlfn.IFS(VALUE(MID(AU$5,6,1))&gt;$D$2,0,$AP98="Annual",1,AT98=12,12,$AP98="Monthly V",AT98*(1+$D$3),$AP98="Monthly F",12,$AP98="One-Time",0),AT98*(1+$D$3))</f>
        <v/>
      </c>
      <c r="AV98" s="14">
        <f t="array" ref="AV98">IFERROR(_xlfn.IFS(VALUE(MID(AV$5,6,1))&gt;$D$2,0,$AP98="Annual",1,AU98=12,12,$AP98="Monthly V",AU98*(1+$D$3),$AP98="Monthly F",12,$AP98="One-Time",0),AU98*(1+$D$3))</f>
        <v/>
      </c>
      <c r="AW98" s="14">
        <f t="array" ref="AW98">IFERROR(_xlfn.IFS(VALUE(MID(AW$5,6,1))&gt;$D$2,0,$AP98="Annual",1,AV98=12,12,$AP98="Monthly V",AV98*(1+$D$3),$AP98="Monthly F",12,$AP98="One-Time",0),AV98*(1+$D$3))</f>
        <v/>
      </c>
      <c r="AX98" s="14">
        <f t="array" ref="AX98">IFERROR(_xlfn.IFS(VALUE(MID(AX$5,6,1))&gt;$D$2,0,$AP98="Annual",1,AW98=12,12,$AP98="Monthly V",AW98*(1+$D$3),$AP98="Monthly F",12,$AP98="One-Time",0),AW98*(1+$D$3))</f>
        <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jhaEnterprise Workflow Consulting</t>
        </is>
      </c>
      <c r="BC98" s="144" t="inlineStr">
        <is>
          <t>jhaEnterprise Workflow</t>
        </is>
      </c>
      <c r="BD98" s="145" t="n">
        <v>12500</v>
      </c>
      <c r="BE98" s="21">
        <f>BF98/12</f>
        <v/>
      </c>
      <c r="BF98" s="39">
        <f>IFERROR(AR98*$BD98,0)</f>
        <v/>
      </c>
      <c r="BG98" s="39">
        <f>IFERROR(AS98*$BD98,0)</f>
        <v/>
      </c>
      <c r="BH98" s="39">
        <f>IFERROR(AT98*$BD98,0)</f>
        <v/>
      </c>
      <c r="BI98" s="39">
        <f>IFERROR(AU98*$BD98,0)</f>
        <v/>
      </c>
      <c r="BJ98" s="39">
        <f>IFERROR(AV98*$BD98,0)</f>
        <v/>
      </c>
      <c r="BK98" s="39">
        <f>IFERROR(AW98*$BD98,0)</f>
        <v/>
      </c>
      <c r="BL98" s="39">
        <f>IFERROR(AX98*$BD98,0)</f>
        <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n"/>
      <c r="C99" s="24" t="n"/>
      <c r="D99" s="147" t="n"/>
      <c r="E99" s="142" t="n"/>
      <c r="F99" s="14" t="n"/>
      <c r="G99" s="14" t="n"/>
      <c r="H99" s="14" t="n"/>
      <c r="I99" s="14" t="n"/>
      <c r="J99" s="14" t="n"/>
      <c r="K99" s="14" t="n"/>
      <c r="L99" s="14" t="n"/>
      <c r="M99" s="14" t="n"/>
      <c r="N99" s="24" t="n"/>
      <c r="O99" s="157" t="n"/>
      <c r="P99" s="13" t="n"/>
      <c r="Q99" s="20" t="n"/>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P99" s="114" t="inlineStr">
        <is>
          <t>One-Time</t>
        </is>
      </c>
      <c r="AQ99" s="143" t="n">
        <v>1</v>
      </c>
      <c r="AR99" s="14">
        <f>IF($AP99="Annual",1,IF($AP99="Monthly F",12,IF($AP99="Monthly V",AQ99*12,IF($AP99="One-Time",1,AQ99*12))))</f>
        <v/>
      </c>
      <c r="AS99" s="14">
        <f t="array" ref="AS99">IFERROR(_xlfn.IFS(VALUE(MID(AS$5,6,1))&gt;$D$2,0,$AP99="Annual",1,AR99=12,12,$AP99="Monthly V",AR99*(1+$D$3),$AP99="Monthly F",12,$AP99="One-Time",0),AR99*(1+$D$3))</f>
        <v/>
      </c>
      <c r="AT99" s="14">
        <f t="array" ref="AT99">IFERROR(_xlfn.IFS(VALUE(MID(AT$5,6,1))&gt;$D$2,0,$AP99="Annual",1,AS99=12,12,$AP99="Monthly V",AS99*(1+$D$3),$AP99="Monthly F",12,$AP99="One-Time",0),AS99*(1+$D$3))</f>
        <v/>
      </c>
      <c r="AU99" s="14">
        <f t="array" ref="AU99">IFERROR(_xlfn.IFS(VALUE(MID(AU$5,6,1))&gt;$D$2,0,$AP99="Annual",1,AT99=12,12,$AP99="Monthly V",AT99*(1+$D$3),$AP99="Monthly F",12,$AP99="One-Time",0),AT99*(1+$D$3))</f>
        <v/>
      </c>
      <c r="AV99" s="14">
        <f t="array" ref="AV99">IFERROR(_xlfn.IFS(VALUE(MID(AV$5,6,1))&gt;$D$2,0,$AP99="Annual",1,AU99=12,12,$AP99="Monthly V",AU99*(1+$D$3),$AP99="Monthly F",12,$AP99="One-Time",0),AU99*(1+$D$3))</f>
        <v/>
      </c>
      <c r="AW99" s="14">
        <f t="array" ref="AW99">IFERROR(_xlfn.IFS(VALUE(MID(AW$5,6,1))&gt;$D$2,0,$AP99="Annual",1,AV99=12,12,$AP99="Monthly V",AV99*(1+$D$3),$AP99="Monthly F",12,$AP99="One-Time",0),AV99*(1+$D$3))</f>
        <v/>
      </c>
      <c r="AX99" s="14">
        <f t="array" ref="AX99">IFERROR(_xlfn.IFS(VALUE(MID(AX$5,6,1))&gt;$D$2,0,$AP99="Annual",1,AW99=12,12,$AP99="Monthly V",AW99*(1+$D$3),$AP99="Monthly F",12,$AP99="One-Time",0),AW99*(1+$D$3))</f>
        <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jhaEnterprise Workflow Training Shared</t>
        </is>
      </c>
      <c r="BC99" s="144" t="inlineStr">
        <is>
          <t>jhaEnterprise Workflow</t>
        </is>
      </c>
      <c r="BD99" s="145" t="n">
        <v>3600</v>
      </c>
      <c r="BE99" s="21">
        <f>BF99/12</f>
        <v/>
      </c>
      <c r="BF99" s="39">
        <f>IFERROR(AR99*$BD99,0)</f>
        <v/>
      </c>
      <c r="BG99" s="39">
        <f>IFERROR(AS99*$BD99,0)</f>
        <v/>
      </c>
      <c r="BH99" s="39">
        <f>IFERROR(AT99*$BD99,0)</f>
        <v/>
      </c>
      <c r="BI99" s="39">
        <f>IFERROR(AU99*$BD99,0)</f>
        <v/>
      </c>
      <c r="BJ99" s="39">
        <f>IFERROR(AV99*$BD99,0)</f>
        <v/>
      </c>
      <c r="BK99" s="39">
        <f>IFERROR(AW99*$BD99,0)</f>
        <v/>
      </c>
      <c r="BL99" s="39">
        <f>IFERROR(AX99*$BD99,0)</f>
        <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n"/>
      <c r="C100" s="24" t="n"/>
      <c r="D100" s="147" t="n"/>
      <c r="E100" s="142" t="n"/>
      <c r="F100" s="14" t="n"/>
      <c r="G100" s="14" t="n"/>
      <c r="H100" s="14" t="n"/>
      <c r="I100" s="14" t="n"/>
      <c r="J100" s="14" t="n"/>
      <c r="K100" s="14" t="n"/>
      <c r="L100" s="14" t="n"/>
      <c r="M100" s="14" t="n"/>
      <c r="N100" s="24" t="n"/>
      <c r="O100" s="127" t="n"/>
      <c r="P100" s="13" t="n"/>
      <c r="Q100" s="20" t="n"/>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P100" s="114" t="inlineStr">
        <is>
          <t>One-Time</t>
        </is>
      </c>
      <c r="AQ100" s="143" t="n">
        <v>1</v>
      </c>
      <c r="AR100" s="14">
        <f>IF($AP100="Annual",1,IF($AP100="Monthly F",12,IF($AP100="Monthly V",AQ100*12,IF($AP100="One-Time",1,AQ100*12))))</f>
        <v/>
      </c>
      <c r="AS100" s="14">
        <f t="array" ref="AS100">IFERROR(_xlfn.IFS(VALUE(MID(AS$5,6,1))&gt;$D$2,0,$AP100="Annual",1,AR100=12,12,$AP100="Monthly V",AR100*(1+$D$3),$AP100="Monthly F",12,$AP100="One-Time",0),AR100*(1+$D$3))</f>
        <v/>
      </c>
      <c r="AT100" s="14">
        <f t="array" ref="AT100">IFERROR(_xlfn.IFS(VALUE(MID(AT$5,6,1))&gt;$D$2,0,$AP100="Annual",1,AS100=12,12,$AP100="Monthly V",AS100*(1+$D$3),$AP100="Monthly F",12,$AP100="One-Time",0),AS100*(1+$D$3))</f>
        <v/>
      </c>
      <c r="AU100" s="14">
        <f t="array" ref="AU100">IFERROR(_xlfn.IFS(VALUE(MID(AU$5,6,1))&gt;$D$2,0,$AP100="Annual",1,AT100=12,12,$AP100="Monthly V",AT100*(1+$D$3),$AP100="Monthly F",12,$AP100="One-Time",0),AT100*(1+$D$3))</f>
        <v/>
      </c>
      <c r="AV100" s="14">
        <f t="array" ref="AV100">IFERROR(_xlfn.IFS(VALUE(MID(AV$5,6,1))&gt;$D$2,0,$AP100="Annual",1,AU100=12,12,$AP100="Monthly V",AU100*(1+$D$3),$AP100="Monthly F",12,$AP100="One-Time",0),AU100*(1+$D$3))</f>
        <v/>
      </c>
      <c r="AW100" s="14">
        <f t="array" ref="AW100">IFERROR(_xlfn.IFS(VALUE(MID(AW$5,6,1))&gt;$D$2,0,$AP100="Annual",1,AV100=12,12,$AP100="Monthly V",AV100*(1+$D$3),$AP100="Monthly F",12,$AP100="One-Time",0),AV100*(1+$D$3))</f>
        <v/>
      </c>
      <c r="AX100" s="14">
        <f t="array" ref="AX100">IFERROR(_xlfn.IFS(VALUE(MID(AX$5,6,1))&gt;$D$2,0,$AP100="Annual",1,AW100=12,12,$AP100="Monthly V",AW100*(1+$D$3),$AP100="Monthly F",12,$AP100="One-Time",0),AW100*(1+$D$3))</f>
        <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Cognos BI Bundles</t>
        </is>
      </c>
      <c r="BC100" s="144" t="inlineStr">
        <is>
          <t>Cognos</t>
        </is>
      </c>
      <c r="BD100" s="145" t="n">
        <v>5500</v>
      </c>
      <c r="BE100" s="21">
        <f>BF100/12</f>
        <v/>
      </c>
      <c r="BF100" s="39">
        <f>IFERROR(AR100*$BD100,0)</f>
        <v/>
      </c>
      <c r="BG100" s="39">
        <f>IFERROR(AS100*$BD100,0)</f>
        <v/>
      </c>
      <c r="BH100" s="39">
        <f>IFERROR(AT100*$BD100,0)</f>
        <v/>
      </c>
      <c r="BI100" s="39">
        <f>IFERROR(AU100*$BD100,0)</f>
        <v/>
      </c>
      <c r="BJ100" s="39">
        <f>IFERROR(AV100*$BD100,0)</f>
        <v/>
      </c>
      <c r="BK100" s="39">
        <f>IFERROR(AW100*$BD100,0)</f>
        <v/>
      </c>
      <c r="BL100" s="39">
        <f>IFERROR(AX100*$BD100,0)</f>
        <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n"/>
      <c r="C101" s="24" t="n"/>
      <c r="D101" s="147" t="n"/>
      <c r="E101" s="142" t="n"/>
      <c r="F101" s="14" t="n"/>
      <c r="G101" s="14" t="n"/>
      <c r="H101" s="14" t="n"/>
      <c r="I101" s="14" t="n"/>
      <c r="J101" s="14" t="n"/>
      <c r="K101" s="14" t="n"/>
      <c r="L101" s="14" t="n"/>
      <c r="M101" s="14" t="n"/>
      <c r="N101" s="24" t="n"/>
      <c r="O101" s="127" t="n"/>
      <c r="P101" s="13" t="n"/>
      <c r="Q101" s="20" t="n"/>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P101" s="114" t="inlineStr">
        <is>
          <t>One-Time</t>
        </is>
      </c>
      <c r="AQ101" s="143" t="n">
        <v>1</v>
      </c>
      <c r="AR101" s="14">
        <f>IF($AP101="Annual",1,IF($AP101="Monthly F",12,IF($AP101="Monthly V",AQ101*12,IF($AP101="One-Time",1,AQ101*12))))</f>
        <v/>
      </c>
      <c r="AS101" s="14">
        <f t="array" ref="AS101">IFERROR(_xlfn.IFS(VALUE(MID(AS$5,6,1))&gt;$D$2,0,$AP101="Annual",1,AR101=12,12,$AP101="Monthly V",AR101*(1+$D$3),$AP101="Monthly F",12,$AP101="One-Time",0),AR101*(1+$D$3))</f>
        <v/>
      </c>
      <c r="AT101" s="14">
        <f t="array" ref="AT101">IFERROR(_xlfn.IFS(VALUE(MID(AT$5,6,1))&gt;$D$2,0,$AP101="Annual",1,AS101=12,12,$AP101="Monthly V",AS101*(1+$D$3),$AP101="Monthly F",12,$AP101="One-Time",0),AS101*(1+$D$3))</f>
        <v/>
      </c>
      <c r="AU101" s="14">
        <f t="array" ref="AU101">IFERROR(_xlfn.IFS(VALUE(MID(AU$5,6,1))&gt;$D$2,0,$AP101="Annual",1,AT101=12,12,$AP101="Monthly V",AT101*(1+$D$3),$AP101="Monthly F",12,$AP101="One-Time",0),AT101*(1+$D$3))</f>
        <v/>
      </c>
      <c r="AV101" s="14">
        <f t="array" ref="AV101">IFERROR(_xlfn.IFS(VALUE(MID(AV$5,6,1))&gt;$D$2,0,$AP101="Annual",1,AU101=12,12,$AP101="Monthly V",AU101*(1+$D$3),$AP101="Monthly F",12,$AP101="One-Time",0),AU101*(1+$D$3))</f>
        <v/>
      </c>
      <c r="AW101" s="14">
        <f t="array" ref="AW101">IFERROR(_xlfn.IFS(VALUE(MID(AW$5,6,1))&gt;$D$2,0,$AP101="Annual",1,AV101=12,12,$AP101="Monthly V",AV101*(1+$D$3),$AP101="Monthly F",12,$AP101="One-Time",0),AV101*(1+$D$3))</f>
        <v/>
      </c>
      <c r="AX101" s="14">
        <f t="array" ref="AX101">IFERROR(_xlfn.IFS(VALUE(MID(AX$5,6,1))&gt;$D$2,0,$AP101="Annual",1,AW101=12,12,$AP101="Monthly V",AW101*(1+$D$3),$AP101="Monthly F",12,$AP101="One-Time",0),AW101*(1+$D$3))</f>
        <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Core Implementation Training</t>
        </is>
      </c>
      <c r="BC101" s="144" t="inlineStr">
        <is>
          <t>SilverLake</t>
        </is>
      </c>
      <c r="BD101" s="145" t="n">
        <v>30000</v>
      </c>
      <c r="BE101" s="21">
        <f>BF101/12</f>
        <v/>
      </c>
      <c r="BF101" s="39">
        <f>IFERROR(AR101*$BD101,0)</f>
        <v/>
      </c>
      <c r="BG101" s="39">
        <f>IFERROR(AS101*$BD101,0)</f>
        <v/>
      </c>
      <c r="BH101" s="39">
        <f>IFERROR(AT101*$BD101,0)</f>
        <v/>
      </c>
      <c r="BI101" s="39">
        <f>IFERROR(AU101*$BD101,0)</f>
        <v/>
      </c>
      <c r="BJ101" s="39">
        <f>IFERROR(AV101*$BD101,0)</f>
        <v/>
      </c>
      <c r="BK101" s="39">
        <f>IFERROR(AW101*$BD101,0)</f>
        <v/>
      </c>
      <c r="BL101" s="39">
        <f>IFERROR(AX101*$BD101,0)</f>
        <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n"/>
      <c r="C102" s="24" t="n"/>
      <c r="D102" s="147" t="n"/>
      <c r="E102" s="142" t="n"/>
      <c r="F102" s="14" t="n"/>
      <c r="G102" s="14" t="n"/>
      <c r="H102" s="14" t="n"/>
      <c r="I102" s="14" t="n"/>
      <c r="J102" s="14" t="n"/>
      <c r="K102" s="14" t="n"/>
      <c r="L102" s="14" t="n"/>
      <c r="M102" s="14" t="n"/>
      <c r="N102" s="24" t="n"/>
      <c r="O102" s="127" t="n"/>
      <c r="P102" s="13" t="n"/>
      <c r="Q102" s="20" t="n"/>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P102" s="114" t="inlineStr">
        <is>
          <t>One-Time</t>
        </is>
      </c>
      <c r="AQ102" s="143" t="n">
        <v>1</v>
      </c>
      <c r="AR102" s="14">
        <f>IF($AP102="Annual",1,IF($AP102="Monthly F",12,IF($AP102="Monthly V",AQ102*12,IF($AP102="One-Time",1,AQ102*12))))</f>
        <v/>
      </c>
      <c r="AS102" s="14">
        <f t="array" ref="AS102">IFERROR(_xlfn.IFS(VALUE(MID(AS$5,6,1))&gt;$D$2,0,$AP102="Annual",1,AR102=12,12,$AP102="Monthly V",AR102*(1+$D$3),$AP102="Monthly F",12,$AP102="One-Time",0),AR102*(1+$D$3))</f>
        <v/>
      </c>
      <c r="AT102" s="14">
        <f t="array" ref="AT102">IFERROR(_xlfn.IFS(VALUE(MID(AT$5,6,1))&gt;$D$2,0,$AP102="Annual",1,AS102=12,12,$AP102="Monthly V",AS102*(1+$D$3),$AP102="Monthly F",12,$AP102="One-Time",0),AS102*(1+$D$3))</f>
        <v/>
      </c>
      <c r="AU102" s="14">
        <f t="array" ref="AU102">IFERROR(_xlfn.IFS(VALUE(MID(AU$5,6,1))&gt;$D$2,0,$AP102="Annual",1,AT102=12,12,$AP102="Monthly V",AT102*(1+$D$3),$AP102="Monthly F",12,$AP102="One-Time",0),AT102*(1+$D$3))</f>
        <v/>
      </c>
      <c r="AV102" s="14">
        <f t="array" ref="AV102">IFERROR(_xlfn.IFS(VALUE(MID(AV$5,6,1))&gt;$D$2,0,$AP102="Annual",1,AU102=12,12,$AP102="Monthly V",AU102*(1+$D$3),$AP102="Monthly F",12,$AP102="One-Time",0),AU102*(1+$D$3))</f>
        <v/>
      </c>
      <c r="AW102" s="14">
        <f t="array" ref="AW102">IFERROR(_xlfn.IFS(VALUE(MID(AW$5,6,1))&gt;$D$2,0,$AP102="Annual",1,AV102=12,12,$AP102="Monthly V",AV102*(1+$D$3),$AP102="Monthly F",12,$AP102="One-Time",0),AV102*(1+$D$3))</f>
        <v/>
      </c>
      <c r="AX102" s="14">
        <f t="array" ref="AX102">IFERROR(_xlfn.IFS(VALUE(MID(AX$5,6,1))&gt;$D$2,0,$AP102="Annual",1,AW102=12,12,$AP102="Monthly V",AW102*(1+$D$3),$AP102="Monthly F",12,$AP102="One-Time",0),AW102*(1+$D$3))</f>
        <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User and Device Administration Training</t>
        </is>
      </c>
      <c r="BC102" s="144" t="inlineStr">
        <is>
          <t>SilverLake</t>
        </is>
      </c>
      <c r="BD102" s="145" t="n">
        <v>5000</v>
      </c>
      <c r="BE102" s="21">
        <f>BF102/12</f>
        <v/>
      </c>
      <c r="BF102" s="39">
        <f>IFERROR(AR102*$BD102,0)</f>
        <v/>
      </c>
      <c r="BG102" s="39">
        <f>IFERROR(AS102*$BD102,0)</f>
        <v/>
      </c>
      <c r="BH102" s="39">
        <f>IFERROR(AT102*$BD102,0)</f>
        <v/>
      </c>
      <c r="BI102" s="39">
        <f>IFERROR(AU102*$BD102,0)</f>
        <v/>
      </c>
      <c r="BJ102" s="39">
        <f>IFERROR(AV102*$BD102,0)</f>
        <v/>
      </c>
      <c r="BK102" s="39">
        <f>IFERROR(AW102*$BD102,0)</f>
        <v/>
      </c>
      <c r="BL102" s="39">
        <f>IFERROR(AX102*$BD102,0)</f>
        <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n"/>
      <c r="C103" s="24" t="n"/>
      <c r="D103" s="147" t="n"/>
      <c r="E103" s="142" t="n"/>
      <c r="F103" s="14" t="n"/>
      <c r="G103" s="14" t="n"/>
      <c r="H103" s="14" t="n"/>
      <c r="I103" s="14" t="n"/>
      <c r="J103" s="14" t="n"/>
      <c r="K103" s="14" t="n"/>
      <c r="L103" s="14" t="n"/>
      <c r="M103" s="14" t="n"/>
      <c r="N103" s="24" t="n"/>
      <c r="O103" s="127" t="n"/>
      <c r="P103" s="13" t="n"/>
      <c r="Q103" s="20" t="n"/>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P103" s="114" t="inlineStr">
        <is>
          <t>One-Time</t>
        </is>
      </c>
      <c r="AQ103" s="143" t="n">
        <v>1</v>
      </c>
      <c r="AR103" s="14">
        <f>IF($AP103="Annual",1,IF($AP103="Monthly F",12,IF($AP103="Monthly V",AQ103*12,IF($AP103="One-Time",1,AQ103*12))))</f>
        <v/>
      </c>
      <c r="AS103" s="14">
        <f t="array" ref="AS103">IFERROR(_xlfn.IFS(VALUE(MID(AS$5,6,1))&gt;$D$2,0,$AP103="Annual",1,AR103=12,12,$AP103="Monthly V",AR103*(1+$D$3),$AP103="Monthly F",12,$AP103="One-Time",0),AR103*(1+$D$3))</f>
        <v/>
      </c>
      <c r="AT103" s="14">
        <f t="array" ref="AT103">IFERROR(_xlfn.IFS(VALUE(MID(AT$5,6,1))&gt;$D$2,0,$AP103="Annual",1,AS103=12,12,$AP103="Monthly V",AS103*(1+$D$3),$AP103="Monthly F",12,$AP103="One-Time",0),AS103*(1+$D$3))</f>
        <v/>
      </c>
      <c r="AU103" s="14">
        <f t="array" ref="AU103">IFERROR(_xlfn.IFS(VALUE(MID(AU$5,6,1))&gt;$D$2,0,$AP103="Annual",1,AT103=12,12,$AP103="Monthly V",AT103*(1+$D$3),$AP103="Monthly F",12,$AP103="One-Time",0),AT103*(1+$D$3))</f>
        <v/>
      </c>
      <c r="AV103" s="14">
        <f t="array" ref="AV103">IFERROR(_xlfn.IFS(VALUE(MID(AV$5,6,1))&gt;$D$2,0,$AP103="Annual",1,AU103=12,12,$AP103="Monthly V",AU103*(1+$D$3),$AP103="Monthly F",12,$AP103="One-Time",0),AU103*(1+$D$3))</f>
        <v/>
      </c>
      <c r="AW103" s="14">
        <f t="array" ref="AW103">IFERROR(_xlfn.IFS(VALUE(MID(AW$5,6,1))&gt;$D$2,0,$AP103="Annual",1,AV103=12,12,$AP103="Monthly V",AV103*(1+$D$3),$AP103="Monthly F",12,$AP103="One-Time",0),AV103*(1+$D$3))</f>
        <v/>
      </c>
      <c r="AX103" s="14">
        <f t="array" ref="AX103">IFERROR(_xlfn.IFS(VALUE(MID(AX$5,6,1))&gt;$D$2,0,$AP103="Annual",1,AW103=12,12,$AP103="Monthly V",AW103*(1+$D$3),$AP103="Monthly F",12,$AP103="One-Time",0),AW103*(1+$D$3))</f>
        <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Day 2 Project Management - 45 Days engagement</t>
        </is>
      </c>
      <c r="BC103" s="144" t="inlineStr">
        <is>
          <t>SilverLake</t>
        </is>
      </c>
      <c r="BD103" s="145" t="n">
        <v>10000</v>
      </c>
      <c r="BE103" s="21">
        <f>BF103/12</f>
        <v/>
      </c>
      <c r="BF103" s="39">
        <f>IFERROR(AR103*$BD103,0)</f>
        <v/>
      </c>
      <c r="BG103" s="39">
        <f>IFERROR(AS103*$BD103,0)</f>
        <v/>
      </c>
      <c r="BH103" s="39">
        <f>IFERROR(AT103*$BD103,0)</f>
        <v/>
      </c>
      <c r="BI103" s="39">
        <f>IFERROR(AU103*$BD103,0)</f>
        <v/>
      </c>
      <c r="BJ103" s="39">
        <f>IFERROR(AV103*$BD103,0)</f>
        <v/>
      </c>
      <c r="BK103" s="39">
        <f>IFERROR(AW103*$BD103,0)</f>
        <v/>
      </c>
      <c r="BL103" s="39">
        <f>IFERROR(AX103*$BD103,0)</f>
        <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n"/>
      <c r="C104" s="24" t="n"/>
      <c r="D104" s="147" t="n"/>
      <c r="E104" s="142" t="n"/>
      <c r="F104" s="14" t="n"/>
      <c r="G104" s="14" t="n"/>
      <c r="H104" s="14" t="n"/>
      <c r="I104" s="14" t="n"/>
      <c r="J104" s="14" t="n"/>
      <c r="K104" s="14" t="n"/>
      <c r="L104" s="14" t="n"/>
      <c r="M104" s="14" t="n"/>
      <c r="N104" s="24" t="n"/>
      <c r="O104" s="127" t="n"/>
      <c r="P104" s="13" t="n"/>
      <c r="Q104" s="20" t="n"/>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P104" s="114" t="inlineStr">
        <is>
          <t>One-Time</t>
        </is>
      </c>
      <c r="AQ104" s="143" t="n">
        <v>1</v>
      </c>
      <c r="AR104" s="14">
        <f>IF($AP104="Annual",1,IF($AP104="Monthly F",12,IF($AP104="Monthly V",AQ104*12,IF($AP104="One-Time",1,AQ104*12))))</f>
        <v/>
      </c>
      <c r="AS104" s="14">
        <f t="array" ref="AS104">IFERROR(_xlfn.IFS(VALUE(MID(AS$5,6,1))&gt;$D$2,0,$AP104="Annual",1,AR104=12,12,$AP104="Monthly V",AR104*(1+$D$3),$AP104="Monthly F",12,$AP104="One-Time",0),AR104*(1+$D$3))</f>
        <v/>
      </c>
      <c r="AT104" s="14">
        <f t="array" ref="AT104">IFERROR(_xlfn.IFS(VALUE(MID(AT$5,6,1))&gt;$D$2,0,$AP104="Annual",1,AS104=12,12,$AP104="Monthly V",AS104*(1+$D$3),$AP104="Monthly F",12,$AP104="One-Time",0),AS104*(1+$D$3))</f>
        <v/>
      </c>
      <c r="AU104" s="14">
        <f t="array" ref="AU104">IFERROR(_xlfn.IFS(VALUE(MID(AU$5,6,1))&gt;$D$2,0,$AP104="Annual",1,AT104=12,12,$AP104="Monthly V",AT104*(1+$D$3),$AP104="Monthly F",12,$AP104="One-Time",0),AT104*(1+$D$3))</f>
        <v/>
      </c>
      <c r="AV104" s="14">
        <f t="array" ref="AV104">IFERROR(_xlfn.IFS(VALUE(MID(AV$5,6,1))&gt;$D$2,0,$AP104="Annual",1,AU104=12,12,$AP104="Monthly V",AU104*(1+$D$3),$AP104="Monthly F",12,$AP104="One-Time",0),AU104*(1+$D$3))</f>
        <v/>
      </c>
      <c r="AW104" s="14">
        <f t="array" ref="AW104">IFERROR(_xlfn.IFS(VALUE(MID(AW$5,6,1))&gt;$D$2,0,$AP104="Annual",1,AV104=12,12,$AP104="Monthly V",AV104*(1+$D$3),$AP104="Monthly F",12,$AP104="One-Time",0),AV104*(1+$D$3))</f>
        <v/>
      </c>
      <c r="AX104" s="14">
        <f t="array" ref="AX104">IFERROR(_xlfn.IFS(VALUE(MID(AX$5,6,1))&gt;$D$2,0,$AP104="Annual",1,AW104=12,12,$AP104="Monthly V",AW104*(1+$D$3),$AP104="Monthly F",12,$AP104="One-Time",0),AW104*(1+$D$3))</f>
        <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Web Hosting Showcase Plus</t>
        </is>
      </c>
      <c r="BC104" s="144" t="inlineStr">
        <is>
          <t>Web Hosting</t>
        </is>
      </c>
      <c r="BD104" s="145" t="n">
        <v>54000</v>
      </c>
      <c r="BE104" s="21">
        <f>BF104/12</f>
        <v/>
      </c>
      <c r="BF104" s="39">
        <f>IFERROR(AR104*$BD104,0)</f>
        <v/>
      </c>
      <c r="BG104" s="39">
        <f>IFERROR(AS104*$BD104,0)</f>
        <v/>
      </c>
      <c r="BH104" s="39">
        <f>IFERROR(AT104*$BD104,0)</f>
        <v/>
      </c>
      <c r="BI104" s="39">
        <f>IFERROR(AU104*$BD104,0)</f>
        <v/>
      </c>
      <c r="BJ104" s="39">
        <f>IFERROR(AV104*$BD104,0)</f>
        <v/>
      </c>
      <c r="BK104" s="39">
        <f>IFERROR(AW104*$BD104,0)</f>
        <v/>
      </c>
      <c r="BL104" s="39">
        <f>IFERROR(AX104*$BD104,0)</f>
        <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n"/>
      <c r="C105" s="24" t="n"/>
      <c r="D105" s="147" t="n"/>
      <c r="E105" s="142" t="n"/>
      <c r="F105" s="14" t="n"/>
      <c r="G105" s="14" t="n"/>
      <c r="H105" s="14" t="n"/>
      <c r="I105" s="14" t="n"/>
      <c r="J105" s="14" t="n"/>
      <c r="K105" s="14" t="n"/>
      <c r="L105" s="14" t="n"/>
      <c r="M105" s="14" t="n"/>
      <c r="N105" s="24" t="n"/>
      <c r="O105" s="127" t="n"/>
      <c r="P105" s="13" t="n"/>
      <c r="Q105" s="20" t="n"/>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27"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5.75" customHeight="1"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27"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5.75" customHeight="1"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27"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2" t="inlineStr">
        <is>
          <t>Implementation/Deconversion/Credits Licensed Products</t>
        </is>
      </c>
      <c r="AQ108" s="267" t="n"/>
      <c r="AR108" s="267" t="n"/>
      <c r="AS108" s="267" t="n"/>
      <c r="AT108" s="267" t="n"/>
      <c r="AU108" s="267" t="n"/>
      <c r="AV108" s="267" t="n"/>
      <c r="AW108" s="267" t="n"/>
      <c r="AX108" s="267" t="n"/>
      <c r="AY108" s="267" t="n"/>
      <c r="AZ108" s="267" t="n"/>
      <c r="BA108" s="267" t="n"/>
      <c r="BB108" s="267" t="n"/>
      <c r="BC108" s="267" t="n"/>
      <c r="BD108" s="267" t="n"/>
      <c r="BE108" s="267" t="n"/>
      <c r="BF108" s="267" t="n"/>
      <c r="BG108" s="267" t="n"/>
      <c r="BH108" s="267" t="n"/>
      <c r="BI108" s="267" t="n"/>
      <c r="BJ108" s="267" t="n"/>
      <c r="BK108" s="267" t="n"/>
      <c r="BL108" s="267" t="n"/>
      <c r="BM108" s="267" t="n"/>
      <c r="BN108" s="267" t="n"/>
      <c r="BO108" s="267" t="n"/>
      <c r="BP108" s="267" t="n"/>
      <c r="BQ108" s="267" t="n"/>
      <c r="BR108" s="267" t="n"/>
      <c r="BS108" s="267" t="n"/>
      <c r="BT108" s="267" t="n"/>
      <c r="BU108" s="267" t="n"/>
      <c r="BV108" s="267" t="n"/>
      <c r="BW108" s="267" t="n"/>
      <c r="BX108" s="267" t="n"/>
      <c r="BY108" s="267" t="n"/>
      <c r="BZ108" s="267" t="n"/>
      <c r="CA108" s="268"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5.75" customHeight="1" thickBot="1">
      <c r="B109" s="70" t="n"/>
      <c r="C109" s="83" t="n"/>
      <c r="D109" s="83" t="n"/>
      <c r="E109" s="99" t="n"/>
      <c r="F109" s="82" t="n"/>
      <c r="G109" s="82" t="n"/>
      <c r="H109" s="82" t="n"/>
      <c r="I109" s="82" t="n"/>
      <c r="J109" s="82" t="n"/>
      <c r="K109" s="82" t="n"/>
      <c r="L109" s="82" t="n"/>
      <c r="M109" s="82" t="n"/>
      <c r="N109" s="98" t="n"/>
      <c r="O109" s="84" t="n"/>
      <c r="P109" s="84" t="n"/>
      <c r="Q109" s="85" t="n"/>
      <c r="R109" s="86" t="n"/>
      <c r="S109" s="86" t="n"/>
      <c r="T109" s="86" t="n"/>
      <c r="U109" s="86" t="n"/>
      <c r="V109" s="86" t="n"/>
      <c r="W109" s="86" t="n"/>
      <c r="X109" s="86" t="n"/>
      <c r="Y109" s="86" t="n"/>
      <c r="Z109" s="86" t="n"/>
      <c r="AA109" s="86" t="n"/>
      <c r="AB109" s="86" t="n"/>
      <c r="AC109" s="86" t="n"/>
      <c r="AD109" s="86" t="n"/>
      <c r="AE109" s="86" t="n"/>
      <c r="AF109" s="86" t="n"/>
      <c r="AG109" s="86" t="n"/>
      <c r="AH109" s="86" t="n"/>
      <c r="AI109" s="86" t="n"/>
      <c r="AJ109" s="86" t="n"/>
      <c r="AK109" s="86" t="n"/>
      <c r="AL109" s="86" t="n"/>
      <c r="AM109" s="86" t="n"/>
      <c r="AN109" s="86"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5.75" customHeight="1" thickBot="1">
      <c r="B110" s="280" t="inlineStr">
        <is>
          <t>Implementation/Deconversion/Credits (Third Party)</t>
        </is>
      </c>
      <c r="C110" s="267" t="n"/>
      <c r="D110" s="267" t="n"/>
      <c r="E110" s="267" t="n"/>
      <c r="F110" s="267" t="n"/>
      <c r="G110" s="267" t="n"/>
      <c r="H110" s="267" t="n"/>
      <c r="I110" s="267" t="n"/>
      <c r="J110" s="267" t="n"/>
      <c r="K110" s="267" t="n"/>
      <c r="L110" s="267" t="n"/>
      <c r="M110" s="267" t="n"/>
      <c r="N110" s="267" t="n"/>
      <c r="O110" s="267" t="n"/>
      <c r="P110" s="267" t="n"/>
      <c r="Q110" s="267" t="n"/>
      <c r="R110" s="267" t="n"/>
      <c r="S110" s="267" t="n"/>
      <c r="T110" s="267" t="n"/>
      <c r="U110" s="267" t="n"/>
      <c r="V110" s="267" t="n"/>
      <c r="W110" s="267" t="n"/>
      <c r="X110" s="267" t="n"/>
      <c r="Y110" s="267" t="n"/>
      <c r="Z110" s="267" t="n"/>
      <c r="AA110" s="267" t="n"/>
      <c r="AB110" s="267" t="n"/>
      <c r="AC110" s="267" t="n"/>
      <c r="AD110" s="267" t="n"/>
      <c r="AE110" s="267" t="n"/>
      <c r="AF110" s="267" t="n"/>
      <c r="AG110" s="267" t="n"/>
      <c r="AH110" s="267" t="n"/>
      <c r="AI110" s="267" t="n"/>
      <c r="AJ110" s="267" t="n"/>
      <c r="AK110" s="267" t="n"/>
      <c r="AL110" s="267" t="n"/>
      <c r="AM110" s="267" t="n"/>
      <c r="AN110" s="281"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27"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27"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27"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5.75" customHeight="1"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27"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5.75" customHeight="1"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86">
        <f>SUM(R87:R114)</f>
        <v/>
      </c>
      <c r="S115" s="86">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thickBot="1"/>
    <row r="117" ht="15.75" customHeight="1"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86"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5.75" customHeight="1" thickBot="1"/>
    <row r="119" ht="15" customHeight="1" thickBot="1">
      <c r="B119" s="269" t="inlineStr">
        <is>
          <t>Type (Monthly/Annual)</t>
        </is>
      </c>
      <c r="C119" s="153" t="n"/>
      <c r="D119" s="270" t="inlineStr">
        <is>
          <t>Average Monthly QTY</t>
        </is>
      </c>
      <c r="E119" s="271" t="inlineStr">
        <is>
          <t>Quantity Per Year with Growth</t>
        </is>
      </c>
      <c r="F119" s="272" t="n"/>
      <c r="G119" s="272" t="n"/>
      <c r="H119" s="272" t="n"/>
      <c r="I119" s="272" t="n"/>
      <c r="J119" s="272" t="n"/>
      <c r="K119" s="272" t="n"/>
      <c r="L119" s="272" t="n"/>
      <c r="M119" s="272" t="n"/>
      <c r="N119" s="273" t="n"/>
      <c r="O119" s="274">
        <f>_xlfn.CONCAT(O4," Optional Solutions")</f>
        <v/>
      </c>
      <c r="P119" s="264" t="n"/>
      <c r="Q119" s="264" t="n"/>
      <c r="R119" s="264" t="n"/>
      <c r="S119" s="264" t="n"/>
      <c r="T119" s="264" t="n"/>
      <c r="U119" s="264" t="n"/>
      <c r="V119" s="264" t="n"/>
      <c r="W119" s="264" t="n"/>
      <c r="X119" s="264" t="n"/>
      <c r="Y119" s="264" t="n"/>
      <c r="Z119" s="264" t="n"/>
      <c r="AA119" s="264" t="n"/>
      <c r="AB119" s="264" t="n"/>
      <c r="AC119" s="264" t="n"/>
      <c r="AD119" s="264" t="n"/>
      <c r="AE119" s="264" t="n"/>
      <c r="AF119" s="264" t="n"/>
      <c r="AG119" s="264" t="n"/>
      <c r="AH119" s="264" t="n"/>
      <c r="AI119" s="264" t="n"/>
      <c r="AJ119" s="264" t="n"/>
      <c r="AK119" s="264" t="n"/>
      <c r="AL119" s="264" t="n"/>
      <c r="AM119" s="264" t="n"/>
      <c r="AN119" s="265" t="n"/>
      <c r="AP119" s="227" t="inlineStr">
        <is>
          <t>Type (Monthly/Annual)</t>
        </is>
      </c>
      <c r="AQ119" s="219" t="inlineStr">
        <is>
          <t>Average Monthly QTY</t>
        </is>
      </c>
      <c r="AR119" s="275" t="inlineStr">
        <is>
          <t>Quantity Per Year with Growth</t>
        </is>
      </c>
      <c r="AS119" s="257" t="n"/>
      <c r="AT119" s="257" t="n"/>
      <c r="AU119" s="257" t="n"/>
      <c r="AV119" s="257" t="n"/>
      <c r="AW119" s="257" t="n"/>
      <c r="AX119" s="257" t="n"/>
      <c r="AY119" s="257" t="n"/>
      <c r="AZ119" s="257" t="n"/>
      <c r="BA119" s="258" t="n"/>
      <c r="BB119" s="276">
        <f>_xlfn.CONCAT(BB4,"  Optional Solutions")</f>
        <v/>
      </c>
      <c r="BC119" s="267" t="n"/>
      <c r="BD119" s="267" t="n"/>
      <c r="BE119" s="267" t="n"/>
      <c r="BF119" s="267" t="n"/>
      <c r="BG119" s="267" t="n"/>
      <c r="BH119" s="267" t="n"/>
      <c r="BI119" s="267" t="n"/>
      <c r="BJ119" s="267" t="n"/>
      <c r="BK119" s="267" t="n"/>
      <c r="BL119" s="267" t="n"/>
      <c r="BM119" s="267" t="n"/>
      <c r="BN119" s="267" t="n"/>
      <c r="BO119" s="267" t="n"/>
      <c r="BP119" s="267" t="n"/>
      <c r="BQ119" s="267" t="n"/>
      <c r="BR119" s="267" t="n"/>
      <c r="BS119" s="267" t="n"/>
      <c r="BT119" s="267" t="n"/>
      <c r="BU119" s="267" t="n"/>
      <c r="BV119" s="267" t="n"/>
      <c r="BW119" s="267" t="n"/>
      <c r="BX119" s="267" t="n"/>
      <c r="BY119" s="267" t="n"/>
      <c r="BZ119" s="267" t="n"/>
      <c r="CA119" s="268" t="n"/>
      <c r="CC119" s="227" t="inlineStr">
        <is>
          <t>Type (Monthly/Annual)</t>
        </is>
      </c>
      <c r="CD119" s="219" t="inlineStr">
        <is>
          <t>Average Monthly QTY</t>
        </is>
      </c>
      <c r="CE119" s="275" t="inlineStr">
        <is>
          <t>Quantity Per Year with Growth</t>
        </is>
      </c>
      <c r="CF119" s="257" t="n"/>
      <c r="CG119" s="257" t="n"/>
      <c r="CH119" s="257" t="n"/>
      <c r="CI119" s="257" t="n"/>
      <c r="CJ119" s="257" t="n"/>
      <c r="CK119" s="257" t="n"/>
      <c r="CL119" s="257" t="n"/>
      <c r="CM119" s="257" t="n"/>
      <c r="CN119" s="258" t="n"/>
      <c r="CO119" s="277">
        <f>_xlfn.CONCAT(CO4," New Optional Solutions")</f>
        <v/>
      </c>
      <c r="CP119" s="267" t="n"/>
      <c r="CQ119" s="267" t="n"/>
      <c r="CR119" s="267" t="n"/>
      <c r="CS119" s="267" t="n"/>
      <c r="CT119" s="267" t="n"/>
      <c r="CU119" s="267" t="n"/>
      <c r="CV119" s="267" t="n"/>
      <c r="CW119" s="267" t="n"/>
      <c r="CX119" s="267" t="n"/>
      <c r="CY119" s="267" t="n"/>
      <c r="CZ119" s="267" t="n"/>
      <c r="DA119" s="267" t="n"/>
      <c r="DB119" s="267" t="n"/>
      <c r="DC119" s="267" t="n"/>
      <c r="DD119" s="267" t="n"/>
      <c r="DE119" s="267" t="n"/>
      <c r="DF119" s="267" t="n"/>
      <c r="DG119" s="267" t="n"/>
      <c r="DH119" s="267" t="n"/>
      <c r="DI119" s="267" t="n"/>
      <c r="DJ119" s="267" t="n"/>
      <c r="DK119" s="267" t="n"/>
      <c r="DL119" s="267" t="n"/>
      <c r="DM119" s="268" t="n"/>
    </row>
    <row r="120" ht="45.75" customHeight="1" thickBot="1">
      <c r="B120" s="278" t="n"/>
      <c r="C120" s="10" t="inlineStr">
        <is>
          <t>Proposal
(11/2025)</t>
        </is>
      </c>
      <c r="D120" s="183"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59" t="n"/>
      <c r="AQ120" s="279" t="n"/>
      <c r="AR120" s="71" t="inlineStr">
        <is>
          <t>Year 1 Quantity</t>
        </is>
      </c>
      <c r="AS120" s="71" t="inlineStr">
        <is>
          <t>Year 2 Quantity</t>
        </is>
      </c>
      <c r="AT120" s="71" t="inlineStr">
        <is>
          <t>Year 3 Quantity</t>
        </is>
      </c>
      <c r="AU120" s="71" t="inlineStr">
        <is>
          <t>Year 4 Quantity</t>
        </is>
      </c>
      <c r="AV120" s="71" t="inlineStr">
        <is>
          <t>Year 5 Quantity</t>
        </is>
      </c>
      <c r="AW120" s="71" t="inlineStr">
        <is>
          <t>Year 6 Quantity</t>
        </is>
      </c>
      <c r="AX120" s="71" t="inlineStr">
        <is>
          <t>Year 7 Quantity</t>
        </is>
      </c>
      <c r="AY120" s="71" t="inlineStr">
        <is>
          <t>Year 8 Quantity</t>
        </is>
      </c>
      <c r="AZ120" s="71"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59" t="n"/>
      <c r="CD120" s="279" t="n"/>
      <c r="CE120" s="71" t="inlineStr">
        <is>
          <t>Year 1 Quantity</t>
        </is>
      </c>
      <c r="CF120" s="71" t="inlineStr">
        <is>
          <t>Year 2 Quantity</t>
        </is>
      </c>
      <c r="CG120" s="71" t="inlineStr">
        <is>
          <t>Year 3 Quantity</t>
        </is>
      </c>
      <c r="CH120" s="71" t="inlineStr">
        <is>
          <t>Year 4 Quantity</t>
        </is>
      </c>
      <c r="CI120" s="71" t="inlineStr">
        <is>
          <t>Year 5 Quantity</t>
        </is>
      </c>
      <c r="CJ120" s="71" t="inlineStr">
        <is>
          <t>Year 6 Quantity</t>
        </is>
      </c>
      <c r="CK120" s="71" t="inlineStr">
        <is>
          <t>Year 7 Quantity</t>
        </is>
      </c>
      <c r="CL120" s="71" t="inlineStr">
        <is>
          <t>Year 8 Quantity</t>
        </is>
      </c>
      <c r="CM120" s="71"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5.75" customHeight="1" thickBot="1">
      <c r="B121" s="280" t="inlineStr">
        <is>
          <t>Recurring Monthly and Annual Fees - Non-Bundle Optional FIS Solutions</t>
        </is>
      </c>
      <c r="C121" s="267" t="n"/>
      <c r="D121" s="267" t="n"/>
      <c r="E121" s="267" t="n"/>
      <c r="F121" s="267" t="n"/>
      <c r="G121" s="267" t="n"/>
      <c r="H121" s="267" t="n"/>
      <c r="I121" s="267" t="n"/>
      <c r="J121" s="267" t="n"/>
      <c r="K121" s="267" t="n"/>
      <c r="L121" s="267" t="n"/>
      <c r="M121" s="267" t="n"/>
      <c r="N121" s="267" t="n"/>
      <c r="O121" s="267" t="n"/>
      <c r="P121" s="267" t="n"/>
      <c r="Q121" s="267" t="n"/>
      <c r="R121" s="267" t="n"/>
      <c r="S121" s="267" t="n"/>
      <c r="T121" s="267" t="n"/>
      <c r="U121" s="267" t="n"/>
      <c r="V121" s="267" t="n"/>
      <c r="W121" s="267" t="n"/>
      <c r="X121" s="267" t="n"/>
      <c r="Y121" s="267" t="n"/>
      <c r="Z121" s="267" t="n"/>
      <c r="AA121" s="267" t="n"/>
      <c r="AB121" s="267" t="n"/>
      <c r="AC121" s="267" t="n"/>
      <c r="AD121" s="267" t="n"/>
      <c r="AE121" s="267" t="n"/>
      <c r="AF121" s="267" t="n"/>
      <c r="AG121" s="267" t="n"/>
      <c r="AH121" s="267" t="n"/>
      <c r="AI121" s="267" t="n"/>
      <c r="AJ121" s="267" t="n"/>
      <c r="AK121" s="267" t="n"/>
      <c r="AL121" s="267" t="n"/>
      <c r="AM121" s="267" t="n"/>
      <c r="AN121" s="281" t="n"/>
      <c r="AP121" s="228" t="n"/>
      <c r="AQ121" s="159" t="n"/>
      <c r="AR121" s="71" t="n"/>
      <c r="AS121" s="71" t="n"/>
      <c r="AT121" s="71" t="n"/>
      <c r="AU121" s="71" t="n"/>
      <c r="AV121" s="71" t="n"/>
      <c r="AW121" s="71" t="n"/>
      <c r="AX121" s="71" t="n"/>
      <c r="AY121" s="71" t="n"/>
      <c r="AZ121" s="71" t="n"/>
      <c r="BA121" s="72" t="n"/>
      <c r="BB121" s="160" t="n"/>
      <c r="BC121" s="160" t="n"/>
      <c r="BD121" s="161" t="n"/>
      <c r="BE121" s="159" t="n"/>
      <c r="BF121" s="161" t="n"/>
      <c r="BG121" s="161" t="n"/>
      <c r="BH121" s="161" t="n"/>
      <c r="BI121" s="161" t="n"/>
      <c r="BJ121" s="161" t="n"/>
      <c r="BK121" s="161" t="n"/>
      <c r="BL121" s="161" t="n"/>
      <c r="BM121" s="161" t="n"/>
      <c r="BN121" s="161" t="n"/>
      <c r="BO121" s="161" t="n"/>
      <c r="BP121" s="71" t="n"/>
      <c r="BQ121" s="71" t="n"/>
      <c r="BR121" s="71" t="n"/>
      <c r="BS121" s="71" t="n"/>
      <c r="BT121" s="71" t="n"/>
      <c r="BU121" s="71" t="n"/>
      <c r="BV121" s="71" t="n"/>
      <c r="BW121" s="71" t="n"/>
      <c r="BX121" s="71" t="n"/>
      <c r="BY121" s="71" t="n"/>
      <c r="BZ121" s="161" t="n"/>
      <c r="CA121" s="162" t="n"/>
      <c r="CC121" s="228" t="n"/>
      <c r="CD121" s="159" t="n"/>
      <c r="CE121" s="71" t="n"/>
      <c r="CF121" s="71" t="n"/>
      <c r="CG121" s="71" t="n"/>
      <c r="CH121" s="71" t="n"/>
      <c r="CI121" s="71" t="n"/>
      <c r="CJ121" s="71" t="n"/>
      <c r="CK121" s="71" t="n"/>
      <c r="CL121" s="71" t="n"/>
      <c r="CM121" s="71" t="n"/>
      <c r="CN121" s="71" t="n"/>
      <c r="CO121" s="163" t="n"/>
      <c r="CP121" s="164" t="n"/>
      <c r="CQ121" s="159" t="n"/>
      <c r="CR121" s="164" t="n"/>
      <c r="CS121" s="164" t="n"/>
      <c r="CT121" s="164" t="n"/>
      <c r="CU121" s="164" t="n"/>
      <c r="CV121" s="164" t="n"/>
      <c r="CW121" s="164" t="n"/>
      <c r="CX121" s="164" t="n"/>
      <c r="CY121" s="164" t="n"/>
      <c r="CZ121" s="164" t="n"/>
      <c r="DA121" s="164" t="n"/>
      <c r="DB121" s="71" t="n"/>
      <c r="DC121" s="71" t="n"/>
      <c r="DD121" s="71" t="n"/>
      <c r="DE121" s="71" t="n"/>
      <c r="DF121" s="71" t="n"/>
      <c r="DG121" s="71" t="n"/>
      <c r="DH121" s="71" t="n"/>
      <c r="DI121" s="71" t="n"/>
      <c r="DJ121" s="71" t="n"/>
      <c r="DK121" s="71" t="n"/>
      <c r="DL121" s="164" t="n"/>
      <c r="DM121" s="165" t="n"/>
    </row>
    <row r="122">
      <c r="B122" s="141" t="inlineStr">
        <is>
          <t>Monthly F</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27" t="inlineStr">
        <is>
          <t>Subpoena Centre</t>
        </is>
      </c>
      <c r="P122" s="13" t="n"/>
      <c r="Q122" s="20" t="n">
        <v>382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27"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27"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27"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27"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27"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27"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5.75" customHeight="1" thickBot="1">
      <c r="B129" s="141" t="n"/>
      <c r="C129" s="24" t="n"/>
      <c r="D129" s="147" t="n"/>
      <c r="E129" s="142" t="n"/>
      <c r="F129" s="14" t="n"/>
      <c r="G129" s="14" t="n"/>
      <c r="H129" s="14" t="n"/>
      <c r="I129" s="14" t="n"/>
      <c r="J129" s="14" t="n"/>
      <c r="K129" s="14" t="n"/>
      <c r="L129" s="14" t="n"/>
      <c r="M129" s="14" t="n"/>
      <c r="N129" s="24" t="n"/>
      <c r="O129" s="127"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5.75" customHeight="1" thickBot="1">
      <c r="B130" s="280" t="inlineStr">
        <is>
          <t>Recurring Monthly and Annual Fees - Non-Bundle Optional Third-Party Solutions</t>
        </is>
      </c>
      <c r="C130" s="267" t="n"/>
      <c r="D130" s="267" t="n"/>
      <c r="E130" s="267" t="n"/>
      <c r="F130" s="267" t="n"/>
      <c r="G130" s="267" t="n"/>
      <c r="H130" s="267" t="n"/>
      <c r="I130" s="267" t="n"/>
      <c r="J130" s="267" t="n"/>
      <c r="K130" s="267" t="n"/>
      <c r="L130" s="267" t="n"/>
      <c r="M130" s="267" t="n"/>
      <c r="N130" s="267" t="n"/>
      <c r="O130" s="267" t="n"/>
      <c r="P130" s="267" t="n"/>
      <c r="Q130" s="267" t="n"/>
      <c r="R130" s="267" t="n"/>
      <c r="S130" s="267" t="n"/>
      <c r="T130" s="267" t="n"/>
      <c r="U130" s="267" t="n"/>
      <c r="V130" s="267" t="n"/>
      <c r="W130" s="267" t="n"/>
      <c r="X130" s="267" t="n"/>
      <c r="Y130" s="267" t="n"/>
      <c r="Z130" s="267" t="n"/>
      <c r="AA130" s="267" t="n"/>
      <c r="AB130" s="267" t="n"/>
      <c r="AC130" s="267" t="n"/>
      <c r="AD130" s="267" t="n"/>
      <c r="AE130" s="267" t="n"/>
      <c r="AF130" s="267" t="n"/>
      <c r="AG130" s="267" t="n"/>
      <c r="AH130" s="267" t="n"/>
      <c r="AI130" s="267" t="n"/>
      <c r="AJ130" s="267" t="n"/>
      <c r="AK130" s="267" t="n"/>
      <c r="AL130" s="267" t="n"/>
      <c r="AM130" s="267" t="n"/>
      <c r="AN130" s="281"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n"/>
      <c r="C131" s="24" t="n"/>
      <c r="D131" s="147" t="n"/>
      <c r="E131" s="142" t="n"/>
      <c r="F131" s="14" t="n"/>
      <c r="G131" s="14" t="n"/>
      <c r="H131" s="14" t="n"/>
      <c r="I131" s="14" t="n"/>
      <c r="J131" s="14" t="n"/>
      <c r="K131" s="14" t="n"/>
      <c r="L131" s="14" t="n"/>
      <c r="M131" s="14" t="n"/>
      <c r="N131" s="24" t="n"/>
      <c r="O131" s="157" t="n"/>
      <c r="P131" s="13" t="n"/>
      <c r="Q131" s="20" t="n"/>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27"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27"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27"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27"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27"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27"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27"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27"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27"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27"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27"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27"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27"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27"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27"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27"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Monthly F</t>
        </is>
      </c>
      <c r="C150" s="24" t="n">
        <v>1</v>
      </c>
      <c r="D150" s="147">
        <f>IFERROR(AVERAGE(C150:C150),0)</f>
        <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27" t="inlineStr">
        <is>
          <t>Invoices</t>
        </is>
      </c>
      <c r="P150" s="13" t="n"/>
      <c r="Q150" s="20" t="n">
        <v>61</v>
      </c>
      <c r="R150" s="21">
        <f>S150/12</f>
        <v/>
      </c>
      <c r="S150" s="6">
        <f>IFERROR($Q150*E150,0)</f>
        <v/>
      </c>
      <c r="T150" s="6">
        <f>IFERROR($Q150*F150,0)</f>
        <v/>
      </c>
      <c r="U150" s="6">
        <f>IFERROR($Q150*G150,0)</f>
        <v/>
      </c>
      <c r="V150" s="6">
        <f>IFERROR($Q150*H150,0)</f>
        <v/>
      </c>
      <c r="W150" s="6">
        <f>IFERROR($Q150*I150,0)</f>
        <v/>
      </c>
      <c r="X150" s="6">
        <f>IFERROR($Q150*J150,0)</f>
        <v/>
      </c>
      <c r="Y150" s="6">
        <f>IFERROR($Q150*K150,0)</f>
        <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P150" s="102" t="inlineStr">
        <is>
          <t>One-Time</t>
        </is>
      </c>
      <c r="AQ150" s="12" t="n">
        <v>1</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TruStage Forms-LoanVantage</t>
        </is>
      </c>
      <c r="BC150" s="38" t="inlineStr">
        <is>
          <t>Forms</t>
        </is>
      </c>
      <c r="BD150" s="36" t="n">
        <v>7650</v>
      </c>
      <c r="BE150" s="21">
        <f>BF150/12</f>
        <v/>
      </c>
      <c r="BF150" s="39">
        <f>IFERROR(AR150*$BD150,0)</f>
        <v/>
      </c>
      <c r="BG150" s="39">
        <f>IFERROR(AS150*$BD150,0)</f>
        <v/>
      </c>
      <c r="BH150" s="39">
        <f>IFERROR(AT150*$BD150,0)</f>
        <v/>
      </c>
      <c r="BI150" s="39">
        <f>IFERROR(AU150*$BD150,0)</f>
        <v/>
      </c>
      <c r="BJ150" s="39">
        <f>IFERROR(AV150*$BD150,0)</f>
        <v/>
      </c>
      <c r="BK150" s="39">
        <f>IFERROR(AW150*$BD150,0)</f>
        <v/>
      </c>
      <c r="BL150" s="39">
        <f>IFERROR(AX150*$BD150,0)</f>
        <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5.75" customHeight="1" thickBot="1">
      <c r="B151" s="141" t="inlineStr">
        <is>
          <t>One-Time</t>
        </is>
      </c>
      <c r="C151" s="24" t="n">
        <v>1</v>
      </c>
      <c r="D151" s="147">
        <f>IFERROR(AVERAGE(C151:C151),0)</f>
        <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27" t="inlineStr">
        <is>
          <t>AvidAscend Implementation Fee</t>
        </is>
      </c>
      <c r="P151" s="13" t="n"/>
      <c r="Q151" s="20" t="n">
        <v>5044</v>
      </c>
      <c r="R151" s="21">
        <f>S151/12</f>
        <v/>
      </c>
      <c r="S151" s="6">
        <f>IFERROR($Q151*E151,0)</f>
        <v/>
      </c>
      <c r="T151" s="6">
        <f>IFERROR($Q151*F151,0)</f>
        <v/>
      </c>
      <c r="U151" s="6">
        <f>IFERROR($Q151*G151,0)</f>
        <v/>
      </c>
      <c r="V151" s="6">
        <f>IFERROR($Q151*H151,0)</f>
        <v/>
      </c>
      <c r="W151" s="6">
        <f>IFERROR($Q151*I151,0)</f>
        <v/>
      </c>
      <c r="X151" s="6">
        <f>IFERROR($Q151*J151,0)</f>
        <v/>
      </c>
      <c r="Y151" s="6">
        <f>IFERROR($Q151*K151,0)</f>
        <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P151" s="102" t="inlineStr">
        <is>
          <t>One-Time</t>
        </is>
      </c>
      <c r="AQ151" s="12" t="n">
        <v>1</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Ensenta ITM/ATM</t>
        </is>
      </c>
      <c r="BC151" s="38" t="inlineStr">
        <is>
          <t>Ensenta</t>
        </is>
      </c>
      <c r="BD151" s="36" t="n">
        <v>6500</v>
      </c>
      <c r="BE151" s="21">
        <f>BF151/12</f>
        <v/>
      </c>
      <c r="BF151" s="39">
        <f>IFERROR(AR151*$BD151,0)</f>
        <v/>
      </c>
      <c r="BG151" s="39">
        <f>IFERROR(AS151*$BD151,0)</f>
        <v/>
      </c>
      <c r="BH151" s="39">
        <f>IFERROR(AT151*$BD151,0)</f>
        <v/>
      </c>
      <c r="BI151" s="39">
        <f>IFERROR(AU151*$BD151,0)</f>
        <v/>
      </c>
      <c r="BJ151" s="39">
        <f>IFERROR(AV151*$BD151,0)</f>
        <v/>
      </c>
      <c r="BK151" s="39">
        <f>IFERROR(AW151*$BD151,0)</f>
        <v/>
      </c>
      <c r="BL151" s="39">
        <f>IFERROR(AX151*$BD151,0)</f>
        <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5.75" customHeight="1" thickBot="1">
      <c r="B152" s="69" t="n"/>
      <c r="C152" s="29" t="n"/>
      <c r="D152" s="29" t="n"/>
      <c r="E152" s="100" t="n"/>
      <c r="F152" s="28" t="n"/>
      <c r="G152" s="28" t="n"/>
      <c r="H152" s="28" t="n"/>
      <c r="I152" s="28" t="n"/>
      <c r="J152" s="28" t="n"/>
      <c r="K152" s="28" t="n"/>
      <c r="L152" s="28" t="n"/>
      <c r="M152" s="28" t="n"/>
      <c r="N152" s="28" t="n"/>
      <c r="O152" s="30" t="inlineStr">
        <is>
          <t>Total New Products and Services</t>
        </is>
      </c>
      <c r="P152" s="30" t="n"/>
      <c r="Q152" s="31" t="n"/>
      <c r="R152" s="32">
        <f>SUM(R122:R151)</f>
        <v/>
      </c>
      <c r="S152" s="33">
        <f>SUM(S122:S151)</f>
        <v/>
      </c>
      <c r="T152" s="33">
        <f>SUM(T122:T151)</f>
        <v/>
      </c>
      <c r="U152" s="33">
        <f>SUM(U122:U151)</f>
        <v/>
      </c>
      <c r="V152" s="33">
        <f>SUM(V122:V151)</f>
        <v/>
      </c>
      <c r="W152" s="33">
        <f>SUM(W122:W151)</f>
        <v/>
      </c>
      <c r="X152" s="33">
        <f>SUM(X122:X151)</f>
        <v/>
      </c>
      <c r="Y152" s="33">
        <f>SUM(Y122:Y151)</f>
        <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P152" s="95" t="n"/>
      <c r="AQ152" s="97" t="n"/>
      <c r="AR152" s="97" t="n"/>
      <c r="AS152" s="97" t="n"/>
      <c r="AT152" s="97" t="n"/>
      <c r="AU152" s="97" t="n"/>
      <c r="AV152" s="97" t="n"/>
      <c r="AW152" s="97" t="n"/>
      <c r="AX152" s="97" t="n"/>
      <c r="AY152" s="97" t="n"/>
      <c r="AZ152" s="97" t="n"/>
      <c r="BA152" s="126" t="n"/>
      <c r="BB152" s="41" t="inlineStr">
        <is>
          <t>Total New Products and Services</t>
        </is>
      </c>
      <c r="BC152" s="41" t="n"/>
      <c r="BD152" s="42" t="n"/>
      <c r="BE152" s="43">
        <f>SUM(BE122:BE151)</f>
        <v/>
      </c>
      <c r="BF152" s="44">
        <f>SUM(BF122:BF151)</f>
        <v/>
      </c>
      <c r="BG152" s="44">
        <f>SUM(BG122:BG151)</f>
        <v/>
      </c>
      <c r="BH152" s="44">
        <f>SUM(BH122:BH151)</f>
        <v/>
      </c>
      <c r="BI152" s="44">
        <f>SUM(BI122:BI151)</f>
        <v/>
      </c>
      <c r="BJ152" s="44">
        <f>SUM(BJ122:BJ151)</f>
        <v/>
      </c>
      <c r="BK152" s="44">
        <f>SUM(BK122:BK151)</f>
        <v/>
      </c>
      <c r="BL152" s="44">
        <f>SUM(BL122:BL151)</f>
        <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63" ht="15.75" customHeight="1" thickBot="1"/>
    <row r="164" ht="15.75" customHeight="1" thickBot="1">
      <c r="B164" s="216" t="inlineStr">
        <is>
          <t>Removed/Not Included Line Items</t>
        </is>
      </c>
      <c r="C164" s="267" t="n"/>
      <c r="D164" s="267" t="n"/>
      <c r="E164" s="267" t="n"/>
      <c r="F164" s="267" t="n"/>
      <c r="G164" s="267" t="n"/>
      <c r="H164" s="267" t="n"/>
      <c r="I164" s="267" t="n"/>
      <c r="J164" s="267" t="n"/>
      <c r="K164" s="267" t="n"/>
      <c r="L164" s="267" t="n"/>
      <c r="M164" s="267" t="n"/>
      <c r="N164" s="267" t="n"/>
      <c r="O164" s="267" t="n"/>
      <c r="P164" s="267" t="n"/>
      <c r="Q164" s="267" t="n"/>
      <c r="R164" s="267" t="n"/>
      <c r="S164" s="267" t="n"/>
      <c r="T164" s="267" t="n"/>
      <c r="U164" s="267" t="n"/>
      <c r="V164" s="267" t="n"/>
      <c r="W164" s="267" t="n"/>
      <c r="X164" s="267" t="n"/>
      <c r="Y164" s="267" t="n"/>
      <c r="Z164" s="267" t="n"/>
      <c r="AA164" s="267" t="n"/>
      <c r="AB164" s="267" t="n"/>
      <c r="AC164" s="267" t="n"/>
      <c r="AD164" s="267" t="n"/>
      <c r="AE164" s="267" t="n"/>
      <c r="AF164" s="267" t="n"/>
      <c r="AG164" s="267" t="n"/>
      <c r="AH164" s="267" t="n"/>
      <c r="AI164" s="267" t="n"/>
      <c r="AJ164" s="267" t="n"/>
      <c r="AK164" s="267" t="n"/>
      <c r="AL164" s="267" t="n"/>
      <c r="AM164" s="267" t="n"/>
      <c r="AN164" s="267" t="n"/>
      <c r="AP164" s="284" t="inlineStr">
        <is>
          <t>Removed/Not Included Line Items</t>
        </is>
      </c>
      <c r="AQ164" s="267" t="n"/>
      <c r="AR164" s="267" t="n"/>
      <c r="AS164" s="267" t="n"/>
      <c r="AT164" s="267" t="n"/>
      <c r="AU164" s="267" t="n"/>
      <c r="AV164" s="267" t="n"/>
      <c r="AW164" s="267" t="n"/>
      <c r="AX164" s="267" t="n"/>
      <c r="AY164" s="267" t="n"/>
      <c r="AZ164" s="267" t="n"/>
      <c r="BA164" s="267" t="n"/>
      <c r="BB164" s="267" t="n"/>
      <c r="BC164" s="267" t="n"/>
      <c r="BD164" s="267" t="n"/>
      <c r="BE164" s="267" t="n"/>
      <c r="BF164" s="267" t="n"/>
      <c r="BG164" s="267" t="n"/>
      <c r="BH164" s="267" t="n"/>
      <c r="BI164" s="267" t="n"/>
      <c r="BJ164" s="267" t="n"/>
      <c r="BK164" s="267" t="n"/>
      <c r="BL164" s="267" t="n"/>
      <c r="BM164" s="267" t="n"/>
      <c r="BN164" s="267" t="n"/>
      <c r="BO164" s="267" t="n"/>
      <c r="BP164" s="267" t="n"/>
      <c r="BQ164" s="267" t="n"/>
      <c r="BR164" s="267" t="n"/>
      <c r="BS164" s="267" t="n"/>
      <c r="BT164" s="267" t="n"/>
      <c r="BU164" s="267" t="n"/>
      <c r="BV164" s="267" t="n"/>
      <c r="BW164" s="267" t="n"/>
      <c r="BX164" s="267" t="n"/>
      <c r="BY164" s="267" t="n"/>
      <c r="BZ164" s="267" t="n"/>
      <c r="CA164" s="268" t="n"/>
      <c r="CC164" s="284" t="inlineStr">
        <is>
          <t>Removed/Not Included Line Items</t>
        </is>
      </c>
      <c r="CD164" s="267" t="n"/>
      <c r="CE164" s="267" t="n"/>
      <c r="CF164" s="267" t="n"/>
      <c r="CG164" s="267" t="n"/>
      <c r="CH164" s="267" t="n"/>
      <c r="CI164" s="267" t="n"/>
      <c r="CJ164" s="267" t="n"/>
      <c r="CK164" s="267" t="n"/>
      <c r="CL164" s="267" t="n"/>
      <c r="CM164" s="267" t="n"/>
      <c r="CN164" s="267" t="n"/>
      <c r="CO164" s="267" t="n"/>
      <c r="CP164" s="267" t="n"/>
      <c r="CQ164" s="267" t="n"/>
      <c r="CR164" s="267" t="n"/>
      <c r="CS164" s="267" t="n"/>
      <c r="CT164" s="267" t="n"/>
      <c r="CU164" s="267" t="n"/>
      <c r="CV164" s="267" t="n"/>
      <c r="CW164" s="267" t="n"/>
      <c r="CX164" s="267" t="n"/>
      <c r="CY164" s="267" t="n"/>
      <c r="CZ164" s="267" t="n"/>
      <c r="DA164" s="267" t="n"/>
      <c r="DB164" s="267" t="n"/>
      <c r="DC164" s="267" t="n"/>
      <c r="DD164" s="267" t="n"/>
      <c r="DE164" s="267" t="n"/>
      <c r="DF164" s="267" t="n"/>
      <c r="DG164" s="267" t="n"/>
      <c r="DH164" s="267" t="n"/>
      <c r="DI164" s="267" t="n"/>
      <c r="DJ164" s="267" t="n"/>
      <c r="DK164" s="267" t="n"/>
      <c r="DL164" s="267" t="n"/>
      <c r="DM164" s="267" t="n"/>
      <c r="DN164" s="268" t="n"/>
    </row>
  </sheetData>
  <mergeCells count="42">
    <mergeCell ref="O119:AN119"/>
    <mergeCell ref="AQ119:AQ120"/>
    <mergeCell ref="CC164:DN164"/>
    <mergeCell ref="CE119:CN119"/>
    <mergeCell ref="E119:N119"/>
    <mergeCell ref="CD119:CD120"/>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55:AN55"/>
    <mergeCell ref="B6:AN6"/>
    <mergeCell ref="BB4:CA4"/>
    <mergeCell ref="B164:AN164"/>
    <mergeCell ref="AP78:CA78"/>
    <mergeCell ref="BB1:CA1"/>
    <mergeCell ref="CO4:DM4"/>
    <mergeCell ref="B110:AN110"/>
    <mergeCell ref="AP6:CA6"/>
    <mergeCell ref="B4:B5"/>
    <mergeCell ref="CD4:CD5"/>
    <mergeCell ref="BB119:CA119"/>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5"/>
  <cols>
    <col width="19" customWidth="1" min="1" max="1"/>
    <col width="16.28515625" customWidth="1" min="2" max="8"/>
    <col width="20.28515625" customWidth="1" min="9" max="9"/>
    <col width="13" customWidth="1" min="10" max="16"/>
  </cols>
  <sheetData>
    <row r="1" ht="26.25" customFormat="1" customHeight="1" s="177">
      <c r="B1" s="177" t="inlineStr">
        <is>
          <t>Annual Fees - Breakdown from Year 1 - Year 7</t>
        </is>
      </c>
    </row>
    <row r="3" ht="23.25" customHeight="1">
      <c r="B3" s="247" t="inlineStr">
        <is>
          <t>FIS</t>
        </is>
      </c>
      <c r="C3" s="285" t="n"/>
      <c r="D3" s="285" t="n"/>
      <c r="E3" s="285" t="n"/>
      <c r="F3" s="285" t="n"/>
      <c r="G3" s="285" t="n"/>
      <c r="H3" s="285" t="n"/>
    </row>
    <row r="4">
      <c r="A4" s="172" t="n"/>
      <c r="B4" s="174" t="inlineStr">
        <is>
          <t>Year 1</t>
        </is>
      </c>
      <c r="C4" s="174" t="inlineStr">
        <is>
          <t>Year 2</t>
        </is>
      </c>
      <c r="D4" s="174" t="inlineStr">
        <is>
          <t>Year 3</t>
        </is>
      </c>
      <c r="E4" s="174" t="inlineStr">
        <is>
          <t>Year 4</t>
        </is>
      </c>
      <c r="F4" s="174" t="inlineStr">
        <is>
          <t>Year 5</t>
        </is>
      </c>
      <c r="G4" s="174" t="inlineStr">
        <is>
          <t>Year 6</t>
        </is>
      </c>
      <c r="H4" s="174" t="inlineStr">
        <is>
          <t>Year 7</t>
        </is>
      </c>
    </row>
    <row r="5" ht="48.4" customFormat="1" customHeight="1" s="170">
      <c r="A5" s="286" t="inlineStr">
        <is>
          <t>Required Annual Fees</t>
        </is>
      </c>
      <c r="B5" s="287" t="n">
        <v>399533</v>
      </c>
      <c r="C5" s="287" t="n">
        <v>376753.4</v>
      </c>
      <c r="D5" s="287" t="n">
        <v>440017.8799999999</v>
      </c>
      <c r="E5" s="287" t="n">
        <v>510294.9449600001</v>
      </c>
      <c r="F5" s="287" t="n">
        <v>599967.7339519999</v>
      </c>
      <c r="G5" s="287" t="n">
        <v>607547.2924544001</v>
      </c>
      <c r="H5" s="287" t="n">
        <v>642270.55094528</v>
      </c>
    </row>
    <row r="6" ht="48.4" customFormat="1" customHeight="1" s="170">
      <c r="A6" s="286" t="inlineStr">
        <is>
          <t>Optional Annual Fees</t>
        </is>
      </c>
      <c r="B6" s="287" t="n">
        <v>421958</v>
      </c>
      <c r="C6" s="287" t="n">
        <v>436416</v>
      </c>
      <c r="D6" s="287" t="n">
        <v>299616</v>
      </c>
      <c r="E6" s="287" t="n">
        <v>351456</v>
      </c>
      <c r="F6" s="287" t="n">
        <v>413663.9999999999</v>
      </c>
      <c r="G6" s="287" t="n">
        <v>488313.5999999999</v>
      </c>
      <c r="H6" s="287" t="n">
        <v>577893.1199999999</v>
      </c>
    </row>
    <row r="7" ht="48.4" customFormat="1" customHeight="1" s="170">
      <c r="A7" s="286" t="inlineStr">
        <is>
          <t>(minues any credits)</t>
        </is>
      </c>
      <c r="B7" s="287" t="n">
        <v>-159156.1428571429</v>
      </c>
      <c r="C7" s="287" t="n">
        <v>-159156.1428571429</v>
      </c>
      <c r="D7" s="287" t="n">
        <v>-159156.1428571429</v>
      </c>
      <c r="E7" s="287" t="n">
        <v>-159156.1428571429</v>
      </c>
      <c r="F7" s="287" t="n">
        <v>-159156.1428571429</v>
      </c>
      <c r="G7" s="287" t="n">
        <v>-159156.1428571429</v>
      </c>
      <c r="H7" s="287" t="n">
        <v>-159156.1428571429</v>
      </c>
    </row>
    <row r="8">
      <c r="A8" s="286" t="inlineStr">
        <is>
          <t>Totals</t>
        </is>
      </c>
      <c r="B8" s="287">
        <f>SUM(B5:B7)</f>
        <v/>
      </c>
      <c r="C8" s="287">
        <f>SUM(C5:C7)</f>
        <v/>
      </c>
      <c r="D8" s="287">
        <f>SUM(D5:D7)</f>
        <v/>
      </c>
      <c r="E8" s="287">
        <f>SUM(E5:E7)</f>
        <v/>
      </c>
      <c r="F8" s="287">
        <f>SUM(F5:F7)</f>
        <v/>
      </c>
      <c r="G8" s="287">
        <f>SUM(G5:G7)</f>
        <v/>
      </c>
      <c r="H8" s="287">
        <f>SUM(H5:H7)</f>
        <v/>
      </c>
    </row>
    <row r="12" ht="23.25" customHeight="1">
      <c r="B12" s="249" t="inlineStr">
        <is>
          <t>Jack Henry</t>
        </is>
      </c>
    </row>
    <row r="13">
      <c r="B13" s="176" t="inlineStr">
        <is>
          <t>Year 1</t>
        </is>
      </c>
      <c r="C13" s="176" t="inlineStr">
        <is>
          <t>Year 2</t>
        </is>
      </c>
      <c r="D13" s="176" t="inlineStr">
        <is>
          <t>Year 3</t>
        </is>
      </c>
      <c r="E13" s="176" t="inlineStr">
        <is>
          <t>Year 4</t>
        </is>
      </c>
      <c r="F13" s="176" t="inlineStr">
        <is>
          <t>Year 5</t>
        </is>
      </c>
      <c r="G13" s="176" t="inlineStr">
        <is>
          <t>Year 6</t>
        </is>
      </c>
      <c r="H13" s="176" t="inlineStr">
        <is>
          <t>Year 7</t>
        </is>
      </c>
    </row>
    <row r="14" ht="48" customHeight="1">
      <c r="A14" s="175" t="inlineStr">
        <is>
          <t>Required Annual Fees</t>
        </is>
      </c>
      <c r="B14" s="288" t="n">
        <v>483178.32</v>
      </c>
      <c r="C14" s="288" t="n">
        <v>529585.584</v>
      </c>
      <c r="D14" s="288" t="n">
        <v>585274.3008</v>
      </c>
      <c r="E14" s="288" t="n">
        <v>652100.7609599998</v>
      </c>
      <c r="F14" s="288" t="n">
        <v>732292.5131520003</v>
      </c>
      <c r="G14" s="288" t="n">
        <v>828522.6157823997</v>
      </c>
      <c r="H14" s="288" t="n">
        <v>943998.7389388799</v>
      </c>
    </row>
    <row r="15" ht="48" customHeight="1">
      <c r="A15" s="175" t="inlineStr">
        <is>
          <t>Optional Annual Fees</t>
        </is>
      </c>
      <c r="B15" s="288" t="n">
        <v>119705</v>
      </c>
      <c r="C15" s="288" t="n">
        <v>127244</v>
      </c>
      <c r="D15" s="288" t="n">
        <v>136290.8</v>
      </c>
      <c r="E15" s="288" t="n">
        <v>147146.96</v>
      </c>
      <c r="F15" s="288" t="n">
        <v>160174.352</v>
      </c>
      <c r="G15" s="288" t="n">
        <v>175807.2224</v>
      </c>
      <c r="H15" s="288" t="n">
        <v>194566.66688</v>
      </c>
    </row>
    <row r="16" ht="48" customHeight="1">
      <c r="A16" s="175" t="inlineStr">
        <is>
          <t>Totals</t>
        </is>
      </c>
      <c r="B16" s="288">
        <f>SUM(B14:B15)</f>
        <v/>
      </c>
      <c r="C16" s="288">
        <f>SUM(C14:C15)</f>
        <v/>
      </c>
      <c r="D16" s="288">
        <f>SUM(D14:D15)</f>
        <v/>
      </c>
      <c r="E16" s="288">
        <f>SUM(E14:E15)</f>
        <v/>
      </c>
      <c r="F16" s="288">
        <f>SUM(F14:F15)</f>
        <v/>
      </c>
      <c r="G16" s="288">
        <f>SUM(G14:G15)</f>
        <v/>
      </c>
      <c r="H16" s="288">
        <f>SUM(H14:H15)</f>
        <v/>
      </c>
    </row>
  </sheetData>
  <mergeCells count="2">
    <mergeCell ref="B3:H3"/>
    <mergeCell ref="B12:H12"/>
  </mergeCells>
  <pageMargins left="0.7" right="0.7" top="0.75" bottom="0.75" header="0.3" footer="0.3"/>
</worksheet>
</file>

<file path=xl/worksheets/sheet6.xml><?xml version="1.0" encoding="utf-8"?>
<worksheet xmlns="http://schemas.openxmlformats.org/spreadsheetml/2006/main">
  <sheetPr>
    <tabColor theme="9"/>
    <outlinePr summaryBelow="1" summaryRight="1"/>
    <pageSetUpPr/>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baseColWidth="8" defaultRowHeight="15" outlineLevelRow="1"/>
  <cols>
    <col width="3.28515625" customWidth="1" min="1" max="1"/>
    <col width="46.42578125" bestFit="1" customWidth="1" min="2" max="2"/>
    <col width="14.7109375" customWidth="1" min="3" max="4"/>
    <col width="55" bestFit="1" customWidth="1" min="5" max="5"/>
    <col width="15" customWidth="1" min="6" max="7"/>
  </cols>
  <sheetData>
    <row r="1" ht="15.75" customHeight="1" thickBot="1">
      <c r="B1" s="251" t="inlineStr">
        <is>
          <t>FIS</t>
        </is>
      </c>
      <c r="C1" s="183" t="n"/>
      <c r="E1" s="276" t="inlineStr">
        <is>
          <t>Jack Henry</t>
        </is>
      </c>
      <c r="F1" s="268" t="n"/>
    </row>
    <row r="2" ht="15.75" customHeight="1" thickBot="1">
      <c r="B2" s="26" t="inlineStr">
        <is>
          <t>Required Items</t>
        </is>
      </c>
      <c r="C2" s="129" t="inlineStr">
        <is>
          <t>Total 7 Year</t>
        </is>
      </c>
      <c r="D2" s="129" t="inlineStr">
        <is>
          <t>Monthly Avg.</t>
        </is>
      </c>
      <c r="E2" s="47" t="inlineStr">
        <is>
          <t>Required Items</t>
        </is>
      </c>
      <c r="F2" s="226" t="inlineStr">
        <is>
          <t>Total 7 Year</t>
        </is>
      </c>
      <c r="G2" s="226" t="inlineStr">
        <is>
          <t>Monthly Avg.</t>
        </is>
      </c>
    </row>
    <row r="3" ht="15.75" customHeight="1" thickBot="1">
      <c r="B3" s="25" t="inlineStr">
        <is>
          <t>Bundle FIS Products</t>
        </is>
      </c>
      <c r="C3" s="289">
        <f>SUM('Line Items'!AN7:AN19)</f>
        <v/>
      </c>
      <c r="D3" s="289">
        <f>C3/84</f>
        <v/>
      </c>
      <c r="E3" s="25" t="inlineStr">
        <is>
          <t>Jack Henry Monthly &amp; Annual Products</t>
        </is>
      </c>
      <c r="F3" s="290">
        <f>SUM('Line Items'!CA7:CA77)</f>
        <v/>
      </c>
      <c r="G3" s="290">
        <f>F3/84</f>
        <v/>
      </c>
    </row>
    <row r="4" ht="15.75" customHeight="1" thickBot="1">
      <c r="B4" s="25" t="inlineStr">
        <is>
          <t>Non-Bundle FIS Required Products</t>
        </is>
      </c>
      <c r="C4" s="291">
        <f>SUM('Line Items'!AN22:AN54)</f>
        <v/>
      </c>
      <c r="D4" s="289">
        <f>C4/84</f>
        <v/>
      </c>
      <c r="E4" s="25" t="inlineStr">
        <is>
          <t>Licensed Monthly &amp; Annual Products</t>
        </is>
      </c>
      <c r="F4" s="292">
        <f>SUM('Line Items'!CA79:CA84)</f>
        <v/>
      </c>
      <c r="G4" s="290">
        <f>F4/84</f>
        <v/>
      </c>
    </row>
    <row r="5" ht="15.75" customHeight="1" thickBot="1">
      <c r="A5" s="283" t="n"/>
      <c r="B5" s="25" t="inlineStr">
        <is>
          <t>Non-Bundle Required Third Parties</t>
        </is>
      </c>
      <c r="C5" s="293">
        <f>SUM('Line Items'!AN58:AN84)</f>
        <v/>
      </c>
      <c r="D5" s="289">
        <f>C5/84</f>
        <v/>
      </c>
      <c r="E5" s="25" t="n"/>
      <c r="F5" s="292" t="n"/>
      <c r="G5" s="290">
        <f>F5/84</f>
        <v/>
      </c>
    </row>
    <row r="6" ht="15.75" customHeight="1" thickBot="1">
      <c r="A6" s="283" t="n"/>
      <c r="B6" s="150" t="inlineStr">
        <is>
          <t>Sub-Total: Required/Included Products</t>
        </is>
      </c>
      <c r="C6" s="294">
        <f>SUM(C3:C5)</f>
        <v/>
      </c>
      <c r="D6" s="289">
        <f>C6/84</f>
        <v/>
      </c>
      <c r="E6" s="166" t="inlineStr">
        <is>
          <t>Sub-Total: Required/Included Products</t>
        </is>
      </c>
      <c r="F6" s="295">
        <f>SUM(F3:F5)</f>
        <v/>
      </c>
      <c r="G6" s="290">
        <f>F6/84</f>
        <v/>
      </c>
    </row>
    <row r="7" ht="15.75" customHeight="1" thickBot="1">
      <c r="A7" s="283" t="n"/>
      <c r="B7" s="23" t="inlineStr">
        <is>
          <t>Implementation Credits (FIS Products ONLY)</t>
        </is>
      </c>
      <c r="C7" s="293">
        <f>SUM('Line Items'!AN93)</f>
        <v/>
      </c>
      <c r="D7" s="289" t="n"/>
      <c r="E7" s="23" t="inlineStr">
        <is>
          <t>Implementation Credits (Jack Henry Products ONLY)</t>
        </is>
      </c>
      <c r="F7" s="292">
        <f>-SUM('Line Items'!CA87:CA92)</f>
        <v/>
      </c>
      <c r="G7" s="290" t="n"/>
    </row>
    <row r="8" ht="15.75" customHeight="1" thickBot="1">
      <c r="A8" s="283" t="n"/>
      <c r="B8" s="23" t="inlineStr">
        <is>
          <t>Implementation Credits (Third Party Products)</t>
        </is>
      </c>
      <c r="C8" s="291">
        <f>'Line Items'!AN94</f>
        <v/>
      </c>
      <c r="D8" s="289" t="n"/>
      <c r="E8" s="23" t="inlineStr">
        <is>
          <t>Implementation Credits (Licensed Third-Party Products)</t>
        </is>
      </c>
      <c r="F8" s="292">
        <f>-SUM('Line Items'!CA109:CA114)</f>
        <v/>
      </c>
      <c r="G8" s="290" t="n"/>
    </row>
    <row r="9" ht="15.75" customHeight="1" thickBot="1">
      <c r="A9" s="283" t="n"/>
      <c r="B9" s="150" t="inlineStr">
        <is>
          <t>Total Required Items (minus impl. credits)</t>
        </is>
      </c>
      <c r="C9" s="294">
        <f>SUM(C6:D8)</f>
        <v/>
      </c>
      <c r="D9" s="289">
        <f>C9/84</f>
        <v/>
      </c>
      <c r="E9" s="166" t="inlineStr">
        <is>
          <t>Total Required Items (minus impl. Credits)</t>
        </is>
      </c>
      <c r="F9" s="295">
        <f>SUM(F6:F8)</f>
        <v/>
      </c>
      <c r="G9" s="290">
        <f>F9/84</f>
        <v/>
      </c>
    </row>
    <row r="10" ht="15.75" customHeight="1" thickBot="1">
      <c r="C10" s="130" t="n"/>
      <c r="F10" s="130" t="n"/>
    </row>
    <row r="11" ht="15.75" customHeight="1" thickBot="1">
      <c r="A11" s="283" t="n"/>
      <c r="B11" s="296" t="inlineStr">
        <is>
          <t>Optional Products</t>
        </is>
      </c>
      <c r="C11" s="257" t="n"/>
      <c r="D11" s="257" t="n"/>
      <c r="E11" s="257" t="n"/>
      <c r="F11" s="258" t="n"/>
    </row>
    <row r="12">
      <c r="A12" s="283" t="n"/>
      <c r="B12" s="149" t="inlineStr">
        <is>
          <t>Non-Bundle Optional FIS Solutions</t>
        </is>
      </c>
      <c r="C12" s="297">
        <f>SUM('Line Items'!AN122:AN129)</f>
        <v/>
      </c>
      <c r="E12" s="23" t="inlineStr">
        <is>
          <t>Optional Items</t>
        </is>
      </c>
      <c r="F12" s="292">
        <f>SUM('Line Items'!CA122:CA151)</f>
        <v/>
      </c>
    </row>
    <row r="13" ht="15.75" customHeight="1" thickBot="1">
      <c r="A13" s="283" t="n"/>
      <c r="B13" s="182" t="inlineStr">
        <is>
          <t>Non-Bundle Optional Third-Party Solutions</t>
        </is>
      </c>
      <c r="C13" s="298">
        <f>SUM('Line Items'!AN131:AN151)</f>
        <v/>
      </c>
      <c r="D13" s="183" t="n"/>
      <c r="E13" s="182" t="n"/>
      <c r="F13" s="299" t="n"/>
    </row>
    <row r="14" ht="15.75" customHeight="1" thickBot="1">
      <c r="A14" s="283" t="n"/>
      <c r="B14" s="181" t="n"/>
      <c r="C14" s="300" t="n"/>
      <c r="E14" s="181" t="n"/>
      <c r="F14" s="301" t="n"/>
    </row>
    <row r="15" ht="15.75" customHeight="1" thickBot="1">
      <c r="B15" s="150" t="inlineStr">
        <is>
          <t>Total Optional Items</t>
        </is>
      </c>
      <c r="C15" s="294">
        <f>SUM(C12:C13)</f>
        <v/>
      </c>
      <c r="E15" s="131" t="inlineStr">
        <is>
          <t>Total Optional Items</t>
        </is>
      </c>
      <c r="F15" s="299">
        <f>SUM(F12:F13)</f>
        <v/>
      </c>
    </row>
    <row r="16" ht="15.75" customHeight="1" thickBot="1">
      <c r="C16" s="130" t="n"/>
      <c r="F16" s="130" t="n"/>
    </row>
    <row r="17">
      <c r="B17" s="296" t="inlineStr">
        <is>
          <t>Additional Analysis (following fees already included above)</t>
        </is>
      </c>
      <c r="C17" s="257" t="n"/>
      <c r="D17" s="257" t="n"/>
      <c r="E17" s="257" t="n"/>
      <c r="F17" s="258" t="n"/>
    </row>
    <row r="18" ht="15.75" customHeight="1" thickBot="1">
      <c r="B18" s="184" t="n"/>
      <c r="C18" s="179" t="n"/>
      <c r="E18" s="180" t="n"/>
      <c r="F18" s="185" t="n"/>
    </row>
    <row r="19" ht="15.75" customHeight="1" thickBot="1">
      <c r="B19" s="150" t="inlineStr">
        <is>
          <t>Required Implementation Fees</t>
        </is>
      </c>
      <c r="C19" s="294" t="n">
        <v>124118</v>
      </c>
      <c r="E19" s="131" t="inlineStr">
        <is>
          <t>Required Implementation Fees</t>
        </is>
      </c>
      <c r="F19" s="299" t="n">
        <v>210392.5</v>
      </c>
    </row>
    <row r="20" ht="15.75" customHeight="1" thickBot="1">
      <c r="B20" s="150" t="inlineStr">
        <is>
          <t>Optional Implementation Fees</t>
        </is>
      </c>
      <c r="C20" s="294" t="n">
        <v>75176</v>
      </c>
      <c r="E20" s="131" t="inlineStr">
        <is>
          <t>Optional Implementation Fees</t>
        </is>
      </c>
      <c r="F20" s="299" t="n">
        <v>88850</v>
      </c>
    </row>
    <row r="21" ht="15.75" customHeight="1" thickBot="1">
      <c r="B21" s="150" t="inlineStr">
        <is>
          <t>Total One-Time Implementation Fees</t>
        </is>
      </c>
      <c r="C21" s="294">
        <f>SUM(C19:C20)</f>
        <v/>
      </c>
      <c r="E21" s="131" t="inlineStr">
        <is>
          <t>One-Time Implementation Fees</t>
        </is>
      </c>
      <c r="F21" s="299">
        <f>SUM(F19:F20)</f>
        <v/>
      </c>
    </row>
    <row r="22">
      <c r="C22" s="130" t="n"/>
      <c r="F22" s="130" t="n"/>
    </row>
    <row r="23">
      <c r="C23" s="130" t="n"/>
      <c r="F23" s="130" t="n"/>
    </row>
    <row r="24">
      <c r="C24" s="130" t="n"/>
      <c r="F24" s="130" t="n"/>
    </row>
    <row r="25">
      <c r="C25" s="130" t="n"/>
      <c r="E25" s="283" t="n"/>
      <c r="F25" s="130" t="n"/>
    </row>
    <row r="26">
      <c r="C26" s="130" t="n"/>
      <c r="F26" s="130" t="n"/>
    </row>
    <row r="27">
      <c r="C27" s="130" t="n"/>
      <c r="F27" s="130" t="n"/>
    </row>
    <row r="28">
      <c r="C28" s="130" t="n"/>
      <c r="F28" s="130" t="n"/>
    </row>
    <row r="29">
      <c r="B29" s="167" t="inlineStr">
        <is>
          <t>1. One time fees net of credits</t>
        </is>
      </c>
      <c r="C29" s="130" t="n"/>
      <c r="F29" s="130" t="n"/>
    </row>
    <row r="30">
      <c r="B30" s="167" t="inlineStr">
        <is>
          <t>2. Year 1-7 annual fees</t>
        </is>
      </c>
      <c r="C30" s="130" t="n"/>
      <c r="F30" s="130" t="n"/>
    </row>
    <row r="31" ht="45" customHeight="1">
      <c r="B31" s="167"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c r="B40" s="48" t="n"/>
      <c r="C40" s="135">
        <f>C15+C33-#REF!</f>
        <v/>
      </c>
      <c r="F40" s="135">
        <f>F15+F33-#REF!</f>
        <v/>
      </c>
    </row>
    <row r="41" collapsed="1">
      <c r="E41" s="51" t="n"/>
    </row>
    <row r="42">
      <c r="E42" s="48" t="n"/>
    </row>
    <row r="43">
      <c r="E43" s="48" t="n"/>
    </row>
    <row r="44">
      <c r="C44" s="283"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2026-01-14T23:30:32Z</dcterms:modified>
  <cp:lastModifiedBy>Shuva Mukhopadhyay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