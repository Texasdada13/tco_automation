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c9bcf94a79d2420e/Desktop/"/>
    </mc:Choice>
  </mc:AlternateContent>
  <xr:revisionPtr revIDLastSave="3" documentId="8_{5F64BFE3-4DA7-476F-A14C-A454E0615C4F}" xr6:coauthVersionLast="47" xr6:coauthVersionMax="47" xr10:uidLastSave="{FEAF3AD6-32F3-4D92-93A2-EB6C47C3DE58}"/>
  <bookViews>
    <workbookView xWindow="38290" yWindow="-70" windowWidth="19420" windowHeight="10300" tabRatio="793" firstSheet="1" activeTab="1" xr2:uid="{A9E9B4FC-DBBC-4E6D-A58E-4211439DBA4C}"/>
  </bookViews>
  <sheets>
    <sheet name="Control" sheetId="2" state="hidden" r:id="rId1"/>
    <sheet name="DeleteThisPageThenSave" sheetId="17" r:id="rId2"/>
    <sheet name="Confidentiality&amp;Non-Disclosure" sheetId="14" r:id="rId3"/>
    <sheet name="Line Items" sheetId="15" r:id="rId4"/>
    <sheet name="Years 1-7" sheetId="16" r:id="rId5"/>
    <sheet name="Summary" sheetId="4" r:id="rId6"/>
  </sheets>
  <definedNames>
    <definedName name="_xlnm._FilterDatabase" localSheetId="3" hidden="1">'Line Items'!$B$4:$AN$5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4" l="1"/>
  <c r="C7" i="4"/>
  <c r="S117" i="15"/>
  <c r="S115" i="15"/>
  <c r="C8" i="16"/>
  <c r="D8" i="16"/>
  <c r="E8" i="16"/>
  <c r="F8" i="16"/>
  <c r="G8" i="16"/>
  <c r="H8" i="16"/>
  <c r="B8" i="16"/>
  <c r="R152" i="15"/>
  <c r="R85" i="15"/>
  <c r="AL77" i="15"/>
  <c r="AK77" i="15"/>
  <c r="AJ77" i="15"/>
  <c r="F77" i="15" a="1"/>
  <c r="F77" i="15" s="1"/>
  <c r="E77" i="15"/>
  <c r="S77" i="15" s="1"/>
  <c r="R77" i="15" s="1"/>
  <c r="D77" i="15"/>
  <c r="AL76" i="15"/>
  <c r="AK76" i="15"/>
  <c r="AJ76" i="15"/>
  <c r="D76" i="15"/>
  <c r="E76" i="15" s="1"/>
  <c r="AL75" i="15"/>
  <c r="AK75" i="15"/>
  <c r="AJ75" i="15"/>
  <c r="S75" i="15"/>
  <c r="R75" i="15"/>
  <c r="F75" i="15" a="1"/>
  <c r="F75" i="15" s="1"/>
  <c r="E75" i="15"/>
  <c r="D75" i="15"/>
  <c r="AL72" i="15"/>
  <c r="AK72" i="15"/>
  <c r="AJ72" i="15"/>
  <c r="E72" i="15"/>
  <c r="S72" i="15" s="1"/>
  <c r="R72" i="15" s="1"/>
  <c r="D72" i="15"/>
  <c r="AL70" i="15"/>
  <c r="AK70" i="15"/>
  <c r="AJ70" i="15"/>
  <c r="D70" i="15"/>
  <c r="E70" i="15" s="1"/>
  <c r="BI123" i="15"/>
  <c r="BI124" i="15"/>
  <c r="BI125" i="15"/>
  <c r="BI126" i="15"/>
  <c r="BI127" i="15"/>
  <c r="BJ127" i="15" s="1"/>
  <c r="BK127" i="15" s="1"/>
  <c r="BL127" i="15" s="1"/>
  <c r="BI128" i="15"/>
  <c r="BI129" i="15"/>
  <c r="BJ129" i="15" s="1"/>
  <c r="BK129" i="15" s="1"/>
  <c r="BL129" i="15" s="1"/>
  <c r="BI130" i="15"/>
  <c r="BJ130" i="15" s="1"/>
  <c r="BK130" i="15" s="1"/>
  <c r="BL130" i="15" s="1"/>
  <c r="BI131" i="15"/>
  <c r="BI132" i="15"/>
  <c r="BI133" i="15"/>
  <c r="BI134" i="15"/>
  <c r="BI135" i="15"/>
  <c r="BJ135" i="15" s="1"/>
  <c r="BK135" i="15" s="1"/>
  <c r="BL135" i="15" s="1"/>
  <c r="BI136" i="15"/>
  <c r="BI137" i="15"/>
  <c r="BI138" i="15"/>
  <c r="BI139" i="15"/>
  <c r="BI140" i="15"/>
  <c r="BI122" i="15"/>
  <c r="BJ122" i="15" s="1"/>
  <c r="BK122" i="15" s="1"/>
  <c r="BL122" i="15" s="1"/>
  <c r="BI80" i="15"/>
  <c r="BI81" i="15"/>
  <c r="BI82" i="15"/>
  <c r="BI83" i="15"/>
  <c r="BJ83" i="15" s="1"/>
  <c r="BK83" i="15" s="1"/>
  <c r="BL83" i="15" s="1"/>
  <c r="BI84" i="15"/>
  <c r="BJ84" i="15" s="1"/>
  <c r="BK84" i="15" s="1"/>
  <c r="BL84" i="15" s="1"/>
  <c r="BI79" i="15"/>
  <c r="BI8" i="15"/>
  <c r="BI9" i="15"/>
  <c r="BI10" i="15"/>
  <c r="BI11" i="15"/>
  <c r="BJ11" i="15" s="1"/>
  <c r="BK11" i="15" s="1"/>
  <c r="BL11" i="15" s="1"/>
  <c r="BI12" i="15"/>
  <c r="BJ12" i="15" s="1"/>
  <c r="BK12" i="15" s="1"/>
  <c r="BL12" i="15" s="1"/>
  <c r="BI13" i="15"/>
  <c r="BI14" i="15"/>
  <c r="BI15" i="15"/>
  <c r="BJ15" i="15" s="1"/>
  <c r="BK15" i="15" s="1"/>
  <c r="BL15" i="15" s="1"/>
  <c r="BI16" i="15"/>
  <c r="BI17" i="15"/>
  <c r="BI18" i="15"/>
  <c r="BI19" i="15"/>
  <c r="BI20" i="15"/>
  <c r="BJ20" i="15" s="1"/>
  <c r="BK20" i="15" s="1"/>
  <c r="BL20" i="15" s="1"/>
  <c r="BI21" i="15"/>
  <c r="BI22" i="15"/>
  <c r="BI23" i="15"/>
  <c r="BJ23" i="15" s="1"/>
  <c r="BK23" i="15" s="1"/>
  <c r="BL23" i="15" s="1"/>
  <c r="BI24" i="15"/>
  <c r="BI25" i="15"/>
  <c r="BI26" i="15"/>
  <c r="BI27" i="15"/>
  <c r="BI28" i="15"/>
  <c r="BJ28" i="15" s="1"/>
  <c r="BK28" i="15" s="1"/>
  <c r="BL28" i="15" s="1"/>
  <c r="BI29" i="15"/>
  <c r="BI30" i="15"/>
  <c r="BI31" i="15"/>
  <c r="BJ31" i="15" s="1"/>
  <c r="BK31" i="15" s="1"/>
  <c r="BL31" i="15" s="1"/>
  <c r="BI32" i="15"/>
  <c r="BI33" i="15"/>
  <c r="BI34" i="15"/>
  <c r="BI35" i="15"/>
  <c r="BI36" i="15"/>
  <c r="BI37" i="15"/>
  <c r="BI38" i="15"/>
  <c r="BI39" i="15"/>
  <c r="BI40" i="15"/>
  <c r="BI41" i="15"/>
  <c r="BI42" i="15"/>
  <c r="BI43" i="15"/>
  <c r="BI44" i="15"/>
  <c r="BJ44" i="15" s="1"/>
  <c r="BK44" i="15" s="1"/>
  <c r="BL44" i="15" s="1"/>
  <c r="BI45" i="15"/>
  <c r="BI46" i="15"/>
  <c r="BI47" i="15"/>
  <c r="BJ47" i="15" s="1"/>
  <c r="BK47" i="15" s="1"/>
  <c r="BL47" i="15" s="1"/>
  <c r="BI48" i="15"/>
  <c r="BI49" i="15"/>
  <c r="BI50" i="15"/>
  <c r="BI51" i="15"/>
  <c r="BI52" i="15"/>
  <c r="BI53" i="15"/>
  <c r="BI54" i="15"/>
  <c r="BI55" i="15"/>
  <c r="BJ55" i="15" s="1"/>
  <c r="BK55" i="15" s="1"/>
  <c r="BL55" i="15" s="1"/>
  <c r="BI56" i="15"/>
  <c r="BI57" i="15"/>
  <c r="BI58" i="15"/>
  <c r="BI59" i="15"/>
  <c r="BI60" i="15"/>
  <c r="BJ60" i="15" s="1"/>
  <c r="BK60" i="15" s="1"/>
  <c r="BL60" i="15" s="1"/>
  <c r="BI61" i="15"/>
  <c r="BI62" i="15"/>
  <c r="BI63" i="15"/>
  <c r="BJ63" i="15" s="1"/>
  <c r="BK63" i="15" s="1"/>
  <c r="BL63" i="15" s="1"/>
  <c r="BI64" i="15"/>
  <c r="BI65" i="15"/>
  <c r="BI66" i="15"/>
  <c r="BI67" i="15"/>
  <c r="BI68" i="15"/>
  <c r="BI69" i="15"/>
  <c r="BI70" i="15"/>
  <c r="BI71" i="15"/>
  <c r="BJ71" i="15" s="1"/>
  <c r="BK71" i="15" s="1"/>
  <c r="BL71" i="15" s="1"/>
  <c r="BI72" i="15"/>
  <c r="BI73" i="15"/>
  <c r="BI74" i="15"/>
  <c r="BI75" i="15"/>
  <c r="BI76" i="15"/>
  <c r="BI77" i="15"/>
  <c r="BI7" i="15"/>
  <c r="G5" i="4"/>
  <c r="D4" i="4"/>
  <c r="D3" i="4"/>
  <c r="BJ123" i="15"/>
  <c r="BK123" i="15"/>
  <c r="BL123" i="15" s="1"/>
  <c r="BJ124" i="15"/>
  <c r="BK124" i="15" s="1"/>
  <c r="BL124" i="15" s="1"/>
  <c r="BJ125" i="15"/>
  <c r="BK125" i="15" s="1"/>
  <c r="BL125" i="15" s="1"/>
  <c r="BJ126" i="15"/>
  <c r="BK126" i="15" s="1"/>
  <c r="BL126" i="15" s="1"/>
  <c r="BJ128" i="15"/>
  <c r="BK128" i="15" s="1"/>
  <c r="BL128" i="15" s="1"/>
  <c r="BJ131" i="15"/>
  <c r="BK131" i="15"/>
  <c r="BL131" i="15" s="1"/>
  <c r="BJ132" i="15"/>
  <c r="BK132" i="15" s="1"/>
  <c r="BL132" i="15" s="1"/>
  <c r="BJ133" i="15"/>
  <c r="BK133" i="15"/>
  <c r="BL133" i="15" s="1"/>
  <c r="BJ134" i="15"/>
  <c r="BK134" i="15"/>
  <c r="BL134" i="15"/>
  <c r="BJ136" i="15"/>
  <c r="BK136" i="15" s="1"/>
  <c r="BL136" i="15" s="1"/>
  <c r="BJ137" i="15"/>
  <c r="BK137" i="15" s="1"/>
  <c r="BL137" i="15" s="1"/>
  <c r="BJ138" i="15"/>
  <c r="BK138" i="15"/>
  <c r="BL138" i="15"/>
  <c r="BJ139" i="15"/>
  <c r="BK139" i="15"/>
  <c r="BL139" i="15" s="1"/>
  <c r="BJ140" i="15"/>
  <c r="BK140" i="15"/>
  <c r="BL140" i="15" s="1"/>
  <c r="BJ80" i="15"/>
  <c r="BK80" i="15" s="1"/>
  <c r="BL80" i="15" s="1"/>
  <c r="BJ81" i="15"/>
  <c r="BK81" i="15" s="1"/>
  <c r="BL81" i="15" s="1"/>
  <c r="BJ82" i="15"/>
  <c r="BK82" i="15"/>
  <c r="BL82" i="15" s="1"/>
  <c r="BK79" i="15"/>
  <c r="BL79" i="15" s="1"/>
  <c r="BJ79" i="15"/>
  <c r="BJ10" i="15"/>
  <c r="BK10" i="15"/>
  <c r="BL10" i="15" s="1"/>
  <c r="BJ13" i="15"/>
  <c r="BK13" i="15" s="1"/>
  <c r="BL13" i="15" s="1"/>
  <c r="BJ14" i="15"/>
  <c r="BK14" i="15"/>
  <c r="BL14" i="15" s="1"/>
  <c r="BJ16" i="15"/>
  <c r="BK16" i="15"/>
  <c r="BL16" i="15" s="1"/>
  <c r="BJ17" i="15"/>
  <c r="BK17" i="15" s="1"/>
  <c r="BL17" i="15" s="1"/>
  <c r="BJ18" i="15"/>
  <c r="BK18" i="15" s="1"/>
  <c r="BL18" i="15" s="1"/>
  <c r="BJ19" i="15"/>
  <c r="BK19" i="15" s="1"/>
  <c r="BL19" i="15" s="1"/>
  <c r="BJ21" i="15"/>
  <c r="BK21" i="15"/>
  <c r="BL21" i="15"/>
  <c r="BJ22" i="15"/>
  <c r="BK22" i="15" s="1"/>
  <c r="BL22" i="15" s="1"/>
  <c r="BJ24" i="15"/>
  <c r="BK24" i="15" s="1"/>
  <c r="BL24" i="15" s="1"/>
  <c r="BJ25" i="15"/>
  <c r="BK25" i="15"/>
  <c r="BL25" i="15" s="1"/>
  <c r="BJ26" i="15"/>
  <c r="BK26" i="15"/>
  <c r="BL26" i="15"/>
  <c r="BJ27" i="15"/>
  <c r="BK27" i="15" s="1"/>
  <c r="BL27" i="15" s="1"/>
  <c r="BJ29" i="15"/>
  <c r="BK29" i="15" s="1"/>
  <c r="BL29" i="15" s="1"/>
  <c r="BJ30" i="15"/>
  <c r="BK30" i="15"/>
  <c r="BL30" i="15"/>
  <c r="BJ32" i="15"/>
  <c r="BK32" i="15"/>
  <c r="BL32" i="15" s="1"/>
  <c r="BJ33" i="15"/>
  <c r="BK33" i="15" s="1"/>
  <c r="BL33" i="15" s="1"/>
  <c r="BJ34" i="15"/>
  <c r="BK34" i="15"/>
  <c r="BL34" i="15" s="1"/>
  <c r="BJ35" i="15"/>
  <c r="BK35" i="15" s="1"/>
  <c r="BL35" i="15" s="1"/>
  <c r="BJ36" i="15"/>
  <c r="BK36" i="15" s="1"/>
  <c r="BL36" i="15" s="1"/>
  <c r="BJ37" i="15"/>
  <c r="BK37" i="15"/>
  <c r="BL37" i="15"/>
  <c r="BJ38" i="15"/>
  <c r="BK38" i="15" s="1"/>
  <c r="BL38" i="15" s="1"/>
  <c r="BJ39" i="15"/>
  <c r="BK39" i="15" s="1"/>
  <c r="BL39" i="15" s="1"/>
  <c r="BJ40" i="15"/>
  <c r="BK40" i="15" s="1"/>
  <c r="BL40" i="15" s="1"/>
  <c r="BJ41" i="15"/>
  <c r="BK41" i="15"/>
  <c r="BL41" i="15"/>
  <c r="BJ42" i="15"/>
  <c r="BK42" i="15" s="1"/>
  <c r="BL42" i="15" s="1"/>
  <c r="BJ43" i="15"/>
  <c r="BK43" i="15" s="1"/>
  <c r="BL43" i="15" s="1"/>
  <c r="BJ45" i="15"/>
  <c r="BK45" i="15"/>
  <c r="BL45" i="15" s="1"/>
  <c r="BJ46" i="15"/>
  <c r="BK46" i="15" s="1"/>
  <c r="BL46" i="15" s="1"/>
  <c r="BJ48" i="15"/>
  <c r="BK48" i="15"/>
  <c r="BL48" i="15" s="1"/>
  <c r="BJ49" i="15"/>
  <c r="BK49" i="15" s="1"/>
  <c r="BL49" i="15" s="1"/>
  <c r="BJ50" i="15"/>
  <c r="BK50" i="15" s="1"/>
  <c r="BL50" i="15" s="1"/>
  <c r="BJ51" i="15"/>
  <c r="BK51" i="15" s="1"/>
  <c r="BL51" i="15" s="1"/>
  <c r="BJ52" i="15"/>
  <c r="BK52" i="15" s="1"/>
  <c r="BL52" i="15" s="1"/>
  <c r="BJ53" i="15"/>
  <c r="BK53" i="15" s="1"/>
  <c r="BL53" i="15" s="1"/>
  <c r="BJ54" i="15"/>
  <c r="BK54" i="15"/>
  <c r="BL54" i="15"/>
  <c r="BJ56" i="15"/>
  <c r="BK56" i="15" s="1"/>
  <c r="BL56" i="15" s="1"/>
  <c r="BJ57" i="15"/>
  <c r="BK57" i="15"/>
  <c r="BL57" i="15"/>
  <c r="BJ58" i="15"/>
  <c r="BK58" i="15" s="1"/>
  <c r="BL58" i="15" s="1"/>
  <c r="BJ59" i="15"/>
  <c r="BK59" i="15" s="1"/>
  <c r="BL59" i="15" s="1"/>
  <c r="BJ61" i="15"/>
  <c r="BK61" i="15"/>
  <c r="BL61" i="15" s="1"/>
  <c r="BJ62" i="15"/>
  <c r="BK62" i="15" s="1"/>
  <c r="BL62" i="15" s="1"/>
  <c r="BJ64" i="15"/>
  <c r="BK64" i="15" s="1"/>
  <c r="BL64" i="15" s="1"/>
  <c r="BJ65" i="15"/>
  <c r="BK65" i="15" s="1"/>
  <c r="BL65" i="15" s="1"/>
  <c r="BJ66" i="15"/>
  <c r="BK66" i="15"/>
  <c r="BL66" i="15"/>
  <c r="BJ67" i="15"/>
  <c r="BK67" i="15" s="1"/>
  <c r="BL67" i="15" s="1"/>
  <c r="BJ68" i="15"/>
  <c r="BK68" i="15" s="1"/>
  <c r="BL68" i="15" s="1"/>
  <c r="BJ69" i="15"/>
  <c r="BK69" i="15" s="1"/>
  <c r="BL69" i="15" s="1"/>
  <c r="BJ70" i="15"/>
  <c r="BK70" i="15"/>
  <c r="BL70" i="15"/>
  <c r="BJ72" i="15"/>
  <c r="BK72" i="15"/>
  <c r="BL72" i="15" s="1"/>
  <c r="BJ73" i="15"/>
  <c r="BK73" i="15"/>
  <c r="BL73" i="15"/>
  <c r="BJ74" i="15"/>
  <c r="BK74" i="15"/>
  <c r="BL74" i="15" s="1"/>
  <c r="BJ75" i="15"/>
  <c r="BK75" i="15" s="1"/>
  <c r="BL75" i="15" s="1"/>
  <c r="BJ76" i="15"/>
  <c r="BK76" i="15"/>
  <c r="BL76" i="15"/>
  <c r="BJ77" i="15"/>
  <c r="BK77" i="15"/>
  <c r="BL77" i="15"/>
  <c r="BJ9" i="15"/>
  <c r="BK9" i="15" s="1"/>
  <c r="BL9" i="15" s="1"/>
  <c r="BK7" i="15"/>
  <c r="BL7" i="15"/>
  <c r="BJ7" i="15"/>
  <c r="BH7" i="15"/>
  <c r="BG7" i="15"/>
  <c r="BG9" i="15"/>
  <c r="BH9" i="15"/>
  <c r="BG11" i="15"/>
  <c r="BH11" i="15"/>
  <c r="BY56" i="15"/>
  <c r="BX56" i="15"/>
  <c r="BW56" i="15"/>
  <c r="AR56" i="15"/>
  <c r="BF56" i="15" s="1"/>
  <c r="BE56" i="15" s="1"/>
  <c r="DK126" i="15"/>
  <c r="DJ126" i="15"/>
  <c r="DI126" i="15"/>
  <c r="CE126" i="15"/>
  <c r="CR126" i="15" s="1"/>
  <c r="CQ126" i="15" s="1"/>
  <c r="AL126" i="15"/>
  <c r="AK126" i="15"/>
  <c r="AJ126" i="15"/>
  <c r="Y126" i="15"/>
  <c r="AI126" i="15" s="1"/>
  <c r="X126" i="15"/>
  <c r="AH126" i="15" s="1"/>
  <c r="W126" i="15"/>
  <c r="AG126" i="15" s="1"/>
  <c r="V126" i="15"/>
  <c r="AF126" i="15" s="1"/>
  <c r="U126" i="15"/>
  <c r="AE126" i="15" s="1"/>
  <c r="L126" i="15" a="1"/>
  <c r="L126" i="15" s="1"/>
  <c r="E126" i="15"/>
  <c r="S126" i="15" s="1"/>
  <c r="R126" i="15" s="1"/>
  <c r="D126" i="15"/>
  <c r="G75" i="15" l="1" a="1"/>
  <c r="G75" i="15" s="1"/>
  <c r="T75" i="15"/>
  <c r="AD75" i="15" s="1"/>
  <c r="T77" i="15"/>
  <c r="AD77" i="15" s="1"/>
  <c r="G77" i="15" a="1"/>
  <c r="G77" i="15" s="1"/>
  <c r="F70" i="15" a="1"/>
  <c r="F70" i="15" s="1"/>
  <c r="S70" i="15"/>
  <c r="F76" i="15" a="1"/>
  <c r="F76" i="15" s="1"/>
  <c r="S76" i="15"/>
  <c r="R76" i="15" s="1"/>
  <c r="F72" i="15" a="1"/>
  <c r="F72" i="15" s="1"/>
  <c r="AS56" i="15" a="1"/>
  <c r="AS56" i="15" s="1"/>
  <c r="M126" i="15" a="1"/>
  <c r="M126" i="15" s="1"/>
  <c r="Z126" i="15"/>
  <c r="CF126" i="15" a="1"/>
  <c r="CF126" i="15" s="1"/>
  <c r="F126" i="15" a="1"/>
  <c r="F126" i="15" s="1"/>
  <c r="T126" i="15" s="1"/>
  <c r="AD126" i="15" s="1"/>
  <c r="AM126" i="15" s="1"/>
  <c r="G76" i="15" l="1" a="1"/>
  <c r="G76" i="15" s="1"/>
  <c r="T76" i="15"/>
  <c r="AD76" i="15" s="1"/>
  <c r="R70" i="15"/>
  <c r="T70" i="15"/>
  <c r="G70" i="15" a="1"/>
  <c r="G70" i="15" s="1"/>
  <c r="U77" i="15"/>
  <c r="AE77" i="15" s="1"/>
  <c r="H77" i="15" a="1"/>
  <c r="H77" i="15" s="1"/>
  <c r="T72" i="15"/>
  <c r="AD72" i="15" s="1"/>
  <c r="G72" i="15" a="1"/>
  <c r="G72" i="15" s="1"/>
  <c r="H75" i="15" a="1"/>
  <c r="H75" i="15" s="1"/>
  <c r="U75" i="15"/>
  <c r="AE75" i="15" s="1"/>
  <c r="BG56" i="15"/>
  <c r="BQ56" i="15" s="1"/>
  <c r="AT56" i="15" a="1"/>
  <c r="AT56" i="15" s="1"/>
  <c r="CS126" i="15"/>
  <c r="DC126" i="15" s="1"/>
  <c r="CG126" i="15" a="1"/>
  <c r="CG126" i="15" s="1"/>
  <c r="N126" i="15" a="1"/>
  <c r="N126" i="15" s="1"/>
  <c r="AB126" i="15" s="1"/>
  <c r="AA126" i="15"/>
  <c r="AN126" i="15" s="1"/>
  <c r="AR123" i="15"/>
  <c r="AS123" i="15" a="1"/>
  <c r="AS123" i="15" s="1"/>
  <c r="AT123" i="15" s="1" a="1"/>
  <c r="AT123" i="15" s="1"/>
  <c r="AU123" i="15" s="1" a="1"/>
  <c r="AU123" i="15" s="1"/>
  <c r="AV123" i="15" s="1" a="1"/>
  <c r="AV123" i="15" s="1"/>
  <c r="AW123" i="15" s="1" a="1"/>
  <c r="AW123" i="15" s="1"/>
  <c r="AX123" i="15" s="1" a="1"/>
  <c r="AX123" i="15" s="1"/>
  <c r="AR124" i="15"/>
  <c r="AS124" i="15" a="1"/>
  <c r="AS124" i="15" s="1"/>
  <c r="AT124" i="15" s="1" a="1"/>
  <c r="AT124" i="15" s="1"/>
  <c r="AU124" i="15" s="1" a="1"/>
  <c r="AU124" i="15" s="1"/>
  <c r="AV124" i="15" s="1" a="1"/>
  <c r="AV124" i="15" s="1"/>
  <c r="AW124" i="15" s="1" a="1"/>
  <c r="AW124" i="15" s="1"/>
  <c r="AX124" i="15" s="1" a="1"/>
  <c r="AX124" i="15" s="1"/>
  <c r="AR125" i="15"/>
  <c r="AS125" i="15" a="1"/>
  <c r="AS125" i="15" s="1"/>
  <c r="AT125" i="15" s="1" a="1"/>
  <c r="AT125" i="15" s="1"/>
  <c r="AU125" i="15" s="1" a="1"/>
  <c r="AU125" i="15" s="1"/>
  <c r="AV125" i="15" s="1" a="1"/>
  <c r="AV125" i="15" s="1"/>
  <c r="AW125" i="15" s="1" a="1"/>
  <c r="AW125" i="15" s="1"/>
  <c r="AX125" i="15" s="1" a="1"/>
  <c r="AX125" i="15" s="1"/>
  <c r="AR127" i="15"/>
  <c r="AS127" i="15" a="1"/>
  <c r="AS127" i="15"/>
  <c r="AT127" i="15" a="1"/>
  <c r="AT127" i="15" s="1"/>
  <c r="AU127" i="15" s="1" a="1"/>
  <c r="AU127" i="15" s="1"/>
  <c r="AV127" i="15" s="1" a="1"/>
  <c r="AV127" i="15" s="1"/>
  <c r="AW127" i="15" s="1" a="1"/>
  <c r="AW127" i="15" s="1"/>
  <c r="AX127" i="15" s="1" a="1"/>
  <c r="AX127" i="15" s="1"/>
  <c r="AR128" i="15"/>
  <c r="AS128" i="15" s="1" a="1"/>
  <c r="AS128" i="15" s="1"/>
  <c r="AT128" i="15" s="1" a="1"/>
  <c r="AT128" i="15" s="1"/>
  <c r="AU128" i="15" s="1" a="1"/>
  <c r="AU128" i="15" s="1"/>
  <c r="AV128" i="15" s="1" a="1"/>
  <c r="AV128" i="15" s="1"/>
  <c r="AW128" i="15" s="1" a="1"/>
  <c r="AW128" i="15" s="1"/>
  <c r="AX128" i="15" s="1" a="1"/>
  <c r="AX128" i="15" s="1"/>
  <c r="AR129" i="15"/>
  <c r="AS129" i="15" s="1" a="1"/>
  <c r="AS129" i="15" s="1"/>
  <c r="AT129" i="15" s="1" a="1"/>
  <c r="AT129" i="15" s="1"/>
  <c r="AU129" i="15" s="1" a="1"/>
  <c r="AU129" i="15" s="1"/>
  <c r="AV129" i="15" s="1" a="1"/>
  <c r="AV129" i="15" s="1"/>
  <c r="AW129" i="15" s="1" a="1"/>
  <c r="AW129" i="15" s="1"/>
  <c r="AX129" i="15" s="1" a="1"/>
  <c r="AX129" i="15" s="1"/>
  <c r="AR130" i="15"/>
  <c r="AS130" i="15" s="1" a="1"/>
  <c r="AS130" i="15" s="1"/>
  <c r="AT130" i="15" s="1" a="1"/>
  <c r="AT130" i="15" s="1"/>
  <c r="AU130" i="15" s="1" a="1"/>
  <c r="AU130" i="15" s="1"/>
  <c r="AV130" i="15" s="1" a="1"/>
  <c r="AV130" i="15" s="1"/>
  <c r="AW130" i="15" s="1" a="1"/>
  <c r="AW130" i="15" s="1"/>
  <c r="AX130" i="15" s="1" a="1"/>
  <c r="AX130" i="15" s="1"/>
  <c r="AR131" i="15"/>
  <c r="AS131" i="15" a="1"/>
  <c r="AS131" i="15" s="1"/>
  <c r="AT131" i="15" s="1" a="1"/>
  <c r="AT131" i="15" s="1"/>
  <c r="AU131" i="15" s="1" a="1"/>
  <c r="AU131" i="15" s="1"/>
  <c r="AV131" i="15" s="1" a="1"/>
  <c r="AV131" i="15" s="1"/>
  <c r="AW131" i="15" s="1" a="1"/>
  <c r="AW131" i="15" s="1"/>
  <c r="AX131" i="15" s="1" a="1"/>
  <c r="AX131" i="15" s="1"/>
  <c r="AR132" i="15"/>
  <c r="AS132" i="15" a="1"/>
  <c r="AS132" i="15"/>
  <c r="AT132" i="15" s="1" a="1"/>
  <c r="AT132" i="15" s="1"/>
  <c r="AU132" i="15" s="1" a="1"/>
  <c r="AU132" i="15" s="1"/>
  <c r="AV132" i="15" s="1" a="1"/>
  <c r="AV132" i="15" s="1"/>
  <c r="AW132" i="15" s="1" a="1"/>
  <c r="AW132" i="15" s="1"/>
  <c r="AX132" i="15" s="1" a="1"/>
  <c r="AX132" i="15" s="1"/>
  <c r="AR133" i="15"/>
  <c r="AS133" i="15" s="1" a="1"/>
  <c r="AS133" i="15" s="1"/>
  <c r="AT133" i="15" s="1" a="1"/>
  <c r="AT133" i="15" s="1"/>
  <c r="AU133" i="15" s="1" a="1"/>
  <c r="AU133" i="15" s="1"/>
  <c r="AV133" i="15" s="1" a="1"/>
  <c r="AV133" i="15" s="1"/>
  <c r="AW133" i="15" s="1" a="1"/>
  <c r="AW133" i="15" s="1"/>
  <c r="AX133" i="15" s="1" a="1"/>
  <c r="AX133" i="15" s="1"/>
  <c r="AR134" i="15"/>
  <c r="AS134" i="15" s="1" a="1"/>
  <c r="AS134" i="15" s="1"/>
  <c r="AT134" i="15" s="1" a="1"/>
  <c r="AT134" i="15" s="1"/>
  <c r="AU134" i="15" s="1" a="1"/>
  <c r="AU134" i="15" s="1"/>
  <c r="AV134" i="15" s="1" a="1"/>
  <c r="AV134" i="15" s="1"/>
  <c r="AW134" i="15" s="1" a="1"/>
  <c r="AW134" i="15" s="1"/>
  <c r="AX134" i="15" s="1" a="1"/>
  <c r="AX134" i="15" s="1"/>
  <c r="AR135" i="15"/>
  <c r="AS135" i="15" a="1"/>
  <c r="AS135" i="15" s="1"/>
  <c r="AT135" i="15" s="1" a="1"/>
  <c r="AT135" i="15" s="1"/>
  <c r="AU135" i="15" s="1" a="1"/>
  <c r="AU135" i="15" s="1"/>
  <c r="AV135" i="15" s="1" a="1"/>
  <c r="AV135" i="15" s="1"/>
  <c r="AW135" i="15" s="1" a="1"/>
  <c r="AW135" i="15" s="1"/>
  <c r="AX135" i="15" s="1" a="1"/>
  <c r="AX135" i="15" s="1"/>
  <c r="AR136" i="15"/>
  <c r="AS136" i="15" a="1"/>
  <c r="AS136" i="15" s="1"/>
  <c r="AT136" i="15" s="1" a="1"/>
  <c r="AT136" i="15" s="1"/>
  <c r="AU136" i="15" s="1" a="1"/>
  <c r="AU136" i="15" s="1"/>
  <c r="AV136" i="15" s="1" a="1"/>
  <c r="AV136" i="15" s="1"/>
  <c r="AW136" i="15" s="1" a="1"/>
  <c r="AW136" i="15" s="1"/>
  <c r="AX136" i="15" s="1" a="1"/>
  <c r="AX136" i="15" s="1"/>
  <c r="AR122" i="15"/>
  <c r="AS122" i="15" s="1" a="1"/>
  <c r="AS122" i="15" s="1"/>
  <c r="AR8" i="15"/>
  <c r="BF8" i="15" s="1"/>
  <c r="AR9" i="15"/>
  <c r="AR10" i="15"/>
  <c r="BF10" i="15" s="1"/>
  <c r="AR11" i="15"/>
  <c r="AR12" i="15"/>
  <c r="BF12" i="15" s="1"/>
  <c r="AR13" i="15"/>
  <c r="AR14" i="15"/>
  <c r="AR15" i="15"/>
  <c r="BF15" i="15" s="1"/>
  <c r="AS15" i="15" a="1"/>
  <c r="AS15" i="15" s="1"/>
  <c r="AR16" i="15"/>
  <c r="AR17" i="15"/>
  <c r="BF17" i="15" s="1"/>
  <c r="AS17" i="15" a="1"/>
  <c r="AS17" i="15" s="1"/>
  <c r="AR18" i="15"/>
  <c r="BF18" i="15" s="1"/>
  <c r="AR19" i="15"/>
  <c r="AR20" i="15"/>
  <c r="BF20" i="15" s="1"/>
  <c r="AS20" i="15" a="1"/>
  <c r="AS20" i="15" s="1"/>
  <c r="AR21" i="15"/>
  <c r="AR22" i="15"/>
  <c r="BF22" i="15" s="1"/>
  <c r="AS22" i="15" a="1"/>
  <c r="AS22" i="15" s="1"/>
  <c r="AR23" i="15"/>
  <c r="BF23" i="15" s="1"/>
  <c r="AR24" i="15"/>
  <c r="AR25" i="15"/>
  <c r="BF25" i="15" s="1"/>
  <c r="AS25" i="15" a="1"/>
  <c r="AS25" i="15" s="1"/>
  <c r="AR26" i="15"/>
  <c r="BF26" i="15" s="1"/>
  <c r="AR27" i="15"/>
  <c r="BF27" i="15" s="1"/>
  <c r="AR28" i="15"/>
  <c r="BF28" i="15" s="1"/>
  <c r="AS28" i="15" a="1"/>
  <c r="AS28" i="15"/>
  <c r="AR29" i="15"/>
  <c r="BF29" i="15" s="1"/>
  <c r="AR30" i="15"/>
  <c r="BF30" i="15" s="1"/>
  <c r="AS30" i="15" a="1"/>
  <c r="AS30" i="15" s="1"/>
  <c r="AR31" i="15"/>
  <c r="AR32" i="15"/>
  <c r="BF32" i="15" s="1"/>
  <c r="AR33" i="15"/>
  <c r="AR34" i="15"/>
  <c r="AR35" i="15"/>
  <c r="BF35" i="15" s="1"/>
  <c r="AS35" i="15" a="1"/>
  <c r="AS35" i="15" s="1"/>
  <c r="AR36" i="15"/>
  <c r="AR37" i="15"/>
  <c r="BF37" i="15" s="1"/>
  <c r="AS37" i="15" a="1"/>
  <c r="AS37" i="15" s="1"/>
  <c r="AR38" i="15"/>
  <c r="BF38" i="15" s="1"/>
  <c r="AS38" i="15" a="1"/>
  <c r="AS38" i="15" s="1"/>
  <c r="AR39" i="15"/>
  <c r="AR40" i="15"/>
  <c r="BF40" i="15" s="1"/>
  <c r="AS40" i="15" a="1"/>
  <c r="AS40" i="15" s="1"/>
  <c r="AR41" i="15"/>
  <c r="AR42" i="15"/>
  <c r="BF42" i="15" s="1"/>
  <c r="AR43" i="15"/>
  <c r="BF43" i="15" s="1"/>
  <c r="AS43" i="15" a="1"/>
  <c r="AS43" i="15" s="1"/>
  <c r="AR44" i="15"/>
  <c r="BF44" i="15" s="1"/>
  <c r="AS44" i="15" a="1"/>
  <c r="AS44" i="15" s="1"/>
  <c r="AR45" i="15"/>
  <c r="BF45" i="15" s="1"/>
  <c r="AS45" i="15" a="1"/>
  <c r="AS45" i="15"/>
  <c r="AR46" i="15"/>
  <c r="BF46" i="15" s="1"/>
  <c r="AR47" i="15"/>
  <c r="BF47" i="15" s="1"/>
  <c r="AS47" i="15" a="1"/>
  <c r="AS47" i="15" s="1"/>
  <c r="AR48" i="15"/>
  <c r="BF48" i="15" s="1"/>
  <c r="AS48" i="15" a="1"/>
  <c r="AS48" i="15" s="1"/>
  <c r="AR49" i="15"/>
  <c r="BF49" i="15" s="1"/>
  <c r="AR50" i="15"/>
  <c r="BF50" i="15" s="1"/>
  <c r="AS50" i="15" a="1"/>
  <c r="AS50" i="15" s="1"/>
  <c r="AR51" i="15"/>
  <c r="AR52" i="15"/>
  <c r="BF52" i="15" s="1"/>
  <c r="AS52" i="15" a="1"/>
  <c r="AS52" i="15" s="1"/>
  <c r="AR53" i="15"/>
  <c r="AR55" i="15"/>
  <c r="BF55" i="15" s="1"/>
  <c r="AR58" i="15"/>
  <c r="AR59" i="15"/>
  <c r="BF59" i="15" s="1"/>
  <c r="AS59" i="15" a="1"/>
  <c r="AS59" i="15"/>
  <c r="AR60" i="15"/>
  <c r="BF60" i="15" s="1"/>
  <c r="AS60" i="15" a="1"/>
  <c r="AS60" i="15" s="1"/>
  <c r="AR61" i="15"/>
  <c r="BF61" i="15" s="1"/>
  <c r="AS61" i="15" a="1"/>
  <c r="AS61" i="15" s="1"/>
  <c r="AR62" i="15"/>
  <c r="AR63" i="15"/>
  <c r="AR64" i="15"/>
  <c r="BF64" i="15" s="1"/>
  <c r="AR65" i="15"/>
  <c r="BF65" i="15" s="1"/>
  <c r="AS65" i="15" a="1"/>
  <c r="AS65" i="15" s="1"/>
  <c r="AR66" i="15"/>
  <c r="AR67" i="15"/>
  <c r="BF67" i="15" s="1"/>
  <c r="AR68" i="15"/>
  <c r="BF68" i="15" s="1"/>
  <c r="AS68" i="15" a="1"/>
  <c r="AS68" i="15" s="1"/>
  <c r="AR69" i="15"/>
  <c r="BF69" i="15" s="1"/>
  <c r="AS69" i="15" a="1"/>
  <c r="AS69" i="15" s="1"/>
  <c r="AR70" i="15"/>
  <c r="BF70" i="15" s="1"/>
  <c r="AS70" i="15" a="1"/>
  <c r="AS70" i="15" s="1"/>
  <c r="AR71" i="15"/>
  <c r="BF71" i="15" s="1"/>
  <c r="AR72" i="15"/>
  <c r="BF72" i="15" s="1"/>
  <c r="AS72" i="15" a="1"/>
  <c r="AS72" i="15"/>
  <c r="AR73" i="15"/>
  <c r="AR74" i="15"/>
  <c r="BF74" i="15" s="1"/>
  <c r="AR75" i="15"/>
  <c r="AR76" i="15"/>
  <c r="AR77" i="15"/>
  <c r="BF77" i="15" s="1"/>
  <c r="AS77" i="15" a="1"/>
  <c r="AS77" i="15"/>
  <c r="U72" i="15" l="1"/>
  <c r="AE72" i="15" s="1"/>
  <c r="H72" i="15" a="1"/>
  <c r="H72" i="15" s="1"/>
  <c r="V77" i="15"/>
  <c r="AF77" i="15" s="1"/>
  <c r="I77" i="15" a="1"/>
  <c r="I77" i="15" s="1"/>
  <c r="U70" i="15"/>
  <c r="H70" i="15" a="1"/>
  <c r="H70" i="15" s="1"/>
  <c r="V75" i="15"/>
  <c r="AF75" i="15" s="1"/>
  <c r="I75" i="15" a="1"/>
  <c r="I75" i="15" s="1"/>
  <c r="AD70" i="15"/>
  <c r="U76" i="15"/>
  <c r="AE76" i="15" s="1"/>
  <c r="H76" i="15" a="1"/>
  <c r="H76" i="15" s="1"/>
  <c r="BH56" i="15"/>
  <c r="BR56" i="15" s="1"/>
  <c r="AU56" i="15" a="1"/>
  <c r="AU56" i="15" s="1"/>
  <c r="BG48" i="15"/>
  <c r="AT48" i="15" a="1"/>
  <c r="AT48" i="15" s="1"/>
  <c r="BG65" i="15"/>
  <c r="AT65" i="15" a="1"/>
  <c r="AT65" i="15" s="1"/>
  <c r="AS49" i="15" a="1"/>
  <c r="AS49" i="15" s="1"/>
  <c r="AS27" i="15" a="1"/>
  <c r="AS27" i="15" s="1"/>
  <c r="BG27" i="15" s="1"/>
  <c r="AS12" i="15" a="1"/>
  <c r="AS12" i="15" s="1"/>
  <c r="AT12" i="15" s="1" a="1"/>
  <c r="AT12" i="15" s="1"/>
  <c r="AS8" i="15" a="1"/>
  <c r="AS8" i="15" s="1"/>
  <c r="AS74" i="15" a="1"/>
  <c r="AS74" i="15" s="1"/>
  <c r="AS46" i="15" a="1"/>
  <c r="AS46" i="15" s="1"/>
  <c r="AS42" i="15" a="1"/>
  <c r="AS42" i="15" s="1"/>
  <c r="AS32" i="15" a="1"/>
  <c r="AS32" i="15" s="1"/>
  <c r="AS29" i="15" a="1"/>
  <c r="AS29" i="15" s="1"/>
  <c r="AS26" i="15" a="1"/>
  <c r="AS26" i="15" s="1"/>
  <c r="AS10" i="15" a="1"/>
  <c r="AS10" i="15" s="1"/>
  <c r="AT10" i="15" s="1" a="1"/>
  <c r="AT10" i="15" s="1"/>
  <c r="AT50" i="15" a="1"/>
  <c r="AT50" i="15" s="1"/>
  <c r="BG50" i="15"/>
  <c r="AT74" i="15" a="1"/>
  <c r="AT74" i="15" s="1"/>
  <c r="BG74" i="15"/>
  <c r="BG60" i="15"/>
  <c r="AT60" i="15" a="1"/>
  <c r="AT60" i="15" s="1"/>
  <c r="BG10" i="15"/>
  <c r="BG15" i="15"/>
  <c r="AT15" i="15" a="1"/>
  <c r="AT15" i="15" s="1"/>
  <c r="AS36" i="15" a="1"/>
  <c r="AS36" i="15" s="1"/>
  <c r="BF36" i="15"/>
  <c r="AT77" i="15" a="1"/>
  <c r="AT77" i="15" s="1"/>
  <c r="BG77" i="15"/>
  <c r="AS63" i="15" a="1"/>
  <c r="AS63" i="15" s="1"/>
  <c r="BF63" i="15"/>
  <c r="AT59" i="15" a="1"/>
  <c r="AT59" i="15" s="1"/>
  <c r="BG59" i="15"/>
  <c r="AS53" i="15" a="1"/>
  <c r="AS53" i="15" s="1"/>
  <c r="BF53" i="15"/>
  <c r="AT35" i="15" a="1"/>
  <c r="AT35" i="15" s="1"/>
  <c r="BG35" i="15"/>
  <c r="AT72" i="15" a="1"/>
  <c r="AT72" i="15" s="1"/>
  <c r="BG72" i="15"/>
  <c r="AT69" i="15" a="1"/>
  <c r="AT69" i="15" s="1"/>
  <c r="BG69" i="15"/>
  <c r="AS62" i="15" a="1"/>
  <c r="AS62" i="15" s="1"/>
  <c r="BF62" i="15"/>
  <c r="AT52" i="15" a="1"/>
  <c r="AT52" i="15" s="1"/>
  <c r="BG52" i="15"/>
  <c r="AU48" i="15" a="1"/>
  <c r="AU48" i="15" s="1"/>
  <c r="BH48" i="15"/>
  <c r="AS41" i="15" a="1"/>
  <c r="AS41" i="15" s="1"/>
  <c r="BF41" i="15"/>
  <c r="AS24" i="15" a="1"/>
  <c r="AS24" i="15" s="1"/>
  <c r="BF24" i="15"/>
  <c r="AS14" i="15" a="1"/>
  <c r="AS14" i="15" s="1"/>
  <c r="BF14" i="15"/>
  <c r="AS9" i="15" a="1"/>
  <c r="AS9" i="15" s="1"/>
  <c r="BF9" i="15"/>
  <c r="AT61" i="15" a="1"/>
  <c r="AT61" i="15" s="1"/>
  <c r="BG61" i="15"/>
  <c r="AT40" i="15" a="1"/>
  <c r="AT40" i="15" s="1"/>
  <c r="BG40" i="15"/>
  <c r="AS34" i="15" a="1"/>
  <c r="AS34" i="15" s="1"/>
  <c r="BF34" i="15"/>
  <c r="AT27" i="15" a="1"/>
  <c r="AT27" i="15" s="1"/>
  <c r="AS21" i="15" a="1"/>
  <c r="AS21" i="15" s="1"/>
  <c r="BF21" i="15"/>
  <c r="AS76" i="15" a="1"/>
  <c r="AS76" i="15" s="1"/>
  <c r="BF76" i="15"/>
  <c r="AT68" i="15" a="1"/>
  <c r="AT68" i="15" s="1"/>
  <c r="BG68" i="15"/>
  <c r="AS51" i="15" a="1"/>
  <c r="AS51" i="15" s="1"/>
  <c r="BF51" i="15"/>
  <c r="AT20" i="15" a="1"/>
  <c r="AT20" i="15" s="1"/>
  <c r="BG20" i="15"/>
  <c r="AT70" i="15" a="1"/>
  <c r="AT70" i="15" s="1"/>
  <c r="BG70" i="15"/>
  <c r="AS66" i="15" a="1"/>
  <c r="AS66" i="15" s="1"/>
  <c r="BF66" i="15"/>
  <c r="AT25" i="15" a="1"/>
  <c r="AT25" i="15" s="1"/>
  <c r="BG25" i="15"/>
  <c r="AT122" i="15" a="1"/>
  <c r="AT122" i="15" s="1"/>
  <c r="AU122" i="15" s="1" a="1"/>
  <c r="AU122" i="15" s="1"/>
  <c r="AV122" i="15" s="1" a="1"/>
  <c r="AV122" i="15" s="1"/>
  <c r="AW122" i="15" s="1" a="1"/>
  <c r="AW122" i="15" s="1"/>
  <c r="BG122" i="15"/>
  <c r="AT43" i="15" a="1"/>
  <c r="AT43" i="15" s="1"/>
  <c r="BG43" i="15"/>
  <c r="AS13" i="15" a="1"/>
  <c r="AS13" i="15" s="1"/>
  <c r="BF13" i="15"/>
  <c r="AT37" i="15" a="1"/>
  <c r="AT37" i="15" s="1"/>
  <c r="BG37" i="15"/>
  <c r="AS75" i="15" a="1"/>
  <c r="AS75" i="15" s="1"/>
  <c r="BF75" i="15"/>
  <c r="AT45" i="15" a="1"/>
  <c r="AT45" i="15" s="1"/>
  <c r="BG45" i="15"/>
  <c r="AS33" i="15" a="1"/>
  <c r="AS33" i="15" s="1"/>
  <c r="BF33" i="15"/>
  <c r="AT26" i="15" a="1"/>
  <c r="AT26" i="15" s="1"/>
  <c r="BG26" i="15"/>
  <c r="AS16" i="15" a="1"/>
  <c r="AS16" i="15" s="1"/>
  <c r="BF16" i="15"/>
  <c r="AT49" i="15" a="1"/>
  <c r="AT49" i="15" s="1"/>
  <c r="BG49" i="15"/>
  <c r="AT38" i="15" a="1"/>
  <c r="AT38" i="15" s="1"/>
  <c r="BG38" i="15"/>
  <c r="AS31" i="15" a="1"/>
  <c r="AS31" i="15" s="1"/>
  <c r="BF31" i="15"/>
  <c r="AT28" i="15" a="1"/>
  <c r="AT28" i="15" s="1"/>
  <c r="BG28" i="15"/>
  <c r="AS73" i="15" a="1"/>
  <c r="AS73" i="15" s="1"/>
  <c r="BF73" i="15"/>
  <c r="AU65" i="15" a="1"/>
  <c r="AU65" i="15" s="1"/>
  <c r="BH65" i="15"/>
  <c r="AT44" i="15" a="1"/>
  <c r="AT44" i="15" s="1"/>
  <c r="BG44" i="15"/>
  <c r="AT30" i="15" a="1"/>
  <c r="AT30" i="15" s="1"/>
  <c r="BG30" i="15"/>
  <c r="AT22" i="15" a="1"/>
  <c r="AT22" i="15" s="1"/>
  <c r="BG22" i="15"/>
  <c r="AT17" i="15" a="1"/>
  <c r="AT17" i="15" s="1"/>
  <c r="BG17" i="15"/>
  <c r="AS71" i="15" a="1"/>
  <c r="AS71" i="15" s="1"/>
  <c r="AS67" i="15" a="1"/>
  <c r="AS67" i="15" s="1"/>
  <c r="AS64" i="15" a="1"/>
  <c r="AS64" i="15" s="1"/>
  <c r="AS58" i="15" a="1"/>
  <c r="AS58" i="15" s="1"/>
  <c r="BF58" i="15"/>
  <c r="AT47" i="15" a="1"/>
  <c r="AT47" i="15" s="1"/>
  <c r="BG47" i="15"/>
  <c r="AT42" i="15" a="1"/>
  <c r="AT42" i="15" s="1"/>
  <c r="BG42" i="15"/>
  <c r="AT32" i="15" a="1"/>
  <c r="AT32" i="15" s="1"/>
  <c r="BG32" i="15"/>
  <c r="AS23" i="15" a="1"/>
  <c r="AS23" i="15" s="1"/>
  <c r="AS19" i="15" a="1"/>
  <c r="AS19" i="15" s="1"/>
  <c r="BF19" i="15"/>
  <c r="AS11" i="15" a="1"/>
  <c r="AS11" i="15" s="1"/>
  <c r="BF11" i="15"/>
  <c r="AS55" i="15" a="1"/>
  <c r="AS55" i="15" s="1"/>
  <c r="AS39" i="15" a="1"/>
  <c r="AS39" i="15" s="1"/>
  <c r="BF39" i="15"/>
  <c r="AS18" i="15" a="1"/>
  <c r="AS18" i="15" s="1"/>
  <c r="CT126" i="15"/>
  <c r="DD126" i="15" s="1"/>
  <c r="CH126" i="15" a="1"/>
  <c r="CH126" i="15" s="1"/>
  <c r="D97" i="15"/>
  <c r="D106" i="15"/>
  <c r="D107" i="15"/>
  <c r="V70" i="15" l="1"/>
  <c r="I70" i="15" a="1"/>
  <c r="I70" i="15" s="1"/>
  <c r="AE70" i="15"/>
  <c r="W77" i="15"/>
  <c r="AG77" i="15" s="1"/>
  <c r="J77" i="15" a="1"/>
  <c r="J77" i="15" s="1"/>
  <c r="I72" i="15" a="1"/>
  <c r="I72" i="15" s="1"/>
  <c r="V72" i="15"/>
  <c r="AF72" i="15" s="1"/>
  <c r="V76" i="15"/>
  <c r="AF76" i="15" s="1"/>
  <c r="I76" i="15" a="1"/>
  <c r="I76" i="15" s="1"/>
  <c r="J75" i="15" a="1"/>
  <c r="J75" i="15" s="1"/>
  <c r="W75" i="15"/>
  <c r="AG75" i="15" s="1"/>
  <c r="BS56" i="15"/>
  <c r="AV56" i="15" a="1"/>
  <c r="AV56" i="15" s="1"/>
  <c r="BG8" i="15"/>
  <c r="AT8" i="15" a="1"/>
  <c r="AT8" i="15" s="1"/>
  <c r="BG12" i="15"/>
  <c r="BG29" i="15"/>
  <c r="AT29" i="15" a="1"/>
  <c r="AT29" i="15" s="1"/>
  <c r="BG46" i="15"/>
  <c r="AT46" i="15" a="1"/>
  <c r="AT46" i="15" s="1"/>
  <c r="AT67" i="15" a="1"/>
  <c r="AT67" i="15" s="1"/>
  <c r="BG67" i="15"/>
  <c r="AT55" i="15" a="1"/>
  <c r="AT55" i="15" s="1"/>
  <c r="BG55" i="15"/>
  <c r="AT71" i="15" a="1"/>
  <c r="AT71" i="15" s="1"/>
  <c r="BG71" i="15"/>
  <c r="AU44" i="15" a="1"/>
  <c r="AU44" i="15" s="1"/>
  <c r="BH44" i="15"/>
  <c r="AU37" i="15" a="1"/>
  <c r="AU37" i="15" s="1"/>
  <c r="BH37" i="15"/>
  <c r="AU68" i="15" a="1"/>
  <c r="AU68" i="15" s="1"/>
  <c r="BH68" i="15"/>
  <c r="AT9" i="15" a="1"/>
  <c r="AT9" i="15" s="1"/>
  <c r="AU72" i="15" a="1"/>
  <c r="AU72" i="15" s="1"/>
  <c r="BH72" i="15"/>
  <c r="AU17" i="15" a="1"/>
  <c r="AU17" i="15" s="1"/>
  <c r="BH17" i="15"/>
  <c r="AU38" i="15" a="1"/>
  <c r="AU38" i="15" s="1"/>
  <c r="BH38" i="15"/>
  <c r="BG33" i="15"/>
  <c r="AT33" i="15" a="1"/>
  <c r="AT33" i="15" s="1"/>
  <c r="AU25" i="15" a="1"/>
  <c r="AU25" i="15" s="1"/>
  <c r="BH25" i="15"/>
  <c r="AU12" i="15" a="1"/>
  <c r="AU12" i="15" s="1"/>
  <c r="BH12" i="15"/>
  <c r="AT76" i="15" a="1"/>
  <c r="AT76" i="15" s="1"/>
  <c r="BG76" i="15"/>
  <c r="AT34" i="15" a="1"/>
  <c r="AT34" i="15" s="1"/>
  <c r="BG34" i="15"/>
  <c r="AT14" i="15" a="1"/>
  <c r="AT14" i="15" s="1"/>
  <c r="BG14" i="15"/>
  <c r="AU52" i="15" a="1"/>
  <c r="AU52" i="15" s="1"/>
  <c r="BH52" i="15"/>
  <c r="AU35" i="15" a="1"/>
  <c r="AU35" i="15" s="1"/>
  <c r="BH35" i="15"/>
  <c r="AU77" i="15" a="1"/>
  <c r="AU77" i="15" s="1"/>
  <c r="BH77" i="15"/>
  <c r="AU47" i="15" a="1"/>
  <c r="AU47" i="15" s="1"/>
  <c r="BH47" i="15"/>
  <c r="AT39" i="15" a="1"/>
  <c r="AT39" i="15" s="1"/>
  <c r="BG39" i="15"/>
  <c r="AT31" i="15" a="1"/>
  <c r="AT31" i="15" s="1"/>
  <c r="BG31" i="15"/>
  <c r="BG63" i="15"/>
  <c r="AT63" i="15" a="1"/>
  <c r="AT63" i="15" s="1"/>
  <c r="AT73" i="15" a="1"/>
  <c r="AT73" i="15" s="1"/>
  <c r="BG73" i="15"/>
  <c r="AT21" i="15" a="1"/>
  <c r="AT21" i="15" s="1"/>
  <c r="BG21" i="15"/>
  <c r="AT24" i="15" a="1"/>
  <c r="AT24" i="15" s="1"/>
  <c r="BG24" i="15"/>
  <c r="AT62" i="15" a="1"/>
  <c r="AT62" i="15" s="1"/>
  <c r="BG62" i="15"/>
  <c r="AT53" i="15" a="1"/>
  <c r="AT53" i="15" s="1"/>
  <c r="BG53" i="15"/>
  <c r="AT36" i="15" a="1"/>
  <c r="AT36" i="15" s="1"/>
  <c r="BG36" i="15"/>
  <c r="AU74" i="15" a="1"/>
  <c r="AU74" i="15" s="1"/>
  <c r="BH74" i="15"/>
  <c r="AU32" i="15" a="1"/>
  <c r="AU32" i="15" s="1"/>
  <c r="BH32" i="15"/>
  <c r="AU26" i="15" a="1"/>
  <c r="AU26" i="15" s="1"/>
  <c r="BH26" i="15"/>
  <c r="AU42" i="15" a="1"/>
  <c r="AU42" i="15" s="1"/>
  <c r="BH42" i="15"/>
  <c r="AU20" i="15" a="1"/>
  <c r="AU20" i="15" s="1"/>
  <c r="BH20" i="15"/>
  <c r="BG23" i="15"/>
  <c r="AT23" i="15" a="1"/>
  <c r="AT23" i="15" s="1"/>
  <c r="AT58" i="15" a="1"/>
  <c r="AT58" i="15" s="1"/>
  <c r="BG58" i="15"/>
  <c r="AU15" i="15" a="1"/>
  <c r="AU15" i="15" s="1"/>
  <c r="BH15" i="15"/>
  <c r="AX122" i="15" a="1"/>
  <c r="AX122" i="15" s="1"/>
  <c r="AU70" i="15" a="1"/>
  <c r="AU70" i="15" s="1"/>
  <c r="BH70" i="15"/>
  <c r="AV48" i="15" a="1"/>
  <c r="AV48" i="15" s="1"/>
  <c r="AU10" i="15" a="1"/>
  <c r="AU10" i="15" s="1"/>
  <c r="BH10" i="15"/>
  <c r="AU60" i="15" a="1"/>
  <c r="AU60" i="15" s="1"/>
  <c r="BH60" i="15"/>
  <c r="AT11" i="15" a="1"/>
  <c r="AT11" i="15" s="1"/>
  <c r="AV65" i="15" a="1"/>
  <c r="AV65" i="15" s="1"/>
  <c r="AT19" i="15" a="1"/>
  <c r="AT19" i="15" s="1"/>
  <c r="BG19" i="15"/>
  <c r="AU22" i="15" a="1"/>
  <c r="AU22" i="15" s="1"/>
  <c r="BH22" i="15"/>
  <c r="AU49" i="15" a="1"/>
  <c r="AU49" i="15" s="1"/>
  <c r="BH49" i="15"/>
  <c r="AU45" i="15" a="1"/>
  <c r="AU45" i="15" s="1"/>
  <c r="BH45" i="15"/>
  <c r="AT13" i="15" a="1"/>
  <c r="AT13" i="15" s="1"/>
  <c r="BG13" i="15"/>
  <c r="AU40" i="15" a="1"/>
  <c r="AU40" i="15" s="1"/>
  <c r="BH40" i="15"/>
  <c r="AT18" i="15" a="1"/>
  <c r="AT18" i="15" s="1"/>
  <c r="BG18" i="15"/>
  <c r="AT64" i="15" a="1"/>
  <c r="AT64" i="15" s="1"/>
  <c r="BG64" i="15"/>
  <c r="AU30" i="15" a="1"/>
  <c r="AU30" i="15" s="1"/>
  <c r="BH30" i="15"/>
  <c r="AU28" i="15" a="1"/>
  <c r="AU28" i="15" s="1"/>
  <c r="BH28" i="15"/>
  <c r="AT16" i="15" a="1"/>
  <c r="AT16" i="15" s="1"/>
  <c r="BG16" i="15"/>
  <c r="AT75" i="15" a="1"/>
  <c r="AT75" i="15" s="1"/>
  <c r="BG75" i="15"/>
  <c r="AU43" i="15" a="1"/>
  <c r="AU43" i="15" s="1"/>
  <c r="BH43" i="15"/>
  <c r="AT66" i="15" a="1"/>
  <c r="AT66" i="15" s="1"/>
  <c r="BG66" i="15"/>
  <c r="AT51" i="15" a="1"/>
  <c r="AT51" i="15" s="1"/>
  <c r="BG51" i="15"/>
  <c r="AU27" i="15" a="1"/>
  <c r="AU27" i="15" s="1"/>
  <c r="BH27" i="15"/>
  <c r="AU61" i="15" a="1"/>
  <c r="AU61" i="15" s="1"/>
  <c r="BH61" i="15"/>
  <c r="BG41" i="15"/>
  <c r="AT41" i="15" a="1"/>
  <c r="AT41" i="15" s="1"/>
  <c r="AU69" i="15" a="1"/>
  <c r="AU69" i="15" s="1"/>
  <c r="BH69" i="15"/>
  <c r="AU59" i="15" a="1"/>
  <c r="AU59" i="15" s="1"/>
  <c r="BH59" i="15"/>
  <c r="AU50" i="15" a="1"/>
  <c r="AU50" i="15" s="1"/>
  <c r="BH50" i="15"/>
  <c r="CU126" i="15"/>
  <c r="DE126" i="15" s="1"/>
  <c r="CI126" i="15" a="1"/>
  <c r="CI126" i="15" s="1"/>
  <c r="BW41" i="15"/>
  <c r="BX41" i="15"/>
  <c r="BY41" i="15"/>
  <c r="D96" i="15"/>
  <c r="E139" i="15"/>
  <c r="F139" i="15" s="1" a="1"/>
  <c r="F139" i="15" s="1"/>
  <c r="G139" i="15" s="1" a="1"/>
  <c r="G139" i="15" s="1"/>
  <c r="H139" i="15" s="1" a="1"/>
  <c r="H139" i="15" s="1"/>
  <c r="I139" i="15" s="1" a="1"/>
  <c r="I139" i="15" s="1"/>
  <c r="J139" i="15" s="1" a="1"/>
  <c r="J139" i="15" s="1"/>
  <c r="K139" i="15" s="1" a="1"/>
  <c r="K139" i="15" s="1"/>
  <c r="L139" i="15" s="1" a="1"/>
  <c r="L139" i="15" s="1"/>
  <c r="M139" i="15" s="1" a="1"/>
  <c r="M139" i="15" s="1"/>
  <c r="N139" i="15" s="1" a="1"/>
  <c r="N139" i="15" s="1"/>
  <c r="E140" i="15"/>
  <c r="F140" i="15" s="1" a="1"/>
  <c r="F140" i="15" s="1"/>
  <c r="G140" i="15" s="1" a="1"/>
  <c r="G140" i="15" s="1"/>
  <c r="H140" i="15" s="1" a="1"/>
  <c r="H140" i="15" s="1"/>
  <c r="I140" i="15" s="1" a="1"/>
  <c r="I140" i="15" s="1"/>
  <c r="J140" i="15" s="1" a="1"/>
  <c r="J140" i="15" s="1"/>
  <c r="K140" i="15" s="1" a="1"/>
  <c r="K140" i="15" s="1"/>
  <c r="L140" i="15" s="1" a="1"/>
  <c r="L140" i="15" s="1"/>
  <c r="M140" i="15" s="1" a="1"/>
  <c r="M140" i="15" s="1"/>
  <c r="N140" i="15" s="1" a="1"/>
  <c r="N140" i="15" s="1"/>
  <c r="E141" i="15"/>
  <c r="F141" i="15" s="1" a="1"/>
  <c r="F141" i="15" s="1"/>
  <c r="G141" i="15" s="1" a="1"/>
  <c r="G141" i="15" s="1"/>
  <c r="H141" i="15" s="1" a="1"/>
  <c r="H141" i="15" s="1"/>
  <c r="I141" i="15" s="1" a="1"/>
  <c r="I141" i="15" s="1"/>
  <c r="J141" i="15" s="1" a="1"/>
  <c r="J141" i="15" s="1"/>
  <c r="K141" i="15" s="1" a="1"/>
  <c r="K141" i="15" s="1"/>
  <c r="L141" i="15" s="1" a="1"/>
  <c r="L141" i="15" s="1"/>
  <c r="M141" i="15" s="1" a="1"/>
  <c r="M141" i="15" s="1"/>
  <c r="N141" i="15" s="1" a="1"/>
  <c r="N141" i="15" s="1"/>
  <c r="E142" i="15"/>
  <c r="F142" i="15" a="1"/>
  <c r="F142" i="15" s="1"/>
  <c r="G142" i="15" s="1" a="1"/>
  <c r="G142" i="15" s="1"/>
  <c r="H142" i="15" s="1" a="1"/>
  <c r="H142" i="15" s="1"/>
  <c r="I142" i="15" s="1" a="1"/>
  <c r="I142" i="15" s="1"/>
  <c r="J142" i="15" s="1" a="1"/>
  <c r="J142" i="15" s="1"/>
  <c r="K142" i="15" s="1" a="1"/>
  <c r="K142" i="15" s="1"/>
  <c r="L142" i="15" s="1" a="1"/>
  <c r="L142" i="15" s="1"/>
  <c r="M142" i="15" s="1" a="1"/>
  <c r="M142" i="15" s="1"/>
  <c r="N142" i="15" s="1" a="1"/>
  <c r="N142" i="15" s="1"/>
  <c r="E145" i="15"/>
  <c r="F145" i="15" s="1" a="1"/>
  <c r="F145" i="15" s="1"/>
  <c r="G145" i="15" s="1" a="1"/>
  <c r="G145" i="15" s="1"/>
  <c r="H145" i="15" s="1" a="1"/>
  <c r="H145" i="15" s="1"/>
  <c r="I145" i="15" s="1" a="1"/>
  <c r="I145" i="15" s="1"/>
  <c r="J145" i="15" s="1" a="1"/>
  <c r="J145" i="15" s="1"/>
  <c r="K145" i="15" s="1" a="1"/>
  <c r="K145" i="15" s="1"/>
  <c r="L145" i="15" s="1" a="1"/>
  <c r="L145" i="15" s="1"/>
  <c r="M145" i="15" s="1" a="1"/>
  <c r="M145" i="15" s="1"/>
  <c r="N145" i="15" s="1" a="1"/>
  <c r="N145" i="15" s="1"/>
  <c r="E146" i="15"/>
  <c r="F146" i="15" a="1"/>
  <c r="F146" i="15" s="1"/>
  <c r="G146" i="15" s="1" a="1"/>
  <c r="G146" i="15" s="1"/>
  <c r="H146" i="15" s="1" a="1"/>
  <c r="H146" i="15" s="1"/>
  <c r="I146" i="15" s="1" a="1"/>
  <c r="I146" i="15" s="1"/>
  <c r="J146" i="15" s="1" a="1"/>
  <c r="J146" i="15" s="1"/>
  <c r="K146" i="15" s="1" a="1"/>
  <c r="K146" i="15" s="1"/>
  <c r="L146" i="15" s="1" a="1"/>
  <c r="L146" i="15" s="1"/>
  <c r="M146" i="15" s="1" a="1"/>
  <c r="M146" i="15" s="1"/>
  <c r="N146" i="15" s="1" a="1"/>
  <c r="N146" i="15" s="1"/>
  <c r="E147" i="15"/>
  <c r="F147" i="15" s="1" a="1"/>
  <c r="F147" i="15" s="1"/>
  <c r="G147" i="15" s="1" a="1"/>
  <c r="G147" i="15" s="1"/>
  <c r="H147" i="15" s="1" a="1"/>
  <c r="H147" i="15" s="1"/>
  <c r="I147" i="15" s="1" a="1"/>
  <c r="I147" i="15" s="1"/>
  <c r="J147" i="15" s="1" a="1"/>
  <c r="J147" i="15" s="1"/>
  <c r="K147" i="15" s="1" a="1"/>
  <c r="K147" i="15" s="1"/>
  <c r="L147" i="15" s="1" a="1"/>
  <c r="L147" i="15" s="1"/>
  <c r="M147" i="15" s="1" a="1"/>
  <c r="M147" i="15" s="1"/>
  <c r="N147" i="15" s="1" a="1"/>
  <c r="N147" i="15" s="1"/>
  <c r="E148" i="15"/>
  <c r="F148" i="15" a="1"/>
  <c r="F148" i="15" s="1"/>
  <c r="G148" i="15" s="1" a="1"/>
  <c r="G148" i="15" s="1"/>
  <c r="H148" i="15" s="1" a="1"/>
  <c r="H148" i="15" s="1"/>
  <c r="I148" i="15" s="1" a="1"/>
  <c r="I148" i="15" s="1"/>
  <c r="J148" i="15" s="1" a="1"/>
  <c r="J148" i="15" s="1"/>
  <c r="K148" i="15" s="1" a="1"/>
  <c r="K148" i="15" s="1"/>
  <c r="L148" i="15" s="1" a="1"/>
  <c r="L148" i="15" s="1"/>
  <c r="M148" i="15" s="1" a="1"/>
  <c r="M148" i="15" s="1"/>
  <c r="N148" i="15" s="1" a="1"/>
  <c r="N148" i="15" s="1"/>
  <c r="E149" i="15"/>
  <c r="F149" i="15" s="1" a="1"/>
  <c r="F149" i="15" s="1"/>
  <c r="G149" i="15" s="1" a="1"/>
  <c r="G149" i="15" s="1"/>
  <c r="H149" i="15" s="1" a="1"/>
  <c r="H149" i="15" s="1"/>
  <c r="I149" i="15" s="1" a="1"/>
  <c r="I149" i="15" s="1"/>
  <c r="J149" i="15" s="1" a="1"/>
  <c r="J149" i="15" s="1"/>
  <c r="K149" i="15" s="1" a="1"/>
  <c r="K149" i="15" s="1"/>
  <c r="L149" i="15" s="1" a="1"/>
  <c r="L149" i="15" s="1"/>
  <c r="M149" i="15" s="1" a="1"/>
  <c r="M149" i="15" s="1"/>
  <c r="N149" i="15" s="1" a="1"/>
  <c r="N149" i="15" s="1"/>
  <c r="E150" i="15"/>
  <c r="F150" i="15" s="1" a="1"/>
  <c r="F150" i="15" s="1"/>
  <c r="G150" i="15" s="1" a="1"/>
  <c r="G150" i="15" s="1"/>
  <c r="H150" i="15" s="1" a="1"/>
  <c r="H150" i="15" s="1"/>
  <c r="I150" i="15" s="1" a="1"/>
  <c r="I150" i="15" s="1"/>
  <c r="J150" i="15" s="1" a="1"/>
  <c r="J150" i="15" s="1"/>
  <c r="K150" i="15" s="1" a="1"/>
  <c r="K150" i="15" s="1"/>
  <c r="L150" i="15" s="1" a="1"/>
  <c r="L150" i="15" s="1"/>
  <c r="M150" i="15" s="1" a="1"/>
  <c r="M150" i="15" s="1"/>
  <c r="N150" i="15" s="1" a="1"/>
  <c r="N150" i="15" s="1"/>
  <c r="E151" i="15"/>
  <c r="F151" i="15" s="1" a="1"/>
  <c r="F151" i="15" s="1"/>
  <c r="G151" i="15" s="1" a="1"/>
  <c r="G151" i="15" s="1"/>
  <c r="H151" i="15" s="1" a="1"/>
  <c r="H151" i="15" s="1"/>
  <c r="I151" i="15" s="1" a="1"/>
  <c r="I151" i="15" s="1"/>
  <c r="J151" i="15" s="1" a="1"/>
  <c r="J151" i="15" s="1"/>
  <c r="K151" i="15" s="1" a="1"/>
  <c r="K151" i="15" s="1"/>
  <c r="L151" i="15" s="1" a="1"/>
  <c r="L151" i="15" s="1"/>
  <c r="M151" i="15" s="1" a="1"/>
  <c r="M151" i="15" s="1"/>
  <c r="N151" i="15" s="1" a="1"/>
  <c r="N151" i="15" s="1"/>
  <c r="AJ96" i="15"/>
  <c r="AK96" i="15"/>
  <c r="AL96" i="15"/>
  <c r="AJ97" i="15"/>
  <c r="AK97" i="15"/>
  <c r="AL97" i="15"/>
  <c r="AJ106" i="15"/>
  <c r="AK106" i="15"/>
  <c r="AL106" i="15"/>
  <c r="AJ107" i="15"/>
  <c r="AK107" i="15"/>
  <c r="AL107" i="15"/>
  <c r="E95" i="15"/>
  <c r="F95" i="15" a="1"/>
  <c r="F95" i="15" s="1"/>
  <c r="E96" i="15"/>
  <c r="F96" i="15" s="1" a="1"/>
  <c r="F96" i="15" s="1"/>
  <c r="G96" i="15" s="1" a="1"/>
  <c r="G96" i="15" s="1"/>
  <c r="H96" i="15" s="1" a="1"/>
  <c r="H96" i="15" s="1"/>
  <c r="I96" i="15" s="1" a="1"/>
  <c r="I96" i="15" s="1"/>
  <c r="J96" i="15" s="1" a="1"/>
  <c r="J96" i="15" s="1"/>
  <c r="K96" i="15" s="1" a="1"/>
  <c r="K96" i="15" s="1"/>
  <c r="L96" i="15" s="1" a="1"/>
  <c r="L96" i="15" s="1"/>
  <c r="M96" i="15" s="1" a="1"/>
  <c r="M96" i="15" s="1"/>
  <c r="N96" i="15" s="1" a="1"/>
  <c r="N96" i="15" s="1"/>
  <c r="AB96" i="15" s="1"/>
  <c r="E97" i="15"/>
  <c r="S97" i="15" s="1"/>
  <c r="R97" i="15" s="1"/>
  <c r="E106" i="15"/>
  <c r="S106" i="15" s="1"/>
  <c r="E107" i="15"/>
  <c r="S107" i="15" s="1"/>
  <c r="F107" i="15" a="1"/>
  <c r="F107" i="15" s="1"/>
  <c r="D95" i="15"/>
  <c r="S95" i="15"/>
  <c r="R95" i="15" s="1"/>
  <c r="AJ95" i="15"/>
  <c r="AK95" i="15"/>
  <c r="AL95" i="15"/>
  <c r="AJ93" i="15"/>
  <c r="AK93" i="15"/>
  <c r="AL93" i="15"/>
  <c r="AJ94" i="15"/>
  <c r="AK94" i="15"/>
  <c r="AL94" i="15"/>
  <c r="D93" i="15"/>
  <c r="E93" i="15"/>
  <c r="F93" i="15" s="1" a="1"/>
  <c r="F93" i="15" s="1"/>
  <c r="G93" i="15" s="1" a="1"/>
  <c r="G93" i="15" s="1"/>
  <c r="H93" i="15" s="1" a="1"/>
  <c r="H93" i="15" s="1"/>
  <c r="I93" i="15" s="1" a="1"/>
  <c r="I93" i="15" s="1"/>
  <c r="J93" i="15" s="1" a="1"/>
  <c r="J93" i="15" s="1"/>
  <c r="K93" i="15" s="1" a="1"/>
  <c r="K93" i="15" s="1"/>
  <c r="L93" i="15" s="1" a="1"/>
  <c r="L93" i="15" s="1"/>
  <c r="M93" i="15" s="1" a="1"/>
  <c r="M93" i="15" s="1"/>
  <c r="N93" i="15" s="1" a="1"/>
  <c r="N93" i="15" s="1"/>
  <c r="AB93" i="15" s="1"/>
  <c r="D94" i="15"/>
  <c r="E94" i="15"/>
  <c r="F94" i="15" s="1" a="1"/>
  <c r="F94" i="15" s="1"/>
  <c r="G94" i="15" s="1" a="1"/>
  <c r="G94" i="15" s="1"/>
  <c r="H94" i="15" s="1" a="1"/>
  <c r="H94" i="15" s="1"/>
  <c r="I94" i="15" s="1" a="1"/>
  <c r="I94" i="15" s="1"/>
  <c r="J94" i="15" s="1" a="1"/>
  <c r="J94" i="15" s="1"/>
  <c r="K94" i="15" s="1" a="1"/>
  <c r="K94" i="15" s="1"/>
  <c r="L94" i="15" s="1" a="1"/>
  <c r="L94" i="15" s="1"/>
  <c r="M94" i="15" s="1" a="1"/>
  <c r="M94" i="15" s="1"/>
  <c r="N94" i="15" s="1" a="1"/>
  <c r="N94" i="15" s="1"/>
  <c r="AB94" i="15" s="1"/>
  <c r="BF128" i="15"/>
  <c r="BE128" i="15" s="1"/>
  <c r="BF129" i="15"/>
  <c r="BE129" i="15" s="1"/>
  <c r="BW127" i="15"/>
  <c r="BX127" i="15"/>
  <c r="BY127" i="15"/>
  <c r="BW128" i="15"/>
  <c r="BX128" i="15"/>
  <c r="BY128" i="15"/>
  <c r="BW129" i="15"/>
  <c r="BX129" i="15"/>
  <c r="BY129" i="15"/>
  <c r="BW39" i="15"/>
  <c r="BX39" i="15"/>
  <c r="BY39" i="15"/>
  <c r="BE39" i="15"/>
  <c r="BW76" i="15"/>
  <c r="BX76" i="15"/>
  <c r="BY76" i="15"/>
  <c r="BW77" i="15"/>
  <c r="BX77" i="15"/>
  <c r="BY77" i="15"/>
  <c r="AR88" i="15"/>
  <c r="AS88" i="15" s="1" a="1"/>
  <c r="AS88" i="15" s="1"/>
  <c r="BW88" i="15"/>
  <c r="BX88" i="15"/>
  <c r="BY88" i="15"/>
  <c r="AR89" i="15"/>
  <c r="AS89" i="15" s="1" a="1"/>
  <c r="AS89" i="15" s="1"/>
  <c r="BG89" i="15" s="1"/>
  <c r="BQ89" i="15" s="1"/>
  <c r="BW89" i="15"/>
  <c r="BX89" i="15"/>
  <c r="BY89" i="15"/>
  <c r="AR90" i="15"/>
  <c r="AS90" i="15" s="1" a="1"/>
  <c r="AS90" i="15" s="1"/>
  <c r="BW90" i="15"/>
  <c r="BX90" i="15"/>
  <c r="BY90" i="15"/>
  <c r="AR91" i="15"/>
  <c r="AS91" i="15" s="1" a="1"/>
  <c r="AS91" i="15" s="1"/>
  <c r="BW91" i="15"/>
  <c r="BX91" i="15"/>
  <c r="BY91" i="15"/>
  <c r="AR92" i="15"/>
  <c r="AS92" i="15" s="1" a="1"/>
  <c r="AS92" i="15" s="1"/>
  <c r="BW92" i="15"/>
  <c r="BX92" i="15"/>
  <c r="BY92" i="15"/>
  <c r="AR93" i="15"/>
  <c r="AS93" i="15" s="1" a="1"/>
  <c r="AS93" i="15" s="1"/>
  <c r="BW93" i="15"/>
  <c r="BX93" i="15"/>
  <c r="BY93" i="15"/>
  <c r="AR94" i="15"/>
  <c r="AS94" i="15" s="1" a="1"/>
  <c r="AS94" i="15" s="1"/>
  <c r="BW94" i="15"/>
  <c r="BX94" i="15"/>
  <c r="BY94" i="15"/>
  <c r="AR95" i="15"/>
  <c r="AS95" i="15" s="1" a="1"/>
  <c r="AS95" i="15" s="1"/>
  <c r="BW95" i="15"/>
  <c r="BX95" i="15"/>
  <c r="BY95" i="15"/>
  <c r="AR96" i="15"/>
  <c r="BF96" i="15" s="1"/>
  <c r="BE96" i="15" s="1"/>
  <c r="BW96" i="15"/>
  <c r="BX96" i="15"/>
  <c r="BY96" i="15"/>
  <c r="AR97" i="15"/>
  <c r="BF97" i="15" s="1"/>
  <c r="BE97" i="15" s="1"/>
  <c r="BW97" i="15"/>
  <c r="BX97" i="15"/>
  <c r="BY97" i="15"/>
  <c r="AR98" i="15"/>
  <c r="BF98" i="15" s="1"/>
  <c r="BE98" i="15" s="1"/>
  <c r="BW98" i="15"/>
  <c r="BX98" i="15"/>
  <c r="BY98" i="15"/>
  <c r="AR99" i="15"/>
  <c r="BF99" i="15" s="1"/>
  <c r="BE99" i="15" s="1"/>
  <c r="AS99" i="15" a="1"/>
  <c r="AS99" i="15" s="1"/>
  <c r="BW99" i="15"/>
  <c r="BX99" i="15"/>
  <c r="BY99" i="15"/>
  <c r="AR100" i="15"/>
  <c r="AS100" i="15" s="1" a="1"/>
  <c r="AS100" i="15" s="1"/>
  <c r="BW100" i="15"/>
  <c r="BX100" i="15"/>
  <c r="BY100" i="15"/>
  <c r="AR101" i="15"/>
  <c r="BF101" i="15" s="1"/>
  <c r="BE101" i="15" s="1"/>
  <c r="BW101" i="15"/>
  <c r="BX101" i="15"/>
  <c r="BY101" i="15"/>
  <c r="AR102" i="15"/>
  <c r="BF102" i="15" s="1"/>
  <c r="BE102" i="15" s="1"/>
  <c r="BW102" i="15"/>
  <c r="BX102" i="15"/>
  <c r="BY102" i="15"/>
  <c r="AR103" i="15"/>
  <c r="BF103" i="15" s="1"/>
  <c r="BE103" i="15" s="1"/>
  <c r="BW103" i="15"/>
  <c r="BX103" i="15"/>
  <c r="BY103" i="15"/>
  <c r="AR104" i="15"/>
  <c r="AS104" i="15" s="1" a="1"/>
  <c r="AS104" i="15" s="1"/>
  <c r="BF104" i="15"/>
  <c r="BE104" i="15" s="1"/>
  <c r="BW104" i="15"/>
  <c r="BX104" i="15"/>
  <c r="BY104" i="15"/>
  <c r="AR105" i="15"/>
  <c r="AS105" i="15" s="1" a="1"/>
  <c r="AS105" i="15" s="1"/>
  <c r="AT105" i="15" s="1" a="1"/>
  <c r="AT105" i="15" s="1"/>
  <c r="AU105" i="15" s="1" a="1"/>
  <c r="AU105" i="15" s="1"/>
  <c r="BW105" i="15"/>
  <c r="BX105" i="15"/>
  <c r="BY105" i="15"/>
  <c r="AR106" i="15"/>
  <c r="AS106" i="15" s="1" a="1"/>
  <c r="AS106" i="15" s="1"/>
  <c r="BW106" i="15"/>
  <c r="BX106" i="15"/>
  <c r="BY106" i="15"/>
  <c r="AR107" i="15"/>
  <c r="AS107" i="15" s="1" a="1"/>
  <c r="AS107" i="15" s="1"/>
  <c r="BW107" i="15"/>
  <c r="BX107" i="15"/>
  <c r="BY107" i="15"/>
  <c r="J76" i="15" l="1" a="1"/>
  <c r="J76" i="15" s="1"/>
  <c r="W76" i="15"/>
  <c r="AG76" i="15" s="1"/>
  <c r="W70" i="15"/>
  <c r="J70" i="15" a="1"/>
  <c r="J70" i="15" s="1"/>
  <c r="AF70" i="15"/>
  <c r="J72" i="15" a="1"/>
  <c r="J72" i="15" s="1"/>
  <c r="W72" i="15"/>
  <c r="AG72" i="15" s="1"/>
  <c r="X77" i="15"/>
  <c r="AH77" i="15" s="1"/>
  <c r="K77" i="15" a="1"/>
  <c r="K77" i="15" s="1"/>
  <c r="K75" i="15" a="1"/>
  <c r="K75" i="15" s="1"/>
  <c r="X75" i="15"/>
  <c r="AH75" i="15" s="1"/>
  <c r="AW56" i="15" a="1"/>
  <c r="AW56" i="15" s="1"/>
  <c r="BT56" i="15"/>
  <c r="AU46" i="15" a="1"/>
  <c r="AU46" i="15" s="1"/>
  <c r="BH46" i="15"/>
  <c r="AU29" i="15" a="1"/>
  <c r="AU29" i="15" s="1"/>
  <c r="BH29" i="15"/>
  <c r="AU8" i="15" a="1"/>
  <c r="AU8" i="15" s="1"/>
  <c r="BH8" i="15"/>
  <c r="AV50" i="15" a="1"/>
  <c r="AV50" i="15" s="1"/>
  <c r="AV70" i="15" a="1"/>
  <c r="AV70" i="15" s="1"/>
  <c r="AU62" i="15" a="1"/>
  <c r="AU62" i="15" s="1"/>
  <c r="BH62" i="15"/>
  <c r="AV59" i="15" a="1"/>
  <c r="AV59" i="15" s="1"/>
  <c r="AU75" i="15" a="1"/>
  <c r="AU75" i="15" s="1"/>
  <c r="BH75" i="15"/>
  <c r="AU13" i="15" a="1"/>
  <c r="AU13" i="15" s="1"/>
  <c r="BH13" i="15"/>
  <c r="AV10" i="15" a="1"/>
  <c r="AV10" i="15" s="1"/>
  <c r="AV20" i="15" a="1"/>
  <c r="AV20" i="15" s="1"/>
  <c r="AU24" i="15" a="1"/>
  <c r="AU24" i="15" s="1"/>
  <c r="BH24" i="15"/>
  <c r="AV35" i="15" a="1"/>
  <c r="AV35" i="15" s="1"/>
  <c r="AU76" i="15" a="1"/>
  <c r="AU76" i="15" s="1"/>
  <c r="BH76" i="15"/>
  <c r="AU9" i="15" a="1"/>
  <c r="AU9" i="15" s="1"/>
  <c r="AU71" i="15" a="1"/>
  <c r="AU71" i="15" s="1"/>
  <c r="BH71" i="15"/>
  <c r="AV60" i="15" a="1"/>
  <c r="AV60" i="15" s="1"/>
  <c r="AV44" i="15" a="1"/>
  <c r="AV44" i="15" s="1"/>
  <c r="AV74" i="15" a="1"/>
  <c r="AV74" i="15" s="1"/>
  <c r="AV43" i="15" a="1"/>
  <c r="AV43" i="15" s="1"/>
  <c r="AV72" i="15" a="1"/>
  <c r="AV72" i="15" s="1"/>
  <c r="AV69" i="15" a="1"/>
  <c r="AV69" i="15" s="1"/>
  <c r="AU51" i="15" a="1"/>
  <c r="AU51" i="15" s="1"/>
  <c r="BH51" i="15"/>
  <c r="BH16" i="15"/>
  <c r="AU16" i="15" a="1"/>
  <c r="AU16" i="15" s="1"/>
  <c r="AU18" i="15" a="1"/>
  <c r="AU18" i="15" s="1"/>
  <c r="BH18" i="15"/>
  <c r="AV45" i="15" a="1"/>
  <c r="AV45" i="15" s="1"/>
  <c r="AW65" i="15" a="1"/>
  <c r="AW65" i="15" s="1"/>
  <c r="AW48" i="15" a="1"/>
  <c r="AW48" i="15" s="1"/>
  <c r="AV15" i="15" a="1"/>
  <c r="AV15" i="15" s="1"/>
  <c r="AV42" i="15" a="1"/>
  <c r="AV42" i="15" s="1"/>
  <c r="AU36" i="15" a="1"/>
  <c r="AU36" i="15" s="1"/>
  <c r="BH36" i="15"/>
  <c r="AU21" i="15" a="1"/>
  <c r="AU21" i="15" s="1"/>
  <c r="BH21" i="15"/>
  <c r="BH39" i="15"/>
  <c r="BR39" i="15" s="1"/>
  <c r="AU39" i="15" a="1"/>
  <c r="AU39" i="15" s="1"/>
  <c r="AV52" i="15" a="1"/>
  <c r="AV52" i="15" s="1"/>
  <c r="AV12" i="15" a="1"/>
  <c r="AV12" i="15" s="1"/>
  <c r="AV38" i="15" a="1"/>
  <c r="AV38" i="15" s="1"/>
  <c r="AV68" i="15" a="1"/>
  <c r="AV68" i="15" s="1"/>
  <c r="AU55" i="15" a="1"/>
  <c r="AU55" i="15" s="1"/>
  <c r="BH55" i="15"/>
  <c r="AU41" i="15" a="1"/>
  <c r="AU41" i="15" s="1"/>
  <c r="BH41" i="15"/>
  <c r="AU23" i="15" a="1"/>
  <c r="AU23" i="15" s="1"/>
  <c r="BH23" i="15"/>
  <c r="AU63" i="15" a="1"/>
  <c r="AU63" i="15" s="1"/>
  <c r="BH63" i="15"/>
  <c r="AV61" i="15" a="1"/>
  <c r="AV61" i="15" s="1"/>
  <c r="AV30" i="15" a="1"/>
  <c r="AV30" i="15" s="1"/>
  <c r="AV22" i="15" a="1"/>
  <c r="AV22" i="15" s="1"/>
  <c r="AV32" i="15" a="1"/>
  <c r="AV32" i="15" s="1"/>
  <c r="AV77" i="15" a="1"/>
  <c r="AV77" i="15" s="1"/>
  <c r="AU34" i="15" a="1"/>
  <c r="AU34" i="15" s="1"/>
  <c r="BH34" i="15"/>
  <c r="AU33" i="15" a="1"/>
  <c r="AU33" i="15" s="1"/>
  <c r="BH33" i="15"/>
  <c r="AV27" i="15" a="1"/>
  <c r="AV27" i="15" s="1"/>
  <c r="AU64" i="15" a="1"/>
  <c r="AU64" i="15" s="1"/>
  <c r="BH64" i="15"/>
  <c r="AU19" i="15" a="1"/>
  <c r="AU19" i="15" s="1"/>
  <c r="BH19" i="15"/>
  <c r="AU31" i="15" a="1"/>
  <c r="AU31" i="15" s="1"/>
  <c r="BH31" i="15"/>
  <c r="F106" i="15" a="1"/>
  <c r="F106" i="15" s="1"/>
  <c r="G106" i="15" s="1" a="1"/>
  <c r="G106" i="15" s="1"/>
  <c r="H106" i="15" s="1" a="1"/>
  <c r="H106" i="15" s="1"/>
  <c r="I106" i="15" s="1" a="1"/>
  <c r="I106" i="15" s="1"/>
  <c r="J106" i="15" s="1" a="1"/>
  <c r="J106" i="15" s="1"/>
  <c r="K106" i="15" s="1" a="1"/>
  <c r="K106" i="15" s="1"/>
  <c r="L106" i="15" s="1" a="1"/>
  <c r="L106" i="15" s="1"/>
  <c r="M106" i="15" s="1" a="1"/>
  <c r="M106" i="15" s="1"/>
  <c r="N106" i="15" s="1" a="1"/>
  <c r="N106" i="15" s="1"/>
  <c r="AB106" i="15" s="1"/>
  <c r="F97" i="15" a="1"/>
  <c r="F97" i="15" s="1"/>
  <c r="G97" i="15" s="1" a="1"/>
  <c r="G97" i="15" s="1"/>
  <c r="H97" i="15" s="1" a="1"/>
  <c r="H97" i="15" s="1"/>
  <c r="I97" i="15" s="1" a="1"/>
  <c r="I97" i="15" s="1"/>
  <c r="J97" i="15" s="1" a="1"/>
  <c r="J97" i="15" s="1"/>
  <c r="K97" i="15" s="1" a="1"/>
  <c r="K97" i="15" s="1"/>
  <c r="L97" i="15" s="1" a="1"/>
  <c r="L97" i="15" s="1"/>
  <c r="M97" i="15" s="1" a="1"/>
  <c r="M97" i="15" s="1"/>
  <c r="N97" i="15" s="1" a="1"/>
  <c r="N97" i="15" s="1"/>
  <c r="AB97" i="15" s="1"/>
  <c r="AU66" i="15" a="1"/>
  <c r="AU66" i="15" s="1"/>
  <c r="BH66" i="15"/>
  <c r="AV28" i="15" a="1"/>
  <c r="AV28" i="15" s="1"/>
  <c r="AV40" i="15" a="1"/>
  <c r="AV40" i="15" s="1"/>
  <c r="AV49" i="15" a="1"/>
  <c r="AV49" i="15" s="1"/>
  <c r="AU11" i="15" a="1"/>
  <c r="AU11" i="15" s="1"/>
  <c r="BH58" i="15"/>
  <c r="AU58" i="15" a="1"/>
  <c r="AU58" i="15" s="1"/>
  <c r="AV26" i="15" a="1"/>
  <c r="AV26" i="15" s="1"/>
  <c r="AU53" i="15" a="1"/>
  <c r="AU53" i="15" s="1"/>
  <c r="BH53" i="15"/>
  <c r="AU73" i="15" a="1"/>
  <c r="AU73" i="15" s="1"/>
  <c r="BH73" i="15"/>
  <c r="AV47" i="15" a="1"/>
  <c r="AV47" i="15" s="1"/>
  <c r="AU14" i="15" a="1"/>
  <c r="AU14" i="15" s="1"/>
  <c r="BH14" i="15"/>
  <c r="AV25" i="15" a="1"/>
  <c r="AV25" i="15" s="1"/>
  <c r="AV17" i="15" a="1"/>
  <c r="AV17" i="15" s="1"/>
  <c r="AV37" i="15" a="1"/>
  <c r="AV37" i="15" s="1"/>
  <c r="AU67" i="15" a="1"/>
  <c r="AU67" i="15" s="1"/>
  <c r="BH67" i="15"/>
  <c r="CV126" i="15"/>
  <c r="DF126" i="15" s="1"/>
  <c r="CJ126" i="15" a="1"/>
  <c r="CJ126" i="15" s="1"/>
  <c r="W93" i="15"/>
  <c r="AG93" i="15" s="1"/>
  <c r="V93" i="15"/>
  <c r="AF93" i="15" s="1"/>
  <c r="X93" i="15"/>
  <c r="AH93" i="15" s="1"/>
  <c r="T93" i="15"/>
  <c r="AD93" i="15" s="1"/>
  <c r="S96" i="15"/>
  <c r="R96" i="15" s="1"/>
  <c r="Z93" i="15"/>
  <c r="AA96" i="15"/>
  <c r="Y93" i="15"/>
  <c r="AI93" i="15" s="1"/>
  <c r="G107" i="15" a="1"/>
  <c r="G107" i="15" s="1"/>
  <c r="T107" i="15"/>
  <c r="AD107" i="15" s="1"/>
  <c r="T95" i="15"/>
  <c r="AD95" i="15" s="1"/>
  <c r="G95" i="15" a="1"/>
  <c r="G95" i="15" s="1"/>
  <c r="H95" i="15" s="1" a="1"/>
  <c r="H95" i="15" s="1"/>
  <c r="Y96" i="15"/>
  <c r="AI96" i="15" s="1"/>
  <c r="X97" i="15"/>
  <c r="AH97" i="15" s="1"/>
  <c r="X96" i="15"/>
  <c r="AH96" i="15" s="1"/>
  <c r="U93" i="15"/>
  <c r="AE93" i="15" s="1"/>
  <c r="W97" i="15"/>
  <c r="AG97" i="15" s="1"/>
  <c r="W96" i="15"/>
  <c r="AG96" i="15" s="1"/>
  <c r="AA97" i="15"/>
  <c r="T97" i="15"/>
  <c r="AD97" i="15" s="1"/>
  <c r="Z94" i="15"/>
  <c r="W94" i="15"/>
  <c r="AG94" i="15" s="1"/>
  <c r="Z96" i="15"/>
  <c r="U97" i="15"/>
  <c r="AE97" i="15" s="1"/>
  <c r="T96" i="15"/>
  <c r="AD96" i="15" s="1"/>
  <c r="Y94" i="15"/>
  <c r="AI94" i="15" s="1"/>
  <c r="X94" i="15"/>
  <c r="AH94" i="15" s="1"/>
  <c r="V94" i="15"/>
  <c r="AF94" i="15" s="1"/>
  <c r="Z97" i="15"/>
  <c r="V96" i="15"/>
  <c r="AF96" i="15" s="1"/>
  <c r="U96" i="15"/>
  <c r="AE96" i="15" s="1"/>
  <c r="BF91" i="15"/>
  <c r="BE91" i="15" s="1"/>
  <c r="AA94" i="15"/>
  <c r="AA93" i="15"/>
  <c r="U94" i="15"/>
  <c r="AE94" i="15" s="1"/>
  <c r="T94" i="15"/>
  <c r="AD94" i="15" s="1"/>
  <c r="S94" i="15"/>
  <c r="R94" i="15" s="1"/>
  <c r="S93" i="15"/>
  <c r="R93" i="15" s="1"/>
  <c r="BE76" i="15"/>
  <c r="BF95" i="15"/>
  <c r="BE95" i="15" s="1"/>
  <c r="BQ39" i="15"/>
  <c r="BH129" i="15"/>
  <c r="BR129" i="15" s="1"/>
  <c r="BG128" i="15"/>
  <c r="BQ128" i="15" s="1"/>
  <c r="BG127" i="15"/>
  <c r="BQ127" i="15" s="1"/>
  <c r="BF127" i="15"/>
  <c r="BE127" i="15" s="1"/>
  <c r="BG129" i="15"/>
  <c r="BQ129" i="15" s="1"/>
  <c r="BQ77" i="15"/>
  <c r="BQ76" i="15"/>
  <c r="BE77" i="15"/>
  <c r="BF90" i="15"/>
  <c r="BE90" i="15" s="1"/>
  <c r="BF88" i="15"/>
  <c r="BE88" i="15" s="1"/>
  <c r="BF105" i="15"/>
  <c r="BE105" i="15" s="1"/>
  <c r="AS96" i="15" a="1"/>
  <c r="AS96" i="15" s="1"/>
  <c r="AS103" i="15" a="1"/>
  <c r="AS103" i="15" s="1"/>
  <c r="BG103" i="15" s="1"/>
  <c r="BQ103" i="15" s="1"/>
  <c r="AS102" i="15" a="1"/>
  <c r="AS102" i="15" s="1"/>
  <c r="BG102" i="15" s="1"/>
  <c r="BQ102" i="15" s="1"/>
  <c r="BF89" i="15"/>
  <c r="BE89" i="15" s="1"/>
  <c r="AS101" i="15" a="1"/>
  <c r="AS101" i="15" s="1"/>
  <c r="BG101" i="15" s="1"/>
  <c r="BQ101" i="15" s="1"/>
  <c r="AT99" i="15" a="1"/>
  <c r="AT99" i="15" s="1"/>
  <c r="AU99" i="15" s="1" a="1"/>
  <c r="AU99" i="15" s="1"/>
  <c r="AV99" i="15" s="1" a="1"/>
  <c r="AV99" i="15" s="1"/>
  <c r="AW99" i="15" s="1" a="1"/>
  <c r="AW99" i="15" s="1"/>
  <c r="AX99" i="15" s="1" a="1"/>
  <c r="AX99" i="15" s="1"/>
  <c r="BL99" i="15" s="1"/>
  <c r="BV99" i="15" s="1"/>
  <c r="BG99" i="15"/>
  <c r="BQ99" i="15" s="1"/>
  <c r="BF93" i="15"/>
  <c r="BE93" i="15" s="1"/>
  <c r="BF92" i="15"/>
  <c r="BE92" i="15" s="1"/>
  <c r="AT106" i="15" a="1"/>
  <c r="AT106" i="15" s="1"/>
  <c r="BH106" i="15" s="1"/>
  <c r="BR106" i="15" s="1"/>
  <c r="BG106" i="15"/>
  <c r="BQ106" i="15" s="1"/>
  <c r="AT104" i="15" a="1"/>
  <c r="AT104" i="15" s="1"/>
  <c r="BG104" i="15"/>
  <c r="BQ104" i="15" s="1"/>
  <c r="BG95" i="15"/>
  <c r="BQ95" i="15" s="1"/>
  <c r="AT95" i="15" a="1"/>
  <c r="AT95" i="15" s="1"/>
  <c r="BH95" i="15" s="1"/>
  <c r="BR95" i="15" s="1"/>
  <c r="BG88" i="15"/>
  <c r="BQ88" i="15" s="1"/>
  <c r="AT88" i="15" a="1"/>
  <c r="AT88" i="15" s="1"/>
  <c r="AU88" i="15" s="1" a="1"/>
  <c r="AU88" i="15" s="1"/>
  <c r="AS98" i="15" a="1"/>
  <c r="AS98" i="15" s="1"/>
  <c r="BG98" i="15" s="1"/>
  <c r="BQ98" i="15" s="1"/>
  <c r="BF106" i="15"/>
  <c r="BE106" i="15" s="1"/>
  <c r="BF100" i="15"/>
  <c r="BE100" i="15" s="1"/>
  <c r="AS97" i="15" a="1"/>
  <c r="AS97" i="15" s="1"/>
  <c r="BF94" i="15"/>
  <c r="BE94" i="15" s="1"/>
  <c r="BH105" i="15"/>
  <c r="BR105" i="15" s="1"/>
  <c r="BG105" i="15"/>
  <c r="BQ105" i="15" s="1"/>
  <c r="BI105" i="15"/>
  <c r="BS105" i="15" s="1"/>
  <c r="AV105" i="15" a="1"/>
  <c r="AV105" i="15" s="1"/>
  <c r="BG92" i="15"/>
  <c r="BQ92" i="15" s="1"/>
  <c r="AT92" i="15" a="1"/>
  <c r="AT92" i="15" s="1"/>
  <c r="BG100" i="15"/>
  <c r="BQ100" i="15" s="1"/>
  <c r="AT100" i="15" a="1"/>
  <c r="AT100" i="15" s="1"/>
  <c r="BG91" i="15"/>
  <c r="BQ91" i="15" s="1"/>
  <c r="AT91" i="15" a="1"/>
  <c r="AT91" i="15" s="1"/>
  <c r="BG107" i="15"/>
  <c r="BQ107" i="15" s="1"/>
  <c r="AT107" i="15" a="1"/>
  <c r="AT107" i="15" s="1"/>
  <c r="BG94" i="15"/>
  <c r="BQ94" i="15" s="1"/>
  <c r="AT94" i="15" a="1"/>
  <c r="AT94" i="15" s="1"/>
  <c r="BG90" i="15"/>
  <c r="BQ90" i="15" s="1"/>
  <c r="AT90" i="15" a="1"/>
  <c r="AT90" i="15" s="1"/>
  <c r="BG93" i="15"/>
  <c r="BQ93" i="15" s="1"/>
  <c r="AT93" i="15" a="1"/>
  <c r="AT93" i="15" s="1"/>
  <c r="BF107" i="15"/>
  <c r="BE107" i="15" s="1"/>
  <c r="AT89" i="15" a="1"/>
  <c r="AT89" i="15" s="1"/>
  <c r="X70" i="15" l="1"/>
  <c r="K70" i="15" a="1"/>
  <c r="K70" i="15" s="1"/>
  <c r="L75" i="15" a="1"/>
  <c r="L75" i="15" s="1"/>
  <c r="Y75" i="15"/>
  <c r="AI75" i="15" s="1"/>
  <c r="AM75" i="15" s="1"/>
  <c r="AG70" i="15"/>
  <c r="L77" i="15" a="1"/>
  <c r="L77" i="15" s="1"/>
  <c r="Y77" i="15"/>
  <c r="AI77" i="15" s="1"/>
  <c r="AM77" i="15" s="1"/>
  <c r="X76" i="15"/>
  <c r="AH76" i="15" s="1"/>
  <c r="K76" i="15" a="1"/>
  <c r="K76" i="15" s="1"/>
  <c r="K72" i="15" a="1"/>
  <c r="K72" i="15" s="1"/>
  <c r="X72" i="15"/>
  <c r="AH72" i="15" s="1"/>
  <c r="BU56" i="15"/>
  <c r="AX56" i="15" a="1"/>
  <c r="AX56" i="15" s="1"/>
  <c r="AV8" i="15" a="1"/>
  <c r="AV8" i="15" s="1"/>
  <c r="AM93" i="15"/>
  <c r="AT102" i="15" a="1"/>
  <c r="AT102" i="15" s="1"/>
  <c r="AV29" i="15" a="1"/>
  <c r="AV29" i="15" s="1"/>
  <c r="V106" i="15"/>
  <c r="AF106" i="15" s="1"/>
  <c r="AV46" i="15" a="1"/>
  <c r="AV46" i="15" s="1"/>
  <c r="AV58" i="15" a="1"/>
  <c r="AV58" i="15" s="1"/>
  <c r="AW27" i="15" a="1"/>
  <c r="AW27" i="15" s="1"/>
  <c r="AW61" i="15" a="1"/>
  <c r="AW61" i="15" s="1"/>
  <c r="AW52" i="15" a="1"/>
  <c r="AW52" i="15" s="1"/>
  <c r="AW69" i="15" a="1"/>
  <c r="AW69" i="15" s="1"/>
  <c r="AW47" i="15" a="1"/>
  <c r="AW47" i="15" s="1"/>
  <c r="AW40" i="15" a="1"/>
  <c r="AW40" i="15" s="1"/>
  <c r="AV39" i="15" a="1"/>
  <c r="AV39" i="15" s="1"/>
  <c r="BS39" i="15"/>
  <c r="AV76" i="15" a="1"/>
  <c r="AV76" i="15" s="1"/>
  <c r="AV62" i="15" a="1"/>
  <c r="AV62" i="15" s="1"/>
  <c r="AV31" i="15" a="1"/>
  <c r="AV31" i="15" s="1"/>
  <c r="AW32" i="15" a="1"/>
  <c r="AW32" i="15" s="1"/>
  <c r="AV63" i="15" a="1"/>
  <c r="AV63" i="15" s="1"/>
  <c r="AW15" i="15" a="1"/>
  <c r="AW15" i="15" s="1"/>
  <c r="AV18" i="15" a="1"/>
  <c r="AV18" i="15" s="1"/>
  <c r="AW72" i="15" a="1"/>
  <c r="AW72" i="15" s="1"/>
  <c r="Y106" i="15"/>
  <c r="AI106" i="15" s="1"/>
  <c r="AV55" i="15" a="1"/>
  <c r="AV55" i="15" s="1"/>
  <c r="W106" i="15"/>
  <c r="AG106" i="15" s="1"/>
  <c r="AW37" i="15" a="1"/>
  <c r="AW37" i="15" s="1"/>
  <c r="AW10" i="15" a="1"/>
  <c r="AW10" i="15" s="1"/>
  <c r="AW68" i="15" a="1"/>
  <c r="AW68" i="15" s="1"/>
  <c r="U106" i="15"/>
  <c r="AE106" i="15" s="1"/>
  <c r="AW17" i="15" a="1"/>
  <c r="AW17" i="15" s="1"/>
  <c r="AV73" i="15" a="1"/>
  <c r="AV73" i="15" s="1"/>
  <c r="AW28" i="15" a="1"/>
  <c r="AW28" i="15" s="1"/>
  <c r="AV16" i="15" a="1"/>
  <c r="AV16" i="15" s="1"/>
  <c r="AW60" i="15" a="1"/>
  <c r="AW60" i="15" s="1"/>
  <c r="AW35" i="15" a="1"/>
  <c r="AW35" i="15" s="1"/>
  <c r="AV13" i="15" a="1"/>
  <c r="AV13" i="15" s="1"/>
  <c r="AW70" i="15" a="1"/>
  <c r="AW70" i="15" s="1"/>
  <c r="AV19" i="15" a="1"/>
  <c r="AV19" i="15" s="1"/>
  <c r="AW22" i="15" a="1"/>
  <c r="AW22" i="15" s="1"/>
  <c r="AV23" i="15" a="1"/>
  <c r="AV23" i="15" s="1"/>
  <c r="AW38" i="15" a="1"/>
  <c r="AW38" i="15" s="1"/>
  <c r="AV21" i="15" a="1"/>
  <c r="AV21" i="15" s="1"/>
  <c r="AX48" i="15" a="1"/>
  <c r="AX48" i="15" s="1"/>
  <c r="AW43" i="15" a="1"/>
  <c r="AW43" i="15" s="1"/>
  <c r="AW42" i="15" a="1"/>
  <c r="AW42" i="15" s="1"/>
  <c r="T106" i="15"/>
  <c r="AD106" i="15" s="1"/>
  <c r="AW44" i="15" a="1"/>
  <c r="AW44" i="15" s="1"/>
  <c r="AV33" i="15" a="1"/>
  <c r="AV33" i="15" s="1"/>
  <c r="X106" i="15"/>
  <c r="AH106" i="15" s="1"/>
  <c r="V97" i="15"/>
  <c r="AF97" i="15" s="1"/>
  <c r="AA106" i="15"/>
  <c r="Y97" i="15"/>
  <c r="AI97" i="15" s="1"/>
  <c r="AW25" i="15" a="1"/>
  <c r="AW25" i="15" s="1"/>
  <c r="AV53" i="15" a="1"/>
  <c r="AV53" i="15" s="1"/>
  <c r="AV11" i="15" a="1"/>
  <c r="AV11" i="15" s="1"/>
  <c r="AV66" i="15" a="1"/>
  <c r="AV66" i="15" s="1"/>
  <c r="AV71" i="15" a="1"/>
  <c r="AV71" i="15" s="1"/>
  <c r="AV24" i="15" a="1"/>
  <c r="AV24" i="15" s="1"/>
  <c r="AV75" i="15" a="1"/>
  <c r="AV75" i="15" s="1"/>
  <c r="AW77" i="15" a="1"/>
  <c r="AW77" i="15" s="1"/>
  <c r="Z106" i="15"/>
  <c r="AV64" i="15" a="1"/>
  <c r="AV64" i="15" s="1"/>
  <c r="AV34" i="15" a="1"/>
  <c r="AV34" i="15" s="1"/>
  <c r="AW30" i="15" a="1"/>
  <c r="AW30" i="15" s="1"/>
  <c r="AV41" i="15" a="1"/>
  <c r="AV41" i="15" s="1"/>
  <c r="AW12" i="15" a="1"/>
  <c r="AW12" i="15" s="1"/>
  <c r="AV36" i="15" a="1"/>
  <c r="AV36" i="15" s="1"/>
  <c r="AX65" i="15" a="1"/>
  <c r="AX65" i="15" s="1"/>
  <c r="AV51" i="15" a="1"/>
  <c r="AV51" i="15" s="1"/>
  <c r="AV67" i="15" a="1"/>
  <c r="AV67" i="15" s="1"/>
  <c r="AV14" i="15" a="1"/>
  <c r="AV14" i="15" s="1"/>
  <c r="AW26" i="15" a="1"/>
  <c r="AW26" i="15" s="1"/>
  <c r="AW49" i="15" a="1"/>
  <c r="AW49" i="15" s="1"/>
  <c r="AW45" i="15" a="1"/>
  <c r="AW45" i="15" s="1"/>
  <c r="AW74" i="15" a="1"/>
  <c r="AW74" i="15" s="1"/>
  <c r="AV9" i="15" a="1"/>
  <c r="AV9" i="15" s="1"/>
  <c r="AW20" i="15" a="1"/>
  <c r="AW20" i="15" s="1"/>
  <c r="AW59" i="15" a="1"/>
  <c r="AW59" i="15" s="1"/>
  <c r="AW50" i="15" a="1"/>
  <c r="AW50" i="15" s="1"/>
  <c r="CK126" i="15" a="1"/>
  <c r="CK126" i="15" s="1"/>
  <c r="CW126" i="15"/>
  <c r="DG126" i="15" s="1"/>
  <c r="U95" i="15"/>
  <c r="AE95" i="15" s="1"/>
  <c r="BJ99" i="15"/>
  <c r="BT99" i="15" s="1"/>
  <c r="AM96" i="15"/>
  <c r="AN96" i="15" s="1"/>
  <c r="H107" i="15" a="1"/>
  <c r="H107" i="15" s="1"/>
  <c r="U107" i="15"/>
  <c r="AE107" i="15" s="1"/>
  <c r="AM94" i="15"/>
  <c r="AN94" i="15" s="1"/>
  <c r="I95" i="15" a="1"/>
  <c r="I95" i="15" s="1"/>
  <c r="V95" i="15"/>
  <c r="AF95" i="15" s="1"/>
  <c r="BI99" i="15"/>
  <c r="BS99" i="15" s="1"/>
  <c r="AU106" i="15" a="1"/>
  <c r="AU106" i="15" s="1"/>
  <c r="BI106" i="15" s="1"/>
  <c r="BS106" i="15" s="1"/>
  <c r="BK99" i="15"/>
  <c r="BU99" i="15" s="1"/>
  <c r="AN93" i="15"/>
  <c r="AY99" i="15" a="1"/>
  <c r="AY99" i="15" s="1"/>
  <c r="AZ99" i="15" s="1" a="1"/>
  <c r="AZ99" i="15" s="1"/>
  <c r="AT101" i="15" a="1"/>
  <c r="AT101" i="15" s="1"/>
  <c r="BH101" i="15" s="1"/>
  <c r="BR101" i="15" s="1"/>
  <c r="AT103" i="15" a="1"/>
  <c r="AT103" i="15" s="1"/>
  <c r="BH103" i="15" s="1"/>
  <c r="BR103" i="15" s="1"/>
  <c r="BH88" i="15"/>
  <c r="BR88" i="15" s="1"/>
  <c r="BH99" i="15"/>
  <c r="BR99" i="15" s="1"/>
  <c r="BH128" i="15"/>
  <c r="BR128" i="15" s="1"/>
  <c r="BH127" i="15"/>
  <c r="BR127" i="15" s="1"/>
  <c r="BS129" i="15"/>
  <c r="BR76" i="15"/>
  <c r="BR77" i="15"/>
  <c r="AT96" i="15" a="1"/>
  <c r="AT96" i="15" s="1"/>
  <c r="BG96" i="15"/>
  <c r="BQ96" i="15" s="1"/>
  <c r="AU95" i="15" a="1"/>
  <c r="AU95" i="15" s="1"/>
  <c r="AV95" i="15" s="1" a="1"/>
  <c r="AV95" i="15" s="1"/>
  <c r="AT98" i="15" a="1"/>
  <c r="AT98" i="15" s="1"/>
  <c r="AU98" i="15" s="1" a="1"/>
  <c r="AU98" i="15" s="1"/>
  <c r="BG97" i="15"/>
  <c r="BQ97" i="15" s="1"/>
  <c r="AT97" i="15" a="1"/>
  <c r="AT97" i="15" s="1"/>
  <c r="AU104" i="15" a="1"/>
  <c r="AU104" i="15" s="1"/>
  <c r="BH104" i="15"/>
  <c r="BR104" i="15" s="1"/>
  <c r="BJ105" i="15"/>
  <c r="BT105" i="15" s="1"/>
  <c r="AW105" i="15" a="1"/>
  <c r="AW105" i="15" s="1"/>
  <c r="BH100" i="15"/>
  <c r="BR100" i="15" s="1"/>
  <c r="AU100" i="15" a="1"/>
  <c r="AU100" i="15" s="1"/>
  <c r="BI88" i="15"/>
  <c r="BS88" i="15" s="1"/>
  <c r="AV88" i="15" a="1"/>
  <c r="AV88" i="15" s="1"/>
  <c r="BH93" i="15"/>
  <c r="BR93" i="15" s="1"/>
  <c r="AU93" i="15" a="1"/>
  <c r="AU93" i="15" s="1"/>
  <c r="BH90" i="15"/>
  <c r="BR90" i="15" s="1"/>
  <c r="AU90" i="15" a="1"/>
  <c r="AU90" i="15" s="1"/>
  <c r="BH94" i="15"/>
  <c r="BR94" i="15" s="1"/>
  <c r="AU94" i="15" a="1"/>
  <c r="AU94" i="15" s="1"/>
  <c r="BH91" i="15"/>
  <c r="BR91" i="15" s="1"/>
  <c r="AU91" i="15" a="1"/>
  <c r="AU91" i="15" s="1"/>
  <c r="BH89" i="15"/>
  <c r="BR89" i="15" s="1"/>
  <c r="AU89" i="15" a="1"/>
  <c r="AU89" i="15" s="1"/>
  <c r="BH92" i="15"/>
  <c r="BR92" i="15" s="1"/>
  <c r="AU92" i="15" a="1"/>
  <c r="AU92" i="15" s="1"/>
  <c r="BH107" i="15"/>
  <c r="BR107" i="15" s="1"/>
  <c r="AU107" i="15" a="1"/>
  <c r="AU107" i="15" s="1"/>
  <c r="AU102" i="15" a="1"/>
  <c r="AU102" i="15" s="1"/>
  <c r="BH102" i="15"/>
  <c r="BR102" i="15" s="1"/>
  <c r="L72" i="15" l="1" a="1"/>
  <c r="L72" i="15" s="1"/>
  <c r="Y72" i="15"/>
  <c r="AI72" i="15" s="1"/>
  <c r="AM72" i="15" s="1"/>
  <c r="Z75" i="15"/>
  <c r="M75" i="15" a="1"/>
  <c r="M75" i="15" s="1"/>
  <c r="Y76" i="15"/>
  <c r="AI76" i="15" s="1"/>
  <c r="AM76" i="15" s="1"/>
  <c r="L76" i="15" a="1"/>
  <c r="L76" i="15" s="1"/>
  <c r="L70" i="15" a="1"/>
  <c r="L70" i="15" s="1"/>
  <c r="Y70" i="15"/>
  <c r="AH70" i="15"/>
  <c r="M77" i="15" a="1"/>
  <c r="M77" i="15" s="1"/>
  <c r="Z77" i="15"/>
  <c r="AY56" i="15" a="1"/>
  <c r="AY56" i="15" s="1"/>
  <c r="BV56" i="15"/>
  <c r="BZ56" i="15" s="1"/>
  <c r="AM97" i="15"/>
  <c r="AN97" i="15" s="1"/>
  <c r="AW29" i="15" a="1"/>
  <c r="AW29" i="15" s="1"/>
  <c r="AW8" i="15" a="1"/>
  <c r="AW8" i="15" s="1"/>
  <c r="BJ8" i="15"/>
  <c r="AM106" i="15"/>
  <c r="AN106" i="15" s="1"/>
  <c r="AW46" i="15" a="1"/>
  <c r="AW46" i="15" s="1"/>
  <c r="AX32" i="15" a="1"/>
  <c r="AX32" i="15" s="1"/>
  <c r="AX61" i="15" a="1"/>
  <c r="AX61" i="15" s="1"/>
  <c r="AX10" i="15" a="1"/>
  <c r="AX10" i="15" s="1"/>
  <c r="AW41" i="15" a="1"/>
  <c r="AW41" i="15" s="1"/>
  <c r="AW53" i="15" a="1"/>
  <c r="AW53" i="15" s="1"/>
  <c r="AX72" i="15" a="1"/>
  <c r="AX72" i="15" s="1"/>
  <c r="AW23" i="15" a="1"/>
  <c r="AW23" i="15" s="1"/>
  <c r="AW9" i="15" a="1"/>
  <c r="AW9" i="15" s="1"/>
  <c r="AX30" i="15" a="1"/>
  <c r="AX30" i="15" s="1"/>
  <c r="AW33" i="15" a="1"/>
  <c r="AW33" i="15" s="1"/>
  <c r="AX15" i="15" a="1"/>
  <c r="AX15" i="15" s="1"/>
  <c r="AW62" i="15" a="1"/>
  <c r="AW62" i="15" s="1"/>
  <c r="AX47" i="15" a="1"/>
  <c r="AX47" i="15" s="1"/>
  <c r="AX27" i="15" a="1"/>
  <c r="AX27" i="15" s="1"/>
  <c r="AW21" i="15" a="1"/>
  <c r="AW21" i="15" s="1"/>
  <c r="AX59" i="15" a="1"/>
  <c r="AX59" i="15" s="1"/>
  <c r="AW67" i="15" a="1"/>
  <c r="AW67" i="15" s="1"/>
  <c r="AW64" i="15" a="1"/>
  <c r="AW64" i="15" s="1"/>
  <c r="AX52" i="15" a="1"/>
  <c r="AX52" i="15" s="1"/>
  <c r="AW11" i="15" a="1"/>
  <c r="AW11" i="15" s="1"/>
  <c r="AX38" i="15" a="1"/>
  <c r="AX38" i="15" s="1"/>
  <c r="AW73" i="15" a="1"/>
  <c r="AW73" i="15" s="1"/>
  <c r="AX20" i="15" a="1"/>
  <c r="AX20" i="15" s="1"/>
  <c r="AW51" i="15" a="1"/>
  <c r="AW51" i="15" s="1"/>
  <c r="AX37" i="15" a="1"/>
  <c r="AX37" i="15" s="1"/>
  <c r="AW18" i="15" a="1"/>
  <c r="AW18" i="15" s="1"/>
  <c r="AX40" i="15" a="1"/>
  <c r="AX40" i="15" s="1"/>
  <c r="AX43" i="15" a="1"/>
  <c r="AX43" i="15" s="1"/>
  <c r="AX70" i="15" a="1"/>
  <c r="AX70" i="15" s="1"/>
  <c r="AX17" i="15" a="1"/>
  <c r="AX17" i="15" s="1"/>
  <c r="AU103" i="15" a="1"/>
  <c r="AU103" i="15" s="1"/>
  <c r="AV103" i="15" s="1" a="1"/>
  <c r="AV103" i="15" s="1"/>
  <c r="AX26" i="15" a="1"/>
  <c r="AX26" i="15" s="1"/>
  <c r="AX77" i="15" a="1"/>
  <c r="AX77" i="15" s="1"/>
  <c r="AW71" i="15" a="1"/>
  <c r="AW71" i="15" s="1"/>
  <c r="AX25" i="15" a="1"/>
  <c r="AX25" i="15" s="1"/>
  <c r="AX22" i="15" a="1"/>
  <c r="AX22" i="15" s="1"/>
  <c r="AW13" i="15" a="1"/>
  <c r="AW13" i="15" s="1"/>
  <c r="AX28" i="15" a="1"/>
  <c r="AX28" i="15" s="1"/>
  <c r="AW55" i="15" a="1"/>
  <c r="AW55" i="15" s="1"/>
  <c r="AW66" i="15" a="1"/>
  <c r="AW66" i="15" s="1"/>
  <c r="AX35" i="15" a="1"/>
  <c r="AX35" i="15" s="1"/>
  <c r="AX45" i="15" a="1"/>
  <c r="AX45" i="15" s="1"/>
  <c r="AX12" i="15" a="1"/>
  <c r="AX12" i="15" s="1"/>
  <c r="AW39" i="15" a="1"/>
  <c r="AW39" i="15" s="1"/>
  <c r="BT39" i="15"/>
  <c r="AW75" i="15" a="1"/>
  <c r="AW75" i="15" s="1"/>
  <c r="AX42" i="15" a="1"/>
  <c r="AX42" i="15" s="1"/>
  <c r="AW19" i="15" a="1"/>
  <c r="AW19" i="15" s="1"/>
  <c r="AX60" i="15" a="1"/>
  <c r="AX60" i="15" s="1"/>
  <c r="AX49" i="15" a="1"/>
  <c r="AX49" i="15" s="1"/>
  <c r="AW31" i="15" a="1"/>
  <c r="AW31" i="15" s="1"/>
  <c r="AW24" i="15" a="1"/>
  <c r="AW24" i="15" s="1"/>
  <c r="AW16" i="15" a="1"/>
  <c r="AW16" i="15" s="1"/>
  <c r="AX50" i="15" a="1"/>
  <c r="AX50" i="15" s="1"/>
  <c r="AX74" i="15" a="1"/>
  <c r="AX74" i="15" s="1"/>
  <c r="AW14" i="15" a="1"/>
  <c r="AW14" i="15" s="1"/>
  <c r="AW36" i="15" a="1"/>
  <c r="AW36" i="15" s="1"/>
  <c r="AW34" i="15" a="1"/>
  <c r="AW34" i="15" s="1"/>
  <c r="AX44" i="15" a="1"/>
  <c r="AX44" i="15" s="1"/>
  <c r="AX68" i="15" a="1"/>
  <c r="AX68" i="15" s="1"/>
  <c r="AW63" i="15" a="1"/>
  <c r="AW63" i="15" s="1"/>
  <c r="AW76" i="15" a="1"/>
  <c r="AW76" i="15" s="1"/>
  <c r="AX69" i="15" a="1"/>
  <c r="AX69" i="15" s="1"/>
  <c r="AW58" i="15" a="1"/>
  <c r="AW58" i="15" s="1"/>
  <c r="CL126" i="15" a="1"/>
  <c r="CL126" i="15" s="1"/>
  <c r="CX126" i="15"/>
  <c r="DH126" i="15" s="1"/>
  <c r="DL126" i="15" s="1"/>
  <c r="BZ99" i="15"/>
  <c r="BM99" i="15"/>
  <c r="AV106" i="15" a="1"/>
  <c r="AV106" i="15" s="1"/>
  <c r="BJ106" i="15" s="1"/>
  <c r="BT106" i="15" s="1"/>
  <c r="I107" i="15" a="1"/>
  <c r="I107" i="15" s="1"/>
  <c r="V107" i="15"/>
  <c r="AF107" i="15" s="1"/>
  <c r="J95" i="15" a="1"/>
  <c r="J95" i="15" s="1"/>
  <c r="W95" i="15"/>
  <c r="AG95" i="15" s="1"/>
  <c r="BH98" i="15"/>
  <c r="BR98" i="15" s="1"/>
  <c r="BI95" i="15"/>
  <c r="BS95" i="15" s="1"/>
  <c r="AU101" i="15" a="1"/>
  <c r="AU101" i="15" s="1"/>
  <c r="BT129" i="15"/>
  <c r="BS127" i="15"/>
  <c r="BS128" i="15"/>
  <c r="BS77" i="15"/>
  <c r="BS76" i="15"/>
  <c r="AU96" i="15" a="1"/>
  <c r="AU96" i="15" s="1"/>
  <c r="BH96" i="15"/>
  <c r="BR96" i="15" s="1"/>
  <c r="AV104" i="15" a="1"/>
  <c r="AV104" i="15" s="1"/>
  <c r="BI104" i="15"/>
  <c r="BS104" i="15" s="1"/>
  <c r="BH97" i="15"/>
  <c r="BR97" i="15" s="1"/>
  <c r="AU97" i="15" a="1"/>
  <c r="AU97" i="15" s="1"/>
  <c r="BI100" i="15"/>
  <c r="BS100" i="15" s="1"/>
  <c r="AV100" i="15" a="1"/>
  <c r="AV100" i="15" s="1"/>
  <c r="BA99" i="15" a="1"/>
  <c r="BA99" i="15" s="1"/>
  <c r="BO99" i="15" s="1"/>
  <c r="BN99" i="15"/>
  <c r="BI90" i="15"/>
  <c r="BS90" i="15" s="1"/>
  <c r="AV90" i="15" a="1"/>
  <c r="AV90" i="15" s="1"/>
  <c r="BI93" i="15"/>
  <c r="BS93" i="15" s="1"/>
  <c r="AV93" i="15" a="1"/>
  <c r="AV93" i="15" s="1"/>
  <c r="BI94" i="15"/>
  <c r="BS94" i="15" s="1"/>
  <c r="AV94" i="15" a="1"/>
  <c r="AV94" i="15" s="1"/>
  <c r="BK105" i="15"/>
  <c r="BU105" i="15" s="1"/>
  <c r="AX105" i="15" a="1"/>
  <c r="AX105" i="15" s="1"/>
  <c r="BI92" i="15"/>
  <c r="BS92" i="15" s="1"/>
  <c r="AV92" i="15" a="1"/>
  <c r="AV92" i="15" s="1"/>
  <c r="BI91" i="15"/>
  <c r="BS91" i="15" s="1"/>
  <c r="AV91" i="15" a="1"/>
  <c r="AV91" i="15" s="1"/>
  <c r="AV102" i="15" a="1"/>
  <c r="AV102" i="15" s="1"/>
  <c r="BI102" i="15"/>
  <c r="BS102" i="15" s="1"/>
  <c r="BJ88" i="15"/>
  <c r="BT88" i="15" s="1"/>
  <c r="AW88" i="15" a="1"/>
  <c r="AW88" i="15" s="1"/>
  <c r="AV98" i="15" a="1"/>
  <c r="AV98" i="15" s="1"/>
  <c r="BI98" i="15"/>
  <c r="BS98" i="15" s="1"/>
  <c r="BI107" i="15"/>
  <c r="BS107" i="15" s="1"/>
  <c r="AV107" i="15" a="1"/>
  <c r="AV107" i="15" s="1"/>
  <c r="BI89" i="15"/>
  <c r="BS89" i="15" s="1"/>
  <c r="AV89" i="15" a="1"/>
  <c r="AV89" i="15" s="1"/>
  <c r="AW95" i="15" a="1"/>
  <c r="AW95" i="15" s="1"/>
  <c r="BJ95" i="15"/>
  <c r="BT95" i="15" s="1"/>
  <c r="N77" i="15" l="1" a="1"/>
  <c r="N77" i="15" s="1"/>
  <c r="AB77" i="15" s="1"/>
  <c r="AA77" i="15"/>
  <c r="AN77" i="15" s="1"/>
  <c r="AA75" i="15"/>
  <c r="AN75" i="15" s="1"/>
  <c r="N75" i="15" a="1"/>
  <c r="N75" i="15" s="1"/>
  <c r="AB75" i="15" s="1"/>
  <c r="M70" i="15" a="1"/>
  <c r="M70" i="15" s="1"/>
  <c r="Z70" i="15"/>
  <c r="M72" i="15" a="1"/>
  <c r="M72" i="15" s="1"/>
  <c r="Z72" i="15"/>
  <c r="Z76" i="15"/>
  <c r="M76" i="15" a="1"/>
  <c r="M76" i="15" s="1"/>
  <c r="AI70" i="15"/>
  <c r="AZ56" i="15" a="1"/>
  <c r="AZ56" i="15" s="1"/>
  <c r="BM56" i="15"/>
  <c r="AX46" i="15" a="1"/>
  <c r="AX46" i="15" s="1"/>
  <c r="AX8" i="15" a="1"/>
  <c r="AX8" i="15" s="1"/>
  <c r="BL8" i="15" s="1"/>
  <c r="BK8" i="15"/>
  <c r="AX29" i="15" a="1"/>
  <c r="AX29" i="15" s="1"/>
  <c r="AX41" i="15" a="1"/>
  <c r="AX41" i="15" s="1"/>
  <c r="AX24" i="15" a="1"/>
  <c r="AX24" i="15" s="1"/>
  <c r="AX18" i="15" a="1"/>
  <c r="AX18" i="15" s="1"/>
  <c r="AX33" i="15" a="1"/>
  <c r="AX33" i="15" s="1"/>
  <c r="AX16" i="15" a="1"/>
  <c r="AX16" i="15" s="1"/>
  <c r="AX66" i="15" a="1"/>
  <c r="AX66" i="15" s="1"/>
  <c r="AX51" i="15" a="1"/>
  <c r="AX51" i="15" s="1"/>
  <c r="AX62" i="15" a="1"/>
  <c r="AX62" i="15" s="1"/>
  <c r="AX14" i="15" a="1"/>
  <c r="AX14" i="15" s="1"/>
  <c r="AX71" i="15" a="1"/>
  <c r="AX71" i="15" s="1"/>
  <c r="AX63" i="15" a="1"/>
  <c r="AX63" i="15" s="1"/>
  <c r="AX39" i="15" a="1"/>
  <c r="AX39" i="15" s="1"/>
  <c r="BU39" i="15"/>
  <c r="AX11" i="15" a="1"/>
  <c r="AX11" i="15" s="1"/>
  <c r="AX19" i="15" a="1"/>
  <c r="AX19" i="15" s="1"/>
  <c r="AX21" i="15" a="1"/>
  <c r="AX21" i="15" s="1"/>
  <c r="AX23" i="15" a="1"/>
  <c r="AX23" i="15" s="1"/>
  <c r="AX31" i="15" a="1"/>
  <c r="AX31" i="15" s="1"/>
  <c r="AX73" i="15" a="1"/>
  <c r="AX73" i="15" s="1"/>
  <c r="AX76" i="15" a="1"/>
  <c r="AX76" i="15" s="1"/>
  <c r="AX34" i="15" a="1"/>
  <c r="AX34" i="15" s="1"/>
  <c r="AX75" i="15" a="1"/>
  <c r="AX75" i="15" s="1"/>
  <c r="AX13" i="15" a="1"/>
  <c r="AX13" i="15" s="1"/>
  <c r="AX67" i="15" a="1"/>
  <c r="AX67" i="15" s="1"/>
  <c r="AX53" i="15" a="1"/>
  <c r="AX53" i="15" s="1"/>
  <c r="AX36" i="15" a="1"/>
  <c r="AX36" i="15" s="1"/>
  <c r="AX9" i="15" a="1"/>
  <c r="AX9" i="15" s="1"/>
  <c r="AX58" i="15" a="1"/>
  <c r="AX58" i="15" s="1"/>
  <c r="AX55" i="15" a="1"/>
  <c r="AX55" i="15" s="1"/>
  <c r="AX64" i="15" a="1"/>
  <c r="AX64" i="15" s="1"/>
  <c r="BI103" i="15"/>
  <c r="BS103" i="15" s="1"/>
  <c r="CM126" i="15" a="1"/>
  <c r="CM126" i="15" s="1"/>
  <c r="CY126" i="15"/>
  <c r="AW106" i="15" a="1"/>
  <c r="AW106" i="15" s="1"/>
  <c r="CA99" i="15"/>
  <c r="J107" i="15" a="1"/>
  <c r="J107" i="15" s="1"/>
  <c r="W107" i="15"/>
  <c r="AG107" i="15" s="1"/>
  <c r="K95" i="15" a="1"/>
  <c r="K95" i="15" s="1"/>
  <c r="X95" i="15"/>
  <c r="AH95" i="15" s="1"/>
  <c r="AV101" i="15" a="1"/>
  <c r="AV101" i="15" s="1"/>
  <c r="BI101" i="15"/>
  <c r="BS101" i="15" s="1"/>
  <c r="BT128" i="15"/>
  <c r="BT127" i="15"/>
  <c r="BU129" i="15"/>
  <c r="BT76" i="15"/>
  <c r="BT77" i="15"/>
  <c r="AV96" i="15" a="1"/>
  <c r="AV96" i="15" s="1"/>
  <c r="BI96" i="15"/>
  <c r="BS96" i="15" s="1"/>
  <c r="BI97" i="15"/>
  <c r="BS97" i="15" s="1"/>
  <c r="AV97" i="15" a="1"/>
  <c r="AV97" i="15" s="1"/>
  <c r="AW104" i="15" a="1"/>
  <c r="AW104" i="15" s="1"/>
  <c r="BJ104" i="15"/>
  <c r="BT104" i="15" s="1"/>
  <c r="BL105" i="15"/>
  <c r="BV105" i="15" s="1"/>
  <c r="BZ105" i="15" s="1"/>
  <c r="AY105" i="15" a="1"/>
  <c r="AY105" i="15" s="1"/>
  <c r="BJ94" i="15"/>
  <c r="BT94" i="15" s="1"/>
  <c r="AW94" i="15" a="1"/>
  <c r="AW94" i="15" s="1"/>
  <c r="BJ93" i="15"/>
  <c r="BT93" i="15" s="1"/>
  <c r="AW93" i="15" a="1"/>
  <c r="AW93" i="15" s="1"/>
  <c r="AW98" i="15" a="1"/>
  <c r="AW98" i="15" s="1"/>
  <c r="BJ98" i="15"/>
  <c r="BT98" i="15" s="1"/>
  <c r="BK106" i="15"/>
  <c r="BU106" i="15" s="1"/>
  <c r="AX106" i="15" a="1"/>
  <c r="AX106" i="15" s="1"/>
  <c r="BJ90" i="15"/>
  <c r="BT90" i="15" s="1"/>
  <c r="AW90" i="15" a="1"/>
  <c r="AW90" i="15" s="1"/>
  <c r="AW100" i="15" a="1"/>
  <c r="AW100" i="15" s="1"/>
  <c r="BJ100" i="15"/>
  <c r="BT100" i="15" s="1"/>
  <c r="BJ107" i="15"/>
  <c r="BT107" i="15" s="1"/>
  <c r="AW107" i="15" a="1"/>
  <c r="AW107" i="15" s="1"/>
  <c r="AW103" i="15" a="1"/>
  <c r="AW103" i="15" s="1"/>
  <c r="BJ103" i="15"/>
  <c r="BT103" i="15" s="1"/>
  <c r="AX95" i="15" a="1"/>
  <c r="AX95" i="15" s="1"/>
  <c r="BK95" i="15"/>
  <c r="BU95" i="15" s="1"/>
  <c r="BK88" i="15"/>
  <c r="BU88" i="15" s="1"/>
  <c r="AX88" i="15" a="1"/>
  <c r="AX88" i="15" s="1"/>
  <c r="BJ91" i="15"/>
  <c r="BT91" i="15" s="1"/>
  <c r="AW91" i="15" a="1"/>
  <c r="AW91" i="15" s="1"/>
  <c r="BJ92" i="15"/>
  <c r="BT92" i="15" s="1"/>
  <c r="AW92" i="15" a="1"/>
  <c r="AW92" i="15" s="1"/>
  <c r="BJ89" i="15"/>
  <c r="BT89" i="15" s="1"/>
  <c r="AW89" i="15" a="1"/>
  <c r="AW89" i="15" s="1"/>
  <c r="AW102" i="15" a="1"/>
  <c r="AW102" i="15" s="1"/>
  <c r="BJ102" i="15"/>
  <c r="BT102" i="15" s="1"/>
  <c r="AM70" i="15" l="1"/>
  <c r="N76" i="15" a="1"/>
  <c r="N76" i="15" s="1"/>
  <c r="AB76" i="15" s="1"/>
  <c r="AA76" i="15"/>
  <c r="AN76" i="15" s="1"/>
  <c r="N70" i="15" a="1"/>
  <c r="N70" i="15" s="1"/>
  <c r="AB70" i="15" s="1"/>
  <c r="AA70" i="15"/>
  <c r="AA72" i="15"/>
  <c r="N72" i="15" a="1"/>
  <c r="N72" i="15" s="1"/>
  <c r="AB72" i="15" s="1"/>
  <c r="BN56" i="15"/>
  <c r="CA56" i="15" s="1"/>
  <c r="BA56" i="15" a="1"/>
  <c r="BA56" i="15" s="1"/>
  <c r="BO56" i="15" s="1"/>
  <c r="BV39" i="15"/>
  <c r="BZ39" i="15" s="1"/>
  <c r="AY39" i="15" a="1"/>
  <c r="AY39" i="15" s="1"/>
  <c r="CZ126" i="15"/>
  <c r="CN126" i="15" a="1"/>
  <c r="CN126" i="15" s="1"/>
  <c r="DA126" i="15" s="1"/>
  <c r="K107" i="15" a="1"/>
  <c r="K107" i="15" s="1"/>
  <c r="X107" i="15"/>
  <c r="AH107" i="15" s="1"/>
  <c r="L95" i="15" a="1"/>
  <c r="L95" i="15" s="1"/>
  <c r="Y95" i="15"/>
  <c r="AI95" i="15" s="1"/>
  <c r="AM95" i="15" s="1"/>
  <c r="AW101" i="15" a="1"/>
  <c r="AW101" i="15" s="1"/>
  <c r="BJ101" i="15"/>
  <c r="BT101" i="15" s="1"/>
  <c r="BU127" i="15"/>
  <c r="BV129" i="15"/>
  <c r="BZ129" i="15" s="1"/>
  <c r="AY129" i="15" a="1"/>
  <c r="AY129" i="15" s="1"/>
  <c r="BU128" i="15"/>
  <c r="BU77" i="15"/>
  <c r="BU76" i="15"/>
  <c r="BJ96" i="15"/>
  <c r="BT96" i="15" s="1"/>
  <c r="AW96" i="15" a="1"/>
  <c r="AW96" i="15" s="1"/>
  <c r="BK104" i="15"/>
  <c r="BU104" i="15" s="1"/>
  <c r="AX104" i="15" a="1"/>
  <c r="AX104" i="15" s="1"/>
  <c r="AW97" i="15" a="1"/>
  <c r="AW97" i="15" s="1"/>
  <c r="BJ97" i="15"/>
  <c r="BT97" i="15" s="1"/>
  <c r="BL88" i="15"/>
  <c r="BV88" i="15" s="1"/>
  <c r="BZ88" i="15" s="1"/>
  <c r="AY88" i="15" a="1"/>
  <c r="AY88" i="15" s="1"/>
  <c r="AX100" i="15" a="1"/>
  <c r="AX100" i="15" s="1"/>
  <c r="BK100" i="15"/>
  <c r="BU100" i="15" s="1"/>
  <c r="BK94" i="15"/>
  <c r="BU94" i="15" s="1"/>
  <c r="AX94" i="15" a="1"/>
  <c r="AX94" i="15" s="1"/>
  <c r="BK107" i="15"/>
  <c r="BU107" i="15" s="1"/>
  <c r="AX107" i="15" a="1"/>
  <c r="AX107" i="15" s="1"/>
  <c r="BL106" i="15"/>
  <c r="BV106" i="15" s="1"/>
  <c r="BZ106" i="15" s="1"/>
  <c r="AY106" i="15" a="1"/>
  <c r="AY106" i="15" s="1"/>
  <c r="AY95" i="15" a="1"/>
  <c r="AY95" i="15" s="1"/>
  <c r="BL95" i="15"/>
  <c r="BV95" i="15" s="1"/>
  <c r="BZ95" i="15" s="1"/>
  <c r="AX102" i="15" a="1"/>
  <c r="AX102" i="15" s="1"/>
  <c r="BK102" i="15"/>
  <c r="BU102" i="15" s="1"/>
  <c r="BK92" i="15"/>
  <c r="BU92" i="15" s="1"/>
  <c r="AX92" i="15" a="1"/>
  <c r="AX92" i="15" s="1"/>
  <c r="BK91" i="15"/>
  <c r="BU91" i="15" s="1"/>
  <c r="AX91" i="15" a="1"/>
  <c r="AX91" i="15" s="1"/>
  <c r="BM105" i="15"/>
  <c r="AZ105" i="15" a="1"/>
  <c r="AZ105" i="15" s="1"/>
  <c r="BK103" i="15"/>
  <c r="BU103" i="15" s="1"/>
  <c r="AX103" i="15" a="1"/>
  <c r="AX103" i="15" s="1"/>
  <c r="BK90" i="15"/>
  <c r="BU90" i="15" s="1"/>
  <c r="AX90" i="15" a="1"/>
  <c r="AX90" i="15" s="1"/>
  <c r="AX93" i="15" a="1"/>
  <c r="AX93" i="15" s="1"/>
  <c r="BK93" i="15"/>
  <c r="BU93" i="15" s="1"/>
  <c r="BK89" i="15"/>
  <c r="BU89" i="15" s="1"/>
  <c r="AX89" i="15" a="1"/>
  <c r="AX89" i="15" s="1"/>
  <c r="AX98" i="15" a="1"/>
  <c r="AX98" i="15" s="1"/>
  <c r="BK98" i="15"/>
  <c r="BU98" i="15" s="1"/>
  <c r="AN70" i="15" l="1"/>
  <c r="AN72" i="15"/>
  <c r="AZ39" i="15" a="1"/>
  <c r="AZ39" i="15" s="1"/>
  <c r="BM39" i="15"/>
  <c r="DM126" i="15"/>
  <c r="L107" i="15" a="1"/>
  <c r="L107" i="15" s="1"/>
  <c r="Y107" i="15"/>
  <c r="AI107" i="15" s="1"/>
  <c r="AM107" i="15" s="1"/>
  <c r="M95" i="15" a="1"/>
  <c r="M95" i="15" s="1"/>
  <c r="Z95" i="15"/>
  <c r="AX101" i="15" a="1"/>
  <c r="AX101" i="15" s="1"/>
  <c r="BK101" i="15"/>
  <c r="BU101" i="15" s="1"/>
  <c r="BV128" i="15"/>
  <c r="BZ128" i="15" s="1"/>
  <c r="AY128" i="15" a="1"/>
  <c r="AY128" i="15" s="1"/>
  <c r="BM129" i="15"/>
  <c r="AZ129" i="15" a="1"/>
  <c r="AZ129" i="15" s="1"/>
  <c r="BV127" i="15"/>
  <c r="BZ127" i="15" s="1"/>
  <c r="AY127" i="15" a="1"/>
  <c r="AY127" i="15" s="1"/>
  <c r="BV77" i="15"/>
  <c r="BZ77" i="15" s="1"/>
  <c r="AY77" i="15" a="1"/>
  <c r="AY77" i="15" s="1"/>
  <c r="BV76" i="15"/>
  <c r="BZ76" i="15" s="1"/>
  <c r="AY76" i="15" a="1"/>
  <c r="AY76" i="15" s="1"/>
  <c r="BK96" i="15"/>
  <c r="BU96" i="15" s="1"/>
  <c r="AX96" i="15" a="1"/>
  <c r="AX96" i="15" s="1"/>
  <c r="AX97" i="15" a="1"/>
  <c r="AX97" i="15" s="1"/>
  <c r="BK97" i="15"/>
  <c r="BU97" i="15" s="1"/>
  <c r="BL104" i="15"/>
  <c r="BV104" i="15" s="1"/>
  <c r="BZ104" i="15" s="1"/>
  <c r="AY104" i="15" a="1"/>
  <c r="AY104" i="15" s="1"/>
  <c r="AY94" i="15" a="1"/>
  <c r="AY94" i="15" s="1"/>
  <c r="BL94" i="15"/>
  <c r="BV94" i="15" s="1"/>
  <c r="BZ94" i="15" s="1"/>
  <c r="BN105" i="15"/>
  <c r="BA105" i="15" a="1"/>
  <c r="BA105" i="15" s="1"/>
  <c r="BO105" i="15" s="1"/>
  <c r="AY92" i="15" a="1"/>
  <c r="AY92" i="15" s="1"/>
  <c r="BL92" i="15"/>
  <c r="BV92" i="15" s="1"/>
  <c r="BZ92" i="15" s="1"/>
  <c r="BL91" i="15"/>
  <c r="BV91" i="15" s="1"/>
  <c r="BZ91" i="15" s="1"/>
  <c r="AY91" i="15" a="1"/>
  <c r="AY91" i="15" s="1"/>
  <c r="BL102" i="15"/>
  <c r="BV102" i="15" s="1"/>
  <c r="BZ102" i="15" s="1"/>
  <c r="AY102" i="15" a="1"/>
  <c r="AY102" i="15" s="1"/>
  <c r="BM88" i="15"/>
  <c r="AZ88" i="15" a="1"/>
  <c r="AZ88" i="15" s="1"/>
  <c r="AY100" i="15" a="1"/>
  <c r="AY100" i="15" s="1"/>
  <c r="BL100" i="15"/>
  <c r="BV100" i="15" s="1"/>
  <c r="BZ100" i="15" s="1"/>
  <c r="AY98" i="15" a="1"/>
  <c r="AY98" i="15" s="1"/>
  <c r="BL98" i="15"/>
  <c r="BV98" i="15" s="1"/>
  <c r="BZ98" i="15" s="1"/>
  <c r="AZ95" i="15" a="1"/>
  <c r="AZ95" i="15" s="1"/>
  <c r="BM95" i="15"/>
  <c r="BL107" i="15"/>
  <c r="BV107" i="15" s="1"/>
  <c r="BZ107" i="15" s="1"/>
  <c r="AY107" i="15" a="1"/>
  <c r="AY107" i="15" s="1"/>
  <c r="BL103" i="15"/>
  <c r="BV103" i="15" s="1"/>
  <c r="BZ103" i="15" s="1"/>
  <c r="AY103" i="15" a="1"/>
  <c r="AY103" i="15" s="1"/>
  <c r="BM106" i="15"/>
  <c r="AZ106" i="15" a="1"/>
  <c r="AZ106" i="15" s="1"/>
  <c r="BL90" i="15"/>
  <c r="BV90" i="15" s="1"/>
  <c r="BZ90" i="15" s="1"/>
  <c r="AY90" i="15" a="1"/>
  <c r="AY90" i="15" s="1"/>
  <c r="BL89" i="15"/>
  <c r="BV89" i="15" s="1"/>
  <c r="BZ89" i="15" s="1"/>
  <c r="AY89" i="15" a="1"/>
  <c r="AY89" i="15" s="1"/>
  <c r="AY93" i="15" a="1"/>
  <c r="AY93" i="15" s="1"/>
  <c r="BL93" i="15"/>
  <c r="BV93" i="15" s="1"/>
  <c r="BZ93" i="15" s="1"/>
  <c r="BA39" i="15" l="1" a="1"/>
  <c r="BA39" i="15" s="1"/>
  <c r="BO39" i="15" s="1"/>
  <c r="BN39" i="15"/>
  <c r="CA39" i="15" s="1"/>
  <c r="M107" i="15" a="1"/>
  <c r="M107" i="15" s="1"/>
  <c r="Z107" i="15"/>
  <c r="N95" i="15" a="1"/>
  <c r="N95" i="15" s="1"/>
  <c r="AB95" i="15" s="1"/>
  <c r="AA95" i="15"/>
  <c r="BL101" i="15"/>
  <c r="BV101" i="15" s="1"/>
  <c r="BZ101" i="15" s="1"/>
  <c r="AY101" i="15" a="1"/>
  <c r="AY101" i="15" s="1"/>
  <c r="AZ127" i="15" a="1"/>
  <c r="AZ127" i="15" s="1"/>
  <c r="BM127" i="15"/>
  <c r="BM128" i="15"/>
  <c r="AZ128" i="15" a="1"/>
  <c r="AZ128" i="15" s="1"/>
  <c r="BN129" i="15"/>
  <c r="BA129" i="15" a="1"/>
  <c r="BA129" i="15" s="1"/>
  <c r="BO129" i="15" s="1"/>
  <c r="BM77" i="15"/>
  <c r="AZ77" i="15" a="1"/>
  <c r="AZ77" i="15" s="1"/>
  <c r="BM76" i="15"/>
  <c r="AZ76" i="15" a="1"/>
  <c r="AZ76" i="15" s="1"/>
  <c r="AY96" i="15" a="1"/>
  <c r="AY96" i="15" s="1"/>
  <c r="BL96" i="15"/>
  <c r="BV96" i="15" s="1"/>
  <c r="BZ96" i="15" s="1"/>
  <c r="BM104" i="15"/>
  <c r="AZ104" i="15" a="1"/>
  <c r="AZ104" i="15" s="1"/>
  <c r="AY97" i="15" a="1"/>
  <c r="AY97" i="15" s="1"/>
  <c r="BL97" i="15"/>
  <c r="BV97" i="15" s="1"/>
  <c r="BZ97" i="15" s="1"/>
  <c r="CA105" i="15"/>
  <c r="BN88" i="15"/>
  <c r="BA88" i="15" a="1"/>
  <c r="BA88" i="15" s="1"/>
  <c r="BO88" i="15" s="1"/>
  <c r="BM90" i="15"/>
  <c r="AZ90" i="15" a="1"/>
  <c r="AZ90" i="15" s="1"/>
  <c r="BM102" i="15"/>
  <c r="AZ102" i="15" a="1"/>
  <c r="AZ102" i="15" s="1"/>
  <c r="BN106" i="15"/>
  <c r="BA106" i="15" a="1"/>
  <c r="BA106" i="15" s="1"/>
  <c r="BO106" i="15" s="1"/>
  <c r="BM89" i="15"/>
  <c r="AZ89" i="15" a="1"/>
  <c r="AZ89" i="15" s="1"/>
  <c r="AZ91" i="15" a="1"/>
  <c r="AZ91" i="15" s="1"/>
  <c r="BM91" i="15"/>
  <c r="BM103" i="15"/>
  <c r="AZ103" i="15" a="1"/>
  <c r="AZ103" i="15" s="1"/>
  <c r="BA95" i="15" a="1"/>
  <c r="BA95" i="15" s="1"/>
  <c r="BO95" i="15" s="1"/>
  <c r="BN95" i="15"/>
  <c r="AZ93" i="15" a="1"/>
  <c r="AZ93" i="15" s="1"/>
  <c r="BM93" i="15"/>
  <c r="BM107" i="15"/>
  <c r="AZ107" i="15" a="1"/>
  <c r="AZ107" i="15" s="1"/>
  <c r="AZ98" i="15" a="1"/>
  <c r="AZ98" i="15" s="1"/>
  <c r="BM98" i="15"/>
  <c r="AZ92" i="15" a="1"/>
  <c r="AZ92" i="15" s="1"/>
  <c r="BM92" i="15"/>
  <c r="AZ94" i="15" a="1"/>
  <c r="AZ94" i="15" s="1"/>
  <c r="BM94" i="15"/>
  <c r="AZ100" i="15" a="1"/>
  <c r="AZ100" i="15" s="1"/>
  <c r="BM100" i="15"/>
  <c r="AN95" i="15" l="1"/>
  <c r="N107" i="15" a="1"/>
  <c r="N107" i="15" s="1"/>
  <c r="AB107" i="15" s="1"/>
  <c r="AA107" i="15"/>
  <c r="BM101" i="15"/>
  <c r="AZ101" i="15" a="1"/>
  <c r="AZ101" i="15" s="1"/>
  <c r="CA129" i="15"/>
  <c r="BN128" i="15"/>
  <c r="BA128" i="15" a="1"/>
  <c r="BA128" i="15" s="1"/>
  <c r="BO128" i="15" s="1"/>
  <c r="BN127" i="15"/>
  <c r="BA127" i="15" a="1"/>
  <c r="BA127" i="15" s="1"/>
  <c r="BO127" i="15" s="1"/>
  <c r="BA76" i="15" a="1"/>
  <c r="BA76" i="15" s="1"/>
  <c r="BO76" i="15" s="1"/>
  <c r="BN76" i="15"/>
  <c r="BA77" i="15" a="1"/>
  <c r="BA77" i="15" s="1"/>
  <c r="BO77" i="15" s="1"/>
  <c r="BN77" i="15"/>
  <c r="AZ96" i="15" a="1"/>
  <c r="AZ96" i="15" s="1"/>
  <c r="BM96" i="15"/>
  <c r="CA95" i="15"/>
  <c r="CA106" i="15"/>
  <c r="AZ97" i="15" a="1"/>
  <c r="AZ97" i="15" s="1"/>
  <c r="BM97" i="15"/>
  <c r="BN104" i="15"/>
  <c r="BA104" i="15" a="1"/>
  <c r="BA104" i="15" s="1"/>
  <c r="BO104" i="15" s="1"/>
  <c r="BA91" i="15" a="1"/>
  <c r="BA91" i="15" s="1"/>
  <c r="BO91" i="15" s="1"/>
  <c r="BN91" i="15"/>
  <c r="BA92" i="15" a="1"/>
  <c r="BA92" i="15" s="1"/>
  <c r="BO92" i="15" s="1"/>
  <c r="BN92" i="15"/>
  <c r="BN89" i="15"/>
  <c r="BA89" i="15" a="1"/>
  <c r="BA89" i="15" s="1"/>
  <c r="BO89" i="15" s="1"/>
  <c r="BA98" i="15" a="1"/>
  <c r="BA98" i="15" s="1"/>
  <c r="BO98" i="15" s="1"/>
  <c r="BN98" i="15"/>
  <c r="BN102" i="15"/>
  <c r="BA102" i="15" a="1"/>
  <c r="BA102" i="15" s="1"/>
  <c r="BO102" i="15" s="1"/>
  <c r="BA93" i="15" a="1"/>
  <c r="BA93" i="15" s="1"/>
  <c r="BO93" i="15" s="1"/>
  <c r="BN93" i="15"/>
  <c r="BA90" i="15" a="1"/>
  <c r="BA90" i="15" s="1"/>
  <c r="BO90" i="15" s="1"/>
  <c r="BN90" i="15"/>
  <c r="BN100" i="15"/>
  <c r="BA100" i="15" a="1"/>
  <c r="BA100" i="15" s="1"/>
  <c r="BO100" i="15" s="1"/>
  <c r="CA88" i="15"/>
  <c r="BN103" i="15"/>
  <c r="BA103" i="15" a="1"/>
  <c r="BA103" i="15" s="1"/>
  <c r="BO103" i="15" s="1"/>
  <c r="BA94" i="15" a="1"/>
  <c r="BA94" i="15" s="1"/>
  <c r="BO94" i="15" s="1"/>
  <c r="BN94" i="15"/>
  <c r="BN107" i="15"/>
  <c r="BA107" i="15" a="1"/>
  <c r="BA107" i="15" s="1"/>
  <c r="BO107" i="15" s="1"/>
  <c r="AN107" i="15" l="1"/>
  <c r="CA98" i="15"/>
  <c r="CA94" i="15"/>
  <c r="CA76" i="15"/>
  <c r="BN101" i="15"/>
  <c r="BA101" i="15" a="1"/>
  <c r="BA101" i="15" s="1"/>
  <c r="BO101" i="15" s="1"/>
  <c r="CA127" i="15"/>
  <c r="CA128" i="15"/>
  <c r="CA77" i="15"/>
  <c r="BA96" i="15" a="1"/>
  <c r="BA96" i="15" s="1"/>
  <c r="BO96" i="15" s="1"/>
  <c r="BN96" i="15"/>
  <c r="CA93" i="15"/>
  <c r="CA104" i="15"/>
  <c r="CA89" i="15"/>
  <c r="CA92" i="15"/>
  <c r="BN97" i="15"/>
  <c r="BA97" i="15" a="1"/>
  <c r="BA97" i="15" s="1"/>
  <c r="BO97" i="15" s="1"/>
  <c r="CA90" i="15"/>
  <c r="CA107" i="15"/>
  <c r="CA91" i="15"/>
  <c r="CA102" i="15"/>
  <c r="CA103" i="15"/>
  <c r="CA100" i="15"/>
  <c r="CA96" i="15" l="1"/>
  <c r="CA101" i="15"/>
  <c r="CA97" i="15"/>
  <c r="S38" i="15" l="1"/>
  <c r="R38" i="15" s="1"/>
  <c r="BW42" i="15"/>
  <c r="BX42" i="15"/>
  <c r="BY42" i="15"/>
  <c r="AY42" i="15" a="1"/>
  <c r="AY42" i="15" s="1"/>
  <c r="AZ42" i="15" s="1" a="1"/>
  <c r="AZ42" i="15" s="1"/>
  <c r="BA42" i="15" s="1" a="1"/>
  <c r="BA42" i="15" s="1"/>
  <c r="BO42" i="15" s="1"/>
  <c r="AR7" i="15"/>
  <c r="AY8" i="15" a="1"/>
  <c r="AY8" i="15" s="1"/>
  <c r="AZ8" i="15" s="1" a="1"/>
  <c r="AZ8" i="15" s="1"/>
  <c r="BA8" i="15" s="1" a="1"/>
  <c r="BA8" i="15" s="1"/>
  <c r="AY9" i="15" a="1"/>
  <c r="AY9" i="15" s="1"/>
  <c r="AZ9" i="15" s="1" a="1"/>
  <c r="AZ9" i="15" s="1"/>
  <c r="BA9" i="15" s="1" a="1"/>
  <c r="BA9" i="15" s="1"/>
  <c r="BW132" i="15"/>
  <c r="BX132" i="15"/>
  <c r="BY132" i="15"/>
  <c r="BF132" i="15"/>
  <c r="BE132" i="15" s="1"/>
  <c r="BW20" i="15"/>
  <c r="BX20" i="15"/>
  <c r="BY20" i="15"/>
  <c r="BE20" i="15"/>
  <c r="D20" i="15"/>
  <c r="E20" i="15" s="1"/>
  <c r="AJ20" i="15"/>
  <c r="AK20" i="15"/>
  <c r="AL20" i="15"/>
  <c r="BW135" i="15"/>
  <c r="BX135" i="15"/>
  <c r="BY135" i="15"/>
  <c r="BW134" i="15"/>
  <c r="BX134" i="15"/>
  <c r="BY134" i="15"/>
  <c r="BW18" i="15"/>
  <c r="BX18" i="15"/>
  <c r="BY18" i="15"/>
  <c r="BE18" i="15"/>
  <c r="DK67" i="15"/>
  <c r="DJ67" i="15"/>
  <c r="DI67" i="15"/>
  <c r="CE67" i="15"/>
  <c r="CR67" i="15" s="1"/>
  <c r="CQ67" i="15" s="1"/>
  <c r="BY67" i="15"/>
  <c r="BX67" i="15"/>
  <c r="BW67" i="15"/>
  <c r="BE67" i="15"/>
  <c r="AL67" i="15"/>
  <c r="AK67" i="15"/>
  <c r="AJ67" i="15"/>
  <c r="E67" i="15"/>
  <c r="F67" i="15" s="1" a="1"/>
  <c r="F67" i="15" s="1"/>
  <c r="D67" i="15"/>
  <c r="DK66" i="15"/>
  <c r="DJ66" i="15"/>
  <c r="DI66" i="15"/>
  <c r="CE66" i="15"/>
  <c r="CF66" i="15" s="1" a="1"/>
  <c r="CF66" i="15" s="1"/>
  <c r="BY66" i="15"/>
  <c r="BX66" i="15"/>
  <c r="BW66" i="15"/>
  <c r="AL66" i="15"/>
  <c r="AK66" i="15"/>
  <c r="AJ66" i="15"/>
  <c r="E66" i="15"/>
  <c r="F66" i="15" s="1" a="1"/>
  <c r="F66" i="15" s="1"/>
  <c r="T66" i="15" s="1"/>
  <c r="AD66" i="15" s="1"/>
  <c r="D66" i="15"/>
  <c r="DK65" i="15"/>
  <c r="DJ65" i="15"/>
  <c r="DI65" i="15"/>
  <c r="CE65" i="15"/>
  <c r="BY65" i="15"/>
  <c r="BX65" i="15"/>
  <c r="BW65" i="15"/>
  <c r="BE65" i="15"/>
  <c r="AL65" i="15"/>
  <c r="AK65" i="15"/>
  <c r="AJ65" i="15"/>
  <c r="E65" i="15"/>
  <c r="F65" i="15" s="1" a="1"/>
  <c r="F65" i="15" s="1"/>
  <c r="D65" i="15"/>
  <c r="DK64" i="15"/>
  <c r="DJ64" i="15"/>
  <c r="DI64" i="15"/>
  <c r="CE64" i="15"/>
  <c r="CR64" i="15" s="1"/>
  <c r="CQ64" i="15" s="1"/>
  <c r="BY64" i="15"/>
  <c r="BX64" i="15"/>
  <c r="BW64" i="15"/>
  <c r="BE64" i="15"/>
  <c r="AL64" i="15"/>
  <c r="AK64" i="15"/>
  <c r="AJ64" i="15"/>
  <c r="E64" i="15"/>
  <c r="F64" i="15" s="1" a="1"/>
  <c r="F64" i="15" s="1"/>
  <c r="D64" i="15"/>
  <c r="BB119" i="15"/>
  <c r="O119" i="15"/>
  <c r="BF7" i="15" l="1"/>
  <c r="AS7" i="15" a="1"/>
  <c r="AS7" i="15" s="1"/>
  <c r="BS42" i="15"/>
  <c r="S20" i="15"/>
  <c r="R20" i="15" s="1"/>
  <c r="F20" i="15" a="1"/>
  <c r="F20" i="15" s="1"/>
  <c r="BN42" i="15"/>
  <c r="BM42" i="15"/>
  <c r="BG135" i="15"/>
  <c r="BQ135" i="15" s="1"/>
  <c r="BF135" i="15"/>
  <c r="BE135" i="15" s="1"/>
  <c r="BG134" i="15"/>
  <c r="BQ134" i="15" s="1"/>
  <c r="BF134" i="15"/>
  <c r="BE134" i="15" s="1"/>
  <c r="CF67" i="15" a="1"/>
  <c r="CF67" i="15" s="1"/>
  <c r="CS67" i="15" s="1"/>
  <c r="DC67" i="15" s="1"/>
  <c r="BR65" i="15"/>
  <c r="S64" i="15"/>
  <c r="R64" i="15" s="1"/>
  <c r="BQ67" i="15"/>
  <c r="CR66" i="15"/>
  <c r="CQ66" i="15" s="1"/>
  <c r="CF64" i="15" a="1"/>
  <c r="CF64" i="15" s="1"/>
  <c r="CG64" i="15" s="1" a="1"/>
  <c r="CG64" i="15" s="1"/>
  <c r="CT64" i="15" s="1"/>
  <c r="DD64" i="15" s="1"/>
  <c r="S66" i="15"/>
  <c r="R66" i="15" s="1"/>
  <c r="T64" i="15"/>
  <c r="AD64" i="15" s="1"/>
  <c r="G64" i="15" a="1"/>
  <c r="G64" i="15" s="1"/>
  <c r="T67" i="15"/>
  <c r="AD67" i="15" s="1"/>
  <c r="G67" i="15" a="1"/>
  <c r="G67" i="15" s="1"/>
  <c r="G65" i="15" a="1"/>
  <c r="G65" i="15" s="1"/>
  <c r="T65" i="15"/>
  <c r="AD65" i="15" s="1"/>
  <c r="CG66" i="15" a="1"/>
  <c r="CG66" i="15" s="1"/>
  <c r="CS66" i="15"/>
  <c r="DC66" i="15" s="1"/>
  <c r="G66" i="15" a="1"/>
  <c r="G66" i="15" s="1"/>
  <c r="CR65" i="15"/>
  <c r="CQ65" i="15" s="1"/>
  <c r="CF65" i="15" a="1"/>
  <c r="CF65" i="15" s="1"/>
  <c r="BE66" i="15"/>
  <c r="S65" i="15"/>
  <c r="S67" i="15"/>
  <c r="R67" i="15" s="1"/>
  <c r="AT7" i="15" l="1" a="1"/>
  <c r="AT7" i="15" s="1"/>
  <c r="BQ42" i="15"/>
  <c r="BT42" i="15"/>
  <c r="BU42" i="15"/>
  <c r="BV42" i="15"/>
  <c r="BG132" i="15"/>
  <c r="BQ132" i="15" s="1"/>
  <c r="BR42" i="15"/>
  <c r="T20" i="15"/>
  <c r="AD20" i="15" s="1"/>
  <c r="G20" i="15" a="1"/>
  <c r="G20" i="15" s="1"/>
  <c r="BQ20" i="15"/>
  <c r="BH135" i="15"/>
  <c r="BR135" i="15" s="1"/>
  <c r="BR67" i="15"/>
  <c r="CS64" i="15"/>
  <c r="DC64" i="15" s="1"/>
  <c r="BH134" i="15"/>
  <c r="BR134" i="15" s="1"/>
  <c r="BS65" i="15"/>
  <c r="CH64" i="15" a="1"/>
  <c r="CH64" i="15" s="1"/>
  <c r="CU64" i="15" s="1"/>
  <c r="DE64" i="15" s="1"/>
  <c r="CG67" i="15" a="1"/>
  <c r="CG67" i="15" s="1"/>
  <c r="CT67" i="15" s="1"/>
  <c r="DD67" i="15" s="1"/>
  <c r="BQ18" i="15"/>
  <c r="BQ65" i="15"/>
  <c r="BQ64" i="15"/>
  <c r="CG65" i="15" a="1"/>
  <c r="CG65" i="15" s="1"/>
  <c r="CS65" i="15"/>
  <c r="DC65" i="15" s="1"/>
  <c r="CT66" i="15"/>
  <c r="DD66" i="15" s="1"/>
  <c r="CH66" i="15" a="1"/>
  <c r="CH66" i="15" s="1"/>
  <c r="H64" i="15" a="1"/>
  <c r="H64" i="15" s="1"/>
  <c r="U64" i="15"/>
  <c r="AE64" i="15" s="1"/>
  <c r="R65" i="15"/>
  <c r="H65" i="15" a="1"/>
  <c r="H65" i="15" s="1"/>
  <c r="U65" i="15"/>
  <c r="AE65" i="15" s="1"/>
  <c r="BR64" i="15"/>
  <c r="BQ66" i="15"/>
  <c r="U67" i="15"/>
  <c r="AE67" i="15" s="1"/>
  <c r="H67" i="15" a="1"/>
  <c r="H67" i="15" s="1"/>
  <c r="H66" i="15" a="1"/>
  <c r="H66" i="15" s="1"/>
  <c r="U66" i="15"/>
  <c r="AE66" i="15" s="1"/>
  <c r="AU7" i="15" l="1" a="1"/>
  <c r="AU7" i="15" s="1"/>
  <c r="BZ42" i="15"/>
  <c r="U20" i="15"/>
  <c r="AE20" i="15" s="1"/>
  <c r="H20" i="15" a="1"/>
  <c r="H20" i="15" s="1"/>
  <c r="BH132" i="15"/>
  <c r="BR132" i="15" s="1"/>
  <c r="BR20" i="15"/>
  <c r="BS135" i="15"/>
  <c r="BS134" i="15"/>
  <c r="BS67" i="15"/>
  <c r="BR18" i="15"/>
  <c r="CH67" i="15" a="1"/>
  <c r="CH67" i="15" s="1"/>
  <c r="CI67" i="15" s="1" a="1"/>
  <c r="CI67" i="15" s="1"/>
  <c r="BT65" i="15"/>
  <c r="CI64" i="15" a="1"/>
  <c r="CI64" i="15" s="1"/>
  <c r="CV64" i="15" s="1"/>
  <c r="DF64" i="15" s="1"/>
  <c r="V66" i="15"/>
  <c r="AF66" i="15" s="1"/>
  <c r="I66" i="15" a="1"/>
  <c r="I66" i="15" s="1"/>
  <c r="BS64" i="15"/>
  <c r="V65" i="15"/>
  <c r="AF65" i="15" s="1"/>
  <c r="I65" i="15" a="1"/>
  <c r="I65" i="15" s="1"/>
  <c r="V64" i="15"/>
  <c r="AF64" i="15" s="1"/>
  <c r="I64" i="15" a="1"/>
  <c r="I64" i="15" s="1"/>
  <c r="V67" i="15"/>
  <c r="AF67" i="15" s="1"/>
  <c r="I67" i="15" a="1"/>
  <c r="I67" i="15" s="1"/>
  <c r="CU66" i="15"/>
  <c r="DE66" i="15" s="1"/>
  <c r="CI66" i="15" a="1"/>
  <c r="CI66" i="15" s="1"/>
  <c r="BR66" i="15"/>
  <c r="CT65" i="15"/>
  <c r="DD65" i="15" s="1"/>
  <c r="CH65" i="15" a="1"/>
  <c r="CH65" i="15" s="1"/>
  <c r="AV7" i="15" l="1" a="1"/>
  <c r="AV7" i="15" s="1"/>
  <c r="CU67" i="15"/>
  <c r="DE67" i="15" s="1"/>
  <c r="BS132" i="15"/>
  <c r="V20" i="15"/>
  <c r="AF20" i="15" s="1"/>
  <c r="I20" i="15" a="1"/>
  <c r="I20" i="15" s="1"/>
  <c r="BS20" i="15"/>
  <c r="BT135" i="15"/>
  <c r="BT134" i="15"/>
  <c r="BU65" i="15"/>
  <c r="CJ64" i="15" a="1"/>
  <c r="CJ64" i="15" s="1"/>
  <c r="CK64" i="15" s="1" a="1"/>
  <c r="CK64" i="15" s="1"/>
  <c r="BS18" i="15"/>
  <c r="CV67" i="15"/>
  <c r="DF67" i="15" s="1"/>
  <c r="CJ67" i="15" a="1"/>
  <c r="CJ67" i="15" s="1"/>
  <c r="CU65" i="15"/>
  <c r="DE65" i="15" s="1"/>
  <c r="CI65" i="15" a="1"/>
  <c r="CI65" i="15" s="1"/>
  <c r="J67" i="15" a="1"/>
  <c r="J67" i="15" s="1"/>
  <c r="W67" i="15"/>
  <c r="AG67" i="15" s="1"/>
  <c r="J65" i="15" a="1"/>
  <c r="J65" i="15" s="1"/>
  <c r="W65" i="15"/>
  <c r="AG65" i="15" s="1"/>
  <c r="W66" i="15"/>
  <c r="AG66" i="15" s="1"/>
  <c r="J66" i="15" a="1"/>
  <c r="J66" i="15" s="1"/>
  <c r="BS66" i="15"/>
  <c r="BT64" i="15"/>
  <c r="CJ66" i="15" a="1"/>
  <c r="CJ66" i="15" s="1"/>
  <c r="CV66" i="15"/>
  <c r="DF66" i="15" s="1"/>
  <c r="W64" i="15"/>
  <c r="AG64" i="15" s="1"/>
  <c r="J64" i="15" a="1"/>
  <c r="J64" i="15" s="1"/>
  <c r="AW7" i="15" l="1" a="1"/>
  <c r="AW7" i="15" s="1"/>
  <c r="BT67" i="15"/>
  <c r="BV65" i="15"/>
  <c r="BZ65" i="15" s="1"/>
  <c r="W20" i="15"/>
  <c r="AG20" i="15" s="1"/>
  <c r="J20" i="15" a="1"/>
  <c r="J20" i="15" s="1"/>
  <c r="BT132" i="15"/>
  <c r="BT20" i="15"/>
  <c r="BU135" i="15"/>
  <c r="BU134" i="15"/>
  <c r="CW64" i="15"/>
  <c r="DG64" i="15" s="1"/>
  <c r="BT18" i="15"/>
  <c r="X67" i="15"/>
  <c r="AH67" i="15" s="1"/>
  <c r="K67" i="15" a="1"/>
  <c r="K67" i="15" s="1"/>
  <c r="CK67" i="15" a="1"/>
  <c r="CK67" i="15" s="1"/>
  <c r="CW67" i="15"/>
  <c r="DG67" i="15" s="1"/>
  <c r="K64" i="15" a="1"/>
  <c r="K64" i="15" s="1"/>
  <c r="X64" i="15"/>
  <c r="AH64" i="15" s="1"/>
  <c r="BT66" i="15"/>
  <c r="X66" i="15"/>
  <c r="AH66" i="15" s="1"/>
  <c r="K66" i="15" a="1"/>
  <c r="K66" i="15" s="1"/>
  <c r="CJ65" i="15" a="1"/>
  <c r="CJ65" i="15" s="1"/>
  <c r="CV65" i="15"/>
  <c r="DF65" i="15" s="1"/>
  <c r="CX64" i="15"/>
  <c r="DH64" i="15" s="1"/>
  <c r="CL64" i="15" a="1"/>
  <c r="CL64" i="15" s="1"/>
  <c r="BU64" i="15"/>
  <c r="X65" i="15"/>
  <c r="AH65" i="15" s="1"/>
  <c r="K65" i="15" a="1"/>
  <c r="K65" i="15" s="1"/>
  <c r="CK66" i="15" a="1"/>
  <c r="CK66" i="15" s="1"/>
  <c r="CW66" i="15"/>
  <c r="DG66" i="15" s="1"/>
  <c r="BU67" i="15"/>
  <c r="AX7" i="15" l="1" a="1"/>
  <c r="AX7" i="15" s="1"/>
  <c r="AY65" i="15" a="1"/>
  <c r="AY65" i="15" s="1"/>
  <c r="BM65" i="15" s="1"/>
  <c r="BU132" i="15"/>
  <c r="K20" i="15" a="1"/>
  <c r="K20" i="15" s="1"/>
  <c r="X20" i="15"/>
  <c r="AH20" i="15" s="1"/>
  <c r="BU20" i="15"/>
  <c r="DL64" i="15"/>
  <c r="AY135" i="15" a="1"/>
  <c r="AY135" i="15" s="1"/>
  <c r="BV135" i="15"/>
  <c r="BZ135" i="15" s="1"/>
  <c r="AY134" i="15" a="1"/>
  <c r="AY134" i="15" s="1"/>
  <c r="BV134" i="15"/>
  <c r="BZ134" i="15" s="1"/>
  <c r="BU18" i="15"/>
  <c r="BV64" i="15"/>
  <c r="BZ64" i="15" s="1"/>
  <c r="AY64" i="15" a="1"/>
  <c r="AY64" i="15" s="1"/>
  <c r="CY64" i="15"/>
  <c r="CM64" i="15" a="1"/>
  <c r="CM64" i="15" s="1"/>
  <c r="BU66" i="15"/>
  <c r="L64" i="15" a="1"/>
  <c r="L64" i="15" s="1"/>
  <c r="Y64" i="15"/>
  <c r="AI64" i="15" s="1"/>
  <c r="AM64" i="15" s="1"/>
  <c r="Y65" i="15"/>
  <c r="AI65" i="15" s="1"/>
  <c r="AM65" i="15" s="1"/>
  <c r="L65" i="15" a="1"/>
  <c r="L65" i="15" s="1"/>
  <c r="CW65" i="15"/>
  <c r="DG65" i="15" s="1"/>
  <c r="CK65" i="15" a="1"/>
  <c r="CK65" i="15" s="1"/>
  <c r="CL67" i="15" a="1"/>
  <c r="CL67" i="15" s="1"/>
  <c r="CX67" i="15"/>
  <c r="DH67" i="15" s="1"/>
  <c r="DL67" i="15" s="1"/>
  <c r="AY67" i="15" a="1"/>
  <c r="AY67" i="15" s="1"/>
  <c r="BV67" i="15"/>
  <c r="BZ67" i="15" s="1"/>
  <c r="CX66" i="15"/>
  <c r="DH66" i="15" s="1"/>
  <c r="DL66" i="15" s="1"/>
  <c r="CL66" i="15" a="1"/>
  <c r="CL66" i="15" s="1"/>
  <c r="L66" i="15" a="1"/>
  <c r="L66" i="15" s="1"/>
  <c r="Y66" i="15"/>
  <c r="AI66" i="15" s="1"/>
  <c r="AM66" i="15" s="1"/>
  <c r="L67" i="15" a="1"/>
  <c r="L67" i="15" s="1"/>
  <c r="Y67" i="15"/>
  <c r="AI67" i="15" s="1"/>
  <c r="AM67" i="15" s="1"/>
  <c r="AZ65" i="15" l="1" a="1"/>
  <c r="AZ65" i="15" s="1"/>
  <c r="BV7" i="15"/>
  <c r="AY7" i="15" a="1"/>
  <c r="AY7" i="15" s="1"/>
  <c r="Y20" i="15"/>
  <c r="AI20" i="15" s="1"/>
  <c r="AM20" i="15" s="1"/>
  <c r="L20" i="15" a="1"/>
  <c r="L20" i="15" s="1"/>
  <c r="AY132" i="15" a="1"/>
  <c r="AY132" i="15" s="1"/>
  <c r="BV132" i="15"/>
  <c r="BZ132" i="15" s="1"/>
  <c r="AY20" i="15" a="1"/>
  <c r="AY20" i="15" s="1"/>
  <c r="BV20" i="15"/>
  <c r="BZ20" i="15" s="1"/>
  <c r="BM135" i="15"/>
  <c r="AZ135" i="15" a="1"/>
  <c r="AZ135" i="15" s="1"/>
  <c r="AZ134" i="15" a="1"/>
  <c r="AZ134" i="15" s="1"/>
  <c r="BM134" i="15"/>
  <c r="AY18" i="15" a="1"/>
  <c r="AY18" i="15" s="1"/>
  <c r="BV18" i="15"/>
  <c r="BZ18" i="15" s="1"/>
  <c r="CZ64" i="15"/>
  <c r="CN64" i="15" a="1"/>
  <c r="CN64" i="15" s="1"/>
  <c r="DA64" i="15" s="1"/>
  <c r="AY66" i="15" a="1"/>
  <c r="AY66" i="15" s="1"/>
  <c r="BV66" i="15"/>
  <c r="BZ66" i="15" s="1"/>
  <c r="M65" i="15" a="1"/>
  <c r="M65" i="15" s="1"/>
  <c r="Z65" i="15"/>
  <c r="AZ67" i="15" a="1"/>
  <c r="AZ67" i="15" s="1"/>
  <c r="BM67" i="15"/>
  <c r="CY66" i="15"/>
  <c r="CM66" i="15" a="1"/>
  <c r="CM66" i="15" s="1"/>
  <c r="Z64" i="15"/>
  <c r="M64" i="15" a="1"/>
  <c r="M64" i="15" s="1"/>
  <c r="BA65" i="15" a="1"/>
  <c r="BA65" i="15" s="1"/>
  <c r="BO65" i="15" s="1"/>
  <c r="BN65" i="15"/>
  <c r="M67" i="15" a="1"/>
  <c r="M67" i="15" s="1"/>
  <c r="Z67" i="15"/>
  <c r="CM67" i="15" a="1"/>
  <c r="CM67" i="15" s="1"/>
  <c r="CY67" i="15"/>
  <c r="BM64" i="15"/>
  <c r="AZ64" i="15" a="1"/>
  <c r="AZ64" i="15" s="1"/>
  <c r="CX65" i="15"/>
  <c r="DH65" i="15" s="1"/>
  <c r="DL65" i="15" s="1"/>
  <c r="CL65" i="15" a="1"/>
  <c r="CL65" i="15" s="1"/>
  <c r="M66" i="15" a="1"/>
  <c r="M66" i="15" s="1"/>
  <c r="Z66" i="15"/>
  <c r="AZ7" i="15" l="1" a="1"/>
  <c r="AZ7" i="15" s="1"/>
  <c r="BM7" i="15"/>
  <c r="AZ132" i="15" a="1"/>
  <c r="AZ132" i="15" s="1"/>
  <c r="BM132" i="15"/>
  <c r="M20" i="15" a="1"/>
  <c r="M20" i="15" s="1"/>
  <c r="Z20" i="15"/>
  <c r="AZ20" i="15" a="1"/>
  <c r="AZ20" i="15" s="1"/>
  <c r="BM20" i="15"/>
  <c r="BN135" i="15"/>
  <c r="BA135" i="15" a="1"/>
  <c r="BA135" i="15" s="1"/>
  <c r="BO135" i="15" s="1"/>
  <c r="BA134" i="15" a="1"/>
  <c r="BA134" i="15" s="1"/>
  <c r="BO134" i="15" s="1"/>
  <c r="BN134" i="15"/>
  <c r="AZ18" i="15" a="1"/>
  <c r="AZ18" i="15" s="1"/>
  <c r="BM18" i="15"/>
  <c r="CA65" i="15"/>
  <c r="CN66" i="15" a="1"/>
  <c r="CN66" i="15" s="1"/>
  <c r="DA66" i="15" s="1"/>
  <c r="CZ66" i="15"/>
  <c r="AA66" i="15"/>
  <c r="N66" i="15" a="1"/>
  <c r="N66" i="15" s="1"/>
  <c r="AB66" i="15" s="1"/>
  <c r="CZ67" i="15"/>
  <c r="CN67" i="15" a="1"/>
  <c r="CN67" i="15" s="1"/>
  <c r="DA67" i="15" s="1"/>
  <c r="BM66" i="15"/>
  <c r="AZ66" i="15" a="1"/>
  <c r="AZ66" i="15" s="1"/>
  <c r="CM65" i="15" a="1"/>
  <c r="CM65" i="15" s="1"/>
  <c r="CY65" i="15"/>
  <c r="N67" i="15" a="1"/>
  <c r="N67" i="15" s="1"/>
  <c r="AB67" i="15" s="1"/>
  <c r="AA67" i="15"/>
  <c r="BA67" i="15" a="1"/>
  <c r="BA67" i="15" s="1"/>
  <c r="BO67" i="15" s="1"/>
  <c r="BN67" i="15"/>
  <c r="DM64" i="15"/>
  <c r="BN64" i="15"/>
  <c r="BA64" i="15" a="1"/>
  <c r="BA64" i="15" s="1"/>
  <c r="BO64" i="15" s="1"/>
  <c r="AA64" i="15"/>
  <c r="N64" i="15" a="1"/>
  <c r="N64" i="15" s="1"/>
  <c r="AB64" i="15" s="1"/>
  <c r="N65" i="15" a="1"/>
  <c r="N65" i="15" s="1"/>
  <c r="AB65" i="15" s="1"/>
  <c r="AA65" i="15"/>
  <c r="BA7" i="15" l="1" a="1"/>
  <c r="BA7" i="15" s="1"/>
  <c r="BO7" i="15" s="1"/>
  <c r="BN7" i="15"/>
  <c r="AN65" i="15"/>
  <c r="CA134" i="15"/>
  <c r="AA20" i="15"/>
  <c r="N20" i="15" a="1"/>
  <c r="N20" i="15" s="1"/>
  <c r="AB20" i="15" s="1"/>
  <c r="BA132" i="15" a="1"/>
  <c r="BA132" i="15" s="1"/>
  <c r="BO132" i="15" s="1"/>
  <c r="BN132" i="15"/>
  <c r="BA20" i="15" a="1"/>
  <c r="BA20" i="15" s="1"/>
  <c r="BO20" i="15" s="1"/>
  <c r="BN20" i="15"/>
  <c r="CA135" i="15"/>
  <c r="AN67" i="15"/>
  <c r="BA18" i="15" a="1"/>
  <c r="BA18" i="15" s="1"/>
  <c r="BO18" i="15" s="1"/>
  <c r="BN18" i="15"/>
  <c r="CA64" i="15"/>
  <c r="CA67" i="15"/>
  <c r="DM67" i="15"/>
  <c r="AN66" i="15"/>
  <c r="DM66" i="15"/>
  <c r="AN64" i="15"/>
  <c r="CZ65" i="15"/>
  <c r="CN65" i="15" a="1"/>
  <c r="CN65" i="15" s="1"/>
  <c r="DA65" i="15" s="1"/>
  <c r="BN66" i="15"/>
  <c r="BA66" i="15" a="1"/>
  <c r="BA66" i="15" s="1"/>
  <c r="BO66" i="15" s="1"/>
  <c r="CA132" i="15" l="1"/>
  <c r="AN20" i="15"/>
  <c r="CA18" i="15"/>
  <c r="CA20" i="15"/>
  <c r="CA66" i="15"/>
  <c r="DM65" i="15"/>
  <c r="F21" i="4" l="1"/>
  <c r="C21" i="4"/>
  <c r="C16" i="16" l="1"/>
  <c r="D16" i="16"/>
  <c r="E16" i="16"/>
  <c r="F16" i="16"/>
  <c r="G16" i="16"/>
  <c r="H16" i="16"/>
  <c r="B16" i="16"/>
  <c r="AR146" i="15" l="1"/>
  <c r="BF146" i="15" s="1"/>
  <c r="BE146" i="15" s="1"/>
  <c r="BW146" i="15"/>
  <c r="BX146" i="15"/>
  <c r="BY146" i="15"/>
  <c r="AR147" i="15"/>
  <c r="AS147" i="15" s="1" a="1"/>
  <c r="AS147" i="15" s="1"/>
  <c r="BW147" i="15"/>
  <c r="BX147" i="15"/>
  <c r="BY147" i="15"/>
  <c r="AR148" i="15"/>
  <c r="AS148" i="15" s="1" a="1"/>
  <c r="AS148" i="15" s="1"/>
  <c r="BW148" i="15"/>
  <c r="BX148" i="15"/>
  <c r="BY148" i="15"/>
  <c r="AR149" i="15"/>
  <c r="AS149" i="15" s="1" a="1"/>
  <c r="AS149" i="15" s="1"/>
  <c r="BW149" i="15"/>
  <c r="BX149" i="15"/>
  <c r="BY149" i="15"/>
  <c r="AR150" i="15"/>
  <c r="AS150" i="15" s="1" a="1"/>
  <c r="AS150" i="15" s="1"/>
  <c r="BW150" i="15"/>
  <c r="BX150" i="15"/>
  <c r="BY150" i="15"/>
  <c r="AR151" i="15"/>
  <c r="BF151" i="15" s="1"/>
  <c r="BE151" i="15" s="1"/>
  <c r="BW151" i="15"/>
  <c r="BX151" i="15"/>
  <c r="BY151" i="15"/>
  <c r="AY27" i="15" a="1"/>
  <c r="AY27" i="15" s="1"/>
  <c r="AZ27" i="15" s="1" a="1"/>
  <c r="AZ27" i="15" s="1"/>
  <c r="BA27" i="15" s="1" a="1"/>
  <c r="BA27" i="15" s="1"/>
  <c r="BW69" i="15"/>
  <c r="BX69" i="15"/>
  <c r="BY69" i="15"/>
  <c r="BW70" i="15"/>
  <c r="BX70" i="15"/>
  <c r="BY70" i="15"/>
  <c r="BW71" i="15"/>
  <c r="BX71" i="15"/>
  <c r="BY71" i="15"/>
  <c r="BW72" i="15"/>
  <c r="BX72" i="15"/>
  <c r="BY72" i="15"/>
  <c r="BW73" i="15"/>
  <c r="BX73" i="15"/>
  <c r="BY73" i="15"/>
  <c r="BW74" i="15"/>
  <c r="BX74" i="15"/>
  <c r="BY74" i="15"/>
  <c r="BW75" i="15"/>
  <c r="BX75" i="15"/>
  <c r="BY75" i="15"/>
  <c r="BW79" i="15"/>
  <c r="BX79" i="15"/>
  <c r="BY79" i="15"/>
  <c r="BW80" i="15"/>
  <c r="BX80" i="15"/>
  <c r="BY80" i="15"/>
  <c r="BW81" i="15"/>
  <c r="BX81" i="15"/>
  <c r="BY81" i="15"/>
  <c r="BW82" i="15"/>
  <c r="BX82" i="15"/>
  <c r="BY82" i="15"/>
  <c r="BW83" i="15"/>
  <c r="BX83" i="15"/>
  <c r="BY83" i="15"/>
  <c r="BW84" i="15"/>
  <c r="BX84" i="15"/>
  <c r="BY84" i="15"/>
  <c r="BE69" i="15"/>
  <c r="BE72" i="15"/>
  <c r="BE73" i="15"/>
  <c r="AR79" i="15"/>
  <c r="AR80" i="15"/>
  <c r="BF80" i="15" s="1"/>
  <c r="BE80" i="15" s="1"/>
  <c r="AR81" i="15"/>
  <c r="BF81" i="15" s="1"/>
  <c r="BE81" i="15" s="1"/>
  <c r="AR82" i="15"/>
  <c r="BF82" i="15" s="1"/>
  <c r="BE82" i="15" s="1"/>
  <c r="AR83" i="15"/>
  <c r="AS83" i="15" s="1" a="1"/>
  <c r="AS83" i="15" s="1"/>
  <c r="AR84" i="15"/>
  <c r="BW34" i="15"/>
  <c r="BX34" i="15"/>
  <c r="BY34" i="15"/>
  <c r="BE34" i="15"/>
  <c r="BW7" i="15"/>
  <c r="BX7" i="15"/>
  <c r="BY7" i="15"/>
  <c r="CE7" i="15"/>
  <c r="CR7" i="15" s="1"/>
  <c r="CQ7" i="15" s="1"/>
  <c r="DI7" i="15"/>
  <c r="DJ7" i="15"/>
  <c r="DK7" i="15"/>
  <c r="BE8" i="15"/>
  <c r="BW8" i="15"/>
  <c r="BX8" i="15"/>
  <c r="BY8" i="15"/>
  <c r="BE9" i="15"/>
  <c r="BW9" i="15"/>
  <c r="BX9" i="15"/>
  <c r="BY9" i="15"/>
  <c r="BW10" i="15"/>
  <c r="BX10" i="15"/>
  <c r="BY10" i="15"/>
  <c r="BE11" i="15"/>
  <c r="BW11" i="15"/>
  <c r="BX11" i="15"/>
  <c r="BY11" i="15"/>
  <c r="BE12" i="15"/>
  <c r="BW12" i="15"/>
  <c r="BX12" i="15"/>
  <c r="BY12" i="15"/>
  <c r="BW13" i="15"/>
  <c r="BX13" i="15"/>
  <c r="BY13" i="15"/>
  <c r="BW14" i="15"/>
  <c r="BX14" i="15"/>
  <c r="BY14" i="15"/>
  <c r="BW15" i="15"/>
  <c r="BX15" i="15"/>
  <c r="BY15" i="15"/>
  <c r="BW16" i="15"/>
  <c r="BX16" i="15"/>
  <c r="BY16" i="15"/>
  <c r="BW17" i="15"/>
  <c r="BX17" i="15"/>
  <c r="BY17" i="15"/>
  <c r="BW19" i="15"/>
  <c r="BX19" i="15"/>
  <c r="BY19" i="15"/>
  <c r="BW21" i="15"/>
  <c r="BX21" i="15"/>
  <c r="BY21" i="15"/>
  <c r="BW22" i="15"/>
  <c r="BX22" i="15"/>
  <c r="BY22" i="15"/>
  <c r="BW23" i="15"/>
  <c r="BX23" i="15"/>
  <c r="BY23" i="15"/>
  <c r="BW24" i="15"/>
  <c r="BX24" i="15"/>
  <c r="BY24" i="15"/>
  <c r="BW25" i="15"/>
  <c r="BX25" i="15"/>
  <c r="BY25" i="15"/>
  <c r="BW26" i="15"/>
  <c r="BX26" i="15"/>
  <c r="BY26" i="15"/>
  <c r="BW27" i="15"/>
  <c r="BX27" i="15"/>
  <c r="BY27" i="15"/>
  <c r="BW28" i="15"/>
  <c r="BX28" i="15"/>
  <c r="BY28" i="15"/>
  <c r="BW29" i="15"/>
  <c r="BX29" i="15"/>
  <c r="BY29" i="15"/>
  <c r="BW30" i="15"/>
  <c r="BX30" i="15"/>
  <c r="BY30" i="15"/>
  <c r="BE31" i="15"/>
  <c r="BW31" i="15"/>
  <c r="BX31" i="15"/>
  <c r="BY31" i="15"/>
  <c r="BW32" i="15"/>
  <c r="BX32" i="15"/>
  <c r="BY32" i="15"/>
  <c r="BW33" i="15"/>
  <c r="BX33" i="15"/>
  <c r="BY33" i="15"/>
  <c r="BW35" i="15"/>
  <c r="BX35" i="15"/>
  <c r="BY35" i="15"/>
  <c r="BW36" i="15"/>
  <c r="BX36" i="15"/>
  <c r="BY36" i="15"/>
  <c r="BW37" i="15"/>
  <c r="BX37" i="15"/>
  <c r="BY37" i="15"/>
  <c r="BE38" i="15"/>
  <c r="BW38" i="15"/>
  <c r="BX38" i="15"/>
  <c r="BY38" i="15"/>
  <c r="BW40" i="15"/>
  <c r="BX40" i="15"/>
  <c r="BY40" i="15"/>
  <c r="BE43" i="15"/>
  <c r="BW43" i="15"/>
  <c r="BX43" i="15"/>
  <c r="BY43" i="15"/>
  <c r="BW44" i="15"/>
  <c r="BX44" i="15"/>
  <c r="BY44" i="15"/>
  <c r="BW45" i="15"/>
  <c r="BX45" i="15"/>
  <c r="BY45" i="15"/>
  <c r="BW46" i="15"/>
  <c r="BX46" i="15"/>
  <c r="BY46" i="15"/>
  <c r="BW47" i="15"/>
  <c r="BX47" i="15"/>
  <c r="BY47" i="15"/>
  <c r="BW48" i="15"/>
  <c r="BX48" i="15"/>
  <c r="BY48" i="15"/>
  <c r="BW49" i="15"/>
  <c r="BX49" i="15"/>
  <c r="BY49" i="15"/>
  <c r="BW50" i="15"/>
  <c r="BX50" i="15"/>
  <c r="BY50" i="15"/>
  <c r="BE51" i="15"/>
  <c r="BW51" i="15"/>
  <c r="BX51" i="15"/>
  <c r="BY51" i="15"/>
  <c r="BS52" i="15"/>
  <c r="BW52" i="15"/>
  <c r="BX52" i="15"/>
  <c r="BY52" i="15"/>
  <c r="BW53" i="15"/>
  <c r="BX53" i="15"/>
  <c r="BY53" i="15"/>
  <c r="BW55" i="15"/>
  <c r="BX55" i="15"/>
  <c r="BY55" i="15"/>
  <c r="BW58" i="15"/>
  <c r="BX58" i="15"/>
  <c r="BY58" i="15"/>
  <c r="BW59" i="15"/>
  <c r="BX59" i="15"/>
  <c r="BY59" i="15"/>
  <c r="BW60" i="15"/>
  <c r="BX60" i="15"/>
  <c r="BY60" i="15"/>
  <c r="BW61" i="15"/>
  <c r="BX61" i="15"/>
  <c r="BY61" i="15"/>
  <c r="BW62" i="15"/>
  <c r="BX62" i="15"/>
  <c r="BY62" i="15"/>
  <c r="BW63" i="15"/>
  <c r="BX63" i="15"/>
  <c r="BY63" i="15"/>
  <c r="BW68" i="15"/>
  <c r="BX68" i="15"/>
  <c r="BY68" i="15"/>
  <c r="AR87" i="15"/>
  <c r="BW87" i="15"/>
  <c r="BX87" i="15"/>
  <c r="BY87" i="15"/>
  <c r="BW109" i="15"/>
  <c r="BX109" i="15"/>
  <c r="BY109" i="15"/>
  <c r="BW110" i="15"/>
  <c r="BX110" i="15"/>
  <c r="BY110" i="15"/>
  <c r="BW111" i="15"/>
  <c r="BX111" i="15"/>
  <c r="BY111" i="15"/>
  <c r="BW112" i="15"/>
  <c r="BX112" i="15"/>
  <c r="BY112" i="15"/>
  <c r="BW113" i="15"/>
  <c r="BX113" i="15"/>
  <c r="BY113" i="15"/>
  <c r="BW114" i="15"/>
  <c r="BX114" i="15"/>
  <c r="BY114" i="15"/>
  <c r="AR109" i="15"/>
  <c r="BF109" i="15" s="1"/>
  <c r="BE109" i="15" s="1"/>
  <c r="AR110" i="15"/>
  <c r="AS110" i="15" s="1" a="1"/>
  <c r="AS110" i="15" s="1"/>
  <c r="AT110" i="15" s="1" a="1"/>
  <c r="AT110" i="15" s="1"/>
  <c r="AU110" i="15" s="1" a="1"/>
  <c r="AU110" i="15" s="1"/>
  <c r="AR111" i="15"/>
  <c r="BF111" i="15" s="1"/>
  <c r="BE111" i="15" s="1"/>
  <c r="AR112" i="15"/>
  <c r="BF112" i="15" s="1"/>
  <c r="BE112" i="15" s="1"/>
  <c r="AR113" i="15"/>
  <c r="BF113" i="15" s="1"/>
  <c r="BE113" i="15" s="1"/>
  <c r="AR114" i="15"/>
  <c r="BF114" i="15" s="1"/>
  <c r="BE114" i="15" s="1"/>
  <c r="DK151" i="15"/>
  <c r="DJ151" i="15"/>
  <c r="DI151" i="15"/>
  <c r="CE151" i="15"/>
  <c r="CF151" i="15" s="1" a="1"/>
  <c r="CF151" i="15" s="1"/>
  <c r="CS151" i="15" s="1"/>
  <c r="DC151" i="15" s="1"/>
  <c r="AL151" i="15"/>
  <c r="AK151" i="15"/>
  <c r="AJ151" i="15"/>
  <c r="D151" i="15"/>
  <c r="AL150" i="15"/>
  <c r="AK150" i="15"/>
  <c r="AJ150" i="15"/>
  <c r="D150" i="15"/>
  <c r="DK149" i="15"/>
  <c r="DJ149" i="15"/>
  <c r="DI149" i="15"/>
  <c r="CE149" i="15"/>
  <c r="CR149" i="15" s="1"/>
  <c r="CQ149" i="15" s="1"/>
  <c r="AL149" i="15"/>
  <c r="AK149" i="15"/>
  <c r="AJ149" i="15"/>
  <c r="D149" i="15"/>
  <c r="AL148" i="15"/>
  <c r="AK148" i="15"/>
  <c r="AJ148" i="15"/>
  <c r="D148" i="15"/>
  <c r="AL147" i="15"/>
  <c r="AK147" i="15"/>
  <c r="AJ147" i="15"/>
  <c r="D147" i="15"/>
  <c r="DK146" i="15"/>
  <c r="DJ146" i="15"/>
  <c r="DI146" i="15"/>
  <c r="CE146" i="15"/>
  <c r="AL146" i="15"/>
  <c r="AK146" i="15"/>
  <c r="AJ146" i="15"/>
  <c r="D146" i="15"/>
  <c r="DK145" i="15"/>
  <c r="DJ145" i="15"/>
  <c r="DI145" i="15"/>
  <c r="CE145" i="15"/>
  <c r="CR145" i="15" s="1"/>
  <c r="CQ145" i="15" s="1"/>
  <c r="BY145" i="15"/>
  <c r="BX145" i="15"/>
  <c r="BW145" i="15"/>
  <c r="AR145" i="15"/>
  <c r="AL145" i="15"/>
  <c r="AK145" i="15"/>
  <c r="AJ145" i="15"/>
  <c r="AB145" i="15"/>
  <c r="AA145" i="15"/>
  <c r="Z145" i="15"/>
  <c r="Y145" i="15"/>
  <c r="AI145" i="15" s="1"/>
  <c r="X145" i="15"/>
  <c r="AH145" i="15" s="1"/>
  <c r="W145" i="15"/>
  <c r="AG145" i="15" s="1"/>
  <c r="V145" i="15"/>
  <c r="AF145" i="15" s="1"/>
  <c r="U145" i="15"/>
  <c r="AE145" i="15" s="1"/>
  <c r="T145" i="15"/>
  <c r="AD145" i="15" s="1"/>
  <c r="S145" i="15"/>
  <c r="R145" i="15" s="1"/>
  <c r="DK144" i="15"/>
  <c r="DJ144" i="15"/>
  <c r="DI144" i="15"/>
  <c r="CE144" i="15"/>
  <c r="BY144" i="15"/>
  <c r="BX144" i="15"/>
  <c r="BW144" i="15"/>
  <c r="AR144" i="15"/>
  <c r="AS144" i="15" s="1" a="1"/>
  <c r="AS144" i="15" s="1"/>
  <c r="AL144" i="15"/>
  <c r="AK144" i="15"/>
  <c r="AJ144" i="15"/>
  <c r="D144" i="15"/>
  <c r="E144" i="15" s="1"/>
  <c r="F144" i="15" s="1" a="1"/>
  <c r="F144" i="15" s="1"/>
  <c r="G144" i="15" s="1" a="1"/>
  <c r="G144" i="15" s="1"/>
  <c r="H144" i="15" s="1" a="1"/>
  <c r="H144" i="15" s="1"/>
  <c r="I144" i="15" s="1" a="1"/>
  <c r="I144" i="15" s="1"/>
  <c r="J144" i="15" s="1" a="1"/>
  <c r="J144" i="15" s="1"/>
  <c r="K144" i="15" s="1" a="1"/>
  <c r="K144" i="15" s="1"/>
  <c r="L144" i="15" s="1" a="1"/>
  <c r="L144" i="15" s="1"/>
  <c r="M144" i="15" s="1" a="1"/>
  <c r="M144" i="15" s="1"/>
  <c r="N144" i="15" s="1" a="1"/>
  <c r="N144" i="15" s="1"/>
  <c r="DK143" i="15"/>
  <c r="DJ143" i="15"/>
  <c r="DI143" i="15"/>
  <c r="CE143" i="15"/>
  <c r="CF143" i="15" s="1" a="1"/>
  <c r="CF143" i="15" s="1"/>
  <c r="BY143" i="15"/>
  <c r="BX143" i="15"/>
  <c r="BW143" i="15"/>
  <c r="AR143" i="15"/>
  <c r="AL143" i="15"/>
  <c r="AK143" i="15"/>
  <c r="AJ143" i="15"/>
  <c r="D143" i="15"/>
  <c r="E143" i="15" s="1"/>
  <c r="F143" i="15" s="1" a="1"/>
  <c r="F143" i="15" s="1"/>
  <c r="G143" i="15" s="1" a="1"/>
  <c r="G143" i="15" s="1"/>
  <c r="H143" i="15" s="1" a="1"/>
  <c r="H143" i="15" s="1"/>
  <c r="I143" i="15" s="1" a="1"/>
  <c r="I143" i="15" s="1"/>
  <c r="J143" i="15" s="1" a="1"/>
  <c r="J143" i="15" s="1"/>
  <c r="K143" i="15" s="1" a="1"/>
  <c r="K143" i="15" s="1"/>
  <c r="L143" i="15" s="1" a="1"/>
  <c r="L143" i="15" s="1"/>
  <c r="M143" i="15" s="1" a="1"/>
  <c r="M143" i="15" s="1"/>
  <c r="N143" i="15" s="1" a="1"/>
  <c r="N143" i="15" s="1"/>
  <c r="DK142" i="15"/>
  <c r="DJ142" i="15"/>
  <c r="DI142" i="15"/>
  <c r="CE142" i="15"/>
  <c r="CF142" i="15" s="1" a="1"/>
  <c r="CF142" i="15" s="1"/>
  <c r="BY142" i="15"/>
  <c r="BX142" i="15"/>
  <c r="BW142" i="15"/>
  <c r="AR142" i="15"/>
  <c r="AL142" i="15"/>
  <c r="AK142" i="15"/>
  <c r="AJ142" i="15"/>
  <c r="D142" i="15"/>
  <c r="DK141" i="15"/>
  <c r="DJ141" i="15"/>
  <c r="DI141" i="15"/>
  <c r="CE141" i="15"/>
  <c r="CR141" i="15" s="1"/>
  <c r="CQ141" i="15" s="1"/>
  <c r="BY141" i="15"/>
  <c r="BX141" i="15"/>
  <c r="BW141" i="15"/>
  <c r="AR141" i="15"/>
  <c r="AL141" i="15"/>
  <c r="AK141" i="15"/>
  <c r="AJ141" i="15"/>
  <c r="D141" i="15"/>
  <c r="DK140" i="15"/>
  <c r="DJ140" i="15"/>
  <c r="DI140" i="15"/>
  <c r="CE140" i="15"/>
  <c r="CR140" i="15" s="1"/>
  <c r="CQ140" i="15" s="1"/>
  <c r="BY140" i="15"/>
  <c r="BX140" i="15"/>
  <c r="BW140" i="15"/>
  <c r="AR140" i="15"/>
  <c r="AS140" i="15" s="1" a="1"/>
  <c r="AS140" i="15" s="1"/>
  <c r="AL140" i="15"/>
  <c r="AK140" i="15"/>
  <c r="AJ140" i="15"/>
  <c r="D140" i="15"/>
  <c r="DK139" i="15"/>
  <c r="DJ139" i="15"/>
  <c r="DI139" i="15"/>
  <c r="CE139" i="15"/>
  <c r="BY139" i="15"/>
  <c r="BX139" i="15"/>
  <c r="BW139" i="15"/>
  <c r="AR139" i="15"/>
  <c r="AS139" i="15" s="1" a="1"/>
  <c r="AS139" i="15" s="1"/>
  <c r="BG139" i="15" s="1"/>
  <c r="BQ139" i="15" s="1"/>
  <c r="AL139" i="15"/>
  <c r="AK139" i="15"/>
  <c r="AJ139" i="15"/>
  <c r="D139" i="15"/>
  <c r="DK138" i="15"/>
  <c r="DJ138" i="15"/>
  <c r="DI138" i="15"/>
  <c r="CE138" i="15"/>
  <c r="CR138" i="15" s="1"/>
  <c r="CQ138" i="15" s="1"/>
  <c r="BY138" i="15"/>
  <c r="BX138" i="15"/>
  <c r="BW138" i="15"/>
  <c r="AR138" i="15"/>
  <c r="DK137" i="15"/>
  <c r="DJ137" i="15"/>
  <c r="DI137" i="15"/>
  <c r="CE137" i="15"/>
  <c r="BY137" i="15"/>
  <c r="BX137" i="15"/>
  <c r="BW137" i="15"/>
  <c r="AR137" i="15"/>
  <c r="DK136" i="15"/>
  <c r="DJ136" i="15"/>
  <c r="DI136" i="15"/>
  <c r="CE136" i="15"/>
  <c r="BY136" i="15"/>
  <c r="BX136" i="15"/>
  <c r="BW136" i="15"/>
  <c r="BF136" i="15"/>
  <c r="BE136" i="15" s="1"/>
  <c r="DK133" i="15"/>
  <c r="DJ133" i="15"/>
  <c r="DI133" i="15"/>
  <c r="CE133" i="15"/>
  <c r="CR133" i="15" s="1"/>
  <c r="CQ133" i="15" s="1"/>
  <c r="BY133" i="15"/>
  <c r="BX133" i="15"/>
  <c r="BW133" i="15"/>
  <c r="DK131" i="15"/>
  <c r="DJ131" i="15"/>
  <c r="DI131" i="15"/>
  <c r="CE131" i="15"/>
  <c r="CF131" i="15" s="1" a="1"/>
  <c r="CF131" i="15" s="1"/>
  <c r="BY131" i="15"/>
  <c r="BX131" i="15"/>
  <c r="BW131" i="15"/>
  <c r="BF131" i="15"/>
  <c r="BE131" i="15" s="1"/>
  <c r="DK130" i="15"/>
  <c r="DJ130" i="15"/>
  <c r="DI130" i="15"/>
  <c r="CE130" i="15"/>
  <c r="CF130" i="15" s="1" a="1"/>
  <c r="CF130" i="15" s="1"/>
  <c r="BY130" i="15"/>
  <c r="BX130" i="15"/>
  <c r="BW130" i="15"/>
  <c r="DK125" i="15"/>
  <c r="DJ125" i="15"/>
  <c r="DI125" i="15"/>
  <c r="CE125" i="15"/>
  <c r="CR125" i="15" s="1"/>
  <c r="CQ125" i="15" s="1"/>
  <c r="BY125" i="15"/>
  <c r="BX125" i="15"/>
  <c r="BW125" i="15"/>
  <c r="AL125" i="15"/>
  <c r="AK125" i="15"/>
  <c r="AJ125" i="15"/>
  <c r="E125" i="15"/>
  <c r="F125" i="15" s="1" a="1"/>
  <c r="F125" i="15" s="1"/>
  <c r="T125" i="15" s="1"/>
  <c r="AD125" i="15" s="1"/>
  <c r="D125" i="15"/>
  <c r="DK124" i="15"/>
  <c r="DJ124" i="15"/>
  <c r="DI124" i="15"/>
  <c r="CE124" i="15"/>
  <c r="BY124" i="15"/>
  <c r="BX124" i="15"/>
  <c r="BW124" i="15"/>
  <c r="AL124" i="15"/>
  <c r="AK124" i="15"/>
  <c r="AJ124" i="15"/>
  <c r="D124" i="15"/>
  <c r="E124" i="15" s="1"/>
  <c r="F124" i="15" s="1" a="1"/>
  <c r="F124" i="15" s="1"/>
  <c r="DK123" i="15"/>
  <c r="DJ123" i="15"/>
  <c r="DI123" i="15"/>
  <c r="CE123" i="15"/>
  <c r="BY123" i="15"/>
  <c r="BX123" i="15"/>
  <c r="BW123" i="15"/>
  <c r="AL123" i="15"/>
  <c r="AK123" i="15"/>
  <c r="AJ123" i="15"/>
  <c r="E123" i="15"/>
  <c r="F123" i="15" s="1" a="1"/>
  <c r="F123" i="15" s="1"/>
  <c r="D123" i="15"/>
  <c r="DK122" i="15"/>
  <c r="DJ122" i="15"/>
  <c r="DI122" i="15"/>
  <c r="CE122" i="15"/>
  <c r="CR122" i="15" s="1"/>
  <c r="BY122" i="15"/>
  <c r="BX122" i="15"/>
  <c r="BW122" i="15"/>
  <c r="BF122" i="15"/>
  <c r="BE122" i="15" s="1"/>
  <c r="AL122" i="15"/>
  <c r="AK122" i="15"/>
  <c r="AJ122" i="15"/>
  <c r="E122" i="15"/>
  <c r="D122" i="15"/>
  <c r="CO119" i="15"/>
  <c r="AL114" i="15"/>
  <c r="AK114" i="15"/>
  <c r="AJ114" i="15"/>
  <c r="E114" i="15"/>
  <c r="D114" i="15"/>
  <c r="DK113" i="15"/>
  <c r="DJ113" i="15"/>
  <c r="DI113" i="15"/>
  <c r="CE113" i="15"/>
  <c r="CF113" i="15" s="1" a="1"/>
  <c r="CF113" i="15" s="1"/>
  <c r="AL113" i="15"/>
  <c r="AK113" i="15"/>
  <c r="AJ113" i="15"/>
  <c r="E113" i="15"/>
  <c r="D113" i="15"/>
  <c r="DK112" i="15"/>
  <c r="DJ112" i="15"/>
  <c r="DI112" i="15"/>
  <c r="CE112" i="15"/>
  <c r="CF112" i="15" s="1" a="1"/>
  <c r="CF112" i="15" s="1"/>
  <c r="CG112" i="15" s="1" a="1"/>
  <c r="CG112" i="15" s="1"/>
  <c r="CT112" i="15" s="1"/>
  <c r="DD112" i="15" s="1"/>
  <c r="AL112" i="15"/>
  <c r="AK112" i="15"/>
  <c r="AJ112" i="15"/>
  <c r="E112" i="15"/>
  <c r="D112" i="15"/>
  <c r="DK111" i="15"/>
  <c r="DJ111" i="15"/>
  <c r="DI111" i="15"/>
  <c r="CE111" i="15"/>
  <c r="CR111" i="15" s="1"/>
  <c r="CQ111" i="15" s="1"/>
  <c r="AL111" i="15"/>
  <c r="AK111" i="15"/>
  <c r="AJ111" i="15"/>
  <c r="E111" i="15"/>
  <c r="F111" i="15" s="1" a="1"/>
  <c r="F111" i="15" s="1"/>
  <c r="G111" i="15" s="1" a="1"/>
  <c r="G111" i="15" s="1"/>
  <c r="D111" i="15"/>
  <c r="AL108" i="15"/>
  <c r="AK108" i="15"/>
  <c r="AJ108" i="15"/>
  <c r="D108" i="15"/>
  <c r="E108" i="15" s="1"/>
  <c r="F108" i="15" s="1" a="1"/>
  <c r="F108" i="15" s="1"/>
  <c r="DK92" i="15"/>
  <c r="DJ92" i="15"/>
  <c r="DI92" i="15"/>
  <c r="CE92" i="15"/>
  <c r="CF92" i="15" s="1" a="1"/>
  <c r="CF92" i="15" s="1"/>
  <c r="CS92" i="15" s="1"/>
  <c r="DC92" i="15" s="1"/>
  <c r="AL92" i="15"/>
  <c r="AK92" i="15"/>
  <c r="AJ92" i="15"/>
  <c r="E92" i="15"/>
  <c r="F92" i="15" s="1" a="1"/>
  <c r="F92" i="15" s="1"/>
  <c r="G92" i="15" s="1" a="1"/>
  <c r="G92" i="15" s="1"/>
  <c r="D92" i="15"/>
  <c r="DK91" i="15"/>
  <c r="DJ91" i="15"/>
  <c r="DI91" i="15"/>
  <c r="CE91" i="15"/>
  <c r="CR91" i="15" s="1"/>
  <c r="CQ91" i="15" s="1"/>
  <c r="AL91" i="15"/>
  <c r="AK91" i="15"/>
  <c r="AJ91" i="15"/>
  <c r="E91" i="15"/>
  <c r="S91" i="15" s="1"/>
  <c r="R91" i="15" s="1"/>
  <c r="D91" i="15"/>
  <c r="DK90" i="15"/>
  <c r="DJ90" i="15"/>
  <c r="DI90" i="15"/>
  <c r="CE90" i="15"/>
  <c r="CR90" i="15" s="1"/>
  <c r="CQ90" i="15" s="1"/>
  <c r="AL90" i="15"/>
  <c r="AK90" i="15"/>
  <c r="AJ90" i="15"/>
  <c r="E90" i="15"/>
  <c r="F90" i="15" s="1" a="1"/>
  <c r="F90" i="15" s="1"/>
  <c r="T90" i="15" s="1"/>
  <c r="AD90" i="15" s="1"/>
  <c r="D90" i="15"/>
  <c r="DK89" i="15"/>
  <c r="DJ89" i="15"/>
  <c r="DI89" i="15"/>
  <c r="CE89" i="15"/>
  <c r="CR89" i="15" s="1"/>
  <c r="CQ89" i="15" s="1"/>
  <c r="AL89" i="15"/>
  <c r="AK89" i="15"/>
  <c r="AJ89" i="15"/>
  <c r="E89" i="15"/>
  <c r="S89" i="15" s="1"/>
  <c r="R89" i="15" s="1"/>
  <c r="D89" i="15"/>
  <c r="DK88" i="15"/>
  <c r="DJ88" i="15"/>
  <c r="DI88" i="15"/>
  <c r="CE88" i="15"/>
  <c r="CF88" i="15" s="1" a="1"/>
  <c r="CF88" i="15" s="1"/>
  <c r="AL88" i="15"/>
  <c r="AK88" i="15"/>
  <c r="AJ88" i="15"/>
  <c r="E88" i="15"/>
  <c r="S88" i="15" s="1"/>
  <c r="R88" i="15" s="1"/>
  <c r="D88" i="15"/>
  <c r="DK87" i="15"/>
  <c r="DJ87" i="15"/>
  <c r="DI87" i="15"/>
  <c r="CE87" i="15"/>
  <c r="CF87" i="15" s="1" a="1"/>
  <c r="CF87" i="15" s="1"/>
  <c r="AL87" i="15"/>
  <c r="AK87" i="15"/>
  <c r="AJ87" i="15"/>
  <c r="E87" i="15"/>
  <c r="D87" i="15"/>
  <c r="DK68" i="15"/>
  <c r="DJ68" i="15"/>
  <c r="DI68" i="15"/>
  <c r="CE68" i="15"/>
  <c r="AL68" i="15"/>
  <c r="AK68" i="15"/>
  <c r="AJ68" i="15"/>
  <c r="D68" i="15"/>
  <c r="E68" i="15" s="1"/>
  <c r="F68" i="15" s="1" a="1"/>
  <c r="F68" i="15" s="1"/>
  <c r="T68" i="15" s="1"/>
  <c r="AD68" i="15" s="1"/>
  <c r="DK63" i="15"/>
  <c r="DJ63" i="15"/>
  <c r="DI63" i="15"/>
  <c r="CE63" i="15"/>
  <c r="CF63" i="15" s="1" a="1"/>
  <c r="CF63" i="15" s="1"/>
  <c r="AL63" i="15"/>
  <c r="AK63" i="15"/>
  <c r="AJ63" i="15"/>
  <c r="D63" i="15"/>
  <c r="E63" i="15" s="1"/>
  <c r="F63" i="15" s="1" a="1"/>
  <c r="F63" i="15" s="1"/>
  <c r="DK62" i="15"/>
  <c r="DJ62" i="15"/>
  <c r="DI62" i="15"/>
  <c r="CE62" i="15"/>
  <c r="CR62" i="15" s="1"/>
  <c r="CQ62" i="15" s="1"/>
  <c r="AL62" i="15"/>
  <c r="AK62" i="15"/>
  <c r="AJ62" i="15"/>
  <c r="D62" i="15"/>
  <c r="E62" i="15" s="1"/>
  <c r="DK61" i="15"/>
  <c r="DJ61" i="15"/>
  <c r="DI61" i="15"/>
  <c r="CE61" i="15"/>
  <c r="CF61" i="15" s="1" a="1"/>
  <c r="CF61" i="15" s="1"/>
  <c r="AL61" i="15"/>
  <c r="AK61" i="15"/>
  <c r="AJ61" i="15"/>
  <c r="AB61" i="15"/>
  <c r="AA61" i="15"/>
  <c r="Z61" i="15"/>
  <c r="Y61" i="15"/>
  <c r="AI61" i="15" s="1"/>
  <c r="X61" i="15"/>
  <c r="AH61" i="15" s="1"/>
  <c r="W61" i="15"/>
  <c r="AG61" i="15" s="1"/>
  <c r="V61" i="15"/>
  <c r="AF61" i="15" s="1"/>
  <c r="U61" i="15"/>
  <c r="AE61" i="15" s="1"/>
  <c r="T61" i="15"/>
  <c r="AD61" i="15" s="1"/>
  <c r="S61" i="15"/>
  <c r="R61" i="15" s="1"/>
  <c r="DK60" i="15"/>
  <c r="DJ60" i="15"/>
  <c r="DI60" i="15"/>
  <c r="CE60" i="15"/>
  <c r="CF60" i="15" s="1" a="1"/>
  <c r="CF60" i="15" s="1"/>
  <c r="AL60" i="15"/>
  <c r="AK60" i="15"/>
  <c r="AJ60" i="15"/>
  <c r="E60" i="15"/>
  <c r="S60" i="15" s="1"/>
  <c r="R60" i="15" s="1"/>
  <c r="D60" i="15"/>
  <c r="DK59" i="15"/>
  <c r="DJ59" i="15"/>
  <c r="DI59" i="15"/>
  <c r="CE59" i="15"/>
  <c r="CF59" i="15" s="1" a="1"/>
  <c r="CF59" i="15" s="1"/>
  <c r="CG59" i="15" s="1" a="1"/>
  <c r="CG59" i="15" s="1"/>
  <c r="AL59" i="15"/>
  <c r="AK59" i="15"/>
  <c r="AJ59" i="15"/>
  <c r="D59" i="15"/>
  <c r="E59" i="15" s="1"/>
  <c r="DK58" i="15"/>
  <c r="DJ58" i="15"/>
  <c r="DI58" i="15"/>
  <c r="CE58" i="15"/>
  <c r="AL58" i="15"/>
  <c r="AK58" i="15"/>
  <c r="AJ58" i="15"/>
  <c r="E58" i="15"/>
  <c r="S58" i="15" s="1"/>
  <c r="R58" i="15" s="1"/>
  <c r="D58" i="15"/>
  <c r="DK55" i="15"/>
  <c r="DJ55" i="15"/>
  <c r="DI55" i="15"/>
  <c r="CE55" i="15"/>
  <c r="CF55" i="15" s="1" a="1"/>
  <c r="CF55" i="15" s="1"/>
  <c r="CG55" i="15" s="1" a="1"/>
  <c r="CG55" i="15" s="1"/>
  <c r="DK53" i="15"/>
  <c r="DJ53" i="15"/>
  <c r="DI53" i="15"/>
  <c r="CE53" i="15"/>
  <c r="CF53" i="15" s="1" a="1"/>
  <c r="CF53" i="15" s="1"/>
  <c r="AL53" i="15"/>
  <c r="AK53" i="15"/>
  <c r="AJ53" i="15"/>
  <c r="E53" i="15"/>
  <c r="S53" i="15" s="1"/>
  <c r="R53" i="15" s="1"/>
  <c r="D53" i="15"/>
  <c r="DK52" i="15"/>
  <c r="DJ52" i="15"/>
  <c r="DI52" i="15"/>
  <c r="CE52" i="15"/>
  <c r="CF52" i="15" s="1" a="1"/>
  <c r="CF52" i="15" s="1"/>
  <c r="AL52" i="15"/>
  <c r="AK52" i="15"/>
  <c r="AJ52" i="15"/>
  <c r="D52" i="15"/>
  <c r="E52" i="15" s="1"/>
  <c r="DK51" i="15"/>
  <c r="DJ51" i="15"/>
  <c r="DI51" i="15"/>
  <c r="CE51" i="15"/>
  <c r="CF51" i="15" s="1" a="1"/>
  <c r="CF51" i="15" s="1"/>
  <c r="CG51" i="15" s="1" a="1"/>
  <c r="CG51" i="15" s="1"/>
  <c r="CH51" i="15" s="1" a="1"/>
  <c r="CH51" i="15" s="1"/>
  <c r="CI51" i="15" s="1" a="1"/>
  <c r="CI51" i="15" s="1"/>
  <c r="CJ51" i="15" s="1" a="1"/>
  <c r="CJ51" i="15" s="1"/>
  <c r="AL51" i="15"/>
  <c r="AK51" i="15"/>
  <c r="AJ51" i="15"/>
  <c r="AB51" i="15"/>
  <c r="AA51" i="15"/>
  <c r="Z51" i="15"/>
  <c r="Y51" i="15"/>
  <c r="AI51" i="15" s="1"/>
  <c r="X51" i="15"/>
  <c r="AH51" i="15" s="1"/>
  <c r="W51" i="15"/>
  <c r="AG51" i="15" s="1"/>
  <c r="V51" i="15"/>
  <c r="AF51" i="15" s="1"/>
  <c r="U51" i="15"/>
  <c r="AE51" i="15" s="1"/>
  <c r="T51" i="15"/>
  <c r="AD51" i="15" s="1"/>
  <c r="S51" i="15"/>
  <c r="R51" i="15" s="1"/>
  <c r="DK50" i="15"/>
  <c r="DJ50" i="15"/>
  <c r="DI50" i="15"/>
  <c r="CE50" i="15"/>
  <c r="CR50" i="15" s="1"/>
  <c r="CQ50" i="15" s="1"/>
  <c r="AL50" i="15"/>
  <c r="AK50" i="15"/>
  <c r="AJ50" i="15"/>
  <c r="D50" i="15"/>
  <c r="E50" i="15" s="1"/>
  <c r="DK49" i="15"/>
  <c r="DJ49" i="15"/>
  <c r="DI49" i="15"/>
  <c r="CE49" i="15"/>
  <c r="CF49" i="15" s="1" a="1"/>
  <c r="CF49" i="15" s="1"/>
  <c r="CS49" i="15" s="1"/>
  <c r="DC49" i="15" s="1"/>
  <c r="AL49" i="15"/>
  <c r="AK49" i="15"/>
  <c r="AJ49" i="15"/>
  <c r="D49" i="15"/>
  <c r="E49" i="15" s="1"/>
  <c r="F49" i="15" s="1" a="1"/>
  <c r="F49" i="15" s="1"/>
  <c r="T49" i="15" s="1"/>
  <c r="AD49" i="15" s="1"/>
  <c r="DK48" i="15"/>
  <c r="DJ48" i="15"/>
  <c r="DI48" i="15"/>
  <c r="CE48" i="15"/>
  <c r="AL48" i="15"/>
  <c r="AK48" i="15"/>
  <c r="AJ48" i="15"/>
  <c r="E48" i="15"/>
  <c r="S48" i="15" s="1"/>
  <c r="R48" i="15" s="1"/>
  <c r="D48" i="15"/>
  <c r="DK47" i="15"/>
  <c r="DJ47" i="15"/>
  <c r="DI47" i="15"/>
  <c r="CE47" i="15"/>
  <c r="CR47" i="15" s="1"/>
  <c r="CQ47" i="15" s="1"/>
  <c r="AL47" i="15"/>
  <c r="AK47" i="15"/>
  <c r="AJ47" i="15"/>
  <c r="D47" i="15"/>
  <c r="E47" i="15" s="1"/>
  <c r="DK46" i="15"/>
  <c r="DJ46" i="15"/>
  <c r="DI46" i="15"/>
  <c r="CE46" i="15"/>
  <c r="CF46" i="15" s="1" a="1"/>
  <c r="CF46" i="15" s="1"/>
  <c r="CS46" i="15" s="1"/>
  <c r="DC46" i="15" s="1"/>
  <c r="AL46" i="15"/>
  <c r="AK46" i="15"/>
  <c r="AJ46" i="15"/>
  <c r="E46" i="15"/>
  <c r="D46" i="15"/>
  <c r="DK45" i="15"/>
  <c r="DJ45" i="15"/>
  <c r="DI45" i="15"/>
  <c r="CE45" i="15"/>
  <c r="CR45" i="15" s="1"/>
  <c r="CQ45" i="15" s="1"/>
  <c r="AL45" i="15"/>
  <c r="AK45" i="15"/>
  <c r="AJ45" i="15"/>
  <c r="E45" i="15"/>
  <c r="S45" i="15" s="1"/>
  <c r="R45" i="15" s="1"/>
  <c r="D45" i="15"/>
  <c r="DK44" i="15"/>
  <c r="DJ44" i="15"/>
  <c r="DI44" i="15"/>
  <c r="CE44" i="15"/>
  <c r="CF44" i="15" s="1" a="1"/>
  <c r="CF44" i="15" s="1"/>
  <c r="AL44" i="15"/>
  <c r="AK44" i="15"/>
  <c r="AJ44" i="15"/>
  <c r="D44" i="15"/>
  <c r="E44" i="15" s="1"/>
  <c r="DK43" i="15"/>
  <c r="DJ43" i="15"/>
  <c r="DI43" i="15"/>
  <c r="CE43" i="15"/>
  <c r="AL43" i="15"/>
  <c r="AK43" i="15"/>
  <c r="AJ43" i="15"/>
  <c r="AB43" i="15"/>
  <c r="AA43" i="15"/>
  <c r="Z43" i="15"/>
  <c r="Y43" i="15"/>
  <c r="AI43" i="15" s="1"/>
  <c r="X43" i="15"/>
  <c r="AH43" i="15" s="1"/>
  <c r="W43" i="15"/>
  <c r="AG43" i="15" s="1"/>
  <c r="V43" i="15"/>
  <c r="AF43" i="15" s="1"/>
  <c r="U43" i="15"/>
  <c r="AE43" i="15" s="1"/>
  <c r="T43" i="15"/>
  <c r="AD43" i="15" s="1"/>
  <c r="S43" i="15"/>
  <c r="R43" i="15" s="1"/>
  <c r="DK41" i="15"/>
  <c r="DJ41" i="15"/>
  <c r="DI41" i="15"/>
  <c r="CE41" i="15"/>
  <c r="AL41" i="15"/>
  <c r="AK41" i="15"/>
  <c r="AJ41" i="15"/>
  <c r="E41" i="15"/>
  <c r="F41" i="15" s="1" a="1"/>
  <c r="F41" i="15" s="1"/>
  <c r="G41" i="15" s="1" a="1"/>
  <c r="G41" i="15" s="1"/>
  <c r="H41" i="15" s="1" a="1"/>
  <c r="H41" i="15" s="1"/>
  <c r="I41" i="15" s="1" a="1"/>
  <c r="I41" i="15" s="1"/>
  <c r="J41" i="15" s="1" a="1"/>
  <c r="J41" i="15" s="1"/>
  <c r="K41" i="15" s="1" a="1"/>
  <c r="K41" i="15" s="1"/>
  <c r="L41" i="15" s="1" a="1"/>
  <c r="L41" i="15" s="1"/>
  <c r="D41" i="15"/>
  <c r="DK40" i="15"/>
  <c r="DJ40" i="15"/>
  <c r="DI40" i="15"/>
  <c r="CE40" i="15"/>
  <c r="CF40" i="15" s="1" a="1"/>
  <c r="CF40" i="15" s="1"/>
  <c r="CS40" i="15" s="1"/>
  <c r="DC40" i="15" s="1"/>
  <c r="AL40" i="15"/>
  <c r="AK40" i="15"/>
  <c r="AJ40" i="15"/>
  <c r="AB40" i="15"/>
  <c r="AA40" i="15"/>
  <c r="Z40" i="15"/>
  <c r="Y40" i="15"/>
  <c r="AI40" i="15" s="1"/>
  <c r="X40" i="15"/>
  <c r="AH40" i="15" s="1"/>
  <c r="W40" i="15"/>
  <c r="AG40" i="15" s="1"/>
  <c r="V40" i="15"/>
  <c r="AF40" i="15" s="1"/>
  <c r="U40" i="15"/>
  <c r="AE40" i="15" s="1"/>
  <c r="T40" i="15"/>
  <c r="AD40" i="15" s="1"/>
  <c r="S40" i="15"/>
  <c r="R40" i="15" s="1"/>
  <c r="DK38" i="15"/>
  <c r="DJ38" i="15"/>
  <c r="DI38" i="15"/>
  <c r="CE38" i="15"/>
  <c r="AL38" i="15"/>
  <c r="AK38" i="15"/>
  <c r="AJ38" i="15"/>
  <c r="E38" i="15"/>
  <c r="F38" i="15" s="1" a="1"/>
  <c r="F38" i="15" s="1"/>
  <c r="G38" i="15" s="1" a="1"/>
  <c r="G38" i="15" s="1"/>
  <c r="H38" i="15" s="1" a="1"/>
  <c r="H38" i="15" s="1"/>
  <c r="I38" i="15" s="1" a="1"/>
  <c r="I38" i="15" s="1"/>
  <c r="J38" i="15" s="1" a="1"/>
  <c r="J38" i="15" s="1"/>
  <c r="K38" i="15" s="1" a="1"/>
  <c r="K38" i="15" s="1"/>
  <c r="L38" i="15" s="1" a="1"/>
  <c r="L38" i="15" s="1"/>
  <c r="D38" i="15"/>
  <c r="DK37" i="15"/>
  <c r="DJ37" i="15"/>
  <c r="DI37" i="15"/>
  <c r="CE37" i="15"/>
  <c r="CR37" i="15" s="1"/>
  <c r="CQ37" i="15" s="1"/>
  <c r="AL37" i="15"/>
  <c r="AK37" i="15"/>
  <c r="AJ37" i="15"/>
  <c r="AB37" i="15"/>
  <c r="AA37" i="15"/>
  <c r="Z37" i="15"/>
  <c r="Y37" i="15"/>
  <c r="AI37" i="15" s="1"/>
  <c r="X37" i="15"/>
  <c r="AH37" i="15" s="1"/>
  <c r="W37" i="15"/>
  <c r="AG37" i="15" s="1"/>
  <c r="V37" i="15"/>
  <c r="AF37" i="15" s="1"/>
  <c r="U37" i="15"/>
  <c r="AE37" i="15" s="1"/>
  <c r="T37" i="15"/>
  <c r="AD37" i="15" s="1"/>
  <c r="S37" i="15"/>
  <c r="R37" i="15" s="1"/>
  <c r="DK36" i="15"/>
  <c r="DJ36" i="15"/>
  <c r="DI36" i="15"/>
  <c r="CE36" i="15"/>
  <c r="CR36" i="15" s="1"/>
  <c r="CQ36" i="15" s="1"/>
  <c r="AL36" i="15"/>
  <c r="AK36" i="15"/>
  <c r="AJ36" i="15"/>
  <c r="D36" i="15"/>
  <c r="E36" i="15" s="1"/>
  <c r="DK35" i="15"/>
  <c r="DJ35" i="15"/>
  <c r="DI35" i="15"/>
  <c r="CE35" i="15"/>
  <c r="CR35" i="15" s="1"/>
  <c r="CQ35" i="15" s="1"/>
  <c r="AL35" i="15"/>
  <c r="AK35" i="15"/>
  <c r="AJ35" i="15"/>
  <c r="E35" i="15"/>
  <c r="S35" i="15" s="1"/>
  <c r="R35" i="15" s="1"/>
  <c r="D35" i="15"/>
  <c r="AL34" i="15"/>
  <c r="AK34" i="15"/>
  <c r="AJ34" i="15"/>
  <c r="E34" i="15"/>
  <c r="F34" i="15" s="1" a="1"/>
  <c r="F34" i="15" s="1"/>
  <c r="G34" i="15" s="1" a="1"/>
  <c r="G34" i="15" s="1"/>
  <c r="H34" i="15" s="1" a="1"/>
  <c r="H34" i="15" s="1"/>
  <c r="I34" i="15" s="1" a="1"/>
  <c r="I34" i="15" s="1"/>
  <c r="J34" i="15" s="1" a="1"/>
  <c r="J34" i="15" s="1"/>
  <c r="K34" i="15" s="1" a="1"/>
  <c r="K34" i="15" s="1"/>
  <c r="L34" i="15" s="1" a="1"/>
  <c r="L34" i="15" s="1"/>
  <c r="DK33" i="15"/>
  <c r="DJ33" i="15"/>
  <c r="DI33" i="15"/>
  <c r="CE33" i="15"/>
  <c r="CR33" i="15" s="1"/>
  <c r="CQ33" i="15" s="1"/>
  <c r="AL33" i="15"/>
  <c r="AK33" i="15"/>
  <c r="AJ33" i="15"/>
  <c r="D33" i="15"/>
  <c r="E33" i="15" s="1"/>
  <c r="S33" i="15" s="1"/>
  <c r="DK32" i="15"/>
  <c r="DJ32" i="15"/>
  <c r="DI32" i="15"/>
  <c r="CE32" i="15"/>
  <c r="CR32" i="15" s="1"/>
  <c r="CQ32" i="15" s="1"/>
  <c r="AL32" i="15"/>
  <c r="AK32" i="15"/>
  <c r="AJ32" i="15"/>
  <c r="AB32" i="15"/>
  <c r="AA32" i="15"/>
  <c r="Z32" i="15"/>
  <c r="Y32" i="15"/>
  <c r="AI32" i="15" s="1"/>
  <c r="X32" i="15"/>
  <c r="AH32" i="15" s="1"/>
  <c r="W32" i="15"/>
  <c r="AG32" i="15" s="1"/>
  <c r="V32" i="15"/>
  <c r="AF32" i="15" s="1"/>
  <c r="U32" i="15"/>
  <c r="AE32" i="15" s="1"/>
  <c r="T32" i="15"/>
  <c r="AD32" i="15" s="1"/>
  <c r="S32" i="15"/>
  <c r="R32" i="15" s="1"/>
  <c r="DK31" i="15"/>
  <c r="DJ31" i="15"/>
  <c r="DI31" i="15"/>
  <c r="CE31" i="15"/>
  <c r="AL31" i="15"/>
  <c r="AK31" i="15"/>
  <c r="AJ31" i="15"/>
  <c r="D31" i="15"/>
  <c r="E31" i="15" s="1"/>
  <c r="DK30" i="15"/>
  <c r="DJ30" i="15"/>
  <c r="DI30" i="15"/>
  <c r="CE30" i="15"/>
  <c r="CR30" i="15" s="1"/>
  <c r="CQ30" i="15" s="1"/>
  <c r="AL30" i="15"/>
  <c r="AK30" i="15"/>
  <c r="AJ30" i="15"/>
  <c r="E30" i="15"/>
  <c r="S30" i="15" s="1"/>
  <c r="R30" i="15" s="1"/>
  <c r="D30" i="15"/>
  <c r="DK29" i="15"/>
  <c r="DJ29" i="15"/>
  <c r="DI29" i="15"/>
  <c r="CE29" i="15"/>
  <c r="CR29" i="15" s="1"/>
  <c r="CQ29" i="15" s="1"/>
  <c r="AL29" i="15"/>
  <c r="AK29" i="15"/>
  <c r="AJ29" i="15"/>
  <c r="AB29" i="15"/>
  <c r="AA29" i="15"/>
  <c r="Z29" i="15"/>
  <c r="Y29" i="15"/>
  <c r="AI29" i="15" s="1"/>
  <c r="X29" i="15"/>
  <c r="AH29" i="15" s="1"/>
  <c r="W29" i="15"/>
  <c r="AG29" i="15" s="1"/>
  <c r="V29" i="15"/>
  <c r="AF29" i="15" s="1"/>
  <c r="U29" i="15"/>
  <c r="AE29" i="15" s="1"/>
  <c r="T29" i="15"/>
  <c r="AD29" i="15" s="1"/>
  <c r="S29" i="15"/>
  <c r="R29" i="15" s="1"/>
  <c r="DK28" i="15"/>
  <c r="DJ28" i="15"/>
  <c r="DI28" i="15"/>
  <c r="CE28" i="15"/>
  <c r="AL28" i="15"/>
  <c r="AK28" i="15"/>
  <c r="AJ28" i="15"/>
  <c r="D28" i="15"/>
  <c r="E28" i="15" s="1"/>
  <c r="DK27" i="15"/>
  <c r="DJ27" i="15"/>
  <c r="DI27" i="15"/>
  <c r="CE27" i="15"/>
  <c r="CF27" i="15" s="1" a="1"/>
  <c r="CF27" i="15" s="1"/>
  <c r="CG27" i="15" s="1" a="1"/>
  <c r="CG27" i="15" s="1"/>
  <c r="CT27" i="15" s="1"/>
  <c r="DD27" i="15" s="1"/>
  <c r="AL27" i="15"/>
  <c r="AK27" i="15"/>
  <c r="AJ27" i="15"/>
  <c r="D27" i="15"/>
  <c r="E27" i="15" s="1"/>
  <c r="DK26" i="15"/>
  <c r="DJ26" i="15"/>
  <c r="DI26" i="15"/>
  <c r="CE26" i="15"/>
  <c r="CF26" i="15" s="1" a="1"/>
  <c r="CF26" i="15" s="1"/>
  <c r="CS26" i="15" s="1"/>
  <c r="DC26" i="15" s="1"/>
  <c r="AL26" i="15"/>
  <c r="AK26" i="15"/>
  <c r="AJ26" i="15"/>
  <c r="E26" i="15"/>
  <c r="S26" i="15" s="1"/>
  <c r="R26" i="15" s="1"/>
  <c r="D26" i="15"/>
  <c r="DK25" i="15"/>
  <c r="DJ25" i="15"/>
  <c r="DI25" i="15"/>
  <c r="CE25" i="15"/>
  <c r="AL25" i="15"/>
  <c r="AK25" i="15"/>
  <c r="AJ25" i="15"/>
  <c r="AB25" i="15"/>
  <c r="AA25" i="15"/>
  <c r="Z25" i="15"/>
  <c r="Y25" i="15"/>
  <c r="AI25" i="15" s="1"/>
  <c r="X25" i="15"/>
  <c r="AH25" i="15" s="1"/>
  <c r="W25" i="15"/>
  <c r="AG25" i="15" s="1"/>
  <c r="V25" i="15"/>
  <c r="AF25" i="15" s="1"/>
  <c r="U25" i="15"/>
  <c r="AE25" i="15" s="1"/>
  <c r="T25" i="15"/>
  <c r="AD25" i="15" s="1"/>
  <c r="S25" i="15"/>
  <c r="R25" i="15" s="1"/>
  <c r="DK24" i="15"/>
  <c r="DJ24" i="15"/>
  <c r="DI24" i="15"/>
  <c r="CE24" i="15"/>
  <c r="CF24" i="15" s="1" a="1"/>
  <c r="CF24" i="15" s="1"/>
  <c r="AL24" i="15"/>
  <c r="AK24" i="15"/>
  <c r="AJ24" i="15"/>
  <c r="D24" i="15"/>
  <c r="E24" i="15" s="1"/>
  <c r="DK23" i="15"/>
  <c r="DJ23" i="15"/>
  <c r="DI23" i="15"/>
  <c r="CE23" i="15"/>
  <c r="CR23" i="15" s="1"/>
  <c r="CQ23" i="15" s="1"/>
  <c r="AL23" i="15"/>
  <c r="AK23" i="15"/>
  <c r="AJ23" i="15"/>
  <c r="D23" i="15"/>
  <c r="E23" i="15" s="1"/>
  <c r="DK22" i="15"/>
  <c r="DJ22" i="15"/>
  <c r="DI22" i="15"/>
  <c r="CE22" i="15"/>
  <c r="CR22" i="15" s="1"/>
  <c r="CQ22" i="15" s="1"/>
  <c r="AL22" i="15"/>
  <c r="AK22" i="15"/>
  <c r="AJ22" i="15"/>
  <c r="AB22" i="15"/>
  <c r="AA22" i="15"/>
  <c r="Z22" i="15"/>
  <c r="Y22" i="15"/>
  <c r="AI22" i="15" s="1"/>
  <c r="X22" i="15"/>
  <c r="AH22" i="15" s="1"/>
  <c r="W22" i="15"/>
  <c r="AG22" i="15" s="1"/>
  <c r="V22" i="15"/>
  <c r="AF22" i="15" s="1"/>
  <c r="U22" i="15"/>
  <c r="AE22" i="15" s="1"/>
  <c r="T22" i="15"/>
  <c r="AD22" i="15" s="1"/>
  <c r="S22" i="15"/>
  <c r="R22" i="15" s="1"/>
  <c r="DK21" i="15"/>
  <c r="DJ21" i="15"/>
  <c r="DI21" i="15"/>
  <c r="CE21" i="15"/>
  <c r="DK19" i="15"/>
  <c r="DJ19" i="15"/>
  <c r="DI19" i="15"/>
  <c r="CE19" i="15"/>
  <c r="CR19" i="15" s="1"/>
  <c r="CQ19" i="15" s="1"/>
  <c r="AL19" i="15"/>
  <c r="AK19" i="15"/>
  <c r="AJ19" i="15"/>
  <c r="D19" i="15"/>
  <c r="E19" i="15" s="1"/>
  <c r="S19" i="15" s="1"/>
  <c r="R19" i="15" s="1"/>
  <c r="DK17" i="15"/>
  <c r="DJ17" i="15"/>
  <c r="DI17" i="15"/>
  <c r="CE17" i="15"/>
  <c r="CR17" i="15" s="1"/>
  <c r="CQ17" i="15" s="1"/>
  <c r="AL17" i="15"/>
  <c r="AK17" i="15"/>
  <c r="AJ17" i="15"/>
  <c r="D17" i="15"/>
  <c r="E17" i="15" s="1"/>
  <c r="DK16" i="15"/>
  <c r="DJ16" i="15"/>
  <c r="DI16" i="15"/>
  <c r="CE16" i="15"/>
  <c r="CR16" i="15" s="1"/>
  <c r="CQ16" i="15" s="1"/>
  <c r="AL16" i="15"/>
  <c r="AK16" i="15"/>
  <c r="AJ16" i="15"/>
  <c r="D16" i="15"/>
  <c r="E16" i="15" s="1"/>
  <c r="S16" i="15" s="1"/>
  <c r="R16" i="15" s="1"/>
  <c r="DK15" i="15"/>
  <c r="DJ15" i="15"/>
  <c r="DI15" i="15"/>
  <c r="CE15" i="15"/>
  <c r="CR15" i="15" s="1"/>
  <c r="CQ15" i="15" s="1"/>
  <c r="AL15" i="15"/>
  <c r="AK15" i="15"/>
  <c r="AJ15" i="15"/>
  <c r="D15" i="15"/>
  <c r="E15" i="15" s="1"/>
  <c r="S15" i="15" s="1"/>
  <c r="R15" i="15" s="1"/>
  <c r="DK14" i="15"/>
  <c r="DJ14" i="15"/>
  <c r="DI14" i="15"/>
  <c r="CE14" i="15"/>
  <c r="CR14" i="15" s="1"/>
  <c r="CQ14" i="15" s="1"/>
  <c r="AL14" i="15"/>
  <c r="AK14" i="15"/>
  <c r="AJ14" i="15"/>
  <c r="D14" i="15"/>
  <c r="E14" i="15" s="1"/>
  <c r="DK13" i="15"/>
  <c r="DJ13" i="15"/>
  <c r="DI13" i="15"/>
  <c r="CE13" i="15"/>
  <c r="CR13" i="15" s="1"/>
  <c r="CQ13" i="15" s="1"/>
  <c r="AL13" i="15"/>
  <c r="AK13" i="15"/>
  <c r="AJ13" i="15"/>
  <c r="K13" i="15" a="1"/>
  <c r="K13" i="15" s="1"/>
  <c r="D13" i="15"/>
  <c r="DK12" i="15"/>
  <c r="DJ12" i="15"/>
  <c r="DI12" i="15"/>
  <c r="CE12" i="15"/>
  <c r="CR12" i="15" s="1"/>
  <c r="CQ12" i="15" s="1"/>
  <c r="AL12" i="15"/>
  <c r="AK12" i="15"/>
  <c r="AJ12" i="15"/>
  <c r="AB12" i="15"/>
  <c r="AA12" i="15"/>
  <c r="Z12" i="15"/>
  <c r="Y12" i="15"/>
  <c r="AI12" i="15" s="1"/>
  <c r="W12" i="15"/>
  <c r="AG12" i="15" s="1"/>
  <c r="V12" i="15"/>
  <c r="AF12" i="15" s="1"/>
  <c r="U12" i="15"/>
  <c r="AE12" i="15" s="1"/>
  <c r="T12" i="15"/>
  <c r="AD12" i="15" s="1"/>
  <c r="S12" i="15"/>
  <c r="R12" i="15" s="1"/>
  <c r="J12" i="15" a="1"/>
  <c r="J12" i="15" s="1"/>
  <c r="X12" i="15" s="1"/>
  <c r="AH12" i="15" s="1"/>
  <c r="D12" i="15"/>
  <c r="DK11" i="15"/>
  <c r="DJ11" i="15"/>
  <c r="DI11" i="15"/>
  <c r="CE11" i="15"/>
  <c r="AM11" i="15"/>
  <c r="AB11" i="15"/>
  <c r="AA11" i="15"/>
  <c r="Z11" i="15"/>
  <c r="Y11" i="15"/>
  <c r="X11" i="15"/>
  <c r="V11" i="15"/>
  <c r="U11" i="15"/>
  <c r="T11" i="15"/>
  <c r="S11" i="15"/>
  <c r="R11" i="15" s="1"/>
  <c r="I11" i="15" a="1"/>
  <c r="I11" i="15" s="1"/>
  <c r="W11" i="15" s="1"/>
  <c r="D11" i="15"/>
  <c r="DK10" i="15"/>
  <c r="DJ10" i="15"/>
  <c r="DI10" i="15"/>
  <c r="CE10" i="15"/>
  <c r="AM10" i="15"/>
  <c r="AB10" i="15"/>
  <c r="AA10" i="15"/>
  <c r="Z10" i="15"/>
  <c r="Y10" i="15"/>
  <c r="X10" i="15"/>
  <c r="W10" i="15"/>
  <c r="U10" i="15"/>
  <c r="T10" i="15"/>
  <c r="S10" i="15"/>
  <c r="R10" i="15" s="1"/>
  <c r="H10" i="15" a="1"/>
  <c r="H10" i="15" s="1"/>
  <c r="V10" i="15" s="1"/>
  <c r="D10" i="15"/>
  <c r="DK9" i="15"/>
  <c r="DJ9" i="15"/>
  <c r="DI9" i="15"/>
  <c r="CE9" i="15"/>
  <c r="CF9" i="15" s="1" a="1"/>
  <c r="CF9" i="15" s="1"/>
  <c r="AM9" i="15"/>
  <c r="AB9" i="15"/>
  <c r="AA9" i="15"/>
  <c r="Z9" i="15"/>
  <c r="Y9" i="15"/>
  <c r="X9" i="15"/>
  <c r="W9" i="15"/>
  <c r="V9" i="15"/>
  <c r="T9" i="15"/>
  <c r="S9" i="15"/>
  <c r="R9" i="15" s="1"/>
  <c r="G9" i="15" a="1"/>
  <c r="G9" i="15" s="1"/>
  <c r="U9" i="15" s="1"/>
  <c r="D9" i="15"/>
  <c r="DK8" i="15"/>
  <c r="DJ8" i="15"/>
  <c r="DI8" i="15"/>
  <c r="CE8" i="15"/>
  <c r="AM8" i="15"/>
  <c r="AB8" i="15"/>
  <c r="AA8" i="15"/>
  <c r="Z8" i="15"/>
  <c r="Y8" i="15"/>
  <c r="X8" i="15"/>
  <c r="W8" i="15"/>
  <c r="V8" i="15"/>
  <c r="U8" i="15"/>
  <c r="S8" i="15"/>
  <c r="R8" i="15" s="1"/>
  <c r="F8" i="15" a="1"/>
  <c r="F8" i="15" s="1"/>
  <c r="T8" i="15" s="1"/>
  <c r="D8" i="15"/>
  <c r="AM7" i="15"/>
  <c r="AB7" i="15"/>
  <c r="AA7" i="15"/>
  <c r="Z7" i="15"/>
  <c r="Y7" i="15"/>
  <c r="X7" i="15"/>
  <c r="W7" i="15"/>
  <c r="V7" i="15"/>
  <c r="U7" i="15"/>
  <c r="T7" i="15"/>
  <c r="E7" i="15"/>
  <c r="S7" i="15" s="1"/>
  <c r="R7" i="15" s="1"/>
  <c r="D7" i="15"/>
  <c r="AS87" i="15" l="1" a="1"/>
  <c r="AS87" i="15" s="1"/>
  <c r="BF87" i="15"/>
  <c r="AS79" i="15" a="1"/>
  <c r="AS79" i="15" s="1"/>
  <c r="BF79" i="15"/>
  <c r="S23" i="15"/>
  <c r="R23" i="15" s="1"/>
  <c r="S144" i="15"/>
  <c r="R144" i="15" s="1"/>
  <c r="R33" i="15"/>
  <c r="S34" i="15"/>
  <c r="R34" i="15" s="1"/>
  <c r="AS146" i="15" a="1"/>
  <c r="AS146" i="15" s="1"/>
  <c r="BG146" i="15" s="1"/>
  <c r="BQ146" i="15" s="1"/>
  <c r="BF148" i="15"/>
  <c r="BE148" i="15" s="1"/>
  <c r="BF150" i="15"/>
  <c r="BE150" i="15" s="1"/>
  <c r="BF147" i="15"/>
  <c r="BE147" i="15" s="1"/>
  <c r="CF7" i="15" a="1"/>
  <c r="CF7" i="15" s="1"/>
  <c r="CS7" i="15" s="1"/>
  <c r="DC7" i="15" s="1"/>
  <c r="AS151" i="15" a="1"/>
  <c r="AS151" i="15" s="1"/>
  <c r="BG151" i="15" s="1"/>
  <c r="BQ151" i="15" s="1"/>
  <c r="BG149" i="15"/>
  <c r="BQ149" i="15" s="1"/>
  <c r="AT149" i="15" a="1"/>
  <c r="AT149" i="15" s="1"/>
  <c r="BH149" i="15" s="1"/>
  <c r="BR149" i="15" s="1"/>
  <c r="BG150" i="15"/>
  <c r="BQ150" i="15" s="1"/>
  <c r="AT150" i="15" a="1"/>
  <c r="AT150" i="15" s="1"/>
  <c r="AU150" i="15" s="1" a="1"/>
  <c r="AU150" i="15" s="1"/>
  <c r="BF149" i="15"/>
  <c r="BE149" i="15" s="1"/>
  <c r="BG148" i="15"/>
  <c r="BQ148" i="15" s="1"/>
  <c r="AT148" i="15" a="1"/>
  <c r="AT148" i="15" s="1"/>
  <c r="BG147" i="15"/>
  <c r="BQ147" i="15" s="1"/>
  <c r="AT147" i="15" a="1"/>
  <c r="AT147" i="15" s="1"/>
  <c r="AS111" i="15" a="1"/>
  <c r="AS111" i="15" s="1"/>
  <c r="BG111" i="15" s="1"/>
  <c r="BQ111" i="15" s="1"/>
  <c r="BE68" i="15"/>
  <c r="BE44" i="15"/>
  <c r="BE79" i="15"/>
  <c r="AS80" i="15" a="1"/>
  <c r="AS80" i="15" s="1"/>
  <c r="BG80" i="15" s="1"/>
  <c r="BQ80" i="15" s="1"/>
  <c r="BQ50" i="15"/>
  <c r="BR50" i="15"/>
  <c r="AS81" i="15" a="1"/>
  <c r="AS81" i="15" s="1"/>
  <c r="AS82" i="15" a="1"/>
  <c r="AS82" i="15" s="1"/>
  <c r="BG82" i="15" s="1"/>
  <c r="BQ82" i="15" s="1"/>
  <c r="BR34" i="15"/>
  <c r="BS69" i="15"/>
  <c r="BQ72" i="15"/>
  <c r="BE36" i="15"/>
  <c r="BQ12" i="15"/>
  <c r="BE14" i="15"/>
  <c r="BE22" i="15"/>
  <c r="BE21" i="15"/>
  <c r="BE61" i="15"/>
  <c r="BQ74" i="15"/>
  <c r="BE40" i="15"/>
  <c r="BE53" i="15"/>
  <c r="BQ19" i="15"/>
  <c r="BE28" i="15"/>
  <c r="BE58" i="15"/>
  <c r="BE55" i="15"/>
  <c r="BE15" i="15"/>
  <c r="BE47" i="15"/>
  <c r="BE37" i="15"/>
  <c r="BQ27" i="15"/>
  <c r="BE50" i="15"/>
  <c r="BE30" i="15"/>
  <c r="BR26" i="15"/>
  <c r="BE75" i="15"/>
  <c r="BE49" i="15"/>
  <c r="BE29" i="15"/>
  <c r="BE74" i="15"/>
  <c r="BG79" i="15"/>
  <c r="BQ79" i="15" s="1"/>
  <c r="AT79" i="15" a="1"/>
  <c r="AT79" i="15" s="1"/>
  <c r="BH79" i="15" s="1"/>
  <c r="BR75" i="15"/>
  <c r="AT83" i="15" a="1"/>
  <c r="AT83" i="15" s="1"/>
  <c r="BG83" i="15"/>
  <c r="BQ83" i="15" s="1"/>
  <c r="BE71" i="15"/>
  <c r="BE70" i="15"/>
  <c r="BF83" i="15"/>
  <c r="BE83" i="15" s="1"/>
  <c r="BE23" i="15"/>
  <c r="BQ23" i="15"/>
  <c r="BQ75" i="15"/>
  <c r="BQ22" i="15"/>
  <c r="BR74" i="15"/>
  <c r="BF84" i="15"/>
  <c r="BE84" i="15" s="1"/>
  <c r="AS84" i="15" a="1"/>
  <c r="AS84" i="15" s="1"/>
  <c r="BE13" i="15"/>
  <c r="BQ47" i="15"/>
  <c r="BQ8" i="15"/>
  <c r="BS35" i="15"/>
  <c r="BT35" i="15"/>
  <c r="BQ68" i="15"/>
  <c r="BR21" i="15"/>
  <c r="BQ29" i="15"/>
  <c r="BR29" i="15"/>
  <c r="AS109" i="15" a="1"/>
  <c r="AS109" i="15" s="1"/>
  <c r="BG109" i="15" s="1"/>
  <c r="BQ109" i="15" s="1"/>
  <c r="BE35" i="15"/>
  <c r="BE26" i="15"/>
  <c r="BQ11" i="15"/>
  <c r="BQ28" i="15"/>
  <c r="BQ14" i="15"/>
  <c r="BE52" i="15"/>
  <c r="BE10" i="15"/>
  <c r="CR131" i="15"/>
  <c r="CQ131" i="15" s="1"/>
  <c r="BE25" i="15"/>
  <c r="BQ61" i="15"/>
  <c r="F60" i="15" a="1"/>
  <c r="F60" i="15" s="1"/>
  <c r="T60" i="15" s="1"/>
  <c r="AD60" i="15" s="1"/>
  <c r="CR24" i="15"/>
  <c r="CQ24" i="15" s="1"/>
  <c r="S90" i="15"/>
  <c r="R90" i="15" s="1"/>
  <c r="BQ16" i="15"/>
  <c r="BR16" i="15"/>
  <c r="BQ10" i="15"/>
  <c r="BR10" i="15"/>
  <c r="BG131" i="15"/>
  <c r="BQ131" i="15" s="1"/>
  <c r="CF90" i="15" a="1"/>
  <c r="CF90" i="15" s="1"/>
  <c r="CG90" i="15" s="1" a="1"/>
  <c r="CG90" i="15" s="1"/>
  <c r="CR27" i="15"/>
  <c r="CQ27" i="15" s="1"/>
  <c r="BE16" i="15"/>
  <c r="CR46" i="15"/>
  <c r="CQ46" i="15" s="1"/>
  <c r="AS112" i="15" a="1"/>
  <c r="AS112" i="15" s="1"/>
  <c r="AT112" i="15" s="1" a="1"/>
  <c r="AT112" i="15" s="1"/>
  <c r="F58" i="15" a="1"/>
  <c r="F58" i="15" s="1"/>
  <c r="T58" i="15" s="1"/>
  <c r="AD58" i="15" s="1"/>
  <c r="BE60" i="15"/>
  <c r="BE27" i="15"/>
  <c r="BE24" i="15"/>
  <c r="BQ44" i="15"/>
  <c r="BR44" i="15"/>
  <c r="BQ60" i="15"/>
  <c r="BR60" i="15"/>
  <c r="CG24" i="15" a="1"/>
  <c r="CG24" i="15" s="1"/>
  <c r="CT24" i="15" s="1"/>
  <c r="DD24" i="15" s="1"/>
  <c r="CS24" i="15"/>
  <c r="DC24" i="15" s="1"/>
  <c r="BG87" i="15"/>
  <c r="BQ87" i="15" s="1"/>
  <c r="AT87" i="15" a="1"/>
  <c r="AT87" i="15" s="1"/>
  <c r="BH87" i="15" s="1"/>
  <c r="BR87" i="15" s="1"/>
  <c r="BR68" i="15"/>
  <c r="BS68" i="15"/>
  <c r="CR44" i="15"/>
  <c r="CQ44" i="15" s="1"/>
  <c r="CF14" i="15" a="1"/>
  <c r="CF14" i="15" s="1"/>
  <c r="CG14" i="15" s="1" a="1"/>
  <c r="CG14" i="15" s="1"/>
  <c r="AN9" i="15"/>
  <c r="CF35" i="15" a="1"/>
  <c r="CF35" i="15" s="1"/>
  <c r="CS35" i="15" s="1"/>
  <c r="DC35" i="15" s="1"/>
  <c r="BR52" i="15"/>
  <c r="CR49" i="15"/>
  <c r="CQ49" i="15" s="1"/>
  <c r="S108" i="15"/>
  <c r="R108" i="15" s="1"/>
  <c r="BF144" i="15"/>
  <c r="BE144" i="15" s="1"/>
  <c r="BQ52" i="15"/>
  <c r="AS114" i="15" a="1"/>
  <c r="AS114" i="15" s="1"/>
  <c r="AT114" i="15" s="1" a="1"/>
  <c r="AT114" i="15" s="1"/>
  <c r="AU114" i="15" s="1" a="1"/>
  <c r="AU114" i="15" s="1"/>
  <c r="AV114" i="15" s="1" a="1"/>
  <c r="AV114" i="15" s="1"/>
  <c r="BT52" i="15"/>
  <c r="F48" i="15" a="1"/>
  <c r="F48" i="15" s="1"/>
  <c r="G48" i="15" s="1" a="1"/>
  <c r="G48" i="15" s="1"/>
  <c r="CR53" i="15"/>
  <c r="CQ53" i="15" s="1"/>
  <c r="BE87" i="15"/>
  <c r="CR63" i="15"/>
  <c r="CQ63" i="15" s="1"/>
  <c r="S125" i="15"/>
  <c r="R125" i="15" s="1"/>
  <c r="CF13" i="15" a="1"/>
  <c r="CF13" i="15" s="1"/>
  <c r="CG13" i="15" s="1" a="1"/>
  <c r="CG13" i="15" s="1"/>
  <c r="BS136" i="15"/>
  <c r="CF12" i="15" a="1"/>
  <c r="CF12" i="15" s="1"/>
  <c r="CG12" i="15" s="1" a="1"/>
  <c r="CG12" i="15" s="1"/>
  <c r="BF140" i="15"/>
  <c r="BE140" i="15" s="1"/>
  <c r="T111" i="15"/>
  <c r="AD111" i="15" s="1"/>
  <c r="BQ43" i="15"/>
  <c r="BQ26" i="15"/>
  <c r="G124" i="15" a="1"/>
  <c r="G124" i="15" s="1"/>
  <c r="T124" i="15"/>
  <c r="AD124" i="15" s="1"/>
  <c r="CS142" i="15"/>
  <c r="DC142" i="15" s="1"/>
  <c r="CG142" i="15" a="1"/>
  <c r="CG142" i="15" s="1"/>
  <c r="CT142" i="15" s="1"/>
  <c r="DD142" i="15" s="1"/>
  <c r="BI110" i="15"/>
  <c r="BS110" i="15" s="1"/>
  <c r="AV110" i="15" a="1"/>
  <c r="AV110" i="15" s="1"/>
  <c r="CG87" i="15" a="1"/>
  <c r="CG87" i="15" s="1"/>
  <c r="CS87" i="15"/>
  <c r="DC87" i="15" s="1"/>
  <c r="F44" i="15" a="1"/>
  <c r="F44" i="15" s="1"/>
  <c r="G44" i="15" s="1" a="1"/>
  <c r="G44" i="15" s="1"/>
  <c r="S44" i="15"/>
  <c r="R44" i="15" s="1"/>
  <c r="CR124" i="15"/>
  <c r="CQ124" i="15" s="1"/>
  <c r="CF124" i="15" a="1"/>
  <c r="CF124" i="15" s="1"/>
  <c r="S146" i="15"/>
  <c r="R146" i="15" s="1"/>
  <c r="G49" i="15" a="1"/>
  <c r="G49" i="15" s="1"/>
  <c r="H49" i="15" s="1" a="1"/>
  <c r="H49" i="15" s="1"/>
  <c r="CF91" i="15" a="1"/>
  <c r="CF91" i="15" s="1"/>
  <c r="CS91" i="15" s="1"/>
  <c r="DC91" i="15" s="1"/>
  <c r="S49" i="15"/>
  <c r="R49" i="15" s="1"/>
  <c r="S124" i="15"/>
  <c r="R124" i="15" s="1"/>
  <c r="S140" i="15"/>
  <c r="R140" i="15" s="1"/>
  <c r="BG144" i="15"/>
  <c r="BQ144" i="15" s="1"/>
  <c r="AT144" i="15" a="1"/>
  <c r="AT144" i="15" s="1"/>
  <c r="BH144" i="15" s="1"/>
  <c r="BR144" i="15" s="1"/>
  <c r="AM32" i="15"/>
  <c r="AN32" i="15" s="1"/>
  <c r="F62" i="15" a="1"/>
  <c r="F62" i="15" s="1"/>
  <c r="G62" i="15" s="1" a="1"/>
  <c r="G62" i="15" s="1"/>
  <c r="S62" i="15"/>
  <c r="R62" i="15" s="1"/>
  <c r="CR68" i="15"/>
  <c r="CQ68" i="15" s="1"/>
  <c r="CF68" i="15" a="1"/>
  <c r="CF68" i="15" s="1"/>
  <c r="BE63" i="15"/>
  <c r="CS59" i="15"/>
  <c r="DC59" i="15" s="1"/>
  <c r="AM61" i="15"/>
  <c r="AN61" i="15" s="1"/>
  <c r="F89" i="15" a="1"/>
  <c r="F89" i="15" s="1"/>
  <c r="G89" i="15" s="1" a="1"/>
  <c r="G89" i="15" s="1"/>
  <c r="S92" i="15"/>
  <c r="R92" i="15" s="1"/>
  <c r="S123" i="15"/>
  <c r="R123" i="15" s="1"/>
  <c r="CG26" i="15" a="1"/>
  <c r="CG26" i="15" s="1"/>
  <c r="CH26" i="15" s="1" a="1"/>
  <c r="CH26" i="15" s="1"/>
  <c r="T92" i="15"/>
  <c r="AD92" i="15" s="1"/>
  <c r="S139" i="15"/>
  <c r="R139" i="15" s="1"/>
  <c r="BQ24" i="15"/>
  <c r="G90" i="15" a="1"/>
  <c r="G90" i="15" s="1"/>
  <c r="H90" i="15" s="1" a="1"/>
  <c r="H90" i="15" s="1"/>
  <c r="CF30" i="15" a="1"/>
  <c r="CF30" i="15" s="1"/>
  <c r="CG30" i="15" s="1" a="1"/>
  <c r="CG30" i="15" s="1"/>
  <c r="F59" i="15" a="1"/>
  <c r="F59" i="15" s="1"/>
  <c r="T59" i="15" s="1"/>
  <c r="AD59" i="15" s="1"/>
  <c r="S59" i="15"/>
  <c r="R59" i="15" s="1"/>
  <c r="CF133" i="15" a="1"/>
  <c r="CF133" i="15" s="1"/>
  <c r="CS133" i="15" s="1"/>
  <c r="DC133" i="15" s="1"/>
  <c r="CR142" i="15"/>
  <c r="CQ142" i="15" s="1"/>
  <c r="CF47" i="15" a="1"/>
  <c r="CF47" i="15" s="1"/>
  <c r="CS47" i="15" s="1"/>
  <c r="DC47" i="15" s="1"/>
  <c r="BE17" i="15"/>
  <c r="CR59" i="15"/>
  <c r="CQ59" i="15" s="1"/>
  <c r="AM51" i="15"/>
  <c r="AN51" i="15" s="1"/>
  <c r="CR137" i="15"/>
  <c r="CQ137" i="15" s="1"/>
  <c r="CF137" i="15" a="1"/>
  <c r="CF137" i="15" s="1"/>
  <c r="CR26" i="15"/>
  <c r="CQ26" i="15" s="1"/>
  <c r="CF28" i="15" a="1"/>
  <c r="CF28" i="15" s="1"/>
  <c r="CG28" i="15" s="1" a="1"/>
  <c r="CG28" i="15" s="1"/>
  <c r="CR28" i="15"/>
  <c r="CQ28" i="15" s="1"/>
  <c r="CR31" i="15"/>
  <c r="CQ31" i="15" s="1"/>
  <c r="CF31" i="15" a="1"/>
  <c r="CF31" i="15" s="1"/>
  <c r="CS31" i="15" s="1"/>
  <c r="DC31" i="15" s="1"/>
  <c r="CR87" i="15"/>
  <c r="CQ87" i="15" s="1"/>
  <c r="CR130" i="15"/>
  <c r="CQ130" i="15" s="1"/>
  <c r="BE62" i="15"/>
  <c r="BQ62" i="15"/>
  <c r="CF38" i="15" a="1"/>
  <c r="CF38" i="15" s="1"/>
  <c r="CS38" i="15" s="1"/>
  <c r="DC38" i="15" s="1"/>
  <c r="CR38" i="15"/>
  <c r="CQ38" i="15" s="1"/>
  <c r="CF89" i="15" a="1"/>
  <c r="CF89" i="15" s="1"/>
  <c r="BH110" i="15"/>
  <c r="BR110" i="15" s="1"/>
  <c r="BF139" i="15"/>
  <c r="BE139" i="15" s="1"/>
  <c r="BG110" i="15"/>
  <c r="BQ110" i="15" s="1"/>
  <c r="CF140" i="15" a="1"/>
  <c r="CF140" i="15" s="1"/>
  <c r="CS140" i="15" s="1"/>
  <c r="DC140" i="15" s="1"/>
  <c r="S147" i="15"/>
  <c r="R147" i="15" s="1"/>
  <c r="CF149" i="15" a="1"/>
  <c r="CF149" i="15" s="1"/>
  <c r="CG149" i="15" s="1" a="1"/>
  <c r="CG149" i="15" s="1"/>
  <c r="BF110" i="15"/>
  <c r="BE110" i="15" s="1"/>
  <c r="CR113" i="15"/>
  <c r="CQ113" i="15" s="1"/>
  <c r="T147" i="15"/>
  <c r="AD147" i="15" s="1"/>
  <c r="AN10" i="15"/>
  <c r="BE19" i="15"/>
  <c r="G108" i="15" a="1"/>
  <c r="G108" i="15" s="1"/>
  <c r="H108" i="15" s="1" a="1"/>
  <c r="H108" i="15" s="1"/>
  <c r="T108" i="15"/>
  <c r="AD108" i="15" s="1"/>
  <c r="BF138" i="15"/>
  <c r="BE138" i="15" s="1"/>
  <c r="AS138" i="15" a="1"/>
  <c r="AS138" i="15" s="1"/>
  <c r="BG138" i="15" s="1"/>
  <c r="BQ138" i="15" s="1"/>
  <c r="CF8" i="15" a="1"/>
  <c r="CF8" i="15" s="1"/>
  <c r="CS8" i="15" s="1"/>
  <c r="DC8" i="15" s="1"/>
  <c r="CR8" i="15"/>
  <c r="CQ8" i="15" s="1"/>
  <c r="CR123" i="15"/>
  <c r="CQ123" i="15" s="1"/>
  <c r="CF123" i="15" a="1"/>
  <c r="CF123" i="15" s="1"/>
  <c r="CG123" i="15" s="1" a="1"/>
  <c r="CG123" i="15" s="1"/>
  <c r="AN11" i="15"/>
  <c r="F30" i="15" a="1"/>
  <c r="F30" i="15" s="1"/>
  <c r="CF144" i="15" a="1"/>
  <c r="CF144" i="15" s="1"/>
  <c r="CS144" i="15" s="1"/>
  <c r="DC144" i="15" s="1"/>
  <c r="CR144" i="15"/>
  <c r="CQ144" i="15" s="1"/>
  <c r="BS26" i="15"/>
  <c r="F26" i="15" a="1"/>
  <c r="F26" i="15" s="1"/>
  <c r="G26" i="15" s="1" a="1"/>
  <c r="G26" i="15" s="1"/>
  <c r="CF50" i="15" a="1"/>
  <c r="CF50" i="15" s="1"/>
  <c r="CS50" i="15" s="1"/>
  <c r="DC50" i="15" s="1"/>
  <c r="F87" i="15" a="1"/>
  <c r="F87" i="15" s="1"/>
  <c r="T87" i="15" s="1"/>
  <c r="AD87" i="15" s="1"/>
  <c r="S87" i="15"/>
  <c r="R87" i="15" s="1"/>
  <c r="BF130" i="15"/>
  <c r="BE130" i="15" s="1"/>
  <c r="CF17" i="15" a="1"/>
  <c r="CF17" i="15" s="1"/>
  <c r="CS17" i="15" s="1"/>
  <c r="DC17" i="15" s="1"/>
  <c r="CS27" i="15"/>
  <c r="DC27" i="15" s="1"/>
  <c r="CR40" i="15"/>
  <c r="CQ40" i="15" s="1"/>
  <c r="AN7" i="15"/>
  <c r="CF32" i="15" a="1"/>
  <c r="CF32" i="15" s="1"/>
  <c r="CR51" i="15"/>
  <c r="CQ51" i="15" s="1"/>
  <c r="CR55" i="15"/>
  <c r="CQ55" i="15" s="1"/>
  <c r="CF138" i="15" a="1"/>
  <c r="CF138" i="15" s="1"/>
  <c r="CR143" i="15"/>
  <c r="CQ143" i="15" s="1"/>
  <c r="CF23" i="15" a="1"/>
  <c r="CF23" i="15" s="1"/>
  <c r="CG23" i="15" s="1" a="1"/>
  <c r="CG23" i="15" s="1"/>
  <c r="CS55" i="15"/>
  <c r="DC55" i="15" s="1"/>
  <c r="CR60" i="15"/>
  <c r="CQ60" i="15" s="1"/>
  <c r="CR88" i="15"/>
  <c r="CQ88" i="15" s="1"/>
  <c r="S111" i="15"/>
  <c r="R111" i="15" s="1"/>
  <c r="F122" i="15" a="1"/>
  <c r="F122" i="15" s="1"/>
  <c r="T122" i="15" s="1"/>
  <c r="S122" i="15"/>
  <c r="R122" i="15" s="1"/>
  <c r="CG151" i="15" a="1"/>
  <c r="CG151" i="15" s="1"/>
  <c r="CT151" i="15" s="1"/>
  <c r="DD151" i="15" s="1"/>
  <c r="CR151" i="15"/>
  <c r="CQ151" i="15" s="1"/>
  <c r="CR41" i="15"/>
  <c r="CQ41" i="15" s="1"/>
  <c r="CF41" i="15" a="1"/>
  <c r="CF41" i="15" s="1"/>
  <c r="CS41" i="15" s="1"/>
  <c r="DC41" i="15" s="1"/>
  <c r="BG123" i="15"/>
  <c r="BQ123" i="15" s="1"/>
  <c r="BH123" i="15"/>
  <c r="BR123" i="15" s="1"/>
  <c r="CF141" i="15" a="1"/>
  <c r="CF141" i="15" s="1"/>
  <c r="CS141" i="15" s="1"/>
  <c r="DC141" i="15" s="1"/>
  <c r="CF29" i="15" a="1"/>
  <c r="CF29" i="15" s="1"/>
  <c r="CS29" i="15" s="1"/>
  <c r="DC29" i="15" s="1"/>
  <c r="CR52" i="15"/>
  <c r="CQ52" i="15" s="1"/>
  <c r="G68" i="15" a="1"/>
  <c r="G68" i="15" s="1"/>
  <c r="U68" i="15" s="1"/>
  <c r="AE68" i="15" s="1"/>
  <c r="BF123" i="15"/>
  <c r="BE123" i="15" s="1"/>
  <c r="CF58" i="15" a="1"/>
  <c r="CF58" i="15" s="1"/>
  <c r="CG58" i="15" s="1" a="1"/>
  <c r="CG58" i="15" s="1"/>
  <c r="CR58" i="15"/>
  <c r="CQ58" i="15" s="1"/>
  <c r="CF125" i="15" a="1"/>
  <c r="CF125" i="15" s="1"/>
  <c r="CF146" i="15" a="1"/>
  <c r="CF146" i="15" s="1"/>
  <c r="CG146" i="15" s="1" a="1"/>
  <c r="CG146" i="15" s="1"/>
  <c r="CR146" i="15"/>
  <c r="CQ146" i="15" s="1"/>
  <c r="F45" i="15" a="1"/>
  <c r="F45" i="15" s="1"/>
  <c r="T45" i="15" s="1"/>
  <c r="AD45" i="15" s="1"/>
  <c r="F91" i="15" a="1"/>
  <c r="F91" i="15" s="1"/>
  <c r="CF145" i="15" a="1"/>
  <c r="CF145" i="15" s="1"/>
  <c r="BQ15" i="15"/>
  <c r="BQ36" i="15"/>
  <c r="BE59" i="15"/>
  <c r="BQ30" i="15"/>
  <c r="BE45" i="15"/>
  <c r="BR61" i="15"/>
  <c r="BQ25" i="15"/>
  <c r="BE46" i="15"/>
  <c r="BR35" i="15"/>
  <c r="BE32" i="15"/>
  <c r="BQ35" i="15"/>
  <c r="BE48" i="15"/>
  <c r="BE33" i="15"/>
  <c r="BR27" i="15"/>
  <c r="BQ41" i="15"/>
  <c r="AS113" i="15" a="1"/>
  <c r="AS113" i="15" s="1"/>
  <c r="S17" i="15"/>
  <c r="R17" i="15" s="1"/>
  <c r="F17" i="15" a="1"/>
  <c r="F17" i="15" s="1"/>
  <c r="M34" i="15" a="1"/>
  <c r="M34" i="15" s="1"/>
  <c r="Z34" i="15"/>
  <c r="CG9" i="15" a="1"/>
  <c r="CG9" i="15" s="1"/>
  <c r="CS9" i="15"/>
  <c r="DC9" i="15" s="1"/>
  <c r="M41" i="15" a="1"/>
  <c r="M41" i="15" s="1"/>
  <c r="Z41" i="15"/>
  <c r="CR9" i="15"/>
  <c r="CQ9" i="15" s="1"/>
  <c r="CH59" i="15" a="1"/>
  <c r="CH59" i="15" s="1"/>
  <c r="CT59" i="15"/>
  <c r="DD59" i="15" s="1"/>
  <c r="CF25" i="15" a="1"/>
  <c r="CF25" i="15" s="1"/>
  <c r="CR25" i="15"/>
  <c r="CQ25" i="15" s="1"/>
  <c r="CF10" i="15" a="1"/>
  <c r="CF10" i="15" s="1"/>
  <c r="CR10" i="15"/>
  <c r="CQ10" i="15" s="1"/>
  <c r="CF62" i="15" a="1"/>
  <c r="CF62" i="15" s="1"/>
  <c r="S24" i="15"/>
  <c r="R24" i="15" s="1"/>
  <c r="F24" i="15" a="1"/>
  <c r="F24" i="15" s="1"/>
  <c r="CS88" i="15"/>
  <c r="DC88" i="15" s="1"/>
  <c r="CG88" i="15" a="1"/>
  <c r="CG88" i="15" s="1"/>
  <c r="CF48" i="15" a="1"/>
  <c r="CF48" i="15" s="1"/>
  <c r="CR48" i="15"/>
  <c r="CQ48" i="15" s="1"/>
  <c r="CF15" i="15" a="1"/>
  <c r="CF15" i="15" s="1"/>
  <c r="Z38" i="15"/>
  <c r="M38" i="15" a="1"/>
  <c r="M38" i="15" s="1"/>
  <c r="CG131" i="15" a="1"/>
  <c r="CG131" i="15" s="1"/>
  <c r="CS131" i="15"/>
  <c r="DC131" i="15" s="1"/>
  <c r="S28" i="15"/>
  <c r="R28" i="15" s="1"/>
  <c r="F28" i="15" a="1"/>
  <c r="F28" i="15" s="1"/>
  <c r="S47" i="15"/>
  <c r="R47" i="15" s="1"/>
  <c r="F47" i="15" a="1"/>
  <c r="F47" i="15" s="1"/>
  <c r="CK51" i="15" a="1"/>
  <c r="CK51" i="15" s="1"/>
  <c r="CW51" i="15"/>
  <c r="DG51" i="15" s="1"/>
  <c r="CF21" i="15" a="1"/>
  <c r="CF21" i="15" s="1"/>
  <c r="CR21" i="15"/>
  <c r="CQ21" i="15" s="1"/>
  <c r="CF45" i="15" a="1"/>
  <c r="CF45" i="15" s="1"/>
  <c r="CS51" i="15"/>
  <c r="DC51" i="15" s="1"/>
  <c r="CH112" i="15" a="1"/>
  <c r="CH112" i="15" s="1"/>
  <c r="F19" i="15" a="1"/>
  <c r="F19" i="15" s="1"/>
  <c r="CU51" i="15"/>
  <c r="DE51" i="15" s="1"/>
  <c r="S52" i="15"/>
  <c r="R52" i="15" s="1"/>
  <c r="F52" i="15" a="1"/>
  <c r="F52" i="15" s="1"/>
  <c r="CS61" i="15"/>
  <c r="DC61" i="15" s="1"/>
  <c r="CG61" i="15" a="1"/>
  <c r="CG61" i="15" s="1"/>
  <c r="F112" i="15" a="1"/>
  <c r="F112" i="15" s="1"/>
  <c r="S112" i="15"/>
  <c r="R112" i="15" s="1"/>
  <c r="CG46" i="15" a="1"/>
  <c r="CG46" i="15" s="1"/>
  <c r="CG49" i="15" a="1"/>
  <c r="CG49" i="15" s="1"/>
  <c r="F16" i="15" a="1"/>
  <c r="F16" i="15" s="1"/>
  <c r="F46" i="15" a="1"/>
  <c r="F46" i="15" s="1"/>
  <c r="S46" i="15"/>
  <c r="R46" i="15" s="1"/>
  <c r="CG60" i="15" a="1"/>
  <c r="CG60" i="15" s="1"/>
  <c r="CS60" i="15"/>
  <c r="DC60" i="15" s="1"/>
  <c r="G125" i="15" a="1"/>
  <c r="G125" i="15" s="1"/>
  <c r="CG143" i="15" a="1"/>
  <c r="CG143" i="15" s="1"/>
  <c r="CS143" i="15"/>
  <c r="DC143" i="15" s="1"/>
  <c r="F14" i="15" a="1"/>
  <c r="F14" i="15" s="1"/>
  <c r="S14" i="15"/>
  <c r="R14" i="15" s="1"/>
  <c r="CH55" i="15" a="1"/>
  <c r="CH55" i="15" s="1"/>
  <c r="CT55" i="15"/>
  <c r="DD55" i="15" s="1"/>
  <c r="F15" i="15" a="1"/>
  <c r="F15" i="15" s="1"/>
  <c r="S143" i="15"/>
  <c r="R143" i="15" s="1"/>
  <c r="AM12" i="15"/>
  <c r="AN12" i="15" s="1"/>
  <c r="Q13" i="15" s="1"/>
  <c r="AM37" i="15"/>
  <c r="AN37" i="15" s="1"/>
  <c r="CR112" i="15"/>
  <c r="CQ112" i="15" s="1"/>
  <c r="S27" i="15"/>
  <c r="R27" i="15" s="1"/>
  <c r="F27" i="15" a="1"/>
  <c r="F27" i="15" s="1"/>
  <c r="CG40" i="15" a="1"/>
  <c r="CG40" i="15" s="1"/>
  <c r="H111" i="15" a="1"/>
  <c r="H111" i="15" s="1"/>
  <c r="U111" i="15"/>
  <c r="AE111" i="15" s="1"/>
  <c r="F53" i="15" a="1"/>
  <c r="F53" i="15" s="1"/>
  <c r="AT139" i="15" a="1"/>
  <c r="AT139" i="15" s="1"/>
  <c r="S50" i="15"/>
  <c r="R50" i="15" s="1"/>
  <c r="F50" i="15" a="1"/>
  <c r="F50" i="15" s="1"/>
  <c r="F35" i="15" a="1"/>
  <c r="F35" i="15" s="1"/>
  <c r="AN8" i="15"/>
  <c r="CS112" i="15"/>
  <c r="DC112" i="15" s="1"/>
  <c r="CS44" i="15"/>
  <c r="DC44" i="15" s="1"/>
  <c r="CG44" i="15" a="1"/>
  <c r="CG44" i="15" s="1"/>
  <c r="CF16" i="15" a="1"/>
  <c r="CF16" i="15" s="1"/>
  <c r="CT51" i="15"/>
  <c r="DD51" i="15" s="1"/>
  <c r="BG130" i="15"/>
  <c r="BQ130" i="15" s="1"/>
  <c r="BF141" i="15"/>
  <c r="BE141" i="15" s="1"/>
  <c r="AS141" i="15" a="1"/>
  <c r="AS141" i="15" s="1"/>
  <c r="BG140" i="15"/>
  <c r="BQ140" i="15" s="1"/>
  <c r="AT140" i="15" a="1"/>
  <c r="AT140" i="15" s="1"/>
  <c r="CH27" i="15" a="1"/>
  <c r="CH27" i="15" s="1"/>
  <c r="CV51" i="15"/>
  <c r="DF51" i="15" s="1"/>
  <c r="AM40" i="15"/>
  <c r="AN40" i="15" s="1"/>
  <c r="CR11" i="15"/>
  <c r="CQ11" i="15" s="1"/>
  <c r="CF11" i="15" a="1"/>
  <c r="CF11" i="15" s="1"/>
  <c r="AM25" i="15"/>
  <c r="AN25" i="15" s="1"/>
  <c r="F31" i="15" a="1"/>
  <c r="F31" i="15" s="1"/>
  <c r="S31" i="15"/>
  <c r="R31" i="15" s="1"/>
  <c r="CG52" i="15" a="1"/>
  <c r="CG52" i="15" s="1"/>
  <c r="CS52" i="15"/>
  <c r="DC52" i="15" s="1"/>
  <c r="AM22" i="15"/>
  <c r="AN22" i="15" s="1"/>
  <c r="CG63" i="15" a="1"/>
  <c r="CG63" i="15" s="1"/>
  <c r="CS63" i="15"/>
  <c r="DC63" i="15" s="1"/>
  <c r="G63" i="15" a="1"/>
  <c r="G63" i="15" s="1"/>
  <c r="T63" i="15"/>
  <c r="AD63" i="15" s="1"/>
  <c r="S36" i="15"/>
  <c r="R36" i="15" s="1"/>
  <c r="F36" i="15" a="1"/>
  <c r="F36" i="15" s="1"/>
  <c r="S68" i="15"/>
  <c r="R68" i="15" s="1"/>
  <c r="F33" i="15" a="1"/>
  <c r="F33" i="15" s="1"/>
  <c r="AM43" i="15"/>
  <c r="AN43" i="15" s="1"/>
  <c r="AS137" i="15" a="1"/>
  <c r="AS137" i="15" s="1"/>
  <c r="BF137" i="15"/>
  <c r="BE137" i="15" s="1"/>
  <c r="S63" i="15"/>
  <c r="R63" i="15" s="1"/>
  <c r="S148" i="15"/>
  <c r="R148" i="15" s="1"/>
  <c r="CG130" i="15" a="1"/>
  <c r="CG130" i="15" s="1"/>
  <c r="CS130" i="15"/>
  <c r="DC130" i="15" s="1"/>
  <c r="AM29" i="15"/>
  <c r="AN29" i="15" s="1"/>
  <c r="CF36" i="15" a="1"/>
  <c r="CF36" i="15" s="1"/>
  <c r="F88" i="15" a="1"/>
  <c r="F88" i="15" s="1"/>
  <c r="BF125" i="15"/>
  <c r="BE125" i="15" s="1"/>
  <c r="S150" i="15"/>
  <c r="R150" i="15" s="1"/>
  <c r="U92" i="15"/>
  <c r="AE92" i="15" s="1"/>
  <c r="H92" i="15" a="1"/>
  <c r="H92" i="15" s="1"/>
  <c r="CF43" i="15" a="1"/>
  <c r="CF43" i="15" s="1"/>
  <c r="CR43" i="15"/>
  <c r="CQ43" i="15" s="1"/>
  <c r="CF37" i="15" a="1"/>
  <c r="CF37" i="15" s="1"/>
  <c r="CF111" i="15" a="1"/>
  <c r="CF111" i="15" s="1"/>
  <c r="CF19" i="15" a="1"/>
  <c r="CF19" i="15" s="1"/>
  <c r="F23" i="15" a="1"/>
  <c r="F23" i="15" s="1"/>
  <c r="T23" i="15" s="1"/>
  <c r="CF33" i="15" a="1"/>
  <c r="CF33" i="15" s="1"/>
  <c r="BF124" i="15"/>
  <c r="BE124" i="15" s="1"/>
  <c r="CG113" i="15" a="1"/>
  <c r="CG113" i="15" s="1"/>
  <c r="CS113" i="15"/>
  <c r="DC113" i="15" s="1"/>
  <c r="S141" i="15"/>
  <c r="R141" i="15" s="1"/>
  <c r="CR136" i="15"/>
  <c r="CQ136" i="15" s="1"/>
  <c r="CF136" i="15" a="1"/>
  <c r="CF136" i="15" s="1"/>
  <c r="T141" i="15"/>
  <c r="AD141" i="15" s="1"/>
  <c r="S142" i="15"/>
  <c r="R142" i="15" s="1"/>
  <c r="CF22" i="15" a="1"/>
  <c r="CF22" i="15" s="1"/>
  <c r="CQ122" i="15"/>
  <c r="S114" i="15"/>
  <c r="R114" i="15" s="1"/>
  <c r="F114" i="15" a="1"/>
  <c r="F114" i="15" s="1"/>
  <c r="CF122" i="15" a="1"/>
  <c r="CF122" i="15" s="1"/>
  <c r="BF143" i="15"/>
  <c r="BE143" i="15" s="1"/>
  <c r="AS143" i="15" a="1"/>
  <c r="AS143" i="15" s="1"/>
  <c r="S113" i="15"/>
  <c r="R113" i="15" s="1"/>
  <c r="F113" i="15" a="1"/>
  <c r="F113" i="15" s="1"/>
  <c r="U147" i="15"/>
  <c r="AE147" i="15" s="1"/>
  <c r="AS142" i="15" a="1"/>
  <c r="AS142" i="15" s="1"/>
  <c r="BF142" i="15"/>
  <c r="BE142" i="15" s="1"/>
  <c r="T140" i="15"/>
  <c r="AD140" i="15" s="1"/>
  <c r="AS145" i="15" a="1"/>
  <c r="AS145" i="15" s="1"/>
  <c r="BF145" i="15"/>
  <c r="BE145" i="15" s="1"/>
  <c r="CG53" i="15" a="1"/>
  <c r="CG53" i="15" s="1"/>
  <c r="CS53" i="15"/>
  <c r="DC53" i="15" s="1"/>
  <c r="G123" i="15" a="1"/>
  <c r="G123" i="15" s="1"/>
  <c r="T123" i="15"/>
  <c r="AD123" i="15" s="1"/>
  <c r="BF133" i="15"/>
  <c r="BE133" i="15" s="1"/>
  <c r="S151" i="15"/>
  <c r="R151" i="15" s="1"/>
  <c r="CR61" i="15"/>
  <c r="CQ61" i="15" s="1"/>
  <c r="CF139" i="15" a="1"/>
  <c r="CF139" i="15" s="1"/>
  <c r="CR139" i="15"/>
  <c r="CQ139" i="15" s="1"/>
  <c r="CG92" i="15" a="1"/>
  <c r="CG92" i="15" s="1"/>
  <c r="AM145" i="15"/>
  <c r="AN145" i="15" s="1"/>
  <c r="S149" i="15"/>
  <c r="R149" i="15" s="1"/>
  <c r="CR92" i="15"/>
  <c r="AT146" i="15" l="1" a="1"/>
  <c r="AT146" i="15" s="1"/>
  <c r="BH146" i="15" s="1"/>
  <c r="BR146" i="15" s="1"/>
  <c r="CG7" i="15" a="1"/>
  <c r="CG7" i="15" s="1"/>
  <c r="CH7" i="15" s="1" a="1"/>
  <c r="CH7" i="15" s="1"/>
  <c r="AT111" i="15" a="1"/>
  <c r="AT111" i="15" s="1"/>
  <c r="AU111" i="15" s="1" a="1"/>
  <c r="AU111" i="15" s="1"/>
  <c r="AU149" i="15" a="1"/>
  <c r="AU149" i="15" s="1"/>
  <c r="BI149" i="15" s="1"/>
  <c r="BS149" i="15" s="1"/>
  <c r="AT151" i="15" a="1"/>
  <c r="AT151" i="15" s="1"/>
  <c r="BH151" i="15" s="1"/>
  <c r="BR151" i="15" s="1"/>
  <c r="BH150" i="15"/>
  <c r="BR150" i="15" s="1"/>
  <c r="AU146" i="15" a="1"/>
  <c r="AU146" i="15" s="1"/>
  <c r="BI150" i="15"/>
  <c r="BS150" i="15" s="1"/>
  <c r="AV150" i="15" a="1"/>
  <c r="AV150" i="15" s="1"/>
  <c r="AU147" i="15" a="1"/>
  <c r="AU147" i="15" s="1"/>
  <c r="BH147" i="15"/>
  <c r="BR147" i="15" s="1"/>
  <c r="AU148" i="15" a="1"/>
  <c r="AU148" i="15" s="1"/>
  <c r="BH148" i="15"/>
  <c r="BR148" i="15" s="1"/>
  <c r="BR73" i="15"/>
  <c r="BQ34" i="15"/>
  <c r="BR8" i="15"/>
  <c r="BS50" i="15"/>
  <c r="AT80" i="15" a="1"/>
  <c r="AT80" i="15" s="1"/>
  <c r="CG38" i="15" a="1"/>
  <c r="CG38" i="15" s="1"/>
  <c r="CT38" i="15" s="1"/>
  <c r="DD38" i="15" s="1"/>
  <c r="BR12" i="15"/>
  <c r="AT109" i="15" a="1"/>
  <c r="AT109" i="15" s="1"/>
  <c r="AU109" i="15" s="1" a="1"/>
  <c r="AU109" i="15" s="1"/>
  <c r="AT82" i="15" a="1"/>
  <c r="AT82" i="15" s="1"/>
  <c r="BH82" i="15" s="1"/>
  <c r="BR82" i="15" s="1"/>
  <c r="BQ21" i="15"/>
  <c r="BQ51" i="15"/>
  <c r="BT69" i="15"/>
  <c r="BG81" i="15"/>
  <c r="BQ81" i="15" s="1"/>
  <c r="AT81" i="15" a="1"/>
  <c r="AT81" i="15" s="1"/>
  <c r="BR72" i="15"/>
  <c r="BS34" i="15"/>
  <c r="BQ69" i="15"/>
  <c r="BR69" i="15"/>
  <c r="BQ73" i="15"/>
  <c r="BS29" i="15"/>
  <c r="BQ13" i="15"/>
  <c r="BS23" i="15"/>
  <c r="BQ70" i="15"/>
  <c r="BS75" i="15"/>
  <c r="BS73" i="15"/>
  <c r="AU79" i="15" a="1"/>
  <c r="AU79" i="15" s="1"/>
  <c r="BR79" i="15"/>
  <c r="AU83" i="15" a="1"/>
  <c r="AU83" i="15" s="1"/>
  <c r="BH83" i="15"/>
  <c r="BR83" i="15" s="1"/>
  <c r="BQ71" i="15"/>
  <c r="BG84" i="15"/>
  <c r="BQ84" i="15" s="1"/>
  <c r="AT84" i="15" a="1"/>
  <c r="AT84" i="15" s="1"/>
  <c r="BS74" i="15"/>
  <c r="BR40" i="15"/>
  <c r="BQ53" i="15"/>
  <c r="BQ40" i="15"/>
  <c r="BR47" i="15"/>
  <c r="BQ37" i="15"/>
  <c r="BR11" i="15"/>
  <c r="CS90" i="15"/>
  <c r="DC90" i="15" s="1"/>
  <c r="G58" i="15" a="1"/>
  <c r="G58" i="15" s="1"/>
  <c r="H58" i="15" s="1" a="1"/>
  <c r="H58" i="15" s="1"/>
  <c r="T26" i="15"/>
  <c r="AD26" i="15" s="1"/>
  <c r="CS14" i="15"/>
  <c r="DC14" i="15" s="1"/>
  <c r="CS12" i="15"/>
  <c r="DC12" i="15" s="1"/>
  <c r="BR14" i="15"/>
  <c r="CH24" i="15" a="1"/>
  <c r="CH24" i="15" s="1"/>
  <c r="CI24" i="15" s="1" a="1"/>
  <c r="CI24" i="15" s="1"/>
  <c r="AT138" i="15" a="1"/>
  <c r="AT138" i="15" s="1"/>
  <c r="AU138" i="15" s="1" a="1"/>
  <c r="AU138" i="15" s="1"/>
  <c r="BS44" i="15"/>
  <c r="U108" i="15"/>
  <c r="AE108" i="15" s="1"/>
  <c r="BR19" i="15"/>
  <c r="BQ31" i="15"/>
  <c r="BQ58" i="15"/>
  <c r="BG114" i="15"/>
  <c r="BQ114" i="15" s="1"/>
  <c r="BG112" i="15"/>
  <c r="BQ112" i="15" s="1"/>
  <c r="CG50" i="15" a="1"/>
  <c r="CG50" i="15" s="1"/>
  <c r="CT50" i="15" s="1"/>
  <c r="DD50" i="15" s="1"/>
  <c r="CG29" i="15" a="1"/>
  <c r="CG29" i="15" s="1"/>
  <c r="CH29" i="15" s="1" a="1"/>
  <c r="CH29" i="15" s="1"/>
  <c r="G60" i="15" a="1"/>
  <c r="G60" i="15" s="1"/>
  <c r="BH136" i="15"/>
  <c r="BR136" i="15" s="1"/>
  <c r="U90" i="15"/>
  <c r="AE90" i="15" s="1"/>
  <c r="BS16" i="15"/>
  <c r="CS149" i="15"/>
  <c r="DC149" i="15" s="1"/>
  <c r="BS10" i="15"/>
  <c r="BT68" i="15"/>
  <c r="G59" i="15" a="1"/>
  <c r="G59" i="15" s="1"/>
  <c r="U59" i="15" s="1"/>
  <c r="AE59" i="15" s="1"/>
  <c r="CG41" i="15" a="1"/>
  <c r="CG41" i="15" s="1"/>
  <c r="CT41" i="15" s="1"/>
  <c r="DD41" i="15" s="1"/>
  <c r="CG35" i="15" a="1"/>
  <c r="CG35" i="15" s="1"/>
  <c r="CT35" i="15" s="1"/>
  <c r="DD35" i="15" s="1"/>
  <c r="CH142" i="15" a="1"/>
  <c r="CH142" i="15" s="1"/>
  <c r="CI142" i="15" s="1" a="1"/>
  <c r="CI142" i="15" s="1"/>
  <c r="BS123" i="15"/>
  <c r="BQ49" i="15"/>
  <c r="CS28" i="15"/>
  <c r="DC28" i="15" s="1"/>
  <c r="CS123" i="15"/>
  <c r="DC123" i="15" s="1"/>
  <c r="H68" i="15" a="1"/>
  <c r="H68" i="15" s="1"/>
  <c r="I68" i="15" s="1" a="1"/>
  <c r="I68" i="15" s="1"/>
  <c r="CG133" i="15" a="1"/>
  <c r="CG133" i="15" s="1"/>
  <c r="CT133" i="15" s="1"/>
  <c r="DD133" i="15" s="1"/>
  <c r="BS60" i="15"/>
  <c r="BQ38" i="15"/>
  <c r="CS30" i="15"/>
  <c r="DC30" i="15" s="1"/>
  <c r="BQ55" i="15"/>
  <c r="BI114" i="15"/>
  <c r="BS114" i="15" s="1"/>
  <c r="CH151" i="15" a="1"/>
  <c r="CH151" i="15" s="1"/>
  <c r="CI151" i="15" s="1" a="1"/>
  <c r="CI151" i="15" s="1"/>
  <c r="AU87" i="15" a="1"/>
  <c r="AU87" i="15" s="1"/>
  <c r="AV87" i="15" s="1" a="1"/>
  <c r="AV87" i="15" s="1"/>
  <c r="T44" i="15"/>
  <c r="AD44" i="15" s="1"/>
  <c r="CT26" i="15"/>
  <c r="DD26" i="15" s="1"/>
  <c r="CS58" i="15"/>
  <c r="DC58" i="15" s="1"/>
  <c r="T48" i="15"/>
  <c r="AD48" i="15" s="1"/>
  <c r="BH114" i="15"/>
  <c r="BR114" i="15" s="1"/>
  <c r="BT136" i="15"/>
  <c r="CS13" i="15"/>
  <c r="DC13" i="15" s="1"/>
  <c r="CG8" i="15" a="1"/>
  <c r="CG8" i="15" s="1"/>
  <c r="CT8" i="15" s="1"/>
  <c r="DD8" i="15" s="1"/>
  <c r="BG136" i="15"/>
  <c r="BQ136" i="15" s="1"/>
  <c r="BH112" i="15"/>
  <c r="BR112" i="15" s="1"/>
  <c r="AU112" i="15" a="1"/>
  <c r="AU112" i="15" s="1"/>
  <c r="BQ9" i="15"/>
  <c r="BS40" i="15"/>
  <c r="CG47" i="15" a="1"/>
  <c r="CG47" i="15" s="1"/>
  <c r="CH47" i="15" s="1" a="1"/>
  <c r="CH47" i="15" s="1"/>
  <c r="BR13" i="15"/>
  <c r="CS23" i="15"/>
  <c r="DC23" i="15" s="1"/>
  <c r="S41" i="15"/>
  <c r="R41" i="15" s="1"/>
  <c r="AW114" i="15" a="1"/>
  <c r="AW114" i="15" s="1"/>
  <c r="BJ114" i="15"/>
  <c r="BT114" i="15" s="1"/>
  <c r="U49" i="15"/>
  <c r="AE49" i="15" s="1"/>
  <c r="BQ17" i="15"/>
  <c r="BQ63" i="15"/>
  <c r="AW110" i="15" a="1"/>
  <c r="AW110" i="15" s="1"/>
  <c r="BJ110" i="15"/>
  <c r="BT110" i="15" s="1"/>
  <c r="T146" i="15"/>
  <c r="AD146" i="15" s="1"/>
  <c r="G87" i="15" a="1"/>
  <c r="G87" i="15" s="1"/>
  <c r="U87" i="15" s="1"/>
  <c r="CG91" i="15" a="1"/>
  <c r="CG91" i="15" s="1"/>
  <c r="CH91" i="15" s="1" a="1"/>
  <c r="CH91" i="15" s="1"/>
  <c r="BR51" i="15"/>
  <c r="CG137" i="15" a="1"/>
  <c r="CG137" i="15" s="1"/>
  <c r="CS137" i="15"/>
  <c r="DC137" i="15" s="1"/>
  <c r="CG68" i="15" a="1"/>
  <c r="CG68" i="15" s="1"/>
  <c r="CS68" i="15"/>
  <c r="DC68" i="15" s="1"/>
  <c r="CS124" i="15"/>
  <c r="DC124" i="15" s="1"/>
  <c r="CG124" i="15" a="1"/>
  <c r="CG124" i="15" s="1"/>
  <c r="CG141" i="15" a="1"/>
  <c r="CG141" i="15" s="1"/>
  <c r="CT141" i="15" s="1"/>
  <c r="DD141" i="15" s="1"/>
  <c r="CG145" i="15" a="1"/>
  <c r="CG145" i="15" s="1"/>
  <c r="CS145" i="15"/>
  <c r="DC145" i="15" s="1"/>
  <c r="CG17" i="15" a="1"/>
  <c r="CG17" i="15" s="1"/>
  <c r="CH17" i="15" s="1" a="1"/>
  <c r="CH17" i="15" s="1"/>
  <c r="BR24" i="15"/>
  <c r="G45" i="15" a="1"/>
  <c r="G45" i="15" s="1"/>
  <c r="H45" i="15" s="1" a="1"/>
  <c r="H45" i="15" s="1"/>
  <c r="G122" i="15" a="1"/>
  <c r="G122" i="15" s="1"/>
  <c r="H122" i="15" s="1" a="1"/>
  <c r="H122" i="15" s="1"/>
  <c r="T62" i="15"/>
  <c r="AD62" i="15" s="1"/>
  <c r="U124" i="15"/>
  <c r="AE124" i="15" s="1"/>
  <c r="H124" i="15" a="1"/>
  <c r="H124" i="15" s="1"/>
  <c r="BE152" i="15"/>
  <c r="T89" i="15"/>
  <c r="AD89" i="15" s="1"/>
  <c r="CG140" i="15" a="1"/>
  <c r="CG140" i="15" s="1"/>
  <c r="CT140" i="15" s="1"/>
  <c r="DD140" i="15" s="1"/>
  <c r="AU144" i="15" a="1"/>
  <c r="AU144" i="15" s="1"/>
  <c r="AV144" i="15" s="1" a="1"/>
  <c r="AV144" i="15" s="1"/>
  <c r="CS125" i="15"/>
  <c r="DC125" i="15" s="1"/>
  <c r="CG125" i="15" a="1"/>
  <c r="CG125" i="15" s="1"/>
  <c r="CG144" i="15" a="1"/>
  <c r="CG144" i="15" s="1"/>
  <c r="CT144" i="15" s="1"/>
  <c r="DD144" i="15" s="1"/>
  <c r="CS146" i="15"/>
  <c r="DC146" i="15" s="1"/>
  <c r="CG32" i="15" a="1"/>
  <c r="CG32" i="15" s="1"/>
  <c r="CS32" i="15"/>
  <c r="DC32" i="15" s="1"/>
  <c r="BR62" i="15"/>
  <c r="G91" i="15" a="1"/>
  <c r="G91" i="15" s="1"/>
  <c r="T91" i="15"/>
  <c r="AD91" i="15" s="1"/>
  <c r="BT26" i="15"/>
  <c r="BF152" i="15"/>
  <c r="T139" i="15"/>
  <c r="AD139" i="15" s="1"/>
  <c r="CG138" i="15" a="1"/>
  <c r="CG138" i="15" s="1"/>
  <c r="CS138" i="15"/>
  <c r="DC138" i="15" s="1"/>
  <c r="G30" i="15" a="1"/>
  <c r="G30" i="15" s="1"/>
  <c r="T30" i="15"/>
  <c r="AD30" i="15" s="1"/>
  <c r="CS89" i="15"/>
  <c r="DC89" i="15" s="1"/>
  <c r="CG89" i="15" a="1"/>
  <c r="CG89" i="15" s="1"/>
  <c r="CG31" i="15" a="1"/>
  <c r="CG31" i="15" s="1"/>
  <c r="CT31" i="15" s="1"/>
  <c r="DD31" i="15" s="1"/>
  <c r="AT113" i="15" a="1"/>
  <c r="AT113" i="15" s="1"/>
  <c r="BG113" i="15"/>
  <c r="BQ113" i="15" s="1"/>
  <c r="CH87" i="15" a="1"/>
  <c r="CH87" i="15" s="1"/>
  <c r="CT87" i="15"/>
  <c r="DD87" i="15" s="1"/>
  <c r="BS27" i="15"/>
  <c r="BR37" i="15"/>
  <c r="BQ46" i="15"/>
  <c r="BR41" i="15"/>
  <c r="BQ45" i="15"/>
  <c r="BR17" i="15"/>
  <c r="BR30" i="15"/>
  <c r="BR15" i="15"/>
  <c r="BQ33" i="15"/>
  <c r="BQ59" i="15"/>
  <c r="BS24" i="15"/>
  <c r="BQ48" i="15"/>
  <c r="BR25" i="15"/>
  <c r="BR53" i="15"/>
  <c r="BS61" i="15"/>
  <c r="BR36" i="15"/>
  <c r="BQ32" i="15"/>
  <c r="BG124" i="15"/>
  <c r="BQ124" i="15" s="1"/>
  <c r="CT123" i="15"/>
  <c r="DD123" i="15" s="1"/>
  <c r="CH123" i="15" a="1"/>
  <c r="CH123" i="15" s="1"/>
  <c r="CS139" i="15"/>
  <c r="DC139" i="15" s="1"/>
  <c r="CG139" i="15" a="1"/>
  <c r="CG139" i="15" s="1"/>
  <c r="T149" i="15"/>
  <c r="AD149" i="15" s="1"/>
  <c r="V92" i="15"/>
  <c r="AF92" i="15" s="1"/>
  <c r="I92" i="15" a="1"/>
  <c r="I92" i="15" s="1"/>
  <c r="BG137" i="15"/>
  <c r="BQ137" i="15" s="1"/>
  <c r="AT137" i="15" a="1"/>
  <c r="AT137" i="15" s="1"/>
  <c r="AD122" i="15"/>
  <c r="CS15" i="15"/>
  <c r="DC15" i="15" s="1"/>
  <c r="CG15" i="15" a="1"/>
  <c r="CG15" i="15" s="1"/>
  <c r="I90" i="15" a="1"/>
  <c r="I90" i="15" s="1"/>
  <c r="V90" i="15"/>
  <c r="AF90" i="15" s="1"/>
  <c r="CS122" i="15"/>
  <c r="CG122" i="15" a="1"/>
  <c r="CG122" i="15" s="1"/>
  <c r="T142" i="15"/>
  <c r="AD142" i="15" s="1"/>
  <c r="H44" i="15" a="1"/>
  <c r="H44" i="15" s="1"/>
  <c r="U44" i="15"/>
  <c r="AE44" i="15" s="1"/>
  <c r="G53" i="15" a="1"/>
  <c r="G53" i="15" s="1"/>
  <c r="T53" i="15"/>
  <c r="AD53" i="15" s="1"/>
  <c r="G27" i="15" a="1"/>
  <c r="G27" i="15" s="1"/>
  <c r="T27" i="15"/>
  <c r="AD27" i="15" s="1"/>
  <c r="V49" i="15"/>
  <c r="AF49" i="15" s="1"/>
  <c r="I49" i="15" a="1"/>
  <c r="I49" i="15" s="1"/>
  <c r="CH149" i="15" a="1"/>
  <c r="CH149" i="15" s="1"/>
  <c r="CT149" i="15"/>
  <c r="DD149" i="15" s="1"/>
  <c r="CH92" i="15" a="1"/>
  <c r="CH92" i="15" s="1"/>
  <c r="CT92" i="15"/>
  <c r="DD92" i="15" s="1"/>
  <c r="BG145" i="15"/>
  <c r="BQ145" i="15" s="1"/>
  <c r="AT145" i="15" a="1"/>
  <c r="AT145" i="15" s="1"/>
  <c r="G114" i="15" a="1"/>
  <c r="G114" i="15" s="1"/>
  <c r="T114" i="15"/>
  <c r="AD114" i="15" s="1"/>
  <c r="CH14" i="15" a="1"/>
  <c r="CH14" i="15" s="1"/>
  <c r="CT14" i="15"/>
  <c r="DD14" i="15" s="1"/>
  <c r="H125" i="15" a="1"/>
  <c r="H125" i="15" s="1"/>
  <c r="U125" i="15"/>
  <c r="AE125" i="15" s="1"/>
  <c r="CT23" i="15"/>
  <c r="DD23" i="15" s="1"/>
  <c r="CH23" i="15" a="1"/>
  <c r="CH23" i="15" s="1"/>
  <c r="CS21" i="15"/>
  <c r="DC21" i="15" s="1"/>
  <c r="CG21" i="15" a="1"/>
  <c r="CG21" i="15" s="1"/>
  <c r="T47" i="15"/>
  <c r="AD47" i="15" s="1"/>
  <c r="G47" i="15" a="1"/>
  <c r="G47" i="15" s="1"/>
  <c r="U141" i="15"/>
  <c r="AE141" i="15" s="1"/>
  <c r="CG11" i="15" a="1"/>
  <c r="CG11" i="15" s="1"/>
  <c r="CS11" i="15"/>
  <c r="DC11" i="15" s="1"/>
  <c r="U26" i="15"/>
  <c r="AE26" i="15" s="1"/>
  <c r="H26" i="15" a="1"/>
  <c r="H26" i="15" s="1"/>
  <c r="CS136" i="15"/>
  <c r="DC136" i="15" s="1"/>
  <c r="CG136" i="15" a="1"/>
  <c r="CG136" i="15" s="1"/>
  <c r="G28" i="15" a="1"/>
  <c r="G28" i="15" s="1"/>
  <c r="T28" i="15"/>
  <c r="AD28" i="15" s="1"/>
  <c r="CG19" i="15" a="1"/>
  <c r="CG19" i="15" s="1"/>
  <c r="CS19" i="15"/>
  <c r="DC19" i="15" s="1"/>
  <c r="CT63" i="15"/>
  <c r="DD63" i="15" s="1"/>
  <c r="CH63" i="15" a="1"/>
  <c r="CH63" i="15" s="1"/>
  <c r="CU26" i="15"/>
  <c r="DE26" i="15" s="1"/>
  <c r="CI26" i="15" a="1"/>
  <c r="CI26" i="15" s="1"/>
  <c r="T19" i="15"/>
  <c r="AD19" i="15" s="1"/>
  <c r="G19" i="15" a="1"/>
  <c r="G19" i="15" s="1"/>
  <c r="CI112" i="15" a="1"/>
  <c r="CI112" i="15" s="1"/>
  <c r="CU112" i="15"/>
  <c r="DE112" i="15" s="1"/>
  <c r="CT88" i="15"/>
  <c r="CH88" i="15" a="1"/>
  <c r="CH88" i="15" s="1"/>
  <c r="G36" i="15" a="1"/>
  <c r="G36" i="15" s="1"/>
  <c r="T36" i="15"/>
  <c r="AD36" i="15" s="1"/>
  <c r="G112" i="15" a="1"/>
  <c r="G112" i="15" s="1"/>
  <c r="T112" i="15"/>
  <c r="AD112" i="15" s="1"/>
  <c r="CH12" i="15" a="1"/>
  <c r="CH12" i="15" s="1"/>
  <c r="CT12" i="15"/>
  <c r="DD12" i="15" s="1"/>
  <c r="CG36" i="15" a="1"/>
  <c r="CG36" i="15" s="1"/>
  <c r="CS36" i="15"/>
  <c r="DC36" i="15" s="1"/>
  <c r="BH130" i="15"/>
  <c r="BR130" i="15" s="1"/>
  <c r="H62" i="15" a="1"/>
  <c r="H62" i="15" s="1"/>
  <c r="U62" i="15"/>
  <c r="AE62" i="15" s="1"/>
  <c r="N41" i="15" a="1"/>
  <c r="N41" i="15" s="1"/>
  <c r="AB41" i="15" s="1"/>
  <c r="AA41" i="15"/>
  <c r="CH143" i="15" a="1"/>
  <c r="CH143" i="15" s="1"/>
  <c r="CT143" i="15"/>
  <c r="DD143" i="15" s="1"/>
  <c r="T144" i="15"/>
  <c r="AD144" i="15" s="1"/>
  <c r="CG43" i="15" a="1"/>
  <c r="CG43" i="15" s="1"/>
  <c r="CS43" i="15"/>
  <c r="DC43" i="15" s="1"/>
  <c r="CH9" i="15" a="1"/>
  <c r="CH9" i="15" s="1"/>
  <c r="CT9" i="15"/>
  <c r="DD9" i="15" s="1"/>
  <c r="CI55" i="15" a="1"/>
  <c r="CI55" i="15" s="1"/>
  <c r="CU55" i="15"/>
  <c r="DE55" i="15" s="1"/>
  <c r="CG25" i="15" a="1"/>
  <c r="CG25" i="15" s="1"/>
  <c r="CS25" i="15"/>
  <c r="DC25" i="15" s="1"/>
  <c r="G23" i="15" a="1"/>
  <c r="G23" i="15" s="1"/>
  <c r="AD23" i="15"/>
  <c r="CQ92" i="15"/>
  <c r="CQ115" i="15" s="1"/>
  <c r="CR115" i="15"/>
  <c r="CT46" i="15"/>
  <c r="DD46" i="15" s="1"/>
  <c r="CH46" i="15" a="1"/>
  <c r="CH46" i="15" s="1"/>
  <c r="CQ152" i="15"/>
  <c r="S152" i="15"/>
  <c r="CR152" i="15"/>
  <c r="CT131" i="15"/>
  <c r="DD131" i="15" s="1"/>
  <c r="CH131" i="15" a="1"/>
  <c r="CH131" i="15" s="1"/>
  <c r="T148" i="15"/>
  <c r="AD148" i="15" s="1"/>
  <c r="CH60" i="15" a="1"/>
  <c r="CH60" i="15" s="1"/>
  <c r="CT60" i="15"/>
  <c r="DD60" i="15" s="1"/>
  <c r="CS37" i="15"/>
  <c r="DC37" i="15" s="1"/>
  <c r="CG37" i="15" a="1"/>
  <c r="CG37" i="15" s="1"/>
  <c r="T151" i="15"/>
  <c r="AD151" i="15" s="1"/>
  <c r="T33" i="15"/>
  <c r="G33" i="15" a="1"/>
  <c r="G33" i="15" s="1"/>
  <c r="T46" i="15"/>
  <c r="AD46" i="15" s="1"/>
  <c r="G46" i="15" a="1"/>
  <c r="G46" i="15" s="1"/>
  <c r="CS62" i="15"/>
  <c r="DC62" i="15" s="1"/>
  <c r="CG62" i="15" a="1"/>
  <c r="CG62" i="15" s="1"/>
  <c r="T143" i="15"/>
  <c r="AD143" i="15" s="1"/>
  <c r="CT40" i="15"/>
  <c r="DD40" i="15" s="1"/>
  <c r="CH40" i="15" a="1"/>
  <c r="CH40" i="15" s="1"/>
  <c r="T16" i="15"/>
  <c r="AD16" i="15" s="1"/>
  <c r="G16" i="15" a="1"/>
  <c r="G16" i="15" s="1"/>
  <c r="T52" i="15"/>
  <c r="AD52" i="15" s="1"/>
  <c r="G52" i="15" a="1"/>
  <c r="G52" i="15" s="1"/>
  <c r="CX51" i="15"/>
  <c r="DH51" i="15" s="1"/>
  <c r="DL51" i="15" s="1"/>
  <c r="CL51" i="15" a="1"/>
  <c r="CL51" i="15" s="1"/>
  <c r="CH90" i="15" a="1"/>
  <c r="CH90" i="15" s="1"/>
  <c r="CT90" i="15"/>
  <c r="DD90" i="15" s="1"/>
  <c r="CH52" i="15" a="1"/>
  <c r="CH52" i="15" s="1"/>
  <c r="CT52" i="15"/>
  <c r="DD52" i="15" s="1"/>
  <c r="U123" i="15"/>
  <c r="AE123" i="15" s="1"/>
  <c r="H123" i="15" a="1"/>
  <c r="H123" i="15" s="1"/>
  <c r="BE115" i="15"/>
  <c r="G50" i="15" a="1"/>
  <c r="G50" i="15" s="1"/>
  <c r="T50" i="15"/>
  <c r="AD50" i="15" s="1"/>
  <c r="CR85" i="15"/>
  <c r="CQ85" i="15"/>
  <c r="U140" i="15"/>
  <c r="AE140" i="15" s="1"/>
  <c r="U63" i="15"/>
  <c r="AE63" i="15" s="1"/>
  <c r="H63" i="15" a="1"/>
  <c r="H63" i="15" s="1"/>
  <c r="T24" i="15"/>
  <c r="AD24" i="15" s="1"/>
  <c r="G24" i="15" a="1"/>
  <c r="G24" i="15" s="1"/>
  <c r="CT49" i="15"/>
  <c r="DD49" i="15" s="1"/>
  <c r="CH49" i="15" a="1"/>
  <c r="CH49" i="15" s="1"/>
  <c r="AT142" i="15" a="1"/>
  <c r="AT142" i="15" s="1"/>
  <c r="BG142" i="15"/>
  <c r="BQ142" i="15" s="1"/>
  <c r="CG48" i="15" a="1"/>
  <c r="CG48" i="15" s="1"/>
  <c r="CS48" i="15"/>
  <c r="DC48" i="15" s="1"/>
  <c r="CS111" i="15"/>
  <c r="DC111" i="15" s="1"/>
  <c r="CG111" i="15" a="1"/>
  <c r="CG111" i="15" s="1"/>
  <c r="T150" i="15"/>
  <c r="AD150" i="15" s="1"/>
  <c r="U13" i="15"/>
  <c r="S13" i="15"/>
  <c r="AA13" i="15"/>
  <c r="AB13" i="15"/>
  <c r="Y13" i="15"/>
  <c r="Z13" i="15"/>
  <c r="V13" i="15"/>
  <c r="T13" i="15"/>
  <c r="X13" i="15"/>
  <c r="W13" i="15"/>
  <c r="BG141" i="15"/>
  <c r="BQ141" i="15" s="1"/>
  <c r="AT141" i="15" a="1"/>
  <c r="AT141" i="15" s="1"/>
  <c r="I111" i="15" a="1"/>
  <c r="I111" i="15" s="1"/>
  <c r="V111" i="15"/>
  <c r="AF111" i="15" s="1"/>
  <c r="CT61" i="15"/>
  <c r="DD61" i="15" s="1"/>
  <c r="CH61" i="15" a="1"/>
  <c r="CH61" i="15" s="1"/>
  <c r="G14" i="15" a="1"/>
  <c r="G14" i="15" s="1"/>
  <c r="T14" i="15"/>
  <c r="AD14" i="15" s="1"/>
  <c r="V147" i="15"/>
  <c r="AF147" i="15" s="1"/>
  <c r="BG125" i="15"/>
  <c r="BQ125" i="15" s="1"/>
  <c r="CT146" i="15"/>
  <c r="DD146" i="15" s="1"/>
  <c r="CH146" i="15" a="1"/>
  <c r="CH146" i="15" s="1"/>
  <c r="CG22" i="15" a="1"/>
  <c r="CG22" i="15" s="1"/>
  <c r="CS22" i="15"/>
  <c r="DC22" i="15" s="1"/>
  <c r="BG133" i="15"/>
  <c r="BQ133" i="15" s="1"/>
  <c r="CH13" i="15" a="1"/>
  <c r="CH13" i="15" s="1"/>
  <c r="CT13" i="15"/>
  <c r="DD13" i="15" s="1"/>
  <c r="CS45" i="15"/>
  <c r="DC45" i="15" s="1"/>
  <c r="CG45" i="15" a="1"/>
  <c r="CG45" i="15" s="1"/>
  <c r="T113" i="15"/>
  <c r="AD113" i="15" s="1"/>
  <c r="G113" i="15" a="1"/>
  <c r="G113" i="15" s="1"/>
  <c r="G88" i="15" a="1"/>
  <c r="G88" i="15" s="1"/>
  <c r="T88" i="15"/>
  <c r="CG16" i="15" a="1"/>
  <c r="CG16" i="15" s="1"/>
  <c r="CS16" i="15"/>
  <c r="DC16" i="15" s="1"/>
  <c r="BG143" i="15"/>
  <c r="BQ143" i="15" s="1"/>
  <c r="AT143" i="15" a="1"/>
  <c r="AT143" i="15" s="1"/>
  <c r="CH113" i="15" a="1"/>
  <c r="CH113" i="15" s="1"/>
  <c r="CT113" i="15"/>
  <c r="DD113" i="15" s="1"/>
  <c r="CH58" i="15" a="1"/>
  <c r="CH58" i="15" s="1"/>
  <c r="CT58" i="15"/>
  <c r="DD58" i="15" s="1"/>
  <c r="BF115" i="15"/>
  <c r="H48" i="15" a="1"/>
  <c r="H48" i="15" s="1"/>
  <c r="U48" i="15"/>
  <c r="AE48" i="15" s="1"/>
  <c r="CS10" i="15"/>
  <c r="DC10" i="15" s="1"/>
  <c r="CG10" i="15" a="1"/>
  <c r="CG10" i="15" s="1"/>
  <c r="CI59" i="15" a="1"/>
  <c r="CI59" i="15" s="1"/>
  <c r="CU59" i="15"/>
  <c r="DE59" i="15" s="1"/>
  <c r="N34" i="15" a="1"/>
  <c r="N34" i="15" s="1"/>
  <c r="AB34" i="15" s="1"/>
  <c r="AA34" i="15"/>
  <c r="H89" i="15" a="1"/>
  <c r="H89" i="15" s="1"/>
  <c r="U89" i="15"/>
  <c r="AE89" i="15" s="1"/>
  <c r="I108" i="15" a="1"/>
  <c r="I108" i="15" s="1"/>
  <c r="V108" i="15"/>
  <c r="AF108" i="15" s="1"/>
  <c r="CT130" i="15"/>
  <c r="DD130" i="15" s="1"/>
  <c r="CH130" i="15" a="1"/>
  <c r="CH130" i="15" s="1"/>
  <c r="CU27" i="15"/>
  <c r="DE27" i="15" s="1"/>
  <c r="CI27" i="15" a="1"/>
  <c r="CI27" i="15" s="1"/>
  <c r="CH44" i="15" a="1"/>
  <c r="CH44" i="15" s="1"/>
  <c r="CT44" i="15"/>
  <c r="DD44" i="15" s="1"/>
  <c r="BH139" i="15"/>
  <c r="BR139" i="15" s="1"/>
  <c r="AU139" i="15" a="1"/>
  <c r="AU139" i="15" s="1"/>
  <c r="T15" i="15"/>
  <c r="AD15" i="15" s="1"/>
  <c r="G15" i="15" a="1"/>
  <c r="G15" i="15" s="1"/>
  <c r="CT30" i="15"/>
  <c r="DD30" i="15" s="1"/>
  <c r="CH30" i="15" a="1"/>
  <c r="CH30" i="15" s="1"/>
  <c r="AA38" i="15"/>
  <c r="N38" i="15" a="1"/>
  <c r="N38" i="15" s="1"/>
  <c r="AB38" i="15" s="1"/>
  <c r="T17" i="15"/>
  <c r="AD17" i="15" s="1"/>
  <c r="G17" i="15" a="1"/>
  <c r="G17" i="15" s="1"/>
  <c r="CH53" i="15" a="1"/>
  <c r="CH53" i="15" s="1"/>
  <c r="CT53" i="15"/>
  <c r="DD53" i="15" s="1"/>
  <c r="CS33" i="15"/>
  <c r="DC33" i="15" s="1"/>
  <c r="CG33" i="15" a="1"/>
  <c r="CG33" i="15" s="1"/>
  <c r="G31" i="15" a="1"/>
  <c r="G31" i="15" s="1"/>
  <c r="T31" i="15"/>
  <c r="AD31" i="15" s="1"/>
  <c r="AU140" i="15" a="1"/>
  <c r="AU140" i="15" s="1"/>
  <c r="BH140" i="15"/>
  <c r="BR140" i="15" s="1"/>
  <c r="G35" i="15" a="1"/>
  <c r="G35" i="15" s="1"/>
  <c r="T35" i="15"/>
  <c r="AD35" i="15" s="1"/>
  <c r="CT28" i="15"/>
  <c r="DD28" i="15" s="1"/>
  <c r="CH28" i="15" a="1"/>
  <c r="CH28" i="15" s="1"/>
  <c r="CT7" i="15" l="1"/>
  <c r="DD7" i="15" s="1"/>
  <c r="S85" i="15"/>
  <c r="BH111" i="15"/>
  <c r="BR111" i="15" s="1"/>
  <c r="AU151" i="15" a="1"/>
  <c r="AU151" i="15" s="1"/>
  <c r="AV151" i="15" s="1" a="1"/>
  <c r="AV151" i="15" s="1"/>
  <c r="AV149" i="15" a="1"/>
  <c r="AV149" i="15" s="1"/>
  <c r="BJ149" i="15" s="1"/>
  <c r="BT149" i="15" s="1"/>
  <c r="BI146" i="15"/>
  <c r="BS146" i="15" s="1"/>
  <c r="AV146" i="15" a="1"/>
  <c r="AV146" i="15" s="1"/>
  <c r="BJ150" i="15"/>
  <c r="BT150" i="15" s="1"/>
  <c r="AW150" i="15" a="1"/>
  <c r="AW150" i="15" s="1"/>
  <c r="BI147" i="15"/>
  <c r="BS147" i="15" s="1"/>
  <c r="AV147" i="15" a="1"/>
  <c r="AV147" i="15" s="1"/>
  <c r="BI148" i="15"/>
  <c r="BS148" i="15" s="1"/>
  <c r="AV148" i="15" a="1"/>
  <c r="AV148" i="15" s="1"/>
  <c r="CH38" i="15" a="1"/>
  <c r="CH38" i="15" s="1"/>
  <c r="CU38" i="15" s="1"/>
  <c r="DE38" i="15" s="1"/>
  <c r="AU82" i="15" a="1"/>
  <c r="AU82" i="15" s="1"/>
  <c r="AV82" i="15" s="1" a="1"/>
  <c r="AV82" i="15" s="1"/>
  <c r="BH109" i="15"/>
  <c r="BR109" i="15" s="1"/>
  <c r="BH131" i="15"/>
  <c r="BR131" i="15" s="1"/>
  <c r="BU50" i="15"/>
  <c r="BS8" i="15"/>
  <c r="BT21" i="15"/>
  <c r="AU80" i="15" a="1"/>
  <c r="AU80" i="15" s="1"/>
  <c r="BH80" i="15"/>
  <c r="BR80" i="15" s="1"/>
  <c r="BU52" i="15"/>
  <c r="BT23" i="15"/>
  <c r="BI111" i="15"/>
  <c r="BS111" i="15" s="1"/>
  <c r="AV111" i="15" a="1"/>
  <c r="AV111" i="15" s="1"/>
  <c r="BT34" i="15"/>
  <c r="BS21" i="15"/>
  <c r="BH81" i="15"/>
  <c r="BR81" i="15" s="1"/>
  <c r="AU81" i="15" a="1"/>
  <c r="AU81" i="15" s="1"/>
  <c r="BT75" i="15"/>
  <c r="BT74" i="15"/>
  <c r="BS79" i="15"/>
  <c r="AV79" i="15" a="1"/>
  <c r="AV79" i="15" s="1"/>
  <c r="BH84" i="15"/>
  <c r="BR84" i="15" s="1"/>
  <c r="AU84" i="15" a="1"/>
  <c r="AU84" i="15" s="1"/>
  <c r="BT73" i="15"/>
  <c r="BR23" i="15"/>
  <c r="BR71" i="15"/>
  <c r="BR22" i="15"/>
  <c r="BS83" i="15"/>
  <c r="AV83" i="15" a="1"/>
  <c r="AV83" i="15" s="1"/>
  <c r="BT44" i="15"/>
  <c r="BR70" i="15"/>
  <c r="BS47" i="15"/>
  <c r="BU35" i="15"/>
  <c r="U58" i="15"/>
  <c r="AE58" i="15" s="1"/>
  <c r="BH138" i="15"/>
  <c r="BR138" i="15" s="1"/>
  <c r="CU24" i="15"/>
  <c r="DE24" i="15" s="1"/>
  <c r="BR28" i="15"/>
  <c r="BU68" i="15"/>
  <c r="BT60" i="15"/>
  <c r="CH133" i="15" a="1"/>
  <c r="CH133" i="15" s="1"/>
  <c r="CI133" i="15" s="1" a="1"/>
  <c r="CI133" i="15" s="1"/>
  <c r="H59" i="15" a="1"/>
  <c r="H59" i="15" s="1"/>
  <c r="V59" i="15" s="1"/>
  <c r="AF59" i="15" s="1"/>
  <c r="BR58" i="15"/>
  <c r="CH50" i="15" a="1"/>
  <c r="CH50" i="15" s="1"/>
  <c r="CI50" i="15" s="1" a="1"/>
  <c r="CI50" i="15" s="1"/>
  <c r="CH41" i="15" a="1"/>
  <c r="CH41" i="15" s="1"/>
  <c r="CI41" i="15" s="1" a="1"/>
  <c r="CI41" i="15" s="1"/>
  <c r="BR31" i="15"/>
  <c r="CT29" i="15"/>
  <c r="DD29" i="15" s="1"/>
  <c r="BS19" i="15"/>
  <c r="BT16" i="15"/>
  <c r="H60" i="15" a="1"/>
  <c r="H60" i="15" s="1"/>
  <c r="U60" i="15"/>
  <c r="AE60" i="15" s="1"/>
  <c r="CH31" i="15" a="1"/>
  <c r="CH31" i="15" s="1"/>
  <c r="CU31" i="15" s="1"/>
  <c r="DE31" i="15" s="1"/>
  <c r="BI87" i="15"/>
  <c r="BS87" i="15" s="1"/>
  <c r="CH35" i="15" a="1"/>
  <c r="CH35" i="15" s="1"/>
  <c r="CU35" i="15" s="1"/>
  <c r="DE35" i="15" s="1"/>
  <c r="CU151" i="15"/>
  <c r="DE151" i="15" s="1"/>
  <c r="CR117" i="15"/>
  <c r="CU142" i="15"/>
  <c r="DE142" i="15" s="1"/>
  <c r="BR49" i="15"/>
  <c r="CT91" i="15"/>
  <c r="DD91" i="15" s="1"/>
  <c r="BI144" i="15"/>
  <c r="BS144" i="15" s="1"/>
  <c r="BR43" i="15"/>
  <c r="BR55" i="15"/>
  <c r="V68" i="15"/>
  <c r="AF68" i="15" s="1"/>
  <c r="BR38" i="15"/>
  <c r="CH144" i="15" a="1"/>
  <c r="CH144" i="15" s="1"/>
  <c r="CI144" i="15" s="1" a="1"/>
  <c r="CI144" i="15" s="1"/>
  <c r="AV109" i="15" a="1"/>
  <c r="AV109" i="15" s="1"/>
  <c r="BI109" i="15"/>
  <c r="BS109" i="15" s="1"/>
  <c r="U122" i="15"/>
  <c r="AE122" i="15" s="1"/>
  <c r="H87" i="15" a="1"/>
  <c r="H87" i="15" s="1"/>
  <c r="V87" i="15" s="1"/>
  <c r="CH8" i="15" a="1"/>
  <c r="CH8" i="15" s="1"/>
  <c r="CU8" i="15" s="1"/>
  <c r="DE8" i="15" s="1"/>
  <c r="BR9" i="15"/>
  <c r="CH140" i="15" a="1"/>
  <c r="CH140" i="15" s="1"/>
  <c r="CI140" i="15" s="1" a="1"/>
  <c r="CI140" i="15" s="1"/>
  <c r="AV112" i="15" a="1"/>
  <c r="AV112" i="15" s="1"/>
  <c r="BI112" i="15"/>
  <c r="BS112" i="15" s="1"/>
  <c r="H91" i="15" a="1"/>
  <c r="H91" i="15" s="1"/>
  <c r="U91" i="15"/>
  <c r="AE91" i="15" s="1"/>
  <c r="BR63" i="15"/>
  <c r="BS62" i="15"/>
  <c r="BS13" i="15"/>
  <c r="CT145" i="15"/>
  <c r="DD145" i="15" s="1"/>
  <c r="CH145" i="15" a="1"/>
  <c r="CH145" i="15" s="1"/>
  <c r="T41" i="15"/>
  <c r="AD41" i="15" s="1"/>
  <c r="CT47" i="15"/>
  <c r="DD47" i="15" s="1"/>
  <c r="CH138" i="15" a="1"/>
  <c r="CH138" i="15" s="1"/>
  <c r="CT138" i="15"/>
  <c r="DD138" i="15" s="1"/>
  <c r="CH32" i="15" a="1"/>
  <c r="CH32" i="15" s="1"/>
  <c r="CT32" i="15"/>
  <c r="DD32" i="15" s="1"/>
  <c r="CH124" i="15" a="1"/>
  <c r="CH124" i="15" s="1"/>
  <c r="CT124" i="15"/>
  <c r="DD124" i="15" s="1"/>
  <c r="BS43" i="15"/>
  <c r="CS115" i="15"/>
  <c r="CT17" i="15"/>
  <c r="DD17" i="15" s="1"/>
  <c r="CH68" i="15" a="1"/>
  <c r="CH68" i="15" s="1"/>
  <c r="CT68" i="15"/>
  <c r="DD68" i="15" s="1"/>
  <c r="V124" i="15"/>
  <c r="AF124" i="15" s="1"/>
  <c r="I124" i="15" a="1"/>
  <c r="I124" i="15" s="1"/>
  <c r="U30" i="15"/>
  <c r="AE30" i="15" s="1"/>
  <c r="H30" i="15" a="1"/>
  <c r="H30" i="15" s="1"/>
  <c r="U139" i="15"/>
  <c r="AE139" i="15" s="1"/>
  <c r="CH137" i="15" a="1"/>
  <c r="CH137" i="15" s="1"/>
  <c r="CT137" i="15"/>
  <c r="DD137" i="15" s="1"/>
  <c r="AW87" i="15" a="1"/>
  <c r="AW87" i="15" s="1"/>
  <c r="BJ87" i="15"/>
  <c r="BT87" i="15" s="1"/>
  <c r="CH125" i="15" a="1"/>
  <c r="CH125" i="15" s="1"/>
  <c r="CT125" i="15"/>
  <c r="DD125" i="15" s="1"/>
  <c r="CI87" i="15" a="1"/>
  <c r="CI87" i="15" s="1"/>
  <c r="CU87" i="15"/>
  <c r="DE87" i="15" s="1"/>
  <c r="U45" i="15"/>
  <c r="AE45" i="15" s="1"/>
  <c r="AU113" i="15" a="1"/>
  <c r="AU113" i="15" s="1"/>
  <c r="BH113" i="15"/>
  <c r="BR113" i="15" s="1"/>
  <c r="CH141" i="15" a="1"/>
  <c r="CH141" i="15" s="1"/>
  <c r="CI141" i="15" s="1" a="1"/>
  <c r="CI141" i="15" s="1"/>
  <c r="BU26" i="15"/>
  <c r="BV52" i="15"/>
  <c r="AY52" i="15" a="1"/>
  <c r="AY52" i="15" s="1"/>
  <c r="BS51" i="15"/>
  <c r="BT40" i="15"/>
  <c r="AX114" i="15" a="1"/>
  <c r="AX114" i="15" s="1"/>
  <c r="BK114" i="15"/>
  <c r="BU114" i="15" s="1"/>
  <c r="U146" i="15"/>
  <c r="AE146" i="15" s="1"/>
  <c r="CT89" i="15"/>
  <c r="DD89" i="15" s="1"/>
  <c r="CH89" i="15" a="1"/>
  <c r="CH89" i="15" s="1"/>
  <c r="AX110" i="15" a="1"/>
  <c r="AX110" i="15" s="1"/>
  <c r="BK110" i="15"/>
  <c r="BU110" i="15" s="1"/>
  <c r="BS53" i="15"/>
  <c r="BS37" i="15"/>
  <c r="BT61" i="15"/>
  <c r="BV35" i="15"/>
  <c r="AY35" i="15" a="1"/>
  <c r="AY35" i="15" s="1"/>
  <c r="CU7" i="15"/>
  <c r="DE7" i="15" s="1"/>
  <c r="CI7" i="15" a="1"/>
  <c r="CI7" i="15" s="1"/>
  <c r="BR59" i="15"/>
  <c r="BS15" i="15"/>
  <c r="BS36" i="15"/>
  <c r="BR33" i="15"/>
  <c r="BS17" i="15"/>
  <c r="BR45" i="15"/>
  <c r="BS25" i="15"/>
  <c r="BS22" i="15"/>
  <c r="BR46" i="15"/>
  <c r="BU21" i="15"/>
  <c r="BT24" i="15"/>
  <c r="BS41" i="15"/>
  <c r="BT27" i="15"/>
  <c r="BR32" i="15"/>
  <c r="BR48" i="15"/>
  <c r="BS30" i="15"/>
  <c r="V89" i="15"/>
  <c r="AF89" i="15" s="1"/>
  <c r="I89" i="15" a="1"/>
  <c r="I89" i="15" s="1"/>
  <c r="CU61" i="15"/>
  <c r="DE61" i="15" s="1"/>
  <c r="CI61" i="15" a="1"/>
  <c r="CI61" i="15" s="1"/>
  <c r="CU131" i="15"/>
  <c r="DE131" i="15" s="1"/>
  <c r="CI131" i="15" a="1"/>
  <c r="CI131" i="15" s="1"/>
  <c r="BS130" i="15"/>
  <c r="DD88" i="15"/>
  <c r="R13" i="15"/>
  <c r="R115" i="15" s="1"/>
  <c r="CS85" i="15"/>
  <c r="CU146" i="15"/>
  <c r="DE146" i="15" s="1"/>
  <c r="CI146" i="15" a="1"/>
  <c r="CI146" i="15" s="1"/>
  <c r="U143" i="15"/>
  <c r="AE143" i="15" s="1"/>
  <c r="CJ112" i="15" a="1"/>
  <c r="CJ112" i="15" s="1"/>
  <c r="CV112" i="15"/>
  <c r="DF112" i="15" s="1"/>
  <c r="AD88" i="15"/>
  <c r="V123" i="15"/>
  <c r="AF123" i="15" s="1"/>
  <c r="I123" i="15" a="1"/>
  <c r="I123" i="15" s="1"/>
  <c r="CI12" i="15" a="1"/>
  <c r="CI12" i="15" s="1"/>
  <c r="CU12" i="15"/>
  <c r="DE12" i="15" s="1"/>
  <c r="BH124" i="15"/>
  <c r="BR124" i="15" s="1"/>
  <c r="H88" i="15" a="1"/>
  <c r="H88" i="15" s="1"/>
  <c r="U88" i="15"/>
  <c r="AE88" i="15" s="1"/>
  <c r="BH141" i="15"/>
  <c r="BR141" i="15" s="1"/>
  <c r="AU141" i="15" a="1"/>
  <c r="AU141" i="15" s="1"/>
  <c r="U142" i="15"/>
  <c r="AE142" i="15" s="1"/>
  <c r="CU29" i="15"/>
  <c r="DE29" i="15" s="1"/>
  <c r="CI29" i="15" a="1"/>
  <c r="CI29" i="15" s="1"/>
  <c r="H23" i="15" a="1"/>
  <c r="H23" i="15" s="1"/>
  <c r="U23" i="15"/>
  <c r="AE23" i="15" s="1"/>
  <c r="CT43" i="15"/>
  <c r="DD43" i="15" s="1"/>
  <c r="CH43" i="15" a="1"/>
  <c r="CH43" i="15" s="1"/>
  <c r="H53" i="15" a="1"/>
  <c r="H53" i="15" s="1"/>
  <c r="U53" i="15"/>
  <c r="AE53" i="15" s="1"/>
  <c r="CT45" i="15"/>
  <c r="DD45" i="15" s="1"/>
  <c r="CH45" i="15" a="1"/>
  <c r="CH45" i="15" s="1"/>
  <c r="CH62" i="15" a="1"/>
  <c r="CH62" i="15" s="1"/>
  <c r="CT62" i="15"/>
  <c r="DD62" i="15" s="1"/>
  <c r="CT139" i="15"/>
  <c r="DD139" i="15" s="1"/>
  <c r="CH139" i="15" a="1"/>
  <c r="CH139" i="15" s="1"/>
  <c r="CJ55" i="15" a="1"/>
  <c r="CJ55" i="15" s="1"/>
  <c r="CV55" i="15"/>
  <c r="DF55" i="15" s="1"/>
  <c r="U36" i="15"/>
  <c r="AE36" i="15" s="1"/>
  <c r="H36" i="15" a="1"/>
  <c r="H36" i="15" s="1"/>
  <c r="CH136" i="15" a="1"/>
  <c r="CH136" i="15" s="1"/>
  <c r="CT136" i="15"/>
  <c r="DD136" i="15" s="1"/>
  <c r="T152" i="15"/>
  <c r="BH145" i="15"/>
  <c r="BR145" i="15" s="1"/>
  <c r="AU145" i="15" a="1"/>
  <c r="AU145" i="15" s="1"/>
  <c r="CT33" i="15"/>
  <c r="DD33" i="15" s="1"/>
  <c r="CH33" i="15" a="1"/>
  <c r="CH33" i="15" s="1"/>
  <c r="V48" i="15"/>
  <c r="AF48" i="15" s="1"/>
  <c r="I48" i="15" a="1"/>
  <c r="I48" i="15" s="1"/>
  <c r="V140" i="15"/>
  <c r="AF140" i="15" s="1"/>
  <c r="CU60" i="15"/>
  <c r="DE60" i="15" s="1"/>
  <c r="CI60" i="15" a="1"/>
  <c r="CI60" i="15" s="1"/>
  <c r="CU143" i="15"/>
  <c r="DE143" i="15" s="1"/>
  <c r="CI143" i="15" a="1"/>
  <c r="CI143" i="15" s="1"/>
  <c r="CI113" i="15" a="1"/>
  <c r="CI113" i="15" s="1"/>
  <c r="CU113" i="15"/>
  <c r="DE113" i="15" s="1"/>
  <c r="AH13" i="15"/>
  <c r="T38" i="15"/>
  <c r="AD38" i="15" s="1"/>
  <c r="U33" i="15"/>
  <c r="H33" i="15" a="1"/>
  <c r="H33" i="15" s="1"/>
  <c r="U148" i="15"/>
  <c r="AE148" i="15" s="1"/>
  <c r="BS131" i="15"/>
  <c r="V26" i="15"/>
  <c r="AF26" i="15" s="1"/>
  <c r="I26" i="15" a="1"/>
  <c r="I26" i="15" s="1"/>
  <c r="CU92" i="15"/>
  <c r="DE92" i="15" s="1"/>
  <c r="CI92" i="15" a="1"/>
  <c r="CI92" i="15" s="1"/>
  <c r="CI47" i="15" a="1"/>
  <c r="CI47" i="15" s="1"/>
  <c r="CU47" i="15"/>
  <c r="DE47" i="15" s="1"/>
  <c r="AD13" i="15"/>
  <c r="U16" i="15"/>
  <c r="AE16" i="15" s="1"/>
  <c r="H16" i="15" a="1"/>
  <c r="H16" i="15" s="1"/>
  <c r="AD33" i="15"/>
  <c r="T34" i="15"/>
  <c r="AD34" i="15" s="1"/>
  <c r="CU46" i="15"/>
  <c r="DE46" i="15" s="1"/>
  <c r="CI46" i="15" a="1"/>
  <c r="CI46" i="15" s="1"/>
  <c r="V125" i="15"/>
  <c r="AF125" i="15" s="1"/>
  <c r="I125" i="15" a="1"/>
  <c r="I125" i="15" s="1"/>
  <c r="CH15" i="15" a="1"/>
  <c r="CH15" i="15" s="1"/>
  <c r="CT15" i="15"/>
  <c r="DD15" i="15" s="1"/>
  <c r="AU137" i="15" a="1"/>
  <c r="AU137" i="15" s="1"/>
  <c r="BH137" i="15"/>
  <c r="BR137" i="15" s="1"/>
  <c r="CI91" i="15" a="1"/>
  <c r="CI91" i="15" s="1"/>
  <c r="CU91" i="15"/>
  <c r="DE91" i="15" s="1"/>
  <c r="U52" i="15"/>
  <c r="AE52" i="15" s="1"/>
  <c r="H52" i="15" a="1"/>
  <c r="H52" i="15" s="1"/>
  <c r="CI63" i="15" a="1"/>
  <c r="CI63" i="15" s="1"/>
  <c r="CU63" i="15"/>
  <c r="DE63" i="15" s="1"/>
  <c r="CU14" i="15"/>
  <c r="DE14" i="15" s="1"/>
  <c r="CI14" i="15" a="1"/>
  <c r="CI14" i="15" s="1"/>
  <c r="BH122" i="15"/>
  <c r="V141" i="15"/>
  <c r="AF141" i="15" s="1"/>
  <c r="AV138" i="15" a="1"/>
  <c r="AV138" i="15" s="1"/>
  <c r="BS138" i="15"/>
  <c r="H24" i="15" a="1"/>
  <c r="H24" i="15" s="1"/>
  <c r="U24" i="15"/>
  <c r="AE24" i="15" s="1"/>
  <c r="H35" i="15" a="1"/>
  <c r="H35" i="15" s="1"/>
  <c r="U35" i="15"/>
  <c r="AE35" i="15" s="1"/>
  <c r="CJ24" i="15" a="1"/>
  <c r="CJ24" i="15" s="1"/>
  <c r="CV24" i="15"/>
  <c r="DF24" i="15" s="1"/>
  <c r="I58" i="15" a="1"/>
  <c r="I58" i="15" s="1"/>
  <c r="V58" i="15"/>
  <c r="AF58" i="15" s="1"/>
  <c r="CH37" i="15" a="1"/>
  <c r="CH37" i="15" s="1"/>
  <c r="CT37" i="15"/>
  <c r="DD37" i="15" s="1"/>
  <c r="H27" i="15" a="1"/>
  <c r="H27" i="15" s="1"/>
  <c r="U27" i="15"/>
  <c r="AE27" i="15" s="1"/>
  <c r="W147" i="15"/>
  <c r="AG147" i="15" s="1"/>
  <c r="CH122" i="15" a="1"/>
  <c r="CH122" i="15" s="1"/>
  <c r="CT122" i="15"/>
  <c r="BS140" i="15"/>
  <c r="AV140" i="15" a="1"/>
  <c r="AV140" i="15" s="1"/>
  <c r="CJ59" i="15" a="1"/>
  <c r="CJ59" i="15" s="1"/>
  <c r="CV59" i="15"/>
  <c r="DF59" i="15" s="1"/>
  <c r="AU142" i="15" a="1"/>
  <c r="AU142" i="15" s="1"/>
  <c r="BH142" i="15"/>
  <c r="BR142" i="15" s="1"/>
  <c r="CJ151" i="15" a="1"/>
  <c r="CJ151" i="15" s="1"/>
  <c r="CV151" i="15"/>
  <c r="DF151" i="15" s="1"/>
  <c r="U47" i="15"/>
  <c r="AE47" i="15" s="1"/>
  <c r="H47" i="15" a="1"/>
  <c r="H47" i="15" s="1"/>
  <c r="CT10" i="15"/>
  <c r="DD10" i="15" s="1"/>
  <c r="CH10" i="15" a="1"/>
  <c r="CH10" i="15" s="1"/>
  <c r="U46" i="15"/>
  <c r="AE46" i="15" s="1"/>
  <c r="H46" i="15" a="1"/>
  <c r="H46" i="15" s="1"/>
  <c r="U114" i="15"/>
  <c r="AE114" i="15" s="1"/>
  <c r="H114" i="15" a="1"/>
  <c r="H114" i="15" s="1"/>
  <c r="W108" i="15"/>
  <c r="AG108" i="15" s="1"/>
  <c r="J108" i="15" a="1"/>
  <c r="J108" i="15" s="1"/>
  <c r="BJ144" i="15"/>
  <c r="BT144" i="15" s="1"/>
  <c r="AW144" i="15" a="1"/>
  <c r="AW144" i="15" s="1"/>
  <c r="CJ142" i="15" a="1"/>
  <c r="CJ142" i="15" s="1"/>
  <c r="CV142" i="15"/>
  <c r="DF142" i="15" s="1"/>
  <c r="CI23" i="15" a="1"/>
  <c r="CI23" i="15" s="1"/>
  <c r="CU23" i="15"/>
  <c r="DE23" i="15" s="1"/>
  <c r="J90" i="15" a="1"/>
  <c r="J90" i="15" s="1"/>
  <c r="W90" i="15"/>
  <c r="AG90" i="15" s="1"/>
  <c r="AG13" i="15"/>
  <c r="CU53" i="15"/>
  <c r="DE53" i="15" s="1"/>
  <c r="CI53" i="15" a="1"/>
  <c r="CI53" i="15" s="1"/>
  <c r="AF13" i="15"/>
  <c r="CI149" i="15" a="1"/>
  <c r="CI149" i="15" s="1"/>
  <c r="CU149" i="15"/>
  <c r="DE149" i="15" s="1"/>
  <c r="V45" i="15"/>
  <c r="AF45" i="15" s="1"/>
  <c r="I45" i="15" a="1"/>
  <c r="I45" i="15" s="1"/>
  <c r="J92" i="15" a="1"/>
  <c r="J92" i="15" s="1"/>
  <c r="W92" i="15"/>
  <c r="AG92" i="15" s="1"/>
  <c r="CH16" i="15" a="1"/>
  <c r="CH16" i="15" s="1"/>
  <c r="CT16" i="15"/>
  <c r="DD16" i="15" s="1"/>
  <c r="W111" i="15"/>
  <c r="AG111" i="15" s="1"/>
  <c r="J111" i="15" a="1"/>
  <c r="J111" i="15" s="1"/>
  <c r="BH125" i="15"/>
  <c r="BR125" i="15" s="1"/>
  <c r="CT111" i="15"/>
  <c r="DD111" i="15" s="1"/>
  <c r="CH111" i="15" a="1"/>
  <c r="CH111" i="15" s="1"/>
  <c r="H31" i="15" a="1"/>
  <c r="H31" i="15" s="1"/>
  <c r="U31" i="15"/>
  <c r="AE31" i="15" s="1"/>
  <c r="V63" i="15"/>
  <c r="AF63" i="15" s="1"/>
  <c r="I63" i="15" a="1"/>
  <c r="I63" i="15" s="1"/>
  <c r="U14" i="15"/>
  <c r="AE14" i="15" s="1"/>
  <c r="H14" i="15" a="1"/>
  <c r="H14" i="15" s="1"/>
  <c r="W68" i="15"/>
  <c r="AG68" i="15" s="1"/>
  <c r="J68" i="15" a="1"/>
  <c r="J68" i="15" s="1"/>
  <c r="AE87" i="15"/>
  <c r="CU28" i="15"/>
  <c r="DE28" i="15" s="1"/>
  <c r="CI28" i="15" a="1"/>
  <c r="CI28" i="15" s="1"/>
  <c r="CI44" i="15" a="1"/>
  <c r="CI44" i="15" s="1"/>
  <c r="CU44" i="15"/>
  <c r="DE44" i="15" s="1"/>
  <c r="AU143" i="15" a="1"/>
  <c r="AU143" i="15" s="1"/>
  <c r="BH143" i="15"/>
  <c r="BR143" i="15" s="1"/>
  <c r="CI90" i="15" a="1"/>
  <c r="CI90" i="15" s="1"/>
  <c r="CU90" i="15"/>
  <c r="DE90" i="15" s="1"/>
  <c r="CU40" i="15"/>
  <c r="DE40" i="15" s="1"/>
  <c r="CI40" i="15" a="1"/>
  <c r="CI40" i="15" s="1"/>
  <c r="U17" i="15"/>
  <c r="AE17" i="15" s="1"/>
  <c r="H17" i="15" a="1"/>
  <c r="H17" i="15" s="1"/>
  <c r="U151" i="15"/>
  <c r="AE151" i="15" s="1"/>
  <c r="CI88" i="15" a="1"/>
  <c r="CI88" i="15" s="1"/>
  <c r="CU88" i="15"/>
  <c r="I44" i="15" a="1"/>
  <c r="I44" i="15" s="1"/>
  <c r="V44" i="15"/>
  <c r="AF44" i="15" s="1"/>
  <c r="U149" i="15"/>
  <c r="AE149" i="15" s="1"/>
  <c r="BH133" i="15"/>
  <c r="BR133" i="15" s="1"/>
  <c r="CT48" i="15"/>
  <c r="DD48" i="15" s="1"/>
  <c r="CH48" i="15" a="1"/>
  <c r="CH48" i="15" s="1"/>
  <c r="AE13" i="15"/>
  <c r="BG152" i="15"/>
  <c r="BQ122" i="15"/>
  <c r="CH19" i="15" a="1"/>
  <c r="CH19" i="15" s="1"/>
  <c r="CT19" i="15"/>
  <c r="DD19" i="15" s="1"/>
  <c r="CU130" i="15"/>
  <c r="DE130" i="15" s="1"/>
  <c r="CI130" i="15" a="1"/>
  <c r="CI130" i="15" s="1"/>
  <c r="U150" i="15"/>
  <c r="AE150" i="15" s="1"/>
  <c r="CI30" i="15" a="1"/>
  <c r="CI30" i="15" s="1"/>
  <c r="CU30" i="15"/>
  <c r="DE30" i="15" s="1"/>
  <c r="H113" i="15" a="1"/>
  <c r="H113" i="15" s="1"/>
  <c r="U113" i="15"/>
  <c r="AE113" i="15" s="1"/>
  <c r="CH36" i="15" a="1"/>
  <c r="CH36" i="15" s="1"/>
  <c r="CT36" i="15"/>
  <c r="DD36" i="15" s="1"/>
  <c r="H28" i="15" a="1"/>
  <c r="H28" i="15" s="1"/>
  <c r="U28" i="15"/>
  <c r="AE28" i="15" s="1"/>
  <c r="CI17" i="15" a="1"/>
  <c r="CI17" i="15" s="1"/>
  <c r="CU17" i="15"/>
  <c r="DE17" i="15" s="1"/>
  <c r="H112" i="15" a="1"/>
  <c r="H112" i="15" s="1"/>
  <c r="U112" i="15"/>
  <c r="AE112" i="15" s="1"/>
  <c r="CS152" i="15"/>
  <c r="DC122" i="15"/>
  <c r="CH25" i="15" a="1"/>
  <c r="CH25" i="15" s="1"/>
  <c r="CT25" i="15"/>
  <c r="DD25" i="15" s="1"/>
  <c r="H50" i="15" a="1"/>
  <c r="H50" i="15" s="1"/>
  <c r="U50" i="15"/>
  <c r="AE50" i="15" s="1"/>
  <c r="U144" i="15"/>
  <c r="AE144" i="15" s="1"/>
  <c r="U15" i="15"/>
  <c r="AE15" i="15" s="1"/>
  <c r="H15" i="15" a="1"/>
  <c r="H15" i="15" s="1"/>
  <c r="CI52" i="15" a="1"/>
  <c r="CI52" i="15" s="1"/>
  <c r="CU52" i="15"/>
  <c r="DE52" i="15" s="1"/>
  <c r="H19" i="15" a="1"/>
  <c r="H19" i="15" s="1"/>
  <c r="U19" i="15"/>
  <c r="AE19" i="15" s="1"/>
  <c r="CH21" i="15" a="1"/>
  <c r="CH21" i="15" s="1"/>
  <c r="CT21" i="15"/>
  <c r="DD21" i="15" s="1"/>
  <c r="BG115" i="15"/>
  <c r="CT22" i="15"/>
  <c r="DD22" i="15" s="1"/>
  <c r="CH22" i="15" a="1"/>
  <c r="CH22" i="15" s="1"/>
  <c r="I122" i="15" a="1"/>
  <c r="I122" i="15" s="1"/>
  <c r="V122" i="15"/>
  <c r="AV139" i="15" a="1"/>
  <c r="AV139" i="15" s="1"/>
  <c r="BS139" i="15"/>
  <c r="CI58" i="15" a="1"/>
  <c r="CI58" i="15" s="1"/>
  <c r="CU58" i="15"/>
  <c r="DE58" i="15" s="1"/>
  <c r="CJ27" i="15" a="1"/>
  <c r="CJ27" i="15" s="1"/>
  <c r="CV27" i="15"/>
  <c r="DF27" i="15" s="1"/>
  <c r="CU13" i="15"/>
  <c r="DE13" i="15" s="1"/>
  <c r="CI13" i="15" a="1"/>
  <c r="CI13" i="15" s="1"/>
  <c r="AI13" i="15"/>
  <c r="CU49" i="15"/>
  <c r="DE49" i="15" s="1"/>
  <c r="CI49" i="15" a="1"/>
  <c r="CI49" i="15" s="1"/>
  <c r="CM51" i="15" a="1"/>
  <c r="CM51" i="15" s="1"/>
  <c r="CY51" i="15"/>
  <c r="CI9" i="15" a="1"/>
  <c r="CI9" i="15" s="1"/>
  <c r="CU9" i="15"/>
  <c r="DE9" i="15" s="1"/>
  <c r="I62" i="15" a="1"/>
  <c r="I62" i="15" s="1"/>
  <c r="V62" i="15"/>
  <c r="AF62" i="15" s="1"/>
  <c r="CV26" i="15"/>
  <c r="DF26" i="15" s="1"/>
  <c r="CJ26" i="15" a="1"/>
  <c r="CJ26" i="15" s="1"/>
  <c r="CH11" i="15" a="1"/>
  <c r="CH11" i="15" s="1"/>
  <c r="CT11" i="15"/>
  <c r="DD11" i="15" s="1"/>
  <c r="J49" i="15" a="1"/>
  <c r="J49" i="15" s="1"/>
  <c r="W49" i="15"/>
  <c r="AG49" i="15" s="1"/>
  <c r="CU123" i="15"/>
  <c r="DE123" i="15" s="1"/>
  <c r="CI123" i="15" a="1"/>
  <c r="CI123" i="15" s="1"/>
  <c r="BU69" i="15" l="1"/>
  <c r="BI151" i="15"/>
  <c r="BS151" i="15" s="1"/>
  <c r="AW149" i="15" a="1"/>
  <c r="AW149" i="15" s="1"/>
  <c r="AX149" i="15" s="1" a="1"/>
  <c r="AX149" i="15" s="1"/>
  <c r="BS82" i="15"/>
  <c r="BK150" i="15"/>
  <c r="BU150" i="15" s="1"/>
  <c r="AX150" i="15" a="1"/>
  <c r="AX150" i="15" s="1"/>
  <c r="BJ147" i="15"/>
  <c r="BT147" i="15" s="1"/>
  <c r="AW147" i="15" a="1"/>
  <c r="AW147" i="15" s="1"/>
  <c r="BJ148" i="15"/>
  <c r="BT148" i="15" s="1"/>
  <c r="AW148" i="15" a="1"/>
  <c r="AW148" i="15" s="1"/>
  <c r="AW151" i="15" a="1"/>
  <c r="AW151" i="15" s="1"/>
  <c r="BJ151" i="15"/>
  <c r="BT151" i="15" s="1"/>
  <c r="BJ146" i="15"/>
  <c r="BT146" i="15" s="1"/>
  <c r="AW146" i="15" a="1"/>
  <c r="AW146" i="15" s="1"/>
  <c r="CI38" i="15" a="1"/>
  <c r="CI38" i="15" s="1"/>
  <c r="CJ38" i="15" s="1" a="1"/>
  <c r="CJ38" i="15" s="1"/>
  <c r="BU34" i="15"/>
  <c r="BV50" i="15"/>
  <c r="BT50" i="15"/>
  <c r="BT8" i="15"/>
  <c r="BS12" i="15"/>
  <c r="BZ52" i="15"/>
  <c r="BT29" i="15"/>
  <c r="CI31" i="15" a="1"/>
  <c r="CI31" i="15" s="1"/>
  <c r="CV31" i="15" s="1"/>
  <c r="DF31" i="15" s="1"/>
  <c r="BS72" i="15"/>
  <c r="CU133" i="15"/>
  <c r="DE133" i="15" s="1"/>
  <c r="I59" i="15" a="1"/>
  <c r="I59" i="15" s="1"/>
  <c r="J59" i="15" s="1" a="1"/>
  <c r="J59" i="15" s="1"/>
  <c r="BU23" i="15"/>
  <c r="AV80" i="15" a="1"/>
  <c r="AV80" i="15" s="1"/>
  <c r="BS80" i="15"/>
  <c r="BJ111" i="15"/>
  <c r="BT111" i="15" s="1"/>
  <c r="AW111" i="15" a="1"/>
  <c r="AW111" i="15" s="1"/>
  <c r="AV81" i="15" a="1"/>
  <c r="AV81" i="15" s="1"/>
  <c r="BS81" i="15"/>
  <c r="BS11" i="15"/>
  <c r="BS70" i="15"/>
  <c r="BZ35" i="15"/>
  <c r="BS14" i="15"/>
  <c r="BT83" i="15"/>
  <c r="AW83" i="15" a="1"/>
  <c r="AW83" i="15" s="1"/>
  <c r="BT72" i="15"/>
  <c r="BU74" i="15"/>
  <c r="BU75" i="15"/>
  <c r="BT10" i="15"/>
  <c r="AV84" i="15" a="1"/>
  <c r="AV84" i="15" s="1"/>
  <c r="BS84" i="15"/>
  <c r="BV69" i="15"/>
  <c r="BZ69" i="15" s="1"/>
  <c r="AY69" i="15" a="1"/>
  <c r="AY69" i="15" s="1"/>
  <c r="BS71" i="15"/>
  <c r="BT82" i="15"/>
  <c r="AW82" i="15" a="1"/>
  <c r="AW82" i="15" s="1"/>
  <c r="BU73" i="15"/>
  <c r="BT47" i="15"/>
  <c r="BT79" i="15"/>
  <c r="AW79" i="15" a="1"/>
  <c r="AW79" i="15" s="1"/>
  <c r="AY68" i="15" a="1"/>
  <c r="AY68" i="15" s="1"/>
  <c r="BT123" i="15"/>
  <c r="BS28" i="15"/>
  <c r="BU16" i="15"/>
  <c r="CU41" i="15"/>
  <c r="DE41" i="15" s="1"/>
  <c r="CU50" i="15"/>
  <c r="DE50" i="15" s="1"/>
  <c r="BU136" i="15"/>
  <c r="BT19" i="15"/>
  <c r="BS31" i="15"/>
  <c r="BS58" i="15"/>
  <c r="CU141" i="15"/>
  <c r="DE141" i="15" s="1"/>
  <c r="I60" i="15" a="1"/>
  <c r="I60" i="15" s="1"/>
  <c r="V60" i="15"/>
  <c r="AF60" i="15" s="1"/>
  <c r="BT11" i="15"/>
  <c r="BS55" i="15"/>
  <c r="CU144" i="15"/>
  <c r="DE144" i="15" s="1"/>
  <c r="BS49" i="15"/>
  <c r="CI35" i="15" a="1"/>
  <c r="CI35" i="15" s="1"/>
  <c r="CV35" i="15" s="1"/>
  <c r="DF35" i="15" s="1"/>
  <c r="BS38" i="15"/>
  <c r="AW112" i="15" a="1"/>
  <c r="AW112" i="15" s="1"/>
  <c r="BJ112" i="15"/>
  <c r="BT112" i="15" s="1"/>
  <c r="BS9" i="15"/>
  <c r="T85" i="15"/>
  <c r="T115" i="15" s="1"/>
  <c r="T117" i="15" s="1"/>
  <c r="CU140" i="15"/>
  <c r="DE140" i="15" s="1"/>
  <c r="I87" i="15" a="1"/>
  <c r="I87" i="15" s="1"/>
  <c r="W87" i="15" s="1"/>
  <c r="CI8" i="15" a="1"/>
  <c r="CI8" i="15" s="1"/>
  <c r="CV8" i="15" s="1"/>
  <c r="DF8" i="15" s="1"/>
  <c r="AW109" i="15" a="1"/>
  <c r="AW109" i="15" s="1"/>
  <c r="BJ109" i="15"/>
  <c r="BT109" i="15" s="1"/>
  <c r="CT115" i="15"/>
  <c r="V146" i="15"/>
  <c r="AF146" i="15" s="1"/>
  <c r="BT43" i="15"/>
  <c r="CS117" i="15"/>
  <c r="AY26" i="15" a="1"/>
  <c r="AY26" i="15" s="1"/>
  <c r="BV26" i="15"/>
  <c r="BZ26" i="15" s="1"/>
  <c r="BT13" i="15"/>
  <c r="V30" i="15"/>
  <c r="AF30" i="15" s="1"/>
  <c r="I30" i="15" a="1"/>
  <c r="I30" i="15" s="1"/>
  <c r="CI124" i="15" a="1"/>
  <c r="CI124" i="15" s="1"/>
  <c r="CU124" i="15"/>
  <c r="DE124" i="15" s="1"/>
  <c r="AY114" i="15" a="1"/>
  <c r="AY114" i="15" s="1"/>
  <c r="BL114" i="15"/>
  <c r="BV114" i="15" s="1"/>
  <c r="BZ114" i="15" s="1"/>
  <c r="BU40" i="15"/>
  <c r="J124" i="15" a="1"/>
  <c r="J124" i="15" s="1"/>
  <c r="W124" i="15"/>
  <c r="AG124" i="15" s="1"/>
  <c r="CI32" i="15" a="1"/>
  <c r="CI32" i="15" s="1"/>
  <c r="CU32" i="15"/>
  <c r="DE32" i="15" s="1"/>
  <c r="AV113" i="15" a="1"/>
  <c r="AV113" i="15" s="1"/>
  <c r="BI113" i="15"/>
  <c r="BS113" i="15" s="1"/>
  <c r="BT62" i="15"/>
  <c r="CI138" i="15" a="1"/>
  <c r="CI138" i="15" s="1"/>
  <c r="CU138" i="15"/>
  <c r="DE138" i="15" s="1"/>
  <c r="CU137" i="15"/>
  <c r="DE137" i="15" s="1"/>
  <c r="CI137" i="15" a="1"/>
  <c r="CI137" i="15" s="1"/>
  <c r="U41" i="15"/>
  <c r="AE41" i="15" s="1"/>
  <c r="BT14" i="15"/>
  <c r="BM52" i="15"/>
  <c r="AZ52" i="15" a="1"/>
  <c r="AZ52" i="15" s="1"/>
  <c r="AX87" i="15" a="1"/>
  <c r="AX87" i="15" s="1"/>
  <c r="BK87" i="15"/>
  <c r="BU87" i="15" s="1"/>
  <c r="V139" i="15"/>
  <c r="AF139" i="15" s="1"/>
  <c r="CI68" i="15" a="1"/>
  <c r="CI68" i="15" s="1"/>
  <c r="CU68" i="15"/>
  <c r="DE68" i="15" s="1"/>
  <c r="AY110" i="15" a="1"/>
  <c r="AY110" i="15" s="1"/>
  <c r="BL110" i="15"/>
  <c r="BV110" i="15" s="1"/>
  <c r="BZ110" i="15" s="1"/>
  <c r="BT51" i="15"/>
  <c r="CJ87" i="15" a="1"/>
  <c r="CJ87" i="15" s="1"/>
  <c r="CV87" i="15"/>
  <c r="DF87" i="15" s="1"/>
  <c r="BS63" i="15"/>
  <c r="V91" i="15"/>
  <c r="AF91" i="15" s="1"/>
  <c r="I91" i="15" a="1"/>
  <c r="I91" i="15" s="1"/>
  <c r="CU89" i="15"/>
  <c r="DE89" i="15" s="1"/>
  <c r="CI89" i="15" a="1"/>
  <c r="CI89" i="15" s="1"/>
  <c r="CI125" i="15" a="1"/>
  <c r="CI125" i="15" s="1"/>
  <c r="CU125" i="15"/>
  <c r="DE125" i="15" s="1"/>
  <c r="CU145" i="15"/>
  <c r="DE145" i="15" s="1"/>
  <c r="CI145" i="15" a="1"/>
  <c r="CI145" i="15" s="1"/>
  <c r="BS33" i="15"/>
  <c r="BU24" i="15"/>
  <c r="CV7" i="15"/>
  <c r="DF7" i="15" s="1"/>
  <c r="CJ7" i="15" a="1"/>
  <c r="CJ7" i="15" s="1"/>
  <c r="BU10" i="15"/>
  <c r="BS46" i="15"/>
  <c r="BS32" i="15"/>
  <c r="BT17" i="15"/>
  <c r="BT12" i="15"/>
  <c r="BU27" i="15"/>
  <c r="BT41" i="15"/>
  <c r="BT22" i="15"/>
  <c r="BT36" i="15"/>
  <c r="BU61" i="15"/>
  <c r="BU29" i="15"/>
  <c r="AY21" i="15" a="1"/>
  <c r="AY21" i="15" s="1"/>
  <c r="BV21" i="15"/>
  <c r="BZ21" i="15" s="1"/>
  <c r="BT37" i="15"/>
  <c r="BT30" i="15"/>
  <c r="BT15" i="15"/>
  <c r="AZ35" i="15" a="1"/>
  <c r="AZ35" i="15" s="1"/>
  <c r="BM35" i="15"/>
  <c r="BT25" i="15"/>
  <c r="BS59" i="15"/>
  <c r="BT53" i="15"/>
  <c r="BS48" i="15"/>
  <c r="BS45" i="15"/>
  <c r="CI21" i="15" a="1"/>
  <c r="CI21" i="15" s="1"/>
  <c r="CU21" i="15"/>
  <c r="DE21" i="15" s="1"/>
  <c r="CV91" i="15"/>
  <c r="DF91" i="15" s="1"/>
  <c r="CJ91" i="15" a="1"/>
  <c r="CJ91" i="15" s="1"/>
  <c r="CV49" i="15"/>
  <c r="DF49" i="15" s="1"/>
  <c r="CJ49" i="15" a="1"/>
  <c r="CJ49" i="15" s="1"/>
  <c r="CJ17" i="15" a="1"/>
  <c r="CJ17" i="15" s="1"/>
  <c r="CV17" i="15"/>
  <c r="DF17" i="15" s="1"/>
  <c r="J44" i="15" a="1"/>
  <c r="J44" i="15" s="1"/>
  <c r="W44" i="15"/>
  <c r="AG44" i="15" s="1"/>
  <c r="CU16" i="15"/>
  <c r="DE16" i="15" s="1"/>
  <c r="CI16" i="15" a="1"/>
  <c r="CI16" i="15" s="1"/>
  <c r="X147" i="15"/>
  <c r="AH147" i="15" s="1"/>
  <c r="J26" i="15" a="1"/>
  <c r="J26" i="15" s="1"/>
  <c r="W26" i="15"/>
  <c r="AG26" i="15" s="1"/>
  <c r="V143" i="15"/>
  <c r="AF143" i="15" s="1"/>
  <c r="K49" i="15" a="1"/>
  <c r="K49" i="15" s="1"/>
  <c r="X49" i="15"/>
  <c r="AH49" i="15" s="1"/>
  <c r="DE88" i="15"/>
  <c r="CV28" i="15"/>
  <c r="DF28" i="15" s="1"/>
  <c r="CJ28" i="15" a="1"/>
  <c r="CJ28" i="15" s="1"/>
  <c r="CW59" i="15"/>
  <c r="DG59" i="15" s="1"/>
  <c r="CK59" i="15" a="1"/>
  <c r="CK59" i="15" s="1"/>
  <c r="CT85" i="15"/>
  <c r="CJ50" i="15" a="1"/>
  <c r="CJ50" i="15" s="1"/>
  <c r="CV50" i="15"/>
  <c r="DF50" i="15" s="1"/>
  <c r="CU43" i="15"/>
  <c r="DE43" i="15" s="1"/>
  <c r="CI43" i="15" a="1"/>
  <c r="CI43" i="15" s="1"/>
  <c r="CV30" i="15"/>
  <c r="DF30" i="15" s="1"/>
  <c r="CJ30" i="15" a="1"/>
  <c r="CJ30" i="15" s="1"/>
  <c r="K92" i="15" a="1"/>
  <c r="K92" i="15" s="1"/>
  <c r="X92" i="15"/>
  <c r="AH92" i="15" s="1"/>
  <c r="BT131" i="15"/>
  <c r="U152" i="15"/>
  <c r="CJ29" i="15" a="1"/>
  <c r="CJ29" i="15" s="1"/>
  <c r="CV29" i="15"/>
  <c r="DF29" i="15" s="1"/>
  <c r="BS124" i="15"/>
  <c r="CJ146" i="15" a="1"/>
  <c r="CJ146" i="15" s="1"/>
  <c r="CV146" i="15"/>
  <c r="DF146" i="15" s="1"/>
  <c r="V151" i="15"/>
  <c r="AF151" i="15" s="1"/>
  <c r="X68" i="15"/>
  <c r="AH68" i="15" s="1"/>
  <c r="K68" i="15" a="1"/>
  <c r="K68" i="15" s="1"/>
  <c r="I52" i="15" a="1"/>
  <c r="I52" i="15" s="1"/>
  <c r="V52" i="15"/>
  <c r="AF52" i="15" s="1"/>
  <c r="CI15" i="15" a="1"/>
  <c r="CI15" i="15" s="1"/>
  <c r="CU15" i="15"/>
  <c r="DE15" i="15" s="1"/>
  <c r="AM13" i="15"/>
  <c r="CV113" i="15"/>
  <c r="DF113" i="15" s="1"/>
  <c r="CJ113" i="15" a="1"/>
  <c r="CJ113" i="15" s="1"/>
  <c r="CV143" i="15"/>
  <c r="DF143" i="15" s="1"/>
  <c r="CJ143" i="15" a="1"/>
  <c r="CJ143" i="15" s="1"/>
  <c r="CJ58" i="15" a="1"/>
  <c r="CJ58" i="15" s="1"/>
  <c r="CV58" i="15"/>
  <c r="DF58" i="15" s="1"/>
  <c r="CU48" i="15"/>
  <c r="DE48" i="15" s="1"/>
  <c r="CI48" i="15" a="1"/>
  <c r="CI48" i="15" s="1"/>
  <c r="X108" i="15"/>
  <c r="AH108" i="15" s="1"/>
  <c r="K108" i="15" a="1"/>
  <c r="K108" i="15" s="1"/>
  <c r="J125" i="15" a="1"/>
  <c r="J125" i="15" s="1"/>
  <c r="W125" i="15"/>
  <c r="AG125" i="15" s="1"/>
  <c r="BH115" i="15"/>
  <c r="CI136" i="15" a="1"/>
  <c r="CI136" i="15" s="1"/>
  <c r="CU136" i="15"/>
  <c r="DE136" i="15" s="1"/>
  <c r="BT130" i="15"/>
  <c r="CI11" i="15" a="1"/>
  <c r="CI11" i="15" s="1"/>
  <c r="CU11" i="15"/>
  <c r="DE11" i="15" s="1"/>
  <c r="CI25" i="15" a="1"/>
  <c r="CI25" i="15" s="1"/>
  <c r="CU25" i="15"/>
  <c r="DE25" i="15" s="1"/>
  <c r="I27" i="15" a="1"/>
  <c r="I27" i="15" s="1"/>
  <c r="V27" i="15"/>
  <c r="AF27" i="15" s="1"/>
  <c r="V35" i="15"/>
  <c r="AF35" i="15" s="1"/>
  <c r="I35" i="15" a="1"/>
  <c r="I35" i="15" s="1"/>
  <c r="AW138" i="15" a="1"/>
  <c r="AW138" i="15" s="1"/>
  <c r="BT138" i="15"/>
  <c r="CV60" i="15"/>
  <c r="DF60" i="15" s="1"/>
  <c r="CJ60" i="15" a="1"/>
  <c r="CJ60" i="15" s="1"/>
  <c r="V36" i="15"/>
  <c r="AF36" i="15" s="1"/>
  <c r="I36" i="15" a="1"/>
  <c r="I36" i="15" s="1"/>
  <c r="W36" i="15" s="1"/>
  <c r="AG36" i="15" s="1"/>
  <c r="CJ12" i="15" a="1"/>
  <c r="CJ12" i="15" s="1"/>
  <c r="CV12" i="15"/>
  <c r="DF12" i="15" s="1"/>
  <c r="CV131" i="15"/>
  <c r="DF131" i="15" s="1"/>
  <c r="CJ131" i="15" a="1"/>
  <c r="CJ131" i="15" s="1"/>
  <c r="CW26" i="15"/>
  <c r="DG26" i="15" s="1"/>
  <c r="CK26" i="15" a="1"/>
  <c r="CK26" i="15" s="1"/>
  <c r="BT139" i="15"/>
  <c r="AW139" i="15" a="1"/>
  <c r="AW139" i="15" s="1"/>
  <c r="CV53" i="15"/>
  <c r="DF53" i="15" s="1"/>
  <c r="CJ53" i="15" a="1"/>
  <c r="CJ53" i="15" s="1"/>
  <c r="CI139" i="15" a="1"/>
  <c r="CI139" i="15" s="1"/>
  <c r="CU139" i="15"/>
  <c r="DE139" i="15" s="1"/>
  <c r="BS133" i="15"/>
  <c r="AW140" i="15" a="1"/>
  <c r="AW140" i="15" s="1"/>
  <c r="BT140" i="15"/>
  <c r="I15" i="15" a="1"/>
  <c r="I15" i="15" s="1"/>
  <c r="V15" i="15"/>
  <c r="AF15" i="15" s="1"/>
  <c r="V17" i="15"/>
  <c r="AF17" i="15" s="1"/>
  <c r="I17" i="15" a="1"/>
  <c r="I17" i="15" s="1"/>
  <c r="CU10" i="15"/>
  <c r="DE10" i="15" s="1"/>
  <c r="CI10" i="15" a="1"/>
  <c r="CI10" i="15" s="1"/>
  <c r="V33" i="15"/>
  <c r="I33" i="15" a="1"/>
  <c r="I33" i="15" s="1"/>
  <c r="CK55" i="15" a="1"/>
  <c r="CK55" i="15" s="1"/>
  <c r="CW55" i="15"/>
  <c r="DG55" i="15" s="1"/>
  <c r="CJ40" i="15" a="1"/>
  <c r="CJ40" i="15" s="1"/>
  <c r="CV40" i="15"/>
  <c r="DF40" i="15" s="1"/>
  <c r="W45" i="15"/>
  <c r="AG45" i="15" s="1"/>
  <c r="J45" i="15" a="1"/>
  <c r="J45" i="15" s="1"/>
  <c r="CI37" i="15" a="1"/>
  <c r="CI37" i="15" s="1"/>
  <c r="CU37" i="15"/>
  <c r="DE37" i="15" s="1"/>
  <c r="CV13" i="15"/>
  <c r="DF13" i="15" s="1"/>
  <c r="CJ13" i="15" a="1"/>
  <c r="CJ13" i="15" s="1"/>
  <c r="CJ46" i="15" a="1"/>
  <c r="CJ46" i="15" s="1"/>
  <c r="CV46" i="15"/>
  <c r="DF46" i="15" s="1"/>
  <c r="CJ61" i="15" a="1"/>
  <c r="CJ61" i="15" s="1"/>
  <c r="CV61" i="15"/>
  <c r="DF61" i="15" s="1"/>
  <c r="J62" i="15" a="1"/>
  <c r="J62" i="15" s="1"/>
  <c r="W62" i="15"/>
  <c r="AG62" i="15" s="1"/>
  <c r="V149" i="15"/>
  <c r="AF149" i="15" s="1"/>
  <c r="CV47" i="15"/>
  <c r="DF47" i="15" s="1"/>
  <c r="CJ47" i="15" a="1"/>
  <c r="CJ47" i="15" s="1"/>
  <c r="CU62" i="15"/>
  <c r="DE62" i="15" s="1"/>
  <c r="CI62" i="15" a="1"/>
  <c r="CI62" i="15" s="1"/>
  <c r="CJ90" i="15" a="1"/>
  <c r="CJ90" i="15" s="1"/>
  <c r="CV90" i="15"/>
  <c r="DF90" i="15" s="1"/>
  <c r="I47" i="15" a="1"/>
  <c r="I47" i="15" s="1"/>
  <c r="V47" i="15"/>
  <c r="AF47" i="15" s="1"/>
  <c r="W140" i="15"/>
  <c r="AG140" i="15" s="1"/>
  <c r="CJ9" i="15" a="1"/>
  <c r="CJ9" i="15" s="1"/>
  <c r="CV9" i="15"/>
  <c r="DF9" i="15" s="1"/>
  <c r="CI22" i="15" a="1"/>
  <c r="CI22" i="15" s="1"/>
  <c r="CU22" i="15"/>
  <c r="DE22" i="15" s="1"/>
  <c r="BS125" i="15"/>
  <c r="CV141" i="15"/>
  <c r="DF141" i="15" s="1"/>
  <c r="CJ141" i="15" a="1"/>
  <c r="CJ141" i="15" s="1"/>
  <c r="CJ149" i="15" a="1"/>
  <c r="CJ149" i="15" s="1"/>
  <c r="CV149" i="15"/>
  <c r="DF149" i="15" s="1"/>
  <c r="V114" i="15"/>
  <c r="AF114" i="15" s="1"/>
  <c r="I114" i="15" a="1"/>
  <c r="I114" i="15" s="1"/>
  <c r="CJ41" i="15" a="1"/>
  <c r="CJ41" i="15" s="1"/>
  <c r="CV41" i="15"/>
  <c r="DF41" i="15" s="1"/>
  <c r="CJ130" i="15" a="1"/>
  <c r="CJ130" i="15" s="1"/>
  <c r="CV130" i="15"/>
  <c r="DF130" i="15" s="1"/>
  <c r="AV143" i="15" a="1"/>
  <c r="AV143" i="15" s="1"/>
  <c r="BI143" i="15"/>
  <c r="BS143" i="15" s="1"/>
  <c r="X90" i="15"/>
  <c r="AH90" i="15" s="1"/>
  <c r="K90" i="15" a="1"/>
  <c r="K90" i="15" s="1"/>
  <c r="U38" i="15"/>
  <c r="AE38" i="15" s="1"/>
  <c r="CU45" i="15"/>
  <c r="DE45" i="15" s="1"/>
  <c r="CI45" i="15" a="1"/>
  <c r="CI45" i="15" s="1"/>
  <c r="CW27" i="15"/>
  <c r="DG27" i="15" s="1"/>
  <c r="CK27" i="15" a="1"/>
  <c r="CK27" i="15" s="1"/>
  <c r="X111" i="15"/>
  <c r="AH111" i="15" s="1"/>
  <c r="K111" i="15" a="1"/>
  <c r="K111" i="15" s="1"/>
  <c r="V46" i="15"/>
  <c r="AF46" i="15" s="1"/>
  <c r="I46" i="15" a="1"/>
  <c r="I46" i="15" s="1"/>
  <c r="CW151" i="15"/>
  <c r="DG151" i="15" s="1"/>
  <c r="CK151" i="15" a="1"/>
  <c r="CK151" i="15" s="1"/>
  <c r="I16" i="15" a="1"/>
  <c r="I16" i="15" s="1"/>
  <c r="V16" i="15"/>
  <c r="AF16" i="15" s="1"/>
  <c r="CJ140" i="15" a="1"/>
  <c r="CJ140" i="15" s="1"/>
  <c r="CV140" i="15"/>
  <c r="DF140" i="15" s="1"/>
  <c r="CJ133" i="15" a="1"/>
  <c r="CJ133" i="15" s="1"/>
  <c r="CV133" i="15"/>
  <c r="DF133" i="15" s="1"/>
  <c r="W89" i="15"/>
  <c r="AG89" i="15" s="1"/>
  <c r="J89" i="15" a="1"/>
  <c r="J89" i="15" s="1"/>
  <c r="CV88" i="15"/>
  <c r="CJ88" i="15" a="1"/>
  <c r="CJ88" i="15" s="1"/>
  <c r="CI111" i="15" a="1"/>
  <c r="CI111" i="15" s="1"/>
  <c r="CU111" i="15"/>
  <c r="DE111" i="15" s="1"/>
  <c r="CV123" i="15"/>
  <c r="DF123" i="15" s="1"/>
  <c r="CJ123" i="15" a="1"/>
  <c r="CJ123" i="15" s="1"/>
  <c r="I50" i="15" a="1"/>
  <c r="I50" i="15" s="1"/>
  <c r="V50" i="15"/>
  <c r="AF50" i="15" s="1"/>
  <c r="W63" i="15"/>
  <c r="AG63" i="15" s="1"/>
  <c r="J63" i="15" a="1"/>
  <c r="J63" i="15" s="1"/>
  <c r="CV23" i="15"/>
  <c r="DF23" i="15" s="1"/>
  <c r="CJ23" i="15" a="1"/>
  <c r="CJ23" i="15" s="1"/>
  <c r="CK24" i="15" a="1"/>
  <c r="CK24" i="15" s="1"/>
  <c r="CW24" i="15"/>
  <c r="DG24" i="15" s="1"/>
  <c r="CJ14" i="15" a="1"/>
  <c r="CJ14" i="15" s="1"/>
  <c r="CV14" i="15"/>
  <c r="DF14" i="15" s="1"/>
  <c r="CJ92" i="15" a="1"/>
  <c r="CJ92" i="15" s="1"/>
  <c r="CV92" i="15"/>
  <c r="DF92" i="15" s="1"/>
  <c r="J48" i="15" a="1"/>
  <c r="J48" i="15" s="1"/>
  <c r="W48" i="15"/>
  <c r="AG48" i="15" s="1"/>
  <c r="BI141" i="15"/>
  <c r="BS141" i="15" s="1"/>
  <c r="AV141" i="15" a="1"/>
  <c r="AV141" i="15" s="1"/>
  <c r="CW142" i="15"/>
  <c r="DG142" i="15" s="1"/>
  <c r="CK142" i="15" a="1"/>
  <c r="CK142" i="15" s="1"/>
  <c r="AV142" i="15" a="1"/>
  <c r="AV142" i="15" s="1"/>
  <c r="BI142" i="15"/>
  <c r="BS142" i="15" s="1"/>
  <c r="CU33" i="15"/>
  <c r="DE33" i="15" s="1"/>
  <c r="CI33" i="15" a="1"/>
  <c r="CI33" i="15" s="1"/>
  <c r="I113" i="15" a="1"/>
  <c r="I113" i="15" s="1"/>
  <c r="V113" i="15"/>
  <c r="AF113" i="15" s="1"/>
  <c r="I31" i="15" a="1"/>
  <c r="I31" i="15" s="1"/>
  <c r="V31" i="15"/>
  <c r="AF31" i="15" s="1"/>
  <c r="BK144" i="15"/>
  <c r="BU144" i="15" s="1"/>
  <c r="AX144" i="15" a="1"/>
  <c r="AX144" i="15" s="1"/>
  <c r="CV63" i="15"/>
  <c r="DF63" i="15" s="1"/>
  <c r="CJ63" i="15" a="1"/>
  <c r="CJ63" i="15" s="1"/>
  <c r="V53" i="15"/>
  <c r="AF53" i="15" s="1"/>
  <c r="I53" i="15" a="1"/>
  <c r="I53" i="15" s="1"/>
  <c r="I88" i="15" a="1"/>
  <c r="I88" i="15" s="1"/>
  <c r="V88" i="15"/>
  <c r="AF88" i="15" s="1"/>
  <c r="I19" i="15" a="1"/>
  <c r="I19" i="15" s="1"/>
  <c r="V19" i="15"/>
  <c r="AF19" i="15" s="1"/>
  <c r="CU19" i="15"/>
  <c r="DE19" i="15" s="1"/>
  <c r="CI19" i="15" a="1"/>
  <c r="CI19" i="15" s="1"/>
  <c r="AV137" i="15" a="1"/>
  <c r="AV137" i="15" s="1"/>
  <c r="BS137" i="15"/>
  <c r="CJ52" i="15" a="1"/>
  <c r="CJ52" i="15" s="1"/>
  <c r="CV52" i="15"/>
  <c r="DF52" i="15" s="1"/>
  <c r="BU123" i="15"/>
  <c r="W141" i="15"/>
  <c r="AG141" i="15" s="1"/>
  <c r="V148" i="15"/>
  <c r="AF148" i="15" s="1"/>
  <c r="W123" i="15"/>
  <c r="AG123" i="15" s="1"/>
  <c r="J123" i="15" a="1"/>
  <c r="J123" i="15" s="1"/>
  <c r="AF122" i="15"/>
  <c r="W122" i="15"/>
  <c r="J122" i="15" a="1"/>
  <c r="J122" i="15" s="1"/>
  <c r="AF87" i="15"/>
  <c r="U34" i="15"/>
  <c r="AE34" i="15" s="1"/>
  <c r="AE33" i="15"/>
  <c r="V142" i="15"/>
  <c r="AF142" i="15" s="1"/>
  <c r="BH152" i="15"/>
  <c r="BR122" i="15"/>
  <c r="CT152" i="15"/>
  <c r="DD122" i="15"/>
  <c r="AY136" i="15" a="1"/>
  <c r="AY136" i="15" s="1"/>
  <c r="BV136" i="15"/>
  <c r="AV145" i="15" a="1"/>
  <c r="AV145" i="15" s="1"/>
  <c r="BI145" i="15"/>
  <c r="BS145" i="15" s="1"/>
  <c r="V23" i="15"/>
  <c r="AF23" i="15" s="1"/>
  <c r="I23" i="15" a="1"/>
  <c r="I23" i="15" s="1"/>
  <c r="I28" i="15" a="1"/>
  <c r="I28" i="15" s="1"/>
  <c r="V28" i="15"/>
  <c r="AF28" i="15" s="1"/>
  <c r="CU122" i="15"/>
  <c r="CI122" i="15" a="1"/>
  <c r="CI122" i="15" s="1"/>
  <c r="I24" i="15" a="1"/>
  <c r="I24" i="15" s="1"/>
  <c r="V24" i="15"/>
  <c r="AF24" i="15" s="1"/>
  <c r="V144" i="15"/>
  <c r="AF144" i="15" s="1"/>
  <c r="V150" i="15"/>
  <c r="AF150" i="15" s="1"/>
  <c r="V14" i="15"/>
  <c r="I14" i="15" a="1"/>
  <c r="I14" i="15" s="1"/>
  <c r="W58" i="15"/>
  <c r="AG58" i="15" s="1"/>
  <c r="J58" i="15" a="1"/>
  <c r="J58" i="15" s="1"/>
  <c r="CI36" i="15" a="1"/>
  <c r="CI36" i="15" s="1"/>
  <c r="CU36" i="15"/>
  <c r="DE36" i="15" s="1"/>
  <c r="CV144" i="15"/>
  <c r="DF144" i="15" s="1"/>
  <c r="CJ144" i="15" a="1"/>
  <c r="CJ144" i="15" s="1"/>
  <c r="CZ51" i="15"/>
  <c r="CN51" i="15" a="1"/>
  <c r="CN51" i="15" s="1"/>
  <c r="DA51" i="15" s="1"/>
  <c r="V112" i="15"/>
  <c r="AF112" i="15" s="1"/>
  <c r="I112" i="15" a="1"/>
  <c r="I112" i="15" s="1"/>
  <c r="CJ44" i="15" a="1"/>
  <c r="CJ44" i="15" s="1"/>
  <c r="CV44" i="15"/>
  <c r="DF44" i="15" s="1"/>
  <c r="CK112" i="15" a="1"/>
  <c r="CK112" i="15" s="1"/>
  <c r="CW112" i="15"/>
  <c r="DG112" i="15" s="1"/>
  <c r="BK149" i="15" l="1"/>
  <c r="BU149" i="15" s="1"/>
  <c r="AY50" i="15" a="1"/>
  <c r="AY50" i="15" s="1"/>
  <c r="BZ50" i="15"/>
  <c r="CJ31" i="15" a="1"/>
  <c r="CJ31" i="15" s="1"/>
  <c r="CK31" i="15" s="1" a="1"/>
  <c r="CK31" i="15" s="1"/>
  <c r="CV38" i="15"/>
  <c r="DF38" i="15" s="1"/>
  <c r="BV34" i="15"/>
  <c r="BZ34" i="15" s="1"/>
  <c r="BK148" i="15"/>
  <c r="BU148" i="15" s="1"/>
  <c r="AX148" i="15" a="1"/>
  <c r="AX148" i="15" s="1"/>
  <c r="BK147" i="15"/>
  <c r="BU147" i="15" s="1"/>
  <c r="AX147" i="15" a="1"/>
  <c r="AX147" i="15" s="1"/>
  <c r="AY150" i="15" a="1"/>
  <c r="AY150" i="15" s="1"/>
  <c r="BL150" i="15"/>
  <c r="BV150" i="15" s="1"/>
  <c r="BZ150" i="15" s="1"/>
  <c r="AX151" i="15" a="1"/>
  <c r="AX151" i="15" s="1"/>
  <c r="BK151" i="15"/>
  <c r="BU151" i="15" s="1"/>
  <c r="AY149" i="15" a="1"/>
  <c r="AY149" i="15" s="1"/>
  <c r="BL149" i="15"/>
  <c r="BV149" i="15" s="1"/>
  <c r="BZ149" i="15" s="1"/>
  <c r="BK146" i="15"/>
  <c r="BU146" i="15" s="1"/>
  <c r="AX146" i="15" a="1"/>
  <c r="AX146" i="15" s="1"/>
  <c r="W59" i="15"/>
  <c r="AG59" i="15" s="1"/>
  <c r="BV68" i="15"/>
  <c r="BZ68" i="15" s="1"/>
  <c r="AW80" i="15" a="1"/>
  <c r="AW80" i="15" s="1"/>
  <c r="BT80" i="15"/>
  <c r="BV23" i="15"/>
  <c r="BZ23" i="15" s="1"/>
  <c r="BK111" i="15"/>
  <c r="BU111" i="15" s="1"/>
  <c r="AX111" i="15" a="1"/>
  <c r="AX111" i="15" s="1"/>
  <c r="BT81" i="15"/>
  <c r="AW81" i="15" a="1"/>
  <c r="AW81" i="15" s="1"/>
  <c r="BZ136" i="15"/>
  <c r="AY74" i="15" a="1"/>
  <c r="AY74" i="15" s="1"/>
  <c r="BV74" i="15"/>
  <c r="BZ74" i="15" s="1"/>
  <c r="AX82" i="15" a="1"/>
  <c r="AX82" i="15" s="1"/>
  <c r="BU82" i="15"/>
  <c r="AY16" i="15" a="1"/>
  <c r="AY16" i="15" s="1"/>
  <c r="BU72" i="15"/>
  <c r="BM69" i="15"/>
  <c r="AZ69" i="15" a="1"/>
  <c r="AZ69" i="15" s="1"/>
  <c r="BU44" i="15"/>
  <c r="BU47" i="15"/>
  <c r="BT70" i="15"/>
  <c r="BT71" i="15"/>
  <c r="BU79" i="15"/>
  <c r="AX79" i="15" a="1"/>
  <c r="AX79" i="15" s="1"/>
  <c r="BU83" i="15"/>
  <c r="AX83" i="15" a="1"/>
  <c r="AX83" i="15" s="1"/>
  <c r="BT84" i="15"/>
  <c r="AW84" i="15" a="1"/>
  <c r="AW84" i="15" s="1"/>
  <c r="BV75" i="15"/>
  <c r="BZ75" i="15" s="1"/>
  <c r="AY75" i="15" a="1"/>
  <c r="AY75" i="15" s="1"/>
  <c r="BV73" i="15"/>
  <c r="BZ73" i="15" s="1"/>
  <c r="AY73" i="15" a="1"/>
  <c r="AY73" i="15" s="1"/>
  <c r="BU60" i="15"/>
  <c r="BT28" i="15"/>
  <c r="BT58" i="15"/>
  <c r="J87" i="15" a="1"/>
  <c r="J87" i="15" s="1"/>
  <c r="K87" i="15" s="1" a="1"/>
  <c r="K87" i="15" s="1"/>
  <c r="BU19" i="15"/>
  <c r="BT31" i="15"/>
  <c r="CT117" i="15"/>
  <c r="W60" i="15"/>
  <c r="AG60" i="15" s="1"/>
  <c r="J60" i="15" a="1"/>
  <c r="J60" i="15" s="1"/>
  <c r="BT38" i="15"/>
  <c r="CJ35" i="15" a="1"/>
  <c r="CJ35" i="15" s="1"/>
  <c r="CK35" i="15" s="1" a="1"/>
  <c r="CK35" i="15" s="1"/>
  <c r="BU11" i="15"/>
  <c r="BT49" i="15"/>
  <c r="BT55" i="15"/>
  <c r="AX109" i="15" a="1"/>
  <c r="AX109" i="15" s="1"/>
  <c r="BK109" i="15"/>
  <c r="BU109" i="15" s="1"/>
  <c r="BT9" i="15"/>
  <c r="BM50" i="15"/>
  <c r="AZ50" i="15" a="1"/>
  <c r="AZ50" i="15" s="1"/>
  <c r="CJ8" i="15" a="1"/>
  <c r="CJ8" i="15" s="1"/>
  <c r="CW8" i="15" s="1"/>
  <c r="DG8" i="15" s="1"/>
  <c r="BI115" i="15"/>
  <c r="AX112" i="15" a="1"/>
  <c r="AX112" i="15" s="1"/>
  <c r="BK112" i="15"/>
  <c r="BU112" i="15" s="1"/>
  <c r="CW87" i="15"/>
  <c r="DG87" i="15" s="1"/>
  <c r="CK87" i="15" a="1"/>
  <c r="CK87" i="15" s="1"/>
  <c r="BU62" i="15"/>
  <c r="BU51" i="15"/>
  <c r="BL87" i="15"/>
  <c r="BV87" i="15" s="1"/>
  <c r="BZ87" i="15" s="1"/>
  <c r="AY87" i="15" a="1"/>
  <c r="AY87" i="15" s="1"/>
  <c r="BU13" i="15"/>
  <c r="AW113" i="15" a="1"/>
  <c r="AW113" i="15" s="1"/>
  <c r="BJ113" i="15"/>
  <c r="BT113" i="15" s="1"/>
  <c r="AZ110" i="15" a="1"/>
  <c r="AZ110" i="15" s="1"/>
  <c r="BM110" i="15"/>
  <c r="BA52" i="15" a="1"/>
  <c r="BA52" i="15" s="1"/>
  <c r="BO52" i="15" s="1"/>
  <c r="BN52" i="15"/>
  <c r="BM26" i="15"/>
  <c r="AZ26" i="15" a="1"/>
  <c r="AZ26" i="15" s="1"/>
  <c r="CJ125" i="15" a="1"/>
  <c r="CJ125" i="15" s="1"/>
  <c r="CV125" i="15"/>
  <c r="DF125" i="15" s="1"/>
  <c r="CV68" i="15"/>
  <c r="DF68" i="15" s="1"/>
  <c r="CJ68" i="15" a="1"/>
  <c r="CJ68" i="15" s="1"/>
  <c r="CV32" i="15"/>
  <c r="DF32" i="15" s="1"/>
  <c r="CJ32" i="15" a="1"/>
  <c r="CJ32" i="15" s="1"/>
  <c r="CJ89" i="15" a="1"/>
  <c r="CJ89" i="15" s="1"/>
  <c r="CV89" i="15"/>
  <c r="DF89" i="15" s="1"/>
  <c r="K124" i="15" a="1"/>
  <c r="K124" i="15" s="1"/>
  <c r="X124" i="15"/>
  <c r="AH124" i="15" s="1"/>
  <c r="BU43" i="15"/>
  <c r="J91" i="15" a="1"/>
  <c r="J91" i="15" s="1"/>
  <c r="W91" i="15"/>
  <c r="AG91" i="15" s="1"/>
  <c r="BU14" i="15"/>
  <c r="AY40" i="15" a="1"/>
  <c r="AY40" i="15" s="1"/>
  <c r="BV40" i="15"/>
  <c r="BZ40" i="15" s="1"/>
  <c r="W146" i="15"/>
  <c r="AG146" i="15" s="1"/>
  <c r="AZ114" i="15" a="1"/>
  <c r="AZ114" i="15" s="1"/>
  <c r="BM114" i="15"/>
  <c r="DM51" i="15"/>
  <c r="V41" i="15"/>
  <c r="AF41" i="15" s="1"/>
  <c r="CJ137" i="15" a="1"/>
  <c r="CJ137" i="15" s="1"/>
  <c r="CV137" i="15"/>
  <c r="DF137" i="15" s="1"/>
  <c r="CJ124" i="15" a="1"/>
  <c r="CJ124" i="15" s="1"/>
  <c r="CV124" i="15"/>
  <c r="DF124" i="15" s="1"/>
  <c r="W30" i="15"/>
  <c r="AG30" i="15" s="1"/>
  <c r="J30" i="15" a="1"/>
  <c r="J30" i="15" s="1"/>
  <c r="BT63" i="15"/>
  <c r="CV138" i="15"/>
  <c r="DF138" i="15" s="1"/>
  <c r="CJ138" i="15" a="1"/>
  <c r="CJ138" i="15" s="1"/>
  <c r="CV145" i="15"/>
  <c r="DF145" i="15" s="1"/>
  <c r="CJ145" i="15" a="1"/>
  <c r="CJ145" i="15" s="1"/>
  <c r="W139" i="15"/>
  <c r="AG139" i="15" s="1"/>
  <c r="BT33" i="15"/>
  <c r="BU17" i="15"/>
  <c r="BT48" i="15"/>
  <c r="BT32" i="15"/>
  <c r="BU53" i="15"/>
  <c r="AY29" i="15" a="1"/>
  <c r="AY29" i="15" s="1"/>
  <c r="BV29" i="15"/>
  <c r="BZ29" i="15" s="1"/>
  <c r="BU37" i="15"/>
  <c r="AY61" i="15" a="1"/>
  <c r="AY61" i="15" s="1"/>
  <c r="BV61" i="15"/>
  <c r="BZ61" i="15" s="1"/>
  <c r="BU30" i="15"/>
  <c r="BT46" i="15"/>
  <c r="BT59" i="15"/>
  <c r="BM21" i="15"/>
  <c r="AZ21" i="15" a="1"/>
  <c r="AZ21" i="15" s="1"/>
  <c r="BV10" i="15"/>
  <c r="BZ10" i="15" s="1"/>
  <c r="AY10" i="15" a="1"/>
  <c r="AY10" i="15" s="1"/>
  <c r="AY44" i="15" a="1"/>
  <c r="AY44" i="15" s="1"/>
  <c r="BV44" i="15"/>
  <c r="BT45" i="15"/>
  <c r="BU12" i="15"/>
  <c r="AY24" i="15" a="1"/>
  <c r="AY24" i="15" s="1"/>
  <c r="BV24" i="15"/>
  <c r="BZ24" i="15" s="1"/>
  <c r="BU36" i="15"/>
  <c r="BU25" i="15"/>
  <c r="BV27" i="15"/>
  <c r="BZ27" i="15" s="1"/>
  <c r="BU8" i="15"/>
  <c r="CW7" i="15"/>
  <c r="DG7" i="15" s="1"/>
  <c r="CK7" i="15" a="1"/>
  <c r="CK7" i="15" s="1"/>
  <c r="AZ68" i="15" a="1"/>
  <c r="AZ68" i="15" s="1"/>
  <c r="BM68" i="15"/>
  <c r="BU22" i="15"/>
  <c r="BN35" i="15"/>
  <c r="BA35" i="15" a="1"/>
  <c r="BA35" i="15" s="1"/>
  <c r="BO35" i="15" s="1"/>
  <c r="BU15" i="15"/>
  <c r="BU41" i="15"/>
  <c r="AY60" i="15" a="1"/>
  <c r="AY60" i="15" s="1"/>
  <c r="BV60" i="15"/>
  <c r="CK144" i="15" a="1"/>
  <c r="CK144" i="15" s="1"/>
  <c r="CW144" i="15"/>
  <c r="DG144" i="15" s="1"/>
  <c r="BV123" i="15"/>
  <c r="BZ123" i="15" s="1"/>
  <c r="AY123" i="15" a="1"/>
  <c r="AY123" i="15" s="1"/>
  <c r="CW123" i="15"/>
  <c r="DG123" i="15" s="1"/>
  <c r="CK123" i="15" a="1"/>
  <c r="CK123" i="15" s="1"/>
  <c r="CW149" i="15"/>
  <c r="DG149" i="15" s="1"/>
  <c r="CK149" i="15" a="1"/>
  <c r="CK149" i="15" s="1"/>
  <c r="CK40" i="15" a="1"/>
  <c r="CK40" i="15" s="1"/>
  <c r="CW40" i="15"/>
  <c r="DG40" i="15" s="1"/>
  <c r="AX138" i="15" a="1"/>
  <c r="AX138" i="15" s="1"/>
  <c r="BU138" i="15"/>
  <c r="CW17" i="15"/>
  <c r="DG17" i="15" s="1"/>
  <c r="CK17" i="15" a="1"/>
  <c r="CK17" i="15" s="1"/>
  <c r="CJ22" i="15" a="1"/>
  <c r="CJ22" i="15" s="1"/>
  <c r="CV22" i="15"/>
  <c r="DF22" i="15" s="1"/>
  <c r="BU139" i="15"/>
  <c r="AX139" i="15" a="1"/>
  <c r="AX139" i="15" s="1"/>
  <c r="CK58" i="15" a="1"/>
  <c r="CK58" i="15" s="1"/>
  <c r="CW58" i="15"/>
  <c r="DG58" i="15" s="1"/>
  <c r="CX151" i="15"/>
  <c r="DH151" i="15" s="1"/>
  <c r="DL151" i="15" s="1"/>
  <c r="CL151" i="15" a="1"/>
  <c r="CL151" i="15" s="1"/>
  <c r="CJ62" i="15" a="1"/>
  <c r="CJ62" i="15" s="1"/>
  <c r="CV62" i="15"/>
  <c r="DF62" i="15" s="1"/>
  <c r="CK38" i="15" a="1"/>
  <c r="CK38" i="15" s="1"/>
  <c r="CW38" i="15"/>
  <c r="DG38" i="15" s="1"/>
  <c r="CK9" i="15" a="1"/>
  <c r="CK9" i="15" s="1"/>
  <c r="CW9" i="15"/>
  <c r="DG9" i="15" s="1"/>
  <c r="CK46" i="15" a="1"/>
  <c r="CK46" i="15" s="1"/>
  <c r="CW46" i="15"/>
  <c r="DG46" i="15" s="1"/>
  <c r="BJ142" i="15"/>
  <c r="BT142" i="15" s="1"/>
  <c r="AW142" i="15" a="1"/>
  <c r="AW142" i="15" s="1"/>
  <c r="DF88" i="15"/>
  <c r="CW63" i="15"/>
  <c r="DG63" i="15" s="1"/>
  <c r="CK63" i="15" a="1"/>
  <c r="CK63" i="15" s="1"/>
  <c r="W143" i="15"/>
  <c r="AG143" i="15" s="1"/>
  <c r="V152" i="15"/>
  <c r="CW47" i="15"/>
  <c r="DG47" i="15" s="1"/>
  <c r="CK47" i="15" a="1"/>
  <c r="CK47" i="15" s="1"/>
  <c r="W151" i="15"/>
  <c r="AG151" i="15" s="1"/>
  <c r="K59" i="15" a="1"/>
  <c r="K59" i="15" s="1"/>
  <c r="X59" i="15"/>
  <c r="AH59" i="15" s="1"/>
  <c r="CW52" i="15"/>
  <c r="DG52" i="15" s="1"/>
  <c r="CK52" i="15" a="1"/>
  <c r="CK52" i="15" s="1"/>
  <c r="CL24" i="15" a="1"/>
  <c r="CL24" i="15" s="1"/>
  <c r="CX24" i="15"/>
  <c r="DH24" i="15" s="1"/>
  <c r="DL24" i="15" s="1"/>
  <c r="Y111" i="15"/>
  <c r="AI111" i="15" s="1"/>
  <c r="AM111" i="15" s="1"/>
  <c r="L111" i="15" a="1"/>
  <c r="L111" i="15" s="1"/>
  <c r="CK50" i="15" a="1"/>
  <c r="CK50" i="15" s="1"/>
  <c r="CW50" i="15"/>
  <c r="DG50" i="15" s="1"/>
  <c r="CW91" i="15"/>
  <c r="DG91" i="15" s="1"/>
  <c r="CK91" i="15" a="1"/>
  <c r="CK91" i="15" s="1"/>
  <c r="W28" i="15"/>
  <c r="AG28" i="15" s="1"/>
  <c r="J28" i="15" a="1"/>
  <c r="J28" i="15" s="1"/>
  <c r="K89" i="15" a="1"/>
  <c r="K89" i="15" s="1"/>
  <c r="X89" i="15"/>
  <c r="AH89" i="15" s="1"/>
  <c r="CK13" i="15" a="1"/>
  <c r="CK13" i="15" s="1"/>
  <c r="CW13" i="15"/>
  <c r="DG13" i="15" s="1"/>
  <c r="K58" i="15" a="1"/>
  <c r="K58" i="15" s="1"/>
  <c r="X58" i="15"/>
  <c r="AH58" i="15" s="1"/>
  <c r="BS122" i="15"/>
  <c r="BI152" i="15"/>
  <c r="AN13" i="15"/>
  <c r="CK44" i="15" a="1"/>
  <c r="CK44" i="15" s="1"/>
  <c r="CW44" i="15"/>
  <c r="DG44" i="15" s="1"/>
  <c r="X123" i="15"/>
  <c r="AH123" i="15" s="1"/>
  <c r="K123" i="15" a="1"/>
  <c r="K123" i="15" s="1"/>
  <c r="AW137" i="15" a="1"/>
  <c r="AW137" i="15" s="1"/>
  <c r="BT137" i="15"/>
  <c r="Y108" i="15"/>
  <c r="AI108" i="15" s="1"/>
  <c r="AM108" i="15" s="1"/>
  <c r="L108" i="15" a="1"/>
  <c r="L108" i="15" s="1"/>
  <c r="CX59" i="15"/>
  <c r="DH59" i="15" s="1"/>
  <c r="DL59" i="15" s="1"/>
  <c r="CL59" i="15" a="1"/>
  <c r="CL59" i="15" s="1"/>
  <c r="CK133" i="15" a="1"/>
  <c r="CK133" i="15" s="1"/>
  <c r="CW133" i="15"/>
  <c r="DG133" i="15" s="1"/>
  <c r="CK41" i="15" a="1"/>
  <c r="CK41" i="15" s="1"/>
  <c r="CW41" i="15"/>
  <c r="DG41" i="15" s="1"/>
  <c r="W33" i="15"/>
  <c r="J33" i="15" a="1"/>
  <c r="J33" i="15" s="1"/>
  <c r="W14" i="15"/>
  <c r="J14" i="15" a="1"/>
  <c r="J14" i="15" s="1"/>
  <c r="AW141" i="15" a="1"/>
  <c r="AW141" i="15" s="1"/>
  <c r="BJ141" i="15"/>
  <c r="BT141" i="15" s="1"/>
  <c r="J47" i="15" a="1"/>
  <c r="J47" i="15" s="1"/>
  <c r="W47" i="15"/>
  <c r="AG47" i="15" s="1"/>
  <c r="V34" i="15"/>
  <c r="AF34" i="15" s="1"/>
  <c r="AF33" i="15"/>
  <c r="CW140" i="15"/>
  <c r="DG140" i="15" s="1"/>
  <c r="CK140" i="15" a="1"/>
  <c r="CK140" i="15" s="1"/>
  <c r="V38" i="15"/>
  <c r="AF38" i="15" s="1"/>
  <c r="W149" i="15"/>
  <c r="AG149" i="15" s="1"/>
  <c r="J52" i="15" a="1"/>
  <c r="J52" i="15" s="1"/>
  <c r="W52" i="15"/>
  <c r="AG52" i="15" s="1"/>
  <c r="BJ145" i="15"/>
  <c r="BT145" i="15" s="1"/>
  <c r="AW145" i="15" a="1"/>
  <c r="AW145" i="15" s="1"/>
  <c r="AG122" i="15"/>
  <c r="J50" i="15" a="1"/>
  <c r="J50" i="15" s="1"/>
  <c r="W50" i="15"/>
  <c r="AG50" i="15" s="1"/>
  <c r="CJ11" i="15" a="1"/>
  <c r="CJ11" i="15" s="1"/>
  <c r="CV11" i="15"/>
  <c r="DF11" i="15" s="1"/>
  <c r="CJ16" i="15" a="1"/>
  <c r="CJ16" i="15" s="1"/>
  <c r="CV16" i="15"/>
  <c r="DF16" i="15" s="1"/>
  <c r="CJ19" i="15" a="1"/>
  <c r="CJ19" i="15" s="1"/>
  <c r="CV19" i="15"/>
  <c r="DF19" i="15" s="1"/>
  <c r="BT125" i="15"/>
  <c r="BT124" i="15"/>
  <c r="W144" i="15"/>
  <c r="AG144" i="15" s="1"/>
  <c r="CV37" i="15"/>
  <c r="DF37" i="15" s="1"/>
  <c r="CJ37" i="15" a="1"/>
  <c r="CJ37" i="15" s="1"/>
  <c r="CW30" i="15"/>
  <c r="DG30" i="15" s="1"/>
  <c r="CK30" i="15" a="1"/>
  <c r="CK30" i="15" s="1"/>
  <c r="CK28" i="15" a="1"/>
  <c r="CK28" i="15" s="1"/>
  <c r="CW28" i="15"/>
  <c r="DG28" i="15" s="1"/>
  <c r="X141" i="15"/>
  <c r="AH141" i="15" s="1"/>
  <c r="CJ111" i="15" a="1"/>
  <c r="CJ111" i="15" s="1"/>
  <c r="CV111" i="15"/>
  <c r="DF111" i="15" s="1"/>
  <c r="J114" i="15" a="1"/>
  <c r="J114" i="15" s="1"/>
  <c r="W114" i="15"/>
  <c r="AG114" i="15" s="1"/>
  <c r="X62" i="15"/>
  <c r="AH62" i="15" s="1"/>
  <c r="K62" i="15" a="1"/>
  <c r="K62" i="15" s="1"/>
  <c r="X45" i="15"/>
  <c r="AH45" i="15" s="1"/>
  <c r="K45" i="15" a="1"/>
  <c r="K45" i="15" s="1"/>
  <c r="CV10" i="15"/>
  <c r="DF10" i="15" s="1"/>
  <c r="CJ10" i="15" a="1"/>
  <c r="CJ10" i="15" s="1"/>
  <c r="Y90" i="15"/>
  <c r="AI90" i="15" s="1"/>
  <c r="AM90" i="15" s="1"/>
  <c r="L90" i="15" a="1"/>
  <c r="L90" i="15" s="1"/>
  <c r="W53" i="15"/>
  <c r="AG53" i="15" s="1"/>
  <c r="J53" i="15" a="1"/>
  <c r="J53" i="15" s="1"/>
  <c r="W46" i="15"/>
  <c r="AG46" i="15" s="1"/>
  <c r="J46" i="15" a="1"/>
  <c r="J46" i="15" s="1"/>
  <c r="CK23" i="15" a="1"/>
  <c r="CK23" i="15" s="1"/>
  <c r="CW23" i="15"/>
  <c r="DG23" i="15" s="1"/>
  <c r="CW141" i="15"/>
  <c r="DG141" i="15" s="1"/>
  <c r="CK141" i="15" a="1"/>
  <c r="CK141" i="15" s="1"/>
  <c r="CV45" i="15"/>
  <c r="DF45" i="15" s="1"/>
  <c r="CJ45" i="15" a="1"/>
  <c r="CJ45" i="15" s="1"/>
  <c r="W113" i="15"/>
  <c r="AG113" i="15" s="1"/>
  <c r="J113" i="15" a="1"/>
  <c r="J113" i="15" s="1"/>
  <c r="CL112" i="15" a="1"/>
  <c r="CL112" i="15" s="1"/>
  <c r="CX112" i="15"/>
  <c r="DH112" i="15" s="1"/>
  <c r="DL112" i="15" s="1"/>
  <c r="AZ136" i="15" a="1"/>
  <c r="AZ136" i="15" s="1"/>
  <c r="BM136" i="15"/>
  <c r="W19" i="15"/>
  <c r="AG19" i="15" s="1"/>
  <c r="J19" i="15" a="1"/>
  <c r="J19" i="15" s="1"/>
  <c r="CV33" i="15"/>
  <c r="DF33" i="15" s="1"/>
  <c r="CJ33" i="15" a="1"/>
  <c r="CJ33" i="15" s="1"/>
  <c r="CW90" i="15"/>
  <c r="DG90" i="15" s="1"/>
  <c r="CK90" i="15" a="1"/>
  <c r="CK90" i="15" s="1"/>
  <c r="BT133" i="15"/>
  <c r="CW29" i="15"/>
  <c r="DG29" i="15" s="1"/>
  <c r="CK29" i="15" a="1"/>
  <c r="CK29" i="15" s="1"/>
  <c r="CU115" i="15"/>
  <c r="K44" i="15" a="1"/>
  <c r="K44" i="15" s="1"/>
  <c r="X44" i="15"/>
  <c r="AH44" i="15" s="1"/>
  <c r="CJ36" i="15" a="1"/>
  <c r="CJ36" i="15" s="1"/>
  <c r="CV36" i="15"/>
  <c r="DF36" i="15" s="1"/>
  <c r="J88" i="15" a="1"/>
  <c r="J88" i="15" s="1"/>
  <c r="W88" i="15"/>
  <c r="AG88" i="15" s="1"/>
  <c r="W17" i="15"/>
  <c r="AG17" i="15" s="1"/>
  <c r="J17" i="15" a="1"/>
  <c r="J17" i="15" s="1"/>
  <c r="CJ136" i="15" a="1"/>
  <c r="CJ136" i="15" s="1"/>
  <c r="CV136" i="15"/>
  <c r="DF136" i="15" s="1"/>
  <c r="CJ21" i="15" a="1"/>
  <c r="CJ21" i="15" s="1"/>
  <c r="CV21" i="15"/>
  <c r="DF21" i="15" s="1"/>
  <c r="CK92" i="15" a="1"/>
  <c r="CK92" i="15" s="1"/>
  <c r="CW92" i="15"/>
  <c r="DG92" i="15" s="1"/>
  <c r="W35" i="15"/>
  <c r="AG35" i="15" s="1"/>
  <c r="J35" i="15" a="1"/>
  <c r="J35" i="15" s="1"/>
  <c r="CW49" i="15"/>
  <c r="DG49" i="15" s="1"/>
  <c r="CK49" i="15" a="1"/>
  <c r="CK49" i="15" s="1"/>
  <c r="J24" i="15" a="1"/>
  <c r="J24" i="15" s="1"/>
  <c r="W24" i="15"/>
  <c r="AG24" i="15" s="1"/>
  <c r="Y68" i="15"/>
  <c r="AI68" i="15" s="1"/>
  <c r="AM68" i="15" s="1"/>
  <c r="L68" i="15" a="1"/>
  <c r="L68" i="15" s="1"/>
  <c r="CV43" i="15"/>
  <c r="DF43" i="15" s="1"/>
  <c r="CJ43" i="15" a="1"/>
  <c r="CJ43" i="15" s="1"/>
  <c r="CV122" i="15"/>
  <c r="CJ122" i="15" a="1"/>
  <c r="CJ122" i="15" s="1"/>
  <c r="CW14" i="15"/>
  <c r="DG14" i="15" s="1"/>
  <c r="CK14" i="15" a="1"/>
  <c r="CK14" i="15" s="1"/>
  <c r="CK88" i="15" a="1"/>
  <c r="CK88" i="15" s="1"/>
  <c r="CW88" i="15"/>
  <c r="J15" i="15" a="1"/>
  <c r="J15" i="15" s="1"/>
  <c r="W15" i="15"/>
  <c r="AG15" i="15" s="1"/>
  <c r="CX26" i="15"/>
  <c r="DH26" i="15" s="1"/>
  <c r="DL26" i="15" s="1"/>
  <c r="CL26" i="15" a="1"/>
  <c r="CL26" i="15" s="1"/>
  <c r="L49" i="15" a="1"/>
  <c r="L49" i="15" s="1"/>
  <c r="Y49" i="15"/>
  <c r="AI49" i="15" s="1"/>
  <c r="AM49" i="15" s="1"/>
  <c r="CU152" i="15"/>
  <c r="DE122" i="15"/>
  <c r="J27" i="15" a="1"/>
  <c r="J27" i="15" s="1"/>
  <c r="W27" i="15"/>
  <c r="AG27" i="15" s="1"/>
  <c r="CW143" i="15"/>
  <c r="DG143" i="15" s="1"/>
  <c r="CK143" i="15" a="1"/>
  <c r="CK143" i="15" s="1"/>
  <c r="CX142" i="15"/>
  <c r="DH142" i="15" s="1"/>
  <c r="DL142" i="15" s="1"/>
  <c r="CL142" i="15" a="1"/>
  <c r="CL142" i="15" s="1"/>
  <c r="AW143" i="15" a="1"/>
  <c r="AW143" i="15" s="1"/>
  <c r="BJ143" i="15"/>
  <c r="BT143" i="15" s="1"/>
  <c r="CV139" i="15"/>
  <c r="DF139" i="15" s="1"/>
  <c r="CJ139" i="15" a="1"/>
  <c r="CJ139" i="15" s="1"/>
  <c r="CW131" i="15"/>
  <c r="DG131" i="15" s="1"/>
  <c r="CK131" i="15" a="1"/>
  <c r="CK131" i="15" s="1"/>
  <c r="X140" i="15"/>
  <c r="AH140" i="15" s="1"/>
  <c r="CW113" i="15"/>
  <c r="DG113" i="15" s="1"/>
  <c r="CK113" i="15" a="1"/>
  <c r="CK113" i="15" s="1"/>
  <c r="BU131" i="15"/>
  <c r="BL144" i="15"/>
  <c r="BV144" i="15" s="1"/>
  <c r="BZ144" i="15" s="1"/>
  <c r="AY144" i="15" a="1"/>
  <c r="AY144" i="15" s="1"/>
  <c r="CW130" i="15"/>
  <c r="DG130" i="15" s="1"/>
  <c r="CK130" i="15" a="1"/>
  <c r="CK130" i="15" s="1"/>
  <c r="K125" i="15" a="1"/>
  <c r="K125" i="15" s="1"/>
  <c r="X125" i="15"/>
  <c r="AH125" i="15" s="1"/>
  <c r="U85" i="15"/>
  <c r="CK12" i="15" a="1"/>
  <c r="CK12" i="15" s="1"/>
  <c r="CW12" i="15"/>
  <c r="DG12" i="15" s="1"/>
  <c r="CU85" i="15"/>
  <c r="CL55" i="15" a="1"/>
  <c r="CL55" i="15" s="1"/>
  <c r="CX55" i="15"/>
  <c r="DH55" i="15" s="1"/>
  <c r="DL55" i="15" s="1"/>
  <c r="J31" i="15" a="1"/>
  <c r="J31" i="15" s="1"/>
  <c r="W31" i="15"/>
  <c r="AG31" i="15" s="1"/>
  <c r="X63" i="15"/>
  <c r="AH63" i="15" s="1"/>
  <c r="K63" i="15" a="1"/>
  <c r="K63" i="15" s="1"/>
  <c r="CV25" i="15"/>
  <c r="DF25" i="15" s="1"/>
  <c r="CJ25" i="15" a="1"/>
  <c r="CJ25" i="15" s="1"/>
  <c r="J23" i="15" a="1"/>
  <c r="J23" i="15" s="1"/>
  <c r="W23" i="15"/>
  <c r="AG23" i="15" s="1"/>
  <c r="CX27" i="15"/>
  <c r="DH27" i="15" s="1"/>
  <c r="DL27" i="15" s="1"/>
  <c r="CL27" i="15" a="1"/>
  <c r="CL27" i="15" s="1"/>
  <c r="CW53" i="15"/>
  <c r="DG53" i="15" s="1"/>
  <c r="CK53" i="15" a="1"/>
  <c r="CK53" i="15" s="1"/>
  <c r="CV15" i="15"/>
  <c r="DF15" i="15" s="1"/>
  <c r="CJ15" i="15" a="1"/>
  <c r="CJ15" i="15" s="1"/>
  <c r="K26" i="15" a="1"/>
  <c r="K26" i="15" s="1"/>
  <c r="X26" i="15"/>
  <c r="AH26" i="15" s="1"/>
  <c r="L92" i="15" a="1"/>
  <c r="L92" i="15" s="1"/>
  <c r="Y92" i="15"/>
  <c r="AI92" i="15" s="1"/>
  <c r="AM92" i="15" s="1"/>
  <c r="W112" i="15"/>
  <c r="AG112" i="15" s="1"/>
  <c r="J112" i="15" a="1"/>
  <c r="J112" i="15" s="1"/>
  <c r="AF14" i="15"/>
  <c r="K122" i="15" a="1"/>
  <c r="K122" i="15" s="1"/>
  <c r="X122" i="15"/>
  <c r="BU140" i="15"/>
  <c r="AX140" i="15" a="1"/>
  <c r="AX140" i="15" s="1"/>
  <c r="CW60" i="15"/>
  <c r="DG60" i="15" s="1"/>
  <c r="CK60" i="15" a="1"/>
  <c r="CK60" i="15" s="1"/>
  <c r="Y147" i="15"/>
  <c r="AI147" i="15" s="1"/>
  <c r="AM147" i="15" s="1"/>
  <c r="W150" i="15"/>
  <c r="AG150" i="15" s="1"/>
  <c r="AG87" i="15"/>
  <c r="CV48" i="15"/>
  <c r="DF48" i="15" s="1"/>
  <c r="CJ48" i="15" a="1"/>
  <c r="CJ48" i="15" s="1"/>
  <c r="CK146" i="15" a="1"/>
  <c r="CK146" i="15" s="1"/>
  <c r="CW146" i="15"/>
  <c r="DG146" i="15" s="1"/>
  <c r="W142" i="15"/>
  <c r="AG142" i="15" s="1"/>
  <c r="W148" i="15"/>
  <c r="AG148" i="15" s="1"/>
  <c r="BU130" i="15"/>
  <c r="X48" i="15"/>
  <c r="AH48" i="15" s="1"/>
  <c r="K48" i="15" a="1"/>
  <c r="K48" i="15" s="1"/>
  <c r="J16" i="15" a="1"/>
  <c r="J16" i="15" s="1"/>
  <c r="W16" i="15"/>
  <c r="AG16" i="15" s="1"/>
  <c r="CW61" i="15"/>
  <c r="DG61" i="15" s="1"/>
  <c r="CK61" i="15" a="1"/>
  <c r="CK61" i="15" s="1"/>
  <c r="U115" i="15" l="1"/>
  <c r="U117" i="15" s="1"/>
  <c r="CW31" i="15"/>
  <c r="DG31" i="15" s="1"/>
  <c r="AY23" i="15" a="1"/>
  <c r="AY23" i="15" s="1"/>
  <c r="BM23" i="15" s="1"/>
  <c r="AY34" i="15" a="1"/>
  <c r="AY34" i="15" s="1"/>
  <c r="AZ34" i="15" s="1" a="1"/>
  <c r="AZ34" i="15" s="1"/>
  <c r="AZ149" i="15" a="1"/>
  <c r="AZ149" i="15" s="1"/>
  <c r="BM149" i="15"/>
  <c r="AZ150" i="15" a="1"/>
  <c r="AZ150" i="15" s="1"/>
  <c r="BM150" i="15"/>
  <c r="BL151" i="15"/>
  <c r="BV151" i="15" s="1"/>
  <c r="BZ151" i="15" s="1"/>
  <c r="AY151" i="15" a="1"/>
  <c r="AY151" i="15" s="1"/>
  <c r="BL147" i="15"/>
  <c r="BV147" i="15" s="1"/>
  <c r="BZ147" i="15" s="1"/>
  <c r="AY147" i="15" a="1"/>
  <c r="AY147" i="15" s="1"/>
  <c r="BL146" i="15"/>
  <c r="BV146" i="15" s="1"/>
  <c r="BZ146" i="15" s="1"/>
  <c r="AY146" i="15" a="1"/>
  <c r="AY146" i="15" s="1"/>
  <c r="AY148" i="15" a="1"/>
  <c r="AY148" i="15" s="1"/>
  <c r="BL148" i="15"/>
  <c r="BV148" i="15" s="1"/>
  <c r="BZ148" i="15" s="1"/>
  <c r="BU80" i="15"/>
  <c r="AX80" i="15" a="1"/>
  <c r="AX80" i="15" s="1"/>
  <c r="X87" i="15"/>
  <c r="AH87" i="15" s="1"/>
  <c r="AY111" i="15" a="1"/>
  <c r="AY111" i="15" s="1"/>
  <c r="BL111" i="15"/>
  <c r="BV111" i="15" s="1"/>
  <c r="BZ111" i="15" s="1"/>
  <c r="BU81" i="15"/>
  <c r="AX81" i="15" a="1"/>
  <c r="AX81" i="15" s="1"/>
  <c r="BZ44" i="15"/>
  <c r="BM75" i="15"/>
  <c r="AZ75" i="15" a="1"/>
  <c r="AZ75" i="15" s="1"/>
  <c r="BZ60" i="15"/>
  <c r="BM34" i="15"/>
  <c r="BV82" i="15"/>
  <c r="BZ82" i="15" s="1"/>
  <c r="AY82" i="15" a="1"/>
  <c r="AY82" i="15" s="1"/>
  <c r="BV16" i="15"/>
  <c r="BZ16" i="15" s="1"/>
  <c r="BU70" i="15"/>
  <c r="AX84" i="15" a="1"/>
  <c r="AX84" i="15" s="1"/>
  <c r="BU84" i="15"/>
  <c r="BU71" i="15"/>
  <c r="AZ74" i="15" a="1"/>
  <c r="AZ74" i="15" s="1"/>
  <c r="BM74" i="15"/>
  <c r="BA69" i="15" a="1"/>
  <c r="BA69" i="15" s="1"/>
  <c r="BO69" i="15" s="1"/>
  <c r="BN69" i="15"/>
  <c r="AZ73" i="15" a="1"/>
  <c r="AZ73" i="15" s="1"/>
  <c r="BM73" i="15"/>
  <c r="AY83" i="15" a="1"/>
  <c r="AY83" i="15" s="1"/>
  <c r="BV83" i="15"/>
  <c r="BZ83" i="15" s="1"/>
  <c r="BV47" i="15"/>
  <c r="BZ47" i="15" s="1"/>
  <c r="BV79" i="15"/>
  <c r="BZ79" i="15" s="1"/>
  <c r="AY79" i="15" a="1"/>
  <c r="AY79" i="15" s="1"/>
  <c r="AY72" i="15" a="1"/>
  <c r="AY72" i="15" s="1"/>
  <c r="BV72" i="15"/>
  <c r="BZ72" i="15" s="1"/>
  <c r="BU28" i="15"/>
  <c r="AY19" i="15" a="1"/>
  <c r="AY19" i="15" s="1"/>
  <c r="BV19" i="15"/>
  <c r="BZ19" i="15" s="1"/>
  <c r="BU31" i="15"/>
  <c r="BU58" i="15"/>
  <c r="CA52" i="15"/>
  <c r="X60" i="15"/>
  <c r="AH60" i="15" s="1"/>
  <c r="K60" i="15" a="1"/>
  <c r="K60" i="15" s="1"/>
  <c r="CK8" i="15" a="1"/>
  <c r="CK8" i="15" s="1"/>
  <c r="CX8" i="15" s="1"/>
  <c r="DH8" i="15" s="1"/>
  <c r="DL8" i="15" s="1"/>
  <c r="BU55" i="15"/>
  <c r="BJ115" i="15"/>
  <c r="BU49" i="15"/>
  <c r="AY11" i="15" a="1"/>
  <c r="AY11" i="15" s="1"/>
  <c r="BV11" i="15"/>
  <c r="BZ11" i="15" s="1"/>
  <c r="CW35" i="15"/>
  <c r="DG35" i="15" s="1"/>
  <c r="BU38" i="15"/>
  <c r="AY112" i="15" a="1"/>
  <c r="AY112" i="15" s="1"/>
  <c r="BL112" i="15"/>
  <c r="BV112" i="15" s="1"/>
  <c r="BZ112" i="15" s="1"/>
  <c r="CV115" i="15"/>
  <c r="BA50" i="15" a="1"/>
  <c r="BA50" i="15" s="1"/>
  <c r="BO50" i="15" s="1"/>
  <c r="BN50" i="15"/>
  <c r="BU9" i="15"/>
  <c r="AY109" i="15" a="1"/>
  <c r="AY109" i="15" s="1"/>
  <c r="BL109" i="15"/>
  <c r="BV109" i="15" s="1"/>
  <c r="BZ109" i="15" s="1"/>
  <c r="CW138" i="15"/>
  <c r="DG138" i="15" s="1"/>
  <c r="CK138" i="15" a="1"/>
  <c r="CK138" i="15" s="1"/>
  <c r="CK68" i="15" a="1"/>
  <c r="CK68" i="15" s="1"/>
  <c r="CW68" i="15"/>
  <c r="DG68" i="15" s="1"/>
  <c r="AZ40" i="15" a="1"/>
  <c r="AZ40" i="15" s="1"/>
  <c r="BM40" i="15"/>
  <c r="AY13" i="15" a="1"/>
  <c r="AY13" i="15" s="1"/>
  <c r="BV13" i="15"/>
  <c r="BZ13" i="15" s="1"/>
  <c r="BU63" i="15"/>
  <c r="AY14" i="15" a="1"/>
  <c r="AY14" i="15" s="1"/>
  <c r="BV14" i="15"/>
  <c r="BZ14" i="15" s="1"/>
  <c r="CK125" i="15" a="1"/>
  <c r="CK125" i="15" s="1"/>
  <c r="CW125" i="15"/>
  <c r="DG125" i="15" s="1"/>
  <c r="X30" i="15"/>
  <c r="AH30" i="15" s="1"/>
  <c r="K30" i="15" a="1"/>
  <c r="K30" i="15" s="1"/>
  <c r="BA26" i="15" a="1"/>
  <c r="BA26" i="15" s="1"/>
  <c r="BO26" i="15" s="1"/>
  <c r="BN26" i="15"/>
  <c r="BM87" i="15"/>
  <c r="AZ87" i="15" a="1"/>
  <c r="AZ87" i="15" s="1"/>
  <c r="BV51" i="15"/>
  <c r="BZ51" i="15" s="1"/>
  <c r="AY51" i="15" a="1"/>
  <c r="AY51" i="15" s="1"/>
  <c r="X91" i="15"/>
  <c r="AH91" i="15" s="1"/>
  <c r="K91" i="15" a="1"/>
  <c r="K91" i="15" s="1"/>
  <c r="CK124" i="15" a="1"/>
  <c r="CK124" i="15" s="1"/>
  <c r="CW124" i="15"/>
  <c r="DG124" i="15" s="1"/>
  <c r="BA110" i="15" a="1"/>
  <c r="BA110" i="15" s="1"/>
  <c r="BO110" i="15" s="1"/>
  <c r="BN110" i="15"/>
  <c r="AY62" i="15" a="1"/>
  <c r="AY62" i="15" s="1"/>
  <c r="BV62" i="15"/>
  <c r="BZ62" i="15" s="1"/>
  <c r="BV43" i="15"/>
  <c r="BZ43" i="15" s="1"/>
  <c r="AY43" i="15" a="1"/>
  <c r="AY43" i="15" s="1"/>
  <c r="BA114" i="15" a="1"/>
  <c r="BA114" i="15" s="1"/>
  <c r="BO114" i="15" s="1"/>
  <c r="BN114" i="15"/>
  <c r="CX87" i="15"/>
  <c r="DH87" i="15" s="1"/>
  <c r="DL87" i="15" s="1"/>
  <c r="CL87" i="15" a="1"/>
  <c r="CL87" i="15" s="1"/>
  <c r="CK137" i="15" a="1"/>
  <c r="CK137" i="15" s="1"/>
  <c r="CW137" i="15"/>
  <c r="DG137" i="15" s="1"/>
  <c r="L124" i="15" a="1"/>
  <c r="L124" i="15" s="1"/>
  <c r="Y124" i="15"/>
  <c r="AI124" i="15" s="1"/>
  <c r="AM124" i="15" s="1"/>
  <c r="CA35" i="15"/>
  <c r="X139" i="15"/>
  <c r="AH139" i="15" s="1"/>
  <c r="W41" i="15"/>
  <c r="AG41" i="15" s="1"/>
  <c r="CK89" i="15" a="1"/>
  <c r="CK89" i="15" s="1"/>
  <c r="CW89" i="15"/>
  <c r="DG89" i="15" s="1"/>
  <c r="CW145" i="15"/>
  <c r="DG145" i="15" s="1"/>
  <c r="CK145" i="15" a="1"/>
  <c r="CK145" i="15" s="1"/>
  <c r="CK32" i="15" a="1"/>
  <c r="CK32" i="15" s="1"/>
  <c r="CW32" i="15"/>
  <c r="DG32" i="15" s="1"/>
  <c r="AX113" i="15" a="1"/>
  <c r="AX113" i="15" s="1"/>
  <c r="BK113" i="15"/>
  <c r="BU113" i="15" s="1"/>
  <c r="CU117" i="15"/>
  <c r="X146" i="15"/>
  <c r="AH146" i="15" s="1"/>
  <c r="BM24" i="15"/>
  <c r="AZ24" i="15" a="1"/>
  <c r="AZ24" i="15" s="1"/>
  <c r="BV22" i="15"/>
  <c r="BZ22" i="15" s="1"/>
  <c r="AY22" i="15" a="1"/>
  <c r="AY22" i="15" s="1"/>
  <c r="BM29" i="15"/>
  <c r="AZ29" i="15" a="1"/>
  <c r="AZ29" i="15" s="1"/>
  <c r="BN68" i="15"/>
  <c r="BA68" i="15" a="1"/>
  <c r="BA68" i="15" s="1"/>
  <c r="BO68" i="15" s="1"/>
  <c r="BU45" i="15"/>
  <c r="BU33" i="15"/>
  <c r="AZ60" i="15" a="1"/>
  <c r="AZ60" i="15" s="1"/>
  <c r="BM60" i="15"/>
  <c r="CX7" i="15"/>
  <c r="DH7" i="15" s="1"/>
  <c r="DL7" i="15" s="1"/>
  <c r="CL7" i="15" a="1"/>
  <c r="CL7" i="15" s="1"/>
  <c r="BV25" i="15"/>
  <c r="BZ25" i="15" s="1"/>
  <c r="AY25" i="15" a="1"/>
  <c r="AY25" i="15" s="1"/>
  <c r="BV41" i="15"/>
  <c r="BZ41" i="15" s="1"/>
  <c r="AY36" i="15" a="1"/>
  <c r="AY36" i="15" s="1"/>
  <c r="BV36" i="15"/>
  <c r="BZ36" i="15" s="1"/>
  <c r="BV53" i="15"/>
  <c r="BZ53" i="15" s="1"/>
  <c r="AY53" i="15" a="1"/>
  <c r="AY53" i="15" s="1"/>
  <c r="AZ44" i="15" a="1"/>
  <c r="AZ44" i="15" s="1"/>
  <c r="BM44" i="15"/>
  <c r="AY30" i="15" a="1"/>
  <c r="AY30" i="15" s="1"/>
  <c r="BV30" i="15"/>
  <c r="BZ30" i="15" s="1"/>
  <c r="BU32" i="15"/>
  <c r="BU59" i="15"/>
  <c r="BM61" i="15"/>
  <c r="AZ61" i="15" a="1"/>
  <c r="AZ61" i="15" s="1"/>
  <c r="BU48" i="15"/>
  <c r="AY12" i="15" a="1"/>
  <c r="AY12" i="15" s="1"/>
  <c r="BV12" i="15"/>
  <c r="BZ12" i="15" s="1"/>
  <c r="BM16" i="15"/>
  <c r="AZ16" i="15" a="1"/>
  <c r="AZ16" i="15" s="1"/>
  <c r="BV15" i="15"/>
  <c r="BZ15" i="15" s="1"/>
  <c r="AY15" i="15" a="1"/>
  <c r="AY15" i="15" s="1"/>
  <c r="BN21" i="15"/>
  <c r="BA21" i="15" a="1"/>
  <c r="BA21" i="15" s="1"/>
  <c r="BO21" i="15" s="1"/>
  <c r="BU46" i="15"/>
  <c r="AY37" i="15" a="1"/>
  <c r="AY37" i="15" s="1"/>
  <c r="BV37" i="15"/>
  <c r="BZ37" i="15" s="1"/>
  <c r="BM27" i="15"/>
  <c r="BV17" i="15"/>
  <c r="BZ17" i="15" s="1"/>
  <c r="AY17" i="15" a="1"/>
  <c r="AY17" i="15" s="1"/>
  <c r="AZ10" i="15" a="1"/>
  <c r="AZ10" i="15" s="1"/>
  <c r="BM10" i="15"/>
  <c r="BV8" i="15"/>
  <c r="BZ8" i="15" s="1"/>
  <c r="K16" i="15" a="1"/>
  <c r="K16" i="15" s="1"/>
  <c r="X16" i="15"/>
  <c r="AH16" i="15" s="1"/>
  <c r="CX60" i="15"/>
  <c r="DH60" i="15" s="1"/>
  <c r="DL60" i="15" s="1"/>
  <c r="CL60" i="15" a="1"/>
  <c r="CL60" i="15" s="1"/>
  <c r="AZ144" i="15" a="1"/>
  <c r="AZ144" i="15" s="1"/>
  <c r="BM144" i="15"/>
  <c r="CW33" i="15"/>
  <c r="DG33" i="15" s="1"/>
  <c r="CK33" i="15" a="1"/>
  <c r="CK33" i="15" s="1"/>
  <c r="CW111" i="15"/>
  <c r="DG111" i="15" s="1"/>
  <c r="CK111" i="15" a="1"/>
  <c r="CK111" i="15" s="1"/>
  <c r="CM27" i="15" a="1"/>
  <c r="CM27" i="15" s="1"/>
  <c r="CY27" i="15"/>
  <c r="CK21" i="15" a="1"/>
  <c r="CK21" i="15" s="1"/>
  <c r="CW21" i="15"/>
  <c r="DG21" i="15" s="1"/>
  <c r="K50" i="15" a="1"/>
  <c r="K50" i="15" s="1"/>
  <c r="X50" i="15"/>
  <c r="AH50" i="15" s="1"/>
  <c r="BV138" i="15"/>
  <c r="BZ138" i="15" s="1"/>
  <c r="AY138" i="15" a="1"/>
  <c r="AY138" i="15" s="1"/>
  <c r="AY140" i="15" a="1"/>
  <c r="AY140" i="15" s="1"/>
  <c r="BV140" i="15"/>
  <c r="BZ140" i="15" s="1"/>
  <c r="CX12" i="15"/>
  <c r="DH12" i="15" s="1"/>
  <c r="DL12" i="15" s="1"/>
  <c r="CL12" i="15" a="1"/>
  <c r="CL12" i="15" s="1"/>
  <c r="CK139" i="15" a="1"/>
  <c r="CK139" i="15" s="1"/>
  <c r="CW139" i="15"/>
  <c r="DG139" i="15" s="1"/>
  <c r="BJ152" i="15"/>
  <c r="BT122" i="15"/>
  <c r="K24" i="15" a="1"/>
  <c r="K24" i="15" s="1"/>
  <c r="X24" i="15"/>
  <c r="AH24" i="15" s="1"/>
  <c r="Y141" i="15"/>
  <c r="AI141" i="15" s="1"/>
  <c r="AM141" i="15" s="1"/>
  <c r="W152" i="15"/>
  <c r="AG33" i="15"/>
  <c r="W34" i="15"/>
  <c r="AG34" i="15" s="1"/>
  <c r="L58" i="15" a="1"/>
  <c r="L58" i="15" s="1"/>
  <c r="Y58" i="15"/>
  <c r="AI58" i="15" s="1"/>
  <c r="AM58" i="15" s="1"/>
  <c r="W38" i="15"/>
  <c r="AG38" i="15" s="1"/>
  <c r="CL14" i="15" a="1"/>
  <c r="CL14" i="15" s="1"/>
  <c r="CX14" i="15"/>
  <c r="DH14" i="15" s="1"/>
  <c r="DL14" i="15" s="1"/>
  <c r="CW45" i="15"/>
  <c r="DG45" i="15" s="1"/>
  <c r="CK45" i="15" a="1"/>
  <c r="CK45" i="15" s="1"/>
  <c r="BU137" i="15"/>
  <c r="AX137" i="15" a="1"/>
  <c r="AX137" i="15" s="1"/>
  <c r="CK136" i="15" a="1"/>
  <c r="CK136" i="15" s="1"/>
  <c r="CW136" i="15"/>
  <c r="DG136" i="15" s="1"/>
  <c r="CL13" i="15" a="1"/>
  <c r="CL13" i="15" s="1"/>
  <c r="CX13" i="15"/>
  <c r="DH13" i="15" s="1"/>
  <c r="DL13" i="15" s="1"/>
  <c r="CL40" i="15" a="1"/>
  <c r="CL40" i="15" s="1"/>
  <c r="CX40" i="15"/>
  <c r="DH40" i="15" s="1"/>
  <c r="DL40" i="15" s="1"/>
  <c r="CW48" i="15"/>
  <c r="DG48" i="15" s="1"/>
  <c r="CK48" i="15" a="1"/>
  <c r="CK48" i="15" s="1"/>
  <c r="CL149" i="15" a="1"/>
  <c r="CL149" i="15" s="1"/>
  <c r="CX149" i="15"/>
  <c r="DH149" i="15" s="1"/>
  <c r="DL149" i="15" s="1"/>
  <c r="X144" i="15"/>
  <c r="AH144" i="15" s="1"/>
  <c r="AX143" i="15" a="1"/>
  <c r="AX143" i="15" s="1"/>
  <c r="BK143" i="15"/>
  <c r="BU143" i="15" s="1"/>
  <c r="CX123" i="15"/>
  <c r="DH123" i="15" s="1"/>
  <c r="DL123" i="15" s="1"/>
  <c r="CL123" i="15" a="1"/>
  <c r="CL123" i="15" s="1"/>
  <c r="K23" i="15" a="1"/>
  <c r="K23" i="15" s="1"/>
  <c r="X23" i="15"/>
  <c r="AH23" i="15" s="1"/>
  <c r="K35" i="15" a="1"/>
  <c r="K35" i="15" s="1"/>
  <c r="X35" i="15"/>
  <c r="AH35" i="15" s="1"/>
  <c r="CW16" i="15"/>
  <c r="DG16" i="15" s="1"/>
  <c r="CK16" i="15" a="1"/>
  <c r="CK16" i="15" s="1"/>
  <c r="Y59" i="15"/>
  <c r="AI59" i="15" s="1"/>
  <c r="AM59" i="15" s="1"/>
  <c r="L59" i="15" a="1"/>
  <c r="L59" i="15" s="1"/>
  <c r="AH122" i="15"/>
  <c r="CM142" i="15" a="1"/>
  <c r="CM142" i="15" s="1"/>
  <c r="CY142" i="15"/>
  <c r="CL141" i="15" a="1"/>
  <c r="CL141" i="15" s="1"/>
  <c r="CX141" i="15"/>
  <c r="DH141" i="15" s="1"/>
  <c r="DL141" i="15" s="1"/>
  <c r="X28" i="15"/>
  <c r="AH28" i="15" s="1"/>
  <c r="K28" i="15" a="1"/>
  <c r="K28" i="15" s="1"/>
  <c r="CL58" i="15" a="1"/>
  <c r="CL58" i="15" s="1"/>
  <c r="CX58" i="15"/>
  <c r="DH58" i="15" s="1"/>
  <c r="DL58" i="15" s="1"/>
  <c r="Y122" i="15"/>
  <c r="L122" i="15" a="1"/>
  <c r="L122" i="15" s="1"/>
  <c r="BU133" i="15"/>
  <c r="CL30" i="15" a="1"/>
  <c r="CL30" i="15" s="1"/>
  <c r="CX30" i="15"/>
  <c r="DH30" i="15" s="1"/>
  <c r="DL30" i="15" s="1"/>
  <c r="BK142" i="15"/>
  <c r="BU142" i="15" s="1"/>
  <c r="AX142" i="15" a="1"/>
  <c r="AX142" i="15" s="1"/>
  <c r="AY139" i="15" a="1"/>
  <c r="AY139" i="15" s="1"/>
  <c r="BV139" i="15"/>
  <c r="BZ139" i="15" s="1"/>
  <c r="CM55" i="15" a="1"/>
  <c r="CM55" i="15" s="1"/>
  <c r="CY55" i="15"/>
  <c r="CV85" i="15"/>
  <c r="CW43" i="15"/>
  <c r="DG43" i="15" s="1"/>
  <c r="CK43" i="15" a="1"/>
  <c r="CK43" i="15" s="1"/>
  <c r="Y87" i="15"/>
  <c r="L87" i="15" a="1"/>
  <c r="L87" i="15" s="1"/>
  <c r="CW25" i="15"/>
  <c r="DG25" i="15" s="1"/>
  <c r="CK25" i="15" a="1"/>
  <c r="CK25" i="15" s="1"/>
  <c r="K47" i="15" a="1"/>
  <c r="K47" i="15" s="1"/>
  <c r="X47" i="15"/>
  <c r="AH47" i="15" s="1"/>
  <c r="K112" i="15" a="1"/>
  <c r="K112" i="15" s="1"/>
  <c r="X112" i="15"/>
  <c r="AH112" i="15" s="1"/>
  <c r="CK62" i="15" a="1"/>
  <c r="CK62" i="15" s="1"/>
  <c r="CW62" i="15"/>
  <c r="DG62" i="15" s="1"/>
  <c r="CX61" i="15"/>
  <c r="DH61" i="15" s="1"/>
  <c r="DL61" i="15" s="1"/>
  <c r="CL61" i="15" a="1"/>
  <c r="CL61" i="15" s="1"/>
  <c r="L125" i="15" a="1"/>
  <c r="L125" i="15" s="1"/>
  <c r="Y125" i="15"/>
  <c r="AI125" i="15" s="1"/>
  <c r="AM125" i="15" s="1"/>
  <c r="CX143" i="15"/>
  <c r="DH143" i="15" s="1"/>
  <c r="DL143" i="15" s="1"/>
  <c r="CL143" i="15" a="1"/>
  <c r="CL143" i="15" s="1"/>
  <c r="CM26" i="15" a="1"/>
  <c r="CM26" i="15" s="1"/>
  <c r="CY26" i="15"/>
  <c r="L62" i="15" a="1"/>
  <c r="L62" i="15" s="1"/>
  <c r="Y62" i="15"/>
  <c r="AI62" i="15" s="1"/>
  <c r="AM62" i="15" s="1"/>
  <c r="CK11" i="15" a="1"/>
  <c r="CK11" i="15" s="1"/>
  <c r="CW11" i="15"/>
  <c r="DG11" i="15" s="1"/>
  <c r="AX141" i="15" a="1"/>
  <c r="AX141" i="15" s="1"/>
  <c r="BK141" i="15"/>
  <c r="BU141" i="15" s="1"/>
  <c r="CX47" i="15"/>
  <c r="DH47" i="15" s="1"/>
  <c r="DL47" i="15" s="1"/>
  <c r="CL47" i="15" a="1"/>
  <c r="CL47" i="15" s="1"/>
  <c r="CM151" i="15" a="1"/>
  <c r="CM151" i="15" s="1"/>
  <c r="CY151" i="15"/>
  <c r="CK22" i="15" a="1"/>
  <c r="CK22" i="15" s="1"/>
  <c r="CW22" i="15"/>
  <c r="DG22" i="15" s="1"/>
  <c r="CK15" i="15" a="1"/>
  <c r="CK15" i="15" s="1"/>
  <c r="CW15" i="15"/>
  <c r="DG15" i="15" s="1"/>
  <c r="CY59" i="15"/>
  <c r="CM59" i="15" a="1"/>
  <c r="CM59" i="15" s="1"/>
  <c r="CX130" i="15"/>
  <c r="DH130" i="15" s="1"/>
  <c r="DL130" i="15" s="1"/>
  <c r="CL130" i="15" a="1"/>
  <c r="CL130" i="15" s="1"/>
  <c r="CX92" i="15"/>
  <c r="DH92" i="15" s="1"/>
  <c r="DL92" i="15" s="1"/>
  <c r="CL92" i="15" a="1"/>
  <c r="CL92" i="15" s="1"/>
  <c r="CX31" i="15"/>
  <c r="DH31" i="15" s="1"/>
  <c r="DL31" i="15" s="1"/>
  <c r="CL31" i="15" a="1"/>
  <c r="CL31" i="15" s="1"/>
  <c r="Z90" i="15"/>
  <c r="M90" i="15" a="1"/>
  <c r="M90" i="15" s="1"/>
  <c r="BU125" i="15"/>
  <c r="CL50" i="15" a="1"/>
  <c r="CL50" i="15" s="1"/>
  <c r="CX50" i="15"/>
  <c r="DH50" i="15" s="1"/>
  <c r="DL50" i="15" s="1"/>
  <c r="CX63" i="15"/>
  <c r="DH63" i="15" s="1"/>
  <c r="DL63" i="15" s="1"/>
  <c r="CL63" i="15" a="1"/>
  <c r="CL63" i="15" s="1"/>
  <c r="L44" i="15" a="1"/>
  <c r="L44" i="15" s="1"/>
  <c r="Y44" i="15"/>
  <c r="AI44" i="15" s="1"/>
  <c r="AM44" i="15" s="1"/>
  <c r="K31" i="15" a="1"/>
  <c r="K31" i="15" s="1"/>
  <c r="X31" i="15"/>
  <c r="AH31" i="15" s="1"/>
  <c r="DG88" i="15"/>
  <c r="CL146" i="15" a="1"/>
  <c r="CL146" i="15" s="1"/>
  <c r="CX146" i="15"/>
  <c r="DH146" i="15" s="1"/>
  <c r="DL146" i="15" s="1"/>
  <c r="CV152" i="15"/>
  <c r="DF122" i="15"/>
  <c r="BU124" i="15"/>
  <c r="CL28" i="15" a="1"/>
  <c r="CL28" i="15" s="1"/>
  <c r="CX28" i="15"/>
  <c r="DH28" i="15" s="1"/>
  <c r="DL28" i="15" s="1"/>
  <c r="CX90" i="15"/>
  <c r="DH90" i="15" s="1"/>
  <c r="DL90" i="15" s="1"/>
  <c r="CL90" i="15" a="1"/>
  <c r="CL90" i="15" s="1"/>
  <c r="K88" i="15" a="1"/>
  <c r="K88" i="15" s="1"/>
  <c r="X88" i="15"/>
  <c r="AH88" i="15" s="1"/>
  <c r="X150" i="15"/>
  <c r="AH150" i="15" s="1"/>
  <c r="Z147" i="15"/>
  <c r="CX53" i="15"/>
  <c r="DH53" i="15" s="1"/>
  <c r="DL53" i="15" s="1"/>
  <c r="CL53" i="15" a="1"/>
  <c r="CL53" i="15" s="1"/>
  <c r="K27" i="15" a="1"/>
  <c r="K27" i="15" s="1"/>
  <c r="X27" i="15"/>
  <c r="AH27" i="15" s="1"/>
  <c r="K15" i="15" a="1"/>
  <c r="K15" i="15" s="1"/>
  <c r="X15" i="15"/>
  <c r="AH15" i="15" s="1"/>
  <c r="CL23" i="15" a="1"/>
  <c r="CL23" i="15" s="1"/>
  <c r="CX23" i="15"/>
  <c r="DH23" i="15" s="1"/>
  <c r="DL23" i="15" s="1"/>
  <c r="X114" i="15"/>
  <c r="AH114" i="15" s="1"/>
  <c r="K114" i="15" a="1"/>
  <c r="K114" i="15" s="1"/>
  <c r="CX140" i="15"/>
  <c r="DH140" i="15" s="1"/>
  <c r="DL140" i="15" s="1"/>
  <c r="CL140" i="15" a="1"/>
  <c r="CL140" i="15" s="1"/>
  <c r="X14" i="15"/>
  <c r="K14" i="15" a="1"/>
  <c r="K14" i="15" s="1"/>
  <c r="Z108" i="15"/>
  <c r="M108" i="15" a="1"/>
  <c r="M108" i="15" s="1"/>
  <c r="CX17" i="15"/>
  <c r="DH17" i="15" s="1"/>
  <c r="DL17" i="15" s="1"/>
  <c r="CL17" i="15" a="1"/>
  <c r="CL17" i="15" s="1"/>
  <c r="CL131" i="15" a="1"/>
  <c r="CL131" i="15" s="1"/>
  <c r="CX131" i="15"/>
  <c r="DH131" i="15" s="1"/>
  <c r="DL131" i="15" s="1"/>
  <c r="X142" i="15"/>
  <c r="AH142" i="15" s="1"/>
  <c r="X113" i="15"/>
  <c r="AH113" i="15" s="1"/>
  <c r="K113" i="15" a="1"/>
  <c r="K113" i="15" s="1"/>
  <c r="CX46" i="15"/>
  <c r="DH46" i="15" s="1"/>
  <c r="DL46" i="15" s="1"/>
  <c r="CL46" i="15" a="1"/>
  <c r="CL46" i="15" s="1"/>
  <c r="X19" i="15"/>
  <c r="AH19" i="15" s="1"/>
  <c r="K19" i="15" a="1"/>
  <c r="K19" i="15" s="1"/>
  <c r="CK19" i="15" a="1"/>
  <c r="CK19" i="15" s="1"/>
  <c r="CW19" i="15"/>
  <c r="DG19" i="15" s="1"/>
  <c r="J36" i="15"/>
  <c r="X36" i="15" s="1"/>
  <c r="AH36" i="15" s="1"/>
  <c r="X33" i="15"/>
  <c r="K33" i="15" a="1"/>
  <c r="K33" i="15" s="1"/>
  <c r="M111" i="15" a="1"/>
  <c r="M111" i="15" s="1"/>
  <c r="Z111" i="15"/>
  <c r="Y48" i="15"/>
  <c r="AI48" i="15" s="1"/>
  <c r="AM48" i="15" s="1"/>
  <c r="L48" i="15" a="1"/>
  <c r="L48" i="15" s="1"/>
  <c r="CL88" i="15" a="1"/>
  <c r="CL88" i="15" s="1"/>
  <c r="CX88" i="15"/>
  <c r="CL9" i="15" a="1"/>
  <c r="CL9" i="15" s="1"/>
  <c r="CX9" i="15"/>
  <c r="DH9" i="15" s="1"/>
  <c r="DL9" i="15" s="1"/>
  <c r="AX145" i="15" a="1"/>
  <c r="AX145" i="15" s="1"/>
  <c r="BK145" i="15"/>
  <c r="BU145" i="15" s="1"/>
  <c r="X143" i="15"/>
  <c r="AH143" i="15" s="1"/>
  <c r="CL29" i="15" a="1"/>
  <c r="CL29" i="15" s="1"/>
  <c r="CX29" i="15"/>
  <c r="DH29" i="15" s="1"/>
  <c r="DL29" i="15" s="1"/>
  <c r="K46" i="15" a="1"/>
  <c r="K46" i="15" s="1"/>
  <c r="X46" i="15"/>
  <c r="AH46" i="15" s="1"/>
  <c r="Y123" i="15"/>
  <c r="AI123" i="15" s="1"/>
  <c r="AM123" i="15" s="1"/>
  <c r="L123" i="15" a="1"/>
  <c r="L123" i="15" s="1"/>
  <c r="CM24" i="15" a="1"/>
  <c r="CM24" i="15" s="1"/>
  <c r="CY24" i="15"/>
  <c r="AY131" i="15" a="1"/>
  <c r="AY131" i="15" s="1"/>
  <c r="BV131" i="15"/>
  <c r="BZ131" i="15" s="1"/>
  <c r="CL49" i="15" a="1"/>
  <c r="CL49" i="15" s="1"/>
  <c r="CX49" i="15"/>
  <c r="DH49" i="15" s="1"/>
  <c r="DL49" i="15" s="1"/>
  <c r="CL52" i="15" a="1"/>
  <c r="CL52" i="15" s="1"/>
  <c r="CX52" i="15"/>
  <c r="DH52" i="15" s="1"/>
  <c r="DL52" i="15" s="1"/>
  <c r="CL113" i="15" a="1"/>
  <c r="CL113" i="15" s="1"/>
  <c r="CX113" i="15"/>
  <c r="DH113" i="15" s="1"/>
  <c r="DL113" i="15" s="1"/>
  <c r="CL41" i="15" a="1"/>
  <c r="CL41" i="15" s="1"/>
  <c r="CX41" i="15"/>
  <c r="DH41" i="15" s="1"/>
  <c r="DL41" i="15" s="1"/>
  <c r="L89" i="15" a="1"/>
  <c r="L89" i="15" s="1"/>
  <c r="Y89" i="15"/>
  <c r="AI89" i="15" s="1"/>
  <c r="AM89" i="15" s="1"/>
  <c r="CW122" i="15"/>
  <c r="CK122" i="15" a="1"/>
  <c r="CK122" i="15" s="1"/>
  <c r="K17" i="15" a="1"/>
  <c r="K17" i="15" s="1"/>
  <c r="X17" i="15"/>
  <c r="AH17" i="15" s="1"/>
  <c r="CL44" i="15" a="1"/>
  <c r="CL44" i="15" s="1"/>
  <c r="CX44" i="15"/>
  <c r="DH44" i="15" s="1"/>
  <c r="DL44" i="15" s="1"/>
  <c r="X52" i="15"/>
  <c r="AH52" i="15" s="1"/>
  <c r="K52" i="15" a="1"/>
  <c r="K52" i="15" s="1"/>
  <c r="CX133" i="15"/>
  <c r="DH133" i="15" s="1"/>
  <c r="DL133" i="15" s="1"/>
  <c r="CL133" i="15" a="1"/>
  <c r="CL133" i="15" s="1"/>
  <c r="BA136" i="15" a="1"/>
  <c r="BA136" i="15" s="1"/>
  <c r="BO136" i="15" s="1"/>
  <c r="BN136" i="15"/>
  <c r="X151" i="15"/>
  <c r="AH151" i="15" s="1"/>
  <c r="CL38" i="15" a="1"/>
  <c r="CL38" i="15" s="1"/>
  <c r="CX38" i="15"/>
  <c r="DH38" i="15" s="1"/>
  <c r="DL38" i="15" s="1"/>
  <c r="AZ123" i="15" a="1"/>
  <c r="AZ123" i="15" s="1"/>
  <c r="BM123" i="15"/>
  <c r="CK10" i="15" a="1"/>
  <c r="CK10" i="15" s="1"/>
  <c r="CW10" i="15"/>
  <c r="DG10" i="15" s="1"/>
  <c r="AY130" i="15" a="1"/>
  <c r="AY130" i="15" s="1"/>
  <c r="BV130" i="15"/>
  <c r="BZ130" i="15" s="1"/>
  <c r="V85" i="15"/>
  <c r="Y140" i="15"/>
  <c r="AI140" i="15" s="1"/>
  <c r="AM140" i="15" s="1"/>
  <c r="Z49" i="15"/>
  <c r="M49" i="15" a="1"/>
  <c r="M49" i="15" s="1"/>
  <c r="CM112" i="15" a="1"/>
  <c r="CM112" i="15" s="1"/>
  <c r="CY112" i="15"/>
  <c r="Y45" i="15"/>
  <c r="AI45" i="15" s="1"/>
  <c r="AM45" i="15" s="1"/>
  <c r="L45" i="15" a="1"/>
  <c r="L45" i="15" s="1"/>
  <c r="CL144" i="15" a="1"/>
  <c r="CL144" i="15" s="1"/>
  <c r="CX144" i="15"/>
  <c r="DH144" i="15" s="1"/>
  <c r="DL144" i="15" s="1"/>
  <c r="M68" i="15" a="1"/>
  <c r="M68" i="15" s="1"/>
  <c r="Z68" i="15"/>
  <c r="X149" i="15"/>
  <c r="AH149" i="15" s="1"/>
  <c r="CX91" i="15"/>
  <c r="DH91" i="15" s="1"/>
  <c r="DL91" i="15" s="1"/>
  <c r="CL91" i="15" a="1"/>
  <c r="CL91" i="15" s="1"/>
  <c r="CL35" i="15" a="1"/>
  <c r="CL35" i="15" s="1"/>
  <c r="CX35" i="15"/>
  <c r="DH35" i="15" s="1"/>
  <c r="L26" i="15" a="1"/>
  <c r="L26" i="15" s="1"/>
  <c r="Y26" i="15"/>
  <c r="AI26" i="15" s="1"/>
  <c r="AM26" i="15" s="1"/>
  <c r="X53" i="15"/>
  <c r="AH53" i="15" s="1"/>
  <c r="K53" i="15" a="1"/>
  <c r="K53" i="15" s="1"/>
  <c r="CW37" i="15"/>
  <c r="DG37" i="15" s="1"/>
  <c r="CK37" i="15" a="1"/>
  <c r="CK37" i="15" s="1"/>
  <c r="X148" i="15"/>
  <c r="AH148" i="15" s="1"/>
  <c r="M92" i="15" a="1"/>
  <c r="M92" i="15" s="1"/>
  <c r="Z92" i="15"/>
  <c r="L63" i="15" a="1"/>
  <c r="L63" i="15" s="1"/>
  <c r="Y63" i="15"/>
  <c r="AI63" i="15" s="1"/>
  <c r="AM63" i="15" s="1"/>
  <c r="CK36" i="15" a="1"/>
  <c r="CK36" i="15" s="1"/>
  <c r="CW36" i="15"/>
  <c r="DG36" i="15" s="1"/>
  <c r="AG14" i="15"/>
  <c r="V115" i="15" l="1"/>
  <c r="V117" i="15" s="1"/>
  <c r="CA114" i="15"/>
  <c r="AZ23" i="15" a="1"/>
  <c r="AZ23" i="15" s="1"/>
  <c r="BA23" i="15" s="1" a="1"/>
  <c r="BA23" i="15" s="1"/>
  <c r="BO23" i="15" s="1"/>
  <c r="BM147" i="15"/>
  <c r="AZ147" i="15" a="1"/>
  <c r="AZ147" i="15" s="1"/>
  <c r="BM146" i="15"/>
  <c r="AZ146" i="15" a="1"/>
  <c r="AZ146" i="15" s="1"/>
  <c r="AZ148" i="15" a="1"/>
  <c r="AZ148" i="15" s="1"/>
  <c r="BM148" i="15"/>
  <c r="BA150" i="15" a="1"/>
  <c r="BA150" i="15" s="1"/>
  <c r="BO150" i="15" s="1"/>
  <c r="BN150" i="15"/>
  <c r="AZ151" i="15" a="1"/>
  <c r="AZ151" i="15" s="1"/>
  <c r="BM151" i="15"/>
  <c r="BA149" i="15" a="1"/>
  <c r="BA149" i="15" s="1"/>
  <c r="BO149" i="15" s="1"/>
  <c r="BN149" i="15"/>
  <c r="DL35" i="15"/>
  <c r="AY80" i="15" a="1"/>
  <c r="AY80" i="15" s="1"/>
  <c r="BV80" i="15"/>
  <c r="BZ80" i="15" s="1"/>
  <c r="CA110" i="15"/>
  <c r="CA136" i="15"/>
  <c r="BV81" i="15"/>
  <c r="BZ81" i="15" s="1"/>
  <c r="AY81" i="15" a="1"/>
  <c r="AY81" i="15" s="1"/>
  <c r="AY47" i="15" a="1"/>
  <c r="AY47" i="15" s="1"/>
  <c r="BM47" i="15" s="1"/>
  <c r="BM111" i="15"/>
  <c r="AZ111" i="15" a="1"/>
  <c r="AZ111" i="15" s="1"/>
  <c r="CA69" i="15"/>
  <c r="BN34" i="15"/>
  <c r="BA34" i="15" a="1"/>
  <c r="BA34" i="15" s="1"/>
  <c r="BO34" i="15" s="1"/>
  <c r="AZ83" i="15" a="1"/>
  <c r="AZ83" i="15" s="1"/>
  <c r="BM83" i="15"/>
  <c r="BA74" i="15" a="1"/>
  <c r="BA74" i="15" s="1"/>
  <c r="BO74" i="15" s="1"/>
  <c r="BN74" i="15"/>
  <c r="BM82" i="15"/>
  <c r="AZ82" i="15" a="1"/>
  <c r="AZ82" i="15" s="1"/>
  <c r="BA75" i="15" a="1"/>
  <c r="BA75" i="15" s="1"/>
  <c r="BO75" i="15" s="1"/>
  <c r="BN75" i="15"/>
  <c r="BV71" i="15"/>
  <c r="BZ71" i="15" s="1"/>
  <c r="AY71" i="15" a="1"/>
  <c r="AY71" i="15" s="1"/>
  <c r="AY84" i="15" a="1"/>
  <c r="AY84" i="15" s="1"/>
  <c r="BV84" i="15"/>
  <c r="BZ84" i="15" s="1"/>
  <c r="BN73" i="15"/>
  <c r="BA73" i="15" a="1"/>
  <c r="BA73" i="15" s="1"/>
  <c r="BO73" i="15" s="1"/>
  <c r="AZ72" i="15" a="1"/>
  <c r="AZ72" i="15" s="1"/>
  <c r="BM72" i="15"/>
  <c r="BM79" i="15"/>
  <c r="AZ79" i="15" a="1"/>
  <c r="AZ79" i="15" s="1"/>
  <c r="BV70" i="15"/>
  <c r="BZ70" i="15" s="1"/>
  <c r="AY70" i="15" a="1"/>
  <c r="AY70" i="15" s="1"/>
  <c r="CL8" i="15" a="1"/>
  <c r="CL8" i="15" s="1"/>
  <c r="CY8" i="15" s="1"/>
  <c r="AY28" i="15" a="1"/>
  <c r="AY28" i="15" s="1"/>
  <c r="BV28" i="15"/>
  <c r="BZ28" i="15" s="1"/>
  <c r="BV31" i="15"/>
  <c r="BZ31" i="15" s="1"/>
  <c r="AY31" i="15" a="1"/>
  <c r="AY31" i="15" s="1"/>
  <c r="BV58" i="15"/>
  <c r="BZ58" i="15" s="1"/>
  <c r="AY58" i="15" a="1"/>
  <c r="AY58" i="15" s="1"/>
  <c r="BM19" i="15"/>
  <c r="AZ19" i="15" a="1"/>
  <c r="AZ19" i="15" s="1"/>
  <c r="Y60" i="15"/>
  <c r="AI60" i="15" s="1"/>
  <c r="AM60" i="15" s="1"/>
  <c r="L60" i="15" a="1"/>
  <c r="L60" i="15" s="1"/>
  <c r="CV117" i="15"/>
  <c r="BV38" i="15"/>
  <c r="BZ38" i="15" s="1"/>
  <c r="AY38" i="15" a="1"/>
  <c r="AY38" i="15" s="1"/>
  <c r="AY49" i="15" a="1"/>
  <c r="AY49" i="15" s="1"/>
  <c r="BV49" i="15"/>
  <c r="BZ49" i="15" s="1"/>
  <c r="AY55" i="15" a="1"/>
  <c r="AY55" i="15" s="1"/>
  <c r="BV55" i="15"/>
  <c r="BZ55" i="15" s="1"/>
  <c r="AZ11" i="15" a="1"/>
  <c r="AZ11" i="15" s="1"/>
  <c r="BM11" i="15"/>
  <c r="CA50" i="15"/>
  <c r="AZ109" i="15" a="1"/>
  <c r="AZ109" i="15" s="1"/>
  <c r="BM109" i="15"/>
  <c r="BV9" i="15"/>
  <c r="BZ9" i="15" s="1"/>
  <c r="CW115" i="15"/>
  <c r="AZ112" i="15" a="1"/>
  <c r="AZ112" i="15" s="1"/>
  <c r="BM112" i="15"/>
  <c r="M124" i="15" a="1"/>
  <c r="M124" i="15" s="1"/>
  <c r="Z124" i="15"/>
  <c r="Y91" i="15"/>
  <c r="AI91" i="15" s="1"/>
  <c r="AM91" i="15" s="1"/>
  <c r="L91" i="15" a="1"/>
  <c r="L91" i="15" s="1"/>
  <c r="CA68" i="15"/>
  <c r="Y146" i="15"/>
  <c r="AI146" i="15" s="1"/>
  <c r="AM146" i="15" s="1"/>
  <c r="CL137" i="15" a="1"/>
  <c r="CL137" i="15" s="1"/>
  <c r="CX137" i="15"/>
  <c r="DH137" i="15" s="1"/>
  <c r="DL137" i="15" s="1"/>
  <c r="BM51" i="15"/>
  <c r="AZ51" i="15" a="1"/>
  <c r="AZ51" i="15" s="1"/>
  <c r="Y139" i="15"/>
  <c r="AI139" i="15" s="1"/>
  <c r="AM139" i="15" s="1"/>
  <c r="CY87" i="15"/>
  <c r="CM87" i="15" a="1"/>
  <c r="CM87" i="15" s="1"/>
  <c r="BV63" i="15"/>
  <c r="BZ63" i="15" s="1"/>
  <c r="AY63" i="15" a="1"/>
  <c r="AY63" i="15" s="1"/>
  <c r="AZ13" i="15" a="1"/>
  <c r="AZ13" i="15" s="1"/>
  <c r="BM13" i="15"/>
  <c r="AY113" i="15" a="1"/>
  <c r="AY113" i="15" s="1"/>
  <c r="BL113" i="15"/>
  <c r="BV113" i="15" s="1"/>
  <c r="BZ113" i="15" s="1"/>
  <c r="BA40" i="15" a="1"/>
  <c r="BA40" i="15" s="1"/>
  <c r="BO40" i="15" s="1"/>
  <c r="BN40" i="15"/>
  <c r="CX32" i="15"/>
  <c r="DH32" i="15" s="1"/>
  <c r="DL32" i="15" s="1"/>
  <c r="CL32" i="15" a="1"/>
  <c r="CL32" i="15" s="1"/>
  <c r="BM43" i="15"/>
  <c r="AZ43" i="15" a="1"/>
  <c r="AZ43" i="15" s="1"/>
  <c r="BN87" i="15"/>
  <c r="BA87" i="15" a="1"/>
  <c r="BA87" i="15" s="1"/>
  <c r="BO87" i="15" s="1"/>
  <c r="X41" i="15"/>
  <c r="AH41" i="15" s="1"/>
  <c r="CX68" i="15"/>
  <c r="DH68" i="15" s="1"/>
  <c r="DL68" i="15" s="1"/>
  <c r="CL68" i="15" a="1"/>
  <c r="CL68" i="15" s="1"/>
  <c r="CL145" i="15" a="1"/>
  <c r="CL145" i="15" s="1"/>
  <c r="CX145" i="15"/>
  <c r="DH145" i="15" s="1"/>
  <c r="DL145" i="15" s="1"/>
  <c r="BM62" i="15"/>
  <c r="AZ62" i="15" a="1"/>
  <c r="AZ62" i="15" s="1"/>
  <c r="CA26" i="15"/>
  <c r="CX138" i="15"/>
  <c r="DH138" i="15" s="1"/>
  <c r="DL138" i="15" s="1"/>
  <c r="CL138" i="15" a="1"/>
  <c r="CL138" i="15" s="1"/>
  <c r="L30" i="15" a="1"/>
  <c r="L30" i="15" s="1"/>
  <c r="Y30" i="15"/>
  <c r="AI30" i="15" s="1"/>
  <c r="AM30" i="15" s="1"/>
  <c r="CL89" i="15" a="1"/>
  <c r="CL89" i="15" s="1"/>
  <c r="CX89" i="15"/>
  <c r="DH89" i="15" s="1"/>
  <c r="DL89" i="15" s="1"/>
  <c r="CL125" i="15" a="1"/>
  <c r="CL125" i="15" s="1"/>
  <c r="CX125" i="15"/>
  <c r="DH125" i="15" s="1"/>
  <c r="DL125" i="15" s="1"/>
  <c r="AZ14" i="15" a="1"/>
  <c r="AZ14" i="15" s="1"/>
  <c r="BM14" i="15"/>
  <c r="CL124" i="15" a="1"/>
  <c r="CL124" i="15" s="1"/>
  <c r="CX124" i="15"/>
  <c r="DH124" i="15" s="1"/>
  <c r="DL124" i="15" s="1"/>
  <c r="BM8" i="15"/>
  <c r="BM22" i="15"/>
  <c r="AZ22" i="15" a="1"/>
  <c r="AZ22" i="15" s="1"/>
  <c r="BM53" i="15"/>
  <c r="AZ53" i="15" a="1"/>
  <c r="AZ53" i="15" s="1"/>
  <c r="BA10" i="15" a="1"/>
  <c r="BA10" i="15" s="1"/>
  <c r="BO10" i="15" s="1"/>
  <c r="BN10" i="15"/>
  <c r="AZ12" i="15" a="1"/>
  <c r="AZ12" i="15" s="1"/>
  <c r="BM12" i="15"/>
  <c r="BM36" i="15"/>
  <c r="AZ36" i="15" a="1"/>
  <c r="AZ36" i="15" s="1"/>
  <c r="BN24" i="15"/>
  <c r="BA24" i="15" a="1"/>
  <c r="BA24" i="15" s="1"/>
  <c r="BO24" i="15" s="1"/>
  <c r="BN16" i="15"/>
  <c r="BA16" i="15" a="1"/>
  <c r="BA16" i="15" s="1"/>
  <c r="BO16" i="15" s="1"/>
  <c r="AY46" i="15" a="1"/>
  <c r="AY46" i="15" s="1"/>
  <c r="BV46" i="15"/>
  <c r="BZ46" i="15" s="1"/>
  <c r="BV45" i="15"/>
  <c r="BZ45" i="15" s="1"/>
  <c r="AY45" i="15" a="1"/>
  <c r="AY45" i="15" s="1"/>
  <c r="BM17" i="15"/>
  <c r="AZ17" i="15" a="1"/>
  <c r="AZ17" i="15" s="1"/>
  <c r="BV48" i="15"/>
  <c r="BZ48" i="15" s="1"/>
  <c r="AY48" i="15" a="1"/>
  <c r="AY48" i="15" s="1"/>
  <c r="CA21" i="15"/>
  <c r="BA61" i="15" a="1"/>
  <c r="BA61" i="15" s="1"/>
  <c r="BO61" i="15" s="1"/>
  <c r="BN61" i="15"/>
  <c r="AY41" i="15" a="1"/>
  <c r="AY41" i="15" s="1"/>
  <c r="BM41" i="15" s="1"/>
  <c r="BA29" i="15" a="1"/>
  <c r="BA29" i="15" s="1"/>
  <c r="BO29" i="15" s="1"/>
  <c r="BN29" i="15"/>
  <c r="BM15" i="15"/>
  <c r="AZ15" i="15" a="1"/>
  <c r="AZ15" i="15" s="1"/>
  <c r="BA60" i="15" a="1"/>
  <c r="BA60" i="15" s="1"/>
  <c r="BO60" i="15" s="1"/>
  <c r="BN60" i="15"/>
  <c r="BV33" i="15"/>
  <c r="BZ33" i="15" s="1"/>
  <c r="AY33" i="15" a="1"/>
  <c r="AY33" i="15" s="1"/>
  <c r="BV59" i="15"/>
  <c r="BZ59" i="15" s="1"/>
  <c r="AY59" i="15" a="1"/>
  <c r="AY59" i="15" s="1"/>
  <c r="BN27" i="15"/>
  <c r="BO27" i="15"/>
  <c r="CM7" i="15" a="1"/>
  <c r="CM7" i="15" s="1"/>
  <c r="CY7" i="15"/>
  <c r="BN23" i="15"/>
  <c r="AY32" i="15" a="1"/>
  <c r="AY32" i="15" s="1"/>
  <c r="BV32" i="15"/>
  <c r="BZ32" i="15" s="1"/>
  <c r="AZ30" i="15" a="1"/>
  <c r="AZ30" i="15" s="1"/>
  <c r="BM30" i="15"/>
  <c r="BA44" i="15" a="1"/>
  <c r="BA44" i="15" s="1"/>
  <c r="BO44" i="15" s="1"/>
  <c r="BN44" i="15"/>
  <c r="BM25" i="15"/>
  <c r="AZ25" i="15" a="1"/>
  <c r="AZ25" i="15" s="1"/>
  <c r="AZ37" i="15" a="1"/>
  <c r="AZ37" i="15" s="1"/>
  <c r="BM37" i="15"/>
  <c r="BK115" i="15"/>
  <c r="AA108" i="15"/>
  <c r="N108" i="15" a="1"/>
  <c r="N108" i="15" s="1"/>
  <c r="AB108" i="15" s="1"/>
  <c r="Y53" i="15"/>
  <c r="AI53" i="15" s="1"/>
  <c r="AM53" i="15" s="1"/>
  <c r="L53" i="15" a="1"/>
  <c r="L53" i="15" s="1"/>
  <c r="AA68" i="15"/>
  <c r="N68" i="15" a="1"/>
  <c r="N68" i="15" s="1"/>
  <c r="AB68" i="15" s="1"/>
  <c r="N49" i="15" a="1"/>
  <c r="N49" i="15" s="1"/>
  <c r="AB49" i="15" s="1"/>
  <c r="AA49" i="15"/>
  <c r="CM133" i="15" a="1"/>
  <c r="CM133" i="15" s="1"/>
  <c r="CY133" i="15"/>
  <c r="CY52" i="15"/>
  <c r="CM52" i="15" a="1"/>
  <c r="CM52" i="15" s="1"/>
  <c r="CM88" i="15" a="1"/>
  <c r="CM88" i="15" s="1"/>
  <c r="CY88" i="15"/>
  <c r="AB147" i="15"/>
  <c r="AA147" i="15"/>
  <c r="L47" i="15" a="1"/>
  <c r="L47" i="15" s="1"/>
  <c r="Y47" i="15"/>
  <c r="AI47" i="15" s="1"/>
  <c r="AM47" i="15" s="1"/>
  <c r="M59" i="15" a="1"/>
  <c r="M59" i="15" s="1"/>
  <c r="Z59" i="15"/>
  <c r="CY38" i="15"/>
  <c r="CM38" i="15" a="1"/>
  <c r="CM38" i="15" s="1"/>
  <c r="CY46" i="15"/>
  <c r="CM46" i="15" a="1"/>
  <c r="CM46" i="15" s="1"/>
  <c r="Y14" i="15"/>
  <c r="L14" i="15" a="1"/>
  <c r="L14" i="15" s="1"/>
  <c r="CL62" i="15" a="1"/>
  <c r="CL62" i="15" s="1"/>
  <c r="CX62" i="15"/>
  <c r="DH62" i="15" s="1"/>
  <c r="DL62" i="15" s="1"/>
  <c r="CM29" i="15" a="1"/>
  <c r="CM29" i="15" s="1"/>
  <c r="CY29" i="15"/>
  <c r="X38" i="15"/>
  <c r="AH38" i="15" s="1"/>
  <c r="Z140" i="15"/>
  <c r="CM140" i="15" a="1"/>
  <c r="CM140" i="15" s="1"/>
  <c r="CY140" i="15"/>
  <c r="Y31" i="15"/>
  <c r="AI31" i="15" s="1"/>
  <c r="AM31" i="15" s="1"/>
  <c r="L31" i="15" a="1"/>
  <c r="L31" i="15" s="1"/>
  <c r="CY31" i="15"/>
  <c r="CM31" i="15" a="1"/>
  <c r="CM31" i="15" s="1"/>
  <c r="L28" i="15" a="1"/>
  <c r="L28" i="15" s="1"/>
  <c r="Y28" i="15"/>
  <c r="AI28" i="15" s="1"/>
  <c r="AM28" i="15" s="1"/>
  <c r="CX21" i="15"/>
  <c r="DH21" i="15" s="1"/>
  <c r="DL21" i="15" s="1"/>
  <c r="CL21" i="15" a="1"/>
  <c r="CL21" i="15" s="1"/>
  <c r="BK152" i="15"/>
  <c r="BU122" i="15"/>
  <c r="Y150" i="15"/>
  <c r="AI150" i="15" s="1"/>
  <c r="AM150" i="15" s="1"/>
  <c r="AY142" i="15" a="1"/>
  <c r="AY142" i="15" s="1"/>
  <c r="BL142" i="15"/>
  <c r="BV142" i="15" s="1"/>
  <c r="BZ142" i="15" s="1"/>
  <c r="BL143" i="15"/>
  <c r="BV143" i="15" s="1"/>
  <c r="BZ143" i="15" s="1"/>
  <c r="AY143" i="15" a="1"/>
  <c r="AY143" i="15" s="1"/>
  <c r="CL136" i="15" a="1"/>
  <c r="CL136" i="15" s="1"/>
  <c r="CX136" i="15"/>
  <c r="DH136" i="15" s="1"/>
  <c r="DL136" i="15" s="1"/>
  <c r="M58" i="15" a="1"/>
  <c r="M58" i="15" s="1"/>
  <c r="Z58" i="15"/>
  <c r="CM60" i="15" a="1"/>
  <c r="CM60" i="15" s="1"/>
  <c r="CY60" i="15"/>
  <c r="M26" i="15" a="1"/>
  <c r="M26" i="15" s="1"/>
  <c r="Z26" i="15"/>
  <c r="CY144" i="15"/>
  <c r="CM144" i="15" a="1"/>
  <c r="CM144" i="15" s="1"/>
  <c r="CM49" i="15" a="1"/>
  <c r="CM49" i="15" s="1"/>
  <c r="CY49" i="15"/>
  <c r="CM131" i="15" a="1"/>
  <c r="CM131" i="15" s="1"/>
  <c r="CY131" i="15"/>
  <c r="Y114" i="15"/>
  <c r="AI114" i="15" s="1"/>
  <c r="AM114" i="15" s="1"/>
  <c r="L114" i="15" a="1"/>
  <c r="L114" i="15" s="1"/>
  <c r="CY28" i="15"/>
  <c r="CM28" i="15" a="1"/>
  <c r="CM28" i="15" s="1"/>
  <c r="M44" i="15" a="1"/>
  <c r="M44" i="15" s="1"/>
  <c r="Z44" i="15"/>
  <c r="CY92" i="15"/>
  <c r="CM92" i="15" a="1"/>
  <c r="CM92" i="15" s="1"/>
  <c r="CL11" i="15" a="1"/>
  <c r="CL11" i="15" s="1"/>
  <c r="CX11" i="15"/>
  <c r="DH11" i="15" s="1"/>
  <c r="DL11" i="15" s="1"/>
  <c r="CL25" i="15" a="1"/>
  <c r="CL25" i="15" s="1"/>
  <c r="CX25" i="15"/>
  <c r="DH25" i="15" s="1"/>
  <c r="DL25" i="15" s="1"/>
  <c r="AZ130" i="15" a="1"/>
  <c r="AZ130" i="15" s="1"/>
  <c r="BM130" i="15"/>
  <c r="AY124" i="15" a="1"/>
  <c r="AY124" i="15" s="1"/>
  <c r="BV124" i="15"/>
  <c r="BZ124" i="15" s="1"/>
  <c r="CY63" i="15"/>
  <c r="CM63" i="15" a="1"/>
  <c r="CM63" i="15" s="1"/>
  <c r="CY35" i="15"/>
  <c r="CM35" i="15" a="1"/>
  <c r="CM35" i="15" s="1"/>
  <c r="M89" i="15" a="1"/>
  <c r="M89" i="15" s="1"/>
  <c r="Z89" i="15"/>
  <c r="BM131" i="15"/>
  <c r="AZ131" i="15" a="1"/>
  <c r="AZ131" i="15" s="1"/>
  <c r="AA111" i="15"/>
  <c r="N111" i="15" a="1"/>
  <c r="N111" i="15" s="1"/>
  <c r="AB111" i="15" s="1"/>
  <c r="CY130" i="15"/>
  <c r="CM130" i="15" a="1"/>
  <c r="CM130" i="15" s="1"/>
  <c r="Z62" i="15"/>
  <c r="M62" i="15" a="1"/>
  <c r="M62" i="15" s="1"/>
  <c r="L35" i="15" a="1"/>
  <c r="L35" i="15" s="1"/>
  <c r="Y35" i="15"/>
  <c r="AI35" i="15" s="1"/>
  <c r="AM35" i="15" s="1"/>
  <c r="CX139" i="15"/>
  <c r="DH139" i="15" s="1"/>
  <c r="DL139" i="15" s="1"/>
  <c r="CL139" i="15" a="1"/>
  <c r="CL139" i="15" s="1"/>
  <c r="Y16" i="15"/>
  <c r="AI16" i="15" s="1"/>
  <c r="AM16" i="15" s="1"/>
  <c r="L16" i="15" a="1"/>
  <c r="L16" i="15" s="1"/>
  <c r="BA123" i="15" a="1"/>
  <c r="BA123" i="15" s="1"/>
  <c r="BO123" i="15" s="1"/>
  <c r="BN123" i="15"/>
  <c r="DH88" i="15"/>
  <c r="DL88" i="15" s="1"/>
  <c r="L52" i="15" a="1"/>
  <c r="L52" i="15" s="1"/>
  <c r="Y52" i="15"/>
  <c r="AI52" i="15" s="1"/>
  <c r="AM52" i="15" s="1"/>
  <c r="M48" i="15" a="1"/>
  <c r="M48" i="15" s="1"/>
  <c r="Z48" i="15"/>
  <c r="AH14" i="15"/>
  <c r="CX16" i="15"/>
  <c r="DH16" i="15" s="1"/>
  <c r="DL16" i="15" s="1"/>
  <c r="CL16" i="15" a="1"/>
  <c r="CL16" i="15" s="1"/>
  <c r="AY141" i="15" a="1"/>
  <c r="AY141" i="15" s="1"/>
  <c r="BL141" i="15"/>
  <c r="BV141" i="15" s="1"/>
  <c r="BZ141" i="15" s="1"/>
  <c r="CM9" i="15" a="1"/>
  <c r="CM9" i="15" s="1"/>
  <c r="CY9" i="15"/>
  <c r="CN27" i="15" a="1"/>
  <c r="CN27" i="15" s="1"/>
  <c r="DA27" i="15" s="1"/>
  <c r="CZ27" i="15"/>
  <c r="M45" i="15" a="1"/>
  <c r="M45" i="15" s="1"/>
  <c r="Z45" i="15"/>
  <c r="Y143" i="15"/>
  <c r="AI143" i="15" s="1"/>
  <c r="AM143" i="15" s="1"/>
  <c r="L88" i="15" a="1"/>
  <c r="L88" i="15" s="1"/>
  <c r="Y88" i="15"/>
  <c r="AI88" i="15" s="1"/>
  <c r="AM88" i="15" s="1"/>
  <c r="CM141" i="15" a="1"/>
  <c r="CM141" i="15" s="1"/>
  <c r="CY141" i="15"/>
  <c r="CX10" i="15"/>
  <c r="DH10" i="15" s="1"/>
  <c r="DL10" i="15" s="1"/>
  <c r="CL10" i="15" a="1"/>
  <c r="CL10" i="15" s="1"/>
  <c r="CY17" i="15"/>
  <c r="CM17" i="15" a="1"/>
  <c r="CM17" i="15" s="1"/>
  <c r="CY30" i="15"/>
  <c r="CM30" i="15" a="1"/>
  <c r="CM30" i="15" s="1"/>
  <c r="AY137" i="15" a="1"/>
  <c r="AY137" i="15" s="1"/>
  <c r="BV137" i="15"/>
  <c r="BZ137" i="15" s="1"/>
  <c r="L23" i="15" a="1"/>
  <c r="L23" i="15" s="1"/>
  <c r="Y23" i="15"/>
  <c r="AI23" i="15" s="1"/>
  <c r="AM23" i="15" s="1"/>
  <c r="BM140" i="15"/>
  <c r="AZ140" i="15" a="1"/>
  <c r="AZ140" i="15" s="1"/>
  <c r="M63" i="15" a="1"/>
  <c r="M63" i="15" s="1"/>
  <c r="Z63" i="15"/>
  <c r="CL19" i="15" a="1"/>
  <c r="CL19" i="15" s="1"/>
  <c r="CX19" i="15"/>
  <c r="DH19" i="15" s="1"/>
  <c r="DL19" i="15" s="1"/>
  <c r="CL43" i="15" a="1"/>
  <c r="CL43" i="15" s="1"/>
  <c r="CX43" i="15"/>
  <c r="DH43" i="15" s="1"/>
  <c r="DL43" i="15" s="1"/>
  <c r="CZ142" i="15"/>
  <c r="CN142" i="15" a="1"/>
  <c r="CN142" i="15" s="1"/>
  <c r="DA142" i="15" s="1"/>
  <c r="AZ138" i="15" a="1"/>
  <c r="AZ138" i="15" s="1"/>
  <c r="BM138" i="15"/>
  <c r="CZ24" i="15"/>
  <c r="CN24" i="15" a="1"/>
  <c r="CN24" i="15" s="1"/>
  <c r="DA24" i="15" s="1"/>
  <c r="CN26" i="15" a="1"/>
  <c r="CN26" i="15" s="1"/>
  <c r="DA26" i="15" s="1"/>
  <c r="CZ26" i="15"/>
  <c r="CY123" i="15"/>
  <c r="CM123" i="15" a="1"/>
  <c r="CM123" i="15" s="1"/>
  <c r="L24" i="15" a="1"/>
  <c r="L24" i="15" s="1"/>
  <c r="Y24" i="15"/>
  <c r="AI24" i="15" s="1"/>
  <c r="AM24" i="15" s="1"/>
  <c r="AA92" i="15"/>
  <c r="N92" i="15" a="1"/>
  <c r="N92" i="15" s="1"/>
  <c r="AB92" i="15" s="1"/>
  <c r="Z123" i="15"/>
  <c r="M123" i="15" a="1"/>
  <c r="M123" i="15" s="1"/>
  <c r="L15" i="15" a="1"/>
  <c r="L15" i="15" s="1"/>
  <c r="Y15" i="15"/>
  <c r="AI15" i="15" s="1"/>
  <c r="AM15" i="15" s="1"/>
  <c r="CY143" i="15"/>
  <c r="CM143" i="15" a="1"/>
  <c r="CM143" i="15" s="1"/>
  <c r="AY125" i="15" a="1"/>
  <c r="AY125" i="15" s="1"/>
  <c r="BV125" i="15"/>
  <c r="BZ125" i="15" s="1"/>
  <c r="X152" i="15"/>
  <c r="Y148" i="15"/>
  <c r="AI148" i="15" s="1"/>
  <c r="AM148" i="15" s="1"/>
  <c r="CL122" i="15" a="1"/>
  <c r="CL122" i="15" s="1"/>
  <c r="CX122" i="15"/>
  <c r="Y142" i="15"/>
  <c r="AI142" i="15" s="1"/>
  <c r="AM142" i="15" s="1"/>
  <c r="Y27" i="15"/>
  <c r="AI27" i="15" s="1"/>
  <c r="AM27" i="15" s="1"/>
  <c r="L27" i="15" a="1"/>
  <c r="L27" i="15" s="1"/>
  <c r="CM146" i="15" a="1"/>
  <c r="CM146" i="15" s="1"/>
  <c r="CY146" i="15"/>
  <c r="Z122" i="15"/>
  <c r="M122" i="15" a="1"/>
  <c r="M122" i="15" s="1"/>
  <c r="K36" i="15"/>
  <c r="L33" i="15" a="1"/>
  <c r="L33" i="15" s="1"/>
  <c r="Y33" i="15"/>
  <c r="CM41" i="15" a="1"/>
  <c r="CM41" i="15" s="1"/>
  <c r="CY41" i="15"/>
  <c r="CY23" i="15"/>
  <c r="CM23" i="15" a="1"/>
  <c r="CM23" i="15" s="1"/>
  <c r="AI87" i="15"/>
  <c r="AM87" i="15" s="1"/>
  <c r="CY91" i="15"/>
  <c r="CM91" i="15" a="1"/>
  <c r="CM91" i="15" s="1"/>
  <c r="CW85" i="15"/>
  <c r="CL111" i="15" a="1"/>
  <c r="CL111" i="15" s="1"/>
  <c r="CX111" i="15"/>
  <c r="DH111" i="15" s="1"/>
  <c r="DL111" i="15" s="1"/>
  <c r="CW152" i="15"/>
  <c r="DG122" i="15"/>
  <c r="CM113" i="15" a="1"/>
  <c r="CM113" i="15" s="1"/>
  <c r="CY113" i="15"/>
  <c r="L46" i="15" a="1"/>
  <c r="L46" i="15" s="1"/>
  <c r="Y46" i="15"/>
  <c r="AI46" i="15" s="1"/>
  <c r="AM46" i="15" s="1"/>
  <c r="CM53" i="15" a="1"/>
  <c r="CM53" i="15" s="1"/>
  <c r="CY53" i="15"/>
  <c r="CN151" i="15" a="1"/>
  <c r="CN151" i="15" s="1"/>
  <c r="DA151" i="15" s="1"/>
  <c r="CZ151" i="15"/>
  <c r="M125" i="15" a="1"/>
  <c r="M125" i="15" s="1"/>
  <c r="Z125" i="15"/>
  <c r="CN55" i="15" a="1"/>
  <c r="CN55" i="15" s="1"/>
  <c r="DA55" i="15" s="1"/>
  <c r="CZ55" i="15"/>
  <c r="AI122" i="15"/>
  <c r="AM122" i="15" s="1"/>
  <c r="CY149" i="15"/>
  <c r="CM149" i="15" a="1"/>
  <c r="CM149" i="15" s="1"/>
  <c r="CY13" i="15"/>
  <c r="CM13" i="15" a="1"/>
  <c r="CM13" i="15" s="1"/>
  <c r="Y50" i="15"/>
  <c r="AI50" i="15" s="1"/>
  <c r="AM50" i="15" s="1"/>
  <c r="L50" i="15" a="1"/>
  <c r="L50" i="15" s="1"/>
  <c r="CL36" i="15" a="1"/>
  <c r="CL36" i="15" s="1"/>
  <c r="CX36" i="15"/>
  <c r="DH36" i="15" s="1"/>
  <c r="DL36" i="15" s="1"/>
  <c r="CM58" i="15" a="1"/>
  <c r="CM58" i="15" s="1"/>
  <c r="CY58" i="15"/>
  <c r="BA144" i="15" a="1"/>
  <c r="BA144" i="15" s="1"/>
  <c r="BO144" i="15" s="1"/>
  <c r="BN144" i="15"/>
  <c r="Y151" i="15"/>
  <c r="AI151" i="15" s="1"/>
  <c r="AM151" i="15" s="1"/>
  <c r="AY122" i="15" a="1"/>
  <c r="AY122" i="15" s="1"/>
  <c r="BM139" i="15"/>
  <c r="AZ139" i="15" a="1"/>
  <c r="AZ139" i="15" s="1"/>
  <c r="Z87" i="15"/>
  <c r="M87" i="15" a="1"/>
  <c r="M87" i="15" s="1"/>
  <c r="CX48" i="15"/>
  <c r="DH48" i="15" s="1"/>
  <c r="DL48" i="15" s="1"/>
  <c r="CL48" i="15" a="1"/>
  <c r="CL48" i="15" s="1"/>
  <c r="CY12" i="15"/>
  <c r="CM12" i="15" a="1"/>
  <c r="CM12" i="15" s="1"/>
  <c r="X34" i="15"/>
  <c r="AH34" i="15" s="1"/>
  <c r="AH33" i="15"/>
  <c r="CM50" i="15" a="1"/>
  <c r="CM50" i="15" s="1"/>
  <c r="CY50" i="15"/>
  <c r="Z141" i="15"/>
  <c r="Y113" i="15"/>
  <c r="AI113" i="15" s="1"/>
  <c r="AM113" i="15" s="1"/>
  <c r="L113" i="15" a="1"/>
  <c r="L113" i="15" s="1"/>
  <c r="CX15" i="15"/>
  <c r="DH15" i="15" s="1"/>
  <c r="DL15" i="15" s="1"/>
  <c r="CL15" i="15" a="1"/>
  <c r="CL15" i="15" s="1"/>
  <c r="CM40" i="15" a="1"/>
  <c r="CM40" i="15" s="1"/>
  <c r="CY40" i="15"/>
  <c r="BV133" i="15"/>
  <c r="BZ133" i="15" s="1"/>
  <c r="AY133" i="15" a="1"/>
  <c r="AY133" i="15" s="1"/>
  <c r="Y144" i="15"/>
  <c r="AI144" i="15" s="1"/>
  <c r="AM144" i="15" s="1"/>
  <c r="CM44" i="15" a="1"/>
  <c r="CM44" i="15" s="1"/>
  <c r="CY44" i="15"/>
  <c r="Y19" i="15"/>
  <c r="AI19" i="15" s="1"/>
  <c r="AM19" i="15" s="1"/>
  <c r="L19" i="15" a="1"/>
  <c r="L19" i="15" s="1"/>
  <c r="Y149" i="15"/>
  <c r="AI149" i="15" s="1"/>
  <c r="AM149" i="15" s="1"/>
  <c r="AY145" i="15" a="1"/>
  <c r="AY145" i="15" s="1"/>
  <c r="BL145" i="15"/>
  <c r="BV145" i="15" s="1"/>
  <c r="BZ145" i="15" s="1"/>
  <c r="L112" i="15" a="1"/>
  <c r="L112" i="15" s="1"/>
  <c r="Y112" i="15"/>
  <c r="AI112" i="15" s="1"/>
  <c r="AM112" i="15" s="1"/>
  <c r="W85" i="15"/>
  <c r="Y17" i="15"/>
  <c r="AI17" i="15" s="1"/>
  <c r="AM17" i="15" s="1"/>
  <c r="L17" i="15" a="1"/>
  <c r="L17" i="15" s="1"/>
  <c r="CX22" i="15"/>
  <c r="DH22" i="15" s="1"/>
  <c r="DL22" i="15" s="1"/>
  <c r="CL22" i="15" a="1"/>
  <c r="CL22" i="15" s="1"/>
  <c r="CL45" i="15" a="1"/>
  <c r="CL45" i="15" s="1"/>
  <c r="CX45" i="15"/>
  <c r="DH45" i="15" s="1"/>
  <c r="DL45" i="15" s="1"/>
  <c r="CX37" i="15"/>
  <c r="DH37" i="15" s="1"/>
  <c r="DL37" i="15" s="1"/>
  <c r="CL37" i="15" a="1"/>
  <c r="CL37" i="15" s="1"/>
  <c r="CZ112" i="15"/>
  <c r="CN112" i="15" a="1"/>
  <c r="CN112" i="15" s="1"/>
  <c r="DA112" i="15" s="1"/>
  <c r="CY90" i="15"/>
  <c r="CM90" i="15" a="1"/>
  <c r="CM90" i="15" s="1"/>
  <c r="N90" i="15" a="1"/>
  <c r="N90" i="15" s="1"/>
  <c r="AB90" i="15" s="1"/>
  <c r="AA90" i="15"/>
  <c r="CZ59" i="15"/>
  <c r="CN59" i="15" a="1"/>
  <c r="CN59" i="15" s="1"/>
  <c r="DA59" i="15" s="1"/>
  <c r="CY47" i="15"/>
  <c r="CM47" i="15" a="1"/>
  <c r="CM47" i="15" s="1"/>
  <c r="CY61" i="15"/>
  <c r="CM61" i="15" a="1"/>
  <c r="CM61" i="15" s="1"/>
  <c r="CY14" i="15"/>
  <c r="CM14" i="15" a="1"/>
  <c r="CM14" i="15" s="1"/>
  <c r="CX33" i="15"/>
  <c r="DH33" i="15" s="1"/>
  <c r="DL33" i="15" s="1"/>
  <c r="CL33" i="15" a="1"/>
  <c r="CL33" i="15" s="1"/>
  <c r="W115" i="15" l="1"/>
  <c r="W117" i="15" s="1"/>
  <c r="CA150" i="15"/>
  <c r="BN146" i="15"/>
  <c r="BA146" i="15" a="1"/>
  <c r="BA146" i="15" s="1"/>
  <c r="BO146" i="15" s="1"/>
  <c r="BN148" i="15"/>
  <c r="BA148" i="15" a="1"/>
  <c r="BA148" i="15" s="1"/>
  <c r="BO148" i="15" s="1"/>
  <c r="CA149" i="15"/>
  <c r="BA147" i="15" a="1"/>
  <c r="BA147" i="15" s="1"/>
  <c r="BO147" i="15" s="1"/>
  <c r="BN147" i="15"/>
  <c r="BA151" i="15" a="1"/>
  <c r="BA151" i="15" s="1"/>
  <c r="BO151" i="15" s="1"/>
  <c r="BN151" i="15"/>
  <c r="CA123" i="15"/>
  <c r="BM80" i="15"/>
  <c r="AZ80" i="15" a="1"/>
  <c r="AZ80" i="15" s="1"/>
  <c r="BN111" i="15"/>
  <c r="BA111" i="15" a="1"/>
  <c r="BA111" i="15" s="1"/>
  <c r="BO111" i="15" s="1"/>
  <c r="CM8" i="15" a="1"/>
  <c r="CM8" i="15" s="1"/>
  <c r="CZ8" i="15" s="1"/>
  <c r="AZ47" i="15" a="1"/>
  <c r="AZ47" i="15" s="1"/>
  <c r="BA47" i="15" s="1" a="1"/>
  <c r="BA47" i="15" s="1"/>
  <c r="BO47" i="15" s="1"/>
  <c r="AZ81" i="15" a="1"/>
  <c r="AZ81" i="15" s="1"/>
  <c r="BM81" i="15"/>
  <c r="CA75" i="15"/>
  <c r="CA10" i="15"/>
  <c r="CA34" i="15"/>
  <c r="CA74" i="15"/>
  <c r="AZ70" i="15" a="1"/>
  <c r="AZ70" i="15" s="1"/>
  <c r="BM70" i="15"/>
  <c r="BN83" i="15"/>
  <c r="BA83" i="15" a="1"/>
  <c r="BA83" i="15" s="1"/>
  <c r="BO83" i="15" s="1"/>
  <c r="BA79" i="15" a="1"/>
  <c r="BA79" i="15" s="1"/>
  <c r="BO79" i="15" s="1"/>
  <c r="BN79" i="15"/>
  <c r="BM71" i="15"/>
  <c r="AZ71" i="15" a="1"/>
  <c r="AZ71" i="15" s="1"/>
  <c r="CA73" i="15"/>
  <c r="BN72" i="15"/>
  <c r="BA72" i="15" a="1"/>
  <c r="BA72" i="15" s="1"/>
  <c r="BO72" i="15" s="1"/>
  <c r="AZ84" i="15" a="1"/>
  <c r="AZ84" i="15" s="1"/>
  <c r="BM84" i="15"/>
  <c r="BN82" i="15"/>
  <c r="BA82" i="15" a="1"/>
  <c r="BA82" i="15" s="1"/>
  <c r="BO82" i="15" s="1"/>
  <c r="BM28" i="15"/>
  <c r="AZ28" i="15" a="1"/>
  <c r="AZ28" i="15" s="1"/>
  <c r="CA144" i="15"/>
  <c r="DM55" i="15"/>
  <c r="AZ58" i="15" a="1"/>
  <c r="AZ58" i="15" s="1"/>
  <c r="BM58" i="15"/>
  <c r="BN19" i="15"/>
  <c r="BA19" i="15" a="1"/>
  <c r="BA19" i="15" s="1"/>
  <c r="BO19" i="15" s="1"/>
  <c r="BM31" i="15"/>
  <c r="AZ31" i="15" a="1"/>
  <c r="AZ31" i="15" s="1"/>
  <c r="CA60" i="15"/>
  <c r="AN68" i="15"/>
  <c r="Z60" i="15"/>
  <c r="M60" i="15" a="1"/>
  <c r="M60" i="15" s="1"/>
  <c r="CW117" i="15"/>
  <c r="BM38" i="15"/>
  <c r="AZ38" i="15" a="1"/>
  <c r="AZ38" i="15" s="1"/>
  <c r="AZ49" i="15" a="1"/>
  <c r="AZ49" i="15" s="1"/>
  <c r="BM49" i="15"/>
  <c r="AN147" i="15"/>
  <c r="BN11" i="15"/>
  <c r="BA11" i="15" a="1"/>
  <c r="BA11" i="15" s="1"/>
  <c r="BO11" i="15" s="1"/>
  <c r="AZ55" i="15" a="1"/>
  <c r="AZ55" i="15" s="1"/>
  <c r="BM55" i="15"/>
  <c r="CA61" i="15"/>
  <c r="DM27" i="15"/>
  <c r="BN112" i="15"/>
  <c r="BA112" i="15" a="1"/>
  <c r="BA112" i="15" s="1"/>
  <c r="BO112" i="15" s="1"/>
  <c r="DM26" i="15"/>
  <c r="AN49" i="15"/>
  <c r="CA40" i="15"/>
  <c r="CA29" i="15"/>
  <c r="DM151" i="15"/>
  <c r="BM9" i="15"/>
  <c r="DM59" i="15"/>
  <c r="BA109" i="15" a="1"/>
  <c r="BA109" i="15" s="1"/>
  <c r="BO109" i="15" s="1"/>
  <c r="BN109" i="15"/>
  <c r="AN90" i="15"/>
  <c r="AN108" i="15"/>
  <c r="BZ115" i="15"/>
  <c r="AZ113" i="15" a="1"/>
  <c r="AZ113" i="15" s="1"/>
  <c r="BM113" i="15"/>
  <c r="CY137" i="15"/>
  <c r="CM137" i="15" a="1"/>
  <c r="CM137" i="15" s="1"/>
  <c r="CM89" i="15" a="1"/>
  <c r="CM89" i="15" s="1"/>
  <c r="CY89" i="15"/>
  <c r="Z146" i="15"/>
  <c r="Z30" i="15"/>
  <c r="M30" i="15" a="1"/>
  <c r="M30" i="15" s="1"/>
  <c r="CA87" i="15"/>
  <c r="CM124" i="15" a="1"/>
  <c r="CM124" i="15" s="1"/>
  <c r="CY124" i="15"/>
  <c r="CM138" i="15" a="1"/>
  <c r="CM138" i="15" s="1"/>
  <c r="CY138" i="15"/>
  <c r="BA43" i="15" a="1"/>
  <c r="BA43" i="15" s="1"/>
  <c r="BO43" i="15" s="1"/>
  <c r="BN43" i="15"/>
  <c r="BA13" i="15" a="1"/>
  <c r="BA13" i="15" s="1"/>
  <c r="BO13" i="15" s="1"/>
  <c r="BN13" i="15"/>
  <c r="CX115" i="15"/>
  <c r="CA44" i="15"/>
  <c r="CM32" i="15" a="1"/>
  <c r="CM32" i="15" s="1"/>
  <c r="CY32" i="15"/>
  <c r="BN62" i="15"/>
  <c r="BA62" i="15" a="1"/>
  <c r="BA62" i="15" s="1"/>
  <c r="BO62" i="15" s="1"/>
  <c r="M91" i="15" a="1"/>
  <c r="M91" i="15" s="1"/>
  <c r="Z91" i="15"/>
  <c r="BA14" i="15" a="1"/>
  <c r="BA14" i="15" s="1"/>
  <c r="BO14" i="15" s="1"/>
  <c r="BN14" i="15"/>
  <c r="DM24" i="15"/>
  <c r="CM145" i="15" a="1"/>
  <c r="CM145" i="15" s="1"/>
  <c r="CY145" i="15"/>
  <c r="BM63" i="15"/>
  <c r="AZ63" i="15" a="1"/>
  <c r="AZ63" i="15" s="1"/>
  <c r="AA124" i="15"/>
  <c r="N124" i="15" a="1"/>
  <c r="N124" i="15" s="1"/>
  <c r="AB124" i="15" s="1"/>
  <c r="CY68" i="15"/>
  <c r="CM68" i="15" a="1"/>
  <c r="CM68" i="15" s="1"/>
  <c r="CN87" i="15" a="1"/>
  <c r="CN87" i="15" s="1"/>
  <c r="DA87" i="15" s="1"/>
  <c r="CZ87" i="15"/>
  <c r="Z139" i="15"/>
  <c r="DM142" i="15"/>
  <c r="CA16" i="15"/>
  <c r="Y41" i="15"/>
  <c r="AI41" i="15" s="1"/>
  <c r="AM41" i="15" s="1"/>
  <c r="AN41" i="15" s="1"/>
  <c r="CY125" i="15"/>
  <c r="CM125" i="15" a="1"/>
  <c r="CM125" i="15" s="1"/>
  <c r="BA51" i="15" a="1"/>
  <c r="BA51" i="15" s="1"/>
  <c r="BO51" i="15" s="1"/>
  <c r="BN51" i="15"/>
  <c r="BN37" i="15"/>
  <c r="BA37" i="15" a="1"/>
  <c r="BA37" i="15" s="1"/>
  <c r="BO37" i="15" s="1"/>
  <c r="BN22" i="15"/>
  <c r="BA22" i="15" a="1"/>
  <c r="BA22" i="15" s="1"/>
  <c r="BO22" i="15" s="1"/>
  <c r="BN25" i="15"/>
  <c r="BA25" i="15" a="1"/>
  <c r="BA25" i="15" s="1"/>
  <c r="BO25" i="15" s="1"/>
  <c r="AZ41" i="15" a="1"/>
  <c r="AZ41" i="15" s="1"/>
  <c r="BN41" i="15" s="1"/>
  <c r="BN8" i="15"/>
  <c r="BO8" i="15"/>
  <c r="CA24" i="15"/>
  <c r="BN36" i="15"/>
  <c r="BA36" i="15" a="1"/>
  <c r="BA36" i="15" s="1"/>
  <c r="BO36" i="15" s="1"/>
  <c r="BA30" i="15" a="1"/>
  <c r="BA30" i="15" s="1"/>
  <c r="BO30" i="15" s="1"/>
  <c r="BN30" i="15"/>
  <c r="CA27" i="15"/>
  <c r="BA12" i="15" a="1"/>
  <c r="BA12" i="15" s="1"/>
  <c r="BO12" i="15" s="1"/>
  <c r="BN12" i="15"/>
  <c r="BM59" i="15"/>
  <c r="AZ59" i="15" a="1"/>
  <c r="AZ59" i="15" s="1"/>
  <c r="BM48" i="15"/>
  <c r="AZ48" i="15" a="1"/>
  <c r="AZ48" i="15" s="1"/>
  <c r="BN17" i="15"/>
  <c r="BA17" i="15" a="1"/>
  <c r="BA17" i="15" s="1"/>
  <c r="BO17" i="15" s="1"/>
  <c r="BM45" i="15"/>
  <c r="AZ45" i="15" a="1"/>
  <c r="AZ45" i="15" s="1"/>
  <c r="AZ32" i="15" a="1"/>
  <c r="AZ32" i="15" s="1"/>
  <c r="BM32" i="15"/>
  <c r="AZ33" i="15" a="1"/>
  <c r="AZ33" i="15" s="1"/>
  <c r="BM33" i="15"/>
  <c r="CA23" i="15"/>
  <c r="BN15" i="15"/>
  <c r="BA15" i="15" a="1"/>
  <c r="BA15" i="15" s="1"/>
  <c r="BO15" i="15" s="1"/>
  <c r="BA53" i="15" a="1"/>
  <c r="BA53" i="15" s="1"/>
  <c r="BO53" i="15" s="1"/>
  <c r="BN53" i="15"/>
  <c r="CN7" i="15" a="1"/>
  <c r="CN7" i="15" s="1"/>
  <c r="DA7" i="15" s="1"/>
  <c r="CZ7" i="15"/>
  <c r="AZ46" i="15" a="1"/>
  <c r="AZ46" i="15" s="1"/>
  <c r="BM46" i="15"/>
  <c r="CZ23" i="15"/>
  <c r="CN23" i="15" a="1"/>
  <c r="CN23" i="15" s="1"/>
  <c r="DA23" i="15" s="1"/>
  <c r="CN141" i="15" a="1"/>
  <c r="CN141" i="15" s="1"/>
  <c r="DA141" i="15" s="1"/>
  <c r="CZ141" i="15"/>
  <c r="N48" i="15" a="1"/>
  <c r="N48" i="15" s="1"/>
  <c r="AB48" i="15" s="1"/>
  <c r="AA48" i="15"/>
  <c r="Y38" i="15"/>
  <c r="AI38" i="15" s="1"/>
  <c r="AM38" i="15" s="1"/>
  <c r="AN38" i="15" s="1"/>
  <c r="BM133" i="15"/>
  <c r="AZ133" i="15" a="1"/>
  <c r="AZ133" i="15" s="1"/>
  <c r="CZ58" i="15"/>
  <c r="CN58" i="15" a="1"/>
  <c r="CN58" i="15" s="1"/>
  <c r="DA58" i="15" s="1"/>
  <c r="CZ88" i="15"/>
  <c r="CN88" i="15" a="1"/>
  <c r="CN88" i="15" s="1"/>
  <c r="DA88" i="15" s="1"/>
  <c r="CN14" i="15" a="1"/>
  <c r="CN14" i="15" s="1"/>
  <c r="DA14" i="15" s="1"/>
  <c r="CZ14" i="15"/>
  <c r="M46" i="15" a="1"/>
  <c r="M46" i="15" s="1"/>
  <c r="Z46" i="15"/>
  <c r="BM137" i="15"/>
  <c r="AZ137" i="15" a="1"/>
  <c r="AZ137" i="15" s="1"/>
  <c r="BN139" i="15"/>
  <c r="BA139" i="15" a="1"/>
  <c r="BA139" i="15" s="1"/>
  <c r="BO139" i="15" s="1"/>
  <c r="AA122" i="15"/>
  <c r="N122" i="15" a="1"/>
  <c r="N122" i="15" s="1"/>
  <c r="AB122" i="15" s="1"/>
  <c r="CZ30" i="15"/>
  <c r="CN30" i="15" a="1"/>
  <c r="CN30" i="15" s="1"/>
  <c r="DA30" i="15" s="1"/>
  <c r="BM142" i="15"/>
  <c r="AZ142" i="15" a="1"/>
  <c r="AZ142" i="15" s="1"/>
  <c r="AI33" i="15"/>
  <c r="AM33" i="15" s="1"/>
  <c r="Y34" i="15"/>
  <c r="AI34" i="15" s="1"/>
  <c r="AM34" i="15" s="1"/>
  <c r="AN34" i="15" s="1"/>
  <c r="N62" i="15" a="1"/>
  <c r="N62" i="15" s="1"/>
  <c r="AB62" i="15" s="1"/>
  <c r="AA62" i="15"/>
  <c r="CY21" i="15"/>
  <c r="CM21" i="15" a="1"/>
  <c r="CM21" i="15" s="1"/>
  <c r="CZ52" i="15"/>
  <c r="CN52" i="15" a="1"/>
  <c r="CN52" i="15" s="1"/>
  <c r="DA52" i="15" s="1"/>
  <c r="M17" i="15" a="1"/>
  <c r="M17" i="15" s="1"/>
  <c r="Z17" i="15"/>
  <c r="AM152" i="15"/>
  <c r="Z148" i="15"/>
  <c r="N45" i="15" a="1"/>
  <c r="N45" i="15" s="1"/>
  <c r="AB45" i="15" s="1"/>
  <c r="AA45" i="15"/>
  <c r="CN35" i="15" a="1"/>
  <c r="CN35" i="15" s="1"/>
  <c r="DA35" i="15" s="1"/>
  <c r="CZ35" i="15"/>
  <c r="M14" i="15" a="1"/>
  <c r="M14" i="15" s="1"/>
  <c r="Z14" i="15"/>
  <c r="CM36" i="15" a="1"/>
  <c r="CM36" i="15" s="1"/>
  <c r="CY36" i="15"/>
  <c r="CN130" i="15" a="1"/>
  <c r="CN130" i="15" s="1"/>
  <c r="DA130" i="15" s="1"/>
  <c r="CZ130" i="15"/>
  <c r="M50" i="15" a="1"/>
  <c r="M50" i="15" s="1"/>
  <c r="Z50" i="15"/>
  <c r="M27" i="15" a="1"/>
  <c r="M27" i="15" s="1"/>
  <c r="Z27" i="15"/>
  <c r="AB141" i="15"/>
  <c r="AA141" i="15"/>
  <c r="X85" i="15"/>
  <c r="CZ131" i="15"/>
  <c r="CN131" i="15" a="1"/>
  <c r="CN131" i="15" s="1"/>
  <c r="DA131" i="15" s="1"/>
  <c r="CY136" i="15"/>
  <c r="CM136" i="15" a="1"/>
  <c r="CM136" i="15" s="1"/>
  <c r="CY33" i="15"/>
  <c r="CM33" i="15" a="1"/>
  <c r="CM33" i="15" s="1"/>
  <c r="CZ90" i="15"/>
  <c r="CN90" i="15" a="1"/>
  <c r="CN90" i="15" s="1"/>
  <c r="DA90" i="15" s="1"/>
  <c r="CM22" i="15" a="1"/>
  <c r="CM22" i="15" s="1"/>
  <c r="CY22" i="15"/>
  <c r="Z149" i="15"/>
  <c r="AN92" i="15"/>
  <c r="CZ9" i="15"/>
  <c r="CN9" i="15" a="1"/>
  <c r="CN9" i="15" s="1"/>
  <c r="DA9" i="15" s="1"/>
  <c r="BN131" i="15"/>
  <c r="BA131" i="15" a="1"/>
  <c r="BA131" i="15" s="1"/>
  <c r="BO131" i="15" s="1"/>
  <c r="BM124" i="15"/>
  <c r="AZ124" i="15" a="1"/>
  <c r="AZ124" i="15" s="1"/>
  <c r="M31" i="15" a="1"/>
  <c r="M31" i="15" s="1"/>
  <c r="Z31" i="15"/>
  <c r="Z144" i="15"/>
  <c r="CX152" i="15"/>
  <c r="DH122" i="15"/>
  <c r="DL122" i="15" s="1"/>
  <c r="AZ125" i="15" a="1"/>
  <c r="AZ125" i="15" s="1"/>
  <c r="BM125" i="15"/>
  <c r="CX85" i="15"/>
  <c r="AZ143" i="15" a="1"/>
  <c r="AZ143" i="15" s="1"/>
  <c r="BM143" i="15"/>
  <c r="CN113" i="15" a="1"/>
  <c r="CN113" i="15" s="1"/>
  <c r="DA113" i="15" s="1"/>
  <c r="CZ113" i="15"/>
  <c r="CM45" i="15" a="1"/>
  <c r="CM45" i="15" s="1"/>
  <c r="CY45" i="15"/>
  <c r="CZ40" i="15"/>
  <c r="CN40" i="15" a="1"/>
  <c r="CN40" i="15" s="1"/>
  <c r="DA40" i="15" s="1"/>
  <c r="AA87" i="15"/>
  <c r="N87" i="15" a="1"/>
  <c r="N87" i="15" s="1"/>
  <c r="AB87" i="15" s="1"/>
  <c r="M15" i="15" a="1"/>
  <c r="M15" i="15" s="1"/>
  <c r="Z15" i="15"/>
  <c r="AN111" i="15"/>
  <c r="M114" i="15" a="1"/>
  <c r="M114" i="15" s="1"/>
  <c r="Z114" i="15"/>
  <c r="M28" i="15" a="1"/>
  <c r="M28" i="15" s="1"/>
  <c r="Z28" i="15"/>
  <c r="CY122" i="15"/>
  <c r="CM122" i="15" a="1"/>
  <c r="CM122" i="15" s="1"/>
  <c r="CN13" i="15" a="1"/>
  <c r="CN13" i="15" s="1"/>
  <c r="DA13" i="15" s="1"/>
  <c r="CZ13" i="15"/>
  <c r="CN140" i="15" a="1"/>
  <c r="CN140" i="15" s="1"/>
  <c r="DA140" i="15" s="1"/>
  <c r="CZ140" i="15"/>
  <c r="CY43" i="15"/>
  <c r="CM43" i="15" a="1"/>
  <c r="CM43" i="15" s="1"/>
  <c r="M35" i="15" a="1"/>
  <c r="M35" i="15" s="1"/>
  <c r="Z35" i="15"/>
  <c r="CN49" i="15" a="1"/>
  <c r="CN49" i="15" s="1"/>
  <c r="DA49" i="15" s="1"/>
  <c r="CZ49" i="15"/>
  <c r="CN41" i="15" a="1"/>
  <c r="CN41" i="15" s="1"/>
  <c r="DA41" i="15" s="1"/>
  <c r="CZ41" i="15"/>
  <c r="CZ123" i="15"/>
  <c r="CN123" i="15" a="1"/>
  <c r="CN123" i="15" s="1"/>
  <c r="DA123" i="15" s="1"/>
  <c r="AZ141" i="15" a="1"/>
  <c r="AZ141" i="15" s="1"/>
  <c r="BM141" i="15"/>
  <c r="Z33" i="15"/>
  <c r="M33" i="15" a="1"/>
  <c r="M33" i="15" s="1"/>
  <c r="CM19" i="15" a="1"/>
  <c r="CM19" i="15" s="1"/>
  <c r="CY19" i="15"/>
  <c r="CM11" i="15" a="1"/>
  <c r="CM11" i="15" s="1"/>
  <c r="CY11" i="15"/>
  <c r="AA59" i="15"/>
  <c r="N59" i="15" a="1"/>
  <c r="N59" i="15" s="1"/>
  <c r="AB59" i="15" s="1"/>
  <c r="L36" i="15" a="1"/>
  <c r="L36" i="15" s="1"/>
  <c r="Y36" i="15"/>
  <c r="AI36" i="15" s="1"/>
  <c r="AM36" i="15" s="1"/>
  <c r="CN92" i="15" a="1"/>
  <c r="CN92" i="15" s="1"/>
  <c r="DA92" i="15" s="1"/>
  <c r="CZ92" i="15"/>
  <c r="BM122" i="15"/>
  <c r="AZ122" i="15" a="1"/>
  <c r="AZ122" i="15" s="1"/>
  <c r="CZ17" i="15"/>
  <c r="CN17" i="15" a="1"/>
  <c r="CN17" i="15" s="1"/>
  <c r="DA17" i="15" s="1"/>
  <c r="M19" i="15" a="1"/>
  <c r="M19" i="15" s="1"/>
  <c r="Z19" i="15"/>
  <c r="BV122" i="15"/>
  <c r="BZ122" i="15" s="1"/>
  <c r="BL152" i="15"/>
  <c r="CZ143" i="15"/>
  <c r="CN143" i="15" a="1"/>
  <c r="CN143" i="15" s="1"/>
  <c r="DA143" i="15" s="1"/>
  <c r="CN133" i="15" a="1"/>
  <c r="CN133" i="15" s="1"/>
  <c r="DA133" i="15" s="1"/>
  <c r="CZ133" i="15"/>
  <c r="CZ47" i="15"/>
  <c r="CN47" i="15" a="1"/>
  <c r="CN47" i="15" s="1"/>
  <c r="DA47" i="15" s="1"/>
  <c r="DM112" i="15"/>
  <c r="CZ12" i="15"/>
  <c r="CN12" i="15" a="1"/>
  <c r="CN12" i="15" s="1"/>
  <c r="DA12" i="15" s="1"/>
  <c r="CN146" i="15" a="1"/>
  <c r="CN146" i="15" s="1"/>
  <c r="DA146" i="15" s="1"/>
  <c r="CZ146" i="15"/>
  <c r="CM16" i="15" a="1"/>
  <c r="CM16" i="15" s="1"/>
  <c r="CY16" i="15"/>
  <c r="Z112" i="15"/>
  <c r="M112" i="15" a="1"/>
  <c r="M112" i="15" s="1"/>
  <c r="Z113" i="15"/>
  <c r="M113" i="15" a="1"/>
  <c r="M113" i="15" s="1"/>
  <c r="CN28" i="15" a="1"/>
  <c r="CN28" i="15" s="1"/>
  <c r="DA28" i="15" s="1"/>
  <c r="CZ28" i="15"/>
  <c r="CN44" i="15" a="1"/>
  <c r="CN44" i="15" s="1"/>
  <c r="DA44" i="15" s="1"/>
  <c r="CZ44" i="15"/>
  <c r="CY48" i="15"/>
  <c r="CM48" i="15" a="1"/>
  <c r="CM48" i="15" s="1"/>
  <c r="CY10" i="15"/>
  <c r="CM10" i="15" a="1"/>
  <c r="CM10" i="15" s="1"/>
  <c r="Z150" i="15"/>
  <c r="CY15" i="15"/>
  <c r="CM15" i="15" a="1"/>
  <c r="CM15" i="15" s="1"/>
  <c r="Z142" i="15"/>
  <c r="N123" i="15" a="1"/>
  <c r="N123" i="15" s="1"/>
  <c r="AB123" i="15" s="1"/>
  <c r="AA123" i="15"/>
  <c r="BA138" i="15" a="1"/>
  <c r="BA138" i="15" s="1"/>
  <c r="BO138" i="15" s="1"/>
  <c r="BN138" i="15"/>
  <c r="M23" i="15" a="1"/>
  <c r="M23" i="15" s="1"/>
  <c r="Z23" i="15"/>
  <c r="CY139" i="15"/>
  <c r="CM139" i="15" a="1"/>
  <c r="CM139" i="15" s="1"/>
  <c r="CZ63" i="15"/>
  <c r="CN63" i="15" a="1"/>
  <c r="CN63" i="15" s="1"/>
  <c r="DA63" i="15" s="1"/>
  <c r="N58" i="15" a="1"/>
  <c r="N58" i="15" s="1"/>
  <c r="AB58" i="15" s="1"/>
  <c r="AA58" i="15"/>
  <c r="Z53" i="15"/>
  <c r="M53" i="15" a="1"/>
  <c r="M53" i="15" s="1"/>
  <c r="AA89" i="15"/>
  <c r="N89" i="15" a="1"/>
  <c r="N89" i="15" s="1"/>
  <c r="AB89" i="15" s="1"/>
  <c r="M24" i="15" a="1"/>
  <c r="M24" i="15" s="1"/>
  <c r="Z24" i="15"/>
  <c r="M88" i="15" a="1"/>
  <c r="M88" i="15" s="1"/>
  <c r="Z88" i="15"/>
  <c r="Z52" i="15"/>
  <c r="M52" i="15" a="1"/>
  <c r="M52" i="15" s="1"/>
  <c r="CZ149" i="15"/>
  <c r="CN149" i="15" a="1"/>
  <c r="CN149" i="15" s="1"/>
  <c r="DA149" i="15" s="1"/>
  <c r="CM25" i="15" a="1"/>
  <c r="CM25" i="15" s="1"/>
  <c r="CY25" i="15"/>
  <c r="CM62" i="15" a="1"/>
  <c r="CM62" i="15" s="1"/>
  <c r="CY62" i="15"/>
  <c r="CN50" i="15" a="1"/>
  <c r="CN50" i="15" s="1"/>
  <c r="DA50" i="15" s="1"/>
  <c r="CZ50" i="15"/>
  <c r="Y152" i="15"/>
  <c r="Z143" i="15"/>
  <c r="CZ144" i="15"/>
  <c r="CN144" i="15" a="1"/>
  <c r="CN144" i="15" s="1"/>
  <c r="DA144" i="15" s="1"/>
  <c r="BL115" i="15"/>
  <c r="DL115" i="15"/>
  <c r="CZ61" i="15"/>
  <c r="CN61" i="15" a="1"/>
  <c r="CN61" i="15" s="1"/>
  <c r="DA61" i="15" s="1"/>
  <c r="AA140" i="15"/>
  <c r="AB140" i="15"/>
  <c r="Z47" i="15"/>
  <c r="M47" i="15" a="1"/>
  <c r="M47" i="15" s="1"/>
  <c r="N26" i="15" a="1"/>
  <c r="N26" i="15" s="1"/>
  <c r="AB26" i="15" s="1"/>
  <c r="AA26" i="15"/>
  <c r="AI14" i="15"/>
  <c r="AM14" i="15" s="1"/>
  <c r="N44" i="15" a="1"/>
  <c r="N44" i="15" s="1"/>
  <c r="AB44" i="15" s="1"/>
  <c r="AA44" i="15"/>
  <c r="CY37" i="15"/>
  <c r="CM37" i="15" a="1"/>
  <c r="CM37" i="15" s="1"/>
  <c r="CM111" i="15" a="1"/>
  <c r="CM111" i="15" s="1"/>
  <c r="CY111" i="15"/>
  <c r="N63" i="15" a="1"/>
  <c r="N63" i="15" s="1"/>
  <c r="AB63" i="15" s="1"/>
  <c r="AA63" i="15"/>
  <c r="BA130" i="15" a="1"/>
  <c r="BA130" i="15" s="1"/>
  <c r="BO130" i="15" s="1"/>
  <c r="BN130" i="15"/>
  <c r="CZ46" i="15"/>
  <c r="CN46" i="15" a="1"/>
  <c r="CN46" i="15" s="1"/>
  <c r="DA46" i="15" s="1"/>
  <c r="AA125" i="15"/>
  <c r="N125" i="15" a="1"/>
  <c r="N125" i="15" s="1"/>
  <c r="AB125" i="15" s="1"/>
  <c r="BN140" i="15"/>
  <c r="BA140" i="15" a="1"/>
  <c r="BA140" i="15" s="1"/>
  <c r="BO140" i="15" s="1"/>
  <c r="CN29" i="15" a="1"/>
  <c r="CN29" i="15" s="1"/>
  <c r="DA29" i="15" s="1"/>
  <c r="CZ29" i="15"/>
  <c r="Z151" i="15"/>
  <c r="M16" i="15" a="1"/>
  <c r="M16" i="15" s="1"/>
  <c r="Z16" i="15"/>
  <c r="CN60" i="15" a="1"/>
  <c r="CN60" i="15" s="1"/>
  <c r="DA60" i="15" s="1"/>
  <c r="CZ60" i="15"/>
  <c r="AZ145" i="15" a="1"/>
  <c r="AZ145" i="15" s="1"/>
  <c r="BM145" i="15"/>
  <c r="CZ53" i="15"/>
  <c r="CN53" i="15" a="1"/>
  <c r="CN53" i="15" s="1"/>
  <c r="DA53" i="15" s="1"/>
  <c r="CN91" i="15" a="1"/>
  <c r="CN91" i="15" s="1"/>
  <c r="DA91" i="15" s="1"/>
  <c r="CZ91" i="15"/>
  <c r="CN31" i="15" a="1"/>
  <c r="CN31" i="15" s="1"/>
  <c r="DA31" i="15" s="1"/>
  <c r="CZ31" i="15"/>
  <c r="CZ38" i="15"/>
  <c r="CN38" i="15" a="1"/>
  <c r="CN38" i="15" s="1"/>
  <c r="DA38" i="15" s="1"/>
  <c r="X115" i="15" l="1"/>
  <c r="X117" i="15" s="1"/>
  <c r="CA151" i="15"/>
  <c r="CA83" i="15"/>
  <c r="DM130" i="15"/>
  <c r="CA147" i="15"/>
  <c r="CA148" i="15"/>
  <c r="CA146" i="15"/>
  <c r="DM7" i="15"/>
  <c r="CN8" i="15" a="1"/>
  <c r="CN8" i="15" s="1"/>
  <c r="DA8" i="15" s="1"/>
  <c r="DM8" i="15" s="1"/>
  <c r="AN124" i="15"/>
  <c r="DM52" i="15"/>
  <c r="DM14" i="15"/>
  <c r="DM44" i="15"/>
  <c r="CA138" i="15"/>
  <c r="BN47" i="15"/>
  <c r="CA47" i="15" s="1"/>
  <c r="DM92" i="15"/>
  <c r="DM41" i="15"/>
  <c r="BN80" i="15"/>
  <c r="BA80" i="15" a="1"/>
  <c r="BA80" i="15" s="1"/>
  <c r="BO80" i="15" s="1"/>
  <c r="CA82" i="15"/>
  <c r="CA79" i="15"/>
  <c r="DM113" i="15"/>
  <c r="CA53" i="15"/>
  <c r="BA81" i="15" a="1"/>
  <c r="BA81" i="15" s="1"/>
  <c r="BO81" i="15" s="1"/>
  <c r="BN81" i="15"/>
  <c r="CA111" i="15"/>
  <c r="CA72" i="15"/>
  <c r="CA13" i="15"/>
  <c r="BN71" i="15"/>
  <c r="BA71" i="15" a="1"/>
  <c r="BA71" i="15" s="1"/>
  <c r="BO71" i="15" s="1"/>
  <c r="BN70" i="15"/>
  <c r="BA70" i="15" a="1"/>
  <c r="BA70" i="15" s="1"/>
  <c r="BO70" i="15" s="1"/>
  <c r="CA14" i="15"/>
  <c r="BN84" i="15"/>
  <c r="BA84" i="15" a="1"/>
  <c r="BA84" i="15" s="1"/>
  <c r="BO84" i="15" s="1"/>
  <c r="BA28" i="15" a="1"/>
  <c r="BA28" i="15" s="1"/>
  <c r="BO28" i="15" s="1"/>
  <c r="BN28" i="15"/>
  <c r="AN123" i="15"/>
  <c r="DM28" i="15"/>
  <c r="CA30" i="15"/>
  <c r="DM31" i="15"/>
  <c r="AN26" i="15"/>
  <c r="DM133" i="15"/>
  <c r="DM143" i="15"/>
  <c r="AN141" i="15"/>
  <c r="AN45" i="15"/>
  <c r="BA31" i="15" a="1"/>
  <c r="BA31" i="15" s="1"/>
  <c r="BO31" i="15" s="1"/>
  <c r="BN31" i="15"/>
  <c r="CA19" i="15"/>
  <c r="DM141" i="15"/>
  <c r="BN58" i="15"/>
  <c r="BA58" i="15" a="1"/>
  <c r="BA58" i="15" s="1"/>
  <c r="BO58" i="15" s="1"/>
  <c r="DM91" i="15"/>
  <c r="DM50" i="15"/>
  <c r="CA109" i="15"/>
  <c r="DM146" i="15"/>
  <c r="AA60" i="15"/>
  <c r="N60" i="15" a="1"/>
  <c r="N60" i="15" s="1"/>
  <c r="AB60" i="15" s="1"/>
  <c r="AN62" i="15"/>
  <c r="AN89" i="15"/>
  <c r="CA112" i="15"/>
  <c r="AN122" i="15"/>
  <c r="CA130" i="15"/>
  <c r="DM140" i="15"/>
  <c r="BN55" i="15"/>
  <c r="BA55" i="15" a="1"/>
  <c r="BA55" i="15" s="1"/>
  <c r="BO55" i="15" s="1"/>
  <c r="CA11" i="15"/>
  <c r="DM60" i="15"/>
  <c r="CY115" i="15"/>
  <c r="CX117" i="15"/>
  <c r="BA49" i="15" a="1"/>
  <c r="BA49" i="15" s="1"/>
  <c r="BO49" i="15" s="1"/>
  <c r="BN49" i="15"/>
  <c r="BA38" i="15" a="1"/>
  <c r="BA38" i="15" s="1"/>
  <c r="BO38" i="15" s="1"/>
  <c r="BN38" i="15"/>
  <c r="AN44" i="15"/>
  <c r="DM49" i="15"/>
  <c r="DM87" i="15"/>
  <c r="CA43" i="15"/>
  <c r="DM58" i="15"/>
  <c r="DM35" i="15"/>
  <c r="AN48" i="15"/>
  <c r="CA51" i="15"/>
  <c r="CA22" i="15"/>
  <c r="DM123" i="15"/>
  <c r="AN87" i="15"/>
  <c r="BO9" i="15"/>
  <c r="BN9" i="15"/>
  <c r="AN63" i="15"/>
  <c r="DM23" i="15"/>
  <c r="CA62" i="15"/>
  <c r="AN58" i="15"/>
  <c r="CA139" i="15"/>
  <c r="CZ137" i="15"/>
  <c r="CN137" i="15" a="1"/>
  <c r="CN137" i="15" s="1"/>
  <c r="DA137" i="15" s="1"/>
  <c r="Y85" i="15"/>
  <c r="CY152" i="15"/>
  <c r="DM12" i="15"/>
  <c r="BA113" i="15" a="1"/>
  <c r="BA113" i="15" s="1"/>
  <c r="BO113" i="15" s="1"/>
  <c r="BN113" i="15"/>
  <c r="CZ138" i="15"/>
  <c r="CN138" i="15" a="1"/>
  <c r="CN138" i="15" s="1"/>
  <c r="DA138" i="15" s="1"/>
  <c r="DM47" i="15"/>
  <c r="CZ125" i="15"/>
  <c r="CN125" i="15" a="1"/>
  <c r="CN125" i="15" s="1"/>
  <c r="DA125" i="15" s="1"/>
  <c r="N91" i="15" a="1"/>
  <c r="N91" i="15" s="1"/>
  <c r="AB91" i="15" s="1"/>
  <c r="AA91" i="15"/>
  <c r="CN124" i="15" a="1"/>
  <c r="CN124" i="15" s="1"/>
  <c r="DA124" i="15" s="1"/>
  <c r="CZ124" i="15"/>
  <c r="DM53" i="15"/>
  <c r="AN140" i="15"/>
  <c r="AN59" i="15"/>
  <c r="DM88" i="15"/>
  <c r="CN68" i="15" a="1"/>
  <c r="CN68" i="15" s="1"/>
  <c r="DA68" i="15" s="1"/>
  <c r="CZ68" i="15"/>
  <c r="AA30" i="15"/>
  <c r="N30" i="15" a="1"/>
  <c r="N30" i="15" s="1"/>
  <c r="AB30" i="15" s="1"/>
  <c r="DM61" i="15"/>
  <c r="DM131" i="15"/>
  <c r="CA8" i="15"/>
  <c r="AA139" i="15"/>
  <c r="AB139" i="15"/>
  <c r="BN63" i="15"/>
  <c r="BA63" i="15" a="1"/>
  <c r="BA63" i="15" s="1"/>
  <c r="BO63" i="15" s="1"/>
  <c r="CN32" i="15" a="1"/>
  <c r="CN32" i="15" s="1"/>
  <c r="DA32" i="15" s="1"/>
  <c r="CZ32" i="15"/>
  <c r="Z152" i="15"/>
  <c r="DM63" i="15"/>
  <c r="DM17" i="15"/>
  <c r="AB146" i="15"/>
  <c r="AA146" i="15"/>
  <c r="DM9" i="15"/>
  <c r="CA25" i="15"/>
  <c r="DM13" i="15"/>
  <c r="CA17" i="15"/>
  <c r="CN145" i="15" a="1"/>
  <c r="CN145" i="15" s="1"/>
  <c r="DA145" i="15" s="1"/>
  <c r="CZ145" i="15"/>
  <c r="CZ89" i="15"/>
  <c r="CN89" i="15" a="1"/>
  <c r="CN89" i="15" s="1"/>
  <c r="DA89" i="15" s="1"/>
  <c r="BA32" i="15" a="1"/>
  <c r="BA32" i="15" s="1"/>
  <c r="BO32" i="15" s="1"/>
  <c r="BN32" i="15"/>
  <c r="CA36" i="15"/>
  <c r="BA45" i="15" a="1"/>
  <c r="BA45" i="15" s="1"/>
  <c r="BO45" i="15" s="1"/>
  <c r="BN45" i="15"/>
  <c r="BA41" i="15" a="1"/>
  <c r="BA41" i="15" s="1"/>
  <c r="BO41" i="15" s="1"/>
  <c r="CA37" i="15"/>
  <c r="CA12" i="15"/>
  <c r="BN46" i="15"/>
  <c r="BA46" i="15" a="1"/>
  <c r="BA46" i="15" s="1"/>
  <c r="BO46" i="15" s="1"/>
  <c r="CA15" i="15"/>
  <c r="BN48" i="15"/>
  <c r="BA48" i="15" a="1"/>
  <c r="BA48" i="15" s="1"/>
  <c r="BO48" i="15" s="1"/>
  <c r="BN59" i="15"/>
  <c r="BA59" i="15" a="1"/>
  <c r="BA59" i="15" s="1"/>
  <c r="BO59" i="15" s="1"/>
  <c r="BA33" i="15" a="1"/>
  <c r="BA33" i="15" s="1"/>
  <c r="BO33" i="15" s="1"/>
  <c r="BN33" i="15"/>
  <c r="BM115" i="15"/>
  <c r="CN36" i="15" a="1"/>
  <c r="CN36" i="15" s="1"/>
  <c r="DA36" i="15" s="1"/>
  <c r="CZ36" i="15"/>
  <c r="CZ37" i="15"/>
  <c r="CN37" i="15" a="1"/>
  <c r="CN37" i="15" s="1"/>
  <c r="DA37" i="15" s="1"/>
  <c r="AA35" i="15"/>
  <c r="N35" i="15" a="1"/>
  <c r="N35" i="15" s="1"/>
  <c r="AB35" i="15" s="1"/>
  <c r="DM38" i="15"/>
  <c r="BA142" i="15" a="1"/>
  <c r="BA142" i="15" s="1"/>
  <c r="BO142" i="15" s="1"/>
  <c r="BN142" i="15"/>
  <c r="CN62" i="15" a="1"/>
  <c r="CN62" i="15" s="1"/>
  <c r="DA62" i="15" s="1"/>
  <c r="CZ62" i="15"/>
  <c r="CN139" i="15" a="1"/>
  <c r="CN139" i="15" s="1"/>
  <c r="DA139" i="15" s="1"/>
  <c r="CZ139" i="15"/>
  <c r="BN122" i="15"/>
  <c r="BA122" i="15" a="1"/>
  <c r="BA122" i="15" s="1"/>
  <c r="BO122" i="15" s="1"/>
  <c r="CN22" i="15" a="1"/>
  <c r="CN22" i="15" s="1"/>
  <c r="DA22" i="15" s="1"/>
  <c r="CZ22" i="15"/>
  <c r="BM152" i="15"/>
  <c r="N28" i="15" a="1"/>
  <c r="N28" i="15" s="1"/>
  <c r="AB28" i="15" s="1"/>
  <c r="AA28" i="15"/>
  <c r="DM30" i="15"/>
  <c r="CZ25" i="15"/>
  <c r="CN25" i="15" a="1"/>
  <c r="CN25" i="15" s="1"/>
  <c r="DA25" i="15" s="1"/>
  <c r="AA33" i="15"/>
  <c r="N33" i="15" a="1"/>
  <c r="N33" i="15" s="1"/>
  <c r="AB33" i="15" s="1"/>
  <c r="DM90" i="15"/>
  <c r="AA114" i="15"/>
  <c r="N114" i="15" a="1"/>
  <c r="N114" i="15" s="1"/>
  <c r="AB114" i="15" s="1"/>
  <c r="N17" i="15" a="1"/>
  <c r="N17" i="15" s="1"/>
  <c r="AB17" i="15" s="1"/>
  <c r="AA17" i="15"/>
  <c r="AA16" i="15"/>
  <c r="N16" i="15" a="1"/>
  <c r="N16" i="15" s="1"/>
  <c r="AB16" i="15" s="1"/>
  <c r="AB144" i="15"/>
  <c r="AA144" i="15"/>
  <c r="N50" i="15" a="1"/>
  <c r="N50" i="15" s="1"/>
  <c r="AB50" i="15" s="1"/>
  <c r="AA50" i="15"/>
  <c r="CZ111" i="15"/>
  <c r="CN111" i="15" a="1"/>
  <c r="CN111" i="15" s="1"/>
  <c r="DA111" i="15" s="1"/>
  <c r="N88" i="15" a="1"/>
  <c r="N88" i="15" s="1"/>
  <c r="AB88" i="15" s="1"/>
  <c r="AA88" i="15"/>
  <c r="AA19" i="15"/>
  <c r="N19" i="15" a="1"/>
  <c r="N19" i="15" s="1"/>
  <c r="AB19" i="15" s="1"/>
  <c r="DL152" i="15"/>
  <c r="AA46" i="15"/>
  <c r="N46" i="15" a="1"/>
  <c r="N46" i="15" s="1"/>
  <c r="AB46" i="15" s="1"/>
  <c r="CA140" i="15"/>
  <c r="N53" i="15" a="1"/>
  <c r="N53" i="15" s="1"/>
  <c r="AB53" i="15" s="1"/>
  <c r="AA53" i="15"/>
  <c r="N24" i="15" a="1"/>
  <c r="N24" i="15" s="1"/>
  <c r="AB24" i="15" s="1"/>
  <c r="AA24" i="15"/>
  <c r="CZ48" i="15"/>
  <c r="CN48" i="15" a="1"/>
  <c r="CN48" i="15" s="1"/>
  <c r="DA48" i="15" s="1"/>
  <c r="CN43" i="15" a="1"/>
  <c r="CN43" i="15" s="1"/>
  <c r="DA43" i="15" s="1"/>
  <c r="CZ43" i="15"/>
  <c r="CA131" i="15"/>
  <c r="N52" i="15" a="1"/>
  <c r="N52" i="15" s="1"/>
  <c r="AB52" i="15" s="1"/>
  <c r="AA52" i="15"/>
  <c r="CN10" i="15" a="1"/>
  <c r="CN10" i="15" s="1"/>
  <c r="DA10" i="15" s="1"/>
  <c r="CZ10" i="15"/>
  <c r="BN137" i="15"/>
  <c r="BA137" i="15" a="1"/>
  <c r="BA137" i="15" s="1"/>
  <c r="BO137" i="15" s="1"/>
  <c r="N47" i="15" a="1"/>
  <c r="N47" i="15" s="1"/>
  <c r="AB47" i="15" s="1"/>
  <c r="AA47" i="15"/>
  <c r="CZ122" i="15"/>
  <c r="CN122" i="15" a="1"/>
  <c r="CN122" i="15" s="1"/>
  <c r="DA122" i="15" s="1"/>
  <c r="BA124" i="15" a="1"/>
  <c r="BA124" i="15" s="1"/>
  <c r="BO124" i="15" s="1"/>
  <c r="BN124" i="15"/>
  <c r="AB149" i="15"/>
  <c r="AA149" i="15"/>
  <c r="CZ11" i="15"/>
  <c r="CN11" i="15" a="1"/>
  <c r="CN11" i="15" s="1"/>
  <c r="DA11" i="15" s="1"/>
  <c r="AB148" i="15"/>
  <c r="AA148" i="15"/>
  <c r="AN125" i="15"/>
  <c r="CZ19" i="15"/>
  <c r="CN19" i="15" a="1"/>
  <c r="CN19" i="15" s="1"/>
  <c r="DA19" i="15" s="1"/>
  <c r="BA143" i="15" a="1"/>
  <c r="BA143" i="15" s="1"/>
  <c r="BO143" i="15" s="1"/>
  <c r="BN143" i="15"/>
  <c r="DM46" i="15"/>
  <c r="CN45" i="15" a="1"/>
  <c r="CN45" i="15" s="1"/>
  <c r="DA45" i="15" s="1"/>
  <c r="CZ45" i="15"/>
  <c r="N27" i="15" a="1"/>
  <c r="N27" i="15" s="1"/>
  <c r="AB27" i="15" s="1"/>
  <c r="AA27" i="15"/>
  <c r="AA23" i="15"/>
  <c r="N23" i="15" a="1"/>
  <c r="N23" i="15" s="1"/>
  <c r="AB23" i="15" s="1"/>
  <c r="AB143" i="15"/>
  <c r="AA143" i="15"/>
  <c r="AB150" i="15"/>
  <c r="AA150" i="15"/>
  <c r="CZ21" i="15"/>
  <c r="CN21" i="15" a="1"/>
  <c r="CN21" i="15" s="1"/>
  <c r="DA21" i="15" s="1"/>
  <c r="AA112" i="15"/>
  <c r="N112" i="15" a="1"/>
  <c r="N112" i="15" s="1"/>
  <c r="AB112" i="15" s="1"/>
  <c r="DL85" i="15"/>
  <c r="DL117" i="15" s="1"/>
  <c r="CN136" i="15" a="1"/>
  <c r="CN136" i="15" s="1"/>
  <c r="DA136" i="15" s="1"/>
  <c r="CZ136" i="15"/>
  <c r="DM29" i="15"/>
  <c r="AA142" i="15"/>
  <c r="AB142" i="15"/>
  <c r="CZ16" i="15"/>
  <c r="CN16" i="15" a="1"/>
  <c r="CN16" i="15" s="1"/>
  <c r="DA16" i="15" s="1"/>
  <c r="BZ152" i="15"/>
  <c r="M36" i="15" a="1"/>
  <c r="M36" i="15" s="1"/>
  <c r="Z36" i="15"/>
  <c r="Z85" i="15" s="1"/>
  <c r="Z115" i="15" s="1"/>
  <c r="N15" i="15" a="1"/>
  <c r="N15" i="15" s="1"/>
  <c r="AB15" i="15" s="1"/>
  <c r="AA15" i="15"/>
  <c r="BA145" i="15" a="1"/>
  <c r="BA145" i="15" s="1"/>
  <c r="BO145" i="15" s="1"/>
  <c r="BN145" i="15"/>
  <c r="AA14" i="15"/>
  <c r="N14" i="15" a="1"/>
  <c r="N14" i="15" s="1"/>
  <c r="AB14" i="15" s="1"/>
  <c r="CZ15" i="15"/>
  <c r="CN15" i="15" a="1"/>
  <c r="CN15" i="15" s="1"/>
  <c r="DA15" i="15" s="1"/>
  <c r="DM40" i="15"/>
  <c r="DM144" i="15"/>
  <c r="CN33" i="15" a="1"/>
  <c r="CN33" i="15" s="1"/>
  <c r="DA33" i="15" s="1"/>
  <c r="CZ33" i="15"/>
  <c r="DM149" i="15"/>
  <c r="AA113" i="15"/>
  <c r="N113" i="15" a="1"/>
  <c r="N113" i="15" s="1"/>
  <c r="AB113" i="15" s="1"/>
  <c r="CY85" i="15"/>
  <c r="BA141" i="15" a="1"/>
  <c r="BA141" i="15" s="1"/>
  <c r="BO141" i="15" s="1"/>
  <c r="BN141" i="15"/>
  <c r="AB151" i="15"/>
  <c r="AA151" i="15"/>
  <c r="AM85" i="15"/>
  <c r="BA125" i="15" a="1"/>
  <c r="BA125" i="15" s="1"/>
  <c r="BO125" i="15" s="1"/>
  <c r="BN125" i="15"/>
  <c r="AA31" i="15"/>
  <c r="N31" i="15" a="1"/>
  <c r="N31" i="15" s="1"/>
  <c r="AB31" i="15" s="1"/>
  <c r="BN133" i="15"/>
  <c r="BA133" i="15" a="1"/>
  <c r="BA133" i="15" s="1"/>
  <c r="BO133" i="15" s="1"/>
  <c r="AM115" i="15" l="1"/>
  <c r="AM117" i="15" s="1"/>
  <c r="Y115" i="15"/>
  <c r="Y117" i="15" s="1"/>
  <c r="AN149" i="15"/>
  <c r="C12" i="4"/>
  <c r="CA31" i="15"/>
  <c r="DM45" i="15"/>
  <c r="AN35" i="15"/>
  <c r="CA145" i="15"/>
  <c r="AN15" i="15"/>
  <c r="AN50" i="15"/>
  <c r="CA113" i="15"/>
  <c r="F8" i="4" s="1"/>
  <c r="CA124" i="15"/>
  <c r="DM22" i="15"/>
  <c r="DM32" i="15"/>
  <c r="DM43" i="15"/>
  <c r="AN28" i="15"/>
  <c r="DM68" i="15"/>
  <c r="AN53" i="15"/>
  <c r="CA80" i="15"/>
  <c r="CA81" i="15"/>
  <c r="CA84" i="15"/>
  <c r="AN17" i="15"/>
  <c r="CA70" i="15"/>
  <c r="CA71" i="15"/>
  <c r="CA28" i="15"/>
  <c r="AN47" i="15"/>
  <c r="DM139" i="15"/>
  <c r="DM124" i="15"/>
  <c r="CA38" i="15"/>
  <c r="AN52" i="15"/>
  <c r="AN146" i="15"/>
  <c r="AN148" i="15"/>
  <c r="DM10" i="15"/>
  <c r="DA115" i="15"/>
  <c r="DM137" i="15"/>
  <c r="CZ115" i="15"/>
  <c r="CA58" i="15"/>
  <c r="CA32" i="15"/>
  <c r="CA55" i="15"/>
  <c r="AN33" i="15"/>
  <c r="AN60" i="15"/>
  <c r="C5" i="4" s="1"/>
  <c r="D5" i="4" s="1"/>
  <c r="DM25" i="15"/>
  <c r="CA49" i="15"/>
  <c r="DM138" i="15"/>
  <c r="AN24" i="15"/>
  <c r="AN144" i="15"/>
  <c r="AN30" i="15"/>
  <c r="CY117" i="15"/>
  <c r="DM33" i="15"/>
  <c r="DM145" i="15"/>
  <c r="AN91" i="15"/>
  <c r="DM11" i="15"/>
  <c r="AN150" i="15"/>
  <c r="DM19" i="15"/>
  <c r="CA142" i="15"/>
  <c r="CA63" i="15"/>
  <c r="CA143" i="15"/>
  <c r="CA125" i="15"/>
  <c r="AN143" i="15"/>
  <c r="Z117" i="15"/>
  <c r="CA9" i="15"/>
  <c r="AN112" i="15"/>
  <c r="DM62" i="15"/>
  <c r="AN88" i="15"/>
  <c r="AN27" i="15"/>
  <c r="DM125" i="15"/>
  <c r="AB152" i="15"/>
  <c r="CA59" i="15"/>
  <c r="DM48" i="15"/>
  <c r="CZ152" i="15"/>
  <c r="DM89" i="15"/>
  <c r="AN139" i="15"/>
  <c r="DM21" i="15"/>
  <c r="AN16" i="15"/>
  <c r="AN114" i="15"/>
  <c r="DM15" i="15"/>
  <c r="AN23" i="15"/>
  <c r="F7" i="4"/>
  <c r="DM37" i="15"/>
  <c r="CA33" i="15"/>
  <c r="CA45" i="15"/>
  <c r="CA46" i="15"/>
  <c r="CA48" i="15"/>
  <c r="BO115" i="15"/>
  <c r="BO152" i="15"/>
  <c r="DA85" i="15"/>
  <c r="BN115" i="15"/>
  <c r="DM16" i="15"/>
  <c r="DM122" i="15"/>
  <c r="CA133" i="15"/>
  <c r="CA141" i="15"/>
  <c r="DA152" i="15"/>
  <c r="DM36" i="15"/>
  <c r="AN142" i="15"/>
  <c r="AN31" i="15"/>
  <c r="AN19" i="15"/>
  <c r="N36" i="15" a="1"/>
  <c r="N36" i="15" s="1"/>
  <c r="AB36" i="15" s="1"/>
  <c r="AB85" i="15" s="1"/>
  <c r="AB115" i="15" s="1"/>
  <c r="AA36" i="15"/>
  <c r="AA85" i="15" s="1"/>
  <c r="AA115" i="15" s="1"/>
  <c r="CA137" i="15"/>
  <c r="DM111" i="15"/>
  <c r="AN113" i="15"/>
  <c r="AA152" i="15"/>
  <c r="AN14" i="15"/>
  <c r="AN151" i="15"/>
  <c r="DM136" i="15"/>
  <c r="AN46" i="15"/>
  <c r="BN152" i="15"/>
  <c r="CZ85" i="15"/>
  <c r="CA122" i="15"/>
  <c r="F4" i="4" l="1"/>
  <c r="G4" i="4" s="1"/>
  <c r="C13" i="4"/>
  <c r="C15" i="4" s="1"/>
  <c r="F12" i="4"/>
  <c r="F15" i="4" s="1"/>
  <c r="C3" i="4"/>
  <c r="DA117" i="15"/>
  <c r="DM115" i="15"/>
  <c r="CA115" i="15"/>
  <c r="CZ117" i="15"/>
  <c r="AN152" i="15"/>
  <c r="AB117" i="15"/>
  <c r="DM152" i="15"/>
  <c r="AN36" i="15"/>
  <c r="AN85" i="15" s="1"/>
  <c r="DM85" i="15"/>
  <c r="AA117" i="15"/>
  <c r="CA152" i="15"/>
  <c r="AN115" i="15" l="1"/>
  <c r="AN117" i="15" s="1"/>
  <c r="C4" i="4"/>
  <c r="C6" i="4" s="1"/>
  <c r="DM117" i="15"/>
  <c r="D6" i="4" l="1"/>
  <c r="C9" i="4" s="1"/>
  <c r="D9" i="4" s="1"/>
  <c r="C40" i="4"/>
  <c r="BE41" i="15"/>
  <c r="BE42" i="15"/>
  <c r="CA42" i="15"/>
  <c r="CA41" i="15" l="1"/>
  <c r="F40" i="4"/>
  <c r="BE7" i="15"/>
  <c r="BE85" i="15" s="1"/>
  <c r="BF85" i="15"/>
  <c r="BF117" i="15" s="1"/>
  <c r="BN85" i="15"/>
  <c r="BN117" i="15" s="1"/>
  <c r="BH85" i="15"/>
  <c r="BH117" i="15" s="1"/>
  <c r="BO85" i="15"/>
  <c r="BO117" i="15" s="1"/>
  <c r="BT7" i="15"/>
  <c r="BJ85" i="15"/>
  <c r="BJ117" i="15" s="1"/>
  <c r="BG85" i="15"/>
  <c r="BG117" i="15" s="1"/>
  <c r="BL85" i="15"/>
  <c r="BL117" i="15" s="1"/>
  <c r="BQ7" i="15"/>
  <c r="BI85" i="15"/>
  <c r="BI117" i="15" s="1"/>
  <c r="BS7" i="15"/>
  <c r="BK85" i="15"/>
  <c r="BK117" i="15" s="1"/>
  <c r="BU7" i="15"/>
  <c r="BM85" i="15"/>
  <c r="BM117" i="15" s="1"/>
  <c r="BR7" i="15"/>
  <c r="BZ7" i="15" l="1"/>
  <c r="BZ85" i="15" s="1"/>
  <c r="BZ117" i="15" s="1"/>
  <c r="CA7" i="15"/>
  <c r="CA85" i="15" l="1"/>
  <c r="CA117" i="15" s="1"/>
  <c r="F3" i="4"/>
  <c r="F6" i="4" l="1"/>
  <c r="G3" i="4"/>
  <c r="F9" i="4" l="1"/>
  <c r="G9" i="4" s="1"/>
  <c r="G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<sst xmlns="http://schemas.openxmlformats.org/spreadsheetml/2006/main" count="927" uniqueCount="351">
  <si>
    <t>Monthly F</t>
  </si>
  <si>
    <t>Monthly V</t>
  </si>
  <si>
    <t>Annual</t>
  </si>
  <si>
    <t>One-Time</t>
  </si>
  <si>
    <t>Confidentiality and Non-Disclosure
All tools, software, documentation, processes, methodologies, and related materials provided by Arriba Advisors LLC (the “Proprietary Materials”) are proprietary and confidential. These Proprietary Materials are intended solely for the recipient’s authorized use and shall not be copied, shared, distributed, or disclosed to any third party without Arriba Advisor LLC’s prior written consent.
Any unauthorized review, use, storage, reproduction, or distribution of the Tools is strictly prohibited. If you have received access to the Proprietary Materials in error or without authorization, please notify Arriba Advisor LLC immediately and delete or destroy any copies in your possession.
This confidentiality obligation remains in effect even after the conclusion of the business relationship.</t>
  </si>
  <si>
    <t>Years-&gt;</t>
  </si>
  <si>
    <t>Growth-&gt;</t>
  </si>
  <si>
    <t>CPI-&gt;</t>
  </si>
  <si>
    <t>Type (Monthly/Annual)</t>
  </si>
  <si>
    <t>Average Monthly QTY</t>
  </si>
  <si>
    <t>Quantity Per Year with Growth</t>
  </si>
  <si>
    <t>Vendor 3</t>
  </si>
  <si>
    <t>Year 1 Quantity</t>
  </si>
  <si>
    <t>Year 2 Quantity</t>
  </si>
  <si>
    <t>Year 3 Quantity</t>
  </si>
  <si>
    <t>Year 4 Quantity</t>
  </si>
  <si>
    <t>Year 5 Quantity</t>
  </si>
  <si>
    <t>Year 6 Quantity</t>
  </si>
  <si>
    <t>Year 7 Quantity</t>
  </si>
  <si>
    <t>Year 8 Quantity</t>
  </si>
  <si>
    <t>Year 9 Quantity</t>
  </si>
  <si>
    <t>Year 10 Quantity</t>
  </si>
  <si>
    <t>Solution Name/Description</t>
  </si>
  <si>
    <t>Category</t>
  </si>
  <si>
    <t>Per Unit Rate</t>
  </si>
  <si>
    <t>Year 1 Monthly Cost</t>
  </si>
  <si>
    <t>Year 1 Cost</t>
  </si>
  <si>
    <t>Year 2 Cost</t>
  </si>
  <si>
    <t>Year 3 Cost</t>
  </si>
  <si>
    <t>Year 4 Cost</t>
  </si>
  <si>
    <t>Year 5 Cost</t>
  </si>
  <si>
    <t>Year 6 Cost</t>
  </si>
  <si>
    <t>Year 7 Cost</t>
  </si>
  <si>
    <t>Year 8 Cost</t>
  </si>
  <si>
    <t>Year 9 Cost</t>
  </si>
  <si>
    <t>Year 10 Cost</t>
  </si>
  <si>
    <t>Year 1 CPI</t>
  </si>
  <si>
    <t>Year 2 CPI</t>
  </si>
  <si>
    <t>Year 3 CPI</t>
  </si>
  <si>
    <t>Year 4 CPI</t>
  </si>
  <si>
    <t>Year 5 CPI</t>
  </si>
  <si>
    <t>Year 6 CPI</t>
  </si>
  <si>
    <t>Year 7 CPI</t>
  </si>
  <si>
    <t>Year 8 CPI</t>
  </si>
  <si>
    <t>Year 9 CPI</t>
  </si>
  <si>
    <t>Year 10 CPI</t>
  </si>
  <si>
    <t>CPI</t>
  </si>
  <si>
    <t>Total Term Cost</t>
  </si>
  <si>
    <t>Recurring Monthly and Annual Fees</t>
  </si>
  <si>
    <t>Total Recurring Expenses</t>
  </si>
  <si>
    <t>Implementation/Deconversion/Credits</t>
  </si>
  <si>
    <t>Total Implementation/Deconversion/Credits</t>
  </si>
  <si>
    <t>Total Existing Solutions</t>
  </si>
  <si>
    <t>Total New Products and Services</t>
  </si>
  <si>
    <t>Removed/Not Included Line Items</t>
  </si>
  <si>
    <t>New Solutuons Proposed</t>
  </si>
  <si>
    <t>*Notes:</t>
  </si>
  <si>
    <t>Proposal
(11/2025)</t>
  </si>
  <si>
    <t>HORIZON CORE ACCOUNT PROCESSING</t>
  </si>
  <si>
    <t>CPI Bundle-&gt;</t>
  </si>
  <si>
    <t>CPI Non-Bundle-&gt;</t>
  </si>
  <si>
    <t>Year 1 CORE PROCESSING (Bundle)</t>
  </si>
  <si>
    <t>Year 2 CORE PROCESSING (Bundle)</t>
  </si>
  <si>
    <t>Year 3 CORE PROCESSING (Bundle)</t>
  </si>
  <si>
    <t>Year 4 CORE PROCESSING (Bundle)</t>
  </si>
  <si>
    <t>Year 5 CORE PROCESSING (Bundle)</t>
  </si>
  <si>
    <t>Year 7 CORE PROCESSING (Bundle) - CPI Increase</t>
  </si>
  <si>
    <t>Year 6 CORE PROCESSING (Bundle) - CPI Increase Begins</t>
  </si>
  <si>
    <t>Paper and Envelopes</t>
  </si>
  <si>
    <t>Per envelope x 500</t>
  </si>
  <si>
    <t>Card Production</t>
  </si>
  <si>
    <t>Card Pro Connect</t>
  </si>
  <si>
    <t>Debit Card Production Files/Jobs per month</t>
  </si>
  <si>
    <t>Debit Cards Produced per month</t>
  </si>
  <si>
    <t>DirectLink Risk Review</t>
  </si>
  <si>
    <t>Monthly Minimum</t>
  </si>
  <si>
    <t>Card Suite Pro (digital debit card controls)</t>
  </si>
  <si>
    <t>Monthly Minimum, Call Center Assistance $1.50/minute</t>
  </si>
  <si>
    <t>Over 5,000, $1.20 per active user</t>
  </si>
  <si>
    <t>PaymentsOne Debit Card Fraud Case Investigation Sheets</t>
  </si>
  <si>
    <t>PaymentsOne Full-Service Debit Card Fraud Disputes</t>
  </si>
  <si>
    <t>Tokenization (Apple Pay, Additional Pays)</t>
  </si>
  <si>
    <t>Automated Customer Notification</t>
  </si>
  <si>
    <t>NYCE Preferred Debit Card Network</t>
  </si>
  <si>
    <t>Recurring Monthly and Annual Fees - Non-Bundle REQUIRED FIS products</t>
  </si>
  <si>
    <t>Recurring Monthly and Annual Fees - Bundle FIS products</t>
  </si>
  <si>
    <t>Output Solutions</t>
  </si>
  <si>
    <t>CardProd</t>
  </si>
  <si>
    <t>DirectLink</t>
  </si>
  <si>
    <t>Card</t>
  </si>
  <si>
    <t>Payments One</t>
  </si>
  <si>
    <t>ATM/EFT</t>
  </si>
  <si>
    <t>Per piece of paper</t>
  </si>
  <si>
    <t>DirectLink Risk Review (Transactions)</t>
  </si>
  <si>
    <t>Card Production Implementation Fee</t>
  </si>
  <si>
    <t>DirectLink Risk Review (DLRR) Implementation Fee</t>
  </si>
  <si>
    <t>DirectLink Risk Review (DLRR)</t>
  </si>
  <si>
    <t>Card Suite Pro (digital debit card controls) Implementation Fee</t>
  </si>
  <si>
    <t>Card Suite Pro</t>
  </si>
  <si>
    <t>Payments One Full-Service Debit Card Fraud Disputes</t>
  </si>
  <si>
    <t>Tokenization</t>
  </si>
  <si>
    <t>NYCE</t>
  </si>
  <si>
    <t>Active Users</t>
  </si>
  <si>
    <r>
      <t xml:space="preserve">Active Users </t>
    </r>
    <r>
      <rPr>
        <b/>
        <sz val="11"/>
        <color theme="1"/>
        <rFont val="Calibri"/>
        <family val="2"/>
        <scheme val="minor"/>
      </rPr>
      <t>(Monthly Minimum)</t>
    </r>
  </si>
  <si>
    <t>Token Provisioning</t>
  </si>
  <si>
    <t>SMS Notices</t>
  </si>
  <si>
    <t>Email Notices</t>
  </si>
  <si>
    <t>Call Center Support per minute</t>
  </si>
  <si>
    <t>Call Center Support</t>
  </si>
  <si>
    <t>Step Up Authentication</t>
  </si>
  <si>
    <t>Transactions</t>
  </si>
  <si>
    <t>Participation Fee</t>
  </si>
  <si>
    <t>Recurring Monthly and Annual Fees - Non-Bundle REQUIRED Third Parties</t>
  </si>
  <si>
    <t>Network Services (connectivity to data center)</t>
  </si>
  <si>
    <t>SmartSign (eSignature) (UP to $99M in Assets)</t>
  </si>
  <si>
    <t>TruStage (new deposit account documents)</t>
  </si>
  <si>
    <t>IBM Cognos (HORIZON 360)</t>
  </si>
  <si>
    <t>Web Admin</t>
  </si>
  <si>
    <t>Enterprice License (Up to $250M in assets)</t>
  </si>
  <si>
    <t>Subpoena Centre</t>
  </si>
  <si>
    <t>Start Card (Temporary Debit Card)</t>
  </si>
  <si>
    <t>Subpoena Centre Implementation Fee</t>
  </si>
  <si>
    <t>Start Card (Temporary Debit Card) Implementation Fee</t>
  </si>
  <si>
    <t>Recurring Monthly and Annual Fees - Non-Bundle Optional FIS Solutions</t>
  </si>
  <si>
    <t>FedNOW (Receive Only) (Includes 10,000 Receive Trans)</t>
  </si>
  <si>
    <t>FedNOW (Receive Only) Implementation Fee</t>
  </si>
  <si>
    <t>Real-Time Payments (Receive Only) (Includes 10,000 Receive Trans)</t>
  </si>
  <si>
    <t>Real Time Payments (Receive Only) Implementation Fee</t>
  </si>
  <si>
    <t>Recurring Monthly and Annual Fees - Non-Bundle Optional Third-Party Solutions</t>
  </si>
  <si>
    <t>Zelle (Consumer and Small Business)</t>
  </si>
  <si>
    <t>Monthly Participation Fee (Consumer)</t>
  </si>
  <si>
    <t>Monthly Participation Fee (Small Business)</t>
  </si>
  <si>
    <t>Consumer and Small Business Transactions</t>
  </si>
  <si>
    <t>Zelle (Consumer and Small Business) Implementation Fee</t>
  </si>
  <si>
    <t>WebConnect and DirectConnect</t>
  </si>
  <si>
    <t>WebConnect and DirectConnect Implementation Fee</t>
  </si>
  <si>
    <t>Credit Insights</t>
  </si>
  <si>
    <t>Credit Insights Implementation Fee</t>
  </si>
  <si>
    <t>Collaboration Hub Implementation Fee</t>
  </si>
  <si>
    <t>AvidAscend (Accounts Payable, Fixed Assets, and Prepaids)</t>
  </si>
  <si>
    <t>Accounts Payable</t>
  </si>
  <si>
    <t>Fixed Assets</t>
  </si>
  <si>
    <t>Prepaids</t>
  </si>
  <si>
    <t>Approval Workflow</t>
  </si>
  <si>
    <t>Invoices</t>
  </si>
  <si>
    <t>AvidAscend Implementation Fee</t>
  </si>
  <si>
    <t>Implementation/Deconversion/Credits (Third Party)</t>
  </si>
  <si>
    <t>Bundle FIS Products</t>
  </si>
  <si>
    <t>Non-Bundle FIS Required Products</t>
  </si>
  <si>
    <t>Non-Bundle Required Third Parties</t>
  </si>
  <si>
    <t>Required Items</t>
  </si>
  <si>
    <t>FIS</t>
  </si>
  <si>
    <t>Non-Bundle Optional FIS Solutions</t>
  </si>
  <si>
    <t>Non-Bundle Optional Third-Party Solutions</t>
  </si>
  <si>
    <t>Recurring Monthly and Annual Fees Jack Henry Product</t>
  </si>
  <si>
    <t>SilverLake System Bundle</t>
  </si>
  <si>
    <t>Closed Accounts (PAP)</t>
  </si>
  <si>
    <t>Daily File Transfer Integration IntraFi</t>
  </si>
  <si>
    <t>Hosted Xperience</t>
  </si>
  <si>
    <t>Teller Cash Recycler</t>
  </si>
  <si>
    <t>Teller CheckMaster Plus</t>
  </si>
  <si>
    <t>Synapsys CRM</t>
  </si>
  <si>
    <t>JHA OpenAnywhere</t>
  </si>
  <si>
    <t>IDScan.net OCR</t>
  </si>
  <si>
    <t>JHA OpenAnywhere Finicity</t>
  </si>
  <si>
    <t>Banno</t>
  </si>
  <si>
    <t>Jack Henry Digital Card Issuance and Provisioning - Mastercard</t>
  </si>
  <si>
    <t>Electronic Statement Interactive (ESI)</t>
  </si>
  <si>
    <t>OutLink Item Imaging</t>
  </si>
  <si>
    <t>Outlink Statement Printing</t>
  </si>
  <si>
    <t>Synergy ECM</t>
  </si>
  <si>
    <t>Synergy Productivity</t>
  </si>
  <si>
    <t>Synergy eSign and eSignWeb Bundle</t>
  </si>
  <si>
    <t>iPay Business BillPay Banno</t>
  </si>
  <si>
    <t>DirectLine Wires</t>
  </si>
  <si>
    <t>CorPay Integration</t>
  </si>
  <si>
    <t>Zelle Implementation and Monthly Network</t>
  </si>
  <si>
    <t>RTP Implementation and Monthly Network Receive Only</t>
  </si>
  <si>
    <t>FedNow Implementation and Monthly Network Receive Only</t>
  </si>
  <si>
    <t>JHA SmartPay Remote Deposit Now (RDN)</t>
  </si>
  <si>
    <t>JHA SmartPay Remote Deposit Anywhere (RDA)</t>
  </si>
  <si>
    <t>JHA SmartPay mRDC</t>
  </si>
  <si>
    <t>EPS SmartSight Setup Fee and Monthly Subscription Fee</t>
  </si>
  <si>
    <t>Parascript CAR/LAR</t>
  </si>
  <si>
    <t>JHA Debit Processing</t>
  </si>
  <si>
    <t>JHA ATM/POS Processing</t>
  </si>
  <si>
    <t>Regional ATM/Debit Network</t>
  </si>
  <si>
    <t>National ATM/Debit Network</t>
  </si>
  <si>
    <t>JHA Card Analytics JHA Debit Processing</t>
  </si>
  <si>
    <t>JHA Card Connect JHA Debit Processing</t>
  </si>
  <si>
    <t>Footprints Data Storage JHA Debit Processing</t>
  </si>
  <si>
    <t>Host Based PIN Authorization JHA Debit Processing</t>
  </si>
  <si>
    <t>Instant Issue JHA Debit Processing</t>
  </si>
  <si>
    <t>Online ATM &amp; Debit Authorization to CPS Switch Includes 7,000 ATM Transactions per month &amp; 2,50</t>
  </si>
  <si>
    <t>JHA PIN Management JHA Debit Processing</t>
  </si>
  <si>
    <t>Two-Way Connect Cardholder Alerts JHA Debit Processing</t>
  </si>
  <si>
    <t>Full-Service Chargeback Dispute Processing JHA Debit Processing</t>
  </si>
  <si>
    <t>Full-Service Disputes Digital SSO Support JHA Debit Processing</t>
  </si>
  <si>
    <t>JHA Hot Card Center JHA Debit Processing</t>
  </si>
  <si>
    <t>MyCardRules JHA Debit Processing</t>
  </si>
  <si>
    <t>Payrailz Bundle</t>
  </si>
  <si>
    <t>Payrailz Bundle Transactions</t>
  </si>
  <si>
    <t>Centurion Connectivity for Jack Henry Hosted Services</t>
  </si>
  <si>
    <t>Jack Henry Financial Crimes Defender Enterprise</t>
  </si>
  <si>
    <t>Jack Henry Financial Crimes Defender Real-time Payments Zelle Initial</t>
  </si>
  <si>
    <t>jhaEnterprise Workflow</t>
  </si>
  <si>
    <t>Jack Henry Loyalty and Rewards - Enterprise</t>
  </si>
  <si>
    <t>Cognos BI Bundles</t>
  </si>
  <si>
    <t>Cognos BI Data Dictionary jhaEnterprise Workflow</t>
  </si>
  <si>
    <t>Cognos BI Data Dictionary Synapsys</t>
  </si>
  <si>
    <t>Cognos BI Data Dictionary Synergy</t>
  </si>
  <si>
    <t>Cognos BI Data Dictionary Month-End(Silverlake)</t>
  </si>
  <si>
    <t>FPS Enterprise</t>
  </si>
  <si>
    <t>FPS Forecasting and Financial Reporting</t>
  </si>
  <si>
    <t>Web Hosting Showcase Plus</t>
  </si>
  <si>
    <t>Web Hosting</t>
  </si>
  <si>
    <t>SilverLake</t>
  </si>
  <si>
    <t>Xperience</t>
  </si>
  <si>
    <t>Teller</t>
  </si>
  <si>
    <t>Synapsys</t>
  </si>
  <si>
    <t>Electronic Statements Interactive(ESI)</t>
  </si>
  <si>
    <t>OutLink Item Processing</t>
  </si>
  <si>
    <t>Synergy</t>
  </si>
  <si>
    <t>iPay</t>
  </si>
  <si>
    <t>DirectLine</t>
  </si>
  <si>
    <t>JHA Payment Center</t>
  </si>
  <si>
    <t>Enterprise Payment Solutions (EPS)</t>
  </si>
  <si>
    <t>Card Processing Solutions (CPS)</t>
  </si>
  <si>
    <t>Payrailz</t>
  </si>
  <si>
    <t>Centurion</t>
  </si>
  <si>
    <t>Fraud</t>
  </si>
  <si>
    <t>Core</t>
  </si>
  <si>
    <t>Cognos</t>
  </si>
  <si>
    <t>ProfitStars Financial Performance</t>
  </si>
  <si>
    <t>Recurring Monthly and Annual Fees Licensed Products</t>
  </si>
  <si>
    <t>JHMenu Express</t>
  </si>
  <si>
    <t>Teller OrboAnywhere AI Recognition</t>
  </si>
  <si>
    <t>Teller OrboAnywhere AI Validate</t>
  </si>
  <si>
    <t>DSIS Scanner Interface</t>
  </si>
  <si>
    <t>Implementation/Deconversion/Credits Licensed Products</t>
  </si>
  <si>
    <t>Implementation/Deconversion/Credits Jack Henry Products</t>
  </si>
  <si>
    <t>iPay Electronic Bill Payment Annual Compliance Package Banno</t>
  </si>
  <si>
    <t>Centurion Remote Data Entry</t>
  </si>
  <si>
    <t>ProfitStars ALM Basic Reporting Service</t>
  </si>
  <si>
    <t>Know-It-All Now eLearning</t>
  </si>
  <si>
    <t>TruStage Forms-OnBoard Deposits-Includes Tax Favored Acct Svcs Bundle</t>
  </si>
  <si>
    <t>TruStage Forms-OpenAnywhere</t>
  </si>
  <si>
    <t>Intuit</t>
  </si>
  <si>
    <t>Know-It-All</t>
  </si>
  <si>
    <t>Forms</t>
  </si>
  <si>
    <t>Platform Static Training Bank</t>
  </si>
  <si>
    <t>OnBoard Lending</t>
  </si>
  <si>
    <t>Carleton SmartCalcs Lending</t>
  </si>
  <si>
    <t>Alloy</t>
  </si>
  <si>
    <t>JH Online Financial Management with Account Aggregation</t>
  </si>
  <si>
    <t>OFX Gateway CFM</t>
  </si>
  <si>
    <t>OFX Gateway PFM</t>
  </si>
  <si>
    <t>4|sight OrboAnywhere Fraud</t>
  </si>
  <si>
    <t>AlertCenter with: Advanced Fraud Solutions ("AFS")</t>
  </si>
  <si>
    <t>AFS Deposit Chek Onboarding</t>
  </si>
  <si>
    <t>AlertCenter AFS TrueChecks Frontline</t>
  </si>
  <si>
    <t>Synergy Automated Document Recognition</t>
  </si>
  <si>
    <t>Synergy Document Recognition Education (eLearning)</t>
  </si>
  <si>
    <t>RemitPlus Express - Financial Institution</t>
  </si>
  <si>
    <t>jhaAnalytics</t>
  </si>
  <si>
    <t>Jack Henry Loyalty and Rewards Strategy Engagement</t>
  </si>
  <si>
    <t>Jack Henry Loyalty and Rewards Optimization Assistance</t>
  </si>
  <si>
    <t>JHA Client Services Consulting Workflow Process Automation Strategy</t>
  </si>
  <si>
    <t>JHA Client Services Consulting Workflow Process Automation Design</t>
  </si>
  <si>
    <t>LoanVantage</t>
  </si>
  <si>
    <t>TruStage Forms-LoanVantage</t>
  </si>
  <si>
    <t>Ensenta ITM/ATM</t>
  </si>
  <si>
    <t>SilverLake Static Training Bank</t>
  </si>
  <si>
    <t>SilverLake Teller Static Training Bank</t>
  </si>
  <si>
    <t>OnBoard</t>
  </si>
  <si>
    <t>AlertCenter</t>
  </si>
  <si>
    <t>ProfitStars RemitPlus</t>
  </si>
  <si>
    <t>jhaKnow</t>
  </si>
  <si>
    <t>Lending</t>
  </si>
  <si>
    <t>Ensenta</t>
  </si>
  <si>
    <t>Jack Henry</t>
  </si>
  <si>
    <t>Total 7 Year</t>
  </si>
  <si>
    <t>Jack Henry Monthly &amp; Annual Products</t>
  </si>
  <si>
    <t>Licensed Monthly &amp; Annual Products</t>
  </si>
  <si>
    <t>Optional Items</t>
  </si>
  <si>
    <t>1. One time fees net of credits</t>
  </si>
  <si>
    <t>2. Year 1-7 annual fees</t>
  </si>
  <si>
    <t>3. Notation on what is in required vs  optional-and is the required portion roughly "apples to apples"</t>
  </si>
  <si>
    <t>Implementation Credits (FIS Products ONLY)</t>
  </si>
  <si>
    <t>Implementation Credits (Third Party Products)</t>
  </si>
  <si>
    <t>Sub-Total: Required/Included Products</t>
  </si>
  <si>
    <t>Implementation Credits (Jack Henry Products ONLY)</t>
  </si>
  <si>
    <t>Implementation Credits (Licensed Third-Party Products)</t>
  </si>
  <si>
    <t>One-Time Implementation Fees</t>
  </si>
  <si>
    <t>Required Annual Fees</t>
  </si>
  <si>
    <t>Optional Annual Fees</t>
  </si>
  <si>
    <t>Year 1</t>
  </si>
  <si>
    <t>Year 2</t>
  </si>
  <si>
    <t>Year 3</t>
  </si>
  <si>
    <t>Year 4</t>
  </si>
  <si>
    <t>Year 5</t>
  </si>
  <si>
    <t>Year 6</t>
  </si>
  <si>
    <t>Year 7</t>
  </si>
  <si>
    <t>Totals</t>
  </si>
  <si>
    <t>Annual Fees - Breakdown from Year 1 - Year 7</t>
  </si>
  <si>
    <t>Required Implementation Fees</t>
  </si>
  <si>
    <t>Optional Implementation Fees</t>
  </si>
  <si>
    <t>Total One-Time Implementation Fees</t>
  </si>
  <si>
    <t>Optional Products</t>
  </si>
  <si>
    <t>Total Required Items (minus impl. credits)</t>
  </si>
  <si>
    <t>Total Required Items (minus impl. Credits)</t>
  </si>
  <si>
    <t>Additional Analysis (following fees already included above)</t>
  </si>
  <si>
    <t>Total Implementation Credits</t>
  </si>
  <si>
    <t>Total Required Solutions</t>
  </si>
  <si>
    <t>OutLink Item Processing Customer Training</t>
  </si>
  <si>
    <t>Synergy ECM Administrator Education Pack (Virtual, instructor-led training and eLearning)</t>
  </si>
  <si>
    <t>Synergy ECM User/Operator Education Pack (eLearning)</t>
  </si>
  <si>
    <t>Synergy Productivity Education Pack (Virtual, instructor-led training and eLearning)</t>
  </si>
  <si>
    <t>Synergy eSign &amp; eSignWeb Education Pack (Virtual, instructor-led training and eLearning)</t>
  </si>
  <si>
    <t>Synergy Implementation Consulting</t>
  </si>
  <si>
    <t>Jack Henry Financial Crimes Defender Consulting</t>
  </si>
  <si>
    <t>jhaEnterprise Workflow Consulting</t>
  </si>
  <si>
    <t>jhaEnterprise Workflow Training Shared</t>
  </si>
  <si>
    <t>Core Implementation Training</t>
  </si>
  <si>
    <t>User and Device Administration Training</t>
  </si>
  <si>
    <t>Day 2 Project Management - 45 Days engagement</t>
  </si>
  <si>
    <t>PrePaid Consulting</t>
  </si>
  <si>
    <t>PNV</t>
  </si>
  <si>
    <t>Op Assessment</t>
  </si>
  <si>
    <t>OnBoard Deposits</t>
  </si>
  <si>
    <t>Debit Card Authorization subject to {$}250 minimum monthly</t>
  </si>
  <si>
    <t>ATM/POS Transactions subject to {$}250 minimum monthly</t>
  </si>
  <si>
    <t>ATM Driving VPN</t>
  </si>
  <si>
    <t>jhaEnterprise Workflow Synergy</t>
  </si>
  <si>
    <t>jConnect</t>
  </si>
  <si>
    <t>Jack Henry Loyalty and Rewards Support - Enterprise</t>
  </si>
  <si>
    <t>FPS Customer Profitability and Pricing</t>
  </si>
  <si>
    <t>Signing Bonus</t>
  </si>
  <si>
    <t>Collaboration Hub (Up to 10 Users) ($200 Per additional user)</t>
  </si>
  <si>
    <t>Implementation Credits and One time fees (FIS ONLY)</t>
  </si>
  <si>
    <t>D1 Commercial Implementation Fee</t>
  </si>
  <si>
    <t>D1 Commercial</t>
  </si>
  <si>
    <t xml:space="preserve">D1 Commercial </t>
  </si>
  <si>
    <t>Total Optional Items</t>
  </si>
  <si>
    <t>*Variable items are minimums. No growth needs to be added.</t>
  </si>
  <si>
    <t>Monthly Avg.</t>
  </si>
  <si>
    <t>(minues any credits)</t>
  </si>
  <si>
    <t>FIS Implementation Credits</t>
  </si>
  <si>
    <t>Third Party Implementation Credits</t>
  </si>
  <si>
    <t>OriginalFileName</t>
  </si>
  <si>
    <t>Echelon_Primary_TCO_v5_11_13_25.xlsx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</si>
</sst>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 #,##0.0000_);_(* \(#,##0.0000\);_(* &quot;-&quot;??_);_(@_)"/>
    <numFmt numFmtId="166" formatCode="_(&quot;$&quot;* #,##0_);_(&quot;$&quot;* \(#,##0\);_(&quot;$&quot;* &quot;-&quot;??_);_(@_)"/>
  </numFmts>
  <fonts count="14" x14ac:knownFonts="1">
    <font>
      <sz val="11"/>
      <color theme="1"/>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theme="0"/>
      <name val="Calibri"/>
      <family val="2"/>
      <scheme val="minor"/>
    </font>
    <font>
      <b/>
      <sz val="11"/>
      <color theme="1"/>
      <name val="Calibri"/>
      <family val="2"/>
      <scheme val="minor"/>
    </font>
    <font>
      <sz val="8"/>
      <name val="Calibri"/>
      <family val="2"/>
      <scheme val="minor"/>
    </font>
    <font>
      <b/>
      <sz val="11"/>
      <name val="Calibri"/>
      <family val="2"/>
      <scheme val="minor"/>
    </font>
    <font>
      <b/>
      <u/>
      <sz val="11"/>
      <color theme="1"/>
      <name val="Calibri"/>
      <family val="2"/>
      <scheme val="minor"/>
    </font>
    <font>
      <sz val="11"/>
      <name val="Calibri"/>
      <family val="2"/>
      <scheme val="minor"/>
    </font>
    <font>
      <b/>
      <sz val="20"/>
      <color theme="0"/>
      <name val="Calibri"/>
      <family val="2"/>
      <scheme val="minor"/>
    </font>
    <font>
      <sz val="11"/>
      <color rgb="FF000000"/>
      <name val="Calibri"/>
      <family val="2"/>
    </font>
    <font>
      <b/>
      <sz val="18"/>
      <color theme="1"/>
      <name val="Calibri"/>
      <family val="2"/>
      <scheme val="minor"/>
    </font>
    <font>
      <b/>
      <sz val="20"/>
      <color theme="1"/>
      <name val="Calibri"/>
      <family val="2"/>
      <scheme val="minor"/>
    </font>
  </fonts>
  <fills count="19">
    <fill>
      <patternFill patternType="none"/>
    </fill>
    <fill>
      <patternFill patternType="gray125"/>
    </fill>
    <fill>
      <patternFill patternType="solid">
        <fgColor rgb="FFFFCC99"/>
      </patternFill>
    </fill>
    <fill>
      <patternFill patternType="solid">
        <fgColor rgb="FFF2F2F2"/>
      </patternFill>
    </fill>
    <fill>
      <patternFill patternType="solid">
        <fgColor theme="4"/>
        <bgColor indexed="64"/>
      </patternFill>
    </fill>
    <fill>
      <patternFill patternType="solid">
        <fgColor theme="4" tint="0.79998168889431442"/>
        <bgColor indexed="64"/>
      </patternFill>
    </fill>
    <fill>
      <patternFill patternType="solid">
        <fgColor theme="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0" tint="-0.34998626667073579"/>
        <bgColor indexed="64"/>
      </patternFill>
    </fill>
  </fills>
  <borders count="88">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
      <left style="thin">
        <color rgb="FF3F3F3F"/>
      </left>
      <right style="thin">
        <color rgb="FF3F3F3F"/>
      </right>
      <top style="thin">
        <color rgb="FF3F3F3F"/>
      </top>
      <bottom/>
      <diagonal/>
    </border>
    <border>
      <left style="thin">
        <color rgb="FF7F7F7F"/>
      </left>
      <right style="thin">
        <color rgb="FF7F7F7F"/>
      </right>
      <top style="thin">
        <color rgb="FF7F7F7F"/>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medium">
        <color indexed="64"/>
      </left>
      <right style="medium">
        <color indexed="64"/>
      </right>
      <top/>
      <bottom style="thin">
        <color theme="0"/>
      </bottom>
      <diagonal/>
    </border>
    <border>
      <left style="thin">
        <color rgb="FF7F7F7F"/>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bottom style="thin">
        <color theme="0"/>
      </bottom>
      <diagonal/>
    </border>
    <border>
      <left/>
      <right style="thin">
        <color theme="0"/>
      </right>
      <top/>
      <bottom style="thin">
        <color theme="0"/>
      </bottom>
      <diagonal/>
    </border>
    <border>
      <left/>
      <right/>
      <top/>
      <bottom style="thin">
        <color indexed="64"/>
      </bottom>
      <diagonal/>
    </border>
    <border>
      <left style="medium">
        <color indexed="64"/>
      </left>
      <right style="thin">
        <color theme="0"/>
      </right>
      <top style="thin">
        <color theme="0"/>
      </top>
      <bottom style="thin">
        <color theme="0"/>
      </bottom>
      <diagonal/>
    </border>
    <border>
      <left style="medium">
        <color indexed="64"/>
      </left>
      <right style="thin">
        <color theme="0"/>
      </right>
      <top style="medium">
        <color indexed="64"/>
      </top>
      <bottom style="medium">
        <color indexed="64"/>
      </bottom>
      <diagonal/>
    </border>
    <border>
      <left style="medium">
        <color indexed="64"/>
      </left>
      <right style="thin">
        <color theme="0"/>
      </right>
      <top/>
      <bottom style="thin">
        <color theme="0"/>
      </bottom>
      <diagonal/>
    </border>
    <border>
      <left style="medium">
        <color indexed="64"/>
      </left>
      <right/>
      <top/>
      <bottom/>
      <diagonal/>
    </border>
    <border>
      <left/>
      <right style="medium">
        <color indexed="64"/>
      </right>
      <top/>
      <bottom/>
      <diagonal/>
    </border>
    <border>
      <left style="medium">
        <color theme="1"/>
      </left>
      <right/>
      <top style="medium">
        <color theme="1"/>
      </top>
      <bottom/>
      <diagonal/>
    </border>
    <border>
      <left style="thin">
        <color rgb="FF7F7F7F"/>
      </left>
      <right/>
      <top style="medium">
        <color theme="1"/>
      </top>
      <bottom/>
      <diagonal/>
    </border>
    <border>
      <left/>
      <right/>
      <top style="medium">
        <color theme="1"/>
      </top>
      <bottom/>
      <diagonal/>
    </border>
    <border>
      <left/>
      <right style="medium">
        <color indexed="64"/>
      </right>
      <top style="medium">
        <color theme="1"/>
      </top>
      <bottom/>
      <diagonal/>
    </border>
    <border>
      <left style="medium">
        <color indexed="64"/>
      </left>
      <right/>
      <top style="medium">
        <color theme="1"/>
      </top>
      <bottom style="medium">
        <color indexed="64"/>
      </bottom>
      <diagonal/>
    </border>
    <border>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top/>
      <bottom style="medium">
        <color indexed="64"/>
      </bottom>
      <diagonal/>
    </border>
    <border>
      <left style="medium">
        <color indexed="64"/>
      </left>
      <right style="medium">
        <color theme="1"/>
      </right>
      <top style="medium">
        <color indexed="64"/>
      </top>
      <bottom style="medium">
        <color indexed="64"/>
      </bottom>
      <diagonal/>
    </border>
    <border>
      <left style="medium">
        <color theme="1"/>
      </left>
      <right/>
      <top style="medium">
        <color indexed="64"/>
      </top>
      <bottom/>
      <diagonal/>
    </border>
    <border>
      <left style="medium">
        <color theme="1"/>
      </left>
      <right/>
      <top style="thin">
        <color theme="0"/>
      </top>
      <bottom style="thin">
        <color theme="0"/>
      </bottom>
      <diagonal/>
    </border>
    <border>
      <left style="medium">
        <color indexed="64"/>
      </left>
      <right style="medium">
        <color theme="1"/>
      </right>
      <top/>
      <bottom style="thin">
        <color theme="0"/>
      </bottom>
      <diagonal/>
    </border>
    <border>
      <left style="medium">
        <color theme="1"/>
      </left>
      <right/>
      <top style="medium">
        <color indexed="64"/>
      </top>
      <bottom style="medium">
        <color indexed="64"/>
      </bottom>
      <diagonal/>
    </border>
    <border>
      <left style="medium">
        <color theme="1"/>
      </left>
      <right/>
      <top/>
      <bottom/>
      <diagonal/>
    </border>
    <border>
      <left/>
      <right style="medium">
        <color theme="1"/>
      </right>
      <top style="medium">
        <color indexed="64"/>
      </top>
      <bottom style="medium">
        <color indexed="64"/>
      </bottom>
      <diagonal/>
    </border>
    <border>
      <left style="medium">
        <color theme="1"/>
      </left>
      <right/>
      <top style="medium">
        <color indexed="64"/>
      </top>
      <bottom style="medium">
        <color theme="1"/>
      </bottom>
      <diagonal/>
    </border>
    <border>
      <left/>
      <right style="thin">
        <color theme="0"/>
      </right>
      <top style="medium">
        <color indexed="64"/>
      </top>
      <bottom style="medium">
        <color theme="1"/>
      </bottom>
      <diagonal/>
    </border>
    <border>
      <left style="thin">
        <color theme="0"/>
      </left>
      <right style="thin">
        <color theme="0"/>
      </right>
      <top style="medium">
        <color indexed="64"/>
      </top>
      <bottom style="medium">
        <color theme="1"/>
      </bottom>
      <diagonal/>
    </border>
    <border>
      <left style="thin">
        <color theme="0"/>
      </left>
      <right/>
      <top style="medium">
        <color indexed="64"/>
      </top>
      <bottom style="medium">
        <color theme="1"/>
      </bottom>
      <diagonal/>
    </border>
    <border>
      <left style="medium">
        <color indexed="64"/>
      </left>
      <right style="medium">
        <color theme="1"/>
      </right>
      <top style="medium">
        <color indexed="64"/>
      </top>
      <bottom style="medium">
        <color theme="1"/>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rgb="FF7F7F7F"/>
      </right>
      <top style="medium">
        <color theme="1"/>
      </top>
      <bottom/>
      <diagonal/>
    </border>
    <border>
      <left style="thin">
        <color indexed="64"/>
      </left>
      <right style="thin">
        <color indexed="64"/>
      </right>
      <top style="medium">
        <color indexed="64"/>
      </top>
      <bottom style="medium">
        <color theme="1"/>
      </bottom>
      <diagonal/>
    </border>
    <border>
      <left/>
      <right/>
      <top style="medium">
        <color indexed="64"/>
      </top>
      <bottom style="medium">
        <color theme="1"/>
      </bottom>
      <diagonal/>
    </border>
    <border>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top style="medium">
        <color indexed="64"/>
      </top>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style="medium">
        <color indexed="64"/>
      </left>
      <right style="medium">
        <color indexed="64"/>
      </right>
      <top style="medium">
        <color indexed="64"/>
      </top>
      <bottom/>
      <diagonal/>
    </border>
    <border>
      <left style="medium">
        <color indexed="64"/>
      </left>
      <right style="thin">
        <color theme="0"/>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theme="1"/>
      </right>
      <top/>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xf numFmtId="0" fontId="3" fillId="3" borderId="2" applyNumberFormat="0" applyAlignment="0" applyProtection="0"/>
  </cellStyleXfs>
  <cellXfs count="256">
    <xf numFmtId="0" fontId="0" fillId="0" borderId="0" xfId="0"/>
    <xf numFmtId="43" fontId="0" fillId="0" borderId="0" xfId="0" applyNumberFormat="1"/>
    <xf numFmtId="0" fontId="3" fillId="3" borderId="4" xfId="5" applyBorder="1"/>
    <xf numFmtId="10" fontId="2" fillId="2" borderId="5" xfId="3" applyNumberFormat="1" applyFont="1" applyFill="1" applyBorder="1"/>
    <xf numFmtId="0" fontId="4" fillId="4" borderId="6" xfId="0" applyFont="1" applyFill="1" applyBorder="1" applyAlignment="1">
      <alignment wrapText="1"/>
    </xf>
    <xf numFmtId="0" fontId="4" fillId="4" borderId="7" xfId="0" applyFont="1" applyFill="1" applyBorder="1" applyAlignment="1">
      <alignment horizontal="center" wrapText="1"/>
    </xf>
    <xf numFmtId="164" fontId="0" fillId="5" borderId="14" xfId="1" applyNumberFormat="1" applyFont="1" applyFill="1" applyBorder="1"/>
    <xf numFmtId="164" fontId="0" fillId="5" borderId="15" xfId="1" applyNumberFormat="1" applyFont="1" applyFill="1" applyBorder="1"/>
    <xf numFmtId="0" fontId="4" fillId="6" borderId="7" xfId="0" applyFont="1" applyFill="1" applyBorder="1" applyAlignment="1">
      <alignment horizontal="center" wrapText="1"/>
    </xf>
    <xf numFmtId="164" fontId="0" fillId="5" borderId="16" xfId="1" applyNumberFormat="1" applyFont="1" applyFill="1" applyBorder="1"/>
    <xf numFmtId="0" fontId="4" fillId="6" borderId="20" xfId="0" applyFont="1" applyFill="1" applyBorder="1" applyAlignment="1">
      <alignment horizontal="center" wrapText="1"/>
    </xf>
    <xf numFmtId="0" fontId="4" fillId="6" borderId="21" xfId="0" applyFont="1" applyFill="1" applyBorder="1" applyAlignment="1">
      <alignment horizontal="center" wrapText="1"/>
    </xf>
    <xf numFmtId="164" fontId="0" fillId="8" borderId="23" xfId="1" applyNumberFormat="1" applyFont="1" applyFill="1" applyBorder="1"/>
    <xf numFmtId="0" fontId="0" fillId="5" borderId="22" xfId="0" applyFill="1" applyBorder="1"/>
    <xf numFmtId="164" fontId="0" fillId="0" borderId="9" xfId="1" applyNumberFormat="1" applyFont="1" applyBorder="1"/>
    <xf numFmtId="0" fontId="2" fillId="2" borderId="5" xfId="4" applyBorder="1" applyAlignment="1">
      <alignment horizontal="left"/>
    </xf>
    <xf numFmtId="9" fontId="2" fillId="2" borderId="5" xfId="4" applyNumberFormat="1" applyBorder="1" applyAlignment="1">
      <alignment horizontal="left"/>
    </xf>
    <xf numFmtId="0" fontId="4" fillId="4" borderId="24" xfId="0" applyFont="1" applyFill="1" applyBorder="1" applyAlignment="1">
      <alignment horizontal="center" wrapText="1"/>
    </xf>
    <xf numFmtId="0" fontId="4" fillId="4" borderId="25" xfId="0" applyFont="1" applyFill="1" applyBorder="1" applyAlignment="1">
      <alignment horizontal="center" wrapText="1"/>
    </xf>
    <xf numFmtId="0" fontId="4" fillId="4" borderId="7" xfId="0" applyFont="1" applyFill="1" applyBorder="1" applyAlignment="1">
      <alignment wrapText="1"/>
    </xf>
    <xf numFmtId="165" fontId="0" fillId="9" borderId="13" xfId="1" applyNumberFormat="1" applyFont="1" applyFill="1" applyBorder="1"/>
    <xf numFmtId="43" fontId="0" fillId="8" borderId="13" xfId="1" applyFont="1" applyFill="1" applyBorder="1"/>
    <xf numFmtId="0" fontId="4" fillId="7" borderId="7" xfId="0" applyFont="1" applyFill="1" applyBorder="1" applyAlignment="1">
      <alignment horizontal="center" wrapText="1"/>
    </xf>
    <xf numFmtId="0" fontId="0" fillId="0" borderId="26" xfId="0" applyBorder="1"/>
    <xf numFmtId="164" fontId="0" fillId="0" borderId="27" xfId="1" applyNumberFormat="1" applyFont="1" applyBorder="1"/>
    <xf numFmtId="0" fontId="0" fillId="0" borderId="28" xfId="0" applyBorder="1"/>
    <xf numFmtId="0" fontId="4" fillId="4" borderId="29" xfId="0" applyFont="1" applyFill="1" applyBorder="1" applyAlignment="1">
      <alignment horizontal="center"/>
    </xf>
    <xf numFmtId="0" fontId="3" fillId="0" borderId="0" xfId="5" applyFill="1" applyBorder="1"/>
    <xf numFmtId="164" fontId="4" fillId="4" borderId="25" xfId="1" applyNumberFormat="1" applyFont="1" applyFill="1" applyBorder="1"/>
    <xf numFmtId="164" fontId="4" fillId="4" borderId="7" xfId="1" applyNumberFormat="1" applyFont="1" applyFill="1" applyBorder="1"/>
    <xf numFmtId="0" fontId="4" fillId="4" borderId="30" xfId="0" applyFont="1" applyFill="1" applyBorder="1"/>
    <xf numFmtId="165" fontId="4" fillId="4" borderId="31" xfId="1" applyNumberFormat="1" applyFont="1" applyFill="1" applyBorder="1"/>
    <xf numFmtId="43" fontId="4" fillId="4" borderId="31" xfId="1" applyFont="1" applyFill="1" applyBorder="1"/>
    <xf numFmtId="164" fontId="4" fillId="4" borderId="31" xfId="1" applyNumberFormat="1" applyFont="1" applyFill="1" applyBorder="1"/>
    <xf numFmtId="164" fontId="4" fillId="4" borderId="32" xfId="1" applyNumberFormat="1" applyFont="1" applyFill="1" applyBorder="1"/>
    <xf numFmtId="164" fontId="0" fillId="0" borderId="0" xfId="0" applyNumberFormat="1"/>
    <xf numFmtId="165" fontId="0" fillId="11" borderId="13" xfId="1" applyNumberFormat="1" applyFont="1" applyFill="1" applyBorder="1"/>
    <xf numFmtId="166" fontId="0" fillId="11" borderId="17" xfId="2" applyNumberFormat="1" applyFont="1" applyFill="1" applyBorder="1"/>
    <xf numFmtId="0" fontId="0" fillId="12" borderId="22" xfId="0" applyFill="1" applyBorder="1"/>
    <xf numFmtId="164" fontId="0" fillId="12" borderId="14" xfId="1" applyNumberFormat="1" applyFont="1" applyFill="1" applyBorder="1"/>
    <xf numFmtId="164" fontId="0" fillId="12" borderId="15" xfId="1" applyNumberFormat="1" applyFont="1" applyFill="1" applyBorder="1"/>
    <xf numFmtId="0" fontId="4" fillId="10" borderId="30" xfId="0" applyFont="1" applyFill="1" applyBorder="1"/>
    <xf numFmtId="165" fontId="4" fillId="10" borderId="31" xfId="1" applyNumberFormat="1" applyFont="1" applyFill="1" applyBorder="1"/>
    <xf numFmtId="43" fontId="4" fillId="10" borderId="31" xfId="1" applyFont="1" applyFill="1" applyBorder="1"/>
    <xf numFmtId="164" fontId="4" fillId="10" borderId="31" xfId="1" applyNumberFormat="1" applyFont="1" applyFill="1" applyBorder="1"/>
    <xf numFmtId="164" fontId="4" fillId="10" borderId="32" xfId="1" applyNumberFormat="1" applyFont="1" applyFill="1" applyBorder="1"/>
    <xf numFmtId="166" fontId="4" fillId="10" borderId="3" xfId="2" applyNumberFormat="1" applyFont="1" applyFill="1" applyBorder="1"/>
    <xf numFmtId="0" fontId="4" fillId="10" borderId="29" xfId="0" applyFont="1" applyFill="1" applyBorder="1" applyAlignment="1">
      <alignment horizontal="center"/>
    </xf>
    <xf numFmtId="0" fontId="0" fillId="0" borderId="0" xfId="0" applyAlignment="1">
      <alignment horizontal="left" indent="1"/>
    </xf>
    <xf numFmtId="0" fontId="8" fillId="0" borderId="0" xfId="0" applyFont="1"/>
    <xf numFmtId="0" fontId="5" fillId="0" borderId="37" xfId="0" applyFont="1" applyBorder="1"/>
    <xf numFmtId="0" fontId="8" fillId="0" borderId="0" xfId="0" applyFont="1" applyAlignment="1">
      <alignment horizontal="left"/>
    </xf>
    <xf numFmtId="44" fontId="0" fillId="0" borderId="0" xfId="0" applyNumberFormat="1"/>
    <xf numFmtId="165" fontId="0" fillId="15" borderId="13" xfId="1" applyNumberFormat="1" applyFont="1" applyFill="1" applyBorder="1"/>
    <xf numFmtId="166" fontId="0" fillId="15" borderId="17" xfId="2" applyNumberFormat="1" applyFont="1" applyFill="1" applyBorder="1"/>
    <xf numFmtId="164" fontId="0" fillId="14" borderId="14" xfId="1" applyNumberFormat="1" applyFont="1" applyFill="1" applyBorder="1"/>
    <xf numFmtId="164" fontId="0" fillId="14" borderId="15" xfId="1" applyNumberFormat="1" applyFont="1" applyFill="1" applyBorder="1"/>
    <xf numFmtId="164" fontId="0" fillId="14" borderId="16" xfId="1" applyNumberFormat="1" applyFont="1" applyFill="1" applyBorder="1"/>
    <xf numFmtId="165" fontId="4" fillId="13" borderId="31" xfId="1" applyNumberFormat="1" applyFont="1" applyFill="1" applyBorder="1"/>
    <xf numFmtId="43" fontId="4" fillId="13" borderId="31" xfId="1" applyFont="1" applyFill="1" applyBorder="1"/>
    <xf numFmtId="164" fontId="4" fillId="13" borderId="31" xfId="1" applyNumberFormat="1" applyFont="1" applyFill="1" applyBorder="1"/>
    <xf numFmtId="164" fontId="4" fillId="13" borderId="32" xfId="1" applyNumberFormat="1" applyFont="1" applyFill="1" applyBorder="1"/>
    <xf numFmtId="166" fontId="4" fillId="13" borderId="3" xfId="2" applyNumberFormat="1" applyFont="1" applyFill="1" applyBorder="1"/>
    <xf numFmtId="0" fontId="0" fillId="14" borderId="38" xfId="0" applyFill="1" applyBorder="1" applyAlignment="1">
      <alignment horizontal="left" indent="1"/>
    </xf>
    <xf numFmtId="0" fontId="4" fillId="13" borderId="39" xfId="0" applyFont="1" applyFill="1" applyBorder="1"/>
    <xf numFmtId="43" fontId="0" fillId="0" borderId="0" xfId="1" applyFont="1"/>
    <xf numFmtId="0" fontId="0" fillId="0" borderId="0" xfId="0" applyAlignment="1">
      <alignment vertical="top"/>
    </xf>
    <xf numFmtId="0" fontId="0" fillId="0" borderId="0" xfId="0" applyAlignment="1">
      <alignment vertical="top" wrapText="1"/>
    </xf>
    <xf numFmtId="0" fontId="4" fillId="7" borderId="11" xfId="0" applyFont="1" applyFill="1" applyBorder="1" applyAlignment="1">
      <alignment horizontal="center" wrapText="1"/>
    </xf>
    <xf numFmtId="0" fontId="4" fillId="4" borderId="55" xfId="0" applyFont="1" applyFill="1" applyBorder="1"/>
    <xf numFmtId="0" fontId="4" fillId="4" borderId="58" xfId="0" applyFont="1" applyFill="1" applyBorder="1"/>
    <xf numFmtId="0" fontId="4" fillId="6" borderId="0" xfId="0" applyFont="1" applyFill="1" applyAlignment="1">
      <alignment horizontal="center" wrapText="1"/>
    </xf>
    <xf numFmtId="0" fontId="4" fillId="6" borderId="42" xfId="0" applyFont="1" applyFill="1" applyBorder="1" applyAlignment="1">
      <alignment horizontal="center" wrapText="1"/>
    </xf>
    <xf numFmtId="0" fontId="4" fillId="10" borderId="10" xfId="0" applyFont="1" applyFill="1" applyBorder="1" applyAlignment="1">
      <alignment wrapText="1"/>
    </xf>
    <xf numFmtId="0" fontId="4" fillId="10" borderId="11" xfId="0" applyFont="1" applyFill="1" applyBorder="1" applyAlignment="1">
      <alignment wrapText="1"/>
    </xf>
    <xf numFmtId="0" fontId="4" fillId="10" borderId="63" xfId="0" applyFont="1" applyFill="1" applyBorder="1" applyAlignment="1">
      <alignment horizontal="center" wrapText="1"/>
    </xf>
    <xf numFmtId="0" fontId="4" fillId="10" borderId="64" xfId="0" applyFont="1" applyFill="1" applyBorder="1" applyAlignment="1">
      <alignment horizontal="center" wrapText="1"/>
    </xf>
    <xf numFmtId="0" fontId="4" fillId="10" borderId="11" xfId="0" applyFont="1" applyFill="1" applyBorder="1" applyAlignment="1">
      <alignment horizontal="center" wrapText="1"/>
    </xf>
    <xf numFmtId="0" fontId="4" fillId="6" borderId="11" xfId="0" applyFont="1" applyFill="1" applyBorder="1" applyAlignment="1">
      <alignment horizontal="center" wrapText="1"/>
    </xf>
    <xf numFmtId="0" fontId="4" fillId="4" borderId="51" xfId="0" applyFont="1" applyFill="1" applyBorder="1" applyAlignment="1">
      <alignment horizontal="center" wrapText="1"/>
    </xf>
    <xf numFmtId="166" fontId="0" fillId="9" borderId="54" xfId="2" applyNumberFormat="1" applyFont="1" applyFill="1" applyBorder="1"/>
    <xf numFmtId="166" fontId="4" fillId="4" borderId="51" xfId="2" applyNumberFormat="1" applyFont="1" applyFill="1" applyBorder="1"/>
    <xf numFmtId="164" fontId="4" fillId="4" borderId="66" xfId="1" applyNumberFormat="1" applyFont="1" applyFill="1" applyBorder="1"/>
    <xf numFmtId="164" fontId="4" fillId="4" borderId="67" xfId="1" applyNumberFormat="1" applyFont="1" applyFill="1" applyBorder="1"/>
    <xf numFmtId="0" fontId="4" fillId="4" borderId="59" xfId="0" applyFont="1" applyFill="1" applyBorder="1"/>
    <xf numFmtId="165" fontId="4" fillId="4" borderId="60" xfId="1" applyNumberFormat="1" applyFont="1" applyFill="1" applyBorder="1"/>
    <xf numFmtId="43" fontId="4" fillId="4" borderId="60" xfId="1" applyFont="1" applyFill="1" applyBorder="1"/>
    <xf numFmtId="164" fontId="4" fillId="4" borderId="60" xfId="1" applyNumberFormat="1" applyFont="1" applyFill="1" applyBorder="1"/>
    <xf numFmtId="164" fontId="4" fillId="4" borderId="61" xfId="1" applyNumberFormat="1" applyFont="1" applyFill="1" applyBorder="1"/>
    <xf numFmtId="166" fontId="4" fillId="4" borderId="62" xfId="2" applyNumberFormat="1" applyFont="1" applyFill="1" applyBorder="1"/>
    <xf numFmtId="0" fontId="4" fillId="10" borderId="68" xfId="0" applyFont="1" applyFill="1" applyBorder="1"/>
    <xf numFmtId="165" fontId="4" fillId="10" borderId="69" xfId="1" applyNumberFormat="1" applyFont="1" applyFill="1" applyBorder="1"/>
    <xf numFmtId="43" fontId="4" fillId="10" borderId="69" xfId="1" applyFont="1" applyFill="1" applyBorder="1"/>
    <xf numFmtId="164" fontId="4" fillId="10" borderId="69" xfId="1" applyNumberFormat="1" applyFont="1" applyFill="1" applyBorder="1"/>
    <xf numFmtId="164" fontId="4" fillId="10" borderId="70" xfId="1" applyNumberFormat="1" applyFont="1" applyFill="1" applyBorder="1"/>
    <xf numFmtId="0" fontId="0" fillId="10" borderId="6" xfId="0" applyFill="1" applyBorder="1"/>
    <xf numFmtId="164" fontId="4" fillId="10" borderId="7" xfId="1" applyNumberFormat="1" applyFont="1" applyFill="1" applyBorder="1"/>
    <xf numFmtId="0" fontId="0" fillId="10" borderId="7" xfId="0" applyFill="1" applyBorder="1"/>
    <xf numFmtId="164" fontId="4" fillId="4" borderId="72" xfId="1" applyNumberFormat="1" applyFont="1" applyFill="1" applyBorder="1"/>
    <xf numFmtId="164" fontId="4" fillId="4" borderId="71" xfId="1" applyNumberFormat="1" applyFont="1" applyFill="1" applyBorder="1"/>
    <xf numFmtId="164" fontId="4" fillId="4" borderId="33" xfId="1" applyNumberFormat="1" applyFont="1" applyFill="1" applyBorder="1"/>
    <xf numFmtId="0" fontId="4" fillId="10" borderId="73" xfId="0" applyFont="1" applyFill="1" applyBorder="1" applyAlignment="1">
      <alignment horizontal="center" wrapText="1"/>
    </xf>
    <xf numFmtId="0" fontId="0" fillId="8" borderId="38" xfId="0" applyFill="1" applyBorder="1"/>
    <xf numFmtId="166" fontId="4" fillId="10" borderId="73" xfId="2" applyNumberFormat="1" applyFont="1" applyFill="1" applyBorder="1"/>
    <xf numFmtId="164" fontId="0" fillId="0" borderId="0" xfId="1" applyNumberFormat="1" applyFont="1"/>
    <xf numFmtId="165" fontId="0" fillId="0" borderId="0" xfId="0" applyNumberFormat="1"/>
    <xf numFmtId="166" fontId="0" fillId="0" borderId="0" xfId="0" applyNumberFormat="1"/>
    <xf numFmtId="164" fontId="4" fillId="13" borderId="11" xfId="1" applyNumberFormat="1" applyFont="1" applyFill="1" applyBorder="1"/>
    <xf numFmtId="0" fontId="4" fillId="13" borderId="10" xfId="0" applyFont="1" applyFill="1" applyBorder="1"/>
    <xf numFmtId="0" fontId="4" fillId="13" borderId="74" xfId="0" applyFont="1" applyFill="1" applyBorder="1"/>
    <xf numFmtId="165" fontId="4" fillId="13" borderId="69" xfId="1" applyNumberFormat="1" applyFont="1" applyFill="1" applyBorder="1"/>
    <xf numFmtId="43" fontId="4" fillId="13" borderId="69" xfId="1" applyFont="1" applyFill="1" applyBorder="1"/>
    <xf numFmtId="164" fontId="4" fillId="13" borderId="69" xfId="1" applyNumberFormat="1" applyFont="1" applyFill="1" applyBorder="1"/>
    <xf numFmtId="164" fontId="4" fillId="13" borderId="70" xfId="1" applyNumberFormat="1" applyFont="1" applyFill="1" applyBorder="1"/>
    <xf numFmtId="0" fontId="0" fillId="8" borderId="40" xfId="0" applyFill="1" applyBorder="1"/>
    <xf numFmtId="0" fontId="4" fillId="13" borderId="10" xfId="0" applyFont="1" applyFill="1" applyBorder="1" applyAlignment="1">
      <alignment wrapText="1"/>
    </xf>
    <xf numFmtId="0" fontId="4" fillId="13" borderId="63" xfId="0" applyFont="1" applyFill="1" applyBorder="1" applyAlignment="1">
      <alignment horizontal="center" wrapText="1"/>
    </xf>
    <xf numFmtId="0" fontId="4" fillId="13" borderId="64" xfId="0" applyFont="1" applyFill="1" applyBorder="1" applyAlignment="1">
      <alignment horizontal="center" wrapText="1"/>
    </xf>
    <xf numFmtId="0" fontId="4" fillId="13" borderId="11" xfId="0" applyFont="1" applyFill="1" applyBorder="1" applyAlignment="1">
      <alignment horizontal="center" wrapText="1"/>
    </xf>
    <xf numFmtId="0" fontId="4" fillId="13" borderId="73" xfId="0" applyFont="1" applyFill="1" applyBorder="1" applyAlignment="1">
      <alignment horizontal="center" wrapText="1"/>
    </xf>
    <xf numFmtId="166" fontId="4" fillId="13" borderId="73" xfId="2" applyNumberFormat="1" applyFont="1" applyFill="1" applyBorder="1"/>
    <xf numFmtId="0" fontId="4" fillId="13" borderId="6" xfId="0" applyFont="1" applyFill="1" applyBorder="1"/>
    <xf numFmtId="164" fontId="4" fillId="13" borderId="7" xfId="1" applyNumberFormat="1" applyFont="1" applyFill="1" applyBorder="1"/>
    <xf numFmtId="164" fontId="4" fillId="13" borderId="8" xfId="1" applyNumberFormat="1" applyFont="1" applyFill="1" applyBorder="1"/>
    <xf numFmtId="0" fontId="0" fillId="12" borderId="22" xfId="0" applyFill="1" applyBorder="1" applyAlignment="1">
      <alignment horizontal="left" indent="1"/>
    </xf>
    <xf numFmtId="164" fontId="0" fillId="0" borderId="75" xfId="1" applyNumberFormat="1" applyFont="1" applyBorder="1"/>
    <xf numFmtId="0" fontId="0" fillId="10" borderId="8" xfId="0" applyFill="1" applyBorder="1"/>
    <xf numFmtId="0" fontId="0" fillId="5" borderId="13" xfId="0" applyFill="1" applyBorder="1" applyAlignment="1">
      <alignment horizontal="left" indent="1"/>
    </xf>
    <xf numFmtId="0" fontId="4" fillId="10" borderId="8" xfId="0" applyFont="1" applyFill="1" applyBorder="1" applyAlignment="1">
      <alignment horizontal="center"/>
    </xf>
    <xf numFmtId="0" fontId="4" fillId="4" borderId="8" xfId="0" applyFont="1" applyFill="1" applyBorder="1" applyAlignment="1">
      <alignment horizontal="center"/>
    </xf>
    <xf numFmtId="166" fontId="5" fillId="0" borderId="0" xfId="2" applyNumberFormat="1" applyFont="1" applyBorder="1"/>
    <xf numFmtId="0" fontId="5" fillId="12" borderId="78" xfId="0" applyFont="1" applyFill="1" applyBorder="1"/>
    <xf numFmtId="0" fontId="0" fillId="12" borderId="9" xfId="0" applyFill="1" applyBorder="1"/>
    <xf numFmtId="166" fontId="5" fillId="12" borderId="9" xfId="2" applyNumberFormat="1" applyFont="1" applyFill="1" applyBorder="1"/>
    <xf numFmtId="0" fontId="0" fillId="5" borderId="9" xfId="0" applyFill="1" applyBorder="1"/>
    <xf numFmtId="166" fontId="0" fillId="17" borderId="0" xfId="0" applyNumberFormat="1" applyFill="1"/>
    <xf numFmtId="166" fontId="5" fillId="5" borderId="9" xfId="2" applyNumberFormat="1" applyFont="1" applyFill="1" applyBorder="1"/>
    <xf numFmtId="0" fontId="0" fillId="0" borderId="0" xfId="0" applyAlignment="1">
      <alignment horizontal="left" wrapText="1" indent="1"/>
    </xf>
    <xf numFmtId="164" fontId="4" fillId="10" borderId="12" xfId="1" applyNumberFormat="1" applyFont="1" applyFill="1" applyBorder="1"/>
    <xf numFmtId="0" fontId="4" fillId="10" borderId="10" xfId="0" applyFont="1" applyFill="1" applyBorder="1"/>
    <xf numFmtId="164" fontId="4" fillId="10" borderId="11" xfId="1" applyNumberFormat="1" applyFont="1" applyFill="1" applyBorder="1"/>
    <xf numFmtId="0" fontId="0" fillId="8" borderId="53" xfId="0" applyFill="1" applyBorder="1"/>
    <xf numFmtId="164" fontId="0" fillId="0" borderId="34" xfId="1" applyNumberFormat="1" applyFont="1" applyBorder="1"/>
    <xf numFmtId="164" fontId="0" fillId="8" borderId="35" xfId="1" applyNumberFormat="1" applyFont="1" applyFill="1" applyBorder="1"/>
    <xf numFmtId="0" fontId="0" fillId="12" borderId="36" xfId="0" applyFill="1" applyBorder="1"/>
    <xf numFmtId="165" fontId="0" fillId="11" borderId="14" xfId="1" applyNumberFormat="1" applyFont="1" applyFill="1" applyBorder="1"/>
    <xf numFmtId="43" fontId="0" fillId="8" borderId="14" xfId="1" applyFont="1" applyFill="1" applyBorder="1"/>
    <xf numFmtId="164" fontId="0" fillId="8" borderId="13" xfId="1" applyNumberFormat="1" applyFont="1" applyFill="1" applyBorder="1"/>
    <xf numFmtId="0" fontId="0" fillId="12" borderId="36" xfId="0" applyFill="1" applyBorder="1" applyAlignment="1">
      <alignment horizontal="left" indent="1"/>
    </xf>
    <xf numFmtId="0" fontId="0" fillId="0" borderId="79" xfId="0" applyBorder="1"/>
    <xf numFmtId="0" fontId="7" fillId="5" borderId="29" xfId="0" applyFont="1" applyFill="1" applyBorder="1"/>
    <xf numFmtId="0" fontId="5" fillId="5" borderId="13" xfId="0" applyFont="1" applyFill="1" applyBorder="1" applyAlignment="1">
      <alignment horizontal="left"/>
    </xf>
    <xf numFmtId="43" fontId="0" fillId="5" borderId="15" xfId="1" applyFont="1" applyFill="1" applyBorder="1"/>
    <xf numFmtId="0" fontId="4" fillId="6" borderId="65" xfId="0" applyFont="1" applyFill="1" applyBorder="1" applyAlignment="1">
      <alignment horizontal="center"/>
    </xf>
    <xf numFmtId="0" fontId="0" fillId="5" borderId="13" xfId="0" applyFill="1" applyBorder="1" applyAlignment="1">
      <alignment horizontal="left"/>
    </xf>
    <xf numFmtId="0" fontId="9" fillId="5" borderId="13" xfId="0" applyFont="1" applyFill="1" applyBorder="1" applyAlignment="1">
      <alignment horizontal="left"/>
    </xf>
    <xf numFmtId="0" fontId="7" fillId="5" borderId="13" xfId="0" applyFont="1" applyFill="1" applyBorder="1" applyAlignment="1">
      <alignment horizontal="left"/>
    </xf>
    <xf numFmtId="0" fontId="5" fillId="5" borderId="13" xfId="0" applyFont="1" applyFill="1" applyBorder="1" applyAlignment="1">
      <alignment horizontal="left" indent="1"/>
    </xf>
    <xf numFmtId="0" fontId="4" fillId="7" borderId="41" xfId="0" applyFont="1" applyFill="1" applyBorder="1" applyAlignment="1">
      <alignment horizontal="center" wrapText="1"/>
    </xf>
    <xf numFmtId="0" fontId="4" fillId="7" borderId="0" xfId="0" applyFont="1" applyFill="1" applyAlignment="1">
      <alignment horizontal="center" wrapText="1"/>
    </xf>
    <xf numFmtId="0" fontId="4" fillId="10" borderId="0" xfId="0" applyFont="1" applyFill="1" applyAlignment="1">
      <alignment wrapText="1"/>
    </xf>
    <xf numFmtId="0" fontId="4" fillId="10" borderId="0" xfId="0" applyFont="1" applyFill="1" applyAlignment="1">
      <alignment horizontal="center" wrapText="1"/>
    </xf>
    <xf numFmtId="0" fontId="4" fillId="10" borderId="81" xfId="0" applyFont="1" applyFill="1" applyBorder="1" applyAlignment="1">
      <alignment horizontal="center" wrapText="1"/>
    </xf>
    <xf numFmtId="0" fontId="4" fillId="13" borderId="41" xfId="0" applyFont="1" applyFill="1" applyBorder="1" applyAlignment="1">
      <alignment wrapText="1"/>
    </xf>
    <xf numFmtId="0" fontId="4" fillId="13" borderId="0" xfId="0" applyFont="1" applyFill="1" applyAlignment="1">
      <alignment horizontal="center" wrapText="1"/>
    </xf>
    <xf numFmtId="0" fontId="4" fillId="13" borderId="81" xfId="0" applyFont="1" applyFill="1" applyBorder="1" applyAlignment="1">
      <alignment horizontal="center" wrapText="1"/>
    </xf>
    <xf numFmtId="0" fontId="5" fillId="12" borderId="29" xfId="0" applyFont="1" applyFill="1" applyBorder="1"/>
    <xf numFmtId="0" fontId="11" fillId="0" borderId="0" xfId="0" applyFont="1" applyAlignment="1">
      <alignment horizontal="left" vertical="center" wrapText="1" indent="1"/>
    </xf>
    <xf numFmtId="44" fontId="7" fillId="5" borderId="80" xfId="2" applyFont="1" applyFill="1" applyBorder="1"/>
    <xf numFmtId="44" fontId="5" fillId="12" borderId="77" xfId="2" applyFont="1" applyFill="1" applyBorder="1"/>
    <xf numFmtId="0" fontId="0" fillId="0" borderId="0" xfId="0" applyAlignment="1">
      <alignment horizontal="center" vertical="center"/>
    </xf>
    <xf numFmtId="44" fontId="4" fillId="4" borderId="9" xfId="2" applyFont="1" applyFill="1" applyBorder="1" applyAlignment="1">
      <alignment horizontal="center" vertical="center"/>
    </xf>
    <xf numFmtId="0" fontId="5" fillId="0" borderId="0" xfId="0" applyFont="1" applyAlignment="1">
      <alignment horizontal="center" vertical="center"/>
    </xf>
    <xf numFmtId="44" fontId="5" fillId="4" borderId="9" xfId="2" applyFont="1" applyFill="1" applyBorder="1" applyAlignment="1">
      <alignment horizontal="center" vertical="center"/>
    </xf>
    <xf numFmtId="0" fontId="5" fillId="4" borderId="9" xfId="0" applyFont="1" applyFill="1" applyBorder="1" applyAlignment="1">
      <alignment horizontal="center" vertical="center"/>
    </xf>
    <xf numFmtId="0" fontId="5" fillId="10" borderId="9" xfId="0" applyFont="1" applyFill="1" applyBorder="1" applyAlignment="1">
      <alignment horizontal="center" vertical="center"/>
    </xf>
    <xf numFmtId="0" fontId="5" fillId="10" borderId="84" xfId="0" applyFont="1" applyFill="1" applyBorder="1" applyAlignment="1">
      <alignment horizontal="center" vertical="center"/>
    </xf>
    <xf numFmtId="0" fontId="13" fillId="0" borderId="0" xfId="0" applyFont="1"/>
    <xf numFmtId="44" fontId="4" fillId="10" borderId="9" xfId="2" applyFont="1" applyFill="1" applyBorder="1" applyAlignment="1">
      <alignment horizontal="center" vertical="center"/>
    </xf>
    <xf numFmtId="166" fontId="7" fillId="5" borderId="0" xfId="2" applyNumberFormat="1" applyFont="1" applyFill="1" applyBorder="1"/>
    <xf numFmtId="0" fontId="5" fillId="12" borderId="0" xfId="0" applyFont="1" applyFill="1"/>
    <xf numFmtId="0" fontId="0" fillId="0" borderId="85" xfId="0" applyBorder="1"/>
    <xf numFmtId="0" fontId="0" fillId="0" borderId="78" xfId="0" applyBorder="1"/>
    <xf numFmtId="0" fontId="0" fillId="0" borderId="20" xfId="0" applyBorder="1"/>
    <xf numFmtId="0" fontId="7" fillId="5" borderId="0" xfId="0" applyFont="1" applyFill="1"/>
    <xf numFmtId="166" fontId="5" fillId="12" borderId="0" xfId="2" applyNumberFormat="1" applyFont="1" applyFill="1" applyBorder="1"/>
    <xf numFmtId="0" fontId="5" fillId="12" borderId="36" xfId="0" applyFont="1" applyFill="1" applyBorder="1" applyAlignment="1">
      <alignment horizontal="left" indent="1"/>
    </xf>
    <xf numFmtId="0" fontId="5" fillId="12" borderId="22" xfId="0" applyFont="1" applyFill="1" applyBorder="1" applyAlignment="1">
      <alignment horizontal="left" indent="1"/>
    </xf>
    <xf numFmtId="0" fontId="5" fillId="8" borderId="56" xfId="0" applyFont="1" applyFill="1" applyBorder="1" applyAlignment="1">
      <alignment horizontal="center"/>
    </xf>
    <xf numFmtId="0" fontId="5" fillId="8" borderId="0" xfId="0" applyFont="1" applyFill="1" applyAlignment="1">
      <alignment horizontal="center"/>
    </xf>
    <xf numFmtId="0" fontId="5" fillId="8" borderId="87" xfId="0" applyFont="1" applyFill="1" applyBorder="1" applyAlignment="1">
      <alignment horizontal="center"/>
    </xf>
    <xf numFmtId="44" fontId="7" fillId="5" borderId="76" xfId="2" applyFont="1" applyFill="1" applyBorder="1"/>
    <xf numFmtId="44" fontId="5" fillId="12" borderId="76" xfId="2" applyFont="1" applyFill="1" applyBorder="1"/>
    <xf numFmtId="44" fontId="7" fillId="5" borderId="42" xfId="2" applyFont="1" applyFill="1" applyBorder="1"/>
    <xf numFmtId="44" fontId="7" fillId="5" borderId="75" xfId="2" applyFont="1" applyFill="1" applyBorder="1"/>
    <xf numFmtId="44" fontId="7" fillId="5" borderId="82" xfId="2" applyFont="1" applyFill="1" applyBorder="1"/>
    <xf numFmtId="44" fontId="7" fillId="5" borderId="77" xfId="2" applyFont="1" applyFill="1" applyBorder="1"/>
    <xf numFmtId="44" fontId="7" fillId="5" borderId="86" xfId="2" applyFont="1" applyFill="1" applyBorder="1"/>
    <xf numFmtId="44" fontId="5" fillId="12" borderId="75" xfId="2" applyFont="1" applyFill="1" applyBorder="1"/>
    <xf numFmtId="44" fontId="5" fillId="12" borderId="80" xfId="2" applyFont="1" applyFill="1" applyBorder="1"/>
    <xf numFmtId="44" fontId="5" fillId="12" borderId="86" xfId="2" applyFont="1" applyFill="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12" xfId="0" applyBorder="1" applyAlignment="1">
      <alignment horizontal="center" vertical="top" wrapText="1"/>
    </xf>
    <xf numFmtId="0" fontId="0" fillId="0" borderId="41" xfId="0" applyBorder="1" applyAlignment="1">
      <alignment horizontal="center" vertical="top" wrapText="1"/>
    </xf>
    <xf numFmtId="0" fontId="0" fillId="0" borderId="0" xfId="0" applyAlignment="1">
      <alignment horizontal="center" vertical="top" wrapText="1"/>
    </xf>
    <xf numFmtId="0" fontId="0" fillId="0" borderId="42" xfId="0" applyBorder="1" applyAlignment="1">
      <alignment horizontal="center" vertical="top" wrapText="1"/>
    </xf>
    <xf numFmtId="0" fontId="0" fillId="0" borderId="19" xfId="0" applyBorder="1" applyAlignment="1">
      <alignment horizontal="center" vertical="top" wrapText="1"/>
    </xf>
    <xf numFmtId="0" fontId="0" fillId="0" borderId="20" xfId="0" applyBorder="1" applyAlignment="1">
      <alignment horizontal="center" vertical="top" wrapText="1"/>
    </xf>
    <xf numFmtId="0" fontId="0" fillId="0" borderId="21" xfId="0" applyBorder="1" applyAlignment="1">
      <alignment horizontal="center" vertical="top" wrapText="1"/>
    </xf>
    <xf numFmtId="0" fontId="4" fillId="13" borderId="6" xfId="0" applyFont="1" applyFill="1" applyBorder="1" applyAlignment="1">
      <alignment horizontal="center"/>
    </xf>
    <xf numFmtId="0" fontId="4" fillId="13" borderId="7" xfId="0" applyFont="1" applyFill="1" applyBorder="1" applyAlignment="1">
      <alignment horizontal="center"/>
    </xf>
    <xf numFmtId="0" fontId="4" fillId="13" borderId="8" xfId="0" applyFont="1" applyFill="1" applyBorder="1" applyAlignment="1">
      <alignment horizontal="center"/>
    </xf>
    <xf numFmtId="0" fontId="5" fillId="8" borderId="55" xfId="0" applyFont="1" applyFill="1" applyBorder="1" applyAlignment="1">
      <alignment horizontal="center"/>
    </xf>
    <xf numFmtId="0" fontId="5" fillId="8" borderId="7" xfId="0" applyFont="1" applyFill="1" applyBorder="1" applyAlignment="1">
      <alignment horizontal="center"/>
    </xf>
    <xf numFmtId="0" fontId="5" fillId="8" borderId="57" xfId="0" applyFont="1" applyFill="1" applyBorder="1" applyAlignment="1">
      <alignment horizontal="center"/>
    </xf>
    <xf numFmtId="0" fontId="4" fillId="16" borderId="6" xfId="0" applyFont="1" applyFill="1" applyBorder="1" applyAlignment="1">
      <alignment horizontal="center"/>
    </xf>
    <xf numFmtId="0" fontId="4" fillId="16" borderId="7" xfId="0" applyFont="1" applyFill="1" applyBorder="1" applyAlignment="1">
      <alignment horizontal="center"/>
    </xf>
    <xf numFmtId="0" fontId="4" fillId="16" borderId="8" xfId="0" applyFont="1" applyFill="1" applyBorder="1" applyAlignment="1">
      <alignment horizontal="center"/>
    </xf>
    <xf numFmtId="0" fontId="4" fillId="7" borderId="52" xfId="0" applyFont="1" applyFill="1" applyBorder="1" applyAlignment="1">
      <alignment horizontal="center" wrapText="1"/>
    </xf>
    <xf numFmtId="0" fontId="4" fillId="7" borderId="56" xfId="0" applyFont="1" applyFill="1" applyBorder="1" applyAlignment="1">
      <alignment horizontal="center" wrapText="1"/>
    </xf>
    <xf numFmtId="0" fontId="4" fillId="6" borderId="18" xfId="0" applyFont="1" applyFill="1" applyBorder="1" applyAlignment="1">
      <alignment horizontal="center"/>
    </xf>
    <xf numFmtId="0" fontId="4" fillId="6" borderId="11" xfId="0" applyFont="1" applyFill="1" applyBorder="1" applyAlignment="1">
      <alignment horizontal="center"/>
    </xf>
    <xf numFmtId="0" fontId="4" fillId="6" borderId="12" xfId="0" applyFont="1" applyFill="1" applyBorder="1" applyAlignment="1">
      <alignment horizontal="center"/>
    </xf>
    <xf numFmtId="0" fontId="4" fillId="10" borderId="6" xfId="0" applyFont="1" applyFill="1" applyBorder="1" applyAlignment="1">
      <alignment horizontal="center"/>
    </xf>
    <xf numFmtId="0" fontId="4" fillId="10" borderId="7" xfId="0" applyFont="1" applyFill="1" applyBorder="1" applyAlignment="1">
      <alignment horizontal="center"/>
    </xf>
    <xf numFmtId="0" fontId="4" fillId="10" borderId="8" xfId="0" applyFont="1" applyFill="1" applyBorder="1" applyAlignment="1">
      <alignment horizontal="center"/>
    </xf>
    <xf numFmtId="0" fontId="4" fillId="7" borderId="10" xfId="0" applyFont="1" applyFill="1" applyBorder="1" applyAlignment="1">
      <alignment horizontal="center" wrapText="1"/>
    </xf>
    <xf numFmtId="0" fontId="4" fillId="7" borderId="41" xfId="0" applyFont="1" applyFill="1" applyBorder="1" applyAlignment="1">
      <alignment horizontal="center" wrapText="1"/>
    </xf>
    <xf numFmtId="0" fontId="4" fillId="7" borderId="43" xfId="0" applyFont="1" applyFill="1" applyBorder="1" applyAlignment="1">
      <alignment horizontal="center" wrapText="1"/>
    </xf>
    <xf numFmtId="0" fontId="4" fillId="7" borderId="50" xfId="0" applyFont="1" applyFill="1" applyBorder="1" applyAlignment="1">
      <alignment horizontal="center" wrapText="1"/>
    </xf>
    <xf numFmtId="0" fontId="4" fillId="7" borderId="45" xfId="0" applyFont="1" applyFill="1" applyBorder="1" applyAlignment="1">
      <alignment horizontal="center" wrapText="1"/>
    </xf>
    <xf numFmtId="0" fontId="4" fillId="7" borderId="20" xfId="0" applyFont="1" applyFill="1" applyBorder="1" applyAlignment="1">
      <alignment horizontal="center" wrapText="1"/>
    </xf>
    <xf numFmtId="0" fontId="4" fillId="6" borderId="44" xfId="0" applyFont="1" applyFill="1" applyBorder="1" applyAlignment="1">
      <alignment horizontal="center"/>
    </xf>
    <xf numFmtId="0" fontId="4" fillId="6" borderId="45" xfId="0" applyFont="1" applyFill="1" applyBorder="1" applyAlignment="1">
      <alignment horizontal="center"/>
    </xf>
    <xf numFmtId="0" fontId="4" fillId="6" borderId="46" xfId="0" applyFont="1" applyFill="1" applyBorder="1" applyAlignment="1">
      <alignment horizontal="center"/>
    </xf>
    <xf numFmtId="0" fontId="4" fillId="4" borderId="47" xfId="0" applyFont="1" applyFill="1" applyBorder="1" applyAlignment="1">
      <alignment horizontal="center"/>
    </xf>
    <xf numFmtId="0" fontId="4" fillId="4" borderId="48" xfId="0" applyFont="1" applyFill="1" applyBorder="1" applyAlignment="1">
      <alignment horizontal="center"/>
    </xf>
    <xf numFmtId="0" fontId="4" fillId="4" borderId="49" xfId="0" applyFont="1" applyFill="1" applyBorder="1" applyAlignment="1">
      <alignment horizontal="center"/>
    </xf>
    <xf numFmtId="0" fontId="5" fillId="8" borderId="6" xfId="0" applyFont="1" applyFill="1" applyBorder="1" applyAlignment="1">
      <alignment horizontal="center"/>
    </xf>
    <xf numFmtId="0" fontId="5" fillId="8" borderId="8" xfId="0" applyFont="1" applyFill="1" applyBorder="1" applyAlignment="1">
      <alignment horizontal="center"/>
    </xf>
    <xf numFmtId="0" fontId="10" fillId="10" borderId="6" xfId="0" applyFont="1" applyFill="1" applyBorder="1" applyAlignment="1">
      <alignment horizontal="center"/>
    </xf>
    <xf numFmtId="0" fontId="10" fillId="10" borderId="7" xfId="0" applyFont="1" applyFill="1" applyBorder="1" applyAlignment="1">
      <alignment horizontal="center"/>
    </xf>
    <xf numFmtId="0" fontId="10" fillId="10" borderId="8" xfId="0" applyFont="1" applyFill="1" applyBorder="1" applyAlignment="1">
      <alignment horizontal="center"/>
    </xf>
    <xf numFmtId="0" fontId="10" fillId="4" borderId="47" xfId="0" applyFont="1" applyFill="1" applyBorder="1" applyAlignment="1">
      <alignment horizontal="center"/>
    </xf>
    <xf numFmtId="0" fontId="10" fillId="4" borderId="48" xfId="0" applyFont="1" applyFill="1" applyBorder="1" applyAlignment="1">
      <alignment horizontal="center"/>
    </xf>
    <xf numFmtId="0" fontId="10" fillId="4" borderId="49" xfId="0" applyFont="1" applyFill="1" applyBorder="1" applyAlignment="1">
      <alignment horizontal="center"/>
    </xf>
    <xf numFmtId="0" fontId="12" fillId="4" borderId="83" xfId="0" applyFont="1" applyFill="1" applyBorder="1" applyAlignment="1">
      <alignment horizontal="center" vertical="center"/>
    </xf>
    <xf numFmtId="0" fontId="12" fillId="4" borderId="37" xfId="0" applyFont="1" applyFill="1" applyBorder="1" applyAlignment="1">
      <alignment horizontal="center" vertical="center"/>
    </xf>
    <xf numFmtId="0" fontId="12" fillId="10" borderId="41" xfId="0" applyFont="1" applyFill="1" applyBorder="1" applyAlignment="1">
      <alignment horizontal="center" vertical="center"/>
    </xf>
    <xf numFmtId="0" fontId="12" fillId="10" borderId="0" xfId="0" applyFont="1" applyFill="1" applyAlignment="1">
      <alignment horizontal="center" vertical="center"/>
    </xf>
    <xf numFmtId="0" fontId="4" fillId="4" borderId="19" xfId="0" applyFont="1" applyFill="1" applyBorder="1" applyAlignment="1">
      <alignment horizontal="center"/>
    </xf>
    <xf numFmtId="0" fontId="4" fillId="4" borderId="20" xfId="0" applyFont="1" applyFill="1" applyBorder="1" applyAlignment="1">
      <alignment horizontal="center"/>
    </xf>
    <xf numFmtId="0" fontId="7" fillId="18" borderId="10" xfId="0" applyFont="1" applyFill="1" applyBorder="1" applyAlignment="1">
      <alignment horizontal="center" vertical="center"/>
    </xf>
    <xf numFmtId="0" fontId="7" fillId="18" borderId="11" xfId="0" applyFont="1" applyFill="1" applyBorder="1" applyAlignment="1">
      <alignment horizontal="center" vertical="center"/>
    </xf>
    <xf numFmtId="0" fontId="7" fillId="18" borderId="12" xfId="0" applyFont="1" applyFill="1" applyBorder="1" applyAlignment="1">
      <alignment horizontal="center" vertical="center"/>
    </xf>
  </cellXfs>
  <cellStyles count="6">
    <cellStyle name="Comma" xfId="1" builtinId="3"/>
    <cellStyle name="Currency" xfId="2" builtinId="4"/>
    <cellStyle name="Input" xfId="4" builtinId="20"/>
    <cellStyle name="Normal" xfId="0" builtinId="0"/>
    <cellStyle name="Output" xfId="5" builtinId="21"/>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5EA82-13F3-49FB-A474-1ABD02F69854}">
  <dimension ref="A4:A7"/>
  <sheetViews>
    <sheetView workbookViewId="0">
      <selection activeCell="A10" sqref="A10"/>
    </sheetView>
  </sheetViews>
  <sheetFormatPr defaultRowHeight="15" x14ac:dyDescent="0.25"/>
  <cols>
    <col min="1" max="1" width="14.5703125" customWidth="1"/>
  </cols>
  <sheetData>
    <row r="4" spans="1:1" x14ac:dyDescent="0.25">
      <c r="A4" t="s">
        <v>0</v>
      </c>
    </row>
    <row r="5" spans="1:1" x14ac:dyDescent="0.25">
      <c r="A5" t="s">
        <v>1</v>
      </c>
    </row>
    <row r="6" spans="1:1" x14ac:dyDescent="0.25">
      <c r="A6" t="s">
        <v>2</v>
      </c>
    </row>
    <row r="7" spans="1:1" x14ac:dyDescent="0.25">
      <c r="A7"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4AC4-1A0D-45B7-B2EA-76A599B77762}">
  <dimension ref="B2:C2"/>
  <sheetViews>
    <sheetView tabSelected="1" workbookViewId="0">
      <selection activeCell="C3" sqref="C3"/>
    </sheetView>
  </sheetViews>
  <sheetFormatPr defaultRowHeight="15" x14ac:dyDescent="0.25"/>
  <sheetData>
    <row r="2" spans="2:3" x14ac:dyDescent="0.25">
      <c r="B2" t="s">
        <v>349</v>
      </c>
      <c r="C2" t="s">
        <v>350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CA745-2623-48AF-AA67-3C6DA187563F}">
  <sheetPr>
    <tabColor rgb="FFFF0000"/>
  </sheetPr>
  <dimension ref="B1:U27"/>
  <sheetViews>
    <sheetView showGridLines="0" workbookViewId="0">
      <selection activeCell="F23" sqref="F23"/>
    </sheetView>
  </sheetViews>
  <sheetFormatPr defaultRowHeight="15" x14ac:dyDescent="0.25"/>
  <cols>
    <col min="14" max="14" width="19.28515625" customWidth="1"/>
  </cols>
  <sheetData>
    <row r="1" spans="2:21" ht="15.75" thickBot="1" x14ac:dyDescent="0.3"/>
    <row r="2" spans="2:21" ht="14.45" customHeight="1" x14ac:dyDescent="0.25">
      <c r="B2" s="201" t="s">
        <v>4</v>
      </c>
      <c r="C2" s="202"/>
      <c r="D2" s="202"/>
      <c r="E2" s="202"/>
      <c r="F2" s="202"/>
      <c r="G2" s="202"/>
      <c r="H2" s="202"/>
      <c r="I2" s="202"/>
      <c r="J2" s="202"/>
      <c r="K2" s="202"/>
      <c r="L2" s="202"/>
      <c r="M2" s="202"/>
      <c r="N2" s="203"/>
      <c r="O2" s="67"/>
      <c r="P2" s="67"/>
      <c r="Q2" s="67"/>
      <c r="R2" s="67"/>
      <c r="S2" s="66"/>
      <c r="T2" s="66"/>
      <c r="U2" s="66"/>
    </row>
    <row r="3" spans="2:21" x14ac:dyDescent="0.25">
      <c r="B3" s="204"/>
      <c r="C3" s="205"/>
      <c r="D3" s="205"/>
      <c r="E3" s="205"/>
      <c r="F3" s="205"/>
      <c r="G3" s="205"/>
      <c r="H3" s="205"/>
      <c r="I3" s="205"/>
      <c r="J3" s="205"/>
      <c r="K3" s="205"/>
      <c r="L3" s="205"/>
      <c r="M3" s="205"/>
      <c r="N3" s="206"/>
      <c r="O3" s="67"/>
      <c r="P3" s="67"/>
      <c r="Q3" s="67"/>
      <c r="R3" s="67"/>
      <c r="S3" s="66"/>
      <c r="T3" s="66"/>
      <c r="U3" s="66"/>
    </row>
    <row r="4" spans="2:21" x14ac:dyDescent="0.25">
      <c r="B4" s="204"/>
      <c r="C4" s="205"/>
      <c r="D4" s="205"/>
      <c r="E4" s="205"/>
      <c r="F4" s="205"/>
      <c r="G4" s="205"/>
      <c r="H4" s="205"/>
      <c r="I4" s="205"/>
      <c r="J4" s="205"/>
      <c r="K4" s="205"/>
      <c r="L4" s="205"/>
      <c r="M4" s="205"/>
      <c r="N4" s="206"/>
      <c r="O4" s="67"/>
      <c r="P4" s="67"/>
      <c r="Q4" s="67"/>
      <c r="R4" s="67"/>
      <c r="S4" s="66"/>
      <c r="T4" s="66"/>
      <c r="U4" s="66"/>
    </row>
    <row r="5" spans="2:21" x14ac:dyDescent="0.25">
      <c r="B5" s="204"/>
      <c r="C5" s="205"/>
      <c r="D5" s="205"/>
      <c r="E5" s="205"/>
      <c r="F5" s="205"/>
      <c r="G5" s="205"/>
      <c r="H5" s="205"/>
      <c r="I5" s="205"/>
      <c r="J5" s="205"/>
      <c r="K5" s="205"/>
      <c r="L5" s="205"/>
      <c r="M5" s="205"/>
      <c r="N5" s="206"/>
      <c r="O5" s="67"/>
      <c r="P5" s="67"/>
      <c r="Q5" s="67"/>
      <c r="R5" s="67"/>
      <c r="S5" s="66"/>
      <c r="T5" s="66"/>
      <c r="U5" s="66"/>
    </row>
    <row r="6" spans="2:21" x14ac:dyDescent="0.25">
      <c r="B6" s="204"/>
      <c r="C6" s="205"/>
      <c r="D6" s="205"/>
      <c r="E6" s="205"/>
      <c r="F6" s="205"/>
      <c r="G6" s="205"/>
      <c r="H6" s="205"/>
      <c r="I6" s="205"/>
      <c r="J6" s="205"/>
      <c r="K6" s="205"/>
      <c r="L6" s="205"/>
      <c r="M6" s="205"/>
      <c r="N6" s="206"/>
      <c r="O6" s="67"/>
      <c r="P6" s="67"/>
      <c r="Q6" s="67"/>
      <c r="R6" s="67"/>
      <c r="S6" s="66"/>
      <c r="T6" s="66"/>
      <c r="U6" s="66"/>
    </row>
    <row r="7" spans="2:21" x14ac:dyDescent="0.25">
      <c r="B7" s="204"/>
      <c r="C7" s="205"/>
      <c r="D7" s="205"/>
      <c r="E7" s="205"/>
      <c r="F7" s="205"/>
      <c r="G7" s="205"/>
      <c r="H7" s="205"/>
      <c r="I7" s="205"/>
      <c r="J7" s="205"/>
      <c r="K7" s="205"/>
      <c r="L7" s="205"/>
      <c r="M7" s="205"/>
      <c r="N7" s="206"/>
      <c r="O7" s="67"/>
      <c r="P7" s="67"/>
      <c r="Q7" s="67"/>
      <c r="R7" s="67"/>
      <c r="S7" s="66"/>
      <c r="T7" s="66"/>
      <c r="U7" s="66"/>
    </row>
    <row r="8" spans="2:21" x14ac:dyDescent="0.25">
      <c r="B8" s="204"/>
      <c r="C8" s="205"/>
      <c r="D8" s="205"/>
      <c r="E8" s="205"/>
      <c r="F8" s="205"/>
      <c r="G8" s="205"/>
      <c r="H8" s="205"/>
      <c r="I8" s="205"/>
      <c r="J8" s="205"/>
      <c r="K8" s="205"/>
      <c r="L8" s="205"/>
      <c r="M8" s="205"/>
      <c r="N8" s="206"/>
      <c r="O8" s="67"/>
      <c r="P8" s="67"/>
      <c r="Q8" s="67"/>
      <c r="R8" s="67"/>
      <c r="S8" s="66"/>
      <c r="T8" s="66"/>
      <c r="U8" s="66"/>
    </row>
    <row r="9" spans="2:21" x14ac:dyDescent="0.25">
      <c r="B9" s="204"/>
      <c r="C9" s="205"/>
      <c r="D9" s="205"/>
      <c r="E9" s="205"/>
      <c r="F9" s="205"/>
      <c r="G9" s="205"/>
      <c r="H9" s="205"/>
      <c r="I9" s="205"/>
      <c r="J9" s="205"/>
      <c r="K9" s="205"/>
      <c r="L9" s="205"/>
      <c r="M9" s="205"/>
      <c r="N9" s="206"/>
      <c r="O9" s="67"/>
      <c r="P9" s="67"/>
      <c r="Q9" s="67"/>
      <c r="R9" s="67"/>
      <c r="S9" s="66"/>
      <c r="T9" s="66"/>
      <c r="U9" s="66"/>
    </row>
    <row r="10" spans="2:21" x14ac:dyDescent="0.25">
      <c r="B10" s="204"/>
      <c r="C10" s="205"/>
      <c r="D10" s="205"/>
      <c r="E10" s="205"/>
      <c r="F10" s="205"/>
      <c r="G10" s="205"/>
      <c r="H10" s="205"/>
      <c r="I10" s="205"/>
      <c r="J10" s="205"/>
      <c r="K10" s="205"/>
      <c r="L10" s="205"/>
      <c r="M10" s="205"/>
      <c r="N10" s="206"/>
      <c r="O10" s="67"/>
      <c r="P10" s="67"/>
      <c r="Q10" s="67"/>
      <c r="R10" s="67"/>
      <c r="S10" s="66"/>
      <c r="T10" s="66"/>
      <c r="U10" s="66"/>
    </row>
    <row r="11" spans="2:21" x14ac:dyDescent="0.25">
      <c r="B11" s="204"/>
      <c r="C11" s="205"/>
      <c r="D11" s="205"/>
      <c r="E11" s="205"/>
      <c r="F11" s="205"/>
      <c r="G11" s="205"/>
      <c r="H11" s="205"/>
      <c r="I11" s="205"/>
      <c r="J11" s="205"/>
      <c r="K11" s="205"/>
      <c r="L11" s="205"/>
      <c r="M11" s="205"/>
      <c r="N11" s="206"/>
      <c r="O11" s="67"/>
      <c r="P11" s="67"/>
      <c r="Q11" s="67"/>
      <c r="R11" s="67"/>
      <c r="S11" s="66"/>
      <c r="T11" s="66"/>
      <c r="U11" s="66"/>
    </row>
    <row r="12" spans="2:21" x14ac:dyDescent="0.25">
      <c r="B12" s="204"/>
      <c r="C12" s="205"/>
      <c r="D12" s="205"/>
      <c r="E12" s="205"/>
      <c r="F12" s="205"/>
      <c r="G12" s="205"/>
      <c r="H12" s="205"/>
      <c r="I12" s="205"/>
      <c r="J12" s="205"/>
      <c r="K12" s="205"/>
      <c r="L12" s="205"/>
      <c r="M12" s="205"/>
      <c r="N12" s="206"/>
      <c r="O12" s="67"/>
      <c r="P12" s="67"/>
      <c r="Q12" s="67"/>
      <c r="R12" s="67"/>
      <c r="S12" s="66"/>
      <c r="T12" s="66"/>
      <c r="U12" s="66"/>
    </row>
    <row r="13" spans="2:21" x14ac:dyDescent="0.25">
      <c r="B13" s="204"/>
      <c r="C13" s="205"/>
      <c r="D13" s="205"/>
      <c r="E13" s="205"/>
      <c r="F13" s="205"/>
      <c r="G13" s="205"/>
      <c r="H13" s="205"/>
      <c r="I13" s="205"/>
      <c r="J13" s="205"/>
      <c r="K13" s="205"/>
      <c r="L13" s="205"/>
      <c r="M13" s="205"/>
      <c r="N13" s="206"/>
      <c r="O13" s="67"/>
      <c r="P13" s="67"/>
      <c r="Q13" s="67"/>
      <c r="R13" s="67"/>
      <c r="S13" s="66"/>
      <c r="T13" s="66"/>
      <c r="U13" s="66"/>
    </row>
    <row r="14" spans="2:21" ht="15.75" thickBot="1" x14ac:dyDescent="0.3">
      <c r="B14" s="207"/>
      <c r="C14" s="208"/>
      <c r="D14" s="208"/>
      <c r="E14" s="208"/>
      <c r="F14" s="208"/>
      <c r="G14" s="208"/>
      <c r="H14" s="208"/>
      <c r="I14" s="208"/>
      <c r="J14" s="208"/>
      <c r="K14" s="208"/>
      <c r="L14" s="208"/>
      <c r="M14" s="208"/>
      <c r="N14" s="209"/>
      <c r="O14" s="67"/>
      <c r="P14" s="67"/>
      <c r="Q14" s="67"/>
      <c r="R14" s="67"/>
      <c r="S14" s="66"/>
      <c r="T14" s="66"/>
      <c r="U14" s="66"/>
    </row>
    <row r="15" spans="2:21" x14ac:dyDescent="0.25">
      <c r="B15" s="67"/>
      <c r="C15" s="67"/>
      <c r="D15" s="67"/>
      <c r="E15" s="67"/>
      <c r="F15" s="67"/>
      <c r="G15" s="67"/>
      <c r="H15" s="67"/>
      <c r="I15" s="67"/>
      <c r="J15" s="67"/>
      <c r="K15" s="67"/>
      <c r="L15" s="67"/>
      <c r="M15" s="67"/>
      <c r="N15" s="67"/>
      <c r="O15" s="67"/>
      <c r="P15" s="67"/>
      <c r="Q15" s="67"/>
      <c r="R15" s="67"/>
      <c r="S15" s="66"/>
      <c r="T15" s="66"/>
      <c r="U15" s="66"/>
    </row>
    <row r="16" spans="2:21" x14ac:dyDescent="0.25">
      <c r="B16" s="67"/>
      <c r="C16" s="67"/>
      <c r="D16" s="67"/>
      <c r="E16" s="67"/>
      <c r="F16" s="67"/>
      <c r="G16" s="67"/>
      <c r="H16" s="67"/>
      <c r="I16" s="67"/>
      <c r="J16" s="67"/>
      <c r="K16" s="67"/>
      <c r="L16" s="67"/>
      <c r="M16" s="67"/>
      <c r="N16" s="67"/>
      <c r="O16" s="67"/>
      <c r="P16" s="67"/>
      <c r="Q16" s="67"/>
      <c r="R16" s="67"/>
      <c r="S16" s="66"/>
      <c r="T16" s="66"/>
      <c r="U16" s="66"/>
    </row>
    <row r="17" spans="2:21" x14ac:dyDescent="0.25">
      <c r="B17" s="67"/>
      <c r="C17" s="67"/>
      <c r="D17" s="67"/>
      <c r="E17" s="67"/>
      <c r="F17" s="67"/>
      <c r="G17" s="67"/>
      <c r="H17" s="67"/>
      <c r="I17" s="67"/>
      <c r="J17" s="67"/>
      <c r="K17" s="67"/>
      <c r="L17" s="67"/>
      <c r="M17" s="67"/>
      <c r="N17" s="67"/>
      <c r="O17" s="67"/>
      <c r="P17" s="67"/>
      <c r="Q17" s="67"/>
      <c r="R17" s="67"/>
      <c r="S17" s="66"/>
      <c r="T17" s="66"/>
      <c r="U17" s="66"/>
    </row>
    <row r="18" spans="2:21" x14ac:dyDescent="0.25">
      <c r="B18" s="67"/>
      <c r="C18" s="67"/>
      <c r="D18" s="67"/>
      <c r="E18" s="67"/>
      <c r="F18" s="67"/>
      <c r="G18" s="67"/>
      <c r="H18" s="67"/>
      <c r="I18" s="67"/>
      <c r="J18" s="67"/>
      <c r="K18" s="67"/>
      <c r="L18" s="67"/>
      <c r="M18" s="67"/>
      <c r="N18" s="67"/>
      <c r="O18" s="67"/>
      <c r="P18" s="67"/>
      <c r="Q18" s="67"/>
      <c r="R18" s="67"/>
      <c r="S18" s="66"/>
      <c r="T18" s="66"/>
      <c r="U18" s="66"/>
    </row>
    <row r="19" spans="2:21" x14ac:dyDescent="0.25">
      <c r="B19" s="67"/>
      <c r="C19" s="67"/>
      <c r="D19" s="67"/>
      <c r="E19" s="67"/>
      <c r="F19" s="67"/>
      <c r="G19" s="67"/>
      <c r="H19" s="67"/>
      <c r="I19" s="67"/>
      <c r="J19" s="67"/>
      <c r="K19" s="67"/>
      <c r="L19" s="67"/>
      <c r="M19" s="67"/>
      <c r="N19" s="67"/>
      <c r="O19" s="67"/>
      <c r="P19" s="67"/>
      <c r="Q19" s="67"/>
      <c r="R19" s="67"/>
      <c r="S19" s="66"/>
      <c r="T19" s="66"/>
      <c r="U19" s="66"/>
    </row>
    <row r="20" spans="2:21" x14ac:dyDescent="0.25">
      <c r="B20" s="67"/>
      <c r="C20" s="67"/>
      <c r="D20" s="67"/>
      <c r="E20" s="67"/>
      <c r="F20" s="67"/>
      <c r="G20" s="67"/>
      <c r="H20" s="67"/>
      <c r="I20" s="67"/>
      <c r="J20" s="67"/>
      <c r="K20" s="67"/>
      <c r="L20" s="67"/>
      <c r="M20" s="67"/>
      <c r="N20" s="67"/>
      <c r="O20" s="67"/>
      <c r="P20" s="67"/>
      <c r="Q20" s="67"/>
      <c r="R20" s="67"/>
      <c r="S20" s="66"/>
      <c r="T20" s="66"/>
      <c r="U20" s="66"/>
    </row>
    <row r="21" spans="2:21" x14ac:dyDescent="0.25">
      <c r="B21" s="67"/>
      <c r="C21" s="67"/>
      <c r="D21" s="67"/>
      <c r="E21" s="67"/>
      <c r="F21" s="67"/>
      <c r="G21" s="67"/>
      <c r="H21" s="67"/>
      <c r="I21" s="67"/>
      <c r="J21" s="67"/>
      <c r="K21" s="67"/>
      <c r="L21" s="67"/>
      <c r="M21" s="67"/>
      <c r="N21" s="67"/>
      <c r="O21" s="67"/>
      <c r="P21" s="67"/>
      <c r="Q21" s="67"/>
      <c r="R21" s="67"/>
      <c r="S21" s="66"/>
      <c r="T21" s="66"/>
      <c r="U21" s="66"/>
    </row>
    <row r="22" spans="2:21" x14ac:dyDescent="0.25">
      <c r="B22" s="67"/>
      <c r="C22" s="67"/>
      <c r="D22" s="67"/>
      <c r="E22" s="67"/>
      <c r="F22" s="67"/>
      <c r="G22" s="67"/>
      <c r="H22" s="67"/>
      <c r="I22" s="67"/>
      <c r="J22" s="67"/>
      <c r="K22" s="67"/>
      <c r="L22" s="67"/>
      <c r="M22" s="67"/>
      <c r="N22" s="67"/>
      <c r="O22" s="67"/>
      <c r="P22" s="67"/>
      <c r="Q22" s="67"/>
      <c r="R22" s="67"/>
      <c r="S22" s="66"/>
      <c r="T22" s="66"/>
      <c r="U22" s="66"/>
    </row>
    <row r="23" spans="2:21" x14ac:dyDescent="0.25">
      <c r="B23" s="67"/>
      <c r="C23" s="67"/>
      <c r="D23" s="67"/>
      <c r="E23" s="67"/>
      <c r="F23" s="67"/>
      <c r="G23" s="67"/>
      <c r="H23" s="67"/>
      <c r="I23" s="67"/>
      <c r="J23" s="67"/>
      <c r="K23" s="67"/>
      <c r="L23" s="67"/>
      <c r="M23" s="67"/>
      <c r="N23" s="67"/>
      <c r="O23" s="67"/>
      <c r="P23" s="67"/>
      <c r="Q23" s="67"/>
      <c r="R23" s="67"/>
      <c r="S23" s="66"/>
      <c r="T23" s="66"/>
      <c r="U23" s="66"/>
    </row>
    <row r="24" spans="2:21" x14ac:dyDescent="0.25">
      <c r="B24" s="66"/>
      <c r="C24" s="66"/>
      <c r="D24" s="66"/>
      <c r="E24" s="66"/>
      <c r="F24" s="66"/>
      <c r="G24" s="66"/>
      <c r="H24" s="66"/>
      <c r="I24" s="66"/>
      <c r="J24" s="66"/>
      <c r="K24" s="66"/>
      <c r="L24" s="66"/>
      <c r="M24" s="66"/>
      <c r="N24" s="66"/>
      <c r="O24" s="66"/>
      <c r="P24" s="66"/>
      <c r="Q24" s="66"/>
      <c r="R24" s="66"/>
      <c r="S24" s="66"/>
      <c r="T24" s="66"/>
      <c r="U24" s="66"/>
    </row>
    <row r="25" spans="2:21" x14ac:dyDescent="0.25">
      <c r="B25" s="66"/>
      <c r="C25" s="66"/>
      <c r="D25" s="66"/>
      <c r="E25" s="66"/>
      <c r="F25" s="66"/>
      <c r="G25" s="66"/>
      <c r="H25" s="66"/>
      <c r="I25" s="66"/>
      <c r="J25" s="66"/>
      <c r="K25" s="66"/>
      <c r="L25" s="66"/>
      <c r="M25" s="66"/>
      <c r="N25" s="66"/>
      <c r="O25" s="66"/>
      <c r="P25" s="66"/>
      <c r="Q25" s="66"/>
      <c r="R25" s="66"/>
      <c r="S25" s="66"/>
      <c r="T25" s="66"/>
      <c r="U25" s="66"/>
    </row>
    <row r="26" spans="2:21" x14ac:dyDescent="0.25">
      <c r="B26" s="66"/>
      <c r="C26" s="66"/>
      <c r="D26" s="66"/>
      <c r="E26" s="66"/>
      <c r="F26" s="66"/>
      <c r="G26" s="66"/>
      <c r="H26" s="66"/>
      <c r="I26" s="66"/>
      <c r="J26" s="66"/>
      <c r="K26" s="66"/>
      <c r="L26" s="66"/>
      <c r="M26" s="66"/>
      <c r="N26" s="66"/>
      <c r="O26" s="66"/>
      <c r="P26" s="66"/>
      <c r="Q26" s="66"/>
      <c r="R26" s="66"/>
      <c r="S26" s="66"/>
      <c r="T26" s="66"/>
      <c r="U26" s="66"/>
    </row>
    <row r="27" spans="2:21" x14ac:dyDescent="0.25">
      <c r="B27" s="66"/>
      <c r="C27" s="66"/>
      <c r="D27" s="66"/>
      <c r="E27" s="66"/>
      <c r="F27" s="66"/>
      <c r="G27" s="66"/>
      <c r="H27" s="66"/>
      <c r="I27" s="66"/>
      <c r="J27" s="66"/>
      <c r="K27" s="66"/>
      <c r="L27" s="66"/>
      <c r="M27" s="66"/>
      <c r="N27" s="66"/>
      <c r="O27" s="66"/>
      <c r="P27" s="66"/>
      <c r="Q27" s="66"/>
      <c r="R27" s="66"/>
      <c r="S27" s="66"/>
      <c r="T27" s="66"/>
      <c r="U27" s="66"/>
    </row>
  </sheetData>
  <mergeCells count="1">
    <mergeCell ref="B2:N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F824F-1D76-4EA2-ADC9-953502F7B4BB}">
  <sheetPr>
    <tabColor theme="9"/>
  </sheetPr>
  <dimension ref="B1:DS164"/>
  <sheetViews>
    <sheetView showGridLines="0" topLeftCell="N1" zoomScale="59" zoomScaleNormal="80" workbookViewId="0">
      <pane ySplit="5" topLeftCell="A6" activePane="bottomLeft" state="frozen"/>
      <selection activeCell="T1" sqref="T1"/>
      <selection pane="bottomLeft" activeCell="S115" sqref="S115"/>
    </sheetView>
  </sheetViews>
  <sheetFormatPr defaultRowHeight="15" outlineLevelCol="2" x14ac:dyDescent="0.25"/>
  <cols>
    <col min="1" max="1" width="2.28515625" customWidth="1"/>
    <col min="2" max="2" width="22.5703125" customWidth="1"/>
    <col min="3" max="3" width="12.42578125" customWidth="1" outlineLevel="2"/>
    <col min="4" max="4" width="12.42578125" customWidth="1"/>
    <col min="5" max="5" width="10.85546875" customWidth="1" outlineLevel="2"/>
    <col min="6" max="14" width="10.28515625" customWidth="1" outlineLevel="2"/>
    <col min="15" max="15" width="68.28515625" customWidth="1"/>
    <col min="16" max="16" width="36" bestFit="1" customWidth="1"/>
    <col min="17" max="17" width="18.85546875" customWidth="1"/>
    <col min="18" max="18" width="16.140625" customWidth="1" outlineLevel="1"/>
    <col min="19" max="23" width="16.85546875" customWidth="1" outlineLevel="1"/>
    <col min="24" max="25" width="16.85546875" customWidth="1" outlineLevel="2"/>
    <col min="26" max="27" width="10.28515625" customWidth="1" outlineLevel="2"/>
    <col min="28" max="28" width="7.42578125" customWidth="1" outlineLevel="2"/>
    <col min="29" max="29" width="6.140625" customWidth="1" outlineLevel="2"/>
    <col min="30" max="30" width="9.5703125" customWidth="1" outlineLevel="2"/>
    <col min="31" max="33" width="10.5703125" customWidth="1" outlineLevel="2"/>
    <col min="34" max="34" width="13.140625" customWidth="1" outlineLevel="2"/>
    <col min="35" max="35" width="14" customWidth="1" outlineLevel="2"/>
    <col min="36" max="37" width="6.5703125" customWidth="1" outlineLevel="2"/>
    <col min="38" max="38" width="7.42578125" customWidth="1" outlineLevel="2"/>
    <col min="39" max="39" width="10.7109375" customWidth="1" outlineLevel="1"/>
    <col min="40" max="40" width="15.28515625" bestFit="1" customWidth="1"/>
    <col min="41" max="41" width="1" customWidth="1"/>
    <col min="42" max="42" width="11.7109375" customWidth="1"/>
    <col min="43" max="43" width="12.42578125" customWidth="1"/>
    <col min="44" max="46" width="9.7109375" customWidth="1" outlineLevel="2"/>
    <col min="47" max="47" width="10.7109375" customWidth="1" outlineLevel="2"/>
    <col min="48" max="48" width="10.28515625" customWidth="1" outlineLevel="2"/>
    <col min="49" max="49" width="10.7109375" customWidth="1" outlineLevel="2"/>
    <col min="50" max="50" width="10.28515625" customWidth="1" outlineLevel="2"/>
    <col min="51" max="52" width="9.7109375" customWidth="1" outlineLevel="2"/>
    <col min="53" max="53" width="10.7109375" customWidth="1" outlineLevel="2"/>
    <col min="54" max="54" width="95" bestFit="1" customWidth="1"/>
    <col min="55" max="55" width="36.28515625" bestFit="1" customWidth="1"/>
    <col min="56" max="56" width="16" customWidth="1"/>
    <col min="57" max="57" width="16" bestFit="1" customWidth="1" outlineLevel="1"/>
    <col min="58" max="62" width="14.5703125" customWidth="1" outlineLevel="1"/>
    <col min="63" max="64" width="14.5703125" customWidth="1" outlineLevel="2"/>
    <col min="65" max="66" width="10.28515625" customWidth="1" outlineLevel="2"/>
    <col min="67" max="67" width="7.42578125" customWidth="1" outlineLevel="2"/>
    <col min="68" max="68" width="7.5703125" customWidth="1" outlineLevel="2"/>
    <col min="69" max="72" width="9.28515625" customWidth="1" outlineLevel="2"/>
    <col min="73" max="74" width="9.85546875" customWidth="1" outlineLevel="2"/>
    <col min="75" max="76" width="6.5703125" customWidth="1" outlineLevel="2"/>
    <col min="77" max="77" width="7.5703125" customWidth="1" outlineLevel="2"/>
    <col min="78" max="78" width="11.28515625" bestFit="1" customWidth="1" outlineLevel="1"/>
    <col min="79" max="79" width="17.7109375" bestFit="1" customWidth="1"/>
    <col min="80" max="80" width="1.28515625" customWidth="1"/>
    <col min="81" max="81" width="10.42578125" hidden="1" customWidth="1"/>
    <col min="82" max="82" width="12.42578125" hidden="1" customWidth="1"/>
    <col min="83" max="92" width="9.7109375" hidden="1" customWidth="1" outlineLevel="2"/>
    <col min="93" max="93" width="54" hidden="1" customWidth="1" collapsed="1"/>
    <col min="94" max="94" width="14.42578125" hidden="1" customWidth="1"/>
    <col min="95" max="95" width="11.7109375" hidden="1" customWidth="1" outlineLevel="1"/>
    <col min="96" max="96" width="11.28515625" hidden="1" customWidth="1" outlineLevel="1"/>
    <col min="97" max="99" width="10.7109375" hidden="1" customWidth="1" outlineLevel="1"/>
    <col min="100" max="100" width="11.7109375" hidden="1" customWidth="1" outlineLevel="1"/>
    <col min="101" max="104" width="10.28515625" hidden="1" customWidth="1" outlineLevel="2"/>
    <col min="105" max="105" width="7.42578125" hidden="1" customWidth="1" outlineLevel="2"/>
    <col min="106" max="106" width="6.140625" hidden="1" customWidth="1" outlineLevel="2"/>
    <col min="107" max="110" width="9.28515625" hidden="1" customWidth="1" outlineLevel="2"/>
    <col min="111" max="114" width="6.5703125" hidden="1" customWidth="1" outlineLevel="2"/>
    <col min="115" max="115" width="7.42578125" hidden="1" customWidth="1" outlineLevel="2"/>
    <col min="116" max="116" width="10.7109375" hidden="1" customWidth="1" outlineLevel="1" collapsed="1"/>
    <col min="117" max="117" width="12.85546875" hidden="1" customWidth="1" collapsed="1"/>
    <col min="118" max="118" width="1.5703125" customWidth="1"/>
  </cols>
  <sheetData>
    <row r="1" spans="2:123" ht="27" thickBot="1" x14ac:dyDescent="0.45">
      <c r="O1" s="244" t="s">
        <v>151</v>
      </c>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6"/>
      <c r="BB1" s="241" t="s">
        <v>280</v>
      </c>
      <c r="BC1" s="242"/>
      <c r="BD1" s="242"/>
      <c r="BE1" s="242"/>
      <c r="BF1" s="242"/>
      <c r="BG1" s="242"/>
      <c r="BH1" s="242"/>
      <c r="BI1" s="242"/>
      <c r="BJ1" s="242"/>
      <c r="BK1" s="242"/>
      <c r="BL1" s="242"/>
      <c r="BM1" s="242"/>
      <c r="BN1" s="242"/>
      <c r="BO1" s="242"/>
      <c r="BP1" s="242"/>
      <c r="BQ1" s="242"/>
      <c r="BR1" s="242"/>
      <c r="BS1" s="242"/>
      <c r="BT1" s="242"/>
      <c r="BU1" s="242"/>
      <c r="BV1" s="242"/>
      <c r="BW1" s="242"/>
      <c r="BX1" s="242"/>
      <c r="BY1" s="242"/>
      <c r="BZ1" s="242"/>
      <c r="CA1" s="243"/>
    </row>
    <row r="2" spans="2:123" x14ac:dyDescent="0.25">
      <c r="B2" s="2" t="s">
        <v>5</v>
      </c>
      <c r="D2" s="15">
        <v>7</v>
      </c>
      <c r="O2" s="2" t="s">
        <v>59</v>
      </c>
      <c r="P2" s="27"/>
      <c r="Q2" s="3">
        <v>0.06</v>
      </c>
      <c r="S2" s="105"/>
      <c r="T2" s="105"/>
      <c r="U2" s="105"/>
      <c r="V2" s="105"/>
      <c r="W2" s="105"/>
      <c r="BB2" s="2" t="s">
        <v>6</v>
      </c>
      <c r="BC2" s="27"/>
      <c r="BD2" s="3">
        <v>0</v>
      </c>
      <c r="BE2" t="s">
        <v>344</v>
      </c>
      <c r="BF2" s="35"/>
      <c r="BG2" s="35"/>
      <c r="BH2" s="35"/>
      <c r="BI2" s="35"/>
      <c r="BJ2" s="35"/>
      <c r="BR2" s="35"/>
      <c r="CT2" s="1"/>
      <c r="CV2" s="1"/>
      <c r="DD2" s="35"/>
    </row>
    <row r="3" spans="2:123" ht="15.75" thickBot="1" x14ac:dyDescent="0.3">
      <c r="B3" s="2" t="s">
        <v>6</v>
      </c>
      <c r="D3" s="16">
        <v>0.2</v>
      </c>
      <c r="O3" s="2" t="s">
        <v>60</v>
      </c>
      <c r="P3" s="27"/>
      <c r="Q3" s="3">
        <v>0.03</v>
      </c>
      <c r="R3" s="1"/>
      <c r="T3" s="65"/>
      <c r="U3" s="65"/>
      <c r="V3" s="65"/>
      <c r="W3" s="65"/>
      <c r="AP3" s="104"/>
      <c r="AQ3" s="104"/>
      <c r="BB3" s="2" t="s">
        <v>7</v>
      </c>
      <c r="BC3" s="27"/>
      <c r="BD3" s="3">
        <v>0.03</v>
      </c>
      <c r="CC3" s="104"/>
      <c r="CD3" s="104"/>
      <c r="CO3" s="2" t="s">
        <v>7</v>
      </c>
      <c r="CP3" s="3">
        <v>0.03</v>
      </c>
    </row>
    <row r="4" spans="2:123" ht="15" customHeight="1" thickBot="1" x14ac:dyDescent="0.3">
      <c r="B4" s="229" t="s">
        <v>8</v>
      </c>
      <c r="C4" s="153"/>
      <c r="D4" s="231" t="s">
        <v>9</v>
      </c>
      <c r="E4" s="233" t="s">
        <v>10</v>
      </c>
      <c r="F4" s="234"/>
      <c r="G4" s="234"/>
      <c r="H4" s="234"/>
      <c r="I4" s="234"/>
      <c r="J4" s="234"/>
      <c r="K4" s="234"/>
      <c r="L4" s="234"/>
      <c r="M4" s="234"/>
      <c r="N4" s="235"/>
      <c r="O4" s="236" t="s">
        <v>151</v>
      </c>
      <c r="P4" s="237"/>
      <c r="Q4" s="237"/>
      <c r="R4" s="237"/>
      <c r="S4" s="237"/>
      <c r="T4" s="237"/>
      <c r="U4" s="237"/>
      <c r="V4" s="237"/>
      <c r="W4" s="237"/>
      <c r="X4" s="237"/>
      <c r="Y4" s="237"/>
      <c r="Z4" s="237"/>
      <c r="AA4" s="237"/>
      <c r="AB4" s="237"/>
      <c r="AC4" s="237"/>
      <c r="AD4" s="237"/>
      <c r="AE4" s="237"/>
      <c r="AF4" s="237"/>
      <c r="AG4" s="237"/>
      <c r="AH4" s="237"/>
      <c r="AI4" s="237"/>
      <c r="AJ4" s="237"/>
      <c r="AK4" s="237"/>
      <c r="AL4" s="237"/>
      <c r="AM4" s="237"/>
      <c r="AN4" s="238"/>
      <c r="AP4" s="227" t="s">
        <v>8</v>
      </c>
      <c r="AQ4" s="219" t="s">
        <v>9</v>
      </c>
      <c r="AR4" s="221" t="s">
        <v>10</v>
      </c>
      <c r="AS4" s="222"/>
      <c r="AT4" s="222"/>
      <c r="AU4" s="222"/>
      <c r="AV4" s="222"/>
      <c r="AW4" s="222"/>
      <c r="AX4" s="222"/>
      <c r="AY4" s="222"/>
      <c r="AZ4" s="222"/>
      <c r="BA4" s="223"/>
      <c r="BB4" s="224" t="s">
        <v>280</v>
      </c>
      <c r="BC4" s="225"/>
      <c r="BD4" s="225"/>
      <c r="BE4" s="225"/>
      <c r="BF4" s="225"/>
      <c r="BG4" s="225"/>
      <c r="BH4" s="225"/>
      <c r="BI4" s="225"/>
      <c r="BJ4" s="225"/>
      <c r="BK4" s="225"/>
      <c r="BL4" s="225"/>
      <c r="BM4" s="225"/>
      <c r="BN4" s="225"/>
      <c r="BO4" s="225"/>
      <c r="BP4" s="225"/>
      <c r="BQ4" s="225"/>
      <c r="BR4" s="225"/>
      <c r="BS4" s="225"/>
      <c r="BT4" s="225"/>
      <c r="BU4" s="225"/>
      <c r="BV4" s="225"/>
      <c r="BW4" s="225"/>
      <c r="BX4" s="225"/>
      <c r="BY4" s="225"/>
      <c r="BZ4" s="225"/>
      <c r="CA4" s="226"/>
      <c r="CC4" s="227" t="s">
        <v>8</v>
      </c>
      <c r="CD4" s="219" t="s">
        <v>9</v>
      </c>
      <c r="CE4" s="221" t="s">
        <v>10</v>
      </c>
      <c r="CF4" s="222"/>
      <c r="CG4" s="222"/>
      <c r="CH4" s="222"/>
      <c r="CI4" s="222"/>
      <c r="CJ4" s="222"/>
      <c r="CK4" s="222"/>
      <c r="CL4" s="222"/>
      <c r="CM4" s="222"/>
      <c r="CN4" s="223"/>
      <c r="CO4" s="210" t="s">
        <v>11</v>
      </c>
      <c r="CP4" s="211"/>
      <c r="CQ4" s="211"/>
      <c r="CR4" s="211"/>
      <c r="CS4" s="211"/>
      <c r="CT4" s="211"/>
      <c r="CU4" s="211"/>
      <c r="CV4" s="211"/>
      <c r="CW4" s="211"/>
      <c r="CX4" s="211"/>
      <c r="CY4" s="211"/>
      <c r="CZ4" s="211"/>
      <c r="DA4" s="211"/>
      <c r="DB4" s="211"/>
      <c r="DC4" s="211"/>
      <c r="DD4" s="211"/>
      <c r="DE4" s="211"/>
      <c r="DF4" s="211"/>
      <c r="DG4" s="211"/>
      <c r="DH4" s="211"/>
      <c r="DI4" s="211"/>
      <c r="DJ4" s="211"/>
      <c r="DK4" s="211"/>
      <c r="DL4" s="211"/>
      <c r="DM4" s="212"/>
    </row>
    <row r="5" spans="2:123" ht="45.75" thickBot="1" x14ac:dyDescent="0.3">
      <c r="B5" s="230"/>
      <c r="C5" s="10" t="s">
        <v>57</v>
      </c>
      <c r="D5" s="232"/>
      <c r="E5" s="10" t="s">
        <v>12</v>
      </c>
      <c r="F5" s="10" t="s">
        <v>13</v>
      </c>
      <c r="G5" s="10" t="s">
        <v>14</v>
      </c>
      <c r="H5" s="10" t="s">
        <v>15</v>
      </c>
      <c r="I5" s="10" t="s">
        <v>16</v>
      </c>
      <c r="J5" s="10" t="s">
        <v>17</v>
      </c>
      <c r="K5" s="10" t="s">
        <v>18</v>
      </c>
      <c r="L5" s="10" t="s">
        <v>19</v>
      </c>
      <c r="M5" s="10" t="s">
        <v>20</v>
      </c>
      <c r="N5" s="11" t="s">
        <v>21</v>
      </c>
      <c r="O5" s="4" t="s">
        <v>22</v>
      </c>
      <c r="P5" s="19" t="s">
        <v>23</v>
      </c>
      <c r="Q5" s="17" t="s">
        <v>24</v>
      </c>
      <c r="R5" s="22" t="s">
        <v>25</v>
      </c>
      <c r="S5" s="18" t="s">
        <v>26</v>
      </c>
      <c r="T5" s="18" t="s">
        <v>27</v>
      </c>
      <c r="U5" s="18" t="s">
        <v>28</v>
      </c>
      <c r="V5" s="18" t="s">
        <v>29</v>
      </c>
      <c r="W5" s="18" t="s">
        <v>30</v>
      </c>
      <c r="X5" s="5" t="s">
        <v>31</v>
      </c>
      <c r="Y5" s="17" t="s">
        <v>32</v>
      </c>
      <c r="Z5" s="17" t="s">
        <v>33</v>
      </c>
      <c r="AA5" s="17" t="s">
        <v>34</v>
      </c>
      <c r="AB5" s="18" t="s">
        <v>35</v>
      </c>
      <c r="AC5" s="8" t="s">
        <v>36</v>
      </c>
      <c r="AD5" s="8" t="s">
        <v>37</v>
      </c>
      <c r="AE5" s="8" t="s">
        <v>38</v>
      </c>
      <c r="AF5" s="8" t="s">
        <v>39</v>
      </c>
      <c r="AG5" s="8" t="s">
        <v>40</v>
      </c>
      <c r="AH5" s="8" t="s">
        <v>41</v>
      </c>
      <c r="AI5" s="8" t="s">
        <v>42</v>
      </c>
      <c r="AJ5" s="8" t="s">
        <v>43</v>
      </c>
      <c r="AK5" s="8" t="s">
        <v>44</v>
      </c>
      <c r="AL5" s="8" t="s">
        <v>45</v>
      </c>
      <c r="AM5" s="5" t="s">
        <v>46</v>
      </c>
      <c r="AN5" s="79" t="s">
        <v>47</v>
      </c>
      <c r="AP5" s="228"/>
      <c r="AQ5" s="220"/>
      <c r="AR5" s="71" t="s">
        <v>12</v>
      </c>
      <c r="AS5" s="71" t="s">
        <v>13</v>
      </c>
      <c r="AT5" s="71" t="s">
        <v>14</v>
      </c>
      <c r="AU5" s="71" t="s">
        <v>15</v>
      </c>
      <c r="AV5" s="71" t="s">
        <v>16</v>
      </c>
      <c r="AW5" s="71" t="s">
        <v>17</v>
      </c>
      <c r="AX5" s="71" t="s">
        <v>18</v>
      </c>
      <c r="AY5" s="71" t="s">
        <v>19</v>
      </c>
      <c r="AZ5" s="71" t="s">
        <v>20</v>
      </c>
      <c r="BA5" s="72" t="s">
        <v>21</v>
      </c>
      <c r="BB5" s="73" t="s">
        <v>22</v>
      </c>
      <c r="BC5" s="74" t="s">
        <v>23</v>
      </c>
      <c r="BD5" s="75" t="s">
        <v>24</v>
      </c>
      <c r="BE5" s="68" t="s">
        <v>25</v>
      </c>
      <c r="BF5" s="76" t="s">
        <v>26</v>
      </c>
      <c r="BG5" s="76" t="s">
        <v>27</v>
      </c>
      <c r="BH5" s="76" t="s">
        <v>28</v>
      </c>
      <c r="BI5" s="76" t="s">
        <v>29</v>
      </c>
      <c r="BJ5" s="76" t="s">
        <v>30</v>
      </c>
      <c r="BK5" s="77" t="s">
        <v>31</v>
      </c>
      <c r="BL5" s="75" t="s">
        <v>32</v>
      </c>
      <c r="BM5" s="75" t="s">
        <v>33</v>
      </c>
      <c r="BN5" s="75" t="s">
        <v>34</v>
      </c>
      <c r="BO5" s="76" t="s">
        <v>35</v>
      </c>
      <c r="BP5" s="78" t="s">
        <v>36</v>
      </c>
      <c r="BQ5" s="78" t="s">
        <v>37</v>
      </c>
      <c r="BR5" s="78" t="s">
        <v>38</v>
      </c>
      <c r="BS5" s="78" t="s">
        <v>39</v>
      </c>
      <c r="BT5" s="78" t="s">
        <v>40</v>
      </c>
      <c r="BU5" s="78" t="s">
        <v>41</v>
      </c>
      <c r="BV5" s="78" t="s">
        <v>42</v>
      </c>
      <c r="BW5" s="78" t="s">
        <v>43</v>
      </c>
      <c r="BX5" s="78" t="s">
        <v>44</v>
      </c>
      <c r="BY5" s="78" t="s">
        <v>45</v>
      </c>
      <c r="BZ5" s="77" t="s">
        <v>46</v>
      </c>
      <c r="CA5" s="101" t="s">
        <v>47</v>
      </c>
      <c r="CC5" s="228"/>
      <c r="CD5" s="220"/>
      <c r="CE5" s="71" t="s">
        <v>12</v>
      </c>
      <c r="CF5" s="71" t="s">
        <v>13</v>
      </c>
      <c r="CG5" s="71" t="s">
        <v>14</v>
      </c>
      <c r="CH5" s="71" t="s">
        <v>15</v>
      </c>
      <c r="CI5" s="71" t="s">
        <v>16</v>
      </c>
      <c r="CJ5" s="71" t="s">
        <v>17</v>
      </c>
      <c r="CK5" s="71" t="s">
        <v>18</v>
      </c>
      <c r="CL5" s="71" t="s">
        <v>19</v>
      </c>
      <c r="CM5" s="71" t="s">
        <v>20</v>
      </c>
      <c r="CN5" s="72" t="s">
        <v>21</v>
      </c>
      <c r="CO5" s="115" t="s">
        <v>22</v>
      </c>
      <c r="CP5" s="116" t="s">
        <v>24</v>
      </c>
      <c r="CQ5" s="68" t="s">
        <v>25</v>
      </c>
      <c r="CR5" s="117" t="s">
        <v>26</v>
      </c>
      <c r="CS5" s="117" t="s">
        <v>27</v>
      </c>
      <c r="CT5" s="117" t="s">
        <v>28</v>
      </c>
      <c r="CU5" s="117" t="s">
        <v>29</v>
      </c>
      <c r="CV5" s="117" t="s">
        <v>30</v>
      </c>
      <c r="CW5" s="118" t="s">
        <v>31</v>
      </c>
      <c r="CX5" s="116" t="s">
        <v>32</v>
      </c>
      <c r="CY5" s="116" t="s">
        <v>33</v>
      </c>
      <c r="CZ5" s="116" t="s">
        <v>34</v>
      </c>
      <c r="DA5" s="117" t="s">
        <v>35</v>
      </c>
      <c r="DB5" s="78" t="s">
        <v>36</v>
      </c>
      <c r="DC5" s="78" t="s">
        <v>37</v>
      </c>
      <c r="DD5" s="78" t="s">
        <v>38</v>
      </c>
      <c r="DE5" s="78" t="s">
        <v>39</v>
      </c>
      <c r="DF5" s="78" t="s">
        <v>40</v>
      </c>
      <c r="DG5" s="78" t="s">
        <v>41</v>
      </c>
      <c r="DH5" s="78" t="s">
        <v>42</v>
      </c>
      <c r="DI5" s="78" t="s">
        <v>43</v>
      </c>
      <c r="DJ5" s="78" t="s">
        <v>44</v>
      </c>
      <c r="DK5" s="78" t="s">
        <v>45</v>
      </c>
      <c r="DL5" s="118" t="s">
        <v>46</v>
      </c>
      <c r="DM5" s="119" t="s">
        <v>47</v>
      </c>
    </row>
    <row r="6" spans="2:123" ht="15.75" thickBot="1" x14ac:dyDescent="0.3">
      <c r="B6" s="213" t="s">
        <v>85</v>
      </c>
      <c r="C6" s="214"/>
      <c r="D6" s="214"/>
      <c r="E6" s="214"/>
      <c r="F6" s="214"/>
      <c r="G6" s="214"/>
      <c r="H6" s="214"/>
      <c r="I6" s="214"/>
      <c r="J6" s="214"/>
      <c r="K6" s="214"/>
      <c r="L6" s="214"/>
      <c r="M6" s="214"/>
      <c r="N6" s="214"/>
      <c r="O6" s="214"/>
      <c r="P6" s="214"/>
      <c r="Q6" s="214"/>
      <c r="R6" s="214"/>
      <c r="S6" s="214"/>
      <c r="T6" s="214"/>
      <c r="U6" s="214"/>
      <c r="V6" s="214"/>
      <c r="W6" s="214"/>
      <c r="X6" s="214"/>
      <c r="Y6" s="214"/>
      <c r="Z6" s="214"/>
      <c r="AA6" s="214"/>
      <c r="AB6" s="214"/>
      <c r="AC6" s="214"/>
      <c r="AD6" s="214"/>
      <c r="AE6" s="214"/>
      <c r="AF6" s="214"/>
      <c r="AG6" s="214"/>
      <c r="AH6" s="214"/>
      <c r="AI6" s="214"/>
      <c r="AJ6" s="214"/>
      <c r="AK6" s="214"/>
      <c r="AL6" s="214"/>
      <c r="AM6" s="214"/>
      <c r="AN6" s="215"/>
      <c r="AP6" s="239" t="s">
        <v>154</v>
      </c>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4"/>
      <c r="BQ6" s="214"/>
      <c r="BR6" s="214"/>
      <c r="BS6" s="214"/>
      <c r="BT6" s="214"/>
      <c r="BU6" s="214"/>
      <c r="BV6" s="214"/>
      <c r="BW6" s="214"/>
      <c r="BX6" s="214"/>
      <c r="BY6" s="214"/>
      <c r="BZ6" s="214"/>
      <c r="CA6" s="240"/>
      <c r="CC6" s="239" t="s">
        <v>48</v>
      </c>
      <c r="CD6" s="214"/>
      <c r="CE6" s="214"/>
      <c r="CF6" s="214"/>
      <c r="CG6" s="214"/>
      <c r="CH6" s="214"/>
      <c r="CI6" s="214"/>
      <c r="CJ6" s="214"/>
      <c r="CK6" s="214"/>
      <c r="CL6" s="214"/>
      <c r="CM6" s="214"/>
      <c r="CN6" s="214"/>
      <c r="CO6" s="214"/>
      <c r="CP6" s="214"/>
      <c r="CQ6" s="214"/>
      <c r="CR6" s="214"/>
      <c r="CS6" s="214"/>
      <c r="CT6" s="214"/>
      <c r="CU6" s="214"/>
      <c r="CV6" s="214"/>
      <c r="CW6" s="214"/>
      <c r="CX6" s="214"/>
      <c r="CY6" s="214"/>
      <c r="CZ6" s="214"/>
      <c r="DA6" s="214"/>
      <c r="DB6" s="214"/>
      <c r="DC6" s="214"/>
      <c r="DD6" s="214"/>
      <c r="DE6" s="214"/>
      <c r="DF6" s="214"/>
      <c r="DG6" s="214"/>
      <c r="DH6" s="214"/>
      <c r="DI6" s="214"/>
      <c r="DJ6" s="214"/>
      <c r="DK6" s="214"/>
      <c r="DL6" s="214"/>
      <c r="DM6" s="240"/>
    </row>
    <row r="7" spans="2:123" x14ac:dyDescent="0.25">
      <c r="B7" s="141" t="s">
        <v>0</v>
      </c>
      <c r="C7" s="24">
        <v>1</v>
      </c>
      <c r="D7" s="147">
        <f t="shared" ref="D7:D19" si="0">IFERROR(AVERAGE(C7:C7),0)</f>
        <v>1</v>
      </c>
      <c r="E7" s="142">
        <f t="shared" ref="E7" si="1">IF($B7="Annual",1,IF($B7="Monthly F",12,IF($B7="Monthly V",D7*12,IF($B7="One-Time",1,D7*12))))</f>
        <v>12</v>
      </c>
      <c r="F7" s="14">
        <v>0</v>
      </c>
      <c r="G7" s="14">
        <v>0</v>
      </c>
      <c r="H7" s="14">
        <v>0</v>
      </c>
      <c r="I7" s="14">
        <v>0</v>
      </c>
      <c r="J7" s="14">
        <v>0</v>
      </c>
      <c r="K7" s="14">
        <v>0</v>
      </c>
      <c r="L7" s="14">
        <v>0</v>
      </c>
      <c r="M7" s="14">
        <v>0</v>
      </c>
      <c r="N7" s="14">
        <v>0</v>
      </c>
      <c r="O7" s="127" t="s">
        <v>61</v>
      </c>
      <c r="P7" s="13" t="s">
        <v>58</v>
      </c>
      <c r="Q7" s="20">
        <v>15000</v>
      </c>
      <c r="R7" s="21">
        <f>S7/12</f>
        <v>15000</v>
      </c>
      <c r="S7" s="6">
        <f>IFERROR($Q7*E7,0)</f>
        <v>180000</v>
      </c>
      <c r="T7" s="6">
        <f t="shared" ref="S7:V19" si="2">IFERROR($Q7*F7,0)</f>
        <v>0</v>
      </c>
      <c r="U7" s="6">
        <f t="shared" si="2"/>
        <v>0</v>
      </c>
      <c r="V7" s="6">
        <f>IFERROR($Q7*H7,0)</f>
        <v>0</v>
      </c>
      <c r="W7" s="6">
        <f t="shared" ref="W7:AB19" si="3">IFERROR($Q7*I7,0)</f>
        <v>0</v>
      </c>
      <c r="X7" s="6">
        <f t="shared" si="3"/>
        <v>0</v>
      </c>
      <c r="Y7" s="6">
        <f t="shared" si="3"/>
        <v>0</v>
      </c>
      <c r="Z7" s="6">
        <f t="shared" si="3"/>
        <v>0</v>
      </c>
      <c r="AA7" s="6">
        <f t="shared" si="3"/>
        <v>0</v>
      </c>
      <c r="AB7" s="6">
        <f t="shared" si="3"/>
        <v>0</v>
      </c>
      <c r="AC7" s="7"/>
      <c r="AD7" s="152">
        <v>0</v>
      </c>
      <c r="AE7" s="152">
        <v>0</v>
      </c>
      <c r="AF7" s="152">
        <v>0</v>
      </c>
      <c r="AG7" s="152">
        <v>0</v>
      </c>
      <c r="AH7" s="152">
        <v>0</v>
      </c>
      <c r="AI7" s="152">
        <v>0</v>
      </c>
      <c r="AJ7" s="152">
        <v>0</v>
      </c>
      <c r="AK7" s="152">
        <v>0</v>
      </c>
      <c r="AL7" s="152">
        <v>0</v>
      </c>
      <c r="AM7" s="9">
        <f t="shared" ref="AM7:AM12" si="4">SUM(AC7:AL7)</f>
        <v>0</v>
      </c>
      <c r="AN7" s="80">
        <f t="shared" ref="AN7:AN11" si="5">SUM(AM7,S7:AB7)</f>
        <v>180000</v>
      </c>
      <c r="AP7" s="114" t="s">
        <v>1</v>
      </c>
      <c r="AQ7" s="143">
        <v>5000</v>
      </c>
      <c r="AR7" s="14">
        <f t="shared" ref="AR7" si="6">IF($AP7="Annual",1,IF($AP7="Monthly F",12,IF($AP7="Monthly V",AQ7*12,IF($AP7="One-Time",1,AQ7*12))))</f>
        <v>60000</v>
      </c>
      <c r="AS7" s="14" cm="1">
        <f t="array" ref="AS7">IFERROR(_xlfn.IFS(VALUE(MID(AS$5,6,1))&gt;$D$2,0,$AP7="Annual",1,AR7=12,12,$AP7="Monthly V",AR7*(1+$BD$2),$AP7="Monthly F",12,$AP7="One-Time",0),AR7*(1+$BD$2))</f>
        <v>60000</v>
      </c>
      <c r="AT7" s="14" cm="1">
        <f t="array" ref="AT7">IFERROR(_xlfn.IFS(VALUE(MID(AT$5,6,1))&gt;$D$2,0,$AP7="Annual",1,AS7=12,12,$AP7="Monthly V",AS7*(1+$BD$2),$AP7="Monthly F",12,$AP7="One-Time",0),AS7*(1+$BD$2))</f>
        <v>60000</v>
      </c>
      <c r="AU7" s="14" cm="1">
        <f t="array" ref="AU7">IFERROR(_xlfn.IFS(VALUE(MID(AU$5,6,1))&gt;$D$2,0,$AP7="Annual",1,AT7=12,12,$AP7="Monthly V",AT7*(1+$BD$2),$AP7="Monthly F",12,$AP7="One-Time",0),AT7*(1+$BD$2))</f>
        <v>60000</v>
      </c>
      <c r="AV7" s="14" cm="1">
        <f t="array" ref="AV7">IFERROR(_xlfn.IFS(VALUE(MID(AV$5,6,1))&gt;$D$2,0,$AP7="Annual",1,AU7=12,12,$AP7="Monthly V",AU7*(1+$BD$2),$AP7="Monthly F",12,$AP7="One-Time",0),AU7*(1+$BD$2))</f>
        <v>60000</v>
      </c>
      <c r="AW7" s="14" cm="1">
        <f t="array" ref="AW7">IFERROR(_xlfn.IFS(VALUE(MID(AW$5,6,1))&gt;$D$2,0,$AP7="Annual",1,AV7=12,12,$AP7="Monthly V",AV7*(1+$BD$2),$AP7="Monthly F",12,$AP7="One-Time",0),AV7*(1+$BD$2))</f>
        <v>60000</v>
      </c>
      <c r="AX7" s="14" cm="1">
        <f t="array" ref="AX7">IFERROR(_xlfn.IFS(VALUE(MID(AX$5,6,1))&gt;$D$2,0,$AP7="Annual",1,AW7=12,12,$AP7="Monthly V",AW7*(1+$BD$2),$AP7="Monthly F",12,$AP7="One-Time",0),AW7*(1+$BD$2))</f>
        <v>60000</v>
      </c>
      <c r="AY7" s="14" cm="1">
        <f t="array" ref="AY7">IFERROR(_xlfn.IFS(VALUE(MID(AY$5,6,1))&gt;$D$2,0,$AP7="Annual",1,AX7=12,12,$AP7="Monthly V",AX7*(1+$D$3),$AP7="Monthly F",12,$AP7="One-Time",0),AX7*(1+$D$3))</f>
        <v>0</v>
      </c>
      <c r="AZ7" s="14" cm="1">
        <f t="array" ref="AZ7">IFERROR(_xlfn.IFS(VALUE(MID(AZ$5,6,1))&gt;$D$2,0,$AP7="Annual",1,AY7=12,12,$AP7="Monthly V",AY7*(1+$D$3),$AP7="Monthly F",12,$AP7="One-Time",0),AY7*(1+$D$3))</f>
        <v>0</v>
      </c>
      <c r="BA7" s="125" cm="1">
        <f t="array" ref="BA7">IFERROR(_xlfn.IFS(VALUE(MID(BA$5,6,2))&gt;$D$2,0,$AP7="Annual",1,AZ7=12,12,$AP7="Monthly V",AZ7*(1+$D$3),$AP7="Monthly F",12,$AP7="One-Time",0),AZ7*(1+$D$3))</f>
        <v>0</v>
      </c>
      <c r="BB7" s="186" t="s">
        <v>155</v>
      </c>
      <c r="BC7" s="144" t="s">
        <v>216</v>
      </c>
      <c r="BD7" s="145">
        <v>1.2181</v>
      </c>
      <c r="BE7" s="146">
        <f>BF7/12</f>
        <v>6090.5</v>
      </c>
      <c r="BF7" s="39">
        <f>IFERROR(AR7*$BD7,0)</f>
        <v>73086</v>
      </c>
      <c r="BG7" s="39">
        <f t="shared" ref="BG7:BO7" si="7">IFERROR(AS7*$BD7,0)</f>
        <v>73086</v>
      </c>
      <c r="BH7" s="39">
        <f t="shared" si="7"/>
        <v>73086</v>
      </c>
      <c r="BI7" s="39">
        <f>BH7*1.03</f>
        <v>75278.58</v>
      </c>
      <c r="BJ7" s="39">
        <f>BI7*1.03</f>
        <v>77536.93740000001</v>
      </c>
      <c r="BK7" s="39">
        <f t="shared" ref="BK7:BL9" si="8">BJ7*1.03</f>
        <v>79863.045522000015</v>
      </c>
      <c r="BL7" s="39">
        <f t="shared" si="8"/>
        <v>82258.93688766002</v>
      </c>
      <c r="BM7" s="39">
        <f t="shared" si="7"/>
        <v>0</v>
      </c>
      <c r="BN7" s="39">
        <f t="shared" si="7"/>
        <v>0</v>
      </c>
      <c r="BO7" s="39">
        <f t="shared" si="7"/>
        <v>0</v>
      </c>
      <c r="BP7" s="40"/>
      <c r="BQ7" s="40">
        <f>IF(VALUE(MID(BQ$5,6,1))&lt;=$D$2,((1+$BD$3)^1-1)*BG7,0)</f>
        <v>2192.5800000000017</v>
      </c>
      <c r="BR7" s="40">
        <f>IF(VALUE(MID(BR$5,6,1))&lt;=$D$2,((1+$BD$3)^2-1)*BH7,0)</f>
        <v>4450.9373999999971</v>
      </c>
      <c r="BS7" s="40">
        <f>IF(VALUE(MID(BS$5,6,1))&lt;=$D$2,((1+$BD$3)^3-1)*BI7,0)</f>
        <v>6980.3568876600002</v>
      </c>
      <c r="BT7" s="40">
        <f>IF(VALUE(MID(BT$5,6,1))&lt;=$D$2,((1+$BD$3)^4-1)*BJ7,0)</f>
        <v>9731.5687441184891</v>
      </c>
      <c r="BU7" s="40">
        <f>IF(VALUE(MID(BU$5,6,1))&lt;=$D$2,((1+$BD$3)^5-1)*BK7,0)</f>
        <v>12720.1126462953</v>
      </c>
      <c r="BV7" s="40">
        <f>IF(VALUE(MID(BV$5,6,1))&lt;=$D$2,((1+$BD$3)^6-1)*BL7,0)</f>
        <v>15962.535613084492</v>
      </c>
      <c r="BW7" s="40">
        <f>IF(VALUE(MID(BW$5,6,1))&lt;=$D$2,((1+$BD$3)^7-1)*BM7,0)</f>
        <v>0</v>
      </c>
      <c r="BX7" s="40">
        <f>IF(VALUE(MID(BX$5,6,1))&lt;=$D$2,((1+$BD$3)^8-1)*BN7,0)</f>
        <v>0</v>
      </c>
      <c r="BY7" s="40">
        <f>IF(VALUE(MID(BY$5,6,2))&lt;=$D$2,((1+$BD$3)^9-1)*BO7,0)</f>
        <v>0</v>
      </c>
      <c r="BZ7" s="40">
        <f>SUM(BP7:BY7)</f>
        <v>52038.091291158271</v>
      </c>
      <c r="CA7" s="37">
        <f t="shared" ref="CA7:CA33" si="9">SUM(BZ7,BF7:BO7)</f>
        <v>586233.59110081836</v>
      </c>
      <c r="CC7" s="102"/>
      <c r="CD7" s="12"/>
      <c r="CE7" s="14">
        <f t="shared" ref="CE7:CE33" si="10">IF($CC7="Annual",1,IF($CC7="Monthly F",12,IF($CC7="Monthly V",CD7*12,IF($CC7="One-Time",1,CD7*12))))</f>
        <v>0</v>
      </c>
      <c r="CF7" s="14" cm="1">
        <f t="array" ref="CF7">IFERROR(_xlfn.IFS(VALUE(MID(CF$5,6,1))&gt;$D$2,0,$CC7="Annual",1,CE7=12,12,$CC7="Monthly V",CE7*(1+$D$3),$CC7="Monthly F",12,$CC7="One-Time",0),CE7*(1+$D$3))</f>
        <v>0</v>
      </c>
      <c r="CG7" s="14" cm="1">
        <f t="array" ref="CG7">IFERROR(_xlfn.IFS(VALUE(MID(CG$5,6,1))&gt;$D$2,0,$CC7="Annual",1,CF7=12,12,$CC7="Monthly V",CF7*(1+$D$3),$CC7="Monthly F",12,$CC7="One-Time",0),CF7*(1+$D$3))</f>
        <v>0</v>
      </c>
      <c r="CH7" s="14" cm="1">
        <f t="array" ref="CH7">IFERROR(_xlfn.IFS(VALUE(MID(CH$5,6,1))&gt;$D$2,0,$CC7="Annual",1,CG7=12,12,$CC7="Monthly V",CG7*(1+$D$3),$CC7="Monthly F",12,$CC7="One-Time",0),CG7*(1+$D$3))</f>
        <v>0</v>
      </c>
      <c r="CI7" s="14" cm="1">
        <f t="array" ref="CI7">IFERROR(_xlfn.IFS(VALUE(MID(CI$5,6,1))&gt;$D$2,0,$CC7="Annual",1,CH7=12,12,$CC7="Monthly V",CH7*(1+$D$3),$CC7="Monthly F",12,$CC7="One-Time",0),CH7*(1+$D$3))</f>
        <v>0</v>
      </c>
      <c r="CJ7" s="14" cm="1">
        <f t="array" ref="CJ7">IFERROR(_xlfn.IFS(VALUE(MID(CJ$5,6,1))&gt;$D$2,0,$CC7="Annual",1,CI7=12,12,$CC7="Monthly V",CI7*(1+$D$3),$CC7="Monthly F",12,$CC7="One-Time",0),CI7*(1+$D$3))</f>
        <v>0</v>
      </c>
      <c r="CK7" s="14" cm="1">
        <f t="array" ref="CK7">IFERROR(_xlfn.IFS(VALUE(MID(CK$5,6,1))&gt;$D$2,0,$CC7="Annual",1,CJ7=12,12,$CC7="Monthly V",CJ7*(1+$D$3),$CC7="Monthly F",12,$CC7="One-Time",0),CJ7*(1+$D$3))</f>
        <v>0</v>
      </c>
      <c r="CL7" s="14" cm="1">
        <f t="array" ref="CL7">IFERROR(_xlfn.IFS(VALUE(MID(CL$5,6,1))&gt;$D$2,0,$CC7="Annual",1,CK7=12,12,$CC7="Monthly V",CK7*(1+$D$3),$CC7="Monthly F",12,$CC7="One-Time",0),CK7*(1+$D$3))</f>
        <v>0</v>
      </c>
      <c r="CM7" s="14" cm="1">
        <f t="array" ref="CM7">IFERROR(_xlfn.IFS(VALUE(MID(CM$5,6,1))&gt;$D$2,0,$CC7="Annual",1,CL7=12,12,$CC7="Monthly V",CL7*(1+$D$3),$CC7="Monthly F",12,$CC7="One-Time",0),CL7*(1+$D$3))</f>
        <v>0</v>
      </c>
      <c r="CN7" s="24" cm="1">
        <f t="array" ref="CN7">IFERROR(_xlfn.IFS(VALUE(MID(CN$5,6,2))&gt;$D$2,0,$CC7="Annual",1,CM7=12,12,$CC7="Monthly V",CM7*(1+$D$3),$CC7="Monthly F",12,$CC7="One-Time",0),CM7*(1+$D$3))</f>
        <v>0</v>
      </c>
      <c r="CO7" s="63"/>
      <c r="CP7" s="53"/>
      <c r="CQ7" s="21">
        <f t="shared" ref="CQ7:CQ33" si="11">CR7/12</f>
        <v>0</v>
      </c>
      <c r="CR7" s="55">
        <f t="shared" ref="CR7:DA24" si="12">IFERROR(CE7*$CP7,0)</f>
        <v>0</v>
      </c>
      <c r="CS7" s="55">
        <f t="shared" si="12"/>
        <v>0</v>
      </c>
      <c r="CT7" s="55">
        <f t="shared" si="12"/>
        <v>0</v>
      </c>
      <c r="CU7" s="55">
        <f t="shared" si="12"/>
        <v>0</v>
      </c>
      <c r="CV7" s="55">
        <f t="shared" si="12"/>
        <v>0</v>
      </c>
      <c r="CW7" s="55">
        <f t="shared" si="12"/>
        <v>0</v>
      </c>
      <c r="CX7" s="55">
        <f t="shared" si="12"/>
        <v>0</v>
      </c>
      <c r="CY7" s="55">
        <f t="shared" si="12"/>
        <v>0</v>
      </c>
      <c r="CZ7" s="55">
        <f t="shared" si="12"/>
        <v>0</v>
      </c>
      <c r="DA7" s="55">
        <f t="shared" si="12"/>
        <v>0</v>
      </c>
      <c r="DB7" s="56"/>
      <c r="DC7" s="56">
        <f>IF(VALUE(MID(DC$5,6,1))&lt;=$D$2,((1+$CP$3)^1-1)*CS7,0)</f>
        <v>0</v>
      </c>
      <c r="DD7" s="56">
        <f>IF(VALUE(MID(DD$5,6,1))&lt;=$D$2,((1+$CP$3)^2-1)*CT7,0)</f>
        <v>0</v>
      </c>
      <c r="DE7" s="56">
        <f>IF(VALUE(MID(DE$5,6,1))&lt;=$D$2,((1+$CP$3)^3-1)*CU7,0)</f>
        <v>0</v>
      </c>
      <c r="DF7" s="56">
        <f>IF(VALUE(MID(DF$5,6,1))&lt;=$D$2,((1+$CP$3)^4-1)*CV7,0)</f>
        <v>0</v>
      </c>
      <c r="DG7" s="56">
        <f>IF(VALUE(MID(DG$5,6,1))&lt;=$D$2,((1+$CP$3)^5-1)*CW7,0)</f>
        <v>0</v>
      </c>
      <c r="DH7" s="56">
        <f>IF(VALUE(MID(DH$5,6,1))&lt;=$D$2,((1+$CP$3)^6-1)*CX7,0)</f>
        <v>0</v>
      </c>
      <c r="DI7" s="56">
        <f>IF(VALUE(MID(DI$5,6,1))&lt;=$D$2,((1+$CP$3)^7-1)*CY7,0)</f>
        <v>0</v>
      </c>
      <c r="DJ7" s="56">
        <f>IF(VALUE(MID(DJ$5,6,1))&lt;=$D$2,((1+$CP$3)^8-1)*CZ7,0)</f>
        <v>0</v>
      </c>
      <c r="DK7" s="56">
        <f>IF(VALUE(MID(DK$5,6,2))&lt;=$D$2,((1+$CP$3)^9-1)*DA7,0)</f>
        <v>0</v>
      </c>
      <c r="DL7" s="57">
        <f>SUM(DB7:DK7)</f>
        <v>0</v>
      </c>
      <c r="DM7" s="54">
        <f t="shared" ref="DM7:DM33" si="13">SUM(DL7,CR7:DA7)</f>
        <v>0</v>
      </c>
      <c r="DO7" s="106"/>
      <c r="DR7" s="52"/>
      <c r="DS7" s="52"/>
    </row>
    <row r="8" spans="2:123" x14ac:dyDescent="0.25">
      <c r="B8" s="141" t="s">
        <v>0</v>
      </c>
      <c r="C8" s="24">
        <v>1</v>
      </c>
      <c r="D8" s="147">
        <f t="shared" si="0"/>
        <v>1</v>
      </c>
      <c r="E8" s="142">
        <v>0</v>
      </c>
      <c r="F8" s="14" cm="1">
        <f t="array" ref="F8">IFERROR(_xlfn.IFS(VALUE(MID(F$5,6,1))&gt;$D$2,0,$B8="Annual",1,E8=12,12,$B8="Monthly V",E8*(1+$D$3),$B8="Monthly F",12,$B8="One-Time",0),E8*(1+$D$3))</f>
        <v>12</v>
      </c>
      <c r="G8" s="14">
        <v>0</v>
      </c>
      <c r="H8" s="14">
        <v>0</v>
      </c>
      <c r="I8" s="14">
        <v>0</v>
      </c>
      <c r="J8" s="14">
        <v>0</v>
      </c>
      <c r="K8" s="14">
        <v>0</v>
      </c>
      <c r="L8" s="14">
        <v>0</v>
      </c>
      <c r="M8" s="14">
        <v>0</v>
      </c>
      <c r="N8" s="14">
        <v>0</v>
      </c>
      <c r="O8" s="127" t="s">
        <v>62</v>
      </c>
      <c r="P8" s="13" t="s">
        <v>58</v>
      </c>
      <c r="Q8" s="20">
        <v>17500</v>
      </c>
      <c r="R8" s="21">
        <f t="shared" ref="R8:R19" si="14">S8/12</f>
        <v>0</v>
      </c>
      <c r="S8" s="6">
        <f t="shared" si="2"/>
        <v>0</v>
      </c>
      <c r="T8" s="6">
        <f t="shared" si="2"/>
        <v>210000</v>
      </c>
      <c r="U8" s="6">
        <f t="shared" si="2"/>
        <v>0</v>
      </c>
      <c r="V8" s="6">
        <f>IFERROR($Q8*H8,0)</f>
        <v>0</v>
      </c>
      <c r="W8" s="6">
        <f t="shared" si="3"/>
        <v>0</v>
      </c>
      <c r="X8" s="6">
        <f t="shared" si="3"/>
        <v>0</v>
      </c>
      <c r="Y8" s="6">
        <f t="shared" si="3"/>
        <v>0</v>
      </c>
      <c r="Z8" s="6">
        <f t="shared" si="3"/>
        <v>0</v>
      </c>
      <c r="AA8" s="6">
        <f t="shared" si="3"/>
        <v>0</v>
      </c>
      <c r="AB8" s="6">
        <f t="shared" si="3"/>
        <v>0</v>
      </c>
      <c r="AC8" s="7"/>
      <c r="AD8" s="152">
        <v>0</v>
      </c>
      <c r="AE8" s="152">
        <v>0</v>
      </c>
      <c r="AF8" s="152">
        <v>0</v>
      </c>
      <c r="AG8" s="152">
        <v>0</v>
      </c>
      <c r="AH8" s="152">
        <v>0</v>
      </c>
      <c r="AI8" s="152">
        <v>0</v>
      </c>
      <c r="AJ8" s="152">
        <v>0</v>
      </c>
      <c r="AK8" s="152">
        <v>0</v>
      </c>
      <c r="AL8" s="152">
        <v>0</v>
      </c>
      <c r="AM8" s="9">
        <f t="shared" si="4"/>
        <v>0</v>
      </c>
      <c r="AN8" s="80">
        <f t="shared" si="5"/>
        <v>210000</v>
      </c>
      <c r="AP8" s="102" t="s">
        <v>1</v>
      </c>
      <c r="AQ8" s="12">
        <v>1</v>
      </c>
      <c r="AR8" s="14">
        <f t="shared" ref="AR8:AR73" si="15">IF($AP8="Annual",1,IF($AP8="Monthly F",12,IF($AP8="Monthly V",AQ8*12,IF($AP8="One-Time",1,AQ8*12))))</f>
        <v>12</v>
      </c>
      <c r="AS8" s="14" cm="1">
        <f t="array" ref="AS8">IFERROR(_xlfn.IFS(VALUE(MID(AS$5,6,1))&gt;$D$2,0,$AP8="Annual",1,AR8=12,12,$AP8="Monthly V",AR8*(1+$BD$2),$AP8="Monthly F",12,$AP8="One-Time",0),AR8*(1+$BD$2))</f>
        <v>12</v>
      </c>
      <c r="AT8" s="14" cm="1">
        <f t="array" ref="AT8">IFERROR(_xlfn.IFS(VALUE(MID(AT$5,6,1))&gt;$D$2,0,$AP8="Annual",1,AS8=12,12,$AP8="Monthly V",AS8*(1+$BD$2),$AP8="Monthly F",12,$AP8="One-Time",0),AS8*(1+$BD$2))</f>
        <v>12</v>
      </c>
      <c r="AU8" s="14" cm="1">
        <f t="array" ref="AU8">IFERROR(_xlfn.IFS(VALUE(MID(AU$5,6,1))&gt;$D$2,0,$AP8="Annual",1,AT8=12,12,$AP8="Monthly V",AT8*(1+$BD$2),$AP8="Monthly F",12,$AP8="One-Time",0),AT8*(1+$BD$2))</f>
        <v>12</v>
      </c>
      <c r="AV8" s="14" cm="1">
        <f t="array" ref="AV8">IFERROR(_xlfn.IFS(VALUE(MID(AV$5,6,1))&gt;$D$2,0,$AP8="Annual",1,AU8=12,12,$AP8="Monthly V",AU8*(1+$BD$2),$AP8="Monthly F",12,$AP8="One-Time",0),AU8*(1+$BD$2))</f>
        <v>12</v>
      </c>
      <c r="AW8" s="14" cm="1">
        <f t="array" ref="AW8">IFERROR(_xlfn.IFS(VALUE(MID(AW$5,6,1))&gt;$D$2,0,$AP8="Annual",1,AV8=12,12,$AP8="Monthly V",AV8*(1+$BD$2),$AP8="Monthly F",12,$AP8="One-Time",0),AV8*(1+$BD$2))</f>
        <v>12</v>
      </c>
      <c r="AX8" s="14" cm="1">
        <f t="array" ref="AX8">IFERROR(_xlfn.IFS(VALUE(MID(AX$5,6,1))&gt;$D$2,0,$AP8="Annual",1,AW8=12,12,$AP8="Monthly V",AW8*(1+$BD$2),$AP8="Monthly F",12,$AP8="One-Time",0),AW8*(1+$BD$2))</f>
        <v>12</v>
      </c>
      <c r="AY8" s="14" cm="1">
        <f t="array" ref="AY8">IFERROR(_xlfn.IFS(VALUE(MID(AY$5,6,1))&gt;$D$2,0,$AP8="Annual",1,AX8=12,12,$AP8="Monthly V",AX8*(1+$D$3),$AP8="Monthly F",12,$AP8="One-Time",0),AX8*(1+$D$3))</f>
        <v>0</v>
      </c>
      <c r="AZ8" s="14" cm="1">
        <f t="array" ref="AZ8">IFERROR(_xlfn.IFS(VALUE(MID(AZ$5,6,1))&gt;$D$2,0,$AP8="Annual",1,AY8=12,12,$AP8="Monthly V",AY8*(1+$D$3),$AP8="Monthly F",12,$AP8="One-Time",0),AY8*(1+$D$3))</f>
        <v>0</v>
      </c>
      <c r="BA8" s="125" cm="1">
        <f t="array" ref="BA8">IFERROR(_xlfn.IFS(VALUE(MID(BA$5,6,2))&gt;$D$2,0,$AP8="Annual",1,AZ8=12,12,$AP8="Monthly V",AZ8*(1+$D$3),$AP8="Monthly F",12,$AP8="One-Time",0),AZ8*(1+$D$3))</f>
        <v>0</v>
      </c>
      <c r="BB8" s="187" t="s">
        <v>156</v>
      </c>
      <c r="BC8" s="38" t="s">
        <v>216</v>
      </c>
      <c r="BD8" s="36">
        <v>0.25</v>
      </c>
      <c r="BE8" s="21">
        <f t="shared" ref="BE8:BE33" si="16">BF8/12</f>
        <v>0.25</v>
      </c>
      <c r="BF8" s="39">
        <f>IFERROR(AR8*$BD8,0)</f>
        <v>3</v>
      </c>
      <c r="BG8" s="39">
        <f t="shared" ref="BG8:BG73" si="17">IFERROR(AS8*$BD8,0)</f>
        <v>3</v>
      </c>
      <c r="BH8" s="39">
        <f t="shared" ref="BH8:BH73" si="18">IFERROR(AT8*$BD8,0)</f>
        <v>3</v>
      </c>
      <c r="BI8" s="39">
        <f t="shared" ref="BI8:BI71" si="19">BH8*1.03</f>
        <v>3.09</v>
      </c>
      <c r="BJ8" s="39">
        <f t="shared" ref="BJ8" si="20">IFERROR(AV8*$BD8,0)</f>
        <v>3</v>
      </c>
      <c r="BK8" s="39">
        <f t="shared" ref="BK8" si="21">IFERROR(AW8*$BD8,0)</f>
        <v>3</v>
      </c>
      <c r="BL8" s="39">
        <f t="shared" ref="BL8" si="22">IFERROR(AX8*$BD8,0)</f>
        <v>3</v>
      </c>
      <c r="BM8" s="39">
        <f t="shared" ref="BM8:BO24" si="23">IFERROR(AY8*$BD8,0)</f>
        <v>0</v>
      </c>
      <c r="BN8" s="39">
        <f t="shared" si="23"/>
        <v>0</v>
      </c>
      <c r="BO8" s="39">
        <f t="shared" si="23"/>
        <v>0</v>
      </c>
      <c r="BP8" s="40"/>
      <c r="BQ8" s="40">
        <f t="shared" ref="BQ8:BQ33" si="24">IF(VALUE(MID(BQ$5,6,1))&lt;=$D$2,((1+$BD$3)^1-1)*BG8,0)</f>
        <v>9.000000000000008E-2</v>
      </c>
      <c r="BR8" s="40">
        <f t="shared" ref="BR8:BR33" si="25">IF(VALUE(MID(BR$5,6,1))&lt;=$D$2,((1+$BD$3)^2-1)*BH8,0)</f>
        <v>0.18269999999999986</v>
      </c>
      <c r="BS8" s="40">
        <f t="shared" ref="BS8:BS33" si="26">IF(VALUE(MID(BS$5,6,1))&lt;=$D$2,((1+$BD$3)^3-1)*BI8,0)</f>
        <v>0.28652643</v>
      </c>
      <c r="BT8" s="40">
        <f t="shared" ref="BT8:BT33" si="27">IF(VALUE(MID(BT$5,6,1))&lt;=$D$2,((1+$BD$3)^4-1)*BJ8,0)</f>
        <v>0.37652642999999975</v>
      </c>
      <c r="BU8" s="40">
        <f t="shared" ref="BU8:BU33" si="28">IF(VALUE(MID(BU$5,6,1))&lt;=$D$2,((1+$BD$3)^5-1)*BK8,0)</f>
        <v>0.47782222289999954</v>
      </c>
      <c r="BV8" s="40">
        <f t="shared" ref="BV8:BV33" si="29">IF(VALUE(MID(BV$5,6,1))&lt;=$D$2,((1+$BD$3)^6-1)*BL8,0)</f>
        <v>0.58215688958699974</v>
      </c>
      <c r="BW8" s="40">
        <f t="shared" ref="BW8:BW33" si="30">IF(VALUE(MID(BW$5,6,1))&lt;=$D$2,((1+$BD$3)^7-1)*BM8,0)</f>
        <v>0</v>
      </c>
      <c r="BX8" s="40">
        <f t="shared" ref="BX8:BX33" si="31">IF(VALUE(MID(BX$5,6,1))&lt;=$D$2,((1+$BD$3)^8-1)*BN8,0)</f>
        <v>0</v>
      </c>
      <c r="BY8" s="40">
        <f t="shared" ref="BY8:BY33" si="32">IF(VALUE(MID(BY$5,6,2))&lt;=$D$2,((1+$BD$3)^9-1)*BO8,0)</f>
        <v>0</v>
      </c>
      <c r="BZ8" s="40">
        <f t="shared" ref="BZ8:BZ33" si="33">SUM(BP8:BY8)</f>
        <v>1.9957319724869989</v>
      </c>
      <c r="CA8" s="37">
        <f t="shared" si="9"/>
        <v>23.085731972486997</v>
      </c>
      <c r="CC8" s="102"/>
      <c r="CD8" s="12"/>
      <c r="CE8" s="14">
        <f t="shared" si="10"/>
        <v>0</v>
      </c>
      <c r="CF8" s="14" cm="1">
        <f t="array" ref="CF8">IFERROR(_xlfn.IFS(VALUE(MID(CF$5,6,1))&gt;$D$2,0,$CC8="Annual",1,CE8=12,12,$CC8="Monthly V",CE8*(1+$D$3),$CC8="Monthly F",12,$CC8="One-Time",0),CE8*(1+$D$3))</f>
        <v>0</v>
      </c>
      <c r="CG8" s="14" cm="1">
        <f t="array" ref="CG8">IFERROR(_xlfn.IFS(VALUE(MID(CG$5,6,1))&gt;$D$2,0,$CC8="Annual",1,CF8=12,12,$CC8="Monthly V",CF8*(1+$D$3),$CC8="Monthly F",12,$CC8="One-Time",0),CF8*(1+$D$3))</f>
        <v>0</v>
      </c>
      <c r="CH8" s="14" cm="1">
        <f t="array" ref="CH8">IFERROR(_xlfn.IFS(VALUE(MID(CH$5,6,1))&gt;$D$2,0,$CC8="Annual",1,CG8=12,12,$CC8="Monthly V",CG8*(1+$D$3),$CC8="Monthly F",12,$CC8="One-Time",0),CG8*(1+$D$3))</f>
        <v>0</v>
      </c>
      <c r="CI8" s="14" cm="1">
        <f t="array" ref="CI8">IFERROR(_xlfn.IFS(VALUE(MID(CI$5,6,1))&gt;$D$2,0,$CC8="Annual",1,CH8=12,12,$CC8="Monthly V",CH8*(1+$D$3),$CC8="Monthly F",12,$CC8="One-Time",0),CH8*(1+$D$3))</f>
        <v>0</v>
      </c>
      <c r="CJ8" s="14" cm="1">
        <f t="array" ref="CJ8">IFERROR(_xlfn.IFS(VALUE(MID(CJ$5,6,1))&gt;$D$2,0,$CC8="Annual",1,CI8=12,12,$CC8="Monthly V",CI8*(1+$D$3),$CC8="Monthly F",12,$CC8="One-Time",0),CI8*(1+$D$3))</f>
        <v>0</v>
      </c>
      <c r="CK8" s="14" cm="1">
        <f t="array" ref="CK8">IFERROR(_xlfn.IFS(VALUE(MID(CK$5,6,1))&gt;$D$2,0,$CC8="Annual",1,CJ8=12,12,$CC8="Monthly V",CJ8*(1+$D$3),$CC8="Monthly F",12,$CC8="One-Time",0),CJ8*(1+$D$3))</f>
        <v>0</v>
      </c>
      <c r="CL8" s="14" cm="1">
        <f t="array" ref="CL8">IFERROR(_xlfn.IFS(VALUE(MID(CL$5,6,1))&gt;$D$2,0,$CC8="Annual",1,CK8=12,12,$CC8="Monthly V",CK8*(1+$D$3),$CC8="Monthly F",12,$CC8="One-Time",0),CK8*(1+$D$3))</f>
        <v>0</v>
      </c>
      <c r="CM8" s="14" cm="1">
        <f t="array" ref="CM8">IFERROR(_xlfn.IFS(VALUE(MID(CM$5,6,1))&gt;$D$2,0,$CC8="Annual",1,CL8=12,12,$CC8="Monthly V",CL8*(1+$D$3),$CC8="Monthly F",12,$CC8="One-Time",0),CL8*(1+$D$3))</f>
        <v>0</v>
      </c>
      <c r="CN8" s="24" cm="1">
        <f t="array" ref="CN8">IFERROR(_xlfn.IFS(VALUE(MID(CN$5,6,2))&gt;$D$2,0,$CC8="Annual",1,CM8=12,12,$CC8="Monthly V",CM8*(1+$D$3),$CC8="Monthly F",12,$CC8="One-Time",0),CM8*(1+$D$3))</f>
        <v>0</v>
      </c>
      <c r="CO8" s="63"/>
      <c r="CP8" s="53"/>
      <c r="CQ8" s="21">
        <f t="shared" si="11"/>
        <v>0</v>
      </c>
      <c r="CR8" s="55">
        <f t="shared" si="12"/>
        <v>0</v>
      </c>
      <c r="CS8" s="55">
        <f t="shared" si="12"/>
        <v>0</v>
      </c>
      <c r="CT8" s="55">
        <f t="shared" si="12"/>
        <v>0</v>
      </c>
      <c r="CU8" s="55">
        <f t="shared" si="12"/>
        <v>0</v>
      </c>
      <c r="CV8" s="55">
        <f t="shared" si="12"/>
        <v>0</v>
      </c>
      <c r="CW8" s="55">
        <f t="shared" si="12"/>
        <v>0</v>
      </c>
      <c r="CX8" s="55">
        <f t="shared" si="12"/>
        <v>0</v>
      </c>
      <c r="CY8" s="55">
        <f t="shared" si="12"/>
        <v>0</v>
      </c>
      <c r="CZ8" s="55">
        <f t="shared" si="12"/>
        <v>0</v>
      </c>
      <c r="DA8" s="55">
        <f t="shared" si="12"/>
        <v>0</v>
      </c>
      <c r="DB8" s="56"/>
      <c r="DC8" s="56">
        <f t="shared" ref="DC8:DC33" si="34">IF(VALUE(MID(DC$5,6,1))&lt;=$D$2,((1+$CP$3)^1-1)*CS8,0)</f>
        <v>0</v>
      </c>
      <c r="DD8" s="56">
        <f t="shared" ref="DD8:DD33" si="35">IF(VALUE(MID(DD$5,6,1))&lt;=$D$2,((1+$CP$3)^2-1)*CT8,0)</f>
        <v>0</v>
      </c>
      <c r="DE8" s="56">
        <f t="shared" ref="DE8:DE33" si="36">IF(VALUE(MID(DE$5,6,1))&lt;=$D$2,((1+$CP$3)^3-1)*CU8,0)</f>
        <v>0</v>
      </c>
      <c r="DF8" s="56">
        <f t="shared" ref="DF8:DF33" si="37">IF(VALUE(MID(DF$5,6,1))&lt;=$D$2,((1+$CP$3)^4-1)*CV8,0)</f>
        <v>0</v>
      </c>
      <c r="DG8" s="56">
        <f t="shared" ref="DG8:DG33" si="38">IF(VALUE(MID(DG$5,6,1))&lt;=$D$2,((1+$CP$3)^5-1)*CW8,0)</f>
        <v>0</v>
      </c>
      <c r="DH8" s="56">
        <f t="shared" ref="DH8:DH33" si="39">IF(VALUE(MID(DH$5,6,1))&lt;=$D$2,((1+$CP$3)^6-1)*CX8,0)</f>
        <v>0</v>
      </c>
      <c r="DI8" s="56">
        <f t="shared" ref="DI8:DI33" si="40">IF(VALUE(MID(DI$5,6,1))&lt;=$D$2,((1+$CP$3)^7-1)*CY8,0)</f>
        <v>0</v>
      </c>
      <c r="DJ8" s="56">
        <f t="shared" ref="DJ8:DJ33" si="41">IF(VALUE(MID(DJ$5,6,1))&lt;=$D$2,((1+$CP$3)^8-1)*CZ8,0)</f>
        <v>0</v>
      </c>
      <c r="DK8" s="56">
        <f t="shared" ref="DK8:DK33" si="42">IF(VALUE(MID(DK$5,6,2))&lt;=$D$2,((1+$CP$3)^9-1)*DA8,0)</f>
        <v>0</v>
      </c>
      <c r="DL8" s="57">
        <f t="shared" ref="DL8:DL33" si="43">SUM(DB8:DK8)</f>
        <v>0</v>
      </c>
      <c r="DM8" s="54">
        <f t="shared" si="13"/>
        <v>0</v>
      </c>
      <c r="DO8" s="106"/>
      <c r="DP8" s="52"/>
      <c r="DQ8" s="52"/>
      <c r="DR8" s="52"/>
      <c r="DS8" s="52"/>
    </row>
    <row r="9" spans="2:123" x14ac:dyDescent="0.25">
      <c r="B9" s="141" t="s">
        <v>0</v>
      </c>
      <c r="C9" s="24">
        <v>1</v>
      </c>
      <c r="D9" s="147">
        <f t="shared" si="0"/>
        <v>1</v>
      </c>
      <c r="E9" s="14">
        <v>0</v>
      </c>
      <c r="F9" s="14">
        <v>0</v>
      </c>
      <c r="G9" s="14" cm="1">
        <f t="array" ref="G9">IFERROR(_xlfn.IFS(VALUE(MID(G$5,6,1))&gt;$D$2,0,$B9="Annual",1,F9=12,12,$B9="Monthly V",F9*(1+$D$3),$B9="Monthly F",12,$B9="One-Time",0),F9*(1+$D$3))</f>
        <v>12</v>
      </c>
      <c r="H9" s="14">
        <v>0</v>
      </c>
      <c r="I9" s="14">
        <v>0</v>
      </c>
      <c r="J9" s="14">
        <v>0</v>
      </c>
      <c r="K9" s="14">
        <v>0</v>
      </c>
      <c r="L9" s="14">
        <v>0</v>
      </c>
      <c r="M9" s="14">
        <v>0</v>
      </c>
      <c r="N9" s="14">
        <v>0</v>
      </c>
      <c r="O9" s="127" t="s">
        <v>63</v>
      </c>
      <c r="P9" s="13" t="s">
        <v>58</v>
      </c>
      <c r="Q9" s="20">
        <v>22500</v>
      </c>
      <c r="R9" s="21">
        <f t="shared" si="14"/>
        <v>0</v>
      </c>
      <c r="S9" s="6">
        <f t="shared" si="2"/>
        <v>0</v>
      </c>
      <c r="T9" s="6">
        <f t="shared" si="2"/>
        <v>0</v>
      </c>
      <c r="U9" s="6">
        <f t="shared" si="2"/>
        <v>270000</v>
      </c>
      <c r="V9" s="6">
        <f t="shared" si="2"/>
        <v>0</v>
      </c>
      <c r="W9" s="6">
        <f t="shared" si="3"/>
        <v>0</v>
      </c>
      <c r="X9" s="6">
        <f t="shared" si="3"/>
        <v>0</v>
      </c>
      <c r="Y9" s="6">
        <f t="shared" si="3"/>
        <v>0</v>
      </c>
      <c r="Z9" s="6">
        <f t="shared" si="3"/>
        <v>0</v>
      </c>
      <c r="AA9" s="6">
        <f t="shared" si="3"/>
        <v>0</v>
      </c>
      <c r="AB9" s="6">
        <f t="shared" si="3"/>
        <v>0</v>
      </c>
      <c r="AC9" s="7"/>
      <c r="AD9" s="152">
        <v>0</v>
      </c>
      <c r="AE9" s="152">
        <v>0</v>
      </c>
      <c r="AF9" s="152">
        <v>0</v>
      </c>
      <c r="AG9" s="152">
        <v>0</v>
      </c>
      <c r="AH9" s="152">
        <v>0</v>
      </c>
      <c r="AI9" s="152">
        <v>0</v>
      </c>
      <c r="AJ9" s="152">
        <v>0</v>
      </c>
      <c r="AK9" s="152">
        <v>0</v>
      </c>
      <c r="AL9" s="152">
        <v>0</v>
      </c>
      <c r="AM9" s="9">
        <f t="shared" si="4"/>
        <v>0</v>
      </c>
      <c r="AN9" s="80">
        <f t="shared" si="5"/>
        <v>270000</v>
      </c>
      <c r="AP9" s="102" t="s">
        <v>0</v>
      </c>
      <c r="AQ9" s="12">
        <v>1</v>
      </c>
      <c r="AR9" s="14">
        <f t="shared" si="15"/>
        <v>12</v>
      </c>
      <c r="AS9" s="14" cm="1">
        <f t="array" ref="AS9">IFERROR(_xlfn.IFS(VALUE(MID(AS$5,6,1))&gt;$D$2,0,$AP9="Annual",1,AR9=12,12,$AP9="Monthly V",AR9*(1+$BD$2),$AP9="Monthly F",12,$AP9="One-Time",0),AR9*(1+$BD$2))</f>
        <v>12</v>
      </c>
      <c r="AT9" s="14" cm="1">
        <f t="array" ref="AT9">IFERROR(_xlfn.IFS(VALUE(MID(AT$5,6,1))&gt;$D$2,0,$AP9="Annual",1,AS9=12,12,$AP9="Monthly V",AS9*(1+$BD$2),$AP9="Monthly F",12,$AP9="One-Time",0),AS9*(1+$BD$2))</f>
        <v>12</v>
      </c>
      <c r="AU9" s="14" cm="1">
        <f t="array" ref="AU9">IFERROR(_xlfn.IFS(VALUE(MID(AU$5,6,1))&gt;$D$2,0,$AP9="Annual",1,AT9=12,12,$AP9="Monthly V",AT9*(1+$BD$2),$AP9="Monthly F",12,$AP9="One-Time",0),AT9*(1+$BD$2))</f>
        <v>12</v>
      </c>
      <c r="AV9" s="14" cm="1">
        <f t="array" ref="AV9">IFERROR(_xlfn.IFS(VALUE(MID(AV$5,6,1))&gt;$D$2,0,$AP9="Annual",1,AU9=12,12,$AP9="Monthly V",AU9*(1+$BD$2),$AP9="Monthly F",12,$AP9="One-Time",0),AU9*(1+$BD$2))</f>
        <v>12</v>
      </c>
      <c r="AW9" s="14" cm="1">
        <f t="array" ref="AW9">IFERROR(_xlfn.IFS(VALUE(MID(AW$5,6,1))&gt;$D$2,0,$AP9="Annual",1,AV9=12,12,$AP9="Monthly V",AV9*(1+$BD$2),$AP9="Monthly F",12,$AP9="One-Time",0),AV9*(1+$BD$2))</f>
        <v>12</v>
      </c>
      <c r="AX9" s="14" cm="1">
        <f t="array" ref="AX9">IFERROR(_xlfn.IFS(VALUE(MID(AX$5,6,1))&gt;$D$2,0,$AP9="Annual",1,AW9=12,12,$AP9="Monthly V",AW9*(1+$BD$2),$AP9="Monthly F",12,$AP9="One-Time",0),AW9*(1+$BD$2))</f>
        <v>12</v>
      </c>
      <c r="AY9" s="14" cm="1">
        <f t="array" ref="AY9">IFERROR(_xlfn.IFS(VALUE(MID(AY$5,6,1))&gt;$D$2,0,$AP9="Annual",1,AX9=12,12,$AP9="Monthly V",AX9*(1+$D$3),$AP9="Monthly F",12,$AP9="One-Time",0),AX9*(1+$D$3))</f>
        <v>0</v>
      </c>
      <c r="AZ9" s="14" cm="1">
        <f t="array" ref="AZ9">IFERROR(_xlfn.IFS(VALUE(MID(AZ$5,6,1))&gt;$D$2,0,$AP9="Annual",1,AY9=12,12,$AP9="Monthly V",AY9*(1+$D$3),$AP9="Monthly F",12,$AP9="One-Time",0),AY9*(1+$D$3))</f>
        <v>0</v>
      </c>
      <c r="BA9" s="125" cm="1">
        <f t="array" ref="BA9">IFERROR(_xlfn.IFS(VALUE(MID(BA$5,6,2))&gt;$D$2,0,$AP9="Annual",1,AZ9=12,12,$AP9="Monthly V",AZ9*(1+$D$3),$AP9="Monthly F",12,$AP9="One-Time",0),AZ9*(1+$D$3))</f>
        <v>0</v>
      </c>
      <c r="BB9" s="124" t="s">
        <v>157</v>
      </c>
      <c r="BC9" s="38" t="s">
        <v>216</v>
      </c>
      <c r="BD9" s="36">
        <v>225</v>
      </c>
      <c r="BE9" s="21">
        <f t="shared" si="16"/>
        <v>225</v>
      </c>
      <c r="BF9" s="39">
        <f>IFERROR(AR9*$BD9,0)</f>
        <v>2700</v>
      </c>
      <c r="BG9" s="39">
        <f t="shared" si="17"/>
        <v>2700</v>
      </c>
      <c r="BH9" s="39">
        <f t="shared" si="18"/>
        <v>2700</v>
      </c>
      <c r="BI9" s="39">
        <f t="shared" si="19"/>
        <v>2781</v>
      </c>
      <c r="BJ9" s="39">
        <f>BI9*1.03</f>
        <v>2864.4300000000003</v>
      </c>
      <c r="BK9" s="39">
        <f t="shared" si="8"/>
        <v>2950.3629000000005</v>
      </c>
      <c r="BL9" s="39">
        <f t="shared" si="8"/>
        <v>3038.8737870000004</v>
      </c>
      <c r="BM9" s="39">
        <f t="shared" si="23"/>
        <v>0</v>
      </c>
      <c r="BN9" s="39">
        <f t="shared" si="23"/>
        <v>0</v>
      </c>
      <c r="BO9" s="39">
        <f t="shared" si="23"/>
        <v>0</v>
      </c>
      <c r="BP9" s="40"/>
      <c r="BQ9" s="40">
        <f t="shared" si="24"/>
        <v>81.000000000000071</v>
      </c>
      <c r="BR9" s="40">
        <f t="shared" si="25"/>
        <v>164.42999999999986</v>
      </c>
      <c r="BS9" s="40">
        <f t="shared" si="26"/>
        <v>257.87378699999999</v>
      </c>
      <c r="BT9" s="40">
        <f t="shared" si="27"/>
        <v>359.51120062829978</v>
      </c>
      <c r="BU9" s="40">
        <f t="shared" si="28"/>
        <v>469.91631974656309</v>
      </c>
      <c r="BV9" s="40">
        <f t="shared" si="29"/>
        <v>589.70043722912897</v>
      </c>
      <c r="BW9" s="40">
        <f t="shared" si="30"/>
        <v>0</v>
      </c>
      <c r="BX9" s="40">
        <f t="shared" si="31"/>
        <v>0</v>
      </c>
      <c r="BY9" s="40">
        <f t="shared" si="32"/>
        <v>0</v>
      </c>
      <c r="BZ9" s="40">
        <f t="shared" si="33"/>
        <v>1922.4317446039918</v>
      </c>
      <c r="CA9" s="37">
        <f t="shared" si="9"/>
        <v>21657.098431603994</v>
      </c>
      <c r="CC9" s="102"/>
      <c r="CD9" s="12"/>
      <c r="CE9" s="14">
        <f t="shared" si="10"/>
        <v>0</v>
      </c>
      <c r="CF9" s="14" cm="1">
        <f t="array" ref="CF9">IFERROR(_xlfn.IFS(VALUE(MID(CF$5,6,1))&gt;$D$2,0,$CC9="Annual",1,CE9=12,12,$CC9="Monthly V",CE9*(1+$D$3),$CC9="Monthly F",12,$CC9="One-Time",0),CE9*(1+$D$3))</f>
        <v>0</v>
      </c>
      <c r="CG9" s="14" cm="1">
        <f t="array" ref="CG9">IFERROR(_xlfn.IFS(VALUE(MID(CG$5,6,1))&gt;$D$2,0,$CC9="Annual",1,CF9=12,12,$CC9="Monthly V",CF9*(1+$D$3),$CC9="Monthly F",12,$CC9="One-Time",0),CF9*(1+$D$3))</f>
        <v>0</v>
      </c>
      <c r="CH9" s="14" cm="1">
        <f t="array" ref="CH9">IFERROR(_xlfn.IFS(VALUE(MID(CH$5,6,1))&gt;$D$2,0,$CC9="Annual",1,CG9=12,12,$CC9="Monthly V",CG9*(1+$D$3),$CC9="Monthly F",12,$CC9="One-Time",0),CG9*(1+$D$3))</f>
        <v>0</v>
      </c>
      <c r="CI9" s="14" cm="1">
        <f t="array" ref="CI9">IFERROR(_xlfn.IFS(VALUE(MID(CI$5,6,1))&gt;$D$2,0,$CC9="Annual",1,CH9=12,12,$CC9="Monthly V",CH9*(1+$D$3),$CC9="Monthly F",12,$CC9="One-Time",0),CH9*(1+$D$3))</f>
        <v>0</v>
      </c>
      <c r="CJ9" s="14" cm="1">
        <f t="array" ref="CJ9">IFERROR(_xlfn.IFS(VALUE(MID(CJ$5,6,1))&gt;$D$2,0,$CC9="Annual",1,CI9=12,12,$CC9="Monthly V",CI9*(1+$D$3),$CC9="Monthly F",12,$CC9="One-Time",0),CI9*(1+$D$3))</f>
        <v>0</v>
      </c>
      <c r="CK9" s="14" cm="1">
        <f t="array" ref="CK9">IFERROR(_xlfn.IFS(VALUE(MID(CK$5,6,1))&gt;$D$2,0,$CC9="Annual",1,CJ9=12,12,$CC9="Monthly V",CJ9*(1+$D$3),$CC9="Monthly F",12,$CC9="One-Time",0),CJ9*(1+$D$3))</f>
        <v>0</v>
      </c>
      <c r="CL9" s="14" cm="1">
        <f t="array" ref="CL9">IFERROR(_xlfn.IFS(VALUE(MID(CL$5,6,1))&gt;$D$2,0,$CC9="Annual",1,CK9=12,12,$CC9="Monthly V",CK9*(1+$D$3),$CC9="Monthly F",12,$CC9="One-Time",0),CK9*(1+$D$3))</f>
        <v>0</v>
      </c>
      <c r="CM9" s="14" cm="1">
        <f t="array" ref="CM9">IFERROR(_xlfn.IFS(VALUE(MID(CM$5,6,1))&gt;$D$2,0,$CC9="Annual",1,CL9=12,12,$CC9="Monthly V",CL9*(1+$D$3),$CC9="Monthly F",12,$CC9="One-Time",0),CL9*(1+$D$3))</f>
        <v>0</v>
      </c>
      <c r="CN9" s="24" cm="1">
        <f t="array" ref="CN9">IFERROR(_xlfn.IFS(VALUE(MID(CN$5,6,2))&gt;$D$2,0,$CC9="Annual",1,CM9=12,12,$CC9="Monthly V",CM9*(1+$D$3),$CC9="Monthly F",12,$CC9="One-Time",0),CM9*(1+$D$3))</f>
        <v>0</v>
      </c>
      <c r="CO9" s="63"/>
      <c r="CP9" s="53"/>
      <c r="CQ9" s="21">
        <f t="shared" si="11"/>
        <v>0</v>
      </c>
      <c r="CR9" s="55">
        <f t="shared" si="12"/>
        <v>0</v>
      </c>
      <c r="CS9" s="55">
        <f t="shared" si="12"/>
        <v>0</v>
      </c>
      <c r="CT9" s="55">
        <f t="shared" si="12"/>
        <v>0</v>
      </c>
      <c r="CU9" s="55">
        <f t="shared" si="12"/>
        <v>0</v>
      </c>
      <c r="CV9" s="55">
        <f t="shared" si="12"/>
        <v>0</v>
      </c>
      <c r="CW9" s="55">
        <f t="shared" si="12"/>
        <v>0</v>
      </c>
      <c r="CX9" s="55">
        <f t="shared" si="12"/>
        <v>0</v>
      </c>
      <c r="CY9" s="55">
        <f t="shared" si="12"/>
        <v>0</v>
      </c>
      <c r="CZ9" s="55">
        <f t="shared" si="12"/>
        <v>0</v>
      </c>
      <c r="DA9" s="55">
        <f t="shared" si="12"/>
        <v>0</v>
      </c>
      <c r="DB9" s="56"/>
      <c r="DC9" s="56">
        <f t="shared" si="34"/>
        <v>0</v>
      </c>
      <c r="DD9" s="56">
        <f t="shared" si="35"/>
        <v>0</v>
      </c>
      <c r="DE9" s="56">
        <f t="shared" si="36"/>
        <v>0</v>
      </c>
      <c r="DF9" s="56">
        <f t="shared" si="37"/>
        <v>0</v>
      </c>
      <c r="DG9" s="56">
        <f t="shared" si="38"/>
        <v>0</v>
      </c>
      <c r="DH9" s="56">
        <f t="shared" si="39"/>
        <v>0</v>
      </c>
      <c r="DI9" s="56">
        <f t="shared" si="40"/>
        <v>0</v>
      </c>
      <c r="DJ9" s="56">
        <f t="shared" si="41"/>
        <v>0</v>
      </c>
      <c r="DK9" s="56">
        <f t="shared" si="42"/>
        <v>0</v>
      </c>
      <c r="DL9" s="57">
        <f t="shared" si="43"/>
        <v>0</v>
      </c>
      <c r="DM9" s="54">
        <f t="shared" si="13"/>
        <v>0</v>
      </c>
      <c r="DO9" s="106"/>
    </row>
    <row r="10" spans="2:123" x14ac:dyDescent="0.25">
      <c r="B10" s="141" t="s">
        <v>0</v>
      </c>
      <c r="C10" s="24">
        <v>1</v>
      </c>
      <c r="D10" s="147">
        <f t="shared" si="0"/>
        <v>1</v>
      </c>
      <c r="E10" s="14">
        <v>0</v>
      </c>
      <c r="F10" s="14">
        <v>0</v>
      </c>
      <c r="G10" s="14">
        <v>0</v>
      </c>
      <c r="H10" s="14" cm="1">
        <f t="array" ref="H10">IFERROR(_xlfn.IFS(VALUE(MID(H$5,6,1))&gt;$D$2,0,$B10="Annual",1,G10=12,12,$B10="Monthly V",G10*(1+$D$3),$B10="Monthly F",12,$B10="One-Time",0),G10*(1+$D$3))</f>
        <v>12</v>
      </c>
      <c r="I10" s="14">
        <v>0</v>
      </c>
      <c r="J10" s="14">
        <v>0</v>
      </c>
      <c r="K10" s="14">
        <v>0</v>
      </c>
      <c r="L10" s="14">
        <v>0</v>
      </c>
      <c r="M10" s="14">
        <v>0</v>
      </c>
      <c r="N10" s="14">
        <v>0</v>
      </c>
      <c r="O10" s="127" t="s">
        <v>64</v>
      </c>
      <c r="P10" s="13" t="s">
        <v>58</v>
      </c>
      <c r="Q10" s="20">
        <v>28000</v>
      </c>
      <c r="R10" s="21">
        <f t="shared" si="14"/>
        <v>0</v>
      </c>
      <c r="S10" s="6">
        <f t="shared" si="2"/>
        <v>0</v>
      </c>
      <c r="T10" s="6">
        <f t="shared" si="2"/>
        <v>0</v>
      </c>
      <c r="U10" s="6">
        <f t="shared" si="2"/>
        <v>0</v>
      </c>
      <c r="V10" s="6">
        <f t="shared" si="2"/>
        <v>336000</v>
      </c>
      <c r="W10" s="6">
        <f t="shared" si="3"/>
        <v>0</v>
      </c>
      <c r="X10" s="6">
        <f t="shared" si="3"/>
        <v>0</v>
      </c>
      <c r="Y10" s="6">
        <f t="shared" si="3"/>
        <v>0</v>
      </c>
      <c r="Z10" s="6">
        <f t="shared" si="3"/>
        <v>0</v>
      </c>
      <c r="AA10" s="6">
        <f t="shared" si="3"/>
        <v>0</v>
      </c>
      <c r="AB10" s="6">
        <f t="shared" si="3"/>
        <v>0</v>
      </c>
      <c r="AC10" s="7"/>
      <c r="AD10" s="152">
        <v>0</v>
      </c>
      <c r="AE10" s="152">
        <v>0</v>
      </c>
      <c r="AF10" s="152">
        <v>0</v>
      </c>
      <c r="AG10" s="152">
        <v>0</v>
      </c>
      <c r="AH10" s="152">
        <v>0</v>
      </c>
      <c r="AI10" s="152">
        <v>0</v>
      </c>
      <c r="AJ10" s="152">
        <v>0</v>
      </c>
      <c r="AK10" s="152">
        <v>0</v>
      </c>
      <c r="AL10" s="152">
        <v>0</v>
      </c>
      <c r="AM10" s="9">
        <f t="shared" si="4"/>
        <v>0</v>
      </c>
      <c r="AN10" s="80">
        <f t="shared" si="5"/>
        <v>336000</v>
      </c>
      <c r="AP10" s="102" t="s">
        <v>1</v>
      </c>
      <c r="AQ10" s="12">
        <v>5000</v>
      </c>
      <c r="AR10" s="14">
        <f t="shared" si="15"/>
        <v>60000</v>
      </c>
      <c r="AS10" s="14" cm="1">
        <f t="array" ref="AS10">IFERROR(_xlfn.IFS(VALUE(MID(AS$5,6,1))&gt;$D$2,0,$AP10="Annual",1,AR10=12,12,$AP10="Monthly V",AR10*(1+$BD$2),$AP10="Monthly F",12,$AP10="One-Time",0),AR10*(1+$BD$2))</f>
        <v>60000</v>
      </c>
      <c r="AT10" s="14" cm="1">
        <f t="array" ref="AT10">IFERROR(_xlfn.IFS(VALUE(MID(AT$5,6,1))&gt;$D$2,0,$AP10="Annual",1,AS10=12,12,$AP10="Monthly V",AS10*(1+$BD$2),$AP10="Monthly F",12,$AP10="One-Time",0),AS10*(1+$BD$2))</f>
        <v>60000</v>
      </c>
      <c r="AU10" s="14" cm="1">
        <f t="array" ref="AU10">IFERROR(_xlfn.IFS(VALUE(MID(AU$5,6,1))&gt;$D$2,0,$AP10="Annual",1,AT10=12,12,$AP10="Monthly V",AT10*(1+$BD$2),$AP10="Monthly F",12,$AP10="One-Time",0),AT10*(1+$BD$2))</f>
        <v>60000</v>
      </c>
      <c r="AV10" s="14" cm="1">
        <f t="array" ref="AV10">IFERROR(_xlfn.IFS(VALUE(MID(AV$5,6,1))&gt;$D$2,0,$AP10="Annual",1,AU10=12,12,$AP10="Monthly V",AU10*(1+$BD$2),$AP10="Monthly F",12,$AP10="One-Time",0),AU10*(1+$BD$2))</f>
        <v>60000</v>
      </c>
      <c r="AW10" s="14" cm="1">
        <f t="array" ref="AW10">IFERROR(_xlfn.IFS(VALUE(MID(AW$5,6,1))&gt;$D$2,0,$AP10="Annual",1,AV10=12,12,$AP10="Monthly V",AV10*(1+$BD$2),$AP10="Monthly F",12,$AP10="One-Time",0),AV10*(1+$BD$2))</f>
        <v>60000</v>
      </c>
      <c r="AX10" s="14" cm="1">
        <f t="array" ref="AX10">IFERROR(_xlfn.IFS(VALUE(MID(AX$5,6,1))&gt;$D$2,0,$AP10="Annual",1,AW10=12,12,$AP10="Monthly V",AW10*(1+$BD$2),$AP10="Monthly F",12,$AP10="One-Time",0),AW10*(1+$BD$2))</f>
        <v>60000</v>
      </c>
      <c r="AY10" s="14" cm="1">
        <f t="array" ref="AY10">IFERROR(_xlfn.IFS(VALUE(MID(AY$5,6,1))&gt;$D$2,0,$AP10="Annual",1,AX10=12,12,$AP10="Monthly V",AX10*(1+$D$3),$AP10="Monthly F",12,$AP10="One-Time",0),AX10*(1+$D$3))</f>
        <v>0</v>
      </c>
      <c r="AZ10" s="14" cm="1">
        <f t="array" ref="AZ10">IFERROR(_xlfn.IFS(VALUE(MID(AZ$5,6,1))&gt;$D$2,0,$AP10="Annual",1,AY10=12,12,$AP10="Monthly V",AY10*(1+$D$3),$AP10="Monthly F",12,$AP10="One-Time",0),AY10*(1+$D$3))</f>
        <v>0</v>
      </c>
      <c r="BA10" s="125" cm="1">
        <f t="array" ref="BA10">IFERROR(_xlfn.IFS(VALUE(MID(BA$5,6,2))&gt;$D$2,0,$AP10="Annual",1,AZ10=12,12,$AP10="Monthly V",AZ10*(1+$D$3),$AP10="Monthly F",12,$AP10="One-Time",0),AZ10*(1+$D$3))</f>
        <v>0</v>
      </c>
      <c r="BB10" s="124" t="s">
        <v>158</v>
      </c>
      <c r="BC10" s="38" t="s">
        <v>217</v>
      </c>
      <c r="BD10" s="36">
        <v>2.2499999999999999E-2</v>
      </c>
      <c r="BE10" s="21">
        <f t="shared" si="16"/>
        <v>112.5</v>
      </c>
      <c r="BF10" s="39">
        <f t="shared" ref="BF10:BF73" si="44">IFERROR(AR10*$BD10,0)</f>
        <v>1350</v>
      </c>
      <c r="BG10" s="39">
        <f t="shared" si="17"/>
        <v>1350</v>
      </c>
      <c r="BH10" s="39">
        <f t="shared" si="18"/>
        <v>1350</v>
      </c>
      <c r="BI10" s="39">
        <f t="shared" si="19"/>
        <v>1390.5</v>
      </c>
      <c r="BJ10" s="39">
        <f t="shared" ref="BJ10:BL10" si="45">BI10*1.03</f>
        <v>1432.2150000000001</v>
      </c>
      <c r="BK10" s="39">
        <f t="shared" si="45"/>
        <v>1475.1814500000003</v>
      </c>
      <c r="BL10" s="39">
        <f t="shared" si="45"/>
        <v>1519.4368935000002</v>
      </c>
      <c r="BM10" s="39">
        <f t="shared" si="23"/>
        <v>0</v>
      </c>
      <c r="BN10" s="39">
        <f t="shared" si="23"/>
        <v>0</v>
      </c>
      <c r="BO10" s="39">
        <f t="shared" si="23"/>
        <v>0</v>
      </c>
      <c r="BP10" s="40"/>
      <c r="BQ10" s="40">
        <f t="shared" si="24"/>
        <v>40.500000000000036</v>
      </c>
      <c r="BR10" s="40">
        <f t="shared" si="25"/>
        <v>82.214999999999932</v>
      </c>
      <c r="BS10" s="40">
        <f t="shared" si="26"/>
        <v>128.9368935</v>
      </c>
      <c r="BT10" s="40">
        <f t="shared" si="27"/>
        <v>179.75560031414989</v>
      </c>
      <c r="BU10" s="40">
        <f t="shared" si="28"/>
        <v>234.95815987328155</v>
      </c>
      <c r="BV10" s="40">
        <f t="shared" si="29"/>
        <v>294.85021861456448</v>
      </c>
      <c r="BW10" s="40">
        <f t="shared" si="30"/>
        <v>0</v>
      </c>
      <c r="BX10" s="40">
        <f t="shared" si="31"/>
        <v>0</v>
      </c>
      <c r="BY10" s="40">
        <f t="shared" si="32"/>
        <v>0</v>
      </c>
      <c r="BZ10" s="40">
        <f t="shared" si="33"/>
        <v>961.21587230199589</v>
      </c>
      <c r="CA10" s="37">
        <f t="shared" si="9"/>
        <v>10828.549215801997</v>
      </c>
      <c r="CC10" s="102"/>
      <c r="CD10" s="12"/>
      <c r="CE10" s="14">
        <f t="shared" si="10"/>
        <v>0</v>
      </c>
      <c r="CF10" s="14" cm="1">
        <f t="array" ref="CF10">IFERROR(_xlfn.IFS(VALUE(MID(CF$5,6,1))&gt;$D$2,0,$CC10="Annual",1,CE10=12,12,$CC10="Monthly V",CE10*(1+$D$3),$CC10="Monthly F",12,$CC10="One-Time",0),CE10*(1+$D$3))</f>
        <v>0</v>
      </c>
      <c r="CG10" s="14" cm="1">
        <f t="array" ref="CG10">IFERROR(_xlfn.IFS(VALUE(MID(CG$5,6,1))&gt;$D$2,0,$CC10="Annual",1,CF10=12,12,$CC10="Monthly V",CF10*(1+$D$3),$CC10="Monthly F",12,$CC10="One-Time",0),CF10*(1+$D$3))</f>
        <v>0</v>
      </c>
      <c r="CH10" s="14" cm="1">
        <f t="array" ref="CH10">IFERROR(_xlfn.IFS(VALUE(MID(CH$5,6,1))&gt;$D$2,0,$CC10="Annual",1,CG10=12,12,$CC10="Monthly V",CG10*(1+$D$3),$CC10="Monthly F",12,$CC10="One-Time",0),CG10*(1+$D$3))</f>
        <v>0</v>
      </c>
      <c r="CI10" s="14" cm="1">
        <f t="array" ref="CI10">IFERROR(_xlfn.IFS(VALUE(MID(CI$5,6,1))&gt;$D$2,0,$CC10="Annual",1,CH10=12,12,$CC10="Monthly V",CH10*(1+$D$3),$CC10="Monthly F",12,$CC10="One-Time",0),CH10*(1+$D$3))</f>
        <v>0</v>
      </c>
      <c r="CJ10" s="14" cm="1">
        <f t="array" ref="CJ10">IFERROR(_xlfn.IFS(VALUE(MID(CJ$5,6,1))&gt;$D$2,0,$CC10="Annual",1,CI10=12,12,$CC10="Monthly V",CI10*(1+$D$3),$CC10="Monthly F",12,$CC10="One-Time",0),CI10*(1+$D$3))</f>
        <v>0</v>
      </c>
      <c r="CK10" s="14" cm="1">
        <f t="array" ref="CK10">IFERROR(_xlfn.IFS(VALUE(MID(CK$5,6,1))&gt;$D$2,0,$CC10="Annual",1,CJ10=12,12,$CC10="Monthly V",CJ10*(1+$D$3),$CC10="Monthly F",12,$CC10="One-Time",0),CJ10*(1+$D$3))</f>
        <v>0</v>
      </c>
      <c r="CL10" s="14" cm="1">
        <f t="array" ref="CL10">IFERROR(_xlfn.IFS(VALUE(MID(CL$5,6,1))&gt;$D$2,0,$CC10="Annual",1,CK10=12,12,$CC10="Monthly V",CK10*(1+$D$3),$CC10="Monthly F",12,$CC10="One-Time",0),CK10*(1+$D$3))</f>
        <v>0</v>
      </c>
      <c r="CM10" s="14" cm="1">
        <f t="array" ref="CM10">IFERROR(_xlfn.IFS(VALUE(MID(CM$5,6,1))&gt;$D$2,0,$CC10="Annual",1,CL10=12,12,$CC10="Monthly V",CL10*(1+$D$3),$CC10="Monthly F",12,$CC10="One-Time",0),CL10*(1+$D$3))</f>
        <v>0</v>
      </c>
      <c r="CN10" s="24" cm="1">
        <f t="array" ref="CN10">IFERROR(_xlfn.IFS(VALUE(MID(CN$5,6,2))&gt;$D$2,0,$CC10="Annual",1,CM10=12,12,$CC10="Monthly V",CM10*(1+$D$3),$CC10="Monthly F",12,$CC10="One-Time",0),CM10*(1+$D$3))</f>
        <v>0</v>
      </c>
      <c r="CO10" s="63"/>
      <c r="CP10" s="53"/>
      <c r="CQ10" s="21">
        <f t="shared" si="11"/>
        <v>0</v>
      </c>
      <c r="CR10" s="55">
        <f t="shared" si="12"/>
        <v>0</v>
      </c>
      <c r="CS10" s="55">
        <f t="shared" si="12"/>
        <v>0</v>
      </c>
      <c r="CT10" s="55">
        <f t="shared" si="12"/>
        <v>0</v>
      </c>
      <c r="CU10" s="55">
        <f t="shared" si="12"/>
        <v>0</v>
      </c>
      <c r="CV10" s="55">
        <f t="shared" si="12"/>
        <v>0</v>
      </c>
      <c r="CW10" s="55">
        <f t="shared" si="12"/>
        <v>0</v>
      </c>
      <c r="CX10" s="55">
        <f t="shared" si="12"/>
        <v>0</v>
      </c>
      <c r="CY10" s="55">
        <f t="shared" si="12"/>
        <v>0</v>
      </c>
      <c r="CZ10" s="55">
        <f t="shared" si="12"/>
        <v>0</v>
      </c>
      <c r="DA10" s="55">
        <f t="shared" si="12"/>
        <v>0</v>
      </c>
      <c r="DB10" s="56"/>
      <c r="DC10" s="56">
        <f t="shared" si="34"/>
        <v>0</v>
      </c>
      <c r="DD10" s="56">
        <f t="shared" si="35"/>
        <v>0</v>
      </c>
      <c r="DE10" s="56">
        <f t="shared" si="36"/>
        <v>0</v>
      </c>
      <c r="DF10" s="56">
        <f t="shared" si="37"/>
        <v>0</v>
      </c>
      <c r="DG10" s="56">
        <f t="shared" si="38"/>
        <v>0</v>
      </c>
      <c r="DH10" s="56">
        <f t="shared" si="39"/>
        <v>0</v>
      </c>
      <c r="DI10" s="56">
        <f t="shared" si="40"/>
        <v>0</v>
      </c>
      <c r="DJ10" s="56">
        <f t="shared" si="41"/>
        <v>0</v>
      </c>
      <c r="DK10" s="56">
        <f t="shared" si="42"/>
        <v>0</v>
      </c>
      <c r="DL10" s="57">
        <f t="shared" si="43"/>
        <v>0</v>
      </c>
      <c r="DM10" s="54">
        <f t="shared" si="13"/>
        <v>0</v>
      </c>
      <c r="DO10" s="106"/>
    </row>
    <row r="11" spans="2:123" x14ac:dyDescent="0.25">
      <c r="B11" s="141" t="s">
        <v>0</v>
      </c>
      <c r="C11" s="24">
        <v>1</v>
      </c>
      <c r="D11" s="147">
        <f t="shared" si="0"/>
        <v>1</v>
      </c>
      <c r="E11" s="14">
        <v>0</v>
      </c>
      <c r="F11" s="14">
        <v>0</v>
      </c>
      <c r="G11" s="14">
        <v>0</v>
      </c>
      <c r="H11" s="14">
        <v>0</v>
      </c>
      <c r="I11" s="14" cm="1">
        <f t="array" ref="I11">IFERROR(_xlfn.IFS(VALUE(MID(I$5,6,1))&gt;$D$2,0,$B11="Annual",1,H11=12,12,$B11="Monthly V",H11*(1+$D$3),$B11="Monthly F",12,$B11="One-Time",0),H11*(1+$D$3))</f>
        <v>12</v>
      </c>
      <c r="J11" s="14">
        <v>0</v>
      </c>
      <c r="K11" s="14">
        <v>0</v>
      </c>
      <c r="L11" s="14">
        <v>0</v>
      </c>
      <c r="M11" s="14">
        <v>0</v>
      </c>
      <c r="N11" s="14">
        <v>0</v>
      </c>
      <c r="O11" s="127" t="s">
        <v>65</v>
      </c>
      <c r="P11" s="13" t="s">
        <v>58</v>
      </c>
      <c r="Q11" s="20">
        <v>35000</v>
      </c>
      <c r="R11" s="21">
        <f t="shared" si="14"/>
        <v>0</v>
      </c>
      <c r="S11" s="6">
        <f t="shared" si="2"/>
        <v>0</v>
      </c>
      <c r="T11" s="6">
        <f t="shared" si="2"/>
        <v>0</v>
      </c>
      <c r="U11" s="6">
        <f t="shared" si="2"/>
        <v>0</v>
      </c>
      <c r="V11" s="6">
        <f t="shared" si="2"/>
        <v>0</v>
      </c>
      <c r="W11" s="6">
        <f t="shared" si="3"/>
        <v>420000</v>
      </c>
      <c r="X11" s="6">
        <f t="shared" si="3"/>
        <v>0</v>
      </c>
      <c r="Y11" s="6">
        <f t="shared" si="3"/>
        <v>0</v>
      </c>
      <c r="Z11" s="6">
        <f t="shared" si="3"/>
        <v>0</v>
      </c>
      <c r="AA11" s="6">
        <f t="shared" si="3"/>
        <v>0</v>
      </c>
      <c r="AB11" s="6">
        <f t="shared" si="3"/>
        <v>0</v>
      </c>
      <c r="AC11" s="7"/>
      <c r="AD11" s="152">
        <v>0</v>
      </c>
      <c r="AE11" s="152">
        <v>0</v>
      </c>
      <c r="AF11" s="152">
        <v>0</v>
      </c>
      <c r="AG11" s="152">
        <v>0</v>
      </c>
      <c r="AH11" s="152">
        <v>0</v>
      </c>
      <c r="AI11" s="152">
        <v>0</v>
      </c>
      <c r="AJ11" s="152">
        <v>0</v>
      </c>
      <c r="AK11" s="152">
        <v>0</v>
      </c>
      <c r="AL11" s="152">
        <v>0</v>
      </c>
      <c r="AM11" s="9">
        <f t="shared" si="4"/>
        <v>0</v>
      </c>
      <c r="AN11" s="80">
        <f t="shared" si="5"/>
        <v>420000</v>
      </c>
      <c r="AP11" s="102" t="s">
        <v>1</v>
      </c>
      <c r="AQ11" s="12">
        <v>5000</v>
      </c>
      <c r="AR11" s="14">
        <f t="shared" si="15"/>
        <v>60000</v>
      </c>
      <c r="AS11" s="14" cm="1">
        <f t="array" ref="AS11">IFERROR(_xlfn.IFS(VALUE(MID(AS$5,6,1))&gt;$D$2,0,$AP11="Annual",1,AR11=12,12,$AP11="Monthly V",AR11*(1+$BD$2),$AP11="Monthly F",12,$AP11="One-Time",0),AR11*(1+$BD$2))</f>
        <v>60000</v>
      </c>
      <c r="AT11" s="14" cm="1">
        <f t="array" ref="AT11">IFERROR(_xlfn.IFS(VALUE(MID(AT$5,6,1))&gt;$D$2,0,$AP11="Annual",1,AS11=12,12,$AP11="Monthly V",AS11*(1+$BD$2),$AP11="Monthly F",12,$AP11="One-Time",0),AS11*(1+$BD$2))</f>
        <v>60000</v>
      </c>
      <c r="AU11" s="14" cm="1">
        <f t="array" ref="AU11">IFERROR(_xlfn.IFS(VALUE(MID(AU$5,6,1))&gt;$D$2,0,$AP11="Annual",1,AT11=12,12,$AP11="Monthly V",AT11*(1+$BD$2),$AP11="Monthly F",12,$AP11="One-Time",0),AT11*(1+$BD$2))</f>
        <v>60000</v>
      </c>
      <c r="AV11" s="14" cm="1">
        <f t="array" ref="AV11">IFERROR(_xlfn.IFS(VALUE(MID(AV$5,6,1))&gt;$D$2,0,$AP11="Annual",1,AU11=12,12,$AP11="Monthly V",AU11*(1+$BD$2),$AP11="Monthly F",12,$AP11="One-Time",0),AU11*(1+$BD$2))</f>
        <v>60000</v>
      </c>
      <c r="AW11" s="14" cm="1">
        <f t="array" ref="AW11">IFERROR(_xlfn.IFS(VALUE(MID(AW$5,6,1))&gt;$D$2,0,$AP11="Annual",1,AV11=12,12,$AP11="Monthly V",AV11*(1+$BD$2),$AP11="Monthly F",12,$AP11="One-Time",0),AV11*(1+$BD$2))</f>
        <v>60000</v>
      </c>
      <c r="AX11" s="14" cm="1">
        <f t="array" ref="AX11">IFERROR(_xlfn.IFS(VALUE(MID(AX$5,6,1))&gt;$D$2,0,$AP11="Annual",1,AW11=12,12,$AP11="Monthly V",AW11*(1+$BD$2),$AP11="Monthly F",12,$AP11="One-Time",0),AW11*(1+$BD$2))</f>
        <v>60000</v>
      </c>
      <c r="AY11" s="14" cm="1">
        <f t="array" ref="AY11">IFERROR(_xlfn.IFS(VALUE(MID(AY$5,6,1))&gt;$D$2,0,$AP11="Annual",1,AX11=12,12,$AP11="Monthly V",AX11*(1+$D$3),$AP11="Monthly F",12,$AP11="One-Time",0),AX11*(1+$D$3))</f>
        <v>0</v>
      </c>
      <c r="AZ11" s="14" cm="1">
        <f t="array" ref="AZ11">IFERROR(_xlfn.IFS(VALUE(MID(AZ$5,6,1))&gt;$D$2,0,$AP11="Annual",1,AY11=12,12,$AP11="Monthly V",AY11*(1+$D$3),$AP11="Monthly F",12,$AP11="One-Time",0),AY11*(1+$D$3))</f>
        <v>0</v>
      </c>
      <c r="BA11" s="125" cm="1">
        <f t="array" ref="BA11">IFERROR(_xlfn.IFS(VALUE(MID(BA$5,6,2))&gt;$D$2,0,$AP11="Annual",1,AZ11=12,12,$AP11="Monthly V",AZ11*(1+$D$3),$AP11="Monthly F",12,$AP11="One-Time",0),AZ11*(1+$D$3))</f>
        <v>0</v>
      </c>
      <c r="BB11" s="148" t="s">
        <v>329</v>
      </c>
      <c r="BC11" s="38" t="s">
        <v>274</v>
      </c>
      <c r="BD11" s="36">
        <v>0.17030000000000001</v>
      </c>
      <c r="BE11" s="21">
        <f t="shared" si="16"/>
        <v>851.5</v>
      </c>
      <c r="BF11" s="39">
        <f t="shared" si="44"/>
        <v>10218</v>
      </c>
      <c r="BG11" s="39">
        <f t="shared" si="17"/>
        <v>10218</v>
      </c>
      <c r="BH11" s="39">
        <f t="shared" si="18"/>
        <v>10218</v>
      </c>
      <c r="BI11" s="39">
        <f t="shared" si="19"/>
        <v>10524.54</v>
      </c>
      <c r="BJ11" s="39">
        <f t="shared" ref="BJ11:BL11" si="46">BI11*1.03</f>
        <v>10840.276200000002</v>
      </c>
      <c r="BK11" s="39">
        <f t="shared" si="46"/>
        <v>11165.484486000003</v>
      </c>
      <c r="BL11" s="39">
        <f t="shared" si="46"/>
        <v>11500.449020580003</v>
      </c>
      <c r="BM11" s="39">
        <f t="shared" si="23"/>
        <v>0</v>
      </c>
      <c r="BN11" s="39">
        <f t="shared" si="23"/>
        <v>0</v>
      </c>
      <c r="BO11" s="39">
        <f t="shared" si="23"/>
        <v>0</v>
      </c>
      <c r="BP11" s="40"/>
      <c r="BQ11" s="40">
        <f t="shared" si="24"/>
        <v>306.54000000000025</v>
      </c>
      <c r="BR11" s="40">
        <f t="shared" si="25"/>
        <v>622.27619999999956</v>
      </c>
      <c r="BS11" s="40">
        <f t="shared" si="26"/>
        <v>975.90902058000017</v>
      </c>
      <c r="BT11" s="40">
        <f t="shared" si="27"/>
        <v>1360.5501659333213</v>
      </c>
      <c r="BU11" s="40">
        <f t="shared" si="28"/>
        <v>1778.37220561866</v>
      </c>
      <c r="BV11" s="40">
        <f t="shared" si="29"/>
        <v>2231.6885435582371</v>
      </c>
      <c r="BW11" s="40">
        <f t="shared" si="30"/>
        <v>0</v>
      </c>
      <c r="BX11" s="40">
        <f t="shared" si="31"/>
        <v>0</v>
      </c>
      <c r="BY11" s="40">
        <f t="shared" si="32"/>
        <v>0</v>
      </c>
      <c r="BZ11" s="40">
        <f t="shared" si="33"/>
        <v>7275.3361356902187</v>
      </c>
      <c r="CA11" s="37">
        <f t="shared" si="9"/>
        <v>81960.085842270229</v>
      </c>
      <c r="CC11" s="102"/>
      <c r="CD11" s="12"/>
      <c r="CE11" s="14">
        <f t="shared" si="10"/>
        <v>0</v>
      </c>
      <c r="CF11" s="14" cm="1">
        <f t="array" ref="CF11">IFERROR(_xlfn.IFS(VALUE(MID(CF$5,6,1))&gt;$D$2,0,$CC11="Annual",1,CE11=12,12,$CC11="Monthly V",CE11*(1+$D$3),$CC11="Monthly F",12,$CC11="One-Time",0),CE11*(1+$D$3))</f>
        <v>0</v>
      </c>
      <c r="CG11" s="14" cm="1">
        <f t="array" ref="CG11">IFERROR(_xlfn.IFS(VALUE(MID(CG$5,6,1))&gt;$D$2,0,$CC11="Annual",1,CF11=12,12,$CC11="Monthly V",CF11*(1+$D$3),$CC11="Monthly F",12,$CC11="One-Time",0),CF11*(1+$D$3))</f>
        <v>0</v>
      </c>
      <c r="CH11" s="14" cm="1">
        <f t="array" ref="CH11">IFERROR(_xlfn.IFS(VALUE(MID(CH$5,6,1))&gt;$D$2,0,$CC11="Annual",1,CG11=12,12,$CC11="Monthly V",CG11*(1+$D$3),$CC11="Monthly F",12,$CC11="One-Time",0),CG11*(1+$D$3))</f>
        <v>0</v>
      </c>
      <c r="CI11" s="14" cm="1">
        <f t="array" ref="CI11">IFERROR(_xlfn.IFS(VALUE(MID(CI$5,6,1))&gt;$D$2,0,$CC11="Annual",1,CH11=12,12,$CC11="Monthly V",CH11*(1+$D$3),$CC11="Monthly F",12,$CC11="One-Time",0),CH11*(1+$D$3))</f>
        <v>0</v>
      </c>
      <c r="CJ11" s="14" cm="1">
        <f t="array" ref="CJ11">IFERROR(_xlfn.IFS(VALUE(MID(CJ$5,6,1))&gt;$D$2,0,$CC11="Annual",1,CI11=12,12,$CC11="Monthly V",CI11*(1+$D$3),$CC11="Monthly F",12,$CC11="One-Time",0),CI11*(1+$D$3))</f>
        <v>0</v>
      </c>
      <c r="CK11" s="14" cm="1">
        <f t="array" ref="CK11">IFERROR(_xlfn.IFS(VALUE(MID(CK$5,6,1))&gt;$D$2,0,$CC11="Annual",1,CJ11=12,12,$CC11="Monthly V",CJ11*(1+$D$3),$CC11="Monthly F",12,$CC11="One-Time",0),CJ11*(1+$D$3))</f>
        <v>0</v>
      </c>
      <c r="CL11" s="14" cm="1">
        <f t="array" ref="CL11">IFERROR(_xlfn.IFS(VALUE(MID(CL$5,6,1))&gt;$D$2,0,$CC11="Annual",1,CK11=12,12,$CC11="Monthly V",CK11*(1+$D$3),$CC11="Monthly F",12,$CC11="One-Time",0),CK11*(1+$D$3))</f>
        <v>0</v>
      </c>
      <c r="CM11" s="14" cm="1">
        <f t="array" ref="CM11">IFERROR(_xlfn.IFS(VALUE(MID(CM$5,6,1))&gt;$D$2,0,$CC11="Annual",1,CL11=12,12,$CC11="Monthly V",CL11*(1+$D$3),$CC11="Monthly F",12,$CC11="One-Time",0),CL11*(1+$D$3))</f>
        <v>0</v>
      </c>
      <c r="CN11" s="24" cm="1">
        <f t="array" ref="CN11">IFERROR(_xlfn.IFS(VALUE(MID(CN$5,6,2))&gt;$D$2,0,$CC11="Annual",1,CM11=12,12,$CC11="Monthly V",CM11*(1+$D$3),$CC11="Monthly F",12,$CC11="One-Time",0),CM11*(1+$D$3))</f>
        <v>0</v>
      </c>
      <c r="CO11" s="63"/>
      <c r="CP11" s="53"/>
      <c r="CQ11" s="21">
        <f t="shared" si="11"/>
        <v>0</v>
      </c>
      <c r="CR11" s="55">
        <f t="shared" si="12"/>
        <v>0</v>
      </c>
      <c r="CS11" s="55">
        <f t="shared" si="12"/>
        <v>0</v>
      </c>
      <c r="CT11" s="55">
        <f t="shared" si="12"/>
        <v>0</v>
      </c>
      <c r="CU11" s="55">
        <f t="shared" si="12"/>
        <v>0</v>
      </c>
      <c r="CV11" s="55">
        <f t="shared" si="12"/>
        <v>0</v>
      </c>
      <c r="CW11" s="55">
        <f t="shared" si="12"/>
        <v>0</v>
      </c>
      <c r="CX11" s="55">
        <f t="shared" si="12"/>
        <v>0</v>
      </c>
      <c r="CY11" s="55">
        <f t="shared" si="12"/>
        <v>0</v>
      </c>
      <c r="CZ11" s="55">
        <f t="shared" si="12"/>
        <v>0</v>
      </c>
      <c r="DA11" s="55">
        <f t="shared" si="12"/>
        <v>0</v>
      </c>
      <c r="DB11" s="56"/>
      <c r="DC11" s="56">
        <f t="shared" si="34"/>
        <v>0</v>
      </c>
      <c r="DD11" s="56">
        <f t="shared" si="35"/>
        <v>0</v>
      </c>
      <c r="DE11" s="56">
        <f t="shared" si="36"/>
        <v>0</v>
      </c>
      <c r="DF11" s="56">
        <f t="shared" si="37"/>
        <v>0</v>
      </c>
      <c r="DG11" s="56">
        <f t="shared" si="38"/>
        <v>0</v>
      </c>
      <c r="DH11" s="56">
        <f t="shared" si="39"/>
        <v>0</v>
      </c>
      <c r="DI11" s="56">
        <f t="shared" si="40"/>
        <v>0</v>
      </c>
      <c r="DJ11" s="56">
        <f t="shared" si="41"/>
        <v>0</v>
      </c>
      <c r="DK11" s="56">
        <f t="shared" si="42"/>
        <v>0</v>
      </c>
      <c r="DL11" s="57">
        <f t="shared" si="43"/>
        <v>0</v>
      </c>
      <c r="DM11" s="54">
        <f t="shared" si="13"/>
        <v>0</v>
      </c>
      <c r="DO11" s="106"/>
    </row>
    <row r="12" spans="2:123" x14ac:dyDescent="0.25">
      <c r="B12" s="141" t="s">
        <v>0</v>
      </c>
      <c r="C12" s="24">
        <v>1</v>
      </c>
      <c r="D12" s="147">
        <f t="shared" si="0"/>
        <v>1</v>
      </c>
      <c r="E12" s="14">
        <v>0</v>
      </c>
      <c r="F12" s="14">
        <v>0</v>
      </c>
      <c r="G12" s="14">
        <v>0</v>
      </c>
      <c r="H12" s="14">
        <v>0</v>
      </c>
      <c r="I12" s="14">
        <v>0</v>
      </c>
      <c r="J12" s="14" cm="1">
        <f t="array" ref="J12">IFERROR(_xlfn.IFS(VALUE(MID(J$5,6,1))&gt;$D$2,0,$B12="Annual",1,I12=12,12,$B12="Monthly V",I12*(1+$D$3),$B12="Monthly F",12,$B12="One-Time",0),I12*(1+$D$3))</f>
        <v>12</v>
      </c>
      <c r="K12" s="14">
        <v>0</v>
      </c>
      <c r="L12" s="14">
        <v>0</v>
      </c>
      <c r="M12" s="14">
        <v>0</v>
      </c>
      <c r="N12" s="14">
        <v>0</v>
      </c>
      <c r="O12" s="127" t="s">
        <v>67</v>
      </c>
      <c r="P12" s="13" t="s">
        <v>58</v>
      </c>
      <c r="Q12" s="20">
        <v>35000</v>
      </c>
      <c r="R12" s="21">
        <f t="shared" si="14"/>
        <v>0</v>
      </c>
      <c r="S12" s="6">
        <f t="shared" si="2"/>
        <v>0</v>
      </c>
      <c r="T12" s="6">
        <f t="shared" si="2"/>
        <v>0</v>
      </c>
      <c r="U12" s="6">
        <f t="shared" si="2"/>
        <v>0</v>
      </c>
      <c r="V12" s="6">
        <f t="shared" si="2"/>
        <v>0</v>
      </c>
      <c r="W12" s="6">
        <f t="shared" si="3"/>
        <v>0</v>
      </c>
      <c r="X12" s="6">
        <f>IFERROR($Q12*J12,0)</f>
        <v>420000</v>
      </c>
      <c r="Y12" s="6">
        <f t="shared" si="3"/>
        <v>0</v>
      </c>
      <c r="Z12" s="6">
        <f t="shared" si="3"/>
        <v>0</v>
      </c>
      <c r="AA12" s="6">
        <f t="shared" si="3"/>
        <v>0</v>
      </c>
      <c r="AB12" s="6">
        <f t="shared" si="3"/>
        <v>0</v>
      </c>
      <c r="AC12" s="7"/>
      <c r="AD12" s="152">
        <f t="shared" ref="AD12:AD19" si="47">IF(VALUE(MID(AD$5,6,1))&lt;=$D$2,((1+$Q$3)^1-1)*T12,0)</f>
        <v>0</v>
      </c>
      <c r="AE12" s="152">
        <f t="shared" ref="AE12:AE19" si="48">IF(VALUE(MID(AE$5,6,1))&lt;=$D$2,((1+$Q$3)^2-1)*U12,0)</f>
        <v>0</v>
      </c>
      <c r="AF12" s="152">
        <f t="shared" ref="AF12:AF19" si="49">IF(VALUE(MID(AF$5,6,1))&lt;=$D$2,((1+$Q$3)^3-1)*V12,0)</f>
        <v>0</v>
      </c>
      <c r="AG12" s="152">
        <f t="shared" ref="AG12:AG19" si="50">IF(VALUE(MID(AG$5,6,1))&lt;=$D$2,((1+$Q$3)^4-1)*W12,0)</f>
        <v>0</v>
      </c>
      <c r="AH12" s="152">
        <f>IF(VALUE(MID(AH$5,6,1))&lt;=$D$2,((1+$Q$2)^1-1)*X12,0)</f>
        <v>25200.000000000022</v>
      </c>
      <c r="AI12" s="152">
        <f t="shared" ref="AI12" si="51">IF(VALUE(MID(AI$5,6,1))&lt;=$D$2,((1+$Q$3)^6-1)*Y12,0)</f>
        <v>0</v>
      </c>
      <c r="AJ12" s="152">
        <f t="shared" ref="AJ12:AJ19" si="52">IF(VALUE(MID(AJ$5,6,1))&lt;=$D$2,((1+$Q$3)^7-1)*Z12,0)</f>
        <v>0</v>
      </c>
      <c r="AK12" s="152">
        <f t="shared" ref="AK12:AK19" si="53">IF(VALUE(MID(AK$5,6,1))&lt;=$D$2,((1+$Q$3)^8-1)*AA12,0)</f>
        <v>0</v>
      </c>
      <c r="AL12" s="152">
        <f t="shared" ref="AL12:AL19" si="54">IF(VALUE(MID(AL$5,6,2))&lt;=$D$2,((1+$Q$3)^9-1)*AB12,0)</f>
        <v>0</v>
      </c>
      <c r="AM12" s="9">
        <f t="shared" si="4"/>
        <v>25200.000000000022</v>
      </c>
      <c r="AN12" s="80">
        <f>SUM(AM12,S12:AB12)</f>
        <v>445200</v>
      </c>
      <c r="AP12" s="102" t="s">
        <v>1</v>
      </c>
      <c r="AQ12" s="12">
        <v>5000</v>
      </c>
      <c r="AR12" s="14">
        <f t="shared" si="15"/>
        <v>60000</v>
      </c>
      <c r="AS12" s="14" cm="1">
        <f t="array" ref="AS12">IFERROR(_xlfn.IFS(VALUE(MID(AS$5,6,1))&gt;$D$2,0,$AP12="Annual",1,AR12=12,12,$AP12="Monthly V",AR12*(1+$BD$2),$AP12="Monthly F",12,$AP12="One-Time",0),AR12*(1+$BD$2))</f>
        <v>60000</v>
      </c>
      <c r="AT12" s="14" cm="1">
        <f t="array" ref="AT12">IFERROR(_xlfn.IFS(VALUE(MID(AT$5,6,1))&gt;$D$2,0,$AP12="Annual",1,AS12=12,12,$AP12="Monthly V",AS12*(1+$BD$2),$AP12="Monthly F",12,$AP12="One-Time",0),AS12*(1+$BD$2))</f>
        <v>60000</v>
      </c>
      <c r="AU12" s="14" cm="1">
        <f t="array" ref="AU12">IFERROR(_xlfn.IFS(VALUE(MID(AU$5,6,1))&gt;$D$2,0,$AP12="Annual",1,AT12=12,12,$AP12="Monthly V",AT12*(1+$BD$2),$AP12="Monthly F",12,$AP12="One-Time",0),AT12*(1+$BD$2))</f>
        <v>60000</v>
      </c>
      <c r="AV12" s="14" cm="1">
        <f t="array" ref="AV12">IFERROR(_xlfn.IFS(VALUE(MID(AV$5,6,1))&gt;$D$2,0,$AP12="Annual",1,AU12=12,12,$AP12="Monthly V",AU12*(1+$BD$2),$AP12="Monthly F",12,$AP12="One-Time",0),AU12*(1+$BD$2))</f>
        <v>60000</v>
      </c>
      <c r="AW12" s="14" cm="1">
        <f t="array" ref="AW12">IFERROR(_xlfn.IFS(VALUE(MID(AW$5,6,1))&gt;$D$2,0,$AP12="Annual",1,AV12=12,12,$AP12="Monthly V",AV12*(1+$BD$2),$AP12="Monthly F",12,$AP12="One-Time",0),AV12*(1+$BD$2))</f>
        <v>60000</v>
      </c>
      <c r="AX12" s="14" cm="1">
        <f t="array" ref="AX12">IFERROR(_xlfn.IFS(VALUE(MID(AX$5,6,1))&gt;$D$2,0,$AP12="Annual",1,AW12=12,12,$AP12="Monthly V",AW12*(1+$BD$2),$AP12="Monthly F",12,$AP12="One-Time",0),AW12*(1+$BD$2))</f>
        <v>60000</v>
      </c>
      <c r="AY12" s="14" cm="1">
        <f t="array" ref="AY12">IFERROR(_xlfn.IFS(VALUE(MID(AY$5,6,1))&gt;$D$2,0,$AP12="Annual",1,AX12=12,12,$AP12="Monthly V",AX12*(1+$D$3),$AP12="Monthly F",12,$AP12="One-Time",0),AX12*(1+$D$3))</f>
        <v>0</v>
      </c>
      <c r="AZ12" s="14" cm="1">
        <f t="array" ref="AZ12">IFERROR(_xlfn.IFS(VALUE(MID(AZ$5,6,1))&gt;$D$2,0,$AP12="Annual",1,AY12=12,12,$AP12="Monthly V",AY12*(1+$D$3),$AP12="Monthly F",12,$AP12="One-Time",0),AY12*(1+$D$3))</f>
        <v>0</v>
      </c>
      <c r="BA12" s="125" cm="1">
        <f t="array" ref="BA12">IFERROR(_xlfn.IFS(VALUE(MID(BA$5,6,2))&gt;$D$2,0,$AP12="Annual",1,AZ12=12,12,$AP12="Monthly V",AZ12*(1+$D$3),$AP12="Monthly F",12,$AP12="One-Time",0),AZ12*(1+$D$3))</f>
        <v>0</v>
      </c>
      <c r="BB12" s="148" t="s">
        <v>159</v>
      </c>
      <c r="BC12" s="38" t="s">
        <v>218</v>
      </c>
      <c r="BD12" s="36">
        <v>0.03</v>
      </c>
      <c r="BE12" s="21">
        <f t="shared" si="16"/>
        <v>150</v>
      </c>
      <c r="BF12" s="39">
        <f t="shared" si="44"/>
        <v>1800</v>
      </c>
      <c r="BG12" s="39">
        <f t="shared" si="17"/>
        <v>1800</v>
      </c>
      <c r="BH12" s="39">
        <f t="shared" si="18"/>
        <v>1800</v>
      </c>
      <c r="BI12" s="39">
        <f t="shared" si="19"/>
        <v>1854</v>
      </c>
      <c r="BJ12" s="39">
        <f t="shared" ref="BJ12:BL12" si="55">BI12*1.03</f>
        <v>1909.6200000000001</v>
      </c>
      <c r="BK12" s="39">
        <f t="shared" si="55"/>
        <v>1966.9086000000002</v>
      </c>
      <c r="BL12" s="39">
        <f t="shared" si="55"/>
        <v>2025.9158580000003</v>
      </c>
      <c r="BM12" s="39">
        <f t="shared" si="23"/>
        <v>0</v>
      </c>
      <c r="BN12" s="39">
        <f t="shared" si="23"/>
        <v>0</v>
      </c>
      <c r="BO12" s="39">
        <f t="shared" si="23"/>
        <v>0</v>
      </c>
      <c r="BP12" s="40"/>
      <c r="BQ12" s="40">
        <f t="shared" si="24"/>
        <v>54.00000000000005</v>
      </c>
      <c r="BR12" s="40">
        <f t="shared" si="25"/>
        <v>109.61999999999992</v>
      </c>
      <c r="BS12" s="40">
        <f t="shared" si="26"/>
        <v>171.91585800000001</v>
      </c>
      <c r="BT12" s="40">
        <f t="shared" si="27"/>
        <v>239.67413375219985</v>
      </c>
      <c r="BU12" s="40">
        <f t="shared" si="28"/>
        <v>313.27754649770873</v>
      </c>
      <c r="BV12" s="40">
        <f t="shared" si="29"/>
        <v>393.13362481941931</v>
      </c>
      <c r="BW12" s="40">
        <f t="shared" si="30"/>
        <v>0</v>
      </c>
      <c r="BX12" s="40">
        <f t="shared" si="31"/>
        <v>0</v>
      </c>
      <c r="BY12" s="40">
        <f t="shared" si="32"/>
        <v>0</v>
      </c>
      <c r="BZ12" s="40">
        <f t="shared" si="33"/>
        <v>1281.6211630693278</v>
      </c>
      <c r="CA12" s="37">
        <f t="shared" si="9"/>
        <v>14438.065621069331</v>
      </c>
      <c r="CC12" s="102"/>
      <c r="CD12" s="12"/>
      <c r="CE12" s="14">
        <f t="shared" si="10"/>
        <v>0</v>
      </c>
      <c r="CF12" s="14" cm="1">
        <f t="array" ref="CF12">IFERROR(_xlfn.IFS(VALUE(MID(CF$5,6,1))&gt;$D$2,0,$CC12="Annual",1,CE12=12,12,$CC12="Monthly V",CE12*(1+$D$3),$CC12="Monthly F",12,$CC12="One-Time",0),CE12*(1+$D$3))</f>
        <v>0</v>
      </c>
      <c r="CG12" s="14" cm="1">
        <f t="array" ref="CG12">IFERROR(_xlfn.IFS(VALUE(MID(CG$5,6,1))&gt;$D$2,0,$CC12="Annual",1,CF12=12,12,$CC12="Monthly V",CF12*(1+$D$3),$CC12="Monthly F",12,$CC12="One-Time",0),CF12*(1+$D$3))</f>
        <v>0</v>
      </c>
      <c r="CH12" s="14" cm="1">
        <f t="array" ref="CH12">IFERROR(_xlfn.IFS(VALUE(MID(CH$5,6,1))&gt;$D$2,0,$CC12="Annual",1,CG12=12,12,$CC12="Monthly V",CG12*(1+$D$3),$CC12="Monthly F",12,$CC12="One-Time",0),CG12*(1+$D$3))</f>
        <v>0</v>
      </c>
      <c r="CI12" s="14" cm="1">
        <f t="array" ref="CI12">IFERROR(_xlfn.IFS(VALUE(MID(CI$5,6,1))&gt;$D$2,0,$CC12="Annual",1,CH12=12,12,$CC12="Monthly V",CH12*(1+$D$3),$CC12="Monthly F",12,$CC12="One-Time",0),CH12*(1+$D$3))</f>
        <v>0</v>
      </c>
      <c r="CJ12" s="14" cm="1">
        <f t="array" ref="CJ12">IFERROR(_xlfn.IFS(VALUE(MID(CJ$5,6,1))&gt;$D$2,0,$CC12="Annual",1,CI12=12,12,$CC12="Monthly V",CI12*(1+$D$3),$CC12="Monthly F",12,$CC12="One-Time",0),CI12*(1+$D$3))</f>
        <v>0</v>
      </c>
      <c r="CK12" s="14" cm="1">
        <f t="array" ref="CK12">IFERROR(_xlfn.IFS(VALUE(MID(CK$5,6,1))&gt;$D$2,0,$CC12="Annual",1,CJ12=12,12,$CC12="Monthly V",CJ12*(1+$D$3),$CC12="Monthly F",12,$CC12="One-Time",0),CJ12*(1+$D$3))</f>
        <v>0</v>
      </c>
      <c r="CL12" s="14" cm="1">
        <f t="array" ref="CL12">IFERROR(_xlfn.IFS(VALUE(MID(CL$5,6,1))&gt;$D$2,0,$CC12="Annual",1,CK12=12,12,$CC12="Monthly V",CK12*(1+$D$3),$CC12="Monthly F",12,$CC12="One-Time",0),CK12*(1+$D$3))</f>
        <v>0</v>
      </c>
      <c r="CM12" s="14" cm="1">
        <f t="array" ref="CM12">IFERROR(_xlfn.IFS(VALUE(MID(CM$5,6,1))&gt;$D$2,0,$CC12="Annual",1,CL12=12,12,$CC12="Monthly V",CL12*(1+$D$3),$CC12="Monthly F",12,$CC12="One-Time",0),CL12*(1+$D$3))</f>
        <v>0</v>
      </c>
      <c r="CN12" s="24" cm="1">
        <f t="array" ref="CN12">IFERROR(_xlfn.IFS(VALUE(MID(CN$5,6,2))&gt;$D$2,0,$CC12="Annual",1,CM12=12,12,$CC12="Monthly V",CM12*(1+$D$3),$CC12="Monthly F",12,$CC12="One-Time",0),CM12*(1+$D$3))</f>
        <v>0</v>
      </c>
      <c r="CO12" s="63"/>
      <c r="CP12" s="53"/>
      <c r="CQ12" s="21">
        <f t="shared" si="11"/>
        <v>0</v>
      </c>
      <c r="CR12" s="55">
        <f t="shared" si="12"/>
        <v>0</v>
      </c>
      <c r="CS12" s="55">
        <f t="shared" si="12"/>
        <v>0</v>
      </c>
      <c r="CT12" s="55">
        <f t="shared" si="12"/>
        <v>0</v>
      </c>
      <c r="CU12" s="55">
        <f t="shared" si="12"/>
        <v>0</v>
      </c>
      <c r="CV12" s="55">
        <f t="shared" si="12"/>
        <v>0</v>
      </c>
      <c r="CW12" s="55">
        <f t="shared" si="12"/>
        <v>0</v>
      </c>
      <c r="CX12" s="55">
        <f t="shared" si="12"/>
        <v>0</v>
      </c>
      <c r="CY12" s="55">
        <f t="shared" si="12"/>
        <v>0</v>
      </c>
      <c r="CZ12" s="55">
        <f t="shared" si="12"/>
        <v>0</v>
      </c>
      <c r="DA12" s="55">
        <f t="shared" si="12"/>
        <v>0</v>
      </c>
      <c r="DB12" s="56"/>
      <c r="DC12" s="56">
        <f t="shared" si="34"/>
        <v>0</v>
      </c>
      <c r="DD12" s="56">
        <f t="shared" si="35"/>
        <v>0</v>
      </c>
      <c r="DE12" s="56">
        <f t="shared" si="36"/>
        <v>0</v>
      </c>
      <c r="DF12" s="56">
        <f t="shared" si="37"/>
        <v>0</v>
      </c>
      <c r="DG12" s="56">
        <f t="shared" si="38"/>
        <v>0</v>
      </c>
      <c r="DH12" s="56">
        <f t="shared" si="39"/>
        <v>0</v>
      </c>
      <c r="DI12" s="56">
        <f t="shared" si="40"/>
        <v>0</v>
      </c>
      <c r="DJ12" s="56">
        <f t="shared" si="41"/>
        <v>0</v>
      </c>
      <c r="DK12" s="56">
        <f t="shared" si="42"/>
        <v>0</v>
      </c>
      <c r="DL12" s="57">
        <f t="shared" si="43"/>
        <v>0</v>
      </c>
      <c r="DM12" s="54">
        <f t="shared" si="13"/>
        <v>0</v>
      </c>
      <c r="DO12" s="106"/>
    </row>
    <row r="13" spans="2:123" x14ac:dyDescent="0.25">
      <c r="B13" s="141" t="s">
        <v>0</v>
      </c>
      <c r="C13" s="24">
        <v>1</v>
      </c>
      <c r="D13" s="147">
        <f t="shared" si="0"/>
        <v>1</v>
      </c>
      <c r="E13" s="14">
        <v>0</v>
      </c>
      <c r="F13" s="14">
        <v>0</v>
      </c>
      <c r="G13" s="14">
        <v>0</v>
      </c>
      <c r="H13" s="14">
        <v>0</v>
      </c>
      <c r="I13" s="14">
        <v>0</v>
      </c>
      <c r="J13" s="14">
        <v>0</v>
      </c>
      <c r="K13" s="14" cm="1">
        <f t="array" ref="K13">IFERROR(_xlfn.IFS(VALUE(MID(K$5,6,1))&gt;$D$2,0,$B13="Annual",1,J13=12,12,$B13="Monthly V",J13*(1+$D$3),$B13="Monthly F",12,$B13="One-Time",0),J13*(1+$D$3))</f>
        <v>12</v>
      </c>
      <c r="L13" s="14">
        <v>0</v>
      </c>
      <c r="M13" s="14">
        <v>0</v>
      </c>
      <c r="N13" s="24">
        <v>0</v>
      </c>
      <c r="O13" s="127" t="s">
        <v>66</v>
      </c>
      <c r="P13" s="13" t="s">
        <v>58</v>
      </c>
      <c r="Q13" s="20">
        <f>AN12/12</f>
        <v>37100</v>
      </c>
      <c r="R13" s="21">
        <f t="shared" si="14"/>
        <v>0</v>
      </c>
      <c r="S13" s="6">
        <f t="shared" si="2"/>
        <v>0</v>
      </c>
      <c r="T13" s="6">
        <f t="shared" si="2"/>
        <v>0</v>
      </c>
      <c r="U13" s="6">
        <f t="shared" si="2"/>
        <v>0</v>
      </c>
      <c r="V13" s="6">
        <f t="shared" si="2"/>
        <v>0</v>
      </c>
      <c r="W13" s="6">
        <f t="shared" si="3"/>
        <v>0</v>
      </c>
      <c r="X13" s="6">
        <f t="shared" si="3"/>
        <v>0</v>
      </c>
      <c r="Y13" s="6">
        <f t="shared" si="3"/>
        <v>445200</v>
      </c>
      <c r="Z13" s="6">
        <f t="shared" si="3"/>
        <v>0</v>
      </c>
      <c r="AA13" s="6">
        <f t="shared" si="3"/>
        <v>0</v>
      </c>
      <c r="AB13" s="6">
        <f t="shared" si="3"/>
        <v>0</v>
      </c>
      <c r="AC13" s="7"/>
      <c r="AD13" s="152">
        <f t="shared" si="47"/>
        <v>0</v>
      </c>
      <c r="AE13" s="152">
        <f t="shared" si="48"/>
        <v>0</v>
      </c>
      <c r="AF13" s="152">
        <f t="shared" si="49"/>
        <v>0</v>
      </c>
      <c r="AG13" s="152">
        <f t="shared" si="50"/>
        <v>0</v>
      </c>
      <c r="AH13" s="152">
        <f>IF(VALUE(MID(AH$5,6,1))&lt;=$D$2,((1+$Q$2)^1-1)*X13,0)</f>
        <v>0</v>
      </c>
      <c r="AI13" s="152">
        <f>IF(VALUE(MID(AI$5,6,1))&lt;=$D$2,((1+$Q$2)^1-1)*Y13,0)</f>
        <v>26712.000000000025</v>
      </c>
      <c r="AJ13" s="152">
        <f t="shared" si="52"/>
        <v>0</v>
      </c>
      <c r="AK13" s="152">
        <f t="shared" si="53"/>
        <v>0</v>
      </c>
      <c r="AL13" s="152">
        <f t="shared" si="54"/>
        <v>0</v>
      </c>
      <c r="AM13" s="9">
        <f>SUM(AC13:AL13)</f>
        <v>26712.000000000025</v>
      </c>
      <c r="AN13" s="80">
        <f>SUM(AM13,S13:AB13)</f>
        <v>471912</v>
      </c>
      <c r="AP13" s="102" t="s">
        <v>1</v>
      </c>
      <c r="AQ13" s="12">
        <v>5000</v>
      </c>
      <c r="AR13" s="14">
        <f t="shared" si="15"/>
        <v>60000</v>
      </c>
      <c r="AS13" s="14" cm="1">
        <f t="array" ref="AS13">IFERROR(_xlfn.IFS(VALUE(MID(AS$5,6,1))&gt;$D$2,0,$AP13="Annual",1,AR13=12,12,$AP13="Monthly V",AR13*(1+$BD$2),$AP13="Monthly F",12,$AP13="One-Time",0),AR13*(1+$BD$2))</f>
        <v>60000</v>
      </c>
      <c r="AT13" s="14" cm="1">
        <f t="array" ref="AT13">IFERROR(_xlfn.IFS(VALUE(MID(AT$5,6,1))&gt;$D$2,0,$AP13="Annual",1,AS13=12,12,$AP13="Monthly V",AS13*(1+$BD$2),$AP13="Monthly F",12,$AP13="One-Time",0),AS13*(1+$BD$2))</f>
        <v>60000</v>
      </c>
      <c r="AU13" s="14" cm="1">
        <f t="array" ref="AU13">IFERROR(_xlfn.IFS(VALUE(MID(AU$5,6,1))&gt;$D$2,0,$AP13="Annual",1,AT13=12,12,$AP13="Monthly V",AT13*(1+$BD$2),$AP13="Monthly F",12,$AP13="One-Time",0),AT13*(1+$BD$2))</f>
        <v>60000</v>
      </c>
      <c r="AV13" s="14" cm="1">
        <f t="array" ref="AV13">IFERROR(_xlfn.IFS(VALUE(MID(AV$5,6,1))&gt;$D$2,0,$AP13="Annual",1,AU13=12,12,$AP13="Monthly V",AU13*(1+$BD$2),$AP13="Monthly F",12,$AP13="One-Time",0),AU13*(1+$BD$2))</f>
        <v>60000</v>
      </c>
      <c r="AW13" s="14" cm="1">
        <f t="array" ref="AW13">IFERROR(_xlfn.IFS(VALUE(MID(AW$5,6,1))&gt;$D$2,0,$AP13="Annual",1,AV13=12,12,$AP13="Monthly V",AV13*(1+$BD$2),$AP13="Monthly F",12,$AP13="One-Time",0),AV13*(1+$BD$2))</f>
        <v>60000</v>
      </c>
      <c r="AX13" s="14" cm="1">
        <f t="array" ref="AX13">IFERROR(_xlfn.IFS(VALUE(MID(AX$5,6,1))&gt;$D$2,0,$AP13="Annual",1,AW13=12,12,$AP13="Monthly V",AW13*(1+$BD$2),$AP13="Monthly F",12,$AP13="One-Time",0),AW13*(1+$BD$2))</f>
        <v>60000</v>
      </c>
      <c r="AY13" s="14" cm="1">
        <f t="array" ref="AY13">IFERROR(_xlfn.IFS(VALUE(MID(AY$5,6,1))&gt;$D$2,0,$AP13="Annual",1,AX13=12,12,$AP13="Monthly V",AX13*(1+$D$3),$AP13="Monthly F",12,$AP13="One-Time",0),AX13*(1+$D$3))</f>
        <v>0</v>
      </c>
      <c r="AZ13" s="14" cm="1">
        <f t="array" ref="AZ13">IFERROR(_xlfn.IFS(VALUE(MID(AZ$5,6,1))&gt;$D$2,0,$AP13="Annual",1,AY13=12,12,$AP13="Monthly V",AY13*(1+$D$3),$AP13="Monthly F",12,$AP13="One-Time",0),AY13*(1+$D$3))</f>
        <v>0</v>
      </c>
      <c r="BA13" s="125" cm="1">
        <f t="array" ref="BA13">IFERROR(_xlfn.IFS(VALUE(MID(BA$5,6,2))&gt;$D$2,0,$AP13="Annual",1,AZ13=12,12,$AP13="Monthly V",AZ13*(1+$D$3),$AP13="Monthly F",12,$AP13="One-Time",0),AZ13*(1+$D$3))</f>
        <v>0</v>
      </c>
      <c r="BB13" s="148" t="s">
        <v>160</v>
      </c>
      <c r="BC13" s="38" t="s">
        <v>218</v>
      </c>
      <c r="BD13" s="36">
        <v>1.35E-2</v>
      </c>
      <c r="BE13" s="21">
        <f t="shared" si="16"/>
        <v>67.5</v>
      </c>
      <c r="BF13" s="39">
        <f t="shared" si="44"/>
        <v>810</v>
      </c>
      <c r="BG13" s="39">
        <f t="shared" si="17"/>
        <v>810</v>
      </c>
      <c r="BH13" s="39">
        <f t="shared" si="18"/>
        <v>810</v>
      </c>
      <c r="BI13" s="39">
        <f t="shared" si="19"/>
        <v>834.30000000000007</v>
      </c>
      <c r="BJ13" s="39">
        <f t="shared" ref="BJ13:BL13" si="56">BI13*1.03</f>
        <v>859.32900000000006</v>
      </c>
      <c r="BK13" s="39">
        <f t="shared" si="56"/>
        <v>885.10887000000014</v>
      </c>
      <c r="BL13" s="39">
        <f t="shared" si="56"/>
        <v>911.66213610000011</v>
      </c>
      <c r="BM13" s="39">
        <f t="shared" si="23"/>
        <v>0</v>
      </c>
      <c r="BN13" s="39">
        <f t="shared" si="23"/>
        <v>0</v>
      </c>
      <c r="BO13" s="39">
        <f t="shared" si="23"/>
        <v>0</v>
      </c>
      <c r="BP13" s="40"/>
      <c r="BQ13" s="40">
        <f t="shared" si="24"/>
        <v>24.300000000000022</v>
      </c>
      <c r="BR13" s="40">
        <f t="shared" si="25"/>
        <v>49.328999999999965</v>
      </c>
      <c r="BS13" s="40">
        <f t="shared" si="26"/>
        <v>77.362136100000015</v>
      </c>
      <c r="BT13" s="40">
        <f t="shared" si="27"/>
        <v>107.85336018848993</v>
      </c>
      <c r="BU13" s="40">
        <f t="shared" si="28"/>
        <v>140.97489592396892</v>
      </c>
      <c r="BV13" s="40">
        <f t="shared" si="29"/>
        <v>176.9101311687387</v>
      </c>
      <c r="BW13" s="40">
        <f t="shared" si="30"/>
        <v>0</v>
      </c>
      <c r="BX13" s="40">
        <f t="shared" si="31"/>
        <v>0</v>
      </c>
      <c r="BY13" s="40">
        <f t="shared" si="32"/>
        <v>0</v>
      </c>
      <c r="BZ13" s="40">
        <f t="shared" si="33"/>
        <v>576.72952338119762</v>
      </c>
      <c r="CA13" s="37">
        <f t="shared" si="9"/>
        <v>6497.1295294811971</v>
      </c>
      <c r="CC13" s="102"/>
      <c r="CD13" s="12"/>
      <c r="CE13" s="14">
        <f t="shared" si="10"/>
        <v>0</v>
      </c>
      <c r="CF13" s="14" cm="1">
        <f t="array" ref="CF13">IFERROR(_xlfn.IFS(VALUE(MID(CF$5,6,1))&gt;$D$2,0,$CC13="Annual",1,CE13=12,12,$CC13="Monthly V",CE13*(1+$D$3),$CC13="Monthly F",12,$CC13="One-Time",0),CE13*(1+$D$3))</f>
        <v>0</v>
      </c>
      <c r="CG13" s="14" cm="1">
        <f t="array" ref="CG13">IFERROR(_xlfn.IFS(VALUE(MID(CG$5,6,1))&gt;$D$2,0,$CC13="Annual",1,CF13=12,12,$CC13="Monthly V",CF13*(1+$D$3),$CC13="Monthly F",12,$CC13="One-Time",0),CF13*(1+$D$3))</f>
        <v>0</v>
      </c>
      <c r="CH13" s="14" cm="1">
        <f t="array" ref="CH13">IFERROR(_xlfn.IFS(VALUE(MID(CH$5,6,1))&gt;$D$2,0,$CC13="Annual",1,CG13=12,12,$CC13="Monthly V",CG13*(1+$D$3),$CC13="Monthly F",12,$CC13="One-Time",0),CG13*(1+$D$3))</f>
        <v>0</v>
      </c>
      <c r="CI13" s="14" cm="1">
        <f t="array" ref="CI13">IFERROR(_xlfn.IFS(VALUE(MID(CI$5,6,1))&gt;$D$2,0,$CC13="Annual",1,CH13=12,12,$CC13="Monthly V",CH13*(1+$D$3),$CC13="Monthly F",12,$CC13="One-Time",0),CH13*(1+$D$3))</f>
        <v>0</v>
      </c>
      <c r="CJ13" s="14" cm="1">
        <f t="array" ref="CJ13">IFERROR(_xlfn.IFS(VALUE(MID(CJ$5,6,1))&gt;$D$2,0,$CC13="Annual",1,CI13=12,12,$CC13="Monthly V",CI13*(1+$D$3),$CC13="Monthly F",12,$CC13="One-Time",0),CI13*(1+$D$3))</f>
        <v>0</v>
      </c>
      <c r="CK13" s="14" cm="1">
        <f t="array" ref="CK13">IFERROR(_xlfn.IFS(VALUE(MID(CK$5,6,1))&gt;$D$2,0,$CC13="Annual",1,CJ13=12,12,$CC13="Monthly V",CJ13*(1+$D$3),$CC13="Monthly F",12,$CC13="One-Time",0),CJ13*(1+$D$3))</f>
        <v>0</v>
      </c>
      <c r="CL13" s="14" cm="1">
        <f t="array" ref="CL13">IFERROR(_xlfn.IFS(VALUE(MID(CL$5,6,1))&gt;$D$2,0,$CC13="Annual",1,CK13=12,12,$CC13="Monthly V",CK13*(1+$D$3),$CC13="Monthly F",12,$CC13="One-Time",0),CK13*(1+$D$3))</f>
        <v>0</v>
      </c>
      <c r="CM13" s="14" cm="1">
        <f t="array" ref="CM13">IFERROR(_xlfn.IFS(VALUE(MID(CM$5,6,1))&gt;$D$2,0,$CC13="Annual",1,CL13=12,12,$CC13="Monthly V",CL13*(1+$D$3),$CC13="Monthly F",12,$CC13="One-Time",0),CL13*(1+$D$3))</f>
        <v>0</v>
      </c>
      <c r="CN13" s="24" cm="1">
        <f t="array" ref="CN13">IFERROR(_xlfn.IFS(VALUE(MID(CN$5,6,2))&gt;$D$2,0,$CC13="Annual",1,CM13=12,12,$CC13="Monthly V",CM13*(1+$D$3),$CC13="Monthly F",12,$CC13="One-Time",0),CM13*(1+$D$3))</f>
        <v>0</v>
      </c>
      <c r="CO13" s="63"/>
      <c r="CP13" s="53"/>
      <c r="CQ13" s="21">
        <f t="shared" si="11"/>
        <v>0</v>
      </c>
      <c r="CR13" s="55">
        <f t="shared" si="12"/>
        <v>0</v>
      </c>
      <c r="CS13" s="55">
        <f t="shared" si="12"/>
        <v>0</v>
      </c>
      <c r="CT13" s="55">
        <f t="shared" si="12"/>
        <v>0</v>
      </c>
      <c r="CU13" s="55">
        <f t="shared" si="12"/>
        <v>0</v>
      </c>
      <c r="CV13" s="55">
        <f t="shared" si="12"/>
        <v>0</v>
      </c>
      <c r="CW13" s="55">
        <f t="shared" si="12"/>
        <v>0</v>
      </c>
      <c r="CX13" s="55">
        <f t="shared" si="12"/>
        <v>0</v>
      </c>
      <c r="CY13" s="55">
        <f t="shared" si="12"/>
        <v>0</v>
      </c>
      <c r="CZ13" s="55">
        <f t="shared" si="12"/>
        <v>0</v>
      </c>
      <c r="DA13" s="55">
        <f t="shared" si="12"/>
        <v>0</v>
      </c>
      <c r="DB13" s="56"/>
      <c r="DC13" s="56">
        <f t="shared" si="34"/>
        <v>0</v>
      </c>
      <c r="DD13" s="56">
        <f t="shared" si="35"/>
        <v>0</v>
      </c>
      <c r="DE13" s="56">
        <f t="shared" si="36"/>
        <v>0</v>
      </c>
      <c r="DF13" s="56">
        <f t="shared" si="37"/>
        <v>0</v>
      </c>
      <c r="DG13" s="56">
        <f t="shared" si="38"/>
        <v>0</v>
      </c>
      <c r="DH13" s="56">
        <f t="shared" si="39"/>
        <v>0</v>
      </c>
      <c r="DI13" s="56">
        <f t="shared" si="40"/>
        <v>0</v>
      </c>
      <c r="DJ13" s="56">
        <f t="shared" si="41"/>
        <v>0</v>
      </c>
      <c r="DK13" s="56">
        <f t="shared" si="42"/>
        <v>0</v>
      </c>
      <c r="DL13" s="57">
        <f t="shared" si="43"/>
        <v>0</v>
      </c>
      <c r="DM13" s="54">
        <f t="shared" si="13"/>
        <v>0</v>
      </c>
      <c r="DO13" s="106"/>
    </row>
    <row r="14" spans="2:123" x14ac:dyDescent="0.25">
      <c r="B14" s="141"/>
      <c r="C14" s="24"/>
      <c r="D14" s="147">
        <f t="shared" si="0"/>
        <v>0</v>
      </c>
      <c r="E14" s="142">
        <f t="shared" ref="E14:E19" si="57">IF($B14="Annual",1,IF($B14="Monthly F",12,IF($B14="Monthly V",D14*12,IF($B14="One-Time",1,D14*12))))</f>
        <v>0</v>
      </c>
      <c r="F14" s="14" cm="1">
        <f t="array" ref="F14">IFERROR(_xlfn.IFS(VALUE(MID(F$5,6,1))&gt;$D$2,0,$B14="Annual",1,E14=12,12,$B14="Monthly V",E14*(1+$D$3),$B14="Monthly F",12,$B14="One-Time",0),E14*(1+$D$3))</f>
        <v>0</v>
      </c>
      <c r="G14" s="14" cm="1">
        <f t="array" ref="G14">IFERROR(_xlfn.IFS(VALUE(MID(G$5,6,1))&gt;$D$2,0,$B14="Annual",1,F14=12,12,$B14="Monthly V",F14*(1+$D$3),$B14="Monthly F",12,$B14="One-Time",0),F14*(1+$D$3))</f>
        <v>0</v>
      </c>
      <c r="H14" s="14" cm="1">
        <f t="array" ref="H14">IFERROR(_xlfn.IFS(VALUE(MID(H$5,6,1))&gt;$D$2,0,$B14="Annual",1,G14=12,12,$B14="Monthly V",G14*(1+$D$3),$B14="Monthly F",12,$B14="One-Time",0),G14*(1+$D$3))</f>
        <v>0</v>
      </c>
      <c r="I14" s="14" cm="1">
        <f t="array" ref="I14">IFERROR(_xlfn.IFS(VALUE(MID(I$5,6,1))&gt;$D$2,0,$B14="Annual",1,H14=12,12,$B14="Monthly V",H14*(1+$D$3),$B14="Monthly F",12,$B14="One-Time",0),H14*(1+$D$3))</f>
        <v>0</v>
      </c>
      <c r="J14" s="14" cm="1">
        <f t="array" ref="J14">IFERROR(_xlfn.IFS(VALUE(MID(J$5,6,1))&gt;$D$2,0,$B14="Annual",1,I14=12,12,$B14="Monthly V",I14*(1+$D$3),$B14="Monthly F",12,$B14="One-Time",0),I14*(1+$D$3))</f>
        <v>0</v>
      </c>
      <c r="K14" s="14" cm="1">
        <f t="array" ref="K14">IFERROR(_xlfn.IFS(VALUE(MID(K$5,6,1))&gt;$D$2,0,$B14="Annual",1,J14=12,12,$B14="Monthly V",J14*(1+$D$3),$B14="Monthly F",12,$B14="One-Time",0),J14*(1+$D$3))</f>
        <v>0</v>
      </c>
      <c r="L14" s="14" cm="1">
        <f t="array" ref="L14">IFERROR(_xlfn.IFS(VALUE(MID(L$5,6,1))&gt;$D$2,0,$B14="Annual",1,K14=12,12,$B14="Monthly V",K14*(1+$D$3),$B14="Monthly F",12,$B14="One-Time",0),K14*(1+$D$3))</f>
        <v>0</v>
      </c>
      <c r="M14" s="14" cm="1">
        <f t="array" ref="M14">IFERROR(_xlfn.IFS(VALUE(MID(M$5,6,1))&gt;$D$2,0,$B14="Annual",1,L14=12,12,$B14="Monthly V",L14*(1+$D$3),$B14="Monthly F",12,$B14="One-Time",0),L14*(1+$D$3))</f>
        <v>0</v>
      </c>
      <c r="N14" s="24" cm="1">
        <f t="array" ref="N14">IFERROR(_xlfn.IFS(VALUE(MID(N$5,6,2))&gt;$D$2,0,$B14="Annual",1,M14=12,12,$B14="Monthly V",M14*(1+$D$3),$B14="Monthly F",12,$B14="One-Time",0),M14*(1+$D$3))</f>
        <v>0</v>
      </c>
      <c r="O14" s="151"/>
      <c r="P14" s="13"/>
      <c r="Q14" s="20"/>
      <c r="R14" s="21">
        <f t="shared" si="14"/>
        <v>0</v>
      </c>
      <c r="S14" s="6">
        <f t="shared" si="2"/>
        <v>0</v>
      </c>
      <c r="T14" s="6">
        <f t="shared" si="2"/>
        <v>0</v>
      </c>
      <c r="U14" s="6">
        <f t="shared" si="2"/>
        <v>0</v>
      </c>
      <c r="V14" s="6">
        <f t="shared" si="2"/>
        <v>0</v>
      </c>
      <c r="W14" s="6">
        <f t="shared" si="3"/>
        <v>0</v>
      </c>
      <c r="X14" s="6">
        <f t="shared" si="3"/>
        <v>0</v>
      </c>
      <c r="Y14" s="6">
        <f t="shared" si="3"/>
        <v>0</v>
      </c>
      <c r="Z14" s="6">
        <f t="shared" si="3"/>
        <v>0</v>
      </c>
      <c r="AA14" s="6">
        <f t="shared" si="3"/>
        <v>0</v>
      </c>
      <c r="AB14" s="6">
        <f t="shared" si="3"/>
        <v>0</v>
      </c>
      <c r="AC14" s="7"/>
      <c r="AD14" s="152">
        <f t="shared" si="47"/>
        <v>0</v>
      </c>
      <c r="AE14" s="152">
        <f t="shared" si="48"/>
        <v>0</v>
      </c>
      <c r="AF14" s="152">
        <f t="shared" si="49"/>
        <v>0</v>
      </c>
      <c r="AG14" s="152">
        <f t="shared" si="50"/>
        <v>0</v>
      </c>
      <c r="AH14" s="152">
        <f t="shared" ref="AH14:AH19" si="58">IF(VALUE(MID(AH$5,6,1))&lt;=$D$2,((1+$Q$3)^5-1)*X14,0)</f>
        <v>0</v>
      </c>
      <c r="AI14" s="152">
        <f t="shared" ref="AI14:AI19" si="59">IF(VALUE(MID(AI$5,6,1))&lt;=$D$2,((1+$Q$3)^6-1)*Y14,0)</f>
        <v>0</v>
      </c>
      <c r="AJ14" s="152">
        <f t="shared" si="52"/>
        <v>0</v>
      </c>
      <c r="AK14" s="152">
        <f t="shared" si="53"/>
        <v>0</v>
      </c>
      <c r="AL14" s="152">
        <f t="shared" si="54"/>
        <v>0</v>
      </c>
      <c r="AM14" s="9">
        <f t="shared" ref="AM14:AM19" si="60">SUM(AC14:AL14)</f>
        <v>0</v>
      </c>
      <c r="AN14" s="80">
        <f t="shared" ref="AN14:AN19" si="61">SUM(AM14,S14:AB14)</f>
        <v>0</v>
      </c>
      <c r="AP14" s="102" t="s">
        <v>1</v>
      </c>
      <c r="AQ14" s="12">
        <v>5000</v>
      </c>
      <c r="AR14" s="14">
        <f t="shared" si="15"/>
        <v>60000</v>
      </c>
      <c r="AS14" s="14" cm="1">
        <f t="array" ref="AS14">IFERROR(_xlfn.IFS(VALUE(MID(AS$5,6,1))&gt;$D$2,0,$AP14="Annual",1,AR14=12,12,$AP14="Monthly V",AR14*(1+$BD$2),$AP14="Monthly F",12,$AP14="One-Time",0),AR14*(1+$BD$2))</f>
        <v>60000</v>
      </c>
      <c r="AT14" s="14" cm="1">
        <f t="array" ref="AT14">IFERROR(_xlfn.IFS(VALUE(MID(AT$5,6,1))&gt;$D$2,0,$AP14="Annual",1,AS14=12,12,$AP14="Monthly V",AS14*(1+$BD$2),$AP14="Monthly F",12,$AP14="One-Time",0),AS14*(1+$BD$2))</f>
        <v>60000</v>
      </c>
      <c r="AU14" s="14" cm="1">
        <f t="array" ref="AU14">IFERROR(_xlfn.IFS(VALUE(MID(AU$5,6,1))&gt;$D$2,0,$AP14="Annual",1,AT14=12,12,$AP14="Monthly V",AT14*(1+$BD$2),$AP14="Monthly F",12,$AP14="One-Time",0),AT14*(1+$BD$2))</f>
        <v>60000</v>
      </c>
      <c r="AV14" s="14" cm="1">
        <f t="array" ref="AV14">IFERROR(_xlfn.IFS(VALUE(MID(AV$5,6,1))&gt;$D$2,0,$AP14="Annual",1,AU14=12,12,$AP14="Monthly V",AU14*(1+$BD$2),$AP14="Monthly F",12,$AP14="One-Time",0),AU14*(1+$BD$2))</f>
        <v>60000</v>
      </c>
      <c r="AW14" s="14" cm="1">
        <f t="array" ref="AW14">IFERROR(_xlfn.IFS(VALUE(MID(AW$5,6,1))&gt;$D$2,0,$AP14="Annual",1,AV14=12,12,$AP14="Monthly V",AV14*(1+$BD$2),$AP14="Monthly F",12,$AP14="One-Time",0),AV14*(1+$BD$2))</f>
        <v>60000</v>
      </c>
      <c r="AX14" s="14" cm="1">
        <f t="array" ref="AX14">IFERROR(_xlfn.IFS(VALUE(MID(AX$5,6,1))&gt;$D$2,0,$AP14="Annual",1,AW14=12,12,$AP14="Monthly V",AW14*(1+$BD$2),$AP14="Monthly F",12,$AP14="One-Time",0),AW14*(1+$BD$2))</f>
        <v>60000</v>
      </c>
      <c r="AY14" s="14" cm="1">
        <f t="array" ref="AY14">IFERROR(_xlfn.IFS(VALUE(MID(AY$5,6,1))&gt;$D$2,0,$AP14="Annual",1,AX14=12,12,$AP14="Monthly V",AX14*(1+$D$3),$AP14="Monthly F",12,$AP14="One-Time",0),AX14*(1+$D$3))</f>
        <v>0</v>
      </c>
      <c r="AZ14" s="14" cm="1">
        <f t="array" ref="AZ14">IFERROR(_xlfn.IFS(VALUE(MID(AZ$5,6,1))&gt;$D$2,0,$AP14="Annual",1,AY14=12,12,$AP14="Monthly V",AY14*(1+$D$3),$AP14="Monthly F",12,$AP14="One-Time",0),AY14*(1+$D$3))</f>
        <v>0</v>
      </c>
      <c r="BA14" s="125" cm="1">
        <f t="array" ref="BA14">IFERROR(_xlfn.IFS(VALUE(MID(BA$5,6,2))&gt;$D$2,0,$AP14="Annual",1,AZ14=12,12,$AP14="Monthly V",AZ14*(1+$D$3),$AP14="Monthly F",12,$AP14="One-Time",0),AZ14*(1+$D$3))</f>
        <v>0</v>
      </c>
      <c r="BB14" s="148" t="s">
        <v>161</v>
      </c>
      <c r="BC14" s="38" t="s">
        <v>219</v>
      </c>
      <c r="BD14" s="36">
        <v>0.1643</v>
      </c>
      <c r="BE14" s="21">
        <f t="shared" si="16"/>
        <v>821.5</v>
      </c>
      <c r="BF14" s="39">
        <f t="shared" si="44"/>
        <v>9858</v>
      </c>
      <c r="BG14" s="39">
        <f t="shared" si="17"/>
        <v>9858</v>
      </c>
      <c r="BH14" s="39">
        <f t="shared" si="18"/>
        <v>9858</v>
      </c>
      <c r="BI14" s="39">
        <f t="shared" si="19"/>
        <v>10153.74</v>
      </c>
      <c r="BJ14" s="39">
        <f t="shared" ref="BJ14:BL14" si="62">BI14*1.03</f>
        <v>10458.352199999999</v>
      </c>
      <c r="BK14" s="39">
        <f t="shared" si="62"/>
        <v>10772.102766</v>
      </c>
      <c r="BL14" s="39">
        <f t="shared" si="62"/>
        <v>11095.26584898</v>
      </c>
      <c r="BM14" s="39">
        <f t="shared" si="23"/>
        <v>0</v>
      </c>
      <c r="BN14" s="39">
        <f t="shared" si="23"/>
        <v>0</v>
      </c>
      <c r="BO14" s="39">
        <f t="shared" si="23"/>
        <v>0</v>
      </c>
      <c r="BP14" s="40"/>
      <c r="BQ14" s="40">
        <f t="shared" si="24"/>
        <v>295.74000000000024</v>
      </c>
      <c r="BR14" s="40">
        <f t="shared" si="25"/>
        <v>600.35219999999958</v>
      </c>
      <c r="BS14" s="40">
        <f t="shared" si="26"/>
        <v>941.52584897999998</v>
      </c>
      <c r="BT14" s="40">
        <f t="shared" si="27"/>
        <v>1312.6153391828811</v>
      </c>
      <c r="BU14" s="40">
        <f t="shared" si="28"/>
        <v>1715.7166963191178</v>
      </c>
      <c r="BV14" s="40">
        <f t="shared" si="29"/>
        <v>2153.0618185943526</v>
      </c>
      <c r="BW14" s="40">
        <f t="shared" si="30"/>
        <v>0</v>
      </c>
      <c r="BX14" s="40">
        <f t="shared" si="31"/>
        <v>0</v>
      </c>
      <c r="BY14" s="40">
        <f t="shared" si="32"/>
        <v>0</v>
      </c>
      <c r="BZ14" s="40">
        <f t="shared" si="33"/>
        <v>7019.0119030763508</v>
      </c>
      <c r="CA14" s="37">
        <f t="shared" si="9"/>
        <v>79072.47271805635</v>
      </c>
      <c r="CC14" s="102"/>
      <c r="CD14" s="12"/>
      <c r="CE14" s="14">
        <f t="shared" si="10"/>
        <v>0</v>
      </c>
      <c r="CF14" s="14" cm="1">
        <f t="array" ref="CF14">IFERROR(_xlfn.IFS(VALUE(MID(CF$5,6,1))&gt;$D$2,0,$CC14="Annual",1,CE14=12,12,$CC14="Monthly V",CE14*(1+$D$3),$CC14="Monthly F",12,$CC14="One-Time",0),CE14*(1+$D$3))</f>
        <v>0</v>
      </c>
      <c r="CG14" s="14" cm="1">
        <f t="array" ref="CG14">IFERROR(_xlfn.IFS(VALUE(MID(CG$5,6,1))&gt;$D$2,0,$CC14="Annual",1,CF14=12,12,$CC14="Monthly V",CF14*(1+$D$3),$CC14="Monthly F",12,$CC14="One-Time",0),CF14*(1+$D$3))</f>
        <v>0</v>
      </c>
      <c r="CH14" s="14" cm="1">
        <f t="array" ref="CH14">IFERROR(_xlfn.IFS(VALUE(MID(CH$5,6,1))&gt;$D$2,0,$CC14="Annual",1,CG14=12,12,$CC14="Monthly V",CG14*(1+$D$3),$CC14="Monthly F",12,$CC14="One-Time",0),CG14*(1+$D$3))</f>
        <v>0</v>
      </c>
      <c r="CI14" s="14" cm="1">
        <f t="array" ref="CI14">IFERROR(_xlfn.IFS(VALUE(MID(CI$5,6,1))&gt;$D$2,0,$CC14="Annual",1,CH14=12,12,$CC14="Monthly V",CH14*(1+$D$3),$CC14="Monthly F",12,$CC14="One-Time",0),CH14*(1+$D$3))</f>
        <v>0</v>
      </c>
      <c r="CJ14" s="14" cm="1">
        <f t="array" ref="CJ14">IFERROR(_xlfn.IFS(VALUE(MID(CJ$5,6,1))&gt;$D$2,0,$CC14="Annual",1,CI14=12,12,$CC14="Monthly V",CI14*(1+$D$3),$CC14="Monthly F",12,$CC14="One-Time",0),CI14*(1+$D$3))</f>
        <v>0</v>
      </c>
      <c r="CK14" s="14" cm="1">
        <f t="array" ref="CK14">IFERROR(_xlfn.IFS(VALUE(MID(CK$5,6,1))&gt;$D$2,0,$CC14="Annual",1,CJ14=12,12,$CC14="Monthly V",CJ14*(1+$D$3),$CC14="Monthly F",12,$CC14="One-Time",0),CJ14*(1+$D$3))</f>
        <v>0</v>
      </c>
      <c r="CL14" s="14" cm="1">
        <f t="array" ref="CL14">IFERROR(_xlfn.IFS(VALUE(MID(CL$5,6,1))&gt;$D$2,0,$CC14="Annual",1,CK14=12,12,$CC14="Monthly V",CK14*(1+$D$3),$CC14="Monthly F",12,$CC14="One-Time",0),CK14*(1+$D$3))</f>
        <v>0</v>
      </c>
      <c r="CM14" s="14" cm="1">
        <f t="array" ref="CM14">IFERROR(_xlfn.IFS(VALUE(MID(CM$5,6,1))&gt;$D$2,0,$CC14="Annual",1,CL14=12,12,$CC14="Monthly V",CL14*(1+$D$3),$CC14="Monthly F",12,$CC14="One-Time",0),CL14*(1+$D$3))</f>
        <v>0</v>
      </c>
      <c r="CN14" s="24" cm="1">
        <f t="array" ref="CN14">IFERROR(_xlfn.IFS(VALUE(MID(CN$5,6,2))&gt;$D$2,0,$CC14="Annual",1,CM14=12,12,$CC14="Monthly V",CM14*(1+$D$3),$CC14="Monthly F",12,$CC14="One-Time",0),CM14*(1+$D$3))</f>
        <v>0</v>
      </c>
      <c r="CO14" s="63"/>
      <c r="CP14" s="53"/>
      <c r="CQ14" s="21">
        <f t="shared" si="11"/>
        <v>0</v>
      </c>
      <c r="CR14" s="55">
        <f t="shared" si="12"/>
        <v>0</v>
      </c>
      <c r="CS14" s="55">
        <f t="shared" si="12"/>
        <v>0</v>
      </c>
      <c r="CT14" s="55">
        <f t="shared" si="12"/>
        <v>0</v>
      </c>
      <c r="CU14" s="55">
        <f t="shared" si="12"/>
        <v>0</v>
      </c>
      <c r="CV14" s="55">
        <f t="shared" si="12"/>
        <v>0</v>
      </c>
      <c r="CW14" s="55">
        <f t="shared" si="12"/>
        <v>0</v>
      </c>
      <c r="CX14" s="55">
        <f t="shared" si="12"/>
        <v>0</v>
      </c>
      <c r="CY14" s="55">
        <f t="shared" si="12"/>
        <v>0</v>
      </c>
      <c r="CZ14" s="55">
        <f t="shared" si="12"/>
        <v>0</v>
      </c>
      <c r="DA14" s="55">
        <f t="shared" si="12"/>
        <v>0</v>
      </c>
      <c r="DB14" s="56"/>
      <c r="DC14" s="56">
        <f t="shared" si="34"/>
        <v>0</v>
      </c>
      <c r="DD14" s="56">
        <f t="shared" si="35"/>
        <v>0</v>
      </c>
      <c r="DE14" s="56">
        <f t="shared" si="36"/>
        <v>0</v>
      </c>
      <c r="DF14" s="56">
        <f t="shared" si="37"/>
        <v>0</v>
      </c>
      <c r="DG14" s="56">
        <f t="shared" si="38"/>
        <v>0</v>
      </c>
      <c r="DH14" s="56">
        <f t="shared" si="39"/>
        <v>0</v>
      </c>
      <c r="DI14" s="56">
        <f t="shared" si="40"/>
        <v>0</v>
      </c>
      <c r="DJ14" s="56">
        <f t="shared" si="41"/>
        <v>0</v>
      </c>
      <c r="DK14" s="56">
        <f t="shared" si="42"/>
        <v>0</v>
      </c>
      <c r="DL14" s="57">
        <f t="shared" si="43"/>
        <v>0</v>
      </c>
      <c r="DM14" s="54">
        <f t="shared" si="13"/>
        <v>0</v>
      </c>
      <c r="DO14" s="106"/>
    </row>
    <row r="15" spans="2:123" x14ac:dyDescent="0.25">
      <c r="B15" s="141"/>
      <c r="C15" s="24"/>
      <c r="D15" s="147">
        <f t="shared" si="0"/>
        <v>0</v>
      </c>
      <c r="E15" s="142">
        <f t="shared" si="57"/>
        <v>0</v>
      </c>
      <c r="F15" s="14" cm="1">
        <f t="array" ref="F15">IFERROR(_xlfn.IFS(VALUE(MID(F$5,6,1))&gt;$D$2,0,$B15="Annual",1,E15=12,12,$B15="Monthly V",E15*(1+$D$3),$B15="Monthly F",12,$B15="One-Time",0),E15*(1+$D$3))</f>
        <v>0</v>
      </c>
      <c r="G15" s="14" cm="1">
        <f t="array" ref="G15">IFERROR(_xlfn.IFS(VALUE(MID(G$5,6,1))&gt;$D$2,0,$B15="Annual",1,F15=12,12,$B15="Monthly V",F15*(1+$D$3),$B15="Monthly F",12,$B15="One-Time",0),F15*(1+$D$3))</f>
        <v>0</v>
      </c>
      <c r="H15" s="14" cm="1">
        <f t="array" ref="H15">IFERROR(_xlfn.IFS(VALUE(MID(H$5,6,1))&gt;$D$2,0,$B15="Annual",1,G15=12,12,$B15="Monthly V",G15*(1+$D$3),$B15="Monthly F",12,$B15="One-Time",0),G15*(1+$D$3))</f>
        <v>0</v>
      </c>
      <c r="I15" s="14" cm="1">
        <f t="array" ref="I15">IFERROR(_xlfn.IFS(VALUE(MID(I$5,6,1))&gt;$D$2,0,$B15="Annual",1,H15=12,12,$B15="Monthly V",H15*(1+$D$3),$B15="Monthly F",12,$B15="One-Time",0),H15*(1+$D$3))</f>
        <v>0</v>
      </c>
      <c r="J15" s="14" cm="1">
        <f t="array" ref="J15">IFERROR(_xlfn.IFS(VALUE(MID(J$5,6,1))&gt;$D$2,0,$B15="Annual",1,I15=12,12,$B15="Monthly V",I15*(1+$D$3),$B15="Monthly F",12,$B15="One-Time",0),I15*(1+$D$3))</f>
        <v>0</v>
      </c>
      <c r="K15" s="14" cm="1">
        <f t="array" ref="K15">IFERROR(_xlfn.IFS(VALUE(MID(K$5,6,1))&gt;$D$2,0,$B15="Annual",1,J15=12,12,$B15="Monthly V",J15*(1+$D$3),$B15="Monthly F",12,$B15="One-Time",0),J15*(1+$D$3))</f>
        <v>0</v>
      </c>
      <c r="L15" s="14" cm="1">
        <f t="array" ref="L15">IFERROR(_xlfn.IFS(VALUE(MID(L$5,6,1))&gt;$D$2,0,$B15="Annual",1,K15=12,12,$B15="Monthly V",K15*(1+$D$3),$B15="Monthly F",12,$B15="One-Time",0),K15*(1+$D$3))</f>
        <v>0</v>
      </c>
      <c r="M15" s="14" cm="1">
        <f t="array" ref="M15">IFERROR(_xlfn.IFS(VALUE(MID(M$5,6,1))&gt;$D$2,0,$B15="Annual",1,L15=12,12,$B15="Monthly V",L15*(1+$D$3),$B15="Monthly F",12,$B15="One-Time",0),L15*(1+$D$3))</f>
        <v>0</v>
      </c>
      <c r="N15" s="24" cm="1">
        <f t="array" ref="N15">IFERROR(_xlfn.IFS(VALUE(MID(N$5,6,2))&gt;$D$2,0,$B15="Annual",1,M15=12,12,$B15="Monthly V",M15*(1+$D$3),$B15="Monthly F",12,$B15="One-Time",0),M15*(1+$D$3))</f>
        <v>0</v>
      </c>
      <c r="O15" s="154"/>
      <c r="P15" s="13"/>
      <c r="Q15" s="20"/>
      <c r="R15" s="21">
        <f t="shared" si="14"/>
        <v>0</v>
      </c>
      <c r="S15" s="6">
        <f t="shared" si="2"/>
        <v>0</v>
      </c>
      <c r="T15" s="6">
        <f t="shared" si="2"/>
        <v>0</v>
      </c>
      <c r="U15" s="6">
        <f t="shared" si="2"/>
        <v>0</v>
      </c>
      <c r="V15" s="6">
        <f t="shared" si="2"/>
        <v>0</v>
      </c>
      <c r="W15" s="6">
        <f t="shared" si="3"/>
        <v>0</v>
      </c>
      <c r="X15" s="6">
        <f t="shared" si="3"/>
        <v>0</v>
      </c>
      <c r="Y15" s="6">
        <f t="shared" si="3"/>
        <v>0</v>
      </c>
      <c r="Z15" s="6">
        <f t="shared" si="3"/>
        <v>0</v>
      </c>
      <c r="AA15" s="6">
        <f t="shared" si="3"/>
        <v>0</v>
      </c>
      <c r="AB15" s="6">
        <f t="shared" si="3"/>
        <v>0</v>
      </c>
      <c r="AC15" s="7"/>
      <c r="AD15" s="152">
        <f t="shared" si="47"/>
        <v>0</v>
      </c>
      <c r="AE15" s="152">
        <f t="shared" si="48"/>
        <v>0</v>
      </c>
      <c r="AF15" s="152">
        <f t="shared" si="49"/>
        <v>0</v>
      </c>
      <c r="AG15" s="152">
        <f t="shared" si="50"/>
        <v>0</v>
      </c>
      <c r="AH15" s="152">
        <f t="shared" si="58"/>
        <v>0</v>
      </c>
      <c r="AI15" s="152">
        <f t="shared" si="59"/>
        <v>0</v>
      </c>
      <c r="AJ15" s="152">
        <f t="shared" si="52"/>
        <v>0</v>
      </c>
      <c r="AK15" s="152">
        <f t="shared" si="53"/>
        <v>0</v>
      </c>
      <c r="AL15" s="152">
        <f t="shared" si="54"/>
        <v>0</v>
      </c>
      <c r="AM15" s="9">
        <f t="shared" si="60"/>
        <v>0</v>
      </c>
      <c r="AN15" s="80">
        <f t="shared" si="61"/>
        <v>0</v>
      </c>
      <c r="AP15" s="102" t="s">
        <v>1</v>
      </c>
      <c r="AQ15" s="12">
        <v>5000</v>
      </c>
      <c r="AR15" s="14">
        <f t="shared" si="15"/>
        <v>60000</v>
      </c>
      <c r="AS15" s="14" cm="1">
        <f t="array" ref="AS15">IFERROR(_xlfn.IFS(VALUE(MID(AS$5,6,1))&gt;$D$2,0,$AP15="Annual",1,AR15=12,12,$AP15="Monthly V",AR15*(1+$BD$2),$AP15="Monthly F",12,$AP15="One-Time",0),AR15*(1+$BD$2))</f>
        <v>60000</v>
      </c>
      <c r="AT15" s="14" cm="1">
        <f t="array" ref="AT15">IFERROR(_xlfn.IFS(VALUE(MID(AT$5,6,1))&gt;$D$2,0,$AP15="Annual",1,AS15=12,12,$AP15="Monthly V",AS15*(1+$BD$2),$AP15="Monthly F",12,$AP15="One-Time",0),AS15*(1+$BD$2))</f>
        <v>60000</v>
      </c>
      <c r="AU15" s="14" cm="1">
        <f t="array" ref="AU15">IFERROR(_xlfn.IFS(VALUE(MID(AU$5,6,1))&gt;$D$2,0,$AP15="Annual",1,AT15=12,12,$AP15="Monthly V",AT15*(1+$BD$2),$AP15="Monthly F",12,$AP15="One-Time",0),AT15*(1+$BD$2))</f>
        <v>60000</v>
      </c>
      <c r="AV15" s="14" cm="1">
        <f t="array" ref="AV15">IFERROR(_xlfn.IFS(VALUE(MID(AV$5,6,1))&gt;$D$2,0,$AP15="Annual",1,AU15=12,12,$AP15="Monthly V",AU15*(1+$BD$2),$AP15="Monthly F",12,$AP15="One-Time",0),AU15*(1+$BD$2))</f>
        <v>60000</v>
      </c>
      <c r="AW15" s="14" cm="1">
        <f t="array" ref="AW15">IFERROR(_xlfn.IFS(VALUE(MID(AW$5,6,1))&gt;$D$2,0,$AP15="Annual",1,AV15=12,12,$AP15="Monthly V",AV15*(1+$BD$2),$AP15="Monthly F",12,$AP15="One-Time",0),AV15*(1+$BD$2))</f>
        <v>60000</v>
      </c>
      <c r="AX15" s="14" cm="1">
        <f t="array" ref="AX15">IFERROR(_xlfn.IFS(VALUE(MID(AX$5,6,1))&gt;$D$2,0,$AP15="Annual",1,AW15=12,12,$AP15="Monthly V",AW15*(1+$BD$2),$AP15="Monthly F",12,$AP15="One-Time",0),AW15*(1+$BD$2))</f>
        <v>60000</v>
      </c>
      <c r="AY15" s="14" cm="1">
        <f t="array" ref="AY15">IFERROR(_xlfn.IFS(VALUE(MID(AY$5,6,1))&gt;$D$2,0,$AP15="Annual",1,AX15=12,12,$AP15="Monthly V",AX15*(1+$D$3),$AP15="Monthly F",12,$AP15="One-Time",0),AX15*(1+$D$3))</f>
        <v>0</v>
      </c>
      <c r="AZ15" s="14" cm="1">
        <f t="array" ref="AZ15">IFERROR(_xlfn.IFS(VALUE(MID(AZ$5,6,1))&gt;$D$2,0,$AP15="Annual",1,AY15=12,12,$AP15="Monthly V",AY15*(1+$D$3),$AP15="Monthly F",12,$AP15="One-Time",0),AY15*(1+$D$3))</f>
        <v>0</v>
      </c>
      <c r="BA15" s="125" cm="1">
        <f t="array" ref="BA15">IFERROR(_xlfn.IFS(VALUE(MID(BA$5,6,2))&gt;$D$2,0,$AP15="Annual",1,AZ15=12,12,$AP15="Monthly V",AZ15*(1+$D$3),$AP15="Monthly F",12,$AP15="One-Time",0),AZ15*(1+$D$3))</f>
        <v>0</v>
      </c>
      <c r="BB15" s="148" t="s">
        <v>162</v>
      </c>
      <c r="BC15" s="38" t="s">
        <v>162</v>
      </c>
      <c r="BD15" s="36">
        <v>0.33229999999999998</v>
      </c>
      <c r="BE15" s="21">
        <f t="shared" si="16"/>
        <v>1661.5</v>
      </c>
      <c r="BF15" s="39">
        <f t="shared" si="44"/>
        <v>19938</v>
      </c>
      <c r="BG15" s="39">
        <f t="shared" si="17"/>
        <v>19938</v>
      </c>
      <c r="BH15" s="39">
        <f t="shared" si="18"/>
        <v>19938</v>
      </c>
      <c r="BI15" s="39">
        <f t="shared" si="19"/>
        <v>20536.14</v>
      </c>
      <c r="BJ15" s="39">
        <f t="shared" ref="BJ15:BL15" si="63">BI15*1.03</f>
        <v>21152.224200000001</v>
      </c>
      <c r="BK15" s="39">
        <f t="shared" si="63"/>
        <v>21786.790926000001</v>
      </c>
      <c r="BL15" s="39">
        <f t="shared" si="63"/>
        <v>22440.394653780004</v>
      </c>
      <c r="BM15" s="39">
        <f t="shared" si="23"/>
        <v>0</v>
      </c>
      <c r="BN15" s="39">
        <f t="shared" si="23"/>
        <v>0</v>
      </c>
      <c r="BO15" s="39">
        <f t="shared" si="23"/>
        <v>0</v>
      </c>
      <c r="BP15" s="40"/>
      <c r="BQ15" s="40">
        <f t="shared" si="24"/>
        <v>598.14000000000055</v>
      </c>
      <c r="BR15" s="40">
        <f t="shared" si="25"/>
        <v>1214.224199999999</v>
      </c>
      <c r="BS15" s="40">
        <f t="shared" si="26"/>
        <v>1904.2546537800001</v>
      </c>
      <c r="BT15" s="40">
        <f t="shared" si="27"/>
        <v>2654.7904881952004</v>
      </c>
      <c r="BU15" s="40">
        <f t="shared" si="28"/>
        <v>3470.0709567062868</v>
      </c>
      <c r="BV15" s="40">
        <f t="shared" si="29"/>
        <v>4354.6101175831018</v>
      </c>
      <c r="BW15" s="40">
        <f t="shared" si="30"/>
        <v>0</v>
      </c>
      <c r="BX15" s="40">
        <f t="shared" si="31"/>
        <v>0</v>
      </c>
      <c r="BY15" s="40">
        <f t="shared" si="32"/>
        <v>0</v>
      </c>
      <c r="BZ15" s="40">
        <f t="shared" si="33"/>
        <v>14196.090416264589</v>
      </c>
      <c r="CA15" s="37">
        <f t="shared" si="9"/>
        <v>159925.64019604461</v>
      </c>
      <c r="CC15" s="102"/>
      <c r="CD15" s="12"/>
      <c r="CE15" s="14">
        <f t="shared" si="10"/>
        <v>0</v>
      </c>
      <c r="CF15" s="14" cm="1">
        <f t="array" ref="CF15">IFERROR(_xlfn.IFS(VALUE(MID(CF$5,6,1))&gt;$D$2,0,$CC15="Annual",1,CE15=12,12,$CC15="Monthly V",CE15*(1+$D$3),$CC15="Monthly F",12,$CC15="One-Time",0),CE15*(1+$D$3))</f>
        <v>0</v>
      </c>
      <c r="CG15" s="14" cm="1">
        <f t="array" ref="CG15">IFERROR(_xlfn.IFS(VALUE(MID(CG$5,6,1))&gt;$D$2,0,$CC15="Annual",1,CF15=12,12,$CC15="Monthly V",CF15*(1+$D$3),$CC15="Monthly F",12,$CC15="One-Time",0),CF15*(1+$D$3))</f>
        <v>0</v>
      </c>
      <c r="CH15" s="14" cm="1">
        <f t="array" ref="CH15">IFERROR(_xlfn.IFS(VALUE(MID(CH$5,6,1))&gt;$D$2,0,$CC15="Annual",1,CG15=12,12,$CC15="Monthly V",CG15*(1+$D$3),$CC15="Monthly F",12,$CC15="One-Time",0),CG15*(1+$D$3))</f>
        <v>0</v>
      </c>
      <c r="CI15" s="14" cm="1">
        <f t="array" ref="CI15">IFERROR(_xlfn.IFS(VALUE(MID(CI$5,6,1))&gt;$D$2,0,$CC15="Annual",1,CH15=12,12,$CC15="Monthly V",CH15*(1+$D$3),$CC15="Monthly F",12,$CC15="One-Time",0),CH15*(1+$D$3))</f>
        <v>0</v>
      </c>
      <c r="CJ15" s="14" cm="1">
        <f t="array" ref="CJ15">IFERROR(_xlfn.IFS(VALUE(MID(CJ$5,6,1))&gt;$D$2,0,$CC15="Annual",1,CI15=12,12,$CC15="Monthly V",CI15*(1+$D$3),$CC15="Monthly F",12,$CC15="One-Time",0),CI15*(1+$D$3))</f>
        <v>0</v>
      </c>
      <c r="CK15" s="14" cm="1">
        <f t="array" ref="CK15">IFERROR(_xlfn.IFS(VALUE(MID(CK$5,6,1))&gt;$D$2,0,$CC15="Annual",1,CJ15=12,12,$CC15="Monthly V",CJ15*(1+$D$3),$CC15="Monthly F",12,$CC15="One-Time",0),CJ15*(1+$D$3))</f>
        <v>0</v>
      </c>
      <c r="CL15" s="14" cm="1">
        <f t="array" ref="CL15">IFERROR(_xlfn.IFS(VALUE(MID(CL$5,6,1))&gt;$D$2,0,$CC15="Annual",1,CK15=12,12,$CC15="Monthly V",CK15*(1+$D$3),$CC15="Monthly F",12,$CC15="One-Time",0),CK15*(1+$D$3))</f>
        <v>0</v>
      </c>
      <c r="CM15" s="14" cm="1">
        <f t="array" ref="CM15">IFERROR(_xlfn.IFS(VALUE(MID(CM$5,6,1))&gt;$D$2,0,$CC15="Annual",1,CL15=12,12,$CC15="Monthly V",CL15*(1+$D$3),$CC15="Monthly F",12,$CC15="One-Time",0),CL15*(1+$D$3))</f>
        <v>0</v>
      </c>
      <c r="CN15" s="24" cm="1">
        <f t="array" ref="CN15">IFERROR(_xlfn.IFS(VALUE(MID(CN$5,6,2))&gt;$D$2,0,$CC15="Annual",1,CM15=12,12,$CC15="Monthly V",CM15*(1+$D$3),$CC15="Monthly F",12,$CC15="One-Time",0),CM15*(1+$D$3))</f>
        <v>0</v>
      </c>
      <c r="CO15" s="63"/>
      <c r="CP15" s="53"/>
      <c r="CQ15" s="21">
        <f t="shared" si="11"/>
        <v>0</v>
      </c>
      <c r="CR15" s="55">
        <f t="shared" si="12"/>
        <v>0</v>
      </c>
      <c r="CS15" s="55">
        <f t="shared" si="12"/>
        <v>0</v>
      </c>
      <c r="CT15" s="55">
        <f t="shared" si="12"/>
        <v>0</v>
      </c>
      <c r="CU15" s="55">
        <f t="shared" si="12"/>
        <v>0</v>
      </c>
      <c r="CV15" s="55">
        <f t="shared" si="12"/>
        <v>0</v>
      </c>
      <c r="CW15" s="55">
        <f t="shared" si="12"/>
        <v>0</v>
      </c>
      <c r="CX15" s="55">
        <f t="shared" si="12"/>
        <v>0</v>
      </c>
      <c r="CY15" s="55">
        <f t="shared" si="12"/>
        <v>0</v>
      </c>
      <c r="CZ15" s="55">
        <f t="shared" si="12"/>
        <v>0</v>
      </c>
      <c r="DA15" s="55">
        <f t="shared" si="12"/>
        <v>0</v>
      </c>
      <c r="DB15" s="56"/>
      <c r="DC15" s="56">
        <f t="shared" si="34"/>
        <v>0</v>
      </c>
      <c r="DD15" s="56">
        <f t="shared" si="35"/>
        <v>0</v>
      </c>
      <c r="DE15" s="56">
        <f t="shared" si="36"/>
        <v>0</v>
      </c>
      <c r="DF15" s="56">
        <f t="shared" si="37"/>
        <v>0</v>
      </c>
      <c r="DG15" s="56">
        <f t="shared" si="38"/>
        <v>0</v>
      </c>
      <c r="DH15" s="56">
        <f t="shared" si="39"/>
        <v>0</v>
      </c>
      <c r="DI15" s="56">
        <f t="shared" si="40"/>
        <v>0</v>
      </c>
      <c r="DJ15" s="56">
        <f t="shared" si="41"/>
        <v>0</v>
      </c>
      <c r="DK15" s="56">
        <f t="shared" si="42"/>
        <v>0</v>
      </c>
      <c r="DL15" s="57">
        <f t="shared" si="43"/>
        <v>0</v>
      </c>
      <c r="DM15" s="54">
        <f t="shared" si="13"/>
        <v>0</v>
      </c>
      <c r="DO15" s="106"/>
    </row>
    <row r="16" spans="2:123" x14ac:dyDescent="0.25">
      <c r="B16" s="141"/>
      <c r="C16" s="24"/>
      <c r="D16" s="147">
        <f t="shared" si="0"/>
        <v>0</v>
      </c>
      <c r="E16" s="142">
        <f t="shared" si="57"/>
        <v>0</v>
      </c>
      <c r="F16" s="14" cm="1">
        <f t="array" ref="F16">IFERROR(_xlfn.IFS(VALUE(MID(F$5,6,1))&gt;$D$2,0,$B16="Annual",1,E16=12,12,$B16="Monthly V",E16*(1+$D$3),$B16="Monthly F",12,$B16="One-Time",0),E16*(1+$D$3))</f>
        <v>0</v>
      </c>
      <c r="G16" s="14" cm="1">
        <f t="array" ref="G16">IFERROR(_xlfn.IFS(VALUE(MID(G$5,6,1))&gt;$D$2,0,$B16="Annual",1,F16=12,12,$B16="Monthly V",F16*(1+$D$3),$B16="Monthly F",12,$B16="One-Time",0),F16*(1+$D$3))</f>
        <v>0</v>
      </c>
      <c r="H16" s="14" cm="1">
        <f t="array" ref="H16">IFERROR(_xlfn.IFS(VALUE(MID(H$5,6,1))&gt;$D$2,0,$B16="Annual",1,G16=12,12,$B16="Monthly V",G16*(1+$D$3),$B16="Monthly F",12,$B16="One-Time",0),G16*(1+$D$3))</f>
        <v>0</v>
      </c>
      <c r="I16" s="14" cm="1">
        <f t="array" ref="I16">IFERROR(_xlfn.IFS(VALUE(MID(I$5,6,1))&gt;$D$2,0,$B16="Annual",1,H16=12,12,$B16="Monthly V",H16*(1+$D$3),$B16="Monthly F",12,$B16="One-Time",0),H16*(1+$D$3))</f>
        <v>0</v>
      </c>
      <c r="J16" s="14" cm="1">
        <f t="array" ref="J16">IFERROR(_xlfn.IFS(VALUE(MID(J$5,6,1))&gt;$D$2,0,$B16="Annual",1,I16=12,12,$B16="Monthly V",I16*(1+$D$3),$B16="Monthly F",12,$B16="One-Time",0),I16*(1+$D$3))</f>
        <v>0</v>
      </c>
      <c r="K16" s="14" cm="1">
        <f t="array" ref="K16">IFERROR(_xlfn.IFS(VALUE(MID(K$5,6,1))&gt;$D$2,0,$B16="Annual",1,J16=12,12,$B16="Monthly V",J16*(1+$D$3),$B16="Monthly F",12,$B16="One-Time",0),J16*(1+$D$3))</f>
        <v>0</v>
      </c>
      <c r="L16" s="14" cm="1">
        <f t="array" ref="L16">IFERROR(_xlfn.IFS(VALUE(MID(L$5,6,1))&gt;$D$2,0,$B16="Annual",1,K16=12,12,$B16="Monthly V",K16*(1+$D$3),$B16="Monthly F",12,$B16="One-Time",0),K16*(1+$D$3))</f>
        <v>0</v>
      </c>
      <c r="M16" s="14" cm="1">
        <f t="array" ref="M16">IFERROR(_xlfn.IFS(VALUE(MID(M$5,6,1))&gt;$D$2,0,$B16="Annual",1,L16=12,12,$B16="Monthly V",L16*(1+$D$3),$B16="Monthly F",12,$B16="One-Time",0),L16*(1+$D$3))</f>
        <v>0</v>
      </c>
      <c r="N16" s="24" cm="1">
        <f t="array" ref="N16">IFERROR(_xlfn.IFS(VALUE(MID(N$5,6,2))&gt;$D$2,0,$B16="Annual",1,M16=12,12,$B16="Monthly V",M16*(1+$D$3),$B16="Monthly F",12,$B16="One-Time",0),M16*(1+$D$3))</f>
        <v>0</v>
      </c>
      <c r="O16" s="154"/>
      <c r="P16" s="13"/>
      <c r="Q16" s="20"/>
      <c r="R16" s="21">
        <f t="shared" si="14"/>
        <v>0</v>
      </c>
      <c r="S16" s="6">
        <f t="shared" si="2"/>
        <v>0</v>
      </c>
      <c r="T16" s="6">
        <f t="shared" si="2"/>
        <v>0</v>
      </c>
      <c r="U16" s="6">
        <f t="shared" si="2"/>
        <v>0</v>
      </c>
      <c r="V16" s="6">
        <f t="shared" si="2"/>
        <v>0</v>
      </c>
      <c r="W16" s="6">
        <f t="shared" si="3"/>
        <v>0</v>
      </c>
      <c r="X16" s="6">
        <f t="shared" si="3"/>
        <v>0</v>
      </c>
      <c r="Y16" s="6">
        <f t="shared" si="3"/>
        <v>0</v>
      </c>
      <c r="Z16" s="6">
        <f t="shared" si="3"/>
        <v>0</v>
      </c>
      <c r="AA16" s="6">
        <f t="shared" si="3"/>
        <v>0</v>
      </c>
      <c r="AB16" s="6">
        <f t="shared" si="3"/>
        <v>0</v>
      </c>
      <c r="AC16" s="7"/>
      <c r="AD16" s="152">
        <f t="shared" si="47"/>
        <v>0</v>
      </c>
      <c r="AE16" s="152">
        <f t="shared" si="48"/>
        <v>0</v>
      </c>
      <c r="AF16" s="152">
        <f t="shared" si="49"/>
        <v>0</v>
      </c>
      <c r="AG16" s="152">
        <f t="shared" si="50"/>
        <v>0</v>
      </c>
      <c r="AH16" s="152">
        <f t="shared" si="58"/>
        <v>0</v>
      </c>
      <c r="AI16" s="152">
        <f t="shared" si="59"/>
        <v>0</v>
      </c>
      <c r="AJ16" s="152">
        <f t="shared" si="52"/>
        <v>0</v>
      </c>
      <c r="AK16" s="152">
        <f t="shared" si="53"/>
        <v>0</v>
      </c>
      <c r="AL16" s="152">
        <f t="shared" si="54"/>
        <v>0</v>
      </c>
      <c r="AM16" s="9">
        <f t="shared" si="60"/>
        <v>0</v>
      </c>
      <c r="AN16" s="80">
        <f t="shared" si="61"/>
        <v>0</v>
      </c>
      <c r="AP16" s="102" t="s">
        <v>0</v>
      </c>
      <c r="AQ16" s="12">
        <v>1</v>
      </c>
      <c r="AR16" s="14">
        <f t="shared" si="15"/>
        <v>12</v>
      </c>
      <c r="AS16" s="14" cm="1">
        <f t="array" ref="AS16">IFERROR(_xlfn.IFS(VALUE(MID(AS$5,6,1))&gt;$D$2,0,$AP16="Annual",1,AR16=12,12,$AP16="Monthly V",AR16*(1+$BD$2),$AP16="Monthly F",12,$AP16="One-Time",0),AR16*(1+$BD$2))</f>
        <v>12</v>
      </c>
      <c r="AT16" s="14" cm="1">
        <f t="array" ref="AT16">IFERROR(_xlfn.IFS(VALUE(MID(AT$5,6,1))&gt;$D$2,0,$AP16="Annual",1,AS16=12,12,$AP16="Monthly V",AS16*(1+$BD$2),$AP16="Monthly F",12,$AP16="One-Time",0),AS16*(1+$BD$2))</f>
        <v>12</v>
      </c>
      <c r="AU16" s="14" cm="1">
        <f t="array" ref="AU16">IFERROR(_xlfn.IFS(VALUE(MID(AU$5,6,1))&gt;$D$2,0,$AP16="Annual",1,AT16=12,12,$AP16="Monthly V",AT16*(1+$BD$2),$AP16="Monthly F",12,$AP16="One-Time",0),AT16*(1+$BD$2))</f>
        <v>12</v>
      </c>
      <c r="AV16" s="14" cm="1">
        <f t="array" ref="AV16">IFERROR(_xlfn.IFS(VALUE(MID(AV$5,6,1))&gt;$D$2,0,$AP16="Annual",1,AU16=12,12,$AP16="Monthly V",AU16*(1+$BD$2),$AP16="Monthly F",12,$AP16="One-Time",0),AU16*(1+$BD$2))</f>
        <v>12</v>
      </c>
      <c r="AW16" s="14" cm="1">
        <f t="array" ref="AW16">IFERROR(_xlfn.IFS(VALUE(MID(AW$5,6,1))&gt;$D$2,0,$AP16="Annual",1,AV16=12,12,$AP16="Monthly V",AV16*(1+$BD$2),$AP16="Monthly F",12,$AP16="One-Time",0),AV16*(1+$BD$2))</f>
        <v>12</v>
      </c>
      <c r="AX16" s="14" cm="1">
        <f t="array" ref="AX16">IFERROR(_xlfn.IFS(VALUE(MID(AX$5,6,1))&gt;$D$2,0,$AP16="Annual",1,AW16=12,12,$AP16="Monthly V",AW16*(1+$BD$2),$AP16="Monthly F",12,$AP16="One-Time",0),AW16*(1+$BD$2))</f>
        <v>12</v>
      </c>
      <c r="AY16" s="14" cm="1">
        <f t="array" ref="AY16">IFERROR(_xlfn.IFS(VALUE(MID(AY$5,6,1))&gt;$D$2,0,$AP16="Annual",1,AX16=12,12,$AP16="Monthly V",AX16*(1+$D$3),$AP16="Monthly F",12,$AP16="One-Time",0),AX16*(1+$D$3))</f>
        <v>0</v>
      </c>
      <c r="AZ16" s="14" cm="1">
        <f t="array" ref="AZ16">IFERROR(_xlfn.IFS(VALUE(MID(AZ$5,6,1))&gt;$D$2,0,$AP16="Annual",1,AY16=12,12,$AP16="Monthly V",AY16*(1+$D$3),$AP16="Monthly F",12,$AP16="One-Time",0),AY16*(1+$D$3))</f>
        <v>0</v>
      </c>
      <c r="BA16" s="125" cm="1">
        <f t="array" ref="BA16">IFERROR(_xlfn.IFS(VALUE(MID(BA$5,6,2))&gt;$D$2,0,$AP16="Annual",1,AZ16=12,12,$AP16="Monthly V",AZ16*(1+$D$3),$AP16="Monthly F",12,$AP16="One-Time",0),AZ16*(1+$D$3))</f>
        <v>0</v>
      </c>
      <c r="BB16" s="148" t="s">
        <v>163</v>
      </c>
      <c r="BC16" s="38" t="s">
        <v>162</v>
      </c>
      <c r="BD16" s="36">
        <v>400</v>
      </c>
      <c r="BE16" s="21">
        <f t="shared" si="16"/>
        <v>400</v>
      </c>
      <c r="BF16" s="39">
        <f t="shared" si="44"/>
        <v>4800</v>
      </c>
      <c r="BG16" s="39">
        <f t="shared" si="17"/>
        <v>4800</v>
      </c>
      <c r="BH16" s="39">
        <f t="shared" si="18"/>
        <v>4800</v>
      </c>
      <c r="BI16" s="39">
        <f t="shared" si="19"/>
        <v>4944</v>
      </c>
      <c r="BJ16" s="39">
        <f t="shared" ref="BJ16:BL16" si="64">BI16*1.03</f>
        <v>5092.32</v>
      </c>
      <c r="BK16" s="39">
        <f t="shared" si="64"/>
        <v>5245.0896000000002</v>
      </c>
      <c r="BL16" s="39">
        <f t="shared" si="64"/>
        <v>5402.4422880000002</v>
      </c>
      <c r="BM16" s="39">
        <f t="shared" si="23"/>
        <v>0</v>
      </c>
      <c r="BN16" s="39">
        <f t="shared" si="23"/>
        <v>0</v>
      </c>
      <c r="BO16" s="39">
        <f t="shared" si="23"/>
        <v>0</v>
      </c>
      <c r="BP16" s="40"/>
      <c r="BQ16" s="40">
        <f t="shared" si="24"/>
        <v>144.00000000000011</v>
      </c>
      <c r="BR16" s="40">
        <f t="shared" si="25"/>
        <v>292.31999999999977</v>
      </c>
      <c r="BS16" s="40">
        <f t="shared" si="26"/>
        <v>458.44228800000002</v>
      </c>
      <c r="BT16" s="40">
        <f t="shared" si="27"/>
        <v>639.13102333919949</v>
      </c>
      <c r="BU16" s="40">
        <f t="shared" si="28"/>
        <v>835.40679066055657</v>
      </c>
      <c r="BV16" s="40">
        <f t="shared" si="29"/>
        <v>1048.3563328517848</v>
      </c>
      <c r="BW16" s="40">
        <f t="shared" si="30"/>
        <v>0</v>
      </c>
      <c r="BX16" s="40">
        <f t="shared" si="31"/>
        <v>0</v>
      </c>
      <c r="BY16" s="40">
        <f t="shared" si="32"/>
        <v>0</v>
      </c>
      <c r="BZ16" s="40">
        <f t="shared" si="33"/>
        <v>3417.6564348515408</v>
      </c>
      <c r="CA16" s="37">
        <f t="shared" si="9"/>
        <v>38501.508322851536</v>
      </c>
      <c r="CC16" s="102"/>
      <c r="CD16" s="12"/>
      <c r="CE16" s="14">
        <f t="shared" si="10"/>
        <v>0</v>
      </c>
      <c r="CF16" s="14" cm="1">
        <f t="array" ref="CF16">IFERROR(_xlfn.IFS(VALUE(MID(CF$5,6,1))&gt;$D$2,0,$CC16="Annual",1,CE16=12,12,$CC16="Monthly V",CE16*(1+$D$3),$CC16="Monthly F",12,$CC16="One-Time",0),CE16*(1+$D$3))</f>
        <v>0</v>
      </c>
      <c r="CG16" s="14" cm="1">
        <f t="array" ref="CG16">IFERROR(_xlfn.IFS(VALUE(MID(CG$5,6,1))&gt;$D$2,0,$CC16="Annual",1,CF16=12,12,$CC16="Monthly V",CF16*(1+$D$3),$CC16="Monthly F",12,$CC16="One-Time",0),CF16*(1+$D$3))</f>
        <v>0</v>
      </c>
      <c r="CH16" s="14" cm="1">
        <f t="array" ref="CH16">IFERROR(_xlfn.IFS(VALUE(MID(CH$5,6,1))&gt;$D$2,0,$CC16="Annual",1,CG16=12,12,$CC16="Monthly V",CG16*(1+$D$3),$CC16="Monthly F",12,$CC16="One-Time",0),CG16*(1+$D$3))</f>
        <v>0</v>
      </c>
      <c r="CI16" s="14" cm="1">
        <f t="array" ref="CI16">IFERROR(_xlfn.IFS(VALUE(MID(CI$5,6,1))&gt;$D$2,0,$CC16="Annual",1,CH16=12,12,$CC16="Monthly V",CH16*(1+$D$3),$CC16="Monthly F",12,$CC16="One-Time",0),CH16*(1+$D$3))</f>
        <v>0</v>
      </c>
      <c r="CJ16" s="14" cm="1">
        <f t="array" ref="CJ16">IFERROR(_xlfn.IFS(VALUE(MID(CJ$5,6,1))&gt;$D$2,0,$CC16="Annual",1,CI16=12,12,$CC16="Monthly V",CI16*(1+$D$3),$CC16="Monthly F",12,$CC16="One-Time",0),CI16*(1+$D$3))</f>
        <v>0</v>
      </c>
      <c r="CK16" s="14" cm="1">
        <f t="array" ref="CK16">IFERROR(_xlfn.IFS(VALUE(MID(CK$5,6,1))&gt;$D$2,0,$CC16="Annual",1,CJ16=12,12,$CC16="Monthly V",CJ16*(1+$D$3),$CC16="Monthly F",12,$CC16="One-Time",0),CJ16*(1+$D$3))</f>
        <v>0</v>
      </c>
      <c r="CL16" s="14" cm="1">
        <f t="array" ref="CL16">IFERROR(_xlfn.IFS(VALUE(MID(CL$5,6,1))&gt;$D$2,0,$CC16="Annual",1,CK16=12,12,$CC16="Monthly V",CK16*(1+$D$3),$CC16="Monthly F",12,$CC16="One-Time",0),CK16*(1+$D$3))</f>
        <v>0</v>
      </c>
      <c r="CM16" s="14" cm="1">
        <f t="array" ref="CM16">IFERROR(_xlfn.IFS(VALUE(MID(CM$5,6,1))&gt;$D$2,0,$CC16="Annual",1,CL16=12,12,$CC16="Monthly V",CL16*(1+$D$3),$CC16="Monthly F",12,$CC16="One-Time",0),CL16*(1+$D$3))</f>
        <v>0</v>
      </c>
      <c r="CN16" s="24" cm="1">
        <f t="array" ref="CN16">IFERROR(_xlfn.IFS(VALUE(MID(CN$5,6,2))&gt;$D$2,0,$CC16="Annual",1,CM16=12,12,$CC16="Monthly V",CM16*(1+$D$3),$CC16="Monthly F",12,$CC16="One-Time",0),CM16*(1+$D$3))</f>
        <v>0</v>
      </c>
      <c r="CO16" s="63"/>
      <c r="CP16" s="53"/>
      <c r="CQ16" s="21">
        <f t="shared" si="11"/>
        <v>0</v>
      </c>
      <c r="CR16" s="55">
        <f t="shared" si="12"/>
        <v>0</v>
      </c>
      <c r="CS16" s="55">
        <f t="shared" si="12"/>
        <v>0</v>
      </c>
      <c r="CT16" s="55">
        <f t="shared" si="12"/>
        <v>0</v>
      </c>
      <c r="CU16" s="55">
        <f t="shared" si="12"/>
        <v>0</v>
      </c>
      <c r="CV16" s="55">
        <f t="shared" si="12"/>
        <v>0</v>
      </c>
      <c r="CW16" s="55">
        <f t="shared" si="12"/>
        <v>0</v>
      </c>
      <c r="CX16" s="55">
        <f t="shared" si="12"/>
        <v>0</v>
      </c>
      <c r="CY16" s="55">
        <f t="shared" si="12"/>
        <v>0</v>
      </c>
      <c r="CZ16" s="55">
        <f t="shared" si="12"/>
        <v>0</v>
      </c>
      <c r="DA16" s="55">
        <f t="shared" si="12"/>
        <v>0</v>
      </c>
      <c r="DB16" s="56"/>
      <c r="DC16" s="56">
        <f t="shared" si="34"/>
        <v>0</v>
      </c>
      <c r="DD16" s="56">
        <f t="shared" si="35"/>
        <v>0</v>
      </c>
      <c r="DE16" s="56">
        <f t="shared" si="36"/>
        <v>0</v>
      </c>
      <c r="DF16" s="56">
        <f t="shared" si="37"/>
        <v>0</v>
      </c>
      <c r="DG16" s="56">
        <f t="shared" si="38"/>
        <v>0</v>
      </c>
      <c r="DH16" s="56">
        <f t="shared" si="39"/>
        <v>0</v>
      </c>
      <c r="DI16" s="56">
        <f t="shared" si="40"/>
        <v>0</v>
      </c>
      <c r="DJ16" s="56">
        <f t="shared" si="41"/>
        <v>0</v>
      </c>
      <c r="DK16" s="56">
        <f t="shared" si="42"/>
        <v>0</v>
      </c>
      <c r="DL16" s="57">
        <f t="shared" si="43"/>
        <v>0</v>
      </c>
      <c r="DM16" s="54">
        <f t="shared" si="13"/>
        <v>0</v>
      </c>
      <c r="DO16" s="106"/>
    </row>
    <row r="17" spans="2:119" x14ac:dyDescent="0.25">
      <c r="B17" s="141"/>
      <c r="C17" s="24"/>
      <c r="D17" s="147">
        <f t="shared" si="0"/>
        <v>0</v>
      </c>
      <c r="E17" s="142">
        <f t="shared" si="57"/>
        <v>0</v>
      </c>
      <c r="F17" s="14" cm="1">
        <f t="array" ref="F17">IFERROR(_xlfn.IFS(VALUE(MID(F$5,6,1))&gt;$D$2,0,$B17="Annual",1,E17=12,12,$B17="Monthly V",E17*(1+$D$3),$B17="Monthly F",12,$B17="One-Time",0),E17*(1+$D$3))</f>
        <v>0</v>
      </c>
      <c r="G17" s="14" cm="1">
        <f t="array" ref="G17">IFERROR(_xlfn.IFS(VALUE(MID(G$5,6,1))&gt;$D$2,0,$B17="Annual",1,F17=12,12,$B17="Monthly V",F17*(1+$D$3),$B17="Monthly F",12,$B17="One-Time",0),F17*(1+$D$3))</f>
        <v>0</v>
      </c>
      <c r="H17" s="14" cm="1">
        <f t="array" ref="H17">IFERROR(_xlfn.IFS(VALUE(MID(H$5,6,1))&gt;$D$2,0,$B17="Annual",1,G17=12,12,$B17="Monthly V",G17*(1+$D$3),$B17="Monthly F",12,$B17="One-Time",0),G17*(1+$D$3))</f>
        <v>0</v>
      </c>
      <c r="I17" s="14" cm="1">
        <f t="array" ref="I17">IFERROR(_xlfn.IFS(VALUE(MID(I$5,6,1))&gt;$D$2,0,$B17="Annual",1,H17=12,12,$B17="Monthly V",H17*(1+$D$3),$B17="Monthly F",12,$B17="One-Time",0),H17*(1+$D$3))</f>
        <v>0</v>
      </c>
      <c r="J17" s="14" cm="1">
        <f t="array" ref="J17">IFERROR(_xlfn.IFS(VALUE(MID(J$5,6,1))&gt;$D$2,0,$B17="Annual",1,I17=12,12,$B17="Monthly V",I17*(1+$D$3),$B17="Monthly F",12,$B17="One-Time",0),I17*(1+$D$3))</f>
        <v>0</v>
      </c>
      <c r="K17" s="14" cm="1">
        <f t="array" ref="K17">IFERROR(_xlfn.IFS(VALUE(MID(K$5,6,1))&gt;$D$2,0,$B17="Annual",1,J17=12,12,$B17="Monthly V",J17*(1+$D$3),$B17="Monthly F",12,$B17="One-Time",0),J17*(1+$D$3))</f>
        <v>0</v>
      </c>
      <c r="L17" s="14" cm="1">
        <f t="array" ref="L17">IFERROR(_xlfn.IFS(VALUE(MID(L$5,6,1))&gt;$D$2,0,$B17="Annual",1,K17=12,12,$B17="Monthly V",K17*(1+$D$3),$B17="Monthly F",12,$B17="One-Time",0),K17*(1+$D$3))</f>
        <v>0</v>
      </c>
      <c r="M17" s="14" cm="1">
        <f t="array" ref="M17">IFERROR(_xlfn.IFS(VALUE(MID(M$5,6,1))&gt;$D$2,0,$B17="Annual",1,L17=12,12,$B17="Monthly V",L17*(1+$D$3),$B17="Monthly F",12,$B17="One-Time",0),L17*(1+$D$3))</f>
        <v>0</v>
      </c>
      <c r="N17" s="24" cm="1">
        <f t="array" ref="N17">IFERROR(_xlfn.IFS(VALUE(MID(N$5,6,2))&gt;$D$2,0,$B17="Annual",1,M17=12,12,$B17="Monthly V",M17*(1+$D$3),$B17="Monthly F",12,$B17="One-Time",0),M17*(1+$D$3))</f>
        <v>0</v>
      </c>
      <c r="O17" s="154"/>
      <c r="P17" s="13"/>
      <c r="Q17" s="20"/>
      <c r="R17" s="21">
        <f t="shared" si="14"/>
        <v>0</v>
      </c>
      <c r="S17" s="6">
        <f t="shared" si="2"/>
        <v>0</v>
      </c>
      <c r="T17" s="6">
        <f t="shared" si="2"/>
        <v>0</v>
      </c>
      <c r="U17" s="6">
        <f t="shared" si="2"/>
        <v>0</v>
      </c>
      <c r="V17" s="6">
        <f t="shared" si="2"/>
        <v>0</v>
      </c>
      <c r="W17" s="6">
        <f t="shared" si="3"/>
        <v>0</v>
      </c>
      <c r="X17" s="6">
        <f t="shared" si="3"/>
        <v>0</v>
      </c>
      <c r="Y17" s="6">
        <f t="shared" si="3"/>
        <v>0</v>
      </c>
      <c r="Z17" s="6">
        <f t="shared" si="3"/>
        <v>0</v>
      </c>
      <c r="AA17" s="6">
        <f t="shared" si="3"/>
        <v>0</v>
      </c>
      <c r="AB17" s="6">
        <f t="shared" si="3"/>
        <v>0</v>
      </c>
      <c r="AC17" s="7"/>
      <c r="AD17" s="152">
        <f t="shared" si="47"/>
        <v>0</v>
      </c>
      <c r="AE17" s="152">
        <f t="shared" si="48"/>
        <v>0</v>
      </c>
      <c r="AF17" s="152">
        <f t="shared" si="49"/>
        <v>0</v>
      </c>
      <c r="AG17" s="152">
        <f t="shared" si="50"/>
        <v>0</v>
      </c>
      <c r="AH17" s="152">
        <f t="shared" si="58"/>
        <v>0</v>
      </c>
      <c r="AI17" s="152">
        <f t="shared" si="59"/>
        <v>0</v>
      </c>
      <c r="AJ17" s="152">
        <f t="shared" si="52"/>
        <v>0</v>
      </c>
      <c r="AK17" s="152">
        <f t="shared" si="53"/>
        <v>0</v>
      </c>
      <c r="AL17" s="152">
        <f t="shared" si="54"/>
        <v>0</v>
      </c>
      <c r="AM17" s="9">
        <f t="shared" si="60"/>
        <v>0</v>
      </c>
      <c r="AN17" s="80">
        <f t="shared" si="61"/>
        <v>0</v>
      </c>
      <c r="AP17" s="102" t="s">
        <v>0</v>
      </c>
      <c r="AQ17" s="12">
        <v>1</v>
      </c>
      <c r="AR17" s="14">
        <f t="shared" si="15"/>
        <v>12</v>
      </c>
      <c r="AS17" s="14" cm="1">
        <f t="array" ref="AS17">IFERROR(_xlfn.IFS(VALUE(MID(AS$5,6,1))&gt;$D$2,0,$AP17="Annual",1,AR17=12,12,$AP17="Monthly V",AR17*(1+$BD$2),$AP17="Monthly F",12,$AP17="One-Time",0),AR17*(1+$BD$2))</f>
        <v>12</v>
      </c>
      <c r="AT17" s="14" cm="1">
        <f t="array" ref="AT17">IFERROR(_xlfn.IFS(VALUE(MID(AT$5,6,1))&gt;$D$2,0,$AP17="Annual",1,AS17=12,12,$AP17="Monthly V",AS17*(1+$BD$2),$AP17="Monthly F",12,$AP17="One-Time",0),AS17*(1+$BD$2))</f>
        <v>12</v>
      </c>
      <c r="AU17" s="14" cm="1">
        <f t="array" ref="AU17">IFERROR(_xlfn.IFS(VALUE(MID(AU$5,6,1))&gt;$D$2,0,$AP17="Annual",1,AT17=12,12,$AP17="Monthly V",AT17*(1+$BD$2),$AP17="Monthly F",12,$AP17="One-Time",0),AT17*(1+$BD$2))</f>
        <v>12</v>
      </c>
      <c r="AV17" s="14" cm="1">
        <f t="array" ref="AV17">IFERROR(_xlfn.IFS(VALUE(MID(AV$5,6,1))&gt;$D$2,0,$AP17="Annual",1,AU17=12,12,$AP17="Monthly V",AU17*(1+$BD$2),$AP17="Monthly F",12,$AP17="One-Time",0),AU17*(1+$BD$2))</f>
        <v>12</v>
      </c>
      <c r="AW17" s="14" cm="1">
        <f t="array" ref="AW17">IFERROR(_xlfn.IFS(VALUE(MID(AW$5,6,1))&gt;$D$2,0,$AP17="Annual",1,AV17=12,12,$AP17="Monthly V",AV17*(1+$BD$2),$AP17="Monthly F",12,$AP17="One-Time",0),AV17*(1+$BD$2))</f>
        <v>12</v>
      </c>
      <c r="AX17" s="14" cm="1">
        <f t="array" ref="AX17">IFERROR(_xlfn.IFS(VALUE(MID(AX$5,6,1))&gt;$D$2,0,$AP17="Annual",1,AW17=12,12,$AP17="Monthly V",AW17*(1+$BD$2),$AP17="Monthly F",12,$AP17="One-Time",0),AW17*(1+$BD$2))</f>
        <v>12</v>
      </c>
      <c r="AY17" s="14" cm="1">
        <f t="array" ref="AY17">IFERROR(_xlfn.IFS(VALUE(MID(AY$5,6,1))&gt;$D$2,0,$AP17="Annual",1,AX17=12,12,$AP17="Monthly V",AX17*(1+$D$3),$AP17="Monthly F",12,$AP17="One-Time",0),AX17*(1+$D$3))</f>
        <v>0</v>
      </c>
      <c r="AZ17" s="14" cm="1">
        <f t="array" ref="AZ17">IFERROR(_xlfn.IFS(VALUE(MID(AZ$5,6,1))&gt;$D$2,0,$AP17="Annual",1,AY17=12,12,$AP17="Monthly V",AY17*(1+$D$3),$AP17="Monthly F",12,$AP17="One-Time",0),AY17*(1+$D$3))</f>
        <v>0</v>
      </c>
      <c r="BA17" s="125" cm="1">
        <f t="array" ref="BA17">IFERROR(_xlfn.IFS(VALUE(MID(BA$5,6,2))&gt;$D$2,0,$AP17="Annual",1,AZ17=12,12,$AP17="Monthly V",AZ17*(1+$D$3),$AP17="Monthly F",12,$AP17="One-Time",0),AZ17*(1+$D$3))</f>
        <v>0</v>
      </c>
      <c r="BB17" s="148" t="s">
        <v>164</v>
      </c>
      <c r="BC17" s="38" t="s">
        <v>162</v>
      </c>
      <c r="BD17" s="36">
        <v>200</v>
      </c>
      <c r="BE17" s="21">
        <f t="shared" si="16"/>
        <v>200</v>
      </c>
      <c r="BF17" s="39">
        <f t="shared" si="44"/>
        <v>2400</v>
      </c>
      <c r="BG17" s="39">
        <f t="shared" si="17"/>
        <v>2400</v>
      </c>
      <c r="BH17" s="39">
        <f t="shared" si="18"/>
        <v>2400</v>
      </c>
      <c r="BI17" s="39">
        <f t="shared" si="19"/>
        <v>2472</v>
      </c>
      <c r="BJ17" s="39">
        <f t="shared" ref="BJ17:BL17" si="65">BI17*1.03</f>
        <v>2546.16</v>
      </c>
      <c r="BK17" s="39">
        <f t="shared" si="65"/>
        <v>2622.5448000000001</v>
      </c>
      <c r="BL17" s="39">
        <f t="shared" si="65"/>
        <v>2701.2211440000001</v>
      </c>
      <c r="BM17" s="39">
        <f t="shared" si="23"/>
        <v>0</v>
      </c>
      <c r="BN17" s="39">
        <f t="shared" si="23"/>
        <v>0</v>
      </c>
      <c r="BO17" s="39">
        <f t="shared" si="23"/>
        <v>0</v>
      </c>
      <c r="BP17" s="40"/>
      <c r="BQ17" s="40">
        <f t="shared" si="24"/>
        <v>72.000000000000057</v>
      </c>
      <c r="BR17" s="40">
        <f t="shared" si="25"/>
        <v>146.15999999999988</v>
      </c>
      <c r="BS17" s="40">
        <f t="shared" si="26"/>
        <v>229.22114400000001</v>
      </c>
      <c r="BT17" s="40">
        <f t="shared" si="27"/>
        <v>319.56551166959974</v>
      </c>
      <c r="BU17" s="40">
        <f t="shared" si="28"/>
        <v>417.70339533027828</v>
      </c>
      <c r="BV17" s="40">
        <f t="shared" si="29"/>
        <v>524.17816642589241</v>
      </c>
      <c r="BW17" s="40">
        <f t="shared" si="30"/>
        <v>0</v>
      </c>
      <c r="BX17" s="40">
        <f t="shared" si="31"/>
        <v>0</v>
      </c>
      <c r="BY17" s="40">
        <f t="shared" si="32"/>
        <v>0</v>
      </c>
      <c r="BZ17" s="40">
        <f t="shared" si="33"/>
        <v>1708.8282174257704</v>
      </c>
      <c r="CA17" s="37">
        <f t="shared" si="9"/>
        <v>19250.754161425768</v>
      </c>
      <c r="CC17" s="102"/>
      <c r="CD17" s="12"/>
      <c r="CE17" s="14">
        <f t="shared" si="10"/>
        <v>0</v>
      </c>
      <c r="CF17" s="14" cm="1">
        <f t="array" ref="CF17">IFERROR(_xlfn.IFS(VALUE(MID(CF$5,6,1))&gt;$D$2,0,$CC17="Annual",1,CE17=12,12,$CC17="Monthly V",CE17*(1+$D$3),$CC17="Monthly F",12,$CC17="One-Time",0),CE17*(1+$D$3))</f>
        <v>0</v>
      </c>
      <c r="CG17" s="14" cm="1">
        <f t="array" ref="CG17">IFERROR(_xlfn.IFS(VALUE(MID(CG$5,6,1))&gt;$D$2,0,$CC17="Annual",1,CF17=12,12,$CC17="Monthly V",CF17*(1+$D$3),$CC17="Monthly F",12,$CC17="One-Time",0),CF17*(1+$D$3))</f>
        <v>0</v>
      </c>
      <c r="CH17" s="14" cm="1">
        <f t="array" ref="CH17">IFERROR(_xlfn.IFS(VALUE(MID(CH$5,6,1))&gt;$D$2,0,$CC17="Annual",1,CG17=12,12,$CC17="Monthly V",CG17*(1+$D$3),$CC17="Monthly F",12,$CC17="One-Time",0),CG17*(1+$D$3))</f>
        <v>0</v>
      </c>
      <c r="CI17" s="14" cm="1">
        <f t="array" ref="CI17">IFERROR(_xlfn.IFS(VALUE(MID(CI$5,6,1))&gt;$D$2,0,$CC17="Annual",1,CH17=12,12,$CC17="Monthly V",CH17*(1+$D$3),$CC17="Monthly F",12,$CC17="One-Time",0),CH17*(1+$D$3))</f>
        <v>0</v>
      </c>
      <c r="CJ17" s="14" cm="1">
        <f t="array" ref="CJ17">IFERROR(_xlfn.IFS(VALUE(MID(CJ$5,6,1))&gt;$D$2,0,$CC17="Annual",1,CI17=12,12,$CC17="Monthly V",CI17*(1+$D$3),$CC17="Monthly F",12,$CC17="One-Time",0),CI17*(1+$D$3))</f>
        <v>0</v>
      </c>
      <c r="CK17" s="14" cm="1">
        <f t="array" ref="CK17">IFERROR(_xlfn.IFS(VALUE(MID(CK$5,6,1))&gt;$D$2,0,$CC17="Annual",1,CJ17=12,12,$CC17="Monthly V",CJ17*(1+$D$3),$CC17="Monthly F",12,$CC17="One-Time",0),CJ17*(1+$D$3))</f>
        <v>0</v>
      </c>
      <c r="CL17" s="14" cm="1">
        <f t="array" ref="CL17">IFERROR(_xlfn.IFS(VALUE(MID(CL$5,6,1))&gt;$D$2,0,$CC17="Annual",1,CK17=12,12,$CC17="Monthly V",CK17*(1+$D$3),$CC17="Monthly F",12,$CC17="One-Time",0),CK17*(1+$D$3))</f>
        <v>0</v>
      </c>
      <c r="CM17" s="14" cm="1">
        <f t="array" ref="CM17">IFERROR(_xlfn.IFS(VALUE(MID(CM$5,6,1))&gt;$D$2,0,$CC17="Annual",1,CL17=12,12,$CC17="Monthly V",CL17*(1+$D$3),$CC17="Monthly F",12,$CC17="One-Time",0),CL17*(1+$D$3))</f>
        <v>0</v>
      </c>
      <c r="CN17" s="24" cm="1">
        <f t="array" ref="CN17">IFERROR(_xlfn.IFS(VALUE(MID(CN$5,6,2))&gt;$D$2,0,$CC17="Annual",1,CM17=12,12,$CC17="Monthly V",CM17*(1+$D$3),$CC17="Monthly F",12,$CC17="One-Time",0),CM17*(1+$D$3))</f>
        <v>0</v>
      </c>
      <c r="CO17" s="63"/>
      <c r="CP17" s="53"/>
      <c r="CQ17" s="21">
        <f t="shared" si="11"/>
        <v>0</v>
      </c>
      <c r="CR17" s="55">
        <f t="shared" si="12"/>
        <v>0</v>
      </c>
      <c r="CS17" s="55">
        <f t="shared" si="12"/>
        <v>0</v>
      </c>
      <c r="CT17" s="55">
        <f t="shared" si="12"/>
        <v>0</v>
      </c>
      <c r="CU17" s="55">
        <f t="shared" si="12"/>
        <v>0</v>
      </c>
      <c r="CV17" s="55">
        <f t="shared" si="12"/>
        <v>0</v>
      </c>
      <c r="CW17" s="55">
        <f t="shared" si="12"/>
        <v>0</v>
      </c>
      <c r="CX17" s="55">
        <f t="shared" si="12"/>
        <v>0</v>
      </c>
      <c r="CY17" s="55">
        <f t="shared" si="12"/>
        <v>0</v>
      </c>
      <c r="CZ17" s="55">
        <f t="shared" si="12"/>
        <v>0</v>
      </c>
      <c r="DA17" s="55">
        <f t="shared" si="12"/>
        <v>0</v>
      </c>
      <c r="DB17" s="56"/>
      <c r="DC17" s="56">
        <f t="shared" si="34"/>
        <v>0</v>
      </c>
      <c r="DD17" s="56">
        <f t="shared" si="35"/>
        <v>0</v>
      </c>
      <c r="DE17" s="56">
        <f t="shared" si="36"/>
        <v>0</v>
      </c>
      <c r="DF17" s="56">
        <f t="shared" si="37"/>
        <v>0</v>
      </c>
      <c r="DG17" s="56">
        <f t="shared" si="38"/>
        <v>0</v>
      </c>
      <c r="DH17" s="56">
        <f t="shared" si="39"/>
        <v>0</v>
      </c>
      <c r="DI17" s="56">
        <f t="shared" si="40"/>
        <v>0</v>
      </c>
      <c r="DJ17" s="56">
        <f t="shared" si="41"/>
        <v>0</v>
      </c>
      <c r="DK17" s="56">
        <f t="shared" si="42"/>
        <v>0</v>
      </c>
      <c r="DL17" s="57">
        <f t="shared" si="43"/>
        <v>0</v>
      </c>
      <c r="DM17" s="54">
        <f t="shared" si="13"/>
        <v>0</v>
      </c>
      <c r="DO17" s="106"/>
    </row>
    <row r="18" spans="2:119" x14ac:dyDescent="0.25">
      <c r="B18" s="141"/>
      <c r="C18" s="24"/>
      <c r="D18" s="147"/>
      <c r="E18" s="142"/>
      <c r="F18" s="14"/>
      <c r="G18" s="14"/>
      <c r="H18" s="14"/>
      <c r="I18" s="14"/>
      <c r="J18" s="14"/>
      <c r="K18" s="14"/>
      <c r="L18" s="14"/>
      <c r="M18" s="14"/>
      <c r="N18" s="24"/>
      <c r="O18" s="154"/>
      <c r="P18" s="13"/>
      <c r="Q18" s="20"/>
      <c r="R18" s="21"/>
      <c r="S18" s="6"/>
      <c r="T18" s="6"/>
      <c r="U18" s="6"/>
      <c r="V18" s="6"/>
      <c r="W18" s="6"/>
      <c r="X18" s="6"/>
      <c r="Y18" s="6"/>
      <c r="Z18" s="6"/>
      <c r="AA18" s="6"/>
      <c r="AB18" s="6"/>
      <c r="AC18" s="7"/>
      <c r="AD18" s="152"/>
      <c r="AE18" s="152"/>
      <c r="AF18" s="152"/>
      <c r="AG18" s="152"/>
      <c r="AH18" s="152"/>
      <c r="AI18" s="152"/>
      <c r="AJ18" s="152"/>
      <c r="AK18" s="152"/>
      <c r="AL18" s="152"/>
      <c r="AM18" s="9"/>
      <c r="AN18" s="80"/>
      <c r="AP18" s="102" t="s">
        <v>0</v>
      </c>
      <c r="AQ18" s="12">
        <v>1</v>
      </c>
      <c r="AR18" s="14">
        <f t="shared" si="15"/>
        <v>12</v>
      </c>
      <c r="AS18" s="14" cm="1">
        <f t="array" ref="AS18">IFERROR(_xlfn.IFS(VALUE(MID(AS$5,6,1))&gt;$D$2,0,$AP18="Annual",1,AR18=12,12,$AP18="Monthly V",AR18*(1+$BD$2),$AP18="Monthly F",12,$AP18="One-Time",0),AR18*(1+$BD$2))</f>
        <v>12</v>
      </c>
      <c r="AT18" s="14" cm="1">
        <f t="array" ref="AT18">IFERROR(_xlfn.IFS(VALUE(MID(AT$5,6,1))&gt;$D$2,0,$AP18="Annual",1,AS18=12,12,$AP18="Monthly V",AS18*(1+$BD$2),$AP18="Monthly F",12,$AP18="One-Time",0),AS18*(1+$BD$2))</f>
        <v>12</v>
      </c>
      <c r="AU18" s="14" cm="1">
        <f t="array" ref="AU18">IFERROR(_xlfn.IFS(VALUE(MID(AU$5,6,1))&gt;$D$2,0,$AP18="Annual",1,AT18=12,12,$AP18="Monthly V",AT18*(1+$BD$2),$AP18="Monthly F",12,$AP18="One-Time",0),AT18*(1+$BD$2))</f>
        <v>12</v>
      </c>
      <c r="AV18" s="14" cm="1">
        <f t="array" ref="AV18">IFERROR(_xlfn.IFS(VALUE(MID(AV$5,6,1))&gt;$D$2,0,$AP18="Annual",1,AU18=12,12,$AP18="Monthly V",AU18*(1+$BD$2),$AP18="Monthly F",12,$AP18="One-Time",0),AU18*(1+$BD$2))</f>
        <v>12</v>
      </c>
      <c r="AW18" s="14" cm="1">
        <f t="array" ref="AW18">IFERROR(_xlfn.IFS(VALUE(MID(AW$5,6,1))&gt;$D$2,0,$AP18="Annual",1,AV18=12,12,$AP18="Monthly V",AV18*(1+$BD$2),$AP18="Monthly F",12,$AP18="One-Time",0),AV18*(1+$BD$2))</f>
        <v>12</v>
      </c>
      <c r="AX18" s="14" cm="1">
        <f t="array" ref="AX18">IFERROR(_xlfn.IFS(VALUE(MID(AX$5,6,1))&gt;$D$2,0,$AP18="Annual",1,AW18=12,12,$AP18="Monthly V",AW18*(1+$BD$2),$AP18="Monthly F",12,$AP18="One-Time",0),AW18*(1+$BD$2))</f>
        <v>12</v>
      </c>
      <c r="AY18" s="14" cm="1">
        <f t="array" ref="AY18">IFERROR(_xlfn.IFS(VALUE(MID(AY$5,6,1))&gt;$D$2,0,$AP18="Annual",1,AX18=12,12,$AP18="Monthly V",AX18*(1+$D$3),$AP18="Monthly F",12,$AP18="One-Time",0),AX18*(1+$D$3))</f>
        <v>0</v>
      </c>
      <c r="AZ18" s="14" cm="1">
        <f t="array" ref="AZ18">IFERROR(_xlfn.IFS(VALUE(MID(AZ$5,6,1))&gt;$D$2,0,$AP18="Annual",1,AY18=12,12,$AP18="Monthly V",AY18*(1+$D$3),$AP18="Monthly F",12,$AP18="One-Time",0),AY18*(1+$D$3))</f>
        <v>0</v>
      </c>
      <c r="BA18" s="125" cm="1">
        <f t="array" ref="BA18">IFERROR(_xlfn.IFS(VALUE(MID(BA$5,6,2))&gt;$D$2,0,$AP18="Annual",1,AZ18=12,12,$AP18="Monthly V",AZ18*(1+$D$3),$AP18="Monthly F",12,$AP18="One-Time",0),AZ18*(1+$D$3))</f>
        <v>0</v>
      </c>
      <c r="BB18" s="148" t="s">
        <v>165</v>
      </c>
      <c r="BC18" s="38" t="s">
        <v>165</v>
      </c>
      <c r="BD18" s="36">
        <v>500</v>
      </c>
      <c r="BE18" s="21">
        <f t="shared" ref="BE18" si="66">BF18/12</f>
        <v>500</v>
      </c>
      <c r="BF18" s="39">
        <f t="shared" si="44"/>
        <v>6000</v>
      </c>
      <c r="BG18" s="39">
        <f t="shared" si="17"/>
        <v>6000</v>
      </c>
      <c r="BH18" s="39">
        <f t="shared" si="18"/>
        <v>6000</v>
      </c>
      <c r="BI18" s="39">
        <f t="shared" si="19"/>
        <v>6180</v>
      </c>
      <c r="BJ18" s="39">
        <f t="shared" ref="BJ18:BL18" si="67">BI18*1.03</f>
        <v>6365.4000000000005</v>
      </c>
      <c r="BK18" s="39">
        <f t="shared" si="67"/>
        <v>6556.362000000001</v>
      </c>
      <c r="BL18" s="39">
        <f t="shared" si="67"/>
        <v>6753.0528600000016</v>
      </c>
      <c r="BM18" s="39">
        <f t="shared" ref="BM18" si="68">IFERROR(AY18*$BD18,0)</f>
        <v>0</v>
      </c>
      <c r="BN18" s="39">
        <f t="shared" ref="BN18" si="69">IFERROR(AZ18*$BD18,0)</f>
        <v>0</v>
      </c>
      <c r="BO18" s="39">
        <f t="shared" ref="BO18" si="70">IFERROR(BA18*$BD18,0)</f>
        <v>0</v>
      </c>
      <c r="BP18" s="40"/>
      <c r="BQ18" s="40">
        <f t="shared" ref="BQ18" si="71">IF(VALUE(MID(BQ$5,6,1))&lt;=$D$2,((1+$BD$3)^1-1)*BG18,0)</f>
        <v>180.00000000000017</v>
      </c>
      <c r="BR18" s="40">
        <f t="shared" ref="BR18" si="72">IF(VALUE(MID(BR$5,6,1))&lt;=$D$2,((1+$BD$3)^2-1)*BH18,0)</f>
        <v>365.39999999999975</v>
      </c>
      <c r="BS18" s="40">
        <f t="shared" ref="BS18" si="73">IF(VALUE(MID(BS$5,6,1))&lt;=$D$2,((1+$BD$3)^3-1)*BI18,0)</f>
        <v>573.05286000000001</v>
      </c>
      <c r="BT18" s="40">
        <f t="shared" ref="BT18" si="74">IF(VALUE(MID(BT$5,6,1))&lt;=$D$2,((1+$BD$3)^4-1)*BJ18,0)</f>
        <v>798.9137791739995</v>
      </c>
      <c r="BU18" s="40">
        <f t="shared" ref="BU18" si="75">IF(VALUE(MID(BU$5,6,1))&lt;=$D$2,((1+$BD$3)^5-1)*BK18,0)</f>
        <v>1044.2584883256957</v>
      </c>
      <c r="BV18" s="40">
        <f t="shared" ref="BV18" si="76">IF(VALUE(MID(BV$5,6,1))&lt;=$D$2,((1+$BD$3)^6-1)*BL18,0)</f>
        <v>1310.4454160647313</v>
      </c>
      <c r="BW18" s="40">
        <f t="shared" ref="BW18" si="77">IF(VALUE(MID(BW$5,6,1))&lt;=$D$2,((1+$BD$3)^7-1)*BM18,0)</f>
        <v>0</v>
      </c>
      <c r="BX18" s="40">
        <f t="shared" ref="BX18" si="78">IF(VALUE(MID(BX$5,6,1))&lt;=$D$2,((1+$BD$3)^8-1)*BN18,0)</f>
        <v>0</v>
      </c>
      <c r="BY18" s="40">
        <f t="shared" ref="BY18" si="79">IF(VALUE(MID(BY$5,6,2))&lt;=$D$2,((1+$BD$3)^9-1)*BO18,0)</f>
        <v>0</v>
      </c>
      <c r="BZ18" s="40">
        <f t="shared" ref="BZ18" si="80">SUM(BP18:BY18)</f>
        <v>4272.0705435644259</v>
      </c>
      <c r="CA18" s="37">
        <f t="shared" ref="CA18" si="81">SUM(BZ18,BF18:BO18)</f>
        <v>48126.885403564433</v>
      </c>
      <c r="CC18" s="102"/>
      <c r="CD18" s="12"/>
      <c r="CE18" s="14"/>
      <c r="CF18" s="14"/>
      <c r="CG18" s="14"/>
      <c r="CH18" s="14"/>
      <c r="CI18" s="14"/>
      <c r="CJ18" s="14"/>
      <c r="CK18" s="14"/>
      <c r="CL18" s="14"/>
      <c r="CM18" s="14"/>
      <c r="CN18" s="24"/>
      <c r="CO18" s="63"/>
      <c r="CP18" s="53"/>
      <c r="CQ18" s="21"/>
      <c r="CR18" s="55"/>
      <c r="CS18" s="55"/>
      <c r="CT18" s="55"/>
      <c r="CU18" s="55"/>
      <c r="CV18" s="55"/>
      <c r="CW18" s="55"/>
      <c r="CX18" s="55"/>
      <c r="CY18" s="55"/>
      <c r="CZ18" s="55"/>
      <c r="DA18" s="55"/>
      <c r="DB18" s="56"/>
      <c r="DC18" s="56"/>
      <c r="DD18" s="56"/>
      <c r="DE18" s="56"/>
      <c r="DF18" s="56"/>
      <c r="DG18" s="56"/>
      <c r="DH18" s="56"/>
      <c r="DI18" s="56"/>
      <c r="DJ18" s="56"/>
      <c r="DK18" s="56"/>
      <c r="DL18" s="57"/>
      <c r="DM18" s="54"/>
      <c r="DO18" s="106"/>
    </row>
    <row r="19" spans="2:119" x14ac:dyDescent="0.25">
      <c r="B19" s="141"/>
      <c r="C19" s="24"/>
      <c r="D19" s="147">
        <f t="shared" si="0"/>
        <v>0</v>
      </c>
      <c r="E19" s="142">
        <f t="shared" si="57"/>
        <v>0</v>
      </c>
      <c r="F19" s="14" cm="1">
        <f t="array" ref="F19">IFERROR(_xlfn.IFS(VALUE(MID(F$5,6,1))&gt;$D$2,0,$B19="Annual",1,E19=12,12,$B19="Monthly V",E19*(1+$D$3),$B19="Monthly F",12,$B19="One-Time",0),E19*(1+$D$3))</f>
        <v>0</v>
      </c>
      <c r="G19" s="14" cm="1">
        <f t="array" ref="G19">IFERROR(_xlfn.IFS(VALUE(MID(G$5,6,1))&gt;$D$2,0,$B19="Annual",1,F19=12,12,$B19="Monthly V",F19*(1+$D$3),$B19="Monthly F",12,$B19="One-Time",0),F19*(1+$D$3))</f>
        <v>0</v>
      </c>
      <c r="H19" s="14" cm="1">
        <f t="array" ref="H19">IFERROR(_xlfn.IFS(VALUE(MID(H$5,6,1))&gt;$D$2,0,$B19="Annual",1,G19=12,12,$B19="Monthly V",G19*(1+$D$3),$B19="Monthly F",12,$B19="One-Time",0),G19*(1+$D$3))</f>
        <v>0</v>
      </c>
      <c r="I19" s="14" cm="1">
        <f t="array" ref="I19">IFERROR(_xlfn.IFS(VALUE(MID(I$5,6,1))&gt;$D$2,0,$B19="Annual",1,H19=12,12,$B19="Monthly V",H19*(1+$D$3),$B19="Monthly F",12,$B19="One-Time",0),H19*(1+$D$3))</f>
        <v>0</v>
      </c>
      <c r="J19" s="14" cm="1">
        <f t="array" ref="J19">IFERROR(_xlfn.IFS(VALUE(MID(J$5,6,1))&gt;$D$2,0,$B19="Annual",1,I19=12,12,$B19="Monthly V",I19*(1+$D$3),$B19="Monthly F",12,$B19="One-Time",0),I19*(1+$D$3))</f>
        <v>0</v>
      </c>
      <c r="K19" s="14" cm="1">
        <f t="array" ref="K19">IFERROR(_xlfn.IFS(VALUE(MID(K$5,6,1))&gt;$D$2,0,$B19="Annual",1,J19=12,12,$B19="Monthly V",J19*(1+$D$3),$B19="Monthly F",12,$B19="One-Time",0),J19*(1+$D$3))</f>
        <v>0</v>
      </c>
      <c r="L19" s="14" cm="1">
        <f t="array" ref="L19">IFERROR(_xlfn.IFS(VALUE(MID(L$5,6,1))&gt;$D$2,0,$B19="Annual",1,K19=12,12,$B19="Monthly V",K19*(1+$D$3),$B19="Monthly F",12,$B19="One-Time",0),K19*(1+$D$3))</f>
        <v>0</v>
      </c>
      <c r="M19" s="14" cm="1">
        <f t="array" ref="M19">IFERROR(_xlfn.IFS(VALUE(MID(M$5,6,1))&gt;$D$2,0,$B19="Annual",1,L19=12,12,$B19="Monthly V",L19*(1+$D$3),$B19="Monthly F",12,$B19="One-Time",0),L19*(1+$D$3))</f>
        <v>0</v>
      </c>
      <c r="N19" s="24" cm="1">
        <f t="array" ref="N19">IFERROR(_xlfn.IFS(VALUE(MID(N$5,6,2))&gt;$D$2,0,$B19="Annual",1,M19=12,12,$B19="Monthly V",M19*(1+$D$3),$B19="Monthly F",12,$B19="One-Time",0),M19*(1+$D$3))</f>
        <v>0</v>
      </c>
      <c r="O19" s="154"/>
      <c r="P19" s="13"/>
      <c r="Q19" s="20"/>
      <c r="R19" s="21">
        <f t="shared" si="14"/>
        <v>0</v>
      </c>
      <c r="S19" s="6">
        <f t="shared" si="2"/>
        <v>0</v>
      </c>
      <c r="T19" s="6">
        <f t="shared" si="2"/>
        <v>0</v>
      </c>
      <c r="U19" s="6">
        <f t="shared" si="2"/>
        <v>0</v>
      </c>
      <c r="V19" s="6">
        <f t="shared" si="2"/>
        <v>0</v>
      </c>
      <c r="W19" s="6">
        <f t="shared" si="3"/>
        <v>0</v>
      </c>
      <c r="X19" s="6">
        <f t="shared" si="3"/>
        <v>0</v>
      </c>
      <c r="Y19" s="6">
        <f t="shared" si="3"/>
        <v>0</v>
      </c>
      <c r="Z19" s="6">
        <f t="shared" si="3"/>
        <v>0</v>
      </c>
      <c r="AA19" s="6">
        <f t="shared" si="3"/>
        <v>0</v>
      </c>
      <c r="AB19" s="6">
        <f t="shared" si="3"/>
        <v>0</v>
      </c>
      <c r="AC19" s="7"/>
      <c r="AD19" s="152">
        <f t="shared" si="47"/>
        <v>0</v>
      </c>
      <c r="AE19" s="152">
        <f t="shared" si="48"/>
        <v>0</v>
      </c>
      <c r="AF19" s="152">
        <f t="shared" si="49"/>
        <v>0</v>
      </c>
      <c r="AG19" s="152">
        <f t="shared" si="50"/>
        <v>0</v>
      </c>
      <c r="AH19" s="152">
        <f t="shared" si="58"/>
        <v>0</v>
      </c>
      <c r="AI19" s="152">
        <f t="shared" si="59"/>
        <v>0</v>
      </c>
      <c r="AJ19" s="152">
        <f t="shared" si="52"/>
        <v>0</v>
      </c>
      <c r="AK19" s="152">
        <f t="shared" si="53"/>
        <v>0</v>
      </c>
      <c r="AL19" s="152">
        <f t="shared" si="54"/>
        <v>0</v>
      </c>
      <c r="AM19" s="9">
        <f t="shared" si="60"/>
        <v>0</v>
      </c>
      <c r="AN19" s="80">
        <f t="shared" si="61"/>
        <v>0</v>
      </c>
      <c r="AP19" s="102" t="s">
        <v>0</v>
      </c>
      <c r="AQ19" s="12">
        <v>1</v>
      </c>
      <c r="AR19" s="14">
        <f t="shared" si="15"/>
        <v>12</v>
      </c>
      <c r="AS19" s="14" cm="1">
        <f t="array" ref="AS19">IFERROR(_xlfn.IFS(VALUE(MID(AS$5,6,1))&gt;$D$2,0,$AP19="Annual",1,AR19=12,12,$AP19="Monthly V",AR19*(1+$BD$2),$AP19="Monthly F",12,$AP19="One-Time",0),AR19*(1+$BD$2))</f>
        <v>12</v>
      </c>
      <c r="AT19" s="14" cm="1">
        <f t="array" ref="AT19">IFERROR(_xlfn.IFS(VALUE(MID(AT$5,6,1))&gt;$D$2,0,$AP19="Annual",1,AS19=12,12,$AP19="Monthly V",AS19*(1+$BD$2),$AP19="Monthly F",12,$AP19="One-Time",0),AS19*(1+$BD$2))</f>
        <v>12</v>
      </c>
      <c r="AU19" s="14" cm="1">
        <f t="array" ref="AU19">IFERROR(_xlfn.IFS(VALUE(MID(AU$5,6,1))&gt;$D$2,0,$AP19="Annual",1,AT19=12,12,$AP19="Monthly V",AT19*(1+$BD$2),$AP19="Monthly F",12,$AP19="One-Time",0),AT19*(1+$BD$2))</f>
        <v>12</v>
      </c>
      <c r="AV19" s="14" cm="1">
        <f t="array" ref="AV19">IFERROR(_xlfn.IFS(VALUE(MID(AV$5,6,1))&gt;$D$2,0,$AP19="Annual",1,AU19=12,12,$AP19="Monthly V",AU19*(1+$BD$2),$AP19="Monthly F",12,$AP19="One-Time",0),AU19*(1+$BD$2))</f>
        <v>12</v>
      </c>
      <c r="AW19" s="14" cm="1">
        <f t="array" ref="AW19">IFERROR(_xlfn.IFS(VALUE(MID(AW$5,6,1))&gt;$D$2,0,$AP19="Annual",1,AV19=12,12,$AP19="Monthly V",AV19*(1+$BD$2),$AP19="Monthly F",12,$AP19="One-Time",0),AV19*(1+$BD$2))</f>
        <v>12</v>
      </c>
      <c r="AX19" s="14" cm="1">
        <f t="array" ref="AX19">IFERROR(_xlfn.IFS(VALUE(MID(AX$5,6,1))&gt;$D$2,0,$AP19="Annual",1,AW19=12,12,$AP19="Monthly V",AW19*(1+$BD$2),$AP19="Monthly F",12,$AP19="One-Time",0),AW19*(1+$BD$2))</f>
        <v>12</v>
      </c>
      <c r="AY19" s="14" cm="1">
        <f t="array" ref="AY19">IFERROR(_xlfn.IFS(VALUE(MID(AY$5,6,1))&gt;$D$2,0,$AP19="Annual",1,AX19=12,12,$AP19="Monthly V",AX19*(1+$D$3),$AP19="Monthly F",12,$AP19="One-Time",0),AX19*(1+$D$3))</f>
        <v>0</v>
      </c>
      <c r="AZ19" s="14" cm="1">
        <f t="array" ref="AZ19">IFERROR(_xlfn.IFS(VALUE(MID(AZ$5,6,1))&gt;$D$2,0,$AP19="Annual",1,AY19=12,12,$AP19="Monthly V",AY19*(1+$D$3),$AP19="Monthly F",12,$AP19="One-Time",0),AY19*(1+$D$3))</f>
        <v>0</v>
      </c>
      <c r="BA19" s="125" cm="1">
        <f t="array" ref="BA19">IFERROR(_xlfn.IFS(VALUE(MID(BA$5,6,2))&gt;$D$2,0,$AP19="Annual",1,AZ19=12,12,$AP19="Monthly V",AZ19*(1+$D$3),$AP19="Monthly F",12,$AP19="One-Time",0),AZ19*(1+$D$3))</f>
        <v>0</v>
      </c>
      <c r="BB19" s="148" t="s">
        <v>166</v>
      </c>
      <c r="BC19" s="38" t="s">
        <v>165</v>
      </c>
      <c r="BD19" s="36">
        <v>50</v>
      </c>
      <c r="BE19" s="21">
        <f t="shared" si="16"/>
        <v>50</v>
      </c>
      <c r="BF19" s="39">
        <f t="shared" si="44"/>
        <v>600</v>
      </c>
      <c r="BG19" s="39">
        <f t="shared" si="17"/>
        <v>600</v>
      </c>
      <c r="BH19" s="39">
        <f t="shared" si="18"/>
        <v>600</v>
      </c>
      <c r="BI19" s="39">
        <f t="shared" si="19"/>
        <v>618</v>
      </c>
      <c r="BJ19" s="39">
        <f t="shared" ref="BJ19:BL19" si="82">BI19*1.03</f>
        <v>636.54</v>
      </c>
      <c r="BK19" s="39">
        <f t="shared" si="82"/>
        <v>655.63620000000003</v>
      </c>
      <c r="BL19" s="39">
        <f t="shared" si="82"/>
        <v>675.30528600000002</v>
      </c>
      <c r="BM19" s="39">
        <f t="shared" si="23"/>
        <v>0</v>
      </c>
      <c r="BN19" s="39">
        <f t="shared" si="23"/>
        <v>0</v>
      </c>
      <c r="BO19" s="39">
        <f t="shared" si="23"/>
        <v>0</v>
      </c>
      <c r="BP19" s="40"/>
      <c r="BQ19" s="40">
        <f t="shared" si="24"/>
        <v>18.000000000000014</v>
      </c>
      <c r="BR19" s="40">
        <f t="shared" si="25"/>
        <v>36.539999999999971</v>
      </c>
      <c r="BS19" s="40">
        <f t="shared" si="26"/>
        <v>57.305286000000002</v>
      </c>
      <c r="BT19" s="40">
        <f t="shared" si="27"/>
        <v>79.891377917399936</v>
      </c>
      <c r="BU19" s="40">
        <f t="shared" si="28"/>
        <v>104.42584883256957</v>
      </c>
      <c r="BV19" s="40">
        <f t="shared" si="29"/>
        <v>131.0445416064731</v>
      </c>
      <c r="BW19" s="40">
        <f t="shared" si="30"/>
        <v>0</v>
      </c>
      <c r="BX19" s="40">
        <f t="shared" si="31"/>
        <v>0</v>
      </c>
      <c r="BY19" s="40">
        <f t="shared" si="32"/>
        <v>0</v>
      </c>
      <c r="BZ19" s="40">
        <f t="shared" si="33"/>
        <v>427.2070543564426</v>
      </c>
      <c r="CA19" s="37">
        <f t="shared" si="9"/>
        <v>4812.688540356442</v>
      </c>
      <c r="CC19" s="102"/>
      <c r="CD19" s="12"/>
      <c r="CE19" s="14">
        <f t="shared" si="10"/>
        <v>0</v>
      </c>
      <c r="CF19" s="14" cm="1">
        <f t="array" ref="CF19">IFERROR(_xlfn.IFS(VALUE(MID(CF$5,6,1))&gt;$D$2,0,$CC19="Annual",1,CE19=12,12,$CC19="Monthly V",CE19*(1+$D$3),$CC19="Monthly F",12,$CC19="One-Time",0),CE19*(1+$D$3))</f>
        <v>0</v>
      </c>
      <c r="CG19" s="14" cm="1">
        <f t="array" ref="CG19">IFERROR(_xlfn.IFS(VALUE(MID(CG$5,6,1))&gt;$D$2,0,$CC19="Annual",1,CF19=12,12,$CC19="Monthly V",CF19*(1+$D$3),$CC19="Monthly F",12,$CC19="One-Time",0),CF19*(1+$D$3))</f>
        <v>0</v>
      </c>
      <c r="CH19" s="14" cm="1">
        <f t="array" ref="CH19">IFERROR(_xlfn.IFS(VALUE(MID(CH$5,6,1))&gt;$D$2,0,$CC19="Annual",1,CG19=12,12,$CC19="Monthly V",CG19*(1+$D$3),$CC19="Monthly F",12,$CC19="One-Time",0),CG19*(1+$D$3))</f>
        <v>0</v>
      </c>
      <c r="CI19" s="14" cm="1">
        <f t="array" ref="CI19">IFERROR(_xlfn.IFS(VALUE(MID(CI$5,6,1))&gt;$D$2,0,$CC19="Annual",1,CH19=12,12,$CC19="Monthly V",CH19*(1+$D$3),$CC19="Monthly F",12,$CC19="One-Time",0),CH19*(1+$D$3))</f>
        <v>0</v>
      </c>
      <c r="CJ19" s="14" cm="1">
        <f t="array" ref="CJ19">IFERROR(_xlfn.IFS(VALUE(MID(CJ$5,6,1))&gt;$D$2,0,$CC19="Annual",1,CI19=12,12,$CC19="Monthly V",CI19*(1+$D$3),$CC19="Monthly F",12,$CC19="One-Time",0),CI19*(1+$D$3))</f>
        <v>0</v>
      </c>
      <c r="CK19" s="14" cm="1">
        <f t="array" ref="CK19">IFERROR(_xlfn.IFS(VALUE(MID(CK$5,6,1))&gt;$D$2,0,$CC19="Annual",1,CJ19=12,12,$CC19="Monthly V",CJ19*(1+$D$3),$CC19="Monthly F",12,$CC19="One-Time",0),CJ19*(1+$D$3))</f>
        <v>0</v>
      </c>
      <c r="CL19" s="14" cm="1">
        <f t="array" ref="CL19">IFERROR(_xlfn.IFS(VALUE(MID(CL$5,6,1))&gt;$D$2,0,$CC19="Annual",1,CK19=12,12,$CC19="Monthly V",CK19*(1+$D$3),$CC19="Monthly F",12,$CC19="One-Time",0),CK19*(1+$D$3))</f>
        <v>0</v>
      </c>
      <c r="CM19" s="14" cm="1">
        <f t="array" ref="CM19">IFERROR(_xlfn.IFS(VALUE(MID(CM$5,6,1))&gt;$D$2,0,$CC19="Annual",1,CL19=12,12,$CC19="Monthly V",CL19*(1+$D$3),$CC19="Monthly F",12,$CC19="One-Time",0),CL19*(1+$D$3))</f>
        <v>0</v>
      </c>
      <c r="CN19" s="24" cm="1">
        <f t="array" ref="CN19">IFERROR(_xlfn.IFS(VALUE(MID(CN$5,6,2))&gt;$D$2,0,$CC19="Annual",1,CM19=12,12,$CC19="Monthly V",CM19*(1+$D$3),$CC19="Monthly F",12,$CC19="One-Time",0),CM19*(1+$D$3))</f>
        <v>0</v>
      </c>
      <c r="CO19" s="63"/>
      <c r="CP19" s="53"/>
      <c r="CQ19" s="21">
        <f t="shared" si="11"/>
        <v>0</v>
      </c>
      <c r="CR19" s="55">
        <f t="shared" si="12"/>
        <v>0</v>
      </c>
      <c r="CS19" s="55">
        <f t="shared" si="12"/>
        <v>0</v>
      </c>
      <c r="CT19" s="55">
        <f t="shared" si="12"/>
        <v>0</v>
      </c>
      <c r="CU19" s="55">
        <f t="shared" si="12"/>
        <v>0</v>
      </c>
      <c r="CV19" s="55">
        <f t="shared" si="12"/>
        <v>0</v>
      </c>
      <c r="CW19" s="55">
        <f t="shared" si="12"/>
        <v>0</v>
      </c>
      <c r="CX19" s="55">
        <f t="shared" si="12"/>
        <v>0</v>
      </c>
      <c r="CY19" s="55">
        <f t="shared" si="12"/>
        <v>0</v>
      </c>
      <c r="CZ19" s="55">
        <f t="shared" si="12"/>
        <v>0</v>
      </c>
      <c r="DA19" s="55">
        <f t="shared" si="12"/>
        <v>0</v>
      </c>
      <c r="DB19" s="56"/>
      <c r="DC19" s="56">
        <f t="shared" si="34"/>
        <v>0</v>
      </c>
      <c r="DD19" s="56">
        <f t="shared" si="35"/>
        <v>0</v>
      </c>
      <c r="DE19" s="56">
        <f t="shared" si="36"/>
        <v>0</v>
      </c>
      <c r="DF19" s="56">
        <f t="shared" si="37"/>
        <v>0</v>
      </c>
      <c r="DG19" s="56">
        <f t="shared" si="38"/>
        <v>0</v>
      </c>
      <c r="DH19" s="56">
        <f t="shared" si="39"/>
        <v>0</v>
      </c>
      <c r="DI19" s="56">
        <f t="shared" si="40"/>
        <v>0</v>
      </c>
      <c r="DJ19" s="56">
        <f t="shared" si="41"/>
        <v>0</v>
      </c>
      <c r="DK19" s="56">
        <f t="shared" si="42"/>
        <v>0</v>
      </c>
      <c r="DL19" s="57">
        <f t="shared" si="43"/>
        <v>0</v>
      </c>
      <c r="DM19" s="54">
        <f t="shared" si="13"/>
        <v>0</v>
      </c>
      <c r="DO19" s="106"/>
    </row>
    <row r="20" spans="2:119" ht="15.75" thickBot="1" x14ac:dyDescent="0.3">
      <c r="B20" s="141"/>
      <c r="C20" s="24"/>
      <c r="D20" s="147">
        <f t="shared" ref="D20" si="83">IFERROR(AVERAGE(C20:C20),0)</f>
        <v>0</v>
      </c>
      <c r="E20" s="142">
        <f t="shared" ref="E20" si="84">IF($B20="Annual",1,IF($B20="Monthly F",12,IF($B20="Monthly V",D20*12,IF($B20="One-Time",1,D20*12))))</f>
        <v>0</v>
      </c>
      <c r="F20" s="14" cm="1">
        <f t="array" ref="F20">IFERROR(_xlfn.IFS(VALUE(MID(F$5,6,1))&gt;$D$2,0,$B20="Annual",1,E20=12,12,$B20="Monthly V",E20*(1+$D$3),$B20="Monthly F",12,$B20="One-Time",0),E20*(1+$D$3))</f>
        <v>0</v>
      </c>
      <c r="G20" s="14" cm="1">
        <f t="array" ref="G20">IFERROR(_xlfn.IFS(VALUE(MID(G$5,6,1))&gt;$D$2,0,$B20="Annual",1,F20=12,12,$B20="Monthly V",F20*(1+$D$3),$B20="Monthly F",12,$B20="One-Time",0),F20*(1+$D$3))</f>
        <v>0</v>
      </c>
      <c r="H20" s="14" cm="1">
        <f t="array" ref="H20">IFERROR(_xlfn.IFS(VALUE(MID(H$5,6,1))&gt;$D$2,0,$B20="Annual",1,G20=12,12,$B20="Monthly V",G20*(1+$D$3),$B20="Monthly F",12,$B20="One-Time",0),G20*(1+$D$3))</f>
        <v>0</v>
      </c>
      <c r="I20" s="14" cm="1">
        <f t="array" ref="I20">IFERROR(_xlfn.IFS(VALUE(MID(I$5,6,1))&gt;$D$2,0,$B20="Annual",1,H20=12,12,$B20="Monthly V",H20*(1+$D$3),$B20="Monthly F",12,$B20="One-Time",0),H20*(1+$D$3))</f>
        <v>0</v>
      </c>
      <c r="J20" s="14" cm="1">
        <f t="array" ref="J20">IFERROR(_xlfn.IFS(VALUE(MID(J$5,6,1))&gt;$D$2,0,$B20="Annual",1,I20=12,12,$B20="Monthly V",I20*(1+$D$3),$B20="Monthly F",12,$B20="One-Time",0),I20*(1+$D$3))</f>
        <v>0</v>
      </c>
      <c r="K20" s="14" cm="1">
        <f t="array" ref="K20">IFERROR(_xlfn.IFS(VALUE(MID(K$5,6,1))&gt;$D$2,0,$B20="Annual",1,J20=12,12,$B20="Monthly V",J20*(1+$D$3),$B20="Monthly F",12,$B20="One-Time",0),J20*(1+$D$3))</f>
        <v>0</v>
      </c>
      <c r="L20" s="14" cm="1">
        <f t="array" ref="L20">IFERROR(_xlfn.IFS(VALUE(MID(L$5,6,1))&gt;$D$2,0,$B20="Annual",1,K20=12,12,$B20="Monthly V",K20*(1+$D$3),$B20="Monthly F",12,$B20="One-Time",0),K20*(1+$D$3))</f>
        <v>0</v>
      </c>
      <c r="M20" s="14" cm="1">
        <f t="array" ref="M20">IFERROR(_xlfn.IFS(VALUE(MID(M$5,6,1))&gt;$D$2,0,$B20="Annual",1,L20=12,12,$B20="Monthly V",L20*(1+$D$3),$B20="Monthly F",12,$B20="One-Time",0),L20*(1+$D$3))</f>
        <v>0</v>
      </c>
      <c r="N20" s="24" cm="1">
        <f t="array" ref="N20">IFERROR(_xlfn.IFS(VALUE(MID(N$5,6,2))&gt;$D$2,0,$B20="Annual",1,M20=12,12,$B20="Monthly V",M20*(1+$D$3),$B20="Monthly F",12,$B20="One-Time",0),M20*(1+$D$3))</f>
        <v>0</v>
      </c>
      <c r="O20" s="154"/>
      <c r="P20" s="13"/>
      <c r="Q20" s="20"/>
      <c r="R20" s="21">
        <f t="shared" ref="R20" si="85">S20/12</f>
        <v>0</v>
      </c>
      <c r="S20" s="6">
        <f t="shared" ref="S20" si="86">IFERROR($Q20*E20,0)</f>
        <v>0</v>
      </c>
      <c r="T20" s="6">
        <f t="shared" ref="T20" si="87">IFERROR($Q20*F20,0)</f>
        <v>0</v>
      </c>
      <c r="U20" s="6">
        <f t="shared" ref="U20" si="88">IFERROR($Q20*G20,0)</f>
        <v>0</v>
      </c>
      <c r="V20" s="6">
        <f t="shared" ref="V20" si="89">IFERROR($Q20*H20,0)</f>
        <v>0</v>
      </c>
      <c r="W20" s="6">
        <f t="shared" ref="W20" si="90">IFERROR($Q20*I20,0)</f>
        <v>0</v>
      </c>
      <c r="X20" s="6">
        <f t="shared" ref="X20" si="91">IFERROR($Q20*J20,0)</f>
        <v>0</v>
      </c>
      <c r="Y20" s="6">
        <f t="shared" ref="Y20" si="92">IFERROR($Q20*K20,0)</f>
        <v>0</v>
      </c>
      <c r="Z20" s="6">
        <f t="shared" ref="Z20" si="93">IFERROR($Q20*L20,0)</f>
        <v>0</v>
      </c>
      <c r="AA20" s="6">
        <f t="shared" ref="AA20" si="94">IFERROR($Q20*M20,0)</f>
        <v>0</v>
      </c>
      <c r="AB20" s="6">
        <f t="shared" ref="AB20" si="95">IFERROR($Q20*N20,0)</f>
        <v>0</v>
      </c>
      <c r="AC20" s="7"/>
      <c r="AD20" s="152">
        <f t="shared" ref="AD20" si="96">IF(VALUE(MID(AD$5,6,1))&lt;=$D$2,((1+$Q$3)^1-1)*T20,0)</f>
        <v>0</v>
      </c>
      <c r="AE20" s="152">
        <f t="shared" ref="AE20" si="97">IF(VALUE(MID(AE$5,6,1))&lt;=$D$2,((1+$Q$3)^2-1)*U20,0)</f>
        <v>0</v>
      </c>
      <c r="AF20" s="152">
        <f t="shared" ref="AF20" si="98">IF(VALUE(MID(AF$5,6,1))&lt;=$D$2,((1+$Q$3)^3-1)*V20,0)</f>
        <v>0</v>
      </c>
      <c r="AG20" s="152">
        <f t="shared" ref="AG20" si="99">IF(VALUE(MID(AG$5,6,1))&lt;=$D$2,((1+$Q$3)^4-1)*W20,0)</f>
        <v>0</v>
      </c>
      <c r="AH20" s="152">
        <f t="shared" ref="AH20" si="100">IF(VALUE(MID(AH$5,6,1))&lt;=$D$2,((1+$Q$3)^5-1)*X20,0)</f>
        <v>0</v>
      </c>
      <c r="AI20" s="152">
        <f t="shared" ref="AI20" si="101">IF(VALUE(MID(AI$5,6,1))&lt;=$D$2,((1+$Q$3)^6-1)*Y20,0)</f>
        <v>0</v>
      </c>
      <c r="AJ20" s="152">
        <f t="shared" ref="AJ20" si="102">IF(VALUE(MID(AJ$5,6,1))&lt;=$D$2,((1+$Q$3)^7-1)*Z20,0)</f>
        <v>0</v>
      </c>
      <c r="AK20" s="152">
        <f t="shared" ref="AK20" si="103">IF(VALUE(MID(AK$5,6,1))&lt;=$D$2,((1+$Q$3)^8-1)*AA20,0)</f>
        <v>0</v>
      </c>
      <c r="AL20" s="152">
        <f t="shared" ref="AL20" si="104">IF(VALUE(MID(AL$5,6,2))&lt;=$D$2,((1+$Q$3)^9-1)*AB20,0)</f>
        <v>0</v>
      </c>
      <c r="AM20" s="9">
        <f t="shared" ref="AM20" si="105">SUM(AC20:AL20)</f>
        <v>0</v>
      </c>
      <c r="AN20" s="80">
        <f t="shared" ref="AN20" si="106">SUM(AM20,S20:AB20)</f>
        <v>0</v>
      </c>
      <c r="AP20" s="102" t="s">
        <v>1</v>
      </c>
      <c r="AQ20" s="12">
        <v>5000</v>
      </c>
      <c r="AR20" s="14">
        <f t="shared" si="15"/>
        <v>60000</v>
      </c>
      <c r="AS20" s="14" cm="1">
        <f t="array" ref="AS20">IFERROR(_xlfn.IFS(VALUE(MID(AS$5,6,1))&gt;$D$2,0,$AP20="Annual",1,AR20=12,12,$AP20="Monthly V",AR20*(1+$BD$2),$AP20="Monthly F",12,$AP20="One-Time",0),AR20*(1+$BD$2))</f>
        <v>60000</v>
      </c>
      <c r="AT20" s="14" cm="1">
        <f t="array" ref="AT20">IFERROR(_xlfn.IFS(VALUE(MID(AT$5,6,1))&gt;$D$2,0,$AP20="Annual",1,AS20=12,12,$AP20="Monthly V",AS20*(1+$BD$2),$AP20="Monthly F",12,$AP20="One-Time",0),AS20*(1+$BD$2))</f>
        <v>60000</v>
      </c>
      <c r="AU20" s="14" cm="1">
        <f t="array" ref="AU20">IFERROR(_xlfn.IFS(VALUE(MID(AU$5,6,1))&gt;$D$2,0,$AP20="Annual",1,AT20=12,12,$AP20="Monthly V",AT20*(1+$BD$2),$AP20="Monthly F",12,$AP20="One-Time",0),AT20*(1+$BD$2))</f>
        <v>60000</v>
      </c>
      <c r="AV20" s="14" cm="1">
        <f t="array" ref="AV20">IFERROR(_xlfn.IFS(VALUE(MID(AV$5,6,1))&gt;$D$2,0,$AP20="Annual",1,AU20=12,12,$AP20="Monthly V",AU20*(1+$BD$2),$AP20="Monthly F",12,$AP20="One-Time",0),AU20*(1+$BD$2))</f>
        <v>60000</v>
      </c>
      <c r="AW20" s="14" cm="1">
        <f t="array" ref="AW20">IFERROR(_xlfn.IFS(VALUE(MID(AW$5,6,1))&gt;$D$2,0,$AP20="Annual",1,AV20=12,12,$AP20="Monthly V",AV20*(1+$BD$2),$AP20="Monthly F",12,$AP20="One-Time",0),AV20*(1+$BD$2))</f>
        <v>60000</v>
      </c>
      <c r="AX20" s="14" cm="1">
        <f t="array" ref="AX20">IFERROR(_xlfn.IFS(VALUE(MID(AX$5,6,1))&gt;$D$2,0,$AP20="Annual",1,AW20=12,12,$AP20="Monthly V",AW20*(1+$BD$2),$AP20="Monthly F",12,$AP20="One-Time",0),AW20*(1+$BD$2))</f>
        <v>60000</v>
      </c>
      <c r="AY20" s="14" cm="1">
        <f t="array" ref="AY20">IFERROR(_xlfn.IFS(VALUE(MID(AY$5,6,1))&gt;$D$2,0,$AP20="Annual",1,AX20=12,12,$AP20="Monthly V",AX20*(1+$D$3),$AP20="Monthly F",12,$AP20="One-Time",0),AX20*(1+$D$3))</f>
        <v>0</v>
      </c>
      <c r="AZ20" s="14" cm="1">
        <f t="array" ref="AZ20">IFERROR(_xlfn.IFS(VALUE(MID(AZ$5,6,1))&gt;$D$2,0,$AP20="Annual",1,AY20=12,12,$AP20="Monthly V",AY20*(1+$D$3),$AP20="Monthly F",12,$AP20="One-Time",0),AY20*(1+$D$3))</f>
        <v>0</v>
      </c>
      <c r="BA20" s="125" cm="1">
        <f t="array" ref="BA20">IFERROR(_xlfn.IFS(VALUE(MID(BA$5,6,2))&gt;$D$2,0,$AP20="Annual",1,AZ20=12,12,$AP20="Monthly V",AZ20*(1+$D$3),$AP20="Monthly F",12,$AP20="One-Time",0),AZ20*(1+$D$3))</f>
        <v>0</v>
      </c>
      <c r="BB20" s="148" t="s">
        <v>167</v>
      </c>
      <c r="BC20" s="38" t="s">
        <v>220</v>
      </c>
      <c r="BD20" s="36">
        <v>2.1000000000000001E-2</v>
      </c>
      <c r="BE20" s="21">
        <f t="shared" ref="BE20" si="107">BF20/12</f>
        <v>105</v>
      </c>
      <c r="BF20" s="39">
        <f t="shared" si="44"/>
        <v>1260</v>
      </c>
      <c r="BG20" s="39">
        <f t="shared" si="17"/>
        <v>1260</v>
      </c>
      <c r="BH20" s="39">
        <f t="shared" si="18"/>
        <v>1260</v>
      </c>
      <c r="BI20" s="39">
        <f t="shared" si="19"/>
        <v>1297.8</v>
      </c>
      <c r="BJ20" s="39">
        <f t="shared" ref="BJ20:BL20" si="108">BI20*1.03</f>
        <v>1336.7339999999999</v>
      </c>
      <c r="BK20" s="39">
        <f t="shared" si="108"/>
        <v>1376.83602</v>
      </c>
      <c r="BL20" s="39">
        <f t="shared" si="108"/>
        <v>1418.1411006000001</v>
      </c>
      <c r="BM20" s="39">
        <f t="shared" ref="BM20" si="109">IFERROR(AY20*$BD20,0)</f>
        <v>0</v>
      </c>
      <c r="BN20" s="39">
        <f t="shared" ref="BN20" si="110">IFERROR(AZ20*$BD20,0)</f>
        <v>0</v>
      </c>
      <c r="BO20" s="39">
        <f t="shared" ref="BO20" si="111">IFERROR(BA20*$BD20,0)</f>
        <v>0</v>
      </c>
      <c r="BP20" s="40"/>
      <c r="BQ20" s="40">
        <f t="shared" ref="BQ20" si="112">IF(VALUE(MID(BQ$5,6,1))&lt;=$D$2,((1+$BD$3)^1-1)*BG20,0)</f>
        <v>37.800000000000033</v>
      </c>
      <c r="BR20" s="40">
        <f t="shared" ref="BR20" si="113">IF(VALUE(MID(BR$5,6,1))&lt;=$D$2,((1+$BD$3)^2-1)*BH20,0)</f>
        <v>76.733999999999938</v>
      </c>
      <c r="BS20" s="40">
        <f t="shared" ref="BS20" si="114">IF(VALUE(MID(BS$5,6,1))&lt;=$D$2,((1+$BD$3)^3-1)*BI20,0)</f>
        <v>120.3411006</v>
      </c>
      <c r="BT20" s="40">
        <f t="shared" ref="BT20" si="115">IF(VALUE(MID(BT$5,6,1))&lt;=$D$2,((1+$BD$3)^4-1)*BJ20,0)</f>
        <v>167.77189362653988</v>
      </c>
      <c r="BU20" s="40">
        <f t="shared" ref="BU20" si="116">IF(VALUE(MID(BU$5,6,1))&lt;=$D$2,((1+$BD$3)^5-1)*BK20,0)</f>
        <v>219.29428254839607</v>
      </c>
      <c r="BV20" s="40">
        <f t="shared" ref="BV20" si="117">IF(VALUE(MID(BV$5,6,1))&lt;=$D$2,((1+$BD$3)^6-1)*BL20,0)</f>
        <v>275.19353737359353</v>
      </c>
      <c r="BW20" s="40">
        <f t="shared" ref="BW20" si="118">IF(VALUE(MID(BW$5,6,1))&lt;=$D$2,((1+$BD$3)^7-1)*BM20,0)</f>
        <v>0</v>
      </c>
      <c r="BX20" s="40">
        <f t="shared" ref="BX20" si="119">IF(VALUE(MID(BX$5,6,1))&lt;=$D$2,((1+$BD$3)^8-1)*BN20,0)</f>
        <v>0</v>
      </c>
      <c r="BY20" s="40">
        <f t="shared" ref="BY20" si="120">IF(VALUE(MID(BY$5,6,2))&lt;=$D$2,((1+$BD$3)^9-1)*BO20,0)</f>
        <v>0</v>
      </c>
      <c r="BZ20" s="40">
        <f t="shared" ref="BZ20" si="121">SUM(BP20:BY20)</f>
        <v>897.13481414852936</v>
      </c>
      <c r="CA20" s="37">
        <f t="shared" ref="CA20" si="122">SUM(BZ20,BF20:BO20)</f>
        <v>10106.645934748531</v>
      </c>
      <c r="CC20" s="102"/>
      <c r="CD20" s="12"/>
      <c r="CE20" s="14"/>
      <c r="CF20" s="14"/>
      <c r="CG20" s="14"/>
      <c r="CH20" s="14"/>
      <c r="CI20" s="14"/>
      <c r="CJ20" s="14"/>
      <c r="CK20" s="14"/>
      <c r="CL20" s="14"/>
      <c r="CM20" s="14"/>
      <c r="CN20" s="24"/>
      <c r="CO20" s="63"/>
      <c r="CP20" s="53"/>
      <c r="CQ20" s="21"/>
      <c r="CR20" s="55"/>
      <c r="CS20" s="55"/>
      <c r="CT20" s="55"/>
      <c r="CU20" s="55"/>
      <c r="CV20" s="55"/>
      <c r="CW20" s="55"/>
      <c r="CX20" s="55"/>
      <c r="CY20" s="55"/>
      <c r="CZ20" s="55"/>
      <c r="DA20" s="55"/>
      <c r="DB20" s="56"/>
      <c r="DC20" s="56"/>
      <c r="DD20" s="56"/>
      <c r="DE20" s="56"/>
      <c r="DF20" s="56"/>
      <c r="DG20" s="56"/>
      <c r="DH20" s="56"/>
      <c r="DI20" s="56"/>
      <c r="DJ20" s="56"/>
      <c r="DK20" s="56"/>
      <c r="DL20" s="57"/>
      <c r="DM20" s="54"/>
      <c r="DO20" s="106"/>
    </row>
    <row r="21" spans="2:119" ht="15.75" thickBot="1" x14ac:dyDescent="0.3">
      <c r="B21" s="213" t="s">
        <v>84</v>
      </c>
      <c r="C21" s="214"/>
      <c r="D21" s="214"/>
      <c r="E21" s="214"/>
      <c r="F21" s="214"/>
      <c r="G21" s="214"/>
      <c r="H21" s="214"/>
      <c r="I21" s="214"/>
      <c r="J21" s="214"/>
      <c r="K21" s="214"/>
      <c r="L21" s="214"/>
      <c r="M21" s="214"/>
      <c r="N21" s="214"/>
      <c r="O21" s="214"/>
      <c r="P21" s="214"/>
      <c r="Q21" s="214"/>
      <c r="R21" s="214"/>
      <c r="S21" s="214"/>
      <c r="T21" s="214"/>
      <c r="U21" s="214"/>
      <c r="V21" s="214"/>
      <c r="W21" s="214"/>
      <c r="X21" s="214"/>
      <c r="Y21" s="214"/>
      <c r="Z21" s="214"/>
      <c r="AA21" s="214"/>
      <c r="AB21" s="214"/>
      <c r="AC21" s="214"/>
      <c r="AD21" s="214"/>
      <c r="AE21" s="214"/>
      <c r="AF21" s="214"/>
      <c r="AG21" s="214"/>
      <c r="AH21" s="214"/>
      <c r="AI21" s="214"/>
      <c r="AJ21" s="214"/>
      <c r="AK21" s="214"/>
      <c r="AL21" s="214"/>
      <c r="AM21" s="214"/>
      <c r="AN21" s="215"/>
      <c r="AP21" s="102" t="s">
        <v>1</v>
      </c>
      <c r="AQ21" s="12">
        <v>5000</v>
      </c>
      <c r="AR21" s="14">
        <f t="shared" si="15"/>
        <v>60000</v>
      </c>
      <c r="AS21" s="14" cm="1">
        <f t="array" ref="AS21">IFERROR(_xlfn.IFS(VALUE(MID(AS$5,6,1))&gt;$D$2,0,$AP21="Annual",1,AR21=12,12,$AP21="Monthly V",AR21*(1+$BD$2),$AP21="Monthly F",12,$AP21="One-Time",0),AR21*(1+$BD$2))</f>
        <v>60000</v>
      </c>
      <c r="AT21" s="14" cm="1">
        <f t="array" ref="AT21">IFERROR(_xlfn.IFS(VALUE(MID(AT$5,6,1))&gt;$D$2,0,$AP21="Annual",1,AS21=12,12,$AP21="Monthly V",AS21*(1+$BD$2),$AP21="Monthly F",12,$AP21="One-Time",0),AS21*(1+$BD$2))</f>
        <v>60000</v>
      </c>
      <c r="AU21" s="14" cm="1">
        <f t="array" ref="AU21">IFERROR(_xlfn.IFS(VALUE(MID(AU$5,6,1))&gt;$D$2,0,$AP21="Annual",1,AT21=12,12,$AP21="Monthly V",AT21*(1+$BD$2),$AP21="Monthly F",12,$AP21="One-Time",0),AT21*(1+$BD$2))</f>
        <v>60000</v>
      </c>
      <c r="AV21" s="14" cm="1">
        <f t="array" ref="AV21">IFERROR(_xlfn.IFS(VALUE(MID(AV$5,6,1))&gt;$D$2,0,$AP21="Annual",1,AU21=12,12,$AP21="Monthly V",AU21*(1+$BD$2),$AP21="Monthly F",12,$AP21="One-Time",0),AU21*(1+$BD$2))</f>
        <v>60000</v>
      </c>
      <c r="AW21" s="14" cm="1">
        <f t="array" ref="AW21">IFERROR(_xlfn.IFS(VALUE(MID(AW$5,6,1))&gt;$D$2,0,$AP21="Annual",1,AV21=12,12,$AP21="Monthly V",AV21*(1+$BD$2),$AP21="Monthly F",12,$AP21="One-Time",0),AV21*(1+$BD$2))</f>
        <v>60000</v>
      </c>
      <c r="AX21" s="14" cm="1">
        <f t="array" ref="AX21">IFERROR(_xlfn.IFS(VALUE(MID(AX$5,6,1))&gt;$D$2,0,$AP21="Annual",1,AW21=12,12,$AP21="Monthly V",AW21*(1+$BD$2),$AP21="Monthly F",12,$AP21="One-Time",0),AW21*(1+$BD$2))</f>
        <v>60000</v>
      </c>
      <c r="AY21" s="14" cm="1">
        <f t="array" ref="AY21">IFERROR(_xlfn.IFS(VALUE(MID(AY$5,6,1))&gt;$D$2,0,$AP21="Annual",1,AX21=12,12,$AP21="Monthly V",AX21*(1+$D$3),$AP21="Monthly F",12,$AP21="One-Time",0),AX21*(1+$D$3))</f>
        <v>0</v>
      </c>
      <c r="AZ21" s="14" cm="1">
        <f t="array" ref="AZ21">IFERROR(_xlfn.IFS(VALUE(MID(AZ$5,6,1))&gt;$D$2,0,$AP21="Annual",1,AY21=12,12,$AP21="Monthly V",AY21*(1+$D$3),$AP21="Monthly F",12,$AP21="One-Time",0),AY21*(1+$D$3))</f>
        <v>0</v>
      </c>
      <c r="BA21" s="125" cm="1">
        <f t="array" ref="BA21">IFERROR(_xlfn.IFS(VALUE(MID(BA$5,6,2))&gt;$D$2,0,$AP21="Annual",1,AZ21=12,12,$AP21="Monthly V",AZ21*(1+$D$3),$AP21="Monthly F",12,$AP21="One-Time",0),AZ21*(1+$D$3))</f>
        <v>0</v>
      </c>
      <c r="BB21" s="148" t="s">
        <v>168</v>
      </c>
      <c r="BC21" s="38" t="s">
        <v>221</v>
      </c>
      <c r="BD21" s="36">
        <v>0.33379999999999999</v>
      </c>
      <c r="BE21" s="21">
        <f t="shared" si="16"/>
        <v>1669</v>
      </c>
      <c r="BF21" s="39">
        <f t="shared" si="44"/>
        <v>20028</v>
      </c>
      <c r="BG21" s="39">
        <f t="shared" si="17"/>
        <v>20028</v>
      </c>
      <c r="BH21" s="39">
        <f t="shared" si="18"/>
        <v>20028</v>
      </c>
      <c r="BI21" s="39">
        <f t="shared" si="19"/>
        <v>20628.84</v>
      </c>
      <c r="BJ21" s="39">
        <f t="shared" ref="BJ21:BL21" si="123">BI21*1.03</f>
        <v>21247.7052</v>
      </c>
      <c r="BK21" s="39">
        <f t="shared" si="123"/>
        <v>21885.136356000003</v>
      </c>
      <c r="BL21" s="39">
        <f t="shared" si="123"/>
        <v>22541.690446680004</v>
      </c>
      <c r="BM21" s="39">
        <f t="shared" si="23"/>
        <v>0</v>
      </c>
      <c r="BN21" s="39">
        <f t="shared" si="23"/>
        <v>0</v>
      </c>
      <c r="BO21" s="39">
        <f t="shared" si="23"/>
        <v>0</v>
      </c>
      <c r="BP21" s="40"/>
      <c r="BQ21" s="40">
        <f t="shared" si="24"/>
        <v>600.84000000000049</v>
      </c>
      <c r="BR21" s="40">
        <f t="shared" si="25"/>
        <v>1219.7051999999992</v>
      </c>
      <c r="BS21" s="40">
        <f t="shared" si="26"/>
        <v>1912.85044668</v>
      </c>
      <c r="BT21" s="40">
        <f t="shared" si="27"/>
        <v>2666.7741948828102</v>
      </c>
      <c r="BU21" s="40">
        <f t="shared" si="28"/>
        <v>3485.7348340311723</v>
      </c>
      <c r="BV21" s="40">
        <f t="shared" si="29"/>
        <v>4374.2667988240728</v>
      </c>
      <c r="BW21" s="40">
        <f t="shared" si="30"/>
        <v>0</v>
      </c>
      <c r="BX21" s="40">
        <f t="shared" si="31"/>
        <v>0</v>
      </c>
      <c r="BY21" s="40">
        <f t="shared" si="32"/>
        <v>0</v>
      </c>
      <c r="BZ21" s="40">
        <f t="shared" si="33"/>
        <v>14260.171474418054</v>
      </c>
      <c r="CA21" s="37">
        <f t="shared" si="9"/>
        <v>160647.54347709805</v>
      </c>
      <c r="CC21" s="102"/>
      <c r="CD21" s="12"/>
      <c r="CE21" s="14">
        <f t="shared" si="10"/>
        <v>0</v>
      </c>
      <c r="CF21" s="14" cm="1">
        <f t="array" ref="CF21">IFERROR(_xlfn.IFS(VALUE(MID(CF$5,6,1))&gt;$D$2,0,$CC21="Annual",1,CE21=12,12,$CC21="Monthly V",CE21*(1+$D$3),$CC21="Monthly F",12,$CC21="One-Time",0),CE21*(1+$D$3))</f>
        <v>0</v>
      </c>
      <c r="CG21" s="14" cm="1">
        <f t="array" ref="CG21">IFERROR(_xlfn.IFS(VALUE(MID(CG$5,6,1))&gt;$D$2,0,$CC21="Annual",1,CF21=12,12,$CC21="Monthly V",CF21*(1+$D$3),$CC21="Monthly F",12,$CC21="One-Time",0),CF21*(1+$D$3))</f>
        <v>0</v>
      </c>
      <c r="CH21" s="14" cm="1">
        <f t="array" ref="CH21">IFERROR(_xlfn.IFS(VALUE(MID(CH$5,6,1))&gt;$D$2,0,$CC21="Annual",1,CG21=12,12,$CC21="Monthly V",CG21*(1+$D$3),$CC21="Monthly F",12,$CC21="One-Time",0),CG21*(1+$D$3))</f>
        <v>0</v>
      </c>
      <c r="CI21" s="14" cm="1">
        <f t="array" ref="CI21">IFERROR(_xlfn.IFS(VALUE(MID(CI$5,6,1))&gt;$D$2,0,$CC21="Annual",1,CH21=12,12,$CC21="Monthly V",CH21*(1+$D$3),$CC21="Monthly F",12,$CC21="One-Time",0),CH21*(1+$D$3))</f>
        <v>0</v>
      </c>
      <c r="CJ21" s="14" cm="1">
        <f t="array" ref="CJ21">IFERROR(_xlfn.IFS(VALUE(MID(CJ$5,6,1))&gt;$D$2,0,$CC21="Annual",1,CI21=12,12,$CC21="Monthly V",CI21*(1+$D$3),$CC21="Monthly F",12,$CC21="One-Time",0),CI21*(1+$D$3))</f>
        <v>0</v>
      </c>
      <c r="CK21" s="14" cm="1">
        <f t="array" ref="CK21">IFERROR(_xlfn.IFS(VALUE(MID(CK$5,6,1))&gt;$D$2,0,$CC21="Annual",1,CJ21=12,12,$CC21="Monthly V",CJ21*(1+$D$3),$CC21="Monthly F",12,$CC21="One-Time",0),CJ21*(1+$D$3))</f>
        <v>0</v>
      </c>
      <c r="CL21" s="14" cm="1">
        <f t="array" ref="CL21">IFERROR(_xlfn.IFS(VALUE(MID(CL$5,6,1))&gt;$D$2,0,$CC21="Annual",1,CK21=12,12,$CC21="Monthly V",CK21*(1+$D$3),$CC21="Monthly F",12,$CC21="One-Time",0),CK21*(1+$D$3))</f>
        <v>0</v>
      </c>
      <c r="CM21" s="14" cm="1">
        <f t="array" ref="CM21">IFERROR(_xlfn.IFS(VALUE(MID(CM$5,6,1))&gt;$D$2,0,$CC21="Annual",1,CL21=12,12,$CC21="Monthly V",CL21*(1+$D$3),$CC21="Monthly F",12,$CC21="One-Time",0),CL21*(1+$D$3))</f>
        <v>0</v>
      </c>
      <c r="CN21" s="24" cm="1">
        <f t="array" ref="CN21">IFERROR(_xlfn.IFS(VALUE(MID(CN$5,6,2))&gt;$D$2,0,$CC21="Annual",1,CM21=12,12,$CC21="Monthly V",CM21*(1+$D$3),$CC21="Monthly F",12,$CC21="One-Time",0),CM21*(1+$D$3))</f>
        <v>0</v>
      </c>
      <c r="CO21" s="63"/>
      <c r="CP21" s="53"/>
      <c r="CQ21" s="21">
        <f t="shared" si="11"/>
        <v>0</v>
      </c>
      <c r="CR21" s="55">
        <f t="shared" si="12"/>
        <v>0</v>
      </c>
      <c r="CS21" s="55">
        <f t="shared" si="12"/>
        <v>0</v>
      </c>
      <c r="CT21" s="55">
        <f t="shared" si="12"/>
        <v>0</v>
      </c>
      <c r="CU21" s="55">
        <f t="shared" si="12"/>
        <v>0</v>
      </c>
      <c r="CV21" s="55">
        <f t="shared" si="12"/>
        <v>0</v>
      </c>
      <c r="CW21" s="55">
        <f t="shared" si="12"/>
        <v>0</v>
      </c>
      <c r="CX21" s="55">
        <f t="shared" si="12"/>
        <v>0</v>
      </c>
      <c r="CY21" s="55">
        <f t="shared" si="12"/>
        <v>0</v>
      </c>
      <c r="CZ21" s="55">
        <f t="shared" si="12"/>
        <v>0</v>
      </c>
      <c r="DA21" s="55">
        <f t="shared" si="12"/>
        <v>0</v>
      </c>
      <c r="DB21" s="56"/>
      <c r="DC21" s="56">
        <f t="shared" si="34"/>
        <v>0</v>
      </c>
      <c r="DD21" s="56">
        <f t="shared" si="35"/>
        <v>0</v>
      </c>
      <c r="DE21" s="56">
        <f t="shared" si="36"/>
        <v>0</v>
      </c>
      <c r="DF21" s="56">
        <f t="shared" si="37"/>
        <v>0</v>
      </c>
      <c r="DG21" s="56">
        <f t="shared" si="38"/>
        <v>0</v>
      </c>
      <c r="DH21" s="56">
        <f t="shared" si="39"/>
        <v>0</v>
      </c>
      <c r="DI21" s="56">
        <f t="shared" si="40"/>
        <v>0</v>
      </c>
      <c r="DJ21" s="56">
        <f t="shared" si="41"/>
        <v>0</v>
      </c>
      <c r="DK21" s="56">
        <f t="shared" si="42"/>
        <v>0</v>
      </c>
      <c r="DL21" s="57">
        <f t="shared" si="43"/>
        <v>0</v>
      </c>
      <c r="DM21" s="54">
        <f t="shared" si="13"/>
        <v>0</v>
      </c>
      <c r="DO21" s="106"/>
    </row>
    <row r="22" spans="2:119" x14ac:dyDescent="0.25">
      <c r="B22" s="141"/>
      <c r="C22" s="24"/>
      <c r="D22" s="147"/>
      <c r="E22" s="142"/>
      <c r="F22" s="14"/>
      <c r="G22" s="14"/>
      <c r="H22" s="14"/>
      <c r="I22" s="14"/>
      <c r="J22" s="14"/>
      <c r="K22" s="14"/>
      <c r="L22" s="14"/>
      <c r="M22" s="14"/>
      <c r="N22" s="24"/>
      <c r="O22" s="156" t="s">
        <v>68</v>
      </c>
      <c r="P22" s="13"/>
      <c r="Q22" s="20"/>
      <c r="R22" s="21">
        <f t="shared" ref="R22:R53" si="124">S22/12</f>
        <v>0</v>
      </c>
      <c r="S22" s="6">
        <f t="shared" ref="S22:AB53" si="125">IFERROR($Q22*E22,0)</f>
        <v>0</v>
      </c>
      <c r="T22" s="6">
        <f t="shared" si="125"/>
        <v>0</v>
      </c>
      <c r="U22" s="6">
        <f t="shared" si="125"/>
        <v>0</v>
      </c>
      <c r="V22" s="6">
        <f t="shared" si="125"/>
        <v>0</v>
      </c>
      <c r="W22" s="6">
        <f t="shared" si="125"/>
        <v>0</v>
      </c>
      <c r="X22" s="6">
        <f t="shared" si="125"/>
        <v>0</v>
      </c>
      <c r="Y22" s="6">
        <f t="shared" si="125"/>
        <v>0</v>
      </c>
      <c r="Z22" s="6">
        <f t="shared" si="125"/>
        <v>0</v>
      </c>
      <c r="AA22" s="6">
        <f t="shared" si="125"/>
        <v>0</v>
      </c>
      <c r="AB22" s="6">
        <f t="shared" si="125"/>
        <v>0</v>
      </c>
      <c r="AC22" s="7"/>
      <c r="AD22" s="152">
        <f t="shared" ref="AD22:AD53" si="126">IF(VALUE(MID(AD$5,6,1))&lt;=$D$2,((1+$Q$3)^1-1)*T22,0)</f>
        <v>0</v>
      </c>
      <c r="AE22" s="152">
        <f t="shared" ref="AE22:AE53" si="127">IF(VALUE(MID(AE$5,6,1))&lt;=$D$2,((1+$Q$3)^2-1)*U22,0)</f>
        <v>0</v>
      </c>
      <c r="AF22" s="152">
        <f t="shared" ref="AF22:AF53" si="128">IF(VALUE(MID(AF$5,6,1))&lt;=$D$2,((1+$Q$3)^3-1)*V22,0)</f>
        <v>0</v>
      </c>
      <c r="AG22" s="152">
        <f t="shared" ref="AG22:AG53" si="129">IF(VALUE(MID(AG$5,6,1))&lt;=$D$2,((1+$Q$3)^4-1)*W22,0)</f>
        <v>0</v>
      </c>
      <c r="AH22" s="152">
        <f t="shared" ref="AH22:AH53" si="130">IF(VALUE(MID(AH$5,6,1))&lt;=$D$2,((1+$Q$3)^5-1)*X22,0)</f>
        <v>0</v>
      </c>
      <c r="AI22" s="152">
        <f t="shared" ref="AI22:AI53" si="131">IF(VALUE(MID(AI$5,6,1))&lt;=$D$2,((1+$Q$3)^6-1)*Y22,0)</f>
        <v>0</v>
      </c>
      <c r="AJ22" s="152">
        <f t="shared" ref="AJ22:AJ53" si="132">IF(VALUE(MID(AJ$5,6,1))&lt;=$D$2,((1+$Q$3)^7-1)*Z22,0)</f>
        <v>0</v>
      </c>
      <c r="AK22" s="152">
        <f t="shared" ref="AK22:AK53" si="133">IF(VALUE(MID(AK$5,6,1))&lt;=$D$2,((1+$Q$3)^8-1)*AA22,0)</f>
        <v>0</v>
      </c>
      <c r="AL22" s="152">
        <f t="shared" ref="AL22:AL53" si="134">IF(VALUE(MID(AL$5,6,2))&lt;=$D$2,((1+$Q$3)^9-1)*AB22,0)</f>
        <v>0</v>
      </c>
      <c r="AM22" s="9">
        <f t="shared" ref="AM22:AM53" si="135">SUM(AC22:AL22)</f>
        <v>0</v>
      </c>
      <c r="AN22" s="80">
        <f t="shared" ref="AN22:AN53" si="136">SUM(AM22,S22:AB22)</f>
        <v>0</v>
      </c>
      <c r="AP22" s="102" t="s">
        <v>0</v>
      </c>
      <c r="AQ22" s="12">
        <v>1</v>
      </c>
      <c r="AR22" s="14">
        <f t="shared" si="15"/>
        <v>12</v>
      </c>
      <c r="AS22" s="14" cm="1">
        <f t="array" ref="AS22">IFERROR(_xlfn.IFS(VALUE(MID(AS$5,6,1))&gt;$D$2,0,$AP22="Annual",1,AR22=12,12,$AP22="Monthly V",AR22*(1+$BD$2),$AP22="Monthly F",12,$AP22="One-Time",0),AR22*(1+$BD$2))</f>
        <v>12</v>
      </c>
      <c r="AT22" s="14" cm="1">
        <f t="array" ref="AT22">IFERROR(_xlfn.IFS(VALUE(MID(AT$5,6,1))&gt;$D$2,0,$AP22="Annual",1,AS22=12,12,$AP22="Monthly V",AS22*(1+$BD$2),$AP22="Monthly F",12,$AP22="One-Time",0),AS22*(1+$BD$2))</f>
        <v>12</v>
      </c>
      <c r="AU22" s="14" cm="1">
        <f t="array" ref="AU22">IFERROR(_xlfn.IFS(VALUE(MID(AU$5,6,1))&gt;$D$2,0,$AP22="Annual",1,AT22=12,12,$AP22="Monthly V",AT22*(1+$BD$2),$AP22="Monthly F",12,$AP22="One-Time",0),AT22*(1+$BD$2))</f>
        <v>12</v>
      </c>
      <c r="AV22" s="14" cm="1">
        <f t="array" ref="AV22">IFERROR(_xlfn.IFS(VALUE(MID(AV$5,6,1))&gt;$D$2,0,$AP22="Annual",1,AU22=12,12,$AP22="Monthly V",AU22*(1+$BD$2),$AP22="Monthly F",12,$AP22="One-Time",0),AU22*(1+$BD$2))</f>
        <v>12</v>
      </c>
      <c r="AW22" s="14" cm="1">
        <f t="array" ref="AW22">IFERROR(_xlfn.IFS(VALUE(MID(AW$5,6,1))&gt;$D$2,0,$AP22="Annual",1,AV22=12,12,$AP22="Monthly V",AV22*(1+$BD$2),$AP22="Monthly F",12,$AP22="One-Time",0),AV22*(1+$BD$2))</f>
        <v>12</v>
      </c>
      <c r="AX22" s="14" cm="1">
        <f t="array" ref="AX22">IFERROR(_xlfn.IFS(VALUE(MID(AX$5,6,1))&gt;$D$2,0,$AP22="Annual",1,AW22=12,12,$AP22="Monthly V",AW22*(1+$BD$2),$AP22="Monthly F",12,$AP22="One-Time",0),AW22*(1+$BD$2))</f>
        <v>12</v>
      </c>
      <c r="AY22" s="14" cm="1">
        <f t="array" ref="AY22">IFERROR(_xlfn.IFS(VALUE(MID(AY$5,6,1))&gt;$D$2,0,$AP22="Annual",1,AX22=12,12,$AP22="Monthly V",AX22*(1+$D$3),$AP22="Monthly F",12,$AP22="One-Time",0),AX22*(1+$D$3))</f>
        <v>0</v>
      </c>
      <c r="AZ22" s="14" cm="1">
        <f t="array" ref="AZ22">IFERROR(_xlfn.IFS(VALUE(MID(AZ$5,6,1))&gt;$D$2,0,$AP22="Annual",1,AY22=12,12,$AP22="Monthly V",AY22*(1+$D$3),$AP22="Monthly F",12,$AP22="One-Time",0),AY22*(1+$D$3))</f>
        <v>0</v>
      </c>
      <c r="BA22" s="125" cm="1">
        <f t="array" ref="BA22">IFERROR(_xlfn.IFS(VALUE(MID(BA$5,6,2))&gt;$D$2,0,$AP22="Annual",1,AZ22=12,12,$AP22="Monthly V",AZ22*(1+$D$3),$AP22="Monthly F",12,$AP22="One-Time",0),AZ22*(1+$D$3))</f>
        <v>0</v>
      </c>
      <c r="BB22" s="148" t="s">
        <v>169</v>
      </c>
      <c r="BC22" s="38" t="s">
        <v>221</v>
      </c>
      <c r="BD22" s="36">
        <v>900</v>
      </c>
      <c r="BE22" s="21">
        <f t="shared" si="16"/>
        <v>900</v>
      </c>
      <c r="BF22" s="39">
        <f t="shared" si="44"/>
        <v>10800</v>
      </c>
      <c r="BG22" s="39">
        <f t="shared" si="17"/>
        <v>10800</v>
      </c>
      <c r="BH22" s="39">
        <f t="shared" si="18"/>
        <v>10800</v>
      </c>
      <c r="BI22" s="39">
        <f t="shared" si="19"/>
        <v>11124</v>
      </c>
      <c r="BJ22" s="39">
        <f t="shared" ref="BJ22:BL22" si="137">BI22*1.03</f>
        <v>11457.720000000001</v>
      </c>
      <c r="BK22" s="39">
        <f t="shared" si="137"/>
        <v>11801.451600000002</v>
      </c>
      <c r="BL22" s="39">
        <f t="shared" si="137"/>
        <v>12155.495148000002</v>
      </c>
      <c r="BM22" s="39">
        <f t="shared" si="23"/>
        <v>0</v>
      </c>
      <c r="BN22" s="39">
        <f t="shared" si="23"/>
        <v>0</v>
      </c>
      <c r="BO22" s="39">
        <f t="shared" si="23"/>
        <v>0</v>
      </c>
      <c r="BP22" s="40"/>
      <c r="BQ22" s="40">
        <f t="shared" si="24"/>
        <v>324.00000000000028</v>
      </c>
      <c r="BR22" s="40">
        <f t="shared" si="25"/>
        <v>657.71999999999946</v>
      </c>
      <c r="BS22" s="40">
        <f t="shared" si="26"/>
        <v>1031.495148</v>
      </c>
      <c r="BT22" s="40">
        <f t="shared" si="27"/>
        <v>1438.0448025131991</v>
      </c>
      <c r="BU22" s="40">
        <f t="shared" si="28"/>
        <v>1879.6652789862524</v>
      </c>
      <c r="BV22" s="40">
        <f t="shared" si="29"/>
        <v>2358.8017489165159</v>
      </c>
      <c r="BW22" s="40">
        <f t="shared" si="30"/>
        <v>0</v>
      </c>
      <c r="BX22" s="40">
        <f t="shared" si="31"/>
        <v>0</v>
      </c>
      <c r="BY22" s="40">
        <f t="shared" si="32"/>
        <v>0</v>
      </c>
      <c r="BZ22" s="40">
        <f t="shared" si="33"/>
        <v>7689.7269784159671</v>
      </c>
      <c r="CA22" s="37">
        <f t="shared" si="9"/>
        <v>86628.393726415976</v>
      </c>
      <c r="CC22" s="102"/>
      <c r="CD22" s="12"/>
      <c r="CE22" s="14">
        <f t="shared" si="10"/>
        <v>0</v>
      </c>
      <c r="CF22" s="14" cm="1">
        <f t="array" ref="CF22">IFERROR(_xlfn.IFS(VALUE(MID(CF$5,6,1))&gt;$D$2,0,$CC22="Annual",1,CE22=12,12,$CC22="Monthly V",CE22*(1+$D$3),$CC22="Monthly F",12,$CC22="One-Time",0),CE22*(1+$D$3))</f>
        <v>0</v>
      </c>
      <c r="CG22" s="14" cm="1">
        <f t="array" ref="CG22">IFERROR(_xlfn.IFS(VALUE(MID(CG$5,6,1))&gt;$D$2,0,$CC22="Annual",1,CF22=12,12,$CC22="Monthly V",CF22*(1+$D$3),$CC22="Monthly F",12,$CC22="One-Time",0),CF22*(1+$D$3))</f>
        <v>0</v>
      </c>
      <c r="CH22" s="14" cm="1">
        <f t="array" ref="CH22">IFERROR(_xlfn.IFS(VALUE(MID(CH$5,6,1))&gt;$D$2,0,$CC22="Annual",1,CG22=12,12,$CC22="Monthly V",CG22*(1+$D$3),$CC22="Monthly F",12,$CC22="One-Time",0),CG22*(1+$D$3))</f>
        <v>0</v>
      </c>
      <c r="CI22" s="14" cm="1">
        <f t="array" ref="CI22">IFERROR(_xlfn.IFS(VALUE(MID(CI$5,6,1))&gt;$D$2,0,$CC22="Annual",1,CH22=12,12,$CC22="Monthly V",CH22*(1+$D$3),$CC22="Monthly F",12,$CC22="One-Time",0),CH22*(1+$D$3))</f>
        <v>0</v>
      </c>
      <c r="CJ22" s="14" cm="1">
        <f t="array" ref="CJ22">IFERROR(_xlfn.IFS(VALUE(MID(CJ$5,6,1))&gt;$D$2,0,$CC22="Annual",1,CI22=12,12,$CC22="Monthly V",CI22*(1+$D$3),$CC22="Monthly F",12,$CC22="One-Time",0),CI22*(1+$D$3))</f>
        <v>0</v>
      </c>
      <c r="CK22" s="14" cm="1">
        <f t="array" ref="CK22">IFERROR(_xlfn.IFS(VALUE(MID(CK$5,6,1))&gt;$D$2,0,$CC22="Annual",1,CJ22=12,12,$CC22="Monthly V",CJ22*(1+$D$3),$CC22="Monthly F",12,$CC22="One-Time",0),CJ22*(1+$D$3))</f>
        <v>0</v>
      </c>
      <c r="CL22" s="14" cm="1">
        <f t="array" ref="CL22">IFERROR(_xlfn.IFS(VALUE(MID(CL$5,6,1))&gt;$D$2,0,$CC22="Annual",1,CK22=12,12,$CC22="Monthly V",CK22*(1+$D$3),$CC22="Monthly F",12,$CC22="One-Time",0),CK22*(1+$D$3))</f>
        <v>0</v>
      </c>
      <c r="CM22" s="14" cm="1">
        <f t="array" ref="CM22">IFERROR(_xlfn.IFS(VALUE(MID(CM$5,6,1))&gt;$D$2,0,$CC22="Annual",1,CL22=12,12,$CC22="Monthly V",CL22*(1+$D$3),$CC22="Monthly F",12,$CC22="One-Time",0),CL22*(1+$D$3))</f>
        <v>0</v>
      </c>
      <c r="CN22" s="24" cm="1">
        <f t="array" ref="CN22">IFERROR(_xlfn.IFS(VALUE(MID(CN$5,6,2))&gt;$D$2,0,$CC22="Annual",1,CM22=12,12,$CC22="Monthly V",CM22*(1+$D$3),$CC22="Monthly F",12,$CC22="One-Time",0),CM22*(1+$D$3))</f>
        <v>0</v>
      </c>
      <c r="CO22" s="63"/>
      <c r="CP22" s="53"/>
      <c r="CQ22" s="21">
        <f t="shared" si="11"/>
        <v>0</v>
      </c>
      <c r="CR22" s="55">
        <f t="shared" si="12"/>
        <v>0</v>
      </c>
      <c r="CS22" s="55">
        <f t="shared" si="12"/>
        <v>0</v>
      </c>
      <c r="CT22" s="55">
        <f t="shared" si="12"/>
        <v>0</v>
      </c>
      <c r="CU22" s="55">
        <f t="shared" si="12"/>
        <v>0</v>
      </c>
      <c r="CV22" s="55">
        <f t="shared" si="12"/>
        <v>0</v>
      </c>
      <c r="CW22" s="55">
        <f t="shared" si="12"/>
        <v>0</v>
      </c>
      <c r="CX22" s="55">
        <f t="shared" si="12"/>
        <v>0</v>
      </c>
      <c r="CY22" s="55">
        <f t="shared" si="12"/>
        <v>0</v>
      </c>
      <c r="CZ22" s="55">
        <f t="shared" si="12"/>
        <v>0</v>
      </c>
      <c r="DA22" s="55">
        <f t="shared" si="12"/>
        <v>0</v>
      </c>
      <c r="DB22" s="56"/>
      <c r="DC22" s="56">
        <f t="shared" si="34"/>
        <v>0</v>
      </c>
      <c r="DD22" s="56">
        <f t="shared" si="35"/>
        <v>0</v>
      </c>
      <c r="DE22" s="56">
        <f t="shared" si="36"/>
        <v>0</v>
      </c>
      <c r="DF22" s="56">
        <f t="shared" si="37"/>
        <v>0</v>
      </c>
      <c r="DG22" s="56">
        <f t="shared" si="38"/>
        <v>0</v>
      </c>
      <c r="DH22" s="56">
        <f t="shared" si="39"/>
        <v>0</v>
      </c>
      <c r="DI22" s="56">
        <f t="shared" si="40"/>
        <v>0</v>
      </c>
      <c r="DJ22" s="56">
        <f t="shared" si="41"/>
        <v>0</v>
      </c>
      <c r="DK22" s="56">
        <f t="shared" si="42"/>
        <v>0</v>
      </c>
      <c r="DL22" s="57">
        <f t="shared" si="43"/>
        <v>0</v>
      </c>
      <c r="DM22" s="54">
        <f t="shared" si="13"/>
        <v>0</v>
      </c>
      <c r="DO22" s="106"/>
    </row>
    <row r="23" spans="2:119" x14ac:dyDescent="0.25">
      <c r="B23" s="141" t="s">
        <v>1</v>
      </c>
      <c r="C23" s="24">
        <v>1000</v>
      </c>
      <c r="D23" s="147">
        <f t="shared" ref="D23:D24" si="138">IFERROR(AVERAGE(C23:C23),0)</f>
        <v>1000</v>
      </c>
      <c r="E23" s="142">
        <f t="shared" ref="E23:E24" si="139">IF($B23="Annual",1,IF($B23="Monthly F",12,IF($B23="Monthly V",D23*12,IF($B23="One-Time",1,D23*12))))</f>
        <v>12000</v>
      </c>
      <c r="F23" s="14" cm="1">
        <f t="array" ref="F23">IFERROR(_xlfn.IFS(VALUE(MID(F$5,6,1))&gt;$D$2,0,$B23="Annual",1,E23=12,12,$B23="Monthly V",E23*(1+$D$3),$B23="Monthly F",12,$B23="One-Time",0),E23*(1+$D$3))</f>
        <v>14400</v>
      </c>
      <c r="G23" s="14" cm="1">
        <f t="array" ref="G23">IFERROR(_xlfn.IFS(VALUE(MID(G$5,6,1))&gt;$D$2,0,$B23="Annual",1,F23=12,12,$B23="Monthly V",F23*(1+$D$3),$B23="Monthly F",12,$B23="One-Time",0),F23*(1+$D$3))</f>
        <v>17280</v>
      </c>
      <c r="H23" s="14" cm="1">
        <f t="array" ref="H23">IFERROR(_xlfn.IFS(VALUE(MID(H$5,6,1))&gt;$D$2,0,$B23="Annual",1,G23=12,12,$B23="Monthly V",G23*(1+$D$3),$B23="Monthly F",12,$B23="One-Time",0),G23*(1+$D$3))</f>
        <v>20736</v>
      </c>
      <c r="I23" s="14" cm="1">
        <f t="array" ref="I23">IFERROR(_xlfn.IFS(VALUE(MID(I$5,6,1))&gt;$D$2,0,$B23="Annual",1,H23=12,12,$B23="Monthly V",H23*(1+$D$3),$B23="Monthly F",12,$B23="One-Time",0),H23*(1+$D$3))</f>
        <v>24883.200000000001</v>
      </c>
      <c r="J23" s="14" cm="1">
        <f t="array" ref="J23">IFERROR(_xlfn.IFS(VALUE(MID(J$5,6,1))&gt;$D$2,0,$B23="Annual",1,I23=12,12,$B23="Monthly V",I23*(1+$D$3),$B23="Monthly F",12,$B23="One-Time",0),I23*(1+$D$3))</f>
        <v>29859.84</v>
      </c>
      <c r="K23" s="14" cm="1">
        <f t="array" ref="K23">IFERROR(_xlfn.IFS(VALUE(MID(K$5,6,1))&gt;$D$2,0,$B23="Annual",1,J23=12,12,$B23="Monthly V",J23*(1+$D$3),$B23="Monthly F",12,$B23="One-Time",0),J23*(1+$D$3))</f>
        <v>35831.807999999997</v>
      </c>
      <c r="L23" s="14" cm="1">
        <f t="array" ref="L23">IFERROR(_xlfn.IFS(VALUE(MID(L$5,6,1))&gt;$D$2,0,$B23="Annual",1,K23=12,12,$B23="Monthly V",K23*(1+$D$3),$B23="Monthly F",12,$B23="One-Time",0),K23*(1+$D$3))</f>
        <v>0</v>
      </c>
      <c r="M23" s="14" cm="1">
        <f t="array" ref="M23">IFERROR(_xlfn.IFS(VALUE(MID(M$5,6,1))&gt;$D$2,0,$B23="Annual",1,L23=12,12,$B23="Monthly V",L23*(1+$D$3),$B23="Monthly F",12,$B23="One-Time",0),L23*(1+$D$3))</f>
        <v>0</v>
      </c>
      <c r="N23" s="24" cm="1">
        <f t="array" ref="N23">IFERROR(_xlfn.IFS(VALUE(MID(N$5,6,2))&gt;$D$2,0,$B23="Annual",1,M23=12,12,$B23="Monthly V",M23*(1+$D$3),$B23="Monthly F",12,$B23="One-Time",0),M23*(1+$D$3))</f>
        <v>0</v>
      </c>
      <c r="O23" s="155" t="s">
        <v>92</v>
      </c>
      <c r="P23" s="13" t="s">
        <v>86</v>
      </c>
      <c r="Q23" s="20">
        <v>1.3599999999999999E-2</v>
      </c>
      <c r="R23" s="21">
        <f t="shared" si="124"/>
        <v>13.6</v>
      </c>
      <c r="S23" s="6">
        <f>IFERROR($Q23*E23,0)</f>
        <v>163.19999999999999</v>
      </c>
      <c r="T23" s="6">
        <f>IFERROR($Q23*F23,0)</f>
        <v>195.83999999999997</v>
      </c>
      <c r="U23" s="6">
        <f t="shared" si="125"/>
        <v>235.00799999999998</v>
      </c>
      <c r="V23" s="6">
        <f t="shared" si="125"/>
        <v>282.00959999999998</v>
      </c>
      <c r="W23" s="6">
        <f t="shared" si="125"/>
        <v>338.41152</v>
      </c>
      <c r="X23" s="6">
        <f t="shared" si="125"/>
        <v>406.09382399999998</v>
      </c>
      <c r="Y23" s="6">
        <f t="shared" si="125"/>
        <v>487.31258879999996</v>
      </c>
      <c r="Z23" s="6">
        <f t="shared" si="125"/>
        <v>0</v>
      </c>
      <c r="AA23" s="6">
        <f t="shared" si="125"/>
        <v>0</v>
      </c>
      <c r="AB23" s="6">
        <f t="shared" si="125"/>
        <v>0</v>
      </c>
      <c r="AC23" s="7"/>
      <c r="AD23" s="152">
        <f t="shared" si="126"/>
        <v>5.8752000000000049</v>
      </c>
      <c r="AE23" s="152">
        <f t="shared" si="127"/>
        <v>14.311987199999988</v>
      </c>
      <c r="AF23" s="152">
        <f t="shared" si="128"/>
        <v>26.1499041792</v>
      </c>
      <c r="AG23" s="152">
        <f t="shared" si="129"/>
        <v>42.473627165491173</v>
      </c>
      <c r="AH23" s="152">
        <f t="shared" si="130"/>
        <v>64.680217896547063</v>
      </c>
      <c r="AI23" s="152">
        <f t="shared" si="131"/>
        <v>94.564126984132187</v>
      </c>
      <c r="AJ23" s="152">
        <f t="shared" si="132"/>
        <v>0</v>
      </c>
      <c r="AK23" s="152">
        <f t="shared" si="133"/>
        <v>0</v>
      </c>
      <c r="AL23" s="152">
        <f t="shared" si="134"/>
        <v>0</v>
      </c>
      <c r="AM23" s="9">
        <f t="shared" si="135"/>
        <v>248.05506342537041</v>
      </c>
      <c r="AN23" s="80">
        <f t="shared" si="136"/>
        <v>2355.9305962253707</v>
      </c>
      <c r="AP23" s="102" t="s">
        <v>1</v>
      </c>
      <c r="AQ23" s="12">
        <v>5000</v>
      </c>
      <c r="AR23" s="14">
        <f t="shared" si="15"/>
        <v>60000</v>
      </c>
      <c r="AS23" s="14" cm="1">
        <f t="array" ref="AS23">IFERROR(_xlfn.IFS(VALUE(MID(AS$5,6,1))&gt;$D$2,0,$AP23="Annual",1,AR23=12,12,$AP23="Monthly V",AR23*(1+$BD$2),$AP23="Monthly F",12,$AP23="One-Time",0),AR23*(1+$BD$2))</f>
        <v>60000</v>
      </c>
      <c r="AT23" s="14" cm="1">
        <f t="array" ref="AT23">IFERROR(_xlfn.IFS(VALUE(MID(AT$5,6,1))&gt;$D$2,0,$AP23="Annual",1,AS23=12,12,$AP23="Monthly V",AS23*(1+$BD$2),$AP23="Monthly F",12,$AP23="One-Time",0),AS23*(1+$BD$2))</f>
        <v>60000</v>
      </c>
      <c r="AU23" s="14" cm="1">
        <f t="array" ref="AU23">IFERROR(_xlfn.IFS(VALUE(MID(AU$5,6,1))&gt;$D$2,0,$AP23="Annual",1,AT23=12,12,$AP23="Monthly V",AT23*(1+$BD$2),$AP23="Monthly F",12,$AP23="One-Time",0),AT23*(1+$BD$2))</f>
        <v>60000</v>
      </c>
      <c r="AV23" s="14" cm="1">
        <f t="array" ref="AV23">IFERROR(_xlfn.IFS(VALUE(MID(AV$5,6,1))&gt;$D$2,0,$AP23="Annual",1,AU23=12,12,$AP23="Monthly V",AU23*(1+$BD$2),$AP23="Monthly F",12,$AP23="One-Time",0),AU23*(1+$BD$2))</f>
        <v>60000</v>
      </c>
      <c r="AW23" s="14" cm="1">
        <f t="array" ref="AW23">IFERROR(_xlfn.IFS(VALUE(MID(AW$5,6,1))&gt;$D$2,0,$AP23="Annual",1,AV23=12,12,$AP23="Monthly V",AV23*(1+$BD$2),$AP23="Monthly F",12,$AP23="One-Time",0),AV23*(1+$BD$2))</f>
        <v>60000</v>
      </c>
      <c r="AX23" s="14" cm="1">
        <f t="array" ref="AX23">IFERROR(_xlfn.IFS(VALUE(MID(AX$5,6,1))&gt;$D$2,0,$AP23="Annual",1,AW23=12,12,$AP23="Monthly V",AW23*(1+$BD$2),$AP23="Monthly F",12,$AP23="One-Time",0),AW23*(1+$BD$2))</f>
        <v>60000</v>
      </c>
      <c r="AY23" s="14" cm="1">
        <f t="array" ref="AY23">IFERROR(_xlfn.IFS(VALUE(MID(AY$5,6,1))&gt;$D$2,0,$AP23="Annual",1,AX23=12,12,$AP23="Monthly V",AX23*(1+$D$3),$AP23="Monthly F",12,$AP23="One-Time",0),AX23*(1+$D$3))</f>
        <v>0</v>
      </c>
      <c r="AZ23" s="14" cm="1">
        <f t="array" ref="AZ23">IFERROR(_xlfn.IFS(VALUE(MID(AZ$5,6,1))&gt;$D$2,0,$AP23="Annual",1,AY23=12,12,$AP23="Monthly V",AY23*(1+$D$3),$AP23="Monthly F",12,$AP23="One-Time",0),AY23*(1+$D$3))</f>
        <v>0</v>
      </c>
      <c r="BA23" s="125" cm="1">
        <f t="array" ref="BA23">IFERROR(_xlfn.IFS(VALUE(MID(BA$5,6,2))&gt;$D$2,0,$AP23="Annual",1,AZ23=12,12,$AP23="Monthly V",AZ23*(1+$D$3),$AP23="Monthly F",12,$AP23="One-Time",0),AZ23*(1+$D$3))</f>
        <v>0</v>
      </c>
      <c r="BB23" s="148" t="s">
        <v>170</v>
      </c>
      <c r="BC23" s="38" t="s">
        <v>222</v>
      </c>
      <c r="BD23" s="36">
        <v>0.20549999999999999</v>
      </c>
      <c r="BE23" s="21">
        <f t="shared" si="16"/>
        <v>1027.5</v>
      </c>
      <c r="BF23" s="39">
        <f t="shared" si="44"/>
        <v>12330</v>
      </c>
      <c r="BG23" s="39">
        <f t="shared" si="17"/>
        <v>12330</v>
      </c>
      <c r="BH23" s="39">
        <f t="shared" si="18"/>
        <v>12330</v>
      </c>
      <c r="BI23" s="39">
        <f t="shared" si="19"/>
        <v>12699.9</v>
      </c>
      <c r="BJ23" s="39">
        <f t="shared" ref="BJ23:BL23" si="140">BI23*1.03</f>
        <v>13080.897000000001</v>
      </c>
      <c r="BK23" s="39">
        <f t="shared" si="140"/>
        <v>13473.323910000001</v>
      </c>
      <c r="BL23" s="39">
        <f t="shared" si="140"/>
        <v>13877.523627300001</v>
      </c>
      <c r="BM23" s="39">
        <f t="shared" si="23"/>
        <v>0</v>
      </c>
      <c r="BN23" s="39">
        <f t="shared" si="23"/>
        <v>0</v>
      </c>
      <c r="BO23" s="39">
        <f t="shared" si="23"/>
        <v>0</v>
      </c>
      <c r="BP23" s="40"/>
      <c r="BQ23" s="40">
        <f t="shared" si="24"/>
        <v>369.90000000000032</v>
      </c>
      <c r="BR23" s="40">
        <f t="shared" si="25"/>
        <v>750.89699999999948</v>
      </c>
      <c r="BS23" s="40">
        <f t="shared" si="26"/>
        <v>1177.6236273</v>
      </c>
      <c r="BT23" s="40">
        <f t="shared" si="27"/>
        <v>1641.7678162025691</v>
      </c>
      <c r="BU23" s="40">
        <f t="shared" si="28"/>
        <v>2145.9511935093046</v>
      </c>
      <c r="BV23" s="40">
        <f t="shared" si="29"/>
        <v>2692.9653300130221</v>
      </c>
      <c r="BW23" s="40">
        <f t="shared" si="30"/>
        <v>0</v>
      </c>
      <c r="BX23" s="40">
        <f t="shared" si="31"/>
        <v>0</v>
      </c>
      <c r="BY23" s="40">
        <f t="shared" si="32"/>
        <v>0</v>
      </c>
      <c r="BZ23" s="40">
        <f t="shared" si="33"/>
        <v>8779.1049670248958</v>
      </c>
      <c r="CA23" s="37">
        <f t="shared" si="9"/>
        <v>98900.749504324907</v>
      </c>
      <c r="CC23" s="102"/>
      <c r="CD23" s="12"/>
      <c r="CE23" s="14">
        <f t="shared" si="10"/>
        <v>0</v>
      </c>
      <c r="CF23" s="14" cm="1">
        <f t="array" ref="CF23">IFERROR(_xlfn.IFS(VALUE(MID(CF$5,6,1))&gt;$D$2,0,$CC23="Annual",1,CE23=12,12,$CC23="Monthly V",CE23*(1+$D$3),$CC23="Monthly F",12,$CC23="One-Time",0),CE23*(1+$D$3))</f>
        <v>0</v>
      </c>
      <c r="CG23" s="14" cm="1">
        <f t="array" ref="CG23">IFERROR(_xlfn.IFS(VALUE(MID(CG$5,6,1))&gt;$D$2,0,$CC23="Annual",1,CF23=12,12,$CC23="Monthly V",CF23*(1+$D$3),$CC23="Monthly F",12,$CC23="One-Time",0),CF23*(1+$D$3))</f>
        <v>0</v>
      </c>
      <c r="CH23" s="14" cm="1">
        <f t="array" ref="CH23">IFERROR(_xlfn.IFS(VALUE(MID(CH$5,6,1))&gt;$D$2,0,$CC23="Annual",1,CG23=12,12,$CC23="Monthly V",CG23*(1+$D$3),$CC23="Monthly F",12,$CC23="One-Time",0),CG23*(1+$D$3))</f>
        <v>0</v>
      </c>
      <c r="CI23" s="14" cm="1">
        <f t="array" ref="CI23">IFERROR(_xlfn.IFS(VALUE(MID(CI$5,6,1))&gt;$D$2,0,$CC23="Annual",1,CH23=12,12,$CC23="Monthly V",CH23*(1+$D$3),$CC23="Monthly F",12,$CC23="One-Time",0),CH23*(1+$D$3))</f>
        <v>0</v>
      </c>
      <c r="CJ23" s="14" cm="1">
        <f t="array" ref="CJ23">IFERROR(_xlfn.IFS(VALUE(MID(CJ$5,6,1))&gt;$D$2,0,$CC23="Annual",1,CI23=12,12,$CC23="Monthly V",CI23*(1+$D$3),$CC23="Monthly F",12,$CC23="One-Time",0),CI23*(1+$D$3))</f>
        <v>0</v>
      </c>
      <c r="CK23" s="14" cm="1">
        <f t="array" ref="CK23">IFERROR(_xlfn.IFS(VALUE(MID(CK$5,6,1))&gt;$D$2,0,$CC23="Annual",1,CJ23=12,12,$CC23="Monthly V",CJ23*(1+$D$3),$CC23="Monthly F",12,$CC23="One-Time",0),CJ23*(1+$D$3))</f>
        <v>0</v>
      </c>
      <c r="CL23" s="14" cm="1">
        <f t="array" ref="CL23">IFERROR(_xlfn.IFS(VALUE(MID(CL$5,6,1))&gt;$D$2,0,$CC23="Annual",1,CK23=12,12,$CC23="Monthly V",CK23*(1+$D$3),$CC23="Monthly F",12,$CC23="One-Time",0),CK23*(1+$D$3))</f>
        <v>0</v>
      </c>
      <c r="CM23" s="14" cm="1">
        <f t="array" ref="CM23">IFERROR(_xlfn.IFS(VALUE(MID(CM$5,6,1))&gt;$D$2,0,$CC23="Annual",1,CL23=12,12,$CC23="Monthly V",CL23*(1+$D$3),$CC23="Monthly F",12,$CC23="One-Time",0),CL23*(1+$D$3))</f>
        <v>0</v>
      </c>
      <c r="CN23" s="24" cm="1">
        <f t="array" ref="CN23">IFERROR(_xlfn.IFS(VALUE(MID(CN$5,6,2))&gt;$D$2,0,$CC23="Annual",1,CM23=12,12,$CC23="Monthly V",CM23*(1+$D$3),$CC23="Monthly F",12,$CC23="One-Time",0),CM23*(1+$D$3))</f>
        <v>0</v>
      </c>
      <c r="CO23" s="63"/>
      <c r="CP23" s="53"/>
      <c r="CQ23" s="21">
        <f t="shared" si="11"/>
        <v>0</v>
      </c>
      <c r="CR23" s="55">
        <f t="shared" si="12"/>
        <v>0</v>
      </c>
      <c r="CS23" s="55">
        <f t="shared" si="12"/>
        <v>0</v>
      </c>
      <c r="CT23" s="55">
        <f t="shared" si="12"/>
        <v>0</v>
      </c>
      <c r="CU23" s="55">
        <f t="shared" si="12"/>
        <v>0</v>
      </c>
      <c r="CV23" s="55">
        <f t="shared" si="12"/>
        <v>0</v>
      </c>
      <c r="CW23" s="55">
        <f t="shared" si="12"/>
        <v>0</v>
      </c>
      <c r="CX23" s="55">
        <f t="shared" si="12"/>
        <v>0</v>
      </c>
      <c r="CY23" s="55">
        <f t="shared" si="12"/>
        <v>0</v>
      </c>
      <c r="CZ23" s="55">
        <f t="shared" si="12"/>
        <v>0</v>
      </c>
      <c r="DA23" s="55">
        <f t="shared" si="12"/>
        <v>0</v>
      </c>
      <c r="DB23" s="56"/>
      <c r="DC23" s="56">
        <f t="shared" si="34"/>
        <v>0</v>
      </c>
      <c r="DD23" s="56">
        <f t="shared" si="35"/>
        <v>0</v>
      </c>
      <c r="DE23" s="56">
        <f t="shared" si="36"/>
        <v>0</v>
      </c>
      <c r="DF23" s="56">
        <f t="shared" si="37"/>
        <v>0</v>
      </c>
      <c r="DG23" s="56">
        <f t="shared" si="38"/>
        <v>0</v>
      </c>
      <c r="DH23" s="56">
        <f t="shared" si="39"/>
        <v>0</v>
      </c>
      <c r="DI23" s="56">
        <f t="shared" si="40"/>
        <v>0</v>
      </c>
      <c r="DJ23" s="56">
        <f t="shared" si="41"/>
        <v>0</v>
      </c>
      <c r="DK23" s="56">
        <f t="shared" si="42"/>
        <v>0</v>
      </c>
      <c r="DL23" s="57">
        <f t="shared" si="43"/>
        <v>0</v>
      </c>
      <c r="DM23" s="54">
        <f t="shared" si="13"/>
        <v>0</v>
      </c>
      <c r="DO23" s="106"/>
    </row>
    <row r="24" spans="2:119" x14ac:dyDescent="0.25">
      <c r="B24" s="141" t="s">
        <v>1</v>
      </c>
      <c r="C24" s="24">
        <v>5000</v>
      </c>
      <c r="D24" s="147">
        <f t="shared" si="138"/>
        <v>5000</v>
      </c>
      <c r="E24" s="142">
        <f t="shared" si="139"/>
        <v>60000</v>
      </c>
      <c r="F24" s="14" cm="1">
        <f t="array" ref="F24">IFERROR(_xlfn.IFS(VALUE(MID(F$5,6,1))&gt;$D$2,0,$B24="Annual",1,E24=12,12,$B24="Monthly V",E24*(1+$D$3),$B24="Monthly F",12,$B24="One-Time",0),E24*(1+$D$3))</f>
        <v>72000</v>
      </c>
      <c r="G24" s="14" cm="1">
        <f t="array" ref="G24">IFERROR(_xlfn.IFS(VALUE(MID(G$5,6,1))&gt;$D$2,0,$B24="Annual",1,F24=12,12,$B24="Monthly V",F24*(1+$D$3),$B24="Monthly F",12,$B24="One-Time",0),F24*(1+$D$3))</f>
        <v>86400</v>
      </c>
      <c r="H24" s="14" cm="1">
        <f t="array" ref="H24">IFERROR(_xlfn.IFS(VALUE(MID(H$5,6,1))&gt;$D$2,0,$B24="Annual",1,G24=12,12,$B24="Monthly V",G24*(1+$D$3),$B24="Monthly F",12,$B24="One-Time",0),G24*(1+$D$3))</f>
        <v>103680</v>
      </c>
      <c r="I24" s="14" cm="1">
        <f t="array" ref="I24">IFERROR(_xlfn.IFS(VALUE(MID(I$5,6,1))&gt;$D$2,0,$B24="Annual",1,H24=12,12,$B24="Monthly V",H24*(1+$D$3),$B24="Monthly F",12,$B24="One-Time",0),H24*(1+$D$3))</f>
        <v>124416</v>
      </c>
      <c r="J24" s="14" cm="1">
        <f t="array" ref="J24">IFERROR(_xlfn.IFS(VALUE(MID(J$5,6,1))&gt;$D$2,0,$B24="Annual",1,I24=12,12,$B24="Monthly V",I24*(1+$D$3),$B24="Monthly F",12,$B24="One-Time",0),I24*(1+$D$3))</f>
        <v>149299.19999999998</v>
      </c>
      <c r="K24" s="14" cm="1">
        <f t="array" ref="K24">IFERROR(_xlfn.IFS(VALUE(MID(K$5,6,1))&gt;$D$2,0,$B24="Annual",1,J24=12,12,$B24="Monthly V",J24*(1+$D$3),$B24="Monthly F",12,$B24="One-Time",0),J24*(1+$D$3))</f>
        <v>179159.03999999998</v>
      </c>
      <c r="L24" s="14" cm="1">
        <f t="array" ref="L24">IFERROR(_xlfn.IFS(VALUE(MID(L$5,6,1))&gt;$D$2,0,$B24="Annual",1,K24=12,12,$B24="Monthly V",K24*(1+$D$3),$B24="Monthly F",12,$B24="One-Time",0),K24*(1+$D$3))</f>
        <v>0</v>
      </c>
      <c r="M24" s="14" cm="1">
        <f t="array" ref="M24">IFERROR(_xlfn.IFS(VALUE(MID(M$5,6,1))&gt;$D$2,0,$B24="Annual",1,L24=12,12,$B24="Monthly V",L24*(1+$D$3),$B24="Monthly F",12,$B24="One-Time",0),L24*(1+$D$3))</f>
        <v>0</v>
      </c>
      <c r="N24" s="24" cm="1">
        <f t="array" ref="N24">IFERROR(_xlfn.IFS(VALUE(MID(N$5,6,2))&gt;$D$2,0,$B24="Annual",1,M24=12,12,$B24="Monthly V",M24*(1+$D$3),$B24="Monthly F",12,$B24="One-Time",0),M24*(1+$D$3))</f>
        <v>0</v>
      </c>
      <c r="O24" s="155" t="s">
        <v>69</v>
      </c>
      <c r="P24" s="13" t="s">
        <v>86</v>
      </c>
      <c r="Q24" s="20">
        <v>3.1399999999999997E-2</v>
      </c>
      <c r="R24" s="21">
        <f t="shared" si="124"/>
        <v>156.99999999999997</v>
      </c>
      <c r="S24" s="6">
        <f t="shared" si="125"/>
        <v>1883.9999999999998</v>
      </c>
      <c r="T24" s="6">
        <f t="shared" si="125"/>
        <v>2260.7999999999997</v>
      </c>
      <c r="U24" s="6">
        <f t="shared" si="125"/>
        <v>2712.9599999999996</v>
      </c>
      <c r="V24" s="6">
        <f t="shared" si="125"/>
        <v>3255.5519999999997</v>
      </c>
      <c r="W24" s="6">
        <f t="shared" si="125"/>
        <v>3906.6623999999997</v>
      </c>
      <c r="X24" s="6">
        <f t="shared" si="125"/>
        <v>4687.9948799999993</v>
      </c>
      <c r="Y24" s="6">
        <f t="shared" si="125"/>
        <v>5625.5938559999986</v>
      </c>
      <c r="Z24" s="6">
        <f t="shared" si="125"/>
        <v>0</v>
      </c>
      <c r="AA24" s="6">
        <f t="shared" si="125"/>
        <v>0</v>
      </c>
      <c r="AB24" s="6">
        <f t="shared" si="125"/>
        <v>0</v>
      </c>
      <c r="AC24" s="7"/>
      <c r="AD24" s="152">
        <f t="shared" si="126"/>
        <v>67.824000000000055</v>
      </c>
      <c r="AE24" s="152">
        <f t="shared" si="127"/>
        <v>165.21926399999984</v>
      </c>
      <c r="AF24" s="152">
        <f t="shared" si="128"/>
        <v>301.87757030399996</v>
      </c>
      <c r="AG24" s="152">
        <f t="shared" si="129"/>
        <v>490.32054889574363</v>
      </c>
      <c r="AH24" s="152">
        <f t="shared" si="130"/>
        <v>746.67604483513878</v>
      </c>
      <c r="AI24" s="152">
        <f t="shared" si="131"/>
        <v>1091.6594070962317</v>
      </c>
      <c r="AJ24" s="152">
        <f t="shared" si="132"/>
        <v>0</v>
      </c>
      <c r="AK24" s="152">
        <f t="shared" si="133"/>
        <v>0</v>
      </c>
      <c r="AL24" s="152">
        <f t="shared" si="134"/>
        <v>0</v>
      </c>
      <c r="AM24" s="9">
        <f t="shared" si="135"/>
        <v>2863.576835131114</v>
      </c>
      <c r="AN24" s="80">
        <f t="shared" si="136"/>
        <v>27197.13997113111</v>
      </c>
      <c r="AP24" s="102" t="s">
        <v>1</v>
      </c>
      <c r="AQ24" s="12">
        <v>5000</v>
      </c>
      <c r="AR24" s="14">
        <f t="shared" si="15"/>
        <v>60000</v>
      </c>
      <c r="AS24" s="14" cm="1">
        <f t="array" ref="AS24">IFERROR(_xlfn.IFS(VALUE(MID(AS$5,6,1))&gt;$D$2,0,$AP24="Annual",1,AR24=12,12,$AP24="Monthly V",AR24*(1+$BD$2),$AP24="Monthly F",12,$AP24="One-Time",0),AR24*(1+$BD$2))</f>
        <v>60000</v>
      </c>
      <c r="AT24" s="14" cm="1">
        <f t="array" ref="AT24">IFERROR(_xlfn.IFS(VALUE(MID(AT$5,6,1))&gt;$D$2,0,$AP24="Annual",1,AS24=12,12,$AP24="Monthly V",AS24*(1+$BD$2),$AP24="Monthly F",12,$AP24="One-Time",0),AS24*(1+$BD$2))</f>
        <v>60000</v>
      </c>
      <c r="AU24" s="14" cm="1">
        <f t="array" ref="AU24">IFERROR(_xlfn.IFS(VALUE(MID(AU$5,6,1))&gt;$D$2,0,$AP24="Annual",1,AT24=12,12,$AP24="Monthly V",AT24*(1+$BD$2),$AP24="Monthly F",12,$AP24="One-Time",0),AT24*(1+$BD$2))</f>
        <v>60000</v>
      </c>
      <c r="AV24" s="14" cm="1">
        <f t="array" ref="AV24">IFERROR(_xlfn.IFS(VALUE(MID(AV$5,6,1))&gt;$D$2,0,$AP24="Annual",1,AU24=12,12,$AP24="Monthly V",AU24*(1+$BD$2),$AP24="Monthly F",12,$AP24="One-Time",0),AU24*(1+$BD$2))</f>
        <v>60000</v>
      </c>
      <c r="AW24" s="14" cm="1">
        <f t="array" ref="AW24">IFERROR(_xlfn.IFS(VALUE(MID(AW$5,6,1))&gt;$D$2,0,$AP24="Annual",1,AV24=12,12,$AP24="Monthly V",AV24*(1+$BD$2),$AP24="Monthly F",12,$AP24="One-Time",0),AV24*(1+$BD$2))</f>
        <v>60000</v>
      </c>
      <c r="AX24" s="14" cm="1">
        <f t="array" ref="AX24">IFERROR(_xlfn.IFS(VALUE(MID(AX$5,6,1))&gt;$D$2,0,$AP24="Annual",1,AW24=12,12,$AP24="Monthly V",AW24*(1+$BD$2),$AP24="Monthly F",12,$AP24="One-Time",0),AW24*(1+$BD$2))</f>
        <v>60000</v>
      </c>
      <c r="AY24" s="14" cm="1">
        <f t="array" ref="AY24">IFERROR(_xlfn.IFS(VALUE(MID(AY$5,6,1))&gt;$D$2,0,$AP24="Annual",1,AX24=12,12,$AP24="Monthly V",AX24*(1+$D$3),$AP24="Monthly F",12,$AP24="One-Time",0),AX24*(1+$D$3))</f>
        <v>0</v>
      </c>
      <c r="AZ24" s="14" cm="1">
        <f t="array" ref="AZ24">IFERROR(_xlfn.IFS(VALUE(MID(AZ$5,6,1))&gt;$D$2,0,$AP24="Annual",1,AY24=12,12,$AP24="Monthly V",AY24*(1+$D$3),$AP24="Monthly F",12,$AP24="One-Time",0),AY24*(1+$D$3))</f>
        <v>0</v>
      </c>
      <c r="BA24" s="125" cm="1">
        <f t="array" ref="BA24">IFERROR(_xlfn.IFS(VALUE(MID(BA$5,6,2))&gt;$D$2,0,$AP24="Annual",1,AZ24=12,12,$AP24="Monthly V",AZ24*(1+$D$3),$AP24="Monthly F",12,$AP24="One-Time",0),AZ24*(1+$D$3))</f>
        <v>0</v>
      </c>
      <c r="BB24" s="148" t="s">
        <v>171</v>
      </c>
      <c r="BC24" s="38" t="s">
        <v>222</v>
      </c>
      <c r="BD24" s="36">
        <v>7.6499999999999999E-2</v>
      </c>
      <c r="BE24" s="21">
        <f t="shared" si="16"/>
        <v>382.5</v>
      </c>
      <c r="BF24" s="39">
        <f t="shared" si="44"/>
        <v>4590</v>
      </c>
      <c r="BG24" s="39">
        <f t="shared" si="17"/>
        <v>4590</v>
      </c>
      <c r="BH24" s="39">
        <f t="shared" si="18"/>
        <v>4590</v>
      </c>
      <c r="BI24" s="39">
        <f t="shared" si="19"/>
        <v>4727.7</v>
      </c>
      <c r="BJ24" s="39">
        <f t="shared" ref="BJ24:BL24" si="141">BI24*1.03</f>
        <v>4869.5309999999999</v>
      </c>
      <c r="BK24" s="39">
        <f t="shared" si="141"/>
        <v>5015.6169300000001</v>
      </c>
      <c r="BL24" s="39">
        <f t="shared" si="141"/>
        <v>5166.0854379000002</v>
      </c>
      <c r="BM24" s="39">
        <f t="shared" si="23"/>
        <v>0</v>
      </c>
      <c r="BN24" s="39">
        <f t="shared" si="23"/>
        <v>0</v>
      </c>
      <c r="BO24" s="39">
        <f t="shared" si="23"/>
        <v>0</v>
      </c>
      <c r="BP24" s="40"/>
      <c r="BQ24" s="40">
        <f t="shared" si="24"/>
        <v>137.70000000000013</v>
      </c>
      <c r="BR24" s="40">
        <f t="shared" si="25"/>
        <v>279.53099999999978</v>
      </c>
      <c r="BS24" s="40">
        <f t="shared" si="26"/>
        <v>438.3854379</v>
      </c>
      <c r="BT24" s="40">
        <f t="shared" si="27"/>
        <v>611.16904106810955</v>
      </c>
      <c r="BU24" s="40">
        <f t="shared" si="28"/>
        <v>798.85774356915715</v>
      </c>
      <c r="BV24" s="40">
        <f t="shared" si="29"/>
        <v>1002.4907432895192</v>
      </c>
      <c r="BW24" s="40">
        <f t="shared" si="30"/>
        <v>0</v>
      </c>
      <c r="BX24" s="40">
        <f t="shared" si="31"/>
        <v>0</v>
      </c>
      <c r="BY24" s="40">
        <f t="shared" si="32"/>
        <v>0</v>
      </c>
      <c r="BZ24" s="40">
        <f t="shared" si="33"/>
        <v>3268.1339658267862</v>
      </c>
      <c r="CA24" s="37">
        <f t="shared" si="9"/>
        <v>36817.067333726787</v>
      </c>
      <c r="CC24" s="102"/>
      <c r="CD24" s="12"/>
      <c r="CE24" s="14">
        <f t="shared" si="10"/>
        <v>0</v>
      </c>
      <c r="CF24" s="14" cm="1">
        <f t="array" ref="CF24">IFERROR(_xlfn.IFS(VALUE(MID(CF$5,6,1))&gt;$D$2,0,$CC24="Annual",1,CE24=12,12,$CC24="Monthly V",CE24*(1+$D$3),$CC24="Monthly F",12,$CC24="One-Time",0),CE24*(1+$D$3))</f>
        <v>0</v>
      </c>
      <c r="CG24" s="14" cm="1">
        <f t="array" ref="CG24">IFERROR(_xlfn.IFS(VALUE(MID(CG$5,6,1))&gt;$D$2,0,$CC24="Annual",1,CF24=12,12,$CC24="Monthly V",CF24*(1+$D$3),$CC24="Monthly F",12,$CC24="One-Time",0),CF24*(1+$D$3))</f>
        <v>0</v>
      </c>
      <c r="CH24" s="14" cm="1">
        <f t="array" ref="CH24">IFERROR(_xlfn.IFS(VALUE(MID(CH$5,6,1))&gt;$D$2,0,$CC24="Annual",1,CG24=12,12,$CC24="Monthly V",CG24*(1+$D$3),$CC24="Monthly F",12,$CC24="One-Time",0),CG24*(1+$D$3))</f>
        <v>0</v>
      </c>
      <c r="CI24" s="14" cm="1">
        <f t="array" ref="CI24">IFERROR(_xlfn.IFS(VALUE(MID(CI$5,6,1))&gt;$D$2,0,$CC24="Annual",1,CH24=12,12,$CC24="Monthly V",CH24*(1+$D$3),$CC24="Monthly F",12,$CC24="One-Time",0),CH24*(1+$D$3))</f>
        <v>0</v>
      </c>
      <c r="CJ24" s="14" cm="1">
        <f t="array" ref="CJ24">IFERROR(_xlfn.IFS(VALUE(MID(CJ$5,6,1))&gt;$D$2,0,$CC24="Annual",1,CI24=12,12,$CC24="Monthly V",CI24*(1+$D$3),$CC24="Monthly F",12,$CC24="One-Time",0),CI24*(1+$D$3))</f>
        <v>0</v>
      </c>
      <c r="CK24" s="14" cm="1">
        <f t="array" ref="CK24">IFERROR(_xlfn.IFS(VALUE(MID(CK$5,6,1))&gt;$D$2,0,$CC24="Annual",1,CJ24=12,12,$CC24="Monthly V",CJ24*(1+$D$3),$CC24="Monthly F",12,$CC24="One-Time",0),CJ24*(1+$D$3))</f>
        <v>0</v>
      </c>
      <c r="CL24" s="14" cm="1">
        <f t="array" ref="CL24">IFERROR(_xlfn.IFS(VALUE(MID(CL$5,6,1))&gt;$D$2,0,$CC24="Annual",1,CK24=12,12,$CC24="Monthly V",CK24*(1+$D$3),$CC24="Monthly F",12,$CC24="One-Time",0),CK24*(1+$D$3))</f>
        <v>0</v>
      </c>
      <c r="CM24" s="14" cm="1">
        <f t="array" ref="CM24">IFERROR(_xlfn.IFS(VALUE(MID(CM$5,6,1))&gt;$D$2,0,$CC24="Annual",1,CL24=12,12,$CC24="Monthly V",CL24*(1+$D$3),$CC24="Monthly F",12,$CC24="One-Time",0),CL24*(1+$D$3))</f>
        <v>0</v>
      </c>
      <c r="CN24" s="24" cm="1">
        <f t="array" ref="CN24">IFERROR(_xlfn.IFS(VALUE(MID(CN$5,6,2))&gt;$D$2,0,$CC24="Annual",1,CM24=12,12,$CC24="Monthly V",CM24*(1+$D$3),$CC24="Monthly F",12,$CC24="One-Time",0),CM24*(1+$D$3))</f>
        <v>0</v>
      </c>
      <c r="CO24" s="63"/>
      <c r="CP24" s="53"/>
      <c r="CQ24" s="21">
        <f t="shared" si="11"/>
        <v>0</v>
      </c>
      <c r="CR24" s="55">
        <f t="shared" si="12"/>
        <v>0</v>
      </c>
      <c r="CS24" s="55">
        <f t="shared" si="12"/>
        <v>0</v>
      </c>
      <c r="CT24" s="55">
        <f t="shared" si="12"/>
        <v>0</v>
      </c>
      <c r="CU24" s="55">
        <f t="shared" si="12"/>
        <v>0</v>
      </c>
      <c r="CV24" s="55">
        <f t="shared" si="12"/>
        <v>0</v>
      </c>
      <c r="CW24" s="55">
        <f t="shared" si="12"/>
        <v>0</v>
      </c>
      <c r="CX24" s="55">
        <f t="shared" si="12"/>
        <v>0</v>
      </c>
      <c r="CY24" s="55">
        <f t="shared" si="12"/>
        <v>0</v>
      </c>
      <c r="CZ24" s="55">
        <f t="shared" si="12"/>
        <v>0</v>
      </c>
      <c r="DA24" s="55">
        <f t="shared" si="12"/>
        <v>0</v>
      </c>
      <c r="DB24" s="56"/>
      <c r="DC24" s="56">
        <f t="shared" si="34"/>
        <v>0</v>
      </c>
      <c r="DD24" s="56">
        <f t="shared" si="35"/>
        <v>0</v>
      </c>
      <c r="DE24" s="56">
        <f t="shared" si="36"/>
        <v>0</v>
      </c>
      <c r="DF24" s="56">
        <f t="shared" si="37"/>
        <v>0</v>
      </c>
      <c r="DG24" s="56">
        <f t="shared" si="38"/>
        <v>0</v>
      </c>
      <c r="DH24" s="56">
        <f t="shared" si="39"/>
        <v>0</v>
      </c>
      <c r="DI24" s="56">
        <f t="shared" si="40"/>
        <v>0</v>
      </c>
      <c r="DJ24" s="56">
        <f t="shared" si="41"/>
        <v>0</v>
      </c>
      <c r="DK24" s="56">
        <f t="shared" si="42"/>
        <v>0</v>
      </c>
      <c r="DL24" s="57">
        <f t="shared" si="43"/>
        <v>0</v>
      </c>
      <c r="DM24" s="54">
        <f t="shared" si="13"/>
        <v>0</v>
      </c>
      <c r="DO24" s="106"/>
    </row>
    <row r="25" spans="2:119" x14ac:dyDescent="0.25">
      <c r="B25" s="141"/>
      <c r="C25" s="24"/>
      <c r="D25" s="147"/>
      <c r="E25" s="142"/>
      <c r="F25" s="14"/>
      <c r="G25" s="14"/>
      <c r="H25" s="14"/>
      <c r="I25" s="14"/>
      <c r="J25" s="14"/>
      <c r="K25" s="14"/>
      <c r="L25" s="14"/>
      <c r="M25" s="14"/>
      <c r="N25" s="24"/>
      <c r="O25" s="156" t="s">
        <v>70</v>
      </c>
      <c r="P25" s="13"/>
      <c r="Q25" s="20"/>
      <c r="R25" s="21">
        <f t="shared" si="124"/>
        <v>0</v>
      </c>
      <c r="S25" s="6">
        <f t="shared" si="125"/>
        <v>0</v>
      </c>
      <c r="T25" s="6">
        <f t="shared" si="125"/>
        <v>0</v>
      </c>
      <c r="U25" s="6">
        <f t="shared" si="125"/>
        <v>0</v>
      </c>
      <c r="V25" s="6">
        <f t="shared" si="125"/>
        <v>0</v>
      </c>
      <c r="W25" s="6">
        <f t="shared" si="125"/>
        <v>0</v>
      </c>
      <c r="X25" s="6">
        <f t="shared" si="125"/>
        <v>0</v>
      </c>
      <c r="Y25" s="6">
        <f t="shared" si="125"/>
        <v>0</v>
      </c>
      <c r="Z25" s="6">
        <f t="shared" si="125"/>
        <v>0</v>
      </c>
      <c r="AA25" s="6">
        <f t="shared" si="125"/>
        <v>0</v>
      </c>
      <c r="AB25" s="6">
        <f t="shared" si="125"/>
        <v>0</v>
      </c>
      <c r="AC25" s="7"/>
      <c r="AD25" s="152">
        <f t="shared" si="126"/>
        <v>0</v>
      </c>
      <c r="AE25" s="152">
        <f t="shared" si="127"/>
        <v>0</v>
      </c>
      <c r="AF25" s="152">
        <f t="shared" si="128"/>
        <v>0</v>
      </c>
      <c r="AG25" s="152">
        <f t="shared" si="129"/>
        <v>0</v>
      </c>
      <c r="AH25" s="152">
        <f t="shared" si="130"/>
        <v>0</v>
      </c>
      <c r="AI25" s="152">
        <f t="shared" si="131"/>
        <v>0</v>
      </c>
      <c r="AJ25" s="152">
        <f t="shared" si="132"/>
        <v>0</v>
      </c>
      <c r="AK25" s="152">
        <f t="shared" si="133"/>
        <v>0</v>
      </c>
      <c r="AL25" s="152">
        <f t="shared" si="134"/>
        <v>0</v>
      </c>
      <c r="AM25" s="9">
        <f t="shared" si="135"/>
        <v>0</v>
      </c>
      <c r="AN25" s="80">
        <f t="shared" si="136"/>
        <v>0</v>
      </c>
      <c r="AP25" s="102" t="s">
        <v>1</v>
      </c>
      <c r="AQ25" s="12">
        <v>5000</v>
      </c>
      <c r="AR25" s="14">
        <f t="shared" si="15"/>
        <v>60000</v>
      </c>
      <c r="AS25" s="14" cm="1">
        <f t="array" ref="AS25">IFERROR(_xlfn.IFS(VALUE(MID(AS$5,6,1))&gt;$D$2,0,$AP25="Annual",1,AR25=12,12,$AP25="Monthly V",AR25*(1+$BD$2),$AP25="Monthly F",12,$AP25="One-Time",0),AR25*(1+$BD$2))</f>
        <v>60000</v>
      </c>
      <c r="AT25" s="14" cm="1">
        <f t="array" ref="AT25">IFERROR(_xlfn.IFS(VALUE(MID(AT$5,6,1))&gt;$D$2,0,$AP25="Annual",1,AS25=12,12,$AP25="Monthly V",AS25*(1+$BD$2),$AP25="Monthly F",12,$AP25="One-Time",0),AS25*(1+$BD$2))</f>
        <v>60000</v>
      </c>
      <c r="AU25" s="14" cm="1">
        <f t="array" ref="AU25">IFERROR(_xlfn.IFS(VALUE(MID(AU$5,6,1))&gt;$D$2,0,$AP25="Annual",1,AT25=12,12,$AP25="Monthly V",AT25*(1+$BD$2),$AP25="Monthly F",12,$AP25="One-Time",0),AT25*(1+$BD$2))</f>
        <v>60000</v>
      </c>
      <c r="AV25" s="14" cm="1">
        <f t="array" ref="AV25">IFERROR(_xlfn.IFS(VALUE(MID(AV$5,6,1))&gt;$D$2,0,$AP25="Annual",1,AU25=12,12,$AP25="Monthly V",AU25*(1+$BD$2),$AP25="Monthly F",12,$AP25="One-Time",0),AU25*(1+$BD$2))</f>
        <v>60000</v>
      </c>
      <c r="AW25" s="14" cm="1">
        <f t="array" ref="AW25">IFERROR(_xlfn.IFS(VALUE(MID(AW$5,6,1))&gt;$D$2,0,$AP25="Annual",1,AV25=12,12,$AP25="Monthly V",AV25*(1+$BD$2),$AP25="Monthly F",12,$AP25="One-Time",0),AV25*(1+$BD$2))</f>
        <v>60000</v>
      </c>
      <c r="AX25" s="14" cm="1">
        <f t="array" ref="AX25">IFERROR(_xlfn.IFS(VALUE(MID(AX$5,6,1))&gt;$D$2,0,$AP25="Annual",1,AW25=12,12,$AP25="Monthly V",AW25*(1+$BD$2),$AP25="Monthly F",12,$AP25="One-Time",0),AW25*(1+$BD$2))</f>
        <v>60000</v>
      </c>
      <c r="AY25" s="14" cm="1">
        <f t="array" ref="AY25">IFERROR(_xlfn.IFS(VALUE(MID(AY$5,6,1))&gt;$D$2,0,$AP25="Annual",1,AX25=12,12,$AP25="Monthly V",AX25*(1+$D$3),$AP25="Monthly F",12,$AP25="One-Time",0),AX25*(1+$D$3))</f>
        <v>0</v>
      </c>
      <c r="AZ25" s="14" cm="1">
        <f t="array" ref="AZ25">IFERROR(_xlfn.IFS(VALUE(MID(AZ$5,6,1))&gt;$D$2,0,$AP25="Annual",1,AY25=12,12,$AP25="Monthly V",AY25*(1+$D$3),$AP25="Monthly F",12,$AP25="One-Time",0),AY25*(1+$D$3))</f>
        <v>0</v>
      </c>
      <c r="BA25" s="125" cm="1">
        <f t="array" ref="BA25">IFERROR(_xlfn.IFS(VALUE(MID(BA$5,6,2))&gt;$D$2,0,$AP25="Annual",1,AZ25=12,12,$AP25="Monthly V",AZ25*(1+$D$3),$AP25="Monthly F",12,$AP25="One-Time",0),AZ25*(1+$D$3))</f>
        <v>0</v>
      </c>
      <c r="BB25" s="148" t="s">
        <v>172</v>
      </c>
      <c r="BC25" s="38" t="s">
        <v>222</v>
      </c>
      <c r="BD25" s="36">
        <v>0.184</v>
      </c>
      <c r="BE25" s="21">
        <f t="shared" si="16"/>
        <v>920</v>
      </c>
      <c r="BF25" s="39">
        <f t="shared" si="44"/>
        <v>11040</v>
      </c>
      <c r="BG25" s="39">
        <f t="shared" si="17"/>
        <v>11040</v>
      </c>
      <c r="BH25" s="39">
        <f t="shared" si="18"/>
        <v>11040</v>
      </c>
      <c r="BI25" s="39">
        <f t="shared" si="19"/>
        <v>11371.2</v>
      </c>
      <c r="BJ25" s="39">
        <f t="shared" ref="BJ25:BL25" si="142">BI25*1.03</f>
        <v>11712.336000000001</v>
      </c>
      <c r="BK25" s="39">
        <f t="shared" si="142"/>
        <v>12063.706080000002</v>
      </c>
      <c r="BL25" s="39">
        <f t="shared" si="142"/>
        <v>12425.617262400003</v>
      </c>
      <c r="BM25" s="39">
        <f t="shared" ref="BM25:BO33" si="143">IFERROR(AY25*$BD25,0)</f>
        <v>0</v>
      </c>
      <c r="BN25" s="39">
        <f t="shared" si="143"/>
        <v>0</v>
      </c>
      <c r="BO25" s="39">
        <f t="shared" si="143"/>
        <v>0</v>
      </c>
      <c r="BP25" s="40"/>
      <c r="BQ25" s="40">
        <f t="shared" si="24"/>
        <v>331.20000000000027</v>
      </c>
      <c r="BR25" s="40">
        <f t="shared" si="25"/>
        <v>672.33599999999944</v>
      </c>
      <c r="BS25" s="40">
        <f t="shared" si="26"/>
        <v>1054.4172624</v>
      </c>
      <c r="BT25" s="40">
        <f t="shared" si="27"/>
        <v>1470.0013536801591</v>
      </c>
      <c r="BU25" s="40">
        <f t="shared" si="28"/>
        <v>1921.4356185192801</v>
      </c>
      <c r="BV25" s="40">
        <f t="shared" si="29"/>
        <v>2411.2195655591054</v>
      </c>
      <c r="BW25" s="40">
        <f t="shared" si="30"/>
        <v>0</v>
      </c>
      <c r="BX25" s="40">
        <f t="shared" si="31"/>
        <v>0</v>
      </c>
      <c r="BY25" s="40">
        <f t="shared" si="32"/>
        <v>0</v>
      </c>
      <c r="BZ25" s="40">
        <f t="shared" si="33"/>
        <v>7860.6098001585451</v>
      </c>
      <c r="CA25" s="37">
        <f t="shared" si="9"/>
        <v>88553.469142558548</v>
      </c>
      <c r="CC25" s="102"/>
      <c r="CD25" s="12"/>
      <c r="CE25" s="14">
        <f t="shared" si="10"/>
        <v>0</v>
      </c>
      <c r="CF25" s="14" cm="1">
        <f t="array" ref="CF25">IFERROR(_xlfn.IFS(VALUE(MID(CF$5,6,1))&gt;$D$2,0,$CC25="Annual",1,CE25=12,12,$CC25="Monthly V",CE25*(1+$D$3),$CC25="Monthly F",12,$CC25="One-Time",0),CE25*(1+$D$3))</f>
        <v>0</v>
      </c>
      <c r="CG25" s="14" cm="1">
        <f t="array" ref="CG25">IFERROR(_xlfn.IFS(VALUE(MID(CG$5,6,1))&gt;$D$2,0,$CC25="Annual",1,CF25=12,12,$CC25="Monthly V",CF25*(1+$D$3),$CC25="Monthly F",12,$CC25="One-Time",0),CF25*(1+$D$3))</f>
        <v>0</v>
      </c>
      <c r="CH25" s="14" cm="1">
        <f t="array" ref="CH25">IFERROR(_xlfn.IFS(VALUE(MID(CH$5,6,1))&gt;$D$2,0,$CC25="Annual",1,CG25=12,12,$CC25="Monthly V",CG25*(1+$D$3),$CC25="Monthly F",12,$CC25="One-Time",0),CG25*(1+$D$3))</f>
        <v>0</v>
      </c>
      <c r="CI25" s="14" cm="1">
        <f t="array" ref="CI25">IFERROR(_xlfn.IFS(VALUE(MID(CI$5,6,1))&gt;$D$2,0,$CC25="Annual",1,CH25=12,12,$CC25="Monthly V",CH25*(1+$D$3),$CC25="Monthly F",12,$CC25="One-Time",0),CH25*(1+$D$3))</f>
        <v>0</v>
      </c>
      <c r="CJ25" s="14" cm="1">
        <f t="array" ref="CJ25">IFERROR(_xlfn.IFS(VALUE(MID(CJ$5,6,1))&gt;$D$2,0,$CC25="Annual",1,CI25=12,12,$CC25="Monthly V",CI25*(1+$D$3),$CC25="Monthly F",12,$CC25="One-Time",0),CI25*(1+$D$3))</f>
        <v>0</v>
      </c>
      <c r="CK25" s="14" cm="1">
        <f t="array" ref="CK25">IFERROR(_xlfn.IFS(VALUE(MID(CK$5,6,1))&gt;$D$2,0,$CC25="Annual",1,CJ25=12,12,$CC25="Monthly V",CJ25*(1+$D$3),$CC25="Monthly F",12,$CC25="One-Time",0),CJ25*(1+$D$3))</f>
        <v>0</v>
      </c>
      <c r="CL25" s="14" cm="1">
        <f t="array" ref="CL25">IFERROR(_xlfn.IFS(VALUE(MID(CL$5,6,1))&gt;$D$2,0,$CC25="Annual",1,CK25=12,12,$CC25="Monthly V",CK25*(1+$D$3),$CC25="Monthly F",12,$CC25="One-Time",0),CK25*(1+$D$3))</f>
        <v>0</v>
      </c>
      <c r="CM25" s="14" cm="1">
        <f t="array" ref="CM25">IFERROR(_xlfn.IFS(VALUE(MID(CM$5,6,1))&gt;$D$2,0,$CC25="Annual",1,CL25=12,12,$CC25="Monthly V",CL25*(1+$D$3),$CC25="Monthly F",12,$CC25="One-Time",0),CL25*(1+$D$3))</f>
        <v>0</v>
      </c>
      <c r="CN25" s="24" cm="1">
        <f t="array" ref="CN25">IFERROR(_xlfn.IFS(VALUE(MID(CN$5,6,2))&gt;$D$2,0,$CC25="Annual",1,CM25=12,12,$CC25="Monthly V",CM25*(1+$D$3),$CC25="Monthly F",12,$CC25="One-Time",0),CM25*(1+$D$3))</f>
        <v>0</v>
      </c>
      <c r="CO25" s="63"/>
      <c r="CP25" s="53"/>
      <c r="CQ25" s="21">
        <f t="shared" si="11"/>
        <v>0</v>
      </c>
      <c r="CR25" s="55">
        <f t="shared" ref="CR25:DA33" si="144">IFERROR(CE25*$CP25,0)</f>
        <v>0</v>
      </c>
      <c r="CS25" s="55">
        <f t="shared" si="144"/>
        <v>0</v>
      </c>
      <c r="CT25" s="55">
        <f t="shared" si="144"/>
        <v>0</v>
      </c>
      <c r="CU25" s="55">
        <f t="shared" si="144"/>
        <v>0</v>
      </c>
      <c r="CV25" s="55">
        <f t="shared" si="144"/>
        <v>0</v>
      </c>
      <c r="CW25" s="55">
        <f t="shared" si="144"/>
        <v>0</v>
      </c>
      <c r="CX25" s="55">
        <f t="shared" si="144"/>
        <v>0</v>
      </c>
      <c r="CY25" s="55">
        <f t="shared" si="144"/>
        <v>0</v>
      </c>
      <c r="CZ25" s="55">
        <f t="shared" si="144"/>
        <v>0</v>
      </c>
      <c r="DA25" s="55">
        <f t="shared" si="144"/>
        <v>0</v>
      </c>
      <c r="DB25" s="56"/>
      <c r="DC25" s="56">
        <f t="shared" si="34"/>
        <v>0</v>
      </c>
      <c r="DD25" s="56">
        <f t="shared" si="35"/>
        <v>0</v>
      </c>
      <c r="DE25" s="56">
        <f t="shared" si="36"/>
        <v>0</v>
      </c>
      <c r="DF25" s="56">
        <f t="shared" si="37"/>
        <v>0</v>
      </c>
      <c r="DG25" s="56">
        <f t="shared" si="38"/>
        <v>0</v>
      </c>
      <c r="DH25" s="56">
        <f t="shared" si="39"/>
        <v>0</v>
      </c>
      <c r="DI25" s="56">
        <f t="shared" si="40"/>
        <v>0</v>
      </c>
      <c r="DJ25" s="56">
        <f t="shared" si="41"/>
        <v>0</v>
      </c>
      <c r="DK25" s="56">
        <f t="shared" si="42"/>
        <v>0</v>
      </c>
      <c r="DL25" s="57">
        <f t="shared" si="43"/>
        <v>0</v>
      </c>
      <c r="DM25" s="54">
        <f t="shared" si="13"/>
        <v>0</v>
      </c>
      <c r="DO25" s="106"/>
    </row>
    <row r="26" spans="2:119" x14ac:dyDescent="0.25">
      <c r="B26" s="141" t="s">
        <v>0</v>
      </c>
      <c r="C26" s="24">
        <v>1</v>
      </c>
      <c r="D26" s="147">
        <f t="shared" ref="D26:D28" si="145">IFERROR(AVERAGE(C26:C26),0)</f>
        <v>1</v>
      </c>
      <c r="E26" s="142">
        <f t="shared" ref="E26:E28" si="146">IF($B26="Annual",1,IF($B26="Monthly F",12,IF($B26="Monthly V",D26*12,IF($B26="One-Time",1,D26*12))))</f>
        <v>12</v>
      </c>
      <c r="F26" s="14" cm="1">
        <f t="array" ref="F26">IFERROR(_xlfn.IFS(VALUE(MID(F$5,6,1))&gt;$D$2,0,$B26="Annual",1,E26=12,12,$B26="Monthly V",E26*(1+$D$3),$B26="Monthly F",12,$B26="One-Time",0),E26*(1+$D$3))</f>
        <v>12</v>
      </c>
      <c r="G26" s="14" cm="1">
        <f t="array" ref="G26">IFERROR(_xlfn.IFS(VALUE(MID(G$5,6,1))&gt;$D$2,0,$B26="Annual",1,F26=12,12,$B26="Monthly V",F26*(1+$D$3),$B26="Monthly F",12,$B26="One-Time",0),F26*(1+$D$3))</f>
        <v>12</v>
      </c>
      <c r="H26" s="14" cm="1">
        <f t="array" ref="H26">IFERROR(_xlfn.IFS(VALUE(MID(H$5,6,1))&gt;$D$2,0,$B26="Annual",1,G26=12,12,$B26="Monthly V",G26*(1+$D$3),$B26="Monthly F",12,$B26="One-Time",0),G26*(1+$D$3))</f>
        <v>12</v>
      </c>
      <c r="I26" s="14" cm="1">
        <f t="array" ref="I26">IFERROR(_xlfn.IFS(VALUE(MID(I$5,6,1))&gt;$D$2,0,$B26="Annual",1,H26=12,12,$B26="Monthly V",H26*(1+$D$3),$B26="Monthly F",12,$B26="One-Time",0),H26*(1+$D$3))</f>
        <v>12</v>
      </c>
      <c r="J26" s="14" cm="1">
        <f t="array" ref="J26">IFERROR(_xlfn.IFS(VALUE(MID(J$5,6,1))&gt;$D$2,0,$B26="Annual",1,I26=12,12,$B26="Monthly V",I26*(1+$D$3),$B26="Monthly F",12,$B26="One-Time",0),I26*(1+$D$3))</f>
        <v>12</v>
      </c>
      <c r="K26" s="14" cm="1">
        <f t="array" ref="K26">IFERROR(_xlfn.IFS(VALUE(MID(K$5,6,1))&gt;$D$2,0,$B26="Annual",1,J26=12,12,$B26="Monthly V",J26*(1+$D$3),$B26="Monthly F",12,$B26="One-Time",0),J26*(1+$D$3))</f>
        <v>12</v>
      </c>
      <c r="L26" s="14" cm="1">
        <f t="array" ref="L26">IFERROR(_xlfn.IFS(VALUE(MID(L$5,6,1))&gt;$D$2,0,$B26="Annual",1,K26=12,12,$B26="Monthly V",K26*(1+$D$3),$B26="Monthly F",12,$B26="One-Time",0),K26*(1+$D$3))</f>
        <v>0</v>
      </c>
      <c r="M26" s="14" cm="1">
        <f t="array" ref="M26">IFERROR(_xlfn.IFS(VALUE(MID(M$5,6,1))&gt;$D$2,0,$B26="Annual",1,L26=12,12,$B26="Monthly V",L26*(1+$D$3),$B26="Monthly F",12,$B26="One-Time",0),L26*(1+$D$3))</f>
        <v>0</v>
      </c>
      <c r="N26" s="24" cm="1">
        <f t="array" ref="N26">IFERROR(_xlfn.IFS(VALUE(MID(N$5,6,2))&gt;$D$2,0,$B26="Annual",1,M26=12,12,$B26="Monthly V",M26*(1+$D$3),$B26="Monthly F",12,$B26="One-Time",0),M26*(1+$D$3))</f>
        <v>0</v>
      </c>
      <c r="O26" s="155" t="s">
        <v>71</v>
      </c>
      <c r="P26" s="13" t="s">
        <v>87</v>
      </c>
      <c r="Q26" s="20">
        <v>500</v>
      </c>
      <c r="R26" s="21">
        <f t="shared" si="124"/>
        <v>500</v>
      </c>
      <c r="S26" s="6">
        <f t="shared" si="125"/>
        <v>6000</v>
      </c>
      <c r="T26" s="6">
        <f t="shared" si="125"/>
        <v>6000</v>
      </c>
      <c r="U26" s="6">
        <f t="shared" si="125"/>
        <v>6000</v>
      </c>
      <c r="V26" s="6">
        <f t="shared" si="125"/>
        <v>6000</v>
      </c>
      <c r="W26" s="6">
        <f t="shared" si="125"/>
        <v>6000</v>
      </c>
      <c r="X26" s="6">
        <f t="shared" si="125"/>
        <v>6000</v>
      </c>
      <c r="Y26" s="6">
        <f t="shared" si="125"/>
        <v>6000</v>
      </c>
      <c r="Z26" s="6">
        <f t="shared" si="125"/>
        <v>0</v>
      </c>
      <c r="AA26" s="6">
        <f t="shared" si="125"/>
        <v>0</v>
      </c>
      <c r="AB26" s="6">
        <f t="shared" si="125"/>
        <v>0</v>
      </c>
      <c r="AC26" s="7"/>
      <c r="AD26" s="152">
        <f t="shared" si="126"/>
        <v>180.00000000000017</v>
      </c>
      <c r="AE26" s="152">
        <f t="shared" si="127"/>
        <v>365.39999999999975</v>
      </c>
      <c r="AF26" s="152">
        <f t="shared" si="128"/>
        <v>556.36200000000008</v>
      </c>
      <c r="AG26" s="152">
        <f t="shared" si="129"/>
        <v>753.05285999999944</v>
      </c>
      <c r="AH26" s="152">
        <f t="shared" si="130"/>
        <v>955.64444579999906</v>
      </c>
      <c r="AI26" s="152">
        <f t="shared" si="131"/>
        <v>1164.3137791739994</v>
      </c>
      <c r="AJ26" s="152">
        <f t="shared" si="132"/>
        <v>0</v>
      </c>
      <c r="AK26" s="152">
        <f t="shared" si="133"/>
        <v>0</v>
      </c>
      <c r="AL26" s="152">
        <f t="shared" si="134"/>
        <v>0</v>
      </c>
      <c r="AM26" s="9">
        <f t="shared" si="135"/>
        <v>3974.7730849739983</v>
      </c>
      <c r="AN26" s="80">
        <f t="shared" si="136"/>
        <v>45974.773084973996</v>
      </c>
      <c r="AP26" s="102" t="s">
        <v>0</v>
      </c>
      <c r="AQ26" s="12">
        <v>1</v>
      </c>
      <c r="AR26" s="14">
        <f t="shared" si="15"/>
        <v>12</v>
      </c>
      <c r="AS26" s="14" cm="1">
        <f t="array" ref="AS26">IFERROR(_xlfn.IFS(VALUE(MID(AS$5,6,1))&gt;$D$2,0,$AP26="Annual",1,AR26=12,12,$AP26="Monthly V",AR26*(1+$BD$2),$AP26="Monthly F",12,$AP26="One-Time",0),AR26*(1+$BD$2))</f>
        <v>12</v>
      </c>
      <c r="AT26" s="14" cm="1">
        <f t="array" ref="AT26">IFERROR(_xlfn.IFS(VALUE(MID(AT$5,6,1))&gt;$D$2,0,$AP26="Annual",1,AS26=12,12,$AP26="Monthly V",AS26*(1+$BD$2),$AP26="Monthly F",12,$AP26="One-Time",0),AS26*(1+$BD$2))</f>
        <v>12</v>
      </c>
      <c r="AU26" s="14" cm="1">
        <f t="array" ref="AU26">IFERROR(_xlfn.IFS(VALUE(MID(AU$5,6,1))&gt;$D$2,0,$AP26="Annual",1,AT26=12,12,$AP26="Monthly V",AT26*(1+$BD$2),$AP26="Monthly F",12,$AP26="One-Time",0),AT26*(1+$BD$2))</f>
        <v>12</v>
      </c>
      <c r="AV26" s="14" cm="1">
        <f t="array" ref="AV26">IFERROR(_xlfn.IFS(VALUE(MID(AV$5,6,1))&gt;$D$2,0,$AP26="Annual",1,AU26=12,12,$AP26="Monthly V",AU26*(1+$BD$2),$AP26="Monthly F",12,$AP26="One-Time",0),AU26*(1+$BD$2))</f>
        <v>12</v>
      </c>
      <c r="AW26" s="14" cm="1">
        <f t="array" ref="AW26">IFERROR(_xlfn.IFS(VALUE(MID(AW$5,6,1))&gt;$D$2,0,$AP26="Annual",1,AV26=12,12,$AP26="Monthly V",AV26*(1+$BD$2),$AP26="Monthly F",12,$AP26="One-Time",0),AV26*(1+$BD$2))</f>
        <v>12</v>
      </c>
      <c r="AX26" s="14" cm="1">
        <f t="array" ref="AX26">IFERROR(_xlfn.IFS(VALUE(MID(AX$5,6,1))&gt;$D$2,0,$AP26="Annual",1,AW26=12,12,$AP26="Monthly V",AW26*(1+$BD$2),$AP26="Monthly F",12,$AP26="One-Time",0),AW26*(1+$BD$2))</f>
        <v>12</v>
      </c>
      <c r="AY26" s="14" cm="1">
        <f t="array" ref="AY26">IFERROR(_xlfn.IFS(VALUE(MID(AY$5,6,1))&gt;$D$2,0,$AP26="Annual",1,AX26=12,12,$AP26="Monthly V",AX26*(1+$D$3),$AP26="Monthly F",12,$AP26="One-Time",0),AX26*(1+$D$3))</f>
        <v>0</v>
      </c>
      <c r="AZ26" s="14" cm="1">
        <f t="array" ref="AZ26">IFERROR(_xlfn.IFS(VALUE(MID(AZ$5,6,1))&gt;$D$2,0,$AP26="Annual",1,AY26=12,12,$AP26="Monthly V",AY26*(1+$D$3),$AP26="Monthly F",12,$AP26="One-Time",0),AY26*(1+$D$3))</f>
        <v>0</v>
      </c>
      <c r="BA26" s="125" cm="1">
        <f t="array" ref="BA26">IFERROR(_xlfn.IFS(VALUE(MID(BA$5,6,2))&gt;$D$2,0,$AP26="Annual",1,AZ26=12,12,$AP26="Monthly V",AZ26*(1+$D$3),$AP26="Monthly F",12,$AP26="One-Time",0),AZ26*(1+$D$3))</f>
        <v>0</v>
      </c>
      <c r="BB26" s="148" t="s">
        <v>173</v>
      </c>
      <c r="BC26" s="38" t="s">
        <v>223</v>
      </c>
      <c r="BD26" s="36">
        <v>400</v>
      </c>
      <c r="BE26" s="21">
        <f t="shared" si="16"/>
        <v>400</v>
      </c>
      <c r="BF26" s="39">
        <f t="shared" si="44"/>
        <v>4800</v>
      </c>
      <c r="BG26" s="39">
        <f t="shared" si="17"/>
        <v>4800</v>
      </c>
      <c r="BH26" s="39">
        <f t="shared" si="18"/>
        <v>4800</v>
      </c>
      <c r="BI26" s="39">
        <f t="shared" si="19"/>
        <v>4944</v>
      </c>
      <c r="BJ26" s="39">
        <f t="shared" ref="BJ26:BL26" si="147">BI26*1.03</f>
        <v>5092.32</v>
      </c>
      <c r="BK26" s="39">
        <f t="shared" si="147"/>
        <v>5245.0896000000002</v>
      </c>
      <c r="BL26" s="39">
        <f t="shared" si="147"/>
        <v>5402.4422880000002</v>
      </c>
      <c r="BM26" s="39">
        <f t="shared" si="143"/>
        <v>0</v>
      </c>
      <c r="BN26" s="39">
        <f t="shared" si="143"/>
        <v>0</v>
      </c>
      <c r="BO26" s="39">
        <f t="shared" si="143"/>
        <v>0</v>
      </c>
      <c r="BP26" s="40"/>
      <c r="BQ26" s="40">
        <f t="shared" si="24"/>
        <v>144.00000000000011</v>
      </c>
      <c r="BR26" s="40">
        <f t="shared" si="25"/>
        <v>292.31999999999977</v>
      </c>
      <c r="BS26" s="40">
        <f t="shared" si="26"/>
        <v>458.44228800000002</v>
      </c>
      <c r="BT26" s="40">
        <f t="shared" si="27"/>
        <v>639.13102333919949</v>
      </c>
      <c r="BU26" s="40">
        <f t="shared" si="28"/>
        <v>835.40679066055657</v>
      </c>
      <c r="BV26" s="40">
        <f t="shared" si="29"/>
        <v>1048.3563328517848</v>
      </c>
      <c r="BW26" s="40">
        <f t="shared" si="30"/>
        <v>0</v>
      </c>
      <c r="BX26" s="40">
        <f t="shared" si="31"/>
        <v>0</v>
      </c>
      <c r="BY26" s="40">
        <f t="shared" si="32"/>
        <v>0</v>
      </c>
      <c r="BZ26" s="40">
        <f t="shared" si="33"/>
        <v>3417.6564348515408</v>
      </c>
      <c r="CA26" s="37">
        <f t="shared" si="9"/>
        <v>38501.508322851536</v>
      </c>
      <c r="CC26" s="102"/>
      <c r="CD26" s="12"/>
      <c r="CE26" s="14">
        <f t="shared" si="10"/>
        <v>0</v>
      </c>
      <c r="CF26" s="14" cm="1">
        <f t="array" ref="CF26">IFERROR(_xlfn.IFS(VALUE(MID(CF$5,6,1))&gt;$D$2,0,$CC26="Annual",1,CE26=12,12,$CC26="Monthly V",CE26*(1+$D$3),$CC26="Monthly F",12,$CC26="One-Time",0),CE26*(1+$D$3))</f>
        <v>0</v>
      </c>
      <c r="CG26" s="14" cm="1">
        <f t="array" ref="CG26">IFERROR(_xlfn.IFS(VALUE(MID(CG$5,6,1))&gt;$D$2,0,$CC26="Annual",1,CF26=12,12,$CC26="Monthly V",CF26*(1+$D$3),$CC26="Monthly F",12,$CC26="One-Time",0),CF26*(1+$D$3))</f>
        <v>0</v>
      </c>
      <c r="CH26" s="14" cm="1">
        <f t="array" ref="CH26">IFERROR(_xlfn.IFS(VALUE(MID(CH$5,6,1))&gt;$D$2,0,$CC26="Annual",1,CG26=12,12,$CC26="Monthly V",CG26*(1+$D$3),$CC26="Monthly F",12,$CC26="One-Time",0),CG26*(1+$D$3))</f>
        <v>0</v>
      </c>
      <c r="CI26" s="14" cm="1">
        <f t="array" ref="CI26">IFERROR(_xlfn.IFS(VALUE(MID(CI$5,6,1))&gt;$D$2,0,$CC26="Annual",1,CH26=12,12,$CC26="Monthly V",CH26*(1+$D$3),$CC26="Monthly F",12,$CC26="One-Time",0),CH26*(1+$D$3))</f>
        <v>0</v>
      </c>
      <c r="CJ26" s="14" cm="1">
        <f t="array" ref="CJ26">IFERROR(_xlfn.IFS(VALUE(MID(CJ$5,6,1))&gt;$D$2,0,$CC26="Annual",1,CI26=12,12,$CC26="Monthly V",CI26*(1+$D$3),$CC26="Monthly F",12,$CC26="One-Time",0),CI26*(1+$D$3))</f>
        <v>0</v>
      </c>
      <c r="CK26" s="14" cm="1">
        <f t="array" ref="CK26">IFERROR(_xlfn.IFS(VALUE(MID(CK$5,6,1))&gt;$D$2,0,$CC26="Annual",1,CJ26=12,12,$CC26="Monthly V",CJ26*(1+$D$3),$CC26="Monthly F",12,$CC26="One-Time",0),CJ26*(1+$D$3))</f>
        <v>0</v>
      </c>
      <c r="CL26" s="14" cm="1">
        <f t="array" ref="CL26">IFERROR(_xlfn.IFS(VALUE(MID(CL$5,6,1))&gt;$D$2,0,$CC26="Annual",1,CK26=12,12,$CC26="Monthly V",CK26*(1+$D$3),$CC26="Monthly F",12,$CC26="One-Time",0),CK26*(1+$D$3))</f>
        <v>0</v>
      </c>
      <c r="CM26" s="14" cm="1">
        <f t="array" ref="CM26">IFERROR(_xlfn.IFS(VALUE(MID(CM$5,6,1))&gt;$D$2,0,$CC26="Annual",1,CL26=12,12,$CC26="Monthly V",CL26*(1+$D$3),$CC26="Monthly F",12,$CC26="One-Time",0),CL26*(1+$D$3))</f>
        <v>0</v>
      </c>
      <c r="CN26" s="24" cm="1">
        <f t="array" ref="CN26">IFERROR(_xlfn.IFS(VALUE(MID(CN$5,6,2))&gt;$D$2,0,$CC26="Annual",1,CM26=12,12,$CC26="Monthly V",CM26*(1+$D$3),$CC26="Monthly F",12,$CC26="One-Time",0),CM26*(1+$D$3))</f>
        <v>0</v>
      </c>
      <c r="CO26" s="63"/>
      <c r="CP26" s="53"/>
      <c r="CQ26" s="21">
        <f t="shared" si="11"/>
        <v>0</v>
      </c>
      <c r="CR26" s="55">
        <f t="shared" si="144"/>
        <v>0</v>
      </c>
      <c r="CS26" s="55">
        <f t="shared" si="144"/>
        <v>0</v>
      </c>
      <c r="CT26" s="55">
        <f t="shared" si="144"/>
        <v>0</v>
      </c>
      <c r="CU26" s="55">
        <f t="shared" si="144"/>
        <v>0</v>
      </c>
      <c r="CV26" s="55">
        <f t="shared" si="144"/>
        <v>0</v>
      </c>
      <c r="CW26" s="55">
        <f t="shared" si="144"/>
        <v>0</v>
      </c>
      <c r="CX26" s="55">
        <f t="shared" si="144"/>
        <v>0</v>
      </c>
      <c r="CY26" s="55">
        <f t="shared" si="144"/>
        <v>0</v>
      </c>
      <c r="CZ26" s="55">
        <f t="shared" si="144"/>
        <v>0</v>
      </c>
      <c r="DA26" s="55">
        <f t="shared" si="144"/>
        <v>0</v>
      </c>
      <c r="DB26" s="56"/>
      <c r="DC26" s="56">
        <f t="shared" si="34"/>
        <v>0</v>
      </c>
      <c r="DD26" s="56">
        <f t="shared" si="35"/>
        <v>0</v>
      </c>
      <c r="DE26" s="56">
        <f t="shared" si="36"/>
        <v>0</v>
      </c>
      <c r="DF26" s="56">
        <f t="shared" si="37"/>
        <v>0</v>
      </c>
      <c r="DG26" s="56">
        <f t="shared" si="38"/>
        <v>0</v>
      </c>
      <c r="DH26" s="56">
        <f t="shared" si="39"/>
        <v>0</v>
      </c>
      <c r="DI26" s="56">
        <f t="shared" si="40"/>
        <v>0</v>
      </c>
      <c r="DJ26" s="56">
        <f t="shared" si="41"/>
        <v>0</v>
      </c>
      <c r="DK26" s="56">
        <f t="shared" si="42"/>
        <v>0</v>
      </c>
      <c r="DL26" s="57">
        <f t="shared" si="43"/>
        <v>0</v>
      </c>
      <c r="DM26" s="54">
        <f t="shared" si="13"/>
        <v>0</v>
      </c>
      <c r="DO26" s="106"/>
    </row>
    <row r="27" spans="2:119" x14ac:dyDescent="0.25">
      <c r="B27" s="141" t="s">
        <v>1</v>
      </c>
      <c r="C27" s="24">
        <v>29</v>
      </c>
      <c r="D27" s="147">
        <f t="shared" si="145"/>
        <v>29</v>
      </c>
      <c r="E27" s="142">
        <f t="shared" si="146"/>
        <v>348</v>
      </c>
      <c r="F27" s="14" cm="1">
        <f t="array" ref="F27">IFERROR(_xlfn.IFS(VALUE(MID(F$5,6,1))&gt;$D$2,0,$B27="Annual",1,E27=12,12,$B27="Monthly V",E27*(1+$D$3),$B27="Monthly F",12,$B27="One-Time",0),E27*(1+$D$3))</f>
        <v>417.59999999999997</v>
      </c>
      <c r="G27" s="14" cm="1">
        <f t="array" ref="G27">IFERROR(_xlfn.IFS(VALUE(MID(G$5,6,1))&gt;$D$2,0,$B27="Annual",1,F27=12,12,$B27="Monthly V",F27*(1+$D$3),$B27="Monthly F",12,$B27="One-Time",0),F27*(1+$D$3))</f>
        <v>501.11999999999995</v>
      </c>
      <c r="H27" s="14" cm="1">
        <f t="array" ref="H27">IFERROR(_xlfn.IFS(VALUE(MID(H$5,6,1))&gt;$D$2,0,$B27="Annual",1,G27=12,12,$B27="Monthly V",G27*(1+$D$3),$B27="Monthly F",12,$B27="One-Time",0),G27*(1+$D$3))</f>
        <v>601.34399999999994</v>
      </c>
      <c r="I27" s="14" cm="1">
        <f t="array" ref="I27">IFERROR(_xlfn.IFS(VALUE(MID(I$5,6,1))&gt;$D$2,0,$B27="Annual",1,H27=12,12,$B27="Monthly V",H27*(1+$D$3),$B27="Monthly F",12,$B27="One-Time",0),H27*(1+$D$3))</f>
        <v>721.61279999999988</v>
      </c>
      <c r="J27" s="14" cm="1">
        <f t="array" ref="J27">IFERROR(_xlfn.IFS(VALUE(MID(J$5,6,1))&gt;$D$2,0,$B27="Annual",1,I27=12,12,$B27="Monthly V",I27*(1+$D$3),$B27="Monthly F",12,$B27="One-Time",0),I27*(1+$D$3))</f>
        <v>865.93535999999983</v>
      </c>
      <c r="K27" s="14" cm="1">
        <f t="array" ref="K27">IFERROR(_xlfn.IFS(VALUE(MID(K$5,6,1))&gt;$D$2,0,$B27="Annual",1,J27=12,12,$B27="Monthly V",J27*(1+$D$3),$B27="Monthly F",12,$B27="One-Time",0),J27*(1+$D$3))</f>
        <v>1039.1224319999997</v>
      </c>
      <c r="L27" s="14" cm="1">
        <f t="array" ref="L27">IFERROR(_xlfn.IFS(VALUE(MID(L$5,6,1))&gt;$D$2,0,$B27="Annual",1,K27=12,12,$B27="Monthly V",K27*(1+$D$3),$B27="Monthly F",12,$B27="One-Time",0),K27*(1+$D$3))</f>
        <v>0</v>
      </c>
      <c r="M27" s="14" cm="1">
        <f t="array" ref="M27">IFERROR(_xlfn.IFS(VALUE(MID(M$5,6,1))&gt;$D$2,0,$B27="Annual",1,L27=12,12,$B27="Monthly V",L27*(1+$D$3),$B27="Monthly F",12,$B27="One-Time",0),L27*(1+$D$3))</f>
        <v>0</v>
      </c>
      <c r="N27" s="24" cm="1">
        <f t="array" ref="N27">IFERROR(_xlfn.IFS(VALUE(MID(N$5,6,2))&gt;$D$2,0,$B27="Annual",1,M27=12,12,$B27="Monthly V",M27*(1+$D$3),$B27="Monthly F",12,$B27="One-Time",0),M27*(1+$D$3))</f>
        <v>0</v>
      </c>
      <c r="O27" s="155" t="s">
        <v>72</v>
      </c>
      <c r="P27" s="13" t="s">
        <v>87</v>
      </c>
      <c r="Q27" s="20">
        <v>12</v>
      </c>
      <c r="R27" s="21">
        <f t="shared" si="124"/>
        <v>348</v>
      </c>
      <c r="S27" s="6">
        <f t="shared" si="125"/>
        <v>4176</v>
      </c>
      <c r="T27" s="6">
        <f t="shared" si="125"/>
        <v>5011.2</v>
      </c>
      <c r="U27" s="6">
        <f t="shared" si="125"/>
        <v>6013.44</v>
      </c>
      <c r="V27" s="6">
        <f t="shared" si="125"/>
        <v>7216.1279999999988</v>
      </c>
      <c r="W27" s="6">
        <f t="shared" si="125"/>
        <v>8659.3535999999986</v>
      </c>
      <c r="X27" s="6">
        <f t="shared" si="125"/>
        <v>10391.224319999998</v>
      </c>
      <c r="Y27" s="6">
        <f t="shared" si="125"/>
        <v>12469.469183999996</v>
      </c>
      <c r="Z27" s="6">
        <f t="shared" si="125"/>
        <v>0</v>
      </c>
      <c r="AA27" s="6">
        <f t="shared" si="125"/>
        <v>0</v>
      </c>
      <c r="AB27" s="6">
        <f t="shared" si="125"/>
        <v>0</v>
      </c>
      <c r="AC27" s="7"/>
      <c r="AD27" s="152">
        <f t="shared" si="126"/>
        <v>150.33600000000013</v>
      </c>
      <c r="AE27" s="152">
        <f t="shared" si="127"/>
        <v>366.21849599999967</v>
      </c>
      <c r="AF27" s="152">
        <f t="shared" si="128"/>
        <v>669.12990105599988</v>
      </c>
      <c r="AG27" s="152">
        <f t="shared" si="129"/>
        <v>1086.8251657052151</v>
      </c>
      <c r="AH27" s="152">
        <f t="shared" si="130"/>
        <v>1655.0526344116449</v>
      </c>
      <c r="AI27" s="152">
        <f t="shared" si="131"/>
        <v>2419.729131652794</v>
      </c>
      <c r="AJ27" s="152">
        <f t="shared" si="132"/>
        <v>0</v>
      </c>
      <c r="AK27" s="152">
        <f t="shared" si="133"/>
        <v>0</v>
      </c>
      <c r="AL27" s="152">
        <f t="shared" si="134"/>
        <v>0</v>
      </c>
      <c r="AM27" s="9">
        <f t="shared" si="135"/>
        <v>6347.2913288256532</v>
      </c>
      <c r="AN27" s="80">
        <f t="shared" si="136"/>
        <v>60284.10643282564</v>
      </c>
      <c r="AP27" s="102" t="s">
        <v>0</v>
      </c>
      <c r="AQ27" s="12">
        <v>1</v>
      </c>
      <c r="AR27" s="14">
        <f t="shared" si="15"/>
        <v>12</v>
      </c>
      <c r="AS27" s="14" cm="1">
        <f t="array" ref="AS27">IFERROR(_xlfn.IFS(VALUE(MID(AS$5,6,1))&gt;$D$2,0,$AP27="Annual",1,AR27=12,12,$AP27="Monthly V",AR27*(1+$BD$2),$AP27="Monthly F",12,$AP27="One-Time",0),AR27*(1+$BD$2))</f>
        <v>12</v>
      </c>
      <c r="AT27" s="14" cm="1">
        <f t="array" ref="AT27">IFERROR(_xlfn.IFS(VALUE(MID(AT$5,6,1))&gt;$D$2,0,$AP27="Annual",1,AS27=12,12,$AP27="Monthly V",AS27*(1+$BD$2),$AP27="Monthly F",12,$AP27="One-Time",0),AS27*(1+$BD$2))</f>
        <v>12</v>
      </c>
      <c r="AU27" s="14" cm="1">
        <f t="array" ref="AU27">IFERROR(_xlfn.IFS(VALUE(MID(AU$5,6,1))&gt;$D$2,0,$AP27="Annual",1,AT27=12,12,$AP27="Monthly V",AT27*(1+$BD$2),$AP27="Monthly F",12,$AP27="One-Time",0),AT27*(1+$BD$2))</f>
        <v>12</v>
      </c>
      <c r="AV27" s="14" cm="1">
        <f t="array" ref="AV27">IFERROR(_xlfn.IFS(VALUE(MID(AV$5,6,1))&gt;$D$2,0,$AP27="Annual",1,AU27=12,12,$AP27="Monthly V",AU27*(1+$BD$2),$AP27="Monthly F",12,$AP27="One-Time",0),AU27*(1+$BD$2))</f>
        <v>12</v>
      </c>
      <c r="AW27" s="14" cm="1">
        <f t="array" ref="AW27">IFERROR(_xlfn.IFS(VALUE(MID(AW$5,6,1))&gt;$D$2,0,$AP27="Annual",1,AV27=12,12,$AP27="Monthly V",AV27*(1+$BD$2),$AP27="Monthly F",12,$AP27="One-Time",0),AV27*(1+$BD$2))</f>
        <v>12</v>
      </c>
      <c r="AX27" s="14" cm="1">
        <f t="array" ref="AX27">IFERROR(_xlfn.IFS(VALUE(MID(AX$5,6,1))&gt;$D$2,0,$AP27="Annual",1,AW27=12,12,$AP27="Monthly V",AW27*(1+$BD$2),$AP27="Monthly F",12,$AP27="One-Time",0),AW27*(1+$BD$2))</f>
        <v>12</v>
      </c>
      <c r="AY27" s="14" cm="1">
        <f t="array" ref="AY27">IFERROR(_xlfn.IFS(VALUE(MID(AY$5,6,1))&gt;$D$2,0,$AP27="Annual",1,AX27=12,12,$AP27="Monthly V",AX27*(1+$D$3),$AP27="Monthly F",12,$AP27="One-Time",0),AX27*(1+$D$3))</f>
        <v>0</v>
      </c>
      <c r="AZ27" s="14" cm="1">
        <f t="array" ref="AZ27">IFERROR(_xlfn.IFS(VALUE(MID(AZ$5,6,1))&gt;$D$2,0,$AP27="Annual",1,AY27=12,12,$AP27="Monthly V",AY27*(1+$D$3),$AP27="Monthly F",12,$AP27="One-Time",0),AY27*(1+$D$3))</f>
        <v>0</v>
      </c>
      <c r="BA27" s="125" cm="1">
        <f t="array" ref="BA27">IFERROR(_xlfn.IFS(VALUE(MID(BA$5,6,2))&gt;$D$2,0,$AP27="Annual",1,AZ27=12,12,$AP27="Monthly V",AZ27*(1+$D$3),$AP27="Monthly F",12,$AP27="One-Time",0),AZ27*(1+$D$3))</f>
        <v>0</v>
      </c>
      <c r="BB27" s="148" t="s">
        <v>174</v>
      </c>
      <c r="BC27" s="38" t="s">
        <v>224</v>
      </c>
      <c r="BD27" s="36">
        <v>450</v>
      </c>
      <c r="BE27" s="21">
        <f t="shared" si="16"/>
        <v>450</v>
      </c>
      <c r="BF27" s="39">
        <f t="shared" si="44"/>
        <v>5400</v>
      </c>
      <c r="BG27" s="39">
        <f t="shared" si="17"/>
        <v>5400</v>
      </c>
      <c r="BH27" s="39">
        <f t="shared" si="18"/>
        <v>5400</v>
      </c>
      <c r="BI27" s="39">
        <f t="shared" si="19"/>
        <v>5562</v>
      </c>
      <c r="BJ27" s="39">
        <f t="shared" ref="BJ27:BL27" si="148">BI27*1.03</f>
        <v>5728.8600000000006</v>
      </c>
      <c r="BK27" s="39">
        <f t="shared" si="148"/>
        <v>5900.7258000000011</v>
      </c>
      <c r="BL27" s="39">
        <f t="shared" si="148"/>
        <v>6077.7475740000009</v>
      </c>
      <c r="BM27" s="39">
        <f t="shared" si="143"/>
        <v>0</v>
      </c>
      <c r="BN27" s="39">
        <f t="shared" si="143"/>
        <v>0</v>
      </c>
      <c r="BO27" s="39">
        <f t="shared" si="143"/>
        <v>0</v>
      </c>
      <c r="BP27" s="40"/>
      <c r="BQ27" s="40">
        <f t="shared" si="24"/>
        <v>162.00000000000014</v>
      </c>
      <c r="BR27" s="40">
        <f t="shared" si="25"/>
        <v>328.85999999999973</v>
      </c>
      <c r="BS27" s="40">
        <f t="shared" si="26"/>
        <v>515.74757399999999</v>
      </c>
      <c r="BT27" s="40">
        <f t="shared" si="27"/>
        <v>719.02240125659955</v>
      </c>
      <c r="BU27" s="40">
        <f t="shared" si="28"/>
        <v>939.83263949312618</v>
      </c>
      <c r="BV27" s="40">
        <f t="shared" si="29"/>
        <v>1179.4008744582579</v>
      </c>
      <c r="BW27" s="40">
        <f t="shared" si="30"/>
        <v>0</v>
      </c>
      <c r="BX27" s="40">
        <f t="shared" si="31"/>
        <v>0</v>
      </c>
      <c r="BY27" s="40">
        <f t="shared" si="32"/>
        <v>0</v>
      </c>
      <c r="BZ27" s="40">
        <f t="shared" si="33"/>
        <v>3844.8634892079835</v>
      </c>
      <c r="CA27" s="37">
        <f t="shared" si="9"/>
        <v>43314.196863207988</v>
      </c>
      <c r="CC27" s="102"/>
      <c r="CD27" s="12"/>
      <c r="CE27" s="14">
        <f t="shared" si="10"/>
        <v>0</v>
      </c>
      <c r="CF27" s="14" cm="1">
        <f t="array" ref="CF27">IFERROR(_xlfn.IFS(VALUE(MID(CF$5,6,1))&gt;$D$2,0,$CC27="Annual",1,CE27=12,12,$CC27="Monthly V",CE27*(1+$D$3),$CC27="Monthly F",12,$CC27="One-Time",0),CE27*(1+$D$3))</f>
        <v>0</v>
      </c>
      <c r="CG27" s="14" cm="1">
        <f t="array" ref="CG27">IFERROR(_xlfn.IFS(VALUE(MID(CG$5,6,1))&gt;$D$2,0,$CC27="Annual",1,CF27=12,12,$CC27="Monthly V",CF27*(1+$D$3),$CC27="Monthly F",12,$CC27="One-Time",0),CF27*(1+$D$3))</f>
        <v>0</v>
      </c>
      <c r="CH27" s="14" cm="1">
        <f t="array" ref="CH27">IFERROR(_xlfn.IFS(VALUE(MID(CH$5,6,1))&gt;$D$2,0,$CC27="Annual",1,CG27=12,12,$CC27="Monthly V",CG27*(1+$D$3),$CC27="Monthly F",12,$CC27="One-Time",0),CG27*(1+$D$3))</f>
        <v>0</v>
      </c>
      <c r="CI27" s="14" cm="1">
        <f t="array" ref="CI27">IFERROR(_xlfn.IFS(VALUE(MID(CI$5,6,1))&gt;$D$2,0,$CC27="Annual",1,CH27=12,12,$CC27="Monthly V",CH27*(1+$D$3),$CC27="Monthly F",12,$CC27="One-Time",0),CH27*(1+$D$3))</f>
        <v>0</v>
      </c>
      <c r="CJ27" s="14" cm="1">
        <f t="array" ref="CJ27">IFERROR(_xlfn.IFS(VALUE(MID(CJ$5,6,1))&gt;$D$2,0,$CC27="Annual",1,CI27=12,12,$CC27="Monthly V",CI27*(1+$D$3),$CC27="Monthly F",12,$CC27="One-Time",0),CI27*(1+$D$3))</f>
        <v>0</v>
      </c>
      <c r="CK27" s="14" cm="1">
        <f t="array" ref="CK27">IFERROR(_xlfn.IFS(VALUE(MID(CK$5,6,1))&gt;$D$2,0,$CC27="Annual",1,CJ27=12,12,$CC27="Monthly V",CJ27*(1+$D$3),$CC27="Monthly F",12,$CC27="One-Time",0),CJ27*(1+$D$3))</f>
        <v>0</v>
      </c>
      <c r="CL27" s="14" cm="1">
        <f t="array" ref="CL27">IFERROR(_xlfn.IFS(VALUE(MID(CL$5,6,1))&gt;$D$2,0,$CC27="Annual",1,CK27=12,12,$CC27="Monthly V",CK27*(1+$D$3),$CC27="Monthly F",12,$CC27="One-Time",0),CK27*(1+$D$3))</f>
        <v>0</v>
      </c>
      <c r="CM27" s="14" cm="1">
        <f t="array" ref="CM27">IFERROR(_xlfn.IFS(VALUE(MID(CM$5,6,1))&gt;$D$2,0,$CC27="Annual",1,CL27=12,12,$CC27="Monthly V",CL27*(1+$D$3),$CC27="Monthly F",12,$CC27="One-Time",0),CL27*(1+$D$3))</f>
        <v>0</v>
      </c>
      <c r="CN27" s="24" cm="1">
        <f t="array" ref="CN27">IFERROR(_xlfn.IFS(VALUE(MID(CN$5,6,2))&gt;$D$2,0,$CC27="Annual",1,CM27=12,12,$CC27="Monthly V",CM27*(1+$D$3),$CC27="Monthly F",12,$CC27="One-Time",0),CM27*(1+$D$3))</f>
        <v>0</v>
      </c>
      <c r="CO27" s="63"/>
      <c r="CP27" s="53"/>
      <c r="CQ27" s="21">
        <f t="shared" si="11"/>
        <v>0</v>
      </c>
      <c r="CR27" s="55">
        <f t="shared" si="144"/>
        <v>0</v>
      </c>
      <c r="CS27" s="55">
        <f t="shared" si="144"/>
        <v>0</v>
      </c>
      <c r="CT27" s="55">
        <f t="shared" si="144"/>
        <v>0</v>
      </c>
      <c r="CU27" s="55">
        <f t="shared" si="144"/>
        <v>0</v>
      </c>
      <c r="CV27" s="55">
        <f t="shared" si="144"/>
        <v>0</v>
      </c>
      <c r="CW27" s="55">
        <f t="shared" si="144"/>
        <v>0</v>
      </c>
      <c r="CX27" s="55">
        <f t="shared" si="144"/>
        <v>0</v>
      </c>
      <c r="CY27" s="55">
        <f t="shared" si="144"/>
        <v>0</v>
      </c>
      <c r="CZ27" s="55">
        <f t="shared" si="144"/>
        <v>0</v>
      </c>
      <c r="DA27" s="55">
        <f t="shared" si="144"/>
        <v>0</v>
      </c>
      <c r="DB27" s="56"/>
      <c r="DC27" s="56">
        <f t="shared" si="34"/>
        <v>0</v>
      </c>
      <c r="DD27" s="56">
        <f t="shared" si="35"/>
        <v>0</v>
      </c>
      <c r="DE27" s="56">
        <f t="shared" si="36"/>
        <v>0</v>
      </c>
      <c r="DF27" s="56">
        <f t="shared" si="37"/>
        <v>0</v>
      </c>
      <c r="DG27" s="56">
        <f t="shared" si="38"/>
        <v>0</v>
      </c>
      <c r="DH27" s="56">
        <f t="shared" si="39"/>
        <v>0</v>
      </c>
      <c r="DI27" s="56">
        <f t="shared" si="40"/>
        <v>0</v>
      </c>
      <c r="DJ27" s="56">
        <f t="shared" si="41"/>
        <v>0</v>
      </c>
      <c r="DK27" s="56">
        <f t="shared" si="42"/>
        <v>0</v>
      </c>
      <c r="DL27" s="57">
        <f t="shared" si="43"/>
        <v>0</v>
      </c>
      <c r="DM27" s="54">
        <f t="shared" si="13"/>
        <v>0</v>
      </c>
      <c r="DO27" s="106"/>
    </row>
    <row r="28" spans="2:119" x14ac:dyDescent="0.25">
      <c r="B28" s="141" t="s">
        <v>1</v>
      </c>
      <c r="C28" s="24">
        <v>25</v>
      </c>
      <c r="D28" s="147">
        <f t="shared" si="145"/>
        <v>25</v>
      </c>
      <c r="E28" s="142">
        <f t="shared" si="146"/>
        <v>300</v>
      </c>
      <c r="F28" s="14" cm="1">
        <f t="array" ref="F28">IFERROR(_xlfn.IFS(VALUE(MID(F$5,6,1))&gt;$D$2,0,$B28="Annual",1,E28=12,12,$B28="Monthly V",E28*(1+$D$3),$B28="Monthly F",12,$B28="One-Time",0),E28*(1+$D$3))</f>
        <v>360</v>
      </c>
      <c r="G28" s="14" cm="1">
        <f t="array" ref="G28">IFERROR(_xlfn.IFS(VALUE(MID(G$5,6,1))&gt;$D$2,0,$B28="Annual",1,F28=12,12,$B28="Monthly V",F28*(1+$D$3),$B28="Monthly F",12,$B28="One-Time",0),F28*(1+$D$3))</f>
        <v>432</v>
      </c>
      <c r="H28" s="14" cm="1">
        <f t="array" ref="H28">IFERROR(_xlfn.IFS(VALUE(MID(H$5,6,1))&gt;$D$2,0,$B28="Annual",1,G28=12,12,$B28="Monthly V",G28*(1+$D$3),$B28="Monthly F",12,$B28="One-Time",0),G28*(1+$D$3))</f>
        <v>518.4</v>
      </c>
      <c r="I28" s="14" cm="1">
        <f t="array" ref="I28">IFERROR(_xlfn.IFS(VALUE(MID(I$5,6,1))&gt;$D$2,0,$B28="Annual",1,H28=12,12,$B28="Monthly V",H28*(1+$D$3),$B28="Monthly F",12,$B28="One-Time",0),H28*(1+$D$3))</f>
        <v>622.07999999999993</v>
      </c>
      <c r="J28" s="14" cm="1">
        <f t="array" ref="J28">IFERROR(_xlfn.IFS(VALUE(MID(J$5,6,1))&gt;$D$2,0,$B28="Annual",1,I28=12,12,$B28="Monthly V",I28*(1+$D$3),$B28="Monthly F",12,$B28="One-Time",0),I28*(1+$D$3))</f>
        <v>746.49599999999987</v>
      </c>
      <c r="K28" s="14" cm="1">
        <f t="array" ref="K28">IFERROR(_xlfn.IFS(VALUE(MID(K$5,6,1))&gt;$D$2,0,$B28="Annual",1,J28=12,12,$B28="Monthly V",J28*(1+$D$3),$B28="Monthly F",12,$B28="One-Time",0),J28*(1+$D$3))</f>
        <v>895.7951999999998</v>
      </c>
      <c r="L28" s="14" cm="1">
        <f t="array" ref="L28">IFERROR(_xlfn.IFS(VALUE(MID(L$5,6,1))&gt;$D$2,0,$B28="Annual",1,K28=12,12,$B28="Monthly V",K28*(1+$D$3),$B28="Monthly F",12,$B28="One-Time",0),K28*(1+$D$3))</f>
        <v>0</v>
      </c>
      <c r="M28" s="14" cm="1">
        <f t="array" ref="M28">IFERROR(_xlfn.IFS(VALUE(MID(M$5,6,1))&gt;$D$2,0,$B28="Annual",1,L28=12,12,$B28="Monthly V",L28*(1+$D$3),$B28="Monthly F",12,$B28="One-Time",0),L28*(1+$D$3))</f>
        <v>0</v>
      </c>
      <c r="N28" s="24" cm="1">
        <f t="array" ref="N28">IFERROR(_xlfn.IFS(VALUE(MID(N$5,6,2))&gt;$D$2,0,$B28="Annual",1,M28=12,12,$B28="Monthly V",M28*(1+$D$3),$B28="Monthly F",12,$B28="One-Time",0),M28*(1+$D$3))</f>
        <v>0</v>
      </c>
      <c r="O28" s="154" t="s">
        <v>73</v>
      </c>
      <c r="P28" s="13" t="s">
        <v>87</v>
      </c>
      <c r="Q28" s="20">
        <v>6.82</v>
      </c>
      <c r="R28" s="21">
        <f t="shared" si="124"/>
        <v>170.5</v>
      </c>
      <c r="S28" s="6">
        <f t="shared" si="125"/>
        <v>2046</v>
      </c>
      <c r="T28" s="6">
        <f t="shared" si="125"/>
        <v>2455.2000000000003</v>
      </c>
      <c r="U28" s="6">
        <f t="shared" si="125"/>
        <v>2946.2400000000002</v>
      </c>
      <c r="V28" s="6">
        <f t="shared" si="125"/>
        <v>3535.4879999999998</v>
      </c>
      <c r="W28" s="6">
        <f t="shared" si="125"/>
        <v>4242.5855999999994</v>
      </c>
      <c r="X28" s="6">
        <f t="shared" si="125"/>
        <v>5091.102719999999</v>
      </c>
      <c r="Y28" s="6">
        <f t="shared" si="125"/>
        <v>6109.3232639999987</v>
      </c>
      <c r="Z28" s="6">
        <f t="shared" si="125"/>
        <v>0</v>
      </c>
      <c r="AA28" s="6">
        <f t="shared" si="125"/>
        <v>0</v>
      </c>
      <c r="AB28" s="6">
        <f t="shared" si="125"/>
        <v>0</v>
      </c>
      <c r="AC28" s="7"/>
      <c r="AD28" s="152">
        <f t="shared" si="126"/>
        <v>73.656000000000077</v>
      </c>
      <c r="AE28" s="152">
        <f t="shared" si="127"/>
        <v>179.42601599999989</v>
      </c>
      <c r="AF28" s="152">
        <f t="shared" si="128"/>
        <v>327.83519577599998</v>
      </c>
      <c r="AG28" s="152">
        <f t="shared" si="129"/>
        <v>532.48186997913558</v>
      </c>
      <c r="AH28" s="152">
        <f t="shared" si="130"/>
        <v>810.8806728942111</v>
      </c>
      <c r="AI28" s="152">
        <f t="shared" si="131"/>
        <v>1185.5282096172455</v>
      </c>
      <c r="AJ28" s="152">
        <f t="shared" si="132"/>
        <v>0</v>
      </c>
      <c r="AK28" s="152">
        <f t="shared" si="133"/>
        <v>0</v>
      </c>
      <c r="AL28" s="152">
        <f t="shared" si="134"/>
        <v>0</v>
      </c>
      <c r="AM28" s="9">
        <f t="shared" si="135"/>
        <v>3109.8079642665921</v>
      </c>
      <c r="AN28" s="80">
        <f t="shared" si="136"/>
        <v>29535.74754826659</v>
      </c>
      <c r="AP28" s="102" t="s">
        <v>0</v>
      </c>
      <c r="AQ28" s="12">
        <v>1</v>
      </c>
      <c r="AR28" s="14">
        <f t="shared" si="15"/>
        <v>12</v>
      </c>
      <c r="AS28" s="14" cm="1">
        <f t="array" ref="AS28">IFERROR(_xlfn.IFS(VALUE(MID(AS$5,6,1))&gt;$D$2,0,$AP28="Annual",1,AR28=12,12,$AP28="Monthly V",AR28*(1+$BD$2),$AP28="Monthly F",12,$AP28="One-Time",0),AR28*(1+$BD$2))</f>
        <v>12</v>
      </c>
      <c r="AT28" s="14" cm="1">
        <f t="array" ref="AT28">IFERROR(_xlfn.IFS(VALUE(MID(AT$5,6,1))&gt;$D$2,0,$AP28="Annual",1,AS28=12,12,$AP28="Monthly V",AS28*(1+$BD$2),$AP28="Monthly F",12,$AP28="One-Time",0),AS28*(1+$BD$2))</f>
        <v>12</v>
      </c>
      <c r="AU28" s="14" cm="1">
        <f t="array" ref="AU28">IFERROR(_xlfn.IFS(VALUE(MID(AU$5,6,1))&gt;$D$2,0,$AP28="Annual",1,AT28=12,12,$AP28="Monthly V",AT28*(1+$BD$2),$AP28="Monthly F",12,$AP28="One-Time",0),AT28*(1+$BD$2))</f>
        <v>12</v>
      </c>
      <c r="AV28" s="14" cm="1">
        <f t="array" ref="AV28">IFERROR(_xlfn.IFS(VALUE(MID(AV$5,6,1))&gt;$D$2,0,$AP28="Annual",1,AU28=12,12,$AP28="Monthly V",AU28*(1+$BD$2),$AP28="Monthly F",12,$AP28="One-Time",0),AU28*(1+$BD$2))</f>
        <v>12</v>
      </c>
      <c r="AW28" s="14" cm="1">
        <f t="array" ref="AW28">IFERROR(_xlfn.IFS(VALUE(MID(AW$5,6,1))&gt;$D$2,0,$AP28="Annual",1,AV28=12,12,$AP28="Monthly V",AV28*(1+$BD$2),$AP28="Monthly F",12,$AP28="One-Time",0),AV28*(1+$BD$2))</f>
        <v>12</v>
      </c>
      <c r="AX28" s="14" cm="1">
        <f t="array" ref="AX28">IFERROR(_xlfn.IFS(VALUE(MID(AX$5,6,1))&gt;$D$2,0,$AP28="Annual",1,AW28=12,12,$AP28="Monthly V",AW28*(1+$BD$2),$AP28="Monthly F",12,$AP28="One-Time",0),AW28*(1+$BD$2))</f>
        <v>12</v>
      </c>
      <c r="AY28" s="14" cm="1">
        <f t="array" ref="AY28">IFERROR(_xlfn.IFS(VALUE(MID(AY$5,6,1))&gt;$D$2,0,$AP28="Annual",1,AX28=12,12,$AP28="Monthly V",AX28*(1+$D$3),$AP28="Monthly F",12,$AP28="One-Time",0),AX28*(1+$D$3))</f>
        <v>0</v>
      </c>
      <c r="AZ28" s="14" cm="1">
        <f t="array" ref="AZ28">IFERROR(_xlfn.IFS(VALUE(MID(AZ$5,6,1))&gt;$D$2,0,$AP28="Annual",1,AY28=12,12,$AP28="Monthly V",AY28*(1+$D$3),$AP28="Monthly F",12,$AP28="One-Time",0),AY28*(1+$D$3))</f>
        <v>0</v>
      </c>
      <c r="BA28" s="125" cm="1">
        <f t="array" ref="BA28">IFERROR(_xlfn.IFS(VALUE(MID(BA$5,6,2))&gt;$D$2,0,$AP28="Annual",1,AZ28=12,12,$AP28="Monthly V",AZ28*(1+$D$3),$AP28="Monthly F",12,$AP28="One-Time",0),AZ28*(1+$D$3))</f>
        <v>0</v>
      </c>
      <c r="BB28" s="148" t="s">
        <v>175</v>
      </c>
      <c r="BC28" s="38" t="s">
        <v>224</v>
      </c>
      <c r="BD28" s="36">
        <v>300</v>
      </c>
      <c r="BE28" s="21">
        <f t="shared" si="16"/>
        <v>300</v>
      </c>
      <c r="BF28" s="39">
        <f t="shared" si="44"/>
        <v>3600</v>
      </c>
      <c r="BG28" s="39">
        <f t="shared" si="17"/>
        <v>3600</v>
      </c>
      <c r="BH28" s="39">
        <f t="shared" si="18"/>
        <v>3600</v>
      </c>
      <c r="BI28" s="39">
        <f t="shared" si="19"/>
        <v>3708</v>
      </c>
      <c r="BJ28" s="39">
        <f t="shared" ref="BJ28:BL28" si="149">BI28*1.03</f>
        <v>3819.2400000000002</v>
      </c>
      <c r="BK28" s="39">
        <f t="shared" si="149"/>
        <v>3933.8172000000004</v>
      </c>
      <c r="BL28" s="39">
        <f t="shared" si="149"/>
        <v>4051.8317160000006</v>
      </c>
      <c r="BM28" s="39">
        <f t="shared" si="143"/>
        <v>0</v>
      </c>
      <c r="BN28" s="39">
        <f t="shared" si="143"/>
        <v>0</v>
      </c>
      <c r="BO28" s="39">
        <f t="shared" si="143"/>
        <v>0</v>
      </c>
      <c r="BP28" s="40"/>
      <c r="BQ28" s="40">
        <f t="shared" si="24"/>
        <v>108.0000000000001</v>
      </c>
      <c r="BR28" s="40">
        <f t="shared" si="25"/>
        <v>219.23999999999984</v>
      </c>
      <c r="BS28" s="40">
        <f t="shared" si="26"/>
        <v>343.83171600000003</v>
      </c>
      <c r="BT28" s="40">
        <f t="shared" si="27"/>
        <v>479.3482675043997</v>
      </c>
      <c r="BU28" s="40">
        <f t="shared" si="28"/>
        <v>626.55509299541745</v>
      </c>
      <c r="BV28" s="40">
        <f t="shared" si="29"/>
        <v>786.26724963883862</v>
      </c>
      <c r="BW28" s="40">
        <f t="shared" si="30"/>
        <v>0</v>
      </c>
      <c r="BX28" s="40">
        <f t="shared" si="31"/>
        <v>0</v>
      </c>
      <c r="BY28" s="40">
        <f t="shared" si="32"/>
        <v>0</v>
      </c>
      <c r="BZ28" s="40">
        <f t="shared" si="33"/>
        <v>2563.2423261386557</v>
      </c>
      <c r="CA28" s="37">
        <f t="shared" si="9"/>
        <v>28876.131242138661</v>
      </c>
      <c r="CC28" s="102"/>
      <c r="CD28" s="12"/>
      <c r="CE28" s="14">
        <f t="shared" si="10"/>
        <v>0</v>
      </c>
      <c r="CF28" s="14" cm="1">
        <f t="array" ref="CF28">IFERROR(_xlfn.IFS(VALUE(MID(CF$5,6,1))&gt;$D$2,0,$CC28="Annual",1,CE28=12,12,$CC28="Monthly V",CE28*(1+$D$3),$CC28="Monthly F",12,$CC28="One-Time",0),CE28*(1+$D$3))</f>
        <v>0</v>
      </c>
      <c r="CG28" s="14" cm="1">
        <f t="array" ref="CG28">IFERROR(_xlfn.IFS(VALUE(MID(CG$5,6,1))&gt;$D$2,0,$CC28="Annual",1,CF28=12,12,$CC28="Monthly V",CF28*(1+$D$3),$CC28="Monthly F",12,$CC28="One-Time",0),CF28*(1+$D$3))</f>
        <v>0</v>
      </c>
      <c r="CH28" s="14" cm="1">
        <f t="array" ref="CH28">IFERROR(_xlfn.IFS(VALUE(MID(CH$5,6,1))&gt;$D$2,0,$CC28="Annual",1,CG28=12,12,$CC28="Monthly V",CG28*(1+$D$3),$CC28="Monthly F",12,$CC28="One-Time",0),CG28*(1+$D$3))</f>
        <v>0</v>
      </c>
      <c r="CI28" s="14" cm="1">
        <f t="array" ref="CI28">IFERROR(_xlfn.IFS(VALUE(MID(CI$5,6,1))&gt;$D$2,0,$CC28="Annual",1,CH28=12,12,$CC28="Monthly V",CH28*(1+$D$3),$CC28="Monthly F",12,$CC28="One-Time",0),CH28*(1+$D$3))</f>
        <v>0</v>
      </c>
      <c r="CJ28" s="14" cm="1">
        <f t="array" ref="CJ28">IFERROR(_xlfn.IFS(VALUE(MID(CJ$5,6,1))&gt;$D$2,0,$CC28="Annual",1,CI28=12,12,$CC28="Monthly V",CI28*(1+$D$3),$CC28="Monthly F",12,$CC28="One-Time",0),CI28*(1+$D$3))</f>
        <v>0</v>
      </c>
      <c r="CK28" s="14" cm="1">
        <f t="array" ref="CK28">IFERROR(_xlfn.IFS(VALUE(MID(CK$5,6,1))&gt;$D$2,0,$CC28="Annual",1,CJ28=12,12,$CC28="Monthly V",CJ28*(1+$D$3),$CC28="Monthly F",12,$CC28="One-Time",0),CJ28*(1+$D$3))</f>
        <v>0</v>
      </c>
      <c r="CL28" s="14" cm="1">
        <f t="array" ref="CL28">IFERROR(_xlfn.IFS(VALUE(MID(CL$5,6,1))&gt;$D$2,0,$CC28="Annual",1,CK28=12,12,$CC28="Monthly V",CK28*(1+$D$3),$CC28="Monthly F",12,$CC28="One-Time",0),CK28*(1+$D$3))</f>
        <v>0</v>
      </c>
      <c r="CM28" s="14" cm="1">
        <f t="array" ref="CM28">IFERROR(_xlfn.IFS(VALUE(MID(CM$5,6,1))&gt;$D$2,0,$CC28="Annual",1,CL28=12,12,$CC28="Monthly V",CL28*(1+$D$3),$CC28="Monthly F",12,$CC28="One-Time",0),CL28*(1+$D$3))</f>
        <v>0</v>
      </c>
      <c r="CN28" s="24" cm="1">
        <f t="array" ref="CN28">IFERROR(_xlfn.IFS(VALUE(MID(CN$5,6,2))&gt;$D$2,0,$CC28="Annual",1,CM28=12,12,$CC28="Monthly V",CM28*(1+$D$3),$CC28="Monthly F",12,$CC28="One-Time",0),CM28*(1+$D$3))</f>
        <v>0</v>
      </c>
      <c r="CO28" s="63"/>
      <c r="CP28" s="53"/>
      <c r="CQ28" s="21">
        <f t="shared" si="11"/>
        <v>0</v>
      </c>
      <c r="CR28" s="55">
        <f t="shared" si="144"/>
        <v>0</v>
      </c>
      <c r="CS28" s="55">
        <f t="shared" si="144"/>
        <v>0</v>
      </c>
      <c r="CT28" s="55">
        <f t="shared" si="144"/>
        <v>0</v>
      </c>
      <c r="CU28" s="55">
        <f t="shared" si="144"/>
        <v>0</v>
      </c>
      <c r="CV28" s="55">
        <f t="shared" si="144"/>
        <v>0</v>
      </c>
      <c r="CW28" s="55">
        <f t="shared" si="144"/>
        <v>0</v>
      </c>
      <c r="CX28" s="55">
        <f t="shared" si="144"/>
        <v>0</v>
      </c>
      <c r="CY28" s="55">
        <f t="shared" si="144"/>
        <v>0</v>
      </c>
      <c r="CZ28" s="55">
        <f t="shared" si="144"/>
        <v>0</v>
      </c>
      <c r="DA28" s="55">
        <f t="shared" si="144"/>
        <v>0</v>
      </c>
      <c r="DB28" s="56"/>
      <c r="DC28" s="56">
        <f t="shared" si="34"/>
        <v>0</v>
      </c>
      <c r="DD28" s="56">
        <f t="shared" si="35"/>
        <v>0</v>
      </c>
      <c r="DE28" s="56">
        <f t="shared" si="36"/>
        <v>0</v>
      </c>
      <c r="DF28" s="56">
        <f t="shared" si="37"/>
        <v>0</v>
      </c>
      <c r="DG28" s="56">
        <f t="shared" si="38"/>
        <v>0</v>
      </c>
      <c r="DH28" s="56">
        <f t="shared" si="39"/>
        <v>0</v>
      </c>
      <c r="DI28" s="56">
        <f t="shared" si="40"/>
        <v>0</v>
      </c>
      <c r="DJ28" s="56">
        <f t="shared" si="41"/>
        <v>0</v>
      </c>
      <c r="DK28" s="56">
        <f t="shared" si="42"/>
        <v>0</v>
      </c>
      <c r="DL28" s="57">
        <f t="shared" si="43"/>
        <v>0</v>
      </c>
      <c r="DM28" s="54">
        <f t="shared" si="13"/>
        <v>0</v>
      </c>
      <c r="DO28" s="106"/>
    </row>
    <row r="29" spans="2:119" x14ac:dyDescent="0.25">
      <c r="B29" s="141"/>
      <c r="C29" s="24"/>
      <c r="D29" s="147"/>
      <c r="E29" s="142"/>
      <c r="F29" s="14"/>
      <c r="G29" s="14"/>
      <c r="H29" s="14"/>
      <c r="I29" s="14"/>
      <c r="J29" s="14"/>
      <c r="K29" s="14"/>
      <c r="L29" s="14"/>
      <c r="M29" s="14"/>
      <c r="N29" s="24"/>
      <c r="O29" s="151" t="s">
        <v>74</v>
      </c>
      <c r="P29" s="13"/>
      <c r="Q29" s="20"/>
      <c r="R29" s="21">
        <f t="shared" si="124"/>
        <v>0</v>
      </c>
      <c r="S29" s="6">
        <f t="shared" si="125"/>
        <v>0</v>
      </c>
      <c r="T29" s="6">
        <f t="shared" si="125"/>
        <v>0</v>
      </c>
      <c r="U29" s="6">
        <f t="shared" si="125"/>
        <v>0</v>
      </c>
      <c r="V29" s="6">
        <f t="shared" si="125"/>
        <v>0</v>
      </c>
      <c r="W29" s="6">
        <f t="shared" si="125"/>
        <v>0</v>
      </c>
      <c r="X29" s="6">
        <f t="shared" si="125"/>
        <v>0</v>
      </c>
      <c r="Y29" s="6">
        <f t="shared" si="125"/>
        <v>0</v>
      </c>
      <c r="Z29" s="6">
        <f t="shared" si="125"/>
        <v>0</v>
      </c>
      <c r="AA29" s="6">
        <f t="shared" si="125"/>
        <v>0</v>
      </c>
      <c r="AB29" s="6">
        <f t="shared" si="125"/>
        <v>0</v>
      </c>
      <c r="AC29" s="7"/>
      <c r="AD29" s="152">
        <f t="shared" si="126"/>
        <v>0</v>
      </c>
      <c r="AE29" s="152">
        <f t="shared" si="127"/>
        <v>0</v>
      </c>
      <c r="AF29" s="152">
        <f t="shared" si="128"/>
        <v>0</v>
      </c>
      <c r="AG29" s="152">
        <f t="shared" si="129"/>
        <v>0</v>
      </c>
      <c r="AH29" s="152">
        <f t="shared" si="130"/>
        <v>0</v>
      </c>
      <c r="AI29" s="152">
        <f t="shared" si="131"/>
        <v>0</v>
      </c>
      <c r="AJ29" s="152">
        <f t="shared" si="132"/>
        <v>0</v>
      </c>
      <c r="AK29" s="152">
        <f t="shared" si="133"/>
        <v>0</v>
      </c>
      <c r="AL29" s="152">
        <f t="shared" si="134"/>
        <v>0</v>
      </c>
      <c r="AM29" s="9">
        <f t="shared" si="135"/>
        <v>0</v>
      </c>
      <c r="AN29" s="80">
        <f t="shared" si="136"/>
        <v>0</v>
      </c>
      <c r="AP29" s="102" t="s">
        <v>0</v>
      </c>
      <c r="AQ29" s="12">
        <v>1</v>
      </c>
      <c r="AR29" s="14">
        <f t="shared" si="15"/>
        <v>12</v>
      </c>
      <c r="AS29" s="14" cm="1">
        <f t="array" ref="AS29">IFERROR(_xlfn.IFS(VALUE(MID(AS$5,6,1))&gt;$D$2,0,$AP29="Annual",1,AR29=12,12,$AP29="Monthly V",AR29*(1+$BD$2),$AP29="Monthly F",12,$AP29="One-Time",0),AR29*(1+$BD$2))</f>
        <v>12</v>
      </c>
      <c r="AT29" s="14" cm="1">
        <f t="array" ref="AT29">IFERROR(_xlfn.IFS(VALUE(MID(AT$5,6,1))&gt;$D$2,0,$AP29="Annual",1,AS29=12,12,$AP29="Monthly V",AS29*(1+$BD$2),$AP29="Monthly F",12,$AP29="One-Time",0),AS29*(1+$BD$2))</f>
        <v>12</v>
      </c>
      <c r="AU29" s="14" cm="1">
        <f t="array" ref="AU29">IFERROR(_xlfn.IFS(VALUE(MID(AU$5,6,1))&gt;$D$2,0,$AP29="Annual",1,AT29=12,12,$AP29="Monthly V",AT29*(1+$BD$2),$AP29="Monthly F",12,$AP29="One-Time",0),AT29*(1+$BD$2))</f>
        <v>12</v>
      </c>
      <c r="AV29" s="14" cm="1">
        <f t="array" ref="AV29">IFERROR(_xlfn.IFS(VALUE(MID(AV$5,6,1))&gt;$D$2,0,$AP29="Annual",1,AU29=12,12,$AP29="Monthly V",AU29*(1+$BD$2),$AP29="Monthly F",12,$AP29="One-Time",0),AU29*(1+$BD$2))</f>
        <v>12</v>
      </c>
      <c r="AW29" s="14" cm="1">
        <f t="array" ref="AW29">IFERROR(_xlfn.IFS(VALUE(MID(AW$5,6,1))&gt;$D$2,0,$AP29="Annual",1,AV29=12,12,$AP29="Monthly V",AV29*(1+$BD$2),$AP29="Monthly F",12,$AP29="One-Time",0),AV29*(1+$BD$2))</f>
        <v>12</v>
      </c>
      <c r="AX29" s="14" cm="1">
        <f t="array" ref="AX29">IFERROR(_xlfn.IFS(VALUE(MID(AX$5,6,1))&gt;$D$2,0,$AP29="Annual",1,AW29=12,12,$AP29="Monthly V",AW29*(1+$BD$2),$AP29="Monthly F",12,$AP29="One-Time",0),AW29*(1+$BD$2))</f>
        <v>12</v>
      </c>
      <c r="AY29" s="14" cm="1">
        <f t="array" ref="AY29">IFERROR(_xlfn.IFS(VALUE(MID(AY$5,6,1))&gt;$D$2,0,$AP29="Annual",1,AX29=12,12,$AP29="Monthly V",AX29*(1+$D$3),$AP29="Monthly F",12,$AP29="One-Time",0),AX29*(1+$D$3))</f>
        <v>0</v>
      </c>
      <c r="AZ29" s="14" cm="1">
        <f t="array" ref="AZ29">IFERROR(_xlfn.IFS(VALUE(MID(AZ$5,6,1))&gt;$D$2,0,$AP29="Annual",1,AY29=12,12,$AP29="Monthly V",AY29*(1+$D$3),$AP29="Monthly F",12,$AP29="One-Time",0),AY29*(1+$D$3))</f>
        <v>0</v>
      </c>
      <c r="BA29" s="125" cm="1">
        <f t="array" ref="BA29">IFERROR(_xlfn.IFS(VALUE(MID(BA$5,6,2))&gt;$D$2,0,$AP29="Annual",1,AZ29=12,12,$AP29="Monthly V",AZ29*(1+$D$3),$AP29="Monthly F",12,$AP29="One-Time",0),AZ29*(1+$D$3))</f>
        <v>0</v>
      </c>
      <c r="BB29" s="148" t="s">
        <v>176</v>
      </c>
      <c r="BC29" s="38" t="s">
        <v>225</v>
      </c>
      <c r="BD29" s="36">
        <v>600</v>
      </c>
      <c r="BE29" s="21">
        <f t="shared" si="16"/>
        <v>600</v>
      </c>
      <c r="BF29" s="39">
        <f t="shared" si="44"/>
        <v>7200</v>
      </c>
      <c r="BG29" s="39">
        <f t="shared" si="17"/>
        <v>7200</v>
      </c>
      <c r="BH29" s="39">
        <f t="shared" si="18"/>
        <v>7200</v>
      </c>
      <c r="BI29" s="39">
        <f t="shared" si="19"/>
        <v>7416</v>
      </c>
      <c r="BJ29" s="39">
        <f t="shared" ref="BJ29:BL29" si="150">BI29*1.03</f>
        <v>7638.4800000000005</v>
      </c>
      <c r="BK29" s="39">
        <f t="shared" si="150"/>
        <v>7867.6344000000008</v>
      </c>
      <c r="BL29" s="39">
        <f t="shared" si="150"/>
        <v>8103.6634320000012</v>
      </c>
      <c r="BM29" s="39">
        <f t="shared" si="143"/>
        <v>0</v>
      </c>
      <c r="BN29" s="39">
        <f t="shared" si="143"/>
        <v>0</v>
      </c>
      <c r="BO29" s="39">
        <f t="shared" si="143"/>
        <v>0</v>
      </c>
      <c r="BP29" s="40"/>
      <c r="BQ29" s="40">
        <f t="shared" si="24"/>
        <v>216.0000000000002</v>
      </c>
      <c r="BR29" s="40">
        <f t="shared" si="25"/>
        <v>438.47999999999968</v>
      </c>
      <c r="BS29" s="40">
        <f t="shared" si="26"/>
        <v>687.66343200000006</v>
      </c>
      <c r="BT29" s="40">
        <f t="shared" si="27"/>
        <v>958.6965350087994</v>
      </c>
      <c r="BU29" s="40">
        <f t="shared" si="28"/>
        <v>1253.1101859908349</v>
      </c>
      <c r="BV29" s="40">
        <f t="shared" si="29"/>
        <v>1572.5344992776772</v>
      </c>
      <c r="BW29" s="40">
        <f t="shared" si="30"/>
        <v>0</v>
      </c>
      <c r="BX29" s="40">
        <f t="shared" si="31"/>
        <v>0</v>
      </c>
      <c r="BY29" s="40">
        <f t="shared" si="32"/>
        <v>0</v>
      </c>
      <c r="BZ29" s="40">
        <f t="shared" si="33"/>
        <v>5126.4846522773114</v>
      </c>
      <c r="CA29" s="37">
        <f t="shared" si="9"/>
        <v>57752.262484277322</v>
      </c>
      <c r="CC29" s="102"/>
      <c r="CD29" s="12"/>
      <c r="CE29" s="14">
        <f t="shared" si="10"/>
        <v>0</v>
      </c>
      <c r="CF29" s="14" cm="1">
        <f t="array" ref="CF29">IFERROR(_xlfn.IFS(VALUE(MID(CF$5,6,1))&gt;$D$2,0,$CC29="Annual",1,CE29=12,12,$CC29="Monthly V",CE29*(1+$D$3),$CC29="Monthly F",12,$CC29="One-Time",0),CE29*(1+$D$3))</f>
        <v>0</v>
      </c>
      <c r="CG29" s="14" cm="1">
        <f t="array" ref="CG29">IFERROR(_xlfn.IFS(VALUE(MID(CG$5,6,1))&gt;$D$2,0,$CC29="Annual",1,CF29=12,12,$CC29="Monthly V",CF29*(1+$D$3),$CC29="Monthly F",12,$CC29="One-Time",0),CF29*(1+$D$3))</f>
        <v>0</v>
      </c>
      <c r="CH29" s="14" cm="1">
        <f t="array" ref="CH29">IFERROR(_xlfn.IFS(VALUE(MID(CH$5,6,1))&gt;$D$2,0,$CC29="Annual",1,CG29=12,12,$CC29="Monthly V",CG29*(1+$D$3),$CC29="Monthly F",12,$CC29="One-Time",0),CG29*(1+$D$3))</f>
        <v>0</v>
      </c>
      <c r="CI29" s="14" cm="1">
        <f t="array" ref="CI29">IFERROR(_xlfn.IFS(VALUE(MID(CI$5,6,1))&gt;$D$2,0,$CC29="Annual",1,CH29=12,12,$CC29="Monthly V",CH29*(1+$D$3),$CC29="Monthly F",12,$CC29="One-Time",0),CH29*(1+$D$3))</f>
        <v>0</v>
      </c>
      <c r="CJ29" s="14" cm="1">
        <f t="array" ref="CJ29">IFERROR(_xlfn.IFS(VALUE(MID(CJ$5,6,1))&gt;$D$2,0,$CC29="Annual",1,CI29=12,12,$CC29="Monthly V",CI29*(1+$D$3),$CC29="Monthly F",12,$CC29="One-Time",0),CI29*(1+$D$3))</f>
        <v>0</v>
      </c>
      <c r="CK29" s="14" cm="1">
        <f t="array" ref="CK29">IFERROR(_xlfn.IFS(VALUE(MID(CK$5,6,1))&gt;$D$2,0,$CC29="Annual",1,CJ29=12,12,$CC29="Monthly V",CJ29*(1+$D$3),$CC29="Monthly F",12,$CC29="One-Time",0),CJ29*(1+$D$3))</f>
        <v>0</v>
      </c>
      <c r="CL29" s="14" cm="1">
        <f t="array" ref="CL29">IFERROR(_xlfn.IFS(VALUE(MID(CL$5,6,1))&gt;$D$2,0,$CC29="Annual",1,CK29=12,12,$CC29="Monthly V",CK29*(1+$D$3),$CC29="Monthly F",12,$CC29="One-Time",0),CK29*(1+$D$3))</f>
        <v>0</v>
      </c>
      <c r="CM29" s="14" cm="1">
        <f t="array" ref="CM29">IFERROR(_xlfn.IFS(VALUE(MID(CM$5,6,1))&gt;$D$2,0,$CC29="Annual",1,CL29=12,12,$CC29="Monthly V",CL29*(1+$D$3),$CC29="Monthly F",12,$CC29="One-Time",0),CL29*(1+$D$3))</f>
        <v>0</v>
      </c>
      <c r="CN29" s="24" cm="1">
        <f t="array" ref="CN29">IFERROR(_xlfn.IFS(VALUE(MID(CN$5,6,2))&gt;$D$2,0,$CC29="Annual",1,CM29=12,12,$CC29="Monthly V",CM29*(1+$D$3),$CC29="Monthly F",12,$CC29="One-Time",0),CM29*(1+$D$3))</f>
        <v>0</v>
      </c>
      <c r="CO29" s="63"/>
      <c r="CP29" s="53"/>
      <c r="CQ29" s="21">
        <f t="shared" si="11"/>
        <v>0</v>
      </c>
      <c r="CR29" s="55">
        <f t="shared" si="144"/>
        <v>0</v>
      </c>
      <c r="CS29" s="55">
        <f t="shared" si="144"/>
        <v>0</v>
      </c>
      <c r="CT29" s="55">
        <f t="shared" si="144"/>
        <v>0</v>
      </c>
      <c r="CU29" s="55">
        <f t="shared" si="144"/>
        <v>0</v>
      </c>
      <c r="CV29" s="55">
        <f t="shared" si="144"/>
        <v>0</v>
      </c>
      <c r="CW29" s="55">
        <f t="shared" si="144"/>
        <v>0</v>
      </c>
      <c r="CX29" s="55">
        <f t="shared" si="144"/>
        <v>0</v>
      </c>
      <c r="CY29" s="55">
        <f t="shared" si="144"/>
        <v>0</v>
      </c>
      <c r="CZ29" s="55">
        <f t="shared" si="144"/>
        <v>0</v>
      </c>
      <c r="DA29" s="55">
        <f t="shared" si="144"/>
        <v>0</v>
      </c>
      <c r="DB29" s="56"/>
      <c r="DC29" s="56">
        <f t="shared" si="34"/>
        <v>0</v>
      </c>
      <c r="DD29" s="56">
        <f t="shared" si="35"/>
        <v>0</v>
      </c>
      <c r="DE29" s="56">
        <f t="shared" si="36"/>
        <v>0</v>
      </c>
      <c r="DF29" s="56">
        <f t="shared" si="37"/>
        <v>0</v>
      </c>
      <c r="DG29" s="56">
        <f t="shared" si="38"/>
        <v>0</v>
      </c>
      <c r="DH29" s="56">
        <f t="shared" si="39"/>
        <v>0</v>
      </c>
      <c r="DI29" s="56">
        <f t="shared" si="40"/>
        <v>0</v>
      </c>
      <c r="DJ29" s="56">
        <f t="shared" si="41"/>
        <v>0</v>
      </c>
      <c r="DK29" s="56">
        <f t="shared" si="42"/>
        <v>0</v>
      </c>
      <c r="DL29" s="57">
        <f t="shared" si="43"/>
        <v>0</v>
      </c>
      <c r="DM29" s="54">
        <f t="shared" si="13"/>
        <v>0</v>
      </c>
      <c r="DO29" s="106"/>
    </row>
    <row r="30" spans="2:119" x14ac:dyDescent="0.25">
      <c r="B30" s="141" t="s">
        <v>0</v>
      </c>
      <c r="C30" s="24">
        <v>1</v>
      </c>
      <c r="D30" s="147">
        <f t="shared" ref="D30:D31" si="151">IFERROR(AVERAGE(C30:C30),0)</f>
        <v>1</v>
      </c>
      <c r="E30" s="142">
        <f t="shared" ref="E30:E31" si="152">IF($B30="Annual",1,IF($B30="Monthly F",12,IF($B30="Monthly V",D30*12,IF($B30="One-Time",1,D30*12))))</f>
        <v>12</v>
      </c>
      <c r="F30" s="14" cm="1">
        <f t="array" ref="F30">IFERROR(_xlfn.IFS(VALUE(MID(F$5,6,1))&gt;$D$2,0,$B30="Annual",1,E30=12,12,$B30="Monthly V",E30*(1+$D$3),$B30="Monthly F",12,$B30="One-Time",0),E30*(1+$D$3))</f>
        <v>12</v>
      </c>
      <c r="G30" s="14" cm="1">
        <f t="array" ref="G30">IFERROR(_xlfn.IFS(VALUE(MID(G$5,6,1))&gt;$D$2,0,$B30="Annual",1,F30=12,12,$B30="Monthly V",F30*(1+$D$3),$B30="Monthly F",12,$B30="One-Time",0),F30*(1+$D$3))</f>
        <v>12</v>
      </c>
      <c r="H30" s="14" cm="1">
        <f t="array" ref="H30">IFERROR(_xlfn.IFS(VALUE(MID(H$5,6,1))&gt;$D$2,0,$B30="Annual",1,G30=12,12,$B30="Monthly V",G30*(1+$D$3),$B30="Monthly F",12,$B30="One-Time",0),G30*(1+$D$3))</f>
        <v>12</v>
      </c>
      <c r="I30" s="14" cm="1">
        <f t="array" ref="I30">IFERROR(_xlfn.IFS(VALUE(MID(I$5,6,1))&gt;$D$2,0,$B30="Annual",1,H30=12,12,$B30="Monthly V",H30*(1+$D$3),$B30="Monthly F",12,$B30="One-Time",0),H30*(1+$D$3))</f>
        <v>12</v>
      </c>
      <c r="J30" s="14" cm="1">
        <f t="array" ref="J30">IFERROR(_xlfn.IFS(VALUE(MID(J$5,6,1))&gt;$D$2,0,$B30="Annual",1,I30=12,12,$B30="Monthly V",I30*(1+$D$3),$B30="Monthly F",12,$B30="One-Time",0),I30*(1+$D$3))</f>
        <v>12</v>
      </c>
      <c r="K30" s="14" cm="1">
        <f t="array" ref="K30">IFERROR(_xlfn.IFS(VALUE(MID(K$5,6,1))&gt;$D$2,0,$B30="Annual",1,J30=12,12,$B30="Monthly V",J30*(1+$D$3),$B30="Monthly F",12,$B30="One-Time",0),J30*(1+$D$3))</f>
        <v>12</v>
      </c>
      <c r="L30" s="14" cm="1">
        <f t="array" ref="L30">IFERROR(_xlfn.IFS(VALUE(MID(L$5,6,1))&gt;$D$2,0,$B30="Annual",1,K30=12,12,$B30="Monthly V",K30*(1+$D$3),$B30="Monthly F",12,$B30="One-Time",0),K30*(1+$D$3))</f>
        <v>0</v>
      </c>
      <c r="M30" s="14" cm="1">
        <f t="array" ref="M30">IFERROR(_xlfn.IFS(VALUE(MID(M$5,6,1))&gt;$D$2,0,$B30="Annual",1,L30=12,12,$B30="Monthly V",L30*(1+$D$3),$B30="Monthly F",12,$B30="One-Time",0),L30*(1+$D$3))</f>
        <v>0</v>
      </c>
      <c r="N30" s="24" cm="1">
        <f t="array" ref="N30">IFERROR(_xlfn.IFS(VALUE(MID(N$5,6,2))&gt;$D$2,0,$B30="Annual",1,M30=12,12,$B30="Monthly V",M30*(1+$D$3),$B30="Monthly F",12,$B30="One-Time",0),M30*(1+$D$3))</f>
        <v>0</v>
      </c>
      <c r="O30" s="127" t="s">
        <v>75</v>
      </c>
      <c r="P30" s="13" t="s">
        <v>88</v>
      </c>
      <c r="Q30" s="20">
        <v>200</v>
      </c>
      <c r="R30" s="21">
        <f t="shared" si="124"/>
        <v>200</v>
      </c>
      <c r="S30" s="6">
        <f t="shared" si="125"/>
        <v>2400</v>
      </c>
      <c r="T30" s="6">
        <f t="shared" si="125"/>
        <v>2400</v>
      </c>
      <c r="U30" s="6">
        <f t="shared" si="125"/>
        <v>2400</v>
      </c>
      <c r="V30" s="6">
        <f t="shared" si="125"/>
        <v>2400</v>
      </c>
      <c r="W30" s="6">
        <f t="shared" si="125"/>
        <v>2400</v>
      </c>
      <c r="X30" s="6">
        <f t="shared" si="125"/>
        <v>2400</v>
      </c>
      <c r="Y30" s="6">
        <f t="shared" si="125"/>
        <v>2400</v>
      </c>
      <c r="Z30" s="6">
        <f t="shared" si="125"/>
        <v>0</v>
      </c>
      <c r="AA30" s="6">
        <f t="shared" si="125"/>
        <v>0</v>
      </c>
      <c r="AB30" s="6">
        <f t="shared" si="125"/>
        <v>0</v>
      </c>
      <c r="AC30" s="7"/>
      <c r="AD30" s="152">
        <f t="shared" si="126"/>
        <v>72.000000000000057</v>
      </c>
      <c r="AE30" s="152">
        <f t="shared" si="127"/>
        <v>146.15999999999988</v>
      </c>
      <c r="AF30" s="152">
        <f t="shared" si="128"/>
        <v>222.54480000000001</v>
      </c>
      <c r="AG30" s="152">
        <f t="shared" si="129"/>
        <v>301.22114399999981</v>
      </c>
      <c r="AH30" s="152">
        <f t="shared" si="130"/>
        <v>382.2577783199996</v>
      </c>
      <c r="AI30" s="152">
        <f t="shared" si="131"/>
        <v>465.72551166959977</v>
      </c>
      <c r="AJ30" s="152">
        <f t="shared" si="132"/>
        <v>0</v>
      </c>
      <c r="AK30" s="152">
        <f t="shared" si="133"/>
        <v>0</v>
      </c>
      <c r="AL30" s="152">
        <f t="shared" si="134"/>
        <v>0</v>
      </c>
      <c r="AM30" s="9">
        <f t="shared" si="135"/>
        <v>1589.9092339895992</v>
      </c>
      <c r="AN30" s="80">
        <f t="shared" si="136"/>
        <v>18389.909233989601</v>
      </c>
      <c r="AP30" s="102" t="s">
        <v>0</v>
      </c>
      <c r="AQ30" s="12">
        <v>1</v>
      </c>
      <c r="AR30" s="14">
        <f t="shared" si="15"/>
        <v>12</v>
      </c>
      <c r="AS30" s="14" cm="1">
        <f t="array" ref="AS30">IFERROR(_xlfn.IFS(VALUE(MID(AS$5,6,1))&gt;$D$2,0,$AP30="Annual",1,AR30=12,12,$AP30="Monthly V",AR30*(1+$BD$2),$AP30="Monthly F",12,$AP30="One-Time",0),AR30*(1+$BD$2))</f>
        <v>12</v>
      </c>
      <c r="AT30" s="14" cm="1">
        <f t="array" ref="AT30">IFERROR(_xlfn.IFS(VALUE(MID(AT$5,6,1))&gt;$D$2,0,$AP30="Annual",1,AS30=12,12,$AP30="Monthly V",AS30*(1+$BD$2),$AP30="Monthly F",12,$AP30="One-Time",0),AS30*(1+$BD$2))</f>
        <v>12</v>
      </c>
      <c r="AU30" s="14" cm="1">
        <f t="array" ref="AU30">IFERROR(_xlfn.IFS(VALUE(MID(AU$5,6,1))&gt;$D$2,0,$AP30="Annual",1,AT30=12,12,$AP30="Monthly V",AT30*(1+$BD$2),$AP30="Monthly F",12,$AP30="One-Time",0),AT30*(1+$BD$2))</f>
        <v>12</v>
      </c>
      <c r="AV30" s="14" cm="1">
        <f t="array" ref="AV30">IFERROR(_xlfn.IFS(VALUE(MID(AV$5,6,1))&gt;$D$2,0,$AP30="Annual",1,AU30=12,12,$AP30="Monthly V",AU30*(1+$BD$2),$AP30="Monthly F",12,$AP30="One-Time",0),AU30*(1+$BD$2))</f>
        <v>12</v>
      </c>
      <c r="AW30" s="14" cm="1">
        <f t="array" ref="AW30">IFERROR(_xlfn.IFS(VALUE(MID(AW$5,6,1))&gt;$D$2,0,$AP30="Annual",1,AV30=12,12,$AP30="Monthly V",AV30*(1+$BD$2),$AP30="Monthly F",12,$AP30="One-Time",0),AV30*(1+$BD$2))</f>
        <v>12</v>
      </c>
      <c r="AX30" s="14" cm="1">
        <f t="array" ref="AX30">IFERROR(_xlfn.IFS(VALUE(MID(AX$5,6,1))&gt;$D$2,0,$AP30="Annual",1,AW30=12,12,$AP30="Monthly V",AW30*(1+$BD$2),$AP30="Monthly F",12,$AP30="One-Time",0),AW30*(1+$BD$2))</f>
        <v>12</v>
      </c>
      <c r="AY30" s="14" cm="1">
        <f t="array" ref="AY30">IFERROR(_xlfn.IFS(VALUE(MID(AY$5,6,1))&gt;$D$2,0,$AP30="Annual",1,AX30=12,12,$AP30="Monthly V",AX30*(1+$D$3),$AP30="Monthly F",12,$AP30="One-Time",0),AX30*(1+$D$3))</f>
        <v>0</v>
      </c>
      <c r="AZ30" s="14" cm="1">
        <f t="array" ref="AZ30">IFERROR(_xlfn.IFS(VALUE(MID(AZ$5,6,1))&gt;$D$2,0,$AP30="Annual",1,AY30=12,12,$AP30="Monthly V",AY30*(1+$D$3),$AP30="Monthly F",12,$AP30="One-Time",0),AY30*(1+$D$3))</f>
        <v>0</v>
      </c>
      <c r="BA30" s="125" cm="1">
        <f t="array" ref="BA30">IFERROR(_xlfn.IFS(VALUE(MID(BA$5,6,2))&gt;$D$2,0,$AP30="Annual",1,AZ30=12,12,$AP30="Monthly V",AZ30*(1+$D$3),$AP30="Monthly F",12,$AP30="One-Time",0),AZ30*(1+$D$3))</f>
        <v>0</v>
      </c>
      <c r="BB30" s="148" t="s">
        <v>177</v>
      </c>
      <c r="BC30" s="38" t="s">
        <v>225</v>
      </c>
      <c r="BD30" s="36">
        <v>400</v>
      </c>
      <c r="BE30" s="21">
        <f t="shared" si="16"/>
        <v>400</v>
      </c>
      <c r="BF30" s="39">
        <f t="shared" si="44"/>
        <v>4800</v>
      </c>
      <c r="BG30" s="39">
        <f t="shared" si="17"/>
        <v>4800</v>
      </c>
      <c r="BH30" s="39">
        <f t="shared" si="18"/>
        <v>4800</v>
      </c>
      <c r="BI30" s="39">
        <f t="shared" si="19"/>
        <v>4944</v>
      </c>
      <c r="BJ30" s="39">
        <f t="shared" ref="BJ30:BL30" si="153">BI30*1.03</f>
        <v>5092.32</v>
      </c>
      <c r="BK30" s="39">
        <f t="shared" si="153"/>
        <v>5245.0896000000002</v>
      </c>
      <c r="BL30" s="39">
        <f t="shared" si="153"/>
        <v>5402.4422880000002</v>
      </c>
      <c r="BM30" s="39">
        <f t="shared" si="143"/>
        <v>0</v>
      </c>
      <c r="BN30" s="39">
        <f t="shared" si="143"/>
        <v>0</v>
      </c>
      <c r="BO30" s="39">
        <f t="shared" si="143"/>
        <v>0</v>
      </c>
      <c r="BP30" s="40"/>
      <c r="BQ30" s="40">
        <f t="shared" si="24"/>
        <v>144.00000000000011</v>
      </c>
      <c r="BR30" s="40">
        <f t="shared" si="25"/>
        <v>292.31999999999977</v>
      </c>
      <c r="BS30" s="40">
        <f t="shared" si="26"/>
        <v>458.44228800000002</v>
      </c>
      <c r="BT30" s="40">
        <f t="shared" si="27"/>
        <v>639.13102333919949</v>
      </c>
      <c r="BU30" s="40">
        <f t="shared" si="28"/>
        <v>835.40679066055657</v>
      </c>
      <c r="BV30" s="40">
        <f t="shared" si="29"/>
        <v>1048.3563328517848</v>
      </c>
      <c r="BW30" s="40">
        <f t="shared" si="30"/>
        <v>0</v>
      </c>
      <c r="BX30" s="40">
        <f t="shared" si="31"/>
        <v>0</v>
      </c>
      <c r="BY30" s="40">
        <f t="shared" si="32"/>
        <v>0</v>
      </c>
      <c r="BZ30" s="40">
        <f t="shared" si="33"/>
        <v>3417.6564348515408</v>
      </c>
      <c r="CA30" s="37">
        <f t="shared" si="9"/>
        <v>38501.508322851536</v>
      </c>
      <c r="CC30" s="102"/>
      <c r="CD30" s="12"/>
      <c r="CE30" s="14">
        <f t="shared" si="10"/>
        <v>0</v>
      </c>
      <c r="CF30" s="14" cm="1">
        <f t="array" ref="CF30">IFERROR(_xlfn.IFS(VALUE(MID(CF$5,6,1))&gt;$D$2,0,$CC30="Annual",1,CE30=12,12,$CC30="Monthly V",CE30*(1+$D$3),$CC30="Monthly F",12,$CC30="One-Time",0),CE30*(1+$D$3))</f>
        <v>0</v>
      </c>
      <c r="CG30" s="14" cm="1">
        <f t="array" ref="CG30">IFERROR(_xlfn.IFS(VALUE(MID(CG$5,6,1))&gt;$D$2,0,$CC30="Annual",1,CF30=12,12,$CC30="Monthly V",CF30*(1+$D$3),$CC30="Monthly F",12,$CC30="One-Time",0),CF30*(1+$D$3))</f>
        <v>0</v>
      </c>
      <c r="CH30" s="14" cm="1">
        <f t="array" ref="CH30">IFERROR(_xlfn.IFS(VALUE(MID(CH$5,6,1))&gt;$D$2,0,$CC30="Annual",1,CG30=12,12,$CC30="Monthly V",CG30*(1+$D$3),$CC30="Monthly F",12,$CC30="One-Time",0),CG30*(1+$D$3))</f>
        <v>0</v>
      </c>
      <c r="CI30" s="14" cm="1">
        <f t="array" ref="CI30">IFERROR(_xlfn.IFS(VALUE(MID(CI$5,6,1))&gt;$D$2,0,$CC30="Annual",1,CH30=12,12,$CC30="Monthly V",CH30*(1+$D$3),$CC30="Monthly F",12,$CC30="One-Time",0),CH30*(1+$D$3))</f>
        <v>0</v>
      </c>
      <c r="CJ30" s="14" cm="1">
        <f t="array" ref="CJ30">IFERROR(_xlfn.IFS(VALUE(MID(CJ$5,6,1))&gt;$D$2,0,$CC30="Annual",1,CI30=12,12,$CC30="Monthly V",CI30*(1+$D$3),$CC30="Monthly F",12,$CC30="One-Time",0),CI30*(1+$D$3))</f>
        <v>0</v>
      </c>
      <c r="CK30" s="14" cm="1">
        <f t="array" ref="CK30">IFERROR(_xlfn.IFS(VALUE(MID(CK$5,6,1))&gt;$D$2,0,$CC30="Annual",1,CJ30=12,12,$CC30="Monthly V",CJ30*(1+$D$3),$CC30="Monthly F",12,$CC30="One-Time",0),CJ30*(1+$D$3))</f>
        <v>0</v>
      </c>
      <c r="CL30" s="14" cm="1">
        <f t="array" ref="CL30">IFERROR(_xlfn.IFS(VALUE(MID(CL$5,6,1))&gt;$D$2,0,$CC30="Annual",1,CK30=12,12,$CC30="Monthly V",CK30*(1+$D$3),$CC30="Monthly F",12,$CC30="One-Time",0),CK30*(1+$D$3))</f>
        <v>0</v>
      </c>
      <c r="CM30" s="14" cm="1">
        <f t="array" ref="CM30">IFERROR(_xlfn.IFS(VALUE(MID(CM$5,6,1))&gt;$D$2,0,$CC30="Annual",1,CL30=12,12,$CC30="Monthly V",CL30*(1+$D$3),$CC30="Monthly F",12,$CC30="One-Time",0),CL30*(1+$D$3))</f>
        <v>0</v>
      </c>
      <c r="CN30" s="24" cm="1">
        <f t="array" ref="CN30">IFERROR(_xlfn.IFS(VALUE(MID(CN$5,6,2))&gt;$D$2,0,$CC30="Annual",1,CM30=12,12,$CC30="Monthly V",CM30*(1+$D$3),$CC30="Monthly F",12,$CC30="One-Time",0),CM30*(1+$D$3))</f>
        <v>0</v>
      </c>
      <c r="CO30" s="63"/>
      <c r="CP30" s="53"/>
      <c r="CQ30" s="21">
        <f t="shared" si="11"/>
        <v>0</v>
      </c>
      <c r="CR30" s="55">
        <f t="shared" si="144"/>
        <v>0</v>
      </c>
      <c r="CS30" s="55">
        <f t="shared" si="144"/>
        <v>0</v>
      </c>
      <c r="CT30" s="55">
        <f t="shared" si="144"/>
        <v>0</v>
      </c>
      <c r="CU30" s="55">
        <f t="shared" si="144"/>
        <v>0</v>
      </c>
      <c r="CV30" s="55">
        <f t="shared" si="144"/>
        <v>0</v>
      </c>
      <c r="CW30" s="55">
        <f t="shared" si="144"/>
        <v>0</v>
      </c>
      <c r="CX30" s="55">
        <f t="shared" si="144"/>
        <v>0</v>
      </c>
      <c r="CY30" s="55">
        <f t="shared" si="144"/>
        <v>0</v>
      </c>
      <c r="CZ30" s="55">
        <f t="shared" si="144"/>
        <v>0</v>
      </c>
      <c r="DA30" s="55">
        <f t="shared" si="144"/>
        <v>0</v>
      </c>
      <c r="DB30" s="56"/>
      <c r="DC30" s="56">
        <f t="shared" si="34"/>
        <v>0</v>
      </c>
      <c r="DD30" s="56">
        <f t="shared" si="35"/>
        <v>0</v>
      </c>
      <c r="DE30" s="56">
        <f t="shared" si="36"/>
        <v>0</v>
      </c>
      <c r="DF30" s="56">
        <f t="shared" si="37"/>
        <v>0</v>
      </c>
      <c r="DG30" s="56">
        <f t="shared" si="38"/>
        <v>0</v>
      </c>
      <c r="DH30" s="56">
        <f t="shared" si="39"/>
        <v>0</v>
      </c>
      <c r="DI30" s="56">
        <f t="shared" si="40"/>
        <v>0</v>
      </c>
      <c r="DJ30" s="56">
        <f t="shared" si="41"/>
        <v>0</v>
      </c>
      <c r="DK30" s="56">
        <f t="shared" si="42"/>
        <v>0</v>
      </c>
      <c r="DL30" s="57">
        <f t="shared" si="43"/>
        <v>0</v>
      </c>
      <c r="DM30" s="54">
        <f t="shared" si="13"/>
        <v>0</v>
      </c>
      <c r="DO30" s="106"/>
    </row>
    <row r="31" spans="2:119" x14ac:dyDescent="0.25">
      <c r="B31" s="141" t="s">
        <v>1</v>
      </c>
      <c r="C31" s="24">
        <v>10000</v>
      </c>
      <c r="D31" s="147">
        <f t="shared" si="151"/>
        <v>10000</v>
      </c>
      <c r="E31" s="142">
        <f t="shared" si="152"/>
        <v>120000</v>
      </c>
      <c r="F31" s="14" cm="1">
        <f t="array" ref="F31">IFERROR(_xlfn.IFS(VALUE(MID(F$5,6,1))&gt;$D$2,0,$B31="Annual",1,E31=12,12,$B31="Monthly V",E31*(1+$D$3),$B31="Monthly F",12,$B31="One-Time",0),E31*(1+$D$3))</f>
        <v>144000</v>
      </c>
      <c r="G31" s="14" cm="1">
        <f t="array" ref="G31">IFERROR(_xlfn.IFS(VALUE(MID(G$5,6,1))&gt;$D$2,0,$B31="Annual",1,F31=12,12,$B31="Monthly V",F31*(1+$D$3),$B31="Monthly F",12,$B31="One-Time",0),F31*(1+$D$3))</f>
        <v>172800</v>
      </c>
      <c r="H31" s="14" cm="1">
        <f t="array" ref="H31">IFERROR(_xlfn.IFS(VALUE(MID(H$5,6,1))&gt;$D$2,0,$B31="Annual",1,G31=12,12,$B31="Monthly V",G31*(1+$D$3),$B31="Monthly F",12,$B31="One-Time",0),G31*(1+$D$3))</f>
        <v>207360</v>
      </c>
      <c r="I31" s="14" cm="1">
        <f t="array" ref="I31">IFERROR(_xlfn.IFS(VALUE(MID(I$5,6,1))&gt;$D$2,0,$B31="Annual",1,H31=12,12,$B31="Monthly V",H31*(1+$D$3),$B31="Monthly F",12,$B31="One-Time",0),H31*(1+$D$3))</f>
        <v>248832</v>
      </c>
      <c r="J31" s="14" cm="1">
        <f t="array" ref="J31">IFERROR(_xlfn.IFS(VALUE(MID(J$5,6,1))&gt;$D$2,0,$B31="Annual",1,I31=12,12,$B31="Monthly V",I31*(1+$D$3),$B31="Monthly F",12,$B31="One-Time",0),I31*(1+$D$3))</f>
        <v>298598.39999999997</v>
      </c>
      <c r="K31" s="14" cm="1">
        <f t="array" ref="K31">IFERROR(_xlfn.IFS(VALUE(MID(K$5,6,1))&gt;$D$2,0,$B31="Annual",1,J31=12,12,$B31="Monthly V",J31*(1+$D$3),$B31="Monthly F",12,$B31="One-Time",0),J31*(1+$D$3))</f>
        <v>358318.07999999996</v>
      </c>
      <c r="L31" s="14" cm="1">
        <f t="array" ref="L31">IFERROR(_xlfn.IFS(VALUE(MID(L$5,6,1))&gt;$D$2,0,$B31="Annual",1,K31=12,12,$B31="Monthly V",K31*(1+$D$3),$B31="Monthly F",12,$B31="One-Time",0),K31*(1+$D$3))</f>
        <v>0</v>
      </c>
      <c r="M31" s="14" cm="1">
        <f t="array" ref="M31">IFERROR(_xlfn.IFS(VALUE(MID(M$5,6,1))&gt;$D$2,0,$B31="Annual",1,L31=12,12,$B31="Monthly V",L31*(1+$D$3),$B31="Monthly F",12,$B31="One-Time",0),L31*(1+$D$3))</f>
        <v>0</v>
      </c>
      <c r="N31" s="24" cm="1">
        <f t="array" ref="N31">IFERROR(_xlfn.IFS(VALUE(MID(N$5,6,2))&gt;$D$2,0,$B31="Annual",1,M31=12,12,$B31="Monthly V",M31*(1+$D$3),$B31="Monthly F",12,$B31="One-Time",0),M31*(1+$D$3))</f>
        <v>0</v>
      </c>
      <c r="O31" s="127" t="s">
        <v>93</v>
      </c>
      <c r="P31" s="13" t="s">
        <v>88</v>
      </c>
      <c r="Q31" s="20">
        <v>3.3E-3</v>
      </c>
      <c r="R31" s="21">
        <f t="shared" si="124"/>
        <v>33</v>
      </c>
      <c r="S31" s="6">
        <f t="shared" si="125"/>
        <v>396</v>
      </c>
      <c r="T31" s="6">
        <f t="shared" si="125"/>
        <v>475.2</v>
      </c>
      <c r="U31" s="6">
        <f t="shared" si="125"/>
        <v>570.24</v>
      </c>
      <c r="V31" s="6">
        <f t="shared" si="125"/>
        <v>684.28800000000001</v>
      </c>
      <c r="W31" s="6">
        <f t="shared" si="125"/>
        <v>821.14559999999994</v>
      </c>
      <c r="X31" s="6">
        <f t="shared" si="125"/>
        <v>985.37471999999991</v>
      </c>
      <c r="Y31" s="6">
        <f t="shared" si="125"/>
        <v>1182.4496639999998</v>
      </c>
      <c r="Z31" s="6">
        <f t="shared" si="125"/>
        <v>0</v>
      </c>
      <c r="AA31" s="6">
        <f t="shared" si="125"/>
        <v>0</v>
      </c>
      <c r="AB31" s="6">
        <f t="shared" si="125"/>
        <v>0</v>
      </c>
      <c r="AC31" s="7"/>
      <c r="AD31" s="152">
        <f t="shared" si="126"/>
        <v>14.256000000000013</v>
      </c>
      <c r="AE31" s="152">
        <f t="shared" si="127"/>
        <v>34.727615999999976</v>
      </c>
      <c r="AF31" s="152">
        <f t="shared" si="128"/>
        <v>63.451973376000005</v>
      </c>
      <c r="AG31" s="152">
        <f t="shared" si="129"/>
        <v>103.06100709273592</v>
      </c>
      <c r="AH31" s="152">
        <f t="shared" si="130"/>
        <v>156.94464636662153</v>
      </c>
      <c r="AI31" s="152">
        <f t="shared" si="131"/>
        <v>229.45707282914427</v>
      </c>
      <c r="AJ31" s="152">
        <f t="shared" si="132"/>
        <v>0</v>
      </c>
      <c r="AK31" s="152">
        <f t="shared" si="133"/>
        <v>0</v>
      </c>
      <c r="AL31" s="152">
        <f t="shared" si="134"/>
        <v>0</v>
      </c>
      <c r="AM31" s="9">
        <f t="shared" si="135"/>
        <v>601.89831566450175</v>
      </c>
      <c r="AN31" s="80">
        <f t="shared" si="136"/>
        <v>5716.5962996645012</v>
      </c>
      <c r="AP31" s="102" t="s">
        <v>0</v>
      </c>
      <c r="AQ31" s="12">
        <v>1</v>
      </c>
      <c r="AR31" s="14">
        <f t="shared" si="15"/>
        <v>12</v>
      </c>
      <c r="AS31" s="14" cm="1">
        <f t="array" ref="AS31">IFERROR(_xlfn.IFS(VALUE(MID(AS$5,6,1))&gt;$D$2,0,$AP31="Annual",1,AR31=12,12,$AP31="Monthly V",AR31*(1+$BD$2),$AP31="Monthly F",12,$AP31="One-Time",0),AR31*(1+$BD$2))</f>
        <v>12</v>
      </c>
      <c r="AT31" s="14" cm="1">
        <f t="array" ref="AT31">IFERROR(_xlfn.IFS(VALUE(MID(AT$5,6,1))&gt;$D$2,0,$AP31="Annual",1,AS31=12,12,$AP31="Monthly V",AS31*(1+$BD$2),$AP31="Monthly F",12,$AP31="One-Time",0),AS31*(1+$BD$2))</f>
        <v>12</v>
      </c>
      <c r="AU31" s="14" cm="1">
        <f t="array" ref="AU31">IFERROR(_xlfn.IFS(VALUE(MID(AU$5,6,1))&gt;$D$2,0,$AP31="Annual",1,AT31=12,12,$AP31="Monthly V",AT31*(1+$BD$2),$AP31="Monthly F",12,$AP31="One-Time",0),AT31*(1+$BD$2))</f>
        <v>12</v>
      </c>
      <c r="AV31" s="14" cm="1">
        <f t="array" ref="AV31">IFERROR(_xlfn.IFS(VALUE(MID(AV$5,6,1))&gt;$D$2,0,$AP31="Annual",1,AU31=12,12,$AP31="Monthly V",AU31*(1+$BD$2),$AP31="Monthly F",12,$AP31="One-Time",0),AU31*(1+$BD$2))</f>
        <v>12</v>
      </c>
      <c r="AW31" s="14" cm="1">
        <f t="array" ref="AW31">IFERROR(_xlfn.IFS(VALUE(MID(AW$5,6,1))&gt;$D$2,0,$AP31="Annual",1,AV31=12,12,$AP31="Monthly V",AV31*(1+$BD$2),$AP31="Monthly F",12,$AP31="One-Time",0),AV31*(1+$BD$2))</f>
        <v>12</v>
      </c>
      <c r="AX31" s="14" cm="1">
        <f t="array" ref="AX31">IFERROR(_xlfn.IFS(VALUE(MID(AX$5,6,1))&gt;$D$2,0,$AP31="Annual",1,AW31=12,12,$AP31="Monthly V",AW31*(1+$BD$2),$AP31="Monthly F",12,$AP31="One-Time",0),AW31*(1+$BD$2))</f>
        <v>12</v>
      </c>
      <c r="AY31" s="14" cm="1">
        <f t="array" ref="AY31">IFERROR(_xlfn.IFS(VALUE(MID(AY$5,6,1))&gt;$D$2,0,$AP31="Annual",1,AX31=12,12,$AP31="Monthly V",AX31*(1+$D$3),$AP31="Monthly F",12,$AP31="One-Time",0),AX31*(1+$D$3))</f>
        <v>0</v>
      </c>
      <c r="AZ31" s="14" cm="1">
        <f t="array" ref="AZ31">IFERROR(_xlfn.IFS(VALUE(MID(AZ$5,6,1))&gt;$D$2,0,$AP31="Annual",1,AY31=12,12,$AP31="Monthly V",AY31*(1+$D$3),$AP31="Monthly F",12,$AP31="One-Time",0),AY31*(1+$D$3))</f>
        <v>0</v>
      </c>
      <c r="BA31" s="125" cm="1">
        <f t="array" ref="BA31">IFERROR(_xlfn.IFS(VALUE(MID(BA$5,6,2))&gt;$D$2,0,$AP31="Annual",1,AZ31=12,12,$AP31="Monthly V",AZ31*(1+$D$3),$AP31="Monthly F",12,$AP31="One-Time",0),AZ31*(1+$D$3))</f>
        <v>0</v>
      </c>
      <c r="BB31" s="148" t="s">
        <v>178</v>
      </c>
      <c r="BC31" s="38" t="s">
        <v>225</v>
      </c>
      <c r="BD31" s="36">
        <v>400</v>
      </c>
      <c r="BE31" s="21">
        <f t="shared" si="16"/>
        <v>400</v>
      </c>
      <c r="BF31" s="39">
        <f t="shared" si="44"/>
        <v>4800</v>
      </c>
      <c r="BG31" s="39">
        <f t="shared" si="17"/>
        <v>4800</v>
      </c>
      <c r="BH31" s="39">
        <f t="shared" si="18"/>
        <v>4800</v>
      </c>
      <c r="BI31" s="39">
        <f t="shared" si="19"/>
        <v>4944</v>
      </c>
      <c r="BJ31" s="39">
        <f t="shared" ref="BJ31:BL31" si="154">BI31*1.03</f>
        <v>5092.32</v>
      </c>
      <c r="BK31" s="39">
        <f t="shared" si="154"/>
        <v>5245.0896000000002</v>
      </c>
      <c r="BL31" s="39">
        <f t="shared" si="154"/>
        <v>5402.4422880000002</v>
      </c>
      <c r="BM31" s="39">
        <f t="shared" si="143"/>
        <v>0</v>
      </c>
      <c r="BN31" s="39">
        <f t="shared" si="143"/>
        <v>0</v>
      </c>
      <c r="BO31" s="39">
        <f t="shared" si="143"/>
        <v>0</v>
      </c>
      <c r="BP31" s="40"/>
      <c r="BQ31" s="40">
        <f t="shared" si="24"/>
        <v>144.00000000000011</v>
      </c>
      <c r="BR31" s="40">
        <f t="shared" si="25"/>
        <v>292.31999999999977</v>
      </c>
      <c r="BS31" s="40">
        <f t="shared" si="26"/>
        <v>458.44228800000002</v>
      </c>
      <c r="BT31" s="40">
        <f t="shared" si="27"/>
        <v>639.13102333919949</v>
      </c>
      <c r="BU31" s="40">
        <f t="shared" si="28"/>
        <v>835.40679066055657</v>
      </c>
      <c r="BV31" s="40">
        <f t="shared" si="29"/>
        <v>1048.3563328517848</v>
      </c>
      <c r="BW31" s="40">
        <f t="shared" si="30"/>
        <v>0</v>
      </c>
      <c r="BX31" s="40">
        <f t="shared" si="31"/>
        <v>0</v>
      </c>
      <c r="BY31" s="40">
        <f t="shared" si="32"/>
        <v>0</v>
      </c>
      <c r="BZ31" s="40">
        <f t="shared" si="33"/>
        <v>3417.6564348515408</v>
      </c>
      <c r="CA31" s="37">
        <f t="shared" si="9"/>
        <v>38501.508322851536</v>
      </c>
      <c r="CC31" s="102"/>
      <c r="CD31" s="12"/>
      <c r="CE31" s="14">
        <f t="shared" si="10"/>
        <v>0</v>
      </c>
      <c r="CF31" s="14" cm="1">
        <f t="array" ref="CF31">IFERROR(_xlfn.IFS(VALUE(MID(CF$5,6,1))&gt;$D$2,0,$CC31="Annual",1,CE31=12,12,$CC31="Monthly V",CE31*(1+$D$3),$CC31="Monthly F",12,$CC31="One-Time",0),CE31*(1+$D$3))</f>
        <v>0</v>
      </c>
      <c r="CG31" s="14" cm="1">
        <f t="array" ref="CG31">IFERROR(_xlfn.IFS(VALUE(MID(CG$5,6,1))&gt;$D$2,0,$CC31="Annual",1,CF31=12,12,$CC31="Monthly V",CF31*(1+$D$3),$CC31="Monthly F",12,$CC31="One-Time",0),CF31*(1+$D$3))</f>
        <v>0</v>
      </c>
      <c r="CH31" s="14" cm="1">
        <f t="array" ref="CH31">IFERROR(_xlfn.IFS(VALUE(MID(CH$5,6,1))&gt;$D$2,0,$CC31="Annual",1,CG31=12,12,$CC31="Monthly V",CG31*(1+$D$3),$CC31="Monthly F",12,$CC31="One-Time",0),CG31*(1+$D$3))</f>
        <v>0</v>
      </c>
      <c r="CI31" s="14" cm="1">
        <f t="array" ref="CI31">IFERROR(_xlfn.IFS(VALUE(MID(CI$5,6,1))&gt;$D$2,0,$CC31="Annual",1,CH31=12,12,$CC31="Monthly V",CH31*(1+$D$3),$CC31="Monthly F",12,$CC31="One-Time",0),CH31*(1+$D$3))</f>
        <v>0</v>
      </c>
      <c r="CJ31" s="14" cm="1">
        <f t="array" ref="CJ31">IFERROR(_xlfn.IFS(VALUE(MID(CJ$5,6,1))&gt;$D$2,0,$CC31="Annual",1,CI31=12,12,$CC31="Monthly V",CI31*(1+$D$3),$CC31="Monthly F",12,$CC31="One-Time",0),CI31*(1+$D$3))</f>
        <v>0</v>
      </c>
      <c r="CK31" s="14" cm="1">
        <f t="array" ref="CK31">IFERROR(_xlfn.IFS(VALUE(MID(CK$5,6,1))&gt;$D$2,0,$CC31="Annual",1,CJ31=12,12,$CC31="Monthly V",CJ31*(1+$D$3),$CC31="Monthly F",12,$CC31="One-Time",0),CJ31*(1+$D$3))</f>
        <v>0</v>
      </c>
      <c r="CL31" s="14" cm="1">
        <f t="array" ref="CL31">IFERROR(_xlfn.IFS(VALUE(MID(CL$5,6,1))&gt;$D$2,0,$CC31="Annual",1,CK31=12,12,$CC31="Monthly V",CK31*(1+$D$3),$CC31="Monthly F",12,$CC31="One-Time",0),CK31*(1+$D$3))</f>
        <v>0</v>
      </c>
      <c r="CM31" s="14" cm="1">
        <f t="array" ref="CM31">IFERROR(_xlfn.IFS(VALUE(MID(CM$5,6,1))&gt;$D$2,0,$CC31="Annual",1,CL31=12,12,$CC31="Monthly V",CL31*(1+$D$3),$CC31="Monthly F",12,$CC31="One-Time",0),CL31*(1+$D$3))</f>
        <v>0</v>
      </c>
      <c r="CN31" s="24" cm="1">
        <f t="array" ref="CN31">IFERROR(_xlfn.IFS(VALUE(MID(CN$5,6,2))&gt;$D$2,0,$CC31="Annual",1,CM31=12,12,$CC31="Monthly V",CM31*(1+$D$3),$CC31="Monthly F",12,$CC31="One-Time",0),CM31*(1+$D$3))</f>
        <v>0</v>
      </c>
      <c r="CO31" s="63"/>
      <c r="CP31" s="53"/>
      <c r="CQ31" s="21">
        <f t="shared" si="11"/>
        <v>0</v>
      </c>
      <c r="CR31" s="55">
        <f t="shared" si="144"/>
        <v>0</v>
      </c>
      <c r="CS31" s="55">
        <f t="shared" si="144"/>
        <v>0</v>
      </c>
      <c r="CT31" s="55">
        <f t="shared" si="144"/>
        <v>0</v>
      </c>
      <c r="CU31" s="55">
        <f t="shared" si="144"/>
        <v>0</v>
      </c>
      <c r="CV31" s="55">
        <f t="shared" si="144"/>
        <v>0</v>
      </c>
      <c r="CW31" s="55">
        <f t="shared" si="144"/>
        <v>0</v>
      </c>
      <c r="CX31" s="55">
        <f t="shared" si="144"/>
        <v>0</v>
      </c>
      <c r="CY31" s="55">
        <f t="shared" si="144"/>
        <v>0</v>
      </c>
      <c r="CZ31" s="55">
        <f t="shared" si="144"/>
        <v>0</v>
      </c>
      <c r="DA31" s="55">
        <f t="shared" si="144"/>
        <v>0</v>
      </c>
      <c r="DB31" s="56"/>
      <c r="DC31" s="56">
        <f t="shared" si="34"/>
        <v>0</v>
      </c>
      <c r="DD31" s="56">
        <f t="shared" si="35"/>
        <v>0</v>
      </c>
      <c r="DE31" s="56">
        <f t="shared" si="36"/>
        <v>0</v>
      </c>
      <c r="DF31" s="56">
        <f t="shared" si="37"/>
        <v>0</v>
      </c>
      <c r="DG31" s="56">
        <f t="shared" si="38"/>
        <v>0</v>
      </c>
      <c r="DH31" s="56">
        <f t="shared" si="39"/>
        <v>0</v>
      </c>
      <c r="DI31" s="56">
        <f t="shared" si="40"/>
        <v>0</v>
      </c>
      <c r="DJ31" s="56">
        <f t="shared" si="41"/>
        <v>0</v>
      </c>
      <c r="DK31" s="56">
        <f t="shared" si="42"/>
        <v>0</v>
      </c>
      <c r="DL31" s="57">
        <f t="shared" si="43"/>
        <v>0</v>
      </c>
      <c r="DM31" s="54">
        <f t="shared" si="13"/>
        <v>0</v>
      </c>
      <c r="DO31" s="106"/>
    </row>
    <row r="32" spans="2:119" x14ac:dyDescent="0.25">
      <c r="B32" s="141"/>
      <c r="C32" s="24"/>
      <c r="D32" s="147"/>
      <c r="E32" s="142"/>
      <c r="F32" s="14"/>
      <c r="G32" s="14"/>
      <c r="H32" s="14"/>
      <c r="I32" s="14"/>
      <c r="J32" s="14"/>
      <c r="K32" s="14"/>
      <c r="L32" s="14"/>
      <c r="M32" s="14"/>
      <c r="N32" s="24"/>
      <c r="O32" s="157" t="s">
        <v>76</v>
      </c>
      <c r="P32" s="13"/>
      <c r="Q32" s="20"/>
      <c r="R32" s="21">
        <f t="shared" si="124"/>
        <v>0</v>
      </c>
      <c r="S32" s="6">
        <f t="shared" si="125"/>
        <v>0</v>
      </c>
      <c r="T32" s="6">
        <f t="shared" si="125"/>
        <v>0</v>
      </c>
      <c r="U32" s="6">
        <f t="shared" si="125"/>
        <v>0</v>
      </c>
      <c r="V32" s="6">
        <f t="shared" si="125"/>
        <v>0</v>
      </c>
      <c r="W32" s="6">
        <f t="shared" si="125"/>
        <v>0</v>
      </c>
      <c r="X32" s="6">
        <f t="shared" si="125"/>
        <v>0</v>
      </c>
      <c r="Y32" s="6">
        <f t="shared" si="125"/>
        <v>0</v>
      </c>
      <c r="Z32" s="6">
        <f t="shared" si="125"/>
        <v>0</v>
      </c>
      <c r="AA32" s="6">
        <f t="shared" si="125"/>
        <v>0</v>
      </c>
      <c r="AB32" s="6">
        <f t="shared" si="125"/>
        <v>0</v>
      </c>
      <c r="AC32" s="7"/>
      <c r="AD32" s="152">
        <f t="shared" si="126"/>
        <v>0</v>
      </c>
      <c r="AE32" s="152">
        <f t="shared" si="127"/>
        <v>0</v>
      </c>
      <c r="AF32" s="152">
        <f t="shared" si="128"/>
        <v>0</v>
      </c>
      <c r="AG32" s="152">
        <f t="shared" si="129"/>
        <v>0</v>
      </c>
      <c r="AH32" s="152">
        <f t="shared" si="130"/>
        <v>0</v>
      </c>
      <c r="AI32" s="152">
        <f t="shared" si="131"/>
        <v>0</v>
      </c>
      <c r="AJ32" s="152">
        <f t="shared" si="132"/>
        <v>0</v>
      </c>
      <c r="AK32" s="152">
        <f t="shared" si="133"/>
        <v>0</v>
      </c>
      <c r="AL32" s="152">
        <f t="shared" si="134"/>
        <v>0</v>
      </c>
      <c r="AM32" s="9">
        <f t="shared" si="135"/>
        <v>0</v>
      </c>
      <c r="AN32" s="80">
        <f t="shared" si="136"/>
        <v>0</v>
      </c>
      <c r="AP32" s="102" t="s">
        <v>0</v>
      </c>
      <c r="AQ32" s="12">
        <v>1</v>
      </c>
      <c r="AR32" s="14">
        <f t="shared" si="15"/>
        <v>12</v>
      </c>
      <c r="AS32" s="14" cm="1">
        <f t="array" ref="AS32">IFERROR(_xlfn.IFS(VALUE(MID(AS$5,6,1))&gt;$D$2,0,$AP32="Annual",1,AR32=12,12,$AP32="Monthly V",AR32*(1+$BD$2),$AP32="Monthly F",12,$AP32="One-Time",0),AR32*(1+$BD$2))</f>
        <v>12</v>
      </c>
      <c r="AT32" s="14" cm="1">
        <f t="array" ref="AT32">IFERROR(_xlfn.IFS(VALUE(MID(AT$5,6,1))&gt;$D$2,0,$AP32="Annual",1,AS32=12,12,$AP32="Monthly V",AS32*(1+$BD$2),$AP32="Monthly F",12,$AP32="One-Time",0),AS32*(1+$BD$2))</f>
        <v>12</v>
      </c>
      <c r="AU32" s="14" cm="1">
        <f t="array" ref="AU32">IFERROR(_xlfn.IFS(VALUE(MID(AU$5,6,1))&gt;$D$2,0,$AP32="Annual",1,AT32=12,12,$AP32="Monthly V",AT32*(1+$BD$2),$AP32="Monthly F",12,$AP32="One-Time",0),AT32*(1+$BD$2))</f>
        <v>12</v>
      </c>
      <c r="AV32" s="14" cm="1">
        <f t="array" ref="AV32">IFERROR(_xlfn.IFS(VALUE(MID(AV$5,6,1))&gt;$D$2,0,$AP32="Annual",1,AU32=12,12,$AP32="Monthly V",AU32*(1+$BD$2),$AP32="Monthly F",12,$AP32="One-Time",0),AU32*(1+$BD$2))</f>
        <v>12</v>
      </c>
      <c r="AW32" s="14" cm="1">
        <f t="array" ref="AW32">IFERROR(_xlfn.IFS(VALUE(MID(AW$5,6,1))&gt;$D$2,0,$AP32="Annual",1,AV32=12,12,$AP32="Monthly V",AV32*(1+$BD$2),$AP32="Monthly F",12,$AP32="One-Time",0),AV32*(1+$BD$2))</f>
        <v>12</v>
      </c>
      <c r="AX32" s="14" cm="1">
        <f t="array" ref="AX32">IFERROR(_xlfn.IFS(VALUE(MID(AX$5,6,1))&gt;$D$2,0,$AP32="Annual",1,AW32=12,12,$AP32="Monthly V",AW32*(1+$BD$2),$AP32="Monthly F",12,$AP32="One-Time",0),AW32*(1+$BD$2))</f>
        <v>12</v>
      </c>
      <c r="AY32" s="14" cm="1">
        <f t="array" ref="AY32">IFERROR(_xlfn.IFS(VALUE(MID(AY$5,6,1))&gt;$D$2,0,$AP32="Annual",1,AX32=12,12,$AP32="Monthly V",AX32*(1+$D$3),$AP32="Monthly F",12,$AP32="One-Time",0),AX32*(1+$D$3))</f>
        <v>0</v>
      </c>
      <c r="AZ32" s="14" cm="1">
        <f t="array" ref="AZ32">IFERROR(_xlfn.IFS(VALUE(MID(AZ$5,6,1))&gt;$D$2,0,$AP32="Annual",1,AY32=12,12,$AP32="Monthly V",AY32*(1+$D$3),$AP32="Monthly F",12,$AP32="One-Time",0),AY32*(1+$D$3))</f>
        <v>0</v>
      </c>
      <c r="BA32" s="125" cm="1">
        <f t="array" ref="BA32">IFERROR(_xlfn.IFS(VALUE(MID(BA$5,6,2))&gt;$D$2,0,$AP32="Annual",1,AZ32=12,12,$AP32="Monthly V",AZ32*(1+$D$3),$AP32="Monthly F",12,$AP32="One-Time",0),AZ32*(1+$D$3))</f>
        <v>0</v>
      </c>
      <c r="BB32" s="148" t="s">
        <v>179</v>
      </c>
      <c r="BC32" s="38" t="s">
        <v>226</v>
      </c>
      <c r="BD32" s="36">
        <v>350</v>
      </c>
      <c r="BE32" s="21">
        <f t="shared" si="16"/>
        <v>350</v>
      </c>
      <c r="BF32" s="39">
        <f t="shared" si="44"/>
        <v>4200</v>
      </c>
      <c r="BG32" s="39">
        <f t="shared" si="17"/>
        <v>4200</v>
      </c>
      <c r="BH32" s="39">
        <f t="shared" si="18"/>
        <v>4200</v>
      </c>
      <c r="BI32" s="39">
        <f t="shared" si="19"/>
        <v>4326</v>
      </c>
      <c r="BJ32" s="39">
        <f t="shared" ref="BJ32:BL32" si="155">BI32*1.03</f>
        <v>4455.78</v>
      </c>
      <c r="BK32" s="39">
        <f t="shared" si="155"/>
        <v>4589.4533999999994</v>
      </c>
      <c r="BL32" s="39">
        <f t="shared" si="155"/>
        <v>4727.1370019999995</v>
      </c>
      <c r="BM32" s="39">
        <f t="shared" si="143"/>
        <v>0</v>
      </c>
      <c r="BN32" s="39">
        <f t="shared" si="143"/>
        <v>0</v>
      </c>
      <c r="BO32" s="39">
        <f t="shared" si="143"/>
        <v>0</v>
      </c>
      <c r="BP32" s="40"/>
      <c r="BQ32" s="40">
        <f t="shared" si="24"/>
        <v>126.00000000000011</v>
      </c>
      <c r="BR32" s="40">
        <f t="shared" si="25"/>
        <v>255.7799999999998</v>
      </c>
      <c r="BS32" s="40">
        <f t="shared" si="26"/>
        <v>401.137002</v>
      </c>
      <c r="BT32" s="40">
        <f t="shared" si="27"/>
        <v>559.23964542179954</v>
      </c>
      <c r="BU32" s="40">
        <f t="shared" si="28"/>
        <v>730.98094182798684</v>
      </c>
      <c r="BV32" s="40">
        <f t="shared" si="29"/>
        <v>917.3117912453115</v>
      </c>
      <c r="BW32" s="40">
        <f t="shared" si="30"/>
        <v>0</v>
      </c>
      <c r="BX32" s="40">
        <f t="shared" si="31"/>
        <v>0</v>
      </c>
      <c r="BY32" s="40">
        <f t="shared" si="32"/>
        <v>0</v>
      </c>
      <c r="BZ32" s="40">
        <f t="shared" si="33"/>
        <v>2990.449380495098</v>
      </c>
      <c r="CA32" s="37">
        <f t="shared" si="9"/>
        <v>33688.819782495091</v>
      </c>
      <c r="CC32" s="102"/>
      <c r="CD32" s="12"/>
      <c r="CE32" s="14">
        <f t="shared" si="10"/>
        <v>0</v>
      </c>
      <c r="CF32" s="14" cm="1">
        <f t="array" ref="CF32">IFERROR(_xlfn.IFS(VALUE(MID(CF$5,6,1))&gt;$D$2,0,$CC32="Annual",1,CE32=12,12,$CC32="Monthly V",CE32*(1+$D$3),$CC32="Monthly F",12,$CC32="One-Time",0),CE32*(1+$D$3))</f>
        <v>0</v>
      </c>
      <c r="CG32" s="14" cm="1">
        <f t="array" ref="CG32">IFERROR(_xlfn.IFS(VALUE(MID(CG$5,6,1))&gt;$D$2,0,$CC32="Annual",1,CF32=12,12,$CC32="Monthly V",CF32*(1+$D$3),$CC32="Monthly F",12,$CC32="One-Time",0),CF32*(1+$D$3))</f>
        <v>0</v>
      </c>
      <c r="CH32" s="14" cm="1">
        <f t="array" ref="CH32">IFERROR(_xlfn.IFS(VALUE(MID(CH$5,6,1))&gt;$D$2,0,$CC32="Annual",1,CG32=12,12,$CC32="Monthly V",CG32*(1+$D$3),$CC32="Monthly F",12,$CC32="One-Time",0),CG32*(1+$D$3))</f>
        <v>0</v>
      </c>
      <c r="CI32" s="14" cm="1">
        <f t="array" ref="CI32">IFERROR(_xlfn.IFS(VALUE(MID(CI$5,6,1))&gt;$D$2,0,$CC32="Annual",1,CH32=12,12,$CC32="Monthly V",CH32*(1+$D$3),$CC32="Monthly F",12,$CC32="One-Time",0),CH32*(1+$D$3))</f>
        <v>0</v>
      </c>
      <c r="CJ32" s="14" cm="1">
        <f t="array" ref="CJ32">IFERROR(_xlfn.IFS(VALUE(MID(CJ$5,6,1))&gt;$D$2,0,$CC32="Annual",1,CI32=12,12,$CC32="Monthly V",CI32*(1+$D$3),$CC32="Monthly F",12,$CC32="One-Time",0),CI32*(1+$D$3))</f>
        <v>0</v>
      </c>
      <c r="CK32" s="14" cm="1">
        <f t="array" ref="CK32">IFERROR(_xlfn.IFS(VALUE(MID(CK$5,6,1))&gt;$D$2,0,$CC32="Annual",1,CJ32=12,12,$CC32="Monthly V",CJ32*(1+$D$3),$CC32="Monthly F",12,$CC32="One-Time",0),CJ32*(1+$D$3))</f>
        <v>0</v>
      </c>
      <c r="CL32" s="14" cm="1">
        <f t="array" ref="CL32">IFERROR(_xlfn.IFS(VALUE(MID(CL$5,6,1))&gt;$D$2,0,$CC32="Annual",1,CK32=12,12,$CC32="Monthly V",CK32*(1+$D$3),$CC32="Monthly F",12,$CC32="One-Time",0),CK32*(1+$D$3))</f>
        <v>0</v>
      </c>
      <c r="CM32" s="14" cm="1">
        <f t="array" ref="CM32">IFERROR(_xlfn.IFS(VALUE(MID(CM$5,6,1))&gt;$D$2,0,$CC32="Annual",1,CL32=12,12,$CC32="Monthly V",CL32*(1+$D$3),$CC32="Monthly F",12,$CC32="One-Time",0),CL32*(1+$D$3))</f>
        <v>0</v>
      </c>
      <c r="CN32" s="24" cm="1">
        <f t="array" ref="CN32">IFERROR(_xlfn.IFS(VALUE(MID(CN$5,6,2))&gt;$D$2,0,$CC32="Annual",1,CM32=12,12,$CC32="Monthly V",CM32*(1+$D$3),$CC32="Monthly F",12,$CC32="One-Time",0),CM32*(1+$D$3))</f>
        <v>0</v>
      </c>
      <c r="CO32" s="63"/>
      <c r="CP32" s="53"/>
      <c r="CQ32" s="21">
        <f t="shared" si="11"/>
        <v>0</v>
      </c>
      <c r="CR32" s="55">
        <f t="shared" si="144"/>
        <v>0</v>
      </c>
      <c r="CS32" s="55">
        <f t="shared" si="144"/>
        <v>0</v>
      </c>
      <c r="CT32" s="55">
        <f t="shared" si="144"/>
        <v>0</v>
      </c>
      <c r="CU32" s="55">
        <f t="shared" si="144"/>
        <v>0</v>
      </c>
      <c r="CV32" s="55">
        <f t="shared" si="144"/>
        <v>0</v>
      </c>
      <c r="CW32" s="55">
        <f t="shared" si="144"/>
        <v>0</v>
      </c>
      <c r="CX32" s="55">
        <f t="shared" si="144"/>
        <v>0</v>
      </c>
      <c r="CY32" s="55">
        <f t="shared" si="144"/>
        <v>0</v>
      </c>
      <c r="CZ32" s="55">
        <f t="shared" si="144"/>
        <v>0</v>
      </c>
      <c r="DA32" s="55">
        <f t="shared" si="144"/>
        <v>0</v>
      </c>
      <c r="DB32" s="56"/>
      <c r="DC32" s="56">
        <f t="shared" si="34"/>
        <v>0</v>
      </c>
      <c r="DD32" s="56">
        <f t="shared" si="35"/>
        <v>0</v>
      </c>
      <c r="DE32" s="56">
        <f t="shared" si="36"/>
        <v>0</v>
      </c>
      <c r="DF32" s="56">
        <f t="shared" si="37"/>
        <v>0</v>
      </c>
      <c r="DG32" s="56">
        <f t="shared" si="38"/>
        <v>0</v>
      </c>
      <c r="DH32" s="56">
        <f t="shared" si="39"/>
        <v>0</v>
      </c>
      <c r="DI32" s="56">
        <f t="shared" si="40"/>
        <v>0</v>
      </c>
      <c r="DJ32" s="56">
        <f t="shared" si="41"/>
        <v>0</v>
      </c>
      <c r="DK32" s="56">
        <f t="shared" si="42"/>
        <v>0</v>
      </c>
      <c r="DL32" s="57">
        <f t="shared" si="43"/>
        <v>0</v>
      </c>
      <c r="DM32" s="54">
        <f t="shared" si="13"/>
        <v>0</v>
      </c>
      <c r="DO32" s="106"/>
    </row>
    <row r="33" spans="2:119" x14ac:dyDescent="0.25">
      <c r="B33" s="141" t="s">
        <v>1</v>
      </c>
      <c r="C33" s="24">
        <v>189</v>
      </c>
      <c r="D33" s="147">
        <f t="shared" ref="D33" si="156">IFERROR(AVERAGE(C33:C33),0)</f>
        <v>189</v>
      </c>
      <c r="E33" s="142">
        <f t="shared" ref="E33:E36" si="157">IF($B33="Annual",1,IF($B33="Monthly F",12,IF($B33="Monthly V",D33*12,IF($B33="One-Time",1,D33*12))))</f>
        <v>2268</v>
      </c>
      <c r="F33" s="14" cm="1">
        <f t="array" ref="F33">IFERROR(_xlfn.IFS(VALUE(MID(F$5,6,1))&gt;$D$2,0,$B33="Annual",1,E33=12,12,$B33="Monthly V",E33*(1+$D$3),$B33="Monthly F",12,$B33="One-Time",0),E33*(1+$D$3))</f>
        <v>2721.6</v>
      </c>
      <c r="G33" s="14" cm="1">
        <f t="array" ref="G33">IFERROR(_xlfn.IFS(VALUE(MID(G$5,6,1))&gt;$D$2,0,$B33="Annual",1,F33=12,12,$B33="Monthly V",F33*(1+$D$3),$B33="Monthly F",12,$B33="One-Time",0),F33*(1+$D$3))</f>
        <v>3265.9199999999996</v>
      </c>
      <c r="H33" s="14" cm="1">
        <f t="array" ref="H33">IFERROR(_xlfn.IFS(VALUE(MID(H$5,6,1))&gt;$D$2,0,$B33="Annual",1,G33=12,12,$B33="Monthly V",G33*(1+$D$3),$B33="Monthly F",12,$B33="One-Time",0),G33*(1+$D$3))</f>
        <v>3919.1039999999994</v>
      </c>
      <c r="I33" s="14" cm="1">
        <f t="array" ref="I33">IFERROR(_xlfn.IFS(VALUE(MID(I$5,6,1))&gt;$D$2,0,$B33="Annual",1,H33=12,12,$B33="Monthly V",H33*(1+$D$3),$B33="Monthly F",12,$B33="One-Time",0),H33*(1+$D$3))</f>
        <v>4702.9247999999989</v>
      </c>
      <c r="J33" s="14" cm="1">
        <f t="array" ref="J33">IFERROR(_xlfn.IFS(VALUE(MID(J$5,6,1))&gt;$D$2,0,$B33="Annual",1,I33=12,12,$B33="Monthly V",I33*(1+$D$3),$B33="Monthly F",12,$B33="One-Time",0),I33*(1+$D$3))</f>
        <v>5643.5097599999981</v>
      </c>
      <c r="K33" s="14" cm="1">
        <f t="array" ref="K33">IFERROR(_xlfn.IFS(VALUE(MID(K$5,6,1))&gt;$D$2,0,$B33="Annual",1,J33=12,12,$B33="Monthly V",J33*(1+$D$3),$B33="Monthly F",12,$B33="One-Time",0),J33*(1+$D$3))</f>
        <v>6772.2117119999975</v>
      </c>
      <c r="L33" s="14" cm="1">
        <f t="array" ref="L33">IFERROR(_xlfn.IFS(VALUE(MID(L$5,6,1))&gt;$D$2,0,$B33="Annual",1,K33=12,12,$B33="Monthly V",K33*(1+$D$3),$B33="Monthly F",12,$B33="One-Time",0),K33*(1+$D$3))</f>
        <v>0</v>
      </c>
      <c r="M33" s="14" cm="1">
        <f t="array" ref="M33">IFERROR(_xlfn.IFS(VALUE(MID(M$5,6,1))&gt;$D$2,0,$B33="Annual",1,L33=12,12,$B33="Monthly V",L33*(1+$D$3),$B33="Monthly F",12,$B33="One-Time",0),L33*(1+$D$3))</f>
        <v>0</v>
      </c>
      <c r="N33" s="24" cm="1">
        <f t="array" ref="N33">IFERROR(_xlfn.IFS(VALUE(MID(N$5,6,2))&gt;$D$2,0,$B33="Annual",1,M33=12,12,$B33="Monthly V",M33*(1+$D$3),$B33="Monthly F",12,$B33="One-Time",0),M33*(1+$D$3))</f>
        <v>0</v>
      </c>
      <c r="O33" s="127" t="s">
        <v>102</v>
      </c>
      <c r="P33" s="13" t="s">
        <v>89</v>
      </c>
      <c r="Q33" s="20">
        <v>1.24</v>
      </c>
      <c r="R33" s="21">
        <f t="shared" si="124"/>
        <v>234.36</v>
      </c>
      <c r="S33" s="6">
        <f>IFERROR($Q33*E33,0)</f>
        <v>2812.32</v>
      </c>
      <c r="T33" s="6">
        <f t="shared" si="125"/>
        <v>3374.7839999999997</v>
      </c>
      <c r="U33" s="6">
        <f t="shared" si="125"/>
        <v>4049.7407999999996</v>
      </c>
      <c r="V33" s="6">
        <f t="shared" si="125"/>
        <v>4859.6889599999995</v>
      </c>
      <c r="W33" s="6">
        <f t="shared" si="125"/>
        <v>5831.6267519999983</v>
      </c>
      <c r="X33" s="6">
        <f t="shared" si="125"/>
        <v>6997.9521023999978</v>
      </c>
      <c r="Y33" s="6">
        <f t="shared" si="125"/>
        <v>8397.5425228799977</v>
      </c>
      <c r="Z33" s="6">
        <f t="shared" si="125"/>
        <v>0</v>
      </c>
      <c r="AA33" s="6">
        <f t="shared" si="125"/>
        <v>0</v>
      </c>
      <c r="AB33" s="6">
        <f t="shared" si="125"/>
        <v>0</v>
      </c>
      <c r="AC33" s="7"/>
      <c r="AD33" s="152">
        <f t="shared" si="126"/>
        <v>101.24352000000007</v>
      </c>
      <c r="AE33" s="152">
        <f t="shared" si="127"/>
        <v>246.62921471999979</v>
      </c>
      <c r="AF33" s="152">
        <f t="shared" si="128"/>
        <v>450.62437819391999</v>
      </c>
      <c r="AG33" s="152">
        <f t="shared" si="129"/>
        <v>731.92053400768441</v>
      </c>
      <c r="AH33" s="152">
        <f t="shared" si="130"/>
        <v>1114.5923431054973</v>
      </c>
      <c r="AI33" s="152">
        <f t="shared" si="131"/>
        <v>1629.5624117647953</v>
      </c>
      <c r="AJ33" s="152">
        <f t="shared" si="132"/>
        <v>0</v>
      </c>
      <c r="AK33" s="152">
        <f t="shared" si="133"/>
        <v>0</v>
      </c>
      <c r="AL33" s="152">
        <f t="shared" si="134"/>
        <v>0</v>
      </c>
      <c r="AM33" s="9">
        <f t="shared" si="135"/>
        <v>4274.5724017918965</v>
      </c>
      <c r="AN33" s="80">
        <f t="shared" si="136"/>
        <v>40598.227539071886</v>
      </c>
      <c r="AP33" s="102" t="s">
        <v>0</v>
      </c>
      <c r="AQ33" s="12">
        <v>1</v>
      </c>
      <c r="AR33" s="14">
        <f t="shared" si="15"/>
        <v>12</v>
      </c>
      <c r="AS33" s="14" cm="1">
        <f t="array" ref="AS33">IFERROR(_xlfn.IFS(VALUE(MID(AS$5,6,1))&gt;$D$2,0,$AP33="Annual",1,AR33=12,12,$AP33="Monthly V",AR33*(1+$BD$2),$AP33="Monthly F",12,$AP33="One-Time",0),AR33*(1+$BD$2))</f>
        <v>12</v>
      </c>
      <c r="AT33" s="14" cm="1">
        <f t="array" ref="AT33">IFERROR(_xlfn.IFS(VALUE(MID(AT$5,6,1))&gt;$D$2,0,$AP33="Annual",1,AS33=12,12,$AP33="Monthly V",AS33*(1+$BD$2),$AP33="Monthly F",12,$AP33="One-Time",0),AS33*(1+$BD$2))</f>
        <v>12</v>
      </c>
      <c r="AU33" s="14" cm="1">
        <f t="array" ref="AU33">IFERROR(_xlfn.IFS(VALUE(MID(AU$5,6,1))&gt;$D$2,0,$AP33="Annual",1,AT33=12,12,$AP33="Monthly V",AT33*(1+$BD$2),$AP33="Monthly F",12,$AP33="One-Time",0),AT33*(1+$BD$2))</f>
        <v>12</v>
      </c>
      <c r="AV33" s="14" cm="1">
        <f t="array" ref="AV33">IFERROR(_xlfn.IFS(VALUE(MID(AV$5,6,1))&gt;$D$2,0,$AP33="Annual",1,AU33=12,12,$AP33="Monthly V",AU33*(1+$BD$2),$AP33="Monthly F",12,$AP33="One-Time",0),AU33*(1+$BD$2))</f>
        <v>12</v>
      </c>
      <c r="AW33" s="14" cm="1">
        <f t="array" ref="AW33">IFERROR(_xlfn.IFS(VALUE(MID(AW$5,6,1))&gt;$D$2,0,$AP33="Annual",1,AV33=12,12,$AP33="Monthly V",AV33*(1+$BD$2),$AP33="Monthly F",12,$AP33="One-Time",0),AV33*(1+$BD$2))</f>
        <v>12</v>
      </c>
      <c r="AX33" s="14" cm="1">
        <f t="array" ref="AX33">IFERROR(_xlfn.IFS(VALUE(MID(AX$5,6,1))&gt;$D$2,0,$AP33="Annual",1,AW33=12,12,$AP33="Monthly V",AW33*(1+$BD$2),$AP33="Monthly F",12,$AP33="One-Time",0),AW33*(1+$BD$2))</f>
        <v>12</v>
      </c>
      <c r="AY33" s="14" cm="1">
        <f t="array" ref="AY33">IFERROR(_xlfn.IFS(VALUE(MID(AY$5,6,1))&gt;$D$2,0,$AP33="Annual",1,AX33=12,12,$AP33="Monthly V",AX33*(1+$D$3),$AP33="Monthly F",12,$AP33="One-Time",0),AX33*(1+$D$3))</f>
        <v>0</v>
      </c>
      <c r="AZ33" s="14" cm="1">
        <f t="array" ref="AZ33">IFERROR(_xlfn.IFS(VALUE(MID(AZ$5,6,1))&gt;$D$2,0,$AP33="Annual",1,AY33=12,12,$AP33="Monthly V",AY33*(1+$D$3),$AP33="Monthly F",12,$AP33="One-Time",0),AY33*(1+$D$3))</f>
        <v>0</v>
      </c>
      <c r="BA33" s="125" cm="1">
        <f t="array" ref="BA33">IFERROR(_xlfn.IFS(VALUE(MID(BA$5,6,2))&gt;$D$2,0,$AP33="Annual",1,AZ33=12,12,$AP33="Monthly V",AZ33*(1+$D$3),$AP33="Monthly F",12,$AP33="One-Time",0),AZ33*(1+$D$3))</f>
        <v>0</v>
      </c>
      <c r="BB33" s="148" t="s">
        <v>180</v>
      </c>
      <c r="BC33" s="38" t="s">
        <v>226</v>
      </c>
      <c r="BD33" s="36">
        <v>500</v>
      </c>
      <c r="BE33" s="21">
        <f t="shared" si="16"/>
        <v>500</v>
      </c>
      <c r="BF33" s="39">
        <f t="shared" si="44"/>
        <v>6000</v>
      </c>
      <c r="BG33" s="39">
        <f t="shared" si="17"/>
        <v>6000</v>
      </c>
      <c r="BH33" s="39">
        <f t="shared" si="18"/>
        <v>6000</v>
      </c>
      <c r="BI33" s="39">
        <f t="shared" si="19"/>
        <v>6180</v>
      </c>
      <c r="BJ33" s="39">
        <f t="shared" ref="BJ33:BL33" si="158">BI33*1.03</f>
        <v>6365.4000000000005</v>
      </c>
      <c r="BK33" s="39">
        <f t="shared" si="158"/>
        <v>6556.362000000001</v>
      </c>
      <c r="BL33" s="39">
        <f t="shared" si="158"/>
        <v>6753.0528600000016</v>
      </c>
      <c r="BM33" s="39">
        <f t="shared" si="143"/>
        <v>0</v>
      </c>
      <c r="BN33" s="39">
        <f t="shared" si="143"/>
        <v>0</v>
      </c>
      <c r="BO33" s="39">
        <f t="shared" si="143"/>
        <v>0</v>
      </c>
      <c r="BP33" s="40"/>
      <c r="BQ33" s="40">
        <f t="shared" si="24"/>
        <v>180.00000000000017</v>
      </c>
      <c r="BR33" s="40">
        <f t="shared" si="25"/>
        <v>365.39999999999975</v>
      </c>
      <c r="BS33" s="40">
        <f t="shared" si="26"/>
        <v>573.05286000000001</v>
      </c>
      <c r="BT33" s="40">
        <f t="shared" si="27"/>
        <v>798.9137791739995</v>
      </c>
      <c r="BU33" s="40">
        <f t="shared" si="28"/>
        <v>1044.2584883256957</v>
      </c>
      <c r="BV33" s="40">
        <f t="shared" si="29"/>
        <v>1310.4454160647313</v>
      </c>
      <c r="BW33" s="40">
        <f t="shared" si="30"/>
        <v>0</v>
      </c>
      <c r="BX33" s="40">
        <f t="shared" si="31"/>
        <v>0</v>
      </c>
      <c r="BY33" s="40">
        <f t="shared" si="32"/>
        <v>0</v>
      </c>
      <c r="BZ33" s="40">
        <f t="shared" si="33"/>
        <v>4272.0705435644259</v>
      </c>
      <c r="CA33" s="37">
        <f t="shared" si="9"/>
        <v>48126.885403564433</v>
      </c>
      <c r="CC33" s="102"/>
      <c r="CD33" s="12"/>
      <c r="CE33" s="14">
        <f t="shared" si="10"/>
        <v>0</v>
      </c>
      <c r="CF33" s="14" cm="1">
        <f t="array" ref="CF33">IFERROR(_xlfn.IFS(VALUE(MID(CF$5,6,1))&gt;$D$2,0,$CC33="Annual",1,CE33=12,12,$CC33="Monthly V",CE33*(1+$D$3),$CC33="Monthly F",12,$CC33="One-Time",0),CE33*(1+$D$3))</f>
        <v>0</v>
      </c>
      <c r="CG33" s="14" cm="1">
        <f t="array" ref="CG33">IFERROR(_xlfn.IFS(VALUE(MID(CG$5,6,1))&gt;$D$2,0,$CC33="Annual",1,CF33=12,12,$CC33="Monthly V",CF33*(1+$D$3),$CC33="Monthly F",12,$CC33="One-Time",0),CF33*(1+$D$3))</f>
        <v>0</v>
      </c>
      <c r="CH33" s="14" cm="1">
        <f t="array" ref="CH33">IFERROR(_xlfn.IFS(VALUE(MID(CH$5,6,1))&gt;$D$2,0,$CC33="Annual",1,CG33=12,12,$CC33="Monthly V",CG33*(1+$D$3),$CC33="Monthly F",12,$CC33="One-Time",0),CG33*(1+$D$3))</f>
        <v>0</v>
      </c>
      <c r="CI33" s="14" cm="1">
        <f t="array" ref="CI33">IFERROR(_xlfn.IFS(VALUE(MID(CI$5,6,1))&gt;$D$2,0,$CC33="Annual",1,CH33=12,12,$CC33="Monthly V",CH33*(1+$D$3),$CC33="Monthly F",12,$CC33="One-Time",0),CH33*(1+$D$3))</f>
        <v>0</v>
      </c>
      <c r="CJ33" s="14" cm="1">
        <f t="array" ref="CJ33">IFERROR(_xlfn.IFS(VALUE(MID(CJ$5,6,1))&gt;$D$2,0,$CC33="Annual",1,CI33=12,12,$CC33="Monthly V",CI33*(1+$D$3),$CC33="Monthly F",12,$CC33="One-Time",0),CI33*(1+$D$3))</f>
        <v>0</v>
      </c>
      <c r="CK33" s="14" cm="1">
        <f t="array" ref="CK33">IFERROR(_xlfn.IFS(VALUE(MID(CK$5,6,1))&gt;$D$2,0,$CC33="Annual",1,CJ33=12,12,$CC33="Monthly V",CJ33*(1+$D$3),$CC33="Monthly F",12,$CC33="One-Time",0),CJ33*(1+$D$3))</f>
        <v>0</v>
      </c>
      <c r="CL33" s="14" cm="1">
        <f t="array" ref="CL33">IFERROR(_xlfn.IFS(VALUE(MID(CL$5,6,1))&gt;$D$2,0,$CC33="Annual",1,CK33=12,12,$CC33="Monthly V",CK33*(1+$D$3),$CC33="Monthly F",12,$CC33="One-Time",0),CK33*(1+$D$3))</f>
        <v>0</v>
      </c>
      <c r="CM33" s="14" cm="1">
        <f t="array" ref="CM33">IFERROR(_xlfn.IFS(VALUE(MID(CM$5,6,1))&gt;$D$2,0,$CC33="Annual",1,CL33=12,12,$CC33="Monthly V",CL33*(1+$D$3),$CC33="Monthly F",12,$CC33="One-Time",0),CL33*(1+$D$3))</f>
        <v>0</v>
      </c>
      <c r="CN33" s="24" cm="1">
        <f t="array" ref="CN33">IFERROR(_xlfn.IFS(VALUE(MID(CN$5,6,2))&gt;$D$2,0,$CC33="Annual",1,CM33=12,12,$CC33="Monthly V",CM33*(1+$D$3),$CC33="Monthly F",12,$CC33="One-Time",0),CM33*(1+$D$3))</f>
        <v>0</v>
      </c>
      <c r="CO33" s="63"/>
      <c r="CP33" s="53"/>
      <c r="CQ33" s="21">
        <f t="shared" si="11"/>
        <v>0</v>
      </c>
      <c r="CR33" s="55">
        <f t="shared" si="144"/>
        <v>0</v>
      </c>
      <c r="CS33" s="55">
        <f t="shared" si="144"/>
        <v>0</v>
      </c>
      <c r="CT33" s="55">
        <f t="shared" si="144"/>
        <v>0</v>
      </c>
      <c r="CU33" s="55">
        <f t="shared" si="144"/>
        <v>0</v>
      </c>
      <c r="CV33" s="55">
        <f t="shared" si="144"/>
        <v>0</v>
      </c>
      <c r="CW33" s="55">
        <f t="shared" si="144"/>
        <v>0</v>
      </c>
      <c r="CX33" s="55">
        <f t="shared" si="144"/>
        <v>0</v>
      </c>
      <c r="CY33" s="55">
        <f t="shared" si="144"/>
        <v>0</v>
      </c>
      <c r="CZ33" s="55">
        <f t="shared" si="144"/>
        <v>0</v>
      </c>
      <c r="DA33" s="55">
        <f t="shared" si="144"/>
        <v>0</v>
      </c>
      <c r="DB33" s="56"/>
      <c r="DC33" s="56">
        <f t="shared" si="34"/>
        <v>0</v>
      </c>
      <c r="DD33" s="56">
        <f t="shared" si="35"/>
        <v>0</v>
      </c>
      <c r="DE33" s="56">
        <f t="shared" si="36"/>
        <v>0</v>
      </c>
      <c r="DF33" s="56">
        <f t="shared" si="37"/>
        <v>0</v>
      </c>
      <c r="DG33" s="56">
        <f t="shared" si="38"/>
        <v>0</v>
      </c>
      <c r="DH33" s="56">
        <f t="shared" si="39"/>
        <v>0</v>
      </c>
      <c r="DI33" s="56">
        <f t="shared" si="40"/>
        <v>0</v>
      </c>
      <c r="DJ33" s="56">
        <f t="shared" si="41"/>
        <v>0</v>
      </c>
      <c r="DK33" s="56">
        <f t="shared" si="42"/>
        <v>0</v>
      </c>
      <c r="DL33" s="57">
        <f t="shared" si="43"/>
        <v>0</v>
      </c>
      <c r="DM33" s="54">
        <f t="shared" si="13"/>
        <v>0</v>
      </c>
      <c r="DO33" s="106"/>
    </row>
    <row r="34" spans="2:119" x14ac:dyDescent="0.25">
      <c r="B34" s="141" t="s">
        <v>0</v>
      </c>
      <c r="C34" s="24"/>
      <c r="D34" s="147"/>
      <c r="E34" s="142">
        <f t="shared" si="157"/>
        <v>12</v>
      </c>
      <c r="F34" s="14" cm="1">
        <f t="array" ref="F34">IFERROR(_xlfn.IFS(VALUE(MID(F$5,6,1))&gt;$D$2,0,$B34="Annual",1,E34=12,12,$B34="Monthly V",E34*(1+$D$3),$B34="Monthly F",12,$B34="One-Time",0),E34*(1+$D$3))</f>
        <v>12</v>
      </c>
      <c r="G34" s="14" cm="1">
        <f t="array" ref="G34">IFERROR(_xlfn.IFS(VALUE(MID(G$5,6,1))&gt;$D$2,0,$B34="Annual",1,F34=12,12,$B34="Monthly V",F34*(1+$D$3),$B34="Monthly F",12,$B34="One-Time",0),F34*(1+$D$3))</f>
        <v>12</v>
      </c>
      <c r="H34" s="14" cm="1">
        <f t="array" ref="H34">IFERROR(_xlfn.IFS(VALUE(MID(H$5,6,1))&gt;$D$2,0,$B34="Annual",1,G34=12,12,$B34="Monthly V",G34*(1+$D$3),$B34="Monthly F",12,$B34="One-Time",0),G34*(1+$D$3))</f>
        <v>12</v>
      </c>
      <c r="I34" s="14" cm="1">
        <f t="array" ref="I34">IFERROR(_xlfn.IFS(VALUE(MID(I$5,6,1))&gt;$D$2,0,$B34="Annual",1,H34=12,12,$B34="Monthly V",H34*(1+$D$3),$B34="Monthly F",12,$B34="One-Time",0),H34*(1+$D$3))</f>
        <v>12</v>
      </c>
      <c r="J34" s="14" cm="1">
        <f t="array" ref="J34">IFERROR(_xlfn.IFS(VALUE(MID(J$5,6,1))&gt;$D$2,0,$B34="Annual",1,I34=12,12,$B34="Monthly V",I34*(1+$D$3),$B34="Monthly F",12,$B34="One-Time",0),I34*(1+$D$3))</f>
        <v>12</v>
      </c>
      <c r="K34" s="14" cm="1">
        <f t="array" ref="K34">IFERROR(_xlfn.IFS(VALUE(MID(K$5,6,1))&gt;$D$2,0,$B34="Annual",1,J34=12,12,$B34="Monthly V",J34*(1+$D$3),$B34="Monthly F",12,$B34="One-Time",0),J34*(1+$D$3))</f>
        <v>12</v>
      </c>
      <c r="L34" s="14" cm="1">
        <f t="array" ref="L34">IFERROR(_xlfn.IFS(VALUE(MID(L$5,6,1))&gt;$D$2,0,$B34="Annual",1,K34=12,12,$B34="Monthly V",K34*(1+$D$3),$B34="Monthly F",12,$B34="One-Time",0),K34*(1+$D$3))</f>
        <v>0</v>
      </c>
      <c r="M34" s="14" cm="1">
        <f t="array" ref="M34">IFERROR(_xlfn.IFS(VALUE(MID(M$5,6,1))&gt;$D$2,0,$B34="Annual",1,L34=12,12,$B34="Monthly V",L34*(1+$D$3),$B34="Monthly F",12,$B34="One-Time",0),L34*(1+$D$3))</f>
        <v>0</v>
      </c>
      <c r="N34" s="24" cm="1">
        <f t="array" ref="N34">IFERROR(_xlfn.IFS(VALUE(MID(N$5,6,2))&gt;$D$2,0,$B34="Annual",1,M34=12,12,$B34="Monthly V",M34*(1+$D$3),$B34="Monthly F",12,$B34="One-Time",0),M34*(1+$D$3))</f>
        <v>0</v>
      </c>
      <c r="O34" s="127" t="s">
        <v>103</v>
      </c>
      <c r="P34" s="13" t="s">
        <v>89</v>
      </c>
      <c r="Q34" s="20">
        <v>375</v>
      </c>
      <c r="R34" s="21">
        <f t="shared" si="124"/>
        <v>140.63999999999999</v>
      </c>
      <c r="S34" s="6">
        <f>IF(S33&lt;$Q$34*12,($Q$34*12)-S33,0)</f>
        <v>1687.6799999999998</v>
      </c>
      <c r="T34" s="6">
        <f t="shared" ref="T34:Y34" si="159">IF(T33&lt;$Q$34*12,($Q$34*12)-T33,0)</f>
        <v>1125.2160000000003</v>
      </c>
      <c r="U34" s="6">
        <f t="shared" si="159"/>
        <v>450.25920000000042</v>
      </c>
      <c r="V34" s="6">
        <f t="shared" si="159"/>
        <v>0</v>
      </c>
      <c r="W34" s="6">
        <f t="shared" si="159"/>
        <v>0</v>
      </c>
      <c r="X34" s="6">
        <f t="shared" si="159"/>
        <v>0</v>
      </c>
      <c r="Y34" s="6">
        <f t="shared" si="159"/>
        <v>0</v>
      </c>
      <c r="Z34" s="6">
        <f t="shared" si="125"/>
        <v>0</v>
      </c>
      <c r="AA34" s="6">
        <f t="shared" si="125"/>
        <v>0</v>
      </c>
      <c r="AB34" s="6">
        <f t="shared" si="125"/>
        <v>0</v>
      </c>
      <c r="AC34" s="7"/>
      <c r="AD34" s="152">
        <f t="shared" si="126"/>
        <v>33.756480000000039</v>
      </c>
      <c r="AE34" s="152">
        <f t="shared" si="127"/>
        <v>27.420785280000004</v>
      </c>
      <c r="AF34" s="152">
        <f t="shared" si="128"/>
        <v>0</v>
      </c>
      <c r="AG34" s="152">
        <f t="shared" si="129"/>
        <v>0</v>
      </c>
      <c r="AH34" s="152">
        <f t="shared" si="130"/>
        <v>0</v>
      </c>
      <c r="AI34" s="152">
        <f t="shared" si="131"/>
        <v>0</v>
      </c>
      <c r="AJ34" s="152">
        <f t="shared" si="132"/>
        <v>0</v>
      </c>
      <c r="AK34" s="152">
        <f t="shared" si="133"/>
        <v>0</v>
      </c>
      <c r="AL34" s="152">
        <f t="shared" si="134"/>
        <v>0</v>
      </c>
      <c r="AM34" s="9">
        <f t="shared" si="135"/>
        <v>61.177265280000043</v>
      </c>
      <c r="AN34" s="80">
        <f t="shared" si="136"/>
        <v>3324.3324652800006</v>
      </c>
      <c r="AP34" s="102" t="s">
        <v>0</v>
      </c>
      <c r="AQ34" s="12">
        <v>1</v>
      </c>
      <c r="AR34" s="14">
        <f t="shared" si="15"/>
        <v>12</v>
      </c>
      <c r="AS34" s="14" cm="1">
        <f t="array" ref="AS34">IFERROR(_xlfn.IFS(VALUE(MID(AS$5,6,1))&gt;$D$2,0,$AP34="Annual",1,AR34=12,12,$AP34="Monthly V",AR34*(1+$BD$2),$AP34="Monthly F",12,$AP34="One-Time",0),AR34*(1+$BD$2))</f>
        <v>12</v>
      </c>
      <c r="AT34" s="14" cm="1">
        <f t="array" ref="AT34">IFERROR(_xlfn.IFS(VALUE(MID(AT$5,6,1))&gt;$D$2,0,$AP34="Annual",1,AS34=12,12,$AP34="Monthly V",AS34*(1+$BD$2),$AP34="Monthly F",12,$AP34="One-Time",0),AS34*(1+$BD$2))</f>
        <v>12</v>
      </c>
      <c r="AU34" s="14" cm="1">
        <f t="array" ref="AU34">IFERROR(_xlfn.IFS(VALUE(MID(AU$5,6,1))&gt;$D$2,0,$AP34="Annual",1,AT34=12,12,$AP34="Monthly V",AT34*(1+$BD$2),$AP34="Monthly F",12,$AP34="One-Time",0),AT34*(1+$BD$2))</f>
        <v>12</v>
      </c>
      <c r="AV34" s="14" cm="1">
        <f t="array" ref="AV34">IFERROR(_xlfn.IFS(VALUE(MID(AV$5,6,1))&gt;$D$2,0,$AP34="Annual",1,AU34=12,12,$AP34="Monthly V",AU34*(1+$BD$2),$AP34="Monthly F",12,$AP34="One-Time",0),AU34*(1+$BD$2))</f>
        <v>12</v>
      </c>
      <c r="AW34" s="14" cm="1">
        <f t="array" ref="AW34">IFERROR(_xlfn.IFS(VALUE(MID(AW$5,6,1))&gt;$D$2,0,$AP34="Annual",1,AV34=12,12,$AP34="Monthly V",AV34*(1+$BD$2),$AP34="Monthly F",12,$AP34="One-Time",0),AV34*(1+$BD$2))</f>
        <v>12</v>
      </c>
      <c r="AX34" s="14" cm="1">
        <f t="array" ref="AX34">IFERROR(_xlfn.IFS(VALUE(MID(AX$5,6,1))&gt;$D$2,0,$AP34="Annual",1,AW34=12,12,$AP34="Monthly V",AW34*(1+$BD$2),$AP34="Monthly F",12,$AP34="One-Time",0),AW34*(1+$BD$2))</f>
        <v>12</v>
      </c>
      <c r="AY34" s="14" cm="1">
        <f t="array" ref="AY34">IFERROR(_xlfn.IFS(VALUE(MID(AY$5,6,1))&gt;$D$2,0,$AP34="Annual",1,AX34=12,12,$AP34="Monthly V",AX34*(1+$D$3),$AP34="Monthly F",12,$AP34="One-Time",0),AX34*(1+$D$3))</f>
        <v>0</v>
      </c>
      <c r="AZ34" s="14" cm="1">
        <f t="array" ref="AZ34">IFERROR(_xlfn.IFS(VALUE(MID(AZ$5,6,1))&gt;$D$2,0,$AP34="Annual",1,AY34=12,12,$AP34="Monthly V",AY34*(1+$D$3),$AP34="Monthly F",12,$AP34="One-Time",0),AY34*(1+$D$3))</f>
        <v>0</v>
      </c>
      <c r="BA34" s="125" cm="1">
        <f t="array" ref="BA34">IFERROR(_xlfn.IFS(VALUE(MID(BA$5,6,2))&gt;$D$2,0,$AP34="Annual",1,AZ34=12,12,$AP34="Monthly V",AZ34*(1+$D$3),$AP34="Monthly F",12,$AP34="One-Time",0),AZ34*(1+$D$3))</f>
        <v>0</v>
      </c>
      <c r="BB34" s="148" t="s">
        <v>181</v>
      </c>
      <c r="BC34" s="38" t="s">
        <v>226</v>
      </c>
      <c r="BD34" s="36">
        <v>175</v>
      </c>
      <c r="BE34" s="21">
        <f>BF34/12</f>
        <v>175</v>
      </c>
      <c r="BF34" s="39">
        <f t="shared" si="44"/>
        <v>2100</v>
      </c>
      <c r="BG34" s="39">
        <f t="shared" si="17"/>
        <v>2100</v>
      </c>
      <c r="BH34" s="39">
        <f t="shared" si="18"/>
        <v>2100</v>
      </c>
      <c r="BI34" s="39">
        <f t="shared" si="19"/>
        <v>2163</v>
      </c>
      <c r="BJ34" s="39">
        <f t="shared" ref="BJ34:BL34" si="160">BI34*1.03</f>
        <v>2227.89</v>
      </c>
      <c r="BK34" s="39">
        <f t="shared" si="160"/>
        <v>2294.7266999999997</v>
      </c>
      <c r="BL34" s="39">
        <f t="shared" si="160"/>
        <v>2363.5685009999997</v>
      </c>
      <c r="BM34" s="39">
        <f t="shared" ref="BM34:BO34" si="161">IFERROR(AY34*$BD34,0)</f>
        <v>0</v>
      </c>
      <c r="BN34" s="39">
        <f t="shared" si="161"/>
        <v>0</v>
      </c>
      <c r="BO34" s="39">
        <f t="shared" si="161"/>
        <v>0</v>
      </c>
      <c r="BP34" s="40"/>
      <c r="BQ34" s="40">
        <f>IF(VALUE(MID(BQ$5,6,1))&lt;=$D$2,((1+$BD$3)^1-1)*BG34,0)</f>
        <v>63.000000000000057</v>
      </c>
      <c r="BR34" s="40">
        <f>IF(VALUE(MID(BR$5,6,1))&lt;=$D$2,((1+$BD$3)^2-1)*BH34,0)</f>
        <v>127.8899999999999</v>
      </c>
      <c r="BS34" s="40">
        <f>IF(VALUE(MID(BS$5,6,1))&lt;=$D$2,((1+$BD$3)^3-1)*BI34,0)</f>
        <v>200.568501</v>
      </c>
      <c r="BT34" s="40">
        <f>IF(VALUE(MID(BT$5,6,1))&lt;=$D$2,((1+$BD$3)^4-1)*BJ34,0)</f>
        <v>279.61982271089977</v>
      </c>
      <c r="BU34" s="40">
        <f>IF(VALUE(MID(BU$5,6,1))&lt;=$D$2,((1+$BD$3)^5-1)*BK34,0)</f>
        <v>365.49047091399342</v>
      </c>
      <c r="BV34" s="40">
        <f>IF(VALUE(MID(BV$5,6,1))&lt;=$D$2,((1+$BD$3)^6-1)*BL34,0)</f>
        <v>458.65589562265575</v>
      </c>
      <c r="BW34" s="40">
        <f>IF(VALUE(MID(BW$5,6,1))&lt;=$D$2,((1+$BD$3)^7-1)*BM34,0)</f>
        <v>0</v>
      </c>
      <c r="BX34" s="40">
        <f>IF(VALUE(MID(BX$5,6,1))&lt;=$D$2,((1+$BD$3)^8-1)*BN34,0)</f>
        <v>0</v>
      </c>
      <c r="BY34" s="40">
        <f>IF(VALUE(MID(BY$5,6,2))&lt;=$D$2,((1+$BD$3)^9-1)*BO34,0)</f>
        <v>0</v>
      </c>
      <c r="BZ34" s="40">
        <f>SUM(BP34:BY34)</f>
        <v>1495.224690247549</v>
      </c>
      <c r="CA34" s="37">
        <f>SUM(BZ34,BF34:BO34)</f>
        <v>16844.409891247546</v>
      </c>
      <c r="CC34" s="102"/>
      <c r="CD34" s="12"/>
      <c r="CE34" s="14"/>
      <c r="CF34" s="14"/>
      <c r="CG34" s="14"/>
      <c r="CH34" s="14"/>
      <c r="CI34" s="14"/>
      <c r="CJ34" s="14"/>
      <c r="CK34" s="14"/>
      <c r="CL34" s="14"/>
      <c r="CM34" s="14"/>
      <c r="CN34" s="24"/>
      <c r="CO34" s="63"/>
      <c r="CP34" s="53"/>
      <c r="CQ34" s="21"/>
      <c r="CR34" s="55"/>
      <c r="CS34" s="55"/>
      <c r="CT34" s="55"/>
      <c r="CU34" s="55"/>
      <c r="CV34" s="55"/>
      <c r="CW34" s="55"/>
      <c r="CX34" s="55"/>
      <c r="CY34" s="55"/>
      <c r="CZ34" s="55"/>
      <c r="DA34" s="55"/>
      <c r="DB34" s="56"/>
      <c r="DC34" s="56"/>
      <c r="DD34" s="56"/>
      <c r="DE34" s="56"/>
      <c r="DF34" s="56"/>
      <c r="DG34" s="56"/>
      <c r="DH34" s="56"/>
      <c r="DI34" s="56"/>
      <c r="DJ34" s="56"/>
      <c r="DK34" s="56"/>
      <c r="DL34" s="57"/>
      <c r="DM34" s="54"/>
      <c r="DO34" s="106"/>
    </row>
    <row r="35" spans="2:119" x14ac:dyDescent="0.25">
      <c r="B35" s="141" t="s">
        <v>0</v>
      </c>
      <c r="C35" s="24">
        <v>1</v>
      </c>
      <c r="D35" s="147">
        <f t="shared" ref="D35:D36" si="162">IFERROR(AVERAGE(C35:C35),0)</f>
        <v>1</v>
      </c>
      <c r="E35" s="142">
        <f t="shared" si="157"/>
        <v>12</v>
      </c>
      <c r="F35" s="14" cm="1">
        <f t="array" ref="F35">IFERROR(_xlfn.IFS(VALUE(MID(F$5,6,1))&gt;$D$2,0,$B35="Annual",1,E35=12,12,$B35="Monthly V",E35*(1+$D$3),$B35="Monthly F",12,$B35="One-Time",0),E35*(1+$D$3))</f>
        <v>12</v>
      </c>
      <c r="G35" s="14" cm="1">
        <f t="array" ref="G35">IFERROR(_xlfn.IFS(VALUE(MID(G$5,6,1))&gt;$D$2,0,$B35="Annual",1,F35=12,12,$B35="Monthly V",F35*(1+$D$3),$B35="Monthly F",12,$B35="One-Time",0),F35*(1+$D$3))</f>
        <v>12</v>
      </c>
      <c r="H35" s="14" cm="1">
        <f t="array" ref="H35">IFERROR(_xlfn.IFS(VALUE(MID(H$5,6,1))&gt;$D$2,0,$B35="Annual",1,G35=12,12,$B35="Monthly V",G35*(1+$D$3),$B35="Monthly F",12,$B35="One-Time",0),G35*(1+$D$3))</f>
        <v>12</v>
      </c>
      <c r="I35" s="14" cm="1">
        <f t="array" ref="I35">IFERROR(_xlfn.IFS(VALUE(MID(I$5,6,1))&gt;$D$2,0,$B35="Annual",1,H35=12,12,$B35="Monthly V",H35*(1+$D$3),$B35="Monthly F",12,$B35="One-Time",0),H35*(1+$D$3))</f>
        <v>12</v>
      </c>
      <c r="J35" s="14" cm="1">
        <f t="array" ref="J35">IFERROR(_xlfn.IFS(VALUE(MID(J$5,6,1))&gt;$D$2,0,$B35="Annual",1,I35=12,12,$B35="Monthly V",I35*(1+$D$3),$B35="Monthly F",12,$B35="One-Time",0),I35*(1+$D$3))</f>
        <v>12</v>
      </c>
      <c r="K35" s="14" cm="1">
        <f t="array" ref="K35">IFERROR(_xlfn.IFS(VALUE(MID(K$5,6,1))&gt;$D$2,0,$B35="Annual",1,J35=12,12,$B35="Monthly V",J35*(1+$D$3),$B35="Monthly F",12,$B35="One-Time",0),J35*(1+$D$3))</f>
        <v>12</v>
      </c>
      <c r="L35" s="14" cm="1">
        <f t="array" ref="L35">IFERROR(_xlfn.IFS(VALUE(MID(L$5,6,1))&gt;$D$2,0,$B35="Annual",1,K35=12,12,$B35="Monthly V",K35*(1+$D$3),$B35="Monthly F",12,$B35="One-Time",0),K35*(1+$D$3))</f>
        <v>0</v>
      </c>
      <c r="M35" s="14" cm="1">
        <f t="array" ref="M35">IFERROR(_xlfn.IFS(VALUE(MID(M$5,6,1))&gt;$D$2,0,$B35="Annual",1,L35=12,12,$B35="Monthly V",L35*(1+$D$3),$B35="Monthly F",12,$B35="One-Time",0),L35*(1+$D$3))</f>
        <v>0</v>
      </c>
      <c r="N35" s="24" cm="1">
        <f t="array" ref="N35">IFERROR(_xlfn.IFS(VALUE(MID(N$5,6,2))&gt;$D$2,0,$B35="Annual",1,M35=12,12,$B35="Monthly V",M35*(1+$D$3),$B35="Monthly F",12,$B35="One-Time",0),M35*(1+$D$3))</f>
        <v>0</v>
      </c>
      <c r="O35" s="127" t="s">
        <v>77</v>
      </c>
      <c r="P35" s="13" t="s">
        <v>89</v>
      </c>
      <c r="Q35" s="20">
        <v>50</v>
      </c>
      <c r="R35" s="21">
        <f t="shared" si="124"/>
        <v>50</v>
      </c>
      <c r="S35" s="6">
        <f t="shared" ref="S35:Y37" si="163">IFERROR($Q35*E35,0)</f>
        <v>600</v>
      </c>
      <c r="T35" s="6">
        <f t="shared" si="163"/>
        <v>600</v>
      </c>
      <c r="U35" s="6">
        <f t="shared" si="163"/>
        <v>600</v>
      </c>
      <c r="V35" s="6">
        <f t="shared" si="163"/>
        <v>600</v>
      </c>
      <c r="W35" s="6">
        <f t="shared" si="163"/>
        <v>600</v>
      </c>
      <c r="X35" s="6">
        <f t="shared" si="163"/>
        <v>600</v>
      </c>
      <c r="Y35" s="6">
        <f t="shared" si="163"/>
        <v>600</v>
      </c>
      <c r="Z35" s="6">
        <f t="shared" si="125"/>
        <v>0</v>
      </c>
      <c r="AA35" s="6">
        <f t="shared" si="125"/>
        <v>0</v>
      </c>
      <c r="AB35" s="6">
        <f t="shared" si="125"/>
        <v>0</v>
      </c>
      <c r="AC35" s="7"/>
      <c r="AD35" s="152">
        <f t="shared" si="126"/>
        <v>18.000000000000014</v>
      </c>
      <c r="AE35" s="152">
        <f t="shared" si="127"/>
        <v>36.539999999999971</v>
      </c>
      <c r="AF35" s="152">
        <f t="shared" si="128"/>
        <v>55.636200000000002</v>
      </c>
      <c r="AG35" s="152">
        <f t="shared" si="129"/>
        <v>75.305285999999953</v>
      </c>
      <c r="AH35" s="152">
        <f t="shared" si="130"/>
        <v>95.5644445799999</v>
      </c>
      <c r="AI35" s="152">
        <f t="shared" si="131"/>
        <v>116.43137791739994</v>
      </c>
      <c r="AJ35" s="152">
        <f t="shared" si="132"/>
        <v>0</v>
      </c>
      <c r="AK35" s="152">
        <f t="shared" si="133"/>
        <v>0</v>
      </c>
      <c r="AL35" s="152">
        <f t="shared" si="134"/>
        <v>0</v>
      </c>
      <c r="AM35" s="9">
        <f t="shared" si="135"/>
        <v>397.4773084973998</v>
      </c>
      <c r="AN35" s="80">
        <f t="shared" si="136"/>
        <v>4597.4773084974004</v>
      </c>
      <c r="AP35" s="102" t="s">
        <v>0</v>
      </c>
      <c r="AQ35" s="12">
        <v>1</v>
      </c>
      <c r="AR35" s="14">
        <f t="shared" si="15"/>
        <v>12</v>
      </c>
      <c r="AS35" s="14" cm="1">
        <f t="array" ref="AS35">IFERROR(_xlfn.IFS(VALUE(MID(AS$5,6,1))&gt;$D$2,0,$AP35="Annual",1,AR35=12,12,$AP35="Monthly V",AR35*(1+$BD$2),$AP35="Monthly F",12,$AP35="One-Time",0),AR35*(1+$BD$2))</f>
        <v>12</v>
      </c>
      <c r="AT35" s="14" cm="1">
        <f t="array" ref="AT35">IFERROR(_xlfn.IFS(VALUE(MID(AT$5,6,1))&gt;$D$2,0,$AP35="Annual",1,AS35=12,12,$AP35="Monthly V",AS35*(1+$BD$2),$AP35="Monthly F",12,$AP35="One-Time",0),AS35*(1+$BD$2))</f>
        <v>12</v>
      </c>
      <c r="AU35" s="14" cm="1">
        <f t="array" ref="AU35">IFERROR(_xlfn.IFS(VALUE(MID(AU$5,6,1))&gt;$D$2,0,$AP35="Annual",1,AT35=12,12,$AP35="Monthly V",AT35*(1+$BD$2),$AP35="Monthly F",12,$AP35="One-Time",0),AT35*(1+$BD$2))</f>
        <v>12</v>
      </c>
      <c r="AV35" s="14" cm="1">
        <f t="array" ref="AV35">IFERROR(_xlfn.IFS(VALUE(MID(AV$5,6,1))&gt;$D$2,0,$AP35="Annual",1,AU35=12,12,$AP35="Monthly V",AU35*(1+$BD$2),$AP35="Monthly F",12,$AP35="One-Time",0),AU35*(1+$BD$2))</f>
        <v>12</v>
      </c>
      <c r="AW35" s="14" cm="1">
        <f t="array" ref="AW35">IFERROR(_xlfn.IFS(VALUE(MID(AW$5,6,1))&gt;$D$2,0,$AP35="Annual",1,AV35=12,12,$AP35="Monthly V",AV35*(1+$BD$2),$AP35="Monthly F",12,$AP35="One-Time",0),AV35*(1+$BD$2))</f>
        <v>12</v>
      </c>
      <c r="AX35" s="14" cm="1">
        <f t="array" ref="AX35">IFERROR(_xlfn.IFS(VALUE(MID(AX$5,6,1))&gt;$D$2,0,$AP35="Annual",1,AW35=12,12,$AP35="Monthly V",AW35*(1+$BD$2),$AP35="Monthly F",12,$AP35="One-Time",0),AW35*(1+$BD$2))</f>
        <v>12</v>
      </c>
      <c r="AY35" s="14" cm="1">
        <f t="array" ref="AY35">IFERROR(_xlfn.IFS(VALUE(MID(AY$5,6,1))&gt;$D$2,0,$AP35="Annual",1,AX35=12,12,$AP35="Monthly V",AX35*(1+$D$3),$AP35="Monthly F",12,$AP35="One-Time",0),AX35*(1+$D$3))</f>
        <v>0</v>
      </c>
      <c r="AZ35" s="14" cm="1">
        <f t="array" ref="AZ35">IFERROR(_xlfn.IFS(VALUE(MID(AZ$5,6,1))&gt;$D$2,0,$AP35="Annual",1,AY35=12,12,$AP35="Monthly V",AY35*(1+$D$3),$AP35="Monthly F",12,$AP35="One-Time",0),AY35*(1+$D$3))</f>
        <v>0</v>
      </c>
      <c r="BA35" s="125" cm="1">
        <f t="array" ref="BA35">IFERROR(_xlfn.IFS(VALUE(MID(BA$5,6,2))&gt;$D$2,0,$AP35="Annual",1,AZ35=12,12,$AP35="Monthly V",AZ35*(1+$D$3),$AP35="Monthly F",12,$AP35="One-Time",0),AZ35*(1+$D$3))</f>
        <v>0</v>
      </c>
      <c r="BB35" s="148" t="s">
        <v>182</v>
      </c>
      <c r="BC35" s="38" t="s">
        <v>226</v>
      </c>
      <c r="BD35" s="36">
        <v>300</v>
      </c>
      <c r="BE35" s="21">
        <f t="shared" ref="BE35:BE68" si="164">BF35/12</f>
        <v>300</v>
      </c>
      <c r="BF35" s="39">
        <f t="shared" si="44"/>
        <v>3600</v>
      </c>
      <c r="BG35" s="39">
        <f t="shared" si="17"/>
        <v>3600</v>
      </c>
      <c r="BH35" s="39">
        <f t="shared" si="18"/>
        <v>3600</v>
      </c>
      <c r="BI35" s="39">
        <f t="shared" si="19"/>
        <v>3708</v>
      </c>
      <c r="BJ35" s="39">
        <f t="shared" ref="BJ35:BL35" si="165">BI35*1.03</f>
        <v>3819.2400000000002</v>
      </c>
      <c r="BK35" s="39">
        <f t="shared" si="165"/>
        <v>3933.8172000000004</v>
      </c>
      <c r="BL35" s="39">
        <f t="shared" si="165"/>
        <v>4051.8317160000006</v>
      </c>
      <c r="BM35" s="39">
        <f t="shared" ref="BM35:BO61" si="166">IFERROR(AY35*$BD35,0)</f>
        <v>0</v>
      </c>
      <c r="BN35" s="39">
        <f t="shared" si="166"/>
        <v>0</v>
      </c>
      <c r="BO35" s="39">
        <f t="shared" si="166"/>
        <v>0</v>
      </c>
      <c r="BP35" s="40"/>
      <c r="BQ35" s="40">
        <f t="shared" ref="BQ35:BQ68" si="167">IF(VALUE(MID(BQ$5,6,1))&lt;=$D$2,((1+$BD$3)^1-1)*BG35,0)</f>
        <v>108.0000000000001</v>
      </c>
      <c r="BR35" s="40">
        <f t="shared" ref="BR35:BR68" si="168">IF(VALUE(MID(BR$5,6,1))&lt;=$D$2,((1+$BD$3)^2-1)*BH35,0)</f>
        <v>219.23999999999984</v>
      </c>
      <c r="BS35" s="40">
        <f t="shared" ref="BS35:BS68" si="169">IF(VALUE(MID(BS$5,6,1))&lt;=$D$2,((1+$BD$3)^3-1)*BI35,0)</f>
        <v>343.83171600000003</v>
      </c>
      <c r="BT35" s="40">
        <f t="shared" ref="BT35:BT68" si="170">IF(VALUE(MID(BT$5,6,1))&lt;=$D$2,((1+$BD$3)^4-1)*BJ35,0)</f>
        <v>479.3482675043997</v>
      </c>
      <c r="BU35" s="40">
        <f t="shared" ref="BU35:BU68" si="171">IF(VALUE(MID(BU$5,6,1))&lt;=$D$2,((1+$BD$3)^5-1)*BK35,0)</f>
        <v>626.55509299541745</v>
      </c>
      <c r="BV35" s="40">
        <f t="shared" ref="BV35:BV68" si="172">IF(VALUE(MID(BV$5,6,1))&lt;=$D$2,((1+$BD$3)^6-1)*BL35,0)</f>
        <v>786.26724963883862</v>
      </c>
      <c r="BW35" s="40">
        <f t="shared" ref="BW35:BW68" si="173">IF(VALUE(MID(BW$5,6,1))&lt;=$D$2,((1+$BD$3)^7-1)*BM35,0)</f>
        <v>0</v>
      </c>
      <c r="BX35" s="40">
        <f t="shared" ref="BX35:BX68" si="174">IF(VALUE(MID(BX$5,6,1))&lt;=$D$2,((1+$BD$3)^8-1)*BN35,0)</f>
        <v>0</v>
      </c>
      <c r="BY35" s="40">
        <f t="shared" ref="BY35:BY68" si="175">IF(VALUE(MID(BY$5,6,2))&lt;=$D$2,((1+$BD$3)^9-1)*BO35,0)</f>
        <v>0</v>
      </c>
      <c r="BZ35" s="40">
        <f t="shared" ref="BZ35:BZ68" si="176">SUM(BP35:BY35)</f>
        <v>2563.2423261386557</v>
      </c>
      <c r="CA35" s="37">
        <f t="shared" ref="CA35:CA68" si="177">SUM(BZ35,BF35:BO35)</f>
        <v>28876.131242138661</v>
      </c>
      <c r="CC35" s="102"/>
      <c r="CD35" s="12"/>
      <c r="CE35" s="14">
        <f t="shared" ref="CE35:CE68" si="178">IF($CC35="Annual",1,IF($CC35="Monthly F",12,IF($CC35="Monthly V",CD35*12,IF($CC35="One-Time",1,CD35*12))))</f>
        <v>0</v>
      </c>
      <c r="CF35" s="14" cm="1">
        <f t="array" ref="CF35">IFERROR(_xlfn.IFS(VALUE(MID(CF$5,6,1))&gt;$D$2,0,$CC35="Annual",1,CE35=12,12,$CC35="Monthly V",CE35*(1+$D$3),$CC35="Monthly F",12,$CC35="One-Time",0),CE35*(1+$D$3))</f>
        <v>0</v>
      </c>
      <c r="CG35" s="14" cm="1">
        <f t="array" ref="CG35">IFERROR(_xlfn.IFS(VALUE(MID(CG$5,6,1))&gt;$D$2,0,$CC35="Annual",1,CF35=12,12,$CC35="Monthly V",CF35*(1+$D$3),$CC35="Monthly F",12,$CC35="One-Time",0),CF35*(1+$D$3))</f>
        <v>0</v>
      </c>
      <c r="CH35" s="14" cm="1">
        <f t="array" ref="CH35">IFERROR(_xlfn.IFS(VALUE(MID(CH$5,6,1))&gt;$D$2,0,$CC35="Annual",1,CG35=12,12,$CC35="Monthly V",CG35*(1+$D$3),$CC35="Monthly F",12,$CC35="One-Time",0),CG35*(1+$D$3))</f>
        <v>0</v>
      </c>
      <c r="CI35" s="14" cm="1">
        <f t="array" ref="CI35">IFERROR(_xlfn.IFS(VALUE(MID(CI$5,6,1))&gt;$D$2,0,$CC35="Annual",1,CH35=12,12,$CC35="Monthly V",CH35*(1+$D$3),$CC35="Monthly F",12,$CC35="One-Time",0),CH35*(1+$D$3))</f>
        <v>0</v>
      </c>
      <c r="CJ35" s="14" cm="1">
        <f t="array" ref="CJ35">IFERROR(_xlfn.IFS(VALUE(MID(CJ$5,6,1))&gt;$D$2,0,$CC35="Annual",1,CI35=12,12,$CC35="Monthly V",CI35*(1+$D$3),$CC35="Monthly F",12,$CC35="One-Time",0),CI35*(1+$D$3))</f>
        <v>0</v>
      </c>
      <c r="CK35" s="14" cm="1">
        <f t="array" ref="CK35">IFERROR(_xlfn.IFS(VALUE(MID(CK$5,6,1))&gt;$D$2,0,$CC35="Annual",1,CJ35=12,12,$CC35="Monthly V",CJ35*(1+$D$3),$CC35="Monthly F",12,$CC35="One-Time",0),CJ35*(1+$D$3))</f>
        <v>0</v>
      </c>
      <c r="CL35" s="14" cm="1">
        <f t="array" ref="CL35">IFERROR(_xlfn.IFS(VALUE(MID(CL$5,6,1))&gt;$D$2,0,$CC35="Annual",1,CK35=12,12,$CC35="Monthly V",CK35*(1+$D$3),$CC35="Monthly F",12,$CC35="One-Time",0),CK35*(1+$D$3))</f>
        <v>0</v>
      </c>
      <c r="CM35" s="14" cm="1">
        <f t="array" ref="CM35">IFERROR(_xlfn.IFS(VALUE(MID(CM$5,6,1))&gt;$D$2,0,$CC35="Annual",1,CL35=12,12,$CC35="Monthly V",CL35*(1+$D$3),$CC35="Monthly F",12,$CC35="One-Time",0),CL35*(1+$D$3))</f>
        <v>0</v>
      </c>
      <c r="CN35" s="24" cm="1">
        <f t="array" ref="CN35">IFERROR(_xlfn.IFS(VALUE(MID(CN$5,6,2))&gt;$D$2,0,$CC35="Annual",1,CM35=12,12,$CC35="Monthly V",CM35*(1+$D$3),$CC35="Monthly F",12,$CC35="One-Time",0),CM35*(1+$D$3))</f>
        <v>0</v>
      </c>
      <c r="CO35" s="63"/>
      <c r="CP35" s="53"/>
      <c r="CQ35" s="21">
        <f t="shared" ref="CQ35:CQ68" si="179">CR35/12</f>
        <v>0</v>
      </c>
      <c r="CR35" s="55">
        <f t="shared" ref="CR35:DA62" si="180">IFERROR(CE35*$CP35,0)</f>
        <v>0</v>
      </c>
      <c r="CS35" s="55">
        <f t="shared" si="180"/>
        <v>0</v>
      </c>
      <c r="CT35" s="55">
        <f t="shared" si="180"/>
        <v>0</v>
      </c>
      <c r="CU35" s="55">
        <f t="shared" si="180"/>
        <v>0</v>
      </c>
      <c r="CV35" s="55">
        <f t="shared" si="180"/>
        <v>0</v>
      </c>
      <c r="CW35" s="55">
        <f t="shared" si="180"/>
        <v>0</v>
      </c>
      <c r="CX35" s="55">
        <f t="shared" si="180"/>
        <v>0</v>
      </c>
      <c r="CY35" s="55">
        <f t="shared" si="180"/>
        <v>0</v>
      </c>
      <c r="CZ35" s="55">
        <f t="shared" si="180"/>
        <v>0</v>
      </c>
      <c r="DA35" s="55">
        <f t="shared" si="180"/>
        <v>0</v>
      </c>
      <c r="DB35" s="56"/>
      <c r="DC35" s="56">
        <f t="shared" ref="DC35:DC68" si="181">IF(VALUE(MID(DC$5,6,1))&lt;=$D$2,((1+$CP$3)^1-1)*CS35,0)</f>
        <v>0</v>
      </c>
      <c r="DD35" s="56">
        <f t="shared" ref="DD35:DD68" si="182">IF(VALUE(MID(DD$5,6,1))&lt;=$D$2,((1+$CP$3)^2-1)*CT35,0)</f>
        <v>0</v>
      </c>
      <c r="DE35" s="56">
        <f t="shared" ref="DE35:DE68" si="183">IF(VALUE(MID(DE$5,6,1))&lt;=$D$2,((1+$CP$3)^3-1)*CU35,0)</f>
        <v>0</v>
      </c>
      <c r="DF35" s="56">
        <f t="shared" ref="DF35:DF68" si="184">IF(VALUE(MID(DF$5,6,1))&lt;=$D$2,((1+$CP$3)^4-1)*CV35,0)</f>
        <v>0</v>
      </c>
      <c r="DG35" s="56">
        <f t="shared" ref="DG35:DG68" si="185">IF(VALUE(MID(DG$5,6,1))&lt;=$D$2,((1+$CP$3)^5-1)*CW35,0)</f>
        <v>0</v>
      </c>
      <c r="DH35" s="56">
        <f t="shared" ref="DH35:DH68" si="186">IF(VALUE(MID(DH$5,6,1))&lt;=$D$2,((1+$CP$3)^6-1)*CX35,0)</f>
        <v>0</v>
      </c>
      <c r="DI35" s="56">
        <f t="shared" ref="DI35:DI68" si="187">IF(VALUE(MID(DI$5,6,1))&lt;=$D$2,((1+$CP$3)^7-1)*CY35,0)</f>
        <v>0</v>
      </c>
      <c r="DJ35" s="56">
        <f t="shared" ref="DJ35:DJ68" si="188">IF(VALUE(MID(DJ$5,6,1))&lt;=$D$2,((1+$CP$3)^8-1)*CZ35,0)</f>
        <v>0</v>
      </c>
      <c r="DK35" s="56">
        <f t="shared" ref="DK35:DK68" si="189">IF(VALUE(MID(DK$5,6,2))&lt;=$D$2,((1+$CP$3)^9-1)*DA35,0)</f>
        <v>0</v>
      </c>
      <c r="DL35" s="57">
        <f t="shared" ref="DL35:DL68" si="190">SUM(DB35:DK35)</f>
        <v>0</v>
      </c>
      <c r="DM35" s="54">
        <f t="shared" ref="DM35:DM68" si="191">SUM(DL35,CR35:DA35)</f>
        <v>0</v>
      </c>
      <c r="DO35" s="106"/>
    </row>
    <row r="36" spans="2:119" x14ac:dyDescent="0.25">
      <c r="B36" s="141"/>
      <c r="C36" s="24"/>
      <c r="D36" s="147">
        <f t="shared" si="162"/>
        <v>0</v>
      </c>
      <c r="E36" s="142">
        <f t="shared" si="157"/>
        <v>0</v>
      </c>
      <c r="F36" s="14" cm="1">
        <f t="array" ref="F36">IFERROR(_xlfn.IFS(VALUE(MID(F$5,6,1))&gt;$D$2,0,$B36="Annual",1,E36=12,12,$B36="Monthly V",E36*(1+$D$3),$B36="Monthly F",12,$B36="One-Time",0),E36*(1+$D$3))</f>
        <v>0</v>
      </c>
      <c r="G36" s="14" cm="1">
        <f t="array" ref="G36">IFERROR(_xlfn.IFS(VALUE(MID(G$5,6,1))&gt;$D$2,0,$B36="Annual",1,F36=12,12,$B36="Monthly V",F36*(1+$D$3),$B36="Monthly F",12,$B36="One-Time",0),F36*(1+$D$3))</f>
        <v>0</v>
      </c>
      <c r="H36" s="14" cm="1">
        <f t="array" ref="H36">IFERROR(_xlfn.IFS(VALUE(MID(H$5,6,1))&gt;$D$2,0,$B36="Annual",1,G36=12,12,$B36="Monthly V",G36*(1+$D$3),$B36="Monthly F",12,$B36="One-Time",0),G36*(1+$D$3))</f>
        <v>0</v>
      </c>
      <c r="I36" s="14" cm="1">
        <f t="array" ref="I36">IFERROR(_xlfn.IFS(VALUE(MID(I$5,6,1))&gt;$D$2,0,$B36="Annual",1,H36=12,12,$B36="Monthly V",H36*(1+$D$3),$B36="Monthly F",12,$B36="One-Time",0),H36*(1+$D$3))</f>
        <v>0</v>
      </c>
      <c r="J36" s="14">
        <f>J33-5000</f>
        <v>643.5097599999981</v>
      </c>
      <c r="K36" s="14">
        <f>K33-5000</f>
        <v>1772.2117119999975</v>
      </c>
      <c r="L36" s="14" cm="1">
        <f t="array" ref="L36">IFERROR(_xlfn.IFS(VALUE(MID(L$5,6,1))&gt;$D$2,0,$B36="Annual",1,K36=12,12,$B36="Monthly V",K36*(1+$D$3),$B36="Monthly F",12,$B36="One-Time",0),K36*(1+$D$3))</f>
        <v>0</v>
      </c>
      <c r="M36" s="14" cm="1">
        <f t="array" ref="M36">IFERROR(_xlfn.IFS(VALUE(MID(M$5,6,1))&gt;$D$2,0,$B36="Annual",1,L36=12,12,$B36="Monthly V",L36*(1+$D$3),$B36="Monthly F",12,$B36="One-Time",0),L36*(1+$D$3))</f>
        <v>0</v>
      </c>
      <c r="N36" s="24" cm="1">
        <f t="array" ref="N36">IFERROR(_xlfn.IFS(VALUE(MID(N$5,6,2))&gt;$D$2,0,$B36="Annual",1,M36=12,12,$B36="Monthly V",M36*(1+$D$3),$B36="Monthly F",12,$B36="One-Time",0),M36*(1+$D$3))</f>
        <v>0</v>
      </c>
      <c r="O36" s="127" t="s">
        <v>78</v>
      </c>
      <c r="P36" s="13" t="s">
        <v>89</v>
      </c>
      <c r="Q36" s="20">
        <v>1.2</v>
      </c>
      <c r="R36" s="21">
        <f t="shared" si="124"/>
        <v>0</v>
      </c>
      <c r="S36" s="6">
        <f t="shared" si="163"/>
        <v>0</v>
      </c>
      <c r="T36" s="6">
        <f t="shared" si="163"/>
        <v>0</v>
      </c>
      <c r="U36" s="6">
        <f t="shared" si="163"/>
        <v>0</v>
      </c>
      <c r="V36" s="6">
        <f t="shared" si="163"/>
        <v>0</v>
      </c>
      <c r="W36" s="6">
        <f t="shared" si="163"/>
        <v>0</v>
      </c>
      <c r="X36" s="6">
        <f t="shared" si="163"/>
        <v>772.21171199999765</v>
      </c>
      <c r="Y36" s="6">
        <f t="shared" si="163"/>
        <v>2126.6540543999968</v>
      </c>
      <c r="Z36" s="6">
        <f t="shared" si="125"/>
        <v>0</v>
      </c>
      <c r="AA36" s="6">
        <f t="shared" si="125"/>
        <v>0</v>
      </c>
      <c r="AB36" s="6">
        <f t="shared" si="125"/>
        <v>0</v>
      </c>
      <c r="AC36" s="7"/>
      <c r="AD36" s="152">
        <f t="shared" si="126"/>
        <v>0</v>
      </c>
      <c r="AE36" s="152">
        <f t="shared" si="127"/>
        <v>0</v>
      </c>
      <c r="AF36" s="152">
        <f t="shared" si="128"/>
        <v>0</v>
      </c>
      <c r="AG36" s="152">
        <f t="shared" si="129"/>
        <v>0</v>
      </c>
      <c r="AH36" s="152">
        <f t="shared" si="130"/>
        <v>122.99330559241771</v>
      </c>
      <c r="AI36" s="152">
        <f t="shared" si="131"/>
        <v>412.6821031790281</v>
      </c>
      <c r="AJ36" s="152">
        <f t="shared" si="132"/>
        <v>0</v>
      </c>
      <c r="AK36" s="152">
        <f t="shared" si="133"/>
        <v>0</v>
      </c>
      <c r="AL36" s="152">
        <f t="shared" si="134"/>
        <v>0</v>
      </c>
      <c r="AM36" s="9">
        <f t="shared" si="135"/>
        <v>535.67540877144586</v>
      </c>
      <c r="AN36" s="80">
        <f t="shared" si="136"/>
        <v>3434.54117517144</v>
      </c>
      <c r="AP36" s="102" t="s">
        <v>0</v>
      </c>
      <c r="AQ36" s="12">
        <v>1</v>
      </c>
      <c r="AR36" s="14">
        <f t="shared" si="15"/>
        <v>12</v>
      </c>
      <c r="AS36" s="14" cm="1">
        <f t="array" ref="AS36">IFERROR(_xlfn.IFS(VALUE(MID(AS$5,6,1))&gt;$D$2,0,$AP36="Annual",1,AR36=12,12,$AP36="Monthly V",AR36*(1+$BD$2),$AP36="Monthly F",12,$AP36="One-Time",0),AR36*(1+$BD$2))</f>
        <v>12</v>
      </c>
      <c r="AT36" s="14" cm="1">
        <f t="array" ref="AT36">IFERROR(_xlfn.IFS(VALUE(MID(AT$5,6,1))&gt;$D$2,0,$AP36="Annual",1,AS36=12,12,$AP36="Monthly V",AS36*(1+$BD$2),$AP36="Monthly F",12,$AP36="One-Time",0),AS36*(1+$BD$2))</f>
        <v>12</v>
      </c>
      <c r="AU36" s="14" cm="1">
        <f t="array" ref="AU36">IFERROR(_xlfn.IFS(VALUE(MID(AU$5,6,1))&gt;$D$2,0,$AP36="Annual",1,AT36=12,12,$AP36="Monthly V",AT36*(1+$BD$2),$AP36="Monthly F",12,$AP36="One-Time",0),AT36*(1+$BD$2))</f>
        <v>12</v>
      </c>
      <c r="AV36" s="14" cm="1">
        <f t="array" ref="AV36">IFERROR(_xlfn.IFS(VALUE(MID(AV$5,6,1))&gt;$D$2,0,$AP36="Annual",1,AU36=12,12,$AP36="Monthly V",AU36*(1+$BD$2),$AP36="Monthly F",12,$AP36="One-Time",0),AU36*(1+$BD$2))</f>
        <v>12</v>
      </c>
      <c r="AW36" s="14" cm="1">
        <f t="array" ref="AW36">IFERROR(_xlfn.IFS(VALUE(MID(AW$5,6,1))&gt;$D$2,0,$AP36="Annual",1,AV36=12,12,$AP36="Monthly V",AV36*(1+$BD$2),$AP36="Monthly F",12,$AP36="One-Time",0),AV36*(1+$BD$2))</f>
        <v>12</v>
      </c>
      <c r="AX36" s="14" cm="1">
        <f t="array" ref="AX36">IFERROR(_xlfn.IFS(VALUE(MID(AX$5,6,1))&gt;$D$2,0,$AP36="Annual",1,AW36=12,12,$AP36="Monthly V",AW36*(1+$BD$2),$AP36="Monthly F",12,$AP36="One-Time",0),AW36*(1+$BD$2))</f>
        <v>12</v>
      </c>
      <c r="AY36" s="14" cm="1">
        <f t="array" ref="AY36">IFERROR(_xlfn.IFS(VALUE(MID(AY$5,6,1))&gt;$D$2,0,$AP36="Annual",1,AX36=12,12,$AP36="Monthly V",AX36*(1+$D$3),$AP36="Monthly F",12,$AP36="One-Time",0),AX36*(1+$D$3))</f>
        <v>0</v>
      </c>
      <c r="AZ36" s="14" cm="1">
        <f t="array" ref="AZ36">IFERROR(_xlfn.IFS(VALUE(MID(AZ$5,6,1))&gt;$D$2,0,$AP36="Annual",1,AY36=12,12,$AP36="Monthly V",AY36*(1+$D$3),$AP36="Monthly F",12,$AP36="One-Time",0),AY36*(1+$D$3))</f>
        <v>0</v>
      </c>
      <c r="BA36" s="125" cm="1">
        <f t="array" ref="BA36">IFERROR(_xlfn.IFS(VALUE(MID(BA$5,6,2))&gt;$D$2,0,$AP36="Annual",1,AZ36=12,12,$AP36="Monthly V",AZ36*(1+$D$3),$AP36="Monthly F",12,$AP36="One-Time",0),AZ36*(1+$D$3))</f>
        <v>0</v>
      </c>
      <c r="BB36" s="148" t="s">
        <v>183</v>
      </c>
      <c r="BC36" s="38" t="s">
        <v>226</v>
      </c>
      <c r="BD36" s="36">
        <v>100</v>
      </c>
      <c r="BE36" s="21">
        <f t="shared" si="164"/>
        <v>100</v>
      </c>
      <c r="BF36" s="39">
        <f t="shared" si="44"/>
        <v>1200</v>
      </c>
      <c r="BG36" s="39">
        <f t="shared" si="17"/>
        <v>1200</v>
      </c>
      <c r="BH36" s="39">
        <f t="shared" si="18"/>
        <v>1200</v>
      </c>
      <c r="BI36" s="39">
        <f t="shared" si="19"/>
        <v>1236</v>
      </c>
      <c r="BJ36" s="39">
        <f t="shared" ref="BJ36:BL36" si="192">BI36*1.03</f>
        <v>1273.08</v>
      </c>
      <c r="BK36" s="39">
        <f t="shared" si="192"/>
        <v>1311.2724000000001</v>
      </c>
      <c r="BL36" s="39">
        <f t="shared" si="192"/>
        <v>1350.610572</v>
      </c>
      <c r="BM36" s="39">
        <f t="shared" si="166"/>
        <v>0</v>
      </c>
      <c r="BN36" s="39">
        <f t="shared" si="166"/>
        <v>0</v>
      </c>
      <c r="BO36" s="39">
        <f t="shared" si="166"/>
        <v>0</v>
      </c>
      <c r="BP36" s="40"/>
      <c r="BQ36" s="40">
        <f t="shared" si="167"/>
        <v>36.000000000000028</v>
      </c>
      <c r="BR36" s="40">
        <f t="shared" si="168"/>
        <v>73.079999999999941</v>
      </c>
      <c r="BS36" s="40">
        <f t="shared" si="169"/>
        <v>114.610572</v>
      </c>
      <c r="BT36" s="40">
        <f t="shared" si="170"/>
        <v>159.78275583479987</v>
      </c>
      <c r="BU36" s="40">
        <f t="shared" si="171"/>
        <v>208.85169766513914</v>
      </c>
      <c r="BV36" s="40">
        <f t="shared" si="172"/>
        <v>262.08908321294621</v>
      </c>
      <c r="BW36" s="40">
        <f t="shared" si="173"/>
        <v>0</v>
      </c>
      <c r="BX36" s="40">
        <f t="shared" si="174"/>
        <v>0</v>
      </c>
      <c r="BY36" s="40">
        <f t="shared" si="175"/>
        <v>0</v>
      </c>
      <c r="BZ36" s="40">
        <f t="shared" si="176"/>
        <v>854.4141087128852</v>
      </c>
      <c r="CA36" s="37">
        <f t="shared" si="177"/>
        <v>9625.377080712884</v>
      </c>
      <c r="CC36" s="102"/>
      <c r="CD36" s="12"/>
      <c r="CE36" s="14">
        <f t="shared" si="178"/>
        <v>0</v>
      </c>
      <c r="CF36" s="14" cm="1">
        <f t="array" ref="CF36">IFERROR(_xlfn.IFS(VALUE(MID(CF$5,6,1))&gt;$D$2,0,$CC36="Annual",1,CE36=12,12,$CC36="Monthly V",CE36*(1+$D$3),$CC36="Monthly F",12,$CC36="One-Time",0),CE36*(1+$D$3))</f>
        <v>0</v>
      </c>
      <c r="CG36" s="14" cm="1">
        <f t="array" ref="CG36">IFERROR(_xlfn.IFS(VALUE(MID(CG$5,6,1))&gt;$D$2,0,$CC36="Annual",1,CF36=12,12,$CC36="Monthly V",CF36*(1+$D$3),$CC36="Monthly F",12,$CC36="One-Time",0),CF36*(1+$D$3))</f>
        <v>0</v>
      </c>
      <c r="CH36" s="14" cm="1">
        <f t="array" ref="CH36">IFERROR(_xlfn.IFS(VALUE(MID(CH$5,6,1))&gt;$D$2,0,$CC36="Annual",1,CG36=12,12,$CC36="Monthly V",CG36*(1+$D$3),$CC36="Monthly F",12,$CC36="One-Time",0),CG36*(1+$D$3))</f>
        <v>0</v>
      </c>
      <c r="CI36" s="14" cm="1">
        <f t="array" ref="CI36">IFERROR(_xlfn.IFS(VALUE(MID(CI$5,6,1))&gt;$D$2,0,$CC36="Annual",1,CH36=12,12,$CC36="Monthly V",CH36*(1+$D$3),$CC36="Monthly F",12,$CC36="One-Time",0),CH36*(1+$D$3))</f>
        <v>0</v>
      </c>
      <c r="CJ36" s="14" cm="1">
        <f t="array" ref="CJ36">IFERROR(_xlfn.IFS(VALUE(MID(CJ$5,6,1))&gt;$D$2,0,$CC36="Annual",1,CI36=12,12,$CC36="Monthly V",CI36*(1+$D$3),$CC36="Monthly F",12,$CC36="One-Time",0),CI36*(1+$D$3))</f>
        <v>0</v>
      </c>
      <c r="CK36" s="14" cm="1">
        <f t="array" ref="CK36">IFERROR(_xlfn.IFS(VALUE(MID(CK$5,6,1))&gt;$D$2,0,$CC36="Annual",1,CJ36=12,12,$CC36="Monthly V",CJ36*(1+$D$3),$CC36="Monthly F",12,$CC36="One-Time",0),CJ36*(1+$D$3))</f>
        <v>0</v>
      </c>
      <c r="CL36" s="14" cm="1">
        <f t="array" ref="CL36">IFERROR(_xlfn.IFS(VALUE(MID(CL$5,6,1))&gt;$D$2,0,$CC36="Annual",1,CK36=12,12,$CC36="Monthly V",CK36*(1+$D$3),$CC36="Monthly F",12,$CC36="One-Time",0),CK36*(1+$D$3))</f>
        <v>0</v>
      </c>
      <c r="CM36" s="14" cm="1">
        <f t="array" ref="CM36">IFERROR(_xlfn.IFS(VALUE(MID(CM$5,6,1))&gt;$D$2,0,$CC36="Annual",1,CL36=12,12,$CC36="Monthly V",CL36*(1+$D$3),$CC36="Monthly F",12,$CC36="One-Time",0),CL36*(1+$D$3))</f>
        <v>0</v>
      </c>
      <c r="CN36" s="24" cm="1">
        <f t="array" ref="CN36">IFERROR(_xlfn.IFS(VALUE(MID(CN$5,6,2))&gt;$D$2,0,$CC36="Annual",1,CM36=12,12,$CC36="Monthly V",CM36*(1+$D$3),$CC36="Monthly F",12,$CC36="One-Time",0),CM36*(1+$D$3))</f>
        <v>0</v>
      </c>
      <c r="CO36" s="63"/>
      <c r="CP36" s="53"/>
      <c r="CQ36" s="21">
        <f t="shared" si="179"/>
        <v>0</v>
      </c>
      <c r="CR36" s="55">
        <f t="shared" si="180"/>
        <v>0</v>
      </c>
      <c r="CS36" s="55">
        <f t="shared" si="180"/>
        <v>0</v>
      </c>
      <c r="CT36" s="55">
        <f t="shared" si="180"/>
        <v>0</v>
      </c>
      <c r="CU36" s="55">
        <f t="shared" si="180"/>
        <v>0</v>
      </c>
      <c r="CV36" s="55">
        <f t="shared" si="180"/>
        <v>0</v>
      </c>
      <c r="CW36" s="55">
        <f t="shared" si="180"/>
        <v>0</v>
      </c>
      <c r="CX36" s="55">
        <f t="shared" si="180"/>
        <v>0</v>
      </c>
      <c r="CY36" s="55">
        <f t="shared" si="180"/>
        <v>0</v>
      </c>
      <c r="CZ36" s="55">
        <f t="shared" si="180"/>
        <v>0</v>
      </c>
      <c r="DA36" s="55">
        <f t="shared" si="180"/>
        <v>0</v>
      </c>
      <c r="DB36" s="56"/>
      <c r="DC36" s="56">
        <f t="shared" si="181"/>
        <v>0</v>
      </c>
      <c r="DD36" s="56">
        <f t="shared" si="182"/>
        <v>0</v>
      </c>
      <c r="DE36" s="56">
        <f t="shared" si="183"/>
        <v>0</v>
      </c>
      <c r="DF36" s="56">
        <f t="shared" si="184"/>
        <v>0</v>
      </c>
      <c r="DG36" s="56">
        <f t="shared" si="185"/>
        <v>0</v>
      </c>
      <c r="DH36" s="56">
        <f t="shared" si="186"/>
        <v>0</v>
      </c>
      <c r="DI36" s="56">
        <f t="shared" si="187"/>
        <v>0</v>
      </c>
      <c r="DJ36" s="56">
        <f t="shared" si="188"/>
        <v>0</v>
      </c>
      <c r="DK36" s="56">
        <f t="shared" si="189"/>
        <v>0</v>
      </c>
      <c r="DL36" s="57">
        <f t="shared" si="190"/>
        <v>0</v>
      </c>
      <c r="DM36" s="54">
        <f t="shared" si="191"/>
        <v>0</v>
      </c>
      <c r="DO36" s="106"/>
    </row>
    <row r="37" spans="2:119" x14ac:dyDescent="0.25">
      <c r="B37" s="141"/>
      <c r="C37" s="24"/>
      <c r="D37" s="147"/>
      <c r="E37" s="142"/>
      <c r="F37" s="14"/>
      <c r="G37" s="14"/>
      <c r="H37" s="14"/>
      <c r="I37" s="14"/>
      <c r="J37" s="14"/>
      <c r="K37" s="14"/>
      <c r="L37" s="14"/>
      <c r="M37" s="14"/>
      <c r="N37" s="24"/>
      <c r="O37" s="157" t="s">
        <v>79</v>
      </c>
      <c r="P37" s="13"/>
      <c r="Q37" s="20"/>
      <c r="R37" s="21">
        <f t="shared" si="124"/>
        <v>0</v>
      </c>
      <c r="S37" s="6">
        <f t="shared" si="163"/>
        <v>0</v>
      </c>
      <c r="T37" s="6">
        <f t="shared" si="163"/>
        <v>0</v>
      </c>
      <c r="U37" s="6">
        <f t="shared" si="163"/>
        <v>0</v>
      </c>
      <c r="V37" s="6">
        <f t="shared" si="163"/>
        <v>0</v>
      </c>
      <c r="W37" s="6">
        <f t="shared" si="163"/>
        <v>0</v>
      </c>
      <c r="X37" s="6">
        <f t="shared" si="163"/>
        <v>0</v>
      </c>
      <c r="Y37" s="6">
        <f t="shared" si="163"/>
        <v>0</v>
      </c>
      <c r="Z37" s="6">
        <f t="shared" si="125"/>
        <v>0</v>
      </c>
      <c r="AA37" s="6">
        <f t="shared" si="125"/>
        <v>0</v>
      </c>
      <c r="AB37" s="6">
        <f t="shared" si="125"/>
        <v>0</v>
      </c>
      <c r="AC37" s="7"/>
      <c r="AD37" s="152">
        <f t="shared" si="126"/>
        <v>0</v>
      </c>
      <c r="AE37" s="152">
        <f t="shared" si="127"/>
        <v>0</v>
      </c>
      <c r="AF37" s="152">
        <f t="shared" si="128"/>
        <v>0</v>
      </c>
      <c r="AG37" s="152">
        <f t="shared" si="129"/>
        <v>0</v>
      </c>
      <c r="AH37" s="152">
        <f t="shared" si="130"/>
        <v>0</v>
      </c>
      <c r="AI37" s="152">
        <f t="shared" si="131"/>
        <v>0</v>
      </c>
      <c r="AJ37" s="152">
        <f t="shared" si="132"/>
        <v>0</v>
      </c>
      <c r="AK37" s="152">
        <f t="shared" si="133"/>
        <v>0</v>
      </c>
      <c r="AL37" s="152">
        <f t="shared" si="134"/>
        <v>0</v>
      </c>
      <c r="AM37" s="9">
        <f t="shared" si="135"/>
        <v>0</v>
      </c>
      <c r="AN37" s="80">
        <f t="shared" si="136"/>
        <v>0</v>
      </c>
      <c r="AP37" s="102" t="s">
        <v>0</v>
      </c>
      <c r="AQ37" s="12">
        <v>1</v>
      </c>
      <c r="AR37" s="14">
        <f t="shared" si="15"/>
        <v>12</v>
      </c>
      <c r="AS37" s="14" cm="1">
        <f t="array" ref="AS37">IFERROR(_xlfn.IFS(VALUE(MID(AS$5,6,1))&gt;$D$2,0,$AP37="Annual",1,AR37=12,12,$AP37="Monthly V",AR37*(1+$BD$2),$AP37="Monthly F",12,$AP37="One-Time",0),AR37*(1+$BD$2))</f>
        <v>12</v>
      </c>
      <c r="AT37" s="14" cm="1">
        <f t="array" ref="AT37">IFERROR(_xlfn.IFS(VALUE(MID(AT$5,6,1))&gt;$D$2,0,$AP37="Annual",1,AS37=12,12,$AP37="Monthly V",AS37*(1+$BD$2),$AP37="Monthly F",12,$AP37="One-Time",0),AS37*(1+$BD$2))</f>
        <v>12</v>
      </c>
      <c r="AU37" s="14" cm="1">
        <f t="array" ref="AU37">IFERROR(_xlfn.IFS(VALUE(MID(AU$5,6,1))&gt;$D$2,0,$AP37="Annual",1,AT37=12,12,$AP37="Monthly V",AT37*(1+$BD$2),$AP37="Monthly F",12,$AP37="One-Time",0),AT37*(1+$BD$2))</f>
        <v>12</v>
      </c>
      <c r="AV37" s="14" cm="1">
        <f t="array" ref="AV37">IFERROR(_xlfn.IFS(VALUE(MID(AV$5,6,1))&gt;$D$2,0,$AP37="Annual",1,AU37=12,12,$AP37="Monthly V",AU37*(1+$BD$2),$AP37="Monthly F",12,$AP37="One-Time",0),AU37*(1+$BD$2))</f>
        <v>12</v>
      </c>
      <c r="AW37" s="14" cm="1">
        <f t="array" ref="AW37">IFERROR(_xlfn.IFS(VALUE(MID(AW$5,6,1))&gt;$D$2,0,$AP37="Annual",1,AV37=12,12,$AP37="Monthly V",AV37*(1+$BD$2),$AP37="Monthly F",12,$AP37="One-Time",0),AV37*(1+$BD$2))</f>
        <v>12</v>
      </c>
      <c r="AX37" s="14" cm="1">
        <f t="array" ref="AX37">IFERROR(_xlfn.IFS(VALUE(MID(AX$5,6,1))&gt;$D$2,0,$AP37="Annual",1,AW37=12,12,$AP37="Monthly V",AW37*(1+$BD$2),$AP37="Monthly F",12,$AP37="One-Time",0),AW37*(1+$BD$2))</f>
        <v>12</v>
      </c>
      <c r="AY37" s="14" cm="1">
        <f t="array" ref="AY37">IFERROR(_xlfn.IFS(VALUE(MID(AY$5,6,1))&gt;$D$2,0,$AP37="Annual",1,AX37=12,12,$AP37="Monthly V",AX37*(1+$D$3),$AP37="Monthly F",12,$AP37="One-Time",0),AX37*(1+$D$3))</f>
        <v>0</v>
      </c>
      <c r="AZ37" s="14" cm="1">
        <f t="array" ref="AZ37">IFERROR(_xlfn.IFS(VALUE(MID(AZ$5,6,1))&gt;$D$2,0,$AP37="Annual",1,AY37=12,12,$AP37="Monthly V",AY37*(1+$D$3),$AP37="Monthly F",12,$AP37="One-Time",0),AY37*(1+$D$3))</f>
        <v>0</v>
      </c>
      <c r="BA37" s="125" cm="1">
        <f t="array" ref="BA37">IFERROR(_xlfn.IFS(VALUE(MID(BA$5,6,2))&gt;$D$2,0,$AP37="Annual",1,AZ37=12,12,$AP37="Monthly V",AZ37*(1+$D$3),$AP37="Monthly F",12,$AP37="One-Time",0),AZ37*(1+$D$3))</f>
        <v>0</v>
      </c>
      <c r="BB37" s="148" t="s">
        <v>184</v>
      </c>
      <c r="BC37" s="38" t="s">
        <v>227</v>
      </c>
      <c r="BD37" s="36">
        <v>650</v>
      </c>
      <c r="BE37" s="21">
        <f t="shared" si="164"/>
        <v>650</v>
      </c>
      <c r="BF37" s="39">
        <f t="shared" si="44"/>
        <v>7800</v>
      </c>
      <c r="BG37" s="39">
        <f t="shared" si="17"/>
        <v>7800</v>
      </c>
      <c r="BH37" s="39">
        <f t="shared" si="18"/>
        <v>7800</v>
      </c>
      <c r="BI37" s="39">
        <f t="shared" si="19"/>
        <v>8034</v>
      </c>
      <c r="BJ37" s="39">
        <f t="shared" ref="BJ37:BL37" si="193">BI37*1.03</f>
        <v>8275.02</v>
      </c>
      <c r="BK37" s="39">
        <f t="shared" si="193"/>
        <v>8523.2705999999998</v>
      </c>
      <c r="BL37" s="39">
        <f t="shared" si="193"/>
        <v>8778.9687180000001</v>
      </c>
      <c r="BM37" s="39">
        <f t="shared" si="166"/>
        <v>0</v>
      </c>
      <c r="BN37" s="39">
        <f t="shared" si="166"/>
        <v>0</v>
      </c>
      <c r="BO37" s="39">
        <f t="shared" si="166"/>
        <v>0</v>
      </c>
      <c r="BP37" s="40"/>
      <c r="BQ37" s="40">
        <f t="shared" si="167"/>
        <v>234.0000000000002</v>
      </c>
      <c r="BR37" s="40">
        <f t="shared" si="168"/>
        <v>475.01999999999964</v>
      </c>
      <c r="BS37" s="40">
        <f t="shared" si="169"/>
        <v>744.96871800000008</v>
      </c>
      <c r="BT37" s="40">
        <f t="shared" si="170"/>
        <v>1038.5879129261994</v>
      </c>
      <c r="BU37" s="40">
        <f t="shared" si="171"/>
        <v>1357.5360348234042</v>
      </c>
      <c r="BV37" s="40">
        <f t="shared" si="172"/>
        <v>1703.5790408841501</v>
      </c>
      <c r="BW37" s="40">
        <f t="shared" si="173"/>
        <v>0</v>
      </c>
      <c r="BX37" s="40">
        <f t="shared" si="174"/>
        <v>0</v>
      </c>
      <c r="BY37" s="40">
        <f t="shared" si="175"/>
        <v>0</v>
      </c>
      <c r="BZ37" s="40">
        <f t="shared" si="176"/>
        <v>5553.6917066337537</v>
      </c>
      <c r="CA37" s="37">
        <f t="shared" si="177"/>
        <v>62564.95102463376</v>
      </c>
      <c r="CC37" s="102"/>
      <c r="CD37" s="12"/>
      <c r="CE37" s="14">
        <f t="shared" si="178"/>
        <v>0</v>
      </c>
      <c r="CF37" s="14" cm="1">
        <f t="array" ref="CF37">IFERROR(_xlfn.IFS(VALUE(MID(CF$5,6,1))&gt;$D$2,0,$CC37="Annual",1,CE37=12,12,$CC37="Monthly V",CE37*(1+$D$3),$CC37="Monthly F",12,$CC37="One-Time",0),CE37*(1+$D$3))</f>
        <v>0</v>
      </c>
      <c r="CG37" s="14" cm="1">
        <f t="array" ref="CG37">IFERROR(_xlfn.IFS(VALUE(MID(CG$5,6,1))&gt;$D$2,0,$CC37="Annual",1,CF37=12,12,$CC37="Monthly V",CF37*(1+$D$3),$CC37="Monthly F",12,$CC37="One-Time",0),CF37*(1+$D$3))</f>
        <v>0</v>
      </c>
      <c r="CH37" s="14" cm="1">
        <f t="array" ref="CH37">IFERROR(_xlfn.IFS(VALUE(MID(CH$5,6,1))&gt;$D$2,0,$CC37="Annual",1,CG37=12,12,$CC37="Monthly V",CG37*(1+$D$3),$CC37="Monthly F",12,$CC37="One-Time",0),CG37*(1+$D$3))</f>
        <v>0</v>
      </c>
      <c r="CI37" s="14" cm="1">
        <f t="array" ref="CI37">IFERROR(_xlfn.IFS(VALUE(MID(CI$5,6,1))&gt;$D$2,0,$CC37="Annual",1,CH37=12,12,$CC37="Monthly V",CH37*(1+$D$3),$CC37="Monthly F",12,$CC37="One-Time",0),CH37*(1+$D$3))</f>
        <v>0</v>
      </c>
      <c r="CJ37" s="14" cm="1">
        <f t="array" ref="CJ37">IFERROR(_xlfn.IFS(VALUE(MID(CJ$5,6,1))&gt;$D$2,0,$CC37="Annual",1,CI37=12,12,$CC37="Monthly V",CI37*(1+$D$3),$CC37="Monthly F",12,$CC37="One-Time",0),CI37*(1+$D$3))</f>
        <v>0</v>
      </c>
      <c r="CK37" s="14" cm="1">
        <f t="array" ref="CK37">IFERROR(_xlfn.IFS(VALUE(MID(CK$5,6,1))&gt;$D$2,0,$CC37="Annual",1,CJ37=12,12,$CC37="Monthly V",CJ37*(1+$D$3),$CC37="Monthly F",12,$CC37="One-Time",0),CJ37*(1+$D$3))</f>
        <v>0</v>
      </c>
      <c r="CL37" s="14" cm="1">
        <f t="array" ref="CL37">IFERROR(_xlfn.IFS(VALUE(MID(CL$5,6,1))&gt;$D$2,0,$CC37="Annual",1,CK37=12,12,$CC37="Monthly V",CK37*(1+$D$3),$CC37="Monthly F",12,$CC37="One-Time",0),CK37*(1+$D$3))</f>
        <v>0</v>
      </c>
      <c r="CM37" s="14" cm="1">
        <f t="array" ref="CM37">IFERROR(_xlfn.IFS(VALUE(MID(CM$5,6,1))&gt;$D$2,0,$CC37="Annual",1,CL37=12,12,$CC37="Monthly V",CL37*(1+$D$3),$CC37="Monthly F",12,$CC37="One-Time",0),CL37*(1+$D$3))</f>
        <v>0</v>
      </c>
      <c r="CN37" s="24" cm="1">
        <f t="array" ref="CN37">IFERROR(_xlfn.IFS(VALUE(MID(CN$5,6,2))&gt;$D$2,0,$CC37="Annual",1,CM37=12,12,$CC37="Monthly V",CM37*(1+$D$3),$CC37="Monthly F",12,$CC37="One-Time",0),CM37*(1+$D$3))</f>
        <v>0</v>
      </c>
      <c r="CO37" s="63"/>
      <c r="CP37" s="53"/>
      <c r="CQ37" s="21">
        <f t="shared" si="179"/>
        <v>0</v>
      </c>
      <c r="CR37" s="55">
        <f t="shared" si="180"/>
        <v>0</v>
      </c>
      <c r="CS37" s="55">
        <f t="shared" si="180"/>
        <v>0</v>
      </c>
      <c r="CT37" s="55">
        <f t="shared" si="180"/>
        <v>0</v>
      </c>
      <c r="CU37" s="55">
        <f t="shared" si="180"/>
        <v>0</v>
      </c>
      <c r="CV37" s="55">
        <f t="shared" si="180"/>
        <v>0</v>
      </c>
      <c r="CW37" s="55">
        <f t="shared" si="180"/>
        <v>0</v>
      </c>
      <c r="CX37" s="55">
        <f t="shared" si="180"/>
        <v>0</v>
      </c>
      <c r="CY37" s="55">
        <f t="shared" si="180"/>
        <v>0</v>
      </c>
      <c r="CZ37" s="55">
        <f t="shared" si="180"/>
        <v>0</v>
      </c>
      <c r="DA37" s="55">
        <f t="shared" si="180"/>
        <v>0</v>
      </c>
      <c r="DB37" s="56"/>
      <c r="DC37" s="56">
        <f t="shared" si="181"/>
        <v>0</v>
      </c>
      <c r="DD37" s="56">
        <f t="shared" si="182"/>
        <v>0</v>
      </c>
      <c r="DE37" s="56">
        <f t="shared" si="183"/>
        <v>0</v>
      </c>
      <c r="DF37" s="56">
        <f t="shared" si="184"/>
        <v>0</v>
      </c>
      <c r="DG37" s="56">
        <f t="shared" si="185"/>
        <v>0</v>
      </c>
      <c r="DH37" s="56">
        <f t="shared" si="186"/>
        <v>0</v>
      </c>
      <c r="DI37" s="56">
        <f t="shared" si="187"/>
        <v>0</v>
      </c>
      <c r="DJ37" s="56">
        <f t="shared" si="188"/>
        <v>0</v>
      </c>
      <c r="DK37" s="56">
        <f t="shared" si="189"/>
        <v>0</v>
      </c>
      <c r="DL37" s="57">
        <f t="shared" si="190"/>
        <v>0</v>
      </c>
      <c r="DM37" s="54">
        <f t="shared" si="191"/>
        <v>0</v>
      </c>
      <c r="DO37" s="106"/>
    </row>
    <row r="38" spans="2:119" x14ac:dyDescent="0.25">
      <c r="B38" s="141" t="s">
        <v>0</v>
      </c>
      <c r="C38" s="24"/>
      <c r="D38" s="147">
        <f t="shared" ref="D38" si="194">IFERROR(AVERAGE(C38:C38),0)</f>
        <v>0</v>
      </c>
      <c r="E38" s="142">
        <f t="shared" ref="E38" si="195">IF($B38="Annual",1,IF($B38="Monthly F",12,IF($B38="Monthly V",D38*12,IF($B38="One-Time",1,D38*12))))</f>
        <v>12</v>
      </c>
      <c r="F38" s="14" cm="1">
        <f t="array" ref="F38">IFERROR(_xlfn.IFS(VALUE(MID(F$5,6,1))&gt;$D$2,0,$B38="Annual",1,E38=12,12,$B38="Monthly V",E38*(1+$D$3),$B38="Monthly F",12,$B38="One-Time",0),E38*(1+$D$3))</f>
        <v>12</v>
      </c>
      <c r="G38" s="14" cm="1">
        <f t="array" ref="G38">IFERROR(_xlfn.IFS(VALUE(MID(G$5,6,1))&gt;$D$2,0,$B38="Annual",1,F38=12,12,$B38="Monthly V",F38*(1+$D$3),$B38="Monthly F",12,$B38="One-Time",0),F38*(1+$D$3))</f>
        <v>12</v>
      </c>
      <c r="H38" s="14" cm="1">
        <f t="array" ref="H38">IFERROR(_xlfn.IFS(VALUE(MID(H$5,6,1))&gt;$D$2,0,$B38="Annual",1,G38=12,12,$B38="Monthly V",G38*(1+$D$3),$B38="Monthly F",12,$B38="One-Time",0),G38*(1+$D$3))</f>
        <v>12</v>
      </c>
      <c r="I38" s="14" cm="1">
        <f t="array" ref="I38">IFERROR(_xlfn.IFS(VALUE(MID(I$5,6,1))&gt;$D$2,0,$B38="Annual",1,H38=12,12,$B38="Monthly V",H38*(1+$D$3),$B38="Monthly F",12,$B38="One-Time",0),H38*(1+$D$3))</f>
        <v>12</v>
      </c>
      <c r="J38" s="14" cm="1">
        <f t="array" ref="J38">IFERROR(_xlfn.IFS(VALUE(MID(J$5,6,1))&gt;$D$2,0,$B38="Annual",1,I38=12,12,$B38="Monthly V",I38*(1+$D$3),$B38="Monthly F",12,$B38="One-Time",0),I38*(1+$D$3))</f>
        <v>12</v>
      </c>
      <c r="K38" s="14" cm="1">
        <f t="array" ref="K38">IFERROR(_xlfn.IFS(VALUE(MID(K$5,6,1))&gt;$D$2,0,$B38="Annual",1,J38=12,12,$B38="Monthly V",J38*(1+$D$3),$B38="Monthly F",12,$B38="One-Time",0),J38*(1+$D$3))</f>
        <v>12</v>
      </c>
      <c r="L38" s="14" cm="1">
        <f t="array" ref="L38">IFERROR(_xlfn.IFS(VALUE(MID(L$5,6,1))&gt;$D$2,0,$B38="Annual",1,K38=12,12,$B38="Monthly V",K38*(1+$D$3),$B38="Monthly F",12,$B38="One-Time",0),K38*(1+$D$3))</f>
        <v>0</v>
      </c>
      <c r="M38" s="14" cm="1">
        <f t="array" ref="M38">IFERROR(_xlfn.IFS(VALUE(MID(M$5,6,1))&gt;$D$2,0,$B38="Annual",1,L38=12,12,$B38="Monthly V",L38*(1+$D$3),$B38="Monthly F",12,$B38="One-Time",0),L38*(1+$D$3))</f>
        <v>0</v>
      </c>
      <c r="N38" s="24" cm="1">
        <f t="array" ref="N38">IFERROR(_xlfn.IFS(VALUE(MID(N$5,6,2))&gt;$D$2,0,$B38="Annual",1,M38=12,12,$B38="Monthly V",M38*(1+$D$3),$B38="Monthly F",12,$B38="One-Time",0),M38*(1+$D$3))</f>
        <v>0</v>
      </c>
      <c r="O38" s="127" t="s">
        <v>75</v>
      </c>
      <c r="P38" s="13" t="s">
        <v>90</v>
      </c>
      <c r="Q38" s="20">
        <v>500</v>
      </c>
      <c r="R38" s="21">
        <f>S38/12</f>
        <v>500</v>
      </c>
      <c r="S38" s="6">
        <f>IF(S39&lt;$Q$38*12,($Q$38*12)-S39,0)</f>
        <v>6000</v>
      </c>
      <c r="T38" s="6">
        <f t="shared" ref="T38:Y38" si="196">IF(T39&lt;$Q$38*12,($Q$38*12)-T39,0)</f>
        <v>6000</v>
      </c>
      <c r="U38" s="6">
        <f t="shared" si="196"/>
        <v>6000</v>
      </c>
      <c r="V38" s="6">
        <f t="shared" si="196"/>
        <v>6000</v>
      </c>
      <c r="W38" s="6">
        <f t="shared" si="196"/>
        <v>6000</v>
      </c>
      <c r="X38" s="6">
        <f t="shared" si="196"/>
        <v>6000</v>
      </c>
      <c r="Y38" s="6">
        <f t="shared" si="196"/>
        <v>6000</v>
      </c>
      <c r="Z38" s="6">
        <f t="shared" si="125"/>
        <v>0</v>
      </c>
      <c r="AA38" s="6">
        <f t="shared" si="125"/>
        <v>0</v>
      </c>
      <c r="AB38" s="6">
        <f t="shared" si="125"/>
        <v>0</v>
      </c>
      <c r="AC38" s="7"/>
      <c r="AD38" s="152">
        <f t="shared" si="126"/>
        <v>180.00000000000017</v>
      </c>
      <c r="AE38" s="152">
        <f t="shared" si="127"/>
        <v>365.39999999999975</v>
      </c>
      <c r="AF38" s="152">
        <f t="shared" si="128"/>
        <v>556.36200000000008</v>
      </c>
      <c r="AG38" s="152">
        <f t="shared" si="129"/>
        <v>753.05285999999944</v>
      </c>
      <c r="AH38" s="152">
        <f t="shared" si="130"/>
        <v>955.64444579999906</v>
      </c>
      <c r="AI38" s="152">
        <f t="shared" si="131"/>
        <v>1164.3137791739994</v>
      </c>
      <c r="AJ38" s="152">
        <f t="shared" si="132"/>
        <v>0</v>
      </c>
      <c r="AK38" s="152">
        <f t="shared" si="133"/>
        <v>0</v>
      </c>
      <c r="AL38" s="152">
        <f t="shared" si="134"/>
        <v>0</v>
      </c>
      <c r="AM38" s="9">
        <f t="shared" si="135"/>
        <v>3974.7730849739983</v>
      </c>
      <c r="AN38" s="80">
        <f t="shared" si="136"/>
        <v>45974.773084973996</v>
      </c>
      <c r="AP38" s="102" t="s">
        <v>0</v>
      </c>
      <c r="AQ38" s="12">
        <v>1</v>
      </c>
      <c r="AR38" s="14">
        <f t="shared" si="15"/>
        <v>12</v>
      </c>
      <c r="AS38" s="14" cm="1">
        <f t="array" ref="AS38">IFERROR(_xlfn.IFS(VALUE(MID(AS$5,6,1))&gt;$D$2,0,$AP38="Annual",1,AR38=12,12,$AP38="Monthly V",AR38*(1+$BD$2),$AP38="Monthly F",12,$AP38="One-Time",0),AR38*(1+$BD$2))</f>
        <v>12</v>
      </c>
      <c r="AT38" s="14" cm="1">
        <f t="array" ref="AT38">IFERROR(_xlfn.IFS(VALUE(MID(AT$5,6,1))&gt;$D$2,0,$AP38="Annual",1,AS38=12,12,$AP38="Monthly V",AS38*(1+$BD$2),$AP38="Monthly F",12,$AP38="One-Time",0),AS38*(1+$BD$2))</f>
        <v>12</v>
      </c>
      <c r="AU38" s="14" cm="1">
        <f t="array" ref="AU38">IFERROR(_xlfn.IFS(VALUE(MID(AU$5,6,1))&gt;$D$2,0,$AP38="Annual",1,AT38=12,12,$AP38="Monthly V",AT38*(1+$BD$2),$AP38="Monthly F",12,$AP38="One-Time",0),AT38*(1+$BD$2))</f>
        <v>12</v>
      </c>
      <c r="AV38" s="14" cm="1">
        <f t="array" ref="AV38">IFERROR(_xlfn.IFS(VALUE(MID(AV$5,6,1))&gt;$D$2,0,$AP38="Annual",1,AU38=12,12,$AP38="Monthly V",AU38*(1+$BD$2),$AP38="Monthly F",12,$AP38="One-Time",0),AU38*(1+$BD$2))</f>
        <v>12</v>
      </c>
      <c r="AW38" s="14" cm="1">
        <f t="array" ref="AW38">IFERROR(_xlfn.IFS(VALUE(MID(AW$5,6,1))&gt;$D$2,0,$AP38="Annual",1,AV38=12,12,$AP38="Monthly V",AV38*(1+$BD$2),$AP38="Monthly F",12,$AP38="One-Time",0),AV38*(1+$BD$2))</f>
        <v>12</v>
      </c>
      <c r="AX38" s="14" cm="1">
        <f t="array" ref="AX38">IFERROR(_xlfn.IFS(VALUE(MID(AX$5,6,1))&gt;$D$2,0,$AP38="Annual",1,AW38=12,12,$AP38="Monthly V",AW38*(1+$BD$2),$AP38="Monthly F",12,$AP38="One-Time",0),AW38*(1+$BD$2))</f>
        <v>12</v>
      </c>
      <c r="AY38" s="14" cm="1">
        <f t="array" ref="AY38">IFERROR(_xlfn.IFS(VALUE(MID(AY$5,6,1))&gt;$D$2,0,$AP38="Annual",1,AX38=12,12,$AP38="Monthly V",AX38*(1+$D$3),$AP38="Monthly F",12,$AP38="One-Time",0),AX38*(1+$D$3))</f>
        <v>0</v>
      </c>
      <c r="AZ38" s="14" cm="1">
        <f t="array" ref="AZ38">IFERROR(_xlfn.IFS(VALUE(MID(AZ$5,6,1))&gt;$D$2,0,$AP38="Annual",1,AY38=12,12,$AP38="Monthly V",AY38*(1+$D$3),$AP38="Monthly F",12,$AP38="One-Time",0),AY38*(1+$D$3))</f>
        <v>0</v>
      </c>
      <c r="BA38" s="125" cm="1">
        <f t="array" ref="BA38">IFERROR(_xlfn.IFS(VALUE(MID(BA$5,6,2))&gt;$D$2,0,$AP38="Annual",1,AZ38=12,12,$AP38="Monthly V",AZ38*(1+$D$3),$AP38="Monthly F",12,$AP38="One-Time",0),AZ38*(1+$D$3))</f>
        <v>0</v>
      </c>
      <c r="BB38" s="148" t="s">
        <v>330</v>
      </c>
      <c r="BC38" s="38" t="s">
        <v>227</v>
      </c>
      <c r="BD38" s="36">
        <v>250</v>
      </c>
      <c r="BE38" s="21">
        <f t="shared" si="164"/>
        <v>250</v>
      </c>
      <c r="BF38" s="39">
        <f t="shared" si="44"/>
        <v>3000</v>
      </c>
      <c r="BG38" s="39">
        <f t="shared" si="17"/>
        <v>3000</v>
      </c>
      <c r="BH38" s="39">
        <f t="shared" si="18"/>
        <v>3000</v>
      </c>
      <c r="BI38" s="39">
        <f t="shared" si="19"/>
        <v>3090</v>
      </c>
      <c r="BJ38" s="39">
        <f t="shared" ref="BJ38:BL38" si="197">BI38*1.03</f>
        <v>3182.7000000000003</v>
      </c>
      <c r="BK38" s="39">
        <f t="shared" si="197"/>
        <v>3278.1810000000005</v>
      </c>
      <c r="BL38" s="39">
        <f t="shared" si="197"/>
        <v>3376.5264300000008</v>
      </c>
      <c r="BM38" s="39">
        <f t="shared" si="166"/>
        <v>0</v>
      </c>
      <c r="BN38" s="39">
        <f t="shared" si="166"/>
        <v>0</v>
      </c>
      <c r="BO38" s="39">
        <f t="shared" si="166"/>
        <v>0</v>
      </c>
      <c r="BP38" s="40"/>
      <c r="BQ38" s="40">
        <f t="shared" si="167"/>
        <v>90.000000000000085</v>
      </c>
      <c r="BR38" s="40">
        <f t="shared" si="168"/>
        <v>182.69999999999987</v>
      </c>
      <c r="BS38" s="40">
        <f t="shared" si="169"/>
        <v>286.52643</v>
      </c>
      <c r="BT38" s="40">
        <f t="shared" si="170"/>
        <v>399.45688958699975</v>
      </c>
      <c r="BU38" s="40">
        <f t="shared" si="171"/>
        <v>522.12924416284784</v>
      </c>
      <c r="BV38" s="40">
        <f t="shared" si="172"/>
        <v>655.22270803236563</v>
      </c>
      <c r="BW38" s="40">
        <f t="shared" si="173"/>
        <v>0</v>
      </c>
      <c r="BX38" s="40">
        <f t="shared" si="174"/>
        <v>0</v>
      </c>
      <c r="BY38" s="40">
        <f t="shared" si="175"/>
        <v>0</v>
      </c>
      <c r="BZ38" s="40">
        <f t="shared" si="176"/>
        <v>2136.0352717822129</v>
      </c>
      <c r="CA38" s="37">
        <f t="shared" si="177"/>
        <v>24063.442701782216</v>
      </c>
      <c r="CC38" s="102"/>
      <c r="CD38" s="12"/>
      <c r="CE38" s="14">
        <f t="shared" si="178"/>
        <v>0</v>
      </c>
      <c r="CF38" s="14" cm="1">
        <f t="array" ref="CF38">IFERROR(_xlfn.IFS(VALUE(MID(CF$5,6,1))&gt;$D$2,0,$CC38="Annual",1,CE38=12,12,$CC38="Monthly V",CE38*(1+$D$3),$CC38="Monthly F",12,$CC38="One-Time",0),CE38*(1+$D$3))</f>
        <v>0</v>
      </c>
      <c r="CG38" s="14" cm="1">
        <f t="array" ref="CG38">IFERROR(_xlfn.IFS(VALUE(MID(CG$5,6,1))&gt;$D$2,0,$CC38="Annual",1,CF38=12,12,$CC38="Monthly V",CF38*(1+$D$3),$CC38="Monthly F",12,$CC38="One-Time",0),CF38*(1+$D$3))</f>
        <v>0</v>
      </c>
      <c r="CH38" s="14" cm="1">
        <f t="array" ref="CH38">IFERROR(_xlfn.IFS(VALUE(MID(CH$5,6,1))&gt;$D$2,0,$CC38="Annual",1,CG38=12,12,$CC38="Monthly V",CG38*(1+$D$3),$CC38="Monthly F",12,$CC38="One-Time",0),CG38*(1+$D$3))</f>
        <v>0</v>
      </c>
      <c r="CI38" s="14" cm="1">
        <f t="array" ref="CI38">IFERROR(_xlfn.IFS(VALUE(MID(CI$5,6,1))&gt;$D$2,0,$CC38="Annual",1,CH38=12,12,$CC38="Monthly V",CH38*(1+$D$3),$CC38="Monthly F",12,$CC38="One-Time",0),CH38*(1+$D$3))</f>
        <v>0</v>
      </c>
      <c r="CJ38" s="14" cm="1">
        <f t="array" ref="CJ38">IFERROR(_xlfn.IFS(VALUE(MID(CJ$5,6,1))&gt;$D$2,0,$CC38="Annual",1,CI38=12,12,$CC38="Monthly V",CI38*(1+$D$3),$CC38="Monthly F",12,$CC38="One-Time",0),CI38*(1+$D$3))</f>
        <v>0</v>
      </c>
      <c r="CK38" s="14" cm="1">
        <f t="array" ref="CK38">IFERROR(_xlfn.IFS(VALUE(MID(CK$5,6,1))&gt;$D$2,0,$CC38="Annual",1,CJ38=12,12,$CC38="Monthly V",CJ38*(1+$D$3),$CC38="Monthly F",12,$CC38="One-Time",0),CJ38*(1+$D$3))</f>
        <v>0</v>
      </c>
      <c r="CL38" s="14" cm="1">
        <f t="array" ref="CL38">IFERROR(_xlfn.IFS(VALUE(MID(CL$5,6,1))&gt;$D$2,0,$CC38="Annual",1,CK38=12,12,$CC38="Monthly V",CK38*(1+$D$3),$CC38="Monthly F",12,$CC38="One-Time",0),CK38*(1+$D$3))</f>
        <v>0</v>
      </c>
      <c r="CM38" s="14" cm="1">
        <f t="array" ref="CM38">IFERROR(_xlfn.IFS(VALUE(MID(CM$5,6,1))&gt;$D$2,0,$CC38="Annual",1,CL38=12,12,$CC38="Monthly V",CL38*(1+$D$3),$CC38="Monthly F",12,$CC38="One-Time",0),CL38*(1+$D$3))</f>
        <v>0</v>
      </c>
      <c r="CN38" s="24" cm="1">
        <f t="array" ref="CN38">IFERROR(_xlfn.IFS(VALUE(MID(CN$5,6,2))&gt;$D$2,0,$CC38="Annual",1,CM38=12,12,$CC38="Monthly V",CM38*(1+$D$3),$CC38="Monthly F",12,$CC38="One-Time",0),CM38*(1+$D$3))</f>
        <v>0</v>
      </c>
      <c r="CO38" s="63"/>
      <c r="CP38" s="53"/>
      <c r="CQ38" s="21">
        <f t="shared" si="179"/>
        <v>0</v>
      </c>
      <c r="CR38" s="55">
        <f t="shared" si="180"/>
        <v>0</v>
      </c>
      <c r="CS38" s="55">
        <f t="shared" si="180"/>
        <v>0</v>
      </c>
      <c r="CT38" s="55">
        <f t="shared" si="180"/>
        <v>0</v>
      </c>
      <c r="CU38" s="55">
        <f t="shared" si="180"/>
        <v>0</v>
      </c>
      <c r="CV38" s="55">
        <f t="shared" si="180"/>
        <v>0</v>
      </c>
      <c r="CW38" s="55">
        <f t="shared" si="180"/>
        <v>0</v>
      </c>
      <c r="CX38" s="55">
        <f t="shared" si="180"/>
        <v>0</v>
      </c>
      <c r="CY38" s="55">
        <f t="shared" si="180"/>
        <v>0</v>
      </c>
      <c r="CZ38" s="55">
        <f t="shared" si="180"/>
        <v>0</v>
      </c>
      <c r="DA38" s="55">
        <f t="shared" si="180"/>
        <v>0</v>
      </c>
      <c r="DB38" s="56"/>
      <c r="DC38" s="56">
        <f t="shared" si="181"/>
        <v>0</v>
      </c>
      <c r="DD38" s="56">
        <f t="shared" si="182"/>
        <v>0</v>
      </c>
      <c r="DE38" s="56">
        <f t="shared" si="183"/>
        <v>0</v>
      </c>
      <c r="DF38" s="56">
        <f t="shared" si="184"/>
        <v>0</v>
      </c>
      <c r="DG38" s="56">
        <f t="shared" si="185"/>
        <v>0</v>
      </c>
      <c r="DH38" s="56">
        <f t="shared" si="186"/>
        <v>0</v>
      </c>
      <c r="DI38" s="56">
        <f t="shared" si="187"/>
        <v>0</v>
      </c>
      <c r="DJ38" s="56">
        <f t="shared" si="188"/>
        <v>0</v>
      </c>
      <c r="DK38" s="56">
        <f t="shared" si="189"/>
        <v>0</v>
      </c>
      <c r="DL38" s="57">
        <f t="shared" si="190"/>
        <v>0</v>
      </c>
      <c r="DM38" s="54">
        <f t="shared" si="191"/>
        <v>0</v>
      </c>
      <c r="DO38" s="106"/>
    </row>
    <row r="39" spans="2:119" x14ac:dyDescent="0.25">
      <c r="B39" s="141"/>
      <c r="C39" s="24"/>
      <c r="D39" s="147"/>
      <c r="E39" s="142"/>
      <c r="F39" s="14"/>
      <c r="G39" s="14"/>
      <c r="H39" s="14"/>
      <c r="I39" s="14"/>
      <c r="J39" s="14"/>
      <c r="K39" s="14"/>
      <c r="L39" s="14"/>
      <c r="M39" s="14"/>
      <c r="N39" s="24"/>
      <c r="O39" s="127"/>
      <c r="P39" s="13"/>
      <c r="Q39" s="20"/>
      <c r="R39" s="21"/>
      <c r="S39" s="6"/>
      <c r="T39" s="6"/>
      <c r="U39" s="6"/>
      <c r="V39" s="6"/>
      <c r="W39" s="6"/>
      <c r="X39" s="6"/>
      <c r="Y39" s="6"/>
      <c r="Z39" s="6"/>
      <c r="AA39" s="6"/>
      <c r="AB39" s="6"/>
      <c r="AC39" s="7"/>
      <c r="AD39" s="152"/>
      <c r="AE39" s="152"/>
      <c r="AF39" s="152"/>
      <c r="AG39" s="152"/>
      <c r="AH39" s="152"/>
      <c r="AI39" s="152"/>
      <c r="AJ39" s="152"/>
      <c r="AK39" s="152"/>
      <c r="AL39" s="152"/>
      <c r="AM39" s="9"/>
      <c r="AN39" s="80"/>
      <c r="AP39" s="102" t="s">
        <v>0</v>
      </c>
      <c r="AQ39" s="12">
        <v>1</v>
      </c>
      <c r="AR39" s="14">
        <f t="shared" si="15"/>
        <v>12</v>
      </c>
      <c r="AS39" s="14" cm="1">
        <f t="array" ref="AS39">IFERROR(_xlfn.IFS(VALUE(MID(AS$5,6,1))&gt;$D$2,0,$AP39="Annual",1,AR39=12,12,$AP39="Monthly V",AR39*(1+$BD$2),$AP39="Monthly F",12,$AP39="One-Time",0),AR39*(1+$BD$2))</f>
        <v>12</v>
      </c>
      <c r="AT39" s="14" cm="1">
        <f t="array" ref="AT39">IFERROR(_xlfn.IFS(VALUE(MID(AT$5,6,1))&gt;$D$2,0,$AP39="Annual",1,AS39=12,12,$AP39="Monthly V",AS39*(1+$BD$2),$AP39="Monthly F",12,$AP39="One-Time",0),AS39*(1+$BD$2))</f>
        <v>12</v>
      </c>
      <c r="AU39" s="14" cm="1">
        <f t="array" ref="AU39">IFERROR(_xlfn.IFS(VALUE(MID(AU$5,6,1))&gt;$D$2,0,$AP39="Annual",1,AT39=12,12,$AP39="Monthly V",AT39*(1+$BD$2),$AP39="Monthly F",12,$AP39="One-Time",0),AT39*(1+$BD$2))</f>
        <v>12</v>
      </c>
      <c r="AV39" s="14" cm="1">
        <f t="array" ref="AV39">IFERROR(_xlfn.IFS(VALUE(MID(AV$5,6,1))&gt;$D$2,0,$AP39="Annual",1,AU39=12,12,$AP39="Monthly V",AU39*(1+$BD$2),$AP39="Monthly F",12,$AP39="One-Time",0),AU39*(1+$BD$2))</f>
        <v>12</v>
      </c>
      <c r="AW39" s="14" cm="1">
        <f t="array" ref="AW39">IFERROR(_xlfn.IFS(VALUE(MID(AW$5,6,1))&gt;$D$2,0,$AP39="Annual",1,AV39=12,12,$AP39="Monthly V",AV39*(1+$BD$2),$AP39="Monthly F",12,$AP39="One-Time",0),AV39*(1+$BD$2))</f>
        <v>12</v>
      </c>
      <c r="AX39" s="14" cm="1">
        <f t="array" ref="AX39">IFERROR(_xlfn.IFS(VALUE(MID(AX$5,6,1))&gt;$D$2,0,$AP39="Annual",1,AW39=12,12,$AP39="Monthly V",AW39*(1+$BD$2),$AP39="Monthly F",12,$AP39="One-Time",0),AW39*(1+$BD$2))</f>
        <v>12</v>
      </c>
      <c r="AY39" s="14" cm="1">
        <f t="array" ref="AY39">IFERROR(_xlfn.IFS(VALUE(MID(AY$5,6,1))&gt;$D$2,0,$AP39="Annual",1,AX39=12,12,$AP39="Monthly V",AX39*(1+$D$3),$AP39="Monthly F",12,$AP39="One-Time",0),AX39*(1+$D$3))</f>
        <v>0</v>
      </c>
      <c r="AZ39" s="14" cm="1">
        <f t="array" ref="AZ39">IFERROR(_xlfn.IFS(VALUE(MID(AZ$5,6,1))&gt;$D$2,0,$AP39="Annual",1,AY39=12,12,$AP39="Monthly V",AY39*(1+$D$3),$AP39="Monthly F",12,$AP39="One-Time",0),AY39*(1+$D$3))</f>
        <v>0</v>
      </c>
      <c r="BA39" s="125" cm="1">
        <f t="array" ref="BA39">IFERROR(_xlfn.IFS(VALUE(MID(BA$5,6,2))&gt;$D$2,0,$AP39="Annual",1,AZ39=12,12,$AP39="Monthly V",AZ39*(1+$D$3),$AP39="Monthly F",12,$AP39="One-Time",0),AZ39*(1+$D$3))</f>
        <v>0</v>
      </c>
      <c r="BB39" s="148" t="s">
        <v>185</v>
      </c>
      <c r="BC39" s="38" t="s">
        <v>227</v>
      </c>
      <c r="BD39" s="36">
        <v>500</v>
      </c>
      <c r="BE39" s="21">
        <f t="shared" ref="BE39" si="198">BF39/12</f>
        <v>500</v>
      </c>
      <c r="BF39" s="39">
        <f t="shared" si="44"/>
        <v>6000</v>
      </c>
      <c r="BG39" s="39">
        <f t="shared" si="17"/>
        <v>6000</v>
      </c>
      <c r="BH39" s="39">
        <f t="shared" si="18"/>
        <v>6000</v>
      </c>
      <c r="BI39" s="39">
        <f t="shared" si="19"/>
        <v>6180</v>
      </c>
      <c r="BJ39" s="39">
        <f t="shared" ref="BJ39:BL39" si="199">BI39*1.03</f>
        <v>6365.4000000000005</v>
      </c>
      <c r="BK39" s="39">
        <f t="shared" si="199"/>
        <v>6556.362000000001</v>
      </c>
      <c r="BL39" s="39">
        <f t="shared" si="199"/>
        <v>6753.0528600000016</v>
      </c>
      <c r="BM39" s="39">
        <f t="shared" ref="BM39" si="200">IFERROR(AY39*$BD39,0)</f>
        <v>0</v>
      </c>
      <c r="BN39" s="39">
        <f t="shared" ref="BN39" si="201">IFERROR(AZ39*$BD39,0)</f>
        <v>0</v>
      </c>
      <c r="BO39" s="39">
        <f t="shared" ref="BO39" si="202">IFERROR(BA39*$BD39,0)</f>
        <v>0</v>
      </c>
      <c r="BP39" s="40"/>
      <c r="BQ39" s="40">
        <f t="shared" ref="BQ39" si="203">IF(VALUE(MID(BQ$5,6,1))&lt;=$D$2,((1+$BD$3)^1-1)*BG39,0)</f>
        <v>180.00000000000017</v>
      </c>
      <c r="BR39" s="40">
        <f t="shared" ref="BR39" si="204">IF(VALUE(MID(BR$5,6,1))&lt;=$D$2,((1+$BD$3)^2-1)*BH39,0)</f>
        <v>365.39999999999975</v>
      </c>
      <c r="BS39" s="40">
        <f t="shared" ref="BS39" si="205">IF(VALUE(MID(BS$5,6,1))&lt;=$D$2,((1+$BD$3)^3-1)*BI39,0)</f>
        <v>573.05286000000001</v>
      </c>
      <c r="BT39" s="40">
        <f t="shared" ref="BT39" si="206">IF(VALUE(MID(BT$5,6,1))&lt;=$D$2,((1+$BD$3)^4-1)*BJ39,0)</f>
        <v>798.9137791739995</v>
      </c>
      <c r="BU39" s="40">
        <f t="shared" ref="BU39" si="207">IF(VALUE(MID(BU$5,6,1))&lt;=$D$2,((1+$BD$3)^5-1)*BK39,0)</f>
        <v>1044.2584883256957</v>
      </c>
      <c r="BV39" s="40">
        <f t="shared" ref="BV39" si="208">IF(VALUE(MID(BV$5,6,1))&lt;=$D$2,((1+$BD$3)^6-1)*BL39,0)</f>
        <v>1310.4454160647313</v>
      </c>
      <c r="BW39" s="40">
        <f t="shared" ref="BW39" si="209">IF(VALUE(MID(BW$5,6,1))&lt;=$D$2,((1+$BD$3)^7-1)*BM39,0)</f>
        <v>0</v>
      </c>
      <c r="BX39" s="40">
        <f t="shared" ref="BX39" si="210">IF(VALUE(MID(BX$5,6,1))&lt;=$D$2,((1+$BD$3)^8-1)*BN39,0)</f>
        <v>0</v>
      </c>
      <c r="BY39" s="40">
        <f t="shared" ref="BY39" si="211">IF(VALUE(MID(BY$5,6,2))&lt;=$D$2,((1+$BD$3)^9-1)*BO39,0)</f>
        <v>0</v>
      </c>
      <c r="BZ39" s="40">
        <f t="shared" ref="BZ39" si="212">SUM(BP39:BY39)</f>
        <v>4272.0705435644259</v>
      </c>
      <c r="CA39" s="37">
        <f t="shared" ref="CA39" si="213">SUM(BZ39,BF39:BO39)</f>
        <v>48126.885403564433</v>
      </c>
      <c r="CC39" s="102"/>
      <c r="CD39" s="12"/>
      <c r="CE39" s="14"/>
      <c r="CF39" s="14"/>
      <c r="CG39" s="14"/>
      <c r="CH39" s="14"/>
      <c r="CI39" s="14"/>
      <c r="CJ39" s="14"/>
      <c r="CK39" s="14"/>
      <c r="CL39" s="14"/>
      <c r="CM39" s="14"/>
      <c r="CN39" s="24"/>
      <c r="CO39" s="63"/>
      <c r="CP39" s="53"/>
      <c r="CQ39" s="21"/>
      <c r="CR39" s="55"/>
      <c r="CS39" s="55"/>
      <c r="CT39" s="55"/>
      <c r="CU39" s="55"/>
      <c r="CV39" s="55"/>
      <c r="CW39" s="55"/>
      <c r="CX39" s="55"/>
      <c r="CY39" s="55"/>
      <c r="CZ39" s="55"/>
      <c r="DA39" s="55"/>
      <c r="DB39" s="56"/>
      <c r="DC39" s="56"/>
      <c r="DD39" s="56"/>
      <c r="DE39" s="56"/>
      <c r="DF39" s="56"/>
      <c r="DG39" s="56"/>
      <c r="DH39" s="56"/>
      <c r="DI39" s="56"/>
      <c r="DJ39" s="56"/>
      <c r="DK39" s="56"/>
      <c r="DL39" s="57"/>
      <c r="DM39" s="54"/>
      <c r="DO39" s="106"/>
    </row>
    <row r="40" spans="2:119" x14ac:dyDescent="0.25">
      <c r="B40" s="141"/>
      <c r="C40" s="24"/>
      <c r="D40" s="147"/>
      <c r="E40" s="142"/>
      <c r="F40" s="14"/>
      <c r="G40" s="14"/>
      <c r="H40" s="14"/>
      <c r="I40" s="14"/>
      <c r="J40" s="14"/>
      <c r="K40" s="14"/>
      <c r="L40" s="14"/>
      <c r="M40" s="14"/>
      <c r="N40" s="24"/>
      <c r="O40" s="157" t="s">
        <v>80</v>
      </c>
      <c r="P40" s="13"/>
      <c r="Q40" s="20"/>
      <c r="R40" s="21">
        <f t="shared" si="124"/>
        <v>0</v>
      </c>
      <c r="S40" s="6">
        <f t="shared" ref="S40:Y40" si="214">IFERROR($Q40*E40,0)</f>
        <v>0</v>
      </c>
      <c r="T40" s="6">
        <f t="shared" si="214"/>
        <v>0</v>
      </c>
      <c r="U40" s="6">
        <f t="shared" si="214"/>
        <v>0</v>
      </c>
      <c r="V40" s="6">
        <f t="shared" si="214"/>
        <v>0</v>
      </c>
      <c r="W40" s="6">
        <f t="shared" si="214"/>
        <v>0</v>
      </c>
      <c r="X40" s="6">
        <f t="shared" si="214"/>
        <v>0</v>
      </c>
      <c r="Y40" s="6">
        <f t="shared" si="214"/>
        <v>0</v>
      </c>
      <c r="Z40" s="6">
        <f t="shared" si="125"/>
        <v>0</v>
      </c>
      <c r="AA40" s="6">
        <f t="shared" si="125"/>
        <v>0</v>
      </c>
      <c r="AB40" s="6">
        <f t="shared" si="125"/>
        <v>0</v>
      </c>
      <c r="AC40" s="7"/>
      <c r="AD40" s="152">
        <f t="shared" si="126"/>
        <v>0</v>
      </c>
      <c r="AE40" s="152">
        <f t="shared" si="127"/>
        <v>0</v>
      </c>
      <c r="AF40" s="152">
        <f t="shared" si="128"/>
        <v>0</v>
      </c>
      <c r="AG40" s="152">
        <f t="shared" si="129"/>
        <v>0</v>
      </c>
      <c r="AH40" s="152">
        <f t="shared" si="130"/>
        <v>0</v>
      </c>
      <c r="AI40" s="152">
        <f t="shared" si="131"/>
        <v>0</v>
      </c>
      <c r="AJ40" s="152">
        <f t="shared" si="132"/>
        <v>0</v>
      </c>
      <c r="AK40" s="152">
        <f t="shared" si="133"/>
        <v>0</v>
      </c>
      <c r="AL40" s="152">
        <f t="shared" si="134"/>
        <v>0</v>
      </c>
      <c r="AM40" s="9">
        <f t="shared" si="135"/>
        <v>0</v>
      </c>
      <c r="AN40" s="80">
        <f t="shared" si="136"/>
        <v>0</v>
      </c>
      <c r="AP40" s="102" t="s">
        <v>0</v>
      </c>
      <c r="AQ40" s="12">
        <v>1</v>
      </c>
      <c r="AR40" s="14">
        <f t="shared" si="15"/>
        <v>12</v>
      </c>
      <c r="AS40" s="14" cm="1">
        <f t="array" ref="AS40">IFERROR(_xlfn.IFS(VALUE(MID(AS$5,6,1))&gt;$D$2,0,$AP40="Annual",1,AR40=12,12,$AP40="Monthly V",AR40*(1+$BD$2),$AP40="Monthly F",12,$AP40="One-Time",0),AR40*(1+$BD$2))</f>
        <v>12</v>
      </c>
      <c r="AT40" s="14" cm="1">
        <f t="array" ref="AT40">IFERROR(_xlfn.IFS(VALUE(MID(AT$5,6,1))&gt;$D$2,0,$AP40="Annual",1,AS40=12,12,$AP40="Monthly V",AS40*(1+$BD$2),$AP40="Monthly F",12,$AP40="One-Time",0),AS40*(1+$BD$2))</f>
        <v>12</v>
      </c>
      <c r="AU40" s="14" cm="1">
        <f t="array" ref="AU40">IFERROR(_xlfn.IFS(VALUE(MID(AU$5,6,1))&gt;$D$2,0,$AP40="Annual",1,AT40=12,12,$AP40="Monthly V",AT40*(1+$BD$2),$AP40="Monthly F",12,$AP40="One-Time",0),AT40*(1+$BD$2))</f>
        <v>12</v>
      </c>
      <c r="AV40" s="14" cm="1">
        <f t="array" ref="AV40">IFERROR(_xlfn.IFS(VALUE(MID(AV$5,6,1))&gt;$D$2,0,$AP40="Annual",1,AU40=12,12,$AP40="Monthly V",AU40*(1+$BD$2),$AP40="Monthly F",12,$AP40="One-Time",0),AU40*(1+$BD$2))</f>
        <v>12</v>
      </c>
      <c r="AW40" s="14" cm="1">
        <f t="array" ref="AW40">IFERROR(_xlfn.IFS(VALUE(MID(AW$5,6,1))&gt;$D$2,0,$AP40="Annual",1,AV40=12,12,$AP40="Monthly V",AV40*(1+$BD$2),$AP40="Monthly F",12,$AP40="One-Time",0),AV40*(1+$BD$2))</f>
        <v>12</v>
      </c>
      <c r="AX40" s="14" cm="1">
        <f t="array" ref="AX40">IFERROR(_xlfn.IFS(VALUE(MID(AX$5,6,1))&gt;$D$2,0,$AP40="Annual",1,AW40=12,12,$AP40="Monthly V",AW40*(1+$BD$2),$AP40="Monthly F",12,$AP40="One-Time",0),AW40*(1+$BD$2))</f>
        <v>12</v>
      </c>
      <c r="AY40" s="14" cm="1">
        <f t="array" ref="AY40">IFERROR(_xlfn.IFS(VALUE(MID(AY$5,6,1))&gt;$D$2,0,$AP40="Annual",1,AX40=12,12,$AP40="Monthly V",AX40*(1+$D$3),$AP40="Monthly F",12,$AP40="One-Time",0),AX40*(1+$D$3))</f>
        <v>0</v>
      </c>
      <c r="AZ40" s="14" cm="1">
        <f t="array" ref="AZ40">IFERROR(_xlfn.IFS(VALUE(MID(AZ$5,6,1))&gt;$D$2,0,$AP40="Annual",1,AY40=12,12,$AP40="Monthly V",AY40*(1+$D$3),$AP40="Monthly F",12,$AP40="One-Time",0),AY40*(1+$D$3))</f>
        <v>0</v>
      </c>
      <c r="BA40" s="125" cm="1">
        <f t="array" ref="BA40">IFERROR(_xlfn.IFS(VALUE(MID(BA$5,6,2))&gt;$D$2,0,$AP40="Annual",1,AZ40=12,12,$AP40="Monthly V",AZ40*(1+$D$3),$AP40="Monthly F",12,$AP40="One-Time",0),AZ40*(1+$D$3))</f>
        <v>0</v>
      </c>
      <c r="BB40" s="148" t="s">
        <v>331</v>
      </c>
      <c r="BC40" s="38" t="s">
        <v>227</v>
      </c>
      <c r="BD40" s="36">
        <v>250</v>
      </c>
      <c r="BE40" s="21">
        <f t="shared" si="164"/>
        <v>250</v>
      </c>
      <c r="BF40" s="39">
        <f t="shared" si="44"/>
        <v>3000</v>
      </c>
      <c r="BG40" s="39">
        <f t="shared" si="17"/>
        <v>3000</v>
      </c>
      <c r="BH40" s="39">
        <f t="shared" si="18"/>
        <v>3000</v>
      </c>
      <c r="BI40" s="39">
        <f t="shared" si="19"/>
        <v>3090</v>
      </c>
      <c r="BJ40" s="39">
        <f t="shared" ref="BJ40:BL40" si="215">BI40*1.03</f>
        <v>3182.7000000000003</v>
      </c>
      <c r="BK40" s="39">
        <f t="shared" si="215"/>
        <v>3278.1810000000005</v>
      </c>
      <c r="BL40" s="39">
        <f t="shared" si="215"/>
        <v>3376.5264300000008</v>
      </c>
      <c r="BM40" s="39">
        <f t="shared" si="166"/>
        <v>0</v>
      </c>
      <c r="BN40" s="39">
        <f t="shared" si="166"/>
        <v>0</v>
      </c>
      <c r="BO40" s="39">
        <f t="shared" si="166"/>
        <v>0</v>
      </c>
      <c r="BP40" s="40"/>
      <c r="BQ40" s="40">
        <f t="shared" si="167"/>
        <v>90.000000000000085</v>
      </c>
      <c r="BR40" s="40">
        <f t="shared" si="168"/>
        <v>182.69999999999987</v>
      </c>
      <c r="BS40" s="40">
        <f t="shared" si="169"/>
        <v>286.52643</v>
      </c>
      <c r="BT40" s="40">
        <f t="shared" si="170"/>
        <v>399.45688958699975</v>
      </c>
      <c r="BU40" s="40">
        <f t="shared" si="171"/>
        <v>522.12924416284784</v>
      </c>
      <c r="BV40" s="40">
        <f t="shared" si="172"/>
        <v>655.22270803236563</v>
      </c>
      <c r="BW40" s="40">
        <f t="shared" si="173"/>
        <v>0</v>
      </c>
      <c r="BX40" s="40">
        <f t="shared" si="174"/>
        <v>0</v>
      </c>
      <c r="BY40" s="40">
        <f t="shared" si="175"/>
        <v>0</v>
      </c>
      <c r="BZ40" s="40">
        <f t="shared" si="176"/>
        <v>2136.0352717822129</v>
      </c>
      <c r="CA40" s="37">
        <f t="shared" si="177"/>
        <v>24063.442701782216</v>
      </c>
      <c r="CC40" s="102"/>
      <c r="CD40" s="12"/>
      <c r="CE40" s="14">
        <f t="shared" si="178"/>
        <v>0</v>
      </c>
      <c r="CF40" s="14" cm="1">
        <f t="array" ref="CF40">IFERROR(_xlfn.IFS(VALUE(MID(CF$5,6,1))&gt;$D$2,0,$CC40="Annual",1,CE40=12,12,$CC40="Monthly V",CE40*(1+$D$3),$CC40="Monthly F",12,$CC40="One-Time",0),CE40*(1+$D$3))</f>
        <v>0</v>
      </c>
      <c r="CG40" s="14" cm="1">
        <f t="array" ref="CG40">IFERROR(_xlfn.IFS(VALUE(MID(CG$5,6,1))&gt;$D$2,0,$CC40="Annual",1,CF40=12,12,$CC40="Monthly V",CF40*(1+$D$3),$CC40="Monthly F",12,$CC40="One-Time",0),CF40*(1+$D$3))</f>
        <v>0</v>
      </c>
      <c r="CH40" s="14" cm="1">
        <f t="array" ref="CH40">IFERROR(_xlfn.IFS(VALUE(MID(CH$5,6,1))&gt;$D$2,0,$CC40="Annual",1,CG40=12,12,$CC40="Monthly V",CG40*(1+$D$3),$CC40="Monthly F",12,$CC40="One-Time",0),CG40*(1+$D$3))</f>
        <v>0</v>
      </c>
      <c r="CI40" s="14" cm="1">
        <f t="array" ref="CI40">IFERROR(_xlfn.IFS(VALUE(MID(CI$5,6,1))&gt;$D$2,0,$CC40="Annual",1,CH40=12,12,$CC40="Monthly V",CH40*(1+$D$3),$CC40="Monthly F",12,$CC40="One-Time",0),CH40*(1+$D$3))</f>
        <v>0</v>
      </c>
      <c r="CJ40" s="14" cm="1">
        <f t="array" ref="CJ40">IFERROR(_xlfn.IFS(VALUE(MID(CJ$5,6,1))&gt;$D$2,0,$CC40="Annual",1,CI40=12,12,$CC40="Monthly V",CI40*(1+$D$3),$CC40="Monthly F",12,$CC40="One-Time",0),CI40*(1+$D$3))</f>
        <v>0</v>
      </c>
      <c r="CK40" s="14" cm="1">
        <f t="array" ref="CK40">IFERROR(_xlfn.IFS(VALUE(MID(CK$5,6,1))&gt;$D$2,0,$CC40="Annual",1,CJ40=12,12,$CC40="Monthly V",CJ40*(1+$D$3),$CC40="Monthly F",12,$CC40="One-Time",0),CJ40*(1+$D$3))</f>
        <v>0</v>
      </c>
      <c r="CL40" s="14" cm="1">
        <f t="array" ref="CL40">IFERROR(_xlfn.IFS(VALUE(MID(CL$5,6,1))&gt;$D$2,0,$CC40="Annual",1,CK40=12,12,$CC40="Monthly V",CK40*(1+$D$3),$CC40="Monthly F",12,$CC40="One-Time",0),CK40*(1+$D$3))</f>
        <v>0</v>
      </c>
      <c r="CM40" s="14" cm="1">
        <f t="array" ref="CM40">IFERROR(_xlfn.IFS(VALUE(MID(CM$5,6,1))&gt;$D$2,0,$CC40="Annual",1,CL40=12,12,$CC40="Monthly V",CL40*(1+$D$3),$CC40="Monthly F",12,$CC40="One-Time",0),CL40*(1+$D$3))</f>
        <v>0</v>
      </c>
      <c r="CN40" s="24" cm="1">
        <f t="array" ref="CN40">IFERROR(_xlfn.IFS(VALUE(MID(CN$5,6,2))&gt;$D$2,0,$CC40="Annual",1,CM40=12,12,$CC40="Monthly V",CM40*(1+$D$3),$CC40="Monthly F",12,$CC40="One-Time",0),CM40*(1+$D$3))</f>
        <v>0</v>
      </c>
      <c r="CO40" s="63"/>
      <c r="CP40" s="53"/>
      <c r="CQ40" s="21">
        <f t="shared" si="179"/>
        <v>0</v>
      </c>
      <c r="CR40" s="55">
        <f t="shared" si="180"/>
        <v>0</v>
      </c>
      <c r="CS40" s="55">
        <f t="shared" si="180"/>
        <v>0</v>
      </c>
      <c r="CT40" s="55">
        <f t="shared" si="180"/>
        <v>0</v>
      </c>
      <c r="CU40" s="55">
        <f t="shared" si="180"/>
        <v>0</v>
      </c>
      <c r="CV40" s="55">
        <f t="shared" si="180"/>
        <v>0</v>
      </c>
      <c r="CW40" s="55">
        <f t="shared" si="180"/>
        <v>0</v>
      </c>
      <c r="CX40" s="55">
        <f t="shared" si="180"/>
        <v>0</v>
      </c>
      <c r="CY40" s="55">
        <f t="shared" si="180"/>
        <v>0</v>
      </c>
      <c r="CZ40" s="55">
        <f t="shared" si="180"/>
        <v>0</v>
      </c>
      <c r="DA40" s="55">
        <f t="shared" si="180"/>
        <v>0</v>
      </c>
      <c r="DB40" s="56"/>
      <c r="DC40" s="56">
        <f t="shared" si="181"/>
        <v>0</v>
      </c>
      <c r="DD40" s="56">
        <f t="shared" si="182"/>
        <v>0</v>
      </c>
      <c r="DE40" s="56">
        <f t="shared" si="183"/>
        <v>0</v>
      </c>
      <c r="DF40" s="56">
        <f t="shared" si="184"/>
        <v>0</v>
      </c>
      <c r="DG40" s="56">
        <f t="shared" si="185"/>
        <v>0</v>
      </c>
      <c r="DH40" s="56">
        <f t="shared" si="186"/>
        <v>0</v>
      </c>
      <c r="DI40" s="56">
        <f t="shared" si="187"/>
        <v>0</v>
      </c>
      <c r="DJ40" s="56">
        <f t="shared" si="188"/>
        <v>0</v>
      </c>
      <c r="DK40" s="56">
        <f t="shared" si="189"/>
        <v>0</v>
      </c>
      <c r="DL40" s="57">
        <f t="shared" si="190"/>
        <v>0</v>
      </c>
      <c r="DM40" s="54">
        <f t="shared" si="191"/>
        <v>0</v>
      </c>
      <c r="DO40" s="106"/>
    </row>
    <row r="41" spans="2:119" x14ac:dyDescent="0.25">
      <c r="B41" s="141" t="s">
        <v>0</v>
      </c>
      <c r="C41" s="24"/>
      <c r="D41" s="147">
        <f t="shared" ref="D41" si="216">IFERROR(AVERAGE(C41:C41),0)</f>
        <v>0</v>
      </c>
      <c r="E41" s="142">
        <f t="shared" ref="E41" si="217">IF($B41="Annual",1,IF($B41="Monthly F",12,IF($B41="Monthly V",D41*12,IF($B41="One-Time",1,D41*12))))</f>
        <v>12</v>
      </c>
      <c r="F41" s="14" cm="1">
        <f t="array" ref="F41">IFERROR(_xlfn.IFS(VALUE(MID(F$5,6,1))&gt;$D$2,0,$B41="Annual",1,E41=12,12,$B41="Monthly V",E41*(1+$D$3),$B41="Monthly F",12,$B41="One-Time",0),E41*(1+$D$3))</f>
        <v>12</v>
      </c>
      <c r="G41" s="14" cm="1">
        <f t="array" ref="G41">IFERROR(_xlfn.IFS(VALUE(MID(G$5,6,1))&gt;$D$2,0,$B41="Annual",1,F41=12,12,$B41="Monthly V",F41*(1+$D$3),$B41="Monthly F",12,$B41="One-Time",0),F41*(1+$D$3))</f>
        <v>12</v>
      </c>
      <c r="H41" s="14" cm="1">
        <f t="array" ref="H41">IFERROR(_xlfn.IFS(VALUE(MID(H$5,6,1))&gt;$D$2,0,$B41="Annual",1,G41=12,12,$B41="Monthly V",G41*(1+$D$3),$B41="Monthly F",12,$B41="One-Time",0),G41*(1+$D$3))</f>
        <v>12</v>
      </c>
      <c r="I41" s="14" cm="1">
        <f t="array" ref="I41">IFERROR(_xlfn.IFS(VALUE(MID(I$5,6,1))&gt;$D$2,0,$B41="Annual",1,H41=12,12,$B41="Monthly V",H41*(1+$D$3),$B41="Monthly F",12,$B41="One-Time",0),H41*(1+$D$3))</f>
        <v>12</v>
      </c>
      <c r="J41" s="14" cm="1">
        <f t="array" ref="J41">IFERROR(_xlfn.IFS(VALUE(MID(J$5,6,1))&gt;$D$2,0,$B41="Annual",1,I41=12,12,$B41="Monthly V",I41*(1+$D$3),$B41="Monthly F",12,$B41="One-Time",0),I41*(1+$D$3))</f>
        <v>12</v>
      </c>
      <c r="K41" s="14" cm="1">
        <f t="array" ref="K41">IFERROR(_xlfn.IFS(VALUE(MID(K$5,6,1))&gt;$D$2,0,$B41="Annual",1,J41=12,12,$B41="Monthly V",J41*(1+$D$3),$B41="Monthly F",12,$B41="One-Time",0),J41*(1+$D$3))</f>
        <v>12</v>
      </c>
      <c r="L41" s="14" cm="1">
        <f t="array" ref="L41">IFERROR(_xlfn.IFS(VALUE(MID(L$5,6,1))&gt;$D$2,0,$B41="Annual",1,K41=12,12,$B41="Monthly V",K41*(1+$D$3),$B41="Monthly F",12,$B41="One-Time",0),K41*(1+$D$3))</f>
        <v>0</v>
      </c>
      <c r="M41" s="14" cm="1">
        <f t="array" ref="M41">IFERROR(_xlfn.IFS(VALUE(MID(M$5,6,1))&gt;$D$2,0,$B41="Annual",1,L41=12,12,$B41="Monthly V",L41*(1+$D$3),$B41="Monthly F",12,$B41="One-Time",0),L41*(1+$D$3))</f>
        <v>0</v>
      </c>
      <c r="N41" s="24" cm="1">
        <f t="array" ref="N41">IFERROR(_xlfn.IFS(VALUE(MID(N$5,6,2))&gt;$D$2,0,$B41="Annual",1,M41=12,12,$B41="Monthly V",M41*(1+$D$3),$B41="Monthly F",12,$B41="One-Time",0),M41*(1+$D$3))</f>
        <v>0</v>
      </c>
      <c r="O41" s="127" t="s">
        <v>75</v>
      </c>
      <c r="P41" s="13" t="s">
        <v>90</v>
      </c>
      <c r="Q41" s="20">
        <v>500</v>
      </c>
      <c r="R41" s="21">
        <f t="shared" si="124"/>
        <v>500</v>
      </c>
      <c r="S41" s="6">
        <f>IF(S42&lt;$Q$41*12,($Q$41*12)-S42,0)</f>
        <v>6000</v>
      </c>
      <c r="T41" s="6">
        <f t="shared" ref="T41:Y41" si="218">IF(T42&lt;$Q$41*12,($Q$41*12)-T42,0)</f>
        <v>6000</v>
      </c>
      <c r="U41" s="6">
        <f t="shared" si="218"/>
        <v>6000</v>
      </c>
      <c r="V41" s="6">
        <f t="shared" si="218"/>
        <v>6000</v>
      </c>
      <c r="W41" s="6">
        <f t="shared" si="218"/>
        <v>6000</v>
      </c>
      <c r="X41" s="6">
        <f t="shared" si="218"/>
        <v>6000</v>
      </c>
      <c r="Y41" s="6">
        <f t="shared" si="218"/>
        <v>6000</v>
      </c>
      <c r="Z41" s="6">
        <f t="shared" si="125"/>
        <v>0</v>
      </c>
      <c r="AA41" s="6">
        <f t="shared" si="125"/>
        <v>0</v>
      </c>
      <c r="AB41" s="6">
        <f t="shared" si="125"/>
        <v>0</v>
      </c>
      <c r="AC41" s="7"/>
      <c r="AD41" s="152">
        <f t="shared" si="126"/>
        <v>180.00000000000017</v>
      </c>
      <c r="AE41" s="152">
        <f t="shared" si="127"/>
        <v>365.39999999999975</v>
      </c>
      <c r="AF41" s="152">
        <f t="shared" si="128"/>
        <v>556.36200000000008</v>
      </c>
      <c r="AG41" s="152">
        <f t="shared" si="129"/>
        <v>753.05285999999944</v>
      </c>
      <c r="AH41" s="152">
        <f t="shared" si="130"/>
        <v>955.64444579999906</v>
      </c>
      <c r="AI41" s="152">
        <f t="shared" si="131"/>
        <v>1164.3137791739994</v>
      </c>
      <c r="AJ41" s="152">
        <f t="shared" si="132"/>
        <v>0</v>
      </c>
      <c r="AK41" s="152">
        <f t="shared" si="133"/>
        <v>0</v>
      </c>
      <c r="AL41" s="152">
        <f t="shared" si="134"/>
        <v>0</v>
      </c>
      <c r="AM41" s="9">
        <f t="shared" si="135"/>
        <v>3974.7730849739983</v>
      </c>
      <c r="AN41" s="80">
        <f t="shared" si="136"/>
        <v>45974.773084973996</v>
      </c>
      <c r="AP41" s="102" t="s">
        <v>0</v>
      </c>
      <c r="AQ41" s="12">
        <v>1</v>
      </c>
      <c r="AR41" s="14">
        <f t="shared" si="15"/>
        <v>12</v>
      </c>
      <c r="AS41" s="14" cm="1">
        <f t="array" ref="AS41">IFERROR(_xlfn.IFS(VALUE(MID(AS$5,6,1))&gt;$D$2,0,$AP41="Annual",1,AR41=12,12,$AP41="Monthly V",AR41*(1+$BD$2),$AP41="Monthly F",12,$AP41="One-Time",0),AR41*(1+$BD$2))</f>
        <v>12</v>
      </c>
      <c r="AT41" s="14" cm="1">
        <f t="array" ref="AT41">IFERROR(_xlfn.IFS(VALUE(MID(AT$5,6,1))&gt;$D$2,0,$AP41="Annual",1,AS41=12,12,$AP41="Monthly V",AS41*(1+$BD$2),$AP41="Monthly F",12,$AP41="One-Time",0),AS41*(1+$BD$2))</f>
        <v>12</v>
      </c>
      <c r="AU41" s="14" cm="1">
        <f t="array" ref="AU41">IFERROR(_xlfn.IFS(VALUE(MID(AU$5,6,1))&gt;$D$2,0,$AP41="Annual",1,AT41=12,12,$AP41="Monthly V",AT41*(1+$BD$2),$AP41="Monthly F",12,$AP41="One-Time",0),AT41*(1+$BD$2))</f>
        <v>12</v>
      </c>
      <c r="AV41" s="14" cm="1">
        <f t="array" ref="AV41">IFERROR(_xlfn.IFS(VALUE(MID(AV$5,6,1))&gt;$D$2,0,$AP41="Annual",1,AU41=12,12,$AP41="Monthly V",AU41*(1+$BD$2),$AP41="Monthly F",12,$AP41="One-Time",0),AU41*(1+$BD$2))</f>
        <v>12</v>
      </c>
      <c r="AW41" s="14" cm="1">
        <f t="array" ref="AW41">IFERROR(_xlfn.IFS(VALUE(MID(AW$5,6,1))&gt;$D$2,0,$AP41="Annual",1,AV41=12,12,$AP41="Monthly V",AV41*(1+$BD$2),$AP41="Monthly F",12,$AP41="One-Time",0),AV41*(1+$BD$2))</f>
        <v>12</v>
      </c>
      <c r="AX41" s="14" cm="1">
        <f t="array" ref="AX41">IFERROR(_xlfn.IFS(VALUE(MID(AX$5,6,1))&gt;$D$2,0,$AP41="Annual",1,AW41=12,12,$AP41="Monthly V",AW41*(1+$BD$2),$AP41="Monthly F",12,$AP41="One-Time",0),AW41*(1+$BD$2))</f>
        <v>12</v>
      </c>
      <c r="AY41" s="14" cm="1">
        <f t="array" ref="AY41">IFERROR(_xlfn.IFS(VALUE(MID(AY$5,6,1))&gt;$D$2,0,$AP41="Annual",1,AX41=12,12,$AP41="Monthly V",AX41*(1+$D$3),$AP41="Monthly F",12,$AP41="One-Time",0),AX41*(1+$D$3))</f>
        <v>0</v>
      </c>
      <c r="AZ41" s="14" cm="1">
        <f t="array" ref="AZ41">IFERROR(_xlfn.IFS(VALUE(MID(AZ$5,6,1))&gt;$D$2,0,$AP41="Annual",1,AY41=12,12,$AP41="Monthly V",AY41*(1+$D$3),$AP41="Monthly F",12,$AP41="One-Time",0),AY41*(1+$D$3))</f>
        <v>0</v>
      </c>
      <c r="BA41" s="125" cm="1">
        <f t="array" ref="BA41">IFERROR(_xlfn.IFS(VALUE(MID(BA$5,6,2))&gt;$D$2,0,$AP41="Annual",1,AZ41=12,12,$AP41="Monthly V",AZ41*(1+$D$3),$AP41="Monthly F",12,$AP41="One-Time",0),AZ41*(1+$D$3))</f>
        <v>0</v>
      </c>
      <c r="BB41" s="186" t="s">
        <v>332</v>
      </c>
      <c r="BC41" s="38" t="s">
        <v>227</v>
      </c>
      <c r="BD41" s="36">
        <v>100</v>
      </c>
      <c r="BE41" s="21">
        <f t="shared" si="164"/>
        <v>100</v>
      </c>
      <c r="BF41" s="39">
        <f t="shared" si="44"/>
        <v>1200</v>
      </c>
      <c r="BG41" s="39">
        <f t="shared" si="17"/>
        <v>1200</v>
      </c>
      <c r="BH41" s="39">
        <f t="shared" si="18"/>
        <v>1200</v>
      </c>
      <c r="BI41" s="39">
        <f t="shared" si="19"/>
        <v>1236</v>
      </c>
      <c r="BJ41" s="39">
        <f t="shared" ref="BJ41:BL41" si="219">BI41*1.03</f>
        <v>1273.08</v>
      </c>
      <c r="BK41" s="39">
        <f t="shared" si="219"/>
        <v>1311.2724000000001</v>
      </c>
      <c r="BL41" s="39">
        <f t="shared" si="219"/>
        <v>1350.610572</v>
      </c>
      <c r="BM41" s="39">
        <f t="shared" ref="BM41" si="220">IFERROR(AY41*$BD41,0)</f>
        <v>0</v>
      </c>
      <c r="BN41" s="39">
        <f t="shared" ref="BN41" si="221">IFERROR(AZ41*$BD41,0)</f>
        <v>0</v>
      </c>
      <c r="BO41" s="39">
        <f t="shared" ref="BO41" si="222">IFERROR(BA41*$BD41,0)</f>
        <v>0</v>
      </c>
      <c r="BP41" s="40"/>
      <c r="BQ41" s="40">
        <f t="shared" ref="BQ41" si="223">IF(VALUE(MID(BQ$5,6,1))&lt;=$D$2,((1+$BD$3)^1-1)*BG41,0)</f>
        <v>36.000000000000028</v>
      </c>
      <c r="BR41" s="40">
        <f t="shared" ref="BR41" si="224">IF(VALUE(MID(BR$5,6,1))&lt;=$D$2,((1+$BD$3)^2-1)*BH41,0)</f>
        <v>73.079999999999941</v>
      </c>
      <c r="BS41" s="40">
        <f t="shared" ref="BS41" si="225">IF(VALUE(MID(BS$5,6,1))&lt;=$D$2,((1+$BD$3)^3-1)*BI41,0)</f>
        <v>114.610572</v>
      </c>
      <c r="BT41" s="40">
        <f t="shared" ref="BT41" si="226">IF(VALUE(MID(BT$5,6,1))&lt;=$D$2,((1+$BD$3)^4-1)*BJ41,0)</f>
        <v>159.78275583479987</v>
      </c>
      <c r="BU41" s="40">
        <f t="shared" ref="BU41" si="227">IF(VALUE(MID(BU$5,6,1))&lt;=$D$2,((1+$BD$3)^5-1)*BK41,0)</f>
        <v>208.85169766513914</v>
      </c>
      <c r="BV41" s="40">
        <f t="shared" ref="BV41" si="228">IF(VALUE(MID(BV$5,6,1))&lt;=$D$2,((1+$BD$3)^6-1)*BL41,0)</f>
        <v>262.08908321294621</v>
      </c>
      <c r="BW41" s="40">
        <f t="shared" ref="BW41" si="229">IF(VALUE(MID(BW$5,6,1))&lt;=$D$2,((1+$BD$3)^7-1)*BM41,0)</f>
        <v>0</v>
      </c>
      <c r="BX41" s="40">
        <f t="shared" ref="BX41" si="230">IF(VALUE(MID(BX$5,6,1))&lt;=$D$2,((1+$BD$3)^8-1)*BN41,0)</f>
        <v>0</v>
      </c>
      <c r="BY41" s="40">
        <f t="shared" ref="BY41" si="231">IF(VALUE(MID(BY$5,6,2))&lt;=$D$2,((1+$BD$3)^9-1)*BO41,0)</f>
        <v>0</v>
      </c>
      <c r="BZ41" s="40">
        <f t="shared" ref="BZ41" si="232">SUM(BP41:BY41)</f>
        <v>854.4141087128852</v>
      </c>
      <c r="CA41" s="37">
        <f t="shared" si="177"/>
        <v>9625.377080712884</v>
      </c>
      <c r="CC41" s="102"/>
      <c r="CD41" s="12"/>
      <c r="CE41" s="14">
        <f t="shared" si="178"/>
        <v>0</v>
      </c>
      <c r="CF41" s="14" cm="1">
        <f t="array" ref="CF41">IFERROR(_xlfn.IFS(VALUE(MID(CF$5,6,1))&gt;$D$2,0,$CC41="Annual",1,CE41=12,12,$CC41="Monthly V",CE41*(1+$D$3),$CC41="Monthly F",12,$CC41="One-Time",0),CE41*(1+$D$3))</f>
        <v>0</v>
      </c>
      <c r="CG41" s="14" cm="1">
        <f t="array" ref="CG41">IFERROR(_xlfn.IFS(VALUE(MID(CG$5,6,1))&gt;$D$2,0,$CC41="Annual",1,CF41=12,12,$CC41="Monthly V",CF41*(1+$D$3),$CC41="Monthly F",12,$CC41="One-Time",0),CF41*(1+$D$3))</f>
        <v>0</v>
      </c>
      <c r="CH41" s="14" cm="1">
        <f t="array" ref="CH41">IFERROR(_xlfn.IFS(VALUE(MID(CH$5,6,1))&gt;$D$2,0,$CC41="Annual",1,CG41=12,12,$CC41="Monthly V",CG41*(1+$D$3),$CC41="Monthly F",12,$CC41="One-Time",0),CG41*(1+$D$3))</f>
        <v>0</v>
      </c>
      <c r="CI41" s="14" cm="1">
        <f t="array" ref="CI41">IFERROR(_xlfn.IFS(VALUE(MID(CI$5,6,1))&gt;$D$2,0,$CC41="Annual",1,CH41=12,12,$CC41="Monthly V",CH41*(1+$D$3),$CC41="Monthly F",12,$CC41="One-Time",0),CH41*(1+$D$3))</f>
        <v>0</v>
      </c>
      <c r="CJ41" s="14" cm="1">
        <f t="array" ref="CJ41">IFERROR(_xlfn.IFS(VALUE(MID(CJ$5,6,1))&gt;$D$2,0,$CC41="Annual",1,CI41=12,12,$CC41="Monthly V",CI41*(1+$D$3),$CC41="Monthly F",12,$CC41="One-Time",0),CI41*(1+$D$3))</f>
        <v>0</v>
      </c>
      <c r="CK41" s="14" cm="1">
        <f t="array" ref="CK41">IFERROR(_xlfn.IFS(VALUE(MID(CK$5,6,1))&gt;$D$2,0,$CC41="Annual",1,CJ41=12,12,$CC41="Monthly V",CJ41*(1+$D$3),$CC41="Monthly F",12,$CC41="One-Time",0),CJ41*(1+$D$3))</f>
        <v>0</v>
      </c>
      <c r="CL41" s="14" cm="1">
        <f t="array" ref="CL41">IFERROR(_xlfn.IFS(VALUE(MID(CL$5,6,1))&gt;$D$2,0,$CC41="Annual",1,CK41=12,12,$CC41="Monthly V",CK41*(1+$D$3),$CC41="Monthly F",12,$CC41="One-Time",0),CK41*(1+$D$3))</f>
        <v>0</v>
      </c>
      <c r="CM41" s="14" cm="1">
        <f t="array" ref="CM41">IFERROR(_xlfn.IFS(VALUE(MID(CM$5,6,1))&gt;$D$2,0,$CC41="Annual",1,CL41=12,12,$CC41="Monthly V",CL41*(1+$D$3),$CC41="Monthly F",12,$CC41="One-Time",0),CL41*(1+$D$3))</f>
        <v>0</v>
      </c>
      <c r="CN41" s="24" cm="1">
        <f t="array" ref="CN41">IFERROR(_xlfn.IFS(VALUE(MID(CN$5,6,2))&gt;$D$2,0,$CC41="Annual",1,CM41=12,12,$CC41="Monthly V",CM41*(1+$D$3),$CC41="Monthly F",12,$CC41="One-Time",0),CM41*(1+$D$3))</f>
        <v>0</v>
      </c>
      <c r="CO41" s="63"/>
      <c r="CP41" s="53"/>
      <c r="CQ41" s="21">
        <f t="shared" si="179"/>
        <v>0</v>
      </c>
      <c r="CR41" s="55">
        <f t="shared" si="180"/>
        <v>0</v>
      </c>
      <c r="CS41" s="55">
        <f t="shared" si="180"/>
        <v>0</v>
      </c>
      <c r="CT41" s="55">
        <f t="shared" si="180"/>
        <v>0</v>
      </c>
      <c r="CU41" s="55">
        <f t="shared" si="180"/>
        <v>0</v>
      </c>
      <c r="CV41" s="55">
        <f t="shared" si="180"/>
        <v>0</v>
      </c>
      <c r="CW41" s="55">
        <f t="shared" si="180"/>
        <v>0</v>
      </c>
      <c r="CX41" s="55">
        <f t="shared" si="180"/>
        <v>0</v>
      </c>
      <c r="CY41" s="55">
        <f t="shared" si="180"/>
        <v>0</v>
      </c>
      <c r="CZ41" s="55">
        <f t="shared" si="180"/>
        <v>0</v>
      </c>
      <c r="DA41" s="55">
        <f t="shared" si="180"/>
        <v>0</v>
      </c>
      <c r="DB41" s="56"/>
      <c r="DC41" s="56">
        <f t="shared" si="181"/>
        <v>0</v>
      </c>
      <c r="DD41" s="56">
        <f t="shared" si="182"/>
        <v>0</v>
      </c>
      <c r="DE41" s="56">
        <f t="shared" si="183"/>
        <v>0</v>
      </c>
      <c r="DF41" s="56">
        <f t="shared" si="184"/>
        <v>0</v>
      </c>
      <c r="DG41" s="56">
        <f t="shared" si="185"/>
        <v>0</v>
      </c>
      <c r="DH41" s="56">
        <f t="shared" si="186"/>
        <v>0</v>
      </c>
      <c r="DI41" s="56">
        <f t="shared" si="187"/>
        <v>0</v>
      </c>
      <c r="DJ41" s="56">
        <f t="shared" si="188"/>
        <v>0</v>
      </c>
      <c r="DK41" s="56">
        <f t="shared" si="189"/>
        <v>0</v>
      </c>
      <c r="DL41" s="57">
        <f t="shared" si="190"/>
        <v>0</v>
      </c>
      <c r="DM41" s="54">
        <f t="shared" si="191"/>
        <v>0</v>
      </c>
      <c r="DO41" s="106"/>
    </row>
    <row r="42" spans="2:119" x14ac:dyDescent="0.25">
      <c r="B42" s="141"/>
      <c r="C42" s="24"/>
      <c r="D42" s="147"/>
      <c r="E42" s="142"/>
      <c r="F42" s="14"/>
      <c r="G42" s="14"/>
      <c r="H42" s="14"/>
      <c r="I42" s="14"/>
      <c r="J42" s="14"/>
      <c r="K42" s="14"/>
      <c r="L42" s="14"/>
      <c r="M42" s="14"/>
      <c r="N42" s="24"/>
      <c r="O42" s="127"/>
      <c r="P42" s="13"/>
      <c r="Q42" s="20"/>
      <c r="R42" s="21"/>
      <c r="S42" s="6"/>
      <c r="T42" s="6"/>
      <c r="U42" s="6"/>
      <c r="V42" s="6"/>
      <c r="W42" s="6"/>
      <c r="X42" s="6"/>
      <c r="Y42" s="6"/>
      <c r="Z42" s="6"/>
      <c r="AA42" s="6"/>
      <c r="AB42" s="6"/>
      <c r="AC42" s="7"/>
      <c r="AD42" s="152"/>
      <c r="AE42" s="152"/>
      <c r="AF42" s="152"/>
      <c r="AG42" s="152"/>
      <c r="AH42" s="152"/>
      <c r="AI42" s="152"/>
      <c r="AJ42" s="152"/>
      <c r="AK42" s="152"/>
      <c r="AL42" s="152"/>
      <c r="AM42" s="9"/>
      <c r="AN42" s="80"/>
      <c r="AP42" s="102" t="s">
        <v>0</v>
      </c>
      <c r="AQ42" s="12">
        <v>1</v>
      </c>
      <c r="AR42" s="14">
        <f t="shared" si="15"/>
        <v>12</v>
      </c>
      <c r="AS42" s="14" cm="1">
        <f t="array" ref="AS42">IFERROR(_xlfn.IFS(VALUE(MID(AS$5,6,1))&gt;$D$2,0,$AP42="Annual",1,AR42=12,12,$AP42="Monthly V",AR42*(1+$BD$2),$AP42="Monthly F",12,$AP42="One-Time",0),AR42*(1+$BD$2))</f>
        <v>12</v>
      </c>
      <c r="AT42" s="14" cm="1">
        <f t="array" ref="AT42">IFERROR(_xlfn.IFS(VALUE(MID(AT$5,6,1))&gt;$D$2,0,$AP42="Annual",1,AS42=12,12,$AP42="Monthly V",AS42*(1+$BD$2),$AP42="Monthly F",12,$AP42="One-Time",0),AS42*(1+$BD$2))</f>
        <v>12</v>
      </c>
      <c r="AU42" s="14" cm="1">
        <f t="array" ref="AU42">IFERROR(_xlfn.IFS(VALUE(MID(AU$5,6,1))&gt;$D$2,0,$AP42="Annual",1,AT42=12,12,$AP42="Monthly V",AT42*(1+$BD$2),$AP42="Monthly F",12,$AP42="One-Time",0),AT42*(1+$BD$2))</f>
        <v>12</v>
      </c>
      <c r="AV42" s="14" cm="1">
        <f t="array" ref="AV42">IFERROR(_xlfn.IFS(VALUE(MID(AV$5,6,1))&gt;$D$2,0,$AP42="Annual",1,AU42=12,12,$AP42="Monthly V",AU42*(1+$BD$2),$AP42="Monthly F",12,$AP42="One-Time",0),AU42*(1+$BD$2))</f>
        <v>12</v>
      </c>
      <c r="AW42" s="14" cm="1">
        <f t="array" ref="AW42">IFERROR(_xlfn.IFS(VALUE(MID(AW$5,6,1))&gt;$D$2,0,$AP42="Annual",1,AV42=12,12,$AP42="Monthly V",AV42*(1+$BD$2),$AP42="Monthly F",12,$AP42="One-Time",0),AV42*(1+$BD$2))</f>
        <v>12</v>
      </c>
      <c r="AX42" s="14" cm="1">
        <f t="array" ref="AX42">IFERROR(_xlfn.IFS(VALUE(MID(AX$5,6,1))&gt;$D$2,0,$AP42="Annual",1,AW42=12,12,$AP42="Monthly V",AW42*(1+$BD$2),$AP42="Monthly F",12,$AP42="One-Time",0),AW42*(1+$BD$2))</f>
        <v>12</v>
      </c>
      <c r="AY42" s="14" cm="1">
        <f t="array" ref="AY42">IFERROR(_xlfn.IFS(VALUE(MID(AY$5,6,1))&gt;$D$2,0,$AP42="Annual",1,AX42=12,12,$AP42="Monthly V",AX42*(1+$D$3),$AP42="Monthly F",12,$AP42="One-Time",0),AX42*(1+$D$3))</f>
        <v>0</v>
      </c>
      <c r="AZ42" s="14" cm="1">
        <f t="array" ref="AZ42">IFERROR(_xlfn.IFS(VALUE(MID(AZ$5,6,1))&gt;$D$2,0,$AP42="Annual",1,AY42=12,12,$AP42="Monthly V",AY42*(1+$D$3),$AP42="Monthly F",12,$AP42="One-Time",0),AY42*(1+$D$3))</f>
        <v>0</v>
      </c>
      <c r="BA42" s="125" cm="1">
        <f t="array" ref="BA42">IFERROR(_xlfn.IFS(VALUE(MID(BA$5,6,2))&gt;$D$2,0,$AP42="Annual",1,AZ42=12,12,$AP42="Monthly V",AZ42*(1+$D$3),$AP42="Monthly F",12,$AP42="One-Time",0),AZ42*(1+$D$3))</f>
        <v>0</v>
      </c>
      <c r="BB42" s="186" t="s">
        <v>186</v>
      </c>
      <c r="BC42" s="38" t="s">
        <v>227</v>
      </c>
      <c r="BD42" s="36">
        <v>75</v>
      </c>
      <c r="BE42" s="21">
        <f t="shared" si="164"/>
        <v>75</v>
      </c>
      <c r="BF42" s="39">
        <f t="shared" si="44"/>
        <v>900</v>
      </c>
      <c r="BG42" s="39">
        <f t="shared" si="17"/>
        <v>900</v>
      </c>
      <c r="BH42" s="39">
        <f t="shared" si="18"/>
        <v>900</v>
      </c>
      <c r="BI42" s="39">
        <f t="shared" si="19"/>
        <v>927</v>
      </c>
      <c r="BJ42" s="39">
        <f t="shared" ref="BJ42:BL42" si="233">BI42*1.03</f>
        <v>954.81000000000006</v>
      </c>
      <c r="BK42" s="39">
        <f t="shared" si="233"/>
        <v>983.4543000000001</v>
      </c>
      <c r="BL42" s="39">
        <f t="shared" si="233"/>
        <v>1012.9579290000001</v>
      </c>
      <c r="BM42" s="39">
        <f t="shared" si="166"/>
        <v>0</v>
      </c>
      <c r="BN42" s="39">
        <f t="shared" si="166"/>
        <v>0</v>
      </c>
      <c r="BO42" s="39">
        <f t="shared" si="166"/>
        <v>0</v>
      </c>
      <c r="BP42" s="40"/>
      <c r="BQ42" s="40">
        <f t="shared" si="167"/>
        <v>27.000000000000025</v>
      </c>
      <c r="BR42" s="40">
        <f t="shared" si="168"/>
        <v>54.80999999999996</v>
      </c>
      <c r="BS42" s="40">
        <f t="shared" si="169"/>
        <v>85.957929000000007</v>
      </c>
      <c r="BT42" s="40">
        <f t="shared" si="170"/>
        <v>119.83706687609993</v>
      </c>
      <c r="BU42" s="40">
        <f t="shared" si="171"/>
        <v>156.63877324885436</v>
      </c>
      <c r="BV42" s="40">
        <f t="shared" si="172"/>
        <v>196.56681240970966</v>
      </c>
      <c r="BW42" s="40">
        <f t="shared" si="173"/>
        <v>0</v>
      </c>
      <c r="BX42" s="40">
        <f t="shared" si="174"/>
        <v>0</v>
      </c>
      <c r="BY42" s="40">
        <f t="shared" si="175"/>
        <v>0</v>
      </c>
      <c r="BZ42" s="40">
        <f t="shared" si="176"/>
        <v>640.81058153466392</v>
      </c>
      <c r="CA42" s="37">
        <f t="shared" si="177"/>
        <v>7219.0328105346653</v>
      </c>
      <c r="CC42" s="102"/>
      <c r="CD42" s="12"/>
      <c r="CE42" s="14"/>
      <c r="CF42" s="14"/>
      <c r="CG42" s="14"/>
      <c r="CH42" s="14"/>
      <c r="CI42" s="14"/>
      <c r="CJ42" s="14"/>
      <c r="CK42" s="14"/>
      <c r="CL42" s="14"/>
      <c r="CM42" s="14"/>
      <c r="CN42" s="24"/>
      <c r="CO42" s="63"/>
      <c r="CP42" s="53"/>
      <c r="CQ42" s="21"/>
      <c r="CR42" s="55"/>
      <c r="CS42" s="55"/>
      <c r="CT42" s="55"/>
      <c r="CU42" s="55"/>
      <c r="CV42" s="55"/>
      <c r="CW42" s="55"/>
      <c r="CX42" s="55"/>
      <c r="CY42" s="55"/>
      <c r="CZ42" s="55"/>
      <c r="DA42" s="55"/>
      <c r="DB42" s="56"/>
      <c r="DC42" s="56"/>
      <c r="DD42" s="56"/>
      <c r="DE42" s="56"/>
      <c r="DF42" s="56"/>
      <c r="DG42" s="56"/>
      <c r="DH42" s="56"/>
      <c r="DI42" s="56"/>
      <c r="DJ42" s="56"/>
      <c r="DK42" s="56"/>
      <c r="DL42" s="57"/>
      <c r="DM42" s="54"/>
      <c r="DO42" s="106"/>
    </row>
    <row r="43" spans="2:119" x14ac:dyDescent="0.25">
      <c r="B43" s="141"/>
      <c r="C43" s="24"/>
      <c r="D43" s="147"/>
      <c r="E43" s="142"/>
      <c r="F43" s="14"/>
      <c r="G43" s="14"/>
      <c r="H43" s="14"/>
      <c r="I43" s="14"/>
      <c r="J43" s="14"/>
      <c r="K43" s="14"/>
      <c r="L43" s="14"/>
      <c r="M43" s="14"/>
      <c r="N43" s="24"/>
      <c r="O43" s="157" t="s">
        <v>81</v>
      </c>
      <c r="P43" s="13"/>
      <c r="Q43" s="20"/>
      <c r="R43" s="21">
        <f t="shared" si="124"/>
        <v>0</v>
      </c>
      <c r="S43" s="6">
        <f t="shared" ref="S43:Y53" si="234">IFERROR($Q43*E43,0)</f>
        <v>0</v>
      </c>
      <c r="T43" s="6">
        <f t="shared" si="234"/>
        <v>0</v>
      </c>
      <c r="U43" s="6">
        <f t="shared" si="234"/>
        <v>0</v>
      </c>
      <c r="V43" s="6">
        <f t="shared" si="234"/>
        <v>0</v>
      </c>
      <c r="W43" s="6">
        <f t="shared" si="234"/>
        <v>0</v>
      </c>
      <c r="X43" s="6">
        <f t="shared" si="234"/>
        <v>0</v>
      </c>
      <c r="Y43" s="6">
        <f t="shared" si="234"/>
        <v>0</v>
      </c>
      <c r="Z43" s="6">
        <f t="shared" si="125"/>
        <v>0</v>
      </c>
      <c r="AA43" s="6">
        <f t="shared" si="125"/>
        <v>0</v>
      </c>
      <c r="AB43" s="6">
        <f t="shared" si="125"/>
        <v>0</v>
      </c>
      <c r="AC43" s="7"/>
      <c r="AD43" s="152">
        <f t="shared" si="126"/>
        <v>0</v>
      </c>
      <c r="AE43" s="152">
        <f t="shared" si="127"/>
        <v>0</v>
      </c>
      <c r="AF43" s="152">
        <f t="shared" si="128"/>
        <v>0</v>
      </c>
      <c r="AG43" s="152">
        <f t="shared" si="129"/>
        <v>0</v>
      </c>
      <c r="AH43" s="152">
        <f t="shared" si="130"/>
        <v>0</v>
      </c>
      <c r="AI43" s="152">
        <f t="shared" si="131"/>
        <v>0</v>
      </c>
      <c r="AJ43" s="152">
        <f t="shared" si="132"/>
        <v>0</v>
      </c>
      <c r="AK43" s="152">
        <f t="shared" si="133"/>
        <v>0</v>
      </c>
      <c r="AL43" s="152">
        <f t="shared" si="134"/>
        <v>0</v>
      </c>
      <c r="AM43" s="9">
        <f t="shared" si="135"/>
        <v>0</v>
      </c>
      <c r="AN43" s="80">
        <f t="shared" si="136"/>
        <v>0</v>
      </c>
      <c r="AP43" s="102" t="s">
        <v>1</v>
      </c>
      <c r="AQ43" s="12">
        <v>3</v>
      </c>
      <c r="AR43" s="14">
        <f t="shared" si="15"/>
        <v>36</v>
      </c>
      <c r="AS43" s="14" cm="1">
        <f t="array" ref="AS43">IFERROR(_xlfn.IFS(VALUE(MID(AS$5,6,1))&gt;$D$2,0,$AP43="Annual",1,AR43=12,12,$AP43="Monthly V",AR43*(1+$BD$2),$AP43="Monthly F",12,$AP43="One-Time",0),AR43*(1+$BD$2))</f>
        <v>36</v>
      </c>
      <c r="AT43" s="14" cm="1">
        <f t="array" ref="AT43">IFERROR(_xlfn.IFS(VALUE(MID(AT$5,6,1))&gt;$D$2,0,$AP43="Annual",1,AS43=12,12,$AP43="Monthly V",AS43*(1+$BD$2),$AP43="Monthly F",12,$AP43="One-Time",0),AS43*(1+$BD$2))</f>
        <v>36</v>
      </c>
      <c r="AU43" s="14" cm="1">
        <f t="array" ref="AU43">IFERROR(_xlfn.IFS(VALUE(MID(AU$5,6,1))&gt;$D$2,0,$AP43="Annual",1,AT43=12,12,$AP43="Monthly V",AT43*(1+$BD$2),$AP43="Monthly F",12,$AP43="One-Time",0),AT43*(1+$BD$2))</f>
        <v>36</v>
      </c>
      <c r="AV43" s="14" cm="1">
        <f t="array" ref="AV43">IFERROR(_xlfn.IFS(VALUE(MID(AV$5,6,1))&gt;$D$2,0,$AP43="Annual",1,AU43=12,12,$AP43="Monthly V",AU43*(1+$BD$2),$AP43="Monthly F",12,$AP43="One-Time",0),AU43*(1+$BD$2))</f>
        <v>36</v>
      </c>
      <c r="AW43" s="14" cm="1">
        <f t="array" ref="AW43">IFERROR(_xlfn.IFS(VALUE(MID(AW$5,6,1))&gt;$D$2,0,$AP43="Annual",1,AV43=12,12,$AP43="Monthly V",AV43*(1+$BD$2),$AP43="Monthly F",12,$AP43="One-Time",0),AV43*(1+$BD$2))</f>
        <v>36</v>
      </c>
      <c r="AX43" s="14" cm="1">
        <f t="array" ref="AX43">IFERROR(_xlfn.IFS(VALUE(MID(AX$5,6,1))&gt;$D$2,0,$AP43="Annual",1,AW43=12,12,$AP43="Monthly V",AW43*(1+$BD$2),$AP43="Monthly F",12,$AP43="One-Time",0),AW43*(1+$BD$2))</f>
        <v>36</v>
      </c>
      <c r="AY43" s="14" cm="1">
        <f t="array" ref="AY43">IFERROR(_xlfn.IFS(VALUE(MID(AY$5,6,1))&gt;$D$2,0,$AP43="Annual",1,AX43=12,12,$AP43="Monthly V",AX43*(1+$D$3),$AP43="Monthly F",12,$AP43="One-Time",0),AX43*(1+$D$3))</f>
        <v>0</v>
      </c>
      <c r="AZ43" s="14" cm="1">
        <f t="array" ref="AZ43">IFERROR(_xlfn.IFS(VALUE(MID(AZ$5,6,1))&gt;$D$2,0,$AP43="Annual",1,AY43=12,12,$AP43="Monthly V",AY43*(1+$D$3),$AP43="Monthly F",12,$AP43="One-Time",0),AY43*(1+$D$3))</f>
        <v>0</v>
      </c>
      <c r="BA43" s="125" cm="1">
        <f t="array" ref="BA43">IFERROR(_xlfn.IFS(VALUE(MID(BA$5,6,2))&gt;$D$2,0,$AP43="Annual",1,AZ43=12,12,$AP43="Monthly V",AZ43*(1+$D$3),$AP43="Monthly F",12,$AP43="One-Time",0),AZ43*(1+$D$3))</f>
        <v>0</v>
      </c>
      <c r="BB43" s="148" t="s">
        <v>187</v>
      </c>
      <c r="BC43" s="38" t="s">
        <v>227</v>
      </c>
      <c r="BD43" s="36">
        <v>75</v>
      </c>
      <c r="BE43" s="21">
        <f t="shared" si="164"/>
        <v>225</v>
      </c>
      <c r="BF43" s="39">
        <f t="shared" si="44"/>
        <v>2700</v>
      </c>
      <c r="BG43" s="39">
        <f t="shared" si="17"/>
        <v>2700</v>
      </c>
      <c r="BH43" s="39">
        <f t="shared" si="18"/>
        <v>2700</v>
      </c>
      <c r="BI43" s="39">
        <f t="shared" si="19"/>
        <v>2781</v>
      </c>
      <c r="BJ43" s="39">
        <f t="shared" ref="BJ43:BL43" si="235">BI43*1.03</f>
        <v>2864.4300000000003</v>
      </c>
      <c r="BK43" s="39">
        <f t="shared" si="235"/>
        <v>2950.3629000000005</v>
      </c>
      <c r="BL43" s="39">
        <f t="shared" si="235"/>
        <v>3038.8737870000004</v>
      </c>
      <c r="BM43" s="39">
        <f t="shared" si="166"/>
        <v>0</v>
      </c>
      <c r="BN43" s="39">
        <f t="shared" si="166"/>
        <v>0</v>
      </c>
      <c r="BO43" s="39">
        <f t="shared" si="166"/>
        <v>0</v>
      </c>
      <c r="BP43" s="40"/>
      <c r="BQ43" s="40">
        <f t="shared" si="167"/>
        <v>81.000000000000071</v>
      </c>
      <c r="BR43" s="40">
        <f t="shared" si="168"/>
        <v>164.42999999999986</v>
      </c>
      <c r="BS43" s="40">
        <f t="shared" si="169"/>
        <v>257.87378699999999</v>
      </c>
      <c r="BT43" s="40">
        <f t="shared" si="170"/>
        <v>359.51120062829978</v>
      </c>
      <c r="BU43" s="40">
        <f t="shared" si="171"/>
        <v>469.91631974656309</v>
      </c>
      <c r="BV43" s="40">
        <f t="shared" si="172"/>
        <v>589.70043722912897</v>
      </c>
      <c r="BW43" s="40">
        <f t="shared" si="173"/>
        <v>0</v>
      </c>
      <c r="BX43" s="40">
        <f t="shared" si="174"/>
        <v>0</v>
      </c>
      <c r="BY43" s="40">
        <f t="shared" si="175"/>
        <v>0</v>
      </c>
      <c r="BZ43" s="40">
        <f t="shared" si="176"/>
        <v>1922.4317446039918</v>
      </c>
      <c r="CA43" s="37">
        <f t="shared" si="177"/>
        <v>21657.098431603994</v>
      </c>
      <c r="CC43" s="102"/>
      <c r="CD43" s="12"/>
      <c r="CE43" s="14">
        <f t="shared" si="178"/>
        <v>0</v>
      </c>
      <c r="CF43" s="14" cm="1">
        <f t="array" ref="CF43">IFERROR(_xlfn.IFS(VALUE(MID(CF$5,6,1))&gt;$D$2,0,$CC43="Annual",1,CE43=12,12,$CC43="Monthly V",CE43*(1+$D$3),$CC43="Monthly F",12,$CC43="One-Time",0),CE43*(1+$D$3))</f>
        <v>0</v>
      </c>
      <c r="CG43" s="14" cm="1">
        <f t="array" ref="CG43">IFERROR(_xlfn.IFS(VALUE(MID(CG$5,6,1))&gt;$D$2,0,$CC43="Annual",1,CF43=12,12,$CC43="Monthly V",CF43*(1+$D$3),$CC43="Monthly F",12,$CC43="One-Time",0),CF43*(1+$D$3))</f>
        <v>0</v>
      </c>
      <c r="CH43" s="14" cm="1">
        <f t="array" ref="CH43">IFERROR(_xlfn.IFS(VALUE(MID(CH$5,6,1))&gt;$D$2,0,$CC43="Annual",1,CG43=12,12,$CC43="Monthly V",CG43*(1+$D$3),$CC43="Monthly F",12,$CC43="One-Time",0),CG43*(1+$D$3))</f>
        <v>0</v>
      </c>
      <c r="CI43" s="14" cm="1">
        <f t="array" ref="CI43">IFERROR(_xlfn.IFS(VALUE(MID(CI$5,6,1))&gt;$D$2,0,$CC43="Annual",1,CH43=12,12,$CC43="Monthly V",CH43*(1+$D$3),$CC43="Monthly F",12,$CC43="One-Time",0),CH43*(1+$D$3))</f>
        <v>0</v>
      </c>
      <c r="CJ43" s="14" cm="1">
        <f t="array" ref="CJ43">IFERROR(_xlfn.IFS(VALUE(MID(CJ$5,6,1))&gt;$D$2,0,$CC43="Annual",1,CI43=12,12,$CC43="Monthly V",CI43*(1+$D$3),$CC43="Monthly F",12,$CC43="One-Time",0),CI43*(1+$D$3))</f>
        <v>0</v>
      </c>
      <c r="CK43" s="14" cm="1">
        <f t="array" ref="CK43">IFERROR(_xlfn.IFS(VALUE(MID(CK$5,6,1))&gt;$D$2,0,$CC43="Annual",1,CJ43=12,12,$CC43="Monthly V",CJ43*(1+$D$3),$CC43="Monthly F",12,$CC43="One-Time",0),CJ43*(1+$D$3))</f>
        <v>0</v>
      </c>
      <c r="CL43" s="14" cm="1">
        <f t="array" ref="CL43">IFERROR(_xlfn.IFS(VALUE(MID(CL$5,6,1))&gt;$D$2,0,$CC43="Annual",1,CK43=12,12,$CC43="Monthly V",CK43*(1+$D$3),$CC43="Monthly F",12,$CC43="One-Time",0),CK43*(1+$D$3))</f>
        <v>0</v>
      </c>
      <c r="CM43" s="14" cm="1">
        <f t="array" ref="CM43">IFERROR(_xlfn.IFS(VALUE(MID(CM$5,6,1))&gt;$D$2,0,$CC43="Annual",1,CL43=12,12,$CC43="Monthly V",CL43*(1+$D$3),$CC43="Monthly F",12,$CC43="One-Time",0),CL43*(1+$D$3))</f>
        <v>0</v>
      </c>
      <c r="CN43" s="24" cm="1">
        <f t="array" ref="CN43">IFERROR(_xlfn.IFS(VALUE(MID(CN$5,6,2))&gt;$D$2,0,$CC43="Annual",1,CM43=12,12,$CC43="Monthly V",CM43*(1+$D$3),$CC43="Monthly F",12,$CC43="One-Time",0),CM43*(1+$D$3))</f>
        <v>0</v>
      </c>
      <c r="CO43" s="63"/>
      <c r="CP43" s="53"/>
      <c r="CQ43" s="21">
        <f t="shared" si="179"/>
        <v>0</v>
      </c>
      <c r="CR43" s="55">
        <f t="shared" si="180"/>
        <v>0</v>
      </c>
      <c r="CS43" s="55">
        <f t="shared" si="180"/>
        <v>0</v>
      </c>
      <c r="CT43" s="55">
        <f t="shared" si="180"/>
        <v>0</v>
      </c>
      <c r="CU43" s="55">
        <f t="shared" si="180"/>
        <v>0</v>
      </c>
      <c r="CV43" s="55">
        <f t="shared" si="180"/>
        <v>0</v>
      </c>
      <c r="CW43" s="55">
        <f t="shared" si="180"/>
        <v>0</v>
      </c>
      <c r="CX43" s="55">
        <f t="shared" si="180"/>
        <v>0</v>
      </c>
      <c r="CY43" s="55">
        <f t="shared" si="180"/>
        <v>0</v>
      </c>
      <c r="CZ43" s="55">
        <f t="shared" si="180"/>
        <v>0</v>
      </c>
      <c r="DA43" s="55">
        <f t="shared" si="180"/>
        <v>0</v>
      </c>
      <c r="DB43" s="56"/>
      <c r="DC43" s="56">
        <f t="shared" si="181"/>
        <v>0</v>
      </c>
      <c r="DD43" s="56">
        <f t="shared" si="182"/>
        <v>0</v>
      </c>
      <c r="DE43" s="56">
        <f t="shared" si="183"/>
        <v>0</v>
      </c>
      <c r="DF43" s="56">
        <f t="shared" si="184"/>
        <v>0</v>
      </c>
      <c r="DG43" s="56">
        <f t="shared" si="185"/>
        <v>0</v>
      </c>
      <c r="DH43" s="56">
        <f t="shared" si="186"/>
        <v>0</v>
      </c>
      <c r="DI43" s="56">
        <f t="shared" si="187"/>
        <v>0</v>
      </c>
      <c r="DJ43" s="56">
        <f t="shared" si="188"/>
        <v>0</v>
      </c>
      <c r="DK43" s="56">
        <f t="shared" si="189"/>
        <v>0</v>
      </c>
      <c r="DL43" s="57">
        <f t="shared" si="190"/>
        <v>0</v>
      </c>
      <c r="DM43" s="54">
        <f t="shared" si="191"/>
        <v>0</v>
      </c>
      <c r="DO43" s="106"/>
    </row>
    <row r="44" spans="2:119" x14ac:dyDescent="0.25">
      <c r="B44" s="141" t="s">
        <v>1</v>
      </c>
      <c r="C44" s="24">
        <v>16</v>
      </c>
      <c r="D44" s="147">
        <f t="shared" ref="D44:D50" si="236">IFERROR(AVERAGE(C44:C44),0)</f>
        <v>16</v>
      </c>
      <c r="E44" s="142">
        <f t="shared" ref="E44:E50" si="237">IF($B44="Annual",1,IF($B44="Monthly F",12,IF($B44="Monthly V",D44*12,IF($B44="One-Time",1,D44*12))))</f>
        <v>192</v>
      </c>
      <c r="F44" s="14" cm="1">
        <f t="array" ref="F44">IFERROR(_xlfn.IFS(VALUE(MID(F$5,6,1))&gt;$D$2,0,$B44="Annual",1,E44=12,12,$B44="Monthly V",E44*(1+$D$3),$B44="Monthly F",12,$B44="One-Time",0),E44*(1+$D$3))</f>
        <v>230.39999999999998</v>
      </c>
      <c r="G44" s="14" cm="1">
        <f t="array" ref="G44">IFERROR(_xlfn.IFS(VALUE(MID(G$5,6,1))&gt;$D$2,0,$B44="Annual",1,F44=12,12,$B44="Monthly V",F44*(1+$D$3),$B44="Monthly F",12,$B44="One-Time",0),F44*(1+$D$3))</f>
        <v>276.47999999999996</v>
      </c>
      <c r="H44" s="14" cm="1">
        <f t="array" ref="H44">IFERROR(_xlfn.IFS(VALUE(MID(H$5,6,1))&gt;$D$2,0,$B44="Annual",1,G44=12,12,$B44="Monthly V",G44*(1+$D$3),$B44="Monthly F",12,$B44="One-Time",0),G44*(1+$D$3))</f>
        <v>331.77599999999995</v>
      </c>
      <c r="I44" s="14" cm="1">
        <f t="array" ref="I44">IFERROR(_xlfn.IFS(VALUE(MID(I$5,6,1))&gt;$D$2,0,$B44="Annual",1,H44=12,12,$B44="Monthly V",H44*(1+$D$3),$B44="Monthly F",12,$B44="One-Time",0),H44*(1+$D$3))</f>
        <v>398.13119999999992</v>
      </c>
      <c r="J44" s="14" cm="1">
        <f t="array" ref="J44">IFERROR(_xlfn.IFS(VALUE(MID(J$5,6,1))&gt;$D$2,0,$B44="Annual",1,I44=12,12,$B44="Monthly V",I44*(1+$D$3),$B44="Monthly F",12,$B44="One-Time",0),I44*(1+$D$3))</f>
        <v>477.75743999999986</v>
      </c>
      <c r="K44" s="14" cm="1">
        <f t="array" ref="K44">IFERROR(_xlfn.IFS(VALUE(MID(K$5,6,1))&gt;$D$2,0,$B44="Annual",1,J44=12,12,$B44="Monthly V",J44*(1+$D$3),$B44="Monthly F",12,$B44="One-Time",0),J44*(1+$D$3))</f>
        <v>573.30892799999981</v>
      </c>
      <c r="L44" s="14" cm="1">
        <f t="array" ref="L44">IFERROR(_xlfn.IFS(VALUE(MID(L$5,6,1))&gt;$D$2,0,$B44="Annual",1,K44=12,12,$B44="Monthly V",K44*(1+$D$3),$B44="Monthly F",12,$B44="One-Time",0),K44*(1+$D$3))</f>
        <v>0</v>
      </c>
      <c r="M44" s="14" cm="1">
        <f t="array" ref="M44">IFERROR(_xlfn.IFS(VALUE(MID(M$5,6,1))&gt;$D$2,0,$B44="Annual",1,L44=12,12,$B44="Monthly V",L44*(1+$D$3),$B44="Monthly F",12,$B44="One-Time",0),L44*(1+$D$3))</f>
        <v>0</v>
      </c>
      <c r="N44" s="24" cm="1">
        <f t="array" ref="N44">IFERROR(_xlfn.IFS(VALUE(MID(N$5,6,2))&gt;$D$2,0,$B44="Annual",1,M44=12,12,$B44="Monthly V",M44*(1+$D$3),$B44="Monthly F",12,$B44="One-Time",0),M44*(1+$D$3))</f>
        <v>0</v>
      </c>
      <c r="O44" s="127" t="s">
        <v>104</v>
      </c>
      <c r="P44" s="13" t="s">
        <v>91</v>
      </c>
      <c r="Q44" s="20">
        <v>1</v>
      </c>
      <c r="R44" s="21">
        <f t="shared" si="124"/>
        <v>16</v>
      </c>
      <c r="S44" s="6">
        <f t="shared" si="234"/>
        <v>192</v>
      </c>
      <c r="T44" s="6">
        <f t="shared" si="234"/>
        <v>230.39999999999998</v>
      </c>
      <c r="U44" s="6">
        <f t="shared" si="234"/>
        <v>276.47999999999996</v>
      </c>
      <c r="V44" s="6">
        <f t="shared" si="234"/>
        <v>331.77599999999995</v>
      </c>
      <c r="W44" s="6">
        <f t="shared" si="234"/>
        <v>398.13119999999992</v>
      </c>
      <c r="X44" s="6">
        <f t="shared" si="234"/>
        <v>477.75743999999986</v>
      </c>
      <c r="Y44" s="6">
        <f t="shared" si="234"/>
        <v>573.30892799999981</v>
      </c>
      <c r="Z44" s="6">
        <f t="shared" si="125"/>
        <v>0</v>
      </c>
      <c r="AA44" s="6">
        <f t="shared" si="125"/>
        <v>0</v>
      </c>
      <c r="AB44" s="6">
        <f t="shared" si="125"/>
        <v>0</v>
      </c>
      <c r="AC44" s="7"/>
      <c r="AD44" s="152">
        <f t="shared" si="126"/>
        <v>6.9120000000000053</v>
      </c>
      <c r="AE44" s="152">
        <f t="shared" si="127"/>
        <v>16.837631999999985</v>
      </c>
      <c r="AF44" s="152">
        <f t="shared" si="128"/>
        <v>30.764593151999996</v>
      </c>
      <c r="AG44" s="152">
        <f t="shared" si="129"/>
        <v>49.968973135871956</v>
      </c>
      <c r="AH44" s="152">
        <f t="shared" si="130"/>
        <v>76.094373995937701</v>
      </c>
      <c r="AI44" s="152">
        <f t="shared" si="131"/>
        <v>111.25191409897903</v>
      </c>
      <c r="AJ44" s="152">
        <f t="shared" si="132"/>
        <v>0</v>
      </c>
      <c r="AK44" s="152">
        <f t="shared" si="133"/>
        <v>0</v>
      </c>
      <c r="AL44" s="152">
        <f t="shared" si="134"/>
        <v>0</v>
      </c>
      <c r="AM44" s="9">
        <f t="shared" si="135"/>
        <v>291.82948638278867</v>
      </c>
      <c r="AN44" s="80">
        <f t="shared" si="136"/>
        <v>2771.6830543827882</v>
      </c>
      <c r="AP44" s="102" t="s">
        <v>0</v>
      </c>
      <c r="AQ44" s="12">
        <v>1</v>
      </c>
      <c r="AR44" s="14">
        <f t="shared" si="15"/>
        <v>12</v>
      </c>
      <c r="AS44" s="14" cm="1">
        <f t="array" ref="AS44">IFERROR(_xlfn.IFS(VALUE(MID(AS$5,6,1))&gt;$D$2,0,$AP44="Annual",1,AR44=12,12,$AP44="Monthly V",AR44*(1+$BD$2),$AP44="Monthly F",12,$AP44="One-Time",0),AR44*(1+$BD$2))</f>
        <v>12</v>
      </c>
      <c r="AT44" s="14" cm="1">
        <f t="array" ref="AT44">IFERROR(_xlfn.IFS(VALUE(MID(AT$5,6,1))&gt;$D$2,0,$AP44="Annual",1,AS44=12,12,$AP44="Monthly V",AS44*(1+$BD$2),$AP44="Monthly F",12,$AP44="One-Time",0),AS44*(1+$BD$2))</f>
        <v>12</v>
      </c>
      <c r="AU44" s="14" cm="1">
        <f t="array" ref="AU44">IFERROR(_xlfn.IFS(VALUE(MID(AU$5,6,1))&gt;$D$2,0,$AP44="Annual",1,AT44=12,12,$AP44="Monthly V",AT44*(1+$BD$2),$AP44="Monthly F",12,$AP44="One-Time",0),AT44*(1+$BD$2))</f>
        <v>12</v>
      </c>
      <c r="AV44" s="14" cm="1">
        <f t="array" ref="AV44">IFERROR(_xlfn.IFS(VALUE(MID(AV$5,6,1))&gt;$D$2,0,$AP44="Annual",1,AU44=12,12,$AP44="Monthly V",AU44*(1+$BD$2),$AP44="Monthly F",12,$AP44="One-Time",0),AU44*(1+$BD$2))</f>
        <v>12</v>
      </c>
      <c r="AW44" s="14" cm="1">
        <f t="array" ref="AW44">IFERROR(_xlfn.IFS(VALUE(MID(AW$5,6,1))&gt;$D$2,0,$AP44="Annual",1,AV44=12,12,$AP44="Monthly V",AV44*(1+$BD$2),$AP44="Monthly F",12,$AP44="One-Time",0),AV44*(1+$BD$2))</f>
        <v>12</v>
      </c>
      <c r="AX44" s="14" cm="1">
        <f t="array" ref="AX44">IFERROR(_xlfn.IFS(VALUE(MID(AX$5,6,1))&gt;$D$2,0,$AP44="Annual",1,AW44=12,12,$AP44="Monthly V",AW44*(1+$BD$2),$AP44="Monthly F",12,$AP44="One-Time",0),AW44*(1+$BD$2))</f>
        <v>12</v>
      </c>
      <c r="AY44" s="14" cm="1">
        <f t="array" ref="AY44">IFERROR(_xlfn.IFS(VALUE(MID(AY$5,6,1))&gt;$D$2,0,$AP44="Annual",1,AX44=12,12,$AP44="Monthly V",AX44*(1+$D$3),$AP44="Monthly F",12,$AP44="One-Time",0),AX44*(1+$D$3))</f>
        <v>0</v>
      </c>
      <c r="AZ44" s="14" cm="1">
        <f t="array" ref="AZ44">IFERROR(_xlfn.IFS(VALUE(MID(AZ$5,6,1))&gt;$D$2,0,$AP44="Annual",1,AY44=12,12,$AP44="Monthly V",AY44*(1+$D$3),$AP44="Monthly F",12,$AP44="One-Time",0),AY44*(1+$D$3))</f>
        <v>0</v>
      </c>
      <c r="BA44" s="125" cm="1">
        <f t="array" ref="BA44">IFERROR(_xlfn.IFS(VALUE(MID(BA$5,6,2))&gt;$D$2,0,$AP44="Annual",1,AZ44=12,12,$AP44="Monthly V",AZ44*(1+$D$3),$AP44="Monthly F",12,$AP44="One-Time",0),AZ44*(1+$D$3))</f>
        <v>0</v>
      </c>
      <c r="BB44" s="148" t="s">
        <v>188</v>
      </c>
      <c r="BC44" s="38" t="s">
        <v>227</v>
      </c>
      <c r="BD44" s="36">
        <v>350</v>
      </c>
      <c r="BE44" s="21">
        <f t="shared" si="164"/>
        <v>350</v>
      </c>
      <c r="BF44" s="39">
        <f t="shared" si="44"/>
        <v>4200</v>
      </c>
      <c r="BG44" s="39">
        <f t="shared" si="17"/>
        <v>4200</v>
      </c>
      <c r="BH44" s="39">
        <f t="shared" si="18"/>
        <v>4200</v>
      </c>
      <c r="BI44" s="39">
        <f t="shared" si="19"/>
        <v>4326</v>
      </c>
      <c r="BJ44" s="39">
        <f t="shared" ref="BJ44:BL44" si="238">BI44*1.03</f>
        <v>4455.78</v>
      </c>
      <c r="BK44" s="39">
        <f t="shared" si="238"/>
        <v>4589.4533999999994</v>
      </c>
      <c r="BL44" s="39">
        <f t="shared" si="238"/>
        <v>4727.1370019999995</v>
      </c>
      <c r="BM44" s="39">
        <f t="shared" si="166"/>
        <v>0</v>
      </c>
      <c r="BN44" s="39">
        <f t="shared" si="166"/>
        <v>0</v>
      </c>
      <c r="BO44" s="39">
        <f t="shared" si="166"/>
        <v>0</v>
      </c>
      <c r="BP44" s="40"/>
      <c r="BQ44" s="40">
        <f t="shared" si="167"/>
        <v>126.00000000000011</v>
      </c>
      <c r="BR44" s="40">
        <f t="shared" si="168"/>
        <v>255.7799999999998</v>
      </c>
      <c r="BS44" s="40">
        <f t="shared" si="169"/>
        <v>401.137002</v>
      </c>
      <c r="BT44" s="40">
        <f t="shared" si="170"/>
        <v>559.23964542179954</v>
      </c>
      <c r="BU44" s="40">
        <f t="shared" si="171"/>
        <v>730.98094182798684</v>
      </c>
      <c r="BV44" s="40">
        <f t="shared" si="172"/>
        <v>917.3117912453115</v>
      </c>
      <c r="BW44" s="40">
        <f t="shared" si="173"/>
        <v>0</v>
      </c>
      <c r="BX44" s="40">
        <f t="shared" si="174"/>
        <v>0</v>
      </c>
      <c r="BY44" s="40">
        <f t="shared" si="175"/>
        <v>0</v>
      </c>
      <c r="BZ44" s="40">
        <f t="shared" si="176"/>
        <v>2990.449380495098</v>
      </c>
      <c r="CA44" s="37">
        <f t="shared" si="177"/>
        <v>33688.819782495091</v>
      </c>
      <c r="CC44" s="102"/>
      <c r="CD44" s="12"/>
      <c r="CE44" s="14">
        <f t="shared" si="178"/>
        <v>0</v>
      </c>
      <c r="CF44" s="14" cm="1">
        <f t="array" ref="CF44">IFERROR(_xlfn.IFS(VALUE(MID(CF$5,6,1))&gt;$D$2,0,$CC44="Annual",1,CE44=12,12,$CC44="Monthly V",CE44*(1+$D$3),$CC44="Monthly F",12,$CC44="One-Time",0),CE44*(1+$D$3))</f>
        <v>0</v>
      </c>
      <c r="CG44" s="14" cm="1">
        <f t="array" ref="CG44">IFERROR(_xlfn.IFS(VALUE(MID(CG$5,6,1))&gt;$D$2,0,$CC44="Annual",1,CF44=12,12,$CC44="Monthly V",CF44*(1+$D$3),$CC44="Monthly F",12,$CC44="One-Time",0),CF44*(1+$D$3))</f>
        <v>0</v>
      </c>
      <c r="CH44" s="14" cm="1">
        <f t="array" ref="CH44">IFERROR(_xlfn.IFS(VALUE(MID(CH$5,6,1))&gt;$D$2,0,$CC44="Annual",1,CG44=12,12,$CC44="Monthly V",CG44*(1+$D$3),$CC44="Monthly F",12,$CC44="One-Time",0),CG44*(1+$D$3))</f>
        <v>0</v>
      </c>
      <c r="CI44" s="14" cm="1">
        <f t="array" ref="CI44">IFERROR(_xlfn.IFS(VALUE(MID(CI$5,6,1))&gt;$D$2,0,$CC44="Annual",1,CH44=12,12,$CC44="Monthly V",CH44*(1+$D$3),$CC44="Monthly F",12,$CC44="One-Time",0),CH44*(1+$D$3))</f>
        <v>0</v>
      </c>
      <c r="CJ44" s="14" cm="1">
        <f t="array" ref="CJ44">IFERROR(_xlfn.IFS(VALUE(MID(CJ$5,6,1))&gt;$D$2,0,$CC44="Annual",1,CI44=12,12,$CC44="Monthly V",CI44*(1+$D$3),$CC44="Monthly F",12,$CC44="One-Time",0),CI44*(1+$D$3))</f>
        <v>0</v>
      </c>
      <c r="CK44" s="14" cm="1">
        <f t="array" ref="CK44">IFERROR(_xlfn.IFS(VALUE(MID(CK$5,6,1))&gt;$D$2,0,$CC44="Annual",1,CJ44=12,12,$CC44="Monthly V",CJ44*(1+$D$3),$CC44="Monthly F",12,$CC44="One-Time",0),CJ44*(1+$D$3))</f>
        <v>0</v>
      </c>
      <c r="CL44" s="14" cm="1">
        <f t="array" ref="CL44">IFERROR(_xlfn.IFS(VALUE(MID(CL$5,6,1))&gt;$D$2,0,$CC44="Annual",1,CK44=12,12,$CC44="Monthly V",CK44*(1+$D$3),$CC44="Monthly F",12,$CC44="One-Time",0),CK44*(1+$D$3))</f>
        <v>0</v>
      </c>
      <c r="CM44" s="14" cm="1">
        <f t="array" ref="CM44">IFERROR(_xlfn.IFS(VALUE(MID(CM$5,6,1))&gt;$D$2,0,$CC44="Annual",1,CL44=12,12,$CC44="Monthly V",CL44*(1+$D$3),$CC44="Monthly F",12,$CC44="One-Time",0),CL44*(1+$D$3))</f>
        <v>0</v>
      </c>
      <c r="CN44" s="24" cm="1">
        <f t="array" ref="CN44">IFERROR(_xlfn.IFS(VALUE(MID(CN$5,6,2))&gt;$D$2,0,$CC44="Annual",1,CM44=12,12,$CC44="Monthly V",CM44*(1+$D$3),$CC44="Monthly F",12,$CC44="One-Time",0),CM44*(1+$D$3))</f>
        <v>0</v>
      </c>
      <c r="CO44" s="63"/>
      <c r="CP44" s="53"/>
      <c r="CQ44" s="21">
        <f t="shared" si="179"/>
        <v>0</v>
      </c>
      <c r="CR44" s="55">
        <f t="shared" si="180"/>
        <v>0</v>
      </c>
      <c r="CS44" s="55">
        <f t="shared" si="180"/>
        <v>0</v>
      </c>
      <c r="CT44" s="55">
        <f t="shared" si="180"/>
        <v>0</v>
      </c>
      <c r="CU44" s="55">
        <f t="shared" si="180"/>
        <v>0</v>
      </c>
      <c r="CV44" s="55">
        <f t="shared" si="180"/>
        <v>0</v>
      </c>
      <c r="CW44" s="55">
        <f t="shared" si="180"/>
        <v>0</v>
      </c>
      <c r="CX44" s="55">
        <f t="shared" si="180"/>
        <v>0</v>
      </c>
      <c r="CY44" s="55">
        <f t="shared" si="180"/>
        <v>0</v>
      </c>
      <c r="CZ44" s="55">
        <f t="shared" si="180"/>
        <v>0</v>
      </c>
      <c r="DA44" s="55">
        <f t="shared" si="180"/>
        <v>0</v>
      </c>
      <c r="DB44" s="56"/>
      <c r="DC44" s="56">
        <f t="shared" si="181"/>
        <v>0</v>
      </c>
      <c r="DD44" s="56">
        <f t="shared" si="182"/>
        <v>0</v>
      </c>
      <c r="DE44" s="56">
        <f t="shared" si="183"/>
        <v>0</v>
      </c>
      <c r="DF44" s="56">
        <f t="shared" si="184"/>
        <v>0</v>
      </c>
      <c r="DG44" s="56">
        <f t="shared" si="185"/>
        <v>0</v>
      </c>
      <c r="DH44" s="56">
        <f t="shared" si="186"/>
        <v>0</v>
      </c>
      <c r="DI44" s="56">
        <f t="shared" si="187"/>
        <v>0</v>
      </c>
      <c r="DJ44" s="56">
        <f t="shared" si="188"/>
        <v>0</v>
      </c>
      <c r="DK44" s="56">
        <f t="shared" si="189"/>
        <v>0</v>
      </c>
      <c r="DL44" s="57">
        <f t="shared" si="190"/>
        <v>0</v>
      </c>
      <c r="DM44" s="54">
        <f t="shared" si="191"/>
        <v>0</v>
      </c>
      <c r="DO44" s="106"/>
    </row>
    <row r="45" spans="2:119" x14ac:dyDescent="0.25">
      <c r="B45" s="141" t="s">
        <v>0</v>
      </c>
      <c r="C45" s="24">
        <v>1</v>
      </c>
      <c r="D45" s="147">
        <f t="shared" si="236"/>
        <v>1</v>
      </c>
      <c r="E45" s="142">
        <f t="shared" si="237"/>
        <v>12</v>
      </c>
      <c r="F45" s="14" cm="1">
        <f t="array" ref="F45">IFERROR(_xlfn.IFS(VALUE(MID(F$5,6,1))&gt;$D$2,0,$B45="Annual",1,E45=12,12,$B45="Monthly V",E45*(1+$D$3),$B45="Monthly F",12,$B45="One-Time",0),E45*(1+$D$3))</f>
        <v>12</v>
      </c>
      <c r="G45" s="14" cm="1">
        <f t="array" ref="G45">IFERROR(_xlfn.IFS(VALUE(MID(G$5,6,1))&gt;$D$2,0,$B45="Annual",1,F45=12,12,$B45="Monthly V",F45*(1+$D$3),$B45="Monthly F",12,$B45="One-Time",0),F45*(1+$D$3))</f>
        <v>12</v>
      </c>
      <c r="H45" s="14" cm="1">
        <f t="array" ref="H45">IFERROR(_xlfn.IFS(VALUE(MID(H$5,6,1))&gt;$D$2,0,$B45="Annual",1,G45=12,12,$B45="Monthly V",G45*(1+$D$3),$B45="Monthly F",12,$B45="One-Time",0),G45*(1+$D$3))</f>
        <v>12</v>
      </c>
      <c r="I45" s="14" cm="1">
        <f t="array" ref="I45">IFERROR(_xlfn.IFS(VALUE(MID(I$5,6,1))&gt;$D$2,0,$B45="Annual",1,H45=12,12,$B45="Monthly V",H45*(1+$D$3),$B45="Monthly F",12,$B45="One-Time",0),H45*(1+$D$3))</f>
        <v>12</v>
      </c>
      <c r="J45" s="14" cm="1">
        <f t="array" ref="J45">IFERROR(_xlfn.IFS(VALUE(MID(J$5,6,1))&gt;$D$2,0,$B45="Annual",1,I45=12,12,$B45="Monthly V",I45*(1+$D$3),$B45="Monthly F",12,$B45="One-Time",0),I45*(1+$D$3))</f>
        <v>12</v>
      </c>
      <c r="K45" s="14" cm="1">
        <f t="array" ref="K45">IFERROR(_xlfn.IFS(VALUE(MID(K$5,6,1))&gt;$D$2,0,$B45="Annual",1,J45=12,12,$B45="Monthly V",J45*(1+$D$3),$B45="Monthly F",12,$B45="One-Time",0),J45*(1+$D$3))</f>
        <v>12</v>
      </c>
      <c r="L45" s="14" cm="1">
        <f t="array" ref="L45">IFERROR(_xlfn.IFS(VALUE(MID(L$5,6,1))&gt;$D$2,0,$B45="Annual",1,K45=12,12,$B45="Monthly V",K45*(1+$D$3),$B45="Monthly F",12,$B45="One-Time",0),K45*(1+$D$3))</f>
        <v>0</v>
      </c>
      <c r="M45" s="14" cm="1">
        <f t="array" ref="M45">IFERROR(_xlfn.IFS(VALUE(MID(M$5,6,1))&gt;$D$2,0,$B45="Annual",1,L45=12,12,$B45="Monthly V",L45*(1+$D$3),$B45="Monthly F",12,$B45="One-Time",0),L45*(1+$D$3))</f>
        <v>0</v>
      </c>
      <c r="N45" s="24" cm="1">
        <f t="array" ref="N45">IFERROR(_xlfn.IFS(VALUE(MID(N$5,6,2))&gt;$D$2,0,$B45="Annual",1,M45=12,12,$B45="Monthly V",M45*(1+$D$3),$B45="Monthly F",12,$B45="One-Time",0),M45*(1+$D$3))</f>
        <v>0</v>
      </c>
      <c r="O45" s="127" t="s">
        <v>109</v>
      </c>
      <c r="P45" s="13" t="s">
        <v>91</v>
      </c>
      <c r="Q45" s="20">
        <v>100</v>
      </c>
      <c r="R45" s="21">
        <f t="shared" si="124"/>
        <v>100</v>
      </c>
      <c r="S45" s="6">
        <f t="shared" si="234"/>
        <v>1200</v>
      </c>
      <c r="T45" s="6">
        <f t="shared" si="234"/>
        <v>1200</v>
      </c>
      <c r="U45" s="6">
        <f t="shared" si="234"/>
        <v>1200</v>
      </c>
      <c r="V45" s="6">
        <f t="shared" si="234"/>
        <v>1200</v>
      </c>
      <c r="W45" s="6">
        <f t="shared" si="234"/>
        <v>1200</v>
      </c>
      <c r="X45" s="6">
        <f t="shared" si="234"/>
        <v>1200</v>
      </c>
      <c r="Y45" s="6">
        <f t="shared" si="234"/>
        <v>1200</v>
      </c>
      <c r="Z45" s="6">
        <f t="shared" si="125"/>
        <v>0</v>
      </c>
      <c r="AA45" s="6">
        <f t="shared" si="125"/>
        <v>0</v>
      </c>
      <c r="AB45" s="6">
        <f t="shared" si="125"/>
        <v>0</v>
      </c>
      <c r="AC45" s="7"/>
      <c r="AD45" s="152">
        <f t="shared" si="126"/>
        <v>36.000000000000028</v>
      </c>
      <c r="AE45" s="152">
        <f t="shared" si="127"/>
        <v>73.079999999999941</v>
      </c>
      <c r="AF45" s="152">
        <f t="shared" si="128"/>
        <v>111.2724</v>
      </c>
      <c r="AG45" s="152">
        <f t="shared" si="129"/>
        <v>150.61057199999991</v>
      </c>
      <c r="AH45" s="152">
        <f t="shared" si="130"/>
        <v>191.1288891599998</v>
      </c>
      <c r="AI45" s="152">
        <f t="shared" si="131"/>
        <v>232.86275583479988</v>
      </c>
      <c r="AJ45" s="152">
        <f t="shared" si="132"/>
        <v>0</v>
      </c>
      <c r="AK45" s="152">
        <f t="shared" si="133"/>
        <v>0</v>
      </c>
      <c r="AL45" s="152">
        <f t="shared" si="134"/>
        <v>0</v>
      </c>
      <c r="AM45" s="9">
        <f t="shared" si="135"/>
        <v>794.95461699479961</v>
      </c>
      <c r="AN45" s="80">
        <f t="shared" si="136"/>
        <v>9194.9546169948007</v>
      </c>
      <c r="AP45" s="102" t="s">
        <v>0</v>
      </c>
      <c r="AQ45" s="12">
        <v>1</v>
      </c>
      <c r="AR45" s="14">
        <f t="shared" si="15"/>
        <v>12</v>
      </c>
      <c r="AS45" s="14" cm="1">
        <f t="array" ref="AS45">IFERROR(_xlfn.IFS(VALUE(MID(AS$5,6,1))&gt;$D$2,0,$AP45="Annual",1,AR45=12,12,$AP45="Monthly V",AR45*(1+$BD$2),$AP45="Monthly F",12,$AP45="One-Time",0),AR45*(1+$BD$2))</f>
        <v>12</v>
      </c>
      <c r="AT45" s="14" cm="1">
        <f t="array" ref="AT45">IFERROR(_xlfn.IFS(VALUE(MID(AT$5,6,1))&gt;$D$2,0,$AP45="Annual",1,AS45=12,12,$AP45="Monthly V",AS45*(1+$BD$2),$AP45="Monthly F",12,$AP45="One-Time",0),AS45*(1+$BD$2))</f>
        <v>12</v>
      </c>
      <c r="AU45" s="14" cm="1">
        <f t="array" ref="AU45">IFERROR(_xlfn.IFS(VALUE(MID(AU$5,6,1))&gt;$D$2,0,$AP45="Annual",1,AT45=12,12,$AP45="Monthly V",AT45*(1+$BD$2),$AP45="Monthly F",12,$AP45="One-Time",0),AT45*(1+$BD$2))</f>
        <v>12</v>
      </c>
      <c r="AV45" s="14" cm="1">
        <f t="array" ref="AV45">IFERROR(_xlfn.IFS(VALUE(MID(AV$5,6,1))&gt;$D$2,0,$AP45="Annual",1,AU45=12,12,$AP45="Monthly V",AU45*(1+$BD$2),$AP45="Monthly F",12,$AP45="One-Time",0),AU45*(1+$BD$2))</f>
        <v>12</v>
      </c>
      <c r="AW45" s="14" cm="1">
        <f t="array" ref="AW45">IFERROR(_xlfn.IFS(VALUE(MID(AW$5,6,1))&gt;$D$2,0,$AP45="Annual",1,AV45=12,12,$AP45="Monthly V",AV45*(1+$BD$2),$AP45="Monthly F",12,$AP45="One-Time",0),AV45*(1+$BD$2))</f>
        <v>12</v>
      </c>
      <c r="AX45" s="14" cm="1">
        <f t="array" ref="AX45">IFERROR(_xlfn.IFS(VALUE(MID(AX$5,6,1))&gt;$D$2,0,$AP45="Annual",1,AW45=12,12,$AP45="Monthly V",AW45*(1+$BD$2),$AP45="Monthly F",12,$AP45="One-Time",0),AW45*(1+$BD$2))</f>
        <v>12</v>
      </c>
      <c r="AY45" s="14" cm="1">
        <f t="array" ref="AY45">IFERROR(_xlfn.IFS(VALUE(MID(AY$5,6,1))&gt;$D$2,0,$AP45="Annual",1,AX45=12,12,$AP45="Monthly V",AX45*(1+$D$3),$AP45="Monthly F",12,$AP45="One-Time",0),AX45*(1+$D$3))</f>
        <v>0</v>
      </c>
      <c r="AZ45" s="14" cm="1">
        <f t="array" ref="AZ45">IFERROR(_xlfn.IFS(VALUE(MID(AZ$5,6,1))&gt;$D$2,0,$AP45="Annual",1,AY45=12,12,$AP45="Monthly V",AY45*(1+$D$3),$AP45="Monthly F",12,$AP45="One-Time",0),AY45*(1+$D$3))</f>
        <v>0</v>
      </c>
      <c r="BA45" s="125" cm="1">
        <f t="array" ref="BA45">IFERROR(_xlfn.IFS(VALUE(MID(BA$5,6,2))&gt;$D$2,0,$AP45="Annual",1,AZ45=12,12,$AP45="Monthly V",AZ45*(1+$D$3),$AP45="Monthly F",12,$AP45="One-Time",0),AZ45*(1+$D$3))</f>
        <v>0</v>
      </c>
      <c r="BB45" s="148" t="s">
        <v>189</v>
      </c>
      <c r="BC45" s="38" t="s">
        <v>227</v>
      </c>
      <c r="BD45" s="36">
        <v>350</v>
      </c>
      <c r="BE45" s="21">
        <f t="shared" si="164"/>
        <v>350</v>
      </c>
      <c r="BF45" s="39">
        <f t="shared" si="44"/>
        <v>4200</v>
      </c>
      <c r="BG45" s="39">
        <f t="shared" si="17"/>
        <v>4200</v>
      </c>
      <c r="BH45" s="39">
        <f t="shared" si="18"/>
        <v>4200</v>
      </c>
      <c r="BI45" s="39">
        <f t="shared" si="19"/>
        <v>4326</v>
      </c>
      <c r="BJ45" s="39">
        <f t="shared" ref="BJ45:BL45" si="239">BI45*1.03</f>
        <v>4455.78</v>
      </c>
      <c r="BK45" s="39">
        <f t="shared" si="239"/>
        <v>4589.4533999999994</v>
      </c>
      <c r="BL45" s="39">
        <f t="shared" si="239"/>
        <v>4727.1370019999995</v>
      </c>
      <c r="BM45" s="39">
        <f t="shared" si="166"/>
        <v>0</v>
      </c>
      <c r="BN45" s="39">
        <f t="shared" si="166"/>
        <v>0</v>
      </c>
      <c r="BO45" s="39">
        <f t="shared" si="166"/>
        <v>0</v>
      </c>
      <c r="BP45" s="40"/>
      <c r="BQ45" s="40">
        <f t="shared" si="167"/>
        <v>126.00000000000011</v>
      </c>
      <c r="BR45" s="40">
        <f t="shared" si="168"/>
        <v>255.7799999999998</v>
      </c>
      <c r="BS45" s="40">
        <f t="shared" si="169"/>
        <v>401.137002</v>
      </c>
      <c r="BT45" s="40">
        <f t="shared" si="170"/>
        <v>559.23964542179954</v>
      </c>
      <c r="BU45" s="40">
        <f t="shared" si="171"/>
        <v>730.98094182798684</v>
      </c>
      <c r="BV45" s="40">
        <f t="shared" si="172"/>
        <v>917.3117912453115</v>
      </c>
      <c r="BW45" s="40">
        <f t="shared" si="173"/>
        <v>0</v>
      </c>
      <c r="BX45" s="40">
        <f t="shared" si="174"/>
        <v>0</v>
      </c>
      <c r="BY45" s="40">
        <f t="shared" si="175"/>
        <v>0</v>
      </c>
      <c r="BZ45" s="40">
        <f t="shared" si="176"/>
        <v>2990.449380495098</v>
      </c>
      <c r="CA45" s="37">
        <f t="shared" si="177"/>
        <v>33688.819782495091</v>
      </c>
      <c r="CC45" s="102"/>
      <c r="CD45" s="12"/>
      <c r="CE45" s="14">
        <f t="shared" si="178"/>
        <v>0</v>
      </c>
      <c r="CF45" s="14" cm="1">
        <f t="array" ref="CF45">IFERROR(_xlfn.IFS(VALUE(MID(CF$5,6,1))&gt;$D$2,0,$CC45="Annual",1,CE45=12,12,$CC45="Monthly V",CE45*(1+$D$3),$CC45="Monthly F",12,$CC45="One-Time",0),CE45*(1+$D$3))</f>
        <v>0</v>
      </c>
      <c r="CG45" s="14" cm="1">
        <f t="array" ref="CG45">IFERROR(_xlfn.IFS(VALUE(MID(CG$5,6,1))&gt;$D$2,0,$CC45="Annual",1,CF45=12,12,$CC45="Monthly V",CF45*(1+$D$3),$CC45="Monthly F",12,$CC45="One-Time",0),CF45*(1+$D$3))</f>
        <v>0</v>
      </c>
      <c r="CH45" s="14" cm="1">
        <f t="array" ref="CH45">IFERROR(_xlfn.IFS(VALUE(MID(CH$5,6,1))&gt;$D$2,0,$CC45="Annual",1,CG45=12,12,$CC45="Monthly V",CG45*(1+$D$3),$CC45="Monthly F",12,$CC45="One-Time",0),CG45*(1+$D$3))</f>
        <v>0</v>
      </c>
      <c r="CI45" s="14" cm="1">
        <f t="array" ref="CI45">IFERROR(_xlfn.IFS(VALUE(MID(CI$5,6,1))&gt;$D$2,0,$CC45="Annual",1,CH45=12,12,$CC45="Monthly V",CH45*(1+$D$3),$CC45="Monthly F",12,$CC45="One-Time",0),CH45*(1+$D$3))</f>
        <v>0</v>
      </c>
      <c r="CJ45" s="14" cm="1">
        <f t="array" ref="CJ45">IFERROR(_xlfn.IFS(VALUE(MID(CJ$5,6,1))&gt;$D$2,0,$CC45="Annual",1,CI45=12,12,$CC45="Monthly V",CI45*(1+$D$3),$CC45="Monthly F",12,$CC45="One-Time",0),CI45*(1+$D$3))</f>
        <v>0</v>
      </c>
      <c r="CK45" s="14" cm="1">
        <f t="array" ref="CK45">IFERROR(_xlfn.IFS(VALUE(MID(CK$5,6,1))&gt;$D$2,0,$CC45="Annual",1,CJ45=12,12,$CC45="Monthly V",CJ45*(1+$D$3),$CC45="Monthly F",12,$CC45="One-Time",0),CJ45*(1+$D$3))</f>
        <v>0</v>
      </c>
      <c r="CL45" s="14" cm="1">
        <f t="array" ref="CL45">IFERROR(_xlfn.IFS(VALUE(MID(CL$5,6,1))&gt;$D$2,0,$CC45="Annual",1,CK45=12,12,$CC45="Monthly V",CK45*(1+$D$3),$CC45="Monthly F",12,$CC45="One-Time",0),CK45*(1+$D$3))</f>
        <v>0</v>
      </c>
      <c r="CM45" s="14" cm="1">
        <f t="array" ref="CM45">IFERROR(_xlfn.IFS(VALUE(MID(CM$5,6,1))&gt;$D$2,0,$CC45="Annual",1,CL45=12,12,$CC45="Monthly V",CL45*(1+$D$3),$CC45="Monthly F",12,$CC45="One-Time",0),CL45*(1+$D$3))</f>
        <v>0</v>
      </c>
      <c r="CN45" s="24" cm="1">
        <f t="array" ref="CN45">IFERROR(_xlfn.IFS(VALUE(MID(CN$5,6,2))&gt;$D$2,0,$CC45="Annual",1,CM45=12,12,$CC45="Monthly V",CM45*(1+$D$3),$CC45="Monthly F",12,$CC45="One-Time",0),CM45*(1+$D$3))</f>
        <v>0</v>
      </c>
      <c r="CO45" s="63"/>
      <c r="CP45" s="53"/>
      <c r="CQ45" s="21">
        <f t="shared" si="179"/>
        <v>0</v>
      </c>
      <c r="CR45" s="55">
        <f t="shared" si="180"/>
        <v>0</v>
      </c>
      <c r="CS45" s="55">
        <f t="shared" si="180"/>
        <v>0</v>
      </c>
      <c r="CT45" s="55">
        <f t="shared" si="180"/>
        <v>0</v>
      </c>
      <c r="CU45" s="55">
        <f t="shared" si="180"/>
        <v>0</v>
      </c>
      <c r="CV45" s="55">
        <f t="shared" si="180"/>
        <v>0</v>
      </c>
      <c r="CW45" s="55">
        <f t="shared" si="180"/>
        <v>0</v>
      </c>
      <c r="CX45" s="55">
        <f t="shared" si="180"/>
        <v>0</v>
      </c>
      <c r="CY45" s="55">
        <f t="shared" si="180"/>
        <v>0</v>
      </c>
      <c r="CZ45" s="55">
        <f t="shared" si="180"/>
        <v>0</v>
      </c>
      <c r="DA45" s="55">
        <f t="shared" si="180"/>
        <v>0</v>
      </c>
      <c r="DB45" s="56"/>
      <c r="DC45" s="56">
        <f t="shared" si="181"/>
        <v>0</v>
      </c>
      <c r="DD45" s="56">
        <f t="shared" si="182"/>
        <v>0</v>
      </c>
      <c r="DE45" s="56">
        <f t="shared" si="183"/>
        <v>0</v>
      </c>
      <c r="DF45" s="56">
        <f t="shared" si="184"/>
        <v>0</v>
      </c>
      <c r="DG45" s="56">
        <f t="shared" si="185"/>
        <v>0</v>
      </c>
      <c r="DH45" s="56">
        <f t="shared" si="186"/>
        <v>0</v>
      </c>
      <c r="DI45" s="56">
        <f t="shared" si="187"/>
        <v>0</v>
      </c>
      <c r="DJ45" s="56">
        <f t="shared" si="188"/>
        <v>0</v>
      </c>
      <c r="DK45" s="56">
        <f t="shared" si="189"/>
        <v>0</v>
      </c>
      <c r="DL45" s="57">
        <f t="shared" si="190"/>
        <v>0</v>
      </c>
      <c r="DM45" s="54">
        <f t="shared" si="191"/>
        <v>0</v>
      </c>
      <c r="DO45" s="106"/>
    </row>
    <row r="46" spans="2:119" x14ac:dyDescent="0.25">
      <c r="B46" s="141" t="s">
        <v>0</v>
      </c>
      <c r="C46" s="24">
        <v>1</v>
      </c>
      <c r="D46" s="147">
        <f t="shared" si="236"/>
        <v>1</v>
      </c>
      <c r="E46" s="142">
        <f t="shared" si="237"/>
        <v>12</v>
      </c>
      <c r="F46" s="14" cm="1">
        <f t="array" ref="F46">IFERROR(_xlfn.IFS(VALUE(MID(F$5,6,1))&gt;$D$2,0,$B46="Annual",1,E46=12,12,$B46="Monthly V",E46*(1+$D$3),$B46="Monthly F",12,$B46="One-Time",0),E46*(1+$D$3))</f>
        <v>12</v>
      </c>
      <c r="G46" s="14" cm="1">
        <f t="array" ref="G46">IFERROR(_xlfn.IFS(VALUE(MID(G$5,6,1))&gt;$D$2,0,$B46="Annual",1,F46=12,12,$B46="Monthly V",F46*(1+$D$3),$B46="Monthly F",12,$B46="One-Time",0),F46*(1+$D$3))</f>
        <v>12</v>
      </c>
      <c r="H46" s="14" cm="1">
        <f t="array" ref="H46">IFERROR(_xlfn.IFS(VALUE(MID(H$5,6,1))&gt;$D$2,0,$B46="Annual",1,G46=12,12,$B46="Monthly V",G46*(1+$D$3),$B46="Monthly F",12,$B46="One-Time",0),G46*(1+$D$3))</f>
        <v>12</v>
      </c>
      <c r="I46" s="14" cm="1">
        <f t="array" ref="I46">IFERROR(_xlfn.IFS(VALUE(MID(I$5,6,1))&gt;$D$2,0,$B46="Annual",1,H46=12,12,$B46="Monthly V",H46*(1+$D$3),$B46="Monthly F",12,$B46="One-Time",0),H46*(1+$D$3))</f>
        <v>12</v>
      </c>
      <c r="J46" s="14" cm="1">
        <f t="array" ref="J46">IFERROR(_xlfn.IFS(VALUE(MID(J$5,6,1))&gt;$D$2,0,$B46="Annual",1,I46=12,12,$B46="Monthly V",I46*(1+$D$3),$B46="Monthly F",12,$B46="One-Time",0),I46*(1+$D$3))</f>
        <v>12</v>
      </c>
      <c r="K46" s="14" cm="1">
        <f t="array" ref="K46">IFERROR(_xlfn.IFS(VALUE(MID(K$5,6,1))&gt;$D$2,0,$B46="Annual",1,J46=12,12,$B46="Monthly V",J46*(1+$D$3),$B46="Monthly F",12,$B46="One-Time",0),J46*(1+$D$3))</f>
        <v>12</v>
      </c>
      <c r="L46" s="14" cm="1">
        <f t="array" ref="L46">IFERROR(_xlfn.IFS(VALUE(MID(L$5,6,1))&gt;$D$2,0,$B46="Annual",1,K46=12,12,$B46="Monthly V",K46*(1+$D$3),$B46="Monthly F",12,$B46="One-Time",0),K46*(1+$D$3))</f>
        <v>0</v>
      </c>
      <c r="M46" s="14" cm="1">
        <f t="array" ref="M46">IFERROR(_xlfn.IFS(VALUE(MID(M$5,6,1))&gt;$D$2,0,$B46="Annual",1,L46=12,12,$B46="Monthly V",L46*(1+$D$3),$B46="Monthly F",12,$B46="One-Time",0),L46*(1+$D$3))</f>
        <v>0</v>
      </c>
      <c r="N46" s="24" cm="1">
        <f t="array" ref="N46">IFERROR(_xlfn.IFS(VALUE(MID(N$5,6,2))&gt;$D$2,0,$B46="Annual",1,M46=12,12,$B46="Monthly V",M46*(1+$D$3),$B46="Monthly F",12,$B46="One-Time",0),M46*(1+$D$3))</f>
        <v>0</v>
      </c>
      <c r="O46" s="127" t="s">
        <v>108</v>
      </c>
      <c r="P46" s="13" t="s">
        <v>91</v>
      </c>
      <c r="Q46" s="20">
        <v>65</v>
      </c>
      <c r="R46" s="21">
        <f t="shared" si="124"/>
        <v>65</v>
      </c>
      <c r="S46" s="6">
        <f t="shared" si="234"/>
        <v>780</v>
      </c>
      <c r="T46" s="6">
        <f t="shared" si="234"/>
        <v>780</v>
      </c>
      <c r="U46" s="6">
        <f t="shared" si="234"/>
        <v>780</v>
      </c>
      <c r="V46" s="6">
        <f t="shared" si="234"/>
        <v>780</v>
      </c>
      <c r="W46" s="6">
        <f t="shared" si="234"/>
        <v>780</v>
      </c>
      <c r="X46" s="6">
        <f t="shared" si="234"/>
        <v>780</v>
      </c>
      <c r="Y46" s="6">
        <f t="shared" si="234"/>
        <v>780</v>
      </c>
      <c r="Z46" s="6">
        <f t="shared" si="125"/>
        <v>0</v>
      </c>
      <c r="AA46" s="6">
        <f t="shared" si="125"/>
        <v>0</v>
      </c>
      <c r="AB46" s="6">
        <f t="shared" si="125"/>
        <v>0</v>
      </c>
      <c r="AC46" s="7"/>
      <c r="AD46" s="152">
        <f t="shared" si="126"/>
        <v>23.40000000000002</v>
      </c>
      <c r="AE46" s="152">
        <f t="shared" si="127"/>
        <v>47.501999999999967</v>
      </c>
      <c r="AF46" s="152">
        <f t="shared" si="128"/>
        <v>72.327060000000003</v>
      </c>
      <c r="AG46" s="152">
        <f t="shared" si="129"/>
        <v>97.896871799999928</v>
      </c>
      <c r="AH46" s="152">
        <f t="shared" si="130"/>
        <v>124.23377795399988</v>
      </c>
      <c r="AI46" s="152">
        <f t="shared" si="131"/>
        <v>151.36079129261992</v>
      </c>
      <c r="AJ46" s="152">
        <f t="shared" si="132"/>
        <v>0</v>
      </c>
      <c r="AK46" s="152">
        <f t="shared" si="133"/>
        <v>0</v>
      </c>
      <c r="AL46" s="152">
        <f t="shared" si="134"/>
        <v>0</v>
      </c>
      <c r="AM46" s="9">
        <f t="shared" si="135"/>
        <v>516.7205010466198</v>
      </c>
      <c r="AN46" s="80">
        <f t="shared" si="136"/>
        <v>5976.7205010466196</v>
      </c>
      <c r="AP46" s="102" t="s">
        <v>0</v>
      </c>
      <c r="AQ46" s="12">
        <v>1</v>
      </c>
      <c r="AR46" s="14">
        <f t="shared" si="15"/>
        <v>12</v>
      </c>
      <c r="AS46" s="14" cm="1">
        <f t="array" ref="AS46">IFERROR(_xlfn.IFS(VALUE(MID(AS$5,6,1))&gt;$D$2,0,$AP46="Annual",1,AR46=12,12,$AP46="Monthly V",AR46*(1+$BD$2),$AP46="Monthly F",12,$AP46="One-Time",0),AR46*(1+$BD$2))</f>
        <v>12</v>
      </c>
      <c r="AT46" s="14" cm="1">
        <f t="array" ref="AT46">IFERROR(_xlfn.IFS(VALUE(MID(AT$5,6,1))&gt;$D$2,0,$AP46="Annual",1,AS46=12,12,$AP46="Monthly V",AS46*(1+$BD$2),$AP46="Monthly F",12,$AP46="One-Time",0),AS46*(1+$BD$2))</f>
        <v>12</v>
      </c>
      <c r="AU46" s="14" cm="1">
        <f t="array" ref="AU46">IFERROR(_xlfn.IFS(VALUE(MID(AU$5,6,1))&gt;$D$2,0,$AP46="Annual",1,AT46=12,12,$AP46="Monthly V",AT46*(1+$BD$2),$AP46="Monthly F",12,$AP46="One-Time",0),AT46*(1+$BD$2))</f>
        <v>12</v>
      </c>
      <c r="AV46" s="14" cm="1">
        <f t="array" ref="AV46">IFERROR(_xlfn.IFS(VALUE(MID(AV$5,6,1))&gt;$D$2,0,$AP46="Annual",1,AU46=12,12,$AP46="Monthly V",AU46*(1+$BD$2),$AP46="Monthly F",12,$AP46="One-Time",0),AU46*(1+$BD$2))</f>
        <v>12</v>
      </c>
      <c r="AW46" s="14" cm="1">
        <f t="array" ref="AW46">IFERROR(_xlfn.IFS(VALUE(MID(AW$5,6,1))&gt;$D$2,0,$AP46="Annual",1,AV46=12,12,$AP46="Monthly V",AV46*(1+$BD$2),$AP46="Monthly F",12,$AP46="One-Time",0),AV46*(1+$BD$2))</f>
        <v>12</v>
      </c>
      <c r="AX46" s="14" cm="1">
        <f t="array" ref="AX46">IFERROR(_xlfn.IFS(VALUE(MID(AX$5,6,1))&gt;$D$2,0,$AP46="Annual",1,AW46=12,12,$AP46="Monthly V",AW46*(1+$BD$2),$AP46="Monthly F",12,$AP46="One-Time",0),AW46*(1+$BD$2))</f>
        <v>12</v>
      </c>
      <c r="AY46" s="14" cm="1">
        <f t="array" ref="AY46">IFERROR(_xlfn.IFS(VALUE(MID(AY$5,6,1))&gt;$D$2,0,$AP46="Annual",1,AX46=12,12,$AP46="Monthly V",AX46*(1+$D$3),$AP46="Monthly F",12,$AP46="One-Time",0),AX46*(1+$D$3))</f>
        <v>0</v>
      </c>
      <c r="AZ46" s="14" cm="1">
        <f t="array" ref="AZ46">IFERROR(_xlfn.IFS(VALUE(MID(AZ$5,6,1))&gt;$D$2,0,$AP46="Annual",1,AY46=12,12,$AP46="Monthly V",AY46*(1+$D$3),$AP46="Monthly F",12,$AP46="One-Time",0),AY46*(1+$D$3))</f>
        <v>0</v>
      </c>
      <c r="BA46" s="125" cm="1">
        <f t="array" ref="BA46">IFERROR(_xlfn.IFS(VALUE(MID(BA$5,6,2))&gt;$D$2,0,$AP46="Annual",1,AZ46=12,12,$AP46="Monthly V",AZ46*(1+$D$3),$AP46="Monthly F",12,$AP46="One-Time",0),AZ46*(1+$D$3))</f>
        <v>0</v>
      </c>
      <c r="BB46" s="148" t="s">
        <v>190</v>
      </c>
      <c r="BC46" s="38" t="s">
        <v>227</v>
      </c>
      <c r="BD46" s="36">
        <v>150</v>
      </c>
      <c r="BE46" s="21">
        <f t="shared" si="164"/>
        <v>150</v>
      </c>
      <c r="BF46" s="39">
        <f t="shared" si="44"/>
        <v>1800</v>
      </c>
      <c r="BG46" s="39">
        <f t="shared" si="17"/>
        <v>1800</v>
      </c>
      <c r="BH46" s="39">
        <f t="shared" si="18"/>
        <v>1800</v>
      </c>
      <c r="BI46" s="39">
        <f t="shared" si="19"/>
        <v>1854</v>
      </c>
      <c r="BJ46" s="39">
        <f t="shared" ref="BJ46:BL46" si="240">BI46*1.03</f>
        <v>1909.6200000000001</v>
      </c>
      <c r="BK46" s="39">
        <f t="shared" si="240"/>
        <v>1966.9086000000002</v>
      </c>
      <c r="BL46" s="39">
        <f t="shared" si="240"/>
        <v>2025.9158580000003</v>
      </c>
      <c r="BM46" s="39">
        <f t="shared" si="166"/>
        <v>0</v>
      </c>
      <c r="BN46" s="39">
        <f t="shared" si="166"/>
        <v>0</v>
      </c>
      <c r="BO46" s="39">
        <f t="shared" si="166"/>
        <v>0</v>
      </c>
      <c r="BP46" s="40"/>
      <c r="BQ46" s="40">
        <f t="shared" si="167"/>
        <v>54.00000000000005</v>
      </c>
      <c r="BR46" s="40">
        <f t="shared" si="168"/>
        <v>109.61999999999992</v>
      </c>
      <c r="BS46" s="40">
        <f t="shared" si="169"/>
        <v>171.91585800000001</v>
      </c>
      <c r="BT46" s="40">
        <f t="shared" si="170"/>
        <v>239.67413375219985</v>
      </c>
      <c r="BU46" s="40">
        <f t="shared" si="171"/>
        <v>313.27754649770873</v>
      </c>
      <c r="BV46" s="40">
        <f t="shared" si="172"/>
        <v>393.13362481941931</v>
      </c>
      <c r="BW46" s="40">
        <f t="shared" si="173"/>
        <v>0</v>
      </c>
      <c r="BX46" s="40">
        <f t="shared" si="174"/>
        <v>0</v>
      </c>
      <c r="BY46" s="40">
        <f t="shared" si="175"/>
        <v>0</v>
      </c>
      <c r="BZ46" s="40">
        <f t="shared" si="176"/>
        <v>1281.6211630693278</v>
      </c>
      <c r="CA46" s="37">
        <f t="shared" si="177"/>
        <v>14438.065621069331</v>
      </c>
      <c r="CC46" s="102"/>
      <c r="CD46" s="12"/>
      <c r="CE46" s="14">
        <f t="shared" si="178"/>
        <v>0</v>
      </c>
      <c r="CF46" s="14" cm="1">
        <f t="array" ref="CF46">IFERROR(_xlfn.IFS(VALUE(MID(CF$5,6,1))&gt;$D$2,0,$CC46="Annual",1,CE46=12,12,$CC46="Monthly V",CE46*(1+$D$3),$CC46="Monthly F",12,$CC46="One-Time",0),CE46*(1+$D$3))</f>
        <v>0</v>
      </c>
      <c r="CG46" s="14" cm="1">
        <f t="array" ref="CG46">IFERROR(_xlfn.IFS(VALUE(MID(CG$5,6,1))&gt;$D$2,0,$CC46="Annual",1,CF46=12,12,$CC46="Monthly V",CF46*(1+$D$3),$CC46="Monthly F",12,$CC46="One-Time",0),CF46*(1+$D$3))</f>
        <v>0</v>
      </c>
      <c r="CH46" s="14" cm="1">
        <f t="array" ref="CH46">IFERROR(_xlfn.IFS(VALUE(MID(CH$5,6,1))&gt;$D$2,0,$CC46="Annual",1,CG46=12,12,$CC46="Monthly V",CG46*(1+$D$3),$CC46="Monthly F",12,$CC46="One-Time",0),CG46*(1+$D$3))</f>
        <v>0</v>
      </c>
      <c r="CI46" s="14" cm="1">
        <f t="array" ref="CI46">IFERROR(_xlfn.IFS(VALUE(MID(CI$5,6,1))&gt;$D$2,0,$CC46="Annual",1,CH46=12,12,$CC46="Monthly V",CH46*(1+$D$3),$CC46="Monthly F",12,$CC46="One-Time",0),CH46*(1+$D$3))</f>
        <v>0</v>
      </c>
      <c r="CJ46" s="14" cm="1">
        <f t="array" ref="CJ46">IFERROR(_xlfn.IFS(VALUE(MID(CJ$5,6,1))&gt;$D$2,0,$CC46="Annual",1,CI46=12,12,$CC46="Monthly V",CI46*(1+$D$3),$CC46="Monthly F",12,$CC46="One-Time",0),CI46*(1+$D$3))</f>
        <v>0</v>
      </c>
      <c r="CK46" s="14" cm="1">
        <f t="array" ref="CK46">IFERROR(_xlfn.IFS(VALUE(MID(CK$5,6,1))&gt;$D$2,0,$CC46="Annual",1,CJ46=12,12,$CC46="Monthly V",CJ46*(1+$D$3),$CC46="Monthly F",12,$CC46="One-Time",0),CJ46*(1+$D$3))</f>
        <v>0</v>
      </c>
      <c r="CL46" s="14" cm="1">
        <f t="array" ref="CL46">IFERROR(_xlfn.IFS(VALUE(MID(CL$5,6,1))&gt;$D$2,0,$CC46="Annual",1,CK46=12,12,$CC46="Monthly V",CK46*(1+$D$3),$CC46="Monthly F",12,$CC46="One-Time",0),CK46*(1+$D$3))</f>
        <v>0</v>
      </c>
      <c r="CM46" s="14" cm="1">
        <f t="array" ref="CM46">IFERROR(_xlfn.IFS(VALUE(MID(CM$5,6,1))&gt;$D$2,0,$CC46="Annual",1,CL46=12,12,$CC46="Monthly V",CL46*(1+$D$3),$CC46="Monthly F",12,$CC46="One-Time",0),CL46*(1+$D$3))</f>
        <v>0</v>
      </c>
      <c r="CN46" s="24" cm="1">
        <f t="array" ref="CN46">IFERROR(_xlfn.IFS(VALUE(MID(CN$5,6,2))&gt;$D$2,0,$CC46="Annual",1,CM46=12,12,$CC46="Monthly V",CM46*(1+$D$3),$CC46="Monthly F",12,$CC46="One-Time",0),CM46*(1+$D$3))</f>
        <v>0</v>
      </c>
      <c r="CO46" s="63"/>
      <c r="CP46" s="53"/>
      <c r="CQ46" s="21">
        <f t="shared" si="179"/>
        <v>0</v>
      </c>
      <c r="CR46" s="55">
        <f t="shared" si="180"/>
        <v>0</v>
      </c>
      <c r="CS46" s="55">
        <f t="shared" si="180"/>
        <v>0</v>
      </c>
      <c r="CT46" s="55">
        <f t="shared" si="180"/>
        <v>0</v>
      </c>
      <c r="CU46" s="55">
        <f t="shared" si="180"/>
        <v>0</v>
      </c>
      <c r="CV46" s="55">
        <f t="shared" si="180"/>
        <v>0</v>
      </c>
      <c r="CW46" s="55">
        <f t="shared" si="180"/>
        <v>0</v>
      </c>
      <c r="CX46" s="55">
        <f t="shared" si="180"/>
        <v>0</v>
      </c>
      <c r="CY46" s="55">
        <f t="shared" si="180"/>
        <v>0</v>
      </c>
      <c r="CZ46" s="55">
        <f t="shared" si="180"/>
        <v>0</v>
      </c>
      <c r="DA46" s="55">
        <f t="shared" si="180"/>
        <v>0</v>
      </c>
      <c r="DB46" s="56"/>
      <c r="DC46" s="56">
        <f t="shared" si="181"/>
        <v>0</v>
      </c>
      <c r="DD46" s="56">
        <f t="shared" si="182"/>
        <v>0</v>
      </c>
      <c r="DE46" s="56">
        <f t="shared" si="183"/>
        <v>0</v>
      </c>
      <c r="DF46" s="56">
        <f t="shared" si="184"/>
        <v>0</v>
      </c>
      <c r="DG46" s="56">
        <f t="shared" si="185"/>
        <v>0</v>
      </c>
      <c r="DH46" s="56">
        <f t="shared" si="186"/>
        <v>0</v>
      </c>
      <c r="DI46" s="56">
        <f t="shared" si="187"/>
        <v>0</v>
      </c>
      <c r="DJ46" s="56">
        <f t="shared" si="188"/>
        <v>0</v>
      </c>
      <c r="DK46" s="56">
        <f t="shared" si="189"/>
        <v>0</v>
      </c>
      <c r="DL46" s="57">
        <f t="shared" si="190"/>
        <v>0</v>
      </c>
      <c r="DM46" s="54">
        <f t="shared" si="191"/>
        <v>0</v>
      </c>
      <c r="DO46" s="106"/>
    </row>
    <row r="47" spans="2:119" x14ac:dyDescent="0.25">
      <c r="B47" s="141" t="s">
        <v>1</v>
      </c>
      <c r="C47" s="24">
        <v>45</v>
      </c>
      <c r="D47" s="147">
        <f t="shared" si="236"/>
        <v>45</v>
      </c>
      <c r="E47" s="142">
        <f t="shared" si="237"/>
        <v>540</v>
      </c>
      <c r="F47" s="14" cm="1">
        <f t="array" ref="F47">IFERROR(_xlfn.IFS(VALUE(MID(F$5,6,1))&gt;$D$2,0,$B47="Annual",1,E47=12,12,$B47="Monthly V",E47*(1+$D$3),$B47="Monthly F",12,$B47="One-Time",0),E47*(1+$D$3))</f>
        <v>648</v>
      </c>
      <c r="G47" s="14" cm="1">
        <f t="array" ref="G47">IFERROR(_xlfn.IFS(VALUE(MID(G$5,6,1))&gt;$D$2,0,$B47="Annual",1,F47=12,12,$B47="Monthly V",F47*(1+$D$3),$B47="Monthly F",12,$B47="One-Time",0),F47*(1+$D$3))</f>
        <v>777.6</v>
      </c>
      <c r="H47" s="14" cm="1">
        <f t="array" ref="H47">IFERROR(_xlfn.IFS(VALUE(MID(H$5,6,1))&gt;$D$2,0,$B47="Annual",1,G47=12,12,$B47="Monthly V",G47*(1+$D$3),$B47="Monthly F",12,$B47="One-Time",0),G47*(1+$D$3))</f>
        <v>933.12</v>
      </c>
      <c r="I47" s="14" cm="1">
        <f t="array" ref="I47">IFERROR(_xlfn.IFS(VALUE(MID(I$5,6,1))&gt;$D$2,0,$B47="Annual",1,H47=12,12,$B47="Monthly V",H47*(1+$D$3),$B47="Monthly F",12,$B47="One-Time",0),H47*(1+$D$3))</f>
        <v>1119.7439999999999</v>
      </c>
      <c r="J47" s="14" cm="1">
        <f t="array" ref="J47">IFERROR(_xlfn.IFS(VALUE(MID(J$5,6,1))&gt;$D$2,0,$B47="Annual",1,I47=12,12,$B47="Monthly V",I47*(1+$D$3),$B47="Monthly F",12,$B47="One-Time",0),I47*(1+$D$3))</f>
        <v>1343.6927999999998</v>
      </c>
      <c r="K47" s="14" cm="1">
        <f t="array" ref="K47">IFERROR(_xlfn.IFS(VALUE(MID(K$5,6,1))&gt;$D$2,0,$B47="Annual",1,J47=12,12,$B47="Monthly V",J47*(1+$D$3),$B47="Monthly F",12,$B47="One-Time",0),J47*(1+$D$3))</f>
        <v>1612.4313599999998</v>
      </c>
      <c r="L47" s="14" cm="1">
        <f t="array" ref="L47">IFERROR(_xlfn.IFS(VALUE(MID(L$5,6,1))&gt;$D$2,0,$B47="Annual",1,K47=12,12,$B47="Monthly V",K47*(1+$D$3),$B47="Monthly F",12,$B47="One-Time",0),K47*(1+$D$3))</f>
        <v>0</v>
      </c>
      <c r="M47" s="14" cm="1">
        <f t="array" ref="M47">IFERROR(_xlfn.IFS(VALUE(MID(M$5,6,1))&gt;$D$2,0,$B47="Annual",1,L47=12,12,$B47="Monthly V",L47*(1+$D$3),$B47="Monthly F",12,$B47="One-Time",0),L47*(1+$D$3))</f>
        <v>0</v>
      </c>
      <c r="N47" s="24" cm="1">
        <f t="array" ref="N47">IFERROR(_xlfn.IFS(VALUE(MID(N$5,6,2))&gt;$D$2,0,$B47="Annual",1,M47=12,12,$B47="Monthly V",M47*(1+$D$3),$B47="Monthly F",12,$B47="One-Time",0),M47*(1+$D$3))</f>
        <v>0</v>
      </c>
      <c r="O47" s="127" t="s">
        <v>107</v>
      </c>
      <c r="P47" s="13" t="s">
        <v>91</v>
      </c>
      <c r="Q47" s="20">
        <v>1.5</v>
      </c>
      <c r="R47" s="21">
        <f t="shared" si="124"/>
        <v>67.5</v>
      </c>
      <c r="S47" s="6">
        <f t="shared" si="234"/>
        <v>810</v>
      </c>
      <c r="T47" s="6">
        <f t="shared" si="234"/>
        <v>972</v>
      </c>
      <c r="U47" s="6">
        <f t="shared" si="234"/>
        <v>1166.4000000000001</v>
      </c>
      <c r="V47" s="6">
        <f t="shared" si="234"/>
        <v>1399.68</v>
      </c>
      <c r="W47" s="6">
        <f t="shared" si="234"/>
        <v>1679.616</v>
      </c>
      <c r="X47" s="6">
        <f t="shared" si="234"/>
        <v>2015.5391999999997</v>
      </c>
      <c r="Y47" s="6">
        <f t="shared" si="234"/>
        <v>2418.6470399999998</v>
      </c>
      <c r="Z47" s="6">
        <f t="shared" si="125"/>
        <v>0</v>
      </c>
      <c r="AA47" s="6">
        <f t="shared" si="125"/>
        <v>0</v>
      </c>
      <c r="AB47" s="6">
        <f t="shared" si="125"/>
        <v>0</v>
      </c>
      <c r="AC47" s="7"/>
      <c r="AD47" s="152">
        <f t="shared" si="126"/>
        <v>29.160000000000025</v>
      </c>
      <c r="AE47" s="152">
        <f t="shared" si="127"/>
        <v>71.033759999999958</v>
      </c>
      <c r="AF47" s="152">
        <f t="shared" si="128"/>
        <v>129.78812736</v>
      </c>
      <c r="AG47" s="152">
        <f t="shared" si="129"/>
        <v>210.80660541695985</v>
      </c>
      <c r="AH47" s="152">
        <f t="shared" si="130"/>
        <v>321.02314029536223</v>
      </c>
      <c r="AI47" s="152">
        <f t="shared" si="131"/>
        <v>469.34401260506786</v>
      </c>
      <c r="AJ47" s="152">
        <f t="shared" si="132"/>
        <v>0</v>
      </c>
      <c r="AK47" s="152">
        <f t="shared" si="133"/>
        <v>0</v>
      </c>
      <c r="AL47" s="152">
        <f t="shared" si="134"/>
        <v>0</v>
      </c>
      <c r="AM47" s="9">
        <f t="shared" si="135"/>
        <v>1231.1556456773901</v>
      </c>
      <c r="AN47" s="80">
        <f t="shared" si="136"/>
        <v>11693.03788567739</v>
      </c>
      <c r="AP47" s="102" t="s">
        <v>0</v>
      </c>
      <c r="AQ47" s="12">
        <v>1</v>
      </c>
      <c r="AR47" s="14">
        <f t="shared" si="15"/>
        <v>12</v>
      </c>
      <c r="AS47" s="14" cm="1">
        <f t="array" ref="AS47">IFERROR(_xlfn.IFS(VALUE(MID(AS$5,6,1))&gt;$D$2,0,$AP47="Annual",1,AR47=12,12,$AP47="Monthly V",AR47*(1+$BD$2),$AP47="Monthly F",12,$AP47="One-Time",0),AR47*(1+$BD$2))</f>
        <v>12</v>
      </c>
      <c r="AT47" s="14" cm="1">
        <f t="array" ref="AT47">IFERROR(_xlfn.IFS(VALUE(MID(AT$5,6,1))&gt;$D$2,0,$AP47="Annual",1,AS47=12,12,$AP47="Monthly V",AS47*(1+$BD$2),$AP47="Monthly F",12,$AP47="One-Time",0),AS47*(1+$BD$2))</f>
        <v>12</v>
      </c>
      <c r="AU47" s="14" cm="1">
        <f t="array" ref="AU47">IFERROR(_xlfn.IFS(VALUE(MID(AU$5,6,1))&gt;$D$2,0,$AP47="Annual",1,AT47=12,12,$AP47="Monthly V",AT47*(1+$BD$2),$AP47="Monthly F",12,$AP47="One-Time",0),AT47*(1+$BD$2))</f>
        <v>12</v>
      </c>
      <c r="AV47" s="14" cm="1">
        <f t="array" ref="AV47">IFERROR(_xlfn.IFS(VALUE(MID(AV$5,6,1))&gt;$D$2,0,$AP47="Annual",1,AU47=12,12,$AP47="Monthly V",AU47*(1+$BD$2),$AP47="Monthly F",12,$AP47="One-Time",0),AU47*(1+$BD$2))</f>
        <v>12</v>
      </c>
      <c r="AW47" s="14" cm="1">
        <f t="array" ref="AW47">IFERROR(_xlfn.IFS(VALUE(MID(AW$5,6,1))&gt;$D$2,0,$AP47="Annual",1,AV47=12,12,$AP47="Monthly V",AV47*(1+$BD$2),$AP47="Monthly F",12,$AP47="One-Time",0),AV47*(1+$BD$2))</f>
        <v>12</v>
      </c>
      <c r="AX47" s="14" cm="1">
        <f t="array" ref="AX47">IFERROR(_xlfn.IFS(VALUE(MID(AX$5,6,1))&gt;$D$2,0,$AP47="Annual",1,AW47=12,12,$AP47="Monthly V",AW47*(1+$BD$2),$AP47="Monthly F",12,$AP47="One-Time",0),AW47*(1+$BD$2))</f>
        <v>12</v>
      </c>
      <c r="AY47" s="14" cm="1">
        <f t="array" ref="AY47">IFERROR(_xlfn.IFS(VALUE(MID(AY$5,6,1))&gt;$D$2,0,$AP47="Annual",1,AX47=12,12,$AP47="Monthly V",AX47*(1+$D$3),$AP47="Monthly F",12,$AP47="One-Time",0),AX47*(1+$D$3))</f>
        <v>0</v>
      </c>
      <c r="AZ47" s="14" cm="1">
        <f t="array" ref="AZ47">IFERROR(_xlfn.IFS(VALUE(MID(AZ$5,6,1))&gt;$D$2,0,$AP47="Annual",1,AY47=12,12,$AP47="Monthly V",AY47*(1+$D$3),$AP47="Monthly F",12,$AP47="One-Time",0),AY47*(1+$D$3))</f>
        <v>0</v>
      </c>
      <c r="BA47" s="125" cm="1">
        <f t="array" ref="BA47">IFERROR(_xlfn.IFS(VALUE(MID(BA$5,6,2))&gt;$D$2,0,$AP47="Annual",1,AZ47=12,12,$AP47="Monthly V",AZ47*(1+$D$3),$AP47="Monthly F",12,$AP47="One-Time",0),AZ47*(1+$D$3))</f>
        <v>0</v>
      </c>
      <c r="BB47" s="148" t="s">
        <v>191</v>
      </c>
      <c r="BC47" s="38" t="s">
        <v>227</v>
      </c>
      <c r="BD47" s="36">
        <v>250</v>
      </c>
      <c r="BE47" s="21">
        <f t="shared" si="164"/>
        <v>250</v>
      </c>
      <c r="BF47" s="39">
        <f t="shared" si="44"/>
        <v>3000</v>
      </c>
      <c r="BG47" s="39">
        <f t="shared" si="17"/>
        <v>3000</v>
      </c>
      <c r="BH47" s="39">
        <f t="shared" si="18"/>
        <v>3000</v>
      </c>
      <c r="BI47" s="39">
        <f t="shared" si="19"/>
        <v>3090</v>
      </c>
      <c r="BJ47" s="39">
        <f t="shared" ref="BJ47:BL47" si="241">BI47*1.03</f>
        <v>3182.7000000000003</v>
      </c>
      <c r="BK47" s="39">
        <f t="shared" si="241"/>
        <v>3278.1810000000005</v>
      </c>
      <c r="BL47" s="39">
        <f t="shared" si="241"/>
        <v>3376.5264300000008</v>
      </c>
      <c r="BM47" s="39">
        <f t="shared" si="166"/>
        <v>0</v>
      </c>
      <c r="BN47" s="39">
        <f t="shared" si="166"/>
        <v>0</v>
      </c>
      <c r="BO47" s="39">
        <f t="shared" si="166"/>
        <v>0</v>
      </c>
      <c r="BP47" s="40"/>
      <c r="BQ47" s="40">
        <f t="shared" si="167"/>
        <v>90.000000000000085</v>
      </c>
      <c r="BR47" s="40">
        <f t="shared" si="168"/>
        <v>182.69999999999987</v>
      </c>
      <c r="BS47" s="40">
        <f t="shared" si="169"/>
        <v>286.52643</v>
      </c>
      <c r="BT47" s="40">
        <f t="shared" si="170"/>
        <v>399.45688958699975</v>
      </c>
      <c r="BU47" s="40">
        <f t="shared" si="171"/>
        <v>522.12924416284784</v>
      </c>
      <c r="BV47" s="40">
        <f t="shared" si="172"/>
        <v>655.22270803236563</v>
      </c>
      <c r="BW47" s="40">
        <f t="shared" si="173"/>
        <v>0</v>
      </c>
      <c r="BX47" s="40">
        <f t="shared" si="174"/>
        <v>0</v>
      </c>
      <c r="BY47" s="40">
        <f t="shared" si="175"/>
        <v>0</v>
      </c>
      <c r="BZ47" s="40">
        <f t="shared" si="176"/>
        <v>2136.0352717822129</v>
      </c>
      <c r="CA47" s="37">
        <f t="shared" si="177"/>
        <v>24063.442701782216</v>
      </c>
      <c r="CC47" s="102"/>
      <c r="CD47" s="12"/>
      <c r="CE47" s="14">
        <f t="shared" si="178"/>
        <v>0</v>
      </c>
      <c r="CF47" s="14" cm="1">
        <f t="array" ref="CF47">IFERROR(_xlfn.IFS(VALUE(MID(CF$5,6,1))&gt;$D$2,0,$CC47="Annual",1,CE47=12,12,$CC47="Monthly V",CE47*(1+$D$3),$CC47="Monthly F",12,$CC47="One-Time",0),CE47*(1+$D$3))</f>
        <v>0</v>
      </c>
      <c r="CG47" s="14" cm="1">
        <f t="array" ref="CG47">IFERROR(_xlfn.IFS(VALUE(MID(CG$5,6,1))&gt;$D$2,0,$CC47="Annual",1,CF47=12,12,$CC47="Monthly V",CF47*(1+$D$3),$CC47="Monthly F",12,$CC47="One-Time",0),CF47*(1+$D$3))</f>
        <v>0</v>
      </c>
      <c r="CH47" s="14" cm="1">
        <f t="array" ref="CH47">IFERROR(_xlfn.IFS(VALUE(MID(CH$5,6,1))&gt;$D$2,0,$CC47="Annual",1,CG47=12,12,$CC47="Monthly V",CG47*(1+$D$3),$CC47="Monthly F",12,$CC47="One-Time",0),CG47*(1+$D$3))</f>
        <v>0</v>
      </c>
      <c r="CI47" s="14" cm="1">
        <f t="array" ref="CI47">IFERROR(_xlfn.IFS(VALUE(MID(CI$5,6,1))&gt;$D$2,0,$CC47="Annual",1,CH47=12,12,$CC47="Monthly V",CH47*(1+$D$3),$CC47="Monthly F",12,$CC47="One-Time",0),CH47*(1+$D$3))</f>
        <v>0</v>
      </c>
      <c r="CJ47" s="14" cm="1">
        <f t="array" ref="CJ47">IFERROR(_xlfn.IFS(VALUE(MID(CJ$5,6,1))&gt;$D$2,0,$CC47="Annual",1,CI47=12,12,$CC47="Monthly V",CI47*(1+$D$3),$CC47="Monthly F",12,$CC47="One-Time",0),CI47*(1+$D$3))</f>
        <v>0</v>
      </c>
      <c r="CK47" s="14" cm="1">
        <f t="array" ref="CK47">IFERROR(_xlfn.IFS(VALUE(MID(CK$5,6,1))&gt;$D$2,0,$CC47="Annual",1,CJ47=12,12,$CC47="Monthly V",CJ47*(1+$D$3),$CC47="Monthly F",12,$CC47="One-Time",0),CJ47*(1+$D$3))</f>
        <v>0</v>
      </c>
      <c r="CL47" s="14" cm="1">
        <f t="array" ref="CL47">IFERROR(_xlfn.IFS(VALUE(MID(CL$5,6,1))&gt;$D$2,0,$CC47="Annual",1,CK47=12,12,$CC47="Monthly V",CK47*(1+$D$3),$CC47="Monthly F",12,$CC47="One-Time",0),CK47*(1+$D$3))</f>
        <v>0</v>
      </c>
      <c r="CM47" s="14" cm="1">
        <f t="array" ref="CM47">IFERROR(_xlfn.IFS(VALUE(MID(CM$5,6,1))&gt;$D$2,0,$CC47="Annual",1,CL47=12,12,$CC47="Monthly V",CL47*(1+$D$3),$CC47="Monthly F",12,$CC47="One-Time",0),CL47*(1+$D$3))</f>
        <v>0</v>
      </c>
      <c r="CN47" s="24" cm="1">
        <f t="array" ref="CN47">IFERROR(_xlfn.IFS(VALUE(MID(CN$5,6,2))&gt;$D$2,0,$CC47="Annual",1,CM47=12,12,$CC47="Monthly V",CM47*(1+$D$3),$CC47="Monthly F",12,$CC47="One-Time",0),CM47*(1+$D$3))</f>
        <v>0</v>
      </c>
      <c r="CO47" s="63"/>
      <c r="CP47" s="53"/>
      <c r="CQ47" s="21">
        <f t="shared" si="179"/>
        <v>0</v>
      </c>
      <c r="CR47" s="55">
        <f t="shared" si="180"/>
        <v>0</v>
      </c>
      <c r="CS47" s="55">
        <f t="shared" si="180"/>
        <v>0</v>
      </c>
      <c r="CT47" s="55">
        <f t="shared" si="180"/>
        <v>0</v>
      </c>
      <c r="CU47" s="55">
        <f t="shared" si="180"/>
        <v>0</v>
      </c>
      <c r="CV47" s="55">
        <f t="shared" si="180"/>
        <v>0</v>
      </c>
      <c r="CW47" s="55">
        <f t="shared" si="180"/>
        <v>0</v>
      </c>
      <c r="CX47" s="55">
        <f t="shared" si="180"/>
        <v>0</v>
      </c>
      <c r="CY47" s="55">
        <f t="shared" si="180"/>
        <v>0</v>
      </c>
      <c r="CZ47" s="55">
        <f t="shared" si="180"/>
        <v>0</v>
      </c>
      <c r="DA47" s="55">
        <f t="shared" si="180"/>
        <v>0</v>
      </c>
      <c r="DB47" s="56"/>
      <c r="DC47" s="56">
        <f t="shared" si="181"/>
        <v>0</v>
      </c>
      <c r="DD47" s="56">
        <f t="shared" si="182"/>
        <v>0</v>
      </c>
      <c r="DE47" s="56">
        <f t="shared" si="183"/>
        <v>0</v>
      </c>
      <c r="DF47" s="56">
        <f t="shared" si="184"/>
        <v>0</v>
      </c>
      <c r="DG47" s="56">
        <f t="shared" si="185"/>
        <v>0</v>
      </c>
      <c r="DH47" s="56">
        <f t="shared" si="186"/>
        <v>0</v>
      </c>
      <c r="DI47" s="56">
        <f t="shared" si="187"/>
        <v>0</v>
      </c>
      <c r="DJ47" s="56">
        <f t="shared" si="188"/>
        <v>0</v>
      </c>
      <c r="DK47" s="56">
        <f t="shared" si="189"/>
        <v>0</v>
      </c>
      <c r="DL47" s="57">
        <f t="shared" si="190"/>
        <v>0</v>
      </c>
      <c r="DM47" s="54">
        <f t="shared" si="191"/>
        <v>0</v>
      </c>
      <c r="DO47" s="106"/>
    </row>
    <row r="48" spans="2:119" x14ac:dyDescent="0.25">
      <c r="B48" s="141" t="s">
        <v>0</v>
      </c>
      <c r="C48" s="24">
        <v>1</v>
      </c>
      <c r="D48" s="147">
        <f t="shared" si="236"/>
        <v>1</v>
      </c>
      <c r="E48" s="142">
        <f t="shared" si="237"/>
        <v>12</v>
      </c>
      <c r="F48" s="14" cm="1">
        <f t="array" ref="F48">IFERROR(_xlfn.IFS(VALUE(MID(F$5,6,1))&gt;$D$2,0,$B48="Annual",1,E48=12,12,$B48="Monthly V",E48*(1+$D$3),$B48="Monthly F",12,$B48="One-Time",0),E48*(1+$D$3))</f>
        <v>12</v>
      </c>
      <c r="G48" s="14" cm="1">
        <f t="array" ref="G48">IFERROR(_xlfn.IFS(VALUE(MID(G$5,6,1))&gt;$D$2,0,$B48="Annual",1,F48=12,12,$B48="Monthly V",F48*(1+$D$3),$B48="Monthly F",12,$B48="One-Time",0),F48*(1+$D$3))</f>
        <v>12</v>
      </c>
      <c r="H48" s="14" cm="1">
        <f t="array" ref="H48">IFERROR(_xlfn.IFS(VALUE(MID(H$5,6,1))&gt;$D$2,0,$B48="Annual",1,G48=12,12,$B48="Monthly V",G48*(1+$D$3),$B48="Monthly F",12,$B48="One-Time",0),G48*(1+$D$3))</f>
        <v>12</v>
      </c>
      <c r="I48" s="14" cm="1">
        <f t="array" ref="I48">IFERROR(_xlfn.IFS(VALUE(MID(I$5,6,1))&gt;$D$2,0,$B48="Annual",1,H48=12,12,$B48="Monthly V",H48*(1+$D$3),$B48="Monthly F",12,$B48="One-Time",0),H48*(1+$D$3))</f>
        <v>12</v>
      </c>
      <c r="J48" s="14" cm="1">
        <f t="array" ref="J48">IFERROR(_xlfn.IFS(VALUE(MID(J$5,6,1))&gt;$D$2,0,$B48="Annual",1,I48=12,12,$B48="Monthly V",I48*(1+$D$3),$B48="Monthly F",12,$B48="One-Time",0),I48*(1+$D$3))</f>
        <v>12</v>
      </c>
      <c r="K48" s="14" cm="1">
        <f t="array" ref="K48">IFERROR(_xlfn.IFS(VALUE(MID(K$5,6,1))&gt;$D$2,0,$B48="Annual",1,J48=12,12,$B48="Monthly V",J48*(1+$D$3),$B48="Monthly F",12,$B48="One-Time",0),J48*(1+$D$3))</f>
        <v>12</v>
      </c>
      <c r="L48" s="14" cm="1">
        <f t="array" ref="L48">IFERROR(_xlfn.IFS(VALUE(MID(L$5,6,1))&gt;$D$2,0,$B48="Annual",1,K48=12,12,$B48="Monthly V",K48*(1+$D$3),$B48="Monthly F",12,$B48="One-Time",0),K48*(1+$D$3))</f>
        <v>0</v>
      </c>
      <c r="M48" s="14" cm="1">
        <f t="array" ref="M48">IFERROR(_xlfn.IFS(VALUE(MID(M$5,6,1))&gt;$D$2,0,$B48="Annual",1,L48=12,12,$B48="Monthly V",L48*(1+$D$3),$B48="Monthly F",12,$B48="One-Time",0),L48*(1+$D$3))</f>
        <v>0</v>
      </c>
      <c r="N48" s="24" cm="1">
        <f t="array" ref="N48">IFERROR(_xlfn.IFS(VALUE(MID(N$5,6,2))&gt;$D$2,0,$B48="Annual",1,M48=12,12,$B48="Monthly V",M48*(1+$D$3),$B48="Monthly F",12,$B48="One-Time",0),M48*(1+$D$3))</f>
        <v>0</v>
      </c>
      <c r="O48" s="127" t="s">
        <v>82</v>
      </c>
      <c r="P48" s="13" t="s">
        <v>91</v>
      </c>
      <c r="Q48" s="20">
        <v>100</v>
      </c>
      <c r="R48" s="21">
        <f t="shared" si="124"/>
        <v>100</v>
      </c>
      <c r="S48" s="6">
        <f t="shared" si="234"/>
        <v>1200</v>
      </c>
      <c r="T48" s="6">
        <f t="shared" si="234"/>
        <v>1200</v>
      </c>
      <c r="U48" s="6">
        <f t="shared" si="234"/>
        <v>1200</v>
      </c>
      <c r="V48" s="6">
        <f t="shared" si="234"/>
        <v>1200</v>
      </c>
      <c r="W48" s="6">
        <f t="shared" si="234"/>
        <v>1200</v>
      </c>
      <c r="X48" s="6">
        <f t="shared" si="234"/>
        <v>1200</v>
      </c>
      <c r="Y48" s="6">
        <f t="shared" si="234"/>
        <v>1200</v>
      </c>
      <c r="Z48" s="6">
        <f t="shared" si="125"/>
        <v>0</v>
      </c>
      <c r="AA48" s="6">
        <f t="shared" si="125"/>
        <v>0</v>
      </c>
      <c r="AB48" s="6">
        <f t="shared" si="125"/>
        <v>0</v>
      </c>
      <c r="AC48" s="7"/>
      <c r="AD48" s="152">
        <f t="shared" si="126"/>
        <v>36.000000000000028</v>
      </c>
      <c r="AE48" s="152">
        <f t="shared" si="127"/>
        <v>73.079999999999941</v>
      </c>
      <c r="AF48" s="152">
        <f t="shared" si="128"/>
        <v>111.2724</v>
      </c>
      <c r="AG48" s="152">
        <f t="shared" si="129"/>
        <v>150.61057199999991</v>
      </c>
      <c r="AH48" s="152">
        <f t="shared" si="130"/>
        <v>191.1288891599998</v>
      </c>
      <c r="AI48" s="152">
        <f t="shared" si="131"/>
        <v>232.86275583479988</v>
      </c>
      <c r="AJ48" s="152">
        <f t="shared" si="132"/>
        <v>0</v>
      </c>
      <c r="AK48" s="152">
        <f t="shared" si="133"/>
        <v>0</v>
      </c>
      <c r="AL48" s="152">
        <f t="shared" si="134"/>
        <v>0</v>
      </c>
      <c r="AM48" s="9">
        <f t="shared" si="135"/>
        <v>794.95461699479961</v>
      </c>
      <c r="AN48" s="80">
        <f t="shared" si="136"/>
        <v>9194.9546169948007</v>
      </c>
      <c r="AP48" s="102" t="s">
        <v>0</v>
      </c>
      <c r="AQ48" s="12">
        <v>1</v>
      </c>
      <c r="AR48" s="14">
        <f t="shared" si="15"/>
        <v>12</v>
      </c>
      <c r="AS48" s="14" cm="1">
        <f t="array" ref="AS48">IFERROR(_xlfn.IFS(VALUE(MID(AS$5,6,1))&gt;$D$2,0,$AP48="Annual",1,AR48=12,12,$AP48="Monthly V",AR48*(1+$BD$2),$AP48="Monthly F",12,$AP48="One-Time",0),AR48*(1+$BD$2))</f>
        <v>12</v>
      </c>
      <c r="AT48" s="14" cm="1">
        <f t="array" ref="AT48">IFERROR(_xlfn.IFS(VALUE(MID(AT$5,6,1))&gt;$D$2,0,$AP48="Annual",1,AS48=12,12,$AP48="Monthly V",AS48*(1+$BD$2),$AP48="Monthly F",12,$AP48="One-Time",0),AS48*(1+$BD$2))</f>
        <v>12</v>
      </c>
      <c r="AU48" s="14" cm="1">
        <f t="array" ref="AU48">IFERROR(_xlfn.IFS(VALUE(MID(AU$5,6,1))&gt;$D$2,0,$AP48="Annual",1,AT48=12,12,$AP48="Monthly V",AT48*(1+$BD$2),$AP48="Monthly F",12,$AP48="One-Time",0),AT48*(1+$BD$2))</f>
        <v>12</v>
      </c>
      <c r="AV48" s="14" cm="1">
        <f t="array" ref="AV48">IFERROR(_xlfn.IFS(VALUE(MID(AV$5,6,1))&gt;$D$2,0,$AP48="Annual",1,AU48=12,12,$AP48="Monthly V",AU48*(1+$BD$2),$AP48="Monthly F",12,$AP48="One-Time",0),AU48*(1+$BD$2))</f>
        <v>12</v>
      </c>
      <c r="AW48" s="14" cm="1">
        <f t="array" ref="AW48">IFERROR(_xlfn.IFS(VALUE(MID(AW$5,6,1))&gt;$D$2,0,$AP48="Annual",1,AV48=12,12,$AP48="Monthly V",AV48*(1+$BD$2),$AP48="Monthly F",12,$AP48="One-Time",0),AV48*(1+$BD$2))</f>
        <v>12</v>
      </c>
      <c r="AX48" s="14" cm="1">
        <f t="array" ref="AX48">IFERROR(_xlfn.IFS(VALUE(MID(AX$5,6,1))&gt;$D$2,0,$AP48="Annual",1,AW48=12,12,$AP48="Monthly V",AW48*(1+$BD$2),$AP48="Monthly F",12,$AP48="One-Time",0),AW48*(1+$BD$2))</f>
        <v>12</v>
      </c>
      <c r="AY48" s="14" cm="1">
        <f t="array" ref="AY48">IFERROR(_xlfn.IFS(VALUE(MID(AY$5,6,1))&gt;$D$2,0,$AP48="Annual",1,AX48=12,12,$AP48="Monthly V",AX48*(1+$D$3),$AP48="Monthly F",12,$AP48="One-Time",0),AX48*(1+$D$3))</f>
        <v>0</v>
      </c>
      <c r="AZ48" s="14" cm="1">
        <f t="array" ref="AZ48">IFERROR(_xlfn.IFS(VALUE(MID(AZ$5,6,1))&gt;$D$2,0,$AP48="Annual",1,AY48=12,12,$AP48="Monthly V",AY48*(1+$D$3),$AP48="Monthly F",12,$AP48="One-Time",0),AY48*(1+$D$3))</f>
        <v>0</v>
      </c>
      <c r="BA48" s="125" cm="1">
        <f t="array" ref="BA48">IFERROR(_xlfn.IFS(VALUE(MID(BA$5,6,2))&gt;$D$2,0,$AP48="Annual",1,AZ48=12,12,$AP48="Monthly V",AZ48*(1+$D$3),$AP48="Monthly F",12,$AP48="One-Time",0),AZ48*(1+$D$3))</f>
        <v>0</v>
      </c>
      <c r="BB48" s="148" t="s">
        <v>192</v>
      </c>
      <c r="BC48" s="38" t="s">
        <v>227</v>
      </c>
      <c r="BD48" s="36">
        <v>75</v>
      </c>
      <c r="BE48" s="21">
        <f t="shared" si="164"/>
        <v>75</v>
      </c>
      <c r="BF48" s="39">
        <f t="shared" si="44"/>
        <v>900</v>
      </c>
      <c r="BG48" s="39">
        <f t="shared" si="17"/>
        <v>900</v>
      </c>
      <c r="BH48" s="39">
        <f t="shared" si="18"/>
        <v>900</v>
      </c>
      <c r="BI48" s="39">
        <f t="shared" si="19"/>
        <v>927</v>
      </c>
      <c r="BJ48" s="39">
        <f t="shared" ref="BJ48:BL48" si="242">BI48*1.03</f>
        <v>954.81000000000006</v>
      </c>
      <c r="BK48" s="39">
        <f t="shared" si="242"/>
        <v>983.4543000000001</v>
      </c>
      <c r="BL48" s="39">
        <f t="shared" si="242"/>
        <v>1012.9579290000001</v>
      </c>
      <c r="BM48" s="39">
        <f t="shared" si="166"/>
        <v>0</v>
      </c>
      <c r="BN48" s="39">
        <f t="shared" si="166"/>
        <v>0</v>
      </c>
      <c r="BO48" s="39">
        <f t="shared" si="166"/>
        <v>0</v>
      </c>
      <c r="BP48" s="40"/>
      <c r="BQ48" s="40">
        <f t="shared" si="167"/>
        <v>27.000000000000025</v>
      </c>
      <c r="BR48" s="40">
        <f t="shared" si="168"/>
        <v>54.80999999999996</v>
      </c>
      <c r="BS48" s="40">
        <f t="shared" si="169"/>
        <v>85.957929000000007</v>
      </c>
      <c r="BT48" s="40">
        <f t="shared" si="170"/>
        <v>119.83706687609993</v>
      </c>
      <c r="BU48" s="40">
        <f t="shared" si="171"/>
        <v>156.63877324885436</v>
      </c>
      <c r="BV48" s="40">
        <f t="shared" si="172"/>
        <v>196.56681240970966</v>
      </c>
      <c r="BW48" s="40">
        <f t="shared" si="173"/>
        <v>0</v>
      </c>
      <c r="BX48" s="40">
        <f t="shared" si="174"/>
        <v>0</v>
      </c>
      <c r="BY48" s="40">
        <f t="shared" si="175"/>
        <v>0</v>
      </c>
      <c r="BZ48" s="40">
        <f t="shared" si="176"/>
        <v>640.81058153466392</v>
      </c>
      <c r="CA48" s="37">
        <f t="shared" si="177"/>
        <v>7219.0328105346653</v>
      </c>
      <c r="CC48" s="102"/>
      <c r="CD48" s="12"/>
      <c r="CE48" s="14">
        <f t="shared" si="178"/>
        <v>0</v>
      </c>
      <c r="CF48" s="14" cm="1">
        <f t="array" ref="CF48">IFERROR(_xlfn.IFS(VALUE(MID(CF$5,6,1))&gt;$D$2,0,$CC48="Annual",1,CE48=12,12,$CC48="Monthly V",CE48*(1+$D$3),$CC48="Monthly F",12,$CC48="One-Time",0),CE48*(1+$D$3))</f>
        <v>0</v>
      </c>
      <c r="CG48" s="14" cm="1">
        <f t="array" ref="CG48">IFERROR(_xlfn.IFS(VALUE(MID(CG$5,6,1))&gt;$D$2,0,$CC48="Annual",1,CF48=12,12,$CC48="Monthly V",CF48*(1+$D$3),$CC48="Monthly F",12,$CC48="One-Time",0),CF48*(1+$D$3))</f>
        <v>0</v>
      </c>
      <c r="CH48" s="14" cm="1">
        <f t="array" ref="CH48">IFERROR(_xlfn.IFS(VALUE(MID(CH$5,6,1))&gt;$D$2,0,$CC48="Annual",1,CG48=12,12,$CC48="Monthly V",CG48*(1+$D$3),$CC48="Monthly F",12,$CC48="One-Time",0),CG48*(1+$D$3))</f>
        <v>0</v>
      </c>
      <c r="CI48" s="14" cm="1">
        <f t="array" ref="CI48">IFERROR(_xlfn.IFS(VALUE(MID(CI$5,6,1))&gt;$D$2,0,$CC48="Annual",1,CH48=12,12,$CC48="Monthly V",CH48*(1+$D$3),$CC48="Monthly F",12,$CC48="One-Time",0),CH48*(1+$D$3))</f>
        <v>0</v>
      </c>
      <c r="CJ48" s="14" cm="1">
        <f t="array" ref="CJ48">IFERROR(_xlfn.IFS(VALUE(MID(CJ$5,6,1))&gt;$D$2,0,$CC48="Annual",1,CI48=12,12,$CC48="Monthly V",CI48*(1+$D$3),$CC48="Monthly F",12,$CC48="One-Time",0),CI48*(1+$D$3))</f>
        <v>0</v>
      </c>
      <c r="CK48" s="14" cm="1">
        <f t="array" ref="CK48">IFERROR(_xlfn.IFS(VALUE(MID(CK$5,6,1))&gt;$D$2,0,$CC48="Annual",1,CJ48=12,12,$CC48="Monthly V",CJ48*(1+$D$3),$CC48="Monthly F",12,$CC48="One-Time",0),CJ48*(1+$D$3))</f>
        <v>0</v>
      </c>
      <c r="CL48" s="14" cm="1">
        <f t="array" ref="CL48">IFERROR(_xlfn.IFS(VALUE(MID(CL$5,6,1))&gt;$D$2,0,$CC48="Annual",1,CK48=12,12,$CC48="Monthly V",CK48*(1+$D$3),$CC48="Monthly F",12,$CC48="One-Time",0),CK48*(1+$D$3))</f>
        <v>0</v>
      </c>
      <c r="CM48" s="14" cm="1">
        <f t="array" ref="CM48">IFERROR(_xlfn.IFS(VALUE(MID(CM$5,6,1))&gt;$D$2,0,$CC48="Annual",1,CL48=12,12,$CC48="Monthly V",CL48*(1+$D$3),$CC48="Monthly F",12,$CC48="One-Time",0),CL48*(1+$D$3))</f>
        <v>0</v>
      </c>
      <c r="CN48" s="24" cm="1">
        <f t="array" ref="CN48">IFERROR(_xlfn.IFS(VALUE(MID(CN$5,6,2))&gt;$D$2,0,$CC48="Annual",1,CM48=12,12,$CC48="Monthly V",CM48*(1+$D$3),$CC48="Monthly F",12,$CC48="One-Time",0),CM48*(1+$D$3))</f>
        <v>0</v>
      </c>
      <c r="CO48" s="63"/>
      <c r="CP48" s="53"/>
      <c r="CQ48" s="21">
        <f t="shared" si="179"/>
        <v>0</v>
      </c>
      <c r="CR48" s="55">
        <f t="shared" si="180"/>
        <v>0</v>
      </c>
      <c r="CS48" s="55">
        <f t="shared" si="180"/>
        <v>0</v>
      </c>
      <c r="CT48" s="55">
        <f t="shared" si="180"/>
        <v>0</v>
      </c>
      <c r="CU48" s="55">
        <f t="shared" si="180"/>
        <v>0</v>
      </c>
      <c r="CV48" s="55">
        <f t="shared" si="180"/>
        <v>0</v>
      </c>
      <c r="CW48" s="55">
        <f t="shared" si="180"/>
        <v>0</v>
      </c>
      <c r="CX48" s="55">
        <f t="shared" si="180"/>
        <v>0</v>
      </c>
      <c r="CY48" s="55">
        <f t="shared" si="180"/>
        <v>0</v>
      </c>
      <c r="CZ48" s="55">
        <f t="shared" si="180"/>
        <v>0</v>
      </c>
      <c r="DA48" s="55">
        <f t="shared" si="180"/>
        <v>0</v>
      </c>
      <c r="DB48" s="56"/>
      <c r="DC48" s="56">
        <f t="shared" si="181"/>
        <v>0</v>
      </c>
      <c r="DD48" s="56">
        <f t="shared" si="182"/>
        <v>0</v>
      </c>
      <c r="DE48" s="56">
        <f t="shared" si="183"/>
        <v>0</v>
      </c>
      <c r="DF48" s="56">
        <f t="shared" si="184"/>
        <v>0</v>
      </c>
      <c r="DG48" s="56">
        <f t="shared" si="185"/>
        <v>0</v>
      </c>
      <c r="DH48" s="56">
        <f t="shared" si="186"/>
        <v>0</v>
      </c>
      <c r="DI48" s="56">
        <f t="shared" si="187"/>
        <v>0</v>
      </c>
      <c r="DJ48" s="56">
        <f t="shared" si="188"/>
        <v>0</v>
      </c>
      <c r="DK48" s="56">
        <f t="shared" si="189"/>
        <v>0</v>
      </c>
      <c r="DL48" s="57">
        <f t="shared" si="190"/>
        <v>0</v>
      </c>
      <c r="DM48" s="54">
        <f t="shared" si="191"/>
        <v>0</v>
      </c>
      <c r="DO48" s="106"/>
    </row>
    <row r="49" spans="2:119" x14ac:dyDescent="0.25">
      <c r="B49" s="141" t="s">
        <v>1</v>
      </c>
      <c r="C49" s="24">
        <v>50</v>
      </c>
      <c r="D49" s="147">
        <f t="shared" si="236"/>
        <v>50</v>
      </c>
      <c r="E49" s="142">
        <f t="shared" si="237"/>
        <v>600</v>
      </c>
      <c r="F49" s="14" cm="1">
        <f t="array" ref="F49">IFERROR(_xlfn.IFS(VALUE(MID(F$5,6,1))&gt;$D$2,0,$B49="Annual",1,E49=12,12,$B49="Monthly V",E49*(1+$D$3),$B49="Monthly F",12,$B49="One-Time",0),E49*(1+$D$3))</f>
        <v>720</v>
      </c>
      <c r="G49" s="14" cm="1">
        <f t="array" ref="G49">IFERROR(_xlfn.IFS(VALUE(MID(G$5,6,1))&gt;$D$2,0,$B49="Annual",1,F49=12,12,$B49="Monthly V",F49*(1+$D$3),$B49="Monthly F",12,$B49="One-Time",0),F49*(1+$D$3))</f>
        <v>864</v>
      </c>
      <c r="H49" s="14" cm="1">
        <f t="array" ref="H49">IFERROR(_xlfn.IFS(VALUE(MID(H$5,6,1))&gt;$D$2,0,$B49="Annual",1,G49=12,12,$B49="Monthly V",G49*(1+$D$3),$B49="Monthly F",12,$B49="One-Time",0),G49*(1+$D$3))</f>
        <v>1036.8</v>
      </c>
      <c r="I49" s="14" cm="1">
        <f t="array" ref="I49">IFERROR(_xlfn.IFS(VALUE(MID(I$5,6,1))&gt;$D$2,0,$B49="Annual",1,H49=12,12,$B49="Monthly V",H49*(1+$D$3),$B49="Monthly F",12,$B49="One-Time",0),H49*(1+$D$3))</f>
        <v>1244.1599999999999</v>
      </c>
      <c r="J49" s="14" cm="1">
        <f t="array" ref="J49">IFERROR(_xlfn.IFS(VALUE(MID(J$5,6,1))&gt;$D$2,0,$B49="Annual",1,I49=12,12,$B49="Monthly V",I49*(1+$D$3),$B49="Monthly F",12,$B49="One-Time",0),I49*(1+$D$3))</f>
        <v>1492.9919999999997</v>
      </c>
      <c r="K49" s="14" cm="1">
        <f t="array" ref="K49">IFERROR(_xlfn.IFS(VALUE(MID(K$5,6,1))&gt;$D$2,0,$B49="Annual",1,J49=12,12,$B49="Monthly V",J49*(1+$D$3),$B49="Monthly F",12,$B49="One-Time",0),J49*(1+$D$3))</f>
        <v>1791.5903999999996</v>
      </c>
      <c r="L49" s="14" cm="1">
        <f t="array" ref="L49">IFERROR(_xlfn.IFS(VALUE(MID(L$5,6,1))&gt;$D$2,0,$B49="Annual",1,K49=12,12,$B49="Monthly V",K49*(1+$D$3),$B49="Monthly F",12,$B49="One-Time",0),K49*(1+$D$3))</f>
        <v>0</v>
      </c>
      <c r="M49" s="14" cm="1">
        <f t="array" ref="M49">IFERROR(_xlfn.IFS(VALUE(MID(M$5,6,1))&gt;$D$2,0,$B49="Annual",1,L49=12,12,$B49="Monthly V",L49*(1+$D$3),$B49="Monthly F",12,$B49="One-Time",0),L49*(1+$D$3))</f>
        <v>0</v>
      </c>
      <c r="N49" s="24" cm="1">
        <f t="array" ref="N49">IFERROR(_xlfn.IFS(VALUE(MID(N$5,6,2))&gt;$D$2,0,$B49="Annual",1,M49=12,12,$B49="Monthly V",M49*(1+$D$3),$B49="Monthly F",12,$B49="One-Time",0),M49*(1+$D$3))</f>
        <v>0</v>
      </c>
      <c r="O49" s="127" t="s">
        <v>106</v>
      </c>
      <c r="P49" s="13" t="s">
        <v>91</v>
      </c>
      <c r="Q49" s="20">
        <v>1</v>
      </c>
      <c r="R49" s="21">
        <f t="shared" si="124"/>
        <v>50</v>
      </c>
      <c r="S49" s="6">
        <f t="shared" si="234"/>
        <v>600</v>
      </c>
      <c r="T49" s="6">
        <f t="shared" si="234"/>
        <v>720</v>
      </c>
      <c r="U49" s="6">
        <f t="shared" si="234"/>
        <v>864</v>
      </c>
      <c r="V49" s="6">
        <f t="shared" si="234"/>
        <v>1036.8</v>
      </c>
      <c r="W49" s="6">
        <f t="shared" si="234"/>
        <v>1244.1599999999999</v>
      </c>
      <c r="X49" s="6">
        <f t="shared" si="234"/>
        <v>1492.9919999999997</v>
      </c>
      <c r="Y49" s="6">
        <f t="shared" si="234"/>
        <v>1791.5903999999996</v>
      </c>
      <c r="Z49" s="6">
        <f t="shared" si="125"/>
        <v>0</v>
      </c>
      <c r="AA49" s="6">
        <f t="shared" si="125"/>
        <v>0</v>
      </c>
      <c r="AB49" s="6">
        <f t="shared" si="125"/>
        <v>0</v>
      </c>
      <c r="AC49" s="7"/>
      <c r="AD49" s="152">
        <f t="shared" si="126"/>
        <v>21.600000000000019</v>
      </c>
      <c r="AE49" s="152">
        <f t="shared" si="127"/>
        <v>52.61759999999996</v>
      </c>
      <c r="AF49" s="152">
        <f t="shared" si="128"/>
        <v>96.139353600000007</v>
      </c>
      <c r="AG49" s="152">
        <f t="shared" si="129"/>
        <v>156.15304104959986</v>
      </c>
      <c r="AH49" s="152">
        <f t="shared" si="130"/>
        <v>237.79491873730532</v>
      </c>
      <c r="AI49" s="152">
        <f t="shared" si="131"/>
        <v>347.66223155930948</v>
      </c>
      <c r="AJ49" s="152">
        <f t="shared" si="132"/>
        <v>0</v>
      </c>
      <c r="AK49" s="152">
        <f t="shared" si="133"/>
        <v>0</v>
      </c>
      <c r="AL49" s="152">
        <f t="shared" si="134"/>
        <v>0</v>
      </c>
      <c r="AM49" s="9">
        <f t="shared" si="135"/>
        <v>911.96714494621472</v>
      </c>
      <c r="AN49" s="80">
        <f t="shared" si="136"/>
        <v>8661.5095449462133</v>
      </c>
      <c r="AP49" s="102" t="s">
        <v>0</v>
      </c>
      <c r="AQ49" s="12">
        <v>1</v>
      </c>
      <c r="AR49" s="14">
        <f t="shared" si="15"/>
        <v>12</v>
      </c>
      <c r="AS49" s="14" cm="1">
        <f t="array" ref="AS49">IFERROR(_xlfn.IFS(VALUE(MID(AS$5,6,1))&gt;$D$2,0,$AP49="Annual",1,AR49=12,12,$AP49="Monthly V",AR49*(1+$BD$2),$AP49="Monthly F",12,$AP49="One-Time",0),AR49*(1+$BD$2))</f>
        <v>12</v>
      </c>
      <c r="AT49" s="14" cm="1">
        <f t="array" ref="AT49">IFERROR(_xlfn.IFS(VALUE(MID(AT$5,6,1))&gt;$D$2,0,$AP49="Annual",1,AS49=12,12,$AP49="Monthly V",AS49*(1+$BD$2),$AP49="Monthly F",12,$AP49="One-Time",0),AS49*(1+$BD$2))</f>
        <v>12</v>
      </c>
      <c r="AU49" s="14" cm="1">
        <f t="array" ref="AU49">IFERROR(_xlfn.IFS(VALUE(MID(AU$5,6,1))&gt;$D$2,0,$AP49="Annual",1,AT49=12,12,$AP49="Monthly V",AT49*(1+$BD$2),$AP49="Monthly F",12,$AP49="One-Time",0),AT49*(1+$BD$2))</f>
        <v>12</v>
      </c>
      <c r="AV49" s="14" cm="1">
        <f t="array" ref="AV49">IFERROR(_xlfn.IFS(VALUE(MID(AV$5,6,1))&gt;$D$2,0,$AP49="Annual",1,AU49=12,12,$AP49="Monthly V",AU49*(1+$BD$2),$AP49="Monthly F",12,$AP49="One-Time",0),AU49*(1+$BD$2))</f>
        <v>12</v>
      </c>
      <c r="AW49" s="14" cm="1">
        <f t="array" ref="AW49">IFERROR(_xlfn.IFS(VALUE(MID(AW$5,6,1))&gt;$D$2,0,$AP49="Annual",1,AV49=12,12,$AP49="Monthly V",AV49*(1+$BD$2),$AP49="Monthly F",12,$AP49="One-Time",0),AV49*(1+$BD$2))</f>
        <v>12</v>
      </c>
      <c r="AX49" s="14" cm="1">
        <f t="array" ref="AX49">IFERROR(_xlfn.IFS(VALUE(MID(AX$5,6,1))&gt;$D$2,0,$AP49="Annual",1,AW49=12,12,$AP49="Monthly V",AW49*(1+$BD$2),$AP49="Monthly F",12,$AP49="One-Time",0),AW49*(1+$BD$2))</f>
        <v>12</v>
      </c>
      <c r="AY49" s="14" cm="1">
        <f t="array" ref="AY49">IFERROR(_xlfn.IFS(VALUE(MID(AY$5,6,1))&gt;$D$2,0,$AP49="Annual",1,AX49=12,12,$AP49="Monthly V",AX49*(1+$D$3),$AP49="Monthly F",12,$AP49="One-Time",0),AX49*(1+$D$3))</f>
        <v>0</v>
      </c>
      <c r="AZ49" s="14" cm="1">
        <f t="array" ref="AZ49">IFERROR(_xlfn.IFS(VALUE(MID(AZ$5,6,1))&gt;$D$2,0,$AP49="Annual",1,AY49=12,12,$AP49="Monthly V",AY49*(1+$D$3),$AP49="Monthly F",12,$AP49="One-Time",0),AY49*(1+$D$3))</f>
        <v>0</v>
      </c>
      <c r="BA49" s="125" cm="1">
        <f t="array" ref="BA49">IFERROR(_xlfn.IFS(VALUE(MID(BA$5,6,2))&gt;$D$2,0,$AP49="Annual",1,AZ49=12,12,$AP49="Monthly V",AZ49*(1+$D$3),$AP49="Monthly F",12,$AP49="One-Time",0),AZ49*(1+$D$3))</f>
        <v>0</v>
      </c>
      <c r="BB49" s="148" t="s">
        <v>193</v>
      </c>
      <c r="BC49" s="38" t="s">
        <v>227</v>
      </c>
      <c r="BD49" s="36">
        <v>405</v>
      </c>
      <c r="BE49" s="21">
        <f t="shared" si="164"/>
        <v>405</v>
      </c>
      <c r="BF49" s="39">
        <f t="shared" si="44"/>
        <v>4860</v>
      </c>
      <c r="BG49" s="39">
        <f t="shared" si="17"/>
        <v>4860</v>
      </c>
      <c r="BH49" s="39">
        <f t="shared" si="18"/>
        <v>4860</v>
      </c>
      <c r="BI49" s="39">
        <f t="shared" si="19"/>
        <v>5005.8</v>
      </c>
      <c r="BJ49" s="39">
        <f t="shared" ref="BJ49:BL49" si="243">BI49*1.03</f>
        <v>5155.9740000000002</v>
      </c>
      <c r="BK49" s="39">
        <f t="shared" si="243"/>
        <v>5310.6532200000001</v>
      </c>
      <c r="BL49" s="39">
        <f t="shared" si="243"/>
        <v>5469.9728166000004</v>
      </c>
      <c r="BM49" s="39">
        <f t="shared" si="166"/>
        <v>0</v>
      </c>
      <c r="BN49" s="39">
        <f t="shared" si="166"/>
        <v>0</v>
      </c>
      <c r="BO49" s="39">
        <f t="shared" si="166"/>
        <v>0</v>
      </c>
      <c r="BP49" s="40"/>
      <c r="BQ49" s="40">
        <f t="shared" si="167"/>
        <v>145.80000000000013</v>
      </c>
      <c r="BR49" s="40">
        <f t="shared" si="168"/>
        <v>295.97399999999976</v>
      </c>
      <c r="BS49" s="40">
        <f t="shared" si="169"/>
        <v>464.17281660000003</v>
      </c>
      <c r="BT49" s="40">
        <f t="shared" si="170"/>
        <v>647.12016113093955</v>
      </c>
      <c r="BU49" s="40">
        <f t="shared" si="171"/>
        <v>845.84937554381349</v>
      </c>
      <c r="BV49" s="40">
        <f t="shared" si="172"/>
        <v>1061.4607870124321</v>
      </c>
      <c r="BW49" s="40">
        <f t="shared" si="173"/>
        <v>0</v>
      </c>
      <c r="BX49" s="40">
        <f t="shared" si="174"/>
        <v>0</v>
      </c>
      <c r="BY49" s="40">
        <f t="shared" si="175"/>
        <v>0</v>
      </c>
      <c r="BZ49" s="40">
        <f t="shared" si="176"/>
        <v>3460.3771402871853</v>
      </c>
      <c r="CA49" s="37">
        <f t="shared" si="177"/>
        <v>38982.777176887183</v>
      </c>
      <c r="CC49" s="102"/>
      <c r="CD49" s="12"/>
      <c r="CE49" s="14">
        <f t="shared" si="178"/>
        <v>0</v>
      </c>
      <c r="CF49" s="14" cm="1">
        <f t="array" ref="CF49">IFERROR(_xlfn.IFS(VALUE(MID(CF$5,6,1))&gt;$D$2,0,$CC49="Annual",1,CE49=12,12,$CC49="Monthly V",CE49*(1+$D$3),$CC49="Monthly F",12,$CC49="One-Time",0),CE49*(1+$D$3))</f>
        <v>0</v>
      </c>
      <c r="CG49" s="14" cm="1">
        <f t="array" ref="CG49">IFERROR(_xlfn.IFS(VALUE(MID(CG$5,6,1))&gt;$D$2,0,$CC49="Annual",1,CF49=12,12,$CC49="Monthly V",CF49*(1+$D$3),$CC49="Monthly F",12,$CC49="One-Time",0),CF49*(1+$D$3))</f>
        <v>0</v>
      </c>
      <c r="CH49" s="14" cm="1">
        <f t="array" ref="CH49">IFERROR(_xlfn.IFS(VALUE(MID(CH$5,6,1))&gt;$D$2,0,$CC49="Annual",1,CG49=12,12,$CC49="Monthly V",CG49*(1+$D$3),$CC49="Monthly F",12,$CC49="One-Time",0),CG49*(1+$D$3))</f>
        <v>0</v>
      </c>
      <c r="CI49" s="14" cm="1">
        <f t="array" ref="CI49">IFERROR(_xlfn.IFS(VALUE(MID(CI$5,6,1))&gt;$D$2,0,$CC49="Annual",1,CH49=12,12,$CC49="Monthly V",CH49*(1+$D$3),$CC49="Monthly F",12,$CC49="One-Time",0),CH49*(1+$D$3))</f>
        <v>0</v>
      </c>
      <c r="CJ49" s="14" cm="1">
        <f t="array" ref="CJ49">IFERROR(_xlfn.IFS(VALUE(MID(CJ$5,6,1))&gt;$D$2,0,$CC49="Annual",1,CI49=12,12,$CC49="Monthly V",CI49*(1+$D$3),$CC49="Monthly F",12,$CC49="One-Time",0),CI49*(1+$D$3))</f>
        <v>0</v>
      </c>
      <c r="CK49" s="14" cm="1">
        <f t="array" ref="CK49">IFERROR(_xlfn.IFS(VALUE(MID(CK$5,6,1))&gt;$D$2,0,$CC49="Annual",1,CJ49=12,12,$CC49="Monthly V",CJ49*(1+$D$3),$CC49="Monthly F",12,$CC49="One-Time",0),CJ49*(1+$D$3))</f>
        <v>0</v>
      </c>
      <c r="CL49" s="14" cm="1">
        <f t="array" ref="CL49">IFERROR(_xlfn.IFS(VALUE(MID(CL$5,6,1))&gt;$D$2,0,$CC49="Annual",1,CK49=12,12,$CC49="Monthly V",CK49*(1+$D$3),$CC49="Monthly F",12,$CC49="One-Time",0),CK49*(1+$D$3))</f>
        <v>0</v>
      </c>
      <c r="CM49" s="14" cm="1">
        <f t="array" ref="CM49">IFERROR(_xlfn.IFS(VALUE(MID(CM$5,6,1))&gt;$D$2,0,$CC49="Annual",1,CL49=12,12,$CC49="Monthly V",CL49*(1+$D$3),$CC49="Monthly F",12,$CC49="One-Time",0),CL49*(1+$D$3))</f>
        <v>0</v>
      </c>
      <c r="CN49" s="24" cm="1">
        <f t="array" ref="CN49">IFERROR(_xlfn.IFS(VALUE(MID(CN$5,6,2))&gt;$D$2,0,$CC49="Annual",1,CM49=12,12,$CC49="Monthly V",CM49*(1+$D$3),$CC49="Monthly F",12,$CC49="One-Time",0),CM49*(1+$D$3))</f>
        <v>0</v>
      </c>
      <c r="CO49" s="63"/>
      <c r="CP49" s="53"/>
      <c r="CQ49" s="21">
        <f t="shared" si="179"/>
        <v>0</v>
      </c>
      <c r="CR49" s="55">
        <f t="shared" si="180"/>
        <v>0</v>
      </c>
      <c r="CS49" s="55">
        <f t="shared" si="180"/>
        <v>0</v>
      </c>
      <c r="CT49" s="55">
        <f t="shared" si="180"/>
        <v>0</v>
      </c>
      <c r="CU49" s="55">
        <f t="shared" si="180"/>
        <v>0</v>
      </c>
      <c r="CV49" s="55">
        <f t="shared" si="180"/>
        <v>0</v>
      </c>
      <c r="CW49" s="55">
        <f t="shared" si="180"/>
        <v>0</v>
      </c>
      <c r="CX49" s="55">
        <f t="shared" si="180"/>
        <v>0</v>
      </c>
      <c r="CY49" s="55">
        <f t="shared" si="180"/>
        <v>0</v>
      </c>
      <c r="CZ49" s="55">
        <f t="shared" si="180"/>
        <v>0</v>
      </c>
      <c r="DA49" s="55">
        <f t="shared" si="180"/>
        <v>0</v>
      </c>
      <c r="DB49" s="56"/>
      <c r="DC49" s="56">
        <f t="shared" si="181"/>
        <v>0</v>
      </c>
      <c r="DD49" s="56">
        <f t="shared" si="182"/>
        <v>0</v>
      </c>
      <c r="DE49" s="56">
        <f t="shared" si="183"/>
        <v>0</v>
      </c>
      <c r="DF49" s="56">
        <f t="shared" si="184"/>
        <v>0</v>
      </c>
      <c r="DG49" s="56">
        <f t="shared" si="185"/>
        <v>0</v>
      </c>
      <c r="DH49" s="56">
        <f t="shared" si="186"/>
        <v>0</v>
      </c>
      <c r="DI49" s="56">
        <f t="shared" si="187"/>
        <v>0</v>
      </c>
      <c r="DJ49" s="56">
        <f t="shared" si="188"/>
        <v>0</v>
      </c>
      <c r="DK49" s="56">
        <f t="shared" si="189"/>
        <v>0</v>
      </c>
      <c r="DL49" s="57">
        <f t="shared" si="190"/>
        <v>0</v>
      </c>
      <c r="DM49" s="54">
        <f t="shared" si="191"/>
        <v>0</v>
      </c>
      <c r="DO49" s="106"/>
    </row>
    <row r="50" spans="2:119" x14ac:dyDescent="0.25">
      <c r="B50" s="141" t="s">
        <v>1</v>
      </c>
      <c r="C50" s="24">
        <v>50</v>
      </c>
      <c r="D50" s="147">
        <f t="shared" si="236"/>
        <v>50</v>
      </c>
      <c r="E50" s="142">
        <f t="shared" si="237"/>
        <v>600</v>
      </c>
      <c r="F50" s="14" cm="1">
        <f t="array" ref="F50">IFERROR(_xlfn.IFS(VALUE(MID(F$5,6,1))&gt;$D$2,0,$B50="Annual",1,E50=12,12,$B50="Monthly V",E50*(1+$D$3),$B50="Monthly F",12,$B50="One-Time",0),E50*(1+$D$3))</f>
        <v>720</v>
      </c>
      <c r="G50" s="14" cm="1">
        <f t="array" ref="G50">IFERROR(_xlfn.IFS(VALUE(MID(G$5,6,1))&gt;$D$2,0,$B50="Annual",1,F50=12,12,$B50="Monthly V",F50*(1+$D$3),$B50="Monthly F",12,$B50="One-Time",0),F50*(1+$D$3))</f>
        <v>864</v>
      </c>
      <c r="H50" s="14" cm="1">
        <f t="array" ref="H50">IFERROR(_xlfn.IFS(VALUE(MID(H$5,6,1))&gt;$D$2,0,$B50="Annual",1,G50=12,12,$B50="Monthly V",G50*(1+$D$3),$B50="Monthly F",12,$B50="One-Time",0),G50*(1+$D$3))</f>
        <v>1036.8</v>
      </c>
      <c r="I50" s="14" cm="1">
        <f t="array" ref="I50">IFERROR(_xlfn.IFS(VALUE(MID(I$5,6,1))&gt;$D$2,0,$B50="Annual",1,H50=12,12,$B50="Monthly V",H50*(1+$D$3),$B50="Monthly F",12,$B50="One-Time",0),H50*(1+$D$3))</f>
        <v>1244.1599999999999</v>
      </c>
      <c r="J50" s="14" cm="1">
        <f t="array" ref="J50">IFERROR(_xlfn.IFS(VALUE(MID(J$5,6,1))&gt;$D$2,0,$B50="Annual",1,I50=12,12,$B50="Monthly V",I50*(1+$D$3),$B50="Monthly F",12,$B50="One-Time",0),I50*(1+$D$3))</f>
        <v>1492.9919999999997</v>
      </c>
      <c r="K50" s="14" cm="1">
        <f t="array" ref="K50">IFERROR(_xlfn.IFS(VALUE(MID(K$5,6,1))&gt;$D$2,0,$B50="Annual",1,J50=12,12,$B50="Monthly V",J50*(1+$D$3),$B50="Monthly F",12,$B50="One-Time",0),J50*(1+$D$3))</f>
        <v>1791.5903999999996</v>
      </c>
      <c r="L50" s="14" cm="1">
        <f t="array" ref="L50">IFERROR(_xlfn.IFS(VALUE(MID(L$5,6,1))&gt;$D$2,0,$B50="Annual",1,K50=12,12,$B50="Monthly V",K50*(1+$D$3),$B50="Monthly F",12,$B50="One-Time",0),K50*(1+$D$3))</f>
        <v>0</v>
      </c>
      <c r="M50" s="14" cm="1">
        <f t="array" ref="M50">IFERROR(_xlfn.IFS(VALUE(MID(M$5,6,1))&gt;$D$2,0,$B50="Annual",1,L50=12,12,$B50="Monthly V",L50*(1+$D$3),$B50="Monthly F",12,$B50="One-Time",0),L50*(1+$D$3))</f>
        <v>0</v>
      </c>
      <c r="N50" s="24" cm="1">
        <f t="array" ref="N50">IFERROR(_xlfn.IFS(VALUE(MID(N$5,6,2))&gt;$D$2,0,$B50="Annual",1,M50=12,12,$B50="Monthly V",M50*(1+$D$3),$B50="Monthly F",12,$B50="One-Time",0),M50*(1+$D$3))</f>
        <v>0</v>
      </c>
      <c r="O50" s="127" t="s">
        <v>105</v>
      </c>
      <c r="P50" s="13" t="s">
        <v>91</v>
      </c>
      <c r="Q50" s="20">
        <v>3</v>
      </c>
      <c r="R50" s="21">
        <f t="shared" si="124"/>
        <v>150</v>
      </c>
      <c r="S50" s="6">
        <f t="shared" si="234"/>
        <v>1800</v>
      </c>
      <c r="T50" s="6">
        <f t="shared" si="234"/>
        <v>2160</v>
      </c>
      <c r="U50" s="6">
        <f t="shared" si="234"/>
        <v>2592</v>
      </c>
      <c r="V50" s="6">
        <f t="shared" si="234"/>
        <v>3110.3999999999996</v>
      </c>
      <c r="W50" s="6">
        <f t="shared" si="234"/>
        <v>3732.4799999999996</v>
      </c>
      <c r="X50" s="6">
        <f t="shared" si="234"/>
        <v>4478.9759999999987</v>
      </c>
      <c r="Y50" s="6">
        <f t="shared" si="234"/>
        <v>5374.7711999999992</v>
      </c>
      <c r="Z50" s="6">
        <f t="shared" si="125"/>
        <v>0</v>
      </c>
      <c r="AA50" s="6">
        <f t="shared" si="125"/>
        <v>0</v>
      </c>
      <c r="AB50" s="6">
        <f t="shared" si="125"/>
        <v>0</v>
      </c>
      <c r="AC50" s="7"/>
      <c r="AD50" s="152">
        <f t="shared" si="126"/>
        <v>64.800000000000054</v>
      </c>
      <c r="AE50" s="152">
        <f t="shared" si="127"/>
        <v>157.85279999999989</v>
      </c>
      <c r="AF50" s="152">
        <f t="shared" si="128"/>
        <v>288.41806079999998</v>
      </c>
      <c r="AG50" s="152">
        <f t="shared" si="129"/>
        <v>468.45912314879962</v>
      </c>
      <c r="AH50" s="152">
        <f t="shared" si="130"/>
        <v>713.38475621191594</v>
      </c>
      <c r="AI50" s="152">
        <f t="shared" si="131"/>
        <v>1042.9866946779287</v>
      </c>
      <c r="AJ50" s="152">
        <f t="shared" si="132"/>
        <v>0</v>
      </c>
      <c r="AK50" s="152">
        <f t="shared" si="133"/>
        <v>0</v>
      </c>
      <c r="AL50" s="152">
        <f t="shared" si="134"/>
        <v>0</v>
      </c>
      <c r="AM50" s="9">
        <f t="shared" si="135"/>
        <v>2735.9014348386445</v>
      </c>
      <c r="AN50" s="80">
        <f t="shared" si="136"/>
        <v>25984.52863483864</v>
      </c>
      <c r="AP50" s="102" t="s">
        <v>0</v>
      </c>
      <c r="AQ50" s="12">
        <v>1</v>
      </c>
      <c r="AR50" s="14">
        <f t="shared" si="15"/>
        <v>12</v>
      </c>
      <c r="AS50" s="14" cm="1">
        <f t="array" ref="AS50">IFERROR(_xlfn.IFS(VALUE(MID(AS$5,6,1))&gt;$D$2,0,$AP50="Annual",1,AR50=12,12,$AP50="Monthly V",AR50*(1+$BD$2),$AP50="Monthly F",12,$AP50="One-Time",0),AR50*(1+$BD$2))</f>
        <v>12</v>
      </c>
      <c r="AT50" s="14" cm="1">
        <f t="array" ref="AT50">IFERROR(_xlfn.IFS(VALUE(MID(AT$5,6,1))&gt;$D$2,0,$AP50="Annual",1,AS50=12,12,$AP50="Monthly V",AS50*(1+$BD$2),$AP50="Monthly F",12,$AP50="One-Time",0),AS50*(1+$BD$2))</f>
        <v>12</v>
      </c>
      <c r="AU50" s="14" cm="1">
        <f t="array" ref="AU50">IFERROR(_xlfn.IFS(VALUE(MID(AU$5,6,1))&gt;$D$2,0,$AP50="Annual",1,AT50=12,12,$AP50="Monthly V",AT50*(1+$BD$2),$AP50="Monthly F",12,$AP50="One-Time",0),AT50*(1+$BD$2))</f>
        <v>12</v>
      </c>
      <c r="AV50" s="14" cm="1">
        <f t="array" ref="AV50">IFERROR(_xlfn.IFS(VALUE(MID(AV$5,6,1))&gt;$D$2,0,$AP50="Annual",1,AU50=12,12,$AP50="Monthly V",AU50*(1+$BD$2),$AP50="Monthly F",12,$AP50="One-Time",0),AU50*(1+$BD$2))</f>
        <v>12</v>
      </c>
      <c r="AW50" s="14" cm="1">
        <f t="array" ref="AW50">IFERROR(_xlfn.IFS(VALUE(MID(AW$5,6,1))&gt;$D$2,0,$AP50="Annual",1,AV50=12,12,$AP50="Monthly V",AV50*(1+$BD$2),$AP50="Monthly F",12,$AP50="One-Time",0),AV50*(1+$BD$2))</f>
        <v>12</v>
      </c>
      <c r="AX50" s="14" cm="1">
        <f t="array" ref="AX50">IFERROR(_xlfn.IFS(VALUE(MID(AX$5,6,1))&gt;$D$2,0,$AP50="Annual",1,AW50=12,12,$AP50="Monthly V",AW50*(1+$BD$2),$AP50="Monthly F",12,$AP50="One-Time",0),AW50*(1+$BD$2))</f>
        <v>12</v>
      </c>
      <c r="AY50" s="14" cm="1">
        <f t="array" ref="AY50">IFERROR(_xlfn.IFS(VALUE(MID(AY$5,6,1))&gt;$D$2,0,$AP50="Annual",1,AX50=12,12,$AP50="Monthly V",AX50*(1+$D$3),$AP50="Monthly F",12,$AP50="One-Time",0),AX50*(1+$D$3))</f>
        <v>0</v>
      </c>
      <c r="AZ50" s="14" cm="1">
        <f t="array" ref="AZ50">IFERROR(_xlfn.IFS(VALUE(MID(AZ$5,6,1))&gt;$D$2,0,$AP50="Annual",1,AY50=12,12,$AP50="Monthly V",AY50*(1+$D$3),$AP50="Monthly F",12,$AP50="One-Time",0),AY50*(1+$D$3))</f>
        <v>0</v>
      </c>
      <c r="BA50" s="125" cm="1">
        <f t="array" ref="BA50">IFERROR(_xlfn.IFS(VALUE(MID(BA$5,6,2))&gt;$D$2,0,$AP50="Annual",1,AZ50=12,12,$AP50="Monthly V",AZ50*(1+$D$3),$AP50="Monthly F",12,$AP50="One-Time",0),AZ50*(1+$D$3))</f>
        <v>0</v>
      </c>
      <c r="BB50" s="148" t="s">
        <v>194</v>
      </c>
      <c r="BC50" s="38" t="s">
        <v>227</v>
      </c>
      <c r="BD50" s="36">
        <v>150</v>
      </c>
      <c r="BE50" s="21">
        <f t="shared" si="164"/>
        <v>150</v>
      </c>
      <c r="BF50" s="39">
        <f t="shared" si="44"/>
        <v>1800</v>
      </c>
      <c r="BG50" s="39">
        <f t="shared" si="17"/>
        <v>1800</v>
      </c>
      <c r="BH50" s="39">
        <f t="shared" si="18"/>
        <v>1800</v>
      </c>
      <c r="BI50" s="39">
        <f t="shared" si="19"/>
        <v>1854</v>
      </c>
      <c r="BJ50" s="39">
        <f t="shared" ref="BJ50:BL50" si="244">BI50*1.03</f>
        <v>1909.6200000000001</v>
      </c>
      <c r="BK50" s="39">
        <f t="shared" si="244"/>
        <v>1966.9086000000002</v>
      </c>
      <c r="BL50" s="39">
        <f t="shared" si="244"/>
        <v>2025.9158580000003</v>
      </c>
      <c r="BM50" s="39">
        <f t="shared" si="166"/>
        <v>0</v>
      </c>
      <c r="BN50" s="39">
        <f t="shared" si="166"/>
        <v>0</v>
      </c>
      <c r="BO50" s="39">
        <f t="shared" si="166"/>
        <v>0</v>
      </c>
      <c r="BP50" s="40"/>
      <c r="BQ50" s="40">
        <f t="shared" si="167"/>
        <v>54.00000000000005</v>
      </c>
      <c r="BR50" s="40">
        <f t="shared" si="168"/>
        <v>109.61999999999992</v>
      </c>
      <c r="BS50" s="40">
        <f t="shared" si="169"/>
        <v>171.91585800000001</v>
      </c>
      <c r="BT50" s="40">
        <f t="shared" si="170"/>
        <v>239.67413375219985</v>
      </c>
      <c r="BU50" s="40">
        <f t="shared" si="171"/>
        <v>313.27754649770873</v>
      </c>
      <c r="BV50" s="40">
        <f t="shared" si="172"/>
        <v>393.13362481941931</v>
      </c>
      <c r="BW50" s="40">
        <f t="shared" si="173"/>
        <v>0</v>
      </c>
      <c r="BX50" s="40">
        <f t="shared" si="174"/>
        <v>0</v>
      </c>
      <c r="BY50" s="40">
        <f t="shared" si="175"/>
        <v>0</v>
      </c>
      <c r="BZ50" s="40">
        <f t="shared" si="176"/>
        <v>1281.6211630693278</v>
      </c>
      <c r="CA50" s="37">
        <f t="shared" si="177"/>
        <v>14438.065621069331</v>
      </c>
      <c r="CC50" s="102"/>
      <c r="CD50" s="12"/>
      <c r="CE50" s="14">
        <f t="shared" si="178"/>
        <v>0</v>
      </c>
      <c r="CF50" s="14" cm="1">
        <f t="array" ref="CF50">IFERROR(_xlfn.IFS(VALUE(MID(CF$5,6,1))&gt;$D$2,0,$CC50="Annual",1,CE50=12,12,$CC50="Monthly V",CE50*(1+$D$3),$CC50="Monthly F",12,$CC50="One-Time",0),CE50*(1+$D$3))</f>
        <v>0</v>
      </c>
      <c r="CG50" s="14" cm="1">
        <f t="array" ref="CG50">IFERROR(_xlfn.IFS(VALUE(MID(CG$5,6,1))&gt;$D$2,0,$CC50="Annual",1,CF50=12,12,$CC50="Monthly V",CF50*(1+$D$3),$CC50="Monthly F",12,$CC50="One-Time",0),CF50*(1+$D$3))</f>
        <v>0</v>
      </c>
      <c r="CH50" s="14" cm="1">
        <f t="array" ref="CH50">IFERROR(_xlfn.IFS(VALUE(MID(CH$5,6,1))&gt;$D$2,0,$CC50="Annual",1,CG50=12,12,$CC50="Monthly V",CG50*(1+$D$3),$CC50="Monthly F",12,$CC50="One-Time",0),CG50*(1+$D$3))</f>
        <v>0</v>
      </c>
      <c r="CI50" s="14" cm="1">
        <f t="array" ref="CI50">IFERROR(_xlfn.IFS(VALUE(MID(CI$5,6,1))&gt;$D$2,0,$CC50="Annual",1,CH50=12,12,$CC50="Monthly V",CH50*(1+$D$3),$CC50="Monthly F",12,$CC50="One-Time",0),CH50*(1+$D$3))</f>
        <v>0</v>
      </c>
      <c r="CJ50" s="14" cm="1">
        <f t="array" ref="CJ50">IFERROR(_xlfn.IFS(VALUE(MID(CJ$5,6,1))&gt;$D$2,0,$CC50="Annual",1,CI50=12,12,$CC50="Monthly V",CI50*(1+$D$3),$CC50="Monthly F",12,$CC50="One-Time",0),CI50*(1+$D$3))</f>
        <v>0</v>
      </c>
      <c r="CK50" s="14" cm="1">
        <f t="array" ref="CK50">IFERROR(_xlfn.IFS(VALUE(MID(CK$5,6,1))&gt;$D$2,0,$CC50="Annual",1,CJ50=12,12,$CC50="Monthly V",CJ50*(1+$D$3),$CC50="Monthly F",12,$CC50="One-Time",0),CJ50*(1+$D$3))</f>
        <v>0</v>
      </c>
      <c r="CL50" s="14" cm="1">
        <f t="array" ref="CL50">IFERROR(_xlfn.IFS(VALUE(MID(CL$5,6,1))&gt;$D$2,0,$CC50="Annual",1,CK50=12,12,$CC50="Monthly V",CK50*(1+$D$3),$CC50="Monthly F",12,$CC50="One-Time",0),CK50*(1+$D$3))</f>
        <v>0</v>
      </c>
      <c r="CM50" s="14" cm="1">
        <f t="array" ref="CM50">IFERROR(_xlfn.IFS(VALUE(MID(CM$5,6,1))&gt;$D$2,0,$CC50="Annual",1,CL50=12,12,$CC50="Monthly V",CL50*(1+$D$3),$CC50="Monthly F",12,$CC50="One-Time",0),CL50*(1+$D$3))</f>
        <v>0</v>
      </c>
      <c r="CN50" s="24" cm="1">
        <f t="array" ref="CN50">IFERROR(_xlfn.IFS(VALUE(MID(CN$5,6,2))&gt;$D$2,0,$CC50="Annual",1,CM50=12,12,$CC50="Monthly V",CM50*(1+$D$3),$CC50="Monthly F",12,$CC50="One-Time",0),CM50*(1+$D$3))</f>
        <v>0</v>
      </c>
      <c r="CO50" s="63"/>
      <c r="CP50" s="53"/>
      <c r="CQ50" s="21">
        <f t="shared" si="179"/>
        <v>0</v>
      </c>
      <c r="CR50" s="55">
        <f t="shared" si="180"/>
        <v>0</v>
      </c>
      <c r="CS50" s="55">
        <f t="shared" si="180"/>
        <v>0</v>
      </c>
      <c r="CT50" s="55">
        <f t="shared" si="180"/>
        <v>0</v>
      </c>
      <c r="CU50" s="55">
        <f t="shared" si="180"/>
        <v>0</v>
      </c>
      <c r="CV50" s="55">
        <f t="shared" si="180"/>
        <v>0</v>
      </c>
      <c r="CW50" s="55">
        <f t="shared" si="180"/>
        <v>0</v>
      </c>
      <c r="CX50" s="55">
        <f t="shared" si="180"/>
        <v>0</v>
      </c>
      <c r="CY50" s="55">
        <f t="shared" si="180"/>
        <v>0</v>
      </c>
      <c r="CZ50" s="55">
        <f t="shared" si="180"/>
        <v>0</v>
      </c>
      <c r="DA50" s="55">
        <f t="shared" si="180"/>
        <v>0</v>
      </c>
      <c r="DB50" s="56"/>
      <c r="DC50" s="56">
        <f t="shared" si="181"/>
        <v>0</v>
      </c>
      <c r="DD50" s="56">
        <f t="shared" si="182"/>
        <v>0</v>
      </c>
      <c r="DE50" s="56">
        <f t="shared" si="183"/>
        <v>0</v>
      </c>
      <c r="DF50" s="56">
        <f t="shared" si="184"/>
        <v>0</v>
      </c>
      <c r="DG50" s="56">
        <f t="shared" si="185"/>
        <v>0</v>
      </c>
      <c r="DH50" s="56">
        <f t="shared" si="186"/>
        <v>0</v>
      </c>
      <c r="DI50" s="56">
        <f t="shared" si="187"/>
        <v>0</v>
      </c>
      <c r="DJ50" s="56">
        <f t="shared" si="188"/>
        <v>0</v>
      </c>
      <c r="DK50" s="56">
        <f t="shared" si="189"/>
        <v>0</v>
      </c>
      <c r="DL50" s="57">
        <f t="shared" si="190"/>
        <v>0</v>
      </c>
      <c r="DM50" s="54">
        <f t="shared" si="191"/>
        <v>0</v>
      </c>
      <c r="DO50" s="106"/>
    </row>
    <row r="51" spans="2:119" x14ac:dyDescent="0.25">
      <c r="B51" s="141"/>
      <c r="C51" s="24"/>
      <c r="D51" s="147"/>
      <c r="E51" s="142"/>
      <c r="F51" s="14"/>
      <c r="G51" s="14"/>
      <c r="H51" s="14"/>
      <c r="I51" s="14"/>
      <c r="J51" s="14"/>
      <c r="K51" s="14"/>
      <c r="L51" s="14"/>
      <c r="M51" s="14"/>
      <c r="N51" s="24"/>
      <c r="O51" s="157" t="s">
        <v>83</v>
      </c>
      <c r="P51" s="13"/>
      <c r="Q51" s="20"/>
      <c r="R51" s="21">
        <f t="shared" si="124"/>
        <v>0</v>
      </c>
      <c r="S51" s="6">
        <f t="shared" si="234"/>
        <v>0</v>
      </c>
      <c r="T51" s="6">
        <f t="shared" si="234"/>
        <v>0</v>
      </c>
      <c r="U51" s="6">
        <f t="shared" si="234"/>
        <v>0</v>
      </c>
      <c r="V51" s="6">
        <f t="shared" si="234"/>
        <v>0</v>
      </c>
      <c r="W51" s="6">
        <f t="shared" si="234"/>
        <v>0</v>
      </c>
      <c r="X51" s="6">
        <f t="shared" si="234"/>
        <v>0</v>
      </c>
      <c r="Y51" s="6">
        <f t="shared" si="234"/>
        <v>0</v>
      </c>
      <c r="Z51" s="6">
        <f t="shared" si="125"/>
        <v>0</v>
      </c>
      <c r="AA51" s="6">
        <f t="shared" si="125"/>
        <v>0</v>
      </c>
      <c r="AB51" s="6">
        <f t="shared" si="125"/>
        <v>0</v>
      </c>
      <c r="AC51" s="7"/>
      <c r="AD51" s="152">
        <f t="shared" si="126"/>
        <v>0</v>
      </c>
      <c r="AE51" s="152">
        <f t="shared" si="127"/>
        <v>0</v>
      </c>
      <c r="AF51" s="152">
        <f t="shared" si="128"/>
        <v>0</v>
      </c>
      <c r="AG51" s="152">
        <f t="shared" si="129"/>
        <v>0</v>
      </c>
      <c r="AH51" s="152">
        <f t="shared" si="130"/>
        <v>0</v>
      </c>
      <c r="AI51" s="152">
        <f t="shared" si="131"/>
        <v>0</v>
      </c>
      <c r="AJ51" s="152">
        <f t="shared" si="132"/>
        <v>0</v>
      </c>
      <c r="AK51" s="152">
        <f t="shared" si="133"/>
        <v>0</v>
      </c>
      <c r="AL51" s="152">
        <f t="shared" si="134"/>
        <v>0</v>
      </c>
      <c r="AM51" s="9">
        <f t="shared" si="135"/>
        <v>0</v>
      </c>
      <c r="AN51" s="80">
        <f t="shared" si="136"/>
        <v>0</v>
      </c>
      <c r="AP51" s="102" t="s">
        <v>0</v>
      </c>
      <c r="AQ51" s="12">
        <v>1</v>
      </c>
      <c r="AR51" s="14">
        <f t="shared" si="15"/>
        <v>12</v>
      </c>
      <c r="AS51" s="14" cm="1">
        <f t="array" ref="AS51">IFERROR(_xlfn.IFS(VALUE(MID(AS$5,6,1))&gt;$D$2,0,$AP51="Annual",1,AR51=12,12,$AP51="Monthly V",AR51*(1+$BD$2),$AP51="Monthly F",12,$AP51="One-Time",0),AR51*(1+$BD$2))</f>
        <v>12</v>
      </c>
      <c r="AT51" s="14" cm="1">
        <f t="array" ref="AT51">IFERROR(_xlfn.IFS(VALUE(MID(AT$5,6,1))&gt;$D$2,0,$AP51="Annual",1,AS51=12,12,$AP51="Monthly V",AS51*(1+$BD$2),$AP51="Monthly F",12,$AP51="One-Time",0),AS51*(1+$BD$2))</f>
        <v>12</v>
      </c>
      <c r="AU51" s="14" cm="1">
        <f t="array" ref="AU51">IFERROR(_xlfn.IFS(VALUE(MID(AU$5,6,1))&gt;$D$2,0,$AP51="Annual",1,AT51=12,12,$AP51="Monthly V",AT51*(1+$BD$2),$AP51="Monthly F",12,$AP51="One-Time",0),AT51*(1+$BD$2))</f>
        <v>12</v>
      </c>
      <c r="AV51" s="14" cm="1">
        <f t="array" ref="AV51">IFERROR(_xlfn.IFS(VALUE(MID(AV$5,6,1))&gt;$D$2,0,$AP51="Annual",1,AU51=12,12,$AP51="Monthly V",AU51*(1+$BD$2),$AP51="Monthly F",12,$AP51="One-Time",0),AU51*(1+$BD$2))</f>
        <v>12</v>
      </c>
      <c r="AW51" s="14" cm="1">
        <f t="array" ref="AW51">IFERROR(_xlfn.IFS(VALUE(MID(AW$5,6,1))&gt;$D$2,0,$AP51="Annual",1,AV51=12,12,$AP51="Monthly V",AV51*(1+$BD$2),$AP51="Monthly F",12,$AP51="One-Time",0),AV51*(1+$BD$2))</f>
        <v>12</v>
      </c>
      <c r="AX51" s="14" cm="1">
        <f t="array" ref="AX51">IFERROR(_xlfn.IFS(VALUE(MID(AX$5,6,1))&gt;$D$2,0,$AP51="Annual",1,AW51=12,12,$AP51="Monthly V",AW51*(1+$BD$2),$AP51="Monthly F",12,$AP51="One-Time",0),AW51*(1+$BD$2))</f>
        <v>12</v>
      </c>
      <c r="AY51" s="14" cm="1">
        <f t="array" ref="AY51">IFERROR(_xlfn.IFS(VALUE(MID(AY$5,6,1))&gt;$D$2,0,$AP51="Annual",1,AX51=12,12,$AP51="Monthly V",AX51*(1+$D$3),$AP51="Monthly F",12,$AP51="One-Time",0),AX51*(1+$D$3))</f>
        <v>0</v>
      </c>
      <c r="AZ51" s="14" cm="1">
        <f t="array" ref="AZ51">IFERROR(_xlfn.IFS(VALUE(MID(AZ$5,6,1))&gt;$D$2,0,$AP51="Annual",1,AY51=12,12,$AP51="Monthly V",AY51*(1+$D$3),$AP51="Monthly F",12,$AP51="One-Time",0),AY51*(1+$D$3))</f>
        <v>0</v>
      </c>
      <c r="BA51" s="125" cm="1">
        <f t="array" ref="BA51">IFERROR(_xlfn.IFS(VALUE(MID(BA$5,6,2))&gt;$D$2,0,$AP51="Annual",1,AZ51=12,12,$AP51="Monthly V",AZ51*(1+$D$3),$AP51="Monthly F",12,$AP51="One-Time",0),AZ51*(1+$D$3))</f>
        <v>0</v>
      </c>
      <c r="BB51" s="148" t="s">
        <v>195</v>
      </c>
      <c r="BC51" s="38" t="s">
        <v>227</v>
      </c>
      <c r="BD51" s="36">
        <v>50</v>
      </c>
      <c r="BE51" s="21">
        <f t="shared" si="164"/>
        <v>50</v>
      </c>
      <c r="BF51" s="39">
        <f t="shared" si="44"/>
        <v>600</v>
      </c>
      <c r="BG51" s="39">
        <f t="shared" si="17"/>
        <v>600</v>
      </c>
      <c r="BH51" s="39">
        <f t="shared" si="18"/>
        <v>600</v>
      </c>
      <c r="BI51" s="39">
        <f t="shared" si="19"/>
        <v>618</v>
      </c>
      <c r="BJ51" s="39">
        <f t="shared" ref="BJ51:BL51" si="245">BI51*1.03</f>
        <v>636.54</v>
      </c>
      <c r="BK51" s="39">
        <f t="shared" si="245"/>
        <v>655.63620000000003</v>
      </c>
      <c r="BL51" s="39">
        <f t="shared" si="245"/>
        <v>675.30528600000002</v>
      </c>
      <c r="BM51" s="39">
        <f t="shared" si="166"/>
        <v>0</v>
      </c>
      <c r="BN51" s="39">
        <f t="shared" si="166"/>
        <v>0</v>
      </c>
      <c r="BO51" s="39">
        <f t="shared" si="166"/>
        <v>0</v>
      </c>
      <c r="BP51" s="40"/>
      <c r="BQ51" s="40">
        <f t="shared" si="167"/>
        <v>18.000000000000014</v>
      </c>
      <c r="BR51" s="40">
        <f t="shared" si="168"/>
        <v>36.539999999999971</v>
      </c>
      <c r="BS51" s="40">
        <f t="shared" si="169"/>
        <v>57.305286000000002</v>
      </c>
      <c r="BT51" s="40">
        <f t="shared" si="170"/>
        <v>79.891377917399936</v>
      </c>
      <c r="BU51" s="40">
        <f t="shared" si="171"/>
        <v>104.42584883256957</v>
      </c>
      <c r="BV51" s="40">
        <f t="shared" si="172"/>
        <v>131.0445416064731</v>
      </c>
      <c r="BW51" s="40">
        <f t="shared" si="173"/>
        <v>0</v>
      </c>
      <c r="BX51" s="40">
        <f t="shared" si="174"/>
        <v>0</v>
      </c>
      <c r="BY51" s="40">
        <f t="shared" si="175"/>
        <v>0</v>
      </c>
      <c r="BZ51" s="40">
        <f t="shared" si="176"/>
        <v>427.2070543564426</v>
      </c>
      <c r="CA51" s="37">
        <f t="shared" si="177"/>
        <v>4812.688540356442</v>
      </c>
      <c r="CC51" s="102"/>
      <c r="CD51" s="12"/>
      <c r="CE51" s="14">
        <f t="shared" si="178"/>
        <v>0</v>
      </c>
      <c r="CF51" s="14" cm="1">
        <f t="array" ref="CF51">IFERROR(_xlfn.IFS(VALUE(MID(CF$5,6,1))&gt;$D$2,0,$CC51="Annual",1,CE51=12,12,$CC51="Monthly V",CE51*(1+$D$3),$CC51="Monthly F",12,$CC51="One-Time",0),CE51*(1+$D$3))</f>
        <v>0</v>
      </c>
      <c r="CG51" s="14" cm="1">
        <f t="array" ref="CG51">IFERROR(_xlfn.IFS(VALUE(MID(CG$5,6,1))&gt;$D$2,0,$CC51="Annual",1,CF51=12,12,$CC51="Monthly V",CF51*(1+$D$3),$CC51="Monthly F",12,$CC51="One-Time",0),CF51*(1+$D$3))</f>
        <v>0</v>
      </c>
      <c r="CH51" s="14" cm="1">
        <f t="array" ref="CH51">IFERROR(_xlfn.IFS(VALUE(MID(CH$5,6,1))&gt;$D$2,0,$CC51="Annual",1,CG51=12,12,$CC51="Monthly V",CG51*(1+$D$3),$CC51="Monthly F",12,$CC51="One-Time",0),CG51*(1+$D$3))</f>
        <v>0</v>
      </c>
      <c r="CI51" s="14" cm="1">
        <f t="array" ref="CI51">IFERROR(_xlfn.IFS(VALUE(MID(CI$5,6,1))&gt;$D$2,0,$CC51="Annual",1,CH51=12,12,$CC51="Monthly V",CH51*(1+$D$3),$CC51="Monthly F",12,$CC51="One-Time",0),CH51*(1+$D$3))</f>
        <v>0</v>
      </c>
      <c r="CJ51" s="14" cm="1">
        <f t="array" ref="CJ51">IFERROR(_xlfn.IFS(VALUE(MID(CJ$5,6,1))&gt;$D$2,0,$CC51="Annual",1,CI51=12,12,$CC51="Monthly V",CI51*(1+$D$3),$CC51="Monthly F",12,$CC51="One-Time",0),CI51*(1+$D$3))</f>
        <v>0</v>
      </c>
      <c r="CK51" s="14" cm="1">
        <f t="array" ref="CK51">IFERROR(_xlfn.IFS(VALUE(MID(CK$5,6,1))&gt;$D$2,0,$CC51="Annual",1,CJ51=12,12,$CC51="Monthly V",CJ51*(1+$D$3),$CC51="Monthly F",12,$CC51="One-Time",0),CJ51*(1+$D$3))</f>
        <v>0</v>
      </c>
      <c r="CL51" s="14" cm="1">
        <f t="array" ref="CL51">IFERROR(_xlfn.IFS(VALUE(MID(CL$5,6,1))&gt;$D$2,0,$CC51="Annual",1,CK51=12,12,$CC51="Monthly V",CK51*(1+$D$3),$CC51="Monthly F",12,$CC51="One-Time",0),CK51*(1+$D$3))</f>
        <v>0</v>
      </c>
      <c r="CM51" s="14" cm="1">
        <f t="array" ref="CM51">IFERROR(_xlfn.IFS(VALUE(MID(CM$5,6,1))&gt;$D$2,0,$CC51="Annual",1,CL51=12,12,$CC51="Monthly V",CL51*(1+$D$3),$CC51="Monthly F",12,$CC51="One-Time",0),CL51*(1+$D$3))</f>
        <v>0</v>
      </c>
      <c r="CN51" s="24" cm="1">
        <f t="array" ref="CN51">IFERROR(_xlfn.IFS(VALUE(MID(CN$5,6,2))&gt;$D$2,0,$CC51="Annual",1,CM51=12,12,$CC51="Monthly V",CM51*(1+$D$3),$CC51="Monthly F",12,$CC51="One-Time",0),CM51*(1+$D$3))</f>
        <v>0</v>
      </c>
      <c r="CO51" s="63"/>
      <c r="CP51" s="53"/>
      <c r="CQ51" s="21">
        <f t="shared" si="179"/>
        <v>0</v>
      </c>
      <c r="CR51" s="55">
        <f t="shared" si="180"/>
        <v>0</v>
      </c>
      <c r="CS51" s="55">
        <f t="shared" si="180"/>
        <v>0</v>
      </c>
      <c r="CT51" s="55">
        <f t="shared" si="180"/>
        <v>0</v>
      </c>
      <c r="CU51" s="55">
        <f t="shared" si="180"/>
        <v>0</v>
      </c>
      <c r="CV51" s="55">
        <f t="shared" si="180"/>
        <v>0</v>
      </c>
      <c r="CW51" s="55">
        <f t="shared" si="180"/>
        <v>0</v>
      </c>
      <c r="CX51" s="55">
        <f t="shared" si="180"/>
        <v>0</v>
      </c>
      <c r="CY51" s="55">
        <f t="shared" si="180"/>
        <v>0</v>
      </c>
      <c r="CZ51" s="55">
        <f t="shared" si="180"/>
        <v>0</v>
      </c>
      <c r="DA51" s="55">
        <f t="shared" si="180"/>
        <v>0</v>
      </c>
      <c r="DB51" s="56"/>
      <c r="DC51" s="56">
        <f t="shared" si="181"/>
        <v>0</v>
      </c>
      <c r="DD51" s="56">
        <f t="shared" si="182"/>
        <v>0</v>
      </c>
      <c r="DE51" s="56">
        <f t="shared" si="183"/>
        <v>0</v>
      </c>
      <c r="DF51" s="56">
        <f t="shared" si="184"/>
        <v>0</v>
      </c>
      <c r="DG51" s="56">
        <f t="shared" si="185"/>
        <v>0</v>
      </c>
      <c r="DH51" s="56">
        <f t="shared" si="186"/>
        <v>0</v>
      </c>
      <c r="DI51" s="56">
        <f t="shared" si="187"/>
        <v>0</v>
      </c>
      <c r="DJ51" s="56">
        <f t="shared" si="188"/>
        <v>0</v>
      </c>
      <c r="DK51" s="56">
        <f t="shared" si="189"/>
        <v>0</v>
      </c>
      <c r="DL51" s="57">
        <f t="shared" si="190"/>
        <v>0</v>
      </c>
      <c r="DM51" s="54">
        <f t="shared" si="191"/>
        <v>0</v>
      </c>
      <c r="DO51" s="106"/>
    </row>
    <row r="52" spans="2:119" x14ac:dyDescent="0.25">
      <c r="B52" s="141" t="s">
        <v>1</v>
      </c>
      <c r="C52" s="24">
        <v>1500</v>
      </c>
      <c r="D52" s="147">
        <f t="shared" ref="D52:D53" si="246">IFERROR(AVERAGE(C52:C52),0)</f>
        <v>1500</v>
      </c>
      <c r="E52" s="142">
        <f t="shared" ref="E52:E53" si="247">IF($B52="Annual",1,IF($B52="Monthly F",12,IF($B52="Monthly V",D52*12,IF($B52="One-Time",1,D52*12))))</f>
        <v>18000</v>
      </c>
      <c r="F52" s="14" cm="1">
        <f t="array" ref="F52">IFERROR(_xlfn.IFS(VALUE(MID(F$5,6,1))&gt;$D$2,0,$B52="Annual",1,E52=12,12,$B52="Monthly V",E52*(1+$D$3),$B52="Monthly F",12,$B52="One-Time",0),E52*(1+$D$3))</f>
        <v>21600</v>
      </c>
      <c r="G52" s="14" cm="1">
        <f t="array" ref="G52">IFERROR(_xlfn.IFS(VALUE(MID(G$5,6,1))&gt;$D$2,0,$B52="Annual",1,F52=12,12,$B52="Monthly V",F52*(1+$D$3),$B52="Monthly F",12,$B52="One-Time",0),F52*(1+$D$3))</f>
        <v>25920</v>
      </c>
      <c r="H52" s="14" cm="1">
        <f t="array" ref="H52">IFERROR(_xlfn.IFS(VALUE(MID(H$5,6,1))&gt;$D$2,0,$B52="Annual",1,G52=12,12,$B52="Monthly V",G52*(1+$D$3),$B52="Monthly F",12,$B52="One-Time",0),G52*(1+$D$3))</f>
        <v>31104</v>
      </c>
      <c r="I52" s="14" cm="1">
        <f t="array" ref="I52">IFERROR(_xlfn.IFS(VALUE(MID(I$5,6,1))&gt;$D$2,0,$B52="Annual",1,H52=12,12,$B52="Monthly V",H52*(1+$D$3),$B52="Monthly F",12,$B52="One-Time",0),H52*(1+$D$3))</f>
        <v>37324.799999999996</v>
      </c>
      <c r="J52" s="14" cm="1">
        <f t="array" ref="J52">IFERROR(_xlfn.IFS(VALUE(MID(J$5,6,1))&gt;$D$2,0,$B52="Annual",1,I52=12,12,$B52="Monthly V",I52*(1+$D$3),$B52="Monthly F",12,$B52="One-Time",0),I52*(1+$D$3))</f>
        <v>44789.759999999995</v>
      </c>
      <c r="K52" s="14" cm="1">
        <f t="array" ref="K52">IFERROR(_xlfn.IFS(VALUE(MID(K$5,6,1))&gt;$D$2,0,$B52="Annual",1,J52=12,12,$B52="Monthly V",J52*(1+$D$3),$B52="Monthly F",12,$B52="One-Time",0),J52*(1+$D$3))</f>
        <v>53747.711999999992</v>
      </c>
      <c r="L52" s="14" cm="1">
        <f t="array" ref="L52">IFERROR(_xlfn.IFS(VALUE(MID(L$5,6,1))&gt;$D$2,0,$B52="Annual",1,K52=12,12,$B52="Monthly V",K52*(1+$D$3),$B52="Monthly F",12,$B52="One-Time",0),K52*(1+$D$3))</f>
        <v>0</v>
      </c>
      <c r="M52" s="14" cm="1">
        <f t="array" ref="M52">IFERROR(_xlfn.IFS(VALUE(MID(M$5,6,1))&gt;$D$2,0,$B52="Annual",1,L52=12,12,$B52="Monthly V",L52*(1+$D$3),$B52="Monthly F",12,$B52="One-Time",0),L52*(1+$D$3))</f>
        <v>0</v>
      </c>
      <c r="N52" s="24" cm="1">
        <f t="array" ref="N52">IFERROR(_xlfn.IFS(VALUE(MID(N$5,6,2))&gt;$D$2,0,$B52="Annual",1,M52=12,12,$B52="Monthly V",M52*(1+$D$3),$B52="Monthly F",12,$B52="One-Time",0),M52*(1+$D$3))</f>
        <v>0</v>
      </c>
      <c r="O52" s="127" t="s">
        <v>110</v>
      </c>
      <c r="P52" s="13" t="s">
        <v>91</v>
      </c>
      <c r="Q52" s="20">
        <v>3.5000000000000003E-2</v>
      </c>
      <c r="R52" s="21">
        <f t="shared" si="124"/>
        <v>52.500000000000007</v>
      </c>
      <c r="S52" s="6">
        <f t="shared" si="234"/>
        <v>630.00000000000011</v>
      </c>
      <c r="T52" s="6">
        <f t="shared" si="234"/>
        <v>756.00000000000011</v>
      </c>
      <c r="U52" s="6">
        <f t="shared" si="234"/>
        <v>907.2</v>
      </c>
      <c r="V52" s="6">
        <f t="shared" si="234"/>
        <v>1088.6400000000001</v>
      </c>
      <c r="W52" s="6">
        <f t="shared" si="234"/>
        <v>1306.3679999999999</v>
      </c>
      <c r="X52" s="6">
        <f t="shared" si="234"/>
        <v>1567.6415999999999</v>
      </c>
      <c r="Y52" s="6">
        <f t="shared" si="234"/>
        <v>1881.1699199999998</v>
      </c>
      <c r="Z52" s="6">
        <f t="shared" si="125"/>
        <v>0</v>
      </c>
      <c r="AA52" s="6">
        <f t="shared" si="125"/>
        <v>0</v>
      </c>
      <c r="AB52" s="6">
        <f t="shared" si="125"/>
        <v>0</v>
      </c>
      <c r="AC52" s="7"/>
      <c r="AD52" s="152">
        <f t="shared" si="126"/>
        <v>22.680000000000025</v>
      </c>
      <c r="AE52" s="152">
        <f t="shared" si="127"/>
        <v>55.248479999999958</v>
      </c>
      <c r="AF52" s="152">
        <f t="shared" si="128"/>
        <v>100.94632128000001</v>
      </c>
      <c r="AG52" s="152">
        <f t="shared" si="129"/>
        <v>163.96069310207989</v>
      </c>
      <c r="AH52" s="152">
        <f t="shared" si="130"/>
        <v>249.68466467417062</v>
      </c>
      <c r="AI52" s="152">
        <f t="shared" si="131"/>
        <v>365.04534313727498</v>
      </c>
      <c r="AJ52" s="152">
        <f t="shared" si="132"/>
        <v>0</v>
      </c>
      <c r="AK52" s="152">
        <f t="shared" si="133"/>
        <v>0</v>
      </c>
      <c r="AL52" s="152">
        <f t="shared" si="134"/>
        <v>0</v>
      </c>
      <c r="AM52" s="9">
        <f t="shared" si="135"/>
        <v>957.56550219352562</v>
      </c>
      <c r="AN52" s="80">
        <f t="shared" si="136"/>
        <v>9094.5850221935252</v>
      </c>
      <c r="AP52" s="102" t="s">
        <v>0</v>
      </c>
      <c r="AQ52" s="12">
        <v>1</v>
      </c>
      <c r="AR52" s="14">
        <f t="shared" si="15"/>
        <v>12</v>
      </c>
      <c r="AS52" s="14" cm="1">
        <f t="array" ref="AS52">IFERROR(_xlfn.IFS(VALUE(MID(AS$5,6,1))&gt;$D$2,0,$AP52="Annual",1,AR52=12,12,$AP52="Monthly V",AR52*(1+$BD$2),$AP52="Monthly F",12,$AP52="One-Time",0),AR52*(1+$BD$2))</f>
        <v>12</v>
      </c>
      <c r="AT52" s="14" cm="1">
        <f t="array" ref="AT52">IFERROR(_xlfn.IFS(VALUE(MID(AT$5,6,1))&gt;$D$2,0,$AP52="Annual",1,AS52=12,12,$AP52="Monthly V",AS52*(1+$BD$2),$AP52="Monthly F",12,$AP52="One-Time",0),AS52*(1+$BD$2))</f>
        <v>12</v>
      </c>
      <c r="AU52" s="14" cm="1">
        <f t="array" ref="AU52">IFERROR(_xlfn.IFS(VALUE(MID(AU$5,6,1))&gt;$D$2,0,$AP52="Annual",1,AT52=12,12,$AP52="Monthly V",AT52*(1+$BD$2),$AP52="Monthly F",12,$AP52="One-Time",0),AT52*(1+$BD$2))</f>
        <v>12</v>
      </c>
      <c r="AV52" s="14" cm="1">
        <f t="array" ref="AV52">IFERROR(_xlfn.IFS(VALUE(MID(AV$5,6,1))&gt;$D$2,0,$AP52="Annual",1,AU52=12,12,$AP52="Monthly V",AU52*(1+$BD$2),$AP52="Monthly F",12,$AP52="One-Time",0),AU52*(1+$BD$2))</f>
        <v>12</v>
      </c>
      <c r="AW52" s="14" cm="1">
        <f t="array" ref="AW52">IFERROR(_xlfn.IFS(VALUE(MID(AW$5,6,1))&gt;$D$2,0,$AP52="Annual",1,AV52=12,12,$AP52="Monthly V",AV52*(1+$BD$2),$AP52="Monthly F",12,$AP52="One-Time",0),AV52*(1+$BD$2))</f>
        <v>12</v>
      </c>
      <c r="AX52" s="14" cm="1">
        <f t="array" ref="AX52">IFERROR(_xlfn.IFS(VALUE(MID(AX$5,6,1))&gt;$D$2,0,$AP52="Annual",1,AW52=12,12,$AP52="Monthly V",AW52*(1+$BD$2),$AP52="Monthly F",12,$AP52="One-Time",0),AW52*(1+$BD$2))</f>
        <v>12</v>
      </c>
      <c r="AY52" s="14" cm="1">
        <f t="array" ref="AY52">IFERROR(_xlfn.IFS(VALUE(MID(AY$5,6,1))&gt;$D$2,0,$AP52="Annual",1,AX52=12,12,$AP52="Monthly V",AX52*(1+$D$3),$AP52="Monthly F",12,$AP52="One-Time",0),AX52*(1+$D$3))</f>
        <v>0</v>
      </c>
      <c r="AZ52" s="14" cm="1">
        <f t="array" ref="AZ52">IFERROR(_xlfn.IFS(VALUE(MID(AZ$5,6,1))&gt;$D$2,0,$AP52="Annual",1,AY52=12,12,$AP52="Monthly V",AY52*(1+$D$3),$AP52="Monthly F",12,$AP52="One-Time",0),AY52*(1+$D$3))</f>
        <v>0</v>
      </c>
      <c r="BA52" s="125" cm="1">
        <f t="array" ref="BA52">IFERROR(_xlfn.IFS(VALUE(MID(BA$5,6,2))&gt;$D$2,0,$AP52="Annual",1,AZ52=12,12,$AP52="Monthly V",AZ52*(1+$D$3),$AP52="Monthly F",12,$AP52="One-Time",0),AZ52*(1+$D$3))</f>
        <v>0</v>
      </c>
      <c r="BB52" s="148" t="s">
        <v>196</v>
      </c>
      <c r="BC52" s="38" t="s">
        <v>227</v>
      </c>
      <c r="BD52" s="36">
        <v>150</v>
      </c>
      <c r="BE52" s="21">
        <f t="shared" si="164"/>
        <v>150</v>
      </c>
      <c r="BF52" s="39">
        <f t="shared" si="44"/>
        <v>1800</v>
      </c>
      <c r="BG52" s="39">
        <f t="shared" si="17"/>
        <v>1800</v>
      </c>
      <c r="BH52" s="39">
        <f t="shared" si="18"/>
        <v>1800</v>
      </c>
      <c r="BI52" s="39">
        <f t="shared" si="19"/>
        <v>1854</v>
      </c>
      <c r="BJ52" s="39">
        <f t="shared" ref="BJ52:BL52" si="248">BI52*1.03</f>
        <v>1909.6200000000001</v>
      </c>
      <c r="BK52" s="39">
        <f t="shared" si="248"/>
        <v>1966.9086000000002</v>
      </c>
      <c r="BL52" s="39">
        <f t="shared" si="248"/>
        <v>2025.9158580000003</v>
      </c>
      <c r="BM52" s="39">
        <f t="shared" si="166"/>
        <v>0</v>
      </c>
      <c r="BN52" s="39">
        <f t="shared" si="166"/>
        <v>0</v>
      </c>
      <c r="BO52" s="39">
        <f t="shared" si="166"/>
        <v>0</v>
      </c>
      <c r="BP52" s="40"/>
      <c r="BQ52" s="40">
        <f t="shared" si="167"/>
        <v>54.00000000000005</v>
      </c>
      <c r="BR52" s="40">
        <f t="shared" si="168"/>
        <v>109.61999999999992</v>
      </c>
      <c r="BS52" s="40">
        <f t="shared" si="169"/>
        <v>171.91585800000001</v>
      </c>
      <c r="BT52" s="40">
        <f t="shared" si="170"/>
        <v>239.67413375219985</v>
      </c>
      <c r="BU52" s="40">
        <f t="shared" si="171"/>
        <v>313.27754649770873</v>
      </c>
      <c r="BV52" s="40">
        <f t="shared" si="172"/>
        <v>393.13362481941931</v>
      </c>
      <c r="BW52" s="40">
        <f t="shared" si="173"/>
        <v>0</v>
      </c>
      <c r="BX52" s="40">
        <f t="shared" si="174"/>
        <v>0</v>
      </c>
      <c r="BY52" s="40">
        <f t="shared" si="175"/>
        <v>0</v>
      </c>
      <c r="BZ52" s="40">
        <f t="shared" si="176"/>
        <v>1281.6211630693278</v>
      </c>
      <c r="CA52" s="37">
        <f t="shared" si="177"/>
        <v>14438.065621069331</v>
      </c>
      <c r="CC52" s="102"/>
      <c r="CD52" s="12"/>
      <c r="CE52" s="14">
        <f t="shared" si="178"/>
        <v>0</v>
      </c>
      <c r="CF52" s="14" cm="1">
        <f t="array" ref="CF52">IFERROR(_xlfn.IFS(VALUE(MID(CF$5,6,1))&gt;$D$2,0,$CC52="Annual",1,CE52=12,12,$CC52="Monthly V",CE52*(1+$D$3),$CC52="Monthly F",12,$CC52="One-Time",0),CE52*(1+$D$3))</f>
        <v>0</v>
      </c>
      <c r="CG52" s="14" cm="1">
        <f t="array" ref="CG52">IFERROR(_xlfn.IFS(VALUE(MID(CG$5,6,1))&gt;$D$2,0,$CC52="Annual",1,CF52=12,12,$CC52="Monthly V",CF52*(1+$D$3),$CC52="Monthly F",12,$CC52="One-Time",0),CF52*(1+$D$3))</f>
        <v>0</v>
      </c>
      <c r="CH52" s="14" cm="1">
        <f t="array" ref="CH52">IFERROR(_xlfn.IFS(VALUE(MID(CH$5,6,1))&gt;$D$2,0,$CC52="Annual",1,CG52=12,12,$CC52="Monthly V",CG52*(1+$D$3),$CC52="Monthly F",12,$CC52="One-Time",0),CG52*(1+$D$3))</f>
        <v>0</v>
      </c>
      <c r="CI52" s="14" cm="1">
        <f t="array" ref="CI52">IFERROR(_xlfn.IFS(VALUE(MID(CI$5,6,1))&gt;$D$2,0,$CC52="Annual",1,CH52=12,12,$CC52="Monthly V",CH52*(1+$D$3),$CC52="Monthly F",12,$CC52="One-Time",0),CH52*(1+$D$3))</f>
        <v>0</v>
      </c>
      <c r="CJ52" s="14" cm="1">
        <f t="array" ref="CJ52">IFERROR(_xlfn.IFS(VALUE(MID(CJ$5,6,1))&gt;$D$2,0,$CC52="Annual",1,CI52=12,12,$CC52="Monthly V",CI52*(1+$D$3),$CC52="Monthly F",12,$CC52="One-Time",0),CI52*(1+$D$3))</f>
        <v>0</v>
      </c>
      <c r="CK52" s="14" cm="1">
        <f t="array" ref="CK52">IFERROR(_xlfn.IFS(VALUE(MID(CK$5,6,1))&gt;$D$2,0,$CC52="Annual",1,CJ52=12,12,$CC52="Monthly V",CJ52*(1+$D$3),$CC52="Monthly F",12,$CC52="One-Time",0),CJ52*(1+$D$3))</f>
        <v>0</v>
      </c>
      <c r="CL52" s="14" cm="1">
        <f t="array" ref="CL52">IFERROR(_xlfn.IFS(VALUE(MID(CL$5,6,1))&gt;$D$2,0,$CC52="Annual",1,CK52=12,12,$CC52="Monthly V",CK52*(1+$D$3),$CC52="Monthly F",12,$CC52="One-Time",0),CK52*(1+$D$3))</f>
        <v>0</v>
      </c>
      <c r="CM52" s="14" cm="1">
        <f t="array" ref="CM52">IFERROR(_xlfn.IFS(VALUE(MID(CM$5,6,1))&gt;$D$2,0,$CC52="Annual",1,CL52=12,12,$CC52="Monthly V",CL52*(1+$D$3),$CC52="Monthly F",12,$CC52="One-Time",0),CL52*(1+$D$3))</f>
        <v>0</v>
      </c>
      <c r="CN52" s="24" cm="1">
        <f t="array" ref="CN52">IFERROR(_xlfn.IFS(VALUE(MID(CN$5,6,2))&gt;$D$2,0,$CC52="Annual",1,CM52=12,12,$CC52="Monthly V",CM52*(1+$D$3),$CC52="Monthly F",12,$CC52="One-Time",0),CM52*(1+$D$3))</f>
        <v>0</v>
      </c>
      <c r="CO52" s="63"/>
      <c r="CP52" s="53"/>
      <c r="CQ52" s="21">
        <f t="shared" si="179"/>
        <v>0</v>
      </c>
      <c r="CR52" s="55">
        <f t="shared" si="180"/>
        <v>0</v>
      </c>
      <c r="CS52" s="55">
        <f t="shared" si="180"/>
        <v>0</v>
      </c>
      <c r="CT52" s="55">
        <f t="shared" si="180"/>
        <v>0</v>
      </c>
      <c r="CU52" s="55">
        <f t="shared" si="180"/>
        <v>0</v>
      </c>
      <c r="CV52" s="55">
        <f t="shared" si="180"/>
        <v>0</v>
      </c>
      <c r="CW52" s="55">
        <f t="shared" si="180"/>
        <v>0</v>
      </c>
      <c r="CX52" s="55">
        <f t="shared" si="180"/>
        <v>0</v>
      </c>
      <c r="CY52" s="55">
        <f t="shared" si="180"/>
        <v>0</v>
      </c>
      <c r="CZ52" s="55">
        <f t="shared" si="180"/>
        <v>0</v>
      </c>
      <c r="DA52" s="55">
        <f t="shared" si="180"/>
        <v>0</v>
      </c>
      <c r="DB52" s="56"/>
      <c r="DC52" s="56">
        <f t="shared" si="181"/>
        <v>0</v>
      </c>
      <c r="DD52" s="56">
        <f t="shared" si="182"/>
        <v>0</v>
      </c>
      <c r="DE52" s="56">
        <f t="shared" si="183"/>
        <v>0</v>
      </c>
      <c r="DF52" s="56">
        <f t="shared" si="184"/>
        <v>0</v>
      </c>
      <c r="DG52" s="56">
        <f t="shared" si="185"/>
        <v>0</v>
      </c>
      <c r="DH52" s="56">
        <f t="shared" si="186"/>
        <v>0</v>
      </c>
      <c r="DI52" s="56">
        <f t="shared" si="187"/>
        <v>0</v>
      </c>
      <c r="DJ52" s="56">
        <f t="shared" si="188"/>
        <v>0</v>
      </c>
      <c r="DK52" s="56">
        <f t="shared" si="189"/>
        <v>0</v>
      </c>
      <c r="DL52" s="57">
        <f t="shared" si="190"/>
        <v>0</v>
      </c>
      <c r="DM52" s="54">
        <f t="shared" si="191"/>
        <v>0</v>
      </c>
      <c r="DO52" s="106"/>
    </row>
    <row r="53" spans="2:119" x14ac:dyDescent="0.25">
      <c r="B53" s="141" t="s">
        <v>0</v>
      </c>
      <c r="C53" s="24">
        <v>1</v>
      </c>
      <c r="D53" s="147">
        <f t="shared" si="246"/>
        <v>1</v>
      </c>
      <c r="E53" s="142">
        <f t="shared" si="247"/>
        <v>12</v>
      </c>
      <c r="F53" s="14" cm="1">
        <f t="array" ref="F53">IFERROR(_xlfn.IFS(VALUE(MID(F$5,6,1))&gt;$D$2,0,$B53="Annual",1,E53=12,12,$B53="Monthly V",E53*(1+$D$3),$B53="Monthly F",12,$B53="One-Time",0),E53*(1+$D$3))</f>
        <v>12</v>
      </c>
      <c r="G53" s="14" cm="1">
        <f t="array" ref="G53">IFERROR(_xlfn.IFS(VALUE(MID(G$5,6,1))&gt;$D$2,0,$B53="Annual",1,F53=12,12,$B53="Monthly V",F53*(1+$D$3),$B53="Monthly F",12,$B53="One-Time",0),F53*(1+$D$3))</f>
        <v>12</v>
      </c>
      <c r="H53" s="14" cm="1">
        <f t="array" ref="H53">IFERROR(_xlfn.IFS(VALUE(MID(H$5,6,1))&gt;$D$2,0,$B53="Annual",1,G53=12,12,$B53="Monthly V",G53*(1+$D$3),$B53="Monthly F",12,$B53="One-Time",0),G53*(1+$D$3))</f>
        <v>12</v>
      </c>
      <c r="I53" s="14" cm="1">
        <f t="array" ref="I53">IFERROR(_xlfn.IFS(VALUE(MID(I$5,6,1))&gt;$D$2,0,$B53="Annual",1,H53=12,12,$B53="Monthly V",H53*(1+$D$3),$B53="Monthly F",12,$B53="One-Time",0),H53*(1+$D$3))</f>
        <v>12</v>
      </c>
      <c r="J53" s="14" cm="1">
        <f t="array" ref="J53">IFERROR(_xlfn.IFS(VALUE(MID(J$5,6,1))&gt;$D$2,0,$B53="Annual",1,I53=12,12,$B53="Monthly V",I53*(1+$D$3),$B53="Monthly F",12,$B53="One-Time",0),I53*(1+$D$3))</f>
        <v>12</v>
      </c>
      <c r="K53" s="14" cm="1">
        <f t="array" ref="K53">IFERROR(_xlfn.IFS(VALUE(MID(K$5,6,1))&gt;$D$2,0,$B53="Annual",1,J53=12,12,$B53="Monthly V",J53*(1+$D$3),$B53="Monthly F",12,$B53="One-Time",0),J53*(1+$D$3))</f>
        <v>12</v>
      </c>
      <c r="L53" s="14" cm="1">
        <f t="array" ref="L53">IFERROR(_xlfn.IFS(VALUE(MID(L$5,6,1))&gt;$D$2,0,$B53="Annual",1,K53=12,12,$B53="Monthly V",K53*(1+$D$3),$B53="Monthly F",12,$B53="One-Time",0),K53*(1+$D$3))</f>
        <v>0</v>
      </c>
      <c r="M53" s="14" cm="1">
        <f t="array" ref="M53">IFERROR(_xlfn.IFS(VALUE(MID(M$5,6,1))&gt;$D$2,0,$B53="Annual",1,L53=12,12,$B53="Monthly V",L53*(1+$D$3),$B53="Monthly F",12,$B53="One-Time",0),L53*(1+$D$3))</f>
        <v>0</v>
      </c>
      <c r="N53" s="24" cm="1">
        <f t="array" ref="N53">IFERROR(_xlfn.IFS(VALUE(MID(N$5,6,2))&gt;$D$2,0,$B53="Annual",1,M53=12,12,$B53="Monthly V",M53*(1+$D$3),$B53="Monthly F",12,$B53="One-Time",0),M53*(1+$D$3))</f>
        <v>0</v>
      </c>
      <c r="O53" s="127" t="s">
        <v>111</v>
      </c>
      <c r="P53" s="13" t="s">
        <v>91</v>
      </c>
      <c r="Q53" s="20">
        <v>100</v>
      </c>
      <c r="R53" s="21">
        <f t="shared" si="124"/>
        <v>100</v>
      </c>
      <c r="S53" s="6">
        <f t="shared" si="234"/>
        <v>1200</v>
      </c>
      <c r="T53" s="6">
        <f t="shared" si="234"/>
        <v>1200</v>
      </c>
      <c r="U53" s="6">
        <f t="shared" si="234"/>
        <v>1200</v>
      </c>
      <c r="V53" s="6">
        <f t="shared" si="234"/>
        <v>1200</v>
      </c>
      <c r="W53" s="6">
        <f t="shared" si="234"/>
        <v>1200</v>
      </c>
      <c r="X53" s="6">
        <f t="shared" si="234"/>
        <v>1200</v>
      </c>
      <c r="Y53" s="6">
        <f t="shared" si="234"/>
        <v>1200</v>
      </c>
      <c r="Z53" s="6">
        <f t="shared" si="125"/>
        <v>0</v>
      </c>
      <c r="AA53" s="6">
        <f t="shared" si="125"/>
        <v>0</v>
      </c>
      <c r="AB53" s="6">
        <f t="shared" si="125"/>
        <v>0</v>
      </c>
      <c r="AC53" s="7"/>
      <c r="AD53" s="152">
        <f t="shared" si="126"/>
        <v>36.000000000000028</v>
      </c>
      <c r="AE53" s="152">
        <f t="shared" si="127"/>
        <v>73.079999999999941</v>
      </c>
      <c r="AF53" s="152">
        <f t="shared" si="128"/>
        <v>111.2724</v>
      </c>
      <c r="AG53" s="152">
        <f t="shared" si="129"/>
        <v>150.61057199999991</v>
      </c>
      <c r="AH53" s="152">
        <f t="shared" si="130"/>
        <v>191.1288891599998</v>
      </c>
      <c r="AI53" s="152">
        <f t="shared" si="131"/>
        <v>232.86275583479988</v>
      </c>
      <c r="AJ53" s="152">
        <f t="shared" si="132"/>
        <v>0</v>
      </c>
      <c r="AK53" s="152">
        <f t="shared" si="133"/>
        <v>0</v>
      </c>
      <c r="AL53" s="152">
        <f t="shared" si="134"/>
        <v>0</v>
      </c>
      <c r="AM53" s="9">
        <f t="shared" si="135"/>
        <v>794.95461699479961</v>
      </c>
      <c r="AN53" s="80">
        <f t="shared" si="136"/>
        <v>9194.9546169948007</v>
      </c>
      <c r="AP53" s="102" t="s">
        <v>0</v>
      </c>
      <c r="AQ53" s="12">
        <v>0</v>
      </c>
      <c r="AR53" s="14">
        <f t="shared" si="15"/>
        <v>12</v>
      </c>
      <c r="AS53" s="14" cm="1">
        <f t="array" ref="AS53">IFERROR(_xlfn.IFS(VALUE(MID(AS$5,6,1))&gt;$D$2,0,$AP53="Annual",1,AR53=12,12,$AP53="Monthly V",AR53*(1+$BD$2),$AP53="Monthly F",12,$AP53="One-Time",0),AR53*(1+$BD$2))</f>
        <v>12</v>
      </c>
      <c r="AT53" s="14" cm="1">
        <f t="array" ref="AT53">IFERROR(_xlfn.IFS(VALUE(MID(AT$5,6,1))&gt;$D$2,0,$AP53="Annual",1,AS53=12,12,$AP53="Monthly V",AS53*(1+$BD$2),$AP53="Monthly F",12,$AP53="One-Time",0),AS53*(1+$BD$2))</f>
        <v>12</v>
      </c>
      <c r="AU53" s="14" cm="1">
        <f t="array" ref="AU53">IFERROR(_xlfn.IFS(VALUE(MID(AU$5,6,1))&gt;$D$2,0,$AP53="Annual",1,AT53=12,12,$AP53="Monthly V",AT53*(1+$BD$2),$AP53="Monthly F",12,$AP53="One-Time",0),AT53*(1+$BD$2))</f>
        <v>12</v>
      </c>
      <c r="AV53" s="14" cm="1">
        <f t="array" ref="AV53">IFERROR(_xlfn.IFS(VALUE(MID(AV$5,6,1))&gt;$D$2,0,$AP53="Annual",1,AU53=12,12,$AP53="Monthly V",AU53*(1+$BD$2),$AP53="Monthly F",12,$AP53="One-Time",0),AU53*(1+$BD$2))</f>
        <v>12</v>
      </c>
      <c r="AW53" s="14" cm="1">
        <f t="array" ref="AW53">IFERROR(_xlfn.IFS(VALUE(MID(AW$5,6,1))&gt;$D$2,0,$AP53="Annual",1,AV53=12,12,$AP53="Monthly V",AV53*(1+$BD$2),$AP53="Monthly F",12,$AP53="One-Time",0),AV53*(1+$BD$2))</f>
        <v>12</v>
      </c>
      <c r="AX53" s="14" cm="1">
        <f t="array" ref="AX53">IFERROR(_xlfn.IFS(VALUE(MID(AX$5,6,1))&gt;$D$2,0,$AP53="Annual",1,AW53=12,12,$AP53="Monthly V",AW53*(1+$BD$2),$AP53="Monthly F",12,$AP53="One-Time",0),AW53*(1+$BD$2))</f>
        <v>12</v>
      </c>
      <c r="AY53" s="14" cm="1">
        <f t="array" ref="AY53">IFERROR(_xlfn.IFS(VALUE(MID(AY$5,6,1))&gt;$D$2,0,$AP53="Annual",1,AX53=12,12,$AP53="Monthly V",AX53*(1+$D$3),$AP53="Monthly F",12,$AP53="One-Time",0),AX53*(1+$D$3))</f>
        <v>0</v>
      </c>
      <c r="AZ53" s="14" cm="1">
        <f t="array" ref="AZ53">IFERROR(_xlfn.IFS(VALUE(MID(AZ$5,6,1))&gt;$D$2,0,$AP53="Annual",1,AY53=12,12,$AP53="Monthly V",AY53*(1+$D$3),$AP53="Monthly F",12,$AP53="One-Time",0),AY53*(1+$D$3))</f>
        <v>0</v>
      </c>
      <c r="BA53" s="125" cm="1">
        <f t="array" ref="BA53">IFERROR(_xlfn.IFS(VALUE(MID(BA$5,6,2))&gt;$D$2,0,$AP53="Annual",1,AZ53=12,12,$AP53="Monthly V",AZ53*(1+$D$3),$AP53="Monthly F",12,$AP53="One-Time",0),AZ53*(1+$D$3))</f>
        <v>0</v>
      </c>
      <c r="BB53" s="148" t="s">
        <v>197</v>
      </c>
      <c r="BC53" s="38" t="s">
        <v>227</v>
      </c>
      <c r="BD53" s="36">
        <v>100</v>
      </c>
      <c r="BE53" s="21">
        <f t="shared" si="164"/>
        <v>100</v>
      </c>
      <c r="BF53" s="39">
        <f t="shared" si="44"/>
        <v>1200</v>
      </c>
      <c r="BG53" s="39">
        <f t="shared" si="17"/>
        <v>1200</v>
      </c>
      <c r="BH53" s="39">
        <f t="shared" si="18"/>
        <v>1200</v>
      </c>
      <c r="BI53" s="39">
        <f t="shared" si="19"/>
        <v>1236</v>
      </c>
      <c r="BJ53" s="39">
        <f t="shared" ref="BJ53:BL53" si="249">BI53*1.03</f>
        <v>1273.08</v>
      </c>
      <c r="BK53" s="39">
        <f t="shared" si="249"/>
        <v>1311.2724000000001</v>
      </c>
      <c r="BL53" s="39">
        <f t="shared" si="249"/>
        <v>1350.610572</v>
      </c>
      <c r="BM53" s="39">
        <f t="shared" si="166"/>
        <v>0</v>
      </c>
      <c r="BN53" s="39">
        <f t="shared" si="166"/>
        <v>0</v>
      </c>
      <c r="BO53" s="39">
        <f t="shared" si="166"/>
        <v>0</v>
      </c>
      <c r="BP53" s="40"/>
      <c r="BQ53" s="40">
        <f t="shared" si="167"/>
        <v>36.000000000000028</v>
      </c>
      <c r="BR53" s="40">
        <f t="shared" si="168"/>
        <v>73.079999999999941</v>
      </c>
      <c r="BS53" s="40">
        <f t="shared" si="169"/>
        <v>114.610572</v>
      </c>
      <c r="BT53" s="40">
        <f t="shared" si="170"/>
        <v>159.78275583479987</v>
      </c>
      <c r="BU53" s="40">
        <f t="shared" si="171"/>
        <v>208.85169766513914</v>
      </c>
      <c r="BV53" s="40">
        <f t="shared" si="172"/>
        <v>262.08908321294621</v>
      </c>
      <c r="BW53" s="40">
        <f t="shared" si="173"/>
        <v>0</v>
      </c>
      <c r="BX53" s="40">
        <f t="shared" si="174"/>
        <v>0</v>
      </c>
      <c r="BY53" s="40">
        <f t="shared" si="175"/>
        <v>0</v>
      </c>
      <c r="BZ53" s="40">
        <f t="shared" si="176"/>
        <v>854.4141087128852</v>
      </c>
      <c r="CA53" s="37">
        <f t="shared" si="177"/>
        <v>9625.377080712884</v>
      </c>
      <c r="CC53" s="102"/>
      <c r="CD53" s="12"/>
      <c r="CE53" s="14">
        <f t="shared" si="178"/>
        <v>0</v>
      </c>
      <c r="CF53" s="14" cm="1">
        <f t="array" ref="CF53">IFERROR(_xlfn.IFS(VALUE(MID(CF$5,6,1))&gt;$D$2,0,$CC53="Annual",1,CE53=12,12,$CC53="Monthly V",CE53*(1+$D$3),$CC53="Monthly F",12,$CC53="One-Time",0),CE53*(1+$D$3))</f>
        <v>0</v>
      </c>
      <c r="CG53" s="14" cm="1">
        <f t="array" ref="CG53">IFERROR(_xlfn.IFS(VALUE(MID(CG$5,6,1))&gt;$D$2,0,$CC53="Annual",1,CF53=12,12,$CC53="Monthly V",CF53*(1+$D$3),$CC53="Monthly F",12,$CC53="One-Time",0),CF53*(1+$D$3))</f>
        <v>0</v>
      </c>
      <c r="CH53" s="14" cm="1">
        <f t="array" ref="CH53">IFERROR(_xlfn.IFS(VALUE(MID(CH$5,6,1))&gt;$D$2,0,$CC53="Annual",1,CG53=12,12,$CC53="Monthly V",CG53*(1+$D$3),$CC53="Monthly F",12,$CC53="One-Time",0),CG53*(1+$D$3))</f>
        <v>0</v>
      </c>
      <c r="CI53" s="14" cm="1">
        <f t="array" ref="CI53">IFERROR(_xlfn.IFS(VALUE(MID(CI$5,6,1))&gt;$D$2,0,$CC53="Annual",1,CH53=12,12,$CC53="Monthly V",CH53*(1+$D$3),$CC53="Monthly F",12,$CC53="One-Time",0),CH53*(1+$D$3))</f>
        <v>0</v>
      </c>
      <c r="CJ53" s="14" cm="1">
        <f t="array" ref="CJ53">IFERROR(_xlfn.IFS(VALUE(MID(CJ$5,6,1))&gt;$D$2,0,$CC53="Annual",1,CI53=12,12,$CC53="Monthly V",CI53*(1+$D$3),$CC53="Monthly F",12,$CC53="One-Time",0),CI53*(1+$D$3))</f>
        <v>0</v>
      </c>
      <c r="CK53" s="14" cm="1">
        <f t="array" ref="CK53">IFERROR(_xlfn.IFS(VALUE(MID(CK$5,6,1))&gt;$D$2,0,$CC53="Annual",1,CJ53=12,12,$CC53="Monthly V",CJ53*(1+$D$3),$CC53="Monthly F",12,$CC53="One-Time",0),CJ53*(1+$D$3))</f>
        <v>0</v>
      </c>
      <c r="CL53" s="14" cm="1">
        <f t="array" ref="CL53">IFERROR(_xlfn.IFS(VALUE(MID(CL$5,6,1))&gt;$D$2,0,$CC53="Annual",1,CK53=12,12,$CC53="Monthly V",CK53*(1+$D$3),$CC53="Monthly F",12,$CC53="One-Time",0),CK53*(1+$D$3))</f>
        <v>0</v>
      </c>
      <c r="CM53" s="14" cm="1">
        <f t="array" ref="CM53">IFERROR(_xlfn.IFS(VALUE(MID(CM$5,6,1))&gt;$D$2,0,$CC53="Annual",1,CL53=12,12,$CC53="Monthly V",CL53*(1+$D$3),$CC53="Monthly F",12,$CC53="One-Time",0),CL53*(1+$D$3))</f>
        <v>0</v>
      </c>
      <c r="CN53" s="24" cm="1">
        <f t="array" ref="CN53">IFERROR(_xlfn.IFS(VALUE(MID(CN$5,6,2))&gt;$D$2,0,$CC53="Annual",1,CM53=12,12,$CC53="Monthly V",CM53*(1+$D$3),$CC53="Monthly F",12,$CC53="One-Time",0),CM53*(1+$D$3))</f>
        <v>0</v>
      </c>
      <c r="CO53" s="63"/>
      <c r="CP53" s="53"/>
      <c r="CQ53" s="21">
        <f t="shared" si="179"/>
        <v>0</v>
      </c>
      <c r="CR53" s="55">
        <f t="shared" si="180"/>
        <v>0</v>
      </c>
      <c r="CS53" s="55">
        <f t="shared" si="180"/>
        <v>0</v>
      </c>
      <c r="CT53" s="55">
        <f t="shared" si="180"/>
        <v>0</v>
      </c>
      <c r="CU53" s="55">
        <f t="shared" si="180"/>
        <v>0</v>
      </c>
      <c r="CV53" s="55">
        <f t="shared" si="180"/>
        <v>0</v>
      </c>
      <c r="CW53" s="55">
        <f t="shared" si="180"/>
        <v>0</v>
      </c>
      <c r="CX53" s="55">
        <f t="shared" si="180"/>
        <v>0</v>
      </c>
      <c r="CY53" s="55">
        <f t="shared" si="180"/>
        <v>0</v>
      </c>
      <c r="CZ53" s="55">
        <f t="shared" si="180"/>
        <v>0</v>
      </c>
      <c r="DA53" s="55">
        <f t="shared" si="180"/>
        <v>0</v>
      </c>
      <c r="DB53" s="56"/>
      <c r="DC53" s="56">
        <f t="shared" si="181"/>
        <v>0</v>
      </c>
      <c r="DD53" s="56">
        <f t="shared" si="182"/>
        <v>0</v>
      </c>
      <c r="DE53" s="56">
        <f t="shared" si="183"/>
        <v>0</v>
      </c>
      <c r="DF53" s="56">
        <f t="shared" si="184"/>
        <v>0</v>
      </c>
      <c r="DG53" s="56">
        <f t="shared" si="185"/>
        <v>0</v>
      </c>
      <c r="DH53" s="56">
        <f t="shared" si="186"/>
        <v>0</v>
      </c>
      <c r="DI53" s="56">
        <f t="shared" si="187"/>
        <v>0</v>
      </c>
      <c r="DJ53" s="56">
        <f t="shared" si="188"/>
        <v>0</v>
      </c>
      <c r="DK53" s="56">
        <f t="shared" si="189"/>
        <v>0</v>
      </c>
      <c r="DL53" s="57">
        <f t="shared" si="190"/>
        <v>0</v>
      </c>
      <c r="DM53" s="54">
        <f t="shared" si="191"/>
        <v>0</v>
      </c>
      <c r="DO53" s="106"/>
    </row>
    <row r="54" spans="2:119" ht="15.75" thickBot="1" x14ac:dyDescent="0.3">
      <c r="B54" s="141"/>
      <c r="C54" s="24"/>
      <c r="D54" s="147"/>
      <c r="E54" s="142"/>
      <c r="F54" s="14"/>
      <c r="G54" s="14"/>
      <c r="H54" s="14"/>
      <c r="I54" s="14"/>
      <c r="J54" s="14"/>
      <c r="K54" s="14"/>
      <c r="L54" s="14"/>
      <c r="M54" s="14"/>
      <c r="N54" s="24"/>
      <c r="O54" s="127"/>
      <c r="P54" s="13"/>
      <c r="Q54" s="20"/>
      <c r="R54" s="21"/>
      <c r="S54" s="6"/>
      <c r="T54" s="6"/>
      <c r="U54" s="6"/>
      <c r="V54" s="6"/>
      <c r="W54" s="6"/>
      <c r="X54" s="6"/>
      <c r="Y54" s="6"/>
      <c r="Z54" s="6"/>
      <c r="AA54" s="6"/>
      <c r="AB54" s="6"/>
      <c r="AC54" s="7"/>
      <c r="AD54" s="152"/>
      <c r="AE54" s="152"/>
      <c r="AF54" s="152"/>
      <c r="AG54" s="152"/>
      <c r="AH54" s="152"/>
      <c r="AI54" s="152"/>
      <c r="AJ54" s="152"/>
      <c r="AK54" s="152"/>
      <c r="AL54" s="152"/>
      <c r="AM54" s="9"/>
      <c r="AN54" s="80"/>
      <c r="AP54" s="102"/>
      <c r="AQ54" s="12"/>
      <c r="AR54" s="14"/>
      <c r="AS54" s="14"/>
      <c r="AT54" s="14"/>
      <c r="AU54" s="14"/>
      <c r="AV54" s="14"/>
      <c r="AW54" s="14"/>
      <c r="AX54" s="14"/>
      <c r="AY54" s="14"/>
      <c r="AZ54" s="14"/>
      <c r="BA54" s="125"/>
      <c r="BB54" s="148"/>
      <c r="BC54" s="38"/>
      <c r="BD54" s="36"/>
      <c r="BE54" s="21"/>
      <c r="BF54" s="39"/>
      <c r="BG54" s="39"/>
      <c r="BH54" s="39"/>
      <c r="BI54" s="39">
        <f t="shared" si="19"/>
        <v>0</v>
      </c>
      <c r="BJ54" s="39">
        <f t="shared" ref="BJ54:BL54" si="250">BI54*1.03</f>
        <v>0</v>
      </c>
      <c r="BK54" s="39">
        <f t="shared" si="250"/>
        <v>0</v>
      </c>
      <c r="BL54" s="39">
        <f t="shared" si="250"/>
        <v>0</v>
      </c>
      <c r="BM54" s="39"/>
      <c r="BN54" s="39"/>
      <c r="BO54" s="39"/>
      <c r="BP54" s="40"/>
      <c r="BQ54" s="40"/>
      <c r="BR54" s="40"/>
      <c r="BS54" s="40"/>
      <c r="BT54" s="40"/>
      <c r="BU54" s="40"/>
      <c r="BV54" s="40"/>
      <c r="BW54" s="40"/>
      <c r="BX54" s="40"/>
      <c r="BY54" s="40"/>
      <c r="BZ54" s="40"/>
      <c r="CA54" s="37"/>
      <c r="CC54" s="102"/>
      <c r="CD54" s="12"/>
      <c r="CE54" s="14"/>
      <c r="CF54" s="14"/>
      <c r="CG54" s="14"/>
      <c r="CH54" s="14"/>
      <c r="CI54" s="14"/>
      <c r="CJ54" s="14"/>
      <c r="CK54" s="14"/>
      <c r="CL54" s="14"/>
      <c r="CM54" s="14"/>
      <c r="CN54" s="24"/>
      <c r="CO54" s="63"/>
      <c r="CP54" s="53"/>
      <c r="CQ54" s="21"/>
      <c r="CR54" s="55"/>
      <c r="CS54" s="55"/>
      <c r="CT54" s="55"/>
      <c r="CU54" s="55"/>
      <c r="CV54" s="55"/>
      <c r="CW54" s="55"/>
      <c r="CX54" s="55"/>
      <c r="CY54" s="55"/>
      <c r="CZ54" s="55"/>
      <c r="DA54" s="55"/>
      <c r="DB54" s="56"/>
      <c r="DC54" s="56"/>
      <c r="DD54" s="56"/>
      <c r="DE54" s="56"/>
      <c r="DF54" s="56"/>
      <c r="DG54" s="56"/>
      <c r="DH54" s="56"/>
      <c r="DI54" s="56"/>
      <c r="DJ54" s="56"/>
      <c r="DK54" s="56"/>
      <c r="DL54" s="57"/>
      <c r="DM54" s="54"/>
      <c r="DO54" s="106"/>
    </row>
    <row r="55" spans="2:119" ht="15.75" thickBot="1" x14ac:dyDescent="0.3">
      <c r="B55" s="213" t="s">
        <v>112</v>
      </c>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214"/>
      <c r="AK55" s="214"/>
      <c r="AL55" s="214"/>
      <c r="AM55" s="214"/>
      <c r="AN55" s="215"/>
      <c r="AP55" s="102" t="s">
        <v>0</v>
      </c>
      <c r="AQ55" s="12">
        <v>0</v>
      </c>
      <c r="AR55" s="14">
        <f t="shared" si="15"/>
        <v>12</v>
      </c>
      <c r="AS55" s="14" cm="1">
        <f t="array" ref="AS55">IFERROR(_xlfn.IFS(VALUE(MID(AS$5,6,1))&gt;$D$2,0,$AP55="Annual",1,AR55=12,12,$AP55="Monthly V",AR55*(1+$BD$2),$AP55="Monthly F",12,$AP55="One-Time",0),AR55*(1+$BD$2))</f>
        <v>12</v>
      </c>
      <c r="AT55" s="14" cm="1">
        <f t="array" ref="AT55">IFERROR(_xlfn.IFS(VALUE(MID(AT$5,6,1))&gt;$D$2,0,$AP55="Annual",1,AS55=12,12,$AP55="Monthly V",AS55*(1+$BD$2),$AP55="Monthly F",12,$AP55="One-Time",0),AS55*(1+$BD$2))</f>
        <v>12</v>
      </c>
      <c r="AU55" s="14" cm="1">
        <f t="array" ref="AU55">IFERROR(_xlfn.IFS(VALUE(MID(AU$5,6,1))&gt;$D$2,0,$AP55="Annual",1,AT55=12,12,$AP55="Monthly V",AT55*(1+$BD$2),$AP55="Monthly F",12,$AP55="One-Time",0),AT55*(1+$BD$2))</f>
        <v>12</v>
      </c>
      <c r="AV55" s="14" cm="1">
        <f t="array" ref="AV55">IFERROR(_xlfn.IFS(VALUE(MID(AV$5,6,1))&gt;$D$2,0,$AP55="Annual",1,AU55=12,12,$AP55="Monthly V",AU55*(1+$BD$2),$AP55="Monthly F",12,$AP55="One-Time",0),AU55*(1+$BD$2))</f>
        <v>12</v>
      </c>
      <c r="AW55" s="14" cm="1">
        <f t="array" ref="AW55">IFERROR(_xlfn.IFS(VALUE(MID(AW$5,6,1))&gt;$D$2,0,$AP55="Annual",1,AV55=12,12,$AP55="Monthly V",AV55*(1+$BD$2),$AP55="Monthly F",12,$AP55="One-Time",0),AV55*(1+$BD$2))</f>
        <v>12</v>
      </c>
      <c r="AX55" s="14" cm="1">
        <f t="array" ref="AX55">IFERROR(_xlfn.IFS(VALUE(MID(AX$5,6,1))&gt;$D$2,0,$AP55="Annual",1,AW55=12,12,$AP55="Monthly V",AW55*(1+$BD$2),$AP55="Monthly F",12,$AP55="One-Time",0),AW55*(1+$BD$2))</f>
        <v>12</v>
      </c>
      <c r="AY55" s="14" cm="1">
        <f t="array" ref="AY55">IFERROR(_xlfn.IFS(VALUE(MID(AY$5,6,1))&gt;$D$2,0,$AP55="Annual",1,AX55=12,12,$AP55="Monthly V",AX55*(1+$D$3),$AP55="Monthly F",12,$AP55="One-Time",0),AX55*(1+$D$3))</f>
        <v>0</v>
      </c>
      <c r="AZ55" s="14" cm="1">
        <f t="array" ref="AZ55">IFERROR(_xlfn.IFS(VALUE(MID(AZ$5,6,1))&gt;$D$2,0,$AP55="Annual",1,AY55=12,12,$AP55="Monthly V",AY55*(1+$D$3),$AP55="Monthly F",12,$AP55="One-Time",0),AY55*(1+$D$3))</f>
        <v>0</v>
      </c>
      <c r="BA55" s="125" cm="1">
        <f t="array" ref="BA55">IFERROR(_xlfn.IFS(VALUE(MID(BA$5,6,2))&gt;$D$2,0,$AP55="Annual",1,AZ55=12,12,$AP55="Monthly V",AZ55*(1+$D$3),$AP55="Monthly F",12,$AP55="One-Time",0),AZ55*(1+$D$3))</f>
        <v>0</v>
      </c>
      <c r="BB55" s="148" t="s">
        <v>199</v>
      </c>
      <c r="BC55" s="38" t="s">
        <v>227</v>
      </c>
      <c r="BD55" s="36">
        <v>250</v>
      </c>
      <c r="BE55" s="21">
        <f t="shared" si="164"/>
        <v>250</v>
      </c>
      <c r="BF55" s="39">
        <f t="shared" si="44"/>
        <v>3000</v>
      </c>
      <c r="BG55" s="39">
        <f t="shared" si="17"/>
        <v>3000</v>
      </c>
      <c r="BH55" s="39">
        <f t="shared" si="18"/>
        <v>3000</v>
      </c>
      <c r="BI55" s="39">
        <f t="shared" si="19"/>
        <v>3090</v>
      </c>
      <c r="BJ55" s="39">
        <f t="shared" ref="BJ55:BL55" si="251">BI55*1.03</f>
        <v>3182.7000000000003</v>
      </c>
      <c r="BK55" s="39">
        <f t="shared" si="251"/>
        <v>3278.1810000000005</v>
      </c>
      <c r="BL55" s="39">
        <f t="shared" si="251"/>
        <v>3376.5264300000008</v>
      </c>
      <c r="BM55" s="39">
        <f t="shared" si="166"/>
        <v>0</v>
      </c>
      <c r="BN55" s="39">
        <f t="shared" si="166"/>
        <v>0</v>
      </c>
      <c r="BO55" s="39">
        <f t="shared" si="166"/>
        <v>0</v>
      </c>
      <c r="BP55" s="40"/>
      <c r="BQ55" s="40">
        <f t="shared" si="167"/>
        <v>90.000000000000085</v>
      </c>
      <c r="BR55" s="40">
        <f t="shared" si="168"/>
        <v>182.69999999999987</v>
      </c>
      <c r="BS55" s="40">
        <f t="shared" si="169"/>
        <v>286.52643</v>
      </c>
      <c r="BT55" s="40">
        <f t="shared" si="170"/>
        <v>399.45688958699975</v>
      </c>
      <c r="BU55" s="40">
        <f t="shared" si="171"/>
        <v>522.12924416284784</v>
      </c>
      <c r="BV55" s="40">
        <f t="shared" si="172"/>
        <v>655.22270803236563</v>
      </c>
      <c r="BW55" s="40">
        <f t="shared" si="173"/>
        <v>0</v>
      </c>
      <c r="BX55" s="40">
        <f t="shared" si="174"/>
        <v>0</v>
      </c>
      <c r="BY55" s="40">
        <f t="shared" si="175"/>
        <v>0</v>
      </c>
      <c r="BZ55" s="40">
        <f t="shared" si="176"/>
        <v>2136.0352717822129</v>
      </c>
      <c r="CA55" s="37">
        <f t="shared" si="177"/>
        <v>24063.442701782216</v>
      </c>
      <c r="CC55" s="102"/>
      <c r="CD55" s="12"/>
      <c r="CE55" s="14">
        <f t="shared" si="178"/>
        <v>0</v>
      </c>
      <c r="CF55" s="14" cm="1">
        <f t="array" ref="CF55">IFERROR(_xlfn.IFS(VALUE(MID(CF$5,6,1))&gt;$D$2,0,$CC55="Annual",1,CE55=12,12,$CC55="Monthly V",CE55*(1+$D$3),$CC55="Monthly F",12,$CC55="One-Time",0),CE55*(1+$D$3))</f>
        <v>0</v>
      </c>
      <c r="CG55" s="14" cm="1">
        <f t="array" ref="CG55">IFERROR(_xlfn.IFS(VALUE(MID(CG$5,6,1))&gt;$D$2,0,$CC55="Annual",1,CF55=12,12,$CC55="Monthly V",CF55*(1+$D$3),$CC55="Monthly F",12,$CC55="One-Time",0),CF55*(1+$D$3))</f>
        <v>0</v>
      </c>
      <c r="CH55" s="14" cm="1">
        <f t="array" ref="CH55">IFERROR(_xlfn.IFS(VALUE(MID(CH$5,6,1))&gt;$D$2,0,$CC55="Annual",1,CG55=12,12,$CC55="Monthly V",CG55*(1+$D$3),$CC55="Monthly F",12,$CC55="One-Time",0),CG55*(1+$D$3))</f>
        <v>0</v>
      </c>
      <c r="CI55" s="14" cm="1">
        <f t="array" ref="CI55">IFERROR(_xlfn.IFS(VALUE(MID(CI$5,6,1))&gt;$D$2,0,$CC55="Annual",1,CH55=12,12,$CC55="Monthly V",CH55*(1+$D$3),$CC55="Monthly F",12,$CC55="One-Time",0),CH55*(1+$D$3))</f>
        <v>0</v>
      </c>
      <c r="CJ55" s="14" cm="1">
        <f t="array" ref="CJ55">IFERROR(_xlfn.IFS(VALUE(MID(CJ$5,6,1))&gt;$D$2,0,$CC55="Annual",1,CI55=12,12,$CC55="Monthly V",CI55*(1+$D$3),$CC55="Monthly F",12,$CC55="One-Time",0),CI55*(1+$D$3))</f>
        <v>0</v>
      </c>
      <c r="CK55" s="14" cm="1">
        <f t="array" ref="CK55">IFERROR(_xlfn.IFS(VALUE(MID(CK$5,6,1))&gt;$D$2,0,$CC55="Annual",1,CJ55=12,12,$CC55="Monthly V",CJ55*(1+$D$3),$CC55="Monthly F",12,$CC55="One-Time",0),CJ55*(1+$D$3))</f>
        <v>0</v>
      </c>
      <c r="CL55" s="14" cm="1">
        <f t="array" ref="CL55">IFERROR(_xlfn.IFS(VALUE(MID(CL$5,6,1))&gt;$D$2,0,$CC55="Annual",1,CK55=12,12,$CC55="Monthly V",CK55*(1+$D$3),$CC55="Monthly F",12,$CC55="One-Time",0),CK55*(1+$D$3))</f>
        <v>0</v>
      </c>
      <c r="CM55" s="14" cm="1">
        <f t="array" ref="CM55">IFERROR(_xlfn.IFS(VALUE(MID(CM$5,6,1))&gt;$D$2,0,$CC55="Annual",1,CL55=12,12,$CC55="Monthly V",CL55*(1+$D$3),$CC55="Monthly F",12,$CC55="One-Time",0),CL55*(1+$D$3))</f>
        <v>0</v>
      </c>
      <c r="CN55" s="24" cm="1">
        <f t="array" ref="CN55">IFERROR(_xlfn.IFS(VALUE(MID(CN$5,6,2))&gt;$D$2,0,$CC55="Annual",1,CM55=12,12,$CC55="Monthly V",CM55*(1+$D$3),$CC55="Monthly F",12,$CC55="One-Time",0),CM55*(1+$D$3))</f>
        <v>0</v>
      </c>
      <c r="CO55" s="63"/>
      <c r="CP55" s="53"/>
      <c r="CQ55" s="21">
        <f t="shared" si="179"/>
        <v>0</v>
      </c>
      <c r="CR55" s="55">
        <f t="shared" si="180"/>
        <v>0</v>
      </c>
      <c r="CS55" s="55">
        <f t="shared" si="180"/>
        <v>0</v>
      </c>
      <c r="CT55" s="55">
        <f t="shared" si="180"/>
        <v>0</v>
      </c>
      <c r="CU55" s="55">
        <f t="shared" si="180"/>
        <v>0</v>
      </c>
      <c r="CV55" s="55">
        <f t="shared" si="180"/>
        <v>0</v>
      </c>
      <c r="CW55" s="55">
        <f t="shared" si="180"/>
        <v>0</v>
      </c>
      <c r="CX55" s="55">
        <f t="shared" si="180"/>
        <v>0</v>
      </c>
      <c r="CY55" s="55">
        <f t="shared" si="180"/>
        <v>0</v>
      </c>
      <c r="CZ55" s="55">
        <f t="shared" si="180"/>
        <v>0</v>
      </c>
      <c r="DA55" s="55">
        <f t="shared" si="180"/>
        <v>0</v>
      </c>
      <c r="DB55" s="56"/>
      <c r="DC55" s="56">
        <f t="shared" si="181"/>
        <v>0</v>
      </c>
      <c r="DD55" s="56">
        <f t="shared" si="182"/>
        <v>0</v>
      </c>
      <c r="DE55" s="56">
        <f t="shared" si="183"/>
        <v>0</v>
      </c>
      <c r="DF55" s="56">
        <f t="shared" si="184"/>
        <v>0</v>
      </c>
      <c r="DG55" s="56">
        <f t="shared" si="185"/>
        <v>0</v>
      </c>
      <c r="DH55" s="56">
        <f t="shared" si="186"/>
        <v>0</v>
      </c>
      <c r="DI55" s="56">
        <f t="shared" si="187"/>
        <v>0</v>
      </c>
      <c r="DJ55" s="56">
        <f t="shared" si="188"/>
        <v>0</v>
      </c>
      <c r="DK55" s="56">
        <f t="shared" si="189"/>
        <v>0</v>
      </c>
      <c r="DL55" s="57">
        <f t="shared" si="190"/>
        <v>0</v>
      </c>
      <c r="DM55" s="54">
        <f t="shared" si="191"/>
        <v>0</v>
      </c>
      <c r="DO55" s="106"/>
    </row>
    <row r="56" spans="2:119" x14ac:dyDescent="0.25">
      <c r="B56" s="188"/>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c r="AA56" s="189"/>
      <c r="AB56" s="189"/>
      <c r="AC56" s="189"/>
      <c r="AD56" s="189"/>
      <c r="AE56" s="189"/>
      <c r="AF56" s="189"/>
      <c r="AG56" s="189"/>
      <c r="AH56" s="189"/>
      <c r="AI56" s="189"/>
      <c r="AJ56" s="189"/>
      <c r="AK56" s="189"/>
      <c r="AL56" s="189"/>
      <c r="AM56" s="189"/>
      <c r="AN56" s="190"/>
      <c r="AP56" s="102" t="s">
        <v>0</v>
      </c>
      <c r="AQ56" s="12">
        <v>1</v>
      </c>
      <c r="AR56" s="14">
        <f t="shared" si="15"/>
        <v>12</v>
      </c>
      <c r="AS56" s="14" cm="1">
        <f t="array" ref="AS56">IFERROR(_xlfn.IFS(VALUE(MID(AS$5,6,1))&gt;$D$2,0,$AP56="Annual",1,AR56=12,12,$AP56="Monthly V",AR56*(1+$BD$2),$AP56="Monthly F",12,$AP56="One-Time",0),AR56*(1+$BD$2))</f>
        <v>12</v>
      </c>
      <c r="AT56" s="14" cm="1">
        <f t="array" ref="AT56">IFERROR(_xlfn.IFS(VALUE(MID(AT$5,6,1))&gt;$D$2,0,$AP56="Annual",1,AS56=12,12,$AP56="Monthly V",AS56*(1+$BD$2),$AP56="Monthly F",12,$AP56="One-Time",0),AS56*(1+$BD$2))</f>
        <v>12</v>
      </c>
      <c r="AU56" s="14" cm="1">
        <f t="array" ref="AU56">IFERROR(_xlfn.IFS(VALUE(MID(AU$5,6,1))&gt;$D$2,0,$AP56="Annual",1,AT56=12,12,$AP56="Monthly V",AT56*(1+$BD$2),$AP56="Monthly F",12,$AP56="One-Time",0),AT56*(1+$BD$2))</f>
        <v>12</v>
      </c>
      <c r="AV56" s="14" cm="1">
        <f t="array" ref="AV56">IFERROR(_xlfn.IFS(VALUE(MID(AV$5,6,1))&gt;$D$2,0,$AP56="Annual",1,AU56=12,12,$AP56="Monthly V",AU56*(1+$BD$2),$AP56="Monthly F",12,$AP56="One-Time",0),AU56*(1+$BD$2))</f>
        <v>12</v>
      </c>
      <c r="AW56" s="14" cm="1">
        <f t="array" ref="AW56">IFERROR(_xlfn.IFS(VALUE(MID(AW$5,6,1))&gt;$D$2,0,$AP56="Annual",1,AV56=12,12,$AP56="Monthly V",AV56*(1+$BD$2),$AP56="Monthly F",12,$AP56="One-Time",0),AV56*(1+$BD$2))</f>
        <v>12</v>
      </c>
      <c r="AX56" s="14" cm="1">
        <f t="array" ref="AX56">IFERROR(_xlfn.IFS(VALUE(MID(AX$5,6,1))&gt;$D$2,0,$AP56="Annual",1,AW56=12,12,$AP56="Monthly V",AW56*(1+$BD$2),$AP56="Monthly F",12,$AP56="One-Time",0),AW56*(1+$BD$2))</f>
        <v>12</v>
      </c>
      <c r="AY56" s="14" cm="1">
        <f t="array" ref="AY56">IFERROR(_xlfn.IFS(VALUE(MID(AY$5,6,1))&gt;$D$2,0,$AP56="Annual",1,AX56=12,12,$AP56="Monthly V",AX56*(1+$D$3),$AP56="Monthly F",12,$AP56="One-Time",0),AX56*(1+$D$3))</f>
        <v>0</v>
      </c>
      <c r="AZ56" s="14" cm="1">
        <f t="array" ref="AZ56">IFERROR(_xlfn.IFS(VALUE(MID(AZ$5,6,1))&gt;$D$2,0,$AP56="Annual",1,AY56=12,12,$AP56="Monthly V",AY56*(1+$D$3),$AP56="Monthly F",12,$AP56="One-Time",0),AY56*(1+$D$3))</f>
        <v>0</v>
      </c>
      <c r="BA56" s="125" cm="1">
        <f t="array" ref="BA56">IFERROR(_xlfn.IFS(VALUE(MID(BA$5,6,2))&gt;$D$2,0,$AP56="Annual",1,AZ56=12,12,$AP56="Monthly V",AZ56*(1+$D$3),$AP56="Monthly F",12,$AP56="One-Time",0),AZ56*(1+$D$3))</f>
        <v>0</v>
      </c>
      <c r="BB56" s="148" t="s">
        <v>198</v>
      </c>
      <c r="BC56" s="38" t="s">
        <v>227</v>
      </c>
      <c r="BD56" s="36">
        <v>100</v>
      </c>
      <c r="BE56" s="21">
        <f t="shared" si="164"/>
        <v>100</v>
      </c>
      <c r="BF56" s="39">
        <f t="shared" si="44"/>
        <v>1200</v>
      </c>
      <c r="BG56" s="39">
        <f t="shared" si="17"/>
        <v>1200</v>
      </c>
      <c r="BH56" s="39">
        <f t="shared" si="18"/>
        <v>1200</v>
      </c>
      <c r="BI56" s="39">
        <f t="shared" si="19"/>
        <v>1236</v>
      </c>
      <c r="BJ56" s="39">
        <f t="shared" ref="BJ56:BL56" si="252">BI56*1.03</f>
        <v>1273.08</v>
      </c>
      <c r="BK56" s="39">
        <f t="shared" si="252"/>
        <v>1311.2724000000001</v>
      </c>
      <c r="BL56" s="39">
        <f t="shared" si="252"/>
        <v>1350.610572</v>
      </c>
      <c r="BM56" s="39">
        <f t="shared" si="166"/>
        <v>0</v>
      </c>
      <c r="BN56" s="39">
        <f t="shared" si="166"/>
        <v>0</v>
      </c>
      <c r="BO56" s="39">
        <f t="shared" si="166"/>
        <v>0</v>
      </c>
      <c r="BP56" s="40"/>
      <c r="BQ56" s="40">
        <f t="shared" si="167"/>
        <v>36.000000000000028</v>
      </c>
      <c r="BR56" s="40">
        <f t="shared" si="168"/>
        <v>73.079999999999941</v>
      </c>
      <c r="BS56" s="40">
        <f t="shared" si="169"/>
        <v>114.610572</v>
      </c>
      <c r="BT56" s="40">
        <f t="shared" si="170"/>
        <v>159.78275583479987</v>
      </c>
      <c r="BU56" s="40">
        <f t="shared" si="171"/>
        <v>208.85169766513914</v>
      </c>
      <c r="BV56" s="40">
        <f t="shared" si="172"/>
        <v>262.08908321294621</v>
      </c>
      <c r="BW56" s="40">
        <f t="shared" si="173"/>
        <v>0</v>
      </c>
      <c r="BX56" s="40">
        <f t="shared" si="174"/>
        <v>0</v>
      </c>
      <c r="BY56" s="40">
        <f t="shared" si="175"/>
        <v>0</v>
      </c>
      <c r="BZ56" s="40">
        <f t="shared" si="176"/>
        <v>854.4141087128852</v>
      </c>
      <c r="CA56" s="37">
        <f t="shared" si="177"/>
        <v>9625.377080712884</v>
      </c>
      <c r="CC56" s="102"/>
      <c r="CD56" s="12"/>
      <c r="CE56" s="14"/>
      <c r="CF56" s="14"/>
      <c r="CG56" s="14"/>
      <c r="CH56" s="14"/>
      <c r="CI56" s="14"/>
      <c r="CJ56" s="14"/>
      <c r="CK56" s="14"/>
      <c r="CL56" s="14"/>
      <c r="CM56" s="14"/>
      <c r="CN56" s="24"/>
      <c r="CO56" s="63"/>
      <c r="CP56" s="53"/>
      <c r="CQ56" s="21"/>
      <c r="CR56" s="55"/>
      <c r="CS56" s="55"/>
      <c r="CT56" s="55"/>
      <c r="CU56" s="55"/>
      <c r="CV56" s="55"/>
      <c r="CW56" s="55"/>
      <c r="CX56" s="55"/>
      <c r="CY56" s="55"/>
      <c r="CZ56" s="55"/>
      <c r="DA56" s="55"/>
      <c r="DB56" s="56"/>
      <c r="DC56" s="56"/>
      <c r="DD56" s="56"/>
      <c r="DE56" s="56"/>
      <c r="DF56" s="56"/>
      <c r="DG56" s="56"/>
      <c r="DH56" s="56"/>
      <c r="DI56" s="56"/>
      <c r="DJ56" s="56"/>
      <c r="DK56" s="56"/>
      <c r="DL56" s="57"/>
      <c r="DM56" s="54"/>
      <c r="DO56" s="106"/>
    </row>
    <row r="57" spans="2:119" x14ac:dyDescent="0.25">
      <c r="B57" s="188"/>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c r="AA57" s="189"/>
      <c r="AB57" s="189"/>
      <c r="AC57" s="189"/>
      <c r="AD57" s="189"/>
      <c r="AE57" s="189"/>
      <c r="AF57" s="189"/>
      <c r="AG57" s="189"/>
      <c r="AH57" s="189"/>
      <c r="AI57" s="189"/>
      <c r="AJ57" s="189"/>
      <c r="AK57" s="189"/>
      <c r="AL57" s="189"/>
      <c r="AM57" s="189"/>
      <c r="AN57" s="190"/>
      <c r="AP57" s="102"/>
      <c r="AQ57" s="12"/>
      <c r="AR57" s="14"/>
      <c r="AS57" s="14"/>
      <c r="AT57" s="14"/>
      <c r="AU57" s="14"/>
      <c r="AV57" s="14"/>
      <c r="AW57" s="14"/>
      <c r="AX57" s="14"/>
      <c r="AY57" s="14"/>
      <c r="AZ57" s="14"/>
      <c r="BA57" s="125"/>
      <c r="BB57" s="148"/>
      <c r="BC57" s="38"/>
      <c r="BD57" s="36"/>
      <c r="BE57" s="21"/>
      <c r="BF57" s="39"/>
      <c r="BG57" s="39"/>
      <c r="BH57" s="39"/>
      <c r="BI57" s="39">
        <f t="shared" si="19"/>
        <v>0</v>
      </c>
      <c r="BJ57" s="39">
        <f t="shared" ref="BJ57:BL57" si="253">BI57*1.03</f>
        <v>0</v>
      </c>
      <c r="BK57" s="39">
        <f t="shared" si="253"/>
        <v>0</v>
      </c>
      <c r="BL57" s="39">
        <f t="shared" si="253"/>
        <v>0</v>
      </c>
      <c r="BM57" s="39"/>
      <c r="BN57" s="39"/>
      <c r="BO57" s="39"/>
      <c r="BP57" s="40"/>
      <c r="BQ57" s="40"/>
      <c r="BR57" s="40"/>
      <c r="BS57" s="40"/>
      <c r="BT57" s="40"/>
      <c r="BU57" s="40"/>
      <c r="BV57" s="40"/>
      <c r="BW57" s="40"/>
      <c r="BX57" s="40"/>
      <c r="BY57" s="40"/>
      <c r="BZ57" s="40"/>
      <c r="CA57" s="37"/>
      <c r="CC57" s="102"/>
      <c r="CD57" s="12"/>
      <c r="CE57" s="14"/>
      <c r="CF57" s="14"/>
      <c r="CG57" s="14"/>
      <c r="CH57" s="14"/>
      <c r="CI57" s="14"/>
      <c r="CJ57" s="14"/>
      <c r="CK57" s="14"/>
      <c r="CL57" s="14"/>
      <c r="CM57" s="14"/>
      <c r="CN57" s="24"/>
      <c r="CO57" s="63"/>
      <c r="CP57" s="53"/>
      <c r="CQ57" s="21"/>
      <c r="CR57" s="55"/>
      <c r="CS57" s="55"/>
      <c r="CT57" s="55"/>
      <c r="CU57" s="55"/>
      <c r="CV57" s="55"/>
      <c r="CW57" s="55"/>
      <c r="CX57" s="55"/>
      <c r="CY57" s="55"/>
      <c r="CZ57" s="55"/>
      <c r="DA57" s="55"/>
      <c r="DB57" s="56"/>
      <c r="DC57" s="56"/>
      <c r="DD57" s="56"/>
      <c r="DE57" s="56"/>
      <c r="DF57" s="56"/>
      <c r="DG57" s="56"/>
      <c r="DH57" s="56"/>
      <c r="DI57" s="56"/>
      <c r="DJ57" s="56"/>
      <c r="DK57" s="56"/>
      <c r="DL57" s="57"/>
      <c r="DM57" s="54"/>
      <c r="DO57" s="106"/>
    </row>
    <row r="58" spans="2:119" x14ac:dyDescent="0.25">
      <c r="B58" s="141" t="s">
        <v>0</v>
      </c>
      <c r="C58" s="24">
        <v>1</v>
      </c>
      <c r="D58" s="147">
        <f t="shared" ref="D58:D60" si="254">IFERROR(AVERAGE(C58:C58),0)</f>
        <v>1</v>
      </c>
      <c r="E58" s="142">
        <f t="shared" ref="E58:E60" si="255">IF($B58="Annual",1,IF($B58="Monthly F",12,IF($B58="Monthly V",D58*12,IF($B58="One-Time",1,D58*12))))</f>
        <v>12</v>
      </c>
      <c r="F58" s="14" cm="1">
        <f t="array" ref="F58">IFERROR(_xlfn.IFS(VALUE(MID(F$5,6,1))&gt;$D$2,0,$B58="Annual",1,E58=12,12,$B58="Monthly V",E58*(1+$D$3),$B58="Monthly F",12,$B58="One-Time",0),E58*(1+$D$3))</f>
        <v>12</v>
      </c>
      <c r="G58" s="14" cm="1">
        <f t="array" ref="G58">IFERROR(_xlfn.IFS(VALUE(MID(G$5,6,1))&gt;$D$2,0,$B58="Annual",1,F58=12,12,$B58="Monthly V",F58*(1+$D$3),$B58="Monthly F",12,$B58="One-Time",0),F58*(1+$D$3))</f>
        <v>12</v>
      </c>
      <c r="H58" s="14" cm="1">
        <f t="array" ref="H58">IFERROR(_xlfn.IFS(VALUE(MID(H$5,6,1))&gt;$D$2,0,$B58="Annual",1,G58=12,12,$B58="Monthly V",G58*(1+$D$3),$B58="Monthly F",12,$B58="One-Time",0),G58*(1+$D$3))</f>
        <v>12</v>
      </c>
      <c r="I58" s="14" cm="1">
        <f t="array" ref="I58">IFERROR(_xlfn.IFS(VALUE(MID(I$5,6,1))&gt;$D$2,0,$B58="Annual",1,H58=12,12,$B58="Monthly V",H58*(1+$D$3),$B58="Monthly F",12,$B58="One-Time",0),H58*(1+$D$3))</f>
        <v>12</v>
      </c>
      <c r="J58" s="14" cm="1">
        <f t="array" ref="J58">IFERROR(_xlfn.IFS(VALUE(MID(J$5,6,1))&gt;$D$2,0,$B58="Annual",1,I58=12,12,$B58="Monthly V",I58*(1+$D$3),$B58="Monthly F",12,$B58="One-Time",0),I58*(1+$D$3))</f>
        <v>12</v>
      </c>
      <c r="K58" s="14" cm="1">
        <f t="array" ref="K58">IFERROR(_xlfn.IFS(VALUE(MID(K$5,6,1))&gt;$D$2,0,$B58="Annual",1,J58=12,12,$B58="Monthly V",J58*(1+$D$3),$B58="Monthly F",12,$B58="One-Time",0),J58*(1+$D$3))</f>
        <v>12</v>
      </c>
      <c r="L58" s="14" cm="1">
        <f t="array" ref="L58">IFERROR(_xlfn.IFS(VALUE(MID(L$5,6,1))&gt;$D$2,0,$B58="Annual",1,K58=12,12,$B58="Monthly V",K58*(1+$D$3),$B58="Monthly F",12,$B58="One-Time",0),K58*(1+$D$3))</f>
        <v>0</v>
      </c>
      <c r="M58" s="14" cm="1">
        <f t="array" ref="M58">IFERROR(_xlfn.IFS(VALUE(MID(M$5,6,1))&gt;$D$2,0,$B58="Annual",1,L58=12,12,$B58="Monthly V",L58*(1+$D$3),$B58="Monthly F",12,$B58="One-Time",0),L58*(1+$D$3))</f>
        <v>0</v>
      </c>
      <c r="N58" s="24" cm="1">
        <f t="array" ref="N58">IFERROR(_xlfn.IFS(VALUE(MID(N$5,6,2))&gt;$D$2,0,$B58="Annual",1,M58=12,12,$B58="Monthly V",M58*(1+$D$3),$B58="Monthly F",12,$B58="One-Time",0),M58*(1+$D$3))</f>
        <v>0</v>
      </c>
      <c r="O58" s="127" t="s">
        <v>113</v>
      </c>
      <c r="P58" s="13"/>
      <c r="Q58" s="20">
        <v>2088</v>
      </c>
      <c r="R58" s="21">
        <f t="shared" ref="R58:R68" si="256">S58/12</f>
        <v>2088</v>
      </c>
      <c r="S58" s="6">
        <f t="shared" ref="S58:AB68" si="257">IFERROR($Q58*E58,0)</f>
        <v>25056</v>
      </c>
      <c r="T58" s="6">
        <f t="shared" si="257"/>
        <v>25056</v>
      </c>
      <c r="U58" s="6">
        <f t="shared" si="257"/>
        <v>25056</v>
      </c>
      <c r="V58" s="6">
        <f t="shared" si="257"/>
        <v>25056</v>
      </c>
      <c r="W58" s="6">
        <f t="shared" si="257"/>
        <v>25056</v>
      </c>
      <c r="X58" s="6">
        <f t="shared" si="257"/>
        <v>25056</v>
      </c>
      <c r="Y58" s="6">
        <f t="shared" si="257"/>
        <v>25056</v>
      </c>
      <c r="Z58" s="6">
        <f t="shared" si="257"/>
        <v>0</v>
      </c>
      <c r="AA58" s="6">
        <f t="shared" si="257"/>
        <v>0</v>
      </c>
      <c r="AB58" s="6">
        <f t="shared" si="257"/>
        <v>0</v>
      </c>
      <c r="AC58" s="7"/>
      <c r="AD58" s="152">
        <f t="shared" ref="AD58:AD68" si="258">IF(VALUE(MID(AD$5,6,1))&lt;=$D$2,((1+$Q$3)^1-1)*T58,0)</f>
        <v>751.68000000000063</v>
      </c>
      <c r="AE58" s="152">
        <f t="shared" ref="AE58:AE68" si="259">IF(VALUE(MID(AE$5,6,1))&lt;=$D$2,((1+$Q$3)^2-1)*U58,0)</f>
        <v>1525.9103999999988</v>
      </c>
      <c r="AF58" s="152">
        <f t="shared" ref="AF58:AF68" si="260">IF(VALUE(MID(AF$5,6,1))&lt;=$D$2,((1+$Q$3)^3-1)*V58,0)</f>
        <v>2323.3677120000002</v>
      </c>
      <c r="AG58" s="152">
        <f t="shared" ref="AG58:AG68" si="261">IF(VALUE(MID(AG$5,6,1))&lt;=$D$2,((1+$Q$3)^4-1)*W58,0)</f>
        <v>3144.7487433599977</v>
      </c>
      <c r="AH58" s="152">
        <f t="shared" ref="AH58:AH68" si="262">IF(VALUE(MID(AH$5,6,1))&lt;=$D$2,((1+$Q$3)^5-1)*X58,0)</f>
        <v>3990.7712056607961</v>
      </c>
      <c r="AI58" s="152">
        <f t="shared" ref="AI58:AI68" si="263">IF(VALUE(MID(AI$5,6,1))&lt;=$D$2,((1+$Q$3)^6-1)*Y58,0)</f>
        <v>4862.1743418306214</v>
      </c>
      <c r="AJ58" s="152">
        <f t="shared" ref="AJ58:AJ68" si="264">IF(VALUE(MID(AJ$5,6,1))&lt;=$D$2,((1+$Q$3)^7-1)*Z58,0)</f>
        <v>0</v>
      </c>
      <c r="AK58" s="152">
        <f t="shared" ref="AK58:AK68" si="265">IF(VALUE(MID(AK$5,6,1))&lt;=$D$2,((1+$Q$3)^8-1)*AA58,0)</f>
        <v>0</v>
      </c>
      <c r="AL58" s="152">
        <f t="shared" ref="AL58:AL68" si="266">IF(VALUE(MID(AL$5,6,2))&lt;=$D$2,((1+$Q$3)^9-1)*AB58,0)</f>
        <v>0</v>
      </c>
      <c r="AM58" s="9">
        <f t="shared" ref="AM58:AM67" si="267">SUM(AC58:AL58)</f>
        <v>16598.652402851418</v>
      </c>
      <c r="AN58" s="80">
        <f t="shared" ref="AN58:AN68" si="268">SUM(AM58,S58:AB58)</f>
        <v>191990.65240285141</v>
      </c>
      <c r="AP58" s="102" t="s">
        <v>0</v>
      </c>
      <c r="AQ58" s="12">
        <v>1</v>
      </c>
      <c r="AR58" s="14">
        <f t="shared" si="15"/>
        <v>12</v>
      </c>
      <c r="AS58" s="14" cm="1">
        <f t="array" ref="AS58">IFERROR(_xlfn.IFS(VALUE(MID(AS$5,6,1))&gt;$D$2,0,$AP58="Annual",1,AR58=12,12,$AP58="Monthly V",AR58*(1+$BD$2),$AP58="Monthly F",12,$AP58="One-Time",0),AR58*(1+$BD$2))</f>
        <v>12</v>
      </c>
      <c r="AT58" s="14" cm="1">
        <f t="array" ref="AT58">IFERROR(_xlfn.IFS(VALUE(MID(AT$5,6,1))&gt;$D$2,0,$AP58="Annual",1,AS58=12,12,$AP58="Monthly V",AS58*(1+$BD$2),$AP58="Monthly F",12,$AP58="One-Time",0),AS58*(1+$BD$2))</f>
        <v>12</v>
      </c>
      <c r="AU58" s="14" cm="1">
        <f t="array" ref="AU58">IFERROR(_xlfn.IFS(VALUE(MID(AU$5,6,1))&gt;$D$2,0,$AP58="Annual",1,AT58=12,12,$AP58="Monthly V",AT58*(1+$BD$2),$AP58="Monthly F",12,$AP58="One-Time",0),AT58*(1+$BD$2))</f>
        <v>12</v>
      </c>
      <c r="AV58" s="14" cm="1">
        <f t="array" ref="AV58">IFERROR(_xlfn.IFS(VALUE(MID(AV$5,6,1))&gt;$D$2,0,$AP58="Annual",1,AU58=12,12,$AP58="Monthly V",AU58*(1+$BD$2),$AP58="Monthly F",12,$AP58="One-Time",0),AU58*(1+$BD$2))</f>
        <v>12</v>
      </c>
      <c r="AW58" s="14" cm="1">
        <f t="array" ref="AW58">IFERROR(_xlfn.IFS(VALUE(MID(AW$5,6,1))&gt;$D$2,0,$AP58="Annual",1,AV58=12,12,$AP58="Monthly V",AV58*(1+$BD$2),$AP58="Monthly F",12,$AP58="One-Time",0),AV58*(1+$BD$2))</f>
        <v>12</v>
      </c>
      <c r="AX58" s="14" cm="1">
        <f t="array" ref="AX58">IFERROR(_xlfn.IFS(VALUE(MID(AX$5,6,1))&gt;$D$2,0,$AP58="Annual",1,AW58=12,12,$AP58="Monthly V",AW58*(1+$BD$2),$AP58="Monthly F",12,$AP58="One-Time",0),AW58*(1+$BD$2))</f>
        <v>12</v>
      </c>
      <c r="AY58" s="14" cm="1">
        <f t="array" ref="AY58">IFERROR(_xlfn.IFS(VALUE(MID(AY$5,6,1))&gt;$D$2,0,$AP58="Annual",1,AX58=12,12,$AP58="Monthly V",AX58*(1+$D$3),$AP58="Monthly F",12,$AP58="One-Time",0),AX58*(1+$D$3))</f>
        <v>0</v>
      </c>
      <c r="AZ58" s="14" cm="1">
        <f t="array" ref="AZ58">IFERROR(_xlfn.IFS(VALUE(MID(AZ$5,6,1))&gt;$D$2,0,$AP58="Annual",1,AY58=12,12,$AP58="Monthly V",AY58*(1+$D$3),$AP58="Monthly F",12,$AP58="One-Time",0),AY58*(1+$D$3))</f>
        <v>0</v>
      </c>
      <c r="BA58" s="125" cm="1">
        <f t="array" ref="BA58">IFERROR(_xlfn.IFS(VALUE(MID(BA$5,6,2))&gt;$D$2,0,$AP58="Annual",1,AZ58=12,12,$AP58="Monthly V",AZ58*(1+$D$3),$AP58="Monthly F",12,$AP58="One-Time",0),AZ58*(1+$D$3))</f>
        <v>0</v>
      </c>
      <c r="BB58" s="148" t="s">
        <v>200</v>
      </c>
      <c r="BC58" s="38" t="s">
        <v>228</v>
      </c>
      <c r="BD58" s="36">
        <v>350</v>
      </c>
      <c r="BE58" s="21">
        <f t="shared" si="164"/>
        <v>350</v>
      </c>
      <c r="BF58" s="39">
        <f t="shared" si="44"/>
        <v>4200</v>
      </c>
      <c r="BG58" s="39">
        <f t="shared" si="17"/>
        <v>4200</v>
      </c>
      <c r="BH58" s="39">
        <f t="shared" si="18"/>
        <v>4200</v>
      </c>
      <c r="BI58" s="39">
        <f t="shared" si="19"/>
        <v>4326</v>
      </c>
      <c r="BJ58" s="39">
        <f t="shared" ref="BJ58:BL58" si="269">BI58*1.03</f>
        <v>4455.78</v>
      </c>
      <c r="BK58" s="39">
        <f t="shared" si="269"/>
        <v>4589.4533999999994</v>
      </c>
      <c r="BL58" s="39">
        <f t="shared" si="269"/>
        <v>4727.1370019999995</v>
      </c>
      <c r="BM58" s="39">
        <f t="shared" si="166"/>
        <v>0</v>
      </c>
      <c r="BN58" s="39">
        <f t="shared" si="166"/>
        <v>0</v>
      </c>
      <c r="BO58" s="39">
        <f t="shared" si="166"/>
        <v>0</v>
      </c>
      <c r="BP58" s="40"/>
      <c r="BQ58" s="40">
        <f t="shared" si="167"/>
        <v>126.00000000000011</v>
      </c>
      <c r="BR58" s="40">
        <f t="shared" si="168"/>
        <v>255.7799999999998</v>
      </c>
      <c r="BS58" s="40">
        <f t="shared" si="169"/>
        <v>401.137002</v>
      </c>
      <c r="BT58" s="40">
        <f t="shared" si="170"/>
        <v>559.23964542179954</v>
      </c>
      <c r="BU58" s="40">
        <f t="shared" si="171"/>
        <v>730.98094182798684</v>
      </c>
      <c r="BV58" s="40">
        <f t="shared" si="172"/>
        <v>917.3117912453115</v>
      </c>
      <c r="BW58" s="40">
        <f t="shared" si="173"/>
        <v>0</v>
      </c>
      <c r="BX58" s="40">
        <f t="shared" si="174"/>
        <v>0</v>
      </c>
      <c r="BY58" s="40">
        <f t="shared" si="175"/>
        <v>0</v>
      </c>
      <c r="BZ58" s="40">
        <f t="shared" si="176"/>
        <v>2990.449380495098</v>
      </c>
      <c r="CA58" s="37">
        <f t="shared" si="177"/>
        <v>33688.819782495091</v>
      </c>
      <c r="CC58" s="102"/>
      <c r="CD58" s="12"/>
      <c r="CE58" s="14">
        <f t="shared" si="178"/>
        <v>0</v>
      </c>
      <c r="CF58" s="14" cm="1">
        <f t="array" ref="CF58">IFERROR(_xlfn.IFS(VALUE(MID(CF$5,6,1))&gt;$D$2,0,$CC58="Annual",1,CE58=12,12,$CC58="Monthly V",CE58*(1+$D$3),$CC58="Monthly F",12,$CC58="One-Time",0),CE58*(1+$D$3))</f>
        <v>0</v>
      </c>
      <c r="CG58" s="14" cm="1">
        <f t="array" ref="CG58">IFERROR(_xlfn.IFS(VALUE(MID(CG$5,6,1))&gt;$D$2,0,$CC58="Annual",1,CF58=12,12,$CC58="Monthly V",CF58*(1+$D$3),$CC58="Monthly F",12,$CC58="One-Time",0),CF58*(1+$D$3))</f>
        <v>0</v>
      </c>
      <c r="CH58" s="14" cm="1">
        <f t="array" ref="CH58">IFERROR(_xlfn.IFS(VALUE(MID(CH$5,6,1))&gt;$D$2,0,$CC58="Annual",1,CG58=12,12,$CC58="Monthly V",CG58*(1+$D$3),$CC58="Monthly F",12,$CC58="One-Time",0),CG58*(1+$D$3))</f>
        <v>0</v>
      </c>
      <c r="CI58" s="14" cm="1">
        <f t="array" ref="CI58">IFERROR(_xlfn.IFS(VALUE(MID(CI$5,6,1))&gt;$D$2,0,$CC58="Annual",1,CH58=12,12,$CC58="Monthly V",CH58*(1+$D$3),$CC58="Monthly F",12,$CC58="One-Time",0),CH58*(1+$D$3))</f>
        <v>0</v>
      </c>
      <c r="CJ58" s="14" cm="1">
        <f t="array" ref="CJ58">IFERROR(_xlfn.IFS(VALUE(MID(CJ$5,6,1))&gt;$D$2,0,$CC58="Annual",1,CI58=12,12,$CC58="Monthly V",CI58*(1+$D$3),$CC58="Monthly F",12,$CC58="One-Time",0),CI58*(1+$D$3))</f>
        <v>0</v>
      </c>
      <c r="CK58" s="14" cm="1">
        <f t="array" ref="CK58">IFERROR(_xlfn.IFS(VALUE(MID(CK$5,6,1))&gt;$D$2,0,$CC58="Annual",1,CJ58=12,12,$CC58="Monthly V",CJ58*(1+$D$3),$CC58="Monthly F",12,$CC58="One-Time",0),CJ58*(1+$D$3))</f>
        <v>0</v>
      </c>
      <c r="CL58" s="14" cm="1">
        <f t="array" ref="CL58">IFERROR(_xlfn.IFS(VALUE(MID(CL$5,6,1))&gt;$D$2,0,$CC58="Annual",1,CK58=12,12,$CC58="Monthly V",CK58*(1+$D$3),$CC58="Monthly F",12,$CC58="One-Time",0),CK58*(1+$D$3))</f>
        <v>0</v>
      </c>
      <c r="CM58" s="14" cm="1">
        <f t="array" ref="CM58">IFERROR(_xlfn.IFS(VALUE(MID(CM$5,6,1))&gt;$D$2,0,$CC58="Annual",1,CL58=12,12,$CC58="Monthly V",CL58*(1+$D$3),$CC58="Monthly F",12,$CC58="One-Time",0),CL58*(1+$D$3))</f>
        <v>0</v>
      </c>
      <c r="CN58" s="24" cm="1">
        <f t="array" ref="CN58">IFERROR(_xlfn.IFS(VALUE(MID(CN$5,6,2))&gt;$D$2,0,$CC58="Annual",1,CM58=12,12,$CC58="Monthly V",CM58*(1+$D$3),$CC58="Monthly F",12,$CC58="One-Time",0),CM58*(1+$D$3))</f>
        <v>0</v>
      </c>
      <c r="CO58" s="63"/>
      <c r="CP58" s="53"/>
      <c r="CQ58" s="21">
        <f t="shared" si="179"/>
        <v>0</v>
      </c>
      <c r="CR58" s="55">
        <f t="shared" si="180"/>
        <v>0</v>
      </c>
      <c r="CS58" s="55">
        <f t="shared" si="180"/>
        <v>0</v>
      </c>
      <c r="CT58" s="55">
        <f t="shared" si="180"/>
        <v>0</v>
      </c>
      <c r="CU58" s="55">
        <f t="shared" si="180"/>
        <v>0</v>
      </c>
      <c r="CV58" s="55">
        <f t="shared" si="180"/>
        <v>0</v>
      </c>
      <c r="CW58" s="55">
        <f t="shared" si="180"/>
        <v>0</v>
      </c>
      <c r="CX58" s="55">
        <f t="shared" si="180"/>
        <v>0</v>
      </c>
      <c r="CY58" s="55">
        <f t="shared" si="180"/>
        <v>0</v>
      </c>
      <c r="CZ58" s="55">
        <f t="shared" si="180"/>
        <v>0</v>
      </c>
      <c r="DA58" s="55">
        <f t="shared" si="180"/>
        <v>0</v>
      </c>
      <c r="DB58" s="56"/>
      <c r="DC58" s="56">
        <f t="shared" si="181"/>
        <v>0</v>
      </c>
      <c r="DD58" s="56">
        <f t="shared" si="182"/>
        <v>0</v>
      </c>
      <c r="DE58" s="56">
        <f t="shared" si="183"/>
        <v>0</v>
      </c>
      <c r="DF58" s="56">
        <f t="shared" si="184"/>
        <v>0</v>
      </c>
      <c r="DG58" s="56">
        <f t="shared" si="185"/>
        <v>0</v>
      </c>
      <c r="DH58" s="56">
        <f t="shared" si="186"/>
        <v>0</v>
      </c>
      <c r="DI58" s="56">
        <f t="shared" si="187"/>
        <v>0</v>
      </c>
      <c r="DJ58" s="56">
        <f t="shared" si="188"/>
        <v>0</v>
      </c>
      <c r="DK58" s="56">
        <f t="shared" si="189"/>
        <v>0</v>
      </c>
      <c r="DL58" s="57">
        <f t="shared" si="190"/>
        <v>0</v>
      </c>
      <c r="DM58" s="54">
        <f t="shared" si="191"/>
        <v>0</v>
      </c>
      <c r="DO58" s="106"/>
    </row>
    <row r="59" spans="2:119" x14ac:dyDescent="0.25">
      <c r="B59" s="141" t="s">
        <v>1</v>
      </c>
      <c r="C59" s="24">
        <v>1</v>
      </c>
      <c r="D59" s="147">
        <f t="shared" si="254"/>
        <v>1</v>
      </c>
      <c r="E59" s="142">
        <f t="shared" si="255"/>
        <v>12</v>
      </c>
      <c r="F59" s="14" cm="1">
        <f t="array" ref="F59">IFERROR(_xlfn.IFS(VALUE(MID(F$5,6,1))&gt;$D$2,0,$B59="Annual",1,E59=12,12,$B59="Monthly V",E59*(1+$D$3),$B59="Monthly F",12,$B59="One-Time",0),E59*(1+$D$3))</f>
        <v>12</v>
      </c>
      <c r="G59" s="14" cm="1">
        <f t="array" ref="G59">IFERROR(_xlfn.IFS(VALUE(MID(G$5,6,1))&gt;$D$2,0,$B59="Annual",1,F59=12,12,$B59="Monthly V",F59*(1+$D$3),$B59="Monthly F",12,$B59="One-Time",0),F59*(1+$D$3))</f>
        <v>12</v>
      </c>
      <c r="H59" s="14" cm="1">
        <f t="array" ref="H59">IFERROR(_xlfn.IFS(VALUE(MID(H$5,6,1))&gt;$D$2,0,$B59="Annual",1,G59=12,12,$B59="Monthly V",G59*(1+$D$3),$B59="Monthly F",12,$B59="One-Time",0),G59*(1+$D$3))</f>
        <v>12</v>
      </c>
      <c r="I59" s="14" cm="1">
        <f t="array" ref="I59">IFERROR(_xlfn.IFS(VALUE(MID(I$5,6,1))&gt;$D$2,0,$B59="Annual",1,H59=12,12,$B59="Monthly V",H59*(1+$D$3),$B59="Monthly F",12,$B59="One-Time",0),H59*(1+$D$3))</f>
        <v>12</v>
      </c>
      <c r="J59" s="14" cm="1">
        <f t="array" ref="J59">IFERROR(_xlfn.IFS(VALUE(MID(J$5,6,1))&gt;$D$2,0,$B59="Annual",1,I59=12,12,$B59="Monthly V",I59*(1+$D$3),$B59="Monthly F",12,$B59="One-Time",0),I59*(1+$D$3))</f>
        <v>12</v>
      </c>
      <c r="K59" s="14" cm="1">
        <f t="array" ref="K59">IFERROR(_xlfn.IFS(VALUE(MID(K$5,6,1))&gt;$D$2,0,$B59="Annual",1,J59=12,12,$B59="Monthly V",J59*(1+$D$3),$B59="Monthly F",12,$B59="One-Time",0),J59*(1+$D$3))</f>
        <v>12</v>
      </c>
      <c r="L59" s="14" cm="1">
        <f t="array" ref="L59">IFERROR(_xlfn.IFS(VALUE(MID(L$5,6,1))&gt;$D$2,0,$B59="Annual",1,K59=12,12,$B59="Monthly V",K59*(1+$D$3),$B59="Monthly F",12,$B59="One-Time",0),K59*(1+$D$3))</f>
        <v>0</v>
      </c>
      <c r="M59" s="14" cm="1">
        <f t="array" ref="M59">IFERROR(_xlfn.IFS(VALUE(MID(M$5,6,1))&gt;$D$2,0,$B59="Annual",1,L59=12,12,$B59="Monthly V",L59*(1+$D$3),$B59="Monthly F",12,$B59="One-Time",0),L59*(1+$D$3))</f>
        <v>0</v>
      </c>
      <c r="N59" s="24" cm="1">
        <f t="array" ref="N59">IFERROR(_xlfn.IFS(VALUE(MID(N$5,6,2))&gt;$D$2,0,$B59="Annual",1,M59=12,12,$B59="Monthly V",M59*(1+$D$3),$B59="Monthly F",12,$B59="One-Time",0),M59*(1+$D$3))</f>
        <v>0</v>
      </c>
      <c r="O59" s="127" t="s">
        <v>114</v>
      </c>
      <c r="P59" s="13"/>
      <c r="Q59" s="20">
        <v>478</v>
      </c>
      <c r="R59" s="21">
        <f t="shared" si="256"/>
        <v>478</v>
      </c>
      <c r="S59" s="6">
        <f t="shared" si="257"/>
        <v>5736</v>
      </c>
      <c r="T59" s="6">
        <f t="shared" si="257"/>
        <v>5736</v>
      </c>
      <c r="U59" s="6">
        <f t="shared" si="257"/>
        <v>5736</v>
      </c>
      <c r="V59" s="6">
        <f t="shared" si="257"/>
        <v>5736</v>
      </c>
      <c r="W59" s="6">
        <f t="shared" si="257"/>
        <v>5736</v>
      </c>
      <c r="X59" s="6">
        <f t="shared" si="257"/>
        <v>5736</v>
      </c>
      <c r="Y59" s="6">
        <f t="shared" si="257"/>
        <v>5736</v>
      </c>
      <c r="Z59" s="6">
        <f t="shared" si="257"/>
        <v>0</v>
      </c>
      <c r="AA59" s="6">
        <f t="shared" si="257"/>
        <v>0</v>
      </c>
      <c r="AB59" s="6">
        <f t="shared" si="257"/>
        <v>0</v>
      </c>
      <c r="AC59" s="7"/>
      <c r="AD59" s="152">
        <f t="shared" si="258"/>
        <v>172.08000000000015</v>
      </c>
      <c r="AE59" s="152">
        <f t="shared" si="259"/>
        <v>349.32239999999973</v>
      </c>
      <c r="AF59" s="152">
        <f t="shared" si="260"/>
        <v>531.88207199999999</v>
      </c>
      <c r="AG59" s="152">
        <f t="shared" si="261"/>
        <v>719.91853415999947</v>
      </c>
      <c r="AH59" s="152">
        <f t="shared" si="262"/>
        <v>913.5960901847991</v>
      </c>
      <c r="AI59" s="152">
        <f t="shared" si="263"/>
        <v>1113.0839728903436</v>
      </c>
      <c r="AJ59" s="152">
        <f t="shared" si="264"/>
        <v>0</v>
      </c>
      <c r="AK59" s="152">
        <f t="shared" si="265"/>
        <v>0</v>
      </c>
      <c r="AL59" s="152">
        <f t="shared" si="266"/>
        <v>0</v>
      </c>
      <c r="AM59" s="9">
        <f t="shared" si="267"/>
        <v>3799.8830692351421</v>
      </c>
      <c r="AN59" s="80">
        <f t="shared" si="268"/>
        <v>43951.88306923514</v>
      </c>
      <c r="AP59" s="102" t="s">
        <v>1</v>
      </c>
      <c r="AQ59" s="12">
        <v>500</v>
      </c>
      <c r="AR59" s="14">
        <f t="shared" si="15"/>
        <v>6000</v>
      </c>
      <c r="AS59" s="14" cm="1">
        <f t="array" ref="AS59">IFERROR(_xlfn.IFS(VALUE(MID(AS$5,6,1))&gt;$D$2,0,$AP59="Annual",1,AR59=12,12,$AP59="Monthly V",AR59*(1+$BD$2),$AP59="Monthly F",12,$AP59="One-Time",0),AR59*(1+$BD$2))</f>
        <v>6000</v>
      </c>
      <c r="AT59" s="14" cm="1">
        <f t="array" ref="AT59">IFERROR(_xlfn.IFS(VALUE(MID(AT$5,6,1))&gt;$D$2,0,$AP59="Annual",1,AS59=12,12,$AP59="Monthly V",AS59*(1+$BD$2),$AP59="Monthly F",12,$AP59="One-Time",0),AS59*(1+$BD$2))</f>
        <v>6000</v>
      </c>
      <c r="AU59" s="14" cm="1">
        <f t="array" ref="AU59">IFERROR(_xlfn.IFS(VALUE(MID(AU$5,6,1))&gt;$D$2,0,$AP59="Annual",1,AT59=12,12,$AP59="Monthly V",AT59*(1+$BD$2),$AP59="Monthly F",12,$AP59="One-Time",0),AT59*(1+$BD$2))</f>
        <v>6000</v>
      </c>
      <c r="AV59" s="14" cm="1">
        <f t="array" ref="AV59">IFERROR(_xlfn.IFS(VALUE(MID(AV$5,6,1))&gt;$D$2,0,$AP59="Annual",1,AU59=12,12,$AP59="Monthly V",AU59*(1+$BD$2),$AP59="Monthly F",12,$AP59="One-Time",0),AU59*(1+$BD$2))</f>
        <v>6000</v>
      </c>
      <c r="AW59" s="14" cm="1">
        <f t="array" ref="AW59">IFERROR(_xlfn.IFS(VALUE(MID(AW$5,6,1))&gt;$D$2,0,$AP59="Annual",1,AV59=12,12,$AP59="Monthly V",AV59*(1+$BD$2),$AP59="Monthly F",12,$AP59="One-Time",0),AV59*(1+$BD$2))</f>
        <v>6000</v>
      </c>
      <c r="AX59" s="14" cm="1">
        <f t="array" ref="AX59">IFERROR(_xlfn.IFS(VALUE(MID(AX$5,6,1))&gt;$D$2,0,$AP59="Annual",1,AW59=12,12,$AP59="Monthly V",AW59*(1+$BD$2),$AP59="Monthly F",12,$AP59="One-Time",0),AW59*(1+$BD$2))</f>
        <v>6000</v>
      </c>
      <c r="AY59" s="14" cm="1">
        <f t="array" ref="AY59">IFERROR(_xlfn.IFS(VALUE(MID(AY$5,6,1))&gt;$D$2,0,$AP59="Annual",1,AX59=12,12,$AP59="Monthly V",AX59*(1+$D$3),$AP59="Monthly F",12,$AP59="One-Time",0),AX59*(1+$D$3))</f>
        <v>0</v>
      </c>
      <c r="AZ59" s="14" cm="1">
        <f t="array" ref="AZ59">IFERROR(_xlfn.IFS(VALUE(MID(AZ$5,6,1))&gt;$D$2,0,$AP59="Annual",1,AY59=12,12,$AP59="Monthly V",AY59*(1+$D$3),$AP59="Monthly F",12,$AP59="One-Time",0),AY59*(1+$D$3))</f>
        <v>0</v>
      </c>
      <c r="BA59" s="125" cm="1">
        <f t="array" ref="BA59">IFERROR(_xlfn.IFS(VALUE(MID(BA$5,6,2))&gt;$D$2,0,$AP59="Annual",1,AZ59=12,12,$AP59="Monthly V",AZ59*(1+$D$3),$AP59="Monthly F",12,$AP59="One-Time",0),AZ59*(1+$D$3))</f>
        <v>0</v>
      </c>
      <c r="BB59" s="148" t="s">
        <v>201</v>
      </c>
      <c r="BC59" s="38" t="s">
        <v>228</v>
      </c>
      <c r="BD59" s="36">
        <v>0.62</v>
      </c>
      <c r="BE59" s="21">
        <f t="shared" si="164"/>
        <v>310</v>
      </c>
      <c r="BF59" s="39">
        <f t="shared" si="44"/>
        <v>3720</v>
      </c>
      <c r="BG59" s="39">
        <f t="shared" si="17"/>
        <v>3720</v>
      </c>
      <c r="BH59" s="39">
        <f t="shared" si="18"/>
        <v>3720</v>
      </c>
      <c r="BI59" s="39">
        <f t="shared" si="19"/>
        <v>3831.6</v>
      </c>
      <c r="BJ59" s="39">
        <f t="shared" ref="BJ59:BL59" si="270">BI59*1.03</f>
        <v>3946.5480000000002</v>
      </c>
      <c r="BK59" s="39">
        <f t="shared" si="270"/>
        <v>4064.9444400000002</v>
      </c>
      <c r="BL59" s="39">
        <f t="shared" si="270"/>
        <v>4186.8927732000002</v>
      </c>
      <c r="BM59" s="39">
        <f t="shared" si="166"/>
        <v>0</v>
      </c>
      <c r="BN59" s="39">
        <f t="shared" si="166"/>
        <v>0</v>
      </c>
      <c r="BO59" s="39">
        <f t="shared" si="166"/>
        <v>0</v>
      </c>
      <c r="BP59" s="40"/>
      <c r="BQ59" s="40">
        <f t="shared" si="167"/>
        <v>111.60000000000009</v>
      </c>
      <c r="BR59" s="40">
        <f t="shared" si="168"/>
        <v>226.54799999999983</v>
      </c>
      <c r="BS59" s="40">
        <f t="shared" si="169"/>
        <v>355.2927732</v>
      </c>
      <c r="BT59" s="40">
        <f t="shared" si="170"/>
        <v>495.32654308787971</v>
      </c>
      <c r="BU59" s="40">
        <f t="shared" si="171"/>
        <v>647.44026276193131</v>
      </c>
      <c r="BV59" s="40">
        <f t="shared" si="172"/>
        <v>812.47615796013326</v>
      </c>
      <c r="BW59" s="40">
        <f t="shared" si="173"/>
        <v>0</v>
      </c>
      <c r="BX59" s="40">
        <f t="shared" si="174"/>
        <v>0</v>
      </c>
      <c r="BY59" s="40">
        <f t="shared" si="175"/>
        <v>0</v>
      </c>
      <c r="BZ59" s="40">
        <f t="shared" si="176"/>
        <v>2648.6837370099443</v>
      </c>
      <c r="CA59" s="37">
        <f t="shared" si="177"/>
        <v>29838.668950209943</v>
      </c>
      <c r="CC59" s="102"/>
      <c r="CD59" s="12"/>
      <c r="CE59" s="14">
        <f t="shared" si="178"/>
        <v>0</v>
      </c>
      <c r="CF59" s="14" cm="1">
        <f t="array" ref="CF59">IFERROR(_xlfn.IFS(VALUE(MID(CF$5,6,1))&gt;$D$2,0,$CC59="Annual",1,CE59=12,12,$CC59="Monthly V",CE59*(1+$D$3),$CC59="Monthly F",12,$CC59="One-Time",0),CE59*(1+$D$3))</f>
        <v>0</v>
      </c>
      <c r="CG59" s="14" cm="1">
        <f t="array" ref="CG59">IFERROR(_xlfn.IFS(VALUE(MID(CG$5,6,1))&gt;$D$2,0,$CC59="Annual",1,CF59=12,12,$CC59="Monthly V",CF59*(1+$D$3),$CC59="Monthly F",12,$CC59="One-Time",0),CF59*(1+$D$3))</f>
        <v>0</v>
      </c>
      <c r="CH59" s="14" cm="1">
        <f t="array" ref="CH59">IFERROR(_xlfn.IFS(VALUE(MID(CH$5,6,1))&gt;$D$2,0,$CC59="Annual",1,CG59=12,12,$CC59="Monthly V",CG59*(1+$D$3),$CC59="Monthly F",12,$CC59="One-Time",0),CG59*(1+$D$3))</f>
        <v>0</v>
      </c>
      <c r="CI59" s="14" cm="1">
        <f t="array" ref="CI59">IFERROR(_xlfn.IFS(VALUE(MID(CI$5,6,1))&gt;$D$2,0,$CC59="Annual",1,CH59=12,12,$CC59="Monthly V",CH59*(1+$D$3),$CC59="Monthly F",12,$CC59="One-Time",0),CH59*(1+$D$3))</f>
        <v>0</v>
      </c>
      <c r="CJ59" s="14" cm="1">
        <f t="array" ref="CJ59">IFERROR(_xlfn.IFS(VALUE(MID(CJ$5,6,1))&gt;$D$2,0,$CC59="Annual",1,CI59=12,12,$CC59="Monthly V",CI59*(1+$D$3),$CC59="Monthly F",12,$CC59="One-Time",0),CI59*(1+$D$3))</f>
        <v>0</v>
      </c>
      <c r="CK59" s="14" cm="1">
        <f t="array" ref="CK59">IFERROR(_xlfn.IFS(VALUE(MID(CK$5,6,1))&gt;$D$2,0,$CC59="Annual",1,CJ59=12,12,$CC59="Monthly V",CJ59*(1+$D$3),$CC59="Monthly F",12,$CC59="One-Time",0),CJ59*(1+$D$3))</f>
        <v>0</v>
      </c>
      <c r="CL59" s="14" cm="1">
        <f t="array" ref="CL59">IFERROR(_xlfn.IFS(VALUE(MID(CL$5,6,1))&gt;$D$2,0,$CC59="Annual",1,CK59=12,12,$CC59="Monthly V",CK59*(1+$D$3),$CC59="Monthly F",12,$CC59="One-Time",0),CK59*(1+$D$3))</f>
        <v>0</v>
      </c>
      <c r="CM59" s="14" cm="1">
        <f t="array" ref="CM59">IFERROR(_xlfn.IFS(VALUE(MID(CM$5,6,1))&gt;$D$2,0,$CC59="Annual",1,CL59=12,12,$CC59="Monthly V",CL59*(1+$D$3),$CC59="Monthly F",12,$CC59="One-Time",0),CL59*(1+$D$3))</f>
        <v>0</v>
      </c>
      <c r="CN59" s="24" cm="1">
        <f t="array" ref="CN59">IFERROR(_xlfn.IFS(VALUE(MID(CN$5,6,2))&gt;$D$2,0,$CC59="Annual",1,CM59=12,12,$CC59="Monthly V",CM59*(1+$D$3),$CC59="Monthly F",12,$CC59="One-Time",0),CM59*(1+$D$3))</f>
        <v>0</v>
      </c>
      <c r="CO59" s="63"/>
      <c r="CP59" s="53"/>
      <c r="CQ59" s="21">
        <f t="shared" si="179"/>
        <v>0</v>
      </c>
      <c r="CR59" s="55">
        <f t="shared" si="180"/>
        <v>0</v>
      </c>
      <c r="CS59" s="55">
        <f t="shared" si="180"/>
        <v>0</v>
      </c>
      <c r="CT59" s="55">
        <f t="shared" si="180"/>
        <v>0</v>
      </c>
      <c r="CU59" s="55">
        <f t="shared" si="180"/>
        <v>0</v>
      </c>
      <c r="CV59" s="55">
        <f t="shared" si="180"/>
        <v>0</v>
      </c>
      <c r="CW59" s="55">
        <f t="shared" si="180"/>
        <v>0</v>
      </c>
      <c r="CX59" s="55">
        <f t="shared" si="180"/>
        <v>0</v>
      </c>
      <c r="CY59" s="55">
        <f t="shared" si="180"/>
        <v>0</v>
      </c>
      <c r="CZ59" s="55">
        <f t="shared" si="180"/>
        <v>0</v>
      </c>
      <c r="DA59" s="55">
        <f t="shared" si="180"/>
        <v>0</v>
      </c>
      <c r="DB59" s="56"/>
      <c r="DC59" s="56">
        <f t="shared" si="181"/>
        <v>0</v>
      </c>
      <c r="DD59" s="56">
        <f t="shared" si="182"/>
        <v>0</v>
      </c>
      <c r="DE59" s="56">
        <f t="shared" si="183"/>
        <v>0</v>
      </c>
      <c r="DF59" s="56">
        <f t="shared" si="184"/>
        <v>0</v>
      </c>
      <c r="DG59" s="56">
        <f t="shared" si="185"/>
        <v>0</v>
      </c>
      <c r="DH59" s="56">
        <f t="shared" si="186"/>
        <v>0</v>
      </c>
      <c r="DI59" s="56">
        <f t="shared" si="187"/>
        <v>0</v>
      </c>
      <c r="DJ59" s="56">
        <f t="shared" si="188"/>
        <v>0</v>
      </c>
      <c r="DK59" s="56">
        <f t="shared" si="189"/>
        <v>0</v>
      </c>
      <c r="DL59" s="57">
        <f t="shared" si="190"/>
        <v>0</v>
      </c>
      <c r="DM59" s="54">
        <f t="shared" si="191"/>
        <v>0</v>
      </c>
      <c r="DO59" s="106"/>
    </row>
    <row r="60" spans="2:119" x14ac:dyDescent="0.25">
      <c r="B60" s="141" t="s">
        <v>2</v>
      </c>
      <c r="C60" s="24">
        <v>1</v>
      </c>
      <c r="D60" s="147">
        <f t="shared" si="254"/>
        <v>1</v>
      </c>
      <c r="E60" s="142">
        <f t="shared" si="255"/>
        <v>1</v>
      </c>
      <c r="F60" s="14" cm="1">
        <f t="array" ref="F60">IFERROR(_xlfn.IFS(VALUE(MID(F$5,6,1))&gt;$D$2,0,$B60="Annual",1,E60=12,12,$B60="Monthly V",E60*(1+$D$3),$B60="Monthly F",12,$B60="One-Time",0),E60*(1+$D$3))</f>
        <v>1</v>
      </c>
      <c r="G60" s="14" cm="1">
        <f t="array" ref="G60">IFERROR(_xlfn.IFS(VALUE(MID(G$5,6,1))&gt;$D$2,0,$B60="Annual",1,F60=12,12,$B60="Monthly V",F60*(1+$D$3),$B60="Monthly F",12,$B60="One-Time",0),F60*(1+$D$3))</f>
        <v>1</v>
      </c>
      <c r="H60" s="14" cm="1">
        <f t="array" ref="H60">IFERROR(_xlfn.IFS(VALUE(MID(H$5,6,1))&gt;$D$2,0,$B60="Annual",1,G60=12,12,$B60="Monthly V",G60*(1+$D$3),$B60="Monthly F",12,$B60="One-Time",0),G60*(1+$D$3))</f>
        <v>1</v>
      </c>
      <c r="I60" s="14" cm="1">
        <f t="array" ref="I60">IFERROR(_xlfn.IFS(VALUE(MID(I$5,6,1))&gt;$D$2,0,$B60="Annual",1,H60=12,12,$B60="Monthly V",H60*(1+$D$3),$B60="Monthly F",12,$B60="One-Time",0),H60*(1+$D$3))</f>
        <v>1</v>
      </c>
      <c r="J60" s="14" cm="1">
        <f t="array" ref="J60">IFERROR(_xlfn.IFS(VALUE(MID(J$5,6,1))&gt;$D$2,0,$B60="Annual",1,I60=12,12,$B60="Monthly V",I60*(1+$D$3),$B60="Monthly F",12,$B60="One-Time",0),I60*(1+$D$3))</f>
        <v>1</v>
      </c>
      <c r="K60" s="14" cm="1">
        <f t="array" ref="K60">IFERROR(_xlfn.IFS(VALUE(MID(K$5,6,1))&gt;$D$2,0,$B60="Annual",1,J60=12,12,$B60="Monthly V",J60*(1+$D$3),$B60="Monthly F",12,$B60="One-Time",0),J60*(1+$D$3))</f>
        <v>1</v>
      </c>
      <c r="L60" s="14" cm="1">
        <f t="array" ref="L60">IFERROR(_xlfn.IFS(VALUE(MID(L$5,6,1))&gt;$D$2,0,$B60="Annual",1,K60=12,12,$B60="Monthly V",K60*(1+$D$3),$B60="Monthly F",12,$B60="One-Time",0),K60*(1+$D$3))</f>
        <v>0</v>
      </c>
      <c r="M60" s="14" cm="1">
        <f t="array" ref="M60">IFERROR(_xlfn.IFS(VALUE(MID(M$5,6,1))&gt;$D$2,0,$B60="Annual",1,L60=12,12,$B60="Monthly V",L60*(1+$D$3),$B60="Monthly F",12,$B60="One-Time",0),L60*(1+$D$3))</f>
        <v>0</v>
      </c>
      <c r="N60" s="24" cm="1">
        <f t="array" ref="N60">IFERROR(_xlfn.IFS(VALUE(MID(N$5,6,2))&gt;$D$2,0,$B60="Annual",1,M60=12,12,$B60="Monthly V",M60*(1+$D$3),$B60="Monthly F",12,$B60="One-Time",0),M60*(1+$D$3))</f>
        <v>0</v>
      </c>
      <c r="O60" s="127" t="s">
        <v>115</v>
      </c>
      <c r="P60" s="13"/>
      <c r="Q60" s="20">
        <v>13895</v>
      </c>
      <c r="R60" s="21">
        <f t="shared" si="256"/>
        <v>1157.9166666666667</v>
      </c>
      <c r="S60" s="6">
        <f t="shared" si="257"/>
        <v>13895</v>
      </c>
      <c r="T60" s="6">
        <f t="shared" si="257"/>
        <v>13895</v>
      </c>
      <c r="U60" s="6">
        <f t="shared" si="257"/>
        <v>13895</v>
      </c>
      <c r="V60" s="6">
        <f t="shared" si="257"/>
        <v>13895</v>
      </c>
      <c r="W60" s="6">
        <f t="shared" si="257"/>
        <v>13895</v>
      </c>
      <c r="X60" s="6">
        <f t="shared" si="257"/>
        <v>13895</v>
      </c>
      <c r="Y60" s="6">
        <f t="shared" si="257"/>
        <v>13895</v>
      </c>
      <c r="Z60" s="6">
        <f t="shared" si="257"/>
        <v>0</v>
      </c>
      <c r="AA60" s="6">
        <f t="shared" si="257"/>
        <v>0</v>
      </c>
      <c r="AB60" s="6">
        <f t="shared" si="257"/>
        <v>0</v>
      </c>
      <c r="AC60" s="7"/>
      <c r="AD60" s="152">
        <f t="shared" si="258"/>
        <v>416.85000000000036</v>
      </c>
      <c r="AE60" s="152">
        <f t="shared" si="259"/>
        <v>846.20549999999935</v>
      </c>
      <c r="AF60" s="152">
        <f t="shared" si="260"/>
        <v>1288.4416650000001</v>
      </c>
      <c r="AG60" s="152">
        <f t="shared" si="261"/>
        <v>1743.9449149499987</v>
      </c>
      <c r="AH60" s="152">
        <f t="shared" si="262"/>
        <v>2213.1132623984977</v>
      </c>
      <c r="AI60" s="152">
        <f t="shared" si="263"/>
        <v>2696.3566602704536</v>
      </c>
      <c r="AJ60" s="152">
        <f t="shared" si="264"/>
        <v>0</v>
      </c>
      <c r="AK60" s="152">
        <f t="shared" si="265"/>
        <v>0</v>
      </c>
      <c r="AL60" s="152">
        <f t="shared" si="266"/>
        <v>0</v>
      </c>
      <c r="AM60" s="9">
        <f t="shared" si="267"/>
        <v>9204.9120026189503</v>
      </c>
      <c r="AN60" s="80">
        <f t="shared" si="268"/>
        <v>106469.91200261895</v>
      </c>
      <c r="AP60" s="102" t="s">
        <v>0</v>
      </c>
      <c r="AQ60" s="12">
        <v>1</v>
      </c>
      <c r="AR60" s="14">
        <f t="shared" si="15"/>
        <v>12</v>
      </c>
      <c r="AS60" s="14" cm="1">
        <f t="array" ref="AS60">IFERROR(_xlfn.IFS(VALUE(MID(AS$5,6,1))&gt;$D$2,0,$AP60="Annual",1,AR60=12,12,$AP60="Monthly V",AR60*(1+$BD$2),$AP60="Monthly F",12,$AP60="One-Time",0),AR60*(1+$BD$2))</f>
        <v>12</v>
      </c>
      <c r="AT60" s="14" cm="1">
        <f t="array" ref="AT60">IFERROR(_xlfn.IFS(VALUE(MID(AT$5,6,1))&gt;$D$2,0,$AP60="Annual",1,AS60=12,12,$AP60="Monthly V",AS60*(1+$BD$2),$AP60="Monthly F",12,$AP60="One-Time",0),AS60*(1+$BD$2))</f>
        <v>12</v>
      </c>
      <c r="AU60" s="14" cm="1">
        <f t="array" ref="AU60">IFERROR(_xlfn.IFS(VALUE(MID(AU$5,6,1))&gt;$D$2,0,$AP60="Annual",1,AT60=12,12,$AP60="Monthly V",AT60*(1+$BD$2),$AP60="Monthly F",12,$AP60="One-Time",0),AT60*(1+$BD$2))</f>
        <v>12</v>
      </c>
      <c r="AV60" s="14" cm="1">
        <f t="array" ref="AV60">IFERROR(_xlfn.IFS(VALUE(MID(AV$5,6,1))&gt;$D$2,0,$AP60="Annual",1,AU60=12,12,$AP60="Monthly V",AU60*(1+$BD$2),$AP60="Monthly F",12,$AP60="One-Time",0),AU60*(1+$BD$2))</f>
        <v>12</v>
      </c>
      <c r="AW60" s="14" cm="1">
        <f t="array" ref="AW60">IFERROR(_xlfn.IFS(VALUE(MID(AW$5,6,1))&gt;$D$2,0,$AP60="Annual",1,AV60=12,12,$AP60="Monthly V",AV60*(1+$BD$2),$AP60="Monthly F",12,$AP60="One-Time",0),AV60*(1+$BD$2))</f>
        <v>12</v>
      </c>
      <c r="AX60" s="14" cm="1">
        <f t="array" ref="AX60">IFERROR(_xlfn.IFS(VALUE(MID(AX$5,6,1))&gt;$D$2,0,$AP60="Annual",1,AW60=12,12,$AP60="Monthly V",AW60*(1+$BD$2),$AP60="Monthly F",12,$AP60="One-Time",0),AW60*(1+$BD$2))</f>
        <v>12</v>
      </c>
      <c r="AY60" s="14" cm="1">
        <f t="array" ref="AY60">IFERROR(_xlfn.IFS(VALUE(MID(AY$5,6,1))&gt;$D$2,0,$AP60="Annual",1,AX60=12,12,$AP60="Monthly V",AX60*(1+$D$3),$AP60="Monthly F",12,$AP60="One-Time",0),AX60*(1+$D$3))</f>
        <v>0</v>
      </c>
      <c r="AZ60" s="14" cm="1">
        <f t="array" ref="AZ60">IFERROR(_xlfn.IFS(VALUE(MID(AZ$5,6,1))&gt;$D$2,0,$AP60="Annual",1,AY60=12,12,$AP60="Monthly V",AY60*(1+$D$3),$AP60="Monthly F",12,$AP60="One-Time",0),AY60*(1+$D$3))</f>
        <v>0</v>
      </c>
      <c r="BA60" s="125" cm="1">
        <f t="array" ref="BA60">IFERROR(_xlfn.IFS(VALUE(MID(BA$5,6,2))&gt;$D$2,0,$AP60="Annual",1,AZ60=12,12,$AP60="Monthly V",AZ60*(1+$D$3),$AP60="Monthly F",12,$AP60="One-Time",0),AZ60*(1+$D$3))</f>
        <v>0</v>
      </c>
      <c r="BB60" s="148" t="s">
        <v>202</v>
      </c>
      <c r="BC60" s="38" t="s">
        <v>229</v>
      </c>
      <c r="BD60" s="36">
        <v>200</v>
      </c>
      <c r="BE60" s="21">
        <f t="shared" si="164"/>
        <v>200</v>
      </c>
      <c r="BF60" s="39">
        <f t="shared" si="44"/>
        <v>2400</v>
      </c>
      <c r="BG60" s="39">
        <f t="shared" si="17"/>
        <v>2400</v>
      </c>
      <c r="BH60" s="39">
        <f t="shared" si="18"/>
        <v>2400</v>
      </c>
      <c r="BI60" s="39">
        <f t="shared" si="19"/>
        <v>2472</v>
      </c>
      <c r="BJ60" s="39">
        <f t="shared" ref="BJ60:BL60" si="271">BI60*1.03</f>
        <v>2546.16</v>
      </c>
      <c r="BK60" s="39">
        <f t="shared" si="271"/>
        <v>2622.5448000000001</v>
      </c>
      <c r="BL60" s="39">
        <f t="shared" si="271"/>
        <v>2701.2211440000001</v>
      </c>
      <c r="BM60" s="39">
        <f t="shared" si="166"/>
        <v>0</v>
      </c>
      <c r="BN60" s="39">
        <f t="shared" si="166"/>
        <v>0</v>
      </c>
      <c r="BO60" s="39">
        <f t="shared" si="166"/>
        <v>0</v>
      </c>
      <c r="BP60" s="40"/>
      <c r="BQ60" s="40">
        <f t="shared" si="167"/>
        <v>72.000000000000057</v>
      </c>
      <c r="BR60" s="40">
        <f t="shared" si="168"/>
        <v>146.15999999999988</v>
      </c>
      <c r="BS60" s="40">
        <f t="shared" si="169"/>
        <v>229.22114400000001</v>
      </c>
      <c r="BT60" s="40">
        <f t="shared" si="170"/>
        <v>319.56551166959974</v>
      </c>
      <c r="BU60" s="40">
        <f t="shared" si="171"/>
        <v>417.70339533027828</v>
      </c>
      <c r="BV60" s="40">
        <f t="shared" si="172"/>
        <v>524.17816642589241</v>
      </c>
      <c r="BW60" s="40">
        <f t="shared" si="173"/>
        <v>0</v>
      </c>
      <c r="BX60" s="40">
        <f t="shared" si="174"/>
        <v>0</v>
      </c>
      <c r="BY60" s="40">
        <f t="shared" si="175"/>
        <v>0</v>
      </c>
      <c r="BZ60" s="40">
        <f t="shared" si="176"/>
        <v>1708.8282174257704</v>
      </c>
      <c r="CA60" s="37">
        <f t="shared" si="177"/>
        <v>19250.754161425768</v>
      </c>
      <c r="CC60" s="102"/>
      <c r="CD60" s="12"/>
      <c r="CE60" s="14">
        <f t="shared" si="178"/>
        <v>0</v>
      </c>
      <c r="CF60" s="14" cm="1">
        <f t="array" ref="CF60">IFERROR(_xlfn.IFS(VALUE(MID(CF$5,6,1))&gt;$D$2,0,$CC60="Annual",1,CE60=12,12,$CC60="Monthly V",CE60*(1+$D$3),$CC60="Monthly F",12,$CC60="One-Time",0),CE60*(1+$D$3))</f>
        <v>0</v>
      </c>
      <c r="CG60" s="14" cm="1">
        <f t="array" ref="CG60">IFERROR(_xlfn.IFS(VALUE(MID(CG$5,6,1))&gt;$D$2,0,$CC60="Annual",1,CF60=12,12,$CC60="Monthly V",CF60*(1+$D$3),$CC60="Monthly F",12,$CC60="One-Time",0),CF60*(1+$D$3))</f>
        <v>0</v>
      </c>
      <c r="CH60" s="14" cm="1">
        <f t="array" ref="CH60">IFERROR(_xlfn.IFS(VALUE(MID(CH$5,6,1))&gt;$D$2,0,$CC60="Annual",1,CG60=12,12,$CC60="Monthly V",CG60*(1+$D$3),$CC60="Monthly F",12,$CC60="One-Time",0),CG60*(1+$D$3))</f>
        <v>0</v>
      </c>
      <c r="CI60" s="14" cm="1">
        <f t="array" ref="CI60">IFERROR(_xlfn.IFS(VALUE(MID(CI$5,6,1))&gt;$D$2,0,$CC60="Annual",1,CH60=12,12,$CC60="Monthly V",CH60*(1+$D$3),$CC60="Monthly F",12,$CC60="One-Time",0),CH60*(1+$D$3))</f>
        <v>0</v>
      </c>
      <c r="CJ60" s="14" cm="1">
        <f t="array" ref="CJ60">IFERROR(_xlfn.IFS(VALUE(MID(CJ$5,6,1))&gt;$D$2,0,$CC60="Annual",1,CI60=12,12,$CC60="Monthly V",CI60*(1+$D$3),$CC60="Monthly F",12,$CC60="One-Time",0),CI60*(1+$D$3))</f>
        <v>0</v>
      </c>
      <c r="CK60" s="14" cm="1">
        <f t="array" ref="CK60">IFERROR(_xlfn.IFS(VALUE(MID(CK$5,6,1))&gt;$D$2,0,$CC60="Annual",1,CJ60=12,12,$CC60="Monthly V",CJ60*(1+$D$3),$CC60="Monthly F",12,$CC60="One-Time",0),CJ60*(1+$D$3))</f>
        <v>0</v>
      </c>
      <c r="CL60" s="14" cm="1">
        <f t="array" ref="CL60">IFERROR(_xlfn.IFS(VALUE(MID(CL$5,6,1))&gt;$D$2,0,$CC60="Annual",1,CK60=12,12,$CC60="Monthly V",CK60*(1+$D$3),$CC60="Monthly F",12,$CC60="One-Time",0),CK60*(1+$D$3))</f>
        <v>0</v>
      </c>
      <c r="CM60" s="14" cm="1">
        <f t="array" ref="CM60">IFERROR(_xlfn.IFS(VALUE(MID(CM$5,6,1))&gt;$D$2,0,$CC60="Annual",1,CL60=12,12,$CC60="Monthly V",CL60*(1+$D$3),$CC60="Monthly F",12,$CC60="One-Time",0),CL60*(1+$D$3))</f>
        <v>0</v>
      </c>
      <c r="CN60" s="24" cm="1">
        <f t="array" ref="CN60">IFERROR(_xlfn.IFS(VALUE(MID(CN$5,6,2))&gt;$D$2,0,$CC60="Annual",1,CM60=12,12,$CC60="Monthly V",CM60*(1+$D$3),$CC60="Monthly F",12,$CC60="One-Time",0),CM60*(1+$D$3))</f>
        <v>0</v>
      </c>
      <c r="CO60" s="63"/>
      <c r="CP60" s="53"/>
      <c r="CQ60" s="21">
        <f t="shared" si="179"/>
        <v>0</v>
      </c>
      <c r="CR60" s="55">
        <f t="shared" si="180"/>
        <v>0</v>
      </c>
      <c r="CS60" s="55">
        <f t="shared" si="180"/>
        <v>0</v>
      </c>
      <c r="CT60" s="55">
        <f t="shared" si="180"/>
        <v>0</v>
      </c>
      <c r="CU60" s="55">
        <f t="shared" si="180"/>
        <v>0</v>
      </c>
      <c r="CV60" s="55">
        <f t="shared" si="180"/>
        <v>0</v>
      </c>
      <c r="CW60" s="55">
        <f t="shared" si="180"/>
        <v>0</v>
      </c>
      <c r="CX60" s="55">
        <f t="shared" si="180"/>
        <v>0</v>
      </c>
      <c r="CY60" s="55">
        <f t="shared" si="180"/>
        <v>0</v>
      </c>
      <c r="CZ60" s="55">
        <f t="shared" si="180"/>
        <v>0</v>
      </c>
      <c r="DA60" s="55">
        <f t="shared" si="180"/>
        <v>0</v>
      </c>
      <c r="DB60" s="56"/>
      <c r="DC60" s="56">
        <f t="shared" si="181"/>
        <v>0</v>
      </c>
      <c r="DD60" s="56">
        <f t="shared" si="182"/>
        <v>0</v>
      </c>
      <c r="DE60" s="56">
        <f t="shared" si="183"/>
        <v>0</v>
      </c>
      <c r="DF60" s="56">
        <f t="shared" si="184"/>
        <v>0</v>
      </c>
      <c r="DG60" s="56">
        <f t="shared" si="185"/>
        <v>0</v>
      </c>
      <c r="DH60" s="56">
        <f t="shared" si="186"/>
        <v>0</v>
      </c>
      <c r="DI60" s="56">
        <f t="shared" si="187"/>
        <v>0</v>
      </c>
      <c r="DJ60" s="56">
        <f t="shared" si="188"/>
        <v>0</v>
      </c>
      <c r="DK60" s="56">
        <f t="shared" si="189"/>
        <v>0</v>
      </c>
      <c r="DL60" s="57">
        <f t="shared" si="190"/>
        <v>0</v>
      </c>
      <c r="DM60" s="54">
        <f t="shared" si="191"/>
        <v>0</v>
      </c>
      <c r="DO60" s="106"/>
    </row>
    <row r="61" spans="2:119" x14ac:dyDescent="0.25">
      <c r="B61" s="141"/>
      <c r="C61" s="24"/>
      <c r="D61" s="147"/>
      <c r="E61" s="142"/>
      <c r="F61" s="14"/>
      <c r="G61" s="14"/>
      <c r="H61" s="14"/>
      <c r="I61" s="14"/>
      <c r="J61" s="14"/>
      <c r="K61" s="14"/>
      <c r="L61" s="14"/>
      <c r="M61" s="14"/>
      <c r="N61" s="24"/>
      <c r="O61" s="157" t="s">
        <v>116</v>
      </c>
      <c r="P61" s="13"/>
      <c r="Q61" s="20"/>
      <c r="R61" s="21">
        <f t="shared" si="256"/>
        <v>0</v>
      </c>
      <c r="S61" s="6">
        <f t="shared" si="257"/>
        <v>0</v>
      </c>
      <c r="T61" s="6">
        <f t="shared" si="257"/>
        <v>0</v>
      </c>
      <c r="U61" s="6">
        <f t="shared" si="257"/>
        <v>0</v>
      </c>
      <c r="V61" s="6">
        <f t="shared" si="257"/>
        <v>0</v>
      </c>
      <c r="W61" s="6">
        <f t="shared" si="257"/>
        <v>0</v>
      </c>
      <c r="X61" s="6">
        <f t="shared" si="257"/>
        <v>0</v>
      </c>
      <c r="Y61" s="6">
        <f t="shared" si="257"/>
        <v>0</v>
      </c>
      <c r="Z61" s="6">
        <f t="shared" si="257"/>
        <v>0</v>
      </c>
      <c r="AA61" s="6">
        <f t="shared" si="257"/>
        <v>0</v>
      </c>
      <c r="AB61" s="6">
        <f t="shared" si="257"/>
        <v>0</v>
      </c>
      <c r="AC61" s="7"/>
      <c r="AD61" s="152">
        <f t="shared" si="258"/>
        <v>0</v>
      </c>
      <c r="AE61" s="152">
        <f t="shared" si="259"/>
        <v>0</v>
      </c>
      <c r="AF61" s="152">
        <f t="shared" si="260"/>
        <v>0</v>
      </c>
      <c r="AG61" s="152">
        <f t="shared" si="261"/>
        <v>0</v>
      </c>
      <c r="AH61" s="152">
        <f t="shared" si="262"/>
        <v>0</v>
      </c>
      <c r="AI61" s="152">
        <f t="shared" si="263"/>
        <v>0</v>
      </c>
      <c r="AJ61" s="152">
        <f t="shared" si="264"/>
        <v>0</v>
      </c>
      <c r="AK61" s="152">
        <f t="shared" si="265"/>
        <v>0</v>
      </c>
      <c r="AL61" s="152">
        <f t="shared" si="266"/>
        <v>0</v>
      </c>
      <c r="AM61" s="9">
        <f t="shared" si="267"/>
        <v>0</v>
      </c>
      <c r="AN61" s="80">
        <f t="shared" si="268"/>
        <v>0</v>
      </c>
      <c r="AP61" s="102" t="s">
        <v>1</v>
      </c>
      <c r="AQ61" s="12">
        <v>5000</v>
      </c>
      <c r="AR61" s="14">
        <f t="shared" si="15"/>
        <v>60000</v>
      </c>
      <c r="AS61" s="14" cm="1">
        <f t="array" ref="AS61">IFERROR(_xlfn.IFS(VALUE(MID(AS$5,6,1))&gt;$D$2,0,$AP61="Annual",1,AR61=12,12,$AP61="Monthly V",AR61*(1+$BD$2),$AP61="Monthly F",12,$AP61="One-Time",0),AR61*(1+$BD$2))</f>
        <v>60000</v>
      </c>
      <c r="AT61" s="14" cm="1">
        <f t="array" ref="AT61">IFERROR(_xlfn.IFS(VALUE(MID(AT$5,6,1))&gt;$D$2,0,$AP61="Annual",1,AS61=12,12,$AP61="Monthly V",AS61*(1+$BD$2),$AP61="Monthly F",12,$AP61="One-Time",0),AS61*(1+$BD$2))</f>
        <v>60000</v>
      </c>
      <c r="AU61" s="14" cm="1">
        <f t="array" ref="AU61">IFERROR(_xlfn.IFS(VALUE(MID(AU$5,6,1))&gt;$D$2,0,$AP61="Annual",1,AT61=12,12,$AP61="Monthly V",AT61*(1+$BD$2),$AP61="Monthly F",12,$AP61="One-Time",0),AT61*(1+$BD$2))</f>
        <v>60000</v>
      </c>
      <c r="AV61" s="14" cm="1">
        <f t="array" ref="AV61">IFERROR(_xlfn.IFS(VALUE(MID(AV$5,6,1))&gt;$D$2,0,$AP61="Annual",1,AU61=12,12,$AP61="Monthly V",AU61*(1+$BD$2),$AP61="Monthly F",12,$AP61="One-Time",0),AU61*(1+$BD$2))</f>
        <v>60000</v>
      </c>
      <c r="AW61" s="14" cm="1">
        <f t="array" ref="AW61">IFERROR(_xlfn.IFS(VALUE(MID(AW$5,6,1))&gt;$D$2,0,$AP61="Annual",1,AV61=12,12,$AP61="Monthly V",AV61*(1+$BD$2),$AP61="Monthly F",12,$AP61="One-Time",0),AV61*(1+$BD$2))</f>
        <v>60000</v>
      </c>
      <c r="AX61" s="14" cm="1">
        <f t="array" ref="AX61">IFERROR(_xlfn.IFS(VALUE(MID(AX$5,6,1))&gt;$D$2,0,$AP61="Annual",1,AW61=12,12,$AP61="Monthly V",AW61*(1+$BD$2),$AP61="Monthly F",12,$AP61="One-Time",0),AW61*(1+$BD$2))</f>
        <v>60000</v>
      </c>
      <c r="AY61" s="14" cm="1">
        <f t="array" ref="AY61">IFERROR(_xlfn.IFS(VALUE(MID(AY$5,6,1))&gt;$D$2,0,$AP61="Annual",1,AX61=12,12,$AP61="Monthly V",AX61*(1+$D$3),$AP61="Monthly F",12,$AP61="One-Time",0),AX61*(1+$D$3))</f>
        <v>0</v>
      </c>
      <c r="AZ61" s="14" cm="1">
        <f t="array" ref="AZ61">IFERROR(_xlfn.IFS(VALUE(MID(AZ$5,6,1))&gt;$D$2,0,$AP61="Annual",1,AY61=12,12,$AP61="Monthly V",AY61*(1+$D$3),$AP61="Monthly F",12,$AP61="One-Time",0),AY61*(1+$D$3))</f>
        <v>0</v>
      </c>
      <c r="BA61" s="125" cm="1">
        <f t="array" ref="BA61">IFERROR(_xlfn.IFS(VALUE(MID(BA$5,6,2))&gt;$D$2,0,$AP61="Annual",1,AZ61=12,12,$AP61="Monthly V",AZ61*(1+$D$3),$AP61="Monthly F",12,$AP61="One-Time",0),AZ61*(1+$D$3))</f>
        <v>0</v>
      </c>
      <c r="BB61" s="148" t="s">
        <v>203</v>
      </c>
      <c r="BC61" s="38" t="s">
        <v>230</v>
      </c>
      <c r="BD61" s="36">
        <v>0.71640000000000004</v>
      </c>
      <c r="BE61" s="21">
        <f t="shared" si="164"/>
        <v>3582</v>
      </c>
      <c r="BF61" s="39">
        <f t="shared" si="44"/>
        <v>42984</v>
      </c>
      <c r="BG61" s="39">
        <f t="shared" si="17"/>
        <v>42984</v>
      </c>
      <c r="BH61" s="39">
        <f t="shared" si="18"/>
        <v>42984</v>
      </c>
      <c r="BI61" s="39">
        <f t="shared" si="19"/>
        <v>44273.520000000004</v>
      </c>
      <c r="BJ61" s="39">
        <f t="shared" ref="BJ61:BL61" si="272">BI61*1.03</f>
        <v>45601.725600000005</v>
      </c>
      <c r="BK61" s="39">
        <f t="shared" si="272"/>
        <v>46969.77736800001</v>
      </c>
      <c r="BL61" s="39">
        <f t="shared" si="272"/>
        <v>48378.870689040014</v>
      </c>
      <c r="BM61" s="39">
        <f t="shared" si="166"/>
        <v>0</v>
      </c>
      <c r="BN61" s="39">
        <f t="shared" si="166"/>
        <v>0</v>
      </c>
      <c r="BO61" s="39">
        <f t="shared" si="166"/>
        <v>0</v>
      </c>
      <c r="BP61" s="40"/>
      <c r="BQ61" s="40">
        <f t="shared" si="167"/>
        <v>1289.5200000000011</v>
      </c>
      <c r="BR61" s="40">
        <f t="shared" si="168"/>
        <v>2617.7255999999979</v>
      </c>
      <c r="BS61" s="40">
        <f t="shared" si="169"/>
        <v>4105.3506890400004</v>
      </c>
      <c r="BT61" s="40">
        <f t="shared" si="170"/>
        <v>5723.4183140025325</v>
      </c>
      <c r="BU61" s="40">
        <f t="shared" si="171"/>
        <v>7481.0678103652845</v>
      </c>
      <c r="BV61" s="40">
        <f t="shared" si="172"/>
        <v>9388.0309606877345</v>
      </c>
      <c r="BW61" s="40">
        <f t="shared" si="173"/>
        <v>0</v>
      </c>
      <c r="BX61" s="40">
        <f t="shared" si="174"/>
        <v>0</v>
      </c>
      <c r="BY61" s="40">
        <f t="shared" si="175"/>
        <v>0</v>
      </c>
      <c r="BZ61" s="40">
        <f t="shared" si="176"/>
        <v>30605.113374095548</v>
      </c>
      <c r="CA61" s="37">
        <f t="shared" si="177"/>
        <v>344781.00703113555</v>
      </c>
      <c r="CC61" s="102"/>
      <c r="CD61" s="12"/>
      <c r="CE61" s="14">
        <f t="shared" si="178"/>
        <v>0</v>
      </c>
      <c r="CF61" s="14" cm="1">
        <f t="array" ref="CF61">IFERROR(_xlfn.IFS(VALUE(MID(CF$5,6,1))&gt;$D$2,0,$CC61="Annual",1,CE61=12,12,$CC61="Monthly V",CE61*(1+$D$3),$CC61="Monthly F",12,$CC61="One-Time",0),CE61*(1+$D$3))</f>
        <v>0</v>
      </c>
      <c r="CG61" s="14" cm="1">
        <f t="array" ref="CG61">IFERROR(_xlfn.IFS(VALUE(MID(CG$5,6,1))&gt;$D$2,0,$CC61="Annual",1,CF61=12,12,$CC61="Monthly V",CF61*(1+$D$3),$CC61="Monthly F",12,$CC61="One-Time",0),CF61*(1+$D$3))</f>
        <v>0</v>
      </c>
      <c r="CH61" s="14" cm="1">
        <f t="array" ref="CH61">IFERROR(_xlfn.IFS(VALUE(MID(CH$5,6,1))&gt;$D$2,0,$CC61="Annual",1,CG61=12,12,$CC61="Monthly V",CG61*(1+$D$3),$CC61="Monthly F",12,$CC61="One-Time",0),CG61*(1+$D$3))</f>
        <v>0</v>
      </c>
      <c r="CI61" s="14" cm="1">
        <f t="array" ref="CI61">IFERROR(_xlfn.IFS(VALUE(MID(CI$5,6,1))&gt;$D$2,0,$CC61="Annual",1,CH61=12,12,$CC61="Monthly V",CH61*(1+$D$3),$CC61="Monthly F",12,$CC61="One-Time",0),CH61*(1+$D$3))</f>
        <v>0</v>
      </c>
      <c r="CJ61" s="14" cm="1">
        <f t="array" ref="CJ61">IFERROR(_xlfn.IFS(VALUE(MID(CJ$5,6,1))&gt;$D$2,0,$CC61="Annual",1,CI61=12,12,$CC61="Monthly V",CI61*(1+$D$3),$CC61="Monthly F",12,$CC61="One-Time",0),CI61*(1+$D$3))</f>
        <v>0</v>
      </c>
      <c r="CK61" s="14" cm="1">
        <f t="array" ref="CK61">IFERROR(_xlfn.IFS(VALUE(MID(CK$5,6,1))&gt;$D$2,0,$CC61="Annual",1,CJ61=12,12,$CC61="Monthly V",CJ61*(1+$D$3),$CC61="Monthly F",12,$CC61="One-Time",0),CJ61*(1+$D$3))</f>
        <v>0</v>
      </c>
      <c r="CL61" s="14" cm="1">
        <f t="array" ref="CL61">IFERROR(_xlfn.IFS(VALUE(MID(CL$5,6,1))&gt;$D$2,0,$CC61="Annual",1,CK61=12,12,$CC61="Monthly V",CK61*(1+$D$3),$CC61="Monthly F",12,$CC61="One-Time",0),CK61*(1+$D$3))</f>
        <v>0</v>
      </c>
      <c r="CM61" s="14" cm="1">
        <f t="array" ref="CM61">IFERROR(_xlfn.IFS(VALUE(MID(CM$5,6,1))&gt;$D$2,0,$CC61="Annual",1,CL61=12,12,$CC61="Monthly V",CL61*(1+$D$3),$CC61="Monthly F",12,$CC61="One-Time",0),CL61*(1+$D$3))</f>
        <v>0</v>
      </c>
      <c r="CN61" s="24" cm="1">
        <f t="array" ref="CN61">IFERROR(_xlfn.IFS(VALUE(MID(CN$5,6,2))&gt;$D$2,0,$CC61="Annual",1,CM61=12,12,$CC61="Monthly V",CM61*(1+$D$3),$CC61="Monthly F",12,$CC61="One-Time",0),CM61*(1+$D$3))</f>
        <v>0</v>
      </c>
      <c r="CO61" s="63"/>
      <c r="CP61" s="53"/>
      <c r="CQ61" s="21">
        <f t="shared" si="179"/>
        <v>0</v>
      </c>
      <c r="CR61" s="55">
        <f t="shared" si="180"/>
        <v>0</v>
      </c>
      <c r="CS61" s="55">
        <f t="shared" si="180"/>
        <v>0</v>
      </c>
      <c r="CT61" s="55">
        <f t="shared" si="180"/>
        <v>0</v>
      </c>
      <c r="CU61" s="55">
        <f t="shared" si="180"/>
        <v>0</v>
      </c>
      <c r="CV61" s="55">
        <f t="shared" si="180"/>
        <v>0</v>
      </c>
      <c r="CW61" s="55">
        <f t="shared" si="180"/>
        <v>0</v>
      </c>
      <c r="CX61" s="55">
        <f t="shared" si="180"/>
        <v>0</v>
      </c>
      <c r="CY61" s="55">
        <f t="shared" si="180"/>
        <v>0</v>
      </c>
      <c r="CZ61" s="55">
        <f t="shared" si="180"/>
        <v>0</v>
      </c>
      <c r="DA61" s="55">
        <f t="shared" si="180"/>
        <v>0</v>
      </c>
      <c r="DB61" s="56"/>
      <c r="DC61" s="56">
        <f t="shared" si="181"/>
        <v>0</v>
      </c>
      <c r="DD61" s="56">
        <f t="shared" si="182"/>
        <v>0</v>
      </c>
      <c r="DE61" s="56">
        <f t="shared" si="183"/>
        <v>0</v>
      </c>
      <c r="DF61" s="56">
        <f t="shared" si="184"/>
        <v>0</v>
      </c>
      <c r="DG61" s="56">
        <f t="shared" si="185"/>
        <v>0</v>
      </c>
      <c r="DH61" s="56">
        <f t="shared" si="186"/>
        <v>0</v>
      </c>
      <c r="DI61" s="56">
        <f t="shared" si="187"/>
        <v>0</v>
      </c>
      <c r="DJ61" s="56">
        <f t="shared" si="188"/>
        <v>0</v>
      </c>
      <c r="DK61" s="56">
        <f t="shared" si="189"/>
        <v>0</v>
      </c>
      <c r="DL61" s="57">
        <f t="shared" si="190"/>
        <v>0</v>
      </c>
      <c r="DM61" s="54">
        <f t="shared" si="191"/>
        <v>0</v>
      </c>
      <c r="DO61" s="106"/>
    </row>
    <row r="62" spans="2:119" x14ac:dyDescent="0.25">
      <c r="B62" s="141" t="s">
        <v>1</v>
      </c>
      <c r="C62" s="24">
        <v>1</v>
      </c>
      <c r="D62" s="147">
        <f t="shared" ref="D62:D68" si="273">IFERROR(AVERAGE(C62:C62),0)</f>
        <v>1</v>
      </c>
      <c r="E62" s="142">
        <f t="shared" ref="E62:E68" si="274">IF($B62="Annual",1,IF($B62="Monthly F",12,IF($B62="Monthly V",D62*12,IF($B62="One-Time",1,D62*12))))</f>
        <v>12</v>
      </c>
      <c r="F62" s="14" cm="1">
        <f t="array" ref="F62">IFERROR(_xlfn.IFS(VALUE(MID(F$5,6,1))&gt;$D$2,0,$B62="Annual",1,E62=12,12,$B62="Monthly V",E62*(1+$D$3),$B62="Monthly F",12,$B62="One-Time",0),E62*(1+$D$3))</f>
        <v>12</v>
      </c>
      <c r="G62" s="14" cm="1">
        <f t="array" ref="G62">IFERROR(_xlfn.IFS(VALUE(MID(G$5,6,1))&gt;$D$2,0,$B62="Annual",1,F62=12,12,$B62="Monthly V",F62*(1+$D$3),$B62="Monthly F",12,$B62="One-Time",0),F62*(1+$D$3))</f>
        <v>12</v>
      </c>
      <c r="H62" s="14" cm="1">
        <f t="array" ref="H62">IFERROR(_xlfn.IFS(VALUE(MID(H$5,6,1))&gt;$D$2,0,$B62="Annual",1,G62=12,12,$B62="Monthly V",G62*(1+$D$3),$B62="Monthly F",12,$B62="One-Time",0),G62*(1+$D$3))</f>
        <v>12</v>
      </c>
      <c r="I62" s="14" cm="1">
        <f t="array" ref="I62">IFERROR(_xlfn.IFS(VALUE(MID(I$5,6,1))&gt;$D$2,0,$B62="Annual",1,H62=12,12,$B62="Monthly V",H62*(1+$D$3),$B62="Monthly F",12,$B62="One-Time",0),H62*(1+$D$3))</f>
        <v>12</v>
      </c>
      <c r="J62" s="14" cm="1">
        <f t="array" ref="J62">IFERROR(_xlfn.IFS(VALUE(MID(J$5,6,1))&gt;$D$2,0,$B62="Annual",1,I62=12,12,$B62="Monthly V",I62*(1+$D$3),$B62="Monthly F",12,$B62="One-Time",0),I62*(1+$D$3))</f>
        <v>12</v>
      </c>
      <c r="K62" s="14" cm="1">
        <f t="array" ref="K62">IFERROR(_xlfn.IFS(VALUE(MID(K$5,6,1))&gt;$D$2,0,$B62="Annual",1,J62=12,12,$B62="Monthly V",J62*(1+$D$3),$B62="Monthly F",12,$B62="One-Time",0),J62*(1+$D$3))</f>
        <v>12</v>
      </c>
      <c r="L62" s="14" cm="1">
        <f t="array" ref="L62">IFERROR(_xlfn.IFS(VALUE(MID(L$5,6,1))&gt;$D$2,0,$B62="Annual",1,K62=12,12,$B62="Monthly V",K62*(1+$D$3),$B62="Monthly F",12,$B62="One-Time",0),K62*(1+$D$3))</f>
        <v>0</v>
      </c>
      <c r="M62" s="14" cm="1">
        <f t="array" ref="M62">IFERROR(_xlfn.IFS(VALUE(MID(M$5,6,1))&gt;$D$2,0,$B62="Annual",1,L62=12,12,$B62="Monthly V",L62*(1+$D$3),$B62="Monthly F",12,$B62="One-Time",0),L62*(1+$D$3))</f>
        <v>0</v>
      </c>
      <c r="N62" s="24" cm="1">
        <f t="array" ref="N62">IFERROR(_xlfn.IFS(VALUE(MID(N$5,6,2))&gt;$D$2,0,$B62="Annual",1,M62=12,12,$B62="Monthly V",M62*(1+$D$3),$B62="Monthly F",12,$B62="One-Time",0),M62*(1+$D$3))</f>
        <v>0</v>
      </c>
      <c r="O62" s="127" t="s">
        <v>117</v>
      </c>
      <c r="P62" s="13"/>
      <c r="Q62" s="20">
        <v>563</v>
      </c>
      <c r="R62" s="21">
        <f t="shared" si="256"/>
        <v>563</v>
      </c>
      <c r="S62" s="6">
        <f t="shared" si="257"/>
        <v>6756</v>
      </c>
      <c r="T62" s="6">
        <f t="shared" si="257"/>
        <v>6756</v>
      </c>
      <c r="U62" s="6">
        <f t="shared" si="257"/>
        <v>6756</v>
      </c>
      <c r="V62" s="6">
        <f t="shared" si="257"/>
        <v>6756</v>
      </c>
      <c r="W62" s="6">
        <f t="shared" si="257"/>
        <v>6756</v>
      </c>
      <c r="X62" s="6">
        <f t="shared" si="257"/>
        <v>6756</v>
      </c>
      <c r="Y62" s="6">
        <f t="shared" si="257"/>
        <v>6756</v>
      </c>
      <c r="Z62" s="6">
        <f t="shared" si="257"/>
        <v>0</v>
      </c>
      <c r="AA62" s="6">
        <f t="shared" si="257"/>
        <v>0</v>
      </c>
      <c r="AB62" s="6">
        <f t="shared" si="257"/>
        <v>0</v>
      </c>
      <c r="AC62" s="7"/>
      <c r="AD62" s="152">
        <f t="shared" si="258"/>
        <v>202.68000000000018</v>
      </c>
      <c r="AE62" s="152">
        <f t="shared" si="259"/>
        <v>411.44039999999967</v>
      </c>
      <c r="AF62" s="152">
        <f t="shared" si="260"/>
        <v>626.46361200000001</v>
      </c>
      <c r="AG62" s="152">
        <f t="shared" si="261"/>
        <v>847.93752035999944</v>
      </c>
      <c r="AH62" s="152">
        <f t="shared" si="262"/>
        <v>1076.0556459707989</v>
      </c>
      <c r="AI62" s="152">
        <f t="shared" si="263"/>
        <v>1311.0173153499234</v>
      </c>
      <c r="AJ62" s="152">
        <f t="shared" si="264"/>
        <v>0</v>
      </c>
      <c r="AK62" s="152">
        <f t="shared" si="265"/>
        <v>0</v>
      </c>
      <c r="AL62" s="152">
        <f t="shared" si="266"/>
        <v>0</v>
      </c>
      <c r="AM62" s="9">
        <f t="shared" si="267"/>
        <v>4475.5944936807218</v>
      </c>
      <c r="AN62" s="80">
        <f t="shared" si="268"/>
        <v>51767.594493680721</v>
      </c>
      <c r="AP62" s="102" t="s">
        <v>0</v>
      </c>
      <c r="AQ62" s="12">
        <v>1</v>
      </c>
      <c r="AR62" s="14">
        <f t="shared" si="15"/>
        <v>12</v>
      </c>
      <c r="AS62" s="14" cm="1">
        <f t="array" ref="AS62">IFERROR(_xlfn.IFS(VALUE(MID(AS$5,6,1))&gt;$D$2,0,$AP62="Annual",1,AR62=12,12,$AP62="Monthly V",AR62*(1+$BD$2),$AP62="Monthly F",12,$AP62="One-Time",0),AR62*(1+$BD$2))</f>
        <v>12</v>
      </c>
      <c r="AT62" s="14" cm="1">
        <f t="array" ref="AT62">IFERROR(_xlfn.IFS(VALUE(MID(AT$5,6,1))&gt;$D$2,0,$AP62="Annual",1,AS62=12,12,$AP62="Monthly V",AS62*(1+$BD$2),$AP62="Monthly F",12,$AP62="One-Time",0),AS62*(1+$BD$2))</f>
        <v>12</v>
      </c>
      <c r="AU62" s="14" cm="1">
        <f t="array" ref="AU62">IFERROR(_xlfn.IFS(VALUE(MID(AU$5,6,1))&gt;$D$2,0,$AP62="Annual",1,AT62=12,12,$AP62="Monthly V",AT62*(1+$BD$2),$AP62="Monthly F",12,$AP62="One-Time",0),AT62*(1+$BD$2))</f>
        <v>12</v>
      </c>
      <c r="AV62" s="14" cm="1">
        <f t="array" ref="AV62">IFERROR(_xlfn.IFS(VALUE(MID(AV$5,6,1))&gt;$D$2,0,$AP62="Annual",1,AU62=12,12,$AP62="Monthly V",AU62*(1+$BD$2),$AP62="Monthly F",12,$AP62="One-Time",0),AU62*(1+$BD$2))</f>
        <v>12</v>
      </c>
      <c r="AW62" s="14" cm="1">
        <f t="array" ref="AW62">IFERROR(_xlfn.IFS(VALUE(MID(AW$5,6,1))&gt;$D$2,0,$AP62="Annual",1,AV62=12,12,$AP62="Monthly V",AV62*(1+$BD$2),$AP62="Monthly F",12,$AP62="One-Time",0),AV62*(1+$BD$2))</f>
        <v>12</v>
      </c>
      <c r="AX62" s="14" cm="1">
        <f t="array" ref="AX62">IFERROR(_xlfn.IFS(VALUE(MID(AX$5,6,1))&gt;$D$2,0,$AP62="Annual",1,AW62=12,12,$AP62="Monthly V",AW62*(1+$BD$2),$AP62="Monthly F",12,$AP62="One-Time",0),AW62*(1+$BD$2))</f>
        <v>12</v>
      </c>
      <c r="AY62" s="14" cm="1">
        <f t="array" ref="AY62">IFERROR(_xlfn.IFS(VALUE(MID(AY$5,6,1))&gt;$D$2,0,$AP62="Annual",1,AX62=12,12,$AP62="Monthly V",AX62*(1+$D$3),$AP62="Monthly F",12,$AP62="One-Time",0),AX62*(1+$D$3))</f>
        <v>0</v>
      </c>
      <c r="AZ62" s="14" cm="1">
        <f t="array" ref="AZ62">IFERROR(_xlfn.IFS(VALUE(MID(AZ$5,6,1))&gt;$D$2,0,$AP62="Annual",1,AY62=12,12,$AP62="Monthly V",AY62*(1+$D$3),$AP62="Monthly F",12,$AP62="One-Time",0),AY62*(1+$D$3))</f>
        <v>0</v>
      </c>
      <c r="BA62" s="125" cm="1">
        <f t="array" ref="BA62">IFERROR(_xlfn.IFS(VALUE(MID(BA$5,6,2))&gt;$D$2,0,$AP62="Annual",1,AZ62=12,12,$AP62="Monthly V",AZ62*(1+$D$3),$AP62="Monthly F",12,$AP62="One-Time",0),AZ62*(1+$D$3))</f>
        <v>0</v>
      </c>
      <c r="BB62" s="148" t="s">
        <v>204</v>
      </c>
      <c r="BC62" s="38" t="s">
        <v>230</v>
      </c>
      <c r="BD62" s="36">
        <v>2000</v>
      </c>
      <c r="BE62" s="21">
        <f t="shared" si="164"/>
        <v>2000</v>
      </c>
      <c r="BF62" s="39">
        <f t="shared" si="44"/>
        <v>24000</v>
      </c>
      <c r="BG62" s="39">
        <f t="shared" si="17"/>
        <v>24000</v>
      </c>
      <c r="BH62" s="39">
        <f t="shared" si="18"/>
        <v>24000</v>
      </c>
      <c r="BI62" s="39">
        <f t="shared" si="19"/>
        <v>24720</v>
      </c>
      <c r="BJ62" s="39">
        <f t="shared" ref="BJ62:BL62" si="275">BI62*1.03</f>
        <v>25461.600000000002</v>
      </c>
      <c r="BK62" s="39">
        <f t="shared" si="275"/>
        <v>26225.448000000004</v>
      </c>
      <c r="BL62" s="39">
        <f t="shared" si="275"/>
        <v>27012.211440000006</v>
      </c>
      <c r="BM62" s="39">
        <f t="shared" ref="BM62:BO68" si="276">IFERROR(AY62*$BD62,0)</f>
        <v>0</v>
      </c>
      <c r="BN62" s="39">
        <f t="shared" si="276"/>
        <v>0</v>
      </c>
      <c r="BO62" s="39">
        <f t="shared" si="276"/>
        <v>0</v>
      </c>
      <c r="BP62" s="40"/>
      <c r="BQ62" s="40">
        <f t="shared" si="167"/>
        <v>720.00000000000068</v>
      </c>
      <c r="BR62" s="40">
        <f t="shared" si="168"/>
        <v>1461.599999999999</v>
      </c>
      <c r="BS62" s="40">
        <f t="shared" si="169"/>
        <v>2292.21144</v>
      </c>
      <c r="BT62" s="40">
        <f t="shared" si="170"/>
        <v>3195.655116695998</v>
      </c>
      <c r="BU62" s="40">
        <f t="shared" si="171"/>
        <v>4177.0339533027827</v>
      </c>
      <c r="BV62" s="40">
        <f t="shared" si="172"/>
        <v>5241.781664258925</v>
      </c>
      <c r="BW62" s="40">
        <f t="shared" si="173"/>
        <v>0</v>
      </c>
      <c r="BX62" s="40">
        <f t="shared" si="174"/>
        <v>0</v>
      </c>
      <c r="BY62" s="40">
        <f t="shared" si="175"/>
        <v>0</v>
      </c>
      <c r="BZ62" s="40">
        <f t="shared" si="176"/>
        <v>17088.282174257703</v>
      </c>
      <c r="CA62" s="37">
        <f t="shared" si="177"/>
        <v>192507.54161425773</v>
      </c>
      <c r="CC62" s="102"/>
      <c r="CD62" s="12"/>
      <c r="CE62" s="14">
        <f t="shared" si="178"/>
        <v>0</v>
      </c>
      <c r="CF62" s="14" cm="1">
        <f t="array" ref="CF62">IFERROR(_xlfn.IFS(VALUE(MID(CF$5,6,1))&gt;$D$2,0,$CC62="Annual",1,CE62=12,12,$CC62="Monthly V",CE62*(1+$D$3),$CC62="Monthly F",12,$CC62="One-Time",0),CE62*(1+$D$3))</f>
        <v>0</v>
      </c>
      <c r="CG62" s="14" cm="1">
        <f t="array" ref="CG62">IFERROR(_xlfn.IFS(VALUE(MID(CG$5,6,1))&gt;$D$2,0,$CC62="Annual",1,CF62=12,12,$CC62="Monthly V",CF62*(1+$D$3),$CC62="Monthly F",12,$CC62="One-Time",0),CF62*(1+$D$3))</f>
        <v>0</v>
      </c>
      <c r="CH62" s="14" cm="1">
        <f t="array" ref="CH62">IFERROR(_xlfn.IFS(VALUE(MID(CH$5,6,1))&gt;$D$2,0,$CC62="Annual",1,CG62=12,12,$CC62="Monthly V",CG62*(1+$D$3),$CC62="Monthly F",12,$CC62="One-Time",0),CG62*(1+$D$3))</f>
        <v>0</v>
      </c>
      <c r="CI62" s="14" cm="1">
        <f t="array" ref="CI62">IFERROR(_xlfn.IFS(VALUE(MID(CI$5,6,1))&gt;$D$2,0,$CC62="Annual",1,CH62=12,12,$CC62="Monthly V",CH62*(1+$D$3),$CC62="Monthly F",12,$CC62="One-Time",0),CH62*(1+$D$3))</f>
        <v>0</v>
      </c>
      <c r="CJ62" s="14" cm="1">
        <f t="array" ref="CJ62">IFERROR(_xlfn.IFS(VALUE(MID(CJ$5,6,1))&gt;$D$2,0,$CC62="Annual",1,CI62=12,12,$CC62="Monthly V",CI62*(1+$D$3),$CC62="Monthly F",12,$CC62="One-Time",0),CI62*(1+$D$3))</f>
        <v>0</v>
      </c>
      <c r="CK62" s="14" cm="1">
        <f t="array" ref="CK62">IFERROR(_xlfn.IFS(VALUE(MID(CK$5,6,1))&gt;$D$2,0,$CC62="Annual",1,CJ62=12,12,$CC62="Monthly V",CJ62*(1+$D$3),$CC62="Monthly F",12,$CC62="One-Time",0),CJ62*(1+$D$3))</f>
        <v>0</v>
      </c>
      <c r="CL62" s="14" cm="1">
        <f t="array" ref="CL62">IFERROR(_xlfn.IFS(VALUE(MID(CL$5,6,1))&gt;$D$2,0,$CC62="Annual",1,CK62=12,12,$CC62="Monthly V",CK62*(1+$D$3),$CC62="Monthly F",12,$CC62="One-Time",0),CK62*(1+$D$3))</f>
        <v>0</v>
      </c>
      <c r="CM62" s="14" cm="1">
        <f t="array" ref="CM62">IFERROR(_xlfn.IFS(VALUE(MID(CM$5,6,1))&gt;$D$2,0,$CC62="Annual",1,CL62=12,12,$CC62="Monthly V",CL62*(1+$D$3),$CC62="Monthly F",12,$CC62="One-Time",0),CL62*(1+$D$3))</f>
        <v>0</v>
      </c>
      <c r="CN62" s="24" cm="1">
        <f t="array" ref="CN62">IFERROR(_xlfn.IFS(VALUE(MID(CN$5,6,2))&gt;$D$2,0,$CC62="Annual",1,CM62=12,12,$CC62="Monthly V",CM62*(1+$D$3),$CC62="Monthly F",12,$CC62="One-Time",0),CM62*(1+$D$3))</f>
        <v>0</v>
      </c>
      <c r="CO62" s="63"/>
      <c r="CP62" s="53"/>
      <c r="CQ62" s="21">
        <f t="shared" si="179"/>
        <v>0</v>
      </c>
      <c r="CR62" s="55">
        <f t="shared" si="180"/>
        <v>0</v>
      </c>
      <c r="CS62" s="55">
        <f t="shared" si="180"/>
        <v>0</v>
      </c>
      <c r="CT62" s="55">
        <f t="shared" si="180"/>
        <v>0</v>
      </c>
      <c r="CU62" s="55">
        <f t="shared" si="180"/>
        <v>0</v>
      </c>
      <c r="CV62" s="55">
        <f t="shared" si="180"/>
        <v>0</v>
      </c>
      <c r="CW62" s="55">
        <f t="shared" ref="CW62:DA68" si="277">IFERROR(CJ62*$CP62,0)</f>
        <v>0</v>
      </c>
      <c r="CX62" s="55">
        <f t="shared" si="277"/>
        <v>0</v>
      </c>
      <c r="CY62" s="55">
        <f t="shared" si="277"/>
        <v>0</v>
      </c>
      <c r="CZ62" s="55">
        <f t="shared" si="277"/>
        <v>0</v>
      </c>
      <c r="DA62" s="55">
        <f t="shared" si="277"/>
        <v>0</v>
      </c>
      <c r="DB62" s="56"/>
      <c r="DC62" s="56">
        <f t="shared" si="181"/>
        <v>0</v>
      </c>
      <c r="DD62" s="56">
        <f t="shared" si="182"/>
        <v>0</v>
      </c>
      <c r="DE62" s="56">
        <f t="shared" si="183"/>
        <v>0</v>
      </c>
      <c r="DF62" s="56">
        <f t="shared" si="184"/>
        <v>0</v>
      </c>
      <c r="DG62" s="56">
        <f t="shared" si="185"/>
        <v>0</v>
      </c>
      <c r="DH62" s="56">
        <f t="shared" si="186"/>
        <v>0</v>
      </c>
      <c r="DI62" s="56">
        <f t="shared" si="187"/>
        <v>0</v>
      </c>
      <c r="DJ62" s="56">
        <f t="shared" si="188"/>
        <v>0</v>
      </c>
      <c r="DK62" s="56">
        <f t="shared" si="189"/>
        <v>0</v>
      </c>
      <c r="DL62" s="57">
        <f t="shared" si="190"/>
        <v>0</v>
      </c>
      <c r="DM62" s="54">
        <f t="shared" si="191"/>
        <v>0</v>
      </c>
      <c r="DO62" s="106"/>
    </row>
    <row r="63" spans="2:119" x14ac:dyDescent="0.25">
      <c r="B63" s="141" t="s">
        <v>1</v>
      </c>
      <c r="C63" s="24">
        <v>1</v>
      </c>
      <c r="D63" s="147">
        <f t="shared" si="273"/>
        <v>1</v>
      </c>
      <c r="E63" s="142">
        <f t="shared" si="274"/>
        <v>12</v>
      </c>
      <c r="F63" s="14" cm="1">
        <f t="array" ref="F63">IFERROR(_xlfn.IFS(VALUE(MID(F$5,6,1))&gt;$D$2,0,$B63="Annual",1,E63=12,12,$B63="Monthly V",E63*(1+$D$3),$B63="Monthly F",12,$B63="One-Time",0),E63*(1+$D$3))</f>
        <v>12</v>
      </c>
      <c r="G63" s="14" cm="1">
        <f t="array" ref="G63">IFERROR(_xlfn.IFS(VALUE(MID(G$5,6,1))&gt;$D$2,0,$B63="Annual",1,F63=12,12,$B63="Monthly V",F63*(1+$D$3),$B63="Monthly F",12,$B63="One-Time",0),F63*(1+$D$3))</f>
        <v>12</v>
      </c>
      <c r="H63" s="14" cm="1">
        <f t="array" ref="H63">IFERROR(_xlfn.IFS(VALUE(MID(H$5,6,1))&gt;$D$2,0,$B63="Annual",1,G63=12,12,$B63="Monthly V",G63*(1+$D$3),$B63="Monthly F",12,$B63="One-Time",0),G63*(1+$D$3))</f>
        <v>12</v>
      </c>
      <c r="I63" s="14" cm="1">
        <f t="array" ref="I63">IFERROR(_xlfn.IFS(VALUE(MID(I$5,6,1))&gt;$D$2,0,$B63="Annual",1,H63=12,12,$B63="Monthly V",H63*(1+$D$3),$B63="Monthly F",12,$B63="One-Time",0),H63*(1+$D$3))</f>
        <v>12</v>
      </c>
      <c r="J63" s="14" cm="1">
        <f t="array" ref="J63">IFERROR(_xlfn.IFS(VALUE(MID(J$5,6,1))&gt;$D$2,0,$B63="Annual",1,I63=12,12,$B63="Monthly V",I63*(1+$D$3),$B63="Monthly F",12,$B63="One-Time",0),I63*(1+$D$3))</f>
        <v>12</v>
      </c>
      <c r="K63" s="14" cm="1">
        <f t="array" ref="K63">IFERROR(_xlfn.IFS(VALUE(MID(K$5,6,1))&gt;$D$2,0,$B63="Annual",1,J63=12,12,$B63="Monthly V",J63*(1+$D$3),$B63="Monthly F",12,$B63="One-Time",0),J63*(1+$D$3))</f>
        <v>12</v>
      </c>
      <c r="L63" s="14" cm="1">
        <f t="array" ref="L63">IFERROR(_xlfn.IFS(VALUE(MID(L$5,6,1))&gt;$D$2,0,$B63="Annual",1,K63=12,12,$B63="Monthly V",K63*(1+$D$3),$B63="Monthly F",12,$B63="One-Time",0),K63*(1+$D$3))</f>
        <v>0</v>
      </c>
      <c r="M63" s="14" cm="1">
        <f t="array" ref="M63">IFERROR(_xlfn.IFS(VALUE(MID(M$5,6,1))&gt;$D$2,0,$B63="Annual",1,L63=12,12,$B63="Monthly V",L63*(1+$D$3),$B63="Monthly F",12,$B63="One-Time",0),L63*(1+$D$3))</f>
        <v>0</v>
      </c>
      <c r="N63" s="24" cm="1">
        <f t="array" ref="N63">IFERROR(_xlfn.IFS(VALUE(MID(N$5,6,2))&gt;$D$2,0,$B63="Annual",1,M63=12,12,$B63="Monthly V",M63*(1+$D$3),$B63="Monthly F",12,$B63="One-Time",0),M63*(1+$D$3))</f>
        <v>0</v>
      </c>
      <c r="O63" s="127" t="s">
        <v>118</v>
      </c>
      <c r="P63" s="13"/>
      <c r="Q63" s="20">
        <v>609</v>
      </c>
      <c r="R63" s="21">
        <f t="shared" si="256"/>
        <v>609</v>
      </c>
      <c r="S63" s="6">
        <f t="shared" si="257"/>
        <v>7308</v>
      </c>
      <c r="T63" s="6">
        <f t="shared" si="257"/>
        <v>7308</v>
      </c>
      <c r="U63" s="6">
        <f t="shared" si="257"/>
        <v>7308</v>
      </c>
      <c r="V63" s="6">
        <f t="shared" si="257"/>
        <v>7308</v>
      </c>
      <c r="W63" s="6">
        <f t="shared" si="257"/>
        <v>7308</v>
      </c>
      <c r="X63" s="6">
        <f t="shared" si="257"/>
        <v>7308</v>
      </c>
      <c r="Y63" s="6">
        <f t="shared" si="257"/>
        <v>7308</v>
      </c>
      <c r="Z63" s="6">
        <f t="shared" si="257"/>
        <v>0</v>
      </c>
      <c r="AA63" s="6">
        <f t="shared" si="257"/>
        <v>0</v>
      </c>
      <c r="AB63" s="6">
        <f t="shared" si="257"/>
        <v>0</v>
      </c>
      <c r="AC63" s="7"/>
      <c r="AD63" s="152">
        <f t="shared" si="258"/>
        <v>219.24000000000021</v>
      </c>
      <c r="AE63" s="152">
        <f t="shared" si="259"/>
        <v>445.05719999999968</v>
      </c>
      <c r="AF63" s="152">
        <f t="shared" si="260"/>
        <v>677.64891599999999</v>
      </c>
      <c r="AG63" s="152">
        <f t="shared" si="261"/>
        <v>917.21838347999937</v>
      </c>
      <c r="AH63" s="152">
        <f t="shared" si="262"/>
        <v>1163.9749349843989</v>
      </c>
      <c r="AI63" s="152">
        <f t="shared" si="263"/>
        <v>1418.1341830339313</v>
      </c>
      <c r="AJ63" s="152">
        <f t="shared" si="264"/>
        <v>0</v>
      </c>
      <c r="AK63" s="152">
        <f t="shared" si="265"/>
        <v>0</v>
      </c>
      <c r="AL63" s="152">
        <f t="shared" si="266"/>
        <v>0</v>
      </c>
      <c r="AM63" s="9">
        <f t="shared" si="267"/>
        <v>4841.2736174983293</v>
      </c>
      <c r="AN63" s="80">
        <f t="shared" si="268"/>
        <v>55997.273617498329</v>
      </c>
      <c r="AP63" s="102" t="s">
        <v>1</v>
      </c>
      <c r="AQ63" s="12">
        <v>5000</v>
      </c>
      <c r="AR63" s="14">
        <f t="shared" si="15"/>
        <v>60000</v>
      </c>
      <c r="AS63" s="14" cm="1">
        <f t="array" ref="AS63">IFERROR(_xlfn.IFS(VALUE(MID(AS$5,6,1))&gt;$D$2,0,$AP63="Annual",1,AR63=12,12,$AP63="Monthly V",AR63*(1+$BD$2),$AP63="Monthly F",12,$AP63="One-Time",0),AR63*(1+$BD$2))</f>
        <v>60000</v>
      </c>
      <c r="AT63" s="14" cm="1">
        <f t="array" ref="AT63">IFERROR(_xlfn.IFS(VALUE(MID(AT$5,6,1))&gt;$D$2,0,$AP63="Annual",1,AS63=12,12,$AP63="Monthly V",AS63*(1+$BD$2),$AP63="Monthly F",12,$AP63="One-Time",0),AS63*(1+$BD$2))</f>
        <v>60000</v>
      </c>
      <c r="AU63" s="14" cm="1">
        <f t="array" ref="AU63">IFERROR(_xlfn.IFS(VALUE(MID(AU$5,6,1))&gt;$D$2,0,$AP63="Annual",1,AT63=12,12,$AP63="Monthly V",AT63*(1+$BD$2),$AP63="Monthly F",12,$AP63="One-Time",0),AT63*(1+$BD$2))</f>
        <v>60000</v>
      </c>
      <c r="AV63" s="14" cm="1">
        <f t="array" ref="AV63">IFERROR(_xlfn.IFS(VALUE(MID(AV$5,6,1))&gt;$D$2,0,$AP63="Annual",1,AU63=12,12,$AP63="Monthly V",AU63*(1+$BD$2),$AP63="Monthly F",12,$AP63="One-Time",0),AU63*(1+$BD$2))</f>
        <v>60000</v>
      </c>
      <c r="AW63" s="14" cm="1">
        <f t="array" ref="AW63">IFERROR(_xlfn.IFS(VALUE(MID(AW$5,6,1))&gt;$D$2,0,$AP63="Annual",1,AV63=12,12,$AP63="Monthly V",AV63*(1+$BD$2),$AP63="Monthly F",12,$AP63="One-Time",0),AV63*(1+$BD$2))</f>
        <v>60000</v>
      </c>
      <c r="AX63" s="14" cm="1">
        <f t="array" ref="AX63">IFERROR(_xlfn.IFS(VALUE(MID(AX$5,6,1))&gt;$D$2,0,$AP63="Annual",1,AW63=12,12,$AP63="Monthly V",AW63*(1+$BD$2),$AP63="Monthly F",12,$AP63="One-Time",0),AW63*(1+$BD$2))</f>
        <v>60000</v>
      </c>
      <c r="AY63" s="14" cm="1">
        <f t="array" ref="AY63">IFERROR(_xlfn.IFS(VALUE(MID(AY$5,6,1))&gt;$D$2,0,$AP63="Annual",1,AX63=12,12,$AP63="Monthly V",AX63*(1+$D$3),$AP63="Monthly F",12,$AP63="One-Time",0),AX63*(1+$D$3))</f>
        <v>0</v>
      </c>
      <c r="AZ63" s="14" cm="1">
        <f t="array" ref="AZ63">IFERROR(_xlfn.IFS(VALUE(MID(AZ$5,6,1))&gt;$D$2,0,$AP63="Annual",1,AY63=12,12,$AP63="Monthly V",AY63*(1+$D$3),$AP63="Monthly F",12,$AP63="One-Time",0),AY63*(1+$D$3))</f>
        <v>0</v>
      </c>
      <c r="BA63" s="125" cm="1">
        <f t="array" ref="BA63">IFERROR(_xlfn.IFS(VALUE(MID(BA$5,6,2))&gt;$D$2,0,$AP63="Annual",1,AZ63=12,12,$AP63="Monthly V",AZ63*(1+$D$3),$AP63="Monthly F",12,$AP63="One-Time",0),AZ63*(1+$D$3))</f>
        <v>0</v>
      </c>
      <c r="BB63" s="148" t="s">
        <v>205</v>
      </c>
      <c r="BC63" s="38" t="s">
        <v>205</v>
      </c>
      <c r="BD63" s="36">
        <v>0.1605</v>
      </c>
      <c r="BE63" s="21">
        <f t="shared" si="164"/>
        <v>802.5</v>
      </c>
      <c r="BF63" s="39">
        <f t="shared" si="44"/>
        <v>9630</v>
      </c>
      <c r="BG63" s="39">
        <f t="shared" si="17"/>
        <v>9630</v>
      </c>
      <c r="BH63" s="39">
        <f t="shared" si="18"/>
        <v>9630</v>
      </c>
      <c r="BI63" s="39">
        <f t="shared" si="19"/>
        <v>9918.9</v>
      </c>
      <c r="BJ63" s="39">
        <f t="shared" ref="BJ63:BL63" si="278">BI63*1.03</f>
        <v>10216.467000000001</v>
      </c>
      <c r="BK63" s="39">
        <f t="shared" si="278"/>
        <v>10522.961010000001</v>
      </c>
      <c r="BL63" s="39">
        <f t="shared" si="278"/>
        <v>10838.649840300001</v>
      </c>
      <c r="BM63" s="39">
        <f t="shared" si="276"/>
        <v>0</v>
      </c>
      <c r="BN63" s="39">
        <f t="shared" si="276"/>
        <v>0</v>
      </c>
      <c r="BO63" s="39">
        <f t="shared" si="276"/>
        <v>0</v>
      </c>
      <c r="BP63" s="40"/>
      <c r="BQ63" s="40">
        <f t="shared" si="167"/>
        <v>288.90000000000026</v>
      </c>
      <c r="BR63" s="40">
        <f t="shared" si="168"/>
        <v>586.46699999999953</v>
      </c>
      <c r="BS63" s="40">
        <f t="shared" si="169"/>
        <v>919.74984029999996</v>
      </c>
      <c r="BT63" s="40">
        <f t="shared" si="170"/>
        <v>1282.2566155742693</v>
      </c>
      <c r="BU63" s="40">
        <f t="shared" si="171"/>
        <v>1676.0348737627417</v>
      </c>
      <c r="BV63" s="40">
        <f t="shared" si="172"/>
        <v>2103.2648927838932</v>
      </c>
      <c r="BW63" s="40">
        <f t="shared" si="173"/>
        <v>0</v>
      </c>
      <c r="BX63" s="40">
        <f t="shared" si="174"/>
        <v>0</v>
      </c>
      <c r="BY63" s="40">
        <f t="shared" si="175"/>
        <v>0</v>
      </c>
      <c r="BZ63" s="40">
        <f t="shared" si="176"/>
        <v>6856.6732224209045</v>
      </c>
      <c r="CA63" s="37">
        <f t="shared" si="177"/>
        <v>77243.65107272091</v>
      </c>
      <c r="CC63" s="102"/>
      <c r="CD63" s="12"/>
      <c r="CE63" s="14">
        <f t="shared" si="178"/>
        <v>0</v>
      </c>
      <c r="CF63" s="14" cm="1">
        <f t="array" ref="CF63">IFERROR(_xlfn.IFS(VALUE(MID(CF$5,6,1))&gt;$D$2,0,$CC63="Annual",1,CE63=12,12,$CC63="Monthly V",CE63*(1+$D$3),$CC63="Monthly F",12,$CC63="One-Time",0),CE63*(1+$D$3))</f>
        <v>0</v>
      </c>
      <c r="CG63" s="14" cm="1">
        <f t="array" ref="CG63">IFERROR(_xlfn.IFS(VALUE(MID(CG$5,6,1))&gt;$D$2,0,$CC63="Annual",1,CF63=12,12,$CC63="Monthly V",CF63*(1+$D$3),$CC63="Monthly F",12,$CC63="One-Time",0),CF63*(1+$D$3))</f>
        <v>0</v>
      </c>
      <c r="CH63" s="14" cm="1">
        <f t="array" ref="CH63">IFERROR(_xlfn.IFS(VALUE(MID(CH$5,6,1))&gt;$D$2,0,$CC63="Annual",1,CG63=12,12,$CC63="Monthly V",CG63*(1+$D$3),$CC63="Monthly F",12,$CC63="One-Time",0),CG63*(1+$D$3))</f>
        <v>0</v>
      </c>
      <c r="CI63" s="14" cm="1">
        <f t="array" ref="CI63">IFERROR(_xlfn.IFS(VALUE(MID(CI$5,6,1))&gt;$D$2,0,$CC63="Annual",1,CH63=12,12,$CC63="Monthly V",CH63*(1+$D$3),$CC63="Monthly F",12,$CC63="One-Time",0),CH63*(1+$D$3))</f>
        <v>0</v>
      </c>
      <c r="CJ63" s="14" cm="1">
        <f t="array" ref="CJ63">IFERROR(_xlfn.IFS(VALUE(MID(CJ$5,6,1))&gt;$D$2,0,$CC63="Annual",1,CI63=12,12,$CC63="Monthly V",CI63*(1+$D$3),$CC63="Monthly F",12,$CC63="One-Time",0),CI63*(1+$D$3))</f>
        <v>0</v>
      </c>
      <c r="CK63" s="14" cm="1">
        <f t="array" ref="CK63">IFERROR(_xlfn.IFS(VALUE(MID(CK$5,6,1))&gt;$D$2,0,$CC63="Annual",1,CJ63=12,12,$CC63="Monthly V",CJ63*(1+$D$3),$CC63="Monthly F",12,$CC63="One-Time",0),CJ63*(1+$D$3))</f>
        <v>0</v>
      </c>
      <c r="CL63" s="14" cm="1">
        <f t="array" ref="CL63">IFERROR(_xlfn.IFS(VALUE(MID(CL$5,6,1))&gt;$D$2,0,$CC63="Annual",1,CK63=12,12,$CC63="Monthly V",CK63*(1+$D$3),$CC63="Monthly F",12,$CC63="One-Time",0),CK63*(1+$D$3))</f>
        <v>0</v>
      </c>
      <c r="CM63" s="14" cm="1">
        <f t="array" ref="CM63">IFERROR(_xlfn.IFS(VALUE(MID(CM$5,6,1))&gt;$D$2,0,$CC63="Annual",1,CL63=12,12,$CC63="Monthly V",CL63*(1+$D$3),$CC63="Monthly F",12,$CC63="One-Time",0),CL63*(1+$D$3))</f>
        <v>0</v>
      </c>
      <c r="CN63" s="24" cm="1">
        <f t="array" ref="CN63">IFERROR(_xlfn.IFS(VALUE(MID(CN$5,6,2))&gt;$D$2,0,$CC63="Annual",1,CM63=12,12,$CC63="Monthly V",CM63*(1+$D$3),$CC63="Monthly F",12,$CC63="One-Time",0),CM63*(1+$D$3))</f>
        <v>0</v>
      </c>
      <c r="CO63" s="63"/>
      <c r="CP63" s="53"/>
      <c r="CQ63" s="21">
        <f t="shared" si="179"/>
        <v>0</v>
      </c>
      <c r="CR63" s="55">
        <f t="shared" ref="CR63:CV68" si="279">IFERROR(CE63*$CP63,0)</f>
        <v>0</v>
      </c>
      <c r="CS63" s="55">
        <f t="shared" si="279"/>
        <v>0</v>
      </c>
      <c r="CT63" s="55">
        <f t="shared" si="279"/>
        <v>0</v>
      </c>
      <c r="CU63" s="55">
        <f t="shared" si="279"/>
        <v>0</v>
      </c>
      <c r="CV63" s="55">
        <f t="shared" si="279"/>
        <v>0</v>
      </c>
      <c r="CW63" s="55">
        <f t="shared" si="277"/>
        <v>0</v>
      </c>
      <c r="CX63" s="55">
        <f t="shared" si="277"/>
        <v>0</v>
      </c>
      <c r="CY63" s="55">
        <f t="shared" si="277"/>
        <v>0</v>
      </c>
      <c r="CZ63" s="55">
        <f t="shared" si="277"/>
        <v>0</v>
      </c>
      <c r="DA63" s="55">
        <f t="shared" si="277"/>
        <v>0</v>
      </c>
      <c r="DB63" s="56"/>
      <c r="DC63" s="56">
        <f t="shared" si="181"/>
        <v>0</v>
      </c>
      <c r="DD63" s="56">
        <f t="shared" si="182"/>
        <v>0</v>
      </c>
      <c r="DE63" s="56">
        <f t="shared" si="183"/>
        <v>0</v>
      </c>
      <c r="DF63" s="56">
        <f t="shared" si="184"/>
        <v>0</v>
      </c>
      <c r="DG63" s="56">
        <f t="shared" si="185"/>
        <v>0</v>
      </c>
      <c r="DH63" s="56">
        <f t="shared" si="186"/>
        <v>0</v>
      </c>
      <c r="DI63" s="56">
        <f t="shared" si="187"/>
        <v>0</v>
      </c>
      <c r="DJ63" s="56">
        <f t="shared" si="188"/>
        <v>0</v>
      </c>
      <c r="DK63" s="56">
        <f t="shared" si="189"/>
        <v>0</v>
      </c>
      <c r="DL63" s="57">
        <f t="shared" si="190"/>
        <v>0</v>
      </c>
      <c r="DM63" s="54">
        <f t="shared" si="191"/>
        <v>0</v>
      </c>
      <c r="DO63" s="106"/>
    </row>
    <row r="64" spans="2:119" x14ac:dyDescent="0.25">
      <c r="B64" s="141" t="s">
        <v>0</v>
      </c>
      <c r="C64" s="24">
        <v>10000</v>
      </c>
      <c r="D64" s="147">
        <f t="shared" si="273"/>
        <v>10000</v>
      </c>
      <c r="E64" s="142">
        <f t="shared" si="274"/>
        <v>12</v>
      </c>
      <c r="F64" s="14" cm="1">
        <f t="array" ref="F64">IFERROR(_xlfn.IFS(VALUE(MID(F$5,6,1))&gt;$D$2,0,$B64="Annual",1,E64=12,12,$B64="Monthly V",E64*(1+$D$3),$B64="Monthly F",12,$B64="One-Time",0),E64*(1+$D$3))</f>
        <v>12</v>
      </c>
      <c r="G64" s="14" cm="1">
        <f t="array" ref="G64">IFERROR(_xlfn.IFS(VALUE(MID(G$5,6,1))&gt;$D$2,0,$B64="Annual",1,F64=12,12,$B64="Monthly V",F64*(1+$D$3),$B64="Monthly F",12,$B64="One-Time",0),F64*(1+$D$3))</f>
        <v>12</v>
      </c>
      <c r="H64" s="14" cm="1">
        <f t="array" ref="H64">IFERROR(_xlfn.IFS(VALUE(MID(H$5,6,1))&gt;$D$2,0,$B64="Annual",1,G64=12,12,$B64="Monthly V",G64*(1+$D$3),$B64="Monthly F",12,$B64="One-Time",0),G64*(1+$D$3))</f>
        <v>12</v>
      </c>
      <c r="I64" s="14" cm="1">
        <f t="array" ref="I64">IFERROR(_xlfn.IFS(VALUE(MID(I$5,6,1))&gt;$D$2,0,$B64="Annual",1,H64=12,12,$B64="Monthly V",H64*(1+$D$3),$B64="Monthly F",12,$B64="One-Time",0),H64*(1+$D$3))</f>
        <v>12</v>
      </c>
      <c r="J64" s="14" cm="1">
        <f t="array" ref="J64">IFERROR(_xlfn.IFS(VALUE(MID(J$5,6,1))&gt;$D$2,0,$B64="Annual",1,I64=12,12,$B64="Monthly V",I64*(1+$D$3),$B64="Monthly F",12,$B64="One-Time",0),I64*(1+$D$3))</f>
        <v>12</v>
      </c>
      <c r="K64" s="14" cm="1">
        <f t="array" ref="K64">IFERROR(_xlfn.IFS(VALUE(MID(K$5,6,1))&gt;$D$2,0,$B64="Annual",1,J64=12,12,$B64="Monthly V",J64*(1+$D$3),$B64="Monthly F",12,$B64="One-Time",0),J64*(1+$D$3))</f>
        <v>12</v>
      </c>
      <c r="L64" s="14" cm="1">
        <f t="array" ref="L64">IFERROR(_xlfn.IFS(VALUE(MID(L$5,6,1))&gt;$D$2,0,$B64="Annual",1,K64=12,12,$B64="Monthly V",K64*(1+$D$3),$B64="Monthly F",12,$B64="One-Time",0),K64*(1+$D$3))</f>
        <v>0</v>
      </c>
      <c r="M64" s="14" cm="1">
        <f t="array" ref="M64">IFERROR(_xlfn.IFS(VALUE(MID(M$5,6,1))&gt;$D$2,0,$B64="Annual",1,L64=12,12,$B64="Monthly V",L64*(1+$D$3),$B64="Monthly F",12,$B64="One-Time",0),L64*(1+$D$3))</f>
        <v>0</v>
      </c>
      <c r="N64" s="24" cm="1">
        <f t="array" ref="N64">IFERROR(_xlfn.IFS(VALUE(MID(N$5,6,2))&gt;$D$2,0,$B64="Annual",1,M64=12,12,$B64="Monthly V",M64*(1+$D$3),$B64="Monthly F",12,$B64="One-Time",0),M64*(1+$D$3))</f>
        <v>0</v>
      </c>
      <c r="O64" s="127" t="s">
        <v>124</v>
      </c>
      <c r="P64" s="13"/>
      <c r="Q64" s="20">
        <v>1500</v>
      </c>
      <c r="R64" s="21">
        <f t="shared" si="256"/>
        <v>1500</v>
      </c>
      <c r="S64" s="6">
        <f t="shared" si="257"/>
        <v>18000</v>
      </c>
      <c r="T64" s="6">
        <f t="shared" si="257"/>
        <v>18000</v>
      </c>
      <c r="U64" s="6">
        <f t="shared" si="257"/>
        <v>18000</v>
      </c>
      <c r="V64" s="6">
        <f t="shared" si="257"/>
        <v>18000</v>
      </c>
      <c r="W64" s="6">
        <f t="shared" si="257"/>
        <v>18000</v>
      </c>
      <c r="X64" s="6">
        <f t="shared" si="257"/>
        <v>18000</v>
      </c>
      <c r="Y64" s="6">
        <f t="shared" si="257"/>
        <v>18000</v>
      </c>
      <c r="Z64" s="6">
        <f t="shared" si="257"/>
        <v>0</v>
      </c>
      <c r="AA64" s="6">
        <f t="shared" si="257"/>
        <v>0</v>
      </c>
      <c r="AB64" s="6">
        <f t="shared" si="257"/>
        <v>0</v>
      </c>
      <c r="AC64" s="7"/>
      <c r="AD64" s="152">
        <f t="shared" si="258"/>
        <v>540.00000000000045</v>
      </c>
      <c r="AE64" s="152">
        <f t="shared" si="259"/>
        <v>1096.1999999999991</v>
      </c>
      <c r="AF64" s="152">
        <f t="shared" si="260"/>
        <v>1669.086</v>
      </c>
      <c r="AG64" s="152">
        <f t="shared" si="261"/>
        <v>2259.1585799999984</v>
      </c>
      <c r="AH64" s="152">
        <f t="shared" si="262"/>
        <v>2866.9333373999971</v>
      </c>
      <c r="AI64" s="152">
        <f t="shared" si="263"/>
        <v>3492.9413375219983</v>
      </c>
      <c r="AJ64" s="152">
        <f t="shared" si="264"/>
        <v>0</v>
      </c>
      <c r="AK64" s="152">
        <f t="shared" si="265"/>
        <v>0</v>
      </c>
      <c r="AL64" s="152">
        <f t="shared" si="266"/>
        <v>0</v>
      </c>
      <c r="AM64" s="9">
        <f t="shared" si="267"/>
        <v>11924.319254921993</v>
      </c>
      <c r="AN64" s="80">
        <f t="shared" si="268"/>
        <v>137924.31925492198</v>
      </c>
      <c r="AP64" s="102" t="s">
        <v>1</v>
      </c>
      <c r="AQ64" s="12">
        <v>5000</v>
      </c>
      <c r="AR64" s="14">
        <f t="shared" si="15"/>
        <v>60000</v>
      </c>
      <c r="AS64" s="14" cm="1">
        <f t="array" ref="AS64">IFERROR(_xlfn.IFS(VALUE(MID(AS$5,6,1))&gt;$D$2,0,$AP64="Annual",1,AR64=12,12,$AP64="Monthly V",AR64*(1+$BD$2),$AP64="Monthly F",12,$AP64="One-Time",0),AR64*(1+$BD$2))</f>
        <v>60000</v>
      </c>
      <c r="AT64" s="14" cm="1">
        <f t="array" ref="AT64">IFERROR(_xlfn.IFS(VALUE(MID(AT$5,6,1))&gt;$D$2,0,$AP64="Annual",1,AS64=12,12,$AP64="Monthly V",AS64*(1+$BD$2),$AP64="Monthly F",12,$AP64="One-Time",0),AS64*(1+$BD$2))</f>
        <v>60000</v>
      </c>
      <c r="AU64" s="14" cm="1">
        <f t="array" ref="AU64">IFERROR(_xlfn.IFS(VALUE(MID(AU$5,6,1))&gt;$D$2,0,$AP64="Annual",1,AT64=12,12,$AP64="Monthly V",AT64*(1+$BD$2),$AP64="Monthly F",12,$AP64="One-Time",0),AT64*(1+$BD$2))</f>
        <v>60000</v>
      </c>
      <c r="AV64" s="14" cm="1">
        <f t="array" ref="AV64">IFERROR(_xlfn.IFS(VALUE(MID(AV$5,6,1))&gt;$D$2,0,$AP64="Annual",1,AU64=12,12,$AP64="Monthly V",AU64*(1+$BD$2),$AP64="Monthly F",12,$AP64="One-Time",0),AU64*(1+$BD$2))</f>
        <v>60000</v>
      </c>
      <c r="AW64" s="14" cm="1">
        <f t="array" ref="AW64">IFERROR(_xlfn.IFS(VALUE(MID(AW$5,6,1))&gt;$D$2,0,$AP64="Annual",1,AV64=12,12,$AP64="Monthly V",AV64*(1+$BD$2),$AP64="Monthly F",12,$AP64="One-Time",0),AV64*(1+$BD$2))</f>
        <v>60000</v>
      </c>
      <c r="AX64" s="14" cm="1">
        <f t="array" ref="AX64">IFERROR(_xlfn.IFS(VALUE(MID(AX$5,6,1))&gt;$D$2,0,$AP64="Annual",1,AW64=12,12,$AP64="Monthly V",AW64*(1+$BD$2),$AP64="Monthly F",12,$AP64="One-Time",0),AW64*(1+$BD$2))</f>
        <v>60000</v>
      </c>
      <c r="AY64" s="14" cm="1">
        <f t="array" ref="AY64">IFERROR(_xlfn.IFS(VALUE(MID(AY$5,6,1))&gt;$D$2,0,$AP64="Annual",1,AX64=12,12,$AP64="Monthly V",AX64*(1+$D$3),$AP64="Monthly F",12,$AP64="One-Time",0),AX64*(1+$D$3))</f>
        <v>0</v>
      </c>
      <c r="AZ64" s="14" cm="1">
        <f t="array" ref="AZ64">IFERROR(_xlfn.IFS(VALUE(MID(AZ$5,6,1))&gt;$D$2,0,$AP64="Annual",1,AY64=12,12,$AP64="Monthly V",AY64*(1+$D$3),$AP64="Monthly F",12,$AP64="One-Time",0),AY64*(1+$D$3))</f>
        <v>0</v>
      </c>
      <c r="BA64" s="125" cm="1">
        <f t="array" ref="BA64">IFERROR(_xlfn.IFS(VALUE(MID(BA$5,6,2))&gt;$D$2,0,$AP64="Annual",1,AZ64=12,12,$AP64="Monthly V",AZ64*(1+$D$3),$AP64="Monthly F",12,$AP64="One-Time",0),AZ64*(1+$D$3))</f>
        <v>0</v>
      </c>
      <c r="BB64" s="124" t="s">
        <v>333</v>
      </c>
      <c r="BC64" s="38" t="s">
        <v>205</v>
      </c>
      <c r="BD64" s="36">
        <v>0.1605</v>
      </c>
      <c r="BE64" s="21">
        <f t="shared" si="164"/>
        <v>802.5</v>
      </c>
      <c r="BF64" s="39">
        <f t="shared" si="44"/>
        <v>9630</v>
      </c>
      <c r="BG64" s="39">
        <f t="shared" si="17"/>
        <v>9630</v>
      </c>
      <c r="BH64" s="39">
        <f t="shared" si="18"/>
        <v>9630</v>
      </c>
      <c r="BI64" s="39">
        <f t="shared" si="19"/>
        <v>9918.9</v>
      </c>
      <c r="BJ64" s="39">
        <f t="shared" ref="BJ64:BL64" si="280">BI64*1.03</f>
        <v>10216.467000000001</v>
      </c>
      <c r="BK64" s="39">
        <f t="shared" si="280"/>
        <v>10522.961010000001</v>
      </c>
      <c r="BL64" s="39">
        <f t="shared" si="280"/>
        <v>10838.649840300001</v>
      </c>
      <c r="BM64" s="39">
        <f t="shared" si="276"/>
        <v>0</v>
      </c>
      <c r="BN64" s="39">
        <f t="shared" si="276"/>
        <v>0</v>
      </c>
      <c r="BO64" s="39">
        <f t="shared" si="276"/>
        <v>0</v>
      </c>
      <c r="BP64" s="40"/>
      <c r="BQ64" s="40">
        <f t="shared" si="167"/>
        <v>288.90000000000026</v>
      </c>
      <c r="BR64" s="40">
        <f t="shared" si="168"/>
        <v>586.46699999999953</v>
      </c>
      <c r="BS64" s="40">
        <f t="shared" si="169"/>
        <v>919.74984029999996</v>
      </c>
      <c r="BT64" s="40">
        <f t="shared" si="170"/>
        <v>1282.2566155742693</v>
      </c>
      <c r="BU64" s="40">
        <f t="shared" si="171"/>
        <v>1676.0348737627417</v>
      </c>
      <c r="BV64" s="40">
        <f t="shared" si="172"/>
        <v>2103.2648927838932</v>
      </c>
      <c r="BW64" s="40">
        <f t="shared" si="173"/>
        <v>0</v>
      </c>
      <c r="BX64" s="40">
        <f t="shared" si="174"/>
        <v>0</v>
      </c>
      <c r="BY64" s="40">
        <f t="shared" si="175"/>
        <v>0</v>
      </c>
      <c r="BZ64" s="40">
        <f t="shared" si="176"/>
        <v>6856.6732224209045</v>
      </c>
      <c r="CA64" s="37">
        <f t="shared" si="177"/>
        <v>77243.65107272091</v>
      </c>
      <c r="CC64" s="102"/>
      <c r="CD64" s="12"/>
      <c r="CE64" s="14">
        <f t="shared" si="178"/>
        <v>0</v>
      </c>
      <c r="CF64" s="14" cm="1">
        <f t="array" ref="CF64">IFERROR(_xlfn.IFS(VALUE(MID(CF$5,6,1))&gt;$D$2,0,$CC64="Annual",1,CE64=12,12,$CC64="Monthly V",CE64*(1+$D$3),$CC64="Monthly F",12,$CC64="One-Time",0),CE64*(1+$D$3))</f>
        <v>0</v>
      </c>
      <c r="CG64" s="14" cm="1">
        <f t="array" ref="CG64">IFERROR(_xlfn.IFS(VALUE(MID(CG$5,6,1))&gt;$D$2,0,$CC64="Annual",1,CF64=12,12,$CC64="Monthly V",CF64*(1+$D$3),$CC64="Monthly F",12,$CC64="One-Time",0),CF64*(1+$D$3))</f>
        <v>0</v>
      </c>
      <c r="CH64" s="14" cm="1">
        <f t="array" ref="CH64">IFERROR(_xlfn.IFS(VALUE(MID(CH$5,6,1))&gt;$D$2,0,$CC64="Annual",1,CG64=12,12,$CC64="Monthly V",CG64*(1+$D$3),$CC64="Monthly F",12,$CC64="One-Time",0),CG64*(1+$D$3))</f>
        <v>0</v>
      </c>
      <c r="CI64" s="14" cm="1">
        <f t="array" ref="CI64">IFERROR(_xlfn.IFS(VALUE(MID(CI$5,6,1))&gt;$D$2,0,$CC64="Annual",1,CH64=12,12,$CC64="Monthly V",CH64*(1+$D$3),$CC64="Monthly F",12,$CC64="One-Time",0),CH64*(1+$D$3))</f>
        <v>0</v>
      </c>
      <c r="CJ64" s="14" cm="1">
        <f t="array" ref="CJ64">IFERROR(_xlfn.IFS(VALUE(MID(CJ$5,6,1))&gt;$D$2,0,$CC64="Annual",1,CI64=12,12,$CC64="Monthly V",CI64*(1+$D$3),$CC64="Monthly F",12,$CC64="One-Time",0),CI64*(1+$D$3))</f>
        <v>0</v>
      </c>
      <c r="CK64" s="14" cm="1">
        <f t="array" ref="CK64">IFERROR(_xlfn.IFS(VALUE(MID(CK$5,6,1))&gt;$D$2,0,$CC64="Annual",1,CJ64=12,12,$CC64="Monthly V",CJ64*(1+$D$3),$CC64="Monthly F",12,$CC64="One-Time",0),CJ64*(1+$D$3))</f>
        <v>0</v>
      </c>
      <c r="CL64" s="14" cm="1">
        <f t="array" ref="CL64">IFERROR(_xlfn.IFS(VALUE(MID(CL$5,6,1))&gt;$D$2,0,$CC64="Annual",1,CK64=12,12,$CC64="Monthly V",CK64*(1+$D$3),$CC64="Monthly F",12,$CC64="One-Time",0),CK64*(1+$D$3))</f>
        <v>0</v>
      </c>
      <c r="CM64" s="14" cm="1">
        <f t="array" ref="CM64">IFERROR(_xlfn.IFS(VALUE(MID(CM$5,6,1))&gt;$D$2,0,$CC64="Annual",1,CL64=12,12,$CC64="Monthly V",CL64*(1+$D$3),$CC64="Monthly F",12,$CC64="One-Time",0),CL64*(1+$D$3))</f>
        <v>0</v>
      </c>
      <c r="CN64" s="24" cm="1">
        <f t="array" ref="CN64">IFERROR(_xlfn.IFS(VALUE(MID(CN$5,6,2))&gt;$D$2,0,$CC64="Annual",1,CM64=12,12,$CC64="Monthly V",CM64*(1+$D$3),$CC64="Monthly F",12,$CC64="One-Time",0),CM64*(1+$D$3))</f>
        <v>0</v>
      </c>
      <c r="CO64" s="63"/>
      <c r="CP64" s="53"/>
      <c r="CQ64" s="21">
        <f t="shared" si="179"/>
        <v>0</v>
      </c>
      <c r="CR64" s="55">
        <f t="shared" si="279"/>
        <v>0</v>
      </c>
      <c r="CS64" s="55">
        <f t="shared" si="279"/>
        <v>0</v>
      </c>
      <c r="CT64" s="55">
        <f t="shared" si="279"/>
        <v>0</v>
      </c>
      <c r="CU64" s="55">
        <f t="shared" si="279"/>
        <v>0</v>
      </c>
      <c r="CV64" s="55">
        <f t="shared" si="279"/>
        <v>0</v>
      </c>
      <c r="CW64" s="55">
        <f t="shared" si="277"/>
        <v>0</v>
      </c>
      <c r="CX64" s="55">
        <f t="shared" si="277"/>
        <v>0</v>
      </c>
      <c r="CY64" s="55">
        <f t="shared" si="277"/>
        <v>0</v>
      </c>
      <c r="CZ64" s="55">
        <f t="shared" si="277"/>
        <v>0</v>
      </c>
      <c r="DA64" s="55">
        <f t="shared" si="277"/>
        <v>0</v>
      </c>
      <c r="DB64" s="56"/>
      <c r="DC64" s="56">
        <f t="shared" si="181"/>
        <v>0</v>
      </c>
      <c r="DD64" s="56">
        <f t="shared" si="182"/>
        <v>0</v>
      </c>
      <c r="DE64" s="56">
        <f t="shared" si="183"/>
        <v>0</v>
      </c>
      <c r="DF64" s="56">
        <f t="shared" si="184"/>
        <v>0</v>
      </c>
      <c r="DG64" s="56">
        <f t="shared" si="185"/>
        <v>0</v>
      </c>
      <c r="DH64" s="56">
        <f t="shared" si="186"/>
        <v>0</v>
      </c>
      <c r="DI64" s="56">
        <f t="shared" si="187"/>
        <v>0</v>
      </c>
      <c r="DJ64" s="56">
        <f t="shared" si="188"/>
        <v>0</v>
      </c>
      <c r="DK64" s="56">
        <f t="shared" si="189"/>
        <v>0</v>
      </c>
      <c r="DL64" s="57">
        <f t="shared" si="190"/>
        <v>0</v>
      </c>
      <c r="DM64" s="54">
        <f t="shared" si="191"/>
        <v>0</v>
      </c>
      <c r="DO64" s="106"/>
    </row>
    <row r="65" spans="2:119" x14ac:dyDescent="0.25">
      <c r="B65" s="141" t="s">
        <v>3</v>
      </c>
      <c r="C65" s="24">
        <v>1</v>
      </c>
      <c r="D65" s="147">
        <f t="shared" si="273"/>
        <v>1</v>
      </c>
      <c r="E65" s="142">
        <f t="shared" si="274"/>
        <v>1</v>
      </c>
      <c r="F65" s="14" cm="1">
        <f t="array" ref="F65">IFERROR(_xlfn.IFS(VALUE(MID(F$5,6,1))&gt;$D$2,0,$B65="Annual",1,E65=12,12,$B65="Monthly V",E65*(1+$D$3),$B65="Monthly F",12,$B65="One-Time",0),E65*(1+$D$3))</f>
        <v>0</v>
      </c>
      <c r="G65" s="14" cm="1">
        <f t="array" ref="G65">IFERROR(_xlfn.IFS(VALUE(MID(G$5,6,1))&gt;$D$2,0,$B65="Annual",1,F65=12,12,$B65="Monthly V",F65*(1+$D$3),$B65="Monthly F",12,$B65="One-Time",0),F65*(1+$D$3))</f>
        <v>0</v>
      </c>
      <c r="H65" s="14" cm="1">
        <f t="array" ref="H65">IFERROR(_xlfn.IFS(VALUE(MID(H$5,6,1))&gt;$D$2,0,$B65="Annual",1,G65=12,12,$B65="Monthly V",G65*(1+$D$3),$B65="Monthly F",12,$B65="One-Time",0),G65*(1+$D$3))</f>
        <v>0</v>
      </c>
      <c r="I65" s="14" cm="1">
        <f t="array" ref="I65">IFERROR(_xlfn.IFS(VALUE(MID(I$5,6,1))&gt;$D$2,0,$B65="Annual",1,H65=12,12,$B65="Monthly V",H65*(1+$D$3),$B65="Monthly F",12,$B65="One-Time",0),H65*(1+$D$3))</f>
        <v>0</v>
      </c>
      <c r="J65" s="14" cm="1">
        <f t="array" ref="J65">IFERROR(_xlfn.IFS(VALUE(MID(J$5,6,1))&gt;$D$2,0,$B65="Annual",1,I65=12,12,$B65="Monthly V",I65*(1+$D$3),$B65="Monthly F",12,$B65="One-Time",0),I65*(1+$D$3))</f>
        <v>0</v>
      </c>
      <c r="K65" s="14" cm="1">
        <f t="array" ref="K65">IFERROR(_xlfn.IFS(VALUE(MID(K$5,6,1))&gt;$D$2,0,$B65="Annual",1,J65=12,12,$B65="Monthly V",J65*(1+$D$3),$B65="Monthly F",12,$B65="One-Time",0),J65*(1+$D$3))</f>
        <v>0</v>
      </c>
      <c r="L65" s="14" cm="1">
        <f t="array" ref="L65">IFERROR(_xlfn.IFS(VALUE(MID(L$5,6,1))&gt;$D$2,0,$B65="Annual",1,K65=12,12,$B65="Monthly V",K65*(1+$D$3),$B65="Monthly F",12,$B65="One-Time",0),K65*(1+$D$3))</f>
        <v>0</v>
      </c>
      <c r="M65" s="14" cm="1">
        <f t="array" ref="M65">IFERROR(_xlfn.IFS(VALUE(MID(M$5,6,1))&gt;$D$2,0,$B65="Annual",1,L65=12,12,$B65="Monthly V",L65*(1+$D$3),$B65="Monthly F",12,$B65="One-Time",0),L65*(1+$D$3))</f>
        <v>0</v>
      </c>
      <c r="N65" s="24" cm="1">
        <f t="array" ref="N65">IFERROR(_xlfn.IFS(VALUE(MID(N$5,6,2))&gt;$D$2,0,$B65="Annual",1,M65=12,12,$B65="Monthly V",M65*(1+$D$3),$B65="Monthly F",12,$B65="One-Time",0),M65*(1+$D$3))</f>
        <v>0</v>
      </c>
      <c r="O65" s="127" t="s">
        <v>125</v>
      </c>
      <c r="P65" s="13"/>
      <c r="Q65" s="20">
        <v>9000</v>
      </c>
      <c r="R65" s="21">
        <f t="shared" si="256"/>
        <v>750</v>
      </c>
      <c r="S65" s="6">
        <f t="shared" si="257"/>
        <v>9000</v>
      </c>
      <c r="T65" s="6">
        <f t="shared" si="257"/>
        <v>0</v>
      </c>
      <c r="U65" s="6">
        <f t="shared" si="257"/>
        <v>0</v>
      </c>
      <c r="V65" s="6">
        <f t="shared" si="257"/>
        <v>0</v>
      </c>
      <c r="W65" s="6">
        <f t="shared" si="257"/>
        <v>0</v>
      </c>
      <c r="X65" s="6">
        <f t="shared" si="257"/>
        <v>0</v>
      </c>
      <c r="Y65" s="6">
        <f t="shared" si="257"/>
        <v>0</v>
      </c>
      <c r="Z65" s="6">
        <f t="shared" si="257"/>
        <v>0</v>
      </c>
      <c r="AA65" s="6">
        <f t="shared" si="257"/>
        <v>0</v>
      </c>
      <c r="AB65" s="6">
        <f t="shared" si="257"/>
        <v>0</v>
      </c>
      <c r="AC65" s="7"/>
      <c r="AD65" s="152">
        <f t="shared" si="258"/>
        <v>0</v>
      </c>
      <c r="AE65" s="152">
        <f t="shared" si="259"/>
        <v>0</v>
      </c>
      <c r="AF65" s="152">
        <f t="shared" si="260"/>
        <v>0</v>
      </c>
      <c r="AG65" s="152">
        <f t="shared" si="261"/>
        <v>0</v>
      </c>
      <c r="AH65" s="152">
        <f t="shared" si="262"/>
        <v>0</v>
      </c>
      <c r="AI65" s="152">
        <f t="shared" si="263"/>
        <v>0</v>
      </c>
      <c r="AJ65" s="152">
        <f t="shared" si="264"/>
        <v>0</v>
      </c>
      <c r="AK65" s="152">
        <f t="shared" si="265"/>
        <v>0</v>
      </c>
      <c r="AL65" s="152">
        <f t="shared" si="266"/>
        <v>0</v>
      </c>
      <c r="AM65" s="9">
        <f t="shared" si="267"/>
        <v>0</v>
      </c>
      <c r="AN65" s="80">
        <f t="shared" si="268"/>
        <v>9000</v>
      </c>
      <c r="AP65" s="102" t="s">
        <v>0</v>
      </c>
      <c r="AQ65" s="12">
        <v>1</v>
      </c>
      <c r="AR65" s="14">
        <f t="shared" si="15"/>
        <v>12</v>
      </c>
      <c r="AS65" s="14" cm="1">
        <f t="array" ref="AS65">IFERROR(_xlfn.IFS(VALUE(MID(AS$5,6,1))&gt;$D$2,0,$AP65="Annual",1,AR65=12,12,$AP65="Monthly V",AR65*(1+$BD$2),$AP65="Monthly F",12,$AP65="One-Time",0),AR65*(1+$BD$2))</f>
        <v>12</v>
      </c>
      <c r="AT65" s="14" cm="1">
        <f t="array" ref="AT65">IFERROR(_xlfn.IFS(VALUE(MID(AT$5,6,1))&gt;$D$2,0,$AP65="Annual",1,AS65=12,12,$AP65="Monthly V",AS65*(1+$BD$2),$AP65="Monthly F",12,$AP65="One-Time",0),AS65*(1+$BD$2))</f>
        <v>12</v>
      </c>
      <c r="AU65" s="14" cm="1">
        <f t="array" ref="AU65">IFERROR(_xlfn.IFS(VALUE(MID(AU$5,6,1))&gt;$D$2,0,$AP65="Annual",1,AT65=12,12,$AP65="Monthly V",AT65*(1+$BD$2),$AP65="Monthly F",12,$AP65="One-Time",0),AT65*(1+$BD$2))</f>
        <v>12</v>
      </c>
      <c r="AV65" s="14" cm="1">
        <f t="array" ref="AV65">IFERROR(_xlfn.IFS(VALUE(MID(AV$5,6,1))&gt;$D$2,0,$AP65="Annual",1,AU65=12,12,$AP65="Monthly V",AU65*(1+$BD$2),$AP65="Monthly F",12,$AP65="One-Time",0),AU65*(1+$BD$2))</f>
        <v>12</v>
      </c>
      <c r="AW65" s="14" cm="1">
        <f t="array" ref="AW65">IFERROR(_xlfn.IFS(VALUE(MID(AW$5,6,1))&gt;$D$2,0,$AP65="Annual",1,AV65=12,12,$AP65="Monthly V",AV65*(1+$BD$2),$AP65="Monthly F",12,$AP65="One-Time",0),AV65*(1+$BD$2))</f>
        <v>12</v>
      </c>
      <c r="AX65" s="14" cm="1">
        <f t="array" ref="AX65">IFERROR(_xlfn.IFS(VALUE(MID(AX$5,6,1))&gt;$D$2,0,$AP65="Annual",1,AW65=12,12,$AP65="Monthly V",AW65*(1+$BD$2),$AP65="Monthly F",12,$AP65="One-Time",0),AW65*(1+$BD$2))</f>
        <v>12</v>
      </c>
      <c r="AY65" s="14" cm="1">
        <f t="array" ref="AY65">IFERROR(_xlfn.IFS(VALUE(MID(AY$5,6,1))&gt;$D$2,0,$AP65="Annual",1,AX65=12,12,$AP65="Monthly V",AX65*(1+$D$3),$AP65="Monthly F",12,$AP65="One-Time",0),AX65*(1+$D$3))</f>
        <v>0</v>
      </c>
      <c r="AZ65" s="14" cm="1">
        <f t="array" ref="AZ65">IFERROR(_xlfn.IFS(VALUE(MID(AZ$5,6,1))&gt;$D$2,0,$AP65="Annual",1,AY65=12,12,$AP65="Monthly V",AY65*(1+$D$3),$AP65="Monthly F",12,$AP65="One-Time",0),AY65*(1+$D$3))</f>
        <v>0</v>
      </c>
      <c r="BA65" s="125" cm="1">
        <f t="array" ref="BA65">IFERROR(_xlfn.IFS(VALUE(MID(BA$5,6,2))&gt;$D$2,0,$AP65="Annual",1,AZ65=12,12,$AP65="Monthly V",AZ65*(1+$D$3),$AP65="Monthly F",12,$AP65="One-Time",0),AZ65*(1+$D$3))</f>
        <v>0</v>
      </c>
      <c r="BB65" s="124" t="s">
        <v>334</v>
      </c>
      <c r="BC65" s="38" t="s">
        <v>334</v>
      </c>
      <c r="BD65" s="36">
        <v>1000</v>
      </c>
      <c r="BE65" s="21">
        <f t="shared" si="164"/>
        <v>1000</v>
      </c>
      <c r="BF65" s="39">
        <f t="shared" si="44"/>
        <v>12000</v>
      </c>
      <c r="BG65" s="39">
        <f t="shared" si="17"/>
        <v>12000</v>
      </c>
      <c r="BH65" s="39">
        <f t="shared" si="18"/>
        <v>12000</v>
      </c>
      <c r="BI65" s="39">
        <f t="shared" si="19"/>
        <v>12360</v>
      </c>
      <c r="BJ65" s="39">
        <f t="shared" ref="BJ65:BL65" si="281">BI65*1.03</f>
        <v>12730.800000000001</v>
      </c>
      <c r="BK65" s="39">
        <f t="shared" si="281"/>
        <v>13112.724000000002</v>
      </c>
      <c r="BL65" s="39">
        <f t="shared" si="281"/>
        <v>13506.105720000003</v>
      </c>
      <c r="BM65" s="39">
        <f t="shared" si="276"/>
        <v>0</v>
      </c>
      <c r="BN65" s="39">
        <f t="shared" si="276"/>
        <v>0</v>
      </c>
      <c r="BO65" s="39">
        <f t="shared" si="276"/>
        <v>0</v>
      </c>
      <c r="BP65" s="40"/>
      <c r="BQ65" s="40">
        <f t="shared" si="167"/>
        <v>360.00000000000034</v>
      </c>
      <c r="BR65" s="40">
        <f t="shared" si="168"/>
        <v>730.7999999999995</v>
      </c>
      <c r="BS65" s="40">
        <f t="shared" si="169"/>
        <v>1146.10572</v>
      </c>
      <c r="BT65" s="40">
        <f t="shared" si="170"/>
        <v>1597.827558347999</v>
      </c>
      <c r="BU65" s="40">
        <f t="shared" si="171"/>
        <v>2088.5169766513914</v>
      </c>
      <c r="BV65" s="40">
        <f t="shared" si="172"/>
        <v>2620.8908321294625</v>
      </c>
      <c r="BW65" s="40">
        <f t="shared" si="173"/>
        <v>0</v>
      </c>
      <c r="BX65" s="40">
        <f t="shared" si="174"/>
        <v>0</v>
      </c>
      <c r="BY65" s="40">
        <f t="shared" si="175"/>
        <v>0</v>
      </c>
      <c r="BZ65" s="40">
        <f t="shared" si="176"/>
        <v>8544.1410871288517</v>
      </c>
      <c r="CA65" s="37">
        <f t="shared" si="177"/>
        <v>96253.770807128865</v>
      </c>
      <c r="CC65" s="102"/>
      <c r="CD65" s="12"/>
      <c r="CE65" s="14">
        <f t="shared" si="178"/>
        <v>0</v>
      </c>
      <c r="CF65" s="14" cm="1">
        <f t="array" ref="CF65">IFERROR(_xlfn.IFS(VALUE(MID(CF$5,6,1))&gt;$D$2,0,$CC65="Annual",1,CE65=12,12,$CC65="Monthly V",CE65*(1+$D$3),$CC65="Monthly F",12,$CC65="One-Time",0),CE65*(1+$D$3))</f>
        <v>0</v>
      </c>
      <c r="CG65" s="14" cm="1">
        <f t="array" ref="CG65">IFERROR(_xlfn.IFS(VALUE(MID(CG$5,6,1))&gt;$D$2,0,$CC65="Annual",1,CF65=12,12,$CC65="Monthly V",CF65*(1+$D$3),$CC65="Monthly F",12,$CC65="One-Time",0),CF65*(1+$D$3))</f>
        <v>0</v>
      </c>
      <c r="CH65" s="14" cm="1">
        <f t="array" ref="CH65">IFERROR(_xlfn.IFS(VALUE(MID(CH$5,6,1))&gt;$D$2,0,$CC65="Annual",1,CG65=12,12,$CC65="Monthly V",CG65*(1+$D$3),$CC65="Monthly F",12,$CC65="One-Time",0),CG65*(1+$D$3))</f>
        <v>0</v>
      </c>
      <c r="CI65" s="14" cm="1">
        <f t="array" ref="CI65">IFERROR(_xlfn.IFS(VALUE(MID(CI$5,6,1))&gt;$D$2,0,$CC65="Annual",1,CH65=12,12,$CC65="Monthly V",CH65*(1+$D$3),$CC65="Monthly F",12,$CC65="One-Time",0),CH65*(1+$D$3))</f>
        <v>0</v>
      </c>
      <c r="CJ65" s="14" cm="1">
        <f t="array" ref="CJ65">IFERROR(_xlfn.IFS(VALUE(MID(CJ$5,6,1))&gt;$D$2,0,$CC65="Annual",1,CI65=12,12,$CC65="Monthly V",CI65*(1+$D$3),$CC65="Monthly F",12,$CC65="One-Time",0),CI65*(1+$D$3))</f>
        <v>0</v>
      </c>
      <c r="CK65" s="14" cm="1">
        <f t="array" ref="CK65">IFERROR(_xlfn.IFS(VALUE(MID(CK$5,6,1))&gt;$D$2,0,$CC65="Annual",1,CJ65=12,12,$CC65="Monthly V",CJ65*(1+$D$3),$CC65="Monthly F",12,$CC65="One-Time",0),CJ65*(1+$D$3))</f>
        <v>0</v>
      </c>
      <c r="CL65" s="14" cm="1">
        <f t="array" ref="CL65">IFERROR(_xlfn.IFS(VALUE(MID(CL$5,6,1))&gt;$D$2,0,$CC65="Annual",1,CK65=12,12,$CC65="Monthly V",CK65*(1+$D$3),$CC65="Monthly F",12,$CC65="One-Time",0),CK65*(1+$D$3))</f>
        <v>0</v>
      </c>
      <c r="CM65" s="14" cm="1">
        <f t="array" ref="CM65">IFERROR(_xlfn.IFS(VALUE(MID(CM$5,6,1))&gt;$D$2,0,$CC65="Annual",1,CL65=12,12,$CC65="Monthly V",CL65*(1+$D$3),$CC65="Monthly F",12,$CC65="One-Time",0),CL65*(1+$D$3))</f>
        <v>0</v>
      </c>
      <c r="CN65" s="24" cm="1">
        <f t="array" ref="CN65">IFERROR(_xlfn.IFS(VALUE(MID(CN$5,6,2))&gt;$D$2,0,$CC65="Annual",1,CM65=12,12,$CC65="Monthly V",CM65*(1+$D$3),$CC65="Monthly F",12,$CC65="One-Time",0),CM65*(1+$D$3))</f>
        <v>0</v>
      </c>
      <c r="CO65" s="63"/>
      <c r="CP65" s="53"/>
      <c r="CQ65" s="21">
        <f t="shared" si="179"/>
        <v>0</v>
      </c>
      <c r="CR65" s="55">
        <f t="shared" si="279"/>
        <v>0</v>
      </c>
      <c r="CS65" s="55">
        <f t="shared" si="279"/>
        <v>0</v>
      </c>
      <c r="CT65" s="55">
        <f t="shared" si="279"/>
        <v>0</v>
      </c>
      <c r="CU65" s="55">
        <f t="shared" si="279"/>
        <v>0</v>
      </c>
      <c r="CV65" s="55">
        <f t="shared" si="279"/>
        <v>0</v>
      </c>
      <c r="CW65" s="55">
        <f t="shared" si="277"/>
        <v>0</v>
      </c>
      <c r="CX65" s="55">
        <f t="shared" si="277"/>
        <v>0</v>
      </c>
      <c r="CY65" s="55">
        <f t="shared" si="277"/>
        <v>0</v>
      </c>
      <c r="CZ65" s="55">
        <f t="shared" si="277"/>
        <v>0</v>
      </c>
      <c r="DA65" s="55">
        <f t="shared" si="277"/>
        <v>0</v>
      </c>
      <c r="DB65" s="56"/>
      <c r="DC65" s="56">
        <f t="shared" si="181"/>
        <v>0</v>
      </c>
      <c r="DD65" s="56">
        <f t="shared" si="182"/>
        <v>0</v>
      </c>
      <c r="DE65" s="56">
        <f t="shared" si="183"/>
        <v>0</v>
      </c>
      <c r="DF65" s="56">
        <f t="shared" si="184"/>
        <v>0</v>
      </c>
      <c r="DG65" s="56">
        <f t="shared" si="185"/>
        <v>0</v>
      </c>
      <c r="DH65" s="56">
        <f t="shared" si="186"/>
        <v>0</v>
      </c>
      <c r="DI65" s="56">
        <f t="shared" si="187"/>
        <v>0</v>
      </c>
      <c r="DJ65" s="56">
        <f t="shared" si="188"/>
        <v>0</v>
      </c>
      <c r="DK65" s="56">
        <f t="shared" si="189"/>
        <v>0</v>
      </c>
      <c r="DL65" s="57">
        <f t="shared" si="190"/>
        <v>0</v>
      </c>
      <c r="DM65" s="54">
        <f t="shared" si="191"/>
        <v>0</v>
      </c>
      <c r="DO65" s="106"/>
    </row>
    <row r="66" spans="2:119" x14ac:dyDescent="0.25">
      <c r="B66" s="141" t="s">
        <v>0</v>
      </c>
      <c r="C66" s="24">
        <v>10000</v>
      </c>
      <c r="D66" s="147">
        <f t="shared" si="273"/>
        <v>10000</v>
      </c>
      <c r="E66" s="142">
        <f t="shared" si="274"/>
        <v>12</v>
      </c>
      <c r="F66" s="14" cm="1">
        <f t="array" ref="F66">IFERROR(_xlfn.IFS(VALUE(MID(F$5,6,1))&gt;$D$2,0,$B66="Annual",1,E66=12,12,$B66="Monthly V",E66*(1+$D$3),$B66="Monthly F",12,$B66="One-Time",0),E66*(1+$D$3))</f>
        <v>12</v>
      </c>
      <c r="G66" s="14" cm="1">
        <f t="array" ref="G66">IFERROR(_xlfn.IFS(VALUE(MID(G$5,6,1))&gt;$D$2,0,$B66="Annual",1,F66=12,12,$B66="Monthly V",F66*(1+$D$3),$B66="Monthly F",12,$B66="One-Time",0),F66*(1+$D$3))</f>
        <v>12</v>
      </c>
      <c r="H66" s="14" cm="1">
        <f t="array" ref="H66">IFERROR(_xlfn.IFS(VALUE(MID(H$5,6,1))&gt;$D$2,0,$B66="Annual",1,G66=12,12,$B66="Monthly V",G66*(1+$D$3),$B66="Monthly F",12,$B66="One-Time",0),G66*(1+$D$3))</f>
        <v>12</v>
      </c>
      <c r="I66" s="14" cm="1">
        <f t="array" ref="I66">IFERROR(_xlfn.IFS(VALUE(MID(I$5,6,1))&gt;$D$2,0,$B66="Annual",1,H66=12,12,$B66="Monthly V",H66*(1+$D$3),$B66="Monthly F",12,$B66="One-Time",0),H66*(1+$D$3))</f>
        <v>12</v>
      </c>
      <c r="J66" s="14" cm="1">
        <f t="array" ref="J66">IFERROR(_xlfn.IFS(VALUE(MID(J$5,6,1))&gt;$D$2,0,$B66="Annual",1,I66=12,12,$B66="Monthly V",I66*(1+$D$3),$B66="Monthly F",12,$B66="One-Time",0),I66*(1+$D$3))</f>
        <v>12</v>
      </c>
      <c r="K66" s="14" cm="1">
        <f t="array" ref="K66">IFERROR(_xlfn.IFS(VALUE(MID(K$5,6,1))&gt;$D$2,0,$B66="Annual",1,J66=12,12,$B66="Monthly V",J66*(1+$D$3),$B66="Monthly F",12,$B66="One-Time",0),J66*(1+$D$3))</f>
        <v>12</v>
      </c>
      <c r="L66" s="14" cm="1">
        <f t="array" ref="L66">IFERROR(_xlfn.IFS(VALUE(MID(L$5,6,1))&gt;$D$2,0,$B66="Annual",1,K66=12,12,$B66="Monthly V",K66*(1+$D$3),$B66="Monthly F",12,$B66="One-Time",0),K66*(1+$D$3))</f>
        <v>0</v>
      </c>
      <c r="M66" s="14" cm="1">
        <f t="array" ref="M66">IFERROR(_xlfn.IFS(VALUE(MID(M$5,6,1))&gt;$D$2,0,$B66="Annual",1,L66=12,12,$B66="Monthly V",L66*(1+$D$3),$B66="Monthly F",12,$B66="One-Time",0),L66*(1+$D$3))</f>
        <v>0</v>
      </c>
      <c r="N66" s="24" cm="1">
        <f t="array" ref="N66">IFERROR(_xlfn.IFS(VALUE(MID(N$5,6,2))&gt;$D$2,0,$B66="Annual",1,M66=12,12,$B66="Monthly V",M66*(1+$D$3),$B66="Monthly F",12,$B66="One-Time",0),M66*(1+$D$3))</f>
        <v>0</v>
      </c>
      <c r="O66" s="127" t="s">
        <v>126</v>
      </c>
      <c r="P66" s="13"/>
      <c r="Q66" s="20">
        <v>1500</v>
      </c>
      <c r="R66" s="21">
        <f t="shared" si="256"/>
        <v>1500</v>
      </c>
      <c r="S66" s="6">
        <f t="shared" si="257"/>
        <v>18000</v>
      </c>
      <c r="T66" s="6">
        <f t="shared" si="257"/>
        <v>18000</v>
      </c>
      <c r="U66" s="6">
        <f t="shared" si="257"/>
        <v>18000</v>
      </c>
      <c r="V66" s="6">
        <f t="shared" si="257"/>
        <v>18000</v>
      </c>
      <c r="W66" s="6">
        <f t="shared" si="257"/>
        <v>18000</v>
      </c>
      <c r="X66" s="6">
        <f t="shared" si="257"/>
        <v>18000</v>
      </c>
      <c r="Y66" s="6">
        <f t="shared" si="257"/>
        <v>18000</v>
      </c>
      <c r="Z66" s="6">
        <f t="shared" si="257"/>
        <v>0</v>
      </c>
      <c r="AA66" s="6">
        <f t="shared" si="257"/>
        <v>0</v>
      </c>
      <c r="AB66" s="6">
        <f t="shared" si="257"/>
        <v>0</v>
      </c>
      <c r="AC66" s="7"/>
      <c r="AD66" s="152">
        <f t="shared" si="258"/>
        <v>540.00000000000045</v>
      </c>
      <c r="AE66" s="152">
        <f t="shared" si="259"/>
        <v>1096.1999999999991</v>
      </c>
      <c r="AF66" s="152">
        <f t="shared" si="260"/>
        <v>1669.086</v>
      </c>
      <c r="AG66" s="152">
        <f t="shared" si="261"/>
        <v>2259.1585799999984</v>
      </c>
      <c r="AH66" s="152">
        <f t="shared" si="262"/>
        <v>2866.9333373999971</v>
      </c>
      <c r="AI66" s="152">
        <f t="shared" si="263"/>
        <v>3492.9413375219983</v>
      </c>
      <c r="AJ66" s="152">
        <f t="shared" si="264"/>
        <v>0</v>
      </c>
      <c r="AK66" s="152">
        <f t="shared" si="265"/>
        <v>0</v>
      </c>
      <c r="AL66" s="152">
        <f t="shared" si="266"/>
        <v>0</v>
      </c>
      <c r="AM66" s="9">
        <f t="shared" si="267"/>
        <v>11924.319254921993</v>
      </c>
      <c r="AN66" s="80">
        <f t="shared" si="268"/>
        <v>137924.31925492198</v>
      </c>
      <c r="AP66" s="102" t="s">
        <v>0</v>
      </c>
      <c r="AQ66" s="12">
        <v>1</v>
      </c>
      <c r="AR66" s="14">
        <f t="shared" si="15"/>
        <v>12</v>
      </c>
      <c r="AS66" s="14" cm="1">
        <f t="array" ref="AS66">IFERROR(_xlfn.IFS(VALUE(MID(AS$5,6,1))&gt;$D$2,0,$AP66="Annual",1,AR66=12,12,$AP66="Monthly V",AR66*(1+$BD$2),$AP66="Monthly F",12,$AP66="One-Time",0),AR66*(1+$BD$2))</f>
        <v>12</v>
      </c>
      <c r="AT66" s="14" cm="1">
        <f t="array" ref="AT66">IFERROR(_xlfn.IFS(VALUE(MID(AT$5,6,1))&gt;$D$2,0,$AP66="Annual",1,AS66=12,12,$AP66="Monthly V",AS66*(1+$BD$2),$AP66="Monthly F",12,$AP66="One-Time",0),AS66*(1+$BD$2))</f>
        <v>12</v>
      </c>
      <c r="AU66" s="14" cm="1">
        <f t="array" ref="AU66">IFERROR(_xlfn.IFS(VALUE(MID(AU$5,6,1))&gt;$D$2,0,$AP66="Annual",1,AT66=12,12,$AP66="Monthly V",AT66*(1+$BD$2),$AP66="Monthly F",12,$AP66="One-Time",0),AT66*(1+$BD$2))</f>
        <v>12</v>
      </c>
      <c r="AV66" s="14" cm="1">
        <f t="array" ref="AV66">IFERROR(_xlfn.IFS(VALUE(MID(AV$5,6,1))&gt;$D$2,0,$AP66="Annual",1,AU66=12,12,$AP66="Monthly V",AU66*(1+$BD$2),$AP66="Monthly F",12,$AP66="One-Time",0),AU66*(1+$BD$2))</f>
        <v>12</v>
      </c>
      <c r="AW66" s="14" cm="1">
        <f t="array" ref="AW66">IFERROR(_xlfn.IFS(VALUE(MID(AW$5,6,1))&gt;$D$2,0,$AP66="Annual",1,AV66=12,12,$AP66="Monthly V",AV66*(1+$BD$2),$AP66="Monthly F",12,$AP66="One-Time",0),AV66*(1+$BD$2))</f>
        <v>12</v>
      </c>
      <c r="AX66" s="14" cm="1">
        <f t="array" ref="AX66">IFERROR(_xlfn.IFS(VALUE(MID(AX$5,6,1))&gt;$D$2,0,$AP66="Annual",1,AW66=12,12,$AP66="Monthly V",AW66*(1+$BD$2),$AP66="Monthly F",12,$AP66="One-Time",0),AW66*(1+$BD$2))</f>
        <v>12</v>
      </c>
      <c r="AY66" s="14" cm="1">
        <f t="array" ref="AY66">IFERROR(_xlfn.IFS(VALUE(MID(AY$5,6,1))&gt;$D$2,0,$AP66="Annual",1,AX66=12,12,$AP66="Monthly V",AX66*(1+$D$3),$AP66="Monthly F",12,$AP66="One-Time",0),AX66*(1+$D$3))</f>
        <v>0</v>
      </c>
      <c r="AZ66" s="14" cm="1">
        <f t="array" ref="AZ66">IFERROR(_xlfn.IFS(VALUE(MID(AZ$5,6,1))&gt;$D$2,0,$AP66="Annual",1,AY66=12,12,$AP66="Monthly V",AY66*(1+$D$3),$AP66="Monthly F",12,$AP66="One-Time",0),AY66*(1+$D$3))</f>
        <v>0</v>
      </c>
      <c r="BA66" s="125" cm="1">
        <f t="array" ref="BA66">IFERROR(_xlfn.IFS(VALUE(MID(BA$5,6,2))&gt;$D$2,0,$AP66="Annual",1,AZ66=12,12,$AP66="Monthly V",AZ66*(1+$D$3),$AP66="Monthly F",12,$AP66="One-Time",0),AZ66*(1+$D$3))</f>
        <v>0</v>
      </c>
      <c r="BB66" s="124" t="s">
        <v>335</v>
      </c>
      <c r="BC66" s="38" t="s">
        <v>231</v>
      </c>
      <c r="BD66" s="36">
        <v>500</v>
      </c>
      <c r="BE66" s="21">
        <f t="shared" si="164"/>
        <v>500</v>
      </c>
      <c r="BF66" s="39">
        <f t="shared" si="44"/>
        <v>6000</v>
      </c>
      <c r="BG66" s="39">
        <f t="shared" si="17"/>
        <v>6000</v>
      </c>
      <c r="BH66" s="39">
        <f t="shared" si="18"/>
        <v>6000</v>
      </c>
      <c r="BI66" s="39">
        <f t="shared" si="19"/>
        <v>6180</v>
      </c>
      <c r="BJ66" s="39">
        <f t="shared" ref="BJ66:BL66" si="282">BI66*1.03</f>
        <v>6365.4000000000005</v>
      </c>
      <c r="BK66" s="39">
        <f t="shared" si="282"/>
        <v>6556.362000000001</v>
      </c>
      <c r="BL66" s="39">
        <f t="shared" si="282"/>
        <v>6753.0528600000016</v>
      </c>
      <c r="BM66" s="39">
        <f t="shared" si="276"/>
        <v>0</v>
      </c>
      <c r="BN66" s="39">
        <f t="shared" si="276"/>
        <v>0</v>
      </c>
      <c r="BO66" s="39">
        <f t="shared" si="276"/>
        <v>0</v>
      </c>
      <c r="BP66" s="40"/>
      <c r="BQ66" s="40">
        <f t="shared" si="167"/>
        <v>180.00000000000017</v>
      </c>
      <c r="BR66" s="40">
        <f t="shared" si="168"/>
        <v>365.39999999999975</v>
      </c>
      <c r="BS66" s="40">
        <f t="shared" si="169"/>
        <v>573.05286000000001</v>
      </c>
      <c r="BT66" s="40">
        <f t="shared" si="170"/>
        <v>798.9137791739995</v>
      </c>
      <c r="BU66" s="40">
        <f t="shared" si="171"/>
        <v>1044.2584883256957</v>
      </c>
      <c r="BV66" s="40">
        <f t="shared" si="172"/>
        <v>1310.4454160647313</v>
      </c>
      <c r="BW66" s="40">
        <f t="shared" si="173"/>
        <v>0</v>
      </c>
      <c r="BX66" s="40">
        <f t="shared" si="174"/>
        <v>0</v>
      </c>
      <c r="BY66" s="40">
        <f t="shared" si="175"/>
        <v>0</v>
      </c>
      <c r="BZ66" s="40">
        <f t="shared" si="176"/>
        <v>4272.0705435644259</v>
      </c>
      <c r="CA66" s="37">
        <f t="shared" si="177"/>
        <v>48126.885403564433</v>
      </c>
      <c r="CC66" s="102"/>
      <c r="CD66" s="12"/>
      <c r="CE66" s="14">
        <f t="shared" si="178"/>
        <v>0</v>
      </c>
      <c r="CF66" s="14" cm="1">
        <f t="array" ref="CF66">IFERROR(_xlfn.IFS(VALUE(MID(CF$5,6,1))&gt;$D$2,0,$CC66="Annual",1,CE66=12,12,$CC66="Monthly V",CE66*(1+$D$3),$CC66="Monthly F",12,$CC66="One-Time",0),CE66*(1+$D$3))</f>
        <v>0</v>
      </c>
      <c r="CG66" s="14" cm="1">
        <f t="array" ref="CG66">IFERROR(_xlfn.IFS(VALUE(MID(CG$5,6,1))&gt;$D$2,0,$CC66="Annual",1,CF66=12,12,$CC66="Monthly V",CF66*(1+$D$3),$CC66="Monthly F",12,$CC66="One-Time",0),CF66*(1+$D$3))</f>
        <v>0</v>
      </c>
      <c r="CH66" s="14" cm="1">
        <f t="array" ref="CH66">IFERROR(_xlfn.IFS(VALUE(MID(CH$5,6,1))&gt;$D$2,0,$CC66="Annual",1,CG66=12,12,$CC66="Monthly V",CG66*(1+$D$3),$CC66="Monthly F",12,$CC66="One-Time",0),CG66*(1+$D$3))</f>
        <v>0</v>
      </c>
      <c r="CI66" s="14" cm="1">
        <f t="array" ref="CI66">IFERROR(_xlfn.IFS(VALUE(MID(CI$5,6,1))&gt;$D$2,0,$CC66="Annual",1,CH66=12,12,$CC66="Monthly V",CH66*(1+$D$3),$CC66="Monthly F",12,$CC66="One-Time",0),CH66*(1+$D$3))</f>
        <v>0</v>
      </c>
      <c r="CJ66" s="14" cm="1">
        <f t="array" ref="CJ66">IFERROR(_xlfn.IFS(VALUE(MID(CJ$5,6,1))&gt;$D$2,0,$CC66="Annual",1,CI66=12,12,$CC66="Monthly V",CI66*(1+$D$3),$CC66="Monthly F",12,$CC66="One-Time",0),CI66*(1+$D$3))</f>
        <v>0</v>
      </c>
      <c r="CK66" s="14" cm="1">
        <f t="array" ref="CK66">IFERROR(_xlfn.IFS(VALUE(MID(CK$5,6,1))&gt;$D$2,0,$CC66="Annual",1,CJ66=12,12,$CC66="Monthly V",CJ66*(1+$D$3),$CC66="Monthly F",12,$CC66="One-Time",0),CJ66*(1+$D$3))</f>
        <v>0</v>
      </c>
      <c r="CL66" s="14" cm="1">
        <f t="array" ref="CL66">IFERROR(_xlfn.IFS(VALUE(MID(CL$5,6,1))&gt;$D$2,0,$CC66="Annual",1,CK66=12,12,$CC66="Monthly V",CK66*(1+$D$3),$CC66="Monthly F",12,$CC66="One-Time",0),CK66*(1+$D$3))</f>
        <v>0</v>
      </c>
      <c r="CM66" s="14" cm="1">
        <f t="array" ref="CM66">IFERROR(_xlfn.IFS(VALUE(MID(CM$5,6,1))&gt;$D$2,0,$CC66="Annual",1,CL66=12,12,$CC66="Monthly V",CL66*(1+$D$3),$CC66="Monthly F",12,$CC66="One-Time",0),CL66*(1+$D$3))</f>
        <v>0</v>
      </c>
      <c r="CN66" s="24" cm="1">
        <f t="array" ref="CN66">IFERROR(_xlfn.IFS(VALUE(MID(CN$5,6,2))&gt;$D$2,0,$CC66="Annual",1,CM66=12,12,$CC66="Monthly V",CM66*(1+$D$3),$CC66="Monthly F",12,$CC66="One-Time",0),CM66*(1+$D$3))</f>
        <v>0</v>
      </c>
      <c r="CO66" s="63"/>
      <c r="CP66" s="53"/>
      <c r="CQ66" s="21">
        <f t="shared" si="179"/>
        <v>0</v>
      </c>
      <c r="CR66" s="55">
        <f t="shared" si="279"/>
        <v>0</v>
      </c>
      <c r="CS66" s="55">
        <f t="shared" si="279"/>
        <v>0</v>
      </c>
      <c r="CT66" s="55">
        <f t="shared" si="279"/>
        <v>0</v>
      </c>
      <c r="CU66" s="55">
        <f t="shared" si="279"/>
        <v>0</v>
      </c>
      <c r="CV66" s="55">
        <f t="shared" si="279"/>
        <v>0</v>
      </c>
      <c r="CW66" s="55">
        <f t="shared" si="277"/>
        <v>0</v>
      </c>
      <c r="CX66" s="55">
        <f t="shared" si="277"/>
        <v>0</v>
      </c>
      <c r="CY66" s="55">
        <f t="shared" si="277"/>
        <v>0</v>
      </c>
      <c r="CZ66" s="55">
        <f t="shared" si="277"/>
        <v>0</v>
      </c>
      <c r="DA66" s="55">
        <f t="shared" si="277"/>
        <v>0</v>
      </c>
      <c r="DB66" s="56"/>
      <c r="DC66" s="56">
        <f t="shared" si="181"/>
        <v>0</v>
      </c>
      <c r="DD66" s="56">
        <f t="shared" si="182"/>
        <v>0</v>
      </c>
      <c r="DE66" s="56">
        <f t="shared" si="183"/>
        <v>0</v>
      </c>
      <c r="DF66" s="56">
        <f t="shared" si="184"/>
        <v>0</v>
      </c>
      <c r="DG66" s="56">
        <f t="shared" si="185"/>
        <v>0</v>
      </c>
      <c r="DH66" s="56">
        <f t="shared" si="186"/>
        <v>0</v>
      </c>
      <c r="DI66" s="56">
        <f t="shared" si="187"/>
        <v>0</v>
      </c>
      <c r="DJ66" s="56">
        <f t="shared" si="188"/>
        <v>0</v>
      </c>
      <c r="DK66" s="56">
        <f t="shared" si="189"/>
        <v>0</v>
      </c>
      <c r="DL66" s="57">
        <f t="shared" si="190"/>
        <v>0</v>
      </c>
      <c r="DM66" s="54">
        <f t="shared" si="191"/>
        <v>0</v>
      </c>
      <c r="DO66" s="106"/>
    </row>
    <row r="67" spans="2:119" x14ac:dyDescent="0.25">
      <c r="B67" s="141" t="s">
        <v>3</v>
      </c>
      <c r="C67" s="24">
        <v>1</v>
      </c>
      <c r="D67" s="147">
        <f t="shared" si="273"/>
        <v>1</v>
      </c>
      <c r="E67" s="142">
        <f t="shared" si="274"/>
        <v>1</v>
      </c>
      <c r="F67" s="14" cm="1">
        <f t="array" ref="F67">IFERROR(_xlfn.IFS(VALUE(MID(F$5,6,1))&gt;$D$2,0,$B67="Annual",1,E67=12,12,$B67="Monthly V",E67*(1+$D$3),$B67="Monthly F",12,$B67="One-Time",0),E67*(1+$D$3))</f>
        <v>0</v>
      </c>
      <c r="G67" s="14" cm="1">
        <f t="array" ref="G67">IFERROR(_xlfn.IFS(VALUE(MID(G$5,6,1))&gt;$D$2,0,$B67="Annual",1,F67=12,12,$B67="Monthly V",F67*(1+$D$3),$B67="Monthly F",12,$B67="One-Time",0),F67*(1+$D$3))</f>
        <v>0</v>
      </c>
      <c r="H67" s="14" cm="1">
        <f t="array" ref="H67">IFERROR(_xlfn.IFS(VALUE(MID(H$5,6,1))&gt;$D$2,0,$B67="Annual",1,G67=12,12,$B67="Monthly V",G67*(1+$D$3),$B67="Monthly F",12,$B67="One-Time",0),G67*(1+$D$3))</f>
        <v>0</v>
      </c>
      <c r="I67" s="14" cm="1">
        <f t="array" ref="I67">IFERROR(_xlfn.IFS(VALUE(MID(I$5,6,1))&gt;$D$2,0,$B67="Annual",1,H67=12,12,$B67="Monthly V",H67*(1+$D$3),$B67="Monthly F",12,$B67="One-Time",0),H67*(1+$D$3))</f>
        <v>0</v>
      </c>
      <c r="J67" s="14" cm="1">
        <f t="array" ref="J67">IFERROR(_xlfn.IFS(VALUE(MID(J$5,6,1))&gt;$D$2,0,$B67="Annual",1,I67=12,12,$B67="Monthly V",I67*(1+$D$3),$B67="Monthly F",12,$B67="One-Time",0),I67*(1+$D$3))</f>
        <v>0</v>
      </c>
      <c r="K67" s="14" cm="1">
        <f t="array" ref="K67">IFERROR(_xlfn.IFS(VALUE(MID(K$5,6,1))&gt;$D$2,0,$B67="Annual",1,J67=12,12,$B67="Monthly V",J67*(1+$D$3),$B67="Monthly F",12,$B67="One-Time",0),J67*(1+$D$3))</f>
        <v>0</v>
      </c>
      <c r="L67" s="14" cm="1">
        <f t="array" ref="L67">IFERROR(_xlfn.IFS(VALUE(MID(L$5,6,1))&gt;$D$2,0,$B67="Annual",1,K67=12,12,$B67="Monthly V",K67*(1+$D$3),$B67="Monthly F",12,$B67="One-Time",0),K67*(1+$D$3))</f>
        <v>0</v>
      </c>
      <c r="M67" s="14" cm="1">
        <f t="array" ref="M67">IFERROR(_xlfn.IFS(VALUE(MID(M$5,6,1))&gt;$D$2,0,$B67="Annual",1,L67=12,12,$B67="Monthly V",L67*(1+$D$3),$B67="Monthly F",12,$B67="One-Time",0),L67*(1+$D$3))</f>
        <v>0</v>
      </c>
      <c r="N67" s="24" cm="1">
        <f t="array" ref="N67">IFERROR(_xlfn.IFS(VALUE(MID(N$5,6,2))&gt;$D$2,0,$B67="Annual",1,M67=12,12,$B67="Monthly V",M67*(1+$D$3),$B67="Monthly F",12,$B67="One-Time",0),M67*(1+$D$3))</f>
        <v>0</v>
      </c>
      <c r="O67" s="127" t="s">
        <v>127</v>
      </c>
      <c r="P67" s="13"/>
      <c r="Q67" s="20">
        <v>9000</v>
      </c>
      <c r="R67" s="21">
        <f t="shared" si="256"/>
        <v>750</v>
      </c>
      <c r="S67" s="6">
        <f t="shared" si="257"/>
        <v>9000</v>
      </c>
      <c r="T67" s="6">
        <f t="shared" si="257"/>
        <v>0</v>
      </c>
      <c r="U67" s="6">
        <f t="shared" si="257"/>
        <v>0</v>
      </c>
      <c r="V67" s="6">
        <f t="shared" si="257"/>
        <v>0</v>
      </c>
      <c r="W67" s="6">
        <f t="shared" si="257"/>
        <v>0</v>
      </c>
      <c r="X67" s="6">
        <f t="shared" si="257"/>
        <v>0</v>
      </c>
      <c r="Y67" s="6">
        <f t="shared" si="257"/>
        <v>0</v>
      </c>
      <c r="Z67" s="6">
        <f t="shared" si="257"/>
        <v>0</v>
      </c>
      <c r="AA67" s="6">
        <f t="shared" si="257"/>
        <v>0</v>
      </c>
      <c r="AB67" s="6">
        <f t="shared" si="257"/>
        <v>0</v>
      </c>
      <c r="AC67" s="7"/>
      <c r="AD67" s="152">
        <f t="shared" si="258"/>
        <v>0</v>
      </c>
      <c r="AE67" s="152">
        <f t="shared" si="259"/>
        <v>0</v>
      </c>
      <c r="AF67" s="152">
        <f t="shared" si="260"/>
        <v>0</v>
      </c>
      <c r="AG67" s="152">
        <f t="shared" si="261"/>
        <v>0</v>
      </c>
      <c r="AH67" s="152">
        <f t="shared" si="262"/>
        <v>0</v>
      </c>
      <c r="AI67" s="152">
        <f t="shared" si="263"/>
        <v>0</v>
      </c>
      <c r="AJ67" s="152">
        <f t="shared" si="264"/>
        <v>0</v>
      </c>
      <c r="AK67" s="152">
        <f t="shared" si="265"/>
        <v>0</v>
      </c>
      <c r="AL67" s="152">
        <f t="shared" si="266"/>
        <v>0</v>
      </c>
      <c r="AM67" s="9">
        <f t="shared" si="267"/>
        <v>0</v>
      </c>
      <c r="AN67" s="80">
        <f t="shared" si="268"/>
        <v>9000</v>
      </c>
      <c r="AP67" s="102" t="s">
        <v>0</v>
      </c>
      <c r="AQ67" s="12">
        <v>1</v>
      </c>
      <c r="AR67" s="14">
        <f t="shared" si="15"/>
        <v>12</v>
      </c>
      <c r="AS67" s="14" cm="1">
        <f t="array" ref="AS67">IFERROR(_xlfn.IFS(VALUE(MID(AS$5,6,1))&gt;$D$2,0,$AP67="Annual",1,AR67=12,12,$AP67="Monthly V",AR67*(1+$BD$2),$AP67="Monthly F",12,$AP67="One-Time",0),AR67*(1+$BD$2))</f>
        <v>12</v>
      </c>
      <c r="AT67" s="14" cm="1">
        <f t="array" ref="AT67">IFERROR(_xlfn.IFS(VALUE(MID(AT$5,6,1))&gt;$D$2,0,$AP67="Annual",1,AS67=12,12,$AP67="Monthly V",AS67*(1+$BD$2),$AP67="Monthly F",12,$AP67="One-Time",0),AS67*(1+$BD$2))</f>
        <v>12</v>
      </c>
      <c r="AU67" s="14" cm="1">
        <f t="array" ref="AU67">IFERROR(_xlfn.IFS(VALUE(MID(AU$5,6,1))&gt;$D$2,0,$AP67="Annual",1,AT67=12,12,$AP67="Monthly V",AT67*(1+$BD$2),$AP67="Monthly F",12,$AP67="One-Time",0),AT67*(1+$BD$2))</f>
        <v>12</v>
      </c>
      <c r="AV67" s="14" cm="1">
        <f t="array" ref="AV67">IFERROR(_xlfn.IFS(VALUE(MID(AV$5,6,1))&gt;$D$2,0,$AP67="Annual",1,AU67=12,12,$AP67="Monthly V",AU67*(1+$BD$2),$AP67="Monthly F",12,$AP67="One-Time",0),AU67*(1+$BD$2))</f>
        <v>12</v>
      </c>
      <c r="AW67" s="14" cm="1">
        <f t="array" ref="AW67">IFERROR(_xlfn.IFS(VALUE(MID(AW$5,6,1))&gt;$D$2,0,$AP67="Annual",1,AV67=12,12,$AP67="Monthly V",AV67*(1+$BD$2),$AP67="Monthly F",12,$AP67="One-Time",0),AV67*(1+$BD$2))</f>
        <v>12</v>
      </c>
      <c r="AX67" s="14" cm="1">
        <f t="array" ref="AX67">IFERROR(_xlfn.IFS(VALUE(MID(AX$5,6,1))&gt;$D$2,0,$AP67="Annual",1,AW67=12,12,$AP67="Monthly V",AW67*(1+$BD$2),$AP67="Monthly F",12,$AP67="One-Time",0),AW67*(1+$BD$2))</f>
        <v>12</v>
      </c>
      <c r="AY67" s="14" cm="1">
        <f t="array" ref="AY67">IFERROR(_xlfn.IFS(VALUE(MID(AY$5,6,1))&gt;$D$2,0,$AP67="Annual",1,AX67=12,12,$AP67="Monthly V",AX67*(1+$D$3),$AP67="Monthly F",12,$AP67="One-Time",0),AX67*(1+$D$3))</f>
        <v>0</v>
      </c>
      <c r="AZ67" s="14" cm="1">
        <f t="array" ref="AZ67">IFERROR(_xlfn.IFS(VALUE(MID(AZ$5,6,1))&gt;$D$2,0,$AP67="Annual",1,AY67=12,12,$AP67="Monthly V",AY67*(1+$D$3),$AP67="Monthly F",12,$AP67="One-Time",0),AY67*(1+$D$3))</f>
        <v>0</v>
      </c>
      <c r="BA67" s="125" cm="1">
        <f t="array" ref="BA67">IFERROR(_xlfn.IFS(VALUE(MID(BA$5,6,2))&gt;$D$2,0,$AP67="Annual",1,AZ67=12,12,$AP67="Monthly V",AZ67*(1+$D$3),$AP67="Monthly F",12,$AP67="One-Time",0),AZ67*(1+$D$3))</f>
        <v>0</v>
      </c>
      <c r="BB67" s="124" t="s">
        <v>206</v>
      </c>
      <c r="BC67" s="38" t="s">
        <v>231</v>
      </c>
      <c r="BD67" s="36">
        <v>1000</v>
      </c>
      <c r="BE67" s="21">
        <f t="shared" si="164"/>
        <v>1000</v>
      </c>
      <c r="BF67" s="39">
        <f t="shared" si="44"/>
        <v>12000</v>
      </c>
      <c r="BG67" s="39">
        <f t="shared" si="17"/>
        <v>12000</v>
      </c>
      <c r="BH67" s="39">
        <f t="shared" si="18"/>
        <v>12000</v>
      </c>
      <c r="BI67" s="39">
        <f t="shared" si="19"/>
        <v>12360</v>
      </c>
      <c r="BJ67" s="39">
        <f t="shared" ref="BJ67:BL67" si="283">BI67*1.03</f>
        <v>12730.800000000001</v>
      </c>
      <c r="BK67" s="39">
        <f t="shared" si="283"/>
        <v>13112.724000000002</v>
      </c>
      <c r="BL67" s="39">
        <f t="shared" si="283"/>
        <v>13506.105720000003</v>
      </c>
      <c r="BM67" s="39">
        <f t="shared" si="276"/>
        <v>0</v>
      </c>
      <c r="BN67" s="39">
        <f t="shared" si="276"/>
        <v>0</v>
      </c>
      <c r="BO67" s="39">
        <f t="shared" si="276"/>
        <v>0</v>
      </c>
      <c r="BP67" s="40"/>
      <c r="BQ67" s="40">
        <f t="shared" si="167"/>
        <v>360.00000000000034</v>
      </c>
      <c r="BR67" s="40">
        <f t="shared" si="168"/>
        <v>730.7999999999995</v>
      </c>
      <c r="BS67" s="40">
        <f t="shared" si="169"/>
        <v>1146.10572</v>
      </c>
      <c r="BT67" s="40">
        <f t="shared" si="170"/>
        <v>1597.827558347999</v>
      </c>
      <c r="BU67" s="40">
        <f t="shared" si="171"/>
        <v>2088.5169766513914</v>
      </c>
      <c r="BV67" s="40">
        <f t="shared" si="172"/>
        <v>2620.8908321294625</v>
      </c>
      <c r="BW67" s="40">
        <f t="shared" si="173"/>
        <v>0</v>
      </c>
      <c r="BX67" s="40">
        <f t="shared" si="174"/>
        <v>0</v>
      </c>
      <c r="BY67" s="40">
        <f t="shared" si="175"/>
        <v>0</v>
      </c>
      <c r="BZ67" s="40">
        <f t="shared" si="176"/>
        <v>8544.1410871288517</v>
      </c>
      <c r="CA67" s="37">
        <f t="shared" si="177"/>
        <v>96253.770807128865</v>
      </c>
      <c r="CC67" s="102"/>
      <c r="CD67" s="12"/>
      <c r="CE67" s="14">
        <f t="shared" si="178"/>
        <v>0</v>
      </c>
      <c r="CF67" s="14" cm="1">
        <f t="array" ref="CF67">IFERROR(_xlfn.IFS(VALUE(MID(CF$5,6,1))&gt;$D$2,0,$CC67="Annual",1,CE67=12,12,$CC67="Monthly V",CE67*(1+$D$3),$CC67="Monthly F",12,$CC67="One-Time",0),CE67*(1+$D$3))</f>
        <v>0</v>
      </c>
      <c r="CG67" s="14" cm="1">
        <f t="array" ref="CG67">IFERROR(_xlfn.IFS(VALUE(MID(CG$5,6,1))&gt;$D$2,0,$CC67="Annual",1,CF67=12,12,$CC67="Monthly V",CF67*(1+$D$3),$CC67="Monthly F",12,$CC67="One-Time",0),CF67*(1+$D$3))</f>
        <v>0</v>
      </c>
      <c r="CH67" s="14" cm="1">
        <f t="array" ref="CH67">IFERROR(_xlfn.IFS(VALUE(MID(CH$5,6,1))&gt;$D$2,0,$CC67="Annual",1,CG67=12,12,$CC67="Monthly V",CG67*(1+$D$3),$CC67="Monthly F",12,$CC67="One-Time",0),CG67*(1+$D$3))</f>
        <v>0</v>
      </c>
      <c r="CI67" s="14" cm="1">
        <f t="array" ref="CI67">IFERROR(_xlfn.IFS(VALUE(MID(CI$5,6,1))&gt;$D$2,0,$CC67="Annual",1,CH67=12,12,$CC67="Monthly V",CH67*(1+$D$3),$CC67="Monthly F",12,$CC67="One-Time",0),CH67*(1+$D$3))</f>
        <v>0</v>
      </c>
      <c r="CJ67" s="14" cm="1">
        <f t="array" ref="CJ67">IFERROR(_xlfn.IFS(VALUE(MID(CJ$5,6,1))&gt;$D$2,0,$CC67="Annual",1,CI67=12,12,$CC67="Monthly V",CI67*(1+$D$3),$CC67="Monthly F",12,$CC67="One-Time",0),CI67*(1+$D$3))</f>
        <v>0</v>
      </c>
      <c r="CK67" s="14" cm="1">
        <f t="array" ref="CK67">IFERROR(_xlfn.IFS(VALUE(MID(CK$5,6,1))&gt;$D$2,0,$CC67="Annual",1,CJ67=12,12,$CC67="Monthly V",CJ67*(1+$D$3),$CC67="Monthly F",12,$CC67="One-Time",0),CJ67*(1+$D$3))</f>
        <v>0</v>
      </c>
      <c r="CL67" s="14" cm="1">
        <f t="array" ref="CL67">IFERROR(_xlfn.IFS(VALUE(MID(CL$5,6,1))&gt;$D$2,0,$CC67="Annual",1,CK67=12,12,$CC67="Monthly V",CK67*(1+$D$3),$CC67="Monthly F",12,$CC67="One-Time",0),CK67*(1+$D$3))</f>
        <v>0</v>
      </c>
      <c r="CM67" s="14" cm="1">
        <f t="array" ref="CM67">IFERROR(_xlfn.IFS(VALUE(MID(CM$5,6,1))&gt;$D$2,0,$CC67="Annual",1,CL67=12,12,$CC67="Monthly V",CL67*(1+$D$3),$CC67="Monthly F",12,$CC67="One-Time",0),CL67*(1+$D$3))</f>
        <v>0</v>
      </c>
      <c r="CN67" s="24" cm="1">
        <f t="array" ref="CN67">IFERROR(_xlfn.IFS(VALUE(MID(CN$5,6,2))&gt;$D$2,0,$CC67="Annual",1,CM67=12,12,$CC67="Monthly V",CM67*(1+$D$3),$CC67="Monthly F",12,$CC67="One-Time",0),CM67*(1+$D$3))</f>
        <v>0</v>
      </c>
      <c r="CO67" s="63"/>
      <c r="CP67" s="53"/>
      <c r="CQ67" s="21">
        <f t="shared" si="179"/>
        <v>0</v>
      </c>
      <c r="CR67" s="55">
        <f t="shared" si="279"/>
        <v>0</v>
      </c>
      <c r="CS67" s="55">
        <f t="shared" si="279"/>
        <v>0</v>
      </c>
      <c r="CT67" s="55">
        <f t="shared" si="279"/>
        <v>0</v>
      </c>
      <c r="CU67" s="55">
        <f t="shared" si="279"/>
        <v>0</v>
      </c>
      <c r="CV67" s="55">
        <f t="shared" si="279"/>
        <v>0</v>
      </c>
      <c r="CW67" s="55">
        <f t="shared" si="277"/>
        <v>0</v>
      </c>
      <c r="CX67" s="55">
        <f t="shared" si="277"/>
        <v>0</v>
      </c>
      <c r="CY67" s="55">
        <f t="shared" si="277"/>
        <v>0</v>
      </c>
      <c r="CZ67" s="55">
        <f t="shared" si="277"/>
        <v>0</v>
      </c>
      <c r="DA67" s="55">
        <f t="shared" si="277"/>
        <v>0</v>
      </c>
      <c r="DB67" s="56"/>
      <c r="DC67" s="56">
        <f t="shared" si="181"/>
        <v>0</v>
      </c>
      <c r="DD67" s="56">
        <f t="shared" si="182"/>
        <v>0</v>
      </c>
      <c r="DE67" s="56">
        <f t="shared" si="183"/>
        <v>0</v>
      </c>
      <c r="DF67" s="56">
        <f t="shared" si="184"/>
        <v>0</v>
      </c>
      <c r="DG67" s="56">
        <f t="shared" si="185"/>
        <v>0</v>
      </c>
      <c r="DH67" s="56">
        <f t="shared" si="186"/>
        <v>0</v>
      </c>
      <c r="DI67" s="56">
        <f t="shared" si="187"/>
        <v>0</v>
      </c>
      <c r="DJ67" s="56">
        <f t="shared" si="188"/>
        <v>0</v>
      </c>
      <c r="DK67" s="56">
        <f t="shared" si="189"/>
        <v>0</v>
      </c>
      <c r="DL67" s="57">
        <f t="shared" si="190"/>
        <v>0</v>
      </c>
      <c r="DM67" s="54">
        <f t="shared" si="191"/>
        <v>0</v>
      </c>
      <c r="DO67" s="106"/>
    </row>
    <row r="68" spans="2:119" x14ac:dyDescent="0.25">
      <c r="B68" s="141" t="s">
        <v>1</v>
      </c>
      <c r="C68" s="24">
        <v>1</v>
      </c>
      <c r="D68" s="147">
        <f t="shared" si="273"/>
        <v>1</v>
      </c>
      <c r="E68" s="142">
        <f t="shared" si="274"/>
        <v>12</v>
      </c>
      <c r="F68" s="14" cm="1">
        <f t="array" ref="F68">IFERROR(_xlfn.IFS(VALUE(MID(F$5,6,1))&gt;$D$2,0,$B68="Annual",1,E68=12,12,$B68="Monthly V",E68*(1+$D$3),$B68="Monthly F",12,$B68="One-Time",0),E68*(1+$D$3))</f>
        <v>12</v>
      </c>
      <c r="G68" s="14" cm="1">
        <f t="array" ref="G68">IFERROR(_xlfn.IFS(VALUE(MID(G$5,6,1))&gt;$D$2,0,$B68="Annual",1,F68=12,12,$B68="Monthly V",F68*(1+$D$3),$B68="Monthly F",12,$B68="One-Time",0),F68*(1+$D$3))</f>
        <v>12</v>
      </c>
      <c r="H68" s="14" cm="1">
        <f t="array" ref="H68">IFERROR(_xlfn.IFS(VALUE(MID(H$5,6,1))&gt;$D$2,0,$B68="Annual",1,G68=12,12,$B68="Monthly V",G68*(1+$D$3),$B68="Monthly F",12,$B68="One-Time",0),G68*(1+$D$3))</f>
        <v>12</v>
      </c>
      <c r="I68" s="14" cm="1">
        <f t="array" ref="I68">IFERROR(_xlfn.IFS(VALUE(MID(I$5,6,1))&gt;$D$2,0,$B68="Annual",1,H68=12,12,$B68="Monthly V",H68*(1+$D$3),$B68="Monthly F",12,$B68="One-Time",0),H68*(1+$D$3))</f>
        <v>12</v>
      </c>
      <c r="J68" s="14" cm="1">
        <f t="array" ref="J68">IFERROR(_xlfn.IFS(VALUE(MID(J$5,6,1))&gt;$D$2,0,$B68="Annual",1,I68=12,12,$B68="Monthly V",I68*(1+$D$3),$B68="Monthly F",12,$B68="One-Time",0),I68*(1+$D$3))</f>
        <v>12</v>
      </c>
      <c r="K68" s="14" cm="1">
        <f t="array" ref="K68">IFERROR(_xlfn.IFS(VALUE(MID(K$5,6,1))&gt;$D$2,0,$B68="Annual",1,J68=12,12,$B68="Monthly V",J68*(1+$D$3),$B68="Monthly F",12,$B68="One-Time",0),J68*(1+$D$3))</f>
        <v>12</v>
      </c>
      <c r="L68" s="14" cm="1">
        <f t="array" ref="L68">IFERROR(_xlfn.IFS(VALUE(MID(L$5,6,1))&gt;$D$2,0,$B68="Annual",1,K68=12,12,$B68="Monthly V",K68*(1+$D$3),$B68="Monthly F",12,$B68="One-Time",0),K68*(1+$D$3))</f>
        <v>0</v>
      </c>
      <c r="M68" s="14" cm="1">
        <f t="array" ref="M68">IFERROR(_xlfn.IFS(VALUE(MID(M$5,6,1))&gt;$D$2,0,$B68="Annual",1,L68=12,12,$B68="Monthly V",L68*(1+$D$3),$B68="Monthly F",12,$B68="One-Time",0),L68*(1+$D$3))</f>
        <v>0</v>
      </c>
      <c r="N68" s="24" cm="1">
        <f t="array" ref="N68">IFERROR(_xlfn.IFS(VALUE(MID(N$5,6,2))&gt;$D$2,0,$B68="Annual",1,M68=12,12,$B68="Monthly V",M68*(1+$D$3),$B68="Monthly F",12,$B68="One-Time",0),M68*(1+$D$3))</f>
        <v>0</v>
      </c>
      <c r="O68" s="127" t="s">
        <v>338</v>
      </c>
      <c r="P68" s="13"/>
      <c r="Q68" s="20">
        <v>900</v>
      </c>
      <c r="R68" s="21">
        <f t="shared" si="256"/>
        <v>900</v>
      </c>
      <c r="S68" s="6">
        <f t="shared" si="257"/>
        <v>10800</v>
      </c>
      <c r="T68" s="6">
        <f t="shared" si="257"/>
        <v>10800</v>
      </c>
      <c r="U68" s="6">
        <f t="shared" si="257"/>
        <v>10800</v>
      </c>
      <c r="V68" s="6">
        <f t="shared" si="257"/>
        <v>10800</v>
      </c>
      <c r="W68" s="6">
        <f t="shared" si="257"/>
        <v>10800</v>
      </c>
      <c r="X68" s="6">
        <f t="shared" si="257"/>
        <v>10800</v>
      </c>
      <c r="Y68" s="6">
        <f t="shared" si="257"/>
        <v>10800</v>
      </c>
      <c r="Z68" s="6">
        <f t="shared" si="257"/>
        <v>0</v>
      </c>
      <c r="AA68" s="6">
        <f t="shared" si="257"/>
        <v>0</v>
      </c>
      <c r="AB68" s="6">
        <f t="shared" si="257"/>
        <v>0</v>
      </c>
      <c r="AC68" s="7"/>
      <c r="AD68" s="152">
        <f t="shared" si="258"/>
        <v>324.00000000000028</v>
      </c>
      <c r="AE68" s="152">
        <f t="shared" si="259"/>
        <v>657.71999999999946</v>
      </c>
      <c r="AF68" s="152">
        <f t="shared" si="260"/>
        <v>1001.4516000000001</v>
      </c>
      <c r="AG68" s="152">
        <f t="shared" si="261"/>
        <v>1355.4951479999991</v>
      </c>
      <c r="AH68" s="152">
        <f t="shared" si="262"/>
        <v>1720.1600024399984</v>
      </c>
      <c r="AI68" s="152">
        <f t="shared" si="263"/>
        <v>2095.7648025131989</v>
      </c>
      <c r="AJ68" s="152">
        <f t="shared" si="264"/>
        <v>0</v>
      </c>
      <c r="AK68" s="152">
        <f t="shared" si="265"/>
        <v>0</v>
      </c>
      <c r="AL68" s="152">
        <f t="shared" si="266"/>
        <v>0</v>
      </c>
      <c r="AM68" s="9">
        <f t="shared" ref="AM68" si="284">SUM(AC68:AL68)</f>
        <v>7154.5915529531958</v>
      </c>
      <c r="AN68" s="80">
        <f t="shared" si="268"/>
        <v>82754.591552953192</v>
      </c>
      <c r="AP68" s="102" t="s">
        <v>0</v>
      </c>
      <c r="AQ68" s="12">
        <v>1</v>
      </c>
      <c r="AR68" s="14">
        <f t="shared" si="15"/>
        <v>12</v>
      </c>
      <c r="AS68" s="14" cm="1">
        <f t="array" ref="AS68">IFERROR(_xlfn.IFS(VALUE(MID(AS$5,6,1))&gt;$D$2,0,$AP68="Annual",1,AR68=12,12,$AP68="Monthly V",AR68*(1+$BD$2),$AP68="Monthly F",12,$AP68="One-Time",0),AR68*(1+$BD$2))</f>
        <v>12</v>
      </c>
      <c r="AT68" s="14" cm="1">
        <f t="array" ref="AT68">IFERROR(_xlfn.IFS(VALUE(MID(AT$5,6,1))&gt;$D$2,0,$AP68="Annual",1,AS68=12,12,$AP68="Monthly V",AS68*(1+$BD$2),$AP68="Monthly F",12,$AP68="One-Time",0),AS68*(1+$BD$2))</f>
        <v>12</v>
      </c>
      <c r="AU68" s="14" cm="1">
        <f t="array" ref="AU68">IFERROR(_xlfn.IFS(VALUE(MID(AU$5,6,1))&gt;$D$2,0,$AP68="Annual",1,AT68=12,12,$AP68="Monthly V",AT68*(1+$BD$2),$AP68="Monthly F",12,$AP68="One-Time",0),AT68*(1+$BD$2))</f>
        <v>12</v>
      </c>
      <c r="AV68" s="14" cm="1">
        <f t="array" ref="AV68">IFERROR(_xlfn.IFS(VALUE(MID(AV$5,6,1))&gt;$D$2,0,$AP68="Annual",1,AU68=12,12,$AP68="Monthly V",AU68*(1+$BD$2),$AP68="Monthly F",12,$AP68="One-Time",0),AU68*(1+$BD$2))</f>
        <v>12</v>
      </c>
      <c r="AW68" s="14" cm="1">
        <f t="array" ref="AW68">IFERROR(_xlfn.IFS(VALUE(MID(AW$5,6,1))&gt;$D$2,0,$AP68="Annual",1,AV68=12,12,$AP68="Monthly V",AV68*(1+$BD$2),$AP68="Monthly F",12,$AP68="One-Time",0),AV68*(1+$BD$2))</f>
        <v>12</v>
      </c>
      <c r="AX68" s="14" cm="1">
        <f t="array" ref="AX68">IFERROR(_xlfn.IFS(VALUE(MID(AX$5,6,1))&gt;$D$2,0,$AP68="Annual",1,AW68=12,12,$AP68="Monthly V",AW68*(1+$BD$2),$AP68="Monthly F",12,$AP68="One-Time",0),AW68*(1+$BD$2))</f>
        <v>12</v>
      </c>
      <c r="AY68" s="14" cm="1">
        <f t="array" ref="AY68">IFERROR(_xlfn.IFS(VALUE(MID(AY$5,6,1))&gt;$D$2,0,$AP68="Annual",1,AX68=12,12,$AP68="Monthly V",AX68*(1+$D$3),$AP68="Monthly F",12,$AP68="One-Time",0),AX68*(1+$D$3))</f>
        <v>0</v>
      </c>
      <c r="AZ68" s="14" cm="1">
        <f t="array" ref="AZ68">IFERROR(_xlfn.IFS(VALUE(MID(AZ$5,6,1))&gt;$D$2,0,$AP68="Annual",1,AY68=12,12,$AP68="Monthly V",AY68*(1+$D$3),$AP68="Monthly F",12,$AP68="One-Time",0),AY68*(1+$D$3))</f>
        <v>0</v>
      </c>
      <c r="BA68" s="125" cm="1">
        <f t="array" ref="BA68">IFERROR(_xlfn.IFS(VALUE(MID(BA$5,6,2))&gt;$D$2,0,$AP68="Annual",1,AZ68=12,12,$AP68="Monthly V",AZ68*(1+$D$3),$AP68="Monthly F",12,$AP68="One-Time",0),AZ68*(1+$D$3))</f>
        <v>0</v>
      </c>
      <c r="BB68" s="148" t="s">
        <v>207</v>
      </c>
      <c r="BC68" s="38" t="s">
        <v>232</v>
      </c>
      <c r="BD68" s="36">
        <v>665</v>
      </c>
      <c r="BE68" s="21">
        <f t="shared" si="164"/>
        <v>665</v>
      </c>
      <c r="BF68" s="39">
        <f t="shared" si="44"/>
        <v>7980</v>
      </c>
      <c r="BG68" s="39">
        <f t="shared" si="17"/>
        <v>7980</v>
      </c>
      <c r="BH68" s="39">
        <f t="shared" si="18"/>
        <v>7980</v>
      </c>
      <c r="BI68" s="39">
        <f t="shared" si="19"/>
        <v>8219.4</v>
      </c>
      <c r="BJ68" s="39">
        <f t="shared" ref="BJ68:BL68" si="285">BI68*1.03</f>
        <v>8465.982</v>
      </c>
      <c r="BK68" s="39">
        <f t="shared" si="285"/>
        <v>8719.9614600000004</v>
      </c>
      <c r="BL68" s="39">
        <f t="shared" si="285"/>
        <v>8981.5603038000008</v>
      </c>
      <c r="BM68" s="39">
        <f t="shared" si="276"/>
        <v>0</v>
      </c>
      <c r="BN68" s="39">
        <f t="shared" si="276"/>
        <v>0</v>
      </c>
      <c r="BO68" s="39">
        <f t="shared" si="276"/>
        <v>0</v>
      </c>
      <c r="BP68" s="40"/>
      <c r="BQ68" s="40">
        <f t="shared" si="167"/>
        <v>239.4000000000002</v>
      </c>
      <c r="BR68" s="40">
        <f t="shared" si="168"/>
        <v>485.98199999999963</v>
      </c>
      <c r="BS68" s="40">
        <f t="shared" si="169"/>
        <v>762.16030379999995</v>
      </c>
      <c r="BT68" s="40">
        <f t="shared" si="170"/>
        <v>1062.5553263014192</v>
      </c>
      <c r="BU68" s="40">
        <f t="shared" si="171"/>
        <v>1388.8637894731753</v>
      </c>
      <c r="BV68" s="40">
        <f t="shared" si="172"/>
        <v>1742.8924033660924</v>
      </c>
      <c r="BW68" s="40">
        <f t="shared" si="173"/>
        <v>0</v>
      </c>
      <c r="BX68" s="40">
        <f t="shared" si="174"/>
        <v>0</v>
      </c>
      <c r="BY68" s="40">
        <f t="shared" si="175"/>
        <v>0</v>
      </c>
      <c r="BZ68" s="40">
        <f t="shared" si="176"/>
        <v>5681.8538229406868</v>
      </c>
      <c r="CA68" s="37">
        <f t="shared" si="177"/>
        <v>64008.757586740685</v>
      </c>
      <c r="CC68" s="102"/>
      <c r="CD68" s="12"/>
      <c r="CE68" s="14">
        <f t="shared" si="178"/>
        <v>0</v>
      </c>
      <c r="CF68" s="14" cm="1">
        <f t="array" ref="CF68">IFERROR(_xlfn.IFS(VALUE(MID(CF$5,6,1))&gt;$D$2,0,$CC68="Annual",1,CE68=12,12,$CC68="Monthly V",CE68*(1+$D$3),$CC68="Monthly F",12,$CC68="One-Time",0),CE68*(1+$D$3))</f>
        <v>0</v>
      </c>
      <c r="CG68" s="14" cm="1">
        <f t="array" ref="CG68">IFERROR(_xlfn.IFS(VALUE(MID(CG$5,6,1))&gt;$D$2,0,$CC68="Annual",1,CF68=12,12,$CC68="Monthly V",CF68*(1+$D$3),$CC68="Monthly F",12,$CC68="One-Time",0),CF68*(1+$D$3))</f>
        <v>0</v>
      </c>
      <c r="CH68" s="14" cm="1">
        <f t="array" ref="CH68">IFERROR(_xlfn.IFS(VALUE(MID(CH$5,6,1))&gt;$D$2,0,$CC68="Annual",1,CG68=12,12,$CC68="Monthly V",CG68*(1+$D$3),$CC68="Monthly F",12,$CC68="One-Time",0),CG68*(1+$D$3))</f>
        <v>0</v>
      </c>
      <c r="CI68" s="14" cm="1">
        <f t="array" ref="CI68">IFERROR(_xlfn.IFS(VALUE(MID(CI$5,6,1))&gt;$D$2,0,$CC68="Annual",1,CH68=12,12,$CC68="Monthly V",CH68*(1+$D$3),$CC68="Monthly F",12,$CC68="One-Time",0),CH68*(1+$D$3))</f>
        <v>0</v>
      </c>
      <c r="CJ68" s="14" cm="1">
        <f t="array" ref="CJ68">IFERROR(_xlfn.IFS(VALUE(MID(CJ$5,6,1))&gt;$D$2,0,$CC68="Annual",1,CI68=12,12,$CC68="Monthly V",CI68*(1+$D$3),$CC68="Monthly F",12,$CC68="One-Time",0),CI68*(1+$D$3))</f>
        <v>0</v>
      </c>
      <c r="CK68" s="14" cm="1">
        <f t="array" ref="CK68">IFERROR(_xlfn.IFS(VALUE(MID(CK$5,6,1))&gt;$D$2,0,$CC68="Annual",1,CJ68=12,12,$CC68="Monthly V",CJ68*(1+$D$3),$CC68="Monthly F",12,$CC68="One-Time",0),CJ68*(1+$D$3))</f>
        <v>0</v>
      </c>
      <c r="CL68" s="14" cm="1">
        <f t="array" ref="CL68">IFERROR(_xlfn.IFS(VALUE(MID(CL$5,6,1))&gt;$D$2,0,$CC68="Annual",1,CK68=12,12,$CC68="Monthly V",CK68*(1+$D$3),$CC68="Monthly F",12,$CC68="One-Time",0),CK68*(1+$D$3))</f>
        <v>0</v>
      </c>
      <c r="CM68" s="14" cm="1">
        <f t="array" ref="CM68">IFERROR(_xlfn.IFS(VALUE(MID(CM$5,6,1))&gt;$D$2,0,$CC68="Annual",1,CL68=12,12,$CC68="Monthly V",CL68*(1+$D$3),$CC68="Monthly F",12,$CC68="One-Time",0),CL68*(1+$D$3))</f>
        <v>0</v>
      </c>
      <c r="CN68" s="24" cm="1">
        <f t="array" ref="CN68">IFERROR(_xlfn.IFS(VALUE(MID(CN$5,6,2))&gt;$D$2,0,$CC68="Annual",1,CM68=12,12,$CC68="Monthly V",CM68*(1+$D$3),$CC68="Monthly F",12,$CC68="One-Time",0),CM68*(1+$D$3))</f>
        <v>0</v>
      </c>
      <c r="CO68" s="63"/>
      <c r="CP68" s="53"/>
      <c r="CQ68" s="21">
        <f t="shared" si="179"/>
        <v>0</v>
      </c>
      <c r="CR68" s="55">
        <f t="shared" si="279"/>
        <v>0</v>
      </c>
      <c r="CS68" s="55">
        <f t="shared" si="279"/>
        <v>0</v>
      </c>
      <c r="CT68" s="55">
        <f t="shared" si="279"/>
        <v>0</v>
      </c>
      <c r="CU68" s="55">
        <f t="shared" si="279"/>
        <v>0</v>
      </c>
      <c r="CV68" s="55">
        <f t="shared" si="279"/>
        <v>0</v>
      </c>
      <c r="CW68" s="55">
        <f t="shared" si="277"/>
        <v>0</v>
      </c>
      <c r="CX68" s="55">
        <f t="shared" si="277"/>
        <v>0</v>
      </c>
      <c r="CY68" s="55">
        <f t="shared" si="277"/>
        <v>0</v>
      </c>
      <c r="CZ68" s="55">
        <f t="shared" si="277"/>
        <v>0</v>
      </c>
      <c r="DA68" s="55">
        <f t="shared" si="277"/>
        <v>0</v>
      </c>
      <c r="DB68" s="56"/>
      <c r="DC68" s="56">
        <f t="shared" si="181"/>
        <v>0</v>
      </c>
      <c r="DD68" s="56">
        <f t="shared" si="182"/>
        <v>0</v>
      </c>
      <c r="DE68" s="56">
        <f t="shared" si="183"/>
        <v>0</v>
      </c>
      <c r="DF68" s="56">
        <f t="shared" si="184"/>
        <v>0</v>
      </c>
      <c r="DG68" s="56">
        <f t="shared" si="185"/>
        <v>0</v>
      </c>
      <c r="DH68" s="56">
        <f t="shared" si="186"/>
        <v>0</v>
      </c>
      <c r="DI68" s="56">
        <f t="shared" si="187"/>
        <v>0</v>
      </c>
      <c r="DJ68" s="56">
        <f t="shared" si="188"/>
        <v>0</v>
      </c>
      <c r="DK68" s="56">
        <f t="shared" si="189"/>
        <v>0</v>
      </c>
      <c r="DL68" s="57">
        <f t="shared" si="190"/>
        <v>0</v>
      </c>
      <c r="DM68" s="54">
        <f t="shared" si="191"/>
        <v>0</v>
      </c>
      <c r="DO68" s="106"/>
    </row>
    <row r="69" spans="2:119" x14ac:dyDescent="0.25">
      <c r="B69" s="141"/>
      <c r="C69" s="24"/>
      <c r="D69" s="147"/>
      <c r="E69" s="142"/>
      <c r="F69" s="14"/>
      <c r="G69" s="14"/>
      <c r="H69" s="14"/>
      <c r="I69" s="14"/>
      <c r="J69" s="14"/>
      <c r="K69" s="14"/>
      <c r="L69" s="14"/>
      <c r="M69" s="14"/>
      <c r="N69" s="24"/>
      <c r="O69" s="127"/>
      <c r="P69" s="13"/>
      <c r="Q69" s="20"/>
      <c r="R69" s="21"/>
      <c r="S69" s="6"/>
      <c r="T69" s="6"/>
      <c r="U69" s="6"/>
      <c r="V69" s="6"/>
      <c r="W69" s="6"/>
      <c r="X69" s="6"/>
      <c r="Y69" s="6"/>
      <c r="Z69" s="6"/>
      <c r="AA69" s="6"/>
      <c r="AB69" s="6"/>
      <c r="AC69" s="7"/>
      <c r="AD69" s="152"/>
      <c r="AE69" s="152"/>
      <c r="AF69" s="152"/>
      <c r="AG69" s="152"/>
      <c r="AH69" s="152"/>
      <c r="AI69" s="152"/>
      <c r="AJ69" s="152"/>
      <c r="AK69" s="152"/>
      <c r="AL69" s="152"/>
      <c r="AM69" s="9"/>
      <c r="AN69" s="80"/>
      <c r="AP69" s="102" t="s">
        <v>1</v>
      </c>
      <c r="AQ69" s="12">
        <v>5000</v>
      </c>
      <c r="AR69" s="14">
        <f t="shared" si="15"/>
        <v>60000</v>
      </c>
      <c r="AS69" s="14" cm="1">
        <f t="array" ref="AS69">IFERROR(_xlfn.IFS(VALUE(MID(AS$5,6,1))&gt;$D$2,0,$AP69="Annual",1,AR69=12,12,$AP69="Monthly V",AR69*(1+$BD$2),$AP69="Monthly F",12,$AP69="One-Time",0),AR69*(1+$BD$2))</f>
        <v>60000</v>
      </c>
      <c r="AT69" s="14" cm="1">
        <f t="array" ref="AT69">IFERROR(_xlfn.IFS(VALUE(MID(AT$5,6,1))&gt;$D$2,0,$AP69="Annual",1,AS69=12,12,$AP69="Monthly V",AS69*(1+$BD$2),$AP69="Monthly F",12,$AP69="One-Time",0),AS69*(1+$BD$2))</f>
        <v>60000</v>
      </c>
      <c r="AU69" s="14" cm="1">
        <f t="array" ref="AU69">IFERROR(_xlfn.IFS(VALUE(MID(AU$5,6,1))&gt;$D$2,0,$AP69="Annual",1,AT69=12,12,$AP69="Monthly V",AT69*(1+$BD$2),$AP69="Monthly F",12,$AP69="One-Time",0),AT69*(1+$BD$2))</f>
        <v>60000</v>
      </c>
      <c r="AV69" s="14" cm="1">
        <f t="array" ref="AV69">IFERROR(_xlfn.IFS(VALUE(MID(AV$5,6,1))&gt;$D$2,0,$AP69="Annual",1,AU69=12,12,$AP69="Monthly V",AU69*(1+$BD$2),$AP69="Monthly F",12,$AP69="One-Time",0),AU69*(1+$BD$2))</f>
        <v>60000</v>
      </c>
      <c r="AW69" s="14" cm="1">
        <f t="array" ref="AW69">IFERROR(_xlfn.IFS(VALUE(MID(AW$5,6,1))&gt;$D$2,0,$AP69="Annual",1,AV69=12,12,$AP69="Monthly V",AV69*(1+$BD$2),$AP69="Monthly F",12,$AP69="One-Time",0),AV69*(1+$BD$2))</f>
        <v>60000</v>
      </c>
      <c r="AX69" s="14" cm="1">
        <f t="array" ref="AX69">IFERROR(_xlfn.IFS(VALUE(MID(AX$5,6,1))&gt;$D$2,0,$AP69="Annual",1,AW69=12,12,$AP69="Monthly V",AW69*(1+$BD$2),$AP69="Monthly F",12,$AP69="One-Time",0),AW69*(1+$BD$2))</f>
        <v>60000</v>
      </c>
      <c r="AY69" s="14" cm="1">
        <f t="array" ref="AY69">IFERROR(_xlfn.IFS(VALUE(MID(AY$5,6,1))&gt;$D$2,0,$AP69="Annual",1,AX69=12,12,$AP69="Monthly V",AX69*(1+$D$3),$AP69="Monthly F",12,$AP69="One-Time",0),AX69*(1+$D$3))</f>
        <v>0</v>
      </c>
      <c r="AZ69" s="14" cm="1">
        <f t="array" ref="AZ69">IFERROR(_xlfn.IFS(VALUE(MID(AZ$5,6,1))&gt;$D$2,0,$AP69="Annual",1,AY69=12,12,$AP69="Monthly V",AY69*(1+$D$3),$AP69="Monthly F",12,$AP69="One-Time",0),AY69*(1+$D$3))</f>
        <v>0</v>
      </c>
      <c r="BA69" s="125" cm="1">
        <f t="array" ref="BA69">IFERROR(_xlfn.IFS(VALUE(MID(BA$5,6,2))&gt;$D$2,0,$AP69="Annual",1,AZ69=12,12,$AP69="Monthly V",AZ69*(1+$D$3),$AP69="Monthly F",12,$AP69="One-Time",0),AZ69*(1+$D$3))</f>
        <v>0</v>
      </c>
      <c r="BB69" s="148" t="s">
        <v>208</v>
      </c>
      <c r="BC69" s="38" t="s">
        <v>232</v>
      </c>
      <c r="BD69" s="36">
        <v>1.5800000000000002E-2</v>
      </c>
      <c r="BE69" s="21">
        <f t="shared" ref="BE69:BE75" si="286">BF69/12</f>
        <v>79.000000000000014</v>
      </c>
      <c r="BF69" s="39">
        <f t="shared" si="44"/>
        <v>948.00000000000011</v>
      </c>
      <c r="BG69" s="39">
        <f t="shared" si="17"/>
        <v>948.00000000000011</v>
      </c>
      <c r="BH69" s="39">
        <f t="shared" si="18"/>
        <v>948.00000000000011</v>
      </c>
      <c r="BI69" s="39">
        <f t="shared" si="19"/>
        <v>976.44000000000017</v>
      </c>
      <c r="BJ69" s="39">
        <f t="shared" ref="BJ69:BL69" si="287">BI69*1.03</f>
        <v>1005.7332000000002</v>
      </c>
      <c r="BK69" s="39">
        <f t="shared" si="287"/>
        <v>1035.9051960000002</v>
      </c>
      <c r="BL69" s="39">
        <f t="shared" si="287"/>
        <v>1066.9823518800001</v>
      </c>
      <c r="BM69" s="39">
        <f t="shared" ref="BM69:BO75" si="288">IFERROR(AY69*$BD69,0)</f>
        <v>0</v>
      </c>
      <c r="BN69" s="39">
        <f t="shared" si="288"/>
        <v>0</v>
      </c>
      <c r="BO69" s="39">
        <f t="shared" si="288"/>
        <v>0</v>
      </c>
      <c r="BP69" s="40"/>
      <c r="BQ69" s="40">
        <f t="shared" ref="BQ69:BQ75" si="289">IF(VALUE(MID(BQ$5,6,1))&lt;=$D$2,((1+$BD$3)^1-1)*BG69,0)</f>
        <v>28.44000000000003</v>
      </c>
      <c r="BR69" s="40">
        <f t="shared" ref="BR69:BR75" si="290">IF(VALUE(MID(BR$5,6,1))&lt;=$D$2,((1+$BD$3)^2-1)*BH69,0)</f>
        <v>57.733199999999961</v>
      </c>
      <c r="BS69" s="40">
        <f t="shared" ref="BS69:BS75" si="291">IF(VALUE(MID(BS$5,6,1))&lt;=$D$2,((1+$BD$3)^3-1)*BI69,0)</f>
        <v>90.542351880000012</v>
      </c>
      <c r="BT69" s="40">
        <f t="shared" ref="BT69:BT75" si="292">IF(VALUE(MID(BT$5,6,1))&lt;=$D$2,((1+$BD$3)^4-1)*BJ69,0)</f>
        <v>126.22837710949194</v>
      </c>
      <c r="BU69" s="40">
        <f t="shared" ref="BU69:BU75" si="293">IF(VALUE(MID(BU$5,6,1))&lt;=$D$2,((1+$BD$3)^5-1)*BK69,0)</f>
        <v>164.99284115545993</v>
      </c>
      <c r="BV69" s="40">
        <f t="shared" ref="BV69:BV75" si="294">IF(VALUE(MID(BV$5,6,1))&lt;=$D$2,((1+$BD$3)^6-1)*BL69,0)</f>
        <v>207.0503757382275</v>
      </c>
      <c r="BW69" s="40">
        <f t="shared" ref="BW69:BW75" si="295">IF(VALUE(MID(BW$5,6,1))&lt;=$D$2,((1+$BD$3)^7-1)*BM69,0)</f>
        <v>0</v>
      </c>
      <c r="BX69" s="40">
        <f t="shared" ref="BX69:BX75" si="296">IF(VALUE(MID(BX$5,6,1))&lt;=$D$2,((1+$BD$3)^8-1)*BN69,0)</f>
        <v>0</v>
      </c>
      <c r="BY69" s="40">
        <f t="shared" ref="BY69:BY75" si="297">IF(VALUE(MID(BY$5,6,2))&lt;=$D$2,((1+$BD$3)^9-1)*BO69,0)</f>
        <v>0</v>
      </c>
      <c r="BZ69" s="40">
        <f t="shared" ref="BZ69:BZ75" si="298">SUM(BP69:BY69)</f>
        <v>674.98714588317944</v>
      </c>
      <c r="CA69" s="37">
        <f t="shared" ref="CA69:CA75" si="299">SUM(BZ69,BF69:BO69)</f>
        <v>7604.0478937631815</v>
      </c>
      <c r="CC69" s="102"/>
      <c r="CD69" s="12"/>
      <c r="CE69" s="14"/>
      <c r="CF69" s="14"/>
      <c r="CG69" s="14"/>
      <c r="CH69" s="14"/>
      <c r="CI69" s="14"/>
      <c r="CJ69" s="14"/>
      <c r="CK69" s="14"/>
      <c r="CL69" s="14"/>
      <c r="CM69" s="14"/>
      <c r="CN69" s="24"/>
      <c r="CO69" s="63"/>
      <c r="CP69" s="53"/>
      <c r="CQ69" s="21"/>
      <c r="CR69" s="55"/>
      <c r="CS69" s="55"/>
      <c r="CT69" s="55"/>
      <c r="CU69" s="55"/>
      <c r="CV69" s="55"/>
      <c r="CW69" s="55"/>
      <c r="CX69" s="55"/>
      <c r="CY69" s="55"/>
      <c r="CZ69" s="55"/>
      <c r="DA69" s="55"/>
      <c r="DB69" s="56"/>
      <c r="DC69" s="56"/>
      <c r="DD69" s="56"/>
      <c r="DE69" s="56"/>
      <c r="DF69" s="56"/>
      <c r="DG69" s="56"/>
      <c r="DH69" s="56"/>
      <c r="DI69" s="56"/>
      <c r="DJ69" s="56"/>
      <c r="DK69" s="56"/>
      <c r="DL69" s="57"/>
      <c r="DM69" s="54"/>
      <c r="DO69" s="106"/>
    </row>
    <row r="70" spans="2:119" x14ac:dyDescent="0.25">
      <c r="B70" s="141"/>
      <c r="C70" s="24"/>
      <c r="D70" s="147">
        <f t="shared" ref="D70" si="300">IFERROR(AVERAGE(C70:C70),0)</f>
        <v>0</v>
      </c>
      <c r="E70" s="142">
        <f t="shared" ref="E70" si="301">IF($B70="Annual",1,IF($B70="Monthly F",12,IF($B70="Monthly V",D70*12,IF($B70="One-Time",1,D70*12))))</f>
        <v>0</v>
      </c>
      <c r="F70" s="14" cm="1">
        <f t="array" ref="F70">IFERROR(_xlfn.IFS(VALUE(MID(F$5,6,1))&gt;$D$2,0,$B70="Annual",1,E70=12,12,$B70="Monthly V",E70*(1+$D$3),$B70="Monthly F",12,$B70="One-Time",0),E70*(1+$D$3))</f>
        <v>0</v>
      </c>
      <c r="G70" s="14" cm="1">
        <f t="array" ref="G70">IFERROR(_xlfn.IFS(VALUE(MID(G$5,6,1))&gt;$D$2,0,$B70="Annual",1,F70=12,12,$B70="Monthly V",F70*(1+$D$3),$B70="Monthly F",12,$B70="One-Time",0),F70*(1+$D$3))</f>
        <v>0</v>
      </c>
      <c r="H70" s="14" cm="1">
        <f t="array" ref="H70">IFERROR(_xlfn.IFS(VALUE(MID(H$5,6,1))&gt;$D$2,0,$B70="Annual",1,G70=12,12,$B70="Monthly V",G70*(1+$D$3),$B70="Monthly F",12,$B70="One-Time",0),G70*(1+$D$3))</f>
        <v>0</v>
      </c>
      <c r="I70" s="14" cm="1">
        <f t="array" ref="I70">IFERROR(_xlfn.IFS(VALUE(MID(I$5,6,1))&gt;$D$2,0,$B70="Annual",1,H70=12,12,$B70="Monthly V",H70*(1+$D$3),$B70="Monthly F",12,$B70="One-Time",0),H70*(1+$D$3))</f>
        <v>0</v>
      </c>
      <c r="J70" s="14" cm="1">
        <f t="array" ref="J70">IFERROR(_xlfn.IFS(VALUE(MID(J$5,6,1))&gt;$D$2,0,$B70="Annual",1,I70=12,12,$B70="Monthly V",I70*(1+$D$3),$B70="Monthly F",12,$B70="One-Time",0),I70*(1+$D$3))</f>
        <v>0</v>
      </c>
      <c r="K70" s="14" cm="1">
        <f t="array" ref="K70">IFERROR(_xlfn.IFS(VALUE(MID(K$5,6,1))&gt;$D$2,0,$B70="Annual",1,J70=12,12,$B70="Monthly V",J70*(1+$D$3),$B70="Monthly F",12,$B70="One-Time",0),J70*(1+$D$3))</f>
        <v>0</v>
      </c>
      <c r="L70" s="14" cm="1">
        <f t="array" ref="L70">IFERROR(_xlfn.IFS(VALUE(MID(L$5,6,1))&gt;$D$2,0,$B70="Annual",1,K70=12,12,$B70="Monthly V",K70*(1+$D$3),$B70="Monthly F",12,$B70="One-Time",0),K70*(1+$D$3))</f>
        <v>0</v>
      </c>
      <c r="M70" s="14" cm="1">
        <f t="array" ref="M70">IFERROR(_xlfn.IFS(VALUE(MID(M$5,6,1))&gt;$D$2,0,$B70="Annual",1,L70=12,12,$B70="Monthly V",L70*(1+$D$3),$B70="Monthly F",12,$B70="One-Time",0),L70*(1+$D$3))</f>
        <v>0</v>
      </c>
      <c r="N70" s="24" cm="1">
        <f t="array" ref="N70">IFERROR(_xlfn.IFS(VALUE(MID(N$5,6,2))&gt;$D$2,0,$B70="Annual",1,M70=12,12,$B70="Monthly V",M70*(1+$D$3),$B70="Monthly F",12,$B70="One-Time",0),M70*(1+$D$3))</f>
        <v>0</v>
      </c>
      <c r="O70" s="157" t="s">
        <v>129</v>
      </c>
      <c r="P70" s="13"/>
      <c r="Q70" s="20"/>
      <c r="R70" s="21">
        <f t="shared" ref="R70" si="302">S70/12</f>
        <v>0</v>
      </c>
      <c r="S70" s="6">
        <f t="shared" ref="S70" si="303">IFERROR($Q70*E70,0)</f>
        <v>0</v>
      </c>
      <c r="T70" s="6">
        <f t="shared" ref="T70" si="304">IFERROR($Q70*F70,0)</f>
        <v>0</v>
      </c>
      <c r="U70" s="6">
        <f t="shared" ref="U70" si="305">IFERROR($Q70*G70,0)</f>
        <v>0</v>
      </c>
      <c r="V70" s="6">
        <f t="shared" ref="V70" si="306">IFERROR($Q70*H70,0)</f>
        <v>0</v>
      </c>
      <c r="W70" s="6">
        <f t="shared" ref="W70" si="307">IFERROR($Q70*I70,0)</f>
        <v>0</v>
      </c>
      <c r="X70" s="6">
        <f t="shared" ref="X70" si="308">IFERROR($Q70*J70,0)</f>
        <v>0</v>
      </c>
      <c r="Y70" s="6">
        <f t="shared" ref="Y70" si="309">IFERROR($Q70*K70,0)</f>
        <v>0</v>
      </c>
      <c r="Z70" s="6">
        <f t="shared" ref="Z70" si="310">IFERROR($Q70*L70,0)</f>
        <v>0</v>
      </c>
      <c r="AA70" s="6">
        <f t="shared" ref="AA70" si="311">IFERROR($Q70*M70,0)</f>
        <v>0</v>
      </c>
      <c r="AB70" s="6">
        <f t="shared" ref="AB70" si="312">IFERROR($Q70*N70,0)</f>
        <v>0</v>
      </c>
      <c r="AC70" s="7"/>
      <c r="AD70" s="152">
        <f t="shared" ref="AD70" si="313">IF(VALUE(MID(AD$5,6,1))&lt;=$D$2,((1+$Q$3)^1-1)*T70,0)</f>
        <v>0</v>
      </c>
      <c r="AE70" s="152">
        <f t="shared" ref="AE70" si="314">IF(VALUE(MID(AE$5,6,1))&lt;=$D$2,((1+$Q$3)^2-1)*U70,0)</f>
        <v>0</v>
      </c>
      <c r="AF70" s="152">
        <f t="shared" ref="AF70" si="315">IF(VALUE(MID(AF$5,6,1))&lt;=$D$2,((1+$Q$3)^3-1)*V70,0)</f>
        <v>0</v>
      </c>
      <c r="AG70" s="152">
        <f t="shared" ref="AG70" si="316">IF(VALUE(MID(AG$5,6,1))&lt;=$D$2,((1+$Q$3)^4-1)*W70,0)</f>
        <v>0</v>
      </c>
      <c r="AH70" s="152">
        <f t="shared" ref="AH70" si="317">IF(VALUE(MID(AH$5,6,1))&lt;=$D$2,((1+$Q$3)^5-1)*X70,0)</f>
        <v>0</v>
      </c>
      <c r="AI70" s="152">
        <f t="shared" ref="AI70" si="318">IF(VALUE(MID(AI$5,6,1))&lt;=$D$2,((1+$Q$3)^6-1)*Y70,0)</f>
        <v>0</v>
      </c>
      <c r="AJ70" s="152">
        <f t="shared" ref="AJ70" si="319">IF(VALUE(MID(AJ$5,6,1))&lt;=$D$2,((1+$Q$3)^7-1)*Z70,0)</f>
        <v>0</v>
      </c>
      <c r="AK70" s="152">
        <f t="shared" ref="AK70" si="320">IF(VALUE(MID(AK$5,6,1))&lt;=$D$2,((1+$Q$3)^8-1)*AA70,0)</f>
        <v>0</v>
      </c>
      <c r="AL70" s="152">
        <f t="shared" ref="AL70" si="321">IF(VALUE(MID(AL$5,6,2))&lt;=$D$2,((1+$Q$3)^9-1)*AB70,0)</f>
        <v>0</v>
      </c>
      <c r="AM70" s="9">
        <f t="shared" ref="AM70" si="322">SUM(AC70:AL70)</f>
        <v>0</v>
      </c>
      <c r="AN70" s="80">
        <f t="shared" ref="AN70" si="323">SUM(AM70,S70:AB70)</f>
        <v>0</v>
      </c>
      <c r="AP70" s="102" t="s">
        <v>1</v>
      </c>
      <c r="AQ70" s="12">
        <v>5000</v>
      </c>
      <c r="AR70" s="14">
        <f t="shared" si="15"/>
        <v>60000</v>
      </c>
      <c r="AS70" s="14" cm="1">
        <f t="array" ref="AS70">IFERROR(_xlfn.IFS(VALUE(MID(AS$5,6,1))&gt;$D$2,0,$AP70="Annual",1,AR70=12,12,$AP70="Monthly V",AR70*(1+$BD$2),$AP70="Monthly F",12,$AP70="One-Time",0),AR70*(1+$BD$2))</f>
        <v>60000</v>
      </c>
      <c r="AT70" s="14" cm="1">
        <f t="array" ref="AT70">IFERROR(_xlfn.IFS(VALUE(MID(AT$5,6,1))&gt;$D$2,0,$AP70="Annual",1,AS70=12,12,$AP70="Monthly V",AS70*(1+$BD$2),$AP70="Monthly F",12,$AP70="One-Time",0),AS70*(1+$BD$2))</f>
        <v>60000</v>
      </c>
      <c r="AU70" s="14" cm="1">
        <f t="array" ref="AU70">IFERROR(_xlfn.IFS(VALUE(MID(AU$5,6,1))&gt;$D$2,0,$AP70="Annual",1,AT70=12,12,$AP70="Monthly V",AT70*(1+$BD$2),$AP70="Monthly F",12,$AP70="One-Time",0),AT70*(1+$BD$2))</f>
        <v>60000</v>
      </c>
      <c r="AV70" s="14" cm="1">
        <f t="array" ref="AV70">IFERROR(_xlfn.IFS(VALUE(MID(AV$5,6,1))&gt;$D$2,0,$AP70="Annual",1,AU70=12,12,$AP70="Monthly V",AU70*(1+$BD$2),$AP70="Monthly F",12,$AP70="One-Time",0),AU70*(1+$BD$2))</f>
        <v>60000</v>
      </c>
      <c r="AW70" s="14" cm="1">
        <f t="array" ref="AW70">IFERROR(_xlfn.IFS(VALUE(MID(AW$5,6,1))&gt;$D$2,0,$AP70="Annual",1,AV70=12,12,$AP70="Monthly V",AV70*(1+$BD$2),$AP70="Monthly F",12,$AP70="One-Time",0),AV70*(1+$BD$2))</f>
        <v>60000</v>
      </c>
      <c r="AX70" s="14" cm="1">
        <f t="array" ref="AX70">IFERROR(_xlfn.IFS(VALUE(MID(AX$5,6,1))&gt;$D$2,0,$AP70="Annual",1,AW70=12,12,$AP70="Monthly V",AW70*(1+$BD$2),$AP70="Monthly F",12,$AP70="One-Time",0),AW70*(1+$BD$2))</f>
        <v>60000</v>
      </c>
      <c r="AY70" s="14" cm="1">
        <f t="array" ref="AY70">IFERROR(_xlfn.IFS(VALUE(MID(AY$5,6,1))&gt;$D$2,0,$AP70="Annual",1,AX70=12,12,$AP70="Monthly V",AX70*(1+$D$3),$AP70="Monthly F",12,$AP70="One-Time",0),AX70*(1+$D$3))</f>
        <v>0</v>
      </c>
      <c r="AZ70" s="14" cm="1">
        <f t="array" ref="AZ70">IFERROR(_xlfn.IFS(VALUE(MID(AZ$5,6,1))&gt;$D$2,0,$AP70="Annual",1,AY70=12,12,$AP70="Monthly V",AY70*(1+$D$3),$AP70="Monthly F",12,$AP70="One-Time",0),AY70*(1+$D$3))</f>
        <v>0</v>
      </c>
      <c r="BA70" s="125" cm="1">
        <f t="array" ref="BA70">IFERROR(_xlfn.IFS(VALUE(MID(BA$5,6,2))&gt;$D$2,0,$AP70="Annual",1,AZ70=12,12,$AP70="Monthly V",AZ70*(1+$D$3),$AP70="Monthly F",12,$AP70="One-Time",0),AZ70*(1+$D$3))</f>
        <v>0</v>
      </c>
      <c r="BB70" s="148" t="s">
        <v>209</v>
      </c>
      <c r="BC70" s="38" t="s">
        <v>232</v>
      </c>
      <c r="BD70" s="36">
        <v>1.5800000000000002E-2</v>
      </c>
      <c r="BE70" s="21">
        <f t="shared" si="286"/>
        <v>79.000000000000014</v>
      </c>
      <c r="BF70" s="39">
        <f t="shared" si="44"/>
        <v>948.00000000000011</v>
      </c>
      <c r="BG70" s="39">
        <f t="shared" si="17"/>
        <v>948.00000000000011</v>
      </c>
      <c r="BH70" s="39">
        <f t="shared" si="18"/>
        <v>948.00000000000011</v>
      </c>
      <c r="BI70" s="39">
        <f t="shared" si="19"/>
        <v>976.44000000000017</v>
      </c>
      <c r="BJ70" s="39">
        <f t="shared" ref="BJ70:BL70" si="324">BI70*1.03</f>
        <v>1005.7332000000002</v>
      </c>
      <c r="BK70" s="39">
        <f t="shared" si="324"/>
        <v>1035.9051960000002</v>
      </c>
      <c r="BL70" s="39">
        <f t="shared" si="324"/>
        <v>1066.9823518800001</v>
      </c>
      <c r="BM70" s="39">
        <f t="shared" si="288"/>
        <v>0</v>
      </c>
      <c r="BN70" s="39">
        <f t="shared" si="288"/>
        <v>0</v>
      </c>
      <c r="BO70" s="39">
        <f t="shared" si="288"/>
        <v>0</v>
      </c>
      <c r="BP70" s="40"/>
      <c r="BQ70" s="40">
        <f t="shared" si="289"/>
        <v>28.44000000000003</v>
      </c>
      <c r="BR70" s="40">
        <f t="shared" si="290"/>
        <v>57.733199999999961</v>
      </c>
      <c r="BS70" s="40">
        <f t="shared" si="291"/>
        <v>90.542351880000012</v>
      </c>
      <c r="BT70" s="40">
        <f t="shared" si="292"/>
        <v>126.22837710949194</v>
      </c>
      <c r="BU70" s="40">
        <f t="shared" si="293"/>
        <v>164.99284115545993</v>
      </c>
      <c r="BV70" s="40">
        <f t="shared" si="294"/>
        <v>207.0503757382275</v>
      </c>
      <c r="BW70" s="40">
        <f t="shared" si="295"/>
        <v>0</v>
      </c>
      <c r="BX70" s="40">
        <f t="shared" si="296"/>
        <v>0</v>
      </c>
      <c r="BY70" s="40">
        <f t="shared" si="297"/>
        <v>0</v>
      </c>
      <c r="BZ70" s="40">
        <f t="shared" si="298"/>
        <v>674.98714588317944</v>
      </c>
      <c r="CA70" s="37">
        <f t="shared" si="299"/>
        <v>7604.0478937631815</v>
      </c>
      <c r="CC70" s="102"/>
      <c r="CD70" s="12"/>
      <c r="CE70" s="14"/>
      <c r="CF70" s="14"/>
      <c r="CG70" s="14"/>
      <c r="CH70" s="14"/>
      <c r="CI70" s="14"/>
      <c r="CJ70" s="14"/>
      <c r="CK70" s="14"/>
      <c r="CL70" s="14"/>
      <c r="CM70" s="14"/>
      <c r="CN70" s="24"/>
      <c r="CO70" s="63"/>
      <c r="CP70" s="53"/>
      <c r="CQ70" s="21"/>
      <c r="CR70" s="55"/>
      <c r="CS70" s="55"/>
      <c r="CT70" s="55"/>
      <c r="CU70" s="55"/>
      <c r="CV70" s="55"/>
      <c r="CW70" s="55"/>
      <c r="CX70" s="55"/>
      <c r="CY70" s="55"/>
      <c r="CZ70" s="55"/>
      <c r="DA70" s="55"/>
      <c r="DB70" s="56"/>
      <c r="DC70" s="56"/>
      <c r="DD70" s="56"/>
      <c r="DE70" s="56"/>
      <c r="DF70" s="56"/>
      <c r="DG70" s="56"/>
      <c r="DH70" s="56"/>
      <c r="DI70" s="56"/>
      <c r="DJ70" s="56"/>
      <c r="DK70" s="56"/>
      <c r="DL70" s="57"/>
      <c r="DM70" s="54"/>
      <c r="DO70" s="106"/>
    </row>
    <row r="71" spans="2:119" x14ac:dyDescent="0.25">
      <c r="B71" s="141"/>
      <c r="C71" s="24"/>
      <c r="D71" s="147"/>
      <c r="E71" s="142"/>
      <c r="F71" s="14"/>
      <c r="G71" s="14"/>
      <c r="H71" s="14"/>
      <c r="I71" s="14"/>
      <c r="J71" s="14"/>
      <c r="K71" s="14"/>
      <c r="L71" s="14"/>
      <c r="M71" s="14"/>
      <c r="N71" s="24"/>
      <c r="O71" s="157"/>
      <c r="P71" s="13"/>
      <c r="Q71" s="20"/>
      <c r="R71" s="21"/>
      <c r="S71" s="6"/>
      <c r="T71" s="6"/>
      <c r="U71" s="6"/>
      <c r="V71" s="6"/>
      <c r="W71" s="6"/>
      <c r="X71" s="6"/>
      <c r="Y71" s="6"/>
      <c r="Z71" s="6"/>
      <c r="AA71" s="6"/>
      <c r="AB71" s="6"/>
      <c r="AC71" s="7"/>
      <c r="AD71" s="152"/>
      <c r="AE71" s="152"/>
      <c r="AF71" s="152"/>
      <c r="AG71" s="152"/>
      <c r="AH71" s="152"/>
      <c r="AI71" s="152"/>
      <c r="AJ71" s="152"/>
      <c r="AK71" s="152"/>
      <c r="AL71" s="152"/>
      <c r="AM71" s="9"/>
      <c r="AN71" s="80"/>
      <c r="AP71" s="102" t="s">
        <v>1</v>
      </c>
      <c r="AQ71" s="12">
        <v>5000</v>
      </c>
      <c r="AR71" s="14">
        <f t="shared" si="15"/>
        <v>60000</v>
      </c>
      <c r="AS71" s="14" cm="1">
        <f t="array" ref="AS71">IFERROR(_xlfn.IFS(VALUE(MID(AS$5,6,1))&gt;$D$2,0,$AP71="Annual",1,AR71=12,12,$AP71="Monthly V",AR71*(1+$BD$2),$AP71="Monthly F",12,$AP71="One-Time",0),AR71*(1+$BD$2))</f>
        <v>60000</v>
      </c>
      <c r="AT71" s="14" cm="1">
        <f t="array" ref="AT71">IFERROR(_xlfn.IFS(VALUE(MID(AT$5,6,1))&gt;$D$2,0,$AP71="Annual",1,AS71=12,12,$AP71="Monthly V",AS71*(1+$BD$2),$AP71="Monthly F",12,$AP71="One-Time",0),AS71*(1+$BD$2))</f>
        <v>60000</v>
      </c>
      <c r="AU71" s="14" cm="1">
        <f t="array" ref="AU71">IFERROR(_xlfn.IFS(VALUE(MID(AU$5,6,1))&gt;$D$2,0,$AP71="Annual",1,AT71=12,12,$AP71="Monthly V",AT71*(1+$BD$2),$AP71="Monthly F",12,$AP71="One-Time",0),AT71*(1+$BD$2))</f>
        <v>60000</v>
      </c>
      <c r="AV71" s="14" cm="1">
        <f t="array" ref="AV71">IFERROR(_xlfn.IFS(VALUE(MID(AV$5,6,1))&gt;$D$2,0,$AP71="Annual",1,AU71=12,12,$AP71="Monthly V",AU71*(1+$BD$2),$AP71="Monthly F",12,$AP71="One-Time",0),AU71*(1+$BD$2))</f>
        <v>60000</v>
      </c>
      <c r="AW71" s="14" cm="1">
        <f t="array" ref="AW71">IFERROR(_xlfn.IFS(VALUE(MID(AW$5,6,1))&gt;$D$2,0,$AP71="Annual",1,AV71=12,12,$AP71="Monthly V",AV71*(1+$BD$2),$AP71="Monthly F",12,$AP71="One-Time",0),AV71*(1+$BD$2))</f>
        <v>60000</v>
      </c>
      <c r="AX71" s="14" cm="1">
        <f t="array" ref="AX71">IFERROR(_xlfn.IFS(VALUE(MID(AX$5,6,1))&gt;$D$2,0,$AP71="Annual",1,AW71=12,12,$AP71="Monthly V",AW71*(1+$BD$2),$AP71="Monthly F",12,$AP71="One-Time",0),AW71*(1+$BD$2))</f>
        <v>60000</v>
      </c>
      <c r="AY71" s="14" cm="1">
        <f t="array" ref="AY71">IFERROR(_xlfn.IFS(VALUE(MID(AY$5,6,1))&gt;$D$2,0,$AP71="Annual",1,AX71=12,12,$AP71="Monthly V",AX71*(1+$D$3),$AP71="Monthly F",12,$AP71="One-Time",0),AX71*(1+$D$3))</f>
        <v>0</v>
      </c>
      <c r="AZ71" s="14" cm="1">
        <f t="array" ref="AZ71">IFERROR(_xlfn.IFS(VALUE(MID(AZ$5,6,1))&gt;$D$2,0,$AP71="Annual",1,AY71=12,12,$AP71="Monthly V",AY71*(1+$D$3),$AP71="Monthly F",12,$AP71="One-Time",0),AY71*(1+$D$3))</f>
        <v>0</v>
      </c>
      <c r="BA71" s="125" cm="1">
        <f t="array" ref="BA71">IFERROR(_xlfn.IFS(VALUE(MID(BA$5,6,2))&gt;$D$2,0,$AP71="Annual",1,AZ71=12,12,$AP71="Monthly V",AZ71*(1+$D$3),$AP71="Monthly F",12,$AP71="One-Time",0),AZ71*(1+$D$3))</f>
        <v>0</v>
      </c>
      <c r="BB71" s="148" t="s">
        <v>210</v>
      </c>
      <c r="BC71" s="38" t="s">
        <v>232</v>
      </c>
      <c r="BD71" s="36">
        <v>1.5800000000000002E-2</v>
      </c>
      <c r="BE71" s="21">
        <f t="shared" si="286"/>
        <v>79.000000000000014</v>
      </c>
      <c r="BF71" s="39">
        <f t="shared" si="44"/>
        <v>948.00000000000011</v>
      </c>
      <c r="BG71" s="39">
        <f t="shared" si="17"/>
        <v>948.00000000000011</v>
      </c>
      <c r="BH71" s="39">
        <f t="shared" si="18"/>
        <v>948.00000000000011</v>
      </c>
      <c r="BI71" s="39">
        <f t="shared" si="19"/>
        <v>976.44000000000017</v>
      </c>
      <c r="BJ71" s="39">
        <f t="shared" ref="BJ71:BL71" si="325">BI71*1.03</f>
        <v>1005.7332000000002</v>
      </c>
      <c r="BK71" s="39">
        <f t="shared" si="325"/>
        <v>1035.9051960000002</v>
      </c>
      <c r="BL71" s="39">
        <f t="shared" si="325"/>
        <v>1066.9823518800001</v>
      </c>
      <c r="BM71" s="39">
        <f t="shared" si="288"/>
        <v>0</v>
      </c>
      <c r="BN71" s="39">
        <f t="shared" si="288"/>
        <v>0</v>
      </c>
      <c r="BO71" s="39">
        <f t="shared" si="288"/>
        <v>0</v>
      </c>
      <c r="BP71" s="40"/>
      <c r="BQ71" s="40">
        <f t="shared" si="289"/>
        <v>28.44000000000003</v>
      </c>
      <c r="BR71" s="40">
        <f t="shared" si="290"/>
        <v>57.733199999999961</v>
      </c>
      <c r="BS71" s="40">
        <f t="shared" si="291"/>
        <v>90.542351880000012</v>
      </c>
      <c r="BT71" s="40">
        <f t="shared" si="292"/>
        <v>126.22837710949194</v>
      </c>
      <c r="BU71" s="40">
        <f t="shared" si="293"/>
        <v>164.99284115545993</v>
      </c>
      <c r="BV71" s="40">
        <f t="shared" si="294"/>
        <v>207.0503757382275</v>
      </c>
      <c r="BW71" s="40">
        <f t="shared" si="295"/>
        <v>0</v>
      </c>
      <c r="BX71" s="40">
        <f t="shared" si="296"/>
        <v>0</v>
      </c>
      <c r="BY71" s="40">
        <f t="shared" si="297"/>
        <v>0</v>
      </c>
      <c r="BZ71" s="40">
        <f t="shared" si="298"/>
        <v>674.98714588317944</v>
      </c>
      <c r="CA71" s="37">
        <f t="shared" si="299"/>
        <v>7604.0478937631815</v>
      </c>
      <c r="CC71" s="102"/>
      <c r="CD71" s="12"/>
      <c r="CE71" s="14"/>
      <c r="CF71" s="14"/>
      <c r="CG71" s="14"/>
      <c r="CH71" s="14"/>
      <c r="CI71" s="14"/>
      <c r="CJ71" s="14"/>
      <c r="CK71" s="14"/>
      <c r="CL71" s="14"/>
      <c r="CM71" s="14"/>
      <c r="CN71" s="24"/>
      <c r="CO71" s="63"/>
      <c r="CP71" s="53"/>
      <c r="CQ71" s="21"/>
      <c r="CR71" s="55"/>
      <c r="CS71" s="55"/>
      <c r="CT71" s="55"/>
      <c r="CU71" s="55"/>
      <c r="CV71" s="55"/>
      <c r="CW71" s="55"/>
      <c r="CX71" s="55"/>
      <c r="CY71" s="55"/>
      <c r="CZ71" s="55"/>
      <c r="DA71" s="55"/>
      <c r="DB71" s="56"/>
      <c r="DC71" s="56"/>
      <c r="DD71" s="56"/>
      <c r="DE71" s="56"/>
      <c r="DF71" s="56"/>
      <c r="DG71" s="56"/>
      <c r="DH71" s="56"/>
      <c r="DI71" s="56"/>
      <c r="DJ71" s="56"/>
      <c r="DK71" s="56"/>
      <c r="DL71" s="57"/>
      <c r="DM71" s="54"/>
      <c r="DO71" s="106"/>
    </row>
    <row r="72" spans="2:119" x14ac:dyDescent="0.25">
      <c r="B72" s="141" t="s">
        <v>0</v>
      </c>
      <c r="C72" s="24">
        <v>1</v>
      </c>
      <c r="D72" s="147">
        <f t="shared" ref="D72" si="326">IFERROR(AVERAGE(C72:C72),0)</f>
        <v>1</v>
      </c>
      <c r="E72" s="142">
        <f t="shared" ref="E72" si="327">IF($B72="Annual",1,IF($B72="Monthly F",12,IF($B72="Monthly V",D72*12,IF($B72="One-Time",1,D72*12))))</f>
        <v>12</v>
      </c>
      <c r="F72" s="14" cm="1">
        <f t="array" ref="F72">IFERROR(_xlfn.IFS(VALUE(MID(F$5,6,1))&gt;$D$2,0,$B72="Annual",1,E72=12,12,$B72="Monthly V",E72*(1+$D$3),$B72="Monthly F",12,$B72="One-Time",0),E72*(1+$D$3))</f>
        <v>12</v>
      </c>
      <c r="G72" s="14" cm="1">
        <f t="array" ref="G72">IFERROR(_xlfn.IFS(VALUE(MID(G$5,6,1))&gt;$D$2,0,$B72="Annual",1,F72=12,12,$B72="Monthly V",F72*(1+$D$3),$B72="Monthly F",12,$B72="One-Time",0),F72*(1+$D$3))</f>
        <v>12</v>
      </c>
      <c r="H72" s="14" cm="1">
        <f t="array" ref="H72">IFERROR(_xlfn.IFS(VALUE(MID(H$5,6,1))&gt;$D$2,0,$B72="Annual",1,G72=12,12,$B72="Monthly V",G72*(1+$D$3),$B72="Monthly F",12,$B72="One-Time",0),G72*(1+$D$3))</f>
        <v>12</v>
      </c>
      <c r="I72" s="14" cm="1">
        <f t="array" ref="I72">IFERROR(_xlfn.IFS(VALUE(MID(I$5,6,1))&gt;$D$2,0,$B72="Annual",1,H72=12,12,$B72="Monthly V",H72*(1+$D$3),$B72="Monthly F",12,$B72="One-Time",0),H72*(1+$D$3))</f>
        <v>12</v>
      </c>
      <c r="J72" s="14" cm="1">
        <f t="array" ref="J72">IFERROR(_xlfn.IFS(VALUE(MID(J$5,6,1))&gt;$D$2,0,$B72="Annual",1,I72=12,12,$B72="Monthly V",I72*(1+$D$3),$B72="Monthly F",12,$B72="One-Time",0),I72*(1+$D$3))</f>
        <v>12</v>
      </c>
      <c r="K72" s="14" cm="1">
        <f t="array" ref="K72">IFERROR(_xlfn.IFS(VALUE(MID(K$5,6,1))&gt;$D$2,0,$B72="Annual",1,J72=12,12,$B72="Monthly V",J72*(1+$D$3),$B72="Monthly F",12,$B72="One-Time",0),J72*(1+$D$3))</f>
        <v>12</v>
      </c>
      <c r="L72" s="14" cm="1">
        <f t="array" ref="L72">IFERROR(_xlfn.IFS(VALUE(MID(L$5,6,1))&gt;$D$2,0,$B72="Annual",1,K72=12,12,$B72="Monthly V",K72*(1+$D$3),$B72="Monthly F",12,$B72="One-Time",0),K72*(1+$D$3))</f>
        <v>0</v>
      </c>
      <c r="M72" s="14" cm="1">
        <f t="array" ref="M72">IFERROR(_xlfn.IFS(VALUE(MID(M$5,6,1))&gt;$D$2,0,$B72="Annual",1,L72=12,12,$B72="Monthly V",L72*(1+$D$3),$B72="Monthly F",12,$B72="One-Time",0),L72*(1+$D$3))</f>
        <v>0</v>
      </c>
      <c r="N72" s="24" cm="1">
        <f t="array" ref="N72">IFERROR(_xlfn.IFS(VALUE(MID(N$5,6,2))&gt;$D$2,0,$B72="Annual",1,M72=12,12,$B72="Monthly V",M72*(1+$D$3),$B72="Monthly F",12,$B72="One-Time",0),M72*(1+$D$3))</f>
        <v>0</v>
      </c>
      <c r="O72" s="127" t="s">
        <v>130</v>
      </c>
      <c r="P72" s="13"/>
      <c r="Q72" s="20">
        <v>1000</v>
      </c>
      <c r="R72" s="21">
        <f t="shared" ref="R72" si="328">S72/12</f>
        <v>1000</v>
      </c>
      <c r="S72" s="6">
        <f t="shared" ref="S72" si="329">IFERROR($Q72*E72,0)</f>
        <v>12000</v>
      </c>
      <c r="T72" s="6">
        <f t="shared" ref="T72" si="330">IFERROR($Q72*F72,0)</f>
        <v>12000</v>
      </c>
      <c r="U72" s="6">
        <f t="shared" ref="U72" si="331">IFERROR($Q72*G72,0)</f>
        <v>12000</v>
      </c>
      <c r="V72" s="6">
        <f t="shared" ref="V72" si="332">IFERROR($Q72*H72,0)</f>
        <v>12000</v>
      </c>
      <c r="W72" s="6">
        <f t="shared" ref="W72" si="333">IFERROR($Q72*I72,0)</f>
        <v>12000</v>
      </c>
      <c r="X72" s="6">
        <f t="shared" ref="X72" si="334">IFERROR($Q72*J72,0)</f>
        <v>12000</v>
      </c>
      <c r="Y72" s="6">
        <f t="shared" ref="Y72" si="335">IFERROR($Q72*K72,0)</f>
        <v>12000</v>
      </c>
      <c r="Z72" s="6">
        <f t="shared" ref="Z72" si="336">IFERROR($Q72*L72,0)</f>
        <v>0</v>
      </c>
      <c r="AA72" s="6">
        <f t="shared" ref="AA72" si="337">IFERROR($Q72*M72,0)</f>
        <v>0</v>
      </c>
      <c r="AB72" s="6">
        <f t="shared" ref="AB72" si="338">IFERROR($Q72*N72,0)</f>
        <v>0</v>
      </c>
      <c r="AC72" s="7"/>
      <c r="AD72" s="152">
        <f t="shared" ref="AD72" si="339">IF(VALUE(MID(AD$5,6,1))&lt;=$D$2,((1+$Q$3)^1-1)*T72,0)</f>
        <v>360.00000000000034</v>
      </c>
      <c r="AE72" s="152">
        <f t="shared" ref="AE72" si="340">IF(VALUE(MID(AE$5,6,1))&lt;=$D$2,((1+$Q$3)^2-1)*U72,0)</f>
        <v>730.7999999999995</v>
      </c>
      <c r="AF72" s="152">
        <f t="shared" ref="AF72" si="341">IF(VALUE(MID(AF$5,6,1))&lt;=$D$2,((1+$Q$3)^3-1)*V72,0)</f>
        <v>1112.7240000000002</v>
      </c>
      <c r="AG72" s="152">
        <f t="shared" ref="AG72" si="342">IF(VALUE(MID(AG$5,6,1))&lt;=$D$2,((1+$Q$3)^4-1)*W72,0)</f>
        <v>1506.1057199999989</v>
      </c>
      <c r="AH72" s="152">
        <f t="shared" ref="AH72" si="343">IF(VALUE(MID(AH$5,6,1))&lt;=$D$2,((1+$Q$3)^5-1)*X72,0)</f>
        <v>1911.2888915999981</v>
      </c>
      <c r="AI72" s="152">
        <f t="shared" ref="AI72" si="344">IF(VALUE(MID(AI$5,6,1))&lt;=$D$2,((1+$Q$3)^6-1)*Y72,0)</f>
        <v>2328.6275583479987</v>
      </c>
      <c r="AJ72" s="152">
        <f t="shared" ref="AJ72" si="345">IF(VALUE(MID(AJ$5,6,1))&lt;=$D$2,((1+$Q$3)^7-1)*Z72,0)</f>
        <v>0</v>
      </c>
      <c r="AK72" s="152">
        <f t="shared" ref="AK72" si="346">IF(VALUE(MID(AK$5,6,1))&lt;=$D$2,((1+$Q$3)^8-1)*AA72,0)</f>
        <v>0</v>
      </c>
      <c r="AL72" s="152">
        <f t="shared" ref="AL72" si="347">IF(VALUE(MID(AL$5,6,2))&lt;=$D$2,((1+$Q$3)^9-1)*AB72,0)</f>
        <v>0</v>
      </c>
      <c r="AM72" s="9">
        <f t="shared" ref="AM72" si="348">SUM(AC72:AL72)</f>
        <v>7949.5461699479965</v>
      </c>
      <c r="AN72" s="80">
        <f t="shared" ref="AN72" si="349">SUM(AM72,S72:AB72)</f>
        <v>91949.546169947993</v>
      </c>
      <c r="AP72" s="102" t="s">
        <v>1</v>
      </c>
      <c r="AQ72" s="12">
        <v>5000</v>
      </c>
      <c r="AR72" s="14">
        <f t="shared" si="15"/>
        <v>60000</v>
      </c>
      <c r="AS72" s="14" cm="1">
        <f t="array" ref="AS72">IFERROR(_xlfn.IFS(VALUE(MID(AS$5,6,1))&gt;$D$2,0,$AP72="Annual",1,AR72=12,12,$AP72="Monthly V",AR72*(1+$BD$2),$AP72="Monthly F",12,$AP72="One-Time",0),AR72*(1+$BD$2))</f>
        <v>60000</v>
      </c>
      <c r="AT72" s="14" cm="1">
        <f t="array" ref="AT72">IFERROR(_xlfn.IFS(VALUE(MID(AT$5,6,1))&gt;$D$2,0,$AP72="Annual",1,AS72=12,12,$AP72="Monthly V",AS72*(1+$BD$2),$AP72="Monthly F",12,$AP72="One-Time",0),AS72*(1+$BD$2))</f>
        <v>60000</v>
      </c>
      <c r="AU72" s="14" cm="1">
        <f t="array" ref="AU72">IFERROR(_xlfn.IFS(VALUE(MID(AU$5,6,1))&gt;$D$2,0,$AP72="Annual",1,AT72=12,12,$AP72="Monthly V",AT72*(1+$BD$2),$AP72="Monthly F",12,$AP72="One-Time",0),AT72*(1+$BD$2))</f>
        <v>60000</v>
      </c>
      <c r="AV72" s="14" cm="1">
        <f t="array" ref="AV72">IFERROR(_xlfn.IFS(VALUE(MID(AV$5,6,1))&gt;$D$2,0,$AP72="Annual",1,AU72=12,12,$AP72="Monthly V",AU72*(1+$BD$2),$AP72="Monthly F",12,$AP72="One-Time",0),AU72*(1+$BD$2))</f>
        <v>60000</v>
      </c>
      <c r="AW72" s="14" cm="1">
        <f t="array" ref="AW72">IFERROR(_xlfn.IFS(VALUE(MID(AW$5,6,1))&gt;$D$2,0,$AP72="Annual",1,AV72=12,12,$AP72="Monthly V",AV72*(1+$BD$2),$AP72="Monthly F",12,$AP72="One-Time",0),AV72*(1+$BD$2))</f>
        <v>60000</v>
      </c>
      <c r="AX72" s="14" cm="1">
        <f t="array" ref="AX72">IFERROR(_xlfn.IFS(VALUE(MID(AX$5,6,1))&gt;$D$2,0,$AP72="Annual",1,AW72=12,12,$AP72="Monthly V",AW72*(1+$BD$2),$AP72="Monthly F",12,$AP72="One-Time",0),AW72*(1+$BD$2))</f>
        <v>60000</v>
      </c>
      <c r="AY72" s="14" cm="1">
        <f t="array" ref="AY72">IFERROR(_xlfn.IFS(VALUE(MID(AY$5,6,1))&gt;$D$2,0,$AP72="Annual",1,AX72=12,12,$AP72="Monthly V",AX72*(1+$D$3),$AP72="Monthly F",12,$AP72="One-Time",0),AX72*(1+$D$3))</f>
        <v>0</v>
      </c>
      <c r="AZ72" s="14" cm="1">
        <f t="array" ref="AZ72">IFERROR(_xlfn.IFS(VALUE(MID(AZ$5,6,1))&gt;$D$2,0,$AP72="Annual",1,AY72=12,12,$AP72="Monthly V",AY72*(1+$D$3),$AP72="Monthly F",12,$AP72="One-Time",0),AY72*(1+$D$3))</f>
        <v>0</v>
      </c>
      <c r="BA72" s="125" cm="1">
        <f t="array" ref="BA72">IFERROR(_xlfn.IFS(VALUE(MID(BA$5,6,2))&gt;$D$2,0,$AP72="Annual",1,AZ72=12,12,$AP72="Monthly V",AZ72*(1+$D$3),$AP72="Monthly F",12,$AP72="One-Time",0),AZ72*(1+$D$3))</f>
        <v>0</v>
      </c>
      <c r="BB72" s="148" t="s">
        <v>211</v>
      </c>
      <c r="BC72" s="38" t="s">
        <v>232</v>
      </c>
      <c r="BD72" s="36">
        <v>1.5800000000000002E-2</v>
      </c>
      <c r="BE72" s="21">
        <f t="shared" si="286"/>
        <v>79.000000000000014</v>
      </c>
      <c r="BF72" s="39">
        <f t="shared" si="44"/>
        <v>948.00000000000011</v>
      </c>
      <c r="BG72" s="39">
        <f t="shared" si="17"/>
        <v>948.00000000000011</v>
      </c>
      <c r="BH72" s="39">
        <f t="shared" si="18"/>
        <v>948.00000000000011</v>
      </c>
      <c r="BI72" s="39">
        <f t="shared" ref="BI72:BI84" si="350">BH72*1.03</f>
        <v>976.44000000000017</v>
      </c>
      <c r="BJ72" s="39">
        <f t="shared" ref="BJ72:BL72" si="351">BI72*1.03</f>
        <v>1005.7332000000002</v>
      </c>
      <c r="BK72" s="39">
        <f t="shared" si="351"/>
        <v>1035.9051960000002</v>
      </c>
      <c r="BL72" s="39">
        <f t="shared" si="351"/>
        <v>1066.9823518800001</v>
      </c>
      <c r="BM72" s="39">
        <f t="shared" si="288"/>
        <v>0</v>
      </c>
      <c r="BN72" s="39">
        <f t="shared" si="288"/>
        <v>0</v>
      </c>
      <c r="BO72" s="39">
        <f t="shared" si="288"/>
        <v>0</v>
      </c>
      <c r="BP72" s="40"/>
      <c r="BQ72" s="40">
        <f t="shared" si="289"/>
        <v>28.44000000000003</v>
      </c>
      <c r="BR72" s="40">
        <f t="shared" si="290"/>
        <v>57.733199999999961</v>
      </c>
      <c r="BS72" s="40">
        <f t="shared" si="291"/>
        <v>90.542351880000012</v>
      </c>
      <c r="BT72" s="40">
        <f t="shared" si="292"/>
        <v>126.22837710949194</v>
      </c>
      <c r="BU72" s="40">
        <f t="shared" si="293"/>
        <v>164.99284115545993</v>
      </c>
      <c r="BV72" s="40">
        <f t="shared" si="294"/>
        <v>207.0503757382275</v>
      </c>
      <c r="BW72" s="40">
        <f t="shared" si="295"/>
        <v>0</v>
      </c>
      <c r="BX72" s="40">
        <f t="shared" si="296"/>
        <v>0</v>
      </c>
      <c r="BY72" s="40">
        <f t="shared" si="297"/>
        <v>0</v>
      </c>
      <c r="BZ72" s="40">
        <f t="shared" si="298"/>
        <v>674.98714588317944</v>
      </c>
      <c r="CA72" s="37">
        <f t="shared" si="299"/>
        <v>7604.0478937631815</v>
      </c>
      <c r="CC72" s="102"/>
      <c r="CD72" s="12"/>
      <c r="CE72" s="14"/>
      <c r="CF72" s="14"/>
      <c r="CG72" s="14"/>
      <c r="CH72" s="14"/>
      <c r="CI72" s="14"/>
      <c r="CJ72" s="14"/>
      <c r="CK72" s="14"/>
      <c r="CL72" s="14"/>
      <c r="CM72" s="14"/>
      <c r="CN72" s="24"/>
      <c r="CO72" s="63"/>
      <c r="CP72" s="53"/>
      <c r="CQ72" s="21"/>
      <c r="CR72" s="55"/>
      <c r="CS72" s="55"/>
      <c r="CT72" s="55"/>
      <c r="CU72" s="55"/>
      <c r="CV72" s="55"/>
      <c r="CW72" s="55"/>
      <c r="CX72" s="55"/>
      <c r="CY72" s="55"/>
      <c r="CZ72" s="55"/>
      <c r="DA72" s="55"/>
      <c r="DB72" s="56"/>
      <c r="DC72" s="56"/>
      <c r="DD72" s="56"/>
      <c r="DE72" s="56"/>
      <c r="DF72" s="56"/>
      <c r="DG72" s="56"/>
      <c r="DH72" s="56"/>
      <c r="DI72" s="56"/>
      <c r="DJ72" s="56"/>
      <c r="DK72" s="56"/>
      <c r="DL72" s="57"/>
      <c r="DM72" s="54"/>
      <c r="DO72" s="106"/>
    </row>
    <row r="73" spans="2:119" x14ac:dyDescent="0.25">
      <c r="B73" s="141"/>
      <c r="C73" s="24"/>
      <c r="D73" s="147"/>
      <c r="E73" s="142"/>
      <c r="F73" s="14"/>
      <c r="G73" s="14"/>
      <c r="H73" s="14"/>
      <c r="I73" s="14"/>
      <c r="J73" s="14"/>
      <c r="K73" s="14"/>
      <c r="L73" s="14"/>
      <c r="M73" s="14"/>
      <c r="N73" s="24"/>
      <c r="O73" s="127"/>
      <c r="P73" s="13"/>
      <c r="Q73" s="20"/>
      <c r="R73" s="21"/>
      <c r="S73" s="6"/>
      <c r="T73" s="6"/>
      <c r="U73" s="6"/>
      <c r="V73" s="6"/>
      <c r="W73" s="6"/>
      <c r="X73" s="6"/>
      <c r="Y73" s="6"/>
      <c r="Z73" s="6"/>
      <c r="AA73" s="6"/>
      <c r="AB73" s="6"/>
      <c r="AC73" s="7"/>
      <c r="AD73" s="152"/>
      <c r="AE73" s="152"/>
      <c r="AF73" s="152"/>
      <c r="AG73" s="152"/>
      <c r="AH73" s="152"/>
      <c r="AI73" s="152"/>
      <c r="AJ73" s="152"/>
      <c r="AK73" s="152"/>
      <c r="AL73" s="152"/>
      <c r="AM73" s="9"/>
      <c r="AN73" s="80"/>
      <c r="AP73" s="102" t="s">
        <v>1</v>
      </c>
      <c r="AQ73" s="12">
        <v>5000</v>
      </c>
      <c r="AR73" s="14">
        <f t="shared" si="15"/>
        <v>60000</v>
      </c>
      <c r="AS73" s="14" cm="1">
        <f t="array" ref="AS73">IFERROR(_xlfn.IFS(VALUE(MID(AS$5,6,1))&gt;$D$2,0,$AP73="Annual",1,AR73=12,12,$AP73="Monthly V",AR73*(1+$BD$2),$AP73="Monthly F",12,$AP73="One-Time",0),AR73*(1+$BD$2))</f>
        <v>60000</v>
      </c>
      <c r="AT73" s="14" cm="1">
        <f t="array" ref="AT73">IFERROR(_xlfn.IFS(VALUE(MID(AT$5,6,1))&gt;$D$2,0,$AP73="Annual",1,AS73=12,12,$AP73="Monthly V",AS73*(1+$BD$2),$AP73="Monthly F",12,$AP73="One-Time",0),AS73*(1+$BD$2))</f>
        <v>60000</v>
      </c>
      <c r="AU73" s="14" cm="1">
        <f t="array" ref="AU73">IFERROR(_xlfn.IFS(VALUE(MID(AU$5,6,1))&gt;$D$2,0,$AP73="Annual",1,AT73=12,12,$AP73="Monthly V",AT73*(1+$BD$2),$AP73="Monthly F",12,$AP73="One-Time",0),AT73*(1+$BD$2))</f>
        <v>60000</v>
      </c>
      <c r="AV73" s="14" cm="1">
        <f t="array" ref="AV73">IFERROR(_xlfn.IFS(VALUE(MID(AV$5,6,1))&gt;$D$2,0,$AP73="Annual",1,AU73=12,12,$AP73="Monthly V",AU73*(1+$BD$2),$AP73="Monthly F",12,$AP73="One-Time",0),AU73*(1+$BD$2))</f>
        <v>60000</v>
      </c>
      <c r="AW73" s="14" cm="1">
        <f t="array" ref="AW73">IFERROR(_xlfn.IFS(VALUE(MID(AW$5,6,1))&gt;$D$2,0,$AP73="Annual",1,AV73=12,12,$AP73="Monthly V",AV73*(1+$BD$2),$AP73="Monthly F",12,$AP73="One-Time",0),AV73*(1+$BD$2))</f>
        <v>60000</v>
      </c>
      <c r="AX73" s="14" cm="1">
        <f t="array" ref="AX73">IFERROR(_xlfn.IFS(VALUE(MID(AX$5,6,1))&gt;$D$2,0,$AP73="Annual",1,AW73=12,12,$AP73="Monthly V",AW73*(1+$BD$2),$AP73="Monthly F",12,$AP73="One-Time",0),AW73*(1+$BD$2))</f>
        <v>60000</v>
      </c>
      <c r="AY73" s="14" cm="1">
        <f t="array" ref="AY73">IFERROR(_xlfn.IFS(VALUE(MID(AY$5,6,1))&gt;$D$2,0,$AP73="Annual",1,AX73=12,12,$AP73="Monthly V",AX73*(1+$D$3),$AP73="Monthly F",12,$AP73="One-Time",0),AX73*(1+$D$3))</f>
        <v>0</v>
      </c>
      <c r="AZ73" s="14" cm="1">
        <f t="array" ref="AZ73">IFERROR(_xlfn.IFS(VALUE(MID(AZ$5,6,1))&gt;$D$2,0,$AP73="Annual",1,AY73=12,12,$AP73="Monthly V",AY73*(1+$D$3),$AP73="Monthly F",12,$AP73="One-Time",0),AY73*(1+$D$3))</f>
        <v>0</v>
      </c>
      <c r="BA73" s="125" cm="1">
        <f t="array" ref="BA73">IFERROR(_xlfn.IFS(VALUE(MID(BA$5,6,2))&gt;$D$2,0,$AP73="Annual",1,AZ73=12,12,$AP73="Monthly V",AZ73*(1+$D$3),$AP73="Monthly F",12,$AP73="One-Time",0),AZ73*(1+$D$3))</f>
        <v>0</v>
      </c>
      <c r="BB73" s="148" t="s">
        <v>212</v>
      </c>
      <c r="BC73" s="38" t="s">
        <v>233</v>
      </c>
      <c r="BD73" s="36">
        <v>2.7799999999999998E-2</v>
      </c>
      <c r="BE73" s="21">
        <f t="shared" si="286"/>
        <v>139</v>
      </c>
      <c r="BF73" s="39">
        <f t="shared" si="44"/>
        <v>1668</v>
      </c>
      <c r="BG73" s="39">
        <f t="shared" si="17"/>
        <v>1668</v>
      </c>
      <c r="BH73" s="39">
        <f t="shared" si="18"/>
        <v>1668</v>
      </c>
      <c r="BI73" s="39">
        <f t="shared" si="350"/>
        <v>1718.04</v>
      </c>
      <c r="BJ73" s="39">
        <f t="shared" ref="BJ73:BL73" si="352">BI73*1.03</f>
        <v>1769.5812000000001</v>
      </c>
      <c r="BK73" s="39">
        <f t="shared" si="352"/>
        <v>1822.6686360000001</v>
      </c>
      <c r="BL73" s="39">
        <f t="shared" si="352"/>
        <v>1877.3486950800002</v>
      </c>
      <c r="BM73" s="39">
        <f t="shared" si="288"/>
        <v>0</v>
      </c>
      <c r="BN73" s="39">
        <f t="shared" si="288"/>
        <v>0</v>
      </c>
      <c r="BO73" s="39">
        <f t="shared" si="288"/>
        <v>0</v>
      </c>
      <c r="BP73" s="40"/>
      <c r="BQ73" s="40">
        <f t="shared" si="289"/>
        <v>50.040000000000042</v>
      </c>
      <c r="BR73" s="40">
        <f t="shared" si="290"/>
        <v>101.58119999999992</v>
      </c>
      <c r="BS73" s="40">
        <f t="shared" si="291"/>
        <v>159.30869508000001</v>
      </c>
      <c r="BT73" s="40">
        <f t="shared" si="292"/>
        <v>222.09803061037186</v>
      </c>
      <c r="BU73" s="40">
        <f t="shared" si="293"/>
        <v>290.3038597545434</v>
      </c>
      <c r="BV73" s="40">
        <f t="shared" si="294"/>
        <v>364.30382566599525</v>
      </c>
      <c r="BW73" s="40">
        <f t="shared" si="295"/>
        <v>0</v>
      </c>
      <c r="BX73" s="40">
        <f t="shared" si="296"/>
        <v>0</v>
      </c>
      <c r="BY73" s="40">
        <f t="shared" si="297"/>
        <v>0</v>
      </c>
      <c r="BZ73" s="40">
        <f t="shared" si="298"/>
        <v>1187.6356111109105</v>
      </c>
      <c r="CA73" s="37">
        <f t="shared" si="299"/>
        <v>13379.27414219091</v>
      </c>
      <c r="CC73" s="102"/>
      <c r="CD73" s="12"/>
      <c r="CE73" s="14"/>
      <c r="CF73" s="14"/>
      <c r="CG73" s="14"/>
      <c r="CH73" s="14"/>
      <c r="CI73" s="14"/>
      <c r="CJ73" s="14"/>
      <c r="CK73" s="14"/>
      <c r="CL73" s="14"/>
      <c r="CM73" s="14"/>
      <c r="CN73" s="24"/>
      <c r="CO73" s="63"/>
      <c r="CP73" s="53"/>
      <c r="CQ73" s="21"/>
      <c r="CR73" s="55"/>
      <c r="CS73" s="55"/>
      <c r="CT73" s="55"/>
      <c r="CU73" s="55"/>
      <c r="CV73" s="55"/>
      <c r="CW73" s="55"/>
      <c r="CX73" s="55"/>
      <c r="CY73" s="55"/>
      <c r="CZ73" s="55"/>
      <c r="DA73" s="55"/>
      <c r="DB73" s="56"/>
      <c r="DC73" s="56"/>
      <c r="DD73" s="56"/>
      <c r="DE73" s="56"/>
      <c r="DF73" s="56"/>
      <c r="DG73" s="56"/>
      <c r="DH73" s="56"/>
      <c r="DI73" s="56"/>
      <c r="DJ73" s="56"/>
      <c r="DK73" s="56"/>
      <c r="DL73" s="57"/>
      <c r="DM73" s="54"/>
      <c r="DO73" s="106"/>
    </row>
    <row r="74" spans="2:119" x14ac:dyDescent="0.25">
      <c r="B74" s="141"/>
      <c r="C74" s="24"/>
      <c r="D74" s="147"/>
      <c r="E74" s="142"/>
      <c r="F74" s="14"/>
      <c r="G74" s="14"/>
      <c r="H74" s="14"/>
      <c r="I74" s="14"/>
      <c r="J74" s="14"/>
      <c r="K74" s="14"/>
      <c r="L74" s="14"/>
      <c r="M74" s="14"/>
      <c r="N74" s="24"/>
      <c r="O74" s="127"/>
      <c r="P74" s="13"/>
      <c r="Q74" s="20"/>
      <c r="R74" s="21"/>
      <c r="S74" s="6"/>
      <c r="T74" s="6"/>
      <c r="U74" s="6"/>
      <c r="V74" s="6"/>
      <c r="W74" s="6"/>
      <c r="X74" s="6"/>
      <c r="Y74" s="6"/>
      <c r="Z74" s="6"/>
      <c r="AA74" s="6"/>
      <c r="AB74" s="6"/>
      <c r="AC74" s="7"/>
      <c r="AD74" s="152"/>
      <c r="AE74" s="152"/>
      <c r="AF74" s="152"/>
      <c r="AG74" s="152"/>
      <c r="AH74" s="152"/>
      <c r="AI74" s="152"/>
      <c r="AJ74" s="152"/>
      <c r="AK74" s="152"/>
      <c r="AL74" s="152"/>
      <c r="AM74" s="9"/>
      <c r="AN74" s="80"/>
      <c r="AP74" s="102" t="s">
        <v>1</v>
      </c>
      <c r="AQ74" s="12">
        <v>5000</v>
      </c>
      <c r="AR74" s="14">
        <f t="shared" ref="AR74:AR77" si="353">IF($AP74="Annual",1,IF($AP74="Monthly F",12,IF($AP74="Monthly V",AQ74*12,IF($AP74="One-Time",1,AQ74*12))))</f>
        <v>60000</v>
      </c>
      <c r="AS74" s="14" cm="1">
        <f t="array" ref="AS74">IFERROR(_xlfn.IFS(VALUE(MID(AS$5,6,1))&gt;$D$2,0,$AP74="Annual",1,AR74=12,12,$AP74="Monthly V",AR74*(1+$BD$2),$AP74="Monthly F",12,$AP74="One-Time",0),AR74*(1+$BD$2))</f>
        <v>60000</v>
      </c>
      <c r="AT74" s="14" cm="1">
        <f t="array" ref="AT74">IFERROR(_xlfn.IFS(VALUE(MID(AT$5,6,1))&gt;$D$2,0,$AP74="Annual",1,AS74=12,12,$AP74="Monthly V",AS74*(1+$BD$2),$AP74="Monthly F",12,$AP74="One-Time",0),AS74*(1+$BD$2))</f>
        <v>60000</v>
      </c>
      <c r="AU74" s="14" cm="1">
        <f t="array" ref="AU74">IFERROR(_xlfn.IFS(VALUE(MID(AU$5,6,1))&gt;$D$2,0,$AP74="Annual",1,AT74=12,12,$AP74="Monthly V",AT74*(1+$BD$2),$AP74="Monthly F",12,$AP74="One-Time",0),AT74*(1+$BD$2))</f>
        <v>60000</v>
      </c>
      <c r="AV74" s="14" cm="1">
        <f t="array" ref="AV74">IFERROR(_xlfn.IFS(VALUE(MID(AV$5,6,1))&gt;$D$2,0,$AP74="Annual",1,AU74=12,12,$AP74="Monthly V",AU74*(1+$BD$2),$AP74="Monthly F",12,$AP74="One-Time",0),AU74*(1+$BD$2))</f>
        <v>60000</v>
      </c>
      <c r="AW74" s="14" cm="1">
        <f t="array" ref="AW74">IFERROR(_xlfn.IFS(VALUE(MID(AW$5,6,1))&gt;$D$2,0,$AP74="Annual",1,AV74=12,12,$AP74="Monthly V",AV74*(1+$BD$2),$AP74="Monthly F",12,$AP74="One-Time",0),AV74*(1+$BD$2))</f>
        <v>60000</v>
      </c>
      <c r="AX74" s="14" cm="1">
        <f t="array" ref="AX74">IFERROR(_xlfn.IFS(VALUE(MID(AX$5,6,1))&gt;$D$2,0,$AP74="Annual",1,AW74=12,12,$AP74="Monthly V",AW74*(1+$BD$2),$AP74="Monthly F",12,$AP74="One-Time",0),AW74*(1+$BD$2))</f>
        <v>60000</v>
      </c>
      <c r="AY74" s="14" cm="1">
        <f t="array" ref="AY74">IFERROR(_xlfn.IFS(VALUE(MID(AY$5,6,1))&gt;$D$2,0,$AP74="Annual",1,AX74=12,12,$AP74="Monthly V",AX74*(1+$D$3),$AP74="Monthly F",12,$AP74="One-Time",0),AX74*(1+$D$3))</f>
        <v>0</v>
      </c>
      <c r="AZ74" s="14" cm="1">
        <f t="array" ref="AZ74">IFERROR(_xlfn.IFS(VALUE(MID(AZ$5,6,1))&gt;$D$2,0,$AP74="Annual",1,AY74=12,12,$AP74="Monthly V",AY74*(1+$D$3),$AP74="Monthly F",12,$AP74="One-Time",0),AY74*(1+$D$3))</f>
        <v>0</v>
      </c>
      <c r="BA74" s="125" cm="1">
        <f t="array" ref="BA74">IFERROR(_xlfn.IFS(VALUE(MID(BA$5,6,2))&gt;$D$2,0,$AP74="Annual",1,AZ74=12,12,$AP74="Monthly V",AZ74*(1+$D$3),$AP74="Monthly F",12,$AP74="One-Time",0),AZ74*(1+$D$3))</f>
        <v>0</v>
      </c>
      <c r="BB74" s="148" t="s">
        <v>213</v>
      </c>
      <c r="BC74" s="38" t="s">
        <v>233</v>
      </c>
      <c r="BD74" s="36">
        <v>3.0800000000000001E-2</v>
      </c>
      <c r="BE74" s="21">
        <f t="shared" si="286"/>
        <v>154</v>
      </c>
      <c r="BF74" s="39">
        <f t="shared" ref="BF74:BF76" si="354">IFERROR(AR74*$BD74,0)</f>
        <v>1848</v>
      </c>
      <c r="BG74" s="39">
        <f t="shared" ref="BG74:BG77" si="355">IFERROR(AS74*$BD74,0)</f>
        <v>1848</v>
      </c>
      <c r="BH74" s="39">
        <f t="shared" ref="BH74:BH77" si="356">IFERROR(AT74*$BD74,0)</f>
        <v>1848</v>
      </c>
      <c r="BI74" s="39">
        <f t="shared" si="350"/>
        <v>1903.44</v>
      </c>
      <c r="BJ74" s="39">
        <f t="shared" ref="BJ74:BL74" si="357">BI74*1.03</f>
        <v>1960.5432000000001</v>
      </c>
      <c r="BK74" s="39">
        <f t="shared" si="357"/>
        <v>2019.359496</v>
      </c>
      <c r="BL74" s="39">
        <f t="shared" si="357"/>
        <v>2079.94028088</v>
      </c>
      <c r="BM74" s="39">
        <f t="shared" si="288"/>
        <v>0</v>
      </c>
      <c r="BN74" s="39">
        <f t="shared" si="288"/>
        <v>0</v>
      </c>
      <c r="BO74" s="39">
        <f t="shared" si="288"/>
        <v>0</v>
      </c>
      <c r="BP74" s="40"/>
      <c r="BQ74" s="40">
        <f t="shared" si="289"/>
        <v>55.440000000000047</v>
      </c>
      <c r="BR74" s="40">
        <f t="shared" si="290"/>
        <v>112.54319999999991</v>
      </c>
      <c r="BS74" s="40">
        <f t="shared" si="291"/>
        <v>176.50028088000002</v>
      </c>
      <c r="BT74" s="40">
        <f t="shared" si="292"/>
        <v>246.06544398559186</v>
      </c>
      <c r="BU74" s="40">
        <f t="shared" si="293"/>
        <v>321.63161440431423</v>
      </c>
      <c r="BV74" s="40">
        <f t="shared" si="294"/>
        <v>403.61718814793716</v>
      </c>
      <c r="BW74" s="40">
        <f t="shared" si="295"/>
        <v>0</v>
      </c>
      <c r="BX74" s="40">
        <f t="shared" si="296"/>
        <v>0</v>
      </c>
      <c r="BY74" s="40">
        <f t="shared" si="297"/>
        <v>0</v>
      </c>
      <c r="BZ74" s="40">
        <f t="shared" si="298"/>
        <v>1315.7977274178434</v>
      </c>
      <c r="CA74" s="37">
        <f t="shared" si="299"/>
        <v>14823.080704297845</v>
      </c>
      <c r="CC74" s="102"/>
      <c r="CD74" s="12"/>
      <c r="CE74" s="14"/>
      <c r="CF74" s="14"/>
      <c r="CG74" s="14"/>
      <c r="CH74" s="14"/>
      <c r="CI74" s="14"/>
      <c r="CJ74" s="14"/>
      <c r="CK74" s="14"/>
      <c r="CL74" s="14"/>
      <c r="CM74" s="14"/>
      <c r="CN74" s="24"/>
      <c r="CO74" s="63"/>
      <c r="CP74" s="53"/>
      <c r="CQ74" s="21"/>
      <c r="CR74" s="55"/>
      <c r="CS74" s="55"/>
      <c r="CT74" s="55"/>
      <c r="CU74" s="55"/>
      <c r="CV74" s="55"/>
      <c r="CW74" s="55"/>
      <c r="CX74" s="55"/>
      <c r="CY74" s="55"/>
      <c r="CZ74" s="55"/>
      <c r="DA74" s="55"/>
      <c r="DB74" s="56"/>
      <c r="DC74" s="56"/>
      <c r="DD74" s="56"/>
      <c r="DE74" s="56"/>
      <c r="DF74" s="56"/>
      <c r="DG74" s="56"/>
      <c r="DH74" s="56"/>
      <c r="DI74" s="56"/>
      <c r="DJ74" s="56"/>
      <c r="DK74" s="56"/>
      <c r="DL74" s="57"/>
      <c r="DM74" s="54"/>
      <c r="DO74" s="106"/>
    </row>
    <row r="75" spans="2:119" x14ac:dyDescent="0.25">
      <c r="B75" s="141" t="s">
        <v>0</v>
      </c>
      <c r="C75" s="24">
        <v>1</v>
      </c>
      <c r="D75" s="147">
        <f t="shared" ref="D75:D77" si="358">IFERROR(AVERAGE(C75:C75),0)</f>
        <v>1</v>
      </c>
      <c r="E75" s="142">
        <f t="shared" ref="E75:E77" si="359">IF($B75="Annual",1,IF($B75="Monthly F",12,IF($B75="Monthly V",D75*12,IF($B75="One-Time",1,D75*12))))</f>
        <v>12</v>
      </c>
      <c r="F75" s="14" cm="1">
        <f t="array" ref="F75">IFERROR(_xlfn.IFS(VALUE(MID(F$5,6,1))&gt;$D$2,0,$B75="Annual",1,E75=12,12,$B75="Monthly V",E75*(1+$D$3),$B75="Monthly F",12,$B75="One-Time",0),E75*(1+$D$3))</f>
        <v>12</v>
      </c>
      <c r="G75" s="14" cm="1">
        <f t="array" ref="G75">IFERROR(_xlfn.IFS(VALUE(MID(G$5,6,1))&gt;$D$2,0,$B75="Annual",1,F75=12,12,$B75="Monthly V",F75*(1+$D$3),$B75="Monthly F",12,$B75="One-Time",0),F75*(1+$D$3))</f>
        <v>12</v>
      </c>
      <c r="H75" s="14" cm="1">
        <f t="array" ref="H75">IFERROR(_xlfn.IFS(VALUE(MID(H$5,6,1))&gt;$D$2,0,$B75="Annual",1,G75=12,12,$B75="Monthly V",G75*(1+$D$3),$B75="Monthly F",12,$B75="One-Time",0),G75*(1+$D$3))</f>
        <v>12</v>
      </c>
      <c r="I75" s="14" cm="1">
        <f t="array" ref="I75">IFERROR(_xlfn.IFS(VALUE(MID(I$5,6,1))&gt;$D$2,0,$B75="Annual",1,H75=12,12,$B75="Monthly V",H75*(1+$D$3),$B75="Monthly F",12,$B75="One-Time",0),H75*(1+$D$3))</f>
        <v>12</v>
      </c>
      <c r="J75" s="14" cm="1">
        <f t="array" ref="J75">IFERROR(_xlfn.IFS(VALUE(MID(J$5,6,1))&gt;$D$2,0,$B75="Annual",1,I75=12,12,$B75="Monthly V",I75*(1+$D$3),$B75="Monthly F",12,$B75="One-Time",0),I75*(1+$D$3))</f>
        <v>12</v>
      </c>
      <c r="K75" s="14" cm="1">
        <f t="array" ref="K75">IFERROR(_xlfn.IFS(VALUE(MID(K$5,6,1))&gt;$D$2,0,$B75="Annual",1,J75=12,12,$B75="Monthly V",J75*(1+$D$3),$B75="Monthly F",12,$B75="One-Time",0),J75*(1+$D$3))</f>
        <v>12</v>
      </c>
      <c r="L75" s="14" cm="1">
        <f t="array" ref="L75">IFERROR(_xlfn.IFS(VALUE(MID(L$5,6,1))&gt;$D$2,0,$B75="Annual",1,K75=12,12,$B75="Monthly V",K75*(1+$D$3),$B75="Monthly F",12,$B75="One-Time",0),K75*(1+$D$3))</f>
        <v>0</v>
      </c>
      <c r="M75" s="14" cm="1">
        <f t="array" ref="M75">IFERROR(_xlfn.IFS(VALUE(MID(M$5,6,1))&gt;$D$2,0,$B75="Annual",1,L75=12,12,$B75="Monthly V",L75*(1+$D$3),$B75="Monthly F",12,$B75="One-Time",0),L75*(1+$D$3))</f>
        <v>0</v>
      </c>
      <c r="N75" s="24" cm="1">
        <f t="array" ref="N75">IFERROR(_xlfn.IFS(VALUE(MID(N$5,6,2))&gt;$D$2,0,$B75="Annual",1,M75=12,12,$B75="Monthly V",M75*(1+$D$3),$B75="Monthly F",12,$B75="One-Time",0),M75*(1+$D$3))</f>
        <v>0</v>
      </c>
      <c r="O75" s="127" t="s">
        <v>131</v>
      </c>
      <c r="P75" s="13"/>
      <c r="Q75" s="20">
        <v>250</v>
      </c>
      <c r="R75" s="21">
        <f t="shared" ref="R75:R77" si="360">S75/12</f>
        <v>250</v>
      </c>
      <c r="S75" s="6">
        <f t="shared" ref="S75:S77" si="361">IFERROR($Q75*E75,0)</f>
        <v>3000</v>
      </c>
      <c r="T75" s="6">
        <f t="shared" ref="T75:T77" si="362">IFERROR($Q75*F75,0)</f>
        <v>3000</v>
      </c>
      <c r="U75" s="6">
        <f t="shared" ref="U75:U77" si="363">IFERROR($Q75*G75,0)</f>
        <v>3000</v>
      </c>
      <c r="V75" s="6">
        <f t="shared" ref="V75:V77" si="364">IFERROR($Q75*H75,0)</f>
        <v>3000</v>
      </c>
      <c r="W75" s="6">
        <f t="shared" ref="W75:W77" si="365">IFERROR($Q75*I75,0)</f>
        <v>3000</v>
      </c>
      <c r="X75" s="6">
        <f t="shared" ref="X75:X77" si="366">IFERROR($Q75*J75,0)</f>
        <v>3000</v>
      </c>
      <c r="Y75" s="6">
        <f t="shared" ref="Y75:Y77" si="367">IFERROR($Q75*K75,0)</f>
        <v>3000</v>
      </c>
      <c r="Z75" s="6">
        <f t="shared" ref="Z75:Z77" si="368">IFERROR($Q75*L75,0)</f>
        <v>0</v>
      </c>
      <c r="AA75" s="6">
        <f t="shared" ref="AA75:AA77" si="369">IFERROR($Q75*M75,0)</f>
        <v>0</v>
      </c>
      <c r="AB75" s="6">
        <f t="shared" ref="AB75:AB77" si="370">IFERROR($Q75*N75,0)</f>
        <v>0</v>
      </c>
      <c r="AC75" s="7"/>
      <c r="AD75" s="152">
        <f t="shared" ref="AD75:AD77" si="371">IF(VALUE(MID(AD$5,6,1))&lt;=$D$2,((1+$Q$3)^1-1)*T75,0)</f>
        <v>90.000000000000085</v>
      </c>
      <c r="AE75" s="152">
        <f t="shared" ref="AE75:AE77" si="372">IF(VALUE(MID(AE$5,6,1))&lt;=$D$2,((1+$Q$3)^2-1)*U75,0)</f>
        <v>182.69999999999987</v>
      </c>
      <c r="AF75" s="152">
        <f t="shared" ref="AF75:AF77" si="373">IF(VALUE(MID(AF$5,6,1))&lt;=$D$2,((1+$Q$3)^3-1)*V75,0)</f>
        <v>278.18100000000004</v>
      </c>
      <c r="AG75" s="152">
        <f t="shared" ref="AG75:AG77" si="374">IF(VALUE(MID(AG$5,6,1))&lt;=$D$2,((1+$Q$3)^4-1)*W75,0)</f>
        <v>376.52642999999972</v>
      </c>
      <c r="AH75" s="152">
        <f t="shared" ref="AH75:AH77" si="375">IF(VALUE(MID(AH$5,6,1))&lt;=$D$2,((1+$Q$3)^5-1)*X75,0)</f>
        <v>477.82222289999953</v>
      </c>
      <c r="AI75" s="152">
        <f t="shared" ref="AI75:AI77" si="376">IF(VALUE(MID(AI$5,6,1))&lt;=$D$2,((1+$Q$3)^6-1)*Y75,0)</f>
        <v>582.15688958699968</v>
      </c>
      <c r="AJ75" s="152">
        <f t="shared" ref="AJ75:AJ77" si="377">IF(VALUE(MID(AJ$5,6,1))&lt;=$D$2,((1+$Q$3)^7-1)*Z75,0)</f>
        <v>0</v>
      </c>
      <c r="AK75" s="152">
        <f t="shared" ref="AK75:AK77" si="378">IF(VALUE(MID(AK$5,6,1))&lt;=$D$2,((1+$Q$3)^8-1)*AA75,0)</f>
        <v>0</v>
      </c>
      <c r="AL75" s="152">
        <f t="shared" ref="AL75:AL77" si="379">IF(VALUE(MID(AL$5,6,2))&lt;=$D$2,((1+$Q$3)^9-1)*AB75,0)</f>
        <v>0</v>
      </c>
      <c r="AM75" s="9">
        <f t="shared" ref="AM75:AM77" si="380">SUM(AC75:AL75)</f>
        <v>1987.3865424869991</v>
      </c>
      <c r="AN75" s="80">
        <f t="shared" ref="AN75:AN77" si="381">SUM(AM75,S75:AB75)</f>
        <v>22987.386542486998</v>
      </c>
      <c r="AP75" s="102" t="s">
        <v>0</v>
      </c>
      <c r="AQ75" s="12">
        <v>1</v>
      </c>
      <c r="AR75" s="14">
        <f t="shared" si="353"/>
        <v>12</v>
      </c>
      <c r="AS75" s="14" cm="1">
        <f t="array" ref="AS75">IFERROR(_xlfn.IFS(VALUE(MID(AS$5,6,1))&gt;$D$2,0,$AP75="Annual",1,AR75=12,12,$AP75="Monthly V",AR75*(1+$BD$2),$AP75="Monthly F",12,$AP75="One-Time",0),AR75*(1+$BD$2))</f>
        <v>12</v>
      </c>
      <c r="AT75" s="14" cm="1">
        <f t="array" ref="AT75">IFERROR(_xlfn.IFS(VALUE(MID(AT$5,6,1))&gt;$D$2,0,$AP75="Annual",1,AS75=12,12,$AP75="Monthly V",AS75*(1+$BD$2),$AP75="Monthly F",12,$AP75="One-Time",0),AS75*(1+$BD$2))</f>
        <v>12</v>
      </c>
      <c r="AU75" s="14" cm="1">
        <f t="array" ref="AU75">IFERROR(_xlfn.IFS(VALUE(MID(AU$5,6,1))&gt;$D$2,0,$AP75="Annual",1,AT75=12,12,$AP75="Monthly V",AT75*(1+$BD$2),$AP75="Monthly F",12,$AP75="One-Time",0),AT75*(1+$BD$2))</f>
        <v>12</v>
      </c>
      <c r="AV75" s="14" cm="1">
        <f t="array" ref="AV75">IFERROR(_xlfn.IFS(VALUE(MID(AV$5,6,1))&gt;$D$2,0,$AP75="Annual",1,AU75=12,12,$AP75="Monthly V",AU75*(1+$BD$2),$AP75="Monthly F",12,$AP75="One-Time",0),AU75*(1+$BD$2))</f>
        <v>12</v>
      </c>
      <c r="AW75" s="14" cm="1">
        <f t="array" ref="AW75">IFERROR(_xlfn.IFS(VALUE(MID(AW$5,6,1))&gt;$D$2,0,$AP75="Annual",1,AV75=12,12,$AP75="Monthly V",AV75*(1+$BD$2),$AP75="Monthly F",12,$AP75="One-Time",0),AV75*(1+$BD$2))</f>
        <v>12</v>
      </c>
      <c r="AX75" s="14" cm="1">
        <f t="array" ref="AX75">IFERROR(_xlfn.IFS(VALUE(MID(AX$5,6,1))&gt;$D$2,0,$AP75="Annual",1,AW75=12,12,$AP75="Monthly V",AW75*(1+$BD$2),$AP75="Monthly F",12,$AP75="One-Time",0),AW75*(1+$BD$2))</f>
        <v>12</v>
      </c>
      <c r="AY75" s="14" cm="1">
        <f t="array" ref="AY75">IFERROR(_xlfn.IFS(VALUE(MID(AY$5,6,1))&gt;$D$2,0,$AP75="Annual",1,AX75=12,12,$AP75="Monthly V",AX75*(1+$D$3),$AP75="Monthly F",12,$AP75="One-Time",0),AX75*(1+$D$3))</f>
        <v>0</v>
      </c>
      <c r="AZ75" s="14" cm="1">
        <f t="array" ref="AZ75">IFERROR(_xlfn.IFS(VALUE(MID(AZ$5,6,1))&gt;$D$2,0,$AP75="Annual",1,AY75=12,12,$AP75="Monthly V",AY75*(1+$D$3),$AP75="Monthly F",12,$AP75="One-Time",0),AY75*(1+$D$3))</f>
        <v>0</v>
      </c>
      <c r="BA75" s="125" cm="1">
        <f t="array" ref="BA75">IFERROR(_xlfn.IFS(VALUE(MID(BA$5,6,2))&gt;$D$2,0,$AP75="Annual",1,AZ75=12,12,$AP75="Monthly V",AZ75*(1+$D$3),$AP75="Monthly F",12,$AP75="One-Time",0),AZ75*(1+$D$3))</f>
        <v>0</v>
      </c>
      <c r="BB75" s="148" t="s">
        <v>214</v>
      </c>
      <c r="BC75" s="38" t="s">
        <v>215</v>
      </c>
      <c r="BD75" s="36">
        <v>2200</v>
      </c>
      <c r="BE75" s="21">
        <f t="shared" si="286"/>
        <v>2200</v>
      </c>
      <c r="BF75" s="39">
        <f t="shared" si="354"/>
        <v>26400</v>
      </c>
      <c r="BG75" s="39">
        <f t="shared" si="355"/>
        <v>26400</v>
      </c>
      <c r="BH75" s="39">
        <f t="shared" si="356"/>
        <v>26400</v>
      </c>
      <c r="BI75" s="39">
        <f t="shared" si="350"/>
        <v>27192</v>
      </c>
      <c r="BJ75" s="39">
        <f t="shared" ref="BJ75:BL75" si="382">BI75*1.03</f>
        <v>28007.760000000002</v>
      </c>
      <c r="BK75" s="39">
        <f t="shared" si="382"/>
        <v>28847.992800000004</v>
      </c>
      <c r="BL75" s="39">
        <f t="shared" si="382"/>
        <v>29713.432584000006</v>
      </c>
      <c r="BM75" s="39">
        <f t="shared" si="288"/>
        <v>0</v>
      </c>
      <c r="BN75" s="39">
        <f t="shared" si="288"/>
        <v>0</v>
      </c>
      <c r="BO75" s="39">
        <f t="shared" si="288"/>
        <v>0</v>
      </c>
      <c r="BP75" s="40"/>
      <c r="BQ75" s="40">
        <f t="shared" si="289"/>
        <v>792.00000000000068</v>
      </c>
      <c r="BR75" s="40">
        <f t="shared" si="290"/>
        <v>1607.7599999999989</v>
      </c>
      <c r="BS75" s="40">
        <f t="shared" si="291"/>
        <v>2521.4325840000001</v>
      </c>
      <c r="BT75" s="40">
        <f t="shared" si="292"/>
        <v>3515.2206283655978</v>
      </c>
      <c r="BU75" s="40">
        <f t="shared" si="293"/>
        <v>4594.7373486330616</v>
      </c>
      <c r="BV75" s="40">
        <f t="shared" si="294"/>
        <v>5765.9598306848175</v>
      </c>
      <c r="BW75" s="40">
        <f t="shared" si="295"/>
        <v>0</v>
      </c>
      <c r="BX75" s="40">
        <f t="shared" si="296"/>
        <v>0</v>
      </c>
      <c r="BY75" s="40">
        <f t="shared" si="297"/>
        <v>0</v>
      </c>
      <c r="BZ75" s="40">
        <f t="shared" si="298"/>
        <v>18797.110391683476</v>
      </c>
      <c r="CA75" s="37">
        <f t="shared" si="299"/>
        <v>211758.29577568348</v>
      </c>
      <c r="CC75" s="102"/>
      <c r="CD75" s="12"/>
      <c r="CE75" s="14"/>
      <c r="CF75" s="14"/>
      <c r="CG75" s="14"/>
      <c r="CH75" s="14"/>
      <c r="CI75" s="14"/>
      <c r="CJ75" s="14"/>
      <c r="CK75" s="14"/>
      <c r="CL75" s="14"/>
      <c r="CM75" s="14"/>
      <c r="CN75" s="24"/>
      <c r="CO75" s="63"/>
      <c r="CP75" s="53"/>
      <c r="CQ75" s="21"/>
      <c r="CR75" s="55"/>
      <c r="CS75" s="55"/>
      <c r="CT75" s="55"/>
      <c r="CU75" s="55"/>
      <c r="CV75" s="55"/>
      <c r="CW75" s="55"/>
      <c r="CX75" s="55"/>
      <c r="CY75" s="55"/>
      <c r="CZ75" s="55"/>
      <c r="DA75" s="55"/>
      <c r="DB75" s="56"/>
      <c r="DC75" s="56"/>
      <c r="DD75" s="56"/>
      <c r="DE75" s="56"/>
      <c r="DF75" s="56"/>
      <c r="DG75" s="56"/>
      <c r="DH75" s="56"/>
      <c r="DI75" s="56"/>
      <c r="DJ75" s="56"/>
      <c r="DK75" s="56"/>
      <c r="DL75" s="57"/>
      <c r="DM75" s="54"/>
      <c r="DO75" s="106"/>
    </row>
    <row r="76" spans="2:119" x14ac:dyDescent="0.25">
      <c r="B76" s="141" t="s">
        <v>1</v>
      </c>
      <c r="C76" s="24">
        <v>116</v>
      </c>
      <c r="D76" s="147">
        <f t="shared" si="358"/>
        <v>116</v>
      </c>
      <c r="E76" s="142">
        <f t="shared" si="359"/>
        <v>1392</v>
      </c>
      <c r="F76" s="14" cm="1">
        <f t="array" ref="F76">IFERROR(_xlfn.IFS(VALUE(MID(F$5,6,1))&gt;$D$2,0,$B76="Annual",1,E76=12,12,$B76="Monthly V",E76*(1+$D$3),$B76="Monthly F",12,$B76="One-Time",0),E76*(1+$D$3))</f>
        <v>1670.3999999999999</v>
      </c>
      <c r="G76" s="14" cm="1">
        <f t="array" ref="G76">IFERROR(_xlfn.IFS(VALUE(MID(G$5,6,1))&gt;$D$2,0,$B76="Annual",1,F76=12,12,$B76="Monthly V",F76*(1+$D$3),$B76="Monthly F",12,$B76="One-Time",0),F76*(1+$D$3))</f>
        <v>2004.4799999999998</v>
      </c>
      <c r="H76" s="14" cm="1">
        <f t="array" ref="H76">IFERROR(_xlfn.IFS(VALUE(MID(H$5,6,1))&gt;$D$2,0,$B76="Annual",1,G76=12,12,$B76="Monthly V",G76*(1+$D$3),$B76="Monthly F",12,$B76="One-Time",0),G76*(1+$D$3))</f>
        <v>2405.3759999999997</v>
      </c>
      <c r="I76" s="14" cm="1">
        <f t="array" ref="I76">IFERROR(_xlfn.IFS(VALUE(MID(I$5,6,1))&gt;$D$2,0,$B76="Annual",1,H76=12,12,$B76="Monthly V",H76*(1+$D$3),$B76="Monthly F",12,$B76="One-Time",0),H76*(1+$D$3))</f>
        <v>2886.4511999999995</v>
      </c>
      <c r="J76" s="14" cm="1">
        <f t="array" ref="J76">IFERROR(_xlfn.IFS(VALUE(MID(J$5,6,1))&gt;$D$2,0,$B76="Annual",1,I76=12,12,$B76="Monthly V",I76*(1+$D$3),$B76="Monthly F",12,$B76="One-Time",0),I76*(1+$D$3))</f>
        <v>3463.7414399999993</v>
      </c>
      <c r="K76" s="14" cm="1">
        <f t="array" ref="K76">IFERROR(_xlfn.IFS(VALUE(MID(K$5,6,1))&gt;$D$2,0,$B76="Annual",1,J76=12,12,$B76="Monthly V",J76*(1+$D$3),$B76="Monthly F",12,$B76="One-Time",0),J76*(1+$D$3))</f>
        <v>4156.4897279999986</v>
      </c>
      <c r="L76" s="14" cm="1">
        <f t="array" ref="L76">IFERROR(_xlfn.IFS(VALUE(MID(L$5,6,1))&gt;$D$2,0,$B76="Annual",1,K76=12,12,$B76="Monthly V",K76*(1+$D$3),$B76="Monthly F",12,$B76="One-Time",0),K76*(1+$D$3))</f>
        <v>0</v>
      </c>
      <c r="M76" s="14" cm="1">
        <f t="array" ref="M76">IFERROR(_xlfn.IFS(VALUE(MID(M$5,6,1))&gt;$D$2,0,$B76="Annual",1,L76=12,12,$B76="Monthly V",L76*(1+$D$3),$B76="Monthly F",12,$B76="One-Time",0),L76*(1+$D$3))</f>
        <v>0</v>
      </c>
      <c r="N76" s="24" cm="1">
        <f t="array" ref="N76">IFERROR(_xlfn.IFS(VALUE(MID(N$5,6,2))&gt;$D$2,0,$B76="Annual",1,M76=12,12,$B76="Monthly V",M76*(1+$D$3),$B76="Monthly F",12,$B76="One-Time",0),M76*(1+$D$3))</f>
        <v>0</v>
      </c>
      <c r="O76" s="127" t="s">
        <v>132</v>
      </c>
      <c r="P76" s="13"/>
      <c r="Q76" s="20">
        <v>0.65</v>
      </c>
      <c r="R76" s="21">
        <f t="shared" si="360"/>
        <v>75.400000000000006</v>
      </c>
      <c r="S76" s="6">
        <f t="shared" si="361"/>
        <v>904.80000000000007</v>
      </c>
      <c r="T76" s="6">
        <f t="shared" si="362"/>
        <v>1085.76</v>
      </c>
      <c r="U76" s="6">
        <f t="shared" si="363"/>
        <v>1302.9119999999998</v>
      </c>
      <c r="V76" s="6">
        <f t="shared" si="364"/>
        <v>1563.4943999999998</v>
      </c>
      <c r="W76" s="6">
        <f t="shared" si="365"/>
        <v>1876.1932799999997</v>
      </c>
      <c r="X76" s="6">
        <f t="shared" si="366"/>
        <v>2251.4319359999995</v>
      </c>
      <c r="Y76" s="6">
        <f t="shared" si="367"/>
        <v>2701.7183231999993</v>
      </c>
      <c r="Z76" s="6">
        <f t="shared" si="368"/>
        <v>0</v>
      </c>
      <c r="AA76" s="6">
        <f t="shared" si="369"/>
        <v>0</v>
      </c>
      <c r="AB76" s="6">
        <f t="shared" si="370"/>
        <v>0</v>
      </c>
      <c r="AC76" s="7"/>
      <c r="AD76" s="152">
        <f t="shared" si="371"/>
        <v>32.572800000000029</v>
      </c>
      <c r="AE76" s="152">
        <f t="shared" si="372"/>
        <v>79.347340799999927</v>
      </c>
      <c r="AF76" s="152">
        <f t="shared" si="373"/>
        <v>144.9781452288</v>
      </c>
      <c r="AG76" s="152">
        <f t="shared" si="374"/>
        <v>235.4787859027966</v>
      </c>
      <c r="AH76" s="152">
        <f t="shared" si="375"/>
        <v>358.59473745585643</v>
      </c>
      <c r="AI76" s="152">
        <f t="shared" si="376"/>
        <v>524.27464519143871</v>
      </c>
      <c r="AJ76" s="152">
        <f t="shared" si="377"/>
        <v>0</v>
      </c>
      <c r="AK76" s="152">
        <f t="shared" si="378"/>
        <v>0</v>
      </c>
      <c r="AL76" s="152">
        <f t="shared" si="379"/>
        <v>0</v>
      </c>
      <c r="AM76" s="9">
        <f t="shared" si="380"/>
        <v>1375.2464545788916</v>
      </c>
      <c r="AN76" s="80">
        <f t="shared" si="381"/>
        <v>13061.556393778888</v>
      </c>
      <c r="AP76" s="102" t="s">
        <v>0</v>
      </c>
      <c r="AQ76" s="12">
        <v>1</v>
      </c>
      <c r="AR76" s="14">
        <f t="shared" si="353"/>
        <v>12</v>
      </c>
      <c r="AS76" s="14" cm="1">
        <f t="array" ref="AS76">IFERROR(_xlfn.IFS(VALUE(MID(AS$5,6,1))&gt;$D$2,0,$AP76="Annual",1,AR76=12,12,$AP76="Monthly V",AR76*(1+$BD$2),$AP76="Monthly F",12,$AP76="One-Time",0),AR76*(1+$BD$2))</f>
        <v>12</v>
      </c>
      <c r="AT76" s="14" cm="1">
        <f t="array" ref="AT76">IFERROR(_xlfn.IFS(VALUE(MID(AT$5,6,1))&gt;$D$2,0,$AP76="Annual",1,AS76=12,12,$AP76="Monthly V",AS76*(1+$BD$2),$AP76="Monthly F",12,$AP76="One-Time",0),AS76*(1+$BD$2))</f>
        <v>12</v>
      </c>
      <c r="AU76" s="14" cm="1">
        <f t="array" ref="AU76">IFERROR(_xlfn.IFS(VALUE(MID(AU$5,6,1))&gt;$D$2,0,$AP76="Annual",1,AT76=12,12,$AP76="Monthly V",AT76*(1+$BD$2),$AP76="Monthly F",12,$AP76="One-Time",0),AT76*(1+$BD$2))</f>
        <v>12</v>
      </c>
      <c r="AV76" s="14" cm="1">
        <f t="array" ref="AV76">IFERROR(_xlfn.IFS(VALUE(MID(AV$5,6,1))&gt;$D$2,0,$AP76="Annual",1,AU76=12,12,$AP76="Monthly V",AU76*(1+$BD$2),$AP76="Monthly F",12,$AP76="One-Time",0),AU76*(1+$BD$2))</f>
        <v>12</v>
      </c>
      <c r="AW76" s="14" cm="1">
        <f t="array" ref="AW76">IFERROR(_xlfn.IFS(VALUE(MID(AW$5,6,1))&gt;$D$2,0,$AP76="Annual",1,AV76=12,12,$AP76="Monthly V",AV76*(1+$BD$2),$AP76="Monthly F",12,$AP76="One-Time",0),AV76*(1+$BD$2))</f>
        <v>12</v>
      </c>
      <c r="AX76" s="14" cm="1">
        <f t="array" ref="AX76">IFERROR(_xlfn.IFS(VALUE(MID(AX$5,6,1))&gt;$D$2,0,$AP76="Annual",1,AW76=12,12,$AP76="Monthly V",AW76*(1+$BD$2),$AP76="Monthly F",12,$AP76="One-Time",0),AW76*(1+$BD$2))</f>
        <v>12</v>
      </c>
      <c r="AY76" s="14" cm="1">
        <f t="array" ref="AY76">IFERROR(_xlfn.IFS(VALUE(MID(AY$5,6,1))&gt;$D$2,0,$AP76="Annual",1,AX76=12,12,$AP76="Monthly V",AX76*(1+$D$3),$AP76="Monthly F",12,$AP76="One-Time",0),AX76*(1+$D$3))</f>
        <v>0</v>
      </c>
      <c r="AZ76" s="14" cm="1">
        <f t="array" ref="AZ76">IFERROR(_xlfn.IFS(VALUE(MID(AZ$5,6,1))&gt;$D$2,0,$AP76="Annual",1,AY76=12,12,$AP76="Monthly V",AY76*(1+$D$3),$AP76="Monthly F",12,$AP76="One-Time",0),AY76*(1+$D$3))</f>
        <v>0</v>
      </c>
      <c r="BA76" s="125" cm="1">
        <f t="array" ref="BA76">IFERROR(_xlfn.IFS(VALUE(MID(BA$5,6,2))&gt;$D$2,0,$AP76="Annual",1,AZ76=12,12,$AP76="Monthly V",AZ76*(1+$D$3),$AP76="Monthly F",12,$AP76="One-Time",0),AZ76*(1+$D$3))</f>
        <v>0</v>
      </c>
      <c r="BB76" s="148" t="s">
        <v>327</v>
      </c>
      <c r="BC76" s="38" t="s">
        <v>221</v>
      </c>
      <c r="BD76" s="36">
        <v>114</v>
      </c>
      <c r="BE76" s="21">
        <f t="shared" ref="BE76:BE77" si="383">BF76/12</f>
        <v>114</v>
      </c>
      <c r="BF76" s="39">
        <f t="shared" si="354"/>
        <v>1368</v>
      </c>
      <c r="BG76" s="39">
        <f t="shared" si="355"/>
        <v>1368</v>
      </c>
      <c r="BH76" s="39">
        <f t="shared" si="356"/>
        <v>1368</v>
      </c>
      <c r="BI76" s="39">
        <f t="shared" si="350"/>
        <v>1409.04</v>
      </c>
      <c r="BJ76" s="39">
        <f t="shared" ref="BJ76:BL76" si="384">BI76*1.03</f>
        <v>1451.3112000000001</v>
      </c>
      <c r="BK76" s="39">
        <f t="shared" si="384"/>
        <v>1494.8505360000001</v>
      </c>
      <c r="BL76" s="39">
        <f t="shared" si="384"/>
        <v>1539.6960520800003</v>
      </c>
      <c r="BM76" s="39">
        <f t="shared" ref="BM76:BM77" si="385">IFERROR(AY76*$BD76,0)</f>
        <v>0</v>
      </c>
      <c r="BN76" s="39">
        <f t="shared" ref="BN76:BN77" si="386">IFERROR(AZ76*$BD76,0)</f>
        <v>0</v>
      </c>
      <c r="BO76" s="39">
        <f t="shared" ref="BO76:BO77" si="387">IFERROR(BA76*$BD76,0)</f>
        <v>0</v>
      </c>
      <c r="BP76" s="40"/>
      <c r="BQ76" s="40">
        <f t="shared" ref="BQ76:BQ77" si="388">IF(VALUE(MID(BQ$5,6,1))&lt;=$D$2,((1+$BD$3)^1-1)*BG76,0)</f>
        <v>41.040000000000035</v>
      </c>
      <c r="BR76" s="40">
        <f t="shared" ref="BR76:BR77" si="389">IF(VALUE(MID(BR$5,6,1))&lt;=$D$2,((1+$BD$3)^2-1)*BH76,0)</f>
        <v>83.311199999999943</v>
      </c>
      <c r="BS76" s="40">
        <f t="shared" ref="BS76:BS77" si="390">IF(VALUE(MID(BS$5,6,1))&lt;=$D$2,((1+$BD$3)^3-1)*BI76,0)</f>
        <v>130.65605207999999</v>
      </c>
      <c r="BT76" s="40">
        <f t="shared" ref="BT76:BT77" si="391">IF(VALUE(MID(BT$5,6,1))&lt;=$D$2,((1+$BD$3)^4-1)*BJ76,0)</f>
        <v>182.15234165167189</v>
      </c>
      <c r="BU76" s="40">
        <f t="shared" ref="BU76:BU77" si="392">IF(VALUE(MID(BU$5,6,1))&lt;=$D$2,((1+$BD$3)^5-1)*BK76,0)</f>
        <v>238.09093533825862</v>
      </c>
      <c r="BV76" s="40">
        <f t="shared" ref="BV76:BV77" si="393">IF(VALUE(MID(BV$5,6,1))&lt;=$D$2,((1+$BD$3)^6-1)*BL76,0)</f>
        <v>298.7815548627587</v>
      </c>
      <c r="BW76" s="40">
        <f t="shared" ref="BW76:BW77" si="394">IF(VALUE(MID(BW$5,6,1))&lt;=$D$2,((1+$BD$3)^7-1)*BM76,0)</f>
        <v>0</v>
      </c>
      <c r="BX76" s="40">
        <f t="shared" ref="BX76:BX77" si="395">IF(VALUE(MID(BX$5,6,1))&lt;=$D$2,((1+$BD$3)^8-1)*BN76,0)</f>
        <v>0</v>
      </c>
      <c r="BY76" s="40">
        <f t="shared" ref="BY76:BY77" si="396">IF(VALUE(MID(BY$5,6,2))&lt;=$D$2,((1+$BD$3)^9-1)*BO76,0)</f>
        <v>0</v>
      </c>
      <c r="BZ76" s="40">
        <f t="shared" ref="BZ76:BZ77" si="397">SUM(BP76:BY76)</f>
        <v>974.03208393268915</v>
      </c>
      <c r="CA76" s="37">
        <f t="shared" ref="CA76:CA77" si="398">SUM(BZ76,BF76:BO76)</f>
        <v>10972.92987201269</v>
      </c>
      <c r="CC76" s="102"/>
      <c r="CD76" s="12"/>
      <c r="CE76" s="14"/>
      <c r="CF76" s="14"/>
      <c r="CG76" s="14"/>
      <c r="CH76" s="14"/>
      <c r="CI76" s="14"/>
      <c r="CJ76" s="14"/>
      <c r="CK76" s="14"/>
      <c r="CL76" s="14"/>
      <c r="CM76" s="14"/>
      <c r="CN76" s="24"/>
      <c r="CO76" s="63"/>
      <c r="CP76" s="53"/>
      <c r="CQ76" s="21"/>
      <c r="CR76" s="55"/>
      <c r="CS76" s="55"/>
      <c r="CT76" s="55"/>
      <c r="CU76" s="55"/>
      <c r="CV76" s="55"/>
      <c r="CW76" s="55"/>
      <c r="CX76" s="55"/>
      <c r="CY76" s="55"/>
      <c r="CZ76" s="55"/>
      <c r="DA76" s="55"/>
      <c r="DB76" s="56"/>
      <c r="DC76" s="56"/>
      <c r="DD76" s="56"/>
      <c r="DE76" s="56"/>
      <c r="DF76" s="56"/>
      <c r="DG76" s="56"/>
      <c r="DH76" s="56"/>
      <c r="DI76" s="56"/>
      <c r="DJ76" s="56"/>
      <c r="DK76" s="56"/>
      <c r="DL76" s="57"/>
      <c r="DM76" s="54"/>
      <c r="DO76" s="106"/>
    </row>
    <row r="77" spans="2:119" ht="15.75" thickBot="1" x14ac:dyDescent="0.3">
      <c r="B77" s="141" t="s">
        <v>3</v>
      </c>
      <c r="C77" s="24">
        <v>1</v>
      </c>
      <c r="D77" s="147">
        <f t="shared" si="358"/>
        <v>1</v>
      </c>
      <c r="E77" s="142">
        <f t="shared" si="359"/>
        <v>1</v>
      </c>
      <c r="F77" s="14" cm="1">
        <f t="array" ref="F77">IFERROR(_xlfn.IFS(VALUE(MID(F$5,6,1))&gt;$D$2,0,$B77="Annual",1,E77=12,12,$B77="Monthly V",E77*(1+$D$3),$B77="Monthly F",12,$B77="One-Time",0),E77*(1+$D$3))</f>
        <v>0</v>
      </c>
      <c r="G77" s="14" cm="1">
        <f t="array" ref="G77">IFERROR(_xlfn.IFS(VALUE(MID(G$5,6,1))&gt;$D$2,0,$B77="Annual",1,F77=12,12,$B77="Monthly V",F77*(1+$D$3),$B77="Monthly F",12,$B77="One-Time",0),F77*(1+$D$3))</f>
        <v>0</v>
      </c>
      <c r="H77" s="14" cm="1">
        <f t="array" ref="H77">IFERROR(_xlfn.IFS(VALUE(MID(H$5,6,1))&gt;$D$2,0,$B77="Annual",1,G77=12,12,$B77="Monthly V",G77*(1+$D$3),$B77="Monthly F",12,$B77="One-Time",0),G77*(1+$D$3))</f>
        <v>0</v>
      </c>
      <c r="I77" s="14" cm="1">
        <f t="array" ref="I77">IFERROR(_xlfn.IFS(VALUE(MID(I$5,6,1))&gt;$D$2,0,$B77="Annual",1,H77=12,12,$B77="Monthly V",H77*(1+$D$3),$B77="Monthly F",12,$B77="One-Time",0),H77*(1+$D$3))</f>
        <v>0</v>
      </c>
      <c r="J77" s="14" cm="1">
        <f t="array" ref="J77">IFERROR(_xlfn.IFS(VALUE(MID(J$5,6,1))&gt;$D$2,0,$B77="Annual",1,I77=12,12,$B77="Monthly V",I77*(1+$D$3),$B77="Monthly F",12,$B77="One-Time",0),I77*(1+$D$3))</f>
        <v>0</v>
      </c>
      <c r="K77" s="14" cm="1">
        <f t="array" ref="K77">IFERROR(_xlfn.IFS(VALUE(MID(K$5,6,1))&gt;$D$2,0,$B77="Annual",1,J77=12,12,$B77="Monthly V",J77*(1+$D$3),$B77="Monthly F",12,$B77="One-Time",0),J77*(1+$D$3))</f>
        <v>0</v>
      </c>
      <c r="L77" s="14" cm="1">
        <f t="array" ref="L77">IFERROR(_xlfn.IFS(VALUE(MID(L$5,6,1))&gt;$D$2,0,$B77="Annual",1,K77=12,12,$B77="Monthly V",K77*(1+$D$3),$B77="Monthly F",12,$B77="One-Time",0),K77*(1+$D$3))</f>
        <v>0</v>
      </c>
      <c r="M77" s="14" cm="1">
        <f t="array" ref="M77">IFERROR(_xlfn.IFS(VALUE(MID(M$5,6,1))&gt;$D$2,0,$B77="Annual",1,L77=12,12,$B77="Monthly V",L77*(1+$D$3),$B77="Monthly F",12,$B77="One-Time",0),L77*(1+$D$3))</f>
        <v>0</v>
      </c>
      <c r="N77" s="24" cm="1">
        <f t="array" ref="N77">IFERROR(_xlfn.IFS(VALUE(MID(N$5,6,2))&gt;$D$2,0,$B77="Annual",1,M77=12,12,$B77="Monthly V",M77*(1+$D$3),$B77="Monthly F",12,$B77="One-Time",0),M77*(1+$D$3))</f>
        <v>0</v>
      </c>
      <c r="O77" s="127" t="s">
        <v>133</v>
      </c>
      <c r="P77" s="13"/>
      <c r="Q77" s="20">
        <v>37500</v>
      </c>
      <c r="R77" s="21">
        <f t="shared" si="360"/>
        <v>3125</v>
      </c>
      <c r="S77" s="6">
        <f t="shared" si="361"/>
        <v>37500</v>
      </c>
      <c r="T77" s="6">
        <f t="shared" si="362"/>
        <v>0</v>
      </c>
      <c r="U77" s="6">
        <f t="shared" si="363"/>
        <v>0</v>
      </c>
      <c r="V77" s="6">
        <f t="shared" si="364"/>
        <v>0</v>
      </c>
      <c r="W77" s="6">
        <f t="shared" si="365"/>
        <v>0</v>
      </c>
      <c r="X77" s="6">
        <f t="shared" si="366"/>
        <v>0</v>
      </c>
      <c r="Y77" s="6">
        <f t="shared" si="367"/>
        <v>0</v>
      </c>
      <c r="Z77" s="6">
        <f t="shared" si="368"/>
        <v>0</v>
      </c>
      <c r="AA77" s="6">
        <f t="shared" si="369"/>
        <v>0</v>
      </c>
      <c r="AB77" s="6">
        <f t="shared" si="370"/>
        <v>0</v>
      </c>
      <c r="AC77" s="7"/>
      <c r="AD77" s="152">
        <f t="shared" si="371"/>
        <v>0</v>
      </c>
      <c r="AE77" s="152">
        <f t="shared" si="372"/>
        <v>0</v>
      </c>
      <c r="AF77" s="152">
        <f t="shared" si="373"/>
        <v>0</v>
      </c>
      <c r="AG77" s="152">
        <f t="shared" si="374"/>
        <v>0</v>
      </c>
      <c r="AH77" s="152">
        <f t="shared" si="375"/>
        <v>0</v>
      </c>
      <c r="AI77" s="152">
        <f t="shared" si="376"/>
        <v>0</v>
      </c>
      <c r="AJ77" s="152">
        <f t="shared" si="377"/>
        <v>0</v>
      </c>
      <c r="AK77" s="152">
        <f t="shared" si="378"/>
        <v>0</v>
      </c>
      <c r="AL77" s="152">
        <f t="shared" si="379"/>
        <v>0</v>
      </c>
      <c r="AM77" s="9">
        <f t="shared" si="380"/>
        <v>0</v>
      </c>
      <c r="AN77" s="80">
        <f t="shared" si="381"/>
        <v>37500</v>
      </c>
      <c r="AP77" s="102" t="s">
        <v>0</v>
      </c>
      <c r="AQ77" s="12">
        <v>1</v>
      </c>
      <c r="AR77" s="14">
        <f t="shared" si="353"/>
        <v>12</v>
      </c>
      <c r="AS77" s="14" cm="1">
        <f t="array" ref="AS77">IFERROR(_xlfn.IFS(VALUE(MID(AS$5,6,1))&gt;$D$2,0,$AP77="Annual",1,AR77=12,12,$AP77="Monthly V",AR77*(1+$BD$2),$AP77="Monthly F",12,$AP77="One-Time",0),AR77*(1+$BD$2))</f>
        <v>12</v>
      </c>
      <c r="AT77" s="14" cm="1">
        <f t="array" ref="AT77">IFERROR(_xlfn.IFS(VALUE(MID(AT$5,6,1))&gt;$D$2,0,$AP77="Annual",1,AS77=12,12,$AP77="Monthly V",AS77*(1+$BD$2),$AP77="Monthly F",12,$AP77="One-Time",0),AS77*(1+$BD$2))</f>
        <v>12</v>
      </c>
      <c r="AU77" s="14" cm="1">
        <f t="array" ref="AU77">IFERROR(_xlfn.IFS(VALUE(MID(AU$5,6,1))&gt;$D$2,0,$AP77="Annual",1,AT77=12,12,$AP77="Monthly V",AT77*(1+$BD$2),$AP77="Monthly F",12,$AP77="One-Time",0),AT77*(1+$BD$2))</f>
        <v>12</v>
      </c>
      <c r="AV77" s="14" cm="1">
        <f t="array" ref="AV77">IFERROR(_xlfn.IFS(VALUE(MID(AV$5,6,1))&gt;$D$2,0,$AP77="Annual",1,AU77=12,12,$AP77="Monthly V",AU77*(1+$BD$2),$AP77="Monthly F",12,$AP77="One-Time",0),AU77*(1+$BD$2))</f>
        <v>12</v>
      </c>
      <c r="AW77" s="14" cm="1">
        <f t="array" ref="AW77">IFERROR(_xlfn.IFS(VALUE(MID(AW$5,6,1))&gt;$D$2,0,$AP77="Annual",1,AV77=12,12,$AP77="Monthly V",AV77*(1+$BD$2),$AP77="Monthly F",12,$AP77="One-Time",0),AV77*(1+$BD$2))</f>
        <v>12</v>
      </c>
      <c r="AX77" s="14" cm="1">
        <f t="array" ref="AX77">IFERROR(_xlfn.IFS(VALUE(MID(AX$5,6,1))&gt;$D$2,0,$AP77="Annual",1,AW77=12,12,$AP77="Monthly V",AW77*(1+$BD$2),$AP77="Monthly F",12,$AP77="One-Time",0),AW77*(1+$BD$2))</f>
        <v>12</v>
      </c>
      <c r="AY77" s="14" cm="1">
        <f t="array" ref="AY77">IFERROR(_xlfn.IFS(VALUE(MID(AY$5,6,1))&gt;$D$2,0,$AP77="Annual",1,AX77=12,12,$AP77="Monthly V",AX77*(1+$D$3),$AP77="Monthly F",12,$AP77="One-Time",0),AX77*(1+$D$3))</f>
        <v>0</v>
      </c>
      <c r="AZ77" s="14" cm="1">
        <f t="array" ref="AZ77">IFERROR(_xlfn.IFS(VALUE(MID(AZ$5,6,1))&gt;$D$2,0,$AP77="Annual",1,AY77=12,12,$AP77="Monthly V",AY77*(1+$D$3),$AP77="Monthly F",12,$AP77="One-Time",0),AY77*(1+$D$3))</f>
        <v>0</v>
      </c>
      <c r="BA77" s="125" cm="1">
        <f t="array" ref="BA77">IFERROR(_xlfn.IFS(VALUE(MID(BA$5,6,2))&gt;$D$2,0,$AP77="Annual",1,AZ77=12,12,$AP77="Monthly V",AZ77*(1+$D$3),$AP77="Monthly F",12,$AP77="One-Time",0),AZ77*(1+$D$3))</f>
        <v>0</v>
      </c>
      <c r="BB77" s="148" t="s">
        <v>336</v>
      </c>
      <c r="BC77" s="38" t="s">
        <v>233</v>
      </c>
      <c r="BD77" s="36">
        <v>401.25</v>
      </c>
      <c r="BE77" s="21">
        <f t="shared" si="383"/>
        <v>401.25</v>
      </c>
      <c r="BF77" s="39">
        <f>IFERROR(AR77*$BD77,0)</f>
        <v>4815</v>
      </c>
      <c r="BG77" s="39">
        <f t="shared" si="355"/>
        <v>4815</v>
      </c>
      <c r="BH77" s="39">
        <f t="shared" si="356"/>
        <v>4815</v>
      </c>
      <c r="BI77" s="39">
        <f t="shared" si="350"/>
        <v>4959.45</v>
      </c>
      <c r="BJ77" s="39">
        <f t="shared" ref="BJ77:BL79" si="399">BI77*1.03</f>
        <v>5108.2335000000003</v>
      </c>
      <c r="BK77" s="39">
        <f t="shared" si="399"/>
        <v>5261.4805050000004</v>
      </c>
      <c r="BL77" s="39">
        <f t="shared" si="399"/>
        <v>5419.3249201500003</v>
      </c>
      <c r="BM77" s="39">
        <f t="shared" si="385"/>
        <v>0</v>
      </c>
      <c r="BN77" s="39">
        <f t="shared" si="386"/>
        <v>0</v>
      </c>
      <c r="BO77" s="39">
        <f t="shared" si="387"/>
        <v>0</v>
      </c>
      <c r="BP77" s="40"/>
      <c r="BQ77" s="40">
        <f t="shared" si="388"/>
        <v>144.45000000000013</v>
      </c>
      <c r="BR77" s="40">
        <f t="shared" si="389"/>
        <v>293.23349999999976</v>
      </c>
      <c r="BS77" s="40">
        <f t="shared" si="390"/>
        <v>459.87492014999998</v>
      </c>
      <c r="BT77" s="40">
        <f t="shared" si="391"/>
        <v>641.12830778713464</v>
      </c>
      <c r="BU77" s="40">
        <f t="shared" si="392"/>
        <v>838.01743688137083</v>
      </c>
      <c r="BV77" s="40">
        <f t="shared" si="393"/>
        <v>1051.6324463919466</v>
      </c>
      <c r="BW77" s="40">
        <f t="shared" si="394"/>
        <v>0</v>
      </c>
      <c r="BX77" s="40">
        <f t="shared" si="395"/>
        <v>0</v>
      </c>
      <c r="BY77" s="40">
        <f t="shared" si="396"/>
        <v>0</v>
      </c>
      <c r="BZ77" s="40">
        <f t="shared" si="397"/>
        <v>3428.3366112104522</v>
      </c>
      <c r="CA77" s="37">
        <f t="shared" si="398"/>
        <v>38621.825536360455</v>
      </c>
      <c r="CC77" s="102"/>
      <c r="CD77" s="12"/>
      <c r="CE77" s="14"/>
      <c r="CF77" s="14"/>
      <c r="CG77" s="14"/>
      <c r="CH77" s="14"/>
      <c r="CI77" s="14"/>
      <c r="CJ77" s="14"/>
      <c r="CK77" s="14"/>
      <c r="CL77" s="14"/>
      <c r="CM77" s="14"/>
      <c r="CN77" s="24"/>
      <c r="CO77" s="63"/>
      <c r="CP77" s="53"/>
      <c r="CQ77" s="21"/>
      <c r="CR77" s="55"/>
      <c r="CS77" s="55"/>
      <c r="CT77" s="55"/>
      <c r="CU77" s="55"/>
      <c r="CV77" s="55"/>
      <c r="CW77" s="55"/>
      <c r="CX77" s="55"/>
      <c r="CY77" s="55"/>
      <c r="CZ77" s="55"/>
      <c r="DA77" s="55"/>
      <c r="DB77" s="56"/>
      <c r="DC77" s="56"/>
      <c r="DD77" s="56"/>
      <c r="DE77" s="56"/>
      <c r="DF77" s="56"/>
      <c r="DG77" s="56"/>
      <c r="DH77" s="56"/>
      <c r="DI77" s="56"/>
      <c r="DJ77" s="56"/>
      <c r="DK77" s="56"/>
      <c r="DL77" s="57"/>
      <c r="DM77" s="54"/>
      <c r="DO77" s="106"/>
    </row>
    <row r="78" spans="2:119" ht="15.75" thickBot="1" x14ac:dyDescent="0.3">
      <c r="B78" s="141"/>
      <c r="C78" s="24"/>
      <c r="D78" s="147"/>
      <c r="E78" s="142"/>
      <c r="F78" s="14"/>
      <c r="G78" s="14"/>
      <c r="H78" s="14"/>
      <c r="I78" s="14"/>
      <c r="J78" s="14"/>
      <c r="K78" s="14"/>
      <c r="L78" s="14"/>
      <c r="M78" s="14"/>
      <c r="N78" s="24"/>
      <c r="O78" s="127"/>
      <c r="P78" s="13"/>
      <c r="Q78" s="20"/>
      <c r="R78" s="21"/>
      <c r="S78" s="6"/>
      <c r="T78" s="6"/>
      <c r="U78" s="6"/>
      <c r="V78" s="6"/>
      <c r="W78" s="6"/>
      <c r="X78" s="6"/>
      <c r="Y78" s="6"/>
      <c r="Z78" s="6"/>
      <c r="AA78" s="6"/>
      <c r="AB78" s="6"/>
      <c r="AC78" s="7"/>
      <c r="AD78" s="152"/>
      <c r="AE78" s="152"/>
      <c r="AF78" s="152"/>
      <c r="AG78" s="152"/>
      <c r="AH78" s="152"/>
      <c r="AI78" s="152"/>
      <c r="AJ78" s="152"/>
      <c r="AK78" s="152"/>
      <c r="AL78" s="152"/>
      <c r="AM78" s="9"/>
      <c r="AN78" s="80"/>
      <c r="AP78" s="239" t="s">
        <v>234</v>
      </c>
      <c r="AQ78" s="214"/>
      <c r="AR78" s="214"/>
      <c r="AS78" s="214"/>
      <c r="AT78" s="214"/>
      <c r="AU78" s="214"/>
      <c r="AV78" s="214"/>
      <c r="AW78" s="214"/>
      <c r="AX78" s="214"/>
      <c r="AY78" s="214"/>
      <c r="AZ78" s="214"/>
      <c r="BA78" s="214"/>
      <c r="BB78" s="214"/>
      <c r="BC78" s="214"/>
      <c r="BD78" s="214"/>
      <c r="BE78" s="214"/>
      <c r="BF78" s="214"/>
      <c r="BG78" s="214"/>
      <c r="BH78" s="214"/>
      <c r="BI78" s="214"/>
      <c r="BJ78" s="214"/>
      <c r="BK78" s="214"/>
      <c r="BL78" s="214"/>
      <c r="BM78" s="214"/>
      <c r="BN78" s="214"/>
      <c r="BO78" s="214"/>
      <c r="BP78" s="214"/>
      <c r="BQ78" s="214"/>
      <c r="BR78" s="214"/>
      <c r="BS78" s="214"/>
      <c r="BT78" s="214"/>
      <c r="BU78" s="214"/>
      <c r="BV78" s="214"/>
      <c r="BW78" s="214"/>
      <c r="BX78" s="214"/>
      <c r="BY78" s="214"/>
      <c r="BZ78" s="214"/>
      <c r="CA78" s="240"/>
      <c r="CC78" s="102"/>
      <c r="CD78" s="12"/>
      <c r="CE78" s="14"/>
      <c r="CF78" s="14"/>
      <c r="CG78" s="14"/>
      <c r="CH78" s="14"/>
      <c r="CI78" s="14"/>
      <c r="CJ78" s="14"/>
      <c r="CK78" s="14"/>
      <c r="CL78" s="14"/>
      <c r="CM78" s="14"/>
      <c r="CN78" s="24"/>
      <c r="CO78" s="63"/>
      <c r="CP78" s="53"/>
      <c r="CQ78" s="21"/>
      <c r="CR78" s="55"/>
      <c r="CS78" s="55"/>
      <c r="CT78" s="55"/>
      <c r="CU78" s="55"/>
      <c r="CV78" s="55"/>
      <c r="CW78" s="55"/>
      <c r="CX78" s="55"/>
      <c r="CY78" s="55"/>
      <c r="CZ78" s="55"/>
      <c r="DA78" s="55"/>
      <c r="DB78" s="56"/>
      <c r="DC78" s="56"/>
      <c r="DD78" s="56"/>
      <c r="DE78" s="56"/>
      <c r="DF78" s="56"/>
      <c r="DG78" s="56"/>
      <c r="DH78" s="56"/>
      <c r="DI78" s="56"/>
      <c r="DJ78" s="56"/>
      <c r="DK78" s="56"/>
      <c r="DL78" s="57"/>
      <c r="DM78" s="54"/>
      <c r="DO78" s="106"/>
    </row>
    <row r="79" spans="2:119" ht="14.25" customHeight="1" x14ac:dyDescent="0.25">
      <c r="B79" s="141"/>
      <c r="C79" s="24"/>
      <c r="D79" s="147"/>
      <c r="E79" s="142"/>
      <c r="F79" s="14"/>
      <c r="G79" s="14"/>
      <c r="H79" s="14"/>
      <c r="I79" s="14"/>
      <c r="J79" s="14"/>
      <c r="K79" s="14"/>
      <c r="L79" s="14"/>
      <c r="M79" s="14"/>
      <c r="N79" s="24"/>
      <c r="O79" s="127"/>
      <c r="P79" s="13"/>
      <c r="Q79" s="20"/>
      <c r="R79" s="21"/>
      <c r="S79" s="6"/>
      <c r="T79" s="6"/>
      <c r="U79" s="6"/>
      <c r="V79" s="6"/>
      <c r="W79" s="6"/>
      <c r="X79" s="6"/>
      <c r="Y79" s="6"/>
      <c r="Z79" s="6"/>
      <c r="AA79" s="6"/>
      <c r="AB79" s="6"/>
      <c r="AC79" s="7"/>
      <c r="AD79" s="152"/>
      <c r="AE79" s="152"/>
      <c r="AF79" s="152"/>
      <c r="AG79" s="152"/>
      <c r="AH79" s="152"/>
      <c r="AI79" s="152"/>
      <c r="AJ79" s="152"/>
      <c r="AK79" s="152"/>
      <c r="AL79" s="152"/>
      <c r="AM79" s="9"/>
      <c r="AN79" s="80"/>
      <c r="AP79" s="102" t="s">
        <v>2</v>
      </c>
      <c r="AQ79" s="12">
        <v>1</v>
      </c>
      <c r="AR79" s="14">
        <f t="shared" ref="AR79:AR84" si="400">IF($AP79="Annual",1,IF($AP79="Monthly F",12,IF($AP79="Monthly V",AQ79*12,IF($AP79="One-Time",1,AQ79*12))))</f>
        <v>1</v>
      </c>
      <c r="AS79" s="14" cm="1">
        <f t="array" ref="AS79">IFERROR(_xlfn.IFS(VALUE(MID(AS$5,6,1))&gt;$D$2,0,$AP79="Annual",1,AR79=12,12,$AP79="Monthly V",AR79*(1+$D$3),$AP79="Monthly F",12,$AP79="One-Time",0),AR79*(1+$D$3))</f>
        <v>1</v>
      </c>
      <c r="AT79" s="14" cm="1">
        <f t="array" ref="AT79">IFERROR(_xlfn.IFS(VALUE(MID(AT$5,6,1))&gt;$D$2,0,$AP79="Annual",1,AS79=12,12,$AP79="Monthly V",AS79*(1+$D$3),$AP79="Monthly F",12,$AP79="One-Time",0),AS79*(1+$D$3))</f>
        <v>1</v>
      </c>
      <c r="AU79" s="14" cm="1">
        <f t="array" ref="AU79">IFERROR(_xlfn.IFS(VALUE(MID(AU$5,6,1))&gt;$D$2,0,$AP79="Annual",1,AT79=12,12,$AP79="Monthly V",AT79*(1+$D$3),$AP79="Monthly F",12,$AP79="One-Time",0),AT79*(1+$D$3))</f>
        <v>1</v>
      </c>
      <c r="AV79" s="14" cm="1">
        <f t="array" ref="AV79">IFERROR(_xlfn.IFS(VALUE(MID(AV$5,6,1))&gt;$D$2,0,$AP79="Annual",1,AU79=12,12,$AP79="Monthly V",AU79*(1+$D$3),$AP79="Monthly F",12,$AP79="One-Time",0),AU79*(1+$D$3))</f>
        <v>1</v>
      </c>
      <c r="AW79" s="14" cm="1">
        <f t="array" ref="AW79">IFERROR(_xlfn.IFS(VALUE(MID(AW$5,6,1))&gt;$D$2,0,$AP79="Annual",1,AV79=12,12,$AP79="Monthly V",AV79*(1+$D$3),$AP79="Monthly F",12,$AP79="One-Time",0),AV79*(1+$D$3))</f>
        <v>1</v>
      </c>
      <c r="AX79" s="14" cm="1">
        <f t="array" ref="AX79">IFERROR(_xlfn.IFS(VALUE(MID(AX$5,6,1))&gt;$D$2,0,$AP79="Annual",1,AW79=12,12,$AP79="Monthly V",AW79*(1+$D$3),$AP79="Monthly F",12,$AP79="One-Time",0),AW79*(1+$D$3))</f>
        <v>1</v>
      </c>
      <c r="AY79" s="14" cm="1">
        <f t="array" ref="AY79">IFERROR(_xlfn.IFS(VALUE(MID(AY$5,6,1))&gt;$D$2,0,$AP79="Annual",1,AX79=12,12,$AP79="Monthly V",AX79*(1+$D$3),$AP79="Monthly F",12,$AP79="One-Time",0),AX79*(1+$D$3))</f>
        <v>0</v>
      </c>
      <c r="AZ79" s="14" cm="1">
        <f t="array" ref="AZ79">IFERROR(_xlfn.IFS(VALUE(MID(AZ$5,6,1))&gt;$D$2,0,$AP79="Annual",1,AY79=12,12,$AP79="Monthly V",AY79*(1+$D$3),$AP79="Monthly F",12,$AP79="One-Time",0),AY79*(1+$D$3))</f>
        <v>0</v>
      </c>
      <c r="BA79" s="125" cm="1">
        <f t="array" ref="BA79">IFERROR(_xlfn.IFS(VALUE(MID(BA$5,6,2))&gt;$D$2,0,$AP79="Annual",1,AZ79=12,12,$AP79="Monthly V",AZ79*(1+$D$3),$AP79="Monthly F",12,$AP79="One-Time",0),AZ79*(1+$D$3))</f>
        <v>0</v>
      </c>
      <c r="BB79" s="124" t="s">
        <v>241</v>
      </c>
      <c r="BC79" s="38" t="s">
        <v>223</v>
      </c>
      <c r="BD79" s="36">
        <v>630</v>
      </c>
      <c r="BE79" s="21">
        <f t="shared" ref="BE79:BE84" si="401">BF79/12</f>
        <v>52.5</v>
      </c>
      <c r="BF79" s="39">
        <f>IFERROR(AR79*$BD79,0)</f>
        <v>630</v>
      </c>
      <c r="BG79" s="39">
        <f t="shared" ref="BG79:BG84" si="402">IFERROR(AS79*$BD79,0)</f>
        <v>630</v>
      </c>
      <c r="BH79" s="39">
        <f>IFERROR(AT79*$BD79,0)</f>
        <v>630</v>
      </c>
      <c r="BI79" s="39">
        <f t="shared" si="350"/>
        <v>648.9</v>
      </c>
      <c r="BJ79" s="39">
        <f t="shared" si="399"/>
        <v>668.36699999999996</v>
      </c>
      <c r="BK79" s="39">
        <f t="shared" si="399"/>
        <v>688.41800999999998</v>
      </c>
      <c r="BL79" s="39">
        <f t="shared" si="399"/>
        <v>709.07055030000004</v>
      </c>
      <c r="BM79" s="39">
        <f t="shared" ref="BM79:BM84" si="403">IFERROR(AY79*$BD79,0)</f>
        <v>0</v>
      </c>
      <c r="BN79" s="39">
        <f t="shared" ref="BN79:BN84" si="404">IFERROR(AZ79*$BD79,0)</f>
        <v>0</v>
      </c>
      <c r="BO79" s="39">
        <f t="shared" ref="BO79:BO84" si="405">IFERROR(BA79*$BD79,0)</f>
        <v>0</v>
      </c>
      <c r="BP79" s="40"/>
      <c r="BQ79" s="40">
        <f t="shared" ref="BQ79:BQ84" si="406">IF(VALUE(MID(BQ$5,6,1))&lt;=$D$2,((1+$BD$3)^1-1)*BG79,0)</f>
        <v>18.900000000000016</v>
      </c>
      <c r="BR79" s="40">
        <f t="shared" ref="BR79:BR84" si="407">IF(VALUE(MID(BR$5,6,1))&lt;=$D$2,((1+$BD$3)^2-1)*BH79,0)</f>
        <v>38.366999999999969</v>
      </c>
      <c r="BS79" s="40">
        <f t="shared" ref="BS79:BS84" si="408">IF(VALUE(MID(BS$5,6,1))&lt;=$D$2,((1+$BD$3)^3-1)*BI79,0)</f>
        <v>60.170550300000002</v>
      </c>
      <c r="BT79" s="40">
        <f t="shared" ref="BT79:BT84" si="409">IF(VALUE(MID(BT$5,6,1))&lt;=$D$2,((1+$BD$3)^4-1)*BJ79,0)</f>
        <v>83.885946813269939</v>
      </c>
      <c r="BU79" s="40">
        <f t="shared" ref="BU79:BU84" si="410">IF(VALUE(MID(BU$5,6,1))&lt;=$D$2,((1+$BD$3)^5-1)*BK79,0)</f>
        <v>109.64714127419803</v>
      </c>
      <c r="BV79" s="40">
        <f t="shared" ref="BV79:BV84" si="411">IF(VALUE(MID(BV$5,6,1))&lt;=$D$2,((1+$BD$3)^6-1)*BL79,0)</f>
        <v>137.59676868679676</v>
      </c>
      <c r="BW79" s="40">
        <f t="shared" ref="BW79:BW84" si="412">IF(VALUE(MID(BW$5,6,1))&lt;=$D$2,((1+$BD$3)^7-1)*BM79,0)</f>
        <v>0</v>
      </c>
      <c r="BX79" s="40">
        <f t="shared" ref="BX79:BX84" si="413">IF(VALUE(MID(BX$5,6,1))&lt;=$D$2,((1+$BD$3)^8-1)*BN79,0)</f>
        <v>0</v>
      </c>
      <c r="BY79" s="40">
        <f t="shared" ref="BY79:BY84" si="414">IF(VALUE(MID(BY$5,6,2))&lt;=$D$2,((1+$BD$3)^9-1)*BO79,0)</f>
        <v>0</v>
      </c>
      <c r="BZ79" s="40">
        <f t="shared" ref="BZ79:BZ84" si="415">SUM(BP79:BY79)</f>
        <v>448.56740707426468</v>
      </c>
      <c r="CA79" s="37">
        <f t="shared" ref="CA79:CA84" si="416">SUM(BZ79,BF79:BO79)</f>
        <v>5053.3229673742653</v>
      </c>
      <c r="CC79" s="102"/>
      <c r="CD79" s="12"/>
      <c r="CE79" s="14"/>
      <c r="CF79" s="14"/>
      <c r="CG79" s="14"/>
      <c r="CH79" s="14"/>
      <c r="CI79" s="14"/>
      <c r="CJ79" s="14"/>
      <c r="CK79" s="14"/>
      <c r="CL79" s="14"/>
      <c r="CM79" s="14"/>
      <c r="CN79" s="24"/>
      <c r="CO79" s="63"/>
      <c r="CP79" s="53"/>
      <c r="CQ79" s="21"/>
      <c r="CR79" s="55"/>
      <c r="CS79" s="55"/>
      <c r="CT79" s="55"/>
      <c r="CU79" s="55"/>
      <c r="CV79" s="55"/>
      <c r="CW79" s="55"/>
      <c r="CX79" s="55"/>
      <c r="CY79" s="55"/>
      <c r="CZ79" s="55"/>
      <c r="DA79" s="55"/>
      <c r="DB79" s="56"/>
      <c r="DC79" s="56"/>
      <c r="DD79" s="56"/>
      <c r="DE79" s="56"/>
      <c r="DF79" s="56"/>
      <c r="DG79" s="56"/>
      <c r="DH79" s="56"/>
      <c r="DI79" s="56"/>
      <c r="DJ79" s="56"/>
      <c r="DK79" s="56"/>
      <c r="DL79" s="57"/>
      <c r="DM79" s="54"/>
      <c r="DO79" s="106"/>
    </row>
    <row r="80" spans="2:119" x14ac:dyDescent="0.25">
      <c r="B80" s="141"/>
      <c r="C80" s="24"/>
      <c r="D80" s="147"/>
      <c r="E80" s="142"/>
      <c r="F80" s="14"/>
      <c r="G80" s="14"/>
      <c r="H80" s="14"/>
      <c r="I80" s="14"/>
      <c r="J80" s="14"/>
      <c r="K80" s="14"/>
      <c r="L80" s="14"/>
      <c r="M80" s="14"/>
      <c r="N80" s="24"/>
      <c r="O80" s="127"/>
      <c r="P80" s="13"/>
      <c r="Q80" s="20"/>
      <c r="R80" s="21"/>
      <c r="S80" s="6"/>
      <c r="T80" s="6"/>
      <c r="U80" s="6"/>
      <c r="V80" s="6"/>
      <c r="W80" s="6"/>
      <c r="X80" s="6"/>
      <c r="Y80" s="6"/>
      <c r="Z80" s="6"/>
      <c r="AA80" s="6"/>
      <c r="AB80" s="6"/>
      <c r="AC80" s="7"/>
      <c r="AD80" s="152"/>
      <c r="AE80" s="152"/>
      <c r="AF80" s="152"/>
      <c r="AG80" s="152"/>
      <c r="AH80" s="152"/>
      <c r="AI80" s="152"/>
      <c r="AJ80" s="152"/>
      <c r="AK80" s="152"/>
      <c r="AL80" s="152"/>
      <c r="AM80" s="9"/>
      <c r="AN80" s="80"/>
      <c r="AP80" s="102" t="s">
        <v>2</v>
      </c>
      <c r="AQ80" s="12">
        <v>1</v>
      </c>
      <c r="AR80" s="14">
        <f t="shared" si="400"/>
        <v>1</v>
      </c>
      <c r="AS80" s="14" cm="1">
        <f t="array" ref="AS80">IFERROR(_xlfn.IFS(VALUE(MID(AS$5,6,1))&gt;$D$2,0,$AP80="Annual",1,AR80=12,12,$AP80="Monthly V",AR80*(1+$D$3),$AP80="Monthly F",12,$AP80="One-Time",0),AR80*(1+$D$3))</f>
        <v>1</v>
      </c>
      <c r="AT80" s="14" cm="1">
        <f t="array" ref="AT80">IFERROR(_xlfn.IFS(VALUE(MID(AT$5,6,1))&gt;$D$2,0,$AP80="Annual",1,AS80=12,12,$AP80="Monthly V",AS80*(1+$D$3),$AP80="Monthly F",12,$AP80="One-Time",0),AS80*(1+$D$3))</f>
        <v>1</v>
      </c>
      <c r="AU80" s="14" cm="1">
        <f t="array" ref="AU80">IFERROR(_xlfn.IFS(VALUE(MID(AU$5,6,1))&gt;$D$2,0,$AP80="Annual",1,AT80=12,12,$AP80="Monthly V",AT80*(1+$D$3),$AP80="Monthly F",12,$AP80="One-Time",0),AT80*(1+$D$3))</f>
        <v>1</v>
      </c>
      <c r="AV80" s="14" cm="1">
        <f t="array" ref="AV80">IFERROR(_xlfn.IFS(VALUE(MID(AV$5,6,1))&gt;$D$2,0,$AP80="Annual",1,AU80=12,12,$AP80="Monthly V",AU80*(1+$D$3),$AP80="Monthly F",12,$AP80="One-Time",0),AU80*(1+$D$3))</f>
        <v>1</v>
      </c>
      <c r="AW80" s="14" cm="1">
        <f t="array" ref="AW80">IFERROR(_xlfn.IFS(VALUE(MID(AW$5,6,1))&gt;$D$2,0,$AP80="Annual",1,AV80=12,12,$AP80="Monthly V",AV80*(1+$D$3),$AP80="Monthly F",12,$AP80="One-Time",0),AV80*(1+$D$3))</f>
        <v>1</v>
      </c>
      <c r="AX80" s="14" cm="1">
        <f t="array" ref="AX80">IFERROR(_xlfn.IFS(VALUE(MID(AX$5,6,1))&gt;$D$2,0,$AP80="Annual",1,AW80=12,12,$AP80="Monthly V",AW80*(1+$D$3),$AP80="Monthly F",12,$AP80="One-Time",0),AW80*(1+$D$3))</f>
        <v>1</v>
      </c>
      <c r="AY80" s="14" cm="1">
        <f t="array" ref="AY80">IFERROR(_xlfn.IFS(VALUE(MID(AY$5,6,1))&gt;$D$2,0,$AP80="Annual",1,AX80=12,12,$AP80="Monthly V",AX80*(1+$D$3),$AP80="Monthly F",12,$AP80="One-Time",0),AX80*(1+$D$3))</f>
        <v>0</v>
      </c>
      <c r="AZ80" s="14" cm="1">
        <f t="array" ref="AZ80">IFERROR(_xlfn.IFS(VALUE(MID(AZ$5,6,1))&gt;$D$2,0,$AP80="Annual",1,AY80=12,12,$AP80="Monthly V",AY80*(1+$D$3),$AP80="Monthly F",12,$AP80="One-Time",0),AY80*(1+$D$3))</f>
        <v>0</v>
      </c>
      <c r="BA80" s="125" cm="1">
        <f t="array" ref="BA80">IFERROR(_xlfn.IFS(VALUE(MID(BA$5,6,2))&gt;$D$2,0,$AP80="Annual",1,AZ80=12,12,$AP80="Monthly V",AZ80*(1+$D$3),$AP80="Monthly F",12,$AP80="One-Time",0),AZ80*(1+$D$3))</f>
        <v>0</v>
      </c>
      <c r="BB80" s="124" t="s">
        <v>242</v>
      </c>
      <c r="BC80" s="38" t="s">
        <v>229</v>
      </c>
      <c r="BD80" s="36">
        <v>1880</v>
      </c>
      <c r="BE80" s="21">
        <f t="shared" si="401"/>
        <v>156.66666666666666</v>
      </c>
      <c r="BF80" s="39">
        <f t="shared" ref="BF80:BF84" si="417">IFERROR(AR80*$BD80,0)</f>
        <v>1880</v>
      </c>
      <c r="BG80" s="39">
        <f t="shared" si="402"/>
        <v>1880</v>
      </c>
      <c r="BH80" s="39">
        <f t="shared" ref="BH80:BH84" si="418">IFERROR(AT80*$BD80,0)</f>
        <v>1880</v>
      </c>
      <c r="BI80" s="39">
        <f t="shared" si="350"/>
        <v>1936.4</v>
      </c>
      <c r="BJ80" s="39">
        <f t="shared" ref="BJ80:BL80" si="419">BI80*1.03</f>
        <v>1994.4920000000002</v>
      </c>
      <c r="BK80" s="39">
        <f t="shared" si="419"/>
        <v>2054.3267600000004</v>
      </c>
      <c r="BL80" s="39">
        <f t="shared" si="419"/>
        <v>2115.9565628000005</v>
      </c>
      <c r="BM80" s="39">
        <f t="shared" si="403"/>
        <v>0</v>
      </c>
      <c r="BN80" s="39">
        <f t="shared" si="404"/>
        <v>0</v>
      </c>
      <c r="BO80" s="39">
        <f t="shared" si="405"/>
        <v>0</v>
      </c>
      <c r="BP80" s="40"/>
      <c r="BQ80" s="40">
        <f t="shared" si="406"/>
        <v>56.400000000000048</v>
      </c>
      <c r="BR80" s="40">
        <f t="shared" si="407"/>
        <v>114.49199999999992</v>
      </c>
      <c r="BS80" s="40">
        <f t="shared" si="408"/>
        <v>179.55656280000002</v>
      </c>
      <c r="BT80" s="40">
        <f t="shared" si="409"/>
        <v>250.32631747451987</v>
      </c>
      <c r="BU80" s="40">
        <f t="shared" si="410"/>
        <v>327.200993008718</v>
      </c>
      <c r="BV80" s="40">
        <f t="shared" si="411"/>
        <v>410.60623036694909</v>
      </c>
      <c r="BW80" s="40">
        <f t="shared" si="412"/>
        <v>0</v>
      </c>
      <c r="BX80" s="40">
        <f t="shared" si="413"/>
        <v>0</v>
      </c>
      <c r="BY80" s="40">
        <f t="shared" si="414"/>
        <v>0</v>
      </c>
      <c r="BZ80" s="40">
        <f t="shared" si="415"/>
        <v>1338.582103650187</v>
      </c>
      <c r="CA80" s="37">
        <f t="shared" si="416"/>
        <v>15079.757426450187</v>
      </c>
      <c r="CC80" s="102"/>
      <c r="CD80" s="12"/>
      <c r="CE80" s="14"/>
      <c r="CF80" s="14"/>
      <c r="CG80" s="14"/>
      <c r="CH80" s="14"/>
      <c r="CI80" s="14"/>
      <c r="CJ80" s="14"/>
      <c r="CK80" s="14"/>
      <c r="CL80" s="14"/>
      <c r="CM80" s="14"/>
      <c r="CN80" s="24"/>
      <c r="CO80" s="63"/>
      <c r="CP80" s="53"/>
      <c r="CQ80" s="21"/>
      <c r="CR80" s="55"/>
      <c r="CS80" s="55"/>
      <c r="CT80" s="55"/>
      <c r="CU80" s="55"/>
      <c r="CV80" s="55"/>
      <c r="CW80" s="55"/>
      <c r="CX80" s="55"/>
      <c r="CY80" s="55"/>
      <c r="CZ80" s="55"/>
      <c r="DA80" s="55"/>
      <c r="DB80" s="56"/>
      <c r="DC80" s="56"/>
      <c r="DD80" s="56"/>
      <c r="DE80" s="56"/>
      <c r="DF80" s="56"/>
      <c r="DG80" s="56"/>
      <c r="DH80" s="56"/>
      <c r="DI80" s="56"/>
      <c r="DJ80" s="56"/>
      <c r="DK80" s="56"/>
      <c r="DL80" s="57"/>
      <c r="DM80" s="54"/>
      <c r="DO80" s="106"/>
    </row>
    <row r="81" spans="2:119" x14ac:dyDescent="0.25">
      <c r="B81" s="141"/>
      <c r="C81" s="24"/>
      <c r="D81" s="147"/>
      <c r="E81" s="142"/>
      <c r="F81" s="14"/>
      <c r="G81" s="14"/>
      <c r="H81" s="14"/>
      <c r="I81" s="14"/>
      <c r="J81" s="14"/>
      <c r="K81" s="14"/>
      <c r="L81" s="14"/>
      <c r="M81" s="14"/>
      <c r="N81" s="24"/>
      <c r="O81" s="127"/>
      <c r="P81" s="13"/>
      <c r="Q81" s="20"/>
      <c r="R81" s="21"/>
      <c r="S81" s="6"/>
      <c r="T81" s="6"/>
      <c r="U81" s="6"/>
      <c r="V81" s="6"/>
      <c r="W81" s="6"/>
      <c r="X81" s="6"/>
      <c r="Y81" s="6"/>
      <c r="Z81" s="6"/>
      <c r="AA81" s="6"/>
      <c r="AB81" s="6"/>
      <c r="AC81" s="7"/>
      <c r="AD81" s="152"/>
      <c r="AE81" s="152"/>
      <c r="AF81" s="152"/>
      <c r="AG81" s="152"/>
      <c r="AH81" s="152"/>
      <c r="AI81" s="152"/>
      <c r="AJ81" s="152"/>
      <c r="AK81" s="152"/>
      <c r="AL81" s="152"/>
      <c r="AM81" s="9"/>
      <c r="AN81" s="80"/>
      <c r="AP81" s="102" t="s">
        <v>2</v>
      </c>
      <c r="AQ81" s="12">
        <v>1</v>
      </c>
      <c r="AR81" s="14">
        <f t="shared" si="400"/>
        <v>1</v>
      </c>
      <c r="AS81" s="14" cm="1">
        <f t="array" ref="AS81">IFERROR(_xlfn.IFS(VALUE(MID(AS$5,6,1))&gt;$D$2,0,$AP81="Annual",1,AR81=12,12,$AP81="Monthly V",AR81*(1+$D$3),$AP81="Monthly F",12,$AP81="One-Time",0),AR81*(1+$D$3))</f>
        <v>1</v>
      </c>
      <c r="AT81" s="14" cm="1">
        <f t="array" ref="AT81">IFERROR(_xlfn.IFS(VALUE(MID(AT$5,6,1))&gt;$D$2,0,$AP81="Annual",1,AS81=12,12,$AP81="Monthly V",AS81*(1+$D$3),$AP81="Monthly F",12,$AP81="One-Time",0),AS81*(1+$D$3))</f>
        <v>1</v>
      </c>
      <c r="AU81" s="14" cm="1">
        <f t="array" ref="AU81">IFERROR(_xlfn.IFS(VALUE(MID(AU$5,6,1))&gt;$D$2,0,$AP81="Annual",1,AT81=12,12,$AP81="Monthly V",AT81*(1+$D$3),$AP81="Monthly F",12,$AP81="One-Time",0),AT81*(1+$D$3))</f>
        <v>1</v>
      </c>
      <c r="AV81" s="14" cm="1">
        <f t="array" ref="AV81">IFERROR(_xlfn.IFS(VALUE(MID(AV$5,6,1))&gt;$D$2,0,$AP81="Annual",1,AU81=12,12,$AP81="Monthly V",AU81*(1+$D$3),$AP81="Monthly F",12,$AP81="One-Time",0),AU81*(1+$D$3))</f>
        <v>1</v>
      </c>
      <c r="AW81" s="14" cm="1">
        <f t="array" ref="AW81">IFERROR(_xlfn.IFS(VALUE(MID(AW$5,6,1))&gt;$D$2,0,$AP81="Annual",1,AV81=12,12,$AP81="Monthly V",AV81*(1+$D$3),$AP81="Monthly F",12,$AP81="One-Time",0),AV81*(1+$D$3))</f>
        <v>1</v>
      </c>
      <c r="AX81" s="14" cm="1">
        <f t="array" ref="AX81">IFERROR(_xlfn.IFS(VALUE(MID(AX$5,6,1))&gt;$D$2,0,$AP81="Annual",1,AW81=12,12,$AP81="Monthly V",AW81*(1+$D$3),$AP81="Monthly F",12,$AP81="One-Time",0),AW81*(1+$D$3))</f>
        <v>1</v>
      </c>
      <c r="AY81" s="14" cm="1">
        <f t="array" ref="AY81">IFERROR(_xlfn.IFS(VALUE(MID(AY$5,6,1))&gt;$D$2,0,$AP81="Annual",1,AX81=12,12,$AP81="Monthly V",AX81*(1+$D$3),$AP81="Monthly F",12,$AP81="One-Time",0),AX81*(1+$D$3))</f>
        <v>0</v>
      </c>
      <c r="AZ81" s="14" cm="1">
        <f t="array" ref="AZ81">IFERROR(_xlfn.IFS(VALUE(MID(AZ$5,6,1))&gt;$D$2,0,$AP81="Annual",1,AY81=12,12,$AP81="Monthly V",AY81*(1+$D$3),$AP81="Monthly F",12,$AP81="One-Time",0),AY81*(1+$D$3))</f>
        <v>0</v>
      </c>
      <c r="BA81" s="125" cm="1">
        <f t="array" ref="BA81">IFERROR(_xlfn.IFS(VALUE(MID(BA$5,6,2))&gt;$D$2,0,$AP81="Annual",1,AZ81=12,12,$AP81="Monthly V",AZ81*(1+$D$3),$AP81="Monthly F",12,$AP81="One-Time",0),AZ81*(1+$D$3))</f>
        <v>0</v>
      </c>
      <c r="BB81" s="124" t="s">
        <v>243</v>
      </c>
      <c r="BC81" s="38" t="s">
        <v>233</v>
      </c>
      <c r="BD81" s="36">
        <v>4940</v>
      </c>
      <c r="BE81" s="21">
        <f t="shared" si="401"/>
        <v>411.66666666666669</v>
      </c>
      <c r="BF81" s="39">
        <f t="shared" si="417"/>
        <v>4940</v>
      </c>
      <c r="BG81" s="39">
        <f t="shared" si="402"/>
        <v>4940</v>
      </c>
      <c r="BH81" s="39">
        <f t="shared" si="418"/>
        <v>4940</v>
      </c>
      <c r="BI81" s="39">
        <f t="shared" si="350"/>
        <v>5088.2</v>
      </c>
      <c r="BJ81" s="39">
        <f t="shared" ref="BJ81:BL81" si="420">BI81*1.03</f>
        <v>5240.8459999999995</v>
      </c>
      <c r="BK81" s="39">
        <f t="shared" si="420"/>
        <v>5398.0713799999994</v>
      </c>
      <c r="BL81" s="39">
        <f t="shared" si="420"/>
        <v>5560.0135213999993</v>
      </c>
      <c r="BM81" s="39">
        <f t="shared" si="403"/>
        <v>0</v>
      </c>
      <c r="BN81" s="39">
        <f t="shared" si="404"/>
        <v>0</v>
      </c>
      <c r="BO81" s="39">
        <f t="shared" si="405"/>
        <v>0</v>
      </c>
      <c r="BP81" s="40"/>
      <c r="BQ81" s="40">
        <f t="shared" si="406"/>
        <v>148.20000000000013</v>
      </c>
      <c r="BR81" s="40">
        <f t="shared" si="407"/>
        <v>300.84599999999978</v>
      </c>
      <c r="BS81" s="40">
        <f t="shared" si="408"/>
        <v>471.81352140000001</v>
      </c>
      <c r="BT81" s="40">
        <f t="shared" si="409"/>
        <v>657.77234485325948</v>
      </c>
      <c r="BU81" s="40">
        <f t="shared" si="410"/>
        <v>859.77282205482265</v>
      </c>
      <c r="BV81" s="40">
        <f t="shared" si="411"/>
        <v>1078.9333925599617</v>
      </c>
      <c r="BW81" s="40">
        <f t="shared" si="412"/>
        <v>0</v>
      </c>
      <c r="BX81" s="40">
        <f t="shared" si="413"/>
        <v>0</v>
      </c>
      <c r="BY81" s="40">
        <f t="shared" si="414"/>
        <v>0</v>
      </c>
      <c r="BZ81" s="40">
        <f t="shared" si="415"/>
        <v>3517.3380808680436</v>
      </c>
      <c r="CA81" s="37">
        <f t="shared" si="416"/>
        <v>39624.468982268045</v>
      </c>
      <c r="CC81" s="102"/>
      <c r="CD81" s="12"/>
      <c r="CE81" s="14"/>
      <c r="CF81" s="14"/>
      <c r="CG81" s="14"/>
      <c r="CH81" s="14"/>
      <c r="CI81" s="14"/>
      <c r="CJ81" s="14"/>
      <c r="CK81" s="14"/>
      <c r="CL81" s="14"/>
      <c r="CM81" s="14"/>
      <c r="CN81" s="24"/>
      <c r="CO81" s="63"/>
      <c r="CP81" s="53"/>
      <c r="CQ81" s="21"/>
      <c r="CR81" s="55"/>
      <c r="CS81" s="55"/>
      <c r="CT81" s="55"/>
      <c r="CU81" s="55"/>
      <c r="CV81" s="55"/>
      <c r="CW81" s="55"/>
      <c r="CX81" s="55"/>
      <c r="CY81" s="55"/>
      <c r="CZ81" s="55"/>
      <c r="DA81" s="55"/>
      <c r="DB81" s="56"/>
      <c r="DC81" s="56"/>
      <c r="DD81" s="56"/>
      <c r="DE81" s="56"/>
      <c r="DF81" s="56"/>
      <c r="DG81" s="56"/>
      <c r="DH81" s="56"/>
      <c r="DI81" s="56"/>
      <c r="DJ81" s="56"/>
      <c r="DK81" s="56"/>
      <c r="DL81" s="57"/>
      <c r="DM81" s="54"/>
      <c r="DO81" s="106"/>
    </row>
    <row r="82" spans="2:119" x14ac:dyDescent="0.25">
      <c r="B82" s="141"/>
      <c r="C82" s="24"/>
      <c r="D82" s="147"/>
      <c r="E82" s="142"/>
      <c r="F82" s="14"/>
      <c r="G82" s="14"/>
      <c r="H82" s="14"/>
      <c r="I82" s="14"/>
      <c r="J82" s="14"/>
      <c r="K82" s="14"/>
      <c r="L82" s="14"/>
      <c r="M82" s="14"/>
      <c r="N82" s="24"/>
      <c r="O82" s="127"/>
      <c r="P82" s="13"/>
      <c r="Q82" s="20"/>
      <c r="R82" s="21"/>
      <c r="S82" s="6"/>
      <c r="T82" s="6"/>
      <c r="U82" s="6"/>
      <c r="V82" s="6"/>
      <c r="W82" s="6"/>
      <c r="X82" s="6"/>
      <c r="Y82" s="6"/>
      <c r="Z82" s="6"/>
      <c r="AA82" s="6"/>
      <c r="AB82" s="6"/>
      <c r="AC82" s="7"/>
      <c r="AD82" s="152"/>
      <c r="AE82" s="152"/>
      <c r="AF82" s="152"/>
      <c r="AG82" s="152"/>
      <c r="AH82" s="152"/>
      <c r="AI82" s="152"/>
      <c r="AJ82" s="152"/>
      <c r="AK82" s="152"/>
      <c r="AL82" s="152"/>
      <c r="AM82" s="9"/>
      <c r="AN82" s="80"/>
      <c r="AP82" s="102" t="s">
        <v>2</v>
      </c>
      <c r="AQ82" s="12">
        <v>1</v>
      </c>
      <c r="AR82" s="14">
        <f t="shared" si="400"/>
        <v>1</v>
      </c>
      <c r="AS82" s="14" cm="1">
        <f t="array" ref="AS82">IFERROR(_xlfn.IFS(VALUE(MID(AS$5,6,1))&gt;$D$2,0,$AP82="Annual",1,AR82=12,12,$AP82="Monthly V",AR82*(1+$D$3),$AP82="Monthly F",12,$AP82="One-Time",0),AR82*(1+$D$3))</f>
        <v>1</v>
      </c>
      <c r="AT82" s="14" cm="1">
        <f t="array" ref="AT82">IFERROR(_xlfn.IFS(VALUE(MID(AT$5,6,1))&gt;$D$2,0,$AP82="Annual",1,AS82=12,12,$AP82="Monthly V",AS82*(1+$D$3),$AP82="Monthly F",12,$AP82="One-Time",0),AS82*(1+$D$3))</f>
        <v>1</v>
      </c>
      <c r="AU82" s="14" cm="1">
        <f t="array" ref="AU82">IFERROR(_xlfn.IFS(VALUE(MID(AU$5,6,1))&gt;$D$2,0,$AP82="Annual",1,AT82=12,12,$AP82="Monthly V",AT82*(1+$D$3),$AP82="Monthly F",12,$AP82="One-Time",0),AT82*(1+$D$3))</f>
        <v>1</v>
      </c>
      <c r="AV82" s="14" cm="1">
        <f t="array" ref="AV82">IFERROR(_xlfn.IFS(VALUE(MID(AV$5,6,1))&gt;$D$2,0,$AP82="Annual",1,AU82=12,12,$AP82="Monthly V",AU82*(1+$D$3),$AP82="Monthly F",12,$AP82="One-Time",0),AU82*(1+$D$3))</f>
        <v>1</v>
      </c>
      <c r="AW82" s="14" cm="1">
        <f t="array" ref="AW82">IFERROR(_xlfn.IFS(VALUE(MID(AW$5,6,1))&gt;$D$2,0,$AP82="Annual",1,AV82=12,12,$AP82="Monthly V",AV82*(1+$D$3),$AP82="Monthly F",12,$AP82="One-Time",0),AV82*(1+$D$3))</f>
        <v>1</v>
      </c>
      <c r="AX82" s="14" cm="1">
        <f t="array" ref="AX82">IFERROR(_xlfn.IFS(VALUE(MID(AX$5,6,1))&gt;$D$2,0,$AP82="Annual",1,AW82=12,12,$AP82="Monthly V",AW82*(1+$D$3),$AP82="Monthly F",12,$AP82="One-Time",0),AW82*(1+$D$3))</f>
        <v>1</v>
      </c>
      <c r="AY82" s="14" cm="1">
        <f t="array" ref="AY82">IFERROR(_xlfn.IFS(VALUE(MID(AY$5,6,1))&gt;$D$2,0,$AP82="Annual",1,AX82=12,12,$AP82="Monthly V",AX82*(1+$D$3),$AP82="Monthly F",12,$AP82="One-Time",0),AX82*(1+$D$3))</f>
        <v>0</v>
      </c>
      <c r="AZ82" s="14" cm="1">
        <f t="array" ref="AZ82">IFERROR(_xlfn.IFS(VALUE(MID(AZ$5,6,1))&gt;$D$2,0,$AP82="Annual",1,AY82=12,12,$AP82="Monthly V",AY82*(1+$D$3),$AP82="Monthly F",12,$AP82="One-Time",0),AY82*(1+$D$3))</f>
        <v>0</v>
      </c>
      <c r="BA82" s="125" cm="1">
        <f t="array" ref="BA82">IFERROR(_xlfn.IFS(VALUE(MID(BA$5,6,2))&gt;$D$2,0,$AP82="Annual",1,AZ82=12,12,$AP82="Monthly V",AZ82*(1+$D$3),$AP82="Monthly F",12,$AP82="One-Time",0),AZ82*(1+$D$3))</f>
        <v>0</v>
      </c>
      <c r="BB82" s="124" t="s">
        <v>244</v>
      </c>
      <c r="BC82" s="38" t="s">
        <v>248</v>
      </c>
      <c r="BD82" s="36">
        <v>3500</v>
      </c>
      <c r="BE82" s="21">
        <f t="shared" si="401"/>
        <v>291.66666666666669</v>
      </c>
      <c r="BF82" s="39">
        <f t="shared" si="417"/>
        <v>3500</v>
      </c>
      <c r="BG82" s="39">
        <f t="shared" si="402"/>
        <v>3500</v>
      </c>
      <c r="BH82" s="39">
        <f t="shared" si="418"/>
        <v>3500</v>
      </c>
      <c r="BI82" s="39">
        <f t="shared" si="350"/>
        <v>3605</v>
      </c>
      <c r="BJ82" s="39">
        <f t="shared" ref="BJ82:BL82" si="421">BI82*1.03</f>
        <v>3713.15</v>
      </c>
      <c r="BK82" s="39">
        <f t="shared" si="421"/>
        <v>3824.5445</v>
      </c>
      <c r="BL82" s="39">
        <f t="shared" si="421"/>
        <v>3939.280835</v>
      </c>
      <c r="BM82" s="39">
        <f t="shared" si="403"/>
        <v>0</v>
      </c>
      <c r="BN82" s="39">
        <f t="shared" si="404"/>
        <v>0</v>
      </c>
      <c r="BO82" s="39">
        <f t="shared" si="405"/>
        <v>0</v>
      </c>
      <c r="BP82" s="40"/>
      <c r="BQ82" s="40">
        <f t="shared" si="406"/>
        <v>105.0000000000001</v>
      </c>
      <c r="BR82" s="40">
        <f t="shared" si="407"/>
        <v>213.14999999999984</v>
      </c>
      <c r="BS82" s="40">
        <f t="shared" si="408"/>
        <v>334.28083500000002</v>
      </c>
      <c r="BT82" s="40">
        <f t="shared" si="409"/>
        <v>466.03303785149967</v>
      </c>
      <c r="BU82" s="40">
        <f t="shared" si="410"/>
        <v>609.15078485665572</v>
      </c>
      <c r="BV82" s="40">
        <f t="shared" si="411"/>
        <v>764.42649270442644</v>
      </c>
      <c r="BW82" s="40">
        <f t="shared" si="412"/>
        <v>0</v>
      </c>
      <c r="BX82" s="40">
        <f t="shared" si="413"/>
        <v>0</v>
      </c>
      <c r="BY82" s="40">
        <f t="shared" si="414"/>
        <v>0</v>
      </c>
      <c r="BZ82" s="40">
        <f t="shared" si="415"/>
        <v>2492.0411504125818</v>
      </c>
      <c r="CA82" s="37">
        <f t="shared" si="416"/>
        <v>28074.016485412583</v>
      </c>
      <c r="CC82" s="102"/>
      <c r="CD82" s="12"/>
      <c r="CE82" s="14"/>
      <c r="CF82" s="14"/>
      <c r="CG82" s="14"/>
      <c r="CH82" s="14"/>
      <c r="CI82" s="14"/>
      <c r="CJ82" s="14"/>
      <c r="CK82" s="14"/>
      <c r="CL82" s="14"/>
      <c r="CM82" s="14"/>
      <c r="CN82" s="24"/>
      <c r="CO82" s="63"/>
      <c r="CP82" s="53"/>
      <c r="CQ82" s="21"/>
      <c r="CR82" s="55"/>
      <c r="CS82" s="55"/>
      <c r="CT82" s="55"/>
      <c r="CU82" s="55"/>
      <c r="CV82" s="55"/>
      <c r="CW82" s="55"/>
      <c r="CX82" s="55"/>
      <c r="CY82" s="55"/>
      <c r="CZ82" s="55"/>
      <c r="DA82" s="55"/>
      <c r="DB82" s="56"/>
      <c r="DC82" s="56"/>
      <c r="DD82" s="56"/>
      <c r="DE82" s="56"/>
      <c r="DF82" s="56"/>
      <c r="DG82" s="56"/>
      <c r="DH82" s="56"/>
      <c r="DI82" s="56"/>
      <c r="DJ82" s="56"/>
      <c r="DK82" s="56"/>
      <c r="DL82" s="57"/>
      <c r="DM82" s="54"/>
      <c r="DO82" s="106"/>
    </row>
    <row r="83" spans="2:119" x14ac:dyDescent="0.25">
      <c r="B83" s="141"/>
      <c r="C83" s="24"/>
      <c r="D83" s="147"/>
      <c r="E83" s="142"/>
      <c r="F83" s="14"/>
      <c r="G83" s="14"/>
      <c r="H83" s="14"/>
      <c r="I83" s="14"/>
      <c r="J83" s="14"/>
      <c r="K83" s="14"/>
      <c r="L83" s="14"/>
      <c r="M83" s="14"/>
      <c r="N83" s="24"/>
      <c r="O83" s="127"/>
      <c r="P83" s="13"/>
      <c r="Q83" s="20"/>
      <c r="R83" s="21"/>
      <c r="S83" s="6"/>
      <c r="T83" s="6"/>
      <c r="U83" s="6"/>
      <c r="V83" s="6"/>
      <c r="W83" s="6"/>
      <c r="X83" s="6"/>
      <c r="Y83" s="6"/>
      <c r="Z83" s="6"/>
      <c r="AA83" s="6"/>
      <c r="AB83" s="6"/>
      <c r="AC83" s="7"/>
      <c r="AD83" s="152"/>
      <c r="AE83" s="152"/>
      <c r="AF83" s="152"/>
      <c r="AG83" s="152"/>
      <c r="AH83" s="152"/>
      <c r="AI83" s="152"/>
      <c r="AJ83" s="152"/>
      <c r="AK83" s="152"/>
      <c r="AL83" s="152"/>
      <c r="AM83" s="9"/>
      <c r="AN83" s="80"/>
      <c r="AP83" s="102" t="s">
        <v>2</v>
      </c>
      <c r="AQ83" s="12">
        <v>1</v>
      </c>
      <c r="AR83" s="14">
        <f t="shared" si="400"/>
        <v>1</v>
      </c>
      <c r="AS83" s="14" cm="1">
        <f t="array" ref="AS83">IFERROR(_xlfn.IFS(VALUE(MID(AS$5,6,1))&gt;$D$2,0,$AP83="Annual",1,AR83=12,12,$AP83="Monthly V",AR83*(1+$D$3),$AP83="Monthly F",12,$AP83="One-Time",0),AR83*(1+$D$3))</f>
        <v>1</v>
      </c>
      <c r="AT83" s="14" cm="1">
        <f t="array" ref="AT83">IFERROR(_xlfn.IFS(VALUE(MID(AT$5,6,1))&gt;$D$2,0,$AP83="Annual",1,AS83=12,12,$AP83="Monthly V",AS83*(1+$D$3),$AP83="Monthly F",12,$AP83="One-Time",0),AS83*(1+$D$3))</f>
        <v>1</v>
      </c>
      <c r="AU83" s="14" cm="1">
        <f t="array" ref="AU83">IFERROR(_xlfn.IFS(VALUE(MID(AU$5,6,1))&gt;$D$2,0,$AP83="Annual",1,AT83=12,12,$AP83="Monthly V",AT83*(1+$D$3),$AP83="Monthly F",12,$AP83="One-Time",0),AT83*(1+$D$3))</f>
        <v>1</v>
      </c>
      <c r="AV83" s="14" cm="1">
        <f t="array" ref="AV83">IFERROR(_xlfn.IFS(VALUE(MID(AV$5,6,1))&gt;$D$2,0,$AP83="Annual",1,AU83=12,12,$AP83="Monthly V",AU83*(1+$D$3),$AP83="Monthly F",12,$AP83="One-Time",0),AU83*(1+$D$3))</f>
        <v>1</v>
      </c>
      <c r="AW83" s="14" cm="1">
        <f t="array" ref="AW83">IFERROR(_xlfn.IFS(VALUE(MID(AW$5,6,1))&gt;$D$2,0,$AP83="Annual",1,AV83=12,12,$AP83="Monthly V",AV83*(1+$D$3),$AP83="Monthly F",12,$AP83="One-Time",0),AV83*(1+$D$3))</f>
        <v>1</v>
      </c>
      <c r="AX83" s="14" cm="1">
        <f t="array" ref="AX83">IFERROR(_xlfn.IFS(VALUE(MID(AX$5,6,1))&gt;$D$2,0,$AP83="Annual",1,AW83=12,12,$AP83="Monthly V",AW83*(1+$D$3),$AP83="Monthly F",12,$AP83="One-Time",0),AW83*(1+$D$3))</f>
        <v>1</v>
      </c>
      <c r="AY83" s="14" cm="1">
        <f t="array" ref="AY83">IFERROR(_xlfn.IFS(VALUE(MID(AY$5,6,1))&gt;$D$2,0,$AP83="Annual",1,AX83=12,12,$AP83="Monthly V",AX83*(1+$D$3),$AP83="Monthly F",12,$AP83="One-Time",0),AX83*(1+$D$3))</f>
        <v>0</v>
      </c>
      <c r="AZ83" s="14" cm="1">
        <f t="array" ref="AZ83">IFERROR(_xlfn.IFS(VALUE(MID(AZ$5,6,1))&gt;$D$2,0,$AP83="Annual",1,AY83=12,12,$AP83="Monthly V",AY83*(1+$D$3),$AP83="Monthly F",12,$AP83="One-Time",0),AY83*(1+$D$3))</f>
        <v>0</v>
      </c>
      <c r="BA83" s="125" cm="1">
        <f t="array" ref="BA83">IFERROR(_xlfn.IFS(VALUE(MID(BA$5,6,2))&gt;$D$2,0,$AP83="Annual",1,AZ83=12,12,$AP83="Monthly V",AZ83*(1+$D$3),$AP83="Monthly F",12,$AP83="One-Time",0),AZ83*(1+$D$3))</f>
        <v>0</v>
      </c>
      <c r="BB83" s="124" t="s">
        <v>245</v>
      </c>
      <c r="BC83" s="38" t="s">
        <v>249</v>
      </c>
      <c r="BD83" s="36">
        <v>14590</v>
      </c>
      <c r="BE83" s="21">
        <f t="shared" si="401"/>
        <v>1215.8333333333333</v>
      </c>
      <c r="BF83" s="39">
        <f t="shared" si="417"/>
        <v>14590</v>
      </c>
      <c r="BG83" s="39">
        <f t="shared" si="402"/>
        <v>14590</v>
      </c>
      <c r="BH83" s="39">
        <f t="shared" si="418"/>
        <v>14590</v>
      </c>
      <c r="BI83" s="39">
        <f t="shared" si="350"/>
        <v>15027.7</v>
      </c>
      <c r="BJ83" s="39">
        <f t="shared" ref="BJ83:BL83" si="422">BI83*1.03</f>
        <v>15478.531000000001</v>
      </c>
      <c r="BK83" s="39">
        <f t="shared" si="422"/>
        <v>15942.886930000001</v>
      </c>
      <c r="BL83" s="39">
        <f t="shared" si="422"/>
        <v>16421.173537900002</v>
      </c>
      <c r="BM83" s="39">
        <f t="shared" si="403"/>
        <v>0</v>
      </c>
      <c r="BN83" s="39">
        <f t="shared" si="404"/>
        <v>0</v>
      </c>
      <c r="BO83" s="39">
        <f t="shared" si="405"/>
        <v>0</v>
      </c>
      <c r="BP83" s="40"/>
      <c r="BQ83" s="40">
        <f t="shared" si="406"/>
        <v>437.70000000000039</v>
      </c>
      <c r="BR83" s="40">
        <f t="shared" si="407"/>
        <v>888.53099999999938</v>
      </c>
      <c r="BS83" s="40">
        <f t="shared" si="408"/>
        <v>1393.4735379000001</v>
      </c>
      <c r="BT83" s="40">
        <f t="shared" si="409"/>
        <v>1942.6920063581088</v>
      </c>
      <c r="BU83" s="40">
        <f t="shared" si="410"/>
        <v>2539.2885574453167</v>
      </c>
      <c r="BV83" s="40">
        <f t="shared" si="411"/>
        <v>3186.5664367307377</v>
      </c>
      <c r="BW83" s="40">
        <f t="shared" si="412"/>
        <v>0</v>
      </c>
      <c r="BX83" s="40">
        <f t="shared" si="413"/>
        <v>0</v>
      </c>
      <c r="BY83" s="40">
        <f t="shared" si="414"/>
        <v>0</v>
      </c>
      <c r="BZ83" s="40">
        <f t="shared" si="415"/>
        <v>10388.251538434162</v>
      </c>
      <c r="CA83" s="37">
        <f t="shared" si="416"/>
        <v>117028.54300633416</v>
      </c>
      <c r="CC83" s="102"/>
      <c r="CD83" s="12"/>
      <c r="CE83" s="14"/>
      <c r="CF83" s="14"/>
      <c r="CG83" s="14"/>
      <c r="CH83" s="14"/>
      <c r="CI83" s="14"/>
      <c r="CJ83" s="14"/>
      <c r="CK83" s="14"/>
      <c r="CL83" s="14"/>
      <c r="CM83" s="14"/>
      <c r="CN83" s="24"/>
      <c r="CO83" s="63"/>
      <c r="CP83" s="53"/>
      <c r="CQ83" s="21"/>
      <c r="CR83" s="55"/>
      <c r="CS83" s="55"/>
      <c r="CT83" s="55"/>
      <c r="CU83" s="55"/>
      <c r="CV83" s="55"/>
      <c r="CW83" s="55"/>
      <c r="CX83" s="55"/>
      <c r="CY83" s="55"/>
      <c r="CZ83" s="55"/>
      <c r="DA83" s="55"/>
      <c r="DB83" s="56"/>
      <c r="DC83" s="56"/>
      <c r="DD83" s="56"/>
      <c r="DE83" s="56"/>
      <c r="DF83" s="56"/>
      <c r="DG83" s="56"/>
      <c r="DH83" s="56"/>
      <c r="DI83" s="56"/>
      <c r="DJ83" s="56"/>
      <c r="DK83" s="56"/>
      <c r="DL83" s="57"/>
      <c r="DM83" s="54"/>
      <c r="DO83" s="106"/>
    </row>
    <row r="84" spans="2:119" ht="15.75" thickBot="1" x14ac:dyDescent="0.3">
      <c r="B84" s="141"/>
      <c r="C84" s="24"/>
      <c r="D84" s="147"/>
      <c r="E84" s="142"/>
      <c r="F84" s="14"/>
      <c r="G84" s="14"/>
      <c r="H84" s="14"/>
      <c r="I84" s="14"/>
      <c r="J84" s="14"/>
      <c r="K84" s="14"/>
      <c r="L84" s="14"/>
      <c r="M84" s="14"/>
      <c r="N84" s="24"/>
      <c r="O84" s="127"/>
      <c r="P84" s="13"/>
      <c r="Q84" s="20"/>
      <c r="R84" s="21"/>
      <c r="S84" s="6"/>
      <c r="T84" s="6"/>
      <c r="U84" s="6"/>
      <c r="V84" s="6"/>
      <c r="W84" s="6"/>
      <c r="X84" s="6"/>
      <c r="Y84" s="6"/>
      <c r="Z84" s="6"/>
      <c r="AA84" s="6"/>
      <c r="AB84" s="6"/>
      <c r="AC84" s="7"/>
      <c r="AD84" s="152"/>
      <c r="AE84" s="152"/>
      <c r="AF84" s="152"/>
      <c r="AG84" s="152"/>
      <c r="AH84" s="152"/>
      <c r="AI84" s="152"/>
      <c r="AJ84" s="152"/>
      <c r="AK84" s="152"/>
      <c r="AL84" s="152"/>
      <c r="AM84" s="9"/>
      <c r="AN84" s="80"/>
      <c r="AP84" s="102" t="s">
        <v>2</v>
      </c>
      <c r="AQ84" s="12">
        <v>1</v>
      </c>
      <c r="AR84" s="14">
        <f t="shared" si="400"/>
        <v>1</v>
      </c>
      <c r="AS84" s="14" cm="1">
        <f t="array" ref="AS84">IFERROR(_xlfn.IFS(VALUE(MID(AS$5,6,1))&gt;$D$2,0,$AP84="Annual",1,AR84=12,12,$AP84="Monthly V",AR84*(1+$D$3),$AP84="Monthly F",12,$AP84="One-Time",0),AR84*(1+$D$3))</f>
        <v>1</v>
      </c>
      <c r="AT84" s="14" cm="1">
        <f t="array" ref="AT84">IFERROR(_xlfn.IFS(VALUE(MID(AT$5,6,1))&gt;$D$2,0,$AP84="Annual",1,AS84=12,12,$AP84="Monthly V",AS84*(1+$D$3),$AP84="Monthly F",12,$AP84="One-Time",0),AS84*(1+$D$3))</f>
        <v>1</v>
      </c>
      <c r="AU84" s="14" cm="1">
        <f t="array" ref="AU84">IFERROR(_xlfn.IFS(VALUE(MID(AU$5,6,1))&gt;$D$2,0,$AP84="Annual",1,AT84=12,12,$AP84="Monthly V",AT84*(1+$D$3),$AP84="Monthly F",12,$AP84="One-Time",0),AT84*(1+$D$3))</f>
        <v>1</v>
      </c>
      <c r="AV84" s="14" cm="1">
        <f t="array" ref="AV84">IFERROR(_xlfn.IFS(VALUE(MID(AV$5,6,1))&gt;$D$2,0,$AP84="Annual",1,AU84=12,12,$AP84="Monthly V",AU84*(1+$D$3),$AP84="Monthly F",12,$AP84="One-Time",0),AU84*(1+$D$3))</f>
        <v>1</v>
      </c>
      <c r="AW84" s="14" cm="1">
        <f t="array" ref="AW84">IFERROR(_xlfn.IFS(VALUE(MID(AW$5,6,1))&gt;$D$2,0,$AP84="Annual",1,AV84=12,12,$AP84="Monthly V",AV84*(1+$D$3),$AP84="Monthly F",12,$AP84="One-Time",0),AV84*(1+$D$3))</f>
        <v>1</v>
      </c>
      <c r="AX84" s="14" cm="1">
        <f t="array" ref="AX84">IFERROR(_xlfn.IFS(VALUE(MID(AX$5,6,1))&gt;$D$2,0,$AP84="Annual",1,AW84=12,12,$AP84="Monthly V",AW84*(1+$D$3),$AP84="Monthly F",12,$AP84="One-Time",0),AW84*(1+$D$3))</f>
        <v>1</v>
      </c>
      <c r="AY84" s="14" cm="1">
        <f t="array" ref="AY84">IFERROR(_xlfn.IFS(VALUE(MID(AY$5,6,1))&gt;$D$2,0,$AP84="Annual",1,AX84=12,12,$AP84="Monthly V",AX84*(1+$D$3),$AP84="Monthly F",12,$AP84="One-Time",0),AX84*(1+$D$3))</f>
        <v>0</v>
      </c>
      <c r="AZ84" s="14" cm="1">
        <f t="array" ref="AZ84">IFERROR(_xlfn.IFS(VALUE(MID(AZ$5,6,1))&gt;$D$2,0,$AP84="Annual",1,AY84=12,12,$AP84="Monthly V",AY84*(1+$D$3),$AP84="Monthly F",12,$AP84="One-Time",0),AY84*(1+$D$3))</f>
        <v>0</v>
      </c>
      <c r="BA84" s="125" cm="1">
        <f t="array" ref="BA84">IFERROR(_xlfn.IFS(VALUE(MID(BA$5,6,2))&gt;$D$2,0,$AP84="Annual",1,AZ84=12,12,$AP84="Monthly V",AZ84*(1+$D$3),$AP84="Monthly F",12,$AP84="One-Time",0),AZ84*(1+$D$3))</f>
        <v>0</v>
      </c>
      <c r="BB84" s="124" t="s">
        <v>246</v>
      </c>
      <c r="BC84" s="38" t="s">
        <v>249</v>
      </c>
      <c r="BD84" s="36">
        <v>2550</v>
      </c>
      <c r="BE84" s="21">
        <f t="shared" si="401"/>
        <v>212.5</v>
      </c>
      <c r="BF84" s="39">
        <f t="shared" si="417"/>
        <v>2550</v>
      </c>
      <c r="BG84" s="39">
        <f t="shared" si="402"/>
        <v>2550</v>
      </c>
      <c r="BH84" s="39">
        <f t="shared" si="418"/>
        <v>2550</v>
      </c>
      <c r="BI84" s="39">
        <f t="shared" si="350"/>
        <v>2626.5</v>
      </c>
      <c r="BJ84" s="39">
        <f t="shared" ref="BJ84:BL84" si="423">BI84*1.03</f>
        <v>2705.2950000000001</v>
      </c>
      <c r="BK84" s="39">
        <f t="shared" si="423"/>
        <v>2786.4538500000003</v>
      </c>
      <c r="BL84" s="39">
        <f t="shared" si="423"/>
        <v>2870.0474655000003</v>
      </c>
      <c r="BM84" s="39">
        <f t="shared" si="403"/>
        <v>0</v>
      </c>
      <c r="BN84" s="39">
        <f t="shared" si="404"/>
        <v>0</v>
      </c>
      <c r="BO84" s="39">
        <f t="shared" si="405"/>
        <v>0</v>
      </c>
      <c r="BP84" s="40"/>
      <c r="BQ84" s="40">
        <f t="shared" si="406"/>
        <v>76.500000000000071</v>
      </c>
      <c r="BR84" s="40">
        <f t="shared" si="407"/>
        <v>155.29499999999987</v>
      </c>
      <c r="BS84" s="40">
        <f t="shared" si="408"/>
        <v>243.54746550000002</v>
      </c>
      <c r="BT84" s="40">
        <f t="shared" si="409"/>
        <v>339.53835614894979</v>
      </c>
      <c r="BU84" s="40">
        <f t="shared" si="410"/>
        <v>443.80985753842066</v>
      </c>
      <c r="BV84" s="40">
        <f t="shared" si="411"/>
        <v>556.93930182751069</v>
      </c>
      <c r="BW84" s="40">
        <f t="shared" si="412"/>
        <v>0</v>
      </c>
      <c r="BX84" s="40">
        <f t="shared" si="413"/>
        <v>0</v>
      </c>
      <c r="BY84" s="40">
        <f t="shared" si="414"/>
        <v>0</v>
      </c>
      <c r="BZ84" s="40">
        <f t="shared" si="415"/>
        <v>1815.6299810148812</v>
      </c>
      <c r="CA84" s="37">
        <f t="shared" si="416"/>
        <v>20453.926296514881</v>
      </c>
      <c r="CC84" s="102"/>
      <c r="CD84" s="12"/>
      <c r="CE84" s="14"/>
      <c r="CF84" s="14"/>
      <c r="CG84" s="14"/>
      <c r="CH84" s="14"/>
      <c r="CI84" s="14"/>
      <c r="CJ84" s="14"/>
      <c r="CK84" s="14"/>
      <c r="CL84" s="14"/>
      <c r="CM84" s="14"/>
      <c r="CN84" s="24"/>
      <c r="CO84" s="63"/>
      <c r="CP84" s="53"/>
      <c r="CQ84" s="21"/>
      <c r="CR84" s="55"/>
      <c r="CS84" s="55"/>
      <c r="CT84" s="55"/>
      <c r="CU84" s="55"/>
      <c r="CV84" s="55"/>
      <c r="CW84" s="55"/>
      <c r="CX84" s="55"/>
      <c r="CY84" s="55"/>
      <c r="CZ84" s="55"/>
      <c r="DA84" s="55"/>
      <c r="DB84" s="56"/>
      <c r="DC84" s="56"/>
      <c r="DD84" s="56"/>
      <c r="DE84" s="56"/>
      <c r="DF84" s="56"/>
      <c r="DG84" s="56"/>
      <c r="DH84" s="56"/>
      <c r="DI84" s="56"/>
      <c r="DJ84" s="56"/>
      <c r="DK84" s="56"/>
      <c r="DL84" s="57"/>
      <c r="DM84" s="54"/>
      <c r="DO84" s="106"/>
    </row>
    <row r="85" spans="2:119" ht="15.75" thickBot="1" x14ac:dyDescent="0.3">
      <c r="B85" s="69"/>
      <c r="C85" s="29"/>
      <c r="D85" s="29"/>
      <c r="E85" s="100"/>
      <c r="F85" s="28"/>
      <c r="G85" s="28"/>
      <c r="H85" s="28"/>
      <c r="I85" s="28"/>
      <c r="J85" s="28"/>
      <c r="K85" s="28"/>
      <c r="L85" s="28"/>
      <c r="M85" s="28"/>
      <c r="N85" s="28"/>
      <c r="O85" s="30" t="s">
        <v>49</v>
      </c>
      <c r="P85" s="30"/>
      <c r="Q85" s="31"/>
      <c r="R85" s="32">
        <f>SUM(R7:R84)</f>
        <v>33294.416666666672</v>
      </c>
      <c r="S85" s="33">
        <f t="shared" ref="S85:AB85" si="424">SUM(S7:S84)</f>
        <v>399533</v>
      </c>
      <c r="T85" s="33">
        <f t="shared" si="424"/>
        <v>376753.4</v>
      </c>
      <c r="U85" s="33">
        <f t="shared" si="424"/>
        <v>440017.87999999995</v>
      </c>
      <c r="V85" s="33">
        <f t="shared" si="424"/>
        <v>510294.94496000011</v>
      </c>
      <c r="W85" s="33">
        <f t="shared" si="424"/>
        <v>599967.73395199992</v>
      </c>
      <c r="X85" s="33">
        <f t="shared" si="424"/>
        <v>607547.2924544001</v>
      </c>
      <c r="Y85" s="33">
        <f t="shared" si="424"/>
        <v>642270.55094528</v>
      </c>
      <c r="Z85" s="33">
        <f t="shared" si="424"/>
        <v>0</v>
      </c>
      <c r="AA85" s="33">
        <f t="shared" si="424"/>
        <v>0</v>
      </c>
      <c r="AB85" s="33">
        <f t="shared" si="424"/>
        <v>0</v>
      </c>
      <c r="AC85" s="34"/>
      <c r="AD85" s="33"/>
      <c r="AE85" s="33"/>
      <c r="AF85" s="33"/>
      <c r="AG85" s="33"/>
      <c r="AH85" s="33"/>
      <c r="AI85" s="33"/>
      <c r="AJ85" s="33"/>
      <c r="AK85" s="33"/>
      <c r="AL85" s="33"/>
      <c r="AM85" s="33">
        <f>SUM(AM7:AM84)</f>
        <v>174131.48876233082</v>
      </c>
      <c r="AN85" s="81">
        <f>SUM(AN7:AN84)</f>
        <v>3750516.2910740096</v>
      </c>
      <c r="AP85" s="139"/>
      <c r="AQ85" s="140"/>
      <c r="AR85" s="140"/>
      <c r="AS85" s="140"/>
      <c r="AT85" s="140"/>
      <c r="AU85" s="140"/>
      <c r="AV85" s="140"/>
      <c r="AW85" s="140"/>
      <c r="AX85" s="140"/>
      <c r="AY85" s="140"/>
      <c r="AZ85" s="140"/>
      <c r="BA85" s="138"/>
      <c r="BB85" s="90" t="s">
        <v>49</v>
      </c>
      <c r="BC85" s="90"/>
      <c r="BD85" s="91"/>
      <c r="BE85" s="92">
        <f t="shared" ref="BE85:BO85" si="425">SUM(BE7:BE84)</f>
        <v>41416.333333333328</v>
      </c>
      <c r="BF85" s="93">
        <f t="shared" si="425"/>
        <v>496996</v>
      </c>
      <c r="BG85" s="93">
        <f t="shared" si="425"/>
        <v>496996</v>
      </c>
      <c r="BH85" s="93">
        <f t="shared" si="425"/>
        <v>496996</v>
      </c>
      <c r="BI85" s="93">
        <f t="shared" si="425"/>
        <v>511905.88000000012</v>
      </c>
      <c r="BJ85" s="93">
        <f t="shared" si="425"/>
        <v>527262.87370000035</v>
      </c>
      <c r="BK85" s="93">
        <f t="shared" si="425"/>
        <v>543080.66991100018</v>
      </c>
      <c r="BL85" s="93">
        <f t="shared" si="425"/>
        <v>559373.00000832998</v>
      </c>
      <c r="BM85" s="93">
        <f t="shared" si="425"/>
        <v>0</v>
      </c>
      <c r="BN85" s="93">
        <f t="shared" si="425"/>
        <v>0</v>
      </c>
      <c r="BO85" s="93">
        <f t="shared" si="425"/>
        <v>0</v>
      </c>
      <c r="BP85" s="94"/>
      <c r="BQ85" s="93"/>
      <c r="BR85" s="93"/>
      <c r="BS85" s="93"/>
      <c r="BT85" s="93"/>
      <c r="BU85" s="93"/>
      <c r="BV85" s="93"/>
      <c r="BW85" s="93"/>
      <c r="BX85" s="93"/>
      <c r="BY85" s="93"/>
      <c r="BZ85" s="93">
        <f>SUM(BZ7:BZ84)</f>
        <v>353866.85500825848</v>
      </c>
      <c r="CA85" s="103">
        <f>SUM(CA7:CA84)</f>
        <v>3986477.278627587</v>
      </c>
      <c r="CC85" s="108"/>
      <c r="CD85" s="107"/>
      <c r="CE85" s="107"/>
      <c r="CF85" s="107"/>
      <c r="CG85" s="107"/>
      <c r="CH85" s="107"/>
      <c r="CI85" s="107"/>
      <c r="CJ85" s="107"/>
      <c r="CK85" s="107"/>
      <c r="CL85" s="107"/>
      <c r="CM85" s="107"/>
      <c r="CN85" s="107"/>
      <c r="CO85" s="109" t="s">
        <v>49</v>
      </c>
      <c r="CP85" s="110"/>
      <c r="CQ85" s="111">
        <f t="shared" ref="CQ85:DA85" si="426">SUM(CQ7:CQ84)</f>
        <v>0</v>
      </c>
      <c r="CR85" s="112">
        <f t="shared" si="426"/>
        <v>0</v>
      </c>
      <c r="CS85" s="112">
        <f t="shared" si="426"/>
        <v>0</v>
      </c>
      <c r="CT85" s="112">
        <f t="shared" si="426"/>
        <v>0</v>
      </c>
      <c r="CU85" s="112">
        <f t="shared" si="426"/>
        <v>0</v>
      </c>
      <c r="CV85" s="112">
        <f t="shared" si="426"/>
        <v>0</v>
      </c>
      <c r="CW85" s="112">
        <f t="shared" si="426"/>
        <v>0</v>
      </c>
      <c r="CX85" s="112">
        <f t="shared" si="426"/>
        <v>0</v>
      </c>
      <c r="CY85" s="112">
        <f t="shared" si="426"/>
        <v>0</v>
      </c>
      <c r="CZ85" s="112">
        <f t="shared" si="426"/>
        <v>0</v>
      </c>
      <c r="DA85" s="112">
        <f t="shared" si="426"/>
        <v>0</v>
      </c>
      <c r="DB85" s="113"/>
      <c r="DC85" s="112"/>
      <c r="DD85" s="112"/>
      <c r="DE85" s="112"/>
      <c r="DF85" s="112"/>
      <c r="DG85" s="112"/>
      <c r="DH85" s="112"/>
      <c r="DI85" s="112"/>
      <c r="DJ85" s="112"/>
      <c r="DK85" s="112"/>
      <c r="DL85" s="112">
        <f>SUM(DL7:DL84)</f>
        <v>0</v>
      </c>
      <c r="DM85" s="120">
        <f>SUM(DM7:DM84)</f>
        <v>0</v>
      </c>
      <c r="DN85" s="106"/>
      <c r="DO85" s="106"/>
    </row>
    <row r="86" spans="2:119" ht="15.75" thickBot="1" x14ac:dyDescent="0.3">
      <c r="B86" s="213" t="s">
        <v>339</v>
      </c>
      <c r="C86" s="214"/>
      <c r="D86" s="214"/>
      <c r="E86" s="214"/>
      <c r="F86" s="214"/>
      <c r="G86" s="214"/>
      <c r="H86" s="214"/>
      <c r="I86" s="214"/>
      <c r="J86" s="214"/>
      <c r="K86" s="214"/>
      <c r="L86" s="214"/>
      <c r="M86" s="214"/>
      <c r="N86" s="214"/>
      <c r="O86" s="214"/>
      <c r="P86" s="214"/>
      <c r="Q86" s="214"/>
      <c r="R86" s="214"/>
      <c r="S86" s="214"/>
      <c r="T86" s="214"/>
      <c r="U86" s="214"/>
      <c r="V86" s="214"/>
      <c r="W86" s="214"/>
      <c r="X86" s="214"/>
      <c r="Y86" s="214"/>
      <c r="Z86" s="214"/>
      <c r="AA86" s="214"/>
      <c r="AB86" s="214"/>
      <c r="AC86" s="214"/>
      <c r="AD86" s="214"/>
      <c r="AE86" s="214"/>
      <c r="AF86" s="214"/>
      <c r="AG86" s="214"/>
      <c r="AH86" s="214"/>
      <c r="AI86" s="214"/>
      <c r="AJ86" s="214"/>
      <c r="AK86" s="214"/>
      <c r="AL86" s="214"/>
      <c r="AM86" s="214"/>
      <c r="AN86" s="215"/>
      <c r="AP86" s="239" t="s">
        <v>240</v>
      </c>
      <c r="AQ86" s="214"/>
      <c r="AR86" s="214"/>
      <c r="AS86" s="214"/>
      <c r="AT86" s="214"/>
      <c r="AU86" s="214"/>
      <c r="AV86" s="214"/>
      <c r="AW86" s="214"/>
      <c r="AX86" s="214"/>
      <c r="AY86" s="214"/>
      <c r="AZ86" s="214"/>
      <c r="BA86" s="214"/>
      <c r="BB86" s="214"/>
      <c r="BC86" s="214"/>
      <c r="BD86" s="214"/>
      <c r="BE86" s="214"/>
      <c r="BF86" s="214"/>
      <c r="BG86" s="214"/>
      <c r="BH86" s="214"/>
      <c r="BI86" s="214"/>
      <c r="BJ86" s="214"/>
      <c r="BK86" s="214"/>
      <c r="BL86" s="214"/>
      <c r="BM86" s="214"/>
      <c r="BN86" s="214"/>
      <c r="BO86" s="214"/>
      <c r="BP86" s="214"/>
      <c r="BQ86" s="214"/>
      <c r="BR86" s="214"/>
      <c r="BS86" s="214"/>
      <c r="BT86" s="214"/>
      <c r="BU86" s="214"/>
      <c r="BV86" s="214"/>
      <c r="BW86" s="214"/>
      <c r="BX86" s="214"/>
      <c r="BY86" s="214"/>
      <c r="BZ86" s="214"/>
      <c r="CA86" s="240"/>
      <c r="CC86" s="239" t="s">
        <v>50</v>
      </c>
      <c r="CD86" s="214"/>
      <c r="CE86" s="214"/>
      <c r="CF86" s="214"/>
      <c r="CG86" s="214"/>
      <c r="CH86" s="214"/>
      <c r="CI86" s="214"/>
      <c r="CJ86" s="214"/>
      <c r="CK86" s="214"/>
      <c r="CL86" s="214"/>
      <c r="CM86" s="214"/>
      <c r="CN86" s="214"/>
      <c r="CO86" s="214"/>
      <c r="CP86" s="214"/>
      <c r="CQ86" s="214"/>
      <c r="CR86" s="214"/>
      <c r="CS86" s="214"/>
      <c r="CT86" s="214"/>
      <c r="CU86" s="214"/>
      <c r="CV86" s="214"/>
      <c r="CW86" s="214"/>
      <c r="CX86" s="214"/>
      <c r="CY86" s="214"/>
      <c r="CZ86" s="214"/>
      <c r="DA86" s="214"/>
      <c r="DB86" s="214"/>
      <c r="DC86" s="214"/>
      <c r="DD86" s="214"/>
      <c r="DE86" s="214"/>
      <c r="DF86" s="214"/>
      <c r="DG86" s="214"/>
      <c r="DH86" s="214"/>
      <c r="DI86" s="214"/>
      <c r="DJ86" s="214"/>
      <c r="DK86" s="214"/>
      <c r="DL86" s="214"/>
      <c r="DM86" s="240"/>
    </row>
    <row r="87" spans="2:119" x14ac:dyDescent="0.25">
      <c r="B87" s="141" t="s">
        <v>3</v>
      </c>
      <c r="C87" s="24">
        <v>1</v>
      </c>
      <c r="D87" s="147">
        <f t="shared" ref="D87:D108" si="427">IFERROR(AVERAGE(C87:C87),0)</f>
        <v>1</v>
      </c>
      <c r="E87" s="142">
        <f t="shared" ref="E87:E108" si="428">IF($B87="Annual",1,IF($B87="Monthly F",12,IF($B87="Monthly V",D87*12,IF($B87="One-Time",1,D87*12))))</f>
        <v>1</v>
      </c>
      <c r="F87" s="14" cm="1">
        <f t="array" ref="F87">IFERROR(_xlfn.IFS(VALUE(MID(F$5,6,1))&gt;$D$2,0,$B87="Annual",1,E87=12,12,$B87="Monthly V",E87*(1+$D$3),$B87="Monthly F",12,$B87="One-Time",0),E87*(1+$D$3))</f>
        <v>0</v>
      </c>
      <c r="G87" s="14" cm="1">
        <f t="array" ref="G87">IFERROR(_xlfn.IFS(VALUE(MID(G$5,6,1))&gt;$D$2,0,$B87="Annual",1,F87=12,12,$B87="Monthly V",F87*(1+$D$3),$B87="Monthly F",12,$B87="One-Time",0),F87*(1+$D$3))</f>
        <v>0</v>
      </c>
      <c r="H87" s="14" cm="1">
        <f t="array" ref="H87">IFERROR(_xlfn.IFS(VALUE(MID(H$5,6,1))&gt;$D$2,0,$B87="Annual",1,G87=12,12,$B87="Monthly V",G87*(1+$D$3),$B87="Monthly F",12,$B87="One-Time",0),G87*(1+$D$3))</f>
        <v>0</v>
      </c>
      <c r="I87" s="14" cm="1">
        <f t="array" ref="I87">IFERROR(_xlfn.IFS(VALUE(MID(I$5,6,1))&gt;$D$2,0,$B87="Annual",1,H87=12,12,$B87="Monthly V",H87*(1+$D$3),$B87="Monthly F",12,$B87="One-Time",0),H87*(1+$D$3))</f>
        <v>0</v>
      </c>
      <c r="J87" s="14" cm="1">
        <f t="array" ref="J87">IFERROR(_xlfn.IFS(VALUE(MID(J$5,6,1))&gt;$D$2,0,$B87="Annual",1,I87=12,12,$B87="Monthly V",I87*(1+$D$3),$B87="Monthly F",12,$B87="One-Time",0),I87*(1+$D$3))</f>
        <v>0</v>
      </c>
      <c r="K87" s="14" cm="1">
        <f t="array" ref="K87">IFERROR(_xlfn.IFS(VALUE(MID(K$5,6,1))&gt;$D$2,0,$B87="Annual",1,J87=12,12,$B87="Monthly V",J87*(1+$D$3),$B87="Monthly F",12,$B87="One-Time",0),J87*(1+$D$3))</f>
        <v>0</v>
      </c>
      <c r="L87" s="14" cm="1">
        <f t="array" ref="L87">IFERROR(_xlfn.IFS(VALUE(MID(L$5,6,1))&gt;$D$2,0,$B87="Annual",1,K87=12,12,$B87="Monthly V",K87*(1+$D$3),$B87="Monthly F",12,$B87="One-Time",0),K87*(1+$D$3))</f>
        <v>0</v>
      </c>
      <c r="M87" s="14" cm="1">
        <f t="array" ref="M87">IFERROR(_xlfn.IFS(VALUE(MID(M$5,6,1))&gt;$D$2,0,$B87="Annual",1,L87=12,12,$B87="Monthly V",L87*(1+$D$3),$B87="Monthly F",12,$B87="One-Time",0),L87*(1+$D$3))</f>
        <v>0</v>
      </c>
      <c r="N87" s="24" cm="1">
        <f t="array" ref="N87">IFERROR(_xlfn.IFS(VALUE(MID(N$5,6,2))&gt;$D$2,0,$B87="Annual",1,M87=12,12,$B87="Monthly V",M87*(1+$D$3),$B87="Monthly F",12,$B87="One-Time",0),M87*(1+$D$3))</f>
        <v>0</v>
      </c>
      <c r="O87" s="127" t="s">
        <v>94</v>
      </c>
      <c r="P87" s="13" t="s">
        <v>70</v>
      </c>
      <c r="Q87" s="20">
        <v>1250</v>
      </c>
      <c r="R87" s="21">
        <f t="shared" ref="R87:R108" si="429">S87/12</f>
        <v>104.16666666666667</v>
      </c>
      <c r="S87" s="6">
        <f t="shared" ref="S87:AB108" si="430">IFERROR($Q87*E87,0)</f>
        <v>1250</v>
      </c>
      <c r="T87" s="6">
        <f t="shared" si="430"/>
        <v>0</v>
      </c>
      <c r="U87" s="6">
        <f t="shared" si="430"/>
        <v>0</v>
      </c>
      <c r="V87" s="6">
        <f t="shared" si="430"/>
        <v>0</v>
      </c>
      <c r="W87" s="6">
        <f t="shared" si="430"/>
        <v>0</v>
      </c>
      <c r="X87" s="6">
        <f t="shared" si="430"/>
        <v>0</v>
      </c>
      <c r="Y87" s="6">
        <f t="shared" si="430"/>
        <v>0</v>
      </c>
      <c r="Z87" s="6">
        <f t="shared" si="430"/>
        <v>0</v>
      </c>
      <c r="AA87" s="6">
        <f t="shared" si="430"/>
        <v>0</v>
      </c>
      <c r="AB87" s="6">
        <f t="shared" si="430"/>
        <v>0</v>
      </c>
      <c r="AC87" s="7"/>
      <c r="AD87" s="152">
        <f t="shared" ref="AD87:AD108" si="431">IF(VALUE(MID(AD$5,6,1))&lt;=$D$2,((1+$Q$3)^1-1)*T87,0)</f>
        <v>0</v>
      </c>
      <c r="AE87" s="152">
        <f t="shared" ref="AE87:AE108" si="432">IF(VALUE(MID(AE$5,6,1))&lt;=$D$2,((1+$Q$3)^2-1)*U87,0)</f>
        <v>0</v>
      </c>
      <c r="AF87" s="152">
        <f t="shared" ref="AF87:AF108" si="433">IF(VALUE(MID(AF$5,6,1))&lt;=$D$2,((1+$Q$3)^3-1)*V87,0)</f>
        <v>0</v>
      </c>
      <c r="AG87" s="152">
        <f t="shared" ref="AG87:AG108" si="434">IF(VALUE(MID(AG$5,6,1))&lt;=$D$2,((1+$Q$3)^4-1)*W87,0)</f>
        <v>0</v>
      </c>
      <c r="AH87" s="152">
        <f t="shared" ref="AH87:AH108" si="435">IF(VALUE(MID(AH$5,6,1))&lt;=$D$2,((1+$Q$3)^5-1)*X87,0)</f>
        <v>0</v>
      </c>
      <c r="AI87" s="152">
        <f t="shared" ref="AI87:AI108" si="436">IF(VALUE(MID(AI$5,6,1))&lt;=$D$2,((1+$Q$3)^6-1)*Y87,0)</f>
        <v>0</v>
      </c>
      <c r="AJ87" s="152">
        <f t="shared" ref="AJ87:AJ108" si="437">IF(VALUE(MID(AJ$5,6,1))&lt;=$D$2,((1+$Q$3)^7-1)*Z87,0)</f>
        <v>0</v>
      </c>
      <c r="AK87" s="152">
        <f t="shared" ref="AK87:AK108" si="438">IF(VALUE(MID(AK$5,6,1))&lt;=$D$2,((1+$Q$3)^8-1)*AA87,0)</f>
        <v>0</v>
      </c>
      <c r="AL87" s="152">
        <f t="shared" ref="AL87:AL108" si="439">IF(VALUE(MID(AL$5,6,2))&lt;=$D$2,((1+$Q$3)^9-1)*AB87,0)</f>
        <v>0</v>
      </c>
      <c r="AM87" s="9">
        <f t="shared" ref="AM87:AM108" si="440">SUM(AC87:AL87)</f>
        <v>0</v>
      </c>
      <c r="AN87" s="80">
        <f t="shared" ref="AN87:AN108" si="441">SUM(AM87,S87:AB87)</f>
        <v>1250</v>
      </c>
      <c r="AP87" s="114" t="s">
        <v>3</v>
      </c>
      <c r="AQ87" s="143">
        <v>1</v>
      </c>
      <c r="AR87" s="14">
        <f t="shared" ref="AR87:AR114" si="442">IF($AP87="Annual",1,IF($AP87="Monthly F",12,IF($AP87="Monthly V",AQ87*12,IF($AP87="One-Time",1,AQ87*12))))</f>
        <v>1</v>
      </c>
      <c r="AS87" s="14" cm="1">
        <f t="array" ref="AS87">IFERROR(_xlfn.IFS(VALUE(MID(AS$5,6,1))&gt;$D$2,0,$AP87="Annual",1,AR87=12,12,$AP87="Monthly V",AR87*(1+$D$3),$AP87="Monthly F",12,$AP87="One-Time",0),AR87*(1+$D$3))</f>
        <v>0</v>
      </c>
      <c r="AT87" s="14" cm="1">
        <f t="array" ref="AT87">IFERROR(_xlfn.IFS(VALUE(MID(AT$5,6,1))&gt;$D$2,0,$AP87="Annual",1,AS87=12,12,$AP87="Monthly V",AS87*(1+$D$3),$AP87="Monthly F",12,$AP87="One-Time",0),AS87*(1+$D$3))</f>
        <v>0</v>
      </c>
      <c r="AU87" s="14" cm="1">
        <f t="array" ref="AU87">IFERROR(_xlfn.IFS(VALUE(MID(AU$5,6,1))&gt;$D$2,0,$AP87="Annual",1,AT87=12,12,$AP87="Monthly V",AT87*(1+$D$3),$AP87="Monthly F",12,$AP87="One-Time",0),AT87*(1+$D$3))</f>
        <v>0</v>
      </c>
      <c r="AV87" s="14" cm="1">
        <f t="array" ref="AV87">IFERROR(_xlfn.IFS(VALUE(MID(AV$5,6,1))&gt;$D$2,0,$AP87="Annual",1,AU87=12,12,$AP87="Monthly V",AU87*(1+$D$3),$AP87="Monthly F",12,$AP87="One-Time",0),AU87*(1+$D$3))</f>
        <v>0</v>
      </c>
      <c r="AW87" s="14" cm="1">
        <f t="array" ref="AW87">IFERROR(_xlfn.IFS(VALUE(MID(AW$5,6,1))&gt;$D$2,0,$AP87="Annual",1,AV87=12,12,$AP87="Monthly V",AV87*(1+$D$3),$AP87="Monthly F",12,$AP87="One-Time",0),AV87*(1+$D$3))</f>
        <v>0</v>
      </c>
      <c r="AX87" s="14" cm="1">
        <f t="array" ref="AX87">IFERROR(_xlfn.IFS(VALUE(MID(AX$5,6,1))&gt;$D$2,0,$AP87="Annual",1,AW87=12,12,$AP87="Monthly V",AW87*(1+$D$3),$AP87="Monthly F",12,$AP87="One-Time",0),AW87*(1+$D$3))</f>
        <v>0</v>
      </c>
      <c r="AY87" s="14" cm="1">
        <f t="array" ref="AY87">IFERROR(_xlfn.IFS(VALUE(MID(AY$5,6,1))&gt;$D$2,0,$AP87="Annual",1,AX87=12,12,$AP87="Monthly V",AX87*(1+$D$3),$AP87="Monthly F",12,$AP87="One-Time",0),AX87*(1+$D$3))</f>
        <v>0</v>
      </c>
      <c r="AZ87" s="14" cm="1">
        <f t="array" ref="AZ87">IFERROR(_xlfn.IFS(VALUE(MID(AZ$5,6,1))&gt;$D$2,0,$AP87="Annual",1,AY87=12,12,$AP87="Monthly V",AY87*(1+$D$3),$AP87="Monthly F",12,$AP87="One-Time",0),AY87*(1+$D$3))</f>
        <v>0</v>
      </c>
      <c r="BA87" s="125" cm="1">
        <f t="array" ref="BA87">IFERROR(_xlfn.IFS(VALUE(MID(BA$5,6,2))&gt;$D$2,0,$AP87="Annual",1,AZ87=12,12,$AP87="Monthly V",AZ87*(1+$D$3),$AP87="Monthly F",12,$AP87="One-Time",0),AZ87*(1+$D$3))</f>
        <v>0</v>
      </c>
      <c r="BB87" s="148" t="s">
        <v>314</v>
      </c>
      <c r="BC87" s="144" t="s">
        <v>221</v>
      </c>
      <c r="BD87" s="145">
        <v>1125</v>
      </c>
      <c r="BE87" s="21">
        <f t="shared" ref="BE87:BE114" si="443">BF87/12</f>
        <v>93.75</v>
      </c>
      <c r="BF87" s="39">
        <f>IFERROR(AR87*$BD87,0)</f>
        <v>1125</v>
      </c>
      <c r="BG87" s="39">
        <f t="shared" ref="BG87:BG114" si="444">IFERROR(AS87*$BD87,0)</f>
        <v>0</v>
      </c>
      <c r="BH87" s="39">
        <f t="shared" ref="BH87:BH114" si="445">IFERROR(AT87*$BD87,0)</f>
        <v>0</v>
      </c>
      <c r="BI87" s="39">
        <f t="shared" ref="BI87:BI114" si="446">IFERROR(AU87*$BD87,0)</f>
        <v>0</v>
      </c>
      <c r="BJ87" s="39">
        <f t="shared" ref="BJ87:BJ114" si="447">IFERROR(AV87*$BD87,0)</f>
        <v>0</v>
      </c>
      <c r="BK87" s="39">
        <f t="shared" ref="BK87:BK114" si="448">IFERROR(AW87*$BD87,0)</f>
        <v>0</v>
      </c>
      <c r="BL87" s="39">
        <f t="shared" ref="BL87:BL114" si="449">IFERROR(AX87*$BD87,0)</f>
        <v>0</v>
      </c>
      <c r="BM87" s="39">
        <f t="shared" ref="BM87:BM114" si="450">IFERROR(AY87*$BD87,0)</f>
        <v>0</v>
      </c>
      <c r="BN87" s="39">
        <f t="shared" ref="BN87:BN114" si="451">IFERROR(AZ87*$BD87,0)</f>
        <v>0</v>
      </c>
      <c r="BO87" s="39">
        <f t="shared" ref="BO87:BO114" si="452">IFERROR(BA87*$BD87,0)</f>
        <v>0</v>
      </c>
      <c r="BP87" s="40"/>
      <c r="BQ87" s="40">
        <f t="shared" ref="BQ87:BQ114" si="453">IF(VALUE(MID(BQ$5,6,1))&lt;=$D$2,((1+$BD$3)^1-1)*BG87,0)</f>
        <v>0</v>
      </c>
      <c r="BR87" s="40">
        <f t="shared" ref="BR87:BR114" si="454">IF(VALUE(MID(BR$5,6,1))&lt;=$D$2,((1+$BD$3)^2-1)*BH87,0)</f>
        <v>0</v>
      </c>
      <c r="BS87" s="40">
        <f t="shared" ref="BS87:BS114" si="455">IF(VALUE(MID(BS$5,6,1))&lt;=$D$2,((1+$BD$3)^3-1)*BI87,0)</f>
        <v>0</v>
      </c>
      <c r="BT87" s="40">
        <f t="shared" ref="BT87:BT114" si="456">IF(VALUE(MID(BT$5,6,1))&lt;=$D$2,((1+$BD$3)^4-1)*BJ87,0)</f>
        <v>0</v>
      </c>
      <c r="BU87" s="40">
        <f t="shared" ref="BU87:BU114" si="457">IF(VALUE(MID(BU$5,6,1))&lt;=$D$2,((1+$BD$3)^5-1)*BK87,0)</f>
        <v>0</v>
      </c>
      <c r="BV87" s="40">
        <f t="shared" ref="BV87:BV114" si="458">IF(VALUE(MID(BV$5,6,1))&lt;=$D$2,((1+$BD$3)^6-1)*BL87,0)</f>
        <v>0</v>
      </c>
      <c r="BW87" s="40">
        <f t="shared" ref="BW87:BW114" si="459">IF(VALUE(MID(BW$5,6,1))&lt;=$D$2,((1+$BD$3)^7-1)*BM87,0)</f>
        <v>0</v>
      </c>
      <c r="BX87" s="40">
        <f t="shared" ref="BX87:BX114" si="460">IF(VALUE(MID(BX$5,6,1))&lt;=$D$2,((1+$BD$3)^8-1)*BN87,0)</f>
        <v>0</v>
      </c>
      <c r="BY87" s="40">
        <f t="shared" ref="BY87:BY114" si="461">IF(VALUE(MID(BY$5,6,2))&lt;=$D$2,((1+$BD$3)^9-1)*BO87,0)</f>
        <v>0</v>
      </c>
      <c r="BZ87" s="40">
        <f t="shared" ref="BZ87:BZ114" si="462">SUM(BP87:BY87)</f>
        <v>0</v>
      </c>
      <c r="CA87" s="37">
        <f t="shared" ref="CA87:CA114" si="463">SUM(BZ87,BF87:BO87)</f>
        <v>1125</v>
      </c>
      <c r="CC87" s="102"/>
      <c r="CD87" s="12"/>
      <c r="CE87" s="14">
        <f t="shared" ref="CE87:CE92" si="464">IF($CC87="Annual",1,IF($CC87="Monthly F",12,IF($CC87="Monthly V",CD87*12,IF($CC87="One-Time",1,CD87*12))))</f>
        <v>0</v>
      </c>
      <c r="CF87" s="14" cm="1">
        <f t="array" ref="CF87">IFERROR(_xlfn.IFS(VALUE(MID(CF$5,6,1))&gt;$D$2,0,$CC87="Annual",1,CE87=12,12,$CC87="Monthly V",CE87*(1+$D$3),$CC87="Monthly F",12,$CC87="One-Time",0),CE87*(1+$D$3))</f>
        <v>0</v>
      </c>
      <c r="CG87" s="14" cm="1">
        <f t="array" ref="CG87">IFERROR(_xlfn.IFS(VALUE(MID(CG$5,6,1))&gt;$D$2,0,$CC87="Annual",1,CF87=12,12,$CC87="Monthly V",CF87*(1+$D$3),$CC87="Monthly F",12,$CC87="One-Time",0),CF87*(1+$D$3))</f>
        <v>0</v>
      </c>
      <c r="CH87" s="14" cm="1">
        <f t="array" ref="CH87">IFERROR(_xlfn.IFS(VALUE(MID(CH$5,6,1))&gt;$D$2,0,$CC87="Annual",1,CG87=12,12,$CC87="Monthly V",CG87*(1+$D$3),$CC87="Monthly F",12,$CC87="One-Time",0),CG87*(1+$D$3))</f>
        <v>0</v>
      </c>
      <c r="CI87" s="14" cm="1">
        <f t="array" ref="CI87">IFERROR(_xlfn.IFS(VALUE(MID(CI$5,6,1))&gt;$D$2,0,$CC87="Annual",1,CH87=12,12,$CC87="Monthly V",CH87*(1+$D$3),$CC87="Monthly F",12,$CC87="One-Time",0),CH87*(1+$D$3))</f>
        <v>0</v>
      </c>
      <c r="CJ87" s="14" cm="1">
        <f t="array" ref="CJ87">IFERROR(_xlfn.IFS(VALUE(MID(CJ$5,6,1))&gt;$D$2,0,$CC87="Annual",1,CI87=12,12,$CC87="Monthly V",CI87*(1+$D$3),$CC87="Monthly F",12,$CC87="One-Time",0),CI87*(1+$D$3))</f>
        <v>0</v>
      </c>
      <c r="CK87" s="14" cm="1">
        <f t="array" ref="CK87">IFERROR(_xlfn.IFS(VALUE(MID(CK$5,6,1))&gt;$D$2,0,$CC87="Annual",1,CJ87=12,12,$CC87="Monthly V",CJ87*(1+$D$3),$CC87="Monthly F",12,$CC87="One-Time",0),CJ87*(1+$D$3))</f>
        <v>0</v>
      </c>
      <c r="CL87" s="14" cm="1">
        <f t="array" ref="CL87">IFERROR(_xlfn.IFS(VALUE(MID(CL$5,6,1))&gt;$D$2,0,$CC87="Annual",1,CK87=12,12,$CC87="Monthly V",CK87*(1+$D$3),$CC87="Monthly F",12,$CC87="One-Time",0),CK87*(1+$D$3))</f>
        <v>0</v>
      </c>
      <c r="CM87" s="14" cm="1">
        <f t="array" ref="CM87">IFERROR(_xlfn.IFS(VALUE(MID(CM$5,6,1))&gt;$D$2,0,$CC87="Annual",1,CL87=12,12,$CC87="Monthly V",CL87*(1+$D$3),$CC87="Monthly F",12,$CC87="One-Time",0),CL87*(1+$D$3))</f>
        <v>0</v>
      </c>
      <c r="CN87" s="24" cm="1">
        <f t="array" ref="CN87">IFERROR(_xlfn.IFS(VALUE(MID(CN$5,6,2))&gt;$D$2,0,$CC87="Annual",1,CM87=12,12,$CC87="Monthly V",CM87*(1+$D$3),$CC87="Monthly F",12,$CC87="One-Time",0),CM87*(1+$D$3))</f>
        <v>0</v>
      </c>
      <c r="CO87" s="63"/>
      <c r="CP87" s="53"/>
      <c r="CQ87" s="21">
        <f t="shared" ref="CQ87:CQ92" si="465">CR87/12</f>
        <v>0</v>
      </c>
      <c r="CR87" s="55">
        <f t="shared" ref="CR87:DA92" si="466">IFERROR(CE87*$CP87,0)</f>
        <v>0</v>
      </c>
      <c r="CS87" s="55">
        <f t="shared" si="466"/>
        <v>0</v>
      </c>
      <c r="CT87" s="55">
        <f t="shared" si="466"/>
        <v>0</v>
      </c>
      <c r="CU87" s="55">
        <f t="shared" si="466"/>
        <v>0</v>
      </c>
      <c r="CV87" s="55">
        <f t="shared" si="466"/>
        <v>0</v>
      </c>
      <c r="CW87" s="55">
        <f t="shared" si="466"/>
        <v>0</v>
      </c>
      <c r="CX87" s="55">
        <f t="shared" si="466"/>
        <v>0</v>
      </c>
      <c r="CY87" s="55">
        <f t="shared" si="466"/>
        <v>0</v>
      </c>
      <c r="CZ87" s="55">
        <f t="shared" si="466"/>
        <v>0</v>
      </c>
      <c r="DA87" s="55">
        <f t="shared" si="466"/>
        <v>0</v>
      </c>
      <c r="DB87" s="56"/>
      <c r="DC87" s="56">
        <f t="shared" ref="DC87:DC92" si="467">IF(VALUE(MID(DC$5,6,1))&lt;=$D$2,((1+$CP$3)^1-1)*CS87,0)</f>
        <v>0</v>
      </c>
      <c r="DD87" s="56">
        <f t="shared" ref="DD87:DD92" si="468">IF(VALUE(MID(DD$5,6,1))&lt;=$D$2,((1+$CP$3)^2-1)*CT87,0)</f>
        <v>0</v>
      </c>
      <c r="DE87" s="56">
        <f t="shared" ref="DE87:DE92" si="469">IF(VALUE(MID(DE$5,6,1))&lt;=$D$2,((1+$CP$3)^3-1)*CU87,0)</f>
        <v>0</v>
      </c>
      <c r="DF87" s="56">
        <f t="shared" ref="DF87:DF92" si="470">IF(VALUE(MID(DF$5,6,1))&lt;=$D$2,((1+$CP$3)^4-1)*CV87,0)</f>
        <v>0</v>
      </c>
      <c r="DG87" s="56">
        <f t="shared" ref="DG87:DG92" si="471">IF(VALUE(MID(DG$5,6,1))&lt;=$D$2,((1+$CP$3)^5-1)*CW87,0)</f>
        <v>0</v>
      </c>
      <c r="DH87" s="56">
        <f t="shared" ref="DH87:DH92" si="472">IF(VALUE(MID(DH$5,6,1))&lt;=$D$2,((1+$CP$3)^6-1)*CX87,0)</f>
        <v>0</v>
      </c>
      <c r="DI87" s="56">
        <f t="shared" ref="DI87:DI92" si="473">IF(VALUE(MID(DI$5,6,1))&lt;=$D$2,((1+$CP$3)^7-1)*CY87,0)</f>
        <v>0</v>
      </c>
      <c r="DJ87" s="56">
        <f t="shared" ref="DJ87:DJ92" si="474">IF(VALUE(MID(DJ$5,6,1))&lt;=$D$2,((1+$CP$3)^8-1)*CZ87,0)</f>
        <v>0</v>
      </c>
      <c r="DK87" s="56">
        <f t="shared" ref="DK87:DK92" si="475">IF(VALUE(MID(DK$5,6,2))&lt;=$D$2,((1+$CP$3)^9-1)*DA87,0)</f>
        <v>0</v>
      </c>
      <c r="DL87" s="57">
        <f t="shared" ref="DL87:DL92" si="476">SUM(DB87:DK87)</f>
        <v>0</v>
      </c>
      <c r="DM87" s="54">
        <f t="shared" ref="DM87:DM92" si="477">SUM(DL87,CR87:DA87)</f>
        <v>0</v>
      </c>
      <c r="DO87" s="106"/>
    </row>
    <row r="88" spans="2:119" x14ac:dyDescent="0.25">
      <c r="B88" s="141" t="s">
        <v>3</v>
      </c>
      <c r="C88" s="24">
        <v>1</v>
      </c>
      <c r="D88" s="147">
        <f t="shared" si="427"/>
        <v>1</v>
      </c>
      <c r="E88" s="142">
        <f t="shared" si="428"/>
        <v>1</v>
      </c>
      <c r="F88" s="14" cm="1">
        <f t="array" ref="F88">IFERROR(_xlfn.IFS(VALUE(MID(F$5,6,1))&gt;$D$2,0,$B88="Annual",1,E88=12,12,$B88="Monthly V",E88*(1+$D$3),$B88="Monthly F",12,$B88="One-Time",0),E88*(1+$D$3))</f>
        <v>0</v>
      </c>
      <c r="G88" s="14" cm="1">
        <f t="array" ref="G88">IFERROR(_xlfn.IFS(VALUE(MID(G$5,6,1))&gt;$D$2,0,$B88="Annual",1,F88=12,12,$B88="Monthly V",F88*(1+$D$3),$B88="Monthly F",12,$B88="One-Time",0),F88*(1+$D$3))</f>
        <v>0</v>
      </c>
      <c r="H88" s="14" cm="1">
        <f t="array" ref="H88">IFERROR(_xlfn.IFS(VALUE(MID(H$5,6,1))&gt;$D$2,0,$B88="Annual",1,G88=12,12,$B88="Monthly V",G88*(1+$D$3),$B88="Monthly F",12,$B88="One-Time",0),G88*(1+$D$3))</f>
        <v>0</v>
      </c>
      <c r="I88" s="14" cm="1">
        <f t="array" ref="I88">IFERROR(_xlfn.IFS(VALUE(MID(I$5,6,1))&gt;$D$2,0,$B88="Annual",1,H88=12,12,$B88="Monthly V",H88*(1+$D$3),$B88="Monthly F",12,$B88="One-Time",0),H88*(1+$D$3))</f>
        <v>0</v>
      </c>
      <c r="J88" s="14" cm="1">
        <f t="array" ref="J88">IFERROR(_xlfn.IFS(VALUE(MID(J$5,6,1))&gt;$D$2,0,$B88="Annual",1,I88=12,12,$B88="Monthly V",I88*(1+$D$3),$B88="Monthly F",12,$B88="One-Time",0),I88*(1+$D$3))</f>
        <v>0</v>
      </c>
      <c r="K88" s="14" cm="1">
        <f t="array" ref="K88">IFERROR(_xlfn.IFS(VALUE(MID(K$5,6,1))&gt;$D$2,0,$B88="Annual",1,J88=12,12,$B88="Monthly V",J88*(1+$D$3),$B88="Monthly F",12,$B88="One-Time",0),J88*(1+$D$3))</f>
        <v>0</v>
      </c>
      <c r="L88" s="14" cm="1">
        <f t="array" ref="L88">IFERROR(_xlfn.IFS(VALUE(MID(L$5,6,1))&gt;$D$2,0,$B88="Annual",1,K88=12,12,$B88="Monthly V",K88*(1+$D$3),$B88="Monthly F",12,$B88="One-Time",0),K88*(1+$D$3))</f>
        <v>0</v>
      </c>
      <c r="M88" s="14" cm="1">
        <f t="array" ref="M88">IFERROR(_xlfn.IFS(VALUE(MID(M$5,6,1))&gt;$D$2,0,$B88="Annual",1,L88=12,12,$B88="Monthly V",L88*(1+$D$3),$B88="Monthly F",12,$B88="One-Time",0),L88*(1+$D$3))</f>
        <v>0</v>
      </c>
      <c r="N88" s="24" cm="1">
        <f t="array" ref="N88">IFERROR(_xlfn.IFS(VALUE(MID(N$5,6,2))&gt;$D$2,0,$B88="Annual",1,M88=12,12,$B88="Monthly V",M88*(1+$D$3),$B88="Monthly F",12,$B88="One-Time",0),M88*(1+$D$3))</f>
        <v>0</v>
      </c>
      <c r="O88" s="127" t="s">
        <v>95</v>
      </c>
      <c r="P88" s="13" t="s">
        <v>96</v>
      </c>
      <c r="Q88" s="20">
        <v>17015</v>
      </c>
      <c r="R88" s="21">
        <f t="shared" si="429"/>
        <v>1417.9166666666667</v>
      </c>
      <c r="S88" s="6">
        <f t="shared" si="430"/>
        <v>17015</v>
      </c>
      <c r="T88" s="6">
        <f t="shared" si="430"/>
        <v>0</v>
      </c>
      <c r="U88" s="6">
        <f t="shared" si="430"/>
        <v>0</v>
      </c>
      <c r="V88" s="6">
        <f t="shared" si="430"/>
        <v>0</v>
      </c>
      <c r="W88" s="6">
        <f t="shared" si="430"/>
        <v>0</v>
      </c>
      <c r="X88" s="6">
        <f t="shared" si="430"/>
        <v>0</v>
      </c>
      <c r="Y88" s="6">
        <f t="shared" si="430"/>
        <v>0</v>
      </c>
      <c r="Z88" s="6">
        <f t="shared" si="430"/>
        <v>0</v>
      </c>
      <c r="AA88" s="6">
        <f t="shared" si="430"/>
        <v>0</v>
      </c>
      <c r="AB88" s="6">
        <f t="shared" si="430"/>
        <v>0</v>
      </c>
      <c r="AC88" s="7"/>
      <c r="AD88" s="152">
        <f t="shared" si="431"/>
        <v>0</v>
      </c>
      <c r="AE88" s="152">
        <f t="shared" si="432"/>
        <v>0</v>
      </c>
      <c r="AF88" s="152">
        <f t="shared" si="433"/>
        <v>0</v>
      </c>
      <c r="AG88" s="152">
        <f t="shared" si="434"/>
        <v>0</v>
      </c>
      <c r="AH88" s="152">
        <f t="shared" si="435"/>
        <v>0</v>
      </c>
      <c r="AI88" s="152">
        <f t="shared" si="436"/>
        <v>0</v>
      </c>
      <c r="AJ88" s="152">
        <f t="shared" si="437"/>
        <v>0</v>
      </c>
      <c r="AK88" s="152">
        <f t="shared" si="438"/>
        <v>0</v>
      </c>
      <c r="AL88" s="152">
        <f t="shared" si="439"/>
        <v>0</v>
      </c>
      <c r="AM88" s="9">
        <f t="shared" si="440"/>
        <v>0</v>
      </c>
      <c r="AN88" s="80">
        <f t="shared" si="441"/>
        <v>17015</v>
      </c>
      <c r="AP88" s="114" t="s">
        <v>3</v>
      </c>
      <c r="AQ88" s="143">
        <v>1</v>
      </c>
      <c r="AR88" s="14">
        <f t="shared" ref="AR88:AR107" si="478">IF($AP88="Annual",1,IF($AP88="Monthly F",12,IF($AP88="Monthly V",AQ88*12,IF($AP88="One-Time",1,AQ88*12))))</f>
        <v>1</v>
      </c>
      <c r="AS88" s="14" cm="1">
        <f t="array" ref="AS88">IFERROR(_xlfn.IFS(VALUE(MID(AS$5,6,1))&gt;$D$2,0,$AP88="Annual",1,AR88=12,12,$AP88="Monthly V",AR88*(1+$D$3),$AP88="Monthly F",12,$AP88="One-Time",0),AR88*(1+$D$3))</f>
        <v>0</v>
      </c>
      <c r="AT88" s="14" cm="1">
        <f t="array" ref="AT88">IFERROR(_xlfn.IFS(VALUE(MID(AT$5,6,1))&gt;$D$2,0,$AP88="Annual",1,AS88=12,12,$AP88="Monthly V",AS88*(1+$D$3),$AP88="Monthly F",12,$AP88="One-Time",0),AS88*(1+$D$3))</f>
        <v>0</v>
      </c>
      <c r="AU88" s="14" cm="1">
        <f t="array" ref="AU88">IFERROR(_xlfn.IFS(VALUE(MID(AU$5,6,1))&gt;$D$2,0,$AP88="Annual",1,AT88=12,12,$AP88="Monthly V",AT88*(1+$D$3),$AP88="Monthly F",12,$AP88="One-Time",0),AT88*(1+$D$3))</f>
        <v>0</v>
      </c>
      <c r="AV88" s="14" cm="1">
        <f t="array" ref="AV88">IFERROR(_xlfn.IFS(VALUE(MID(AV$5,6,1))&gt;$D$2,0,$AP88="Annual",1,AU88=12,12,$AP88="Monthly V",AU88*(1+$D$3),$AP88="Monthly F",12,$AP88="One-Time",0),AU88*(1+$D$3))</f>
        <v>0</v>
      </c>
      <c r="AW88" s="14" cm="1">
        <f t="array" ref="AW88">IFERROR(_xlfn.IFS(VALUE(MID(AW$5,6,1))&gt;$D$2,0,$AP88="Annual",1,AV88=12,12,$AP88="Monthly V",AV88*(1+$D$3),$AP88="Monthly F",12,$AP88="One-Time",0),AV88*(1+$D$3))</f>
        <v>0</v>
      </c>
      <c r="AX88" s="14" cm="1">
        <f t="array" ref="AX88">IFERROR(_xlfn.IFS(VALUE(MID(AX$5,6,1))&gt;$D$2,0,$AP88="Annual",1,AW88=12,12,$AP88="Monthly V",AW88*(1+$D$3),$AP88="Monthly F",12,$AP88="One-Time",0),AW88*(1+$D$3))</f>
        <v>0</v>
      </c>
      <c r="AY88" s="14" cm="1">
        <f t="array" ref="AY88">IFERROR(_xlfn.IFS(VALUE(MID(AY$5,6,1))&gt;$D$2,0,$AP88="Annual",1,AX88=12,12,$AP88="Monthly V",AX88*(1+$D$3),$AP88="Monthly F",12,$AP88="One-Time",0),AX88*(1+$D$3))</f>
        <v>0</v>
      </c>
      <c r="AZ88" s="14" cm="1">
        <f t="array" ref="AZ88">IFERROR(_xlfn.IFS(VALUE(MID(AZ$5,6,1))&gt;$D$2,0,$AP88="Annual",1,AY88=12,12,$AP88="Monthly V",AY88*(1+$D$3),$AP88="Monthly F",12,$AP88="One-Time",0),AY88*(1+$D$3))</f>
        <v>0</v>
      </c>
      <c r="BA88" s="125" cm="1">
        <f t="array" ref="BA88">IFERROR(_xlfn.IFS(VALUE(MID(BA$5,6,2))&gt;$D$2,0,$AP88="Annual",1,AZ88=12,12,$AP88="Monthly V",AZ88*(1+$D$3),$AP88="Monthly F",12,$AP88="One-Time",0),AZ88*(1+$D$3))</f>
        <v>0</v>
      </c>
      <c r="BB88" s="148" t="s">
        <v>172</v>
      </c>
      <c r="BC88" s="144" t="s">
        <v>222</v>
      </c>
      <c r="BD88" s="145">
        <v>15750</v>
      </c>
      <c r="BE88" s="21">
        <f t="shared" ref="BE88:BE107" si="479">BF88/12</f>
        <v>1312.5</v>
      </c>
      <c r="BF88" s="39">
        <f t="shared" ref="BF88:BF107" si="480">IFERROR(AR88*$BD88,0)</f>
        <v>15750</v>
      </c>
      <c r="BG88" s="39">
        <f t="shared" ref="BG88:BG107" si="481">IFERROR(AS88*$BD88,0)</f>
        <v>0</v>
      </c>
      <c r="BH88" s="39">
        <f t="shared" ref="BH88:BH107" si="482">IFERROR(AT88*$BD88,0)</f>
        <v>0</v>
      </c>
      <c r="BI88" s="39">
        <f t="shared" ref="BI88:BI107" si="483">IFERROR(AU88*$BD88,0)</f>
        <v>0</v>
      </c>
      <c r="BJ88" s="39">
        <f t="shared" ref="BJ88:BJ107" si="484">IFERROR(AV88*$BD88,0)</f>
        <v>0</v>
      </c>
      <c r="BK88" s="39">
        <f t="shared" ref="BK88:BK107" si="485">IFERROR(AW88*$BD88,0)</f>
        <v>0</v>
      </c>
      <c r="BL88" s="39">
        <f t="shared" ref="BL88:BL107" si="486">IFERROR(AX88*$BD88,0)</f>
        <v>0</v>
      </c>
      <c r="BM88" s="39">
        <f t="shared" ref="BM88:BM107" si="487">IFERROR(AY88*$BD88,0)</f>
        <v>0</v>
      </c>
      <c r="BN88" s="39">
        <f t="shared" ref="BN88:BN107" si="488">IFERROR(AZ88*$BD88,0)</f>
        <v>0</v>
      </c>
      <c r="BO88" s="39">
        <f t="shared" ref="BO88:BO107" si="489">IFERROR(BA88*$BD88,0)</f>
        <v>0</v>
      </c>
      <c r="BP88" s="40"/>
      <c r="BQ88" s="40">
        <f t="shared" ref="BQ88:BQ107" si="490">IF(VALUE(MID(BQ$5,6,1))&lt;=$D$2,((1+$BD$3)^1-1)*BG88,0)</f>
        <v>0</v>
      </c>
      <c r="BR88" s="40">
        <f t="shared" ref="BR88:BR107" si="491">IF(VALUE(MID(BR$5,6,1))&lt;=$D$2,((1+$BD$3)^2-1)*BH88,0)</f>
        <v>0</v>
      </c>
      <c r="BS88" s="40">
        <f t="shared" ref="BS88:BS107" si="492">IF(VALUE(MID(BS$5,6,1))&lt;=$D$2,((1+$BD$3)^3-1)*BI88,0)</f>
        <v>0</v>
      </c>
      <c r="BT88" s="40">
        <f t="shared" ref="BT88:BT107" si="493">IF(VALUE(MID(BT$5,6,1))&lt;=$D$2,((1+$BD$3)^4-1)*BJ88,0)</f>
        <v>0</v>
      </c>
      <c r="BU88" s="40">
        <f t="shared" ref="BU88:BU107" si="494">IF(VALUE(MID(BU$5,6,1))&lt;=$D$2,((1+$BD$3)^5-1)*BK88,0)</f>
        <v>0</v>
      </c>
      <c r="BV88" s="40">
        <f t="shared" ref="BV88:BV107" si="495">IF(VALUE(MID(BV$5,6,1))&lt;=$D$2,((1+$BD$3)^6-1)*BL88,0)</f>
        <v>0</v>
      </c>
      <c r="BW88" s="40">
        <f t="shared" ref="BW88:BW107" si="496">IF(VALUE(MID(BW$5,6,1))&lt;=$D$2,((1+$BD$3)^7-1)*BM88,0)</f>
        <v>0</v>
      </c>
      <c r="BX88" s="40">
        <f t="shared" ref="BX88:BX107" si="497">IF(VALUE(MID(BX$5,6,1))&lt;=$D$2,((1+$BD$3)^8-1)*BN88,0)</f>
        <v>0</v>
      </c>
      <c r="BY88" s="40">
        <f t="shared" ref="BY88:BY107" si="498">IF(VALUE(MID(BY$5,6,2))&lt;=$D$2,((1+$BD$3)^9-1)*BO88,0)</f>
        <v>0</v>
      </c>
      <c r="BZ88" s="40">
        <f t="shared" ref="BZ88:BZ107" si="499">SUM(BP88:BY88)</f>
        <v>0</v>
      </c>
      <c r="CA88" s="37">
        <f t="shared" ref="CA88:CA107" si="500">SUM(BZ88,BF88:BO88)</f>
        <v>15750</v>
      </c>
      <c r="CC88" s="102"/>
      <c r="CD88" s="12"/>
      <c r="CE88" s="14">
        <f t="shared" si="464"/>
        <v>0</v>
      </c>
      <c r="CF88" s="14" cm="1">
        <f t="array" ref="CF88">IFERROR(_xlfn.IFS(VALUE(MID(CF$5,6,1))&gt;$D$2,0,$CC88="Annual",1,CE88=12,12,$CC88="Monthly V",CE88*(1+$D$3),$CC88="Monthly F",12,$CC88="One-Time",0),CE88*(1+$D$3))</f>
        <v>0</v>
      </c>
      <c r="CG88" s="14" cm="1">
        <f t="array" ref="CG88">IFERROR(_xlfn.IFS(VALUE(MID(CG$5,6,1))&gt;$D$2,0,$CC88="Annual",1,CF88=12,12,$CC88="Monthly V",CF88*(1+$D$3),$CC88="Monthly F",12,$CC88="One-Time",0),CF88*(1+$D$3))</f>
        <v>0</v>
      </c>
      <c r="CH88" s="14" cm="1">
        <f t="array" ref="CH88">IFERROR(_xlfn.IFS(VALUE(MID(CH$5,6,1))&gt;$D$2,0,$CC88="Annual",1,CG88=12,12,$CC88="Monthly V",CG88*(1+$D$3),$CC88="Monthly F",12,$CC88="One-Time",0),CG88*(1+$D$3))</f>
        <v>0</v>
      </c>
      <c r="CI88" s="14" cm="1">
        <f t="array" ref="CI88">IFERROR(_xlfn.IFS(VALUE(MID(CI$5,6,1))&gt;$D$2,0,$CC88="Annual",1,CH88=12,12,$CC88="Monthly V",CH88*(1+$D$3),$CC88="Monthly F",12,$CC88="One-Time",0),CH88*(1+$D$3))</f>
        <v>0</v>
      </c>
      <c r="CJ88" s="14" cm="1">
        <f t="array" ref="CJ88">IFERROR(_xlfn.IFS(VALUE(MID(CJ$5,6,1))&gt;$D$2,0,$CC88="Annual",1,CI88=12,12,$CC88="Monthly V",CI88*(1+$D$3),$CC88="Monthly F",12,$CC88="One-Time",0),CI88*(1+$D$3))</f>
        <v>0</v>
      </c>
      <c r="CK88" s="14" cm="1">
        <f t="array" ref="CK88">IFERROR(_xlfn.IFS(VALUE(MID(CK$5,6,1))&gt;$D$2,0,$CC88="Annual",1,CJ88=12,12,$CC88="Monthly V",CJ88*(1+$D$3),$CC88="Monthly F",12,$CC88="One-Time",0),CJ88*(1+$D$3))</f>
        <v>0</v>
      </c>
      <c r="CL88" s="14" cm="1">
        <f t="array" ref="CL88">IFERROR(_xlfn.IFS(VALUE(MID(CL$5,6,1))&gt;$D$2,0,$CC88="Annual",1,CK88=12,12,$CC88="Monthly V",CK88*(1+$D$3),$CC88="Monthly F",12,$CC88="One-Time",0),CK88*(1+$D$3))</f>
        <v>0</v>
      </c>
      <c r="CM88" s="14" cm="1">
        <f t="array" ref="CM88">IFERROR(_xlfn.IFS(VALUE(MID(CM$5,6,1))&gt;$D$2,0,$CC88="Annual",1,CL88=12,12,$CC88="Monthly V",CL88*(1+$D$3),$CC88="Monthly F",12,$CC88="One-Time",0),CL88*(1+$D$3))</f>
        <v>0</v>
      </c>
      <c r="CN88" s="24" cm="1">
        <f t="array" ref="CN88">IFERROR(_xlfn.IFS(VALUE(MID(CN$5,6,2))&gt;$D$2,0,$CC88="Annual",1,CM88=12,12,$CC88="Monthly V",CM88*(1+$D$3),$CC88="Monthly F",12,$CC88="One-Time",0),CM88*(1+$D$3))</f>
        <v>0</v>
      </c>
      <c r="CO88" s="63"/>
      <c r="CP88" s="53"/>
      <c r="CQ88" s="21">
        <f t="shared" si="465"/>
        <v>0</v>
      </c>
      <c r="CR88" s="55">
        <f t="shared" si="466"/>
        <v>0</v>
      </c>
      <c r="CS88" s="55">
        <f t="shared" si="466"/>
        <v>0</v>
      </c>
      <c r="CT88" s="55">
        <f t="shared" si="466"/>
        <v>0</v>
      </c>
      <c r="CU88" s="55">
        <f t="shared" si="466"/>
        <v>0</v>
      </c>
      <c r="CV88" s="55">
        <f t="shared" si="466"/>
        <v>0</v>
      </c>
      <c r="CW88" s="55">
        <f t="shared" si="466"/>
        <v>0</v>
      </c>
      <c r="CX88" s="55">
        <f t="shared" si="466"/>
        <v>0</v>
      </c>
      <c r="CY88" s="55">
        <f t="shared" si="466"/>
        <v>0</v>
      </c>
      <c r="CZ88" s="55">
        <f t="shared" si="466"/>
        <v>0</v>
      </c>
      <c r="DA88" s="55">
        <f t="shared" si="466"/>
        <v>0</v>
      </c>
      <c r="DB88" s="56"/>
      <c r="DC88" s="56">
        <f t="shared" si="467"/>
        <v>0</v>
      </c>
      <c r="DD88" s="56">
        <f t="shared" si="468"/>
        <v>0</v>
      </c>
      <c r="DE88" s="56">
        <f t="shared" si="469"/>
        <v>0</v>
      </c>
      <c r="DF88" s="56">
        <f t="shared" si="470"/>
        <v>0</v>
      </c>
      <c r="DG88" s="56">
        <f t="shared" si="471"/>
        <v>0</v>
      </c>
      <c r="DH88" s="56">
        <f t="shared" si="472"/>
        <v>0</v>
      </c>
      <c r="DI88" s="56">
        <f t="shared" si="473"/>
        <v>0</v>
      </c>
      <c r="DJ88" s="56">
        <f t="shared" si="474"/>
        <v>0</v>
      </c>
      <c r="DK88" s="56">
        <f t="shared" si="475"/>
        <v>0</v>
      </c>
      <c r="DL88" s="57">
        <f t="shared" si="476"/>
        <v>0</v>
      </c>
      <c r="DM88" s="54">
        <f t="shared" si="477"/>
        <v>0</v>
      </c>
      <c r="DO88" s="106"/>
    </row>
    <row r="89" spans="2:119" x14ac:dyDescent="0.25">
      <c r="B89" s="141" t="s">
        <v>3</v>
      </c>
      <c r="C89" s="24">
        <v>1</v>
      </c>
      <c r="D89" s="147">
        <f t="shared" si="427"/>
        <v>1</v>
      </c>
      <c r="E89" s="142">
        <f t="shared" si="428"/>
        <v>1</v>
      </c>
      <c r="F89" s="14" cm="1">
        <f t="array" ref="F89">IFERROR(_xlfn.IFS(VALUE(MID(F$5,6,1))&gt;$D$2,0,$B89="Annual",1,E89=12,12,$B89="Monthly V",E89*(1+$D$3),$B89="Monthly F",12,$B89="One-Time",0),E89*(1+$D$3))</f>
        <v>0</v>
      </c>
      <c r="G89" s="14" cm="1">
        <f t="array" ref="G89">IFERROR(_xlfn.IFS(VALUE(MID(G$5,6,1))&gt;$D$2,0,$B89="Annual",1,F89=12,12,$B89="Monthly V",F89*(1+$D$3),$B89="Monthly F",12,$B89="One-Time",0),F89*(1+$D$3))</f>
        <v>0</v>
      </c>
      <c r="H89" s="14" cm="1">
        <f t="array" ref="H89">IFERROR(_xlfn.IFS(VALUE(MID(H$5,6,1))&gt;$D$2,0,$B89="Annual",1,G89=12,12,$B89="Monthly V",G89*(1+$D$3),$B89="Monthly F",12,$B89="One-Time",0),G89*(1+$D$3))</f>
        <v>0</v>
      </c>
      <c r="I89" s="14" cm="1">
        <f t="array" ref="I89">IFERROR(_xlfn.IFS(VALUE(MID(I$5,6,1))&gt;$D$2,0,$B89="Annual",1,H89=12,12,$B89="Monthly V",H89*(1+$D$3),$B89="Monthly F",12,$B89="One-Time",0),H89*(1+$D$3))</f>
        <v>0</v>
      </c>
      <c r="J89" s="14" cm="1">
        <f t="array" ref="J89">IFERROR(_xlfn.IFS(VALUE(MID(J$5,6,1))&gt;$D$2,0,$B89="Annual",1,I89=12,12,$B89="Monthly V",I89*(1+$D$3),$B89="Monthly F",12,$B89="One-Time",0),I89*(1+$D$3))</f>
        <v>0</v>
      </c>
      <c r="K89" s="14" cm="1">
        <f t="array" ref="K89">IFERROR(_xlfn.IFS(VALUE(MID(K$5,6,1))&gt;$D$2,0,$B89="Annual",1,J89=12,12,$B89="Monthly V",J89*(1+$D$3),$B89="Monthly F",12,$B89="One-Time",0),J89*(1+$D$3))</f>
        <v>0</v>
      </c>
      <c r="L89" s="14" cm="1">
        <f t="array" ref="L89">IFERROR(_xlfn.IFS(VALUE(MID(L$5,6,1))&gt;$D$2,0,$B89="Annual",1,K89=12,12,$B89="Monthly V",K89*(1+$D$3),$B89="Monthly F",12,$B89="One-Time",0),K89*(1+$D$3))</f>
        <v>0</v>
      </c>
      <c r="M89" s="14" cm="1">
        <f t="array" ref="M89">IFERROR(_xlfn.IFS(VALUE(MID(M$5,6,1))&gt;$D$2,0,$B89="Annual",1,L89=12,12,$B89="Monthly V",L89*(1+$D$3),$B89="Monthly F",12,$B89="One-Time",0),L89*(1+$D$3))</f>
        <v>0</v>
      </c>
      <c r="N89" s="24" cm="1">
        <f t="array" ref="N89">IFERROR(_xlfn.IFS(VALUE(MID(N$5,6,2))&gt;$D$2,0,$B89="Annual",1,M89=12,12,$B89="Monthly V",M89*(1+$D$3),$B89="Monthly F",12,$B89="One-Time",0),M89*(1+$D$3))</f>
        <v>0</v>
      </c>
      <c r="O89" s="127" t="s">
        <v>97</v>
      </c>
      <c r="P89" s="13" t="s">
        <v>98</v>
      </c>
      <c r="Q89" s="20">
        <v>4000</v>
      </c>
      <c r="R89" s="21">
        <f t="shared" si="429"/>
        <v>333.33333333333331</v>
      </c>
      <c r="S89" s="6">
        <f t="shared" si="430"/>
        <v>4000</v>
      </c>
      <c r="T89" s="6">
        <f t="shared" si="430"/>
        <v>0</v>
      </c>
      <c r="U89" s="6">
        <f t="shared" si="430"/>
        <v>0</v>
      </c>
      <c r="V89" s="6">
        <f t="shared" si="430"/>
        <v>0</v>
      </c>
      <c r="W89" s="6">
        <f t="shared" si="430"/>
        <v>0</v>
      </c>
      <c r="X89" s="6">
        <f t="shared" si="430"/>
        <v>0</v>
      </c>
      <c r="Y89" s="6">
        <f t="shared" si="430"/>
        <v>0</v>
      </c>
      <c r="Z89" s="6">
        <f t="shared" si="430"/>
        <v>0</v>
      </c>
      <c r="AA89" s="6">
        <f t="shared" si="430"/>
        <v>0</v>
      </c>
      <c r="AB89" s="6">
        <f t="shared" si="430"/>
        <v>0</v>
      </c>
      <c r="AC89" s="7"/>
      <c r="AD89" s="152">
        <f t="shared" si="431"/>
        <v>0</v>
      </c>
      <c r="AE89" s="152">
        <f t="shared" si="432"/>
        <v>0</v>
      </c>
      <c r="AF89" s="152">
        <f t="shared" si="433"/>
        <v>0</v>
      </c>
      <c r="AG89" s="152">
        <f t="shared" si="434"/>
        <v>0</v>
      </c>
      <c r="AH89" s="152">
        <f t="shared" si="435"/>
        <v>0</v>
      </c>
      <c r="AI89" s="152">
        <f t="shared" si="436"/>
        <v>0</v>
      </c>
      <c r="AJ89" s="152">
        <f t="shared" si="437"/>
        <v>0</v>
      </c>
      <c r="AK89" s="152">
        <f t="shared" si="438"/>
        <v>0</v>
      </c>
      <c r="AL89" s="152">
        <f t="shared" si="439"/>
        <v>0</v>
      </c>
      <c r="AM89" s="9">
        <f t="shared" si="440"/>
        <v>0</v>
      </c>
      <c r="AN89" s="80">
        <f t="shared" si="441"/>
        <v>4000</v>
      </c>
      <c r="AP89" s="114" t="s">
        <v>3</v>
      </c>
      <c r="AQ89" s="143">
        <v>1</v>
      </c>
      <c r="AR89" s="14">
        <f t="shared" si="478"/>
        <v>1</v>
      </c>
      <c r="AS89" s="14" cm="1">
        <f t="array" ref="AS89">IFERROR(_xlfn.IFS(VALUE(MID(AS$5,6,1))&gt;$D$2,0,$AP89="Annual",1,AR89=12,12,$AP89="Monthly V",AR89*(1+$D$3),$AP89="Monthly F",12,$AP89="One-Time",0),AR89*(1+$D$3))</f>
        <v>0</v>
      </c>
      <c r="AT89" s="14" cm="1">
        <f t="array" ref="AT89">IFERROR(_xlfn.IFS(VALUE(MID(AT$5,6,1))&gt;$D$2,0,$AP89="Annual",1,AS89=12,12,$AP89="Monthly V",AS89*(1+$D$3),$AP89="Monthly F",12,$AP89="One-Time",0),AS89*(1+$D$3))</f>
        <v>0</v>
      </c>
      <c r="AU89" s="14" cm="1">
        <f t="array" ref="AU89">IFERROR(_xlfn.IFS(VALUE(MID(AU$5,6,1))&gt;$D$2,0,$AP89="Annual",1,AT89=12,12,$AP89="Monthly V",AT89*(1+$D$3),$AP89="Monthly F",12,$AP89="One-Time",0),AT89*(1+$D$3))</f>
        <v>0</v>
      </c>
      <c r="AV89" s="14" cm="1">
        <f t="array" ref="AV89">IFERROR(_xlfn.IFS(VALUE(MID(AV$5,6,1))&gt;$D$2,0,$AP89="Annual",1,AU89=12,12,$AP89="Monthly V",AU89*(1+$D$3),$AP89="Monthly F",12,$AP89="One-Time",0),AU89*(1+$D$3))</f>
        <v>0</v>
      </c>
      <c r="AW89" s="14" cm="1">
        <f t="array" ref="AW89">IFERROR(_xlfn.IFS(VALUE(MID(AW$5,6,1))&gt;$D$2,0,$AP89="Annual",1,AV89=12,12,$AP89="Monthly V",AV89*(1+$D$3),$AP89="Monthly F",12,$AP89="One-Time",0),AV89*(1+$D$3))</f>
        <v>0</v>
      </c>
      <c r="AX89" s="14" cm="1">
        <f t="array" ref="AX89">IFERROR(_xlfn.IFS(VALUE(MID(AX$5,6,1))&gt;$D$2,0,$AP89="Annual",1,AW89=12,12,$AP89="Monthly V",AW89*(1+$D$3),$AP89="Monthly F",12,$AP89="One-Time",0),AW89*(1+$D$3))</f>
        <v>0</v>
      </c>
      <c r="AY89" s="14" cm="1">
        <f t="array" ref="AY89">IFERROR(_xlfn.IFS(VALUE(MID(AY$5,6,1))&gt;$D$2,0,$AP89="Annual",1,AX89=12,12,$AP89="Monthly V",AX89*(1+$D$3),$AP89="Monthly F",12,$AP89="One-Time",0),AX89*(1+$D$3))</f>
        <v>0</v>
      </c>
      <c r="AZ89" s="14" cm="1">
        <f t="array" ref="AZ89">IFERROR(_xlfn.IFS(VALUE(MID(AZ$5,6,1))&gt;$D$2,0,$AP89="Annual",1,AY89=12,12,$AP89="Monthly V",AY89*(1+$D$3),$AP89="Monthly F",12,$AP89="One-Time",0),AY89*(1+$D$3))</f>
        <v>0</v>
      </c>
      <c r="BA89" s="125" cm="1">
        <f t="array" ref="BA89">IFERROR(_xlfn.IFS(VALUE(MID(BA$5,6,2))&gt;$D$2,0,$AP89="Annual",1,AZ89=12,12,$AP89="Monthly V",AZ89*(1+$D$3),$AP89="Monthly F",12,$AP89="One-Time",0),AZ89*(1+$D$3))</f>
        <v>0</v>
      </c>
      <c r="BB89" s="148" t="s">
        <v>315</v>
      </c>
      <c r="BC89" s="144" t="s">
        <v>222</v>
      </c>
      <c r="BD89" s="145">
        <v>2600</v>
      </c>
      <c r="BE89" s="21">
        <f t="shared" si="479"/>
        <v>216.66666666666666</v>
      </c>
      <c r="BF89" s="39">
        <f t="shared" si="480"/>
        <v>2600</v>
      </c>
      <c r="BG89" s="39">
        <f t="shared" si="481"/>
        <v>0</v>
      </c>
      <c r="BH89" s="39">
        <f t="shared" si="482"/>
        <v>0</v>
      </c>
      <c r="BI89" s="39">
        <f t="shared" si="483"/>
        <v>0</v>
      </c>
      <c r="BJ89" s="39">
        <f t="shared" si="484"/>
        <v>0</v>
      </c>
      <c r="BK89" s="39">
        <f t="shared" si="485"/>
        <v>0</v>
      </c>
      <c r="BL89" s="39">
        <f t="shared" si="486"/>
        <v>0</v>
      </c>
      <c r="BM89" s="39">
        <f t="shared" si="487"/>
        <v>0</v>
      </c>
      <c r="BN89" s="39">
        <f t="shared" si="488"/>
        <v>0</v>
      </c>
      <c r="BO89" s="39">
        <f t="shared" si="489"/>
        <v>0</v>
      </c>
      <c r="BP89" s="40"/>
      <c r="BQ89" s="40">
        <f t="shared" si="490"/>
        <v>0</v>
      </c>
      <c r="BR89" s="40">
        <f t="shared" si="491"/>
        <v>0</v>
      </c>
      <c r="BS89" s="40">
        <f t="shared" si="492"/>
        <v>0</v>
      </c>
      <c r="BT89" s="40">
        <f t="shared" si="493"/>
        <v>0</v>
      </c>
      <c r="BU89" s="40">
        <f t="shared" si="494"/>
        <v>0</v>
      </c>
      <c r="BV89" s="40">
        <f t="shared" si="495"/>
        <v>0</v>
      </c>
      <c r="BW89" s="40">
        <f t="shared" si="496"/>
        <v>0</v>
      </c>
      <c r="BX89" s="40">
        <f t="shared" si="497"/>
        <v>0</v>
      </c>
      <c r="BY89" s="40">
        <f t="shared" si="498"/>
        <v>0</v>
      </c>
      <c r="BZ89" s="40">
        <f t="shared" si="499"/>
        <v>0</v>
      </c>
      <c r="CA89" s="37">
        <f t="shared" si="500"/>
        <v>2600</v>
      </c>
      <c r="CC89" s="102"/>
      <c r="CD89" s="12"/>
      <c r="CE89" s="14">
        <f t="shared" si="464"/>
        <v>0</v>
      </c>
      <c r="CF89" s="14" cm="1">
        <f t="array" ref="CF89">IFERROR(_xlfn.IFS(VALUE(MID(CF$5,6,1))&gt;$D$2,0,$CC89="Annual",1,CE89=12,12,$CC89="Monthly V",CE89*(1+$D$3),$CC89="Monthly F",12,$CC89="One-Time",0),CE89*(1+$D$3))</f>
        <v>0</v>
      </c>
      <c r="CG89" s="14" cm="1">
        <f t="array" ref="CG89">IFERROR(_xlfn.IFS(VALUE(MID(CG$5,6,1))&gt;$D$2,0,$CC89="Annual",1,CF89=12,12,$CC89="Monthly V",CF89*(1+$D$3),$CC89="Monthly F",12,$CC89="One-Time",0),CF89*(1+$D$3))</f>
        <v>0</v>
      </c>
      <c r="CH89" s="14" cm="1">
        <f t="array" ref="CH89">IFERROR(_xlfn.IFS(VALUE(MID(CH$5,6,1))&gt;$D$2,0,$CC89="Annual",1,CG89=12,12,$CC89="Monthly V",CG89*(1+$D$3),$CC89="Monthly F",12,$CC89="One-Time",0),CG89*(1+$D$3))</f>
        <v>0</v>
      </c>
      <c r="CI89" s="14" cm="1">
        <f t="array" ref="CI89">IFERROR(_xlfn.IFS(VALUE(MID(CI$5,6,1))&gt;$D$2,0,$CC89="Annual",1,CH89=12,12,$CC89="Monthly V",CH89*(1+$D$3),$CC89="Monthly F",12,$CC89="One-Time",0),CH89*(1+$D$3))</f>
        <v>0</v>
      </c>
      <c r="CJ89" s="14" cm="1">
        <f t="array" ref="CJ89">IFERROR(_xlfn.IFS(VALUE(MID(CJ$5,6,1))&gt;$D$2,0,$CC89="Annual",1,CI89=12,12,$CC89="Monthly V",CI89*(1+$D$3),$CC89="Monthly F",12,$CC89="One-Time",0),CI89*(1+$D$3))</f>
        <v>0</v>
      </c>
      <c r="CK89" s="14" cm="1">
        <f t="array" ref="CK89">IFERROR(_xlfn.IFS(VALUE(MID(CK$5,6,1))&gt;$D$2,0,$CC89="Annual",1,CJ89=12,12,$CC89="Monthly V",CJ89*(1+$D$3),$CC89="Monthly F",12,$CC89="One-Time",0),CJ89*(1+$D$3))</f>
        <v>0</v>
      </c>
      <c r="CL89" s="14" cm="1">
        <f t="array" ref="CL89">IFERROR(_xlfn.IFS(VALUE(MID(CL$5,6,1))&gt;$D$2,0,$CC89="Annual",1,CK89=12,12,$CC89="Monthly V",CK89*(1+$D$3),$CC89="Monthly F",12,$CC89="One-Time",0),CK89*(1+$D$3))</f>
        <v>0</v>
      </c>
      <c r="CM89" s="14" cm="1">
        <f t="array" ref="CM89">IFERROR(_xlfn.IFS(VALUE(MID(CM$5,6,1))&gt;$D$2,0,$CC89="Annual",1,CL89=12,12,$CC89="Monthly V",CL89*(1+$D$3),$CC89="Monthly F",12,$CC89="One-Time",0),CL89*(1+$D$3))</f>
        <v>0</v>
      </c>
      <c r="CN89" s="24" cm="1">
        <f t="array" ref="CN89">IFERROR(_xlfn.IFS(VALUE(MID(CN$5,6,2))&gt;$D$2,0,$CC89="Annual",1,CM89=12,12,$CC89="Monthly V",CM89*(1+$D$3),$CC89="Monthly F",12,$CC89="One-Time",0),CM89*(1+$D$3))</f>
        <v>0</v>
      </c>
      <c r="CO89" s="63"/>
      <c r="CP89" s="53"/>
      <c r="CQ89" s="21">
        <f t="shared" si="465"/>
        <v>0</v>
      </c>
      <c r="CR89" s="55">
        <f t="shared" si="466"/>
        <v>0</v>
      </c>
      <c r="CS89" s="55">
        <f t="shared" si="466"/>
        <v>0</v>
      </c>
      <c r="CT89" s="55">
        <f t="shared" si="466"/>
        <v>0</v>
      </c>
      <c r="CU89" s="55">
        <f t="shared" si="466"/>
        <v>0</v>
      </c>
      <c r="CV89" s="55">
        <f t="shared" si="466"/>
        <v>0</v>
      </c>
      <c r="CW89" s="55">
        <f t="shared" si="466"/>
        <v>0</v>
      </c>
      <c r="CX89" s="55">
        <f t="shared" si="466"/>
        <v>0</v>
      </c>
      <c r="CY89" s="55">
        <f t="shared" si="466"/>
        <v>0</v>
      </c>
      <c r="CZ89" s="55">
        <f t="shared" si="466"/>
        <v>0</v>
      </c>
      <c r="DA89" s="55">
        <f t="shared" si="466"/>
        <v>0</v>
      </c>
      <c r="DB89" s="56"/>
      <c r="DC89" s="56">
        <f t="shared" si="467"/>
        <v>0</v>
      </c>
      <c r="DD89" s="56">
        <f t="shared" si="468"/>
        <v>0</v>
      </c>
      <c r="DE89" s="56">
        <f t="shared" si="469"/>
        <v>0</v>
      </c>
      <c r="DF89" s="56">
        <f t="shared" si="470"/>
        <v>0</v>
      </c>
      <c r="DG89" s="56">
        <f t="shared" si="471"/>
        <v>0</v>
      </c>
      <c r="DH89" s="56">
        <f t="shared" si="472"/>
        <v>0</v>
      </c>
      <c r="DI89" s="56">
        <f t="shared" si="473"/>
        <v>0</v>
      </c>
      <c r="DJ89" s="56">
        <f t="shared" si="474"/>
        <v>0</v>
      </c>
      <c r="DK89" s="56">
        <f t="shared" si="475"/>
        <v>0</v>
      </c>
      <c r="DL89" s="57">
        <f t="shared" si="476"/>
        <v>0</v>
      </c>
      <c r="DM89" s="54">
        <f t="shared" si="477"/>
        <v>0</v>
      </c>
      <c r="DO89" s="106"/>
    </row>
    <row r="90" spans="2:119" x14ac:dyDescent="0.25">
      <c r="B90" s="141" t="s">
        <v>3</v>
      </c>
      <c r="C90" s="24">
        <v>1</v>
      </c>
      <c r="D90" s="147">
        <f t="shared" si="427"/>
        <v>1</v>
      </c>
      <c r="E90" s="142">
        <f t="shared" si="428"/>
        <v>1</v>
      </c>
      <c r="F90" s="14" cm="1">
        <f t="array" ref="F90">IFERROR(_xlfn.IFS(VALUE(MID(F$5,6,1))&gt;$D$2,0,$B90="Annual",1,E90=12,12,$B90="Monthly V",E90*(1+$D$3),$B90="Monthly F",12,$B90="One-Time",0),E90*(1+$D$3))</f>
        <v>0</v>
      </c>
      <c r="G90" s="14" cm="1">
        <f t="array" ref="G90">IFERROR(_xlfn.IFS(VALUE(MID(G$5,6,1))&gt;$D$2,0,$B90="Annual",1,F90=12,12,$B90="Monthly V",F90*(1+$D$3),$B90="Monthly F",12,$B90="One-Time",0),F90*(1+$D$3))</f>
        <v>0</v>
      </c>
      <c r="H90" s="14" cm="1">
        <f t="array" ref="H90">IFERROR(_xlfn.IFS(VALUE(MID(H$5,6,1))&gt;$D$2,0,$B90="Annual",1,G90=12,12,$B90="Monthly V",G90*(1+$D$3),$B90="Monthly F",12,$B90="One-Time",0),G90*(1+$D$3))</f>
        <v>0</v>
      </c>
      <c r="I90" s="14" cm="1">
        <f t="array" ref="I90">IFERROR(_xlfn.IFS(VALUE(MID(I$5,6,1))&gt;$D$2,0,$B90="Annual",1,H90=12,12,$B90="Monthly V",H90*(1+$D$3),$B90="Monthly F",12,$B90="One-Time",0),H90*(1+$D$3))</f>
        <v>0</v>
      </c>
      <c r="J90" s="14" cm="1">
        <f t="array" ref="J90">IFERROR(_xlfn.IFS(VALUE(MID(J$5,6,1))&gt;$D$2,0,$B90="Annual",1,I90=12,12,$B90="Monthly V",I90*(1+$D$3),$B90="Monthly F",12,$B90="One-Time",0),I90*(1+$D$3))</f>
        <v>0</v>
      </c>
      <c r="K90" s="14" cm="1">
        <f t="array" ref="K90">IFERROR(_xlfn.IFS(VALUE(MID(K$5,6,1))&gt;$D$2,0,$B90="Annual",1,J90=12,12,$B90="Monthly V",J90*(1+$D$3),$B90="Monthly F",12,$B90="One-Time",0),J90*(1+$D$3))</f>
        <v>0</v>
      </c>
      <c r="L90" s="14" cm="1">
        <f t="array" ref="L90">IFERROR(_xlfn.IFS(VALUE(MID(L$5,6,1))&gt;$D$2,0,$B90="Annual",1,K90=12,12,$B90="Monthly V",K90*(1+$D$3),$B90="Monthly F",12,$B90="One-Time",0),K90*(1+$D$3))</f>
        <v>0</v>
      </c>
      <c r="M90" s="14" cm="1">
        <f t="array" ref="M90">IFERROR(_xlfn.IFS(VALUE(MID(M$5,6,1))&gt;$D$2,0,$B90="Annual",1,L90=12,12,$B90="Monthly V",L90*(1+$D$3),$B90="Monthly F",12,$B90="One-Time",0),L90*(1+$D$3))</f>
        <v>0</v>
      </c>
      <c r="N90" s="24" cm="1">
        <f t="array" ref="N90">IFERROR(_xlfn.IFS(VALUE(MID(N$5,6,2))&gt;$D$2,0,$B90="Annual",1,M90=12,12,$B90="Monthly V",M90*(1+$D$3),$B90="Monthly F",12,$B90="One-Time",0),M90*(1+$D$3))</f>
        <v>0</v>
      </c>
      <c r="O90" s="127" t="s">
        <v>99</v>
      </c>
      <c r="P90" s="13" t="s">
        <v>90</v>
      </c>
      <c r="Q90" s="20">
        <v>1500</v>
      </c>
      <c r="R90" s="21">
        <f t="shared" si="429"/>
        <v>125</v>
      </c>
      <c r="S90" s="6">
        <f t="shared" si="430"/>
        <v>1500</v>
      </c>
      <c r="T90" s="6">
        <f t="shared" si="430"/>
        <v>0</v>
      </c>
      <c r="U90" s="6">
        <f t="shared" si="430"/>
        <v>0</v>
      </c>
      <c r="V90" s="6">
        <f t="shared" si="430"/>
        <v>0</v>
      </c>
      <c r="W90" s="6">
        <f t="shared" si="430"/>
        <v>0</v>
      </c>
      <c r="X90" s="6">
        <f t="shared" si="430"/>
        <v>0</v>
      </c>
      <c r="Y90" s="6">
        <f t="shared" si="430"/>
        <v>0</v>
      </c>
      <c r="Z90" s="6">
        <f t="shared" si="430"/>
        <v>0</v>
      </c>
      <c r="AA90" s="6">
        <f t="shared" si="430"/>
        <v>0</v>
      </c>
      <c r="AB90" s="6">
        <f t="shared" si="430"/>
        <v>0</v>
      </c>
      <c r="AC90" s="7"/>
      <c r="AD90" s="152">
        <f t="shared" si="431"/>
        <v>0</v>
      </c>
      <c r="AE90" s="152">
        <f t="shared" si="432"/>
        <v>0</v>
      </c>
      <c r="AF90" s="152">
        <f t="shared" si="433"/>
        <v>0</v>
      </c>
      <c r="AG90" s="152">
        <f t="shared" si="434"/>
        <v>0</v>
      </c>
      <c r="AH90" s="152">
        <f t="shared" si="435"/>
        <v>0</v>
      </c>
      <c r="AI90" s="152">
        <f t="shared" si="436"/>
        <v>0</v>
      </c>
      <c r="AJ90" s="152">
        <f t="shared" si="437"/>
        <v>0</v>
      </c>
      <c r="AK90" s="152">
        <f t="shared" si="438"/>
        <v>0</v>
      </c>
      <c r="AL90" s="152">
        <f t="shared" si="439"/>
        <v>0</v>
      </c>
      <c r="AM90" s="9">
        <f t="shared" si="440"/>
        <v>0</v>
      </c>
      <c r="AN90" s="80">
        <f t="shared" si="441"/>
        <v>1500</v>
      </c>
      <c r="AP90" s="114" t="s">
        <v>3</v>
      </c>
      <c r="AQ90" s="143">
        <v>1</v>
      </c>
      <c r="AR90" s="14">
        <f t="shared" si="478"/>
        <v>1</v>
      </c>
      <c r="AS90" s="14" cm="1">
        <f t="array" ref="AS90">IFERROR(_xlfn.IFS(VALUE(MID(AS$5,6,1))&gt;$D$2,0,$AP90="Annual",1,AR90=12,12,$AP90="Monthly V",AR90*(1+$D$3),$AP90="Monthly F",12,$AP90="One-Time",0),AR90*(1+$D$3))</f>
        <v>0</v>
      </c>
      <c r="AT90" s="14" cm="1">
        <f t="array" ref="AT90">IFERROR(_xlfn.IFS(VALUE(MID(AT$5,6,1))&gt;$D$2,0,$AP90="Annual",1,AS90=12,12,$AP90="Monthly V",AS90*(1+$D$3),$AP90="Monthly F",12,$AP90="One-Time",0),AS90*(1+$D$3))</f>
        <v>0</v>
      </c>
      <c r="AU90" s="14" cm="1">
        <f t="array" ref="AU90">IFERROR(_xlfn.IFS(VALUE(MID(AU$5,6,1))&gt;$D$2,0,$AP90="Annual",1,AT90=12,12,$AP90="Monthly V",AT90*(1+$D$3),$AP90="Monthly F",12,$AP90="One-Time",0),AT90*(1+$D$3))</f>
        <v>0</v>
      </c>
      <c r="AV90" s="14" cm="1">
        <f t="array" ref="AV90">IFERROR(_xlfn.IFS(VALUE(MID(AV$5,6,1))&gt;$D$2,0,$AP90="Annual",1,AU90=12,12,$AP90="Monthly V",AU90*(1+$D$3),$AP90="Monthly F",12,$AP90="One-Time",0),AU90*(1+$D$3))</f>
        <v>0</v>
      </c>
      <c r="AW90" s="14" cm="1">
        <f t="array" ref="AW90">IFERROR(_xlfn.IFS(VALUE(MID(AW$5,6,1))&gt;$D$2,0,$AP90="Annual",1,AV90=12,12,$AP90="Monthly V",AV90*(1+$D$3),$AP90="Monthly F",12,$AP90="One-Time",0),AV90*(1+$D$3))</f>
        <v>0</v>
      </c>
      <c r="AX90" s="14" cm="1">
        <f t="array" ref="AX90">IFERROR(_xlfn.IFS(VALUE(MID(AX$5,6,1))&gt;$D$2,0,$AP90="Annual",1,AW90=12,12,$AP90="Monthly V",AW90*(1+$D$3),$AP90="Monthly F",12,$AP90="One-Time",0),AW90*(1+$D$3))</f>
        <v>0</v>
      </c>
      <c r="AY90" s="14" cm="1">
        <f t="array" ref="AY90">IFERROR(_xlfn.IFS(VALUE(MID(AY$5,6,1))&gt;$D$2,0,$AP90="Annual",1,AX90=12,12,$AP90="Monthly V",AX90*(1+$D$3),$AP90="Monthly F",12,$AP90="One-Time",0),AX90*(1+$D$3))</f>
        <v>0</v>
      </c>
      <c r="AZ90" s="14" cm="1">
        <f t="array" ref="AZ90">IFERROR(_xlfn.IFS(VALUE(MID(AZ$5,6,1))&gt;$D$2,0,$AP90="Annual",1,AY90=12,12,$AP90="Monthly V",AY90*(1+$D$3),$AP90="Monthly F",12,$AP90="One-Time",0),AY90*(1+$D$3))</f>
        <v>0</v>
      </c>
      <c r="BA90" s="125" cm="1">
        <f t="array" ref="BA90">IFERROR(_xlfn.IFS(VALUE(MID(BA$5,6,2))&gt;$D$2,0,$AP90="Annual",1,AZ90=12,12,$AP90="Monthly V",AZ90*(1+$D$3),$AP90="Monthly F",12,$AP90="One-Time",0),AZ90*(1+$D$3))</f>
        <v>0</v>
      </c>
      <c r="BB90" s="148" t="s">
        <v>316</v>
      </c>
      <c r="BC90" s="144" t="s">
        <v>222</v>
      </c>
      <c r="BD90" s="145">
        <v>3250</v>
      </c>
      <c r="BE90" s="21">
        <f t="shared" si="479"/>
        <v>270.83333333333331</v>
      </c>
      <c r="BF90" s="39">
        <f t="shared" si="480"/>
        <v>3250</v>
      </c>
      <c r="BG90" s="39">
        <f t="shared" si="481"/>
        <v>0</v>
      </c>
      <c r="BH90" s="39">
        <f t="shared" si="482"/>
        <v>0</v>
      </c>
      <c r="BI90" s="39">
        <f t="shared" si="483"/>
        <v>0</v>
      </c>
      <c r="BJ90" s="39">
        <f t="shared" si="484"/>
        <v>0</v>
      </c>
      <c r="BK90" s="39">
        <f t="shared" si="485"/>
        <v>0</v>
      </c>
      <c r="BL90" s="39">
        <f t="shared" si="486"/>
        <v>0</v>
      </c>
      <c r="BM90" s="39">
        <f t="shared" si="487"/>
        <v>0</v>
      </c>
      <c r="BN90" s="39">
        <f t="shared" si="488"/>
        <v>0</v>
      </c>
      <c r="BO90" s="39">
        <f t="shared" si="489"/>
        <v>0</v>
      </c>
      <c r="BP90" s="40"/>
      <c r="BQ90" s="40">
        <f t="shared" si="490"/>
        <v>0</v>
      </c>
      <c r="BR90" s="40">
        <f t="shared" si="491"/>
        <v>0</v>
      </c>
      <c r="BS90" s="40">
        <f t="shared" si="492"/>
        <v>0</v>
      </c>
      <c r="BT90" s="40">
        <f t="shared" si="493"/>
        <v>0</v>
      </c>
      <c r="BU90" s="40">
        <f t="shared" si="494"/>
        <v>0</v>
      </c>
      <c r="BV90" s="40">
        <f t="shared" si="495"/>
        <v>0</v>
      </c>
      <c r="BW90" s="40">
        <f t="shared" si="496"/>
        <v>0</v>
      </c>
      <c r="BX90" s="40">
        <f t="shared" si="497"/>
        <v>0</v>
      </c>
      <c r="BY90" s="40">
        <f t="shared" si="498"/>
        <v>0</v>
      </c>
      <c r="BZ90" s="40">
        <f t="shared" si="499"/>
        <v>0</v>
      </c>
      <c r="CA90" s="37">
        <f t="shared" si="500"/>
        <v>3250</v>
      </c>
      <c r="CC90" s="102"/>
      <c r="CD90" s="12"/>
      <c r="CE90" s="14">
        <f t="shared" si="464"/>
        <v>0</v>
      </c>
      <c r="CF90" s="14" cm="1">
        <f t="array" ref="CF90">IFERROR(_xlfn.IFS(VALUE(MID(CF$5,6,1))&gt;$D$2,0,$CC90="Annual",1,CE90=12,12,$CC90="Monthly V",CE90*(1+$D$3),$CC90="Monthly F",12,$CC90="One-Time",0),CE90*(1+$D$3))</f>
        <v>0</v>
      </c>
      <c r="CG90" s="14" cm="1">
        <f t="array" ref="CG90">IFERROR(_xlfn.IFS(VALUE(MID(CG$5,6,1))&gt;$D$2,0,$CC90="Annual",1,CF90=12,12,$CC90="Monthly V",CF90*(1+$D$3),$CC90="Monthly F",12,$CC90="One-Time",0),CF90*(1+$D$3))</f>
        <v>0</v>
      </c>
      <c r="CH90" s="14" cm="1">
        <f t="array" ref="CH90">IFERROR(_xlfn.IFS(VALUE(MID(CH$5,6,1))&gt;$D$2,0,$CC90="Annual",1,CG90=12,12,$CC90="Monthly V",CG90*(1+$D$3),$CC90="Monthly F",12,$CC90="One-Time",0),CG90*(1+$D$3))</f>
        <v>0</v>
      </c>
      <c r="CI90" s="14" cm="1">
        <f t="array" ref="CI90">IFERROR(_xlfn.IFS(VALUE(MID(CI$5,6,1))&gt;$D$2,0,$CC90="Annual",1,CH90=12,12,$CC90="Monthly V",CH90*(1+$D$3),$CC90="Monthly F",12,$CC90="One-Time",0),CH90*(1+$D$3))</f>
        <v>0</v>
      </c>
      <c r="CJ90" s="14" cm="1">
        <f t="array" ref="CJ90">IFERROR(_xlfn.IFS(VALUE(MID(CJ$5,6,1))&gt;$D$2,0,$CC90="Annual",1,CI90=12,12,$CC90="Monthly V",CI90*(1+$D$3),$CC90="Monthly F",12,$CC90="One-Time",0),CI90*(1+$D$3))</f>
        <v>0</v>
      </c>
      <c r="CK90" s="14" cm="1">
        <f t="array" ref="CK90">IFERROR(_xlfn.IFS(VALUE(MID(CK$5,6,1))&gt;$D$2,0,$CC90="Annual",1,CJ90=12,12,$CC90="Monthly V",CJ90*(1+$D$3),$CC90="Monthly F",12,$CC90="One-Time",0),CJ90*(1+$D$3))</f>
        <v>0</v>
      </c>
      <c r="CL90" s="14" cm="1">
        <f t="array" ref="CL90">IFERROR(_xlfn.IFS(VALUE(MID(CL$5,6,1))&gt;$D$2,0,$CC90="Annual",1,CK90=12,12,$CC90="Monthly V",CK90*(1+$D$3),$CC90="Monthly F",12,$CC90="One-Time",0),CK90*(1+$D$3))</f>
        <v>0</v>
      </c>
      <c r="CM90" s="14" cm="1">
        <f t="array" ref="CM90">IFERROR(_xlfn.IFS(VALUE(MID(CM$5,6,1))&gt;$D$2,0,$CC90="Annual",1,CL90=12,12,$CC90="Monthly V",CL90*(1+$D$3),$CC90="Monthly F",12,$CC90="One-Time",0),CL90*(1+$D$3))</f>
        <v>0</v>
      </c>
      <c r="CN90" s="24" cm="1">
        <f t="array" ref="CN90">IFERROR(_xlfn.IFS(VALUE(MID(CN$5,6,2))&gt;$D$2,0,$CC90="Annual",1,CM90=12,12,$CC90="Monthly V",CM90*(1+$D$3),$CC90="Monthly F",12,$CC90="One-Time",0),CM90*(1+$D$3))</f>
        <v>0</v>
      </c>
      <c r="CO90" s="63"/>
      <c r="CP90" s="53"/>
      <c r="CQ90" s="21">
        <f t="shared" si="465"/>
        <v>0</v>
      </c>
      <c r="CR90" s="55">
        <f t="shared" si="466"/>
        <v>0</v>
      </c>
      <c r="CS90" s="55">
        <f t="shared" si="466"/>
        <v>0</v>
      </c>
      <c r="CT90" s="55">
        <f t="shared" si="466"/>
        <v>0</v>
      </c>
      <c r="CU90" s="55">
        <f t="shared" si="466"/>
        <v>0</v>
      </c>
      <c r="CV90" s="55">
        <f t="shared" si="466"/>
        <v>0</v>
      </c>
      <c r="CW90" s="55">
        <f t="shared" si="466"/>
        <v>0</v>
      </c>
      <c r="CX90" s="55">
        <f t="shared" si="466"/>
        <v>0</v>
      </c>
      <c r="CY90" s="55">
        <f t="shared" si="466"/>
        <v>0</v>
      </c>
      <c r="CZ90" s="55">
        <f t="shared" si="466"/>
        <v>0</v>
      </c>
      <c r="DA90" s="55">
        <f t="shared" si="466"/>
        <v>0</v>
      </c>
      <c r="DB90" s="56"/>
      <c r="DC90" s="56">
        <f t="shared" si="467"/>
        <v>0</v>
      </c>
      <c r="DD90" s="56">
        <f t="shared" si="468"/>
        <v>0</v>
      </c>
      <c r="DE90" s="56">
        <f t="shared" si="469"/>
        <v>0</v>
      </c>
      <c r="DF90" s="56">
        <f t="shared" si="470"/>
        <v>0</v>
      </c>
      <c r="DG90" s="56">
        <f t="shared" si="471"/>
        <v>0</v>
      </c>
      <c r="DH90" s="56">
        <f t="shared" si="472"/>
        <v>0</v>
      </c>
      <c r="DI90" s="56">
        <f t="shared" si="473"/>
        <v>0</v>
      </c>
      <c r="DJ90" s="56">
        <f t="shared" si="474"/>
        <v>0</v>
      </c>
      <c r="DK90" s="56">
        <f t="shared" si="475"/>
        <v>0</v>
      </c>
      <c r="DL90" s="57">
        <f t="shared" si="476"/>
        <v>0</v>
      </c>
      <c r="DM90" s="54">
        <f t="shared" si="477"/>
        <v>0</v>
      </c>
      <c r="DO90" s="106"/>
    </row>
    <row r="91" spans="2:119" x14ac:dyDescent="0.25">
      <c r="B91" s="141" t="s">
        <v>3</v>
      </c>
      <c r="C91" s="24">
        <v>1</v>
      </c>
      <c r="D91" s="147">
        <f t="shared" si="427"/>
        <v>1</v>
      </c>
      <c r="E91" s="142">
        <f t="shared" si="428"/>
        <v>1</v>
      </c>
      <c r="F91" s="14" cm="1">
        <f t="array" ref="F91">IFERROR(_xlfn.IFS(VALUE(MID(F$5,6,1))&gt;$D$2,0,$B91="Annual",1,E91=12,12,$B91="Monthly V",E91*(1+$D$3),$B91="Monthly F",12,$B91="One-Time",0),E91*(1+$D$3))</f>
        <v>0</v>
      </c>
      <c r="G91" s="14" cm="1">
        <f t="array" ref="G91">IFERROR(_xlfn.IFS(VALUE(MID(G$5,6,1))&gt;$D$2,0,$B91="Annual",1,F91=12,12,$B91="Monthly V",F91*(1+$D$3),$B91="Monthly F",12,$B91="One-Time",0),F91*(1+$D$3))</f>
        <v>0</v>
      </c>
      <c r="H91" s="14" cm="1">
        <f t="array" ref="H91">IFERROR(_xlfn.IFS(VALUE(MID(H$5,6,1))&gt;$D$2,0,$B91="Annual",1,G91=12,12,$B91="Monthly V",G91*(1+$D$3),$B91="Monthly F",12,$B91="One-Time",0),G91*(1+$D$3))</f>
        <v>0</v>
      </c>
      <c r="I91" s="14" cm="1">
        <f t="array" ref="I91">IFERROR(_xlfn.IFS(VALUE(MID(I$5,6,1))&gt;$D$2,0,$B91="Annual",1,H91=12,12,$B91="Monthly V",H91*(1+$D$3),$B91="Monthly F",12,$B91="One-Time",0),H91*(1+$D$3))</f>
        <v>0</v>
      </c>
      <c r="J91" s="14" cm="1">
        <f t="array" ref="J91">IFERROR(_xlfn.IFS(VALUE(MID(J$5,6,1))&gt;$D$2,0,$B91="Annual",1,I91=12,12,$B91="Monthly V",I91*(1+$D$3),$B91="Monthly F",12,$B91="One-Time",0),I91*(1+$D$3))</f>
        <v>0</v>
      </c>
      <c r="K91" s="14" cm="1">
        <f t="array" ref="K91">IFERROR(_xlfn.IFS(VALUE(MID(K$5,6,1))&gt;$D$2,0,$B91="Annual",1,J91=12,12,$B91="Monthly V",J91*(1+$D$3),$B91="Monthly F",12,$B91="One-Time",0),J91*(1+$D$3))</f>
        <v>0</v>
      </c>
      <c r="L91" s="14" cm="1">
        <f t="array" ref="L91">IFERROR(_xlfn.IFS(VALUE(MID(L$5,6,1))&gt;$D$2,0,$B91="Annual",1,K91=12,12,$B91="Monthly V",K91*(1+$D$3),$B91="Monthly F",12,$B91="One-Time",0),K91*(1+$D$3))</f>
        <v>0</v>
      </c>
      <c r="M91" s="14" cm="1">
        <f t="array" ref="M91">IFERROR(_xlfn.IFS(VALUE(MID(M$5,6,1))&gt;$D$2,0,$B91="Annual",1,L91=12,12,$B91="Monthly V",L91*(1+$D$3),$B91="Monthly F",12,$B91="One-Time",0),L91*(1+$D$3))</f>
        <v>0</v>
      </c>
      <c r="N91" s="24" cm="1">
        <f t="array" ref="N91">IFERROR(_xlfn.IFS(VALUE(MID(N$5,6,2))&gt;$D$2,0,$B91="Annual",1,M91=12,12,$B91="Monthly V",M91*(1+$D$3),$B91="Monthly F",12,$B91="One-Time",0),M91*(1+$D$3))</f>
        <v>0</v>
      </c>
      <c r="O91" s="127" t="s">
        <v>81</v>
      </c>
      <c r="P91" s="13" t="s">
        <v>100</v>
      </c>
      <c r="Q91" s="20">
        <v>13600</v>
      </c>
      <c r="R91" s="21">
        <f t="shared" si="429"/>
        <v>1133.3333333333333</v>
      </c>
      <c r="S91" s="6">
        <f t="shared" si="430"/>
        <v>13600</v>
      </c>
      <c r="T91" s="6">
        <f t="shared" si="430"/>
        <v>0</v>
      </c>
      <c r="U91" s="6">
        <f t="shared" si="430"/>
        <v>0</v>
      </c>
      <c r="V91" s="6">
        <f t="shared" si="430"/>
        <v>0</v>
      </c>
      <c r="W91" s="6">
        <f t="shared" si="430"/>
        <v>0</v>
      </c>
      <c r="X91" s="6">
        <f t="shared" si="430"/>
        <v>0</v>
      </c>
      <c r="Y91" s="6">
        <f t="shared" si="430"/>
        <v>0</v>
      </c>
      <c r="Z91" s="6">
        <f t="shared" si="430"/>
        <v>0</v>
      </c>
      <c r="AA91" s="6">
        <f t="shared" si="430"/>
        <v>0</v>
      </c>
      <c r="AB91" s="6">
        <f t="shared" si="430"/>
        <v>0</v>
      </c>
      <c r="AC91" s="7"/>
      <c r="AD91" s="152">
        <f t="shared" si="431"/>
        <v>0</v>
      </c>
      <c r="AE91" s="152">
        <f t="shared" si="432"/>
        <v>0</v>
      </c>
      <c r="AF91" s="152">
        <f t="shared" si="433"/>
        <v>0</v>
      </c>
      <c r="AG91" s="152">
        <f t="shared" si="434"/>
        <v>0</v>
      </c>
      <c r="AH91" s="152">
        <f t="shared" si="435"/>
        <v>0</v>
      </c>
      <c r="AI91" s="152">
        <f t="shared" si="436"/>
        <v>0</v>
      </c>
      <c r="AJ91" s="152">
        <f t="shared" si="437"/>
        <v>0</v>
      </c>
      <c r="AK91" s="152">
        <f t="shared" si="438"/>
        <v>0</v>
      </c>
      <c r="AL91" s="152">
        <f t="shared" si="439"/>
        <v>0</v>
      </c>
      <c r="AM91" s="9">
        <f t="shared" si="440"/>
        <v>0</v>
      </c>
      <c r="AN91" s="80">
        <f t="shared" si="441"/>
        <v>13600</v>
      </c>
      <c r="AP91" s="114" t="s">
        <v>3</v>
      </c>
      <c r="AQ91" s="143">
        <v>1</v>
      </c>
      <c r="AR91" s="14">
        <f t="shared" si="478"/>
        <v>1</v>
      </c>
      <c r="AS91" s="14" cm="1">
        <f t="array" ref="AS91">IFERROR(_xlfn.IFS(VALUE(MID(AS$5,6,1))&gt;$D$2,0,$AP91="Annual",1,AR91=12,12,$AP91="Monthly V",AR91*(1+$D$3),$AP91="Monthly F",12,$AP91="One-Time",0),AR91*(1+$D$3))</f>
        <v>0</v>
      </c>
      <c r="AT91" s="14" cm="1">
        <f t="array" ref="AT91">IFERROR(_xlfn.IFS(VALUE(MID(AT$5,6,1))&gt;$D$2,0,$AP91="Annual",1,AS91=12,12,$AP91="Monthly V",AS91*(1+$D$3),$AP91="Monthly F",12,$AP91="One-Time",0),AS91*(1+$D$3))</f>
        <v>0</v>
      </c>
      <c r="AU91" s="14" cm="1">
        <f t="array" ref="AU91">IFERROR(_xlfn.IFS(VALUE(MID(AU$5,6,1))&gt;$D$2,0,$AP91="Annual",1,AT91=12,12,$AP91="Monthly V",AT91*(1+$D$3),$AP91="Monthly F",12,$AP91="One-Time",0),AT91*(1+$D$3))</f>
        <v>0</v>
      </c>
      <c r="AV91" s="14" cm="1">
        <f t="array" ref="AV91">IFERROR(_xlfn.IFS(VALUE(MID(AV$5,6,1))&gt;$D$2,0,$AP91="Annual",1,AU91=12,12,$AP91="Monthly V",AU91*(1+$D$3),$AP91="Monthly F",12,$AP91="One-Time",0),AU91*(1+$D$3))</f>
        <v>0</v>
      </c>
      <c r="AW91" s="14" cm="1">
        <f t="array" ref="AW91">IFERROR(_xlfn.IFS(VALUE(MID(AW$5,6,1))&gt;$D$2,0,$AP91="Annual",1,AV91=12,12,$AP91="Monthly V",AV91*(1+$D$3),$AP91="Monthly F",12,$AP91="One-Time",0),AV91*(1+$D$3))</f>
        <v>0</v>
      </c>
      <c r="AX91" s="14" cm="1">
        <f t="array" ref="AX91">IFERROR(_xlfn.IFS(VALUE(MID(AX$5,6,1))&gt;$D$2,0,$AP91="Annual",1,AW91=12,12,$AP91="Monthly V",AW91*(1+$D$3),$AP91="Monthly F",12,$AP91="One-Time",0),AW91*(1+$D$3))</f>
        <v>0</v>
      </c>
      <c r="AY91" s="14" cm="1">
        <f t="array" ref="AY91">IFERROR(_xlfn.IFS(VALUE(MID(AY$5,6,1))&gt;$D$2,0,$AP91="Annual",1,AX91=12,12,$AP91="Monthly V",AX91*(1+$D$3),$AP91="Monthly F",12,$AP91="One-Time",0),AX91*(1+$D$3))</f>
        <v>0</v>
      </c>
      <c r="AZ91" s="14" cm="1">
        <f t="array" ref="AZ91">IFERROR(_xlfn.IFS(VALUE(MID(AZ$5,6,1))&gt;$D$2,0,$AP91="Annual",1,AY91=12,12,$AP91="Monthly V",AY91*(1+$D$3),$AP91="Monthly F",12,$AP91="One-Time",0),AY91*(1+$D$3))</f>
        <v>0</v>
      </c>
      <c r="BA91" s="125" cm="1">
        <f t="array" ref="BA91">IFERROR(_xlfn.IFS(VALUE(MID(BA$5,6,2))&gt;$D$2,0,$AP91="Annual",1,AZ91=12,12,$AP91="Monthly V",AZ91*(1+$D$3),$AP91="Monthly F",12,$AP91="One-Time",0),AZ91*(1+$D$3))</f>
        <v>0</v>
      </c>
      <c r="BB91" s="148" t="s">
        <v>317</v>
      </c>
      <c r="BC91" s="144" t="s">
        <v>222</v>
      </c>
      <c r="BD91" s="145">
        <v>1150</v>
      </c>
      <c r="BE91" s="21">
        <f t="shared" si="479"/>
        <v>95.833333333333329</v>
      </c>
      <c r="BF91" s="39">
        <f t="shared" si="480"/>
        <v>1150</v>
      </c>
      <c r="BG91" s="39">
        <f t="shared" si="481"/>
        <v>0</v>
      </c>
      <c r="BH91" s="39">
        <f t="shared" si="482"/>
        <v>0</v>
      </c>
      <c r="BI91" s="39">
        <f t="shared" si="483"/>
        <v>0</v>
      </c>
      <c r="BJ91" s="39">
        <f t="shared" si="484"/>
        <v>0</v>
      </c>
      <c r="BK91" s="39">
        <f t="shared" si="485"/>
        <v>0</v>
      </c>
      <c r="BL91" s="39">
        <f t="shared" si="486"/>
        <v>0</v>
      </c>
      <c r="BM91" s="39">
        <f t="shared" si="487"/>
        <v>0</v>
      </c>
      <c r="BN91" s="39">
        <f t="shared" si="488"/>
        <v>0</v>
      </c>
      <c r="BO91" s="39">
        <f t="shared" si="489"/>
        <v>0</v>
      </c>
      <c r="BP91" s="40"/>
      <c r="BQ91" s="40">
        <f t="shared" si="490"/>
        <v>0</v>
      </c>
      <c r="BR91" s="40">
        <f t="shared" si="491"/>
        <v>0</v>
      </c>
      <c r="BS91" s="40">
        <f t="shared" si="492"/>
        <v>0</v>
      </c>
      <c r="BT91" s="40">
        <f t="shared" si="493"/>
        <v>0</v>
      </c>
      <c r="BU91" s="40">
        <f t="shared" si="494"/>
        <v>0</v>
      </c>
      <c r="BV91" s="40">
        <f t="shared" si="495"/>
        <v>0</v>
      </c>
      <c r="BW91" s="40">
        <f t="shared" si="496"/>
        <v>0</v>
      </c>
      <c r="BX91" s="40">
        <f t="shared" si="497"/>
        <v>0</v>
      </c>
      <c r="BY91" s="40">
        <f t="shared" si="498"/>
        <v>0</v>
      </c>
      <c r="BZ91" s="40">
        <f t="shared" si="499"/>
        <v>0</v>
      </c>
      <c r="CA91" s="37">
        <f t="shared" si="500"/>
        <v>1150</v>
      </c>
      <c r="CC91" s="102"/>
      <c r="CD91" s="12"/>
      <c r="CE91" s="14">
        <f t="shared" si="464"/>
        <v>0</v>
      </c>
      <c r="CF91" s="14" cm="1">
        <f t="array" ref="CF91">IFERROR(_xlfn.IFS(VALUE(MID(CF$5,6,1))&gt;$D$2,0,$CC91="Annual",1,CE91=12,12,$CC91="Monthly V",CE91*(1+$D$3),$CC91="Monthly F",12,$CC91="One-Time",0),CE91*(1+$D$3))</f>
        <v>0</v>
      </c>
      <c r="CG91" s="14" cm="1">
        <f t="array" ref="CG91">IFERROR(_xlfn.IFS(VALUE(MID(CG$5,6,1))&gt;$D$2,0,$CC91="Annual",1,CF91=12,12,$CC91="Monthly V",CF91*(1+$D$3),$CC91="Monthly F",12,$CC91="One-Time",0),CF91*(1+$D$3))</f>
        <v>0</v>
      </c>
      <c r="CH91" s="14" cm="1">
        <f t="array" ref="CH91">IFERROR(_xlfn.IFS(VALUE(MID(CH$5,6,1))&gt;$D$2,0,$CC91="Annual",1,CG91=12,12,$CC91="Monthly V",CG91*(1+$D$3),$CC91="Monthly F",12,$CC91="One-Time",0),CG91*(1+$D$3))</f>
        <v>0</v>
      </c>
      <c r="CI91" s="14" cm="1">
        <f t="array" ref="CI91">IFERROR(_xlfn.IFS(VALUE(MID(CI$5,6,1))&gt;$D$2,0,$CC91="Annual",1,CH91=12,12,$CC91="Monthly V",CH91*(1+$D$3),$CC91="Monthly F",12,$CC91="One-Time",0),CH91*(1+$D$3))</f>
        <v>0</v>
      </c>
      <c r="CJ91" s="14" cm="1">
        <f t="array" ref="CJ91">IFERROR(_xlfn.IFS(VALUE(MID(CJ$5,6,1))&gt;$D$2,0,$CC91="Annual",1,CI91=12,12,$CC91="Monthly V",CI91*(1+$D$3),$CC91="Monthly F",12,$CC91="One-Time",0),CI91*(1+$D$3))</f>
        <v>0</v>
      </c>
      <c r="CK91" s="14" cm="1">
        <f t="array" ref="CK91">IFERROR(_xlfn.IFS(VALUE(MID(CK$5,6,1))&gt;$D$2,0,$CC91="Annual",1,CJ91=12,12,$CC91="Monthly V",CJ91*(1+$D$3),$CC91="Monthly F",12,$CC91="One-Time",0),CJ91*(1+$D$3))</f>
        <v>0</v>
      </c>
      <c r="CL91" s="14" cm="1">
        <f t="array" ref="CL91">IFERROR(_xlfn.IFS(VALUE(MID(CL$5,6,1))&gt;$D$2,0,$CC91="Annual",1,CK91=12,12,$CC91="Monthly V",CK91*(1+$D$3),$CC91="Monthly F",12,$CC91="One-Time",0),CK91*(1+$D$3))</f>
        <v>0</v>
      </c>
      <c r="CM91" s="14" cm="1">
        <f t="array" ref="CM91">IFERROR(_xlfn.IFS(VALUE(MID(CM$5,6,1))&gt;$D$2,0,$CC91="Annual",1,CL91=12,12,$CC91="Monthly V",CL91*(1+$D$3),$CC91="Monthly F",12,$CC91="One-Time",0),CL91*(1+$D$3))</f>
        <v>0</v>
      </c>
      <c r="CN91" s="24" cm="1">
        <f t="array" ref="CN91">IFERROR(_xlfn.IFS(VALUE(MID(CN$5,6,2))&gt;$D$2,0,$CC91="Annual",1,CM91=12,12,$CC91="Monthly V",CM91*(1+$D$3),$CC91="Monthly F",12,$CC91="One-Time",0),CM91*(1+$D$3))</f>
        <v>0</v>
      </c>
      <c r="CO91" s="63"/>
      <c r="CP91" s="53"/>
      <c r="CQ91" s="21">
        <f t="shared" si="465"/>
        <v>0</v>
      </c>
      <c r="CR91" s="55">
        <f t="shared" si="466"/>
        <v>0</v>
      </c>
      <c r="CS91" s="55">
        <f t="shared" si="466"/>
        <v>0</v>
      </c>
      <c r="CT91" s="55">
        <f t="shared" si="466"/>
        <v>0</v>
      </c>
      <c r="CU91" s="55">
        <f t="shared" si="466"/>
        <v>0</v>
      </c>
      <c r="CV91" s="55">
        <f t="shared" si="466"/>
        <v>0</v>
      </c>
      <c r="CW91" s="55">
        <f t="shared" si="466"/>
        <v>0</v>
      </c>
      <c r="CX91" s="55">
        <f t="shared" si="466"/>
        <v>0</v>
      </c>
      <c r="CY91" s="55">
        <f t="shared" si="466"/>
        <v>0</v>
      </c>
      <c r="CZ91" s="55">
        <f t="shared" si="466"/>
        <v>0</v>
      </c>
      <c r="DA91" s="55">
        <f t="shared" si="466"/>
        <v>0</v>
      </c>
      <c r="DB91" s="56"/>
      <c r="DC91" s="56">
        <f t="shared" si="467"/>
        <v>0</v>
      </c>
      <c r="DD91" s="56">
        <f t="shared" si="468"/>
        <v>0</v>
      </c>
      <c r="DE91" s="56">
        <f t="shared" si="469"/>
        <v>0</v>
      </c>
      <c r="DF91" s="56">
        <f t="shared" si="470"/>
        <v>0</v>
      </c>
      <c r="DG91" s="56">
        <f t="shared" si="471"/>
        <v>0</v>
      </c>
      <c r="DH91" s="56">
        <f t="shared" si="472"/>
        <v>0</v>
      </c>
      <c r="DI91" s="56">
        <f t="shared" si="473"/>
        <v>0</v>
      </c>
      <c r="DJ91" s="56">
        <f t="shared" si="474"/>
        <v>0</v>
      </c>
      <c r="DK91" s="56">
        <f t="shared" si="475"/>
        <v>0</v>
      </c>
      <c r="DL91" s="57">
        <f t="shared" si="476"/>
        <v>0</v>
      </c>
      <c r="DM91" s="54">
        <f t="shared" si="477"/>
        <v>0</v>
      </c>
      <c r="DO91" s="106"/>
    </row>
    <row r="92" spans="2:119" x14ac:dyDescent="0.25">
      <c r="B92" s="141" t="s">
        <v>3</v>
      </c>
      <c r="C92" s="24">
        <v>1</v>
      </c>
      <c r="D92" s="147">
        <f t="shared" si="427"/>
        <v>1</v>
      </c>
      <c r="E92" s="142">
        <f t="shared" si="428"/>
        <v>1</v>
      </c>
      <c r="F92" s="14" cm="1">
        <f t="array" ref="F92">IFERROR(_xlfn.IFS(VALUE(MID(F$5,6,1))&gt;$D$2,0,$B92="Annual",1,E92=12,12,$B92="Monthly V",E92*(1+$D$3),$B92="Monthly F",12,$B92="One-Time",0),E92*(1+$D$3))</f>
        <v>0</v>
      </c>
      <c r="G92" s="14" cm="1">
        <f t="array" ref="G92">IFERROR(_xlfn.IFS(VALUE(MID(G$5,6,1))&gt;$D$2,0,$B92="Annual",1,F92=12,12,$B92="Monthly V",F92*(1+$D$3),$B92="Monthly F",12,$B92="One-Time",0),F92*(1+$D$3))</f>
        <v>0</v>
      </c>
      <c r="H92" s="14" cm="1">
        <f t="array" ref="H92">IFERROR(_xlfn.IFS(VALUE(MID(H$5,6,1))&gt;$D$2,0,$B92="Annual",1,G92=12,12,$B92="Monthly V",G92*(1+$D$3),$B92="Monthly F",12,$B92="One-Time",0),G92*(1+$D$3))</f>
        <v>0</v>
      </c>
      <c r="I92" s="14" cm="1">
        <f t="array" ref="I92">IFERROR(_xlfn.IFS(VALUE(MID(I$5,6,1))&gt;$D$2,0,$B92="Annual",1,H92=12,12,$B92="Monthly V",H92*(1+$D$3),$B92="Monthly F",12,$B92="One-Time",0),H92*(1+$D$3))</f>
        <v>0</v>
      </c>
      <c r="J92" s="14" cm="1">
        <f t="array" ref="J92">IFERROR(_xlfn.IFS(VALUE(MID(J$5,6,1))&gt;$D$2,0,$B92="Annual",1,I92=12,12,$B92="Monthly V",I92*(1+$D$3),$B92="Monthly F",12,$B92="One-Time",0),I92*(1+$D$3))</f>
        <v>0</v>
      </c>
      <c r="K92" s="14" cm="1">
        <f t="array" ref="K92">IFERROR(_xlfn.IFS(VALUE(MID(K$5,6,1))&gt;$D$2,0,$B92="Annual",1,J92=12,12,$B92="Monthly V",J92*(1+$D$3),$B92="Monthly F",12,$B92="One-Time",0),J92*(1+$D$3))</f>
        <v>0</v>
      </c>
      <c r="L92" s="14" cm="1">
        <f t="array" ref="L92">IFERROR(_xlfn.IFS(VALUE(MID(L$5,6,1))&gt;$D$2,0,$B92="Annual",1,K92=12,12,$B92="Monthly V",K92*(1+$D$3),$B92="Monthly F",12,$B92="One-Time",0),K92*(1+$D$3))</f>
        <v>0</v>
      </c>
      <c r="M92" s="14" cm="1">
        <f t="array" ref="M92">IFERROR(_xlfn.IFS(VALUE(MID(M$5,6,1))&gt;$D$2,0,$B92="Annual",1,L92=12,12,$B92="Monthly V",L92*(1+$D$3),$B92="Monthly F",12,$B92="One-Time",0),L92*(1+$D$3))</f>
        <v>0</v>
      </c>
      <c r="N92" s="24" cm="1">
        <f t="array" ref="N92">IFERROR(_xlfn.IFS(VALUE(MID(N$5,6,2))&gt;$D$2,0,$B92="Annual",1,M92=12,12,$B92="Monthly V",M92*(1+$D$3),$B92="Monthly F",12,$B92="One-Time",0),M92*(1+$D$3))</f>
        <v>0</v>
      </c>
      <c r="O92" s="127" t="s">
        <v>83</v>
      </c>
      <c r="P92" s="13" t="s">
        <v>101</v>
      </c>
      <c r="Q92" s="20">
        <v>1500</v>
      </c>
      <c r="R92" s="21">
        <f t="shared" si="429"/>
        <v>125</v>
      </c>
      <c r="S92" s="6">
        <f t="shared" si="430"/>
        <v>1500</v>
      </c>
      <c r="T92" s="6">
        <f t="shared" si="430"/>
        <v>0</v>
      </c>
      <c r="U92" s="6">
        <f t="shared" si="430"/>
        <v>0</v>
      </c>
      <c r="V92" s="6">
        <f t="shared" si="430"/>
        <v>0</v>
      </c>
      <c r="W92" s="6">
        <f t="shared" si="430"/>
        <v>0</v>
      </c>
      <c r="X92" s="6">
        <f t="shared" si="430"/>
        <v>0</v>
      </c>
      <c r="Y92" s="6">
        <f t="shared" si="430"/>
        <v>0</v>
      </c>
      <c r="Z92" s="6">
        <f t="shared" si="430"/>
        <v>0</v>
      </c>
      <c r="AA92" s="6">
        <f t="shared" si="430"/>
        <v>0</v>
      </c>
      <c r="AB92" s="6">
        <f t="shared" si="430"/>
        <v>0</v>
      </c>
      <c r="AC92" s="7"/>
      <c r="AD92" s="152">
        <f t="shared" si="431"/>
        <v>0</v>
      </c>
      <c r="AE92" s="152">
        <f t="shared" si="432"/>
        <v>0</v>
      </c>
      <c r="AF92" s="152">
        <f t="shared" si="433"/>
        <v>0</v>
      </c>
      <c r="AG92" s="152">
        <f t="shared" si="434"/>
        <v>0</v>
      </c>
      <c r="AH92" s="152">
        <f t="shared" si="435"/>
        <v>0</v>
      </c>
      <c r="AI92" s="152">
        <f t="shared" si="436"/>
        <v>0</v>
      </c>
      <c r="AJ92" s="152">
        <f t="shared" si="437"/>
        <v>0</v>
      </c>
      <c r="AK92" s="152">
        <f t="shared" si="438"/>
        <v>0</v>
      </c>
      <c r="AL92" s="152">
        <f t="shared" si="439"/>
        <v>0</v>
      </c>
      <c r="AM92" s="9">
        <f t="shared" si="440"/>
        <v>0</v>
      </c>
      <c r="AN92" s="80">
        <f t="shared" si="441"/>
        <v>1500</v>
      </c>
      <c r="AP92" s="114" t="s">
        <v>3</v>
      </c>
      <c r="AQ92" s="143">
        <v>1</v>
      </c>
      <c r="AR92" s="14">
        <f t="shared" si="478"/>
        <v>1</v>
      </c>
      <c r="AS92" s="14" cm="1">
        <f t="array" ref="AS92">IFERROR(_xlfn.IFS(VALUE(MID(AS$5,6,1))&gt;$D$2,0,$AP92="Annual",1,AR92=12,12,$AP92="Monthly V",AR92*(1+$D$3),$AP92="Monthly F",12,$AP92="One-Time",0),AR92*(1+$D$3))</f>
        <v>0</v>
      </c>
      <c r="AT92" s="14" cm="1">
        <f t="array" ref="AT92">IFERROR(_xlfn.IFS(VALUE(MID(AT$5,6,1))&gt;$D$2,0,$AP92="Annual",1,AS92=12,12,$AP92="Monthly V",AS92*(1+$D$3),$AP92="Monthly F",12,$AP92="One-Time",0),AS92*(1+$D$3))</f>
        <v>0</v>
      </c>
      <c r="AU92" s="14" cm="1">
        <f t="array" ref="AU92">IFERROR(_xlfn.IFS(VALUE(MID(AU$5,6,1))&gt;$D$2,0,$AP92="Annual",1,AT92=12,12,$AP92="Monthly V",AT92*(1+$D$3),$AP92="Monthly F",12,$AP92="One-Time",0),AT92*(1+$D$3))</f>
        <v>0</v>
      </c>
      <c r="AV92" s="14" cm="1">
        <f t="array" ref="AV92">IFERROR(_xlfn.IFS(VALUE(MID(AV$5,6,1))&gt;$D$2,0,$AP92="Annual",1,AU92=12,12,$AP92="Monthly V",AU92*(1+$D$3),$AP92="Monthly F",12,$AP92="One-Time",0),AU92*(1+$D$3))</f>
        <v>0</v>
      </c>
      <c r="AW92" s="14" cm="1">
        <f t="array" ref="AW92">IFERROR(_xlfn.IFS(VALUE(MID(AW$5,6,1))&gt;$D$2,0,$AP92="Annual",1,AV92=12,12,$AP92="Monthly V",AV92*(1+$D$3),$AP92="Monthly F",12,$AP92="One-Time",0),AV92*(1+$D$3))</f>
        <v>0</v>
      </c>
      <c r="AX92" s="14" cm="1">
        <f t="array" ref="AX92">IFERROR(_xlfn.IFS(VALUE(MID(AX$5,6,1))&gt;$D$2,0,$AP92="Annual",1,AW92=12,12,$AP92="Monthly V",AW92*(1+$D$3),$AP92="Monthly F",12,$AP92="One-Time",0),AW92*(1+$D$3))</f>
        <v>0</v>
      </c>
      <c r="AY92" s="14" cm="1">
        <f t="array" ref="AY92">IFERROR(_xlfn.IFS(VALUE(MID(AY$5,6,1))&gt;$D$2,0,$AP92="Annual",1,AX92=12,12,$AP92="Monthly V",AX92*(1+$D$3),$AP92="Monthly F",12,$AP92="One-Time",0),AX92*(1+$D$3))</f>
        <v>0</v>
      </c>
      <c r="AZ92" s="14" cm="1">
        <f t="array" ref="AZ92">IFERROR(_xlfn.IFS(VALUE(MID(AZ$5,6,1))&gt;$D$2,0,$AP92="Annual",1,AY92=12,12,$AP92="Monthly V",AY92*(1+$D$3),$AP92="Monthly F",12,$AP92="One-Time",0),AY92*(1+$D$3))</f>
        <v>0</v>
      </c>
      <c r="BA92" s="125" cm="1">
        <f t="array" ref="BA92">IFERROR(_xlfn.IFS(VALUE(MID(BA$5,6,2))&gt;$D$2,0,$AP92="Annual",1,AZ92=12,12,$AP92="Monthly V",AZ92*(1+$D$3),$AP92="Monthly F",12,$AP92="One-Time",0),AZ92*(1+$D$3))</f>
        <v>0</v>
      </c>
      <c r="BB92" s="148" t="s">
        <v>318</v>
      </c>
      <c r="BC92" s="144" t="s">
        <v>222</v>
      </c>
      <c r="BD92" s="145">
        <v>1900</v>
      </c>
      <c r="BE92" s="21">
        <f t="shared" si="479"/>
        <v>158.33333333333334</v>
      </c>
      <c r="BF92" s="39">
        <f t="shared" si="480"/>
        <v>1900</v>
      </c>
      <c r="BG92" s="39">
        <f t="shared" si="481"/>
        <v>0</v>
      </c>
      <c r="BH92" s="39">
        <f t="shared" si="482"/>
        <v>0</v>
      </c>
      <c r="BI92" s="39">
        <f t="shared" si="483"/>
        <v>0</v>
      </c>
      <c r="BJ92" s="39">
        <f t="shared" si="484"/>
        <v>0</v>
      </c>
      <c r="BK92" s="39">
        <f t="shared" si="485"/>
        <v>0</v>
      </c>
      <c r="BL92" s="39">
        <f t="shared" si="486"/>
        <v>0</v>
      </c>
      <c r="BM92" s="39">
        <f t="shared" si="487"/>
        <v>0</v>
      </c>
      <c r="BN92" s="39">
        <f t="shared" si="488"/>
        <v>0</v>
      </c>
      <c r="BO92" s="39">
        <f t="shared" si="489"/>
        <v>0</v>
      </c>
      <c r="BP92" s="40"/>
      <c r="BQ92" s="40">
        <f t="shared" si="490"/>
        <v>0</v>
      </c>
      <c r="BR92" s="40">
        <f t="shared" si="491"/>
        <v>0</v>
      </c>
      <c r="BS92" s="40">
        <f t="shared" si="492"/>
        <v>0</v>
      </c>
      <c r="BT92" s="40">
        <f t="shared" si="493"/>
        <v>0</v>
      </c>
      <c r="BU92" s="40">
        <f t="shared" si="494"/>
        <v>0</v>
      </c>
      <c r="BV92" s="40">
        <f t="shared" si="495"/>
        <v>0</v>
      </c>
      <c r="BW92" s="40">
        <f t="shared" si="496"/>
        <v>0</v>
      </c>
      <c r="BX92" s="40">
        <f t="shared" si="497"/>
        <v>0</v>
      </c>
      <c r="BY92" s="40">
        <f t="shared" si="498"/>
        <v>0</v>
      </c>
      <c r="BZ92" s="40">
        <f t="shared" si="499"/>
        <v>0</v>
      </c>
      <c r="CA92" s="37">
        <f t="shared" si="500"/>
        <v>1900</v>
      </c>
      <c r="CC92" s="102"/>
      <c r="CD92" s="12"/>
      <c r="CE92" s="14">
        <f t="shared" si="464"/>
        <v>0</v>
      </c>
      <c r="CF92" s="14" cm="1">
        <f t="array" ref="CF92">IFERROR(_xlfn.IFS(VALUE(MID(CF$5,6,1))&gt;$D$2,0,$CC92="Annual",1,CE92=12,12,$CC92="Monthly V",CE92*(1+$D$3),$CC92="Monthly F",12,$CC92="One-Time",0),CE92*(1+$D$3))</f>
        <v>0</v>
      </c>
      <c r="CG92" s="14" cm="1">
        <f t="array" ref="CG92">IFERROR(_xlfn.IFS(VALUE(MID(CG$5,6,1))&gt;$D$2,0,$CC92="Annual",1,CF92=12,12,$CC92="Monthly V",CF92*(1+$D$3),$CC92="Monthly F",12,$CC92="One-Time",0),CF92*(1+$D$3))</f>
        <v>0</v>
      </c>
      <c r="CH92" s="14" cm="1">
        <f t="array" ref="CH92">IFERROR(_xlfn.IFS(VALUE(MID(CH$5,6,1))&gt;$D$2,0,$CC92="Annual",1,CG92=12,12,$CC92="Monthly V",CG92*(1+$D$3),$CC92="Monthly F",12,$CC92="One-Time",0),CG92*(1+$D$3))</f>
        <v>0</v>
      </c>
      <c r="CI92" s="14" cm="1">
        <f t="array" ref="CI92">IFERROR(_xlfn.IFS(VALUE(MID(CI$5,6,1))&gt;$D$2,0,$CC92="Annual",1,CH92=12,12,$CC92="Monthly V",CH92*(1+$D$3),$CC92="Monthly F",12,$CC92="One-Time",0),CH92*(1+$D$3))</f>
        <v>0</v>
      </c>
      <c r="CJ92" s="14" cm="1">
        <f t="array" ref="CJ92">IFERROR(_xlfn.IFS(VALUE(MID(CJ$5,6,1))&gt;$D$2,0,$CC92="Annual",1,CI92=12,12,$CC92="Monthly V",CI92*(1+$D$3),$CC92="Monthly F",12,$CC92="One-Time",0),CI92*(1+$D$3))</f>
        <v>0</v>
      </c>
      <c r="CK92" s="14" cm="1">
        <f t="array" ref="CK92">IFERROR(_xlfn.IFS(VALUE(MID(CK$5,6,1))&gt;$D$2,0,$CC92="Annual",1,CJ92=12,12,$CC92="Monthly V",CJ92*(1+$D$3),$CC92="Monthly F",12,$CC92="One-Time",0),CJ92*(1+$D$3))</f>
        <v>0</v>
      </c>
      <c r="CL92" s="14" cm="1">
        <f t="array" ref="CL92">IFERROR(_xlfn.IFS(VALUE(MID(CL$5,6,1))&gt;$D$2,0,$CC92="Annual",1,CK92=12,12,$CC92="Monthly V",CK92*(1+$D$3),$CC92="Monthly F",12,$CC92="One-Time",0),CK92*(1+$D$3))</f>
        <v>0</v>
      </c>
      <c r="CM92" s="14" cm="1">
        <f t="array" ref="CM92">IFERROR(_xlfn.IFS(VALUE(MID(CM$5,6,1))&gt;$D$2,0,$CC92="Annual",1,CL92=12,12,$CC92="Monthly V",CL92*(1+$D$3),$CC92="Monthly F",12,$CC92="One-Time",0),CL92*(1+$D$3))</f>
        <v>0</v>
      </c>
      <c r="CN92" s="24" cm="1">
        <f t="array" ref="CN92">IFERROR(_xlfn.IFS(VALUE(MID(CN$5,6,2))&gt;$D$2,0,$CC92="Annual",1,CM92=12,12,$CC92="Monthly V",CM92*(1+$D$3),$CC92="Monthly F",12,$CC92="One-Time",0),CM92*(1+$D$3))</f>
        <v>0</v>
      </c>
      <c r="CO92" s="63"/>
      <c r="CP92" s="53"/>
      <c r="CQ92" s="21">
        <f t="shared" si="465"/>
        <v>0</v>
      </c>
      <c r="CR92" s="55">
        <f t="shared" si="466"/>
        <v>0</v>
      </c>
      <c r="CS92" s="55">
        <f t="shared" si="466"/>
        <v>0</v>
      </c>
      <c r="CT92" s="55">
        <f t="shared" si="466"/>
        <v>0</v>
      </c>
      <c r="CU92" s="55">
        <f t="shared" si="466"/>
        <v>0</v>
      </c>
      <c r="CV92" s="55">
        <f t="shared" si="466"/>
        <v>0</v>
      </c>
      <c r="CW92" s="55">
        <f t="shared" si="466"/>
        <v>0</v>
      </c>
      <c r="CX92" s="55">
        <f t="shared" si="466"/>
        <v>0</v>
      </c>
      <c r="CY92" s="55">
        <f t="shared" si="466"/>
        <v>0</v>
      </c>
      <c r="CZ92" s="55">
        <f t="shared" si="466"/>
        <v>0</v>
      </c>
      <c r="DA92" s="55">
        <f t="shared" si="466"/>
        <v>0</v>
      </c>
      <c r="DB92" s="56"/>
      <c r="DC92" s="56">
        <f t="shared" si="467"/>
        <v>0</v>
      </c>
      <c r="DD92" s="56">
        <f t="shared" si="468"/>
        <v>0</v>
      </c>
      <c r="DE92" s="56">
        <f t="shared" si="469"/>
        <v>0</v>
      </c>
      <c r="DF92" s="56">
        <f t="shared" si="470"/>
        <v>0</v>
      </c>
      <c r="DG92" s="56">
        <f t="shared" si="471"/>
        <v>0</v>
      </c>
      <c r="DH92" s="56">
        <f t="shared" si="472"/>
        <v>0</v>
      </c>
      <c r="DI92" s="56">
        <f t="shared" si="473"/>
        <v>0</v>
      </c>
      <c r="DJ92" s="56">
        <f t="shared" si="474"/>
        <v>0</v>
      </c>
      <c r="DK92" s="56">
        <f t="shared" si="475"/>
        <v>0</v>
      </c>
      <c r="DL92" s="57">
        <f t="shared" si="476"/>
        <v>0</v>
      </c>
      <c r="DM92" s="54">
        <f t="shared" si="477"/>
        <v>0</v>
      </c>
      <c r="DO92" s="106"/>
    </row>
    <row r="93" spans="2:119" x14ac:dyDescent="0.25">
      <c r="B93" s="141" t="s">
        <v>3</v>
      </c>
      <c r="C93" s="24">
        <v>1</v>
      </c>
      <c r="D93" s="147">
        <f t="shared" ref="D93:D107" si="501">IFERROR(AVERAGE(C93:C93),0)</f>
        <v>1</v>
      </c>
      <c r="E93" s="142">
        <f t="shared" ref="E93:E94" si="502">IF($B93="Annual",1,IF($B93="Monthly F",12,IF($B93="Monthly V",D93*12,IF($B93="One-Time",1,D93*12))))</f>
        <v>1</v>
      </c>
      <c r="F93" s="14" cm="1">
        <f t="array" ref="F93">IFERROR(_xlfn.IFS(VALUE(MID(F$5,6,1))&gt;$D$2,0,$B93="Annual",1,E93=12,12,$B93="Monthly V",E93*(1+$D$3),$B93="Monthly F",12,$B93="One-Time",0),E93*(1+$D$3))</f>
        <v>0</v>
      </c>
      <c r="G93" s="14" cm="1">
        <f t="array" ref="G93">IFERROR(_xlfn.IFS(VALUE(MID(G$5,6,1))&gt;$D$2,0,$B93="Annual",1,F93=12,12,$B93="Monthly V",F93*(1+$D$3),$B93="Monthly F",12,$B93="One-Time",0),F93*(1+$D$3))</f>
        <v>0</v>
      </c>
      <c r="H93" s="14" cm="1">
        <f t="array" ref="H93">IFERROR(_xlfn.IFS(VALUE(MID(H$5,6,1))&gt;$D$2,0,$B93="Annual",1,G93=12,12,$B93="Monthly V",G93*(1+$D$3),$B93="Monthly F",12,$B93="One-Time",0),G93*(1+$D$3))</f>
        <v>0</v>
      </c>
      <c r="I93" s="14" cm="1">
        <f t="array" ref="I93">IFERROR(_xlfn.IFS(VALUE(MID(I$5,6,1))&gt;$D$2,0,$B93="Annual",1,H93=12,12,$B93="Monthly V",H93*(1+$D$3),$B93="Monthly F",12,$B93="One-Time",0),H93*(1+$D$3))</f>
        <v>0</v>
      </c>
      <c r="J93" s="14" cm="1">
        <f t="array" ref="J93">IFERROR(_xlfn.IFS(VALUE(MID(J$5,6,1))&gt;$D$2,0,$B93="Annual",1,I93=12,12,$B93="Monthly V",I93*(1+$D$3),$B93="Monthly F",12,$B93="One-Time",0),I93*(1+$D$3))</f>
        <v>0</v>
      </c>
      <c r="K93" s="14" cm="1">
        <f t="array" ref="K93">IFERROR(_xlfn.IFS(VALUE(MID(K$5,6,1))&gt;$D$2,0,$B93="Annual",1,J93=12,12,$B93="Monthly V",J93*(1+$D$3),$B93="Monthly F",12,$B93="One-Time",0),J93*(1+$D$3))</f>
        <v>0</v>
      </c>
      <c r="L93" s="14" cm="1">
        <f t="array" ref="L93">IFERROR(_xlfn.IFS(VALUE(MID(L$5,6,1))&gt;$D$2,0,$B93="Annual",1,K93=12,12,$B93="Monthly V",K93*(1+$D$3),$B93="Monthly F",12,$B93="One-Time",0),K93*(1+$D$3))</f>
        <v>0</v>
      </c>
      <c r="M93" s="14" cm="1">
        <f t="array" ref="M93">IFERROR(_xlfn.IFS(VALUE(MID(M$5,6,1))&gt;$D$2,0,$B93="Annual",1,L93=12,12,$B93="Monthly V",L93*(1+$D$3),$B93="Monthly F",12,$B93="One-Time",0),L93*(1+$D$3))</f>
        <v>0</v>
      </c>
      <c r="N93" s="24" cm="1">
        <f t="array" ref="N93">IFERROR(_xlfn.IFS(VALUE(MID(N$5,6,2))&gt;$D$2,0,$B93="Annual",1,M93=12,12,$B93="Monthly V",M93*(1+$D$3),$B93="Monthly F",12,$B93="One-Time",0),M93*(1+$D$3))</f>
        <v>0</v>
      </c>
      <c r="O93" s="127" t="s">
        <v>347</v>
      </c>
      <c r="P93" s="13"/>
      <c r="Q93" s="20">
        <v>-844093</v>
      </c>
      <c r="R93" s="21">
        <f t="shared" ref="R93:R94" si="503">S93/12</f>
        <v>-70341.083333333328</v>
      </c>
      <c r="S93" s="6">
        <f t="shared" ref="S93:S94" si="504">IFERROR($Q93*E93,0)</f>
        <v>-844093</v>
      </c>
      <c r="T93" s="6">
        <f t="shared" ref="T93:T94" si="505">IFERROR($Q93*F93,0)</f>
        <v>0</v>
      </c>
      <c r="U93" s="6">
        <f t="shared" ref="U93:U94" si="506">IFERROR($Q93*G93,0)</f>
        <v>0</v>
      </c>
      <c r="V93" s="6">
        <f t="shared" ref="V93:V94" si="507">IFERROR($Q93*H93,0)</f>
        <v>0</v>
      </c>
      <c r="W93" s="6">
        <f t="shared" ref="W93:W94" si="508">IFERROR($Q93*I93,0)</f>
        <v>0</v>
      </c>
      <c r="X93" s="6">
        <f t="shared" ref="X93:X94" si="509">IFERROR($Q93*J93,0)</f>
        <v>0</v>
      </c>
      <c r="Y93" s="6">
        <f t="shared" ref="Y93:Y94" si="510">IFERROR($Q93*K93,0)</f>
        <v>0</v>
      </c>
      <c r="Z93" s="6">
        <f t="shared" ref="Z93:Z94" si="511">IFERROR($Q93*L93,0)</f>
        <v>0</v>
      </c>
      <c r="AA93" s="6">
        <f t="shared" ref="AA93:AA94" si="512">IFERROR($Q93*M93,0)</f>
        <v>0</v>
      </c>
      <c r="AB93" s="6">
        <f t="shared" ref="AB93:AB94" si="513">IFERROR($Q93*N93,0)</f>
        <v>0</v>
      </c>
      <c r="AC93" s="7"/>
      <c r="AD93" s="152">
        <f t="shared" ref="AD93:AD94" si="514">IF(VALUE(MID(AD$5,6,1))&lt;=$D$2,((1+$Q$3)^1-1)*T93,0)</f>
        <v>0</v>
      </c>
      <c r="AE93" s="152">
        <f t="shared" ref="AE93:AE94" si="515">IF(VALUE(MID(AE$5,6,1))&lt;=$D$2,((1+$Q$3)^2-1)*U93,0)</f>
        <v>0</v>
      </c>
      <c r="AF93" s="152">
        <f t="shared" ref="AF93:AF94" si="516">IF(VALUE(MID(AF$5,6,1))&lt;=$D$2,((1+$Q$3)^3-1)*V93,0)</f>
        <v>0</v>
      </c>
      <c r="AG93" s="152">
        <f t="shared" ref="AG93:AG94" si="517">IF(VALUE(MID(AG$5,6,1))&lt;=$D$2,((1+$Q$3)^4-1)*W93,0)</f>
        <v>0</v>
      </c>
      <c r="AH93" s="152">
        <f t="shared" ref="AH93:AH94" si="518">IF(VALUE(MID(AH$5,6,1))&lt;=$D$2,((1+$Q$3)^5-1)*X93,0)</f>
        <v>0</v>
      </c>
      <c r="AI93" s="152">
        <f t="shared" ref="AI93:AI94" si="519">IF(VALUE(MID(AI$5,6,1))&lt;=$D$2,((1+$Q$3)^6-1)*Y93,0)</f>
        <v>0</v>
      </c>
      <c r="AJ93" s="152">
        <f t="shared" ref="AJ93:AJ94" si="520">IF(VALUE(MID(AJ$5,6,1))&lt;=$D$2,((1+$Q$3)^7-1)*Z93,0)</f>
        <v>0</v>
      </c>
      <c r="AK93" s="152">
        <f t="shared" ref="AK93:AK94" si="521">IF(VALUE(MID(AK$5,6,1))&lt;=$D$2,((1+$Q$3)^8-1)*AA93,0)</f>
        <v>0</v>
      </c>
      <c r="AL93" s="152">
        <f t="shared" ref="AL93:AL94" si="522">IF(VALUE(MID(AL$5,6,2))&lt;=$D$2,((1+$Q$3)^9-1)*AB93,0)</f>
        <v>0</v>
      </c>
      <c r="AM93" s="9">
        <f t="shared" ref="AM93:AM94" si="523">SUM(AC93:AL93)</f>
        <v>0</v>
      </c>
      <c r="AN93" s="80">
        <f t="shared" ref="AN93:AN94" si="524">SUM(AM93,S93:AB93)</f>
        <v>-844093</v>
      </c>
      <c r="AP93" s="114" t="s">
        <v>3</v>
      </c>
      <c r="AQ93" s="143">
        <v>1</v>
      </c>
      <c r="AR93" s="14">
        <f t="shared" si="478"/>
        <v>1</v>
      </c>
      <c r="AS93" s="14" cm="1">
        <f t="array" ref="AS93">IFERROR(_xlfn.IFS(VALUE(MID(AS$5,6,1))&gt;$D$2,0,$AP93="Annual",1,AR93=12,12,$AP93="Monthly V",AR93*(1+$D$3),$AP93="Monthly F",12,$AP93="One-Time",0),AR93*(1+$D$3))</f>
        <v>0</v>
      </c>
      <c r="AT93" s="14" cm="1">
        <f t="array" ref="AT93">IFERROR(_xlfn.IFS(VALUE(MID(AT$5,6,1))&gt;$D$2,0,$AP93="Annual",1,AS93=12,12,$AP93="Monthly V",AS93*(1+$D$3),$AP93="Monthly F",12,$AP93="One-Time",0),AS93*(1+$D$3))</f>
        <v>0</v>
      </c>
      <c r="AU93" s="14" cm="1">
        <f t="array" ref="AU93">IFERROR(_xlfn.IFS(VALUE(MID(AU$5,6,1))&gt;$D$2,0,$AP93="Annual",1,AT93=12,12,$AP93="Monthly V",AT93*(1+$D$3),$AP93="Monthly F",12,$AP93="One-Time",0),AT93*(1+$D$3))</f>
        <v>0</v>
      </c>
      <c r="AV93" s="14" cm="1">
        <f t="array" ref="AV93">IFERROR(_xlfn.IFS(VALUE(MID(AV$5,6,1))&gt;$D$2,0,$AP93="Annual",1,AU93=12,12,$AP93="Monthly V",AU93*(1+$D$3),$AP93="Monthly F",12,$AP93="One-Time",0),AU93*(1+$D$3))</f>
        <v>0</v>
      </c>
      <c r="AW93" s="14" cm="1">
        <f t="array" ref="AW93">IFERROR(_xlfn.IFS(VALUE(MID(AW$5,6,1))&gt;$D$2,0,$AP93="Annual",1,AV93=12,12,$AP93="Monthly V",AV93*(1+$D$3),$AP93="Monthly F",12,$AP93="One-Time",0),AV93*(1+$D$3))</f>
        <v>0</v>
      </c>
      <c r="AX93" s="14" cm="1">
        <f t="array" ref="AX93">IFERROR(_xlfn.IFS(VALUE(MID(AX$5,6,1))&gt;$D$2,0,$AP93="Annual",1,AW93=12,12,$AP93="Monthly V",AW93*(1+$D$3),$AP93="Monthly F",12,$AP93="One-Time",0),AW93*(1+$D$3))</f>
        <v>0</v>
      </c>
      <c r="AY93" s="14" cm="1">
        <f t="array" ref="AY93">IFERROR(_xlfn.IFS(VALUE(MID(AY$5,6,1))&gt;$D$2,0,$AP93="Annual",1,AX93=12,12,$AP93="Monthly V",AX93*(1+$D$3),$AP93="Monthly F",12,$AP93="One-Time",0),AX93*(1+$D$3))</f>
        <v>0</v>
      </c>
      <c r="AZ93" s="14" cm="1">
        <f t="array" ref="AZ93">IFERROR(_xlfn.IFS(VALUE(MID(AZ$5,6,1))&gt;$D$2,0,$AP93="Annual",1,AY93=12,12,$AP93="Monthly V",AY93*(1+$D$3),$AP93="Monthly F",12,$AP93="One-Time",0),AY93*(1+$D$3))</f>
        <v>0</v>
      </c>
      <c r="BA93" s="125" cm="1">
        <f t="array" ref="BA93">IFERROR(_xlfn.IFS(VALUE(MID(BA$5,6,2))&gt;$D$2,0,$AP93="Annual",1,AZ93=12,12,$AP93="Monthly V",AZ93*(1+$D$3),$AP93="Monthly F",12,$AP93="One-Time",0),AZ93*(1+$D$3))</f>
        <v>0</v>
      </c>
      <c r="BB93" s="148" t="s">
        <v>319</v>
      </c>
      <c r="BC93" s="144" t="s">
        <v>222</v>
      </c>
      <c r="BD93" s="145">
        <v>5200</v>
      </c>
      <c r="BE93" s="21">
        <f t="shared" si="479"/>
        <v>433.33333333333331</v>
      </c>
      <c r="BF93" s="39">
        <f t="shared" si="480"/>
        <v>5200</v>
      </c>
      <c r="BG93" s="39">
        <f t="shared" si="481"/>
        <v>0</v>
      </c>
      <c r="BH93" s="39">
        <f t="shared" si="482"/>
        <v>0</v>
      </c>
      <c r="BI93" s="39">
        <f t="shared" si="483"/>
        <v>0</v>
      </c>
      <c r="BJ93" s="39">
        <f t="shared" si="484"/>
        <v>0</v>
      </c>
      <c r="BK93" s="39">
        <f t="shared" si="485"/>
        <v>0</v>
      </c>
      <c r="BL93" s="39">
        <f t="shared" si="486"/>
        <v>0</v>
      </c>
      <c r="BM93" s="39">
        <f t="shared" si="487"/>
        <v>0</v>
      </c>
      <c r="BN93" s="39">
        <f t="shared" si="488"/>
        <v>0</v>
      </c>
      <c r="BO93" s="39">
        <f t="shared" si="489"/>
        <v>0</v>
      </c>
      <c r="BP93" s="40"/>
      <c r="BQ93" s="40">
        <f t="shared" si="490"/>
        <v>0</v>
      </c>
      <c r="BR93" s="40">
        <f t="shared" si="491"/>
        <v>0</v>
      </c>
      <c r="BS93" s="40">
        <f t="shared" si="492"/>
        <v>0</v>
      </c>
      <c r="BT93" s="40">
        <f t="shared" si="493"/>
        <v>0</v>
      </c>
      <c r="BU93" s="40">
        <f t="shared" si="494"/>
        <v>0</v>
      </c>
      <c r="BV93" s="40">
        <f t="shared" si="495"/>
        <v>0</v>
      </c>
      <c r="BW93" s="40">
        <f t="shared" si="496"/>
        <v>0</v>
      </c>
      <c r="BX93" s="40">
        <f t="shared" si="497"/>
        <v>0</v>
      </c>
      <c r="BY93" s="40">
        <f t="shared" si="498"/>
        <v>0</v>
      </c>
      <c r="BZ93" s="40">
        <f t="shared" si="499"/>
        <v>0</v>
      </c>
      <c r="CA93" s="37">
        <f t="shared" si="500"/>
        <v>5200</v>
      </c>
      <c r="CC93" s="102"/>
      <c r="CD93" s="12"/>
      <c r="CE93" s="14"/>
      <c r="CF93" s="14"/>
      <c r="CG93" s="14"/>
      <c r="CH93" s="14"/>
      <c r="CI93" s="14"/>
      <c r="CJ93" s="14"/>
      <c r="CK93" s="14"/>
      <c r="CL93" s="14"/>
      <c r="CM93" s="14"/>
      <c r="CN93" s="24"/>
      <c r="CO93" s="63"/>
      <c r="CP93" s="53"/>
      <c r="CQ93" s="21"/>
      <c r="CR93" s="55"/>
      <c r="CS93" s="55"/>
      <c r="CT93" s="55"/>
      <c r="CU93" s="55"/>
      <c r="CV93" s="55"/>
      <c r="CW93" s="55"/>
      <c r="CX93" s="55"/>
      <c r="CY93" s="55"/>
      <c r="CZ93" s="55"/>
      <c r="DA93" s="55"/>
      <c r="DB93" s="56"/>
      <c r="DC93" s="56"/>
      <c r="DD93" s="56"/>
      <c r="DE93" s="56"/>
      <c r="DF93" s="56"/>
      <c r="DG93" s="56"/>
      <c r="DH93" s="56"/>
      <c r="DI93" s="56"/>
      <c r="DJ93" s="56"/>
      <c r="DK93" s="56"/>
      <c r="DL93" s="57"/>
      <c r="DM93" s="54"/>
      <c r="DO93" s="106"/>
    </row>
    <row r="94" spans="2:119" x14ac:dyDescent="0.25">
      <c r="B94" s="141" t="s">
        <v>3</v>
      </c>
      <c r="C94" s="24">
        <v>1</v>
      </c>
      <c r="D94" s="147">
        <f t="shared" si="501"/>
        <v>1</v>
      </c>
      <c r="E94" s="142">
        <f t="shared" si="502"/>
        <v>1</v>
      </c>
      <c r="F94" s="14" cm="1">
        <f t="array" ref="F94">IFERROR(_xlfn.IFS(VALUE(MID(F$5,6,1))&gt;$D$2,0,$B94="Annual",1,E94=12,12,$B94="Monthly V",E94*(1+$D$3),$B94="Monthly F",12,$B94="One-Time",0),E94*(1+$D$3))</f>
        <v>0</v>
      </c>
      <c r="G94" s="14" cm="1">
        <f t="array" ref="G94">IFERROR(_xlfn.IFS(VALUE(MID(G$5,6,1))&gt;$D$2,0,$B94="Annual",1,F94=12,12,$B94="Monthly V",F94*(1+$D$3),$B94="Monthly F",12,$B94="One-Time",0),F94*(1+$D$3))</f>
        <v>0</v>
      </c>
      <c r="H94" s="14" cm="1">
        <f t="array" ref="H94">IFERROR(_xlfn.IFS(VALUE(MID(H$5,6,1))&gt;$D$2,0,$B94="Annual",1,G94=12,12,$B94="Monthly V",G94*(1+$D$3),$B94="Monthly F",12,$B94="One-Time",0),G94*(1+$D$3))</f>
        <v>0</v>
      </c>
      <c r="I94" s="14" cm="1">
        <f t="array" ref="I94">IFERROR(_xlfn.IFS(VALUE(MID(I$5,6,1))&gt;$D$2,0,$B94="Annual",1,H94=12,12,$B94="Monthly V",H94*(1+$D$3),$B94="Monthly F",12,$B94="One-Time",0),H94*(1+$D$3))</f>
        <v>0</v>
      </c>
      <c r="J94" s="14" cm="1">
        <f t="array" ref="J94">IFERROR(_xlfn.IFS(VALUE(MID(J$5,6,1))&gt;$D$2,0,$B94="Annual",1,I94=12,12,$B94="Monthly V",I94*(1+$D$3),$B94="Monthly F",12,$B94="One-Time",0),I94*(1+$D$3))</f>
        <v>0</v>
      </c>
      <c r="K94" s="14" cm="1">
        <f t="array" ref="K94">IFERROR(_xlfn.IFS(VALUE(MID(K$5,6,1))&gt;$D$2,0,$B94="Annual",1,J94=12,12,$B94="Monthly V",J94*(1+$D$3),$B94="Monthly F",12,$B94="One-Time",0),J94*(1+$D$3))</f>
        <v>0</v>
      </c>
      <c r="L94" s="14" cm="1">
        <f t="array" ref="L94">IFERROR(_xlfn.IFS(VALUE(MID(L$5,6,1))&gt;$D$2,0,$B94="Annual",1,K94=12,12,$B94="Monthly V",K94*(1+$D$3),$B94="Monthly F",12,$B94="One-Time",0),K94*(1+$D$3))</f>
        <v>0</v>
      </c>
      <c r="M94" s="14" cm="1">
        <f t="array" ref="M94">IFERROR(_xlfn.IFS(VALUE(MID(M$5,6,1))&gt;$D$2,0,$B94="Annual",1,L94=12,12,$B94="Monthly V",L94*(1+$D$3),$B94="Monthly F",12,$B94="One-Time",0),L94*(1+$D$3))</f>
        <v>0</v>
      </c>
      <c r="N94" s="24" cm="1">
        <f t="array" ref="N94">IFERROR(_xlfn.IFS(VALUE(MID(N$5,6,2))&gt;$D$2,0,$B94="Annual",1,M94=12,12,$B94="Monthly V",M94*(1+$D$3),$B94="Monthly F",12,$B94="One-Time",0),M94*(1+$D$3))</f>
        <v>0</v>
      </c>
      <c r="O94" s="127" t="s">
        <v>348</v>
      </c>
      <c r="P94" s="13"/>
      <c r="Q94" s="20">
        <v>-137070</v>
      </c>
      <c r="R94" s="21">
        <f t="shared" si="503"/>
        <v>-11422.5</v>
      </c>
      <c r="S94" s="6">
        <f t="shared" si="504"/>
        <v>-137070</v>
      </c>
      <c r="T94" s="6">
        <f t="shared" si="505"/>
        <v>0</v>
      </c>
      <c r="U94" s="6">
        <f t="shared" si="506"/>
        <v>0</v>
      </c>
      <c r="V94" s="6">
        <f t="shared" si="507"/>
        <v>0</v>
      </c>
      <c r="W94" s="6">
        <f t="shared" si="508"/>
        <v>0</v>
      </c>
      <c r="X94" s="6">
        <f t="shared" si="509"/>
        <v>0</v>
      </c>
      <c r="Y94" s="6">
        <f t="shared" si="510"/>
        <v>0</v>
      </c>
      <c r="Z94" s="6">
        <f t="shared" si="511"/>
        <v>0</v>
      </c>
      <c r="AA94" s="6">
        <f t="shared" si="512"/>
        <v>0</v>
      </c>
      <c r="AB94" s="6">
        <f t="shared" si="513"/>
        <v>0</v>
      </c>
      <c r="AC94" s="7"/>
      <c r="AD94" s="152">
        <f t="shared" si="514"/>
        <v>0</v>
      </c>
      <c r="AE94" s="152">
        <f t="shared" si="515"/>
        <v>0</v>
      </c>
      <c r="AF94" s="152">
        <f t="shared" si="516"/>
        <v>0</v>
      </c>
      <c r="AG94" s="152">
        <f t="shared" si="517"/>
        <v>0</v>
      </c>
      <c r="AH94" s="152">
        <f t="shared" si="518"/>
        <v>0</v>
      </c>
      <c r="AI94" s="152">
        <f t="shared" si="519"/>
        <v>0</v>
      </c>
      <c r="AJ94" s="152">
        <f t="shared" si="520"/>
        <v>0</v>
      </c>
      <c r="AK94" s="152">
        <f t="shared" si="521"/>
        <v>0</v>
      </c>
      <c r="AL94" s="152">
        <f t="shared" si="522"/>
        <v>0</v>
      </c>
      <c r="AM94" s="9">
        <f t="shared" si="523"/>
        <v>0</v>
      </c>
      <c r="AN94" s="80">
        <f t="shared" si="524"/>
        <v>-137070</v>
      </c>
      <c r="AP94" s="114" t="s">
        <v>3</v>
      </c>
      <c r="AQ94" s="143">
        <v>1</v>
      </c>
      <c r="AR94" s="14">
        <f t="shared" si="478"/>
        <v>1</v>
      </c>
      <c r="AS94" s="14" cm="1">
        <f t="array" ref="AS94">IFERROR(_xlfn.IFS(VALUE(MID(AS$5,6,1))&gt;$D$2,0,$AP94="Annual",1,AR94=12,12,$AP94="Monthly V",AR94*(1+$D$3),$AP94="Monthly F",12,$AP94="One-Time",0),AR94*(1+$D$3))</f>
        <v>0</v>
      </c>
      <c r="AT94" s="14" cm="1">
        <f t="array" ref="AT94">IFERROR(_xlfn.IFS(VALUE(MID(AT$5,6,1))&gt;$D$2,0,$AP94="Annual",1,AS94=12,12,$AP94="Monthly V",AS94*(1+$D$3),$AP94="Monthly F",12,$AP94="One-Time",0),AS94*(1+$D$3))</f>
        <v>0</v>
      </c>
      <c r="AU94" s="14" cm="1">
        <f t="array" ref="AU94">IFERROR(_xlfn.IFS(VALUE(MID(AU$5,6,1))&gt;$D$2,0,$AP94="Annual",1,AT94=12,12,$AP94="Monthly V",AT94*(1+$D$3),$AP94="Monthly F",12,$AP94="One-Time",0),AT94*(1+$D$3))</f>
        <v>0</v>
      </c>
      <c r="AV94" s="14" cm="1">
        <f t="array" ref="AV94">IFERROR(_xlfn.IFS(VALUE(MID(AV$5,6,1))&gt;$D$2,0,$AP94="Annual",1,AU94=12,12,$AP94="Monthly V",AU94*(1+$D$3),$AP94="Monthly F",12,$AP94="One-Time",0),AU94*(1+$D$3))</f>
        <v>0</v>
      </c>
      <c r="AW94" s="14" cm="1">
        <f t="array" ref="AW94">IFERROR(_xlfn.IFS(VALUE(MID(AW$5,6,1))&gt;$D$2,0,$AP94="Annual",1,AV94=12,12,$AP94="Monthly V",AV94*(1+$D$3),$AP94="Monthly F",12,$AP94="One-Time",0),AV94*(1+$D$3))</f>
        <v>0</v>
      </c>
      <c r="AX94" s="14" cm="1">
        <f t="array" ref="AX94">IFERROR(_xlfn.IFS(VALUE(MID(AX$5,6,1))&gt;$D$2,0,$AP94="Annual",1,AW94=12,12,$AP94="Monthly V",AW94*(1+$D$3),$AP94="Monthly F",12,$AP94="One-Time",0),AW94*(1+$D$3))</f>
        <v>0</v>
      </c>
      <c r="AY94" s="14" cm="1">
        <f t="array" ref="AY94">IFERROR(_xlfn.IFS(VALUE(MID(AY$5,6,1))&gt;$D$2,0,$AP94="Annual",1,AX94=12,12,$AP94="Monthly V",AX94*(1+$D$3),$AP94="Monthly F",12,$AP94="One-Time",0),AX94*(1+$D$3))</f>
        <v>0</v>
      </c>
      <c r="AZ94" s="14" cm="1">
        <f t="array" ref="AZ94">IFERROR(_xlfn.IFS(VALUE(MID(AZ$5,6,1))&gt;$D$2,0,$AP94="Annual",1,AY94=12,12,$AP94="Monthly V",AY94*(1+$D$3),$AP94="Monthly F",12,$AP94="One-Time",0),AY94*(1+$D$3))</f>
        <v>0</v>
      </c>
      <c r="BA94" s="125" cm="1">
        <f t="array" ref="BA94">IFERROR(_xlfn.IFS(VALUE(MID(BA$5,6,2))&gt;$D$2,0,$AP94="Annual",1,AZ94=12,12,$AP94="Monthly V",AZ94*(1+$D$3),$AP94="Monthly F",12,$AP94="One-Time",0),AZ94*(1+$D$3))</f>
        <v>0</v>
      </c>
      <c r="BB94" s="148" t="s">
        <v>175</v>
      </c>
      <c r="BC94" s="144" t="s">
        <v>224</v>
      </c>
      <c r="BD94" s="145">
        <v>2500</v>
      </c>
      <c r="BE94" s="21">
        <f t="shared" si="479"/>
        <v>208.33333333333334</v>
      </c>
      <c r="BF94" s="39">
        <f t="shared" si="480"/>
        <v>2500</v>
      </c>
      <c r="BG94" s="39">
        <f t="shared" si="481"/>
        <v>0</v>
      </c>
      <c r="BH94" s="39">
        <f t="shared" si="482"/>
        <v>0</v>
      </c>
      <c r="BI94" s="39">
        <f t="shared" si="483"/>
        <v>0</v>
      </c>
      <c r="BJ94" s="39">
        <f t="shared" si="484"/>
        <v>0</v>
      </c>
      <c r="BK94" s="39">
        <f t="shared" si="485"/>
        <v>0</v>
      </c>
      <c r="BL94" s="39">
        <f t="shared" si="486"/>
        <v>0</v>
      </c>
      <c r="BM94" s="39">
        <f t="shared" si="487"/>
        <v>0</v>
      </c>
      <c r="BN94" s="39">
        <f t="shared" si="488"/>
        <v>0</v>
      </c>
      <c r="BO94" s="39">
        <f t="shared" si="489"/>
        <v>0</v>
      </c>
      <c r="BP94" s="40"/>
      <c r="BQ94" s="40">
        <f t="shared" si="490"/>
        <v>0</v>
      </c>
      <c r="BR94" s="40">
        <f t="shared" si="491"/>
        <v>0</v>
      </c>
      <c r="BS94" s="40">
        <f t="shared" si="492"/>
        <v>0</v>
      </c>
      <c r="BT94" s="40">
        <f t="shared" si="493"/>
        <v>0</v>
      </c>
      <c r="BU94" s="40">
        <f t="shared" si="494"/>
        <v>0</v>
      </c>
      <c r="BV94" s="40">
        <f t="shared" si="495"/>
        <v>0</v>
      </c>
      <c r="BW94" s="40">
        <f t="shared" si="496"/>
        <v>0</v>
      </c>
      <c r="BX94" s="40">
        <f t="shared" si="497"/>
        <v>0</v>
      </c>
      <c r="BY94" s="40">
        <f t="shared" si="498"/>
        <v>0</v>
      </c>
      <c r="BZ94" s="40">
        <f t="shared" si="499"/>
        <v>0</v>
      </c>
      <c r="CA94" s="37">
        <f t="shared" si="500"/>
        <v>2500</v>
      </c>
      <c r="CC94" s="102"/>
      <c r="CD94" s="12"/>
      <c r="CE94" s="14"/>
      <c r="CF94" s="14"/>
      <c r="CG94" s="14"/>
      <c r="CH94" s="14"/>
      <c r="CI94" s="14"/>
      <c r="CJ94" s="14"/>
      <c r="CK94" s="14"/>
      <c r="CL94" s="14"/>
      <c r="CM94" s="14"/>
      <c r="CN94" s="24"/>
      <c r="CO94" s="63"/>
      <c r="CP94" s="53"/>
      <c r="CQ94" s="21"/>
      <c r="CR94" s="55"/>
      <c r="CS94" s="55"/>
      <c r="CT94" s="55"/>
      <c r="CU94" s="55"/>
      <c r="CV94" s="55"/>
      <c r="CW94" s="55"/>
      <c r="CX94" s="55"/>
      <c r="CY94" s="55"/>
      <c r="CZ94" s="55"/>
      <c r="DA94" s="55"/>
      <c r="DB94" s="56"/>
      <c r="DC94" s="56"/>
      <c r="DD94" s="56"/>
      <c r="DE94" s="56"/>
      <c r="DF94" s="56"/>
      <c r="DG94" s="56"/>
      <c r="DH94" s="56"/>
      <c r="DI94" s="56"/>
      <c r="DJ94" s="56"/>
      <c r="DK94" s="56"/>
      <c r="DL94" s="57"/>
      <c r="DM94" s="54"/>
      <c r="DO94" s="106"/>
    </row>
    <row r="95" spans="2:119" x14ac:dyDescent="0.25">
      <c r="B95" s="141" t="s">
        <v>3</v>
      </c>
      <c r="C95" s="24">
        <v>1</v>
      </c>
      <c r="D95" s="147">
        <f t="shared" si="501"/>
        <v>1</v>
      </c>
      <c r="E95" s="142">
        <f t="shared" ref="E95:E107" si="525">IF($B95="Annual",1,IF($B95="Monthly F",12,IF($B95="Monthly V",D95*12,IF($B95="One-Time",1,D95*12))))</f>
        <v>1</v>
      </c>
      <c r="F95" s="14" cm="1">
        <f t="array" ref="F95">IFERROR(_xlfn.IFS(VALUE(MID(F$5,6,1))&gt;$D$2,0,$B95="Annual",1,E95=12,12,$B95="Monthly V",E95*(1+$D$3),$B95="Monthly F",12,$B95="One-Time",0),E95*(1+$D$3))</f>
        <v>0</v>
      </c>
      <c r="G95" s="14" cm="1">
        <f t="array" ref="G95">IFERROR(_xlfn.IFS(VALUE(MID(G$5,6,1))&gt;$D$2,0,$B95="Annual",1,F95=12,12,$B95="Monthly V",F95*(1+$D$3),$B95="Monthly F",12,$B95="One-Time",0),F95*(1+$D$3))</f>
        <v>0</v>
      </c>
      <c r="H95" s="14" cm="1">
        <f t="array" ref="H95">IFERROR(_xlfn.IFS(VALUE(MID(H$5,6,1))&gt;$D$2,0,$B95="Annual",1,G95=12,12,$B95="Monthly V",G95*(1+$D$3),$B95="Monthly F",12,$B95="One-Time",0),G95*(1+$D$3))</f>
        <v>0</v>
      </c>
      <c r="I95" s="14" cm="1">
        <f t="array" ref="I95">IFERROR(_xlfn.IFS(VALUE(MID(I$5,6,1))&gt;$D$2,0,$B95="Annual",1,H95=12,12,$B95="Monthly V",H95*(1+$D$3),$B95="Monthly F",12,$B95="One-Time",0),H95*(1+$D$3))</f>
        <v>0</v>
      </c>
      <c r="J95" s="14" cm="1">
        <f t="array" ref="J95">IFERROR(_xlfn.IFS(VALUE(MID(J$5,6,1))&gt;$D$2,0,$B95="Annual",1,I95=12,12,$B95="Monthly V",I95*(1+$D$3),$B95="Monthly F",12,$B95="One-Time",0),I95*(1+$D$3))</f>
        <v>0</v>
      </c>
      <c r="K95" s="14" cm="1">
        <f t="array" ref="K95">IFERROR(_xlfn.IFS(VALUE(MID(K$5,6,1))&gt;$D$2,0,$B95="Annual",1,J95=12,12,$B95="Monthly V",J95*(1+$D$3),$B95="Monthly F",12,$B95="One-Time",0),J95*(1+$D$3))</f>
        <v>0</v>
      </c>
      <c r="L95" s="14" cm="1">
        <f t="array" ref="L95">IFERROR(_xlfn.IFS(VALUE(MID(L$5,6,1))&gt;$D$2,0,$B95="Annual",1,K95=12,12,$B95="Monthly V",K95*(1+$D$3),$B95="Monthly F",12,$B95="One-Time",0),K95*(1+$D$3))</f>
        <v>0</v>
      </c>
      <c r="M95" s="14" cm="1">
        <f t="array" ref="M95">IFERROR(_xlfn.IFS(VALUE(MID(M$5,6,1))&gt;$D$2,0,$B95="Annual",1,L95=12,12,$B95="Monthly V",L95*(1+$D$3),$B95="Monthly F",12,$B95="One-Time",0),L95*(1+$D$3))</f>
        <v>0</v>
      </c>
      <c r="N95" s="24" cm="1">
        <f t="array" ref="N95">IFERROR(_xlfn.IFS(VALUE(MID(N$5,6,2))&gt;$D$2,0,$B95="Annual",1,M95=12,12,$B95="Monthly V",M95*(1+$D$3),$B95="Monthly F",12,$B95="One-Time",0),M95*(1+$D$3))</f>
        <v>0</v>
      </c>
      <c r="O95" s="127" t="s">
        <v>337</v>
      </c>
      <c r="P95" s="13"/>
      <c r="Q95" s="20">
        <v>-50000</v>
      </c>
      <c r="R95" s="21">
        <f t="shared" ref="R95:R97" si="526">S95/12</f>
        <v>-4166.666666666667</v>
      </c>
      <c r="S95" s="6">
        <f t="shared" ref="S95" si="527">IFERROR($Q95*E95,0)</f>
        <v>-50000</v>
      </c>
      <c r="T95" s="6">
        <f t="shared" ref="T95" si="528">IFERROR($Q95*F95,0)</f>
        <v>0</v>
      </c>
      <c r="U95" s="6">
        <f t="shared" ref="U95" si="529">IFERROR($Q95*G95,0)</f>
        <v>0</v>
      </c>
      <c r="V95" s="6">
        <f t="shared" ref="V95" si="530">IFERROR($Q95*H95,0)</f>
        <v>0</v>
      </c>
      <c r="W95" s="6">
        <f t="shared" ref="W95" si="531">IFERROR($Q95*I95,0)</f>
        <v>0</v>
      </c>
      <c r="X95" s="6">
        <f t="shared" ref="X95" si="532">IFERROR($Q95*J95,0)</f>
        <v>0</v>
      </c>
      <c r="Y95" s="6">
        <f t="shared" ref="Y95" si="533">IFERROR($Q95*K95,0)</f>
        <v>0</v>
      </c>
      <c r="Z95" s="6">
        <f t="shared" ref="Z95" si="534">IFERROR($Q95*L95,0)</f>
        <v>0</v>
      </c>
      <c r="AA95" s="6">
        <f t="shared" ref="AA95" si="535">IFERROR($Q95*M95,0)</f>
        <v>0</v>
      </c>
      <c r="AB95" s="6">
        <f t="shared" ref="AB95" si="536">IFERROR($Q95*N95,0)</f>
        <v>0</v>
      </c>
      <c r="AC95" s="7"/>
      <c r="AD95" s="152">
        <f t="shared" ref="AD95" si="537">IF(VALUE(MID(AD$5,6,1))&lt;=$D$2,((1+$Q$3)^1-1)*T95,0)</f>
        <v>0</v>
      </c>
      <c r="AE95" s="152">
        <f t="shared" ref="AE95" si="538">IF(VALUE(MID(AE$5,6,1))&lt;=$D$2,((1+$Q$3)^2-1)*U95,0)</f>
        <v>0</v>
      </c>
      <c r="AF95" s="152">
        <f t="shared" ref="AF95" si="539">IF(VALUE(MID(AF$5,6,1))&lt;=$D$2,((1+$Q$3)^3-1)*V95,0)</f>
        <v>0</v>
      </c>
      <c r="AG95" s="152">
        <f t="shared" ref="AG95" si="540">IF(VALUE(MID(AG$5,6,1))&lt;=$D$2,((1+$Q$3)^4-1)*W95,0)</f>
        <v>0</v>
      </c>
      <c r="AH95" s="152">
        <f t="shared" ref="AH95" si="541">IF(VALUE(MID(AH$5,6,1))&lt;=$D$2,((1+$Q$3)^5-1)*X95,0)</f>
        <v>0</v>
      </c>
      <c r="AI95" s="152">
        <f t="shared" ref="AI95" si="542">IF(VALUE(MID(AI$5,6,1))&lt;=$D$2,((1+$Q$3)^6-1)*Y95,0)</f>
        <v>0</v>
      </c>
      <c r="AJ95" s="152">
        <f t="shared" ref="AJ95" si="543">IF(VALUE(MID(AJ$5,6,1))&lt;=$D$2,((1+$Q$3)^7-1)*Z95,0)</f>
        <v>0</v>
      </c>
      <c r="AK95" s="152">
        <f t="shared" ref="AK95" si="544">IF(VALUE(MID(AK$5,6,1))&lt;=$D$2,((1+$Q$3)^8-1)*AA95,0)</f>
        <v>0</v>
      </c>
      <c r="AL95" s="152">
        <f t="shared" ref="AL95" si="545">IF(VALUE(MID(AL$5,6,2))&lt;=$D$2,((1+$Q$3)^9-1)*AB95,0)</f>
        <v>0</v>
      </c>
      <c r="AM95" s="9">
        <f t="shared" ref="AM95" si="546">SUM(AC95:AL95)</f>
        <v>0</v>
      </c>
      <c r="AN95" s="80">
        <f t="shared" ref="AN95" si="547">SUM(AM95,S95:AB95)</f>
        <v>-50000</v>
      </c>
      <c r="AP95" s="114" t="s">
        <v>3</v>
      </c>
      <c r="AQ95" s="143">
        <v>1</v>
      </c>
      <c r="AR95" s="14">
        <f t="shared" si="478"/>
        <v>1</v>
      </c>
      <c r="AS95" s="14" cm="1">
        <f t="array" ref="AS95">IFERROR(_xlfn.IFS(VALUE(MID(AS$5,6,1))&gt;$D$2,0,$AP95="Annual",1,AR95=12,12,$AP95="Monthly V",AR95*(1+$D$3),$AP95="Monthly F",12,$AP95="One-Time",0),AR95*(1+$D$3))</f>
        <v>0</v>
      </c>
      <c r="AT95" s="14" cm="1">
        <f t="array" ref="AT95">IFERROR(_xlfn.IFS(VALUE(MID(AT$5,6,1))&gt;$D$2,0,$AP95="Annual",1,AS95=12,12,$AP95="Monthly V",AS95*(1+$D$3),$AP95="Monthly F",12,$AP95="One-Time",0),AS95*(1+$D$3))</f>
        <v>0</v>
      </c>
      <c r="AU95" s="14" cm="1">
        <f t="array" ref="AU95">IFERROR(_xlfn.IFS(VALUE(MID(AU$5,6,1))&gt;$D$2,0,$AP95="Annual",1,AT95=12,12,$AP95="Monthly V",AT95*(1+$D$3),$AP95="Monthly F",12,$AP95="One-Time",0),AT95*(1+$D$3))</f>
        <v>0</v>
      </c>
      <c r="AV95" s="14" cm="1">
        <f t="array" ref="AV95">IFERROR(_xlfn.IFS(VALUE(MID(AV$5,6,1))&gt;$D$2,0,$AP95="Annual",1,AU95=12,12,$AP95="Monthly V",AU95*(1+$D$3),$AP95="Monthly F",12,$AP95="One-Time",0),AU95*(1+$D$3))</f>
        <v>0</v>
      </c>
      <c r="AW95" s="14" cm="1">
        <f t="array" ref="AW95">IFERROR(_xlfn.IFS(VALUE(MID(AW$5,6,1))&gt;$D$2,0,$AP95="Annual",1,AV95=12,12,$AP95="Monthly V",AV95*(1+$D$3),$AP95="Monthly F",12,$AP95="One-Time",0),AV95*(1+$D$3))</f>
        <v>0</v>
      </c>
      <c r="AX95" s="14" cm="1">
        <f t="array" ref="AX95">IFERROR(_xlfn.IFS(VALUE(MID(AX$5,6,1))&gt;$D$2,0,$AP95="Annual",1,AW95=12,12,$AP95="Monthly V",AW95*(1+$D$3),$AP95="Monthly F",12,$AP95="One-Time",0),AW95*(1+$D$3))</f>
        <v>0</v>
      </c>
      <c r="AY95" s="14" cm="1">
        <f t="array" ref="AY95">IFERROR(_xlfn.IFS(VALUE(MID(AY$5,6,1))&gt;$D$2,0,$AP95="Annual",1,AX95=12,12,$AP95="Monthly V",AX95*(1+$D$3),$AP95="Monthly F",12,$AP95="One-Time",0),AX95*(1+$D$3))</f>
        <v>0</v>
      </c>
      <c r="AZ95" s="14" cm="1">
        <f t="array" ref="AZ95">IFERROR(_xlfn.IFS(VALUE(MID(AZ$5,6,1))&gt;$D$2,0,$AP95="Annual",1,AY95=12,12,$AP95="Monthly V",AY95*(1+$D$3),$AP95="Monthly F",12,$AP95="One-Time",0),AY95*(1+$D$3))</f>
        <v>0</v>
      </c>
      <c r="BA95" s="125" cm="1">
        <f t="array" ref="BA95">IFERROR(_xlfn.IFS(VALUE(MID(BA$5,6,2))&gt;$D$2,0,$AP95="Annual",1,AZ95=12,12,$AP95="Monthly V",AZ95*(1+$D$3),$AP95="Monthly F",12,$AP95="One-Time",0),AZ95*(1+$D$3))</f>
        <v>0</v>
      </c>
      <c r="BB95" s="148" t="s">
        <v>203</v>
      </c>
      <c r="BC95" s="144" t="s">
        <v>230</v>
      </c>
      <c r="BD95" s="145">
        <v>14167.5</v>
      </c>
      <c r="BE95" s="21">
        <f t="shared" si="479"/>
        <v>1180.625</v>
      </c>
      <c r="BF95" s="39">
        <f t="shared" si="480"/>
        <v>14167.5</v>
      </c>
      <c r="BG95" s="39">
        <f t="shared" si="481"/>
        <v>0</v>
      </c>
      <c r="BH95" s="39">
        <f t="shared" si="482"/>
        <v>0</v>
      </c>
      <c r="BI95" s="39">
        <f t="shared" si="483"/>
        <v>0</v>
      </c>
      <c r="BJ95" s="39">
        <f t="shared" si="484"/>
        <v>0</v>
      </c>
      <c r="BK95" s="39">
        <f t="shared" si="485"/>
        <v>0</v>
      </c>
      <c r="BL95" s="39">
        <f t="shared" si="486"/>
        <v>0</v>
      </c>
      <c r="BM95" s="39">
        <f t="shared" si="487"/>
        <v>0</v>
      </c>
      <c r="BN95" s="39">
        <f t="shared" si="488"/>
        <v>0</v>
      </c>
      <c r="BO95" s="39">
        <f t="shared" si="489"/>
        <v>0</v>
      </c>
      <c r="BP95" s="40"/>
      <c r="BQ95" s="40">
        <f t="shared" si="490"/>
        <v>0</v>
      </c>
      <c r="BR95" s="40">
        <f t="shared" si="491"/>
        <v>0</v>
      </c>
      <c r="BS95" s="40">
        <f t="shared" si="492"/>
        <v>0</v>
      </c>
      <c r="BT95" s="40">
        <f t="shared" si="493"/>
        <v>0</v>
      </c>
      <c r="BU95" s="40">
        <f t="shared" si="494"/>
        <v>0</v>
      </c>
      <c r="BV95" s="40">
        <f t="shared" si="495"/>
        <v>0</v>
      </c>
      <c r="BW95" s="40">
        <f t="shared" si="496"/>
        <v>0</v>
      </c>
      <c r="BX95" s="40">
        <f t="shared" si="497"/>
        <v>0</v>
      </c>
      <c r="BY95" s="40">
        <f t="shared" si="498"/>
        <v>0</v>
      </c>
      <c r="BZ95" s="40">
        <f t="shared" si="499"/>
        <v>0</v>
      </c>
      <c r="CA95" s="37">
        <f t="shared" si="500"/>
        <v>14167.5</v>
      </c>
      <c r="CC95" s="102"/>
      <c r="CD95" s="12"/>
      <c r="CE95" s="14"/>
      <c r="CF95" s="14"/>
      <c r="CG95" s="14"/>
      <c r="CH95" s="14"/>
      <c r="CI95" s="14"/>
      <c r="CJ95" s="14"/>
      <c r="CK95" s="14"/>
      <c r="CL95" s="14"/>
      <c r="CM95" s="14"/>
      <c r="CN95" s="24"/>
      <c r="CO95" s="63"/>
      <c r="CP95" s="53"/>
      <c r="CQ95" s="21"/>
      <c r="CR95" s="55"/>
      <c r="CS95" s="55"/>
      <c r="CT95" s="55"/>
      <c r="CU95" s="55"/>
      <c r="CV95" s="55"/>
      <c r="CW95" s="55"/>
      <c r="CX95" s="55"/>
      <c r="CY95" s="55"/>
      <c r="CZ95" s="55"/>
      <c r="DA95" s="55"/>
      <c r="DB95" s="56"/>
      <c r="DC95" s="56"/>
      <c r="DD95" s="56"/>
      <c r="DE95" s="56"/>
      <c r="DF95" s="56"/>
      <c r="DG95" s="56"/>
      <c r="DH95" s="56"/>
      <c r="DI95" s="56"/>
      <c r="DJ95" s="56"/>
      <c r="DK95" s="56"/>
      <c r="DL95" s="57"/>
      <c r="DM95" s="54"/>
      <c r="DO95" s="106"/>
    </row>
    <row r="96" spans="2:119" x14ac:dyDescent="0.25">
      <c r="B96" s="141" t="s">
        <v>3</v>
      </c>
      <c r="C96" s="24">
        <v>1</v>
      </c>
      <c r="D96" s="147">
        <f t="shared" si="501"/>
        <v>1</v>
      </c>
      <c r="E96" s="142">
        <f t="shared" si="525"/>
        <v>1</v>
      </c>
      <c r="F96" s="14" cm="1">
        <f t="array" ref="F96">IFERROR(_xlfn.IFS(VALUE(MID(F$5,6,1))&gt;$D$2,0,$B96="Annual",1,E96=12,12,$B96="Monthly V",E96*(1+$D$3),$B96="Monthly F",12,$B96="One-Time",0),E96*(1+$D$3))</f>
        <v>0</v>
      </c>
      <c r="G96" s="14" cm="1">
        <f t="array" ref="G96">IFERROR(_xlfn.IFS(VALUE(MID(G$5,6,1))&gt;$D$2,0,$B96="Annual",1,F96=12,12,$B96="Monthly V",F96*(1+$D$3),$B96="Monthly F",12,$B96="One-Time",0),F96*(1+$D$3))</f>
        <v>0</v>
      </c>
      <c r="H96" s="14" cm="1">
        <f t="array" ref="H96">IFERROR(_xlfn.IFS(VALUE(MID(H$5,6,1))&gt;$D$2,0,$B96="Annual",1,G96=12,12,$B96="Monthly V",G96*(1+$D$3),$B96="Monthly F",12,$B96="One-Time",0),G96*(1+$D$3))</f>
        <v>0</v>
      </c>
      <c r="I96" s="14" cm="1">
        <f t="array" ref="I96">IFERROR(_xlfn.IFS(VALUE(MID(I$5,6,1))&gt;$D$2,0,$B96="Annual",1,H96=12,12,$B96="Monthly V",H96*(1+$D$3),$B96="Monthly F",12,$B96="One-Time",0),H96*(1+$D$3))</f>
        <v>0</v>
      </c>
      <c r="J96" s="14" cm="1">
        <f t="array" ref="J96">IFERROR(_xlfn.IFS(VALUE(MID(J$5,6,1))&gt;$D$2,0,$B96="Annual",1,I96=12,12,$B96="Monthly V",I96*(1+$D$3),$B96="Monthly F",12,$B96="One-Time",0),I96*(1+$D$3))</f>
        <v>0</v>
      </c>
      <c r="K96" s="14" cm="1">
        <f t="array" ref="K96">IFERROR(_xlfn.IFS(VALUE(MID(K$5,6,1))&gt;$D$2,0,$B96="Annual",1,J96=12,12,$B96="Monthly V",J96*(1+$D$3),$B96="Monthly F",12,$B96="One-Time",0),J96*(1+$D$3))</f>
        <v>0</v>
      </c>
      <c r="L96" s="14" cm="1">
        <f t="array" ref="L96">IFERROR(_xlfn.IFS(VALUE(MID(L$5,6,1))&gt;$D$2,0,$B96="Annual",1,K96=12,12,$B96="Monthly V",K96*(1+$D$3),$B96="Monthly F",12,$B96="One-Time",0),K96*(1+$D$3))</f>
        <v>0</v>
      </c>
      <c r="M96" s="14" cm="1">
        <f t="array" ref="M96">IFERROR(_xlfn.IFS(VALUE(MID(M$5,6,1))&gt;$D$2,0,$B96="Annual",1,L96=12,12,$B96="Monthly V",L96*(1+$D$3),$B96="Monthly F",12,$B96="One-Time",0),L96*(1+$D$3))</f>
        <v>0</v>
      </c>
      <c r="N96" s="24" cm="1">
        <f t="array" ref="N96">IFERROR(_xlfn.IFS(VALUE(MID(N$5,6,2))&gt;$D$2,0,$B96="Annual",1,M96=12,12,$B96="Monthly V",M96*(1+$D$3),$B96="Monthly F",12,$B96="One-Time",0),M96*(1+$D$3))</f>
        <v>0</v>
      </c>
      <c r="O96" s="127" t="s">
        <v>340</v>
      </c>
      <c r="P96" s="13" t="s">
        <v>341</v>
      </c>
      <c r="Q96" s="20">
        <v>350000</v>
      </c>
      <c r="R96" s="21">
        <f t="shared" si="526"/>
        <v>29166.666666666668</v>
      </c>
      <c r="S96" s="6">
        <f t="shared" ref="S96:S107" si="548">IFERROR($Q96*E96,0)</f>
        <v>350000</v>
      </c>
      <c r="T96" s="6">
        <f t="shared" ref="T96:T107" si="549">IFERROR($Q96*F96,0)</f>
        <v>0</v>
      </c>
      <c r="U96" s="6">
        <f t="shared" ref="U96:U107" si="550">IFERROR($Q96*G96,0)</f>
        <v>0</v>
      </c>
      <c r="V96" s="6">
        <f t="shared" ref="V96:V107" si="551">IFERROR($Q96*H96,0)</f>
        <v>0</v>
      </c>
      <c r="W96" s="6">
        <f t="shared" ref="W96:W107" si="552">IFERROR($Q96*I96,0)</f>
        <v>0</v>
      </c>
      <c r="X96" s="6">
        <f t="shared" ref="X96:X107" si="553">IFERROR($Q96*J96,0)</f>
        <v>0</v>
      </c>
      <c r="Y96" s="6">
        <f t="shared" ref="Y96:Y107" si="554">IFERROR($Q96*K96,0)</f>
        <v>0</v>
      </c>
      <c r="Z96" s="6">
        <f t="shared" ref="Z96:Z107" si="555">IFERROR($Q96*L96,0)</f>
        <v>0</v>
      </c>
      <c r="AA96" s="6">
        <f t="shared" ref="AA96:AA107" si="556">IFERROR($Q96*M96,0)</f>
        <v>0</v>
      </c>
      <c r="AB96" s="6">
        <f t="shared" ref="AB96:AB107" si="557">IFERROR($Q96*N96,0)</f>
        <v>0</v>
      </c>
      <c r="AC96" s="7"/>
      <c r="AD96" s="152">
        <f t="shared" ref="AD96:AD107" si="558">IF(VALUE(MID(AD$5,6,1))&lt;=$D$2,((1+$Q$3)^1-1)*T96,0)</f>
        <v>0</v>
      </c>
      <c r="AE96" s="152">
        <f t="shared" ref="AE96:AE107" si="559">IF(VALUE(MID(AE$5,6,1))&lt;=$D$2,((1+$Q$3)^2-1)*U96,0)</f>
        <v>0</v>
      </c>
      <c r="AF96" s="152">
        <f t="shared" ref="AF96:AF107" si="560">IF(VALUE(MID(AF$5,6,1))&lt;=$D$2,((1+$Q$3)^3-1)*V96,0)</f>
        <v>0</v>
      </c>
      <c r="AG96" s="152">
        <f t="shared" ref="AG96:AG107" si="561">IF(VALUE(MID(AG$5,6,1))&lt;=$D$2,((1+$Q$3)^4-1)*W96,0)</f>
        <v>0</v>
      </c>
      <c r="AH96" s="152">
        <f t="shared" ref="AH96:AH107" si="562">IF(VALUE(MID(AH$5,6,1))&lt;=$D$2,((1+$Q$3)^5-1)*X96,0)</f>
        <v>0</v>
      </c>
      <c r="AI96" s="152">
        <f t="shared" ref="AI96:AI107" si="563">IF(VALUE(MID(AI$5,6,1))&lt;=$D$2,((1+$Q$3)^6-1)*Y96,0)</f>
        <v>0</v>
      </c>
      <c r="AJ96" s="152">
        <f t="shared" ref="AJ96:AJ107" si="564">IF(VALUE(MID(AJ$5,6,1))&lt;=$D$2,((1+$Q$3)^7-1)*Z96,0)</f>
        <v>0</v>
      </c>
      <c r="AK96" s="152">
        <f t="shared" ref="AK96:AK107" si="565">IF(VALUE(MID(AK$5,6,1))&lt;=$D$2,((1+$Q$3)^8-1)*AA96,0)</f>
        <v>0</v>
      </c>
      <c r="AL96" s="152">
        <f t="shared" ref="AL96:AL107" si="566">IF(VALUE(MID(AL$5,6,2))&lt;=$D$2,((1+$Q$3)^9-1)*AB96,0)</f>
        <v>0</v>
      </c>
      <c r="AM96" s="9">
        <f t="shared" ref="AM96:AM107" si="567">SUM(AC96:AL96)</f>
        <v>0</v>
      </c>
      <c r="AN96" s="80">
        <f t="shared" ref="AN96:AN107" si="568">SUM(AM96,S96:AB96)</f>
        <v>350000</v>
      </c>
      <c r="AP96" s="114" t="s">
        <v>3</v>
      </c>
      <c r="AQ96" s="143">
        <v>1</v>
      </c>
      <c r="AR96" s="14">
        <f t="shared" si="478"/>
        <v>1</v>
      </c>
      <c r="AS96" s="14" cm="1">
        <f t="array" ref="AS96">IFERROR(_xlfn.IFS(VALUE(MID(AS$5,6,1))&gt;$D$2,0,$AP96="Annual",1,AR96=12,12,$AP96="Monthly V",AR96*(1+$D$3),$AP96="Monthly F",12,$AP96="One-Time",0),AR96*(1+$D$3))</f>
        <v>0</v>
      </c>
      <c r="AT96" s="14" cm="1">
        <f t="array" ref="AT96">IFERROR(_xlfn.IFS(VALUE(MID(AT$5,6,1))&gt;$D$2,0,$AP96="Annual",1,AS96=12,12,$AP96="Monthly V",AS96*(1+$D$3),$AP96="Monthly F",12,$AP96="One-Time",0),AS96*(1+$D$3))</f>
        <v>0</v>
      </c>
      <c r="AU96" s="14" cm="1">
        <f t="array" ref="AU96">IFERROR(_xlfn.IFS(VALUE(MID(AU$5,6,1))&gt;$D$2,0,$AP96="Annual",1,AT96=12,12,$AP96="Monthly V",AT96*(1+$D$3),$AP96="Monthly F",12,$AP96="One-Time",0),AT96*(1+$D$3))</f>
        <v>0</v>
      </c>
      <c r="AV96" s="14" cm="1">
        <f t="array" ref="AV96">IFERROR(_xlfn.IFS(VALUE(MID(AV$5,6,1))&gt;$D$2,0,$AP96="Annual",1,AU96=12,12,$AP96="Monthly V",AU96*(1+$D$3),$AP96="Monthly F",12,$AP96="One-Time",0),AU96*(1+$D$3))</f>
        <v>0</v>
      </c>
      <c r="AW96" s="14" cm="1">
        <f t="array" ref="AW96">IFERROR(_xlfn.IFS(VALUE(MID(AW$5,6,1))&gt;$D$2,0,$AP96="Annual",1,AV96=12,12,$AP96="Monthly V",AV96*(1+$D$3),$AP96="Monthly F",12,$AP96="One-Time",0),AV96*(1+$D$3))</f>
        <v>0</v>
      </c>
      <c r="AX96" s="14" cm="1">
        <f t="array" ref="AX96">IFERROR(_xlfn.IFS(VALUE(MID(AX$5,6,1))&gt;$D$2,0,$AP96="Annual",1,AW96=12,12,$AP96="Monthly V",AW96*(1+$D$3),$AP96="Monthly F",12,$AP96="One-Time",0),AW96*(1+$D$3))</f>
        <v>0</v>
      </c>
      <c r="AY96" s="14" cm="1">
        <f t="array" ref="AY96">IFERROR(_xlfn.IFS(VALUE(MID(AY$5,6,1))&gt;$D$2,0,$AP96="Annual",1,AX96=12,12,$AP96="Monthly V",AX96*(1+$D$3),$AP96="Monthly F",12,$AP96="One-Time",0),AX96*(1+$D$3))</f>
        <v>0</v>
      </c>
      <c r="AZ96" s="14" cm="1">
        <f t="array" ref="AZ96">IFERROR(_xlfn.IFS(VALUE(MID(AZ$5,6,1))&gt;$D$2,0,$AP96="Annual",1,AY96=12,12,$AP96="Monthly V",AY96*(1+$D$3),$AP96="Monthly F",12,$AP96="One-Time",0),AY96*(1+$D$3))</f>
        <v>0</v>
      </c>
      <c r="BA96" s="125" cm="1">
        <f t="array" ref="BA96">IFERROR(_xlfn.IFS(VALUE(MID(BA$5,6,2))&gt;$D$2,0,$AP96="Annual",1,AZ96=12,12,$AP96="Monthly V",AZ96*(1+$D$3),$AP96="Monthly F",12,$AP96="One-Time",0),AZ96*(1+$D$3))</f>
        <v>0</v>
      </c>
      <c r="BB96" s="148" t="s">
        <v>204</v>
      </c>
      <c r="BC96" s="144" t="s">
        <v>230</v>
      </c>
      <c r="BD96" s="145">
        <v>6000</v>
      </c>
      <c r="BE96" s="21">
        <f t="shared" si="479"/>
        <v>500</v>
      </c>
      <c r="BF96" s="39">
        <f t="shared" si="480"/>
        <v>6000</v>
      </c>
      <c r="BG96" s="39">
        <f t="shared" si="481"/>
        <v>0</v>
      </c>
      <c r="BH96" s="39">
        <f t="shared" si="482"/>
        <v>0</v>
      </c>
      <c r="BI96" s="39">
        <f t="shared" si="483"/>
        <v>0</v>
      </c>
      <c r="BJ96" s="39">
        <f t="shared" si="484"/>
        <v>0</v>
      </c>
      <c r="BK96" s="39">
        <f t="shared" si="485"/>
        <v>0</v>
      </c>
      <c r="BL96" s="39">
        <f t="shared" si="486"/>
        <v>0</v>
      </c>
      <c r="BM96" s="39">
        <f t="shared" si="487"/>
        <v>0</v>
      </c>
      <c r="BN96" s="39">
        <f t="shared" si="488"/>
        <v>0</v>
      </c>
      <c r="BO96" s="39">
        <f t="shared" si="489"/>
        <v>0</v>
      </c>
      <c r="BP96" s="40"/>
      <c r="BQ96" s="40">
        <f t="shared" si="490"/>
        <v>0</v>
      </c>
      <c r="BR96" s="40">
        <f t="shared" si="491"/>
        <v>0</v>
      </c>
      <c r="BS96" s="40">
        <f t="shared" si="492"/>
        <v>0</v>
      </c>
      <c r="BT96" s="40">
        <f t="shared" si="493"/>
        <v>0</v>
      </c>
      <c r="BU96" s="40">
        <f t="shared" si="494"/>
        <v>0</v>
      </c>
      <c r="BV96" s="40">
        <f t="shared" si="495"/>
        <v>0</v>
      </c>
      <c r="BW96" s="40">
        <f t="shared" si="496"/>
        <v>0</v>
      </c>
      <c r="BX96" s="40">
        <f t="shared" si="497"/>
        <v>0</v>
      </c>
      <c r="BY96" s="40">
        <f t="shared" si="498"/>
        <v>0</v>
      </c>
      <c r="BZ96" s="40">
        <f t="shared" si="499"/>
        <v>0</v>
      </c>
      <c r="CA96" s="37">
        <f t="shared" si="500"/>
        <v>6000</v>
      </c>
      <c r="CC96" s="102"/>
      <c r="CD96" s="12"/>
      <c r="CE96" s="14"/>
      <c r="CF96" s="14"/>
      <c r="CG96" s="14"/>
      <c r="CH96" s="14"/>
      <c r="CI96" s="14"/>
      <c r="CJ96" s="14"/>
      <c r="CK96" s="14"/>
      <c r="CL96" s="14"/>
      <c r="CM96" s="14"/>
      <c r="CN96" s="24"/>
      <c r="CO96" s="63"/>
      <c r="CP96" s="53"/>
      <c r="CQ96" s="21"/>
      <c r="CR96" s="55"/>
      <c r="CS96" s="55"/>
      <c r="CT96" s="55"/>
      <c r="CU96" s="55"/>
      <c r="CV96" s="55"/>
      <c r="CW96" s="55"/>
      <c r="CX96" s="55"/>
      <c r="CY96" s="55"/>
      <c r="CZ96" s="55"/>
      <c r="DA96" s="55"/>
      <c r="DB96" s="56"/>
      <c r="DC96" s="56"/>
      <c r="DD96" s="56"/>
      <c r="DE96" s="56"/>
      <c r="DF96" s="56"/>
      <c r="DG96" s="56"/>
      <c r="DH96" s="56"/>
      <c r="DI96" s="56"/>
      <c r="DJ96" s="56"/>
      <c r="DK96" s="56"/>
      <c r="DL96" s="57"/>
      <c r="DM96" s="54"/>
      <c r="DO96" s="106"/>
    </row>
    <row r="97" spans="2:119" x14ac:dyDescent="0.25">
      <c r="B97" s="141" t="s">
        <v>3</v>
      </c>
      <c r="C97" s="24">
        <v>1</v>
      </c>
      <c r="D97" s="147">
        <f t="shared" si="501"/>
        <v>1</v>
      </c>
      <c r="E97" s="142">
        <f t="shared" si="525"/>
        <v>1</v>
      </c>
      <c r="F97" s="14" cm="1">
        <f t="array" ref="F97">IFERROR(_xlfn.IFS(VALUE(MID(F$5,6,1))&gt;$D$2,0,$B97="Annual",1,E97=12,12,$B97="Monthly V",E97*(1+$D$3),$B97="Monthly F",12,$B97="One-Time",0),E97*(1+$D$3))</f>
        <v>0</v>
      </c>
      <c r="G97" s="14" cm="1">
        <f t="array" ref="G97">IFERROR(_xlfn.IFS(VALUE(MID(G$5,6,1))&gt;$D$2,0,$B97="Annual",1,F97=12,12,$B97="Monthly V",F97*(1+$D$3),$B97="Monthly F",12,$B97="One-Time",0),F97*(1+$D$3))</f>
        <v>0</v>
      </c>
      <c r="H97" s="14" cm="1">
        <f t="array" ref="H97">IFERROR(_xlfn.IFS(VALUE(MID(H$5,6,1))&gt;$D$2,0,$B97="Annual",1,G97=12,12,$B97="Monthly V",G97*(1+$D$3),$B97="Monthly F",12,$B97="One-Time",0),G97*(1+$D$3))</f>
        <v>0</v>
      </c>
      <c r="I97" s="14" cm="1">
        <f t="array" ref="I97">IFERROR(_xlfn.IFS(VALUE(MID(I$5,6,1))&gt;$D$2,0,$B97="Annual",1,H97=12,12,$B97="Monthly V",H97*(1+$D$3),$B97="Monthly F",12,$B97="One-Time",0),H97*(1+$D$3))</f>
        <v>0</v>
      </c>
      <c r="J97" s="14" cm="1">
        <f t="array" ref="J97">IFERROR(_xlfn.IFS(VALUE(MID(J$5,6,1))&gt;$D$2,0,$B97="Annual",1,I97=12,12,$B97="Monthly V",I97*(1+$D$3),$B97="Monthly F",12,$B97="One-Time",0),I97*(1+$D$3))</f>
        <v>0</v>
      </c>
      <c r="K97" s="14" cm="1">
        <f t="array" ref="K97">IFERROR(_xlfn.IFS(VALUE(MID(K$5,6,1))&gt;$D$2,0,$B97="Annual",1,J97=12,12,$B97="Monthly V",J97*(1+$D$3),$B97="Monthly F",12,$B97="One-Time",0),J97*(1+$D$3))</f>
        <v>0</v>
      </c>
      <c r="L97" s="14" cm="1">
        <f t="array" ref="L97">IFERROR(_xlfn.IFS(VALUE(MID(L$5,6,1))&gt;$D$2,0,$B97="Annual",1,K97=12,12,$B97="Monthly V",K97*(1+$D$3),$B97="Monthly F",12,$B97="One-Time",0),K97*(1+$D$3))</f>
        <v>0</v>
      </c>
      <c r="M97" s="14" cm="1">
        <f t="array" ref="M97">IFERROR(_xlfn.IFS(VALUE(MID(M$5,6,1))&gt;$D$2,0,$B97="Annual",1,L97=12,12,$B97="Monthly V",L97*(1+$D$3),$B97="Monthly F",12,$B97="One-Time",0),L97*(1+$D$3))</f>
        <v>0</v>
      </c>
      <c r="N97" s="24" cm="1">
        <f t="array" ref="N97">IFERROR(_xlfn.IFS(VALUE(MID(N$5,6,2))&gt;$D$2,0,$B97="Annual",1,M97=12,12,$B97="Monthly V",M97*(1+$D$3),$B97="Monthly F",12,$B97="One-Time",0),M97*(1+$D$3))</f>
        <v>0</v>
      </c>
      <c r="O97" s="127" t="s">
        <v>138</v>
      </c>
      <c r="P97" s="13"/>
      <c r="Q97" s="20">
        <v>16134</v>
      </c>
      <c r="R97" s="21">
        <f t="shared" si="526"/>
        <v>1344.5</v>
      </c>
      <c r="S97" s="6">
        <f t="shared" si="548"/>
        <v>16134</v>
      </c>
      <c r="T97" s="6">
        <f t="shared" si="549"/>
        <v>0</v>
      </c>
      <c r="U97" s="6">
        <f t="shared" si="550"/>
        <v>0</v>
      </c>
      <c r="V97" s="6">
        <f t="shared" si="551"/>
        <v>0</v>
      </c>
      <c r="W97" s="6">
        <f t="shared" si="552"/>
        <v>0</v>
      </c>
      <c r="X97" s="6">
        <f t="shared" si="553"/>
        <v>0</v>
      </c>
      <c r="Y97" s="6">
        <f t="shared" si="554"/>
        <v>0</v>
      </c>
      <c r="Z97" s="6">
        <f t="shared" si="555"/>
        <v>0</v>
      </c>
      <c r="AA97" s="6">
        <f t="shared" si="556"/>
        <v>0</v>
      </c>
      <c r="AB97" s="6">
        <f t="shared" si="557"/>
        <v>0</v>
      </c>
      <c r="AC97" s="7"/>
      <c r="AD97" s="152">
        <f t="shared" si="558"/>
        <v>0</v>
      </c>
      <c r="AE97" s="152">
        <f t="shared" si="559"/>
        <v>0</v>
      </c>
      <c r="AF97" s="152">
        <f t="shared" si="560"/>
        <v>0</v>
      </c>
      <c r="AG97" s="152">
        <f t="shared" si="561"/>
        <v>0</v>
      </c>
      <c r="AH97" s="152">
        <f t="shared" si="562"/>
        <v>0</v>
      </c>
      <c r="AI97" s="152">
        <f t="shared" si="563"/>
        <v>0</v>
      </c>
      <c r="AJ97" s="152">
        <f t="shared" si="564"/>
        <v>0</v>
      </c>
      <c r="AK97" s="152">
        <f t="shared" si="565"/>
        <v>0</v>
      </c>
      <c r="AL97" s="152">
        <f t="shared" si="566"/>
        <v>0</v>
      </c>
      <c r="AM97" s="9">
        <f t="shared" si="567"/>
        <v>0</v>
      </c>
      <c r="AN97" s="80">
        <f t="shared" si="568"/>
        <v>16134</v>
      </c>
      <c r="AP97" s="114" t="s">
        <v>3</v>
      </c>
      <c r="AQ97" s="143">
        <v>1</v>
      </c>
      <c r="AR97" s="14">
        <f t="shared" si="478"/>
        <v>1</v>
      </c>
      <c r="AS97" s="14" cm="1">
        <f t="array" ref="AS97">IFERROR(_xlfn.IFS(VALUE(MID(AS$5,6,1))&gt;$D$2,0,$AP97="Annual",1,AR97=12,12,$AP97="Monthly V",AR97*(1+$D$3),$AP97="Monthly F",12,$AP97="One-Time",0),AR97*(1+$D$3))</f>
        <v>0</v>
      </c>
      <c r="AT97" s="14" cm="1">
        <f t="array" ref="AT97">IFERROR(_xlfn.IFS(VALUE(MID(AT$5,6,1))&gt;$D$2,0,$AP97="Annual",1,AS97=12,12,$AP97="Monthly V",AS97*(1+$D$3),$AP97="Monthly F",12,$AP97="One-Time",0),AS97*(1+$D$3))</f>
        <v>0</v>
      </c>
      <c r="AU97" s="14" cm="1">
        <f t="array" ref="AU97">IFERROR(_xlfn.IFS(VALUE(MID(AU$5,6,1))&gt;$D$2,0,$AP97="Annual",1,AT97=12,12,$AP97="Monthly V",AT97*(1+$D$3),$AP97="Monthly F",12,$AP97="One-Time",0),AT97*(1+$D$3))</f>
        <v>0</v>
      </c>
      <c r="AV97" s="14" cm="1">
        <f t="array" ref="AV97">IFERROR(_xlfn.IFS(VALUE(MID(AV$5,6,1))&gt;$D$2,0,$AP97="Annual",1,AU97=12,12,$AP97="Monthly V",AU97*(1+$D$3),$AP97="Monthly F",12,$AP97="One-Time",0),AU97*(1+$D$3))</f>
        <v>0</v>
      </c>
      <c r="AW97" s="14" cm="1">
        <f t="array" ref="AW97">IFERROR(_xlfn.IFS(VALUE(MID(AW$5,6,1))&gt;$D$2,0,$AP97="Annual",1,AV97=12,12,$AP97="Monthly V",AV97*(1+$D$3),$AP97="Monthly F",12,$AP97="One-Time",0),AV97*(1+$D$3))</f>
        <v>0</v>
      </c>
      <c r="AX97" s="14" cm="1">
        <f t="array" ref="AX97">IFERROR(_xlfn.IFS(VALUE(MID(AX$5,6,1))&gt;$D$2,0,$AP97="Annual",1,AW97=12,12,$AP97="Monthly V",AW97*(1+$D$3),$AP97="Monthly F",12,$AP97="One-Time",0),AW97*(1+$D$3))</f>
        <v>0</v>
      </c>
      <c r="AY97" s="14" cm="1">
        <f t="array" ref="AY97">IFERROR(_xlfn.IFS(VALUE(MID(AY$5,6,1))&gt;$D$2,0,$AP97="Annual",1,AX97=12,12,$AP97="Monthly V",AX97*(1+$D$3),$AP97="Monthly F",12,$AP97="One-Time",0),AX97*(1+$D$3))</f>
        <v>0</v>
      </c>
      <c r="AZ97" s="14" cm="1">
        <f t="array" ref="AZ97">IFERROR(_xlfn.IFS(VALUE(MID(AZ$5,6,1))&gt;$D$2,0,$AP97="Annual",1,AY97=12,12,$AP97="Monthly V",AY97*(1+$D$3),$AP97="Monthly F",12,$AP97="One-Time",0),AY97*(1+$D$3))</f>
        <v>0</v>
      </c>
      <c r="BA97" s="125" cm="1">
        <f t="array" ref="BA97">IFERROR(_xlfn.IFS(VALUE(MID(BA$5,6,2))&gt;$D$2,0,$AP97="Annual",1,AZ97=12,12,$AP97="Monthly V",AZ97*(1+$D$3),$AP97="Monthly F",12,$AP97="One-Time",0),AZ97*(1+$D$3))</f>
        <v>0</v>
      </c>
      <c r="BB97" s="148" t="s">
        <v>320</v>
      </c>
      <c r="BC97" s="144" t="s">
        <v>230</v>
      </c>
      <c r="BD97" s="145">
        <v>28500</v>
      </c>
      <c r="BE97" s="21">
        <f t="shared" si="479"/>
        <v>2375</v>
      </c>
      <c r="BF97" s="39">
        <f t="shared" si="480"/>
        <v>28500</v>
      </c>
      <c r="BG97" s="39">
        <f t="shared" si="481"/>
        <v>0</v>
      </c>
      <c r="BH97" s="39">
        <f t="shared" si="482"/>
        <v>0</v>
      </c>
      <c r="BI97" s="39">
        <f t="shared" si="483"/>
        <v>0</v>
      </c>
      <c r="BJ97" s="39">
        <f t="shared" si="484"/>
        <v>0</v>
      </c>
      <c r="BK97" s="39">
        <f t="shared" si="485"/>
        <v>0</v>
      </c>
      <c r="BL97" s="39">
        <f t="shared" si="486"/>
        <v>0</v>
      </c>
      <c r="BM97" s="39">
        <f t="shared" si="487"/>
        <v>0</v>
      </c>
      <c r="BN97" s="39">
        <f t="shared" si="488"/>
        <v>0</v>
      </c>
      <c r="BO97" s="39">
        <f t="shared" si="489"/>
        <v>0</v>
      </c>
      <c r="BP97" s="40"/>
      <c r="BQ97" s="40">
        <f t="shared" si="490"/>
        <v>0</v>
      </c>
      <c r="BR97" s="40">
        <f t="shared" si="491"/>
        <v>0</v>
      </c>
      <c r="BS97" s="40">
        <f t="shared" si="492"/>
        <v>0</v>
      </c>
      <c r="BT97" s="40">
        <f t="shared" si="493"/>
        <v>0</v>
      </c>
      <c r="BU97" s="40">
        <f t="shared" si="494"/>
        <v>0</v>
      </c>
      <c r="BV97" s="40">
        <f t="shared" si="495"/>
        <v>0</v>
      </c>
      <c r="BW97" s="40">
        <f t="shared" si="496"/>
        <v>0</v>
      </c>
      <c r="BX97" s="40">
        <f t="shared" si="497"/>
        <v>0</v>
      </c>
      <c r="BY97" s="40">
        <f t="shared" si="498"/>
        <v>0</v>
      </c>
      <c r="BZ97" s="40">
        <f t="shared" si="499"/>
        <v>0</v>
      </c>
      <c r="CA97" s="37">
        <f t="shared" si="500"/>
        <v>28500</v>
      </c>
      <c r="CC97" s="102"/>
      <c r="CD97" s="12"/>
      <c r="CE97" s="14"/>
      <c r="CF97" s="14"/>
      <c r="CG97" s="14"/>
      <c r="CH97" s="14"/>
      <c r="CI97" s="14"/>
      <c r="CJ97" s="14"/>
      <c r="CK97" s="14"/>
      <c r="CL97" s="14"/>
      <c r="CM97" s="14"/>
      <c r="CN97" s="24"/>
      <c r="CO97" s="63"/>
      <c r="CP97" s="53"/>
      <c r="CQ97" s="21"/>
      <c r="CR97" s="55"/>
      <c r="CS97" s="55"/>
      <c r="CT97" s="55"/>
      <c r="CU97" s="55"/>
      <c r="CV97" s="55"/>
      <c r="CW97" s="55"/>
      <c r="CX97" s="55"/>
      <c r="CY97" s="55"/>
      <c r="CZ97" s="55"/>
      <c r="DA97" s="55"/>
      <c r="DB97" s="56"/>
      <c r="DC97" s="56"/>
      <c r="DD97" s="56"/>
      <c r="DE97" s="56"/>
      <c r="DF97" s="56"/>
      <c r="DG97" s="56"/>
      <c r="DH97" s="56"/>
      <c r="DI97" s="56"/>
      <c r="DJ97" s="56"/>
      <c r="DK97" s="56"/>
      <c r="DL97" s="57"/>
      <c r="DM97" s="54"/>
      <c r="DO97" s="106"/>
    </row>
    <row r="98" spans="2:119" x14ac:dyDescent="0.25">
      <c r="B98" s="141"/>
      <c r="C98" s="24"/>
      <c r="D98" s="147"/>
      <c r="E98" s="142"/>
      <c r="F98" s="14"/>
      <c r="G98" s="14"/>
      <c r="H98" s="14"/>
      <c r="I98" s="14"/>
      <c r="J98" s="14"/>
      <c r="K98" s="14"/>
      <c r="L98" s="14"/>
      <c r="M98" s="14"/>
      <c r="N98" s="24"/>
      <c r="O98" s="157"/>
      <c r="P98" s="13"/>
      <c r="Q98" s="20"/>
      <c r="R98" s="21"/>
      <c r="S98" s="6"/>
      <c r="T98" s="6"/>
      <c r="U98" s="6"/>
      <c r="V98" s="6"/>
      <c r="W98" s="6"/>
      <c r="X98" s="6"/>
      <c r="Y98" s="6"/>
      <c r="Z98" s="6"/>
      <c r="AA98" s="6"/>
      <c r="AB98" s="6"/>
      <c r="AC98" s="7"/>
      <c r="AD98" s="152"/>
      <c r="AE98" s="152"/>
      <c r="AF98" s="152"/>
      <c r="AG98" s="152"/>
      <c r="AH98" s="152"/>
      <c r="AI98" s="152"/>
      <c r="AJ98" s="152"/>
      <c r="AK98" s="152"/>
      <c r="AL98" s="152"/>
      <c r="AM98" s="9"/>
      <c r="AN98" s="80"/>
      <c r="AP98" s="114" t="s">
        <v>3</v>
      </c>
      <c r="AQ98" s="143">
        <v>1</v>
      </c>
      <c r="AR98" s="14">
        <f t="shared" si="478"/>
        <v>1</v>
      </c>
      <c r="AS98" s="14" cm="1">
        <f t="array" ref="AS98">IFERROR(_xlfn.IFS(VALUE(MID(AS$5,6,1))&gt;$D$2,0,$AP98="Annual",1,AR98=12,12,$AP98="Monthly V",AR98*(1+$D$3),$AP98="Monthly F",12,$AP98="One-Time",0),AR98*(1+$D$3))</f>
        <v>0</v>
      </c>
      <c r="AT98" s="14" cm="1">
        <f t="array" ref="AT98">IFERROR(_xlfn.IFS(VALUE(MID(AT$5,6,1))&gt;$D$2,0,$AP98="Annual",1,AS98=12,12,$AP98="Monthly V",AS98*(1+$D$3),$AP98="Monthly F",12,$AP98="One-Time",0),AS98*(1+$D$3))</f>
        <v>0</v>
      </c>
      <c r="AU98" s="14" cm="1">
        <f t="array" ref="AU98">IFERROR(_xlfn.IFS(VALUE(MID(AU$5,6,1))&gt;$D$2,0,$AP98="Annual",1,AT98=12,12,$AP98="Monthly V",AT98*(1+$D$3),$AP98="Monthly F",12,$AP98="One-Time",0),AT98*(1+$D$3))</f>
        <v>0</v>
      </c>
      <c r="AV98" s="14" cm="1">
        <f t="array" ref="AV98">IFERROR(_xlfn.IFS(VALUE(MID(AV$5,6,1))&gt;$D$2,0,$AP98="Annual",1,AU98=12,12,$AP98="Monthly V",AU98*(1+$D$3),$AP98="Monthly F",12,$AP98="One-Time",0),AU98*(1+$D$3))</f>
        <v>0</v>
      </c>
      <c r="AW98" s="14" cm="1">
        <f t="array" ref="AW98">IFERROR(_xlfn.IFS(VALUE(MID(AW$5,6,1))&gt;$D$2,0,$AP98="Annual",1,AV98=12,12,$AP98="Monthly V",AV98*(1+$D$3),$AP98="Monthly F",12,$AP98="One-Time",0),AV98*(1+$D$3))</f>
        <v>0</v>
      </c>
      <c r="AX98" s="14" cm="1">
        <f t="array" ref="AX98">IFERROR(_xlfn.IFS(VALUE(MID(AX$5,6,1))&gt;$D$2,0,$AP98="Annual",1,AW98=12,12,$AP98="Monthly V",AW98*(1+$D$3),$AP98="Monthly F",12,$AP98="One-Time",0),AW98*(1+$D$3))</f>
        <v>0</v>
      </c>
      <c r="AY98" s="14" cm="1">
        <f t="array" ref="AY98">IFERROR(_xlfn.IFS(VALUE(MID(AY$5,6,1))&gt;$D$2,0,$AP98="Annual",1,AX98=12,12,$AP98="Monthly V",AX98*(1+$D$3),$AP98="Monthly F",12,$AP98="One-Time",0),AX98*(1+$D$3))</f>
        <v>0</v>
      </c>
      <c r="AZ98" s="14" cm="1">
        <f t="array" ref="AZ98">IFERROR(_xlfn.IFS(VALUE(MID(AZ$5,6,1))&gt;$D$2,0,$AP98="Annual",1,AY98=12,12,$AP98="Monthly V",AY98*(1+$D$3),$AP98="Monthly F",12,$AP98="One-Time",0),AY98*(1+$D$3))</f>
        <v>0</v>
      </c>
      <c r="BA98" s="125" cm="1">
        <f t="array" ref="BA98">IFERROR(_xlfn.IFS(VALUE(MID(BA$5,6,2))&gt;$D$2,0,$AP98="Annual",1,AZ98=12,12,$AP98="Monthly V",AZ98*(1+$D$3),$AP98="Monthly F",12,$AP98="One-Time",0),AZ98*(1+$D$3))</f>
        <v>0</v>
      </c>
      <c r="BB98" s="148" t="s">
        <v>321</v>
      </c>
      <c r="BC98" s="144" t="s">
        <v>205</v>
      </c>
      <c r="BD98" s="145">
        <v>12500</v>
      </c>
      <c r="BE98" s="21">
        <f t="shared" si="479"/>
        <v>1041.6666666666667</v>
      </c>
      <c r="BF98" s="39">
        <f t="shared" si="480"/>
        <v>12500</v>
      </c>
      <c r="BG98" s="39">
        <f t="shared" si="481"/>
        <v>0</v>
      </c>
      <c r="BH98" s="39">
        <f t="shared" si="482"/>
        <v>0</v>
      </c>
      <c r="BI98" s="39">
        <f t="shared" si="483"/>
        <v>0</v>
      </c>
      <c r="BJ98" s="39">
        <f t="shared" si="484"/>
        <v>0</v>
      </c>
      <c r="BK98" s="39">
        <f t="shared" si="485"/>
        <v>0</v>
      </c>
      <c r="BL98" s="39">
        <f t="shared" si="486"/>
        <v>0</v>
      </c>
      <c r="BM98" s="39">
        <f t="shared" si="487"/>
        <v>0</v>
      </c>
      <c r="BN98" s="39">
        <f t="shared" si="488"/>
        <v>0</v>
      </c>
      <c r="BO98" s="39">
        <f t="shared" si="489"/>
        <v>0</v>
      </c>
      <c r="BP98" s="40"/>
      <c r="BQ98" s="40">
        <f t="shared" si="490"/>
        <v>0</v>
      </c>
      <c r="BR98" s="40">
        <f t="shared" si="491"/>
        <v>0</v>
      </c>
      <c r="BS98" s="40">
        <f t="shared" si="492"/>
        <v>0</v>
      </c>
      <c r="BT98" s="40">
        <f t="shared" si="493"/>
        <v>0</v>
      </c>
      <c r="BU98" s="40">
        <f t="shared" si="494"/>
        <v>0</v>
      </c>
      <c r="BV98" s="40">
        <f t="shared" si="495"/>
        <v>0</v>
      </c>
      <c r="BW98" s="40">
        <f t="shared" si="496"/>
        <v>0</v>
      </c>
      <c r="BX98" s="40">
        <f t="shared" si="497"/>
        <v>0</v>
      </c>
      <c r="BY98" s="40">
        <f t="shared" si="498"/>
        <v>0</v>
      </c>
      <c r="BZ98" s="40">
        <f t="shared" si="499"/>
        <v>0</v>
      </c>
      <c r="CA98" s="37">
        <f t="shared" si="500"/>
        <v>12500</v>
      </c>
      <c r="CC98" s="102"/>
      <c r="CD98" s="12"/>
      <c r="CE98" s="14"/>
      <c r="CF98" s="14"/>
      <c r="CG98" s="14"/>
      <c r="CH98" s="14"/>
      <c r="CI98" s="14"/>
      <c r="CJ98" s="14"/>
      <c r="CK98" s="14"/>
      <c r="CL98" s="14"/>
      <c r="CM98" s="14"/>
      <c r="CN98" s="24"/>
      <c r="CO98" s="63"/>
      <c r="CP98" s="53"/>
      <c r="CQ98" s="21"/>
      <c r="CR98" s="55"/>
      <c r="CS98" s="55"/>
      <c r="CT98" s="55"/>
      <c r="CU98" s="55"/>
      <c r="CV98" s="55"/>
      <c r="CW98" s="55"/>
      <c r="CX98" s="55"/>
      <c r="CY98" s="55"/>
      <c r="CZ98" s="55"/>
      <c r="DA98" s="55"/>
      <c r="DB98" s="56"/>
      <c r="DC98" s="56"/>
      <c r="DD98" s="56"/>
      <c r="DE98" s="56"/>
      <c r="DF98" s="56"/>
      <c r="DG98" s="56"/>
      <c r="DH98" s="56"/>
      <c r="DI98" s="56"/>
      <c r="DJ98" s="56"/>
      <c r="DK98" s="56"/>
      <c r="DL98" s="57"/>
      <c r="DM98" s="54"/>
      <c r="DO98" s="106"/>
    </row>
    <row r="99" spans="2:119" x14ac:dyDescent="0.25">
      <c r="B99" s="141"/>
      <c r="C99" s="24"/>
      <c r="D99" s="147"/>
      <c r="E99" s="142"/>
      <c r="F99" s="14"/>
      <c r="G99" s="14"/>
      <c r="H99" s="14"/>
      <c r="I99" s="14"/>
      <c r="J99" s="14"/>
      <c r="K99" s="14"/>
      <c r="L99" s="14"/>
      <c r="M99" s="14"/>
      <c r="N99" s="24"/>
      <c r="O99" s="157"/>
      <c r="P99" s="13"/>
      <c r="Q99" s="20"/>
      <c r="R99" s="21"/>
      <c r="S99" s="6"/>
      <c r="T99" s="6"/>
      <c r="U99" s="6"/>
      <c r="V99" s="6"/>
      <c r="W99" s="6"/>
      <c r="X99" s="6"/>
      <c r="Y99" s="6"/>
      <c r="Z99" s="6"/>
      <c r="AA99" s="6"/>
      <c r="AB99" s="6"/>
      <c r="AC99" s="7"/>
      <c r="AD99" s="152"/>
      <c r="AE99" s="152"/>
      <c r="AF99" s="152"/>
      <c r="AG99" s="152"/>
      <c r="AH99" s="152"/>
      <c r="AI99" s="152"/>
      <c r="AJ99" s="152"/>
      <c r="AK99" s="152"/>
      <c r="AL99" s="152"/>
      <c r="AM99" s="9"/>
      <c r="AN99" s="80"/>
      <c r="AP99" s="114" t="s">
        <v>3</v>
      </c>
      <c r="AQ99" s="143">
        <v>1</v>
      </c>
      <c r="AR99" s="14">
        <f t="shared" si="478"/>
        <v>1</v>
      </c>
      <c r="AS99" s="14" cm="1">
        <f t="array" ref="AS99">IFERROR(_xlfn.IFS(VALUE(MID(AS$5,6,1))&gt;$D$2,0,$AP99="Annual",1,AR99=12,12,$AP99="Monthly V",AR99*(1+$D$3),$AP99="Monthly F",12,$AP99="One-Time",0),AR99*(1+$D$3))</f>
        <v>0</v>
      </c>
      <c r="AT99" s="14" cm="1">
        <f t="array" ref="AT99">IFERROR(_xlfn.IFS(VALUE(MID(AT$5,6,1))&gt;$D$2,0,$AP99="Annual",1,AS99=12,12,$AP99="Monthly V",AS99*(1+$D$3),$AP99="Monthly F",12,$AP99="One-Time",0),AS99*(1+$D$3))</f>
        <v>0</v>
      </c>
      <c r="AU99" s="14" cm="1">
        <f t="array" ref="AU99">IFERROR(_xlfn.IFS(VALUE(MID(AU$5,6,1))&gt;$D$2,0,$AP99="Annual",1,AT99=12,12,$AP99="Monthly V",AT99*(1+$D$3),$AP99="Monthly F",12,$AP99="One-Time",0),AT99*(1+$D$3))</f>
        <v>0</v>
      </c>
      <c r="AV99" s="14" cm="1">
        <f t="array" ref="AV99">IFERROR(_xlfn.IFS(VALUE(MID(AV$5,6,1))&gt;$D$2,0,$AP99="Annual",1,AU99=12,12,$AP99="Monthly V",AU99*(1+$D$3),$AP99="Monthly F",12,$AP99="One-Time",0),AU99*(1+$D$3))</f>
        <v>0</v>
      </c>
      <c r="AW99" s="14" cm="1">
        <f t="array" ref="AW99">IFERROR(_xlfn.IFS(VALUE(MID(AW$5,6,1))&gt;$D$2,0,$AP99="Annual",1,AV99=12,12,$AP99="Monthly V",AV99*(1+$D$3),$AP99="Monthly F",12,$AP99="One-Time",0),AV99*(1+$D$3))</f>
        <v>0</v>
      </c>
      <c r="AX99" s="14" cm="1">
        <f t="array" ref="AX99">IFERROR(_xlfn.IFS(VALUE(MID(AX$5,6,1))&gt;$D$2,0,$AP99="Annual",1,AW99=12,12,$AP99="Monthly V",AW99*(1+$D$3),$AP99="Monthly F",12,$AP99="One-Time",0),AW99*(1+$D$3))</f>
        <v>0</v>
      </c>
      <c r="AY99" s="14" cm="1">
        <f t="array" ref="AY99">IFERROR(_xlfn.IFS(VALUE(MID(AY$5,6,1))&gt;$D$2,0,$AP99="Annual",1,AX99=12,12,$AP99="Monthly V",AX99*(1+$D$3),$AP99="Monthly F",12,$AP99="One-Time",0),AX99*(1+$D$3))</f>
        <v>0</v>
      </c>
      <c r="AZ99" s="14" cm="1">
        <f t="array" ref="AZ99">IFERROR(_xlfn.IFS(VALUE(MID(AZ$5,6,1))&gt;$D$2,0,$AP99="Annual",1,AY99=12,12,$AP99="Monthly V",AY99*(1+$D$3),$AP99="Monthly F",12,$AP99="One-Time",0),AY99*(1+$D$3))</f>
        <v>0</v>
      </c>
      <c r="BA99" s="125" cm="1">
        <f t="array" ref="BA99">IFERROR(_xlfn.IFS(VALUE(MID(BA$5,6,2))&gt;$D$2,0,$AP99="Annual",1,AZ99=12,12,$AP99="Monthly V",AZ99*(1+$D$3),$AP99="Monthly F",12,$AP99="One-Time",0),AZ99*(1+$D$3))</f>
        <v>0</v>
      </c>
      <c r="BB99" s="148" t="s">
        <v>322</v>
      </c>
      <c r="BC99" s="144" t="s">
        <v>205</v>
      </c>
      <c r="BD99" s="145">
        <v>3600</v>
      </c>
      <c r="BE99" s="21">
        <f t="shared" si="479"/>
        <v>300</v>
      </c>
      <c r="BF99" s="39">
        <f t="shared" si="480"/>
        <v>3600</v>
      </c>
      <c r="BG99" s="39">
        <f t="shared" si="481"/>
        <v>0</v>
      </c>
      <c r="BH99" s="39">
        <f t="shared" si="482"/>
        <v>0</v>
      </c>
      <c r="BI99" s="39">
        <f t="shared" si="483"/>
        <v>0</v>
      </c>
      <c r="BJ99" s="39">
        <f t="shared" si="484"/>
        <v>0</v>
      </c>
      <c r="BK99" s="39">
        <f t="shared" si="485"/>
        <v>0</v>
      </c>
      <c r="BL99" s="39">
        <f t="shared" si="486"/>
        <v>0</v>
      </c>
      <c r="BM99" s="39">
        <f t="shared" si="487"/>
        <v>0</v>
      </c>
      <c r="BN99" s="39">
        <f t="shared" si="488"/>
        <v>0</v>
      </c>
      <c r="BO99" s="39">
        <f t="shared" si="489"/>
        <v>0</v>
      </c>
      <c r="BP99" s="40"/>
      <c r="BQ99" s="40">
        <f t="shared" si="490"/>
        <v>0</v>
      </c>
      <c r="BR99" s="40">
        <f t="shared" si="491"/>
        <v>0</v>
      </c>
      <c r="BS99" s="40">
        <f t="shared" si="492"/>
        <v>0</v>
      </c>
      <c r="BT99" s="40">
        <f t="shared" si="493"/>
        <v>0</v>
      </c>
      <c r="BU99" s="40">
        <f t="shared" si="494"/>
        <v>0</v>
      </c>
      <c r="BV99" s="40">
        <f t="shared" si="495"/>
        <v>0</v>
      </c>
      <c r="BW99" s="40">
        <f t="shared" si="496"/>
        <v>0</v>
      </c>
      <c r="BX99" s="40">
        <f t="shared" si="497"/>
        <v>0</v>
      </c>
      <c r="BY99" s="40">
        <f t="shared" si="498"/>
        <v>0</v>
      </c>
      <c r="BZ99" s="40">
        <f t="shared" si="499"/>
        <v>0</v>
      </c>
      <c r="CA99" s="37">
        <f t="shared" si="500"/>
        <v>3600</v>
      </c>
      <c r="CC99" s="102"/>
      <c r="CD99" s="12"/>
      <c r="CE99" s="14"/>
      <c r="CF99" s="14"/>
      <c r="CG99" s="14"/>
      <c r="CH99" s="14"/>
      <c r="CI99" s="14"/>
      <c r="CJ99" s="14"/>
      <c r="CK99" s="14"/>
      <c r="CL99" s="14"/>
      <c r="CM99" s="14"/>
      <c r="CN99" s="24"/>
      <c r="CO99" s="63"/>
      <c r="CP99" s="53"/>
      <c r="CQ99" s="21"/>
      <c r="CR99" s="55"/>
      <c r="CS99" s="55"/>
      <c r="CT99" s="55"/>
      <c r="CU99" s="55"/>
      <c r="CV99" s="55"/>
      <c r="CW99" s="55"/>
      <c r="CX99" s="55"/>
      <c r="CY99" s="55"/>
      <c r="CZ99" s="55"/>
      <c r="DA99" s="55"/>
      <c r="DB99" s="56"/>
      <c r="DC99" s="56"/>
      <c r="DD99" s="56"/>
      <c r="DE99" s="56"/>
      <c r="DF99" s="56"/>
      <c r="DG99" s="56"/>
      <c r="DH99" s="56"/>
      <c r="DI99" s="56"/>
      <c r="DJ99" s="56"/>
      <c r="DK99" s="56"/>
      <c r="DL99" s="57"/>
      <c r="DM99" s="54"/>
      <c r="DO99" s="106"/>
    </row>
    <row r="100" spans="2:119" x14ac:dyDescent="0.25">
      <c r="B100" s="141"/>
      <c r="C100" s="24"/>
      <c r="D100" s="147"/>
      <c r="E100" s="142"/>
      <c r="F100" s="14"/>
      <c r="G100" s="14"/>
      <c r="H100" s="14"/>
      <c r="I100" s="14"/>
      <c r="J100" s="14"/>
      <c r="K100" s="14"/>
      <c r="L100" s="14"/>
      <c r="M100" s="14"/>
      <c r="N100" s="24"/>
      <c r="O100" s="127"/>
      <c r="P100" s="13"/>
      <c r="Q100" s="20"/>
      <c r="R100" s="21"/>
      <c r="S100" s="6"/>
      <c r="T100" s="6"/>
      <c r="U100" s="6"/>
      <c r="V100" s="6"/>
      <c r="W100" s="6"/>
      <c r="X100" s="6"/>
      <c r="Y100" s="6"/>
      <c r="Z100" s="6"/>
      <c r="AA100" s="6"/>
      <c r="AB100" s="6"/>
      <c r="AC100" s="7"/>
      <c r="AD100" s="152"/>
      <c r="AE100" s="152"/>
      <c r="AF100" s="152"/>
      <c r="AG100" s="152"/>
      <c r="AH100" s="152"/>
      <c r="AI100" s="152"/>
      <c r="AJ100" s="152"/>
      <c r="AK100" s="152"/>
      <c r="AL100" s="152"/>
      <c r="AM100" s="9"/>
      <c r="AN100" s="80"/>
      <c r="AP100" s="114" t="s">
        <v>3</v>
      </c>
      <c r="AQ100" s="143">
        <v>1</v>
      </c>
      <c r="AR100" s="14">
        <f t="shared" si="478"/>
        <v>1</v>
      </c>
      <c r="AS100" s="14" cm="1">
        <f t="array" ref="AS100">IFERROR(_xlfn.IFS(VALUE(MID(AS$5,6,1))&gt;$D$2,0,$AP100="Annual",1,AR100=12,12,$AP100="Monthly V",AR100*(1+$D$3),$AP100="Monthly F",12,$AP100="One-Time",0),AR100*(1+$D$3))</f>
        <v>0</v>
      </c>
      <c r="AT100" s="14" cm="1">
        <f t="array" ref="AT100">IFERROR(_xlfn.IFS(VALUE(MID(AT$5,6,1))&gt;$D$2,0,$AP100="Annual",1,AS100=12,12,$AP100="Monthly V",AS100*(1+$D$3),$AP100="Monthly F",12,$AP100="One-Time",0),AS100*(1+$D$3))</f>
        <v>0</v>
      </c>
      <c r="AU100" s="14" cm="1">
        <f t="array" ref="AU100">IFERROR(_xlfn.IFS(VALUE(MID(AU$5,6,1))&gt;$D$2,0,$AP100="Annual",1,AT100=12,12,$AP100="Monthly V",AT100*(1+$D$3),$AP100="Monthly F",12,$AP100="One-Time",0),AT100*(1+$D$3))</f>
        <v>0</v>
      </c>
      <c r="AV100" s="14" cm="1">
        <f t="array" ref="AV100">IFERROR(_xlfn.IFS(VALUE(MID(AV$5,6,1))&gt;$D$2,0,$AP100="Annual",1,AU100=12,12,$AP100="Monthly V",AU100*(1+$D$3),$AP100="Monthly F",12,$AP100="One-Time",0),AU100*(1+$D$3))</f>
        <v>0</v>
      </c>
      <c r="AW100" s="14" cm="1">
        <f t="array" ref="AW100">IFERROR(_xlfn.IFS(VALUE(MID(AW$5,6,1))&gt;$D$2,0,$AP100="Annual",1,AV100=12,12,$AP100="Monthly V",AV100*(1+$D$3),$AP100="Monthly F",12,$AP100="One-Time",0),AV100*(1+$D$3))</f>
        <v>0</v>
      </c>
      <c r="AX100" s="14" cm="1">
        <f t="array" ref="AX100">IFERROR(_xlfn.IFS(VALUE(MID(AX$5,6,1))&gt;$D$2,0,$AP100="Annual",1,AW100=12,12,$AP100="Monthly V",AW100*(1+$D$3),$AP100="Monthly F",12,$AP100="One-Time",0),AW100*(1+$D$3))</f>
        <v>0</v>
      </c>
      <c r="AY100" s="14" cm="1">
        <f t="array" ref="AY100">IFERROR(_xlfn.IFS(VALUE(MID(AY$5,6,1))&gt;$D$2,0,$AP100="Annual",1,AX100=12,12,$AP100="Monthly V",AX100*(1+$D$3),$AP100="Monthly F",12,$AP100="One-Time",0),AX100*(1+$D$3))</f>
        <v>0</v>
      </c>
      <c r="AZ100" s="14" cm="1">
        <f t="array" ref="AZ100">IFERROR(_xlfn.IFS(VALUE(MID(AZ$5,6,1))&gt;$D$2,0,$AP100="Annual",1,AY100=12,12,$AP100="Monthly V",AY100*(1+$D$3),$AP100="Monthly F",12,$AP100="One-Time",0),AY100*(1+$D$3))</f>
        <v>0</v>
      </c>
      <c r="BA100" s="125" cm="1">
        <f t="array" ref="BA100">IFERROR(_xlfn.IFS(VALUE(MID(BA$5,6,2))&gt;$D$2,0,$AP100="Annual",1,AZ100=12,12,$AP100="Monthly V",AZ100*(1+$D$3),$AP100="Monthly F",12,$AP100="One-Time",0),AZ100*(1+$D$3))</f>
        <v>0</v>
      </c>
      <c r="BB100" s="148" t="s">
        <v>207</v>
      </c>
      <c r="BC100" s="144" t="s">
        <v>232</v>
      </c>
      <c r="BD100" s="145">
        <v>5500</v>
      </c>
      <c r="BE100" s="21">
        <f t="shared" si="479"/>
        <v>458.33333333333331</v>
      </c>
      <c r="BF100" s="39">
        <f t="shared" si="480"/>
        <v>5500</v>
      </c>
      <c r="BG100" s="39">
        <f t="shared" si="481"/>
        <v>0</v>
      </c>
      <c r="BH100" s="39">
        <f t="shared" si="482"/>
        <v>0</v>
      </c>
      <c r="BI100" s="39">
        <f t="shared" si="483"/>
        <v>0</v>
      </c>
      <c r="BJ100" s="39">
        <f t="shared" si="484"/>
        <v>0</v>
      </c>
      <c r="BK100" s="39">
        <f t="shared" si="485"/>
        <v>0</v>
      </c>
      <c r="BL100" s="39">
        <f t="shared" si="486"/>
        <v>0</v>
      </c>
      <c r="BM100" s="39">
        <f t="shared" si="487"/>
        <v>0</v>
      </c>
      <c r="BN100" s="39">
        <f t="shared" si="488"/>
        <v>0</v>
      </c>
      <c r="BO100" s="39">
        <f t="shared" si="489"/>
        <v>0</v>
      </c>
      <c r="BP100" s="40"/>
      <c r="BQ100" s="40">
        <f t="shared" si="490"/>
        <v>0</v>
      </c>
      <c r="BR100" s="40">
        <f t="shared" si="491"/>
        <v>0</v>
      </c>
      <c r="BS100" s="40">
        <f t="shared" si="492"/>
        <v>0</v>
      </c>
      <c r="BT100" s="40">
        <f t="shared" si="493"/>
        <v>0</v>
      </c>
      <c r="BU100" s="40">
        <f t="shared" si="494"/>
        <v>0</v>
      </c>
      <c r="BV100" s="40">
        <f t="shared" si="495"/>
        <v>0</v>
      </c>
      <c r="BW100" s="40">
        <f t="shared" si="496"/>
        <v>0</v>
      </c>
      <c r="BX100" s="40">
        <f t="shared" si="497"/>
        <v>0</v>
      </c>
      <c r="BY100" s="40">
        <f t="shared" si="498"/>
        <v>0</v>
      </c>
      <c r="BZ100" s="40">
        <f t="shared" si="499"/>
        <v>0</v>
      </c>
      <c r="CA100" s="37">
        <f t="shared" si="500"/>
        <v>5500</v>
      </c>
      <c r="CC100" s="102"/>
      <c r="CD100" s="12"/>
      <c r="CE100" s="14"/>
      <c r="CF100" s="14"/>
      <c r="CG100" s="14"/>
      <c r="CH100" s="14"/>
      <c r="CI100" s="14"/>
      <c r="CJ100" s="14"/>
      <c r="CK100" s="14"/>
      <c r="CL100" s="14"/>
      <c r="CM100" s="14"/>
      <c r="CN100" s="24"/>
      <c r="CO100" s="63"/>
      <c r="CP100" s="53"/>
      <c r="CQ100" s="21"/>
      <c r="CR100" s="55"/>
      <c r="CS100" s="55"/>
      <c r="CT100" s="55"/>
      <c r="CU100" s="55"/>
      <c r="CV100" s="55"/>
      <c r="CW100" s="55"/>
      <c r="CX100" s="55"/>
      <c r="CY100" s="55"/>
      <c r="CZ100" s="55"/>
      <c r="DA100" s="55"/>
      <c r="DB100" s="56"/>
      <c r="DC100" s="56"/>
      <c r="DD100" s="56"/>
      <c r="DE100" s="56"/>
      <c r="DF100" s="56"/>
      <c r="DG100" s="56"/>
      <c r="DH100" s="56"/>
      <c r="DI100" s="56"/>
      <c r="DJ100" s="56"/>
      <c r="DK100" s="56"/>
      <c r="DL100" s="57"/>
      <c r="DM100" s="54"/>
      <c r="DO100" s="106"/>
    </row>
    <row r="101" spans="2:119" x14ac:dyDescent="0.25">
      <c r="B101" s="141"/>
      <c r="C101" s="24"/>
      <c r="D101" s="147"/>
      <c r="E101" s="142"/>
      <c r="F101" s="14"/>
      <c r="G101" s="14"/>
      <c r="H101" s="14"/>
      <c r="I101" s="14"/>
      <c r="J101" s="14"/>
      <c r="K101" s="14"/>
      <c r="L101" s="14"/>
      <c r="M101" s="14"/>
      <c r="N101" s="24"/>
      <c r="O101" s="127"/>
      <c r="P101" s="13"/>
      <c r="Q101" s="20"/>
      <c r="R101" s="21"/>
      <c r="S101" s="6"/>
      <c r="T101" s="6"/>
      <c r="U101" s="6"/>
      <c r="V101" s="6"/>
      <c r="W101" s="6"/>
      <c r="X101" s="6"/>
      <c r="Y101" s="6"/>
      <c r="Z101" s="6"/>
      <c r="AA101" s="6"/>
      <c r="AB101" s="6"/>
      <c r="AC101" s="7"/>
      <c r="AD101" s="152"/>
      <c r="AE101" s="152"/>
      <c r="AF101" s="152"/>
      <c r="AG101" s="152"/>
      <c r="AH101" s="152"/>
      <c r="AI101" s="152"/>
      <c r="AJ101" s="152"/>
      <c r="AK101" s="152"/>
      <c r="AL101" s="152"/>
      <c r="AM101" s="9"/>
      <c r="AN101" s="80"/>
      <c r="AP101" s="114" t="s">
        <v>3</v>
      </c>
      <c r="AQ101" s="143">
        <v>1</v>
      </c>
      <c r="AR101" s="14">
        <f t="shared" si="478"/>
        <v>1</v>
      </c>
      <c r="AS101" s="14" cm="1">
        <f t="array" ref="AS101">IFERROR(_xlfn.IFS(VALUE(MID(AS$5,6,1))&gt;$D$2,0,$AP101="Annual",1,AR101=12,12,$AP101="Monthly V",AR101*(1+$D$3),$AP101="Monthly F",12,$AP101="One-Time",0),AR101*(1+$D$3))</f>
        <v>0</v>
      </c>
      <c r="AT101" s="14" cm="1">
        <f t="array" ref="AT101">IFERROR(_xlfn.IFS(VALUE(MID(AT$5,6,1))&gt;$D$2,0,$AP101="Annual",1,AS101=12,12,$AP101="Monthly V",AS101*(1+$D$3),$AP101="Monthly F",12,$AP101="One-Time",0),AS101*(1+$D$3))</f>
        <v>0</v>
      </c>
      <c r="AU101" s="14" cm="1">
        <f t="array" ref="AU101">IFERROR(_xlfn.IFS(VALUE(MID(AU$5,6,1))&gt;$D$2,0,$AP101="Annual",1,AT101=12,12,$AP101="Monthly V",AT101*(1+$D$3),$AP101="Monthly F",12,$AP101="One-Time",0),AT101*(1+$D$3))</f>
        <v>0</v>
      </c>
      <c r="AV101" s="14" cm="1">
        <f t="array" ref="AV101">IFERROR(_xlfn.IFS(VALUE(MID(AV$5,6,1))&gt;$D$2,0,$AP101="Annual",1,AU101=12,12,$AP101="Monthly V",AU101*(1+$D$3),$AP101="Monthly F",12,$AP101="One-Time",0),AU101*(1+$D$3))</f>
        <v>0</v>
      </c>
      <c r="AW101" s="14" cm="1">
        <f t="array" ref="AW101">IFERROR(_xlfn.IFS(VALUE(MID(AW$5,6,1))&gt;$D$2,0,$AP101="Annual",1,AV101=12,12,$AP101="Monthly V",AV101*(1+$D$3),$AP101="Monthly F",12,$AP101="One-Time",0),AV101*(1+$D$3))</f>
        <v>0</v>
      </c>
      <c r="AX101" s="14" cm="1">
        <f t="array" ref="AX101">IFERROR(_xlfn.IFS(VALUE(MID(AX$5,6,1))&gt;$D$2,0,$AP101="Annual",1,AW101=12,12,$AP101="Monthly V",AW101*(1+$D$3),$AP101="Monthly F",12,$AP101="One-Time",0),AW101*(1+$D$3))</f>
        <v>0</v>
      </c>
      <c r="AY101" s="14" cm="1">
        <f t="array" ref="AY101">IFERROR(_xlfn.IFS(VALUE(MID(AY$5,6,1))&gt;$D$2,0,$AP101="Annual",1,AX101=12,12,$AP101="Monthly V",AX101*(1+$D$3),$AP101="Monthly F",12,$AP101="One-Time",0),AX101*(1+$D$3))</f>
        <v>0</v>
      </c>
      <c r="AZ101" s="14" cm="1">
        <f t="array" ref="AZ101">IFERROR(_xlfn.IFS(VALUE(MID(AZ$5,6,1))&gt;$D$2,0,$AP101="Annual",1,AY101=12,12,$AP101="Monthly V",AY101*(1+$D$3),$AP101="Monthly F",12,$AP101="One-Time",0),AY101*(1+$D$3))</f>
        <v>0</v>
      </c>
      <c r="BA101" s="125" cm="1">
        <f t="array" ref="BA101">IFERROR(_xlfn.IFS(VALUE(MID(BA$5,6,2))&gt;$D$2,0,$AP101="Annual",1,AZ101=12,12,$AP101="Monthly V",AZ101*(1+$D$3),$AP101="Monthly F",12,$AP101="One-Time",0),AZ101*(1+$D$3))</f>
        <v>0</v>
      </c>
      <c r="BB101" s="148" t="s">
        <v>323</v>
      </c>
      <c r="BC101" s="144" t="s">
        <v>216</v>
      </c>
      <c r="BD101" s="145">
        <v>30000</v>
      </c>
      <c r="BE101" s="21">
        <f t="shared" si="479"/>
        <v>2500</v>
      </c>
      <c r="BF101" s="39">
        <f t="shared" si="480"/>
        <v>30000</v>
      </c>
      <c r="BG101" s="39">
        <f t="shared" si="481"/>
        <v>0</v>
      </c>
      <c r="BH101" s="39">
        <f t="shared" si="482"/>
        <v>0</v>
      </c>
      <c r="BI101" s="39">
        <f t="shared" si="483"/>
        <v>0</v>
      </c>
      <c r="BJ101" s="39">
        <f t="shared" si="484"/>
        <v>0</v>
      </c>
      <c r="BK101" s="39">
        <f t="shared" si="485"/>
        <v>0</v>
      </c>
      <c r="BL101" s="39">
        <f t="shared" si="486"/>
        <v>0</v>
      </c>
      <c r="BM101" s="39">
        <f t="shared" si="487"/>
        <v>0</v>
      </c>
      <c r="BN101" s="39">
        <f t="shared" si="488"/>
        <v>0</v>
      </c>
      <c r="BO101" s="39">
        <f t="shared" si="489"/>
        <v>0</v>
      </c>
      <c r="BP101" s="40"/>
      <c r="BQ101" s="40">
        <f t="shared" si="490"/>
        <v>0</v>
      </c>
      <c r="BR101" s="40">
        <f t="shared" si="491"/>
        <v>0</v>
      </c>
      <c r="BS101" s="40">
        <f t="shared" si="492"/>
        <v>0</v>
      </c>
      <c r="BT101" s="40">
        <f t="shared" si="493"/>
        <v>0</v>
      </c>
      <c r="BU101" s="40">
        <f t="shared" si="494"/>
        <v>0</v>
      </c>
      <c r="BV101" s="40">
        <f t="shared" si="495"/>
        <v>0</v>
      </c>
      <c r="BW101" s="40">
        <f t="shared" si="496"/>
        <v>0</v>
      </c>
      <c r="BX101" s="40">
        <f t="shared" si="497"/>
        <v>0</v>
      </c>
      <c r="BY101" s="40">
        <f t="shared" si="498"/>
        <v>0</v>
      </c>
      <c r="BZ101" s="40">
        <f t="shared" si="499"/>
        <v>0</v>
      </c>
      <c r="CA101" s="37">
        <f t="shared" si="500"/>
        <v>30000</v>
      </c>
      <c r="CC101" s="102"/>
      <c r="CD101" s="12"/>
      <c r="CE101" s="14"/>
      <c r="CF101" s="14"/>
      <c r="CG101" s="14"/>
      <c r="CH101" s="14"/>
      <c r="CI101" s="14"/>
      <c r="CJ101" s="14"/>
      <c r="CK101" s="14"/>
      <c r="CL101" s="14"/>
      <c r="CM101" s="14"/>
      <c r="CN101" s="24"/>
      <c r="CO101" s="63"/>
      <c r="CP101" s="53"/>
      <c r="CQ101" s="21"/>
      <c r="CR101" s="55"/>
      <c r="CS101" s="55"/>
      <c r="CT101" s="55"/>
      <c r="CU101" s="55"/>
      <c r="CV101" s="55"/>
      <c r="CW101" s="55"/>
      <c r="CX101" s="55"/>
      <c r="CY101" s="55"/>
      <c r="CZ101" s="55"/>
      <c r="DA101" s="55"/>
      <c r="DB101" s="56"/>
      <c r="DC101" s="56"/>
      <c r="DD101" s="56"/>
      <c r="DE101" s="56"/>
      <c r="DF101" s="56"/>
      <c r="DG101" s="56"/>
      <c r="DH101" s="56"/>
      <c r="DI101" s="56"/>
      <c r="DJ101" s="56"/>
      <c r="DK101" s="56"/>
      <c r="DL101" s="57"/>
      <c r="DM101" s="54"/>
      <c r="DO101" s="106"/>
    </row>
    <row r="102" spans="2:119" x14ac:dyDescent="0.25">
      <c r="B102" s="141"/>
      <c r="C102" s="24"/>
      <c r="D102" s="147"/>
      <c r="E102" s="142"/>
      <c r="F102" s="14"/>
      <c r="G102" s="14"/>
      <c r="H102" s="14"/>
      <c r="I102" s="14"/>
      <c r="J102" s="14"/>
      <c r="K102" s="14"/>
      <c r="L102" s="14"/>
      <c r="M102" s="14"/>
      <c r="N102" s="24"/>
      <c r="O102" s="127"/>
      <c r="P102" s="13"/>
      <c r="Q102" s="20"/>
      <c r="R102" s="21"/>
      <c r="S102" s="6"/>
      <c r="T102" s="6"/>
      <c r="U102" s="6"/>
      <c r="V102" s="6"/>
      <c r="W102" s="6"/>
      <c r="X102" s="6"/>
      <c r="Y102" s="6"/>
      <c r="Z102" s="6"/>
      <c r="AA102" s="6"/>
      <c r="AB102" s="6"/>
      <c r="AC102" s="7"/>
      <c r="AD102" s="152"/>
      <c r="AE102" s="152"/>
      <c r="AF102" s="152"/>
      <c r="AG102" s="152"/>
      <c r="AH102" s="152"/>
      <c r="AI102" s="152"/>
      <c r="AJ102" s="152"/>
      <c r="AK102" s="152"/>
      <c r="AL102" s="152"/>
      <c r="AM102" s="9"/>
      <c r="AN102" s="80"/>
      <c r="AP102" s="114" t="s">
        <v>3</v>
      </c>
      <c r="AQ102" s="143">
        <v>1</v>
      </c>
      <c r="AR102" s="14">
        <f t="shared" si="478"/>
        <v>1</v>
      </c>
      <c r="AS102" s="14" cm="1">
        <f t="array" ref="AS102">IFERROR(_xlfn.IFS(VALUE(MID(AS$5,6,1))&gt;$D$2,0,$AP102="Annual",1,AR102=12,12,$AP102="Monthly V",AR102*(1+$D$3),$AP102="Monthly F",12,$AP102="One-Time",0),AR102*(1+$D$3))</f>
        <v>0</v>
      </c>
      <c r="AT102" s="14" cm="1">
        <f t="array" ref="AT102">IFERROR(_xlfn.IFS(VALUE(MID(AT$5,6,1))&gt;$D$2,0,$AP102="Annual",1,AS102=12,12,$AP102="Monthly V",AS102*(1+$D$3),$AP102="Monthly F",12,$AP102="One-Time",0),AS102*(1+$D$3))</f>
        <v>0</v>
      </c>
      <c r="AU102" s="14" cm="1">
        <f t="array" ref="AU102">IFERROR(_xlfn.IFS(VALUE(MID(AU$5,6,1))&gt;$D$2,0,$AP102="Annual",1,AT102=12,12,$AP102="Monthly V",AT102*(1+$D$3),$AP102="Monthly F",12,$AP102="One-Time",0),AT102*(1+$D$3))</f>
        <v>0</v>
      </c>
      <c r="AV102" s="14" cm="1">
        <f t="array" ref="AV102">IFERROR(_xlfn.IFS(VALUE(MID(AV$5,6,1))&gt;$D$2,0,$AP102="Annual",1,AU102=12,12,$AP102="Monthly V",AU102*(1+$D$3),$AP102="Monthly F",12,$AP102="One-Time",0),AU102*(1+$D$3))</f>
        <v>0</v>
      </c>
      <c r="AW102" s="14" cm="1">
        <f t="array" ref="AW102">IFERROR(_xlfn.IFS(VALUE(MID(AW$5,6,1))&gt;$D$2,0,$AP102="Annual",1,AV102=12,12,$AP102="Monthly V",AV102*(1+$D$3),$AP102="Monthly F",12,$AP102="One-Time",0),AV102*(1+$D$3))</f>
        <v>0</v>
      </c>
      <c r="AX102" s="14" cm="1">
        <f t="array" ref="AX102">IFERROR(_xlfn.IFS(VALUE(MID(AX$5,6,1))&gt;$D$2,0,$AP102="Annual",1,AW102=12,12,$AP102="Monthly V",AW102*(1+$D$3),$AP102="Monthly F",12,$AP102="One-Time",0),AW102*(1+$D$3))</f>
        <v>0</v>
      </c>
      <c r="AY102" s="14" cm="1">
        <f t="array" ref="AY102">IFERROR(_xlfn.IFS(VALUE(MID(AY$5,6,1))&gt;$D$2,0,$AP102="Annual",1,AX102=12,12,$AP102="Monthly V",AX102*(1+$D$3),$AP102="Monthly F",12,$AP102="One-Time",0),AX102*(1+$D$3))</f>
        <v>0</v>
      </c>
      <c r="AZ102" s="14" cm="1">
        <f t="array" ref="AZ102">IFERROR(_xlfn.IFS(VALUE(MID(AZ$5,6,1))&gt;$D$2,0,$AP102="Annual",1,AY102=12,12,$AP102="Monthly V",AY102*(1+$D$3),$AP102="Monthly F",12,$AP102="One-Time",0),AY102*(1+$D$3))</f>
        <v>0</v>
      </c>
      <c r="BA102" s="125" cm="1">
        <f t="array" ref="BA102">IFERROR(_xlfn.IFS(VALUE(MID(BA$5,6,2))&gt;$D$2,0,$AP102="Annual",1,AZ102=12,12,$AP102="Monthly V",AZ102*(1+$D$3),$AP102="Monthly F",12,$AP102="One-Time",0),AZ102*(1+$D$3))</f>
        <v>0</v>
      </c>
      <c r="BB102" s="148" t="s">
        <v>324</v>
      </c>
      <c r="BC102" s="144" t="s">
        <v>216</v>
      </c>
      <c r="BD102" s="145">
        <v>5000</v>
      </c>
      <c r="BE102" s="21">
        <f t="shared" si="479"/>
        <v>416.66666666666669</v>
      </c>
      <c r="BF102" s="39">
        <f t="shared" si="480"/>
        <v>5000</v>
      </c>
      <c r="BG102" s="39">
        <f t="shared" si="481"/>
        <v>0</v>
      </c>
      <c r="BH102" s="39">
        <f t="shared" si="482"/>
        <v>0</v>
      </c>
      <c r="BI102" s="39">
        <f t="shared" si="483"/>
        <v>0</v>
      </c>
      <c r="BJ102" s="39">
        <f t="shared" si="484"/>
        <v>0</v>
      </c>
      <c r="BK102" s="39">
        <f t="shared" si="485"/>
        <v>0</v>
      </c>
      <c r="BL102" s="39">
        <f t="shared" si="486"/>
        <v>0</v>
      </c>
      <c r="BM102" s="39">
        <f t="shared" si="487"/>
        <v>0</v>
      </c>
      <c r="BN102" s="39">
        <f t="shared" si="488"/>
        <v>0</v>
      </c>
      <c r="BO102" s="39">
        <f t="shared" si="489"/>
        <v>0</v>
      </c>
      <c r="BP102" s="40"/>
      <c r="BQ102" s="40">
        <f t="shared" si="490"/>
        <v>0</v>
      </c>
      <c r="BR102" s="40">
        <f t="shared" si="491"/>
        <v>0</v>
      </c>
      <c r="BS102" s="40">
        <f t="shared" si="492"/>
        <v>0</v>
      </c>
      <c r="BT102" s="40">
        <f t="shared" si="493"/>
        <v>0</v>
      </c>
      <c r="BU102" s="40">
        <f t="shared" si="494"/>
        <v>0</v>
      </c>
      <c r="BV102" s="40">
        <f t="shared" si="495"/>
        <v>0</v>
      </c>
      <c r="BW102" s="40">
        <f t="shared" si="496"/>
        <v>0</v>
      </c>
      <c r="BX102" s="40">
        <f t="shared" si="497"/>
        <v>0</v>
      </c>
      <c r="BY102" s="40">
        <f t="shared" si="498"/>
        <v>0</v>
      </c>
      <c r="BZ102" s="40">
        <f t="shared" si="499"/>
        <v>0</v>
      </c>
      <c r="CA102" s="37">
        <f t="shared" si="500"/>
        <v>5000</v>
      </c>
      <c r="CC102" s="102"/>
      <c r="CD102" s="12"/>
      <c r="CE102" s="14"/>
      <c r="CF102" s="14"/>
      <c r="CG102" s="14"/>
      <c r="CH102" s="14"/>
      <c r="CI102" s="14"/>
      <c r="CJ102" s="14"/>
      <c r="CK102" s="14"/>
      <c r="CL102" s="14"/>
      <c r="CM102" s="14"/>
      <c r="CN102" s="24"/>
      <c r="CO102" s="63"/>
      <c r="CP102" s="53"/>
      <c r="CQ102" s="21"/>
      <c r="CR102" s="55"/>
      <c r="CS102" s="55"/>
      <c r="CT102" s="55"/>
      <c r="CU102" s="55"/>
      <c r="CV102" s="55"/>
      <c r="CW102" s="55"/>
      <c r="CX102" s="55"/>
      <c r="CY102" s="55"/>
      <c r="CZ102" s="55"/>
      <c r="DA102" s="55"/>
      <c r="DB102" s="56"/>
      <c r="DC102" s="56"/>
      <c r="DD102" s="56"/>
      <c r="DE102" s="56"/>
      <c r="DF102" s="56"/>
      <c r="DG102" s="56"/>
      <c r="DH102" s="56"/>
      <c r="DI102" s="56"/>
      <c r="DJ102" s="56"/>
      <c r="DK102" s="56"/>
      <c r="DL102" s="57"/>
      <c r="DM102" s="54"/>
      <c r="DO102" s="106"/>
    </row>
    <row r="103" spans="2:119" x14ac:dyDescent="0.25">
      <c r="B103" s="141"/>
      <c r="C103" s="24"/>
      <c r="D103" s="147"/>
      <c r="E103" s="142"/>
      <c r="F103" s="14"/>
      <c r="G103" s="14"/>
      <c r="H103" s="14"/>
      <c r="I103" s="14"/>
      <c r="J103" s="14"/>
      <c r="K103" s="14"/>
      <c r="L103" s="14"/>
      <c r="M103" s="14"/>
      <c r="N103" s="24"/>
      <c r="O103" s="127"/>
      <c r="P103" s="13"/>
      <c r="Q103" s="20"/>
      <c r="R103" s="21"/>
      <c r="S103" s="6"/>
      <c r="T103" s="6"/>
      <c r="U103" s="6"/>
      <c r="V103" s="6"/>
      <c r="W103" s="6"/>
      <c r="X103" s="6"/>
      <c r="Y103" s="6"/>
      <c r="Z103" s="6"/>
      <c r="AA103" s="6"/>
      <c r="AB103" s="6"/>
      <c r="AC103" s="7"/>
      <c r="AD103" s="152"/>
      <c r="AE103" s="152"/>
      <c r="AF103" s="152"/>
      <c r="AG103" s="152"/>
      <c r="AH103" s="152"/>
      <c r="AI103" s="152"/>
      <c r="AJ103" s="152"/>
      <c r="AK103" s="152"/>
      <c r="AL103" s="152"/>
      <c r="AM103" s="9"/>
      <c r="AN103" s="80"/>
      <c r="AP103" s="114" t="s">
        <v>3</v>
      </c>
      <c r="AQ103" s="143">
        <v>1</v>
      </c>
      <c r="AR103" s="14">
        <f t="shared" si="478"/>
        <v>1</v>
      </c>
      <c r="AS103" s="14" cm="1">
        <f t="array" ref="AS103">IFERROR(_xlfn.IFS(VALUE(MID(AS$5,6,1))&gt;$D$2,0,$AP103="Annual",1,AR103=12,12,$AP103="Monthly V",AR103*(1+$D$3),$AP103="Monthly F",12,$AP103="One-Time",0),AR103*(1+$D$3))</f>
        <v>0</v>
      </c>
      <c r="AT103" s="14" cm="1">
        <f t="array" ref="AT103">IFERROR(_xlfn.IFS(VALUE(MID(AT$5,6,1))&gt;$D$2,0,$AP103="Annual",1,AS103=12,12,$AP103="Monthly V",AS103*(1+$D$3),$AP103="Monthly F",12,$AP103="One-Time",0),AS103*(1+$D$3))</f>
        <v>0</v>
      </c>
      <c r="AU103" s="14" cm="1">
        <f t="array" ref="AU103">IFERROR(_xlfn.IFS(VALUE(MID(AU$5,6,1))&gt;$D$2,0,$AP103="Annual",1,AT103=12,12,$AP103="Monthly V",AT103*(1+$D$3),$AP103="Monthly F",12,$AP103="One-Time",0),AT103*(1+$D$3))</f>
        <v>0</v>
      </c>
      <c r="AV103" s="14" cm="1">
        <f t="array" ref="AV103">IFERROR(_xlfn.IFS(VALUE(MID(AV$5,6,1))&gt;$D$2,0,$AP103="Annual",1,AU103=12,12,$AP103="Monthly V",AU103*(1+$D$3),$AP103="Monthly F",12,$AP103="One-Time",0),AU103*(1+$D$3))</f>
        <v>0</v>
      </c>
      <c r="AW103" s="14" cm="1">
        <f t="array" ref="AW103">IFERROR(_xlfn.IFS(VALUE(MID(AW$5,6,1))&gt;$D$2,0,$AP103="Annual",1,AV103=12,12,$AP103="Monthly V",AV103*(1+$D$3),$AP103="Monthly F",12,$AP103="One-Time",0),AV103*(1+$D$3))</f>
        <v>0</v>
      </c>
      <c r="AX103" s="14" cm="1">
        <f t="array" ref="AX103">IFERROR(_xlfn.IFS(VALUE(MID(AX$5,6,1))&gt;$D$2,0,$AP103="Annual",1,AW103=12,12,$AP103="Monthly V",AW103*(1+$D$3),$AP103="Monthly F",12,$AP103="One-Time",0),AW103*(1+$D$3))</f>
        <v>0</v>
      </c>
      <c r="AY103" s="14" cm="1">
        <f t="array" ref="AY103">IFERROR(_xlfn.IFS(VALUE(MID(AY$5,6,1))&gt;$D$2,0,$AP103="Annual",1,AX103=12,12,$AP103="Monthly V",AX103*(1+$D$3),$AP103="Monthly F",12,$AP103="One-Time",0),AX103*(1+$D$3))</f>
        <v>0</v>
      </c>
      <c r="AZ103" s="14" cm="1">
        <f t="array" ref="AZ103">IFERROR(_xlfn.IFS(VALUE(MID(AZ$5,6,1))&gt;$D$2,0,$AP103="Annual",1,AY103=12,12,$AP103="Monthly V",AY103*(1+$D$3),$AP103="Monthly F",12,$AP103="One-Time",0),AY103*(1+$D$3))</f>
        <v>0</v>
      </c>
      <c r="BA103" s="125" cm="1">
        <f t="array" ref="BA103">IFERROR(_xlfn.IFS(VALUE(MID(BA$5,6,2))&gt;$D$2,0,$AP103="Annual",1,AZ103=12,12,$AP103="Monthly V",AZ103*(1+$D$3),$AP103="Monthly F",12,$AP103="One-Time",0),AZ103*(1+$D$3))</f>
        <v>0</v>
      </c>
      <c r="BB103" s="148" t="s">
        <v>325</v>
      </c>
      <c r="BC103" s="144" t="s">
        <v>216</v>
      </c>
      <c r="BD103" s="145">
        <v>10000</v>
      </c>
      <c r="BE103" s="21">
        <f t="shared" si="479"/>
        <v>833.33333333333337</v>
      </c>
      <c r="BF103" s="39">
        <f t="shared" si="480"/>
        <v>10000</v>
      </c>
      <c r="BG103" s="39">
        <f t="shared" si="481"/>
        <v>0</v>
      </c>
      <c r="BH103" s="39">
        <f t="shared" si="482"/>
        <v>0</v>
      </c>
      <c r="BI103" s="39">
        <f t="shared" si="483"/>
        <v>0</v>
      </c>
      <c r="BJ103" s="39">
        <f t="shared" si="484"/>
        <v>0</v>
      </c>
      <c r="BK103" s="39">
        <f t="shared" si="485"/>
        <v>0</v>
      </c>
      <c r="BL103" s="39">
        <f t="shared" si="486"/>
        <v>0</v>
      </c>
      <c r="BM103" s="39">
        <f t="shared" si="487"/>
        <v>0</v>
      </c>
      <c r="BN103" s="39">
        <f t="shared" si="488"/>
        <v>0</v>
      </c>
      <c r="BO103" s="39">
        <f t="shared" si="489"/>
        <v>0</v>
      </c>
      <c r="BP103" s="40"/>
      <c r="BQ103" s="40">
        <f t="shared" si="490"/>
        <v>0</v>
      </c>
      <c r="BR103" s="40">
        <f t="shared" si="491"/>
        <v>0</v>
      </c>
      <c r="BS103" s="40">
        <f t="shared" si="492"/>
        <v>0</v>
      </c>
      <c r="BT103" s="40">
        <f t="shared" si="493"/>
        <v>0</v>
      </c>
      <c r="BU103" s="40">
        <f t="shared" si="494"/>
        <v>0</v>
      </c>
      <c r="BV103" s="40">
        <f t="shared" si="495"/>
        <v>0</v>
      </c>
      <c r="BW103" s="40">
        <f t="shared" si="496"/>
        <v>0</v>
      </c>
      <c r="BX103" s="40">
        <f t="shared" si="497"/>
        <v>0</v>
      </c>
      <c r="BY103" s="40">
        <f t="shared" si="498"/>
        <v>0</v>
      </c>
      <c r="BZ103" s="40">
        <f t="shared" si="499"/>
        <v>0</v>
      </c>
      <c r="CA103" s="37">
        <f t="shared" si="500"/>
        <v>10000</v>
      </c>
      <c r="CC103" s="102"/>
      <c r="CD103" s="12"/>
      <c r="CE103" s="14"/>
      <c r="CF103" s="14"/>
      <c r="CG103" s="14"/>
      <c r="CH103" s="14"/>
      <c r="CI103" s="14"/>
      <c r="CJ103" s="14"/>
      <c r="CK103" s="14"/>
      <c r="CL103" s="14"/>
      <c r="CM103" s="14"/>
      <c r="CN103" s="24"/>
      <c r="CO103" s="63"/>
      <c r="CP103" s="53"/>
      <c r="CQ103" s="21"/>
      <c r="CR103" s="55"/>
      <c r="CS103" s="55"/>
      <c r="CT103" s="55"/>
      <c r="CU103" s="55"/>
      <c r="CV103" s="55"/>
      <c r="CW103" s="55"/>
      <c r="CX103" s="55"/>
      <c r="CY103" s="55"/>
      <c r="CZ103" s="55"/>
      <c r="DA103" s="55"/>
      <c r="DB103" s="56"/>
      <c r="DC103" s="56"/>
      <c r="DD103" s="56"/>
      <c r="DE103" s="56"/>
      <c r="DF103" s="56"/>
      <c r="DG103" s="56"/>
      <c r="DH103" s="56"/>
      <c r="DI103" s="56"/>
      <c r="DJ103" s="56"/>
      <c r="DK103" s="56"/>
      <c r="DL103" s="57"/>
      <c r="DM103" s="54"/>
      <c r="DO103" s="106"/>
    </row>
    <row r="104" spans="2:119" x14ac:dyDescent="0.25">
      <c r="B104" s="141"/>
      <c r="C104" s="24"/>
      <c r="D104" s="147"/>
      <c r="E104" s="142"/>
      <c r="F104" s="14"/>
      <c r="G104" s="14"/>
      <c r="H104" s="14"/>
      <c r="I104" s="14"/>
      <c r="J104" s="14"/>
      <c r="K104" s="14"/>
      <c r="L104" s="14"/>
      <c r="M104" s="14"/>
      <c r="N104" s="24"/>
      <c r="O104" s="127"/>
      <c r="P104" s="13"/>
      <c r="Q104" s="20"/>
      <c r="R104" s="21"/>
      <c r="S104" s="6"/>
      <c r="T104" s="6"/>
      <c r="U104" s="6"/>
      <c r="V104" s="6"/>
      <c r="W104" s="6"/>
      <c r="X104" s="6"/>
      <c r="Y104" s="6"/>
      <c r="Z104" s="6"/>
      <c r="AA104" s="6"/>
      <c r="AB104" s="6"/>
      <c r="AC104" s="7"/>
      <c r="AD104" s="152"/>
      <c r="AE104" s="152"/>
      <c r="AF104" s="152"/>
      <c r="AG104" s="152"/>
      <c r="AH104" s="152"/>
      <c r="AI104" s="152"/>
      <c r="AJ104" s="152"/>
      <c r="AK104" s="152"/>
      <c r="AL104" s="152"/>
      <c r="AM104" s="9"/>
      <c r="AN104" s="80"/>
      <c r="AP104" s="114" t="s">
        <v>3</v>
      </c>
      <c r="AQ104" s="143">
        <v>1</v>
      </c>
      <c r="AR104" s="14">
        <f t="shared" si="478"/>
        <v>1</v>
      </c>
      <c r="AS104" s="14" cm="1">
        <f t="array" ref="AS104">IFERROR(_xlfn.IFS(VALUE(MID(AS$5,6,1))&gt;$D$2,0,$AP104="Annual",1,AR104=12,12,$AP104="Monthly V",AR104*(1+$D$3),$AP104="Monthly F",12,$AP104="One-Time",0),AR104*(1+$D$3))</f>
        <v>0</v>
      </c>
      <c r="AT104" s="14" cm="1">
        <f t="array" ref="AT104">IFERROR(_xlfn.IFS(VALUE(MID(AT$5,6,1))&gt;$D$2,0,$AP104="Annual",1,AS104=12,12,$AP104="Monthly V",AS104*(1+$D$3),$AP104="Monthly F",12,$AP104="One-Time",0),AS104*(1+$D$3))</f>
        <v>0</v>
      </c>
      <c r="AU104" s="14" cm="1">
        <f t="array" ref="AU104">IFERROR(_xlfn.IFS(VALUE(MID(AU$5,6,1))&gt;$D$2,0,$AP104="Annual",1,AT104=12,12,$AP104="Monthly V",AT104*(1+$D$3),$AP104="Monthly F",12,$AP104="One-Time",0),AT104*(1+$D$3))</f>
        <v>0</v>
      </c>
      <c r="AV104" s="14" cm="1">
        <f t="array" ref="AV104">IFERROR(_xlfn.IFS(VALUE(MID(AV$5,6,1))&gt;$D$2,0,$AP104="Annual",1,AU104=12,12,$AP104="Monthly V",AU104*(1+$D$3),$AP104="Monthly F",12,$AP104="One-Time",0),AU104*(1+$D$3))</f>
        <v>0</v>
      </c>
      <c r="AW104" s="14" cm="1">
        <f t="array" ref="AW104">IFERROR(_xlfn.IFS(VALUE(MID(AW$5,6,1))&gt;$D$2,0,$AP104="Annual",1,AV104=12,12,$AP104="Monthly V",AV104*(1+$D$3),$AP104="Monthly F",12,$AP104="One-Time",0),AV104*(1+$D$3))</f>
        <v>0</v>
      </c>
      <c r="AX104" s="14" cm="1">
        <f t="array" ref="AX104">IFERROR(_xlfn.IFS(VALUE(MID(AX$5,6,1))&gt;$D$2,0,$AP104="Annual",1,AW104=12,12,$AP104="Monthly V",AW104*(1+$D$3),$AP104="Monthly F",12,$AP104="One-Time",0),AW104*(1+$D$3))</f>
        <v>0</v>
      </c>
      <c r="AY104" s="14" cm="1">
        <f t="array" ref="AY104">IFERROR(_xlfn.IFS(VALUE(MID(AY$5,6,1))&gt;$D$2,0,$AP104="Annual",1,AX104=12,12,$AP104="Monthly V",AX104*(1+$D$3),$AP104="Monthly F",12,$AP104="One-Time",0),AX104*(1+$D$3))</f>
        <v>0</v>
      </c>
      <c r="AZ104" s="14" cm="1">
        <f t="array" ref="AZ104">IFERROR(_xlfn.IFS(VALUE(MID(AZ$5,6,1))&gt;$D$2,0,$AP104="Annual",1,AY104=12,12,$AP104="Monthly V",AY104*(1+$D$3),$AP104="Monthly F",12,$AP104="One-Time",0),AY104*(1+$D$3))</f>
        <v>0</v>
      </c>
      <c r="BA104" s="125" cm="1">
        <f t="array" ref="BA104">IFERROR(_xlfn.IFS(VALUE(MID(BA$5,6,2))&gt;$D$2,0,$AP104="Annual",1,AZ104=12,12,$AP104="Monthly V",AZ104*(1+$D$3),$AP104="Monthly F",12,$AP104="One-Time",0),AZ104*(1+$D$3))</f>
        <v>0</v>
      </c>
      <c r="BB104" s="148" t="s">
        <v>214</v>
      </c>
      <c r="BC104" s="144" t="s">
        <v>215</v>
      </c>
      <c r="BD104" s="145">
        <v>54000</v>
      </c>
      <c r="BE104" s="21">
        <f t="shared" si="479"/>
        <v>4500</v>
      </c>
      <c r="BF104" s="39">
        <f t="shared" si="480"/>
        <v>54000</v>
      </c>
      <c r="BG104" s="39">
        <f t="shared" si="481"/>
        <v>0</v>
      </c>
      <c r="BH104" s="39">
        <f t="shared" si="482"/>
        <v>0</v>
      </c>
      <c r="BI104" s="39">
        <f t="shared" si="483"/>
        <v>0</v>
      </c>
      <c r="BJ104" s="39">
        <f t="shared" si="484"/>
        <v>0</v>
      </c>
      <c r="BK104" s="39">
        <f t="shared" si="485"/>
        <v>0</v>
      </c>
      <c r="BL104" s="39">
        <f t="shared" si="486"/>
        <v>0</v>
      </c>
      <c r="BM104" s="39">
        <f t="shared" si="487"/>
        <v>0</v>
      </c>
      <c r="BN104" s="39">
        <f t="shared" si="488"/>
        <v>0</v>
      </c>
      <c r="BO104" s="39">
        <f t="shared" si="489"/>
        <v>0</v>
      </c>
      <c r="BP104" s="40"/>
      <c r="BQ104" s="40">
        <f t="shared" si="490"/>
        <v>0</v>
      </c>
      <c r="BR104" s="40">
        <f t="shared" si="491"/>
        <v>0</v>
      </c>
      <c r="BS104" s="40">
        <f t="shared" si="492"/>
        <v>0</v>
      </c>
      <c r="BT104" s="40">
        <f t="shared" si="493"/>
        <v>0</v>
      </c>
      <c r="BU104" s="40">
        <f t="shared" si="494"/>
        <v>0</v>
      </c>
      <c r="BV104" s="40">
        <f t="shared" si="495"/>
        <v>0</v>
      </c>
      <c r="BW104" s="40">
        <f t="shared" si="496"/>
        <v>0</v>
      </c>
      <c r="BX104" s="40">
        <f t="shared" si="497"/>
        <v>0</v>
      </c>
      <c r="BY104" s="40">
        <f t="shared" si="498"/>
        <v>0</v>
      </c>
      <c r="BZ104" s="40">
        <f t="shared" si="499"/>
        <v>0</v>
      </c>
      <c r="CA104" s="37">
        <f t="shared" si="500"/>
        <v>54000</v>
      </c>
      <c r="CC104" s="102"/>
      <c r="CD104" s="12"/>
      <c r="CE104" s="14"/>
      <c r="CF104" s="14"/>
      <c r="CG104" s="14"/>
      <c r="CH104" s="14"/>
      <c r="CI104" s="14"/>
      <c r="CJ104" s="14"/>
      <c r="CK104" s="14"/>
      <c r="CL104" s="14"/>
      <c r="CM104" s="14"/>
      <c r="CN104" s="24"/>
      <c r="CO104" s="63"/>
      <c r="CP104" s="53"/>
      <c r="CQ104" s="21"/>
      <c r="CR104" s="55"/>
      <c r="CS104" s="55"/>
      <c r="CT104" s="55"/>
      <c r="CU104" s="55"/>
      <c r="CV104" s="55"/>
      <c r="CW104" s="55"/>
      <c r="CX104" s="55"/>
      <c r="CY104" s="55"/>
      <c r="CZ104" s="55"/>
      <c r="DA104" s="55"/>
      <c r="DB104" s="56"/>
      <c r="DC104" s="56"/>
      <c r="DD104" s="56"/>
      <c r="DE104" s="56"/>
      <c r="DF104" s="56"/>
      <c r="DG104" s="56"/>
      <c r="DH104" s="56"/>
      <c r="DI104" s="56"/>
      <c r="DJ104" s="56"/>
      <c r="DK104" s="56"/>
      <c r="DL104" s="57"/>
      <c r="DM104" s="54"/>
      <c r="DO104" s="106"/>
    </row>
    <row r="105" spans="2:119" x14ac:dyDescent="0.25">
      <c r="B105" s="141"/>
      <c r="C105" s="24"/>
      <c r="D105" s="147"/>
      <c r="E105" s="142"/>
      <c r="F105" s="14"/>
      <c r="G105" s="14"/>
      <c r="H105" s="14"/>
      <c r="I105" s="14"/>
      <c r="J105" s="14"/>
      <c r="K105" s="14"/>
      <c r="L105" s="14"/>
      <c r="M105" s="14"/>
      <c r="N105" s="24"/>
      <c r="O105" s="127"/>
      <c r="P105" s="13"/>
      <c r="Q105" s="20"/>
      <c r="R105" s="21"/>
      <c r="S105" s="6"/>
      <c r="T105" s="6"/>
      <c r="U105" s="6"/>
      <c r="V105" s="6"/>
      <c r="W105" s="6"/>
      <c r="X105" s="6"/>
      <c r="Y105" s="6"/>
      <c r="Z105" s="6"/>
      <c r="AA105" s="6"/>
      <c r="AB105" s="6"/>
      <c r="AC105" s="7"/>
      <c r="AD105" s="152"/>
      <c r="AE105" s="152"/>
      <c r="AF105" s="152"/>
      <c r="AG105" s="152"/>
      <c r="AH105" s="152"/>
      <c r="AI105" s="152"/>
      <c r="AJ105" s="152"/>
      <c r="AK105" s="152"/>
      <c r="AL105" s="152"/>
      <c r="AM105" s="9"/>
      <c r="AN105" s="80"/>
      <c r="AP105" s="114" t="s">
        <v>3</v>
      </c>
      <c r="AQ105" s="143">
        <v>1</v>
      </c>
      <c r="AR105" s="14">
        <f t="shared" si="478"/>
        <v>1</v>
      </c>
      <c r="AS105" s="14" cm="1">
        <f t="array" ref="AS105">IFERROR(_xlfn.IFS(VALUE(MID(AS$5,6,1))&gt;$D$2,0,$AP105="Annual",1,AR105=12,12,$AP105="Monthly V",AR105*(1+$D$3),$AP105="Monthly F",12,$AP105="One-Time",0),AR105*(1+$D$3))</f>
        <v>0</v>
      </c>
      <c r="AT105" s="14" cm="1">
        <f t="array" ref="AT105">IFERROR(_xlfn.IFS(VALUE(MID(AT$5,6,1))&gt;$D$2,0,$AP105="Annual",1,AS105=12,12,$AP105="Monthly V",AS105*(1+$D$3),$AP105="Monthly F",12,$AP105="One-Time",0),AS105*(1+$D$3))</f>
        <v>0</v>
      </c>
      <c r="AU105" s="14" cm="1">
        <f t="array" ref="AU105">IFERROR(_xlfn.IFS(VALUE(MID(AU$5,6,1))&gt;$D$2,0,$AP105="Annual",1,AT105=12,12,$AP105="Monthly V",AT105*(1+$D$3),$AP105="Monthly F",12,$AP105="One-Time",0),AT105*(1+$D$3))</f>
        <v>0</v>
      </c>
      <c r="AV105" s="14" cm="1">
        <f t="array" ref="AV105">IFERROR(_xlfn.IFS(VALUE(MID(AV$5,6,1))&gt;$D$2,0,$AP105="Annual",1,AU105=12,12,$AP105="Monthly V",AU105*(1+$D$3),$AP105="Monthly F",12,$AP105="One-Time",0),AU105*(1+$D$3))</f>
        <v>0</v>
      </c>
      <c r="AW105" s="14" cm="1">
        <f t="array" ref="AW105">IFERROR(_xlfn.IFS(VALUE(MID(AW$5,6,1))&gt;$D$2,0,$AP105="Annual",1,AV105=12,12,$AP105="Monthly V",AV105*(1+$D$3),$AP105="Monthly F",12,$AP105="One-Time",0),AV105*(1+$D$3))</f>
        <v>0</v>
      </c>
      <c r="AX105" s="14" cm="1">
        <f t="array" ref="AX105">IFERROR(_xlfn.IFS(VALUE(MID(AX$5,6,1))&gt;$D$2,0,$AP105="Annual",1,AW105=12,12,$AP105="Monthly V",AW105*(1+$D$3),$AP105="Monthly F",12,$AP105="One-Time",0),AW105*(1+$D$3))</f>
        <v>0</v>
      </c>
      <c r="AY105" s="14" cm="1">
        <f t="array" ref="AY105">IFERROR(_xlfn.IFS(VALUE(MID(AY$5,6,1))&gt;$D$2,0,$AP105="Annual",1,AX105=12,12,$AP105="Monthly V",AX105*(1+$D$3),$AP105="Monthly F",12,$AP105="One-Time",0),AX105*(1+$D$3))</f>
        <v>0</v>
      </c>
      <c r="AZ105" s="14" cm="1">
        <f t="array" ref="AZ105">IFERROR(_xlfn.IFS(VALUE(MID(AZ$5,6,1))&gt;$D$2,0,$AP105="Annual",1,AY105=12,12,$AP105="Monthly V",AY105*(1+$D$3),$AP105="Monthly F",12,$AP105="One-Time",0),AY105*(1+$D$3))</f>
        <v>0</v>
      </c>
      <c r="BA105" s="125" cm="1">
        <f t="array" ref="BA105">IFERROR(_xlfn.IFS(VALUE(MID(BA$5,6,2))&gt;$D$2,0,$AP105="Annual",1,AZ105=12,12,$AP105="Monthly V",AZ105*(1+$D$3),$AP105="Monthly F",12,$AP105="One-Time",0),AZ105*(1+$D$3))</f>
        <v>0</v>
      </c>
      <c r="BB105" s="148" t="s">
        <v>245</v>
      </c>
      <c r="BC105" s="144" t="s">
        <v>249</v>
      </c>
      <c r="BD105" s="145">
        <v>7650</v>
      </c>
      <c r="BE105" s="21">
        <f t="shared" si="479"/>
        <v>637.5</v>
      </c>
      <c r="BF105" s="39">
        <f t="shared" si="480"/>
        <v>7650</v>
      </c>
      <c r="BG105" s="39">
        <f t="shared" si="481"/>
        <v>0</v>
      </c>
      <c r="BH105" s="39">
        <f t="shared" si="482"/>
        <v>0</v>
      </c>
      <c r="BI105" s="39">
        <f t="shared" si="483"/>
        <v>0</v>
      </c>
      <c r="BJ105" s="39">
        <f t="shared" si="484"/>
        <v>0</v>
      </c>
      <c r="BK105" s="39">
        <f t="shared" si="485"/>
        <v>0</v>
      </c>
      <c r="BL105" s="39">
        <f t="shared" si="486"/>
        <v>0</v>
      </c>
      <c r="BM105" s="39">
        <f t="shared" si="487"/>
        <v>0</v>
      </c>
      <c r="BN105" s="39">
        <f t="shared" si="488"/>
        <v>0</v>
      </c>
      <c r="BO105" s="39">
        <f t="shared" si="489"/>
        <v>0</v>
      </c>
      <c r="BP105" s="40"/>
      <c r="BQ105" s="40">
        <f t="shared" si="490"/>
        <v>0</v>
      </c>
      <c r="BR105" s="40">
        <f t="shared" si="491"/>
        <v>0</v>
      </c>
      <c r="BS105" s="40">
        <f t="shared" si="492"/>
        <v>0</v>
      </c>
      <c r="BT105" s="40">
        <f t="shared" si="493"/>
        <v>0</v>
      </c>
      <c r="BU105" s="40">
        <f t="shared" si="494"/>
        <v>0</v>
      </c>
      <c r="BV105" s="40">
        <f t="shared" si="495"/>
        <v>0</v>
      </c>
      <c r="BW105" s="40">
        <f t="shared" si="496"/>
        <v>0</v>
      </c>
      <c r="BX105" s="40">
        <f t="shared" si="497"/>
        <v>0</v>
      </c>
      <c r="BY105" s="40">
        <f t="shared" si="498"/>
        <v>0</v>
      </c>
      <c r="BZ105" s="40">
        <f t="shared" si="499"/>
        <v>0</v>
      </c>
      <c r="CA105" s="37">
        <f t="shared" si="500"/>
        <v>7650</v>
      </c>
      <c r="CC105" s="102"/>
      <c r="CD105" s="12"/>
      <c r="CE105" s="14"/>
      <c r="CF105" s="14"/>
      <c r="CG105" s="14"/>
      <c r="CH105" s="14"/>
      <c r="CI105" s="14"/>
      <c r="CJ105" s="14"/>
      <c r="CK105" s="14"/>
      <c r="CL105" s="14"/>
      <c r="CM105" s="14"/>
      <c r="CN105" s="24"/>
      <c r="CO105" s="63"/>
      <c r="CP105" s="53"/>
      <c r="CQ105" s="21"/>
      <c r="CR105" s="55"/>
      <c r="CS105" s="55"/>
      <c r="CT105" s="55"/>
      <c r="CU105" s="55"/>
      <c r="CV105" s="55"/>
      <c r="CW105" s="55"/>
      <c r="CX105" s="55"/>
      <c r="CY105" s="55"/>
      <c r="CZ105" s="55"/>
      <c r="DA105" s="55"/>
      <c r="DB105" s="56"/>
      <c r="DC105" s="56"/>
      <c r="DD105" s="56"/>
      <c r="DE105" s="56"/>
      <c r="DF105" s="56"/>
      <c r="DG105" s="56"/>
      <c r="DH105" s="56"/>
      <c r="DI105" s="56"/>
      <c r="DJ105" s="56"/>
      <c r="DK105" s="56"/>
      <c r="DL105" s="57"/>
      <c r="DM105" s="54"/>
      <c r="DO105" s="106"/>
    </row>
    <row r="106" spans="2:119" x14ac:dyDescent="0.25">
      <c r="B106" s="141"/>
      <c r="C106" s="24"/>
      <c r="D106" s="147">
        <f t="shared" si="501"/>
        <v>0</v>
      </c>
      <c r="E106" s="142">
        <f t="shared" si="525"/>
        <v>0</v>
      </c>
      <c r="F106" s="14" cm="1">
        <f t="array" ref="F106">IFERROR(_xlfn.IFS(VALUE(MID(F$5,6,1))&gt;$D$2,0,$B106="Annual",1,E106=12,12,$B106="Monthly V",E106*(1+$D$3),$B106="Monthly F",12,$B106="One-Time",0),E106*(1+$D$3))</f>
        <v>0</v>
      </c>
      <c r="G106" s="14" cm="1">
        <f t="array" ref="G106">IFERROR(_xlfn.IFS(VALUE(MID(G$5,6,1))&gt;$D$2,0,$B106="Annual",1,F106=12,12,$B106="Monthly V",F106*(1+$D$3),$B106="Monthly F",12,$B106="One-Time",0),F106*(1+$D$3))</f>
        <v>0</v>
      </c>
      <c r="H106" s="14" cm="1">
        <f t="array" ref="H106">IFERROR(_xlfn.IFS(VALUE(MID(H$5,6,1))&gt;$D$2,0,$B106="Annual",1,G106=12,12,$B106="Monthly V",G106*(1+$D$3),$B106="Monthly F",12,$B106="One-Time",0),G106*(1+$D$3))</f>
        <v>0</v>
      </c>
      <c r="I106" s="14" cm="1">
        <f t="array" ref="I106">IFERROR(_xlfn.IFS(VALUE(MID(I$5,6,1))&gt;$D$2,0,$B106="Annual",1,H106=12,12,$B106="Monthly V",H106*(1+$D$3),$B106="Monthly F",12,$B106="One-Time",0),H106*(1+$D$3))</f>
        <v>0</v>
      </c>
      <c r="J106" s="14" cm="1">
        <f t="array" ref="J106">IFERROR(_xlfn.IFS(VALUE(MID(J$5,6,1))&gt;$D$2,0,$B106="Annual",1,I106=12,12,$B106="Monthly V",I106*(1+$D$3),$B106="Monthly F",12,$B106="One-Time",0),I106*(1+$D$3))</f>
        <v>0</v>
      </c>
      <c r="K106" s="14" cm="1">
        <f t="array" ref="K106">IFERROR(_xlfn.IFS(VALUE(MID(K$5,6,1))&gt;$D$2,0,$B106="Annual",1,J106=12,12,$B106="Monthly V",J106*(1+$D$3),$B106="Monthly F",12,$B106="One-Time",0),J106*(1+$D$3))</f>
        <v>0</v>
      </c>
      <c r="L106" s="14" cm="1">
        <f t="array" ref="L106">IFERROR(_xlfn.IFS(VALUE(MID(L$5,6,1))&gt;$D$2,0,$B106="Annual",1,K106=12,12,$B106="Monthly V",K106*(1+$D$3),$B106="Monthly F",12,$B106="One-Time",0),K106*(1+$D$3))</f>
        <v>0</v>
      </c>
      <c r="M106" s="14" cm="1">
        <f t="array" ref="M106">IFERROR(_xlfn.IFS(VALUE(MID(M$5,6,1))&gt;$D$2,0,$B106="Annual",1,L106=12,12,$B106="Monthly V",L106*(1+$D$3),$B106="Monthly F",12,$B106="One-Time",0),L106*(1+$D$3))</f>
        <v>0</v>
      </c>
      <c r="N106" s="24" cm="1">
        <f t="array" ref="N106">IFERROR(_xlfn.IFS(VALUE(MID(N$5,6,2))&gt;$D$2,0,$B106="Annual",1,M106=12,12,$B106="Monthly V",M106*(1+$D$3),$B106="Monthly F",12,$B106="One-Time",0),M106*(1+$D$3))</f>
        <v>0</v>
      </c>
      <c r="O106" s="127"/>
      <c r="P106" s="13"/>
      <c r="Q106" s="20"/>
      <c r="R106" s="21"/>
      <c r="S106" s="6">
        <f t="shared" si="548"/>
        <v>0</v>
      </c>
      <c r="T106" s="6">
        <f t="shared" si="549"/>
        <v>0</v>
      </c>
      <c r="U106" s="6">
        <f t="shared" si="550"/>
        <v>0</v>
      </c>
      <c r="V106" s="6">
        <f t="shared" si="551"/>
        <v>0</v>
      </c>
      <c r="W106" s="6">
        <f t="shared" si="552"/>
        <v>0</v>
      </c>
      <c r="X106" s="6">
        <f t="shared" si="553"/>
        <v>0</v>
      </c>
      <c r="Y106" s="6">
        <f t="shared" si="554"/>
        <v>0</v>
      </c>
      <c r="Z106" s="6">
        <f t="shared" si="555"/>
        <v>0</v>
      </c>
      <c r="AA106" s="6">
        <f t="shared" si="556"/>
        <v>0</v>
      </c>
      <c r="AB106" s="6">
        <f t="shared" si="557"/>
        <v>0</v>
      </c>
      <c r="AC106" s="7"/>
      <c r="AD106" s="152">
        <f t="shared" si="558"/>
        <v>0</v>
      </c>
      <c r="AE106" s="152">
        <f t="shared" si="559"/>
        <v>0</v>
      </c>
      <c r="AF106" s="152">
        <f t="shared" si="560"/>
        <v>0</v>
      </c>
      <c r="AG106" s="152">
        <f t="shared" si="561"/>
        <v>0</v>
      </c>
      <c r="AH106" s="152">
        <f t="shared" si="562"/>
        <v>0</v>
      </c>
      <c r="AI106" s="152">
        <f t="shared" si="563"/>
        <v>0</v>
      </c>
      <c r="AJ106" s="152">
        <f t="shared" si="564"/>
        <v>0</v>
      </c>
      <c r="AK106" s="152">
        <f t="shared" si="565"/>
        <v>0</v>
      </c>
      <c r="AL106" s="152">
        <f t="shared" si="566"/>
        <v>0</v>
      </c>
      <c r="AM106" s="9">
        <f t="shared" si="567"/>
        <v>0</v>
      </c>
      <c r="AN106" s="80">
        <f t="shared" si="568"/>
        <v>0</v>
      </c>
      <c r="AP106" s="114" t="s">
        <v>3</v>
      </c>
      <c r="AQ106" s="143">
        <v>1</v>
      </c>
      <c r="AR106" s="14">
        <f t="shared" si="478"/>
        <v>1</v>
      </c>
      <c r="AS106" s="14" cm="1">
        <f t="array" ref="AS106">IFERROR(_xlfn.IFS(VALUE(MID(AS$5,6,1))&gt;$D$2,0,$AP106="Annual",1,AR106=12,12,$AP106="Monthly V",AR106*(1+$D$3),$AP106="Monthly F",12,$AP106="One-Time",0),AR106*(1+$D$3))</f>
        <v>0</v>
      </c>
      <c r="AT106" s="14" cm="1">
        <f t="array" ref="AT106">IFERROR(_xlfn.IFS(VALUE(MID(AT$5,6,1))&gt;$D$2,0,$AP106="Annual",1,AS106=12,12,$AP106="Monthly V",AS106*(1+$D$3),$AP106="Monthly F",12,$AP106="One-Time",0),AS106*(1+$D$3))</f>
        <v>0</v>
      </c>
      <c r="AU106" s="14" cm="1">
        <f t="array" ref="AU106">IFERROR(_xlfn.IFS(VALUE(MID(AU$5,6,1))&gt;$D$2,0,$AP106="Annual",1,AT106=12,12,$AP106="Monthly V",AT106*(1+$D$3),$AP106="Monthly F",12,$AP106="One-Time",0),AT106*(1+$D$3))</f>
        <v>0</v>
      </c>
      <c r="AV106" s="14" cm="1">
        <f t="array" ref="AV106">IFERROR(_xlfn.IFS(VALUE(MID(AV$5,6,1))&gt;$D$2,0,$AP106="Annual",1,AU106=12,12,$AP106="Monthly V",AU106*(1+$D$3),$AP106="Monthly F",12,$AP106="One-Time",0),AU106*(1+$D$3))</f>
        <v>0</v>
      </c>
      <c r="AW106" s="14" cm="1">
        <f t="array" ref="AW106">IFERROR(_xlfn.IFS(VALUE(MID(AW$5,6,1))&gt;$D$2,0,$AP106="Annual",1,AV106=12,12,$AP106="Monthly V",AV106*(1+$D$3),$AP106="Monthly F",12,$AP106="One-Time",0),AV106*(1+$D$3))</f>
        <v>0</v>
      </c>
      <c r="AX106" s="14" cm="1">
        <f t="array" ref="AX106">IFERROR(_xlfn.IFS(VALUE(MID(AX$5,6,1))&gt;$D$2,0,$AP106="Annual",1,AW106=12,12,$AP106="Monthly V",AW106*(1+$D$3),$AP106="Monthly F",12,$AP106="One-Time",0),AW106*(1+$D$3))</f>
        <v>0</v>
      </c>
      <c r="AY106" s="14" cm="1">
        <f t="array" ref="AY106">IFERROR(_xlfn.IFS(VALUE(MID(AY$5,6,1))&gt;$D$2,0,$AP106="Annual",1,AX106=12,12,$AP106="Monthly V",AX106*(1+$D$3),$AP106="Monthly F",12,$AP106="One-Time",0),AX106*(1+$D$3))</f>
        <v>0</v>
      </c>
      <c r="AZ106" s="14" cm="1">
        <f t="array" ref="AZ106">IFERROR(_xlfn.IFS(VALUE(MID(AZ$5,6,1))&gt;$D$2,0,$AP106="Annual",1,AY106=12,12,$AP106="Monthly V",AY106*(1+$D$3),$AP106="Monthly F",12,$AP106="One-Time",0),AY106*(1+$D$3))</f>
        <v>0</v>
      </c>
      <c r="BA106" s="125" cm="1">
        <f t="array" ref="BA106">IFERROR(_xlfn.IFS(VALUE(MID(BA$5,6,2))&gt;$D$2,0,$AP106="Annual",1,AZ106=12,12,$AP106="Monthly V",AZ106*(1+$D$3),$AP106="Monthly F",12,$AP106="One-Time",0),AZ106*(1+$D$3))</f>
        <v>0</v>
      </c>
      <c r="BB106" s="148" t="s">
        <v>326</v>
      </c>
      <c r="BC106" s="144" t="s">
        <v>328</v>
      </c>
      <c r="BD106" s="145">
        <v>30000</v>
      </c>
      <c r="BE106" s="21">
        <f t="shared" si="479"/>
        <v>2500</v>
      </c>
      <c r="BF106" s="39">
        <f t="shared" si="480"/>
        <v>30000</v>
      </c>
      <c r="BG106" s="39">
        <f t="shared" si="481"/>
        <v>0</v>
      </c>
      <c r="BH106" s="39">
        <f t="shared" si="482"/>
        <v>0</v>
      </c>
      <c r="BI106" s="39">
        <f t="shared" si="483"/>
        <v>0</v>
      </c>
      <c r="BJ106" s="39">
        <f t="shared" si="484"/>
        <v>0</v>
      </c>
      <c r="BK106" s="39">
        <f t="shared" si="485"/>
        <v>0</v>
      </c>
      <c r="BL106" s="39">
        <f t="shared" si="486"/>
        <v>0</v>
      </c>
      <c r="BM106" s="39">
        <f t="shared" si="487"/>
        <v>0</v>
      </c>
      <c r="BN106" s="39">
        <f t="shared" si="488"/>
        <v>0</v>
      </c>
      <c r="BO106" s="39">
        <f t="shared" si="489"/>
        <v>0</v>
      </c>
      <c r="BP106" s="40"/>
      <c r="BQ106" s="40">
        <f t="shared" si="490"/>
        <v>0</v>
      </c>
      <c r="BR106" s="40">
        <f t="shared" si="491"/>
        <v>0</v>
      </c>
      <c r="BS106" s="40">
        <f t="shared" si="492"/>
        <v>0</v>
      </c>
      <c r="BT106" s="40">
        <f t="shared" si="493"/>
        <v>0</v>
      </c>
      <c r="BU106" s="40">
        <f t="shared" si="494"/>
        <v>0</v>
      </c>
      <c r="BV106" s="40">
        <f t="shared" si="495"/>
        <v>0</v>
      </c>
      <c r="BW106" s="40">
        <f t="shared" si="496"/>
        <v>0</v>
      </c>
      <c r="BX106" s="40">
        <f t="shared" si="497"/>
        <v>0</v>
      </c>
      <c r="BY106" s="40">
        <f t="shared" si="498"/>
        <v>0</v>
      </c>
      <c r="BZ106" s="40">
        <f t="shared" si="499"/>
        <v>0</v>
      </c>
      <c r="CA106" s="37">
        <f t="shared" si="500"/>
        <v>30000</v>
      </c>
      <c r="CC106" s="102"/>
      <c r="CD106" s="12"/>
      <c r="CE106" s="14"/>
      <c r="CF106" s="14"/>
      <c r="CG106" s="14"/>
      <c r="CH106" s="14"/>
      <c r="CI106" s="14"/>
      <c r="CJ106" s="14"/>
      <c r="CK106" s="14"/>
      <c r="CL106" s="14"/>
      <c r="CM106" s="14"/>
      <c r="CN106" s="24"/>
      <c r="CO106" s="63"/>
      <c r="CP106" s="53"/>
      <c r="CQ106" s="21"/>
      <c r="CR106" s="55"/>
      <c r="CS106" s="55"/>
      <c r="CT106" s="55"/>
      <c r="CU106" s="55"/>
      <c r="CV106" s="55"/>
      <c r="CW106" s="55"/>
      <c r="CX106" s="55"/>
      <c r="CY106" s="55"/>
      <c r="CZ106" s="55"/>
      <c r="DA106" s="55"/>
      <c r="DB106" s="56"/>
      <c r="DC106" s="56"/>
      <c r="DD106" s="56"/>
      <c r="DE106" s="56"/>
      <c r="DF106" s="56"/>
      <c r="DG106" s="56"/>
      <c r="DH106" s="56"/>
      <c r="DI106" s="56"/>
      <c r="DJ106" s="56"/>
      <c r="DK106" s="56"/>
      <c r="DL106" s="57"/>
      <c r="DM106" s="54"/>
      <c r="DO106" s="106"/>
    </row>
    <row r="107" spans="2:119" ht="15.75" thickBot="1" x14ac:dyDescent="0.3">
      <c r="B107" s="141"/>
      <c r="C107" s="24"/>
      <c r="D107" s="147">
        <f t="shared" si="501"/>
        <v>0</v>
      </c>
      <c r="E107" s="142">
        <f t="shared" si="525"/>
        <v>0</v>
      </c>
      <c r="F107" s="14" cm="1">
        <f t="array" ref="F107">IFERROR(_xlfn.IFS(VALUE(MID(F$5,6,1))&gt;$D$2,0,$B107="Annual",1,E107=12,12,$B107="Monthly V",E107*(1+$D$3),$B107="Monthly F",12,$B107="One-Time",0),E107*(1+$D$3))</f>
        <v>0</v>
      </c>
      <c r="G107" s="14" cm="1">
        <f t="array" ref="G107">IFERROR(_xlfn.IFS(VALUE(MID(G$5,6,1))&gt;$D$2,0,$B107="Annual",1,F107=12,12,$B107="Monthly V",F107*(1+$D$3),$B107="Monthly F",12,$B107="One-Time",0),F107*(1+$D$3))</f>
        <v>0</v>
      </c>
      <c r="H107" s="14" cm="1">
        <f t="array" ref="H107">IFERROR(_xlfn.IFS(VALUE(MID(H$5,6,1))&gt;$D$2,0,$B107="Annual",1,G107=12,12,$B107="Monthly V",G107*(1+$D$3),$B107="Monthly F",12,$B107="One-Time",0),G107*(1+$D$3))</f>
        <v>0</v>
      </c>
      <c r="I107" s="14" cm="1">
        <f t="array" ref="I107">IFERROR(_xlfn.IFS(VALUE(MID(I$5,6,1))&gt;$D$2,0,$B107="Annual",1,H107=12,12,$B107="Monthly V",H107*(1+$D$3),$B107="Monthly F",12,$B107="One-Time",0),H107*(1+$D$3))</f>
        <v>0</v>
      </c>
      <c r="J107" s="14" cm="1">
        <f t="array" ref="J107">IFERROR(_xlfn.IFS(VALUE(MID(J$5,6,1))&gt;$D$2,0,$B107="Annual",1,I107=12,12,$B107="Monthly V",I107*(1+$D$3),$B107="Monthly F",12,$B107="One-Time",0),I107*(1+$D$3))</f>
        <v>0</v>
      </c>
      <c r="K107" s="14" cm="1">
        <f t="array" ref="K107">IFERROR(_xlfn.IFS(VALUE(MID(K$5,6,1))&gt;$D$2,0,$B107="Annual",1,J107=12,12,$B107="Monthly V",J107*(1+$D$3),$B107="Monthly F",12,$B107="One-Time",0),J107*(1+$D$3))</f>
        <v>0</v>
      </c>
      <c r="L107" s="14" cm="1">
        <f t="array" ref="L107">IFERROR(_xlfn.IFS(VALUE(MID(L$5,6,1))&gt;$D$2,0,$B107="Annual",1,K107=12,12,$B107="Monthly V",K107*(1+$D$3),$B107="Monthly F",12,$B107="One-Time",0),K107*(1+$D$3))</f>
        <v>0</v>
      </c>
      <c r="M107" s="14" cm="1">
        <f t="array" ref="M107">IFERROR(_xlfn.IFS(VALUE(MID(M$5,6,1))&gt;$D$2,0,$B107="Annual",1,L107=12,12,$B107="Monthly V",L107*(1+$D$3),$B107="Monthly F",12,$B107="One-Time",0),L107*(1+$D$3))</f>
        <v>0</v>
      </c>
      <c r="N107" s="24" cm="1">
        <f t="array" ref="N107">IFERROR(_xlfn.IFS(VALUE(MID(N$5,6,2))&gt;$D$2,0,$B107="Annual",1,M107=12,12,$B107="Monthly V",M107*(1+$D$3),$B107="Monthly F",12,$B107="One-Time",0),M107*(1+$D$3))</f>
        <v>0</v>
      </c>
      <c r="O107" s="127"/>
      <c r="P107" s="13"/>
      <c r="Q107" s="20"/>
      <c r="R107" s="21"/>
      <c r="S107" s="6">
        <f t="shared" si="548"/>
        <v>0</v>
      </c>
      <c r="T107" s="6">
        <f t="shared" si="549"/>
        <v>0</v>
      </c>
      <c r="U107" s="6">
        <f t="shared" si="550"/>
        <v>0</v>
      </c>
      <c r="V107" s="6">
        <f t="shared" si="551"/>
        <v>0</v>
      </c>
      <c r="W107" s="6">
        <f t="shared" si="552"/>
        <v>0</v>
      </c>
      <c r="X107" s="6">
        <f t="shared" si="553"/>
        <v>0</v>
      </c>
      <c r="Y107" s="6">
        <f t="shared" si="554"/>
        <v>0</v>
      </c>
      <c r="Z107" s="6">
        <f t="shared" si="555"/>
        <v>0</v>
      </c>
      <c r="AA107" s="6">
        <f t="shared" si="556"/>
        <v>0</v>
      </c>
      <c r="AB107" s="6">
        <f t="shared" si="557"/>
        <v>0</v>
      </c>
      <c r="AC107" s="7"/>
      <c r="AD107" s="152">
        <f t="shared" si="558"/>
        <v>0</v>
      </c>
      <c r="AE107" s="152">
        <f t="shared" si="559"/>
        <v>0</v>
      </c>
      <c r="AF107" s="152">
        <f t="shared" si="560"/>
        <v>0</v>
      </c>
      <c r="AG107" s="152">
        <f t="shared" si="561"/>
        <v>0</v>
      </c>
      <c r="AH107" s="152">
        <f t="shared" si="562"/>
        <v>0</v>
      </c>
      <c r="AI107" s="152">
        <f t="shared" si="563"/>
        <v>0</v>
      </c>
      <c r="AJ107" s="152">
        <f t="shared" si="564"/>
        <v>0</v>
      </c>
      <c r="AK107" s="152">
        <f t="shared" si="565"/>
        <v>0</v>
      </c>
      <c r="AL107" s="152">
        <f t="shared" si="566"/>
        <v>0</v>
      </c>
      <c r="AM107" s="9">
        <f t="shared" si="567"/>
        <v>0</v>
      </c>
      <c r="AN107" s="80">
        <f t="shared" si="568"/>
        <v>0</v>
      </c>
      <c r="AP107" s="114" t="s">
        <v>3</v>
      </c>
      <c r="AQ107" s="143">
        <v>1</v>
      </c>
      <c r="AR107" s="14">
        <f t="shared" si="478"/>
        <v>1</v>
      </c>
      <c r="AS107" s="14" cm="1">
        <f t="array" ref="AS107">IFERROR(_xlfn.IFS(VALUE(MID(AS$5,6,1))&gt;$D$2,0,$AP107="Annual",1,AR107=12,12,$AP107="Monthly V",AR107*(1+$D$3),$AP107="Monthly F",12,$AP107="One-Time",0),AR107*(1+$D$3))</f>
        <v>0</v>
      </c>
      <c r="AT107" s="14" cm="1">
        <f t="array" ref="AT107">IFERROR(_xlfn.IFS(VALUE(MID(AT$5,6,1))&gt;$D$2,0,$AP107="Annual",1,AS107=12,12,$AP107="Monthly V",AS107*(1+$D$3),$AP107="Monthly F",12,$AP107="One-Time",0),AS107*(1+$D$3))</f>
        <v>0</v>
      </c>
      <c r="AU107" s="14" cm="1">
        <f t="array" ref="AU107">IFERROR(_xlfn.IFS(VALUE(MID(AU$5,6,1))&gt;$D$2,0,$AP107="Annual",1,AT107=12,12,$AP107="Monthly V",AT107*(1+$D$3),$AP107="Monthly F",12,$AP107="One-Time",0),AT107*(1+$D$3))</f>
        <v>0</v>
      </c>
      <c r="AV107" s="14" cm="1">
        <f t="array" ref="AV107">IFERROR(_xlfn.IFS(VALUE(MID(AV$5,6,1))&gt;$D$2,0,$AP107="Annual",1,AU107=12,12,$AP107="Monthly V",AU107*(1+$D$3),$AP107="Monthly F",12,$AP107="One-Time",0),AU107*(1+$D$3))</f>
        <v>0</v>
      </c>
      <c r="AW107" s="14" cm="1">
        <f t="array" ref="AW107">IFERROR(_xlfn.IFS(VALUE(MID(AW$5,6,1))&gt;$D$2,0,$AP107="Annual",1,AV107=12,12,$AP107="Monthly V",AV107*(1+$D$3),$AP107="Monthly F",12,$AP107="One-Time",0),AV107*(1+$D$3))</f>
        <v>0</v>
      </c>
      <c r="AX107" s="14" cm="1">
        <f t="array" ref="AX107">IFERROR(_xlfn.IFS(VALUE(MID(AX$5,6,1))&gt;$D$2,0,$AP107="Annual",1,AW107=12,12,$AP107="Monthly V",AW107*(1+$D$3),$AP107="Monthly F",12,$AP107="One-Time",0),AW107*(1+$D$3))</f>
        <v>0</v>
      </c>
      <c r="AY107" s="14" cm="1">
        <f t="array" ref="AY107">IFERROR(_xlfn.IFS(VALUE(MID(AY$5,6,1))&gt;$D$2,0,$AP107="Annual",1,AX107=12,12,$AP107="Monthly V",AX107*(1+$D$3),$AP107="Monthly F",12,$AP107="One-Time",0),AX107*(1+$D$3))</f>
        <v>0</v>
      </c>
      <c r="AZ107" s="14" cm="1">
        <f t="array" ref="AZ107">IFERROR(_xlfn.IFS(VALUE(MID(AZ$5,6,1))&gt;$D$2,0,$AP107="Annual",1,AY107=12,12,$AP107="Monthly V",AY107*(1+$D$3),$AP107="Monthly F",12,$AP107="One-Time",0),AY107*(1+$D$3))</f>
        <v>0</v>
      </c>
      <c r="BA107" s="125" cm="1">
        <f t="array" ref="BA107">IFERROR(_xlfn.IFS(VALUE(MID(BA$5,6,2))&gt;$D$2,0,$AP107="Annual",1,AZ107=12,12,$AP107="Monthly V",AZ107*(1+$D$3),$AP107="Monthly F",12,$AP107="One-Time",0),AZ107*(1+$D$3))</f>
        <v>0</v>
      </c>
      <c r="BB107" s="148" t="s">
        <v>327</v>
      </c>
      <c r="BC107" s="144" t="s">
        <v>221</v>
      </c>
      <c r="BD107" s="145">
        <v>10500</v>
      </c>
      <c r="BE107" s="21">
        <f t="shared" si="479"/>
        <v>875</v>
      </c>
      <c r="BF107" s="39">
        <f t="shared" si="480"/>
        <v>10500</v>
      </c>
      <c r="BG107" s="39">
        <f t="shared" si="481"/>
        <v>0</v>
      </c>
      <c r="BH107" s="39">
        <f t="shared" si="482"/>
        <v>0</v>
      </c>
      <c r="BI107" s="39">
        <f t="shared" si="483"/>
        <v>0</v>
      </c>
      <c r="BJ107" s="39">
        <f t="shared" si="484"/>
        <v>0</v>
      </c>
      <c r="BK107" s="39">
        <f t="shared" si="485"/>
        <v>0</v>
      </c>
      <c r="BL107" s="39">
        <f t="shared" si="486"/>
        <v>0</v>
      </c>
      <c r="BM107" s="39">
        <f t="shared" si="487"/>
        <v>0</v>
      </c>
      <c r="BN107" s="39">
        <f t="shared" si="488"/>
        <v>0</v>
      </c>
      <c r="BO107" s="39">
        <f t="shared" si="489"/>
        <v>0</v>
      </c>
      <c r="BP107" s="40"/>
      <c r="BQ107" s="40">
        <f t="shared" si="490"/>
        <v>0</v>
      </c>
      <c r="BR107" s="40">
        <f t="shared" si="491"/>
        <v>0</v>
      </c>
      <c r="BS107" s="40">
        <f t="shared" si="492"/>
        <v>0</v>
      </c>
      <c r="BT107" s="40">
        <f t="shared" si="493"/>
        <v>0</v>
      </c>
      <c r="BU107" s="40">
        <f t="shared" si="494"/>
        <v>0</v>
      </c>
      <c r="BV107" s="40">
        <f t="shared" si="495"/>
        <v>0</v>
      </c>
      <c r="BW107" s="40">
        <f t="shared" si="496"/>
        <v>0</v>
      </c>
      <c r="BX107" s="40">
        <f t="shared" si="497"/>
        <v>0</v>
      </c>
      <c r="BY107" s="40">
        <f t="shared" si="498"/>
        <v>0</v>
      </c>
      <c r="BZ107" s="40">
        <f t="shared" si="499"/>
        <v>0</v>
      </c>
      <c r="CA107" s="37">
        <f t="shared" si="500"/>
        <v>10500</v>
      </c>
      <c r="CC107" s="102"/>
      <c r="CD107" s="12"/>
      <c r="CE107" s="14"/>
      <c r="CF107" s="14"/>
      <c r="CG107" s="14"/>
      <c r="CH107" s="14"/>
      <c r="CI107" s="14"/>
      <c r="CJ107" s="14"/>
      <c r="CK107" s="14"/>
      <c r="CL107" s="14"/>
      <c r="CM107" s="14"/>
      <c r="CN107" s="24"/>
      <c r="CO107" s="63"/>
      <c r="CP107" s="53"/>
      <c r="CQ107" s="21"/>
      <c r="CR107" s="55"/>
      <c r="CS107" s="55"/>
      <c r="CT107" s="55"/>
      <c r="CU107" s="55"/>
      <c r="CV107" s="55"/>
      <c r="CW107" s="55"/>
      <c r="CX107" s="55"/>
      <c r="CY107" s="55"/>
      <c r="CZ107" s="55"/>
      <c r="DA107" s="55"/>
      <c r="DB107" s="56"/>
      <c r="DC107" s="56"/>
      <c r="DD107" s="56"/>
      <c r="DE107" s="56"/>
      <c r="DF107" s="56"/>
      <c r="DG107" s="56"/>
      <c r="DH107" s="56"/>
      <c r="DI107" s="56"/>
      <c r="DJ107" s="56"/>
      <c r="DK107" s="56"/>
      <c r="DL107" s="57"/>
      <c r="DM107" s="54"/>
      <c r="DO107" s="106"/>
    </row>
    <row r="108" spans="2:119" ht="15.75" thickBot="1" x14ac:dyDescent="0.3">
      <c r="B108" s="141"/>
      <c r="C108" s="24"/>
      <c r="D108" s="147">
        <f t="shared" si="427"/>
        <v>0</v>
      </c>
      <c r="E108" s="142">
        <f t="shared" si="428"/>
        <v>0</v>
      </c>
      <c r="F108" s="14" cm="1">
        <f t="array" ref="F108">IFERROR(_xlfn.IFS(VALUE(MID(F$5,6,1))&gt;$D$2,0,$B108="Annual",1,E108=12,12,$B108="Monthly V",E108*(1+$D$3),$B108="Monthly F",12,$B108="One-Time",0),E108*(1+$D$3))</f>
        <v>0</v>
      </c>
      <c r="G108" s="14" cm="1">
        <f t="array" ref="G108">IFERROR(_xlfn.IFS(VALUE(MID(G$5,6,1))&gt;$D$2,0,$B108="Annual",1,F108=12,12,$B108="Monthly V",F108*(1+$D$3),$B108="Monthly F",12,$B108="One-Time",0),F108*(1+$D$3))</f>
        <v>0</v>
      </c>
      <c r="H108" s="14" cm="1">
        <f t="array" ref="H108">IFERROR(_xlfn.IFS(VALUE(MID(H$5,6,1))&gt;$D$2,0,$B108="Annual",1,G108=12,12,$B108="Monthly V",G108*(1+$D$3),$B108="Monthly F",12,$B108="One-Time",0),G108*(1+$D$3))</f>
        <v>0</v>
      </c>
      <c r="I108" s="14" cm="1">
        <f t="array" ref="I108">IFERROR(_xlfn.IFS(VALUE(MID(I$5,6,1))&gt;$D$2,0,$B108="Annual",1,H108=12,12,$B108="Monthly V",H108*(1+$D$3),$B108="Monthly F",12,$B108="One-Time",0),H108*(1+$D$3))</f>
        <v>0</v>
      </c>
      <c r="J108" s="14" cm="1">
        <f t="array" ref="J108">IFERROR(_xlfn.IFS(VALUE(MID(J$5,6,1))&gt;$D$2,0,$B108="Annual",1,I108=12,12,$B108="Monthly V",I108*(1+$D$3),$B108="Monthly F",12,$B108="One-Time",0),I108*(1+$D$3))</f>
        <v>0</v>
      </c>
      <c r="K108" s="14" cm="1">
        <f t="array" ref="K108">IFERROR(_xlfn.IFS(VALUE(MID(K$5,6,1))&gt;$D$2,0,$B108="Annual",1,J108=12,12,$B108="Monthly V",J108*(1+$D$3),$B108="Monthly F",12,$B108="One-Time",0),J108*(1+$D$3))</f>
        <v>0</v>
      </c>
      <c r="L108" s="14" cm="1">
        <f t="array" ref="L108">IFERROR(_xlfn.IFS(VALUE(MID(L$5,6,1))&gt;$D$2,0,$B108="Annual",1,K108=12,12,$B108="Monthly V",K108*(1+$D$3),$B108="Monthly F",12,$B108="One-Time",0),K108*(1+$D$3))</f>
        <v>0</v>
      </c>
      <c r="M108" s="14" cm="1">
        <f t="array" ref="M108">IFERROR(_xlfn.IFS(VALUE(MID(M$5,6,1))&gt;$D$2,0,$B108="Annual",1,L108=12,12,$B108="Monthly V",L108*(1+$D$3),$B108="Monthly F",12,$B108="One-Time",0),L108*(1+$D$3))</f>
        <v>0</v>
      </c>
      <c r="N108" s="24" cm="1">
        <f t="array" ref="N108">IFERROR(_xlfn.IFS(VALUE(MID(N$5,6,2))&gt;$D$2,0,$B108="Annual",1,M108=12,12,$B108="Monthly V",M108*(1+$D$3),$B108="Monthly F",12,$B108="One-Time",0),M108*(1+$D$3))</f>
        <v>0</v>
      </c>
      <c r="O108" s="127"/>
      <c r="P108" s="13"/>
      <c r="Q108" s="20"/>
      <c r="R108" s="21">
        <f t="shared" si="429"/>
        <v>0</v>
      </c>
      <c r="S108" s="6">
        <f t="shared" si="430"/>
        <v>0</v>
      </c>
      <c r="T108" s="6">
        <f t="shared" si="430"/>
        <v>0</v>
      </c>
      <c r="U108" s="6">
        <f t="shared" si="430"/>
        <v>0</v>
      </c>
      <c r="V108" s="6">
        <f t="shared" si="430"/>
        <v>0</v>
      </c>
      <c r="W108" s="6">
        <f t="shared" si="430"/>
        <v>0</v>
      </c>
      <c r="X108" s="6">
        <f t="shared" si="430"/>
        <v>0</v>
      </c>
      <c r="Y108" s="6">
        <f t="shared" si="430"/>
        <v>0</v>
      </c>
      <c r="Z108" s="6">
        <f t="shared" si="430"/>
        <v>0</v>
      </c>
      <c r="AA108" s="6">
        <f t="shared" si="430"/>
        <v>0</v>
      </c>
      <c r="AB108" s="6">
        <f t="shared" si="430"/>
        <v>0</v>
      </c>
      <c r="AC108" s="7"/>
      <c r="AD108" s="152">
        <f t="shared" si="431"/>
        <v>0</v>
      </c>
      <c r="AE108" s="152">
        <f t="shared" si="432"/>
        <v>0</v>
      </c>
      <c r="AF108" s="152">
        <f t="shared" si="433"/>
        <v>0</v>
      </c>
      <c r="AG108" s="152">
        <f t="shared" si="434"/>
        <v>0</v>
      </c>
      <c r="AH108" s="152">
        <f t="shared" si="435"/>
        <v>0</v>
      </c>
      <c r="AI108" s="152">
        <f t="shared" si="436"/>
        <v>0</v>
      </c>
      <c r="AJ108" s="152">
        <f t="shared" si="437"/>
        <v>0</v>
      </c>
      <c r="AK108" s="152">
        <f t="shared" si="438"/>
        <v>0</v>
      </c>
      <c r="AL108" s="152">
        <f t="shared" si="439"/>
        <v>0</v>
      </c>
      <c r="AM108" s="9">
        <f t="shared" si="440"/>
        <v>0</v>
      </c>
      <c r="AN108" s="80">
        <f t="shared" si="441"/>
        <v>0</v>
      </c>
      <c r="AP108" s="239" t="s">
        <v>239</v>
      </c>
      <c r="AQ108" s="214"/>
      <c r="AR108" s="214"/>
      <c r="AS108" s="214"/>
      <c r="AT108" s="214"/>
      <c r="AU108" s="214"/>
      <c r="AV108" s="214"/>
      <c r="AW108" s="214"/>
      <c r="AX108" s="214"/>
      <c r="AY108" s="214"/>
      <c r="AZ108" s="214"/>
      <c r="BA108" s="214"/>
      <c r="BB108" s="214"/>
      <c r="BC108" s="214"/>
      <c r="BD108" s="214"/>
      <c r="BE108" s="214"/>
      <c r="BF108" s="214"/>
      <c r="BG108" s="214"/>
      <c r="BH108" s="214"/>
      <c r="BI108" s="214"/>
      <c r="BJ108" s="214"/>
      <c r="BK108" s="214"/>
      <c r="BL108" s="214"/>
      <c r="BM108" s="214"/>
      <c r="BN108" s="214"/>
      <c r="BO108" s="214"/>
      <c r="BP108" s="214"/>
      <c r="BQ108" s="214"/>
      <c r="BR108" s="214"/>
      <c r="BS108" s="214"/>
      <c r="BT108" s="214"/>
      <c r="BU108" s="214"/>
      <c r="BV108" s="214"/>
      <c r="BW108" s="214"/>
      <c r="BX108" s="214"/>
      <c r="BY108" s="214"/>
      <c r="BZ108" s="214"/>
      <c r="CA108" s="240"/>
      <c r="CC108" s="102"/>
      <c r="CD108" s="12"/>
      <c r="CE108" s="14"/>
      <c r="CF108" s="14"/>
      <c r="CG108" s="14"/>
      <c r="CH108" s="14"/>
      <c r="CI108" s="14"/>
      <c r="CJ108" s="14"/>
      <c r="CK108" s="14"/>
      <c r="CL108" s="14"/>
      <c r="CM108" s="14"/>
      <c r="CN108" s="24"/>
      <c r="CO108" s="63"/>
      <c r="CP108" s="53"/>
      <c r="CQ108" s="21"/>
      <c r="CR108" s="55"/>
      <c r="CS108" s="55"/>
      <c r="CT108" s="55"/>
      <c r="CU108" s="55"/>
      <c r="CV108" s="55"/>
      <c r="CW108" s="55"/>
      <c r="CX108" s="55"/>
      <c r="CY108" s="55"/>
      <c r="CZ108" s="55"/>
      <c r="DA108" s="55"/>
      <c r="DB108" s="56"/>
      <c r="DC108" s="56"/>
      <c r="DD108" s="56"/>
      <c r="DE108" s="56"/>
      <c r="DF108" s="56"/>
      <c r="DG108" s="56"/>
      <c r="DH108" s="56"/>
      <c r="DI108" s="56"/>
      <c r="DJ108" s="56"/>
      <c r="DK108" s="56"/>
      <c r="DL108" s="57"/>
      <c r="DM108" s="54"/>
      <c r="DO108" s="106"/>
    </row>
    <row r="109" spans="2:119" ht="15.75" thickBot="1" x14ac:dyDescent="0.3">
      <c r="B109" s="70"/>
      <c r="C109" s="83"/>
      <c r="D109" s="83"/>
      <c r="E109" s="99"/>
      <c r="F109" s="82"/>
      <c r="G109" s="82"/>
      <c r="H109" s="82"/>
      <c r="I109" s="82"/>
      <c r="J109" s="82"/>
      <c r="K109" s="82"/>
      <c r="L109" s="82"/>
      <c r="M109" s="82"/>
      <c r="N109" s="98"/>
      <c r="O109" s="84"/>
      <c r="P109" s="84"/>
      <c r="Q109" s="85"/>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P109" s="102" t="s">
        <v>3</v>
      </c>
      <c r="AQ109" s="12">
        <v>1</v>
      </c>
      <c r="AR109" s="14">
        <f t="shared" si="442"/>
        <v>1</v>
      </c>
      <c r="AS109" s="14" cm="1">
        <f t="array" ref="AS109">IFERROR(_xlfn.IFS(VALUE(MID(AS$5,6,1))&gt;$D$2,0,$AP109="Annual",1,AR109=12,12,$AP109="Monthly V",AR109*(1+$D$3),$AP109="Monthly F",12,$AP109="One-Time",0),AR109*(1+$D$3))</f>
        <v>0</v>
      </c>
      <c r="AT109" s="14" cm="1">
        <f t="array" ref="AT109">IFERROR(_xlfn.IFS(VALUE(MID(AT$5,6,1))&gt;$D$2,0,$AP109="Annual",1,AS109=12,12,$AP109="Monthly V",AS109*(1+$D$3),$AP109="Monthly F",12,$AP109="One-Time",0),AS109*(1+$D$3))</f>
        <v>0</v>
      </c>
      <c r="AU109" s="14" cm="1">
        <f t="array" ref="AU109">IFERROR(_xlfn.IFS(VALUE(MID(AU$5,6,1))&gt;$D$2,0,$AP109="Annual",1,AT109=12,12,$AP109="Monthly V",AT109*(1+$D$3),$AP109="Monthly F",12,$AP109="One-Time",0),AT109*(1+$D$3))</f>
        <v>0</v>
      </c>
      <c r="AV109" s="14" cm="1">
        <f t="array" ref="AV109">IFERROR(_xlfn.IFS(VALUE(MID(AV$5,6,1))&gt;$D$2,0,$AP109="Annual",1,AU109=12,12,$AP109="Monthly V",AU109*(1+$D$3),$AP109="Monthly F",12,$AP109="One-Time",0),AU109*(1+$D$3))</f>
        <v>0</v>
      </c>
      <c r="AW109" s="14" cm="1">
        <f t="array" ref="AW109">IFERROR(_xlfn.IFS(VALUE(MID(AW$5,6,1))&gt;$D$2,0,$AP109="Annual",1,AV109=12,12,$AP109="Monthly V",AV109*(1+$D$3),$AP109="Monthly F",12,$AP109="One-Time",0),AV109*(1+$D$3))</f>
        <v>0</v>
      </c>
      <c r="AX109" s="14" cm="1">
        <f t="array" ref="AX109">IFERROR(_xlfn.IFS(VALUE(MID(AX$5,6,1))&gt;$D$2,0,$AP109="Annual",1,AW109=12,12,$AP109="Monthly V",AW109*(1+$D$3),$AP109="Monthly F",12,$AP109="One-Time",0),AW109*(1+$D$3))</f>
        <v>0</v>
      </c>
      <c r="AY109" s="14" cm="1">
        <f t="array" ref="AY109">IFERROR(_xlfn.IFS(VALUE(MID(AY$5,6,1))&gt;$D$2,0,$AP109="Annual",1,AX109=12,12,$AP109="Monthly V",AX109*(1+$D$3),$AP109="Monthly F",12,$AP109="One-Time",0),AX109*(1+$D$3))</f>
        <v>0</v>
      </c>
      <c r="AZ109" s="14" cm="1">
        <f t="array" ref="AZ109">IFERROR(_xlfn.IFS(VALUE(MID(AZ$5,6,1))&gt;$D$2,0,$AP109="Annual",1,AY109=12,12,$AP109="Monthly V",AY109*(1+$D$3),$AP109="Monthly F",12,$AP109="One-Time",0),AY109*(1+$D$3))</f>
        <v>0</v>
      </c>
      <c r="BA109" s="125" cm="1">
        <f t="array" ref="BA109">IFERROR(_xlfn.IFS(VALUE(MID(BA$5,6,2))&gt;$D$2,0,$AP109="Annual",1,AZ109=12,12,$AP109="Monthly V",AZ109*(1+$D$3),$AP109="Monthly F",12,$AP109="One-Time",0),AZ109*(1+$D$3))</f>
        <v>0</v>
      </c>
      <c r="BB109" s="124" t="s">
        <v>235</v>
      </c>
      <c r="BC109" s="38" t="s">
        <v>216</v>
      </c>
      <c r="BD109" s="36">
        <v>9000</v>
      </c>
      <c r="BE109" s="21">
        <f t="shared" si="443"/>
        <v>750</v>
      </c>
      <c r="BF109" s="39">
        <f t="shared" ref="BF109:BF114" si="569">IFERROR(AR109*$BD109,0)</f>
        <v>9000</v>
      </c>
      <c r="BG109" s="39">
        <f t="shared" si="444"/>
        <v>0</v>
      </c>
      <c r="BH109" s="39">
        <f t="shared" si="445"/>
        <v>0</v>
      </c>
      <c r="BI109" s="39">
        <f t="shared" si="446"/>
        <v>0</v>
      </c>
      <c r="BJ109" s="39">
        <f t="shared" si="447"/>
        <v>0</v>
      </c>
      <c r="BK109" s="39">
        <f t="shared" si="448"/>
        <v>0</v>
      </c>
      <c r="BL109" s="39">
        <f t="shared" si="449"/>
        <v>0</v>
      </c>
      <c r="BM109" s="39">
        <f t="shared" si="450"/>
        <v>0</v>
      </c>
      <c r="BN109" s="39">
        <f t="shared" si="451"/>
        <v>0</v>
      </c>
      <c r="BO109" s="39">
        <f t="shared" si="452"/>
        <v>0</v>
      </c>
      <c r="BP109" s="40"/>
      <c r="BQ109" s="40">
        <f t="shared" si="453"/>
        <v>0</v>
      </c>
      <c r="BR109" s="40">
        <f t="shared" si="454"/>
        <v>0</v>
      </c>
      <c r="BS109" s="40">
        <f t="shared" si="455"/>
        <v>0</v>
      </c>
      <c r="BT109" s="40">
        <f t="shared" si="456"/>
        <v>0</v>
      </c>
      <c r="BU109" s="40">
        <f t="shared" si="457"/>
        <v>0</v>
      </c>
      <c r="BV109" s="40">
        <f t="shared" si="458"/>
        <v>0</v>
      </c>
      <c r="BW109" s="40">
        <f t="shared" si="459"/>
        <v>0</v>
      </c>
      <c r="BX109" s="40">
        <f t="shared" si="460"/>
        <v>0</v>
      </c>
      <c r="BY109" s="40">
        <f t="shared" si="461"/>
        <v>0</v>
      </c>
      <c r="BZ109" s="40">
        <f t="shared" si="462"/>
        <v>0</v>
      </c>
      <c r="CA109" s="37">
        <f t="shared" si="463"/>
        <v>9000</v>
      </c>
      <c r="CC109" s="102"/>
      <c r="CD109" s="12"/>
      <c r="CE109" s="14"/>
      <c r="CF109" s="14"/>
      <c r="CG109" s="14"/>
      <c r="CH109" s="14"/>
      <c r="CI109" s="14"/>
      <c r="CJ109" s="14"/>
      <c r="CK109" s="14"/>
      <c r="CL109" s="14"/>
      <c r="CM109" s="14"/>
      <c r="CN109" s="24"/>
      <c r="CO109" s="63"/>
      <c r="CP109" s="53"/>
      <c r="CQ109" s="21"/>
      <c r="CR109" s="55"/>
      <c r="CS109" s="55"/>
      <c r="CT109" s="55"/>
      <c r="CU109" s="55"/>
      <c r="CV109" s="55"/>
      <c r="CW109" s="55"/>
      <c r="CX109" s="55"/>
      <c r="CY109" s="55"/>
      <c r="CZ109" s="55"/>
      <c r="DA109" s="55"/>
      <c r="DB109" s="56"/>
      <c r="DC109" s="56"/>
      <c r="DD109" s="56"/>
      <c r="DE109" s="56"/>
      <c r="DF109" s="56"/>
      <c r="DG109" s="56"/>
      <c r="DH109" s="56"/>
      <c r="DI109" s="56"/>
      <c r="DJ109" s="56"/>
      <c r="DK109" s="56"/>
      <c r="DL109" s="57"/>
      <c r="DM109" s="54"/>
      <c r="DO109" s="106"/>
    </row>
    <row r="110" spans="2:119" ht="15.75" thickBot="1" x14ac:dyDescent="0.3">
      <c r="B110" s="213" t="s">
        <v>146</v>
      </c>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c r="Y110" s="214"/>
      <c r="Z110" s="214"/>
      <c r="AA110" s="214"/>
      <c r="AB110" s="214"/>
      <c r="AC110" s="214"/>
      <c r="AD110" s="214"/>
      <c r="AE110" s="214"/>
      <c r="AF110" s="214"/>
      <c r="AG110" s="214"/>
      <c r="AH110" s="214"/>
      <c r="AI110" s="214"/>
      <c r="AJ110" s="214"/>
      <c r="AK110" s="214"/>
      <c r="AL110" s="214"/>
      <c r="AM110" s="214"/>
      <c r="AN110" s="215"/>
      <c r="AP110" s="102" t="s">
        <v>3</v>
      </c>
      <c r="AQ110" s="12">
        <v>1</v>
      </c>
      <c r="AR110" s="14">
        <f t="shared" si="442"/>
        <v>1</v>
      </c>
      <c r="AS110" s="14" cm="1">
        <f t="array" ref="AS110">IFERROR(_xlfn.IFS(VALUE(MID(AS$5,6,1))&gt;$D$2,0,$AP110="Annual",1,AR110=12,12,$AP110="Monthly V",AR110*(1+$D$3),$AP110="Monthly F",12,$AP110="One-Time",0),AR110*(1+$D$3))</f>
        <v>0</v>
      </c>
      <c r="AT110" s="14" cm="1">
        <f t="array" ref="AT110">IFERROR(_xlfn.IFS(VALUE(MID(AT$5,6,1))&gt;$D$2,0,$AP110="Annual",1,AS110=12,12,$AP110="Monthly V",AS110*(1+$D$3),$AP110="Monthly F",12,$AP110="One-Time",0),AS110*(1+$D$3))</f>
        <v>0</v>
      </c>
      <c r="AU110" s="14" cm="1">
        <f t="array" ref="AU110">IFERROR(_xlfn.IFS(VALUE(MID(AU$5,6,1))&gt;$D$2,0,$AP110="Annual",1,AT110=12,12,$AP110="Monthly V",AT110*(1+$D$3),$AP110="Monthly F",12,$AP110="One-Time",0),AT110*(1+$D$3))</f>
        <v>0</v>
      </c>
      <c r="AV110" s="14" cm="1">
        <f t="array" ref="AV110">IFERROR(_xlfn.IFS(VALUE(MID(AV$5,6,1))&gt;$D$2,0,$AP110="Annual",1,AU110=12,12,$AP110="Monthly V",AU110*(1+$D$3),$AP110="Monthly F",12,$AP110="One-Time",0),AU110*(1+$D$3))</f>
        <v>0</v>
      </c>
      <c r="AW110" s="14" cm="1">
        <f t="array" ref="AW110">IFERROR(_xlfn.IFS(VALUE(MID(AW$5,6,1))&gt;$D$2,0,$AP110="Annual",1,AV110=12,12,$AP110="Monthly V",AV110*(1+$D$3),$AP110="Monthly F",12,$AP110="One-Time",0),AV110*(1+$D$3))</f>
        <v>0</v>
      </c>
      <c r="AX110" s="14" cm="1">
        <f t="array" ref="AX110">IFERROR(_xlfn.IFS(VALUE(MID(AX$5,6,1))&gt;$D$2,0,$AP110="Annual",1,AW110=12,12,$AP110="Monthly V",AW110*(1+$D$3),$AP110="Monthly F",12,$AP110="One-Time",0),AW110*(1+$D$3))</f>
        <v>0</v>
      </c>
      <c r="AY110" s="14" cm="1">
        <f t="array" ref="AY110">IFERROR(_xlfn.IFS(VALUE(MID(AY$5,6,1))&gt;$D$2,0,$AP110="Annual",1,AX110=12,12,$AP110="Monthly V",AX110*(1+$D$3),$AP110="Monthly F",12,$AP110="One-Time",0),AX110*(1+$D$3))</f>
        <v>0</v>
      </c>
      <c r="AZ110" s="14" cm="1">
        <f t="array" ref="AZ110">IFERROR(_xlfn.IFS(VALUE(MID(AZ$5,6,1))&gt;$D$2,0,$AP110="Annual",1,AY110=12,12,$AP110="Monthly V",AY110*(1+$D$3),$AP110="Monthly F",12,$AP110="One-Time",0),AY110*(1+$D$3))</f>
        <v>0</v>
      </c>
      <c r="BA110" s="125" cm="1">
        <f t="array" ref="BA110">IFERROR(_xlfn.IFS(VALUE(MID(BA$5,6,2))&gt;$D$2,0,$AP110="Annual",1,AZ110=12,12,$AP110="Monthly V",AZ110*(1+$D$3),$AP110="Monthly F",12,$AP110="One-Time",0),AZ110*(1+$D$3))</f>
        <v>0</v>
      </c>
      <c r="BB110" s="124" t="s">
        <v>236</v>
      </c>
      <c r="BC110" s="38" t="s">
        <v>218</v>
      </c>
      <c r="BD110" s="36">
        <v>4909</v>
      </c>
      <c r="BE110" s="21">
        <f t="shared" si="443"/>
        <v>409.08333333333331</v>
      </c>
      <c r="BF110" s="39">
        <f t="shared" si="569"/>
        <v>4909</v>
      </c>
      <c r="BG110" s="39">
        <f t="shared" si="444"/>
        <v>0</v>
      </c>
      <c r="BH110" s="39">
        <f t="shared" si="445"/>
        <v>0</v>
      </c>
      <c r="BI110" s="39">
        <f t="shared" si="446"/>
        <v>0</v>
      </c>
      <c r="BJ110" s="39">
        <f t="shared" si="447"/>
        <v>0</v>
      </c>
      <c r="BK110" s="39">
        <f t="shared" si="448"/>
        <v>0</v>
      </c>
      <c r="BL110" s="39">
        <f t="shared" si="449"/>
        <v>0</v>
      </c>
      <c r="BM110" s="39">
        <f t="shared" si="450"/>
        <v>0</v>
      </c>
      <c r="BN110" s="39">
        <f t="shared" si="451"/>
        <v>0</v>
      </c>
      <c r="BO110" s="39">
        <f t="shared" si="452"/>
        <v>0</v>
      </c>
      <c r="BP110" s="40"/>
      <c r="BQ110" s="40">
        <f t="shared" si="453"/>
        <v>0</v>
      </c>
      <c r="BR110" s="40">
        <f t="shared" si="454"/>
        <v>0</v>
      </c>
      <c r="BS110" s="40">
        <f t="shared" si="455"/>
        <v>0</v>
      </c>
      <c r="BT110" s="40">
        <f t="shared" si="456"/>
        <v>0</v>
      </c>
      <c r="BU110" s="40">
        <f t="shared" si="457"/>
        <v>0</v>
      </c>
      <c r="BV110" s="40">
        <f t="shared" si="458"/>
        <v>0</v>
      </c>
      <c r="BW110" s="40">
        <f t="shared" si="459"/>
        <v>0</v>
      </c>
      <c r="BX110" s="40">
        <f t="shared" si="460"/>
        <v>0</v>
      </c>
      <c r="BY110" s="40">
        <f t="shared" si="461"/>
        <v>0</v>
      </c>
      <c r="BZ110" s="40">
        <f t="shared" si="462"/>
        <v>0</v>
      </c>
      <c r="CA110" s="37">
        <f t="shared" si="463"/>
        <v>4909</v>
      </c>
      <c r="CC110" s="102"/>
      <c r="CD110" s="12"/>
      <c r="CE110" s="14"/>
      <c r="CF110" s="14"/>
      <c r="CG110" s="14"/>
      <c r="CH110" s="14"/>
      <c r="CI110" s="14"/>
      <c r="CJ110" s="14"/>
      <c r="CK110" s="14"/>
      <c r="CL110" s="14"/>
      <c r="CM110" s="14"/>
      <c r="CN110" s="24"/>
      <c r="CO110" s="63"/>
      <c r="CP110" s="53"/>
      <c r="CQ110" s="21"/>
      <c r="CR110" s="55"/>
      <c r="CS110" s="55"/>
      <c r="CT110" s="55"/>
      <c r="CU110" s="55"/>
      <c r="CV110" s="55"/>
      <c r="CW110" s="55"/>
      <c r="CX110" s="55"/>
      <c r="CY110" s="55"/>
      <c r="CZ110" s="55"/>
      <c r="DA110" s="55"/>
      <c r="DB110" s="56"/>
      <c r="DC110" s="56"/>
      <c r="DD110" s="56"/>
      <c r="DE110" s="56"/>
      <c r="DF110" s="56"/>
      <c r="DG110" s="56"/>
      <c r="DH110" s="56"/>
      <c r="DI110" s="56"/>
      <c r="DJ110" s="56"/>
      <c r="DK110" s="56"/>
      <c r="DL110" s="57"/>
      <c r="DM110" s="54"/>
      <c r="DO110" s="106"/>
    </row>
    <row r="111" spans="2:119" x14ac:dyDescent="0.25">
      <c r="B111" s="141" t="s">
        <v>3</v>
      </c>
      <c r="C111" s="24"/>
      <c r="D111" s="147">
        <f t="shared" ref="D111:D114" si="570">IFERROR(AVERAGE(C111:C111),0)</f>
        <v>0</v>
      </c>
      <c r="E111" s="142">
        <f t="shared" ref="E111:E114" si="571">IF($B111="Annual",1,IF($B111="Monthly F",12,IF($B111="Monthly V",D111*12,IF($B111="One-Time",1,D111*12))))</f>
        <v>1</v>
      </c>
      <c r="F111" s="14" cm="1">
        <f t="array" ref="F111">IFERROR(_xlfn.IFS(VALUE(MID(F$5,6,1))&gt;$D$2,0,$B111="Annual",1,E111=12,12,$B111="Monthly V",E111*(1+$D$3),$B111="Monthly F",12,$B111="One-Time",0),E111*(1+$D$3))</f>
        <v>0</v>
      </c>
      <c r="G111" s="14" cm="1">
        <f t="array" ref="G111">IFERROR(_xlfn.IFS(VALUE(MID(G$5,6,1))&gt;$D$2,0,$B111="Annual",1,F111=12,12,$B111="Monthly V",F111*(1+$D$3),$B111="Monthly F",12,$B111="One-Time",0),F111*(1+$D$3))</f>
        <v>0</v>
      </c>
      <c r="H111" s="14" cm="1">
        <f t="array" ref="H111">IFERROR(_xlfn.IFS(VALUE(MID(H$5,6,1))&gt;$D$2,0,$B111="Annual",1,G111=12,12,$B111="Monthly V",G111*(1+$D$3),$B111="Monthly F",12,$B111="One-Time",0),G111*(1+$D$3))</f>
        <v>0</v>
      </c>
      <c r="I111" s="14" cm="1">
        <f t="array" ref="I111">IFERROR(_xlfn.IFS(VALUE(MID(I$5,6,1))&gt;$D$2,0,$B111="Annual",1,H111=12,12,$B111="Monthly V",H111*(1+$D$3),$B111="Monthly F",12,$B111="One-Time",0),H111*(1+$D$3))</f>
        <v>0</v>
      </c>
      <c r="J111" s="14" cm="1">
        <f t="array" ref="J111">IFERROR(_xlfn.IFS(VALUE(MID(J$5,6,1))&gt;$D$2,0,$B111="Annual",1,I111=12,12,$B111="Monthly V",I111*(1+$D$3),$B111="Monthly F",12,$B111="One-Time",0),I111*(1+$D$3))</f>
        <v>0</v>
      </c>
      <c r="K111" s="14" cm="1">
        <f t="array" ref="K111">IFERROR(_xlfn.IFS(VALUE(MID(K$5,6,1))&gt;$D$2,0,$B111="Annual",1,J111=12,12,$B111="Monthly V",J111*(1+$D$3),$B111="Monthly F",12,$B111="One-Time",0),J111*(1+$D$3))</f>
        <v>0</v>
      </c>
      <c r="L111" s="14" cm="1">
        <f t="array" ref="L111">IFERROR(_xlfn.IFS(VALUE(MID(L$5,6,1))&gt;$D$2,0,$B111="Annual",1,K111=12,12,$B111="Monthly V",K111*(1+$D$3),$B111="Monthly F",12,$B111="One-Time",0),K111*(1+$D$3))</f>
        <v>0</v>
      </c>
      <c r="M111" s="14" cm="1">
        <f t="array" ref="M111">IFERROR(_xlfn.IFS(VALUE(MID(M$5,6,1))&gt;$D$2,0,$B111="Annual",1,L111=12,12,$B111="Monthly V",L111*(1+$D$3),$B111="Monthly F",12,$B111="One-Time",0),L111*(1+$D$3))</f>
        <v>0</v>
      </c>
      <c r="N111" s="24" cm="1">
        <f t="array" ref="N111">IFERROR(_xlfn.IFS(VALUE(MID(N$5,6,2))&gt;$D$2,0,$B111="Annual",1,M111=12,12,$B111="Monthly V",M111*(1+$D$3),$B111="Monthly F",12,$B111="One-Time",0),M111*(1+$D$3))</f>
        <v>0</v>
      </c>
      <c r="O111" s="127" t="s">
        <v>113</v>
      </c>
      <c r="P111" s="13"/>
      <c r="Q111" s="20">
        <v>2088</v>
      </c>
      <c r="R111" s="21">
        <f t="shared" ref="R111:R114" si="572">S111/12</f>
        <v>174</v>
      </c>
      <c r="S111" s="6">
        <f t="shared" ref="S111:AB114" si="573">IFERROR($Q111*E111,0)</f>
        <v>2088</v>
      </c>
      <c r="T111" s="6">
        <f t="shared" si="573"/>
        <v>0</v>
      </c>
      <c r="U111" s="6">
        <f t="shared" si="573"/>
        <v>0</v>
      </c>
      <c r="V111" s="6">
        <f t="shared" si="573"/>
        <v>0</v>
      </c>
      <c r="W111" s="6">
        <f t="shared" si="573"/>
        <v>0</v>
      </c>
      <c r="X111" s="6">
        <f t="shared" si="573"/>
        <v>0</v>
      </c>
      <c r="Y111" s="6">
        <f t="shared" si="573"/>
        <v>0</v>
      </c>
      <c r="Z111" s="6">
        <f t="shared" si="573"/>
        <v>0</v>
      </c>
      <c r="AA111" s="6">
        <f t="shared" si="573"/>
        <v>0</v>
      </c>
      <c r="AB111" s="6">
        <f t="shared" si="573"/>
        <v>0</v>
      </c>
      <c r="AC111" s="7"/>
      <c r="AD111" s="152">
        <f t="shared" ref="AD111:AD114" si="574">IF(VALUE(MID(AD$5,6,1))&lt;=$D$2,((1+$Q$3)^1-1)*T111,0)</f>
        <v>0</v>
      </c>
      <c r="AE111" s="152">
        <f t="shared" ref="AE111:AE114" si="575">IF(VALUE(MID(AE$5,6,1))&lt;=$D$2,((1+$Q$3)^2-1)*U111,0)</f>
        <v>0</v>
      </c>
      <c r="AF111" s="152">
        <f t="shared" ref="AF111:AF114" si="576">IF(VALUE(MID(AF$5,6,1))&lt;=$D$2,((1+$Q$3)^3-1)*V111,0)</f>
        <v>0</v>
      </c>
      <c r="AG111" s="152">
        <f t="shared" ref="AG111:AG114" si="577">IF(VALUE(MID(AG$5,6,1))&lt;=$D$2,((1+$Q$3)^4-1)*W111,0)</f>
        <v>0</v>
      </c>
      <c r="AH111" s="152">
        <f t="shared" ref="AH111:AH114" si="578">IF(VALUE(MID(AH$5,6,1))&lt;=$D$2,((1+$Q$3)^5-1)*X111,0)</f>
        <v>0</v>
      </c>
      <c r="AI111" s="152">
        <f t="shared" ref="AI111:AI114" si="579">IF(VALUE(MID(AI$5,6,1))&lt;=$D$2,((1+$Q$3)^6-1)*Y111,0)</f>
        <v>0</v>
      </c>
      <c r="AJ111" s="152">
        <f t="shared" ref="AJ111:AJ114" si="580">IF(VALUE(MID(AJ$5,6,1))&lt;=$D$2,((1+$Q$3)^7-1)*Z111,0)</f>
        <v>0</v>
      </c>
      <c r="AK111" s="152">
        <f t="shared" ref="AK111:AK114" si="581">IF(VALUE(MID(AK$5,6,1))&lt;=$D$2,((1+$Q$3)^8-1)*AA111,0)</f>
        <v>0</v>
      </c>
      <c r="AL111" s="152">
        <f t="shared" ref="AL111:AL114" si="582">IF(VALUE(MID(AL$5,6,2))&lt;=$D$2,((1+$Q$3)^9-1)*AB111,0)</f>
        <v>0</v>
      </c>
      <c r="AM111" s="9">
        <f t="shared" ref="AM111:AM114" si="583">SUM(AC111:AL111)</f>
        <v>0</v>
      </c>
      <c r="AN111" s="80">
        <f t="shared" ref="AN111:AN114" si="584">SUM(AM111,S111:AB111)</f>
        <v>2088</v>
      </c>
      <c r="AP111" s="102" t="s">
        <v>3</v>
      </c>
      <c r="AQ111" s="12">
        <v>1</v>
      </c>
      <c r="AR111" s="14">
        <f t="shared" si="442"/>
        <v>1</v>
      </c>
      <c r="AS111" s="14" cm="1">
        <f t="array" ref="AS111">IFERROR(_xlfn.IFS(VALUE(MID(AS$5,6,1))&gt;$D$2,0,$AP111="Annual",1,AR111=12,12,$AP111="Monthly V",AR111*(1+$D$3),$AP111="Monthly F",12,$AP111="One-Time",0),AR111*(1+$D$3))</f>
        <v>0</v>
      </c>
      <c r="AT111" s="14" cm="1">
        <f t="array" ref="AT111">IFERROR(_xlfn.IFS(VALUE(MID(AT$5,6,1))&gt;$D$2,0,$AP111="Annual",1,AS111=12,12,$AP111="Monthly V",AS111*(1+$D$3),$AP111="Monthly F",12,$AP111="One-Time",0),AS111*(1+$D$3))</f>
        <v>0</v>
      </c>
      <c r="AU111" s="14" cm="1">
        <f t="array" ref="AU111">IFERROR(_xlfn.IFS(VALUE(MID(AU$5,6,1))&gt;$D$2,0,$AP111="Annual",1,AT111=12,12,$AP111="Monthly V",AT111*(1+$D$3),$AP111="Monthly F",12,$AP111="One-Time",0),AT111*(1+$D$3))</f>
        <v>0</v>
      </c>
      <c r="AV111" s="14" cm="1">
        <f t="array" ref="AV111">IFERROR(_xlfn.IFS(VALUE(MID(AV$5,6,1))&gt;$D$2,0,$AP111="Annual",1,AU111=12,12,$AP111="Monthly V",AU111*(1+$D$3),$AP111="Monthly F",12,$AP111="One-Time",0),AU111*(1+$D$3))</f>
        <v>0</v>
      </c>
      <c r="AW111" s="14" cm="1">
        <f t="array" ref="AW111">IFERROR(_xlfn.IFS(VALUE(MID(AW$5,6,1))&gt;$D$2,0,$AP111="Annual",1,AV111=12,12,$AP111="Monthly V",AV111*(1+$D$3),$AP111="Monthly F",12,$AP111="One-Time",0),AV111*(1+$D$3))</f>
        <v>0</v>
      </c>
      <c r="AX111" s="14" cm="1">
        <f t="array" ref="AX111">IFERROR(_xlfn.IFS(VALUE(MID(AX$5,6,1))&gt;$D$2,0,$AP111="Annual",1,AW111=12,12,$AP111="Monthly V",AW111*(1+$D$3),$AP111="Monthly F",12,$AP111="One-Time",0),AW111*(1+$D$3))</f>
        <v>0</v>
      </c>
      <c r="AY111" s="14" cm="1">
        <f t="array" ref="AY111">IFERROR(_xlfn.IFS(VALUE(MID(AY$5,6,1))&gt;$D$2,0,$AP111="Annual",1,AX111=12,12,$AP111="Monthly V",AX111*(1+$D$3),$AP111="Monthly F",12,$AP111="One-Time",0),AX111*(1+$D$3))</f>
        <v>0</v>
      </c>
      <c r="AZ111" s="14" cm="1">
        <f t="array" ref="AZ111">IFERROR(_xlfn.IFS(VALUE(MID(AZ$5,6,1))&gt;$D$2,0,$AP111="Annual",1,AY111=12,12,$AP111="Monthly V",AY111*(1+$D$3),$AP111="Monthly F",12,$AP111="One-Time",0),AY111*(1+$D$3))</f>
        <v>0</v>
      </c>
      <c r="BA111" s="125" cm="1">
        <f t="array" ref="BA111">IFERROR(_xlfn.IFS(VALUE(MID(BA$5,6,2))&gt;$D$2,0,$AP111="Annual",1,AZ111=12,12,$AP111="Monthly V",AZ111*(1+$D$3),$AP111="Monthly F",12,$AP111="One-Time",0),AZ111*(1+$D$3))</f>
        <v>0</v>
      </c>
      <c r="BB111" s="124" t="s">
        <v>237</v>
      </c>
      <c r="BC111" s="38" t="s">
        <v>218</v>
      </c>
      <c r="BD111" s="36">
        <v>1636</v>
      </c>
      <c r="BE111" s="21">
        <f t="shared" si="443"/>
        <v>136.33333333333334</v>
      </c>
      <c r="BF111" s="39">
        <f t="shared" si="569"/>
        <v>1636</v>
      </c>
      <c r="BG111" s="39">
        <f t="shared" si="444"/>
        <v>0</v>
      </c>
      <c r="BH111" s="39">
        <f t="shared" si="445"/>
        <v>0</v>
      </c>
      <c r="BI111" s="39">
        <f t="shared" si="446"/>
        <v>0</v>
      </c>
      <c r="BJ111" s="39">
        <f t="shared" si="447"/>
        <v>0</v>
      </c>
      <c r="BK111" s="39">
        <f t="shared" si="448"/>
        <v>0</v>
      </c>
      <c r="BL111" s="39">
        <f t="shared" si="449"/>
        <v>0</v>
      </c>
      <c r="BM111" s="39">
        <f t="shared" si="450"/>
        <v>0</v>
      </c>
      <c r="BN111" s="39">
        <f t="shared" si="451"/>
        <v>0</v>
      </c>
      <c r="BO111" s="39">
        <f t="shared" si="452"/>
        <v>0</v>
      </c>
      <c r="BP111" s="40"/>
      <c r="BQ111" s="40">
        <f t="shared" si="453"/>
        <v>0</v>
      </c>
      <c r="BR111" s="40">
        <f t="shared" si="454"/>
        <v>0</v>
      </c>
      <c r="BS111" s="40">
        <f t="shared" si="455"/>
        <v>0</v>
      </c>
      <c r="BT111" s="40">
        <f t="shared" si="456"/>
        <v>0</v>
      </c>
      <c r="BU111" s="40">
        <f t="shared" si="457"/>
        <v>0</v>
      </c>
      <c r="BV111" s="40">
        <f t="shared" si="458"/>
        <v>0</v>
      </c>
      <c r="BW111" s="40">
        <f t="shared" si="459"/>
        <v>0</v>
      </c>
      <c r="BX111" s="40">
        <f t="shared" si="460"/>
        <v>0</v>
      </c>
      <c r="BY111" s="40">
        <f t="shared" si="461"/>
        <v>0</v>
      </c>
      <c r="BZ111" s="40">
        <f t="shared" si="462"/>
        <v>0</v>
      </c>
      <c r="CA111" s="37">
        <f t="shared" si="463"/>
        <v>1636</v>
      </c>
      <c r="CC111" s="102"/>
      <c r="CD111" s="12"/>
      <c r="CE111" s="14">
        <f t="shared" ref="CE111:CE113" si="585">IF($CC111="Annual",1,IF($CC111="Monthly F",12,IF($CC111="Monthly V",CD111*12,IF($CC111="One-Time",1,CD111*12))))</f>
        <v>0</v>
      </c>
      <c r="CF111" s="14" cm="1">
        <f t="array" ref="CF111">IFERROR(_xlfn.IFS(VALUE(MID(CF$5,6,1))&gt;$D$2,0,$CC111="Annual",1,CE111=12,12,$CC111="Monthly V",CE111*(1+$D$3),$CC111="Monthly F",12,$CC111="One-Time",0),CE111*(1+$D$3))</f>
        <v>0</v>
      </c>
      <c r="CG111" s="14" cm="1">
        <f t="array" ref="CG111">IFERROR(_xlfn.IFS(VALUE(MID(CG$5,6,1))&gt;$D$2,0,$CC111="Annual",1,CF111=12,12,$CC111="Monthly V",CF111*(1+$D$3),$CC111="Monthly F",12,$CC111="One-Time",0),CF111*(1+$D$3))</f>
        <v>0</v>
      </c>
      <c r="CH111" s="14" cm="1">
        <f t="array" ref="CH111">IFERROR(_xlfn.IFS(VALUE(MID(CH$5,6,1))&gt;$D$2,0,$CC111="Annual",1,CG111=12,12,$CC111="Monthly V",CG111*(1+$D$3),$CC111="Monthly F",12,$CC111="One-Time",0),CG111*(1+$D$3))</f>
        <v>0</v>
      </c>
      <c r="CI111" s="14" cm="1">
        <f t="array" ref="CI111">IFERROR(_xlfn.IFS(VALUE(MID(CI$5,6,1))&gt;$D$2,0,$CC111="Annual",1,CH111=12,12,$CC111="Monthly V",CH111*(1+$D$3),$CC111="Monthly F",12,$CC111="One-Time",0),CH111*(1+$D$3))</f>
        <v>0</v>
      </c>
      <c r="CJ111" s="14" cm="1">
        <f t="array" ref="CJ111">IFERROR(_xlfn.IFS(VALUE(MID(CJ$5,6,1))&gt;$D$2,0,$CC111="Annual",1,CI111=12,12,$CC111="Monthly V",CI111*(1+$D$3),$CC111="Monthly F",12,$CC111="One-Time",0),CI111*(1+$D$3))</f>
        <v>0</v>
      </c>
      <c r="CK111" s="14" cm="1">
        <f t="array" ref="CK111">IFERROR(_xlfn.IFS(VALUE(MID(CK$5,6,1))&gt;$D$2,0,$CC111="Annual",1,CJ111=12,12,$CC111="Monthly V",CJ111*(1+$D$3),$CC111="Monthly F",12,$CC111="One-Time",0),CJ111*(1+$D$3))</f>
        <v>0</v>
      </c>
      <c r="CL111" s="14" cm="1">
        <f t="array" ref="CL111">IFERROR(_xlfn.IFS(VALUE(MID(CL$5,6,1))&gt;$D$2,0,$CC111="Annual",1,CK111=12,12,$CC111="Monthly V",CK111*(1+$D$3),$CC111="Monthly F",12,$CC111="One-Time",0),CK111*(1+$D$3))</f>
        <v>0</v>
      </c>
      <c r="CM111" s="14" cm="1">
        <f t="array" ref="CM111">IFERROR(_xlfn.IFS(VALUE(MID(CM$5,6,1))&gt;$D$2,0,$CC111="Annual",1,CL111=12,12,$CC111="Monthly V",CL111*(1+$D$3),$CC111="Monthly F",12,$CC111="One-Time",0),CL111*(1+$D$3))</f>
        <v>0</v>
      </c>
      <c r="CN111" s="24" cm="1">
        <f t="array" ref="CN111">IFERROR(_xlfn.IFS(VALUE(MID(CN$5,6,2))&gt;$D$2,0,$CC111="Annual",1,CM111=12,12,$CC111="Monthly V",CM111*(1+$D$3),$CC111="Monthly F",12,$CC111="One-Time",0),CM111*(1+$D$3))</f>
        <v>0</v>
      </c>
      <c r="CO111" s="63"/>
      <c r="CP111" s="53"/>
      <c r="CQ111" s="21">
        <f t="shared" ref="CQ111:CQ113" si="586">CR111/12</f>
        <v>0</v>
      </c>
      <c r="CR111" s="55">
        <f t="shared" ref="CR111:DA113" si="587">IFERROR(CE111*$CP111,0)</f>
        <v>0</v>
      </c>
      <c r="CS111" s="55">
        <f t="shared" si="587"/>
        <v>0</v>
      </c>
      <c r="CT111" s="55">
        <f t="shared" si="587"/>
        <v>0</v>
      </c>
      <c r="CU111" s="55">
        <f t="shared" si="587"/>
        <v>0</v>
      </c>
      <c r="CV111" s="55">
        <f t="shared" si="587"/>
        <v>0</v>
      </c>
      <c r="CW111" s="55">
        <f t="shared" si="587"/>
        <v>0</v>
      </c>
      <c r="CX111" s="55">
        <f t="shared" si="587"/>
        <v>0</v>
      </c>
      <c r="CY111" s="55">
        <f t="shared" si="587"/>
        <v>0</v>
      </c>
      <c r="CZ111" s="55">
        <f t="shared" si="587"/>
        <v>0</v>
      </c>
      <c r="DA111" s="55">
        <f t="shared" si="587"/>
        <v>0</v>
      </c>
      <c r="DB111" s="56"/>
      <c r="DC111" s="56">
        <f t="shared" ref="DC111:DC113" si="588">IF(VALUE(MID(DC$5,6,1))&lt;=$D$2,((1+$CP$3)^1-1)*CS111,0)</f>
        <v>0</v>
      </c>
      <c r="DD111" s="56">
        <f t="shared" ref="DD111:DD113" si="589">IF(VALUE(MID(DD$5,6,1))&lt;=$D$2,((1+$CP$3)^2-1)*CT111,0)</f>
        <v>0</v>
      </c>
      <c r="DE111" s="56">
        <f t="shared" ref="DE111:DE113" si="590">IF(VALUE(MID(DE$5,6,1))&lt;=$D$2,((1+$CP$3)^3-1)*CU111,0)</f>
        <v>0</v>
      </c>
      <c r="DF111" s="56">
        <f t="shared" ref="DF111:DF113" si="591">IF(VALUE(MID(DF$5,6,1))&lt;=$D$2,((1+$CP$3)^4-1)*CV111,0)</f>
        <v>0</v>
      </c>
      <c r="DG111" s="56">
        <f t="shared" ref="DG111:DG113" si="592">IF(VALUE(MID(DG$5,6,1))&lt;=$D$2,((1+$CP$3)^5-1)*CW111,0)</f>
        <v>0</v>
      </c>
      <c r="DH111" s="56">
        <f t="shared" ref="DH111:DH113" si="593">IF(VALUE(MID(DH$5,6,1))&lt;=$D$2,((1+$CP$3)^6-1)*CX111,0)</f>
        <v>0</v>
      </c>
      <c r="DI111" s="56">
        <f t="shared" ref="DI111:DI113" si="594">IF(VALUE(MID(DI$5,6,1))&lt;=$D$2,((1+$CP$3)^7-1)*CY111,0)</f>
        <v>0</v>
      </c>
      <c r="DJ111" s="56">
        <f t="shared" ref="DJ111:DJ113" si="595">IF(VALUE(MID(DJ$5,6,1))&lt;=$D$2,((1+$CP$3)^8-1)*CZ111,0)</f>
        <v>0</v>
      </c>
      <c r="DK111" s="56">
        <f t="shared" ref="DK111:DK113" si="596">IF(VALUE(MID(DK$5,6,2))&lt;=$D$2,((1+$CP$3)^9-1)*DA111,0)</f>
        <v>0</v>
      </c>
      <c r="DL111" s="57">
        <f t="shared" ref="DL111:DL113" si="597">SUM(DB111:DK111)</f>
        <v>0</v>
      </c>
      <c r="DM111" s="54">
        <f t="shared" ref="DM111:DM113" si="598">SUM(DL111,CR111:DA111)</f>
        <v>0</v>
      </c>
      <c r="DO111" s="106"/>
    </row>
    <row r="112" spans="2:119" x14ac:dyDescent="0.25">
      <c r="B112" s="141" t="s">
        <v>3</v>
      </c>
      <c r="C112" s="24"/>
      <c r="D112" s="147">
        <f t="shared" si="570"/>
        <v>0</v>
      </c>
      <c r="E112" s="142">
        <f t="shared" si="571"/>
        <v>1</v>
      </c>
      <c r="F112" s="14" cm="1">
        <f t="array" ref="F112">IFERROR(_xlfn.IFS(VALUE(MID(F$5,6,1))&gt;$D$2,0,$B112="Annual",1,E112=12,12,$B112="Monthly V",E112*(1+$D$3),$B112="Monthly F",12,$B112="One-Time",0),E112*(1+$D$3))</f>
        <v>0</v>
      </c>
      <c r="G112" s="14" cm="1">
        <f t="array" ref="G112">IFERROR(_xlfn.IFS(VALUE(MID(G$5,6,1))&gt;$D$2,0,$B112="Annual",1,F112=12,12,$B112="Monthly V",F112*(1+$D$3),$B112="Monthly F",12,$B112="One-Time",0),F112*(1+$D$3))</f>
        <v>0</v>
      </c>
      <c r="H112" s="14" cm="1">
        <f t="array" ref="H112">IFERROR(_xlfn.IFS(VALUE(MID(H$5,6,1))&gt;$D$2,0,$B112="Annual",1,G112=12,12,$B112="Monthly V",G112*(1+$D$3),$B112="Monthly F",12,$B112="One-Time",0),G112*(1+$D$3))</f>
        <v>0</v>
      </c>
      <c r="I112" s="14" cm="1">
        <f t="array" ref="I112">IFERROR(_xlfn.IFS(VALUE(MID(I$5,6,1))&gt;$D$2,0,$B112="Annual",1,H112=12,12,$B112="Monthly V",H112*(1+$D$3),$B112="Monthly F",12,$B112="One-Time",0),H112*(1+$D$3))</f>
        <v>0</v>
      </c>
      <c r="J112" s="14" cm="1">
        <f t="array" ref="J112">IFERROR(_xlfn.IFS(VALUE(MID(J$5,6,1))&gt;$D$2,0,$B112="Annual",1,I112=12,12,$B112="Monthly V",I112*(1+$D$3),$B112="Monthly F",12,$B112="One-Time",0),I112*(1+$D$3))</f>
        <v>0</v>
      </c>
      <c r="K112" s="14" cm="1">
        <f t="array" ref="K112">IFERROR(_xlfn.IFS(VALUE(MID(K$5,6,1))&gt;$D$2,0,$B112="Annual",1,J112=12,12,$B112="Monthly V",J112*(1+$D$3),$B112="Monthly F",12,$B112="One-Time",0),J112*(1+$D$3))</f>
        <v>0</v>
      </c>
      <c r="L112" s="14" cm="1">
        <f t="array" ref="L112">IFERROR(_xlfn.IFS(VALUE(MID(L$5,6,1))&gt;$D$2,0,$B112="Annual",1,K112=12,12,$B112="Monthly V",K112*(1+$D$3),$B112="Monthly F",12,$B112="One-Time",0),K112*(1+$D$3))</f>
        <v>0</v>
      </c>
      <c r="M112" s="14" cm="1">
        <f t="array" ref="M112">IFERROR(_xlfn.IFS(VALUE(MID(M$5,6,1))&gt;$D$2,0,$B112="Annual",1,L112=12,12,$B112="Monthly V",L112*(1+$D$3),$B112="Monthly F",12,$B112="One-Time",0),L112*(1+$D$3))</f>
        <v>0</v>
      </c>
      <c r="N112" s="24" cm="1">
        <f t="array" ref="N112">IFERROR(_xlfn.IFS(VALUE(MID(N$5,6,2))&gt;$D$2,0,$B112="Annual",1,M112=12,12,$B112="Monthly V",M112*(1+$D$3),$B112="Monthly F",12,$B112="One-Time",0),M112*(1+$D$3))</f>
        <v>0</v>
      </c>
      <c r="O112" s="127" t="s">
        <v>114</v>
      </c>
      <c r="P112" s="13"/>
      <c r="Q112" s="20">
        <v>478</v>
      </c>
      <c r="R112" s="21">
        <f t="shared" si="572"/>
        <v>39.833333333333336</v>
      </c>
      <c r="S112" s="6">
        <f t="shared" si="573"/>
        <v>478</v>
      </c>
      <c r="T112" s="6">
        <f t="shared" si="573"/>
        <v>0</v>
      </c>
      <c r="U112" s="6">
        <f t="shared" si="573"/>
        <v>0</v>
      </c>
      <c r="V112" s="6">
        <f t="shared" si="573"/>
        <v>0</v>
      </c>
      <c r="W112" s="6">
        <f t="shared" si="573"/>
        <v>0</v>
      </c>
      <c r="X112" s="6">
        <f t="shared" si="573"/>
        <v>0</v>
      </c>
      <c r="Y112" s="6">
        <f t="shared" si="573"/>
        <v>0</v>
      </c>
      <c r="Z112" s="6">
        <f t="shared" si="573"/>
        <v>0</v>
      </c>
      <c r="AA112" s="6">
        <f t="shared" si="573"/>
        <v>0</v>
      </c>
      <c r="AB112" s="6">
        <f t="shared" si="573"/>
        <v>0</v>
      </c>
      <c r="AC112" s="7"/>
      <c r="AD112" s="152">
        <f t="shared" si="574"/>
        <v>0</v>
      </c>
      <c r="AE112" s="152">
        <f t="shared" si="575"/>
        <v>0</v>
      </c>
      <c r="AF112" s="152">
        <f t="shared" si="576"/>
        <v>0</v>
      </c>
      <c r="AG112" s="152">
        <f t="shared" si="577"/>
        <v>0</v>
      </c>
      <c r="AH112" s="152">
        <f t="shared" si="578"/>
        <v>0</v>
      </c>
      <c r="AI112" s="152">
        <f t="shared" si="579"/>
        <v>0</v>
      </c>
      <c r="AJ112" s="152">
        <f t="shared" si="580"/>
        <v>0</v>
      </c>
      <c r="AK112" s="152">
        <f t="shared" si="581"/>
        <v>0</v>
      </c>
      <c r="AL112" s="152">
        <f t="shared" si="582"/>
        <v>0</v>
      </c>
      <c r="AM112" s="9">
        <f t="shared" si="583"/>
        <v>0</v>
      </c>
      <c r="AN112" s="80">
        <f t="shared" si="584"/>
        <v>478</v>
      </c>
      <c r="AP112" s="102" t="s">
        <v>3</v>
      </c>
      <c r="AQ112" s="12">
        <v>1</v>
      </c>
      <c r="AR112" s="14">
        <f t="shared" si="442"/>
        <v>1</v>
      </c>
      <c r="AS112" s="14" cm="1">
        <f t="array" ref="AS112">IFERROR(_xlfn.IFS(VALUE(MID(AS$5,6,1))&gt;$D$2,0,$AP112="Annual",1,AR112=12,12,$AP112="Monthly V",AR112*(1+$D$3),$AP112="Monthly F",12,$AP112="One-Time",0),AR112*(1+$D$3))</f>
        <v>0</v>
      </c>
      <c r="AT112" s="14" cm="1">
        <f t="array" ref="AT112">IFERROR(_xlfn.IFS(VALUE(MID(AT$5,6,1))&gt;$D$2,0,$AP112="Annual",1,AS112=12,12,$AP112="Monthly V",AS112*(1+$D$3),$AP112="Monthly F",12,$AP112="One-Time",0),AS112*(1+$D$3))</f>
        <v>0</v>
      </c>
      <c r="AU112" s="14" cm="1">
        <f t="array" ref="AU112">IFERROR(_xlfn.IFS(VALUE(MID(AU$5,6,1))&gt;$D$2,0,$AP112="Annual",1,AT112=12,12,$AP112="Monthly V",AT112*(1+$D$3),$AP112="Monthly F",12,$AP112="One-Time",0),AT112*(1+$D$3))</f>
        <v>0</v>
      </c>
      <c r="AV112" s="14" cm="1">
        <f t="array" ref="AV112">IFERROR(_xlfn.IFS(VALUE(MID(AV$5,6,1))&gt;$D$2,0,$AP112="Annual",1,AU112=12,12,$AP112="Monthly V",AU112*(1+$D$3),$AP112="Monthly F",12,$AP112="One-Time",0),AU112*(1+$D$3))</f>
        <v>0</v>
      </c>
      <c r="AW112" s="14" cm="1">
        <f t="array" ref="AW112">IFERROR(_xlfn.IFS(VALUE(MID(AW$5,6,1))&gt;$D$2,0,$AP112="Annual",1,AV112=12,12,$AP112="Monthly V",AV112*(1+$D$3),$AP112="Monthly F",12,$AP112="One-Time",0),AV112*(1+$D$3))</f>
        <v>0</v>
      </c>
      <c r="AX112" s="14" cm="1">
        <f t="array" ref="AX112">IFERROR(_xlfn.IFS(VALUE(MID(AX$5,6,1))&gt;$D$2,0,$AP112="Annual",1,AW112=12,12,$AP112="Monthly V",AW112*(1+$D$3),$AP112="Monthly F",12,$AP112="One-Time",0),AW112*(1+$D$3))</f>
        <v>0</v>
      </c>
      <c r="AY112" s="14" cm="1">
        <f t="array" ref="AY112">IFERROR(_xlfn.IFS(VALUE(MID(AY$5,6,1))&gt;$D$2,0,$AP112="Annual",1,AX112=12,12,$AP112="Monthly V",AX112*(1+$D$3),$AP112="Monthly F",12,$AP112="One-Time",0),AX112*(1+$D$3))</f>
        <v>0</v>
      </c>
      <c r="AZ112" s="14" cm="1">
        <f t="array" ref="AZ112">IFERROR(_xlfn.IFS(VALUE(MID(AZ$5,6,1))&gt;$D$2,0,$AP112="Annual",1,AY112=12,12,$AP112="Monthly V",AY112*(1+$D$3),$AP112="Monthly F",12,$AP112="One-Time",0),AY112*(1+$D$3))</f>
        <v>0</v>
      </c>
      <c r="BA112" s="125" cm="1">
        <f t="array" ref="BA112">IFERROR(_xlfn.IFS(VALUE(MID(BA$5,6,2))&gt;$D$2,0,$AP112="Annual",1,AZ112=12,12,$AP112="Monthly V",AZ112*(1+$D$3),$AP112="Monthly F",12,$AP112="One-Time",0),AZ112*(1+$D$3))</f>
        <v>0</v>
      </c>
      <c r="BB112" s="124" t="s">
        <v>238</v>
      </c>
      <c r="BC112" s="38" t="s">
        <v>222</v>
      </c>
      <c r="BD112" s="36">
        <v>1000</v>
      </c>
      <c r="BE112" s="21">
        <f t="shared" si="443"/>
        <v>83.333333333333329</v>
      </c>
      <c r="BF112" s="39">
        <f t="shared" si="569"/>
        <v>1000</v>
      </c>
      <c r="BG112" s="39">
        <f t="shared" si="444"/>
        <v>0</v>
      </c>
      <c r="BH112" s="39">
        <f t="shared" si="445"/>
        <v>0</v>
      </c>
      <c r="BI112" s="39">
        <f t="shared" si="446"/>
        <v>0</v>
      </c>
      <c r="BJ112" s="39">
        <f t="shared" si="447"/>
        <v>0</v>
      </c>
      <c r="BK112" s="39">
        <f t="shared" si="448"/>
        <v>0</v>
      </c>
      <c r="BL112" s="39">
        <f t="shared" si="449"/>
        <v>0</v>
      </c>
      <c r="BM112" s="39">
        <f t="shared" si="450"/>
        <v>0</v>
      </c>
      <c r="BN112" s="39">
        <f t="shared" si="451"/>
        <v>0</v>
      </c>
      <c r="BO112" s="39">
        <f t="shared" si="452"/>
        <v>0</v>
      </c>
      <c r="BP112" s="40"/>
      <c r="BQ112" s="40">
        <f t="shared" si="453"/>
        <v>0</v>
      </c>
      <c r="BR112" s="40">
        <f t="shared" si="454"/>
        <v>0</v>
      </c>
      <c r="BS112" s="40">
        <f t="shared" si="455"/>
        <v>0</v>
      </c>
      <c r="BT112" s="40">
        <f t="shared" si="456"/>
        <v>0</v>
      </c>
      <c r="BU112" s="40">
        <f t="shared" si="457"/>
        <v>0</v>
      </c>
      <c r="BV112" s="40">
        <f t="shared" si="458"/>
        <v>0</v>
      </c>
      <c r="BW112" s="40">
        <f t="shared" si="459"/>
        <v>0</v>
      </c>
      <c r="BX112" s="40">
        <f t="shared" si="460"/>
        <v>0</v>
      </c>
      <c r="BY112" s="40">
        <f t="shared" si="461"/>
        <v>0</v>
      </c>
      <c r="BZ112" s="40">
        <f t="shared" si="462"/>
        <v>0</v>
      </c>
      <c r="CA112" s="37">
        <f t="shared" si="463"/>
        <v>1000</v>
      </c>
      <c r="CC112" s="102"/>
      <c r="CD112" s="12"/>
      <c r="CE112" s="14">
        <f t="shared" si="585"/>
        <v>0</v>
      </c>
      <c r="CF112" s="14" cm="1">
        <f t="array" ref="CF112">IFERROR(_xlfn.IFS(VALUE(MID(CF$5,6,1))&gt;$D$2,0,$CC112="Annual",1,CE112=12,12,$CC112="Monthly V",CE112*(1+$D$3),$CC112="Monthly F",12,$CC112="One-Time",0),CE112*(1+$D$3))</f>
        <v>0</v>
      </c>
      <c r="CG112" s="14" cm="1">
        <f t="array" ref="CG112">IFERROR(_xlfn.IFS(VALUE(MID(CG$5,6,1))&gt;$D$2,0,$CC112="Annual",1,CF112=12,12,$CC112="Monthly V",CF112*(1+$D$3),$CC112="Monthly F",12,$CC112="One-Time",0),CF112*(1+$D$3))</f>
        <v>0</v>
      </c>
      <c r="CH112" s="14" cm="1">
        <f t="array" ref="CH112">IFERROR(_xlfn.IFS(VALUE(MID(CH$5,6,1))&gt;$D$2,0,$CC112="Annual",1,CG112=12,12,$CC112="Monthly V",CG112*(1+$D$3),$CC112="Monthly F",12,$CC112="One-Time",0),CG112*(1+$D$3))</f>
        <v>0</v>
      </c>
      <c r="CI112" s="14" cm="1">
        <f t="array" ref="CI112">IFERROR(_xlfn.IFS(VALUE(MID(CI$5,6,1))&gt;$D$2,0,$CC112="Annual",1,CH112=12,12,$CC112="Monthly V",CH112*(1+$D$3),$CC112="Monthly F",12,$CC112="One-Time",0),CH112*(1+$D$3))</f>
        <v>0</v>
      </c>
      <c r="CJ112" s="14" cm="1">
        <f t="array" ref="CJ112">IFERROR(_xlfn.IFS(VALUE(MID(CJ$5,6,1))&gt;$D$2,0,$CC112="Annual",1,CI112=12,12,$CC112="Monthly V",CI112*(1+$D$3),$CC112="Monthly F",12,$CC112="One-Time",0),CI112*(1+$D$3))</f>
        <v>0</v>
      </c>
      <c r="CK112" s="14" cm="1">
        <f t="array" ref="CK112">IFERROR(_xlfn.IFS(VALUE(MID(CK$5,6,1))&gt;$D$2,0,$CC112="Annual",1,CJ112=12,12,$CC112="Monthly V",CJ112*(1+$D$3),$CC112="Monthly F",12,$CC112="One-Time",0),CJ112*(1+$D$3))</f>
        <v>0</v>
      </c>
      <c r="CL112" s="14" cm="1">
        <f t="array" ref="CL112">IFERROR(_xlfn.IFS(VALUE(MID(CL$5,6,1))&gt;$D$2,0,$CC112="Annual",1,CK112=12,12,$CC112="Monthly V",CK112*(1+$D$3),$CC112="Monthly F",12,$CC112="One-Time",0),CK112*(1+$D$3))</f>
        <v>0</v>
      </c>
      <c r="CM112" s="14" cm="1">
        <f t="array" ref="CM112">IFERROR(_xlfn.IFS(VALUE(MID(CM$5,6,1))&gt;$D$2,0,$CC112="Annual",1,CL112=12,12,$CC112="Monthly V",CL112*(1+$D$3),$CC112="Monthly F",12,$CC112="One-Time",0),CL112*(1+$D$3))</f>
        <v>0</v>
      </c>
      <c r="CN112" s="24" cm="1">
        <f t="array" ref="CN112">IFERROR(_xlfn.IFS(VALUE(MID(CN$5,6,2))&gt;$D$2,0,$CC112="Annual",1,CM112=12,12,$CC112="Monthly V",CM112*(1+$D$3),$CC112="Monthly F",12,$CC112="One-Time",0),CM112*(1+$D$3))</f>
        <v>0</v>
      </c>
      <c r="CO112" s="63"/>
      <c r="CP112" s="53"/>
      <c r="CQ112" s="21">
        <f t="shared" si="586"/>
        <v>0</v>
      </c>
      <c r="CR112" s="55">
        <f t="shared" si="587"/>
        <v>0</v>
      </c>
      <c r="CS112" s="55">
        <f t="shared" si="587"/>
        <v>0</v>
      </c>
      <c r="CT112" s="55">
        <f t="shared" si="587"/>
        <v>0</v>
      </c>
      <c r="CU112" s="55">
        <f t="shared" si="587"/>
        <v>0</v>
      </c>
      <c r="CV112" s="55">
        <f t="shared" si="587"/>
        <v>0</v>
      </c>
      <c r="CW112" s="55">
        <f t="shared" si="587"/>
        <v>0</v>
      </c>
      <c r="CX112" s="55">
        <f t="shared" si="587"/>
        <v>0</v>
      </c>
      <c r="CY112" s="55">
        <f t="shared" si="587"/>
        <v>0</v>
      </c>
      <c r="CZ112" s="55">
        <f t="shared" si="587"/>
        <v>0</v>
      </c>
      <c r="DA112" s="55">
        <f t="shared" si="587"/>
        <v>0</v>
      </c>
      <c r="DB112" s="56"/>
      <c r="DC112" s="56">
        <f t="shared" si="588"/>
        <v>0</v>
      </c>
      <c r="DD112" s="56">
        <f t="shared" si="589"/>
        <v>0</v>
      </c>
      <c r="DE112" s="56">
        <f t="shared" si="590"/>
        <v>0</v>
      </c>
      <c r="DF112" s="56">
        <f t="shared" si="591"/>
        <v>0</v>
      </c>
      <c r="DG112" s="56">
        <f t="shared" si="592"/>
        <v>0</v>
      </c>
      <c r="DH112" s="56">
        <f t="shared" si="593"/>
        <v>0</v>
      </c>
      <c r="DI112" s="56">
        <f t="shared" si="594"/>
        <v>0</v>
      </c>
      <c r="DJ112" s="56">
        <f t="shared" si="595"/>
        <v>0</v>
      </c>
      <c r="DK112" s="56">
        <f t="shared" si="596"/>
        <v>0</v>
      </c>
      <c r="DL112" s="57">
        <f t="shared" si="597"/>
        <v>0</v>
      </c>
      <c r="DM112" s="54">
        <f t="shared" si="598"/>
        <v>0</v>
      </c>
      <c r="DO112" s="106"/>
    </row>
    <row r="113" spans="2:119" x14ac:dyDescent="0.25">
      <c r="B113" s="141" t="s">
        <v>3</v>
      </c>
      <c r="C113" s="24"/>
      <c r="D113" s="147">
        <f t="shared" si="570"/>
        <v>0</v>
      </c>
      <c r="E113" s="142">
        <f t="shared" si="571"/>
        <v>1</v>
      </c>
      <c r="F113" s="14" cm="1">
        <f t="array" ref="F113">IFERROR(_xlfn.IFS(VALUE(MID(F$5,6,1))&gt;$D$2,0,$B113="Annual",1,E113=12,12,$B113="Monthly V",E113*(1+$D$3),$B113="Monthly F",12,$B113="One-Time",0),E113*(1+$D$3))</f>
        <v>0</v>
      </c>
      <c r="G113" s="14" cm="1">
        <f t="array" ref="G113">IFERROR(_xlfn.IFS(VALUE(MID(G$5,6,1))&gt;$D$2,0,$B113="Annual",1,F113=12,12,$B113="Monthly V",F113*(1+$D$3),$B113="Monthly F",12,$B113="One-Time",0),F113*(1+$D$3))</f>
        <v>0</v>
      </c>
      <c r="H113" s="14" cm="1">
        <f t="array" ref="H113">IFERROR(_xlfn.IFS(VALUE(MID(H$5,6,1))&gt;$D$2,0,$B113="Annual",1,G113=12,12,$B113="Monthly V",G113*(1+$D$3),$B113="Monthly F",12,$B113="One-Time",0),G113*(1+$D$3))</f>
        <v>0</v>
      </c>
      <c r="I113" s="14" cm="1">
        <f t="array" ref="I113">IFERROR(_xlfn.IFS(VALUE(MID(I$5,6,1))&gt;$D$2,0,$B113="Annual",1,H113=12,12,$B113="Monthly V",H113*(1+$D$3),$B113="Monthly F",12,$B113="One-Time",0),H113*(1+$D$3))</f>
        <v>0</v>
      </c>
      <c r="J113" s="14" cm="1">
        <f t="array" ref="J113">IFERROR(_xlfn.IFS(VALUE(MID(J$5,6,1))&gt;$D$2,0,$B113="Annual",1,I113=12,12,$B113="Monthly V",I113*(1+$D$3),$B113="Monthly F",12,$B113="One-Time",0),I113*(1+$D$3))</f>
        <v>0</v>
      </c>
      <c r="K113" s="14" cm="1">
        <f t="array" ref="K113">IFERROR(_xlfn.IFS(VALUE(MID(K$5,6,1))&gt;$D$2,0,$B113="Annual",1,J113=12,12,$B113="Monthly V",J113*(1+$D$3),$B113="Monthly F",12,$B113="One-Time",0),J113*(1+$D$3))</f>
        <v>0</v>
      </c>
      <c r="L113" s="14" cm="1">
        <f t="array" ref="L113">IFERROR(_xlfn.IFS(VALUE(MID(L$5,6,1))&gt;$D$2,0,$B113="Annual",1,K113=12,12,$B113="Monthly V",K113*(1+$D$3),$B113="Monthly F",12,$B113="One-Time",0),K113*(1+$D$3))</f>
        <v>0</v>
      </c>
      <c r="M113" s="14" cm="1">
        <f t="array" ref="M113">IFERROR(_xlfn.IFS(VALUE(MID(M$5,6,1))&gt;$D$2,0,$B113="Annual",1,L113=12,12,$B113="Monthly V",L113*(1+$D$3),$B113="Monthly F",12,$B113="One-Time",0),L113*(1+$D$3))</f>
        <v>0</v>
      </c>
      <c r="N113" s="24" cm="1">
        <f t="array" ref="N113">IFERROR(_xlfn.IFS(VALUE(MID(N$5,6,2))&gt;$D$2,0,$B113="Annual",1,M113=12,12,$B113="Monthly V",M113*(1+$D$3),$B113="Monthly F",12,$B113="One-Time",0),M113*(1+$D$3))</f>
        <v>0</v>
      </c>
      <c r="O113" s="127" t="s">
        <v>115</v>
      </c>
      <c r="P113" s="13"/>
      <c r="Q113" s="20">
        <v>1158</v>
      </c>
      <c r="R113" s="21">
        <f t="shared" si="572"/>
        <v>96.5</v>
      </c>
      <c r="S113" s="6">
        <f t="shared" si="573"/>
        <v>1158</v>
      </c>
      <c r="T113" s="6">
        <f t="shared" si="573"/>
        <v>0</v>
      </c>
      <c r="U113" s="6">
        <f t="shared" si="573"/>
        <v>0</v>
      </c>
      <c r="V113" s="6">
        <f t="shared" si="573"/>
        <v>0</v>
      </c>
      <c r="W113" s="6">
        <f t="shared" si="573"/>
        <v>0</v>
      </c>
      <c r="X113" s="6">
        <f t="shared" si="573"/>
        <v>0</v>
      </c>
      <c r="Y113" s="6">
        <f t="shared" si="573"/>
        <v>0</v>
      </c>
      <c r="Z113" s="6">
        <f t="shared" si="573"/>
        <v>0</v>
      </c>
      <c r="AA113" s="6">
        <f t="shared" si="573"/>
        <v>0</v>
      </c>
      <c r="AB113" s="6">
        <f t="shared" si="573"/>
        <v>0</v>
      </c>
      <c r="AC113" s="7"/>
      <c r="AD113" s="152">
        <f t="shared" si="574"/>
        <v>0</v>
      </c>
      <c r="AE113" s="152">
        <f t="shared" si="575"/>
        <v>0</v>
      </c>
      <c r="AF113" s="152">
        <f t="shared" si="576"/>
        <v>0</v>
      </c>
      <c r="AG113" s="152">
        <f t="shared" si="577"/>
        <v>0</v>
      </c>
      <c r="AH113" s="152">
        <f t="shared" si="578"/>
        <v>0</v>
      </c>
      <c r="AI113" s="152">
        <f t="shared" si="579"/>
        <v>0</v>
      </c>
      <c r="AJ113" s="152">
        <f t="shared" si="580"/>
        <v>0</v>
      </c>
      <c r="AK113" s="152">
        <f t="shared" si="581"/>
        <v>0</v>
      </c>
      <c r="AL113" s="152">
        <f t="shared" si="582"/>
        <v>0</v>
      </c>
      <c r="AM113" s="9">
        <f t="shared" si="583"/>
        <v>0</v>
      </c>
      <c r="AN113" s="80">
        <f t="shared" si="584"/>
        <v>1158</v>
      </c>
      <c r="AP113" s="102"/>
      <c r="AQ113" s="12"/>
      <c r="AR113" s="14">
        <f t="shared" si="442"/>
        <v>0</v>
      </c>
      <c r="AS113" s="14" cm="1">
        <f t="array" ref="AS113">IFERROR(_xlfn.IFS(VALUE(MID(AS$5,6,1))&gt;$D$2,0,$AP113="Annual",1,AR113=12,12,$AP113="Monthly V",AR113*(1+$D$3),$AP113="Monthly F",12,$AP113="One-Time",0),AR113*(1+$D$3))</f>
        <v>0</v>
      </c>
      <c r="AT113" s="14" cm="1">
        <f t="array" ref="AT113">IFERROR(_xlfn.IFS(VALUE(MID(AT$5,6,1))&gt;$D$2,0,$AP113="Annual",1,AS113=12,12,$AP113="Monthly V",AS113*(1+$D$3),$AP113="Monthly F",12,$AP113="One-Time",0),AS113*(1+$D$3))</f>
        <v>0</v>
      </c>
      <c r="AU113" s="14" cm="1">
        <f t="array" ref="AU113">IFERROR(_xlfn.IFS(VALUE(MID(AU$5,6,1))&gt;$D$2,0,$AP113="Annual",1,AT113=12,12,$AP113="Monthly V",AT113*(1+$D$3),$AP113="Monthly F",12,$AP113="One-Time",0),AT113*(1+$D$3))</f>
        <v>0</v>
      </c>
      <c r="AV113" s="14" cm="1">
        <f t="array" ref="AV113">IFERROR(_xlfn.IFS(VALUE(MID(AV$5,6,1))&gt;$D$2,0,$AP113="Annual",1,AU113=12,12,$AP113="Monthly V",AU113*(1+$D$3),$AP113="Monthly F",12,$AP113="One-Time",0),AU113*(1+$D$3))</f>
        <v>0</v>
      </c>
      <c r="AW113" s="14" cm="1">
        <f t="array" ref="AW113">IFERROR(_xlfn.IFS(VALUE(MID(AW$5,6,1))&gt;$D$2,0,$AP113="Annual",1,AV113=12,12,$AP113="Monthly V",AV113*(1+$D$3),$AP113="Monthly F",12,$AP113="One-Time",0),AV113*(1+$D$3))</f>
        <v>0</v>
      </c>
      <c r="AX113" s="14" cm="1">
        <f t="array" ref="AX113">IFERROR(_xlfn.IFS(VALUE(MID(AX$5,6,1))&gt;$D$2,0,$AP113="Annual",1,AW113=12,12,$AP113="Monthly V",AW113*(1+$D$3),$AP113="Monthly F",12,$AP113="One-Time",0),AW113*(1+$D$3))</f>
        <v>0</v>
      </c>
      <c r="AY113" s="14" cm="1">
        <f t="array" ref="AY113">IFERROR(_xlfn.IFS(VALUE(MID(AY$5,6,1))&gt;$D$2,0,$AP113="Annual",1,AX113=12,12,$AP113="Monthly V",AX113*(1+$D$3),$AP113="Monthly F",12,$AP113="One-Time",0),AX113*(1+$D$3))</f>
        <v>0</v>
      </c>
      <c r="AZ113" s="14" cm="1">
        <f t="array" ref="AZ113">IFERROR(_xlfn.IFS(VALUE(MID(AZ$5,6,1))&gt;$D$2,0,$AP113="Annual",1,AY113=12,12,$AP113="Monthly V",AY113*(1+$D$3),$AP113="Monthly F",12,$AP113="One-Time",0),AY113*(1+$D$3))</f>
        <v>0</v>
      </c>
      <c r="BA113" s="125" cm="1">
        <f t="array" ref="BA113">IFERROR(_xlfn.IFS(VALUE(MID(BA$5,6,2))&gt;$D$2,0,$AP113="Annual",1,AZ113=12,12,$AP113="Monthly V",AZ113*(1+$D$3),$AP113="Monthly F",12,$AP113="One-Time",0),AZ113*(1+$D$3))</f>
        <v>0</v>
      </c>
      <c r="BB113" s="124"/>
      <c r="BC113" s="38"/>
      <c r="BD113" s="36"/>
      <c r="BE113" s="21">
        <f t="shared" si="443"/>
        <v>0</v>
      </c>
      <c r="BF113" s="39">
        <f t="shared" si="569"/>
        <v>0</v>
      </c>
      <c r="BG113" s="39">
        <f t="shared" si="444"/>
        <v>0</v>
      </c>
      <c r="BH113" s="39">
        <f t="shared" si="445"/>
        <v>0</v>
      </c>
      <c r="BI113" s="39">
        <f t="shared" si="446"/>
        <v>0</v>
      </c>
      <c r="BJ113" s="39">
        <f t="shared" si="447"/>
        <v>0</v>
      </c>
      <c r="BK113" s="39">
        <f t="shared" si="448"/>
        <v>0</v>
      </c>
      <c r="BL113" s="39">
        <f t="shared" si="449"/>
        <v>0</v>
      </c>
      <c r="BM113" s="39">
        <f t="shared" si="450"/>
        <v>0</v>
      </c>
      <c r="BN113" s="39">
        <f t="shared" si="451"/>
        <v>0</v>
      </c>
      <c r="BO113" s="39">
        <f t="shared" si="452"/>
        <v>0</v>
      </c>
      <c r="BP113" s="40"/>
      <c r="BQ113" s="40">
        <f t="shared" si="453"/>
        <v>0</v>
      </c>
      <c r="BR113" s="40">
        <f t="shared" si="454"/>
        <v>0</v>
      </c>
      <c r="BS113" s="40">
        <f t="shared" si="455"/>
        <v>0</v>
      </c>
      <c r="BT113" s="40">
        <f t="shared" si="456"/>
        <v>0</v>
      </c>
      <c r="BU113" s="40">
        <f t="shared" si="457"/>
        <v>0</v>
      </c>
      <c r="BV113" s="40">
        <f t="shared" si="458"/>
        <v>0</v>
      </c>
      <c r="BW113" s="40">
        <f t="shared" si="459"/>
        <v>0</v>
      </c>
      <c r="BX113" s="40">
        <f t="shared" si="460"/>
        <v>0</v>
      </c>
      <c r="BY113" s="40">
        <f t="shared" si="461"/>
        <v>0</v>
      </c>
      <c r="BZ113" s="40">
        <f t="shared" si="462"/>
        <v>0</v>
      </c>
      <c r="CA113" s="37">
        <f t="shared" si="463"/>
        <v>0</v>
      </c>
      <c r="CC113" s="102"/>
      <c r="CD113" s="12"/>
      <c r="CE113" s="14">
        <f t="shared" si="585"/>
        <v>0</v>
      </c>
      <c r="CF113" s="14" cm="1">
        <f t="array" ref="CF113">IFERROR(_xlfn.IFS(VALUE(MID(CF$5,6,1))&gt;$D$2,0,$CC113="Annual",1,CE113=12,12,$CC113="Monthly V",CE113*(1+$D$3),$CC113="Monthly F",12,$CC113="One-Time",0),CE113*(1+$D$3))</f>
        <v>0</v>
      </c>
      <c r="CG113" s="14" cm="1">
        <f t="array" ref="CG113">IFERROR(_xlfn.IFS(VALUE(MID(CG$5,6,1))&gt;$D$2,0,$CC113="Annual",1,CF113=12,12,$CC113="Monthly V",CF113*(1+$D$3),$CC113="Monthly F",12,$CC113="One-Time",0),CF113*(1+$D$3))</f>
        <v>0</v>
      </c>
      <c r="CH113" s="14" cm="1">
        <f t="array" ref="CH113">IFERROR(_xlfn.IFS(VALUE(MID(CH$5,6,1))&gt;$D$2,0,$CC113="Annual",1,CG113=12,12,$CC113="Monthly V",CG113*(1+$D$3),$CC113="Monthly F",12,$CC113="One-Time",0),CG113*(1+$D$3))</f>
        <v>0</v>
      </c>
      <c r="CI113" s="14" cm="1">
        <f t="array" ref="CI113">IFERROR(_xlfn.IFS(VALUE(MID(CI$5,6,1))&gt;$D$2,0,$CC113="Annual",1,CH113=12,12,$CC113="Monthly V",CH113*(1+$D$3),$CC113="Monthly F",12,$CC113="One-Time",0),CH113*(1+$D$3))</f>
        <v>0</v>
      </c>
      <c r="CJ113" s="14" cm="1">
        <f t="array" ref="CJ113">IFERROR(_xlfn.IFS(VALUE(MID(CJ$5,6,1))&gt;$D$2,0,$CC113="Annual",1,CI113=12,12,$CC113="Monthly V",CI113*(1+$D$3),$CC113="Monthly F",12,$CC113="One-Time",0),CI113*(1+$D$3))</f>
        <v>0</v>
      </c>
      <c r="CK113" s="14" cm="1">
        <f t="array" ref="CK113">IFERROR(_xlfn.IFS(VALUE(MID(CK$5,6,1))&gt;$D$2,0,$CC113="Annual",1,CJ113=12,12,$CC113="Monthly V",CJ113*(1+$D$3),$CC113="Monthly F",12,$CC113="One-Time",0),CJ113*(1+$D$3))</f>
        <v>0</v>
      </c>
      <c r="CL113" s="14" cm="1">
        <f t="array" ref="CL113">IFERROR(_xlfn.IFS(VALUE(MID(CL$5,6,1))&gt;$D$2,0,$CC113="Annual",1,CK113=12,12,$CC113="Monthly V",CK113*(1+$D$3),$CC113="Monthly F",12,$CC113="One-Time",0),CK113*(1+$D$3))</f>
        <v>0</v>
      </c>
      <c r="CM113" s="14" cm="1">
        <f t="array" ref="CM113">IFERROR(_xlfn.IFS(VALUE(MID(CM$5,6,1))&gt;$D$2,0,$CC113="Annual",1,CL113=12,12,$CC113="Monthly V",CL113*(1+$D$3),$CC113="Monthly F",12,$CC113="One-Time",0),CL113*(1+$D$3))</f>
        <v>0</v>
      </c>
      <c r="CN113" s="24" cm="1">
        <f t="array" ref="CN113">IFERROR(_xlfn.IFS(VALUE(MID(CN$5,6,2))&gt;$D$2,0,$CC113="Annual",1,CM113=12,12,$CC113="Monthly V",CM113*(1+$D$3),$CC113="Monthly F",12,$CC113="One-Time",0),CM113*(1+$D$3))</f>
        <v>0</v>
      </c>
      <c r="CO113" s="63"/>
      <c r="CP113" s="53"/>
      <c r="CQ113" s="21">
        <f t="shared" si="586"/>
        <v>0</v>
      </c>
      <c r="CR113" s="55">
        <f t="shared" si="587"/>
        <v>0</v>
      </c>
      <c r="CS113" s="55">
        <f t="shared" si="587"/>
        <v>0</v>
      </c>
      <c r="CT113" s="55">
        <f t="shared" si="587"/>
        <v>0</v>
      </c>
      <c r="CU113" s="55">
        <f t="shared" si="587"/>
        <v>0</v>
      </c>
      <c r="CV113" s="55">
        <f t="shared" si="587"/>
        <v>0</v>
      </c>
      <c r="CW113" s="55">
        <f t="shared" si="587"/>
        <v>0</v>
      </c>
      <c r="CX113" s="55">
        <f t="shared" si="587"/>
        <v>0</v>
      </c>
      <c r="CY113" s="55">
        <f t="shared" si="587"/>
        <v>0</v>
      </c>
      <c r="CZ113" s="55">
        <f t="shared" si="587"/>
        <v>0</v>
      </c>
      <c r="DA113" s="55">
        <f t="shared" si="587"/>
        <v>0</v>
      </c>
      <c r="DB113" s="56"/>
      <c r="DC113" s="56">
        <f t="shared" si="588"/>
        <v>0</v>
      </c>
      <c r="DD113" s="56">
        <f t="shared" si="589"/>
        <v>0</v>
      </c>
      <c r="DE113" s="56">
        <f t="shared" si="590"/>
        <v>0</v>
      </c>
      <c r="DF113" s="56">
        <f t="shared" si="591"/>
        <v>0</v>
      </c>
      <c r="DG113" s="56">
        <f t="shared" si="592"/>
        <v>0</v>
      </c>
      <c r="DH113" s="56">
        <f t="shared" si="593"/>
        <v>0</v>
      </c>
      <c r="DI113" s="56">
        <f t="shared" si="594"/>
        <v>0</v>
      </c>
      <c r="DJ113" s="56">
        <f t="shared" si="595"/>
        <v>0</v>
      </c>
      <c r="DK113" s="56">
        <f t="shared" si="596"/>
        <v>0</v>
      </c>
      <c r="DL113" s="57">
        <f t="shared" si="597"/>
        <v>0</v>
      </c>
      <c r="DM113" s="54">
        <f t="shared" si="598"/>
        <v>0</v>
      </c>
      <c r="DO113" s="106"/>
    </row>
    <row r="114" spans="2:119" ht="15.75" thickBot="1" x14ac:dyDescent="0.3">
      <c r="B114" s="141" t="s">
        <v>3</v>
      </c>
      <c r="C114" s="24"/>
      <c r="D114" s="147">
        <f t="shared" si="570"/>
        <v>0</v>
      </c>
      <c r="E114" s="142">
        <f t="shared" si="571"/>
        <v>1</v>
      </c>
      <c r="F114" s="14" cm="1">
        <f t="array" ref="F114">IFERROR(_xlfn.IFS(VALUE(MID(F$5,6,1))&gt;$D$2,0,$B114="Annual",1,E114=12,12,$B114="Monthly V",E114*(1+$D$3),$B114="Monthly F",12,$B114="One-Time",0),E114*(1+$D$3))</f>
        <v>0</v>
      </c>
      <c r="G114" s="14" cm="1">
        <f t="array" ref="G114">IFERROR(_xlfn.IFS(VALUE(MID(G$5,6,1))&gt;$D$2,0,$B114="Annual",1,F114=12,12,$B114="Monthly V",F114*(1+$D$3),$B114="Monthly F",12,$B114="One-Time",0),F114*(1+$D$3))</f>
        <v>0</v>
      </c>
      <c r="H114" s="14" cm="1">
        <f t="array" ref="H114">IFERROR(_xlfn.IFS(VALUE(MID(H$5,6,1))&gt;$D$2,0,$B114="Annual",1,G114=12,12,$B114="Monthly V",G114*(1+$D$3),$B114="Monthly F",12,$B114="One-Time",0),G114*(1+$D$3))</f>
        <v>0</v>
      </c>
      <c r="I114" s="14" cm="1">
        <f t="array" ref="I114">IFERROR(_xlfn.IFS(VALUE(MID(I$5,6,1))&gt;$D$2,0,$B114="Annual",1,H114=12,12,$B114="Monthly V",H114*(1+$D$3),$B114="Monthly F",12,$B114="One-Time",0),H114*(1+$D$3))</f>
        <v>0</v>
      </c>
      <c r="J114" s="14" cm="1">
        <f t="array" ref="J114">IFERROR(_xlfn.IFS(VALUE(MID(J$5,6,1))&gt;$D$2,0,$B114="Annual",1,I114=12,12,$B114="Monthly V",I114*(1+$D$3),$B114="Monthly F",12,$B114="One-Time",0),I114*(1+$D$3))</f>
        <v>0</v>
      </c>
      <c r="K114" s="14" cm="1">
        <f t="array" ref="K114">IFERROR(_xlfn.IFS(VALUE(MID(K$5,6,1))&gt;$D$2,0,$B114="Annual",1,J114=12,12,$B114="Monthly V",J114*(1+$D$3),$B114="Monthly F",12,$B114="One-Time",0),J114*(1+$D$3))</f>
        <v>0</v>
      </c>
      <c r="L114" s="14" cm="1">
        <f t="array" ref="L114">IFERROR(_xlfn.IFS(VALUE(MID(L$5,6,1))&gt;$D$2,0,$B114="Annual",1,K114=12,12,$B114="Monthly V",K114*(1+$D$3),$B114="Monthly F",12,$B114="One-Time",0),K114*(1+$D$3))</f>
        <v>0</v>
      </c>
      <c r="M114" s="14" cm="1">
        <f t="array" ref="M114">IFERROR(_xlfn.IFS(VALUE(MID(M$5,6,1))&gt;$D$2,0,$B114="Annual",1,L114=12,12,$B114="Monthly V",L114*(1+$D$3),$B114="Monthly F",12,$B114="One-Time",0),L114*(1+$D$3))</f>
        <v>0</v>
      </c>
      <c r="N114" s="24" cm="1">
        <f t="array" ref="N114">IFERROR(_xlfn.IFS(VALUE(MID(N$5,6,2))&gt;$D$2,0,$B114="Annual",1,M114=12,12,$B114="Monthly V",M114*(1+$D$3),$B114="Monthly F",12,$B114="One-Time",0),M114*(1+$D$3))</f>
        <v>0</v>
      </c>
      <c r="O114" s="127" t="s">
        <v>116</v>
      </c>
      <c r="P114" s="13"/>
      <c r="Q114" s="20">
        <v>1172</v>
      </c>
      <c r="R114" s="21">
        <f t="shared" si="572"/>
        <v>97.666666666666671</v>
      </c>
      <c r="S114" s="6">
        <f t="shared" si="573"/>
        <v>1172</v>
      </c>
      <c r="T114" s="6">
        <f t="shared" si="573"/>
        <v>0</v>
      </c>
      <c r="U114" s="6">
        <f t="shared" si="573"/>
        <v>0</v>
      </c>
      <c r="V114" s="6">
        <f t="shared" si="573"/>
        <v>0</v>
      </c>
      <c r="W114" s="6">
        <f t="shared" si="573"/>
        <v>0</v>
      </c>
      <c r="X114" s="6">
        <f t="shared" si="573"/>
        <v>0</v>
      </c>
      <c r="Y114" s="6">
        <f t="shared" si="573"/>
        <v>0</v>
      </c>
      <c r="Z114" s="6">
        <f t="shared" si="573"/>
        <v>0</v>
      </c>
      <c r="AA114" s="6">
        <f t="shared" si="573"/>
        <v>0</v>
      </c>
      <c r="AB114" s="6">
        <f t="shared" si="573"/>
        <v>0</v>
      </c>
      <c r="AC114" s="7"/>
      <c r="AD114" s="152">
        <f t="shared" si="574"/>
        <v>0</v>
      </c>
      <c r="AE114" s="152">
        <f t="shared" si="575"/>
        <v>0</v>
      </c>
      <c r="AF114" s="152">
        <f t="shared" si="576"/>
        <v>0</v>
      </c>
      <c r="AG114" s="152">
        <f t="shared" si="577"/>
        <v>0</v>
      </c>
      <c r="AH114" s="152">
        <f t="shared" si="578"/>
        <v>0</v>
      </c>
      <c r="AI114" s="152">
        <f t="shared" si="579"/>
        <v>0</v>
      </c>
      <c r="AJ114" s="152">
        <f t="shared" si="580"/>
        <v>0</v>
      </c>
      <c r="AK114" s="152">
        <f t="shared" si="581"/>
        <v>0</v>
      </c>
      <c r="AL114" s="152">
        <f t="shared" si="582"/>
        <v>0</v>
      </c>
      <c r="AM114" s="9">
        <f t="shared" si="583"/>
        <v>0</v>
      </c>
      <c r="AN114" s="80">
        <f t="shared" si="584"/>
        <v>1172</v>
      </c>
      <c r="AP114" s="102"/>
      <c r="AQ114" s="12"/>
      <c r="AR114" s="14">
        <f t="shared" si="442"/>
        <v>0</v>
      </c>
      <c r="AS114" s="14" cm="1">
        <f t="array" ref="AS114">IFERROR(_xlfn.IFS(VALUE(MID(AS$5,6,1))&gt;$D$2,0,$AP114="Annual",1,AR114=12,12,$AP114="Monthly V",AR114*(1+$D$3),$AP114="Monthly F",12,$AP114="One-Time",0),AR114*(1+$D$3))</f>
        <v>0</v>
      </c>
      <c r="AT114" s="14" cm="1">
        <f t="array" ref="AT114">IFERROR(_xlfn.IFS(VALUE(MID(AT$5,6,1))&gt;$D$2,0,$AP114="Annual",1,AS114=12,12,$AP114="Monthly V",AS114*(1+$D$3),$AP114="Monthly F",12,$AP114="One-Time",0),AS114*(1+$D$3))</f>
        <v>0</v>
      </c>
      <c r="AU114" s="14" cm="1">
        <f t="array" ref="AU114">IFERROR(_xlfn.IFS(VALUE(MID(AU$5,6,1))&gt;$D$2,0,$AP114="Annual",1,AT114=12,12,$AP114="Monthly V",AT114*(1+$D$3),$AP114="Monthly F",12,$AP114="One-Time",0),AT114*(1+$D$3))</f>
        <v>0</v>
      </c>
      <c r="AV114" s="14" cm="1">
        <f t="array" ref="AV114">IFERROR(_xlfn.IFS(VALUE(MID(AV$5,6,1))&gt;$D$2,0,$AP114="Annual",1,AU114=12,12,$AP114="Monthly V",AU114*(1+$D$3),$AP114="Monthly F",12,$AP114="One-Time",0),AU114*(1+$D$3))</f>
        <v>0</v>
      </c>
      <c r="AW114" s="14" cm="1">
        <f t="array" ref="AW114">IFERROR(_xlfn.IFS(VALUE(MID(AW$5,6,1))&gt;$D$2,0,$AP114="Annual",1,AV114=12,12,$AP114="Monthly V",AV114*(1+$D$3),$AP114="Monthly F",12,$AP114="One-Time",0),AV114*(1+$D$3))</f>
        <v>0</v>
      </c>
      <c r="AX114" s="14" cm="1">
        <f t="array" ref="AX114">IFERROR(_xlfn.IFS(VALUE(MID(AX$5,6,1))&gt;$D$2,0,$AP114="Annual",1,AW114=12,12,$AP114="Monthly V",AW114*(1+$D$3),$AP114="Monthly F",12,$AP114="One-Time",0),AW114*(1+$D$3))</f>
        <v>0</v>
      </c>
      <c r="AY114" s="14" cm="1">
        <f t="array" ref="AY114">IFERROR(_xlfn.IFS(VALUE(MID(AY$5,6,1))&gt;$D$2,0,$AP114="Annual",1,AX114=12,12,$AP114="Monthly V",AX114*(1+$D$3),$AP114="Monthly F",12,$AP114="One-Time",0),AX114*(1+$D$3))</f>
        <v>0</v>
      </c>
      <c r="AZ114" s="14" cm="1">
        <f t="array" ref="AZ114">IFERROR(_xlfn.IFS(VALUE(MID(AZ$5,6,1))&gt;$D$2,0,$AP114="Annual",1,AY114=12,12,$AP114="Monthly V",AY114*(1+$D$3),$AP114="Monthly F",12,$AP114="One-Time",0),AY114*(1+$D$3))</f>
        <v>0</v>
      </c>
      <c r="BA114" s="125" cm="1">
        <f t="array" ref="BA114">IFERROR(_xlfn.IFS(VALUE(MID(BA$5,6,2))&gt;$D$2,0,$AP114="Annual",1,AZ114=12,12,$AP114="Monthly V",AZ114*(1+$D$3),$AP114="Monthly F",12,$AP114="One-Time",0),AZ114*(1+$D$3))</f>
        <v>0</v>
      </c>
      <c r="BB114" s="124"/>
      <c r="BC114" s="38"/>
      <c r="BD114" s="36"/>
      <c r="BE114" s="21">
        <f t="shared" si="443"/>
        <v>0</v>
      </c>
      <c r="BF114" s="39">
        <f t="shared" si="569"/>
        <v>0</v>
      </c>
      <c r="BG114" s="39">
        <f t="shared" si="444"/>
        <v>0</v>
      </c>
      <c r="BH114" s="39">
        <f t="shared" si="445"/>
        <v>0</v>
      </c>
      <c r="BI114" s="39">
        <f t="shared" si="446"/>
        <v>0</v>
      </c>
      <c r="BJ114" s="39">
        <f t="shared" si="447"/>
        <v>0</v>
      </c>
      <c r="BK114" s="39">
        <f t="shared" si="448"/>
        <v>0</v>
      </c>
      <c r="BL114" s="39">
        <f t="shared" si="449"/>
        <v>0</v>
      </c>
      <c r="BM114" s="39">
        <f t="shared" si="450"/>
        <v>0</v>
      </c>
      <c r="BN114" s="39">
        <f t="shared" si="451"/>
        <v>0</v>
      </c>
      <c r="BO114" s="39">
        <f t="shared" si="452"/>
        <v>0</v>
      </c>
      <c r="BP114" s="40"/>
      <c r="BQ114" s="40">
        <f t="shared" si="453"/>
        <v>0</v>
      </c>
      <c r="BR114" s="40">
        <f t="shared" si="454"/>
        <v>0</v>
      </c>
      <c r="BS114" s="40">
        <f t="shared" si="455"/>
        <v>0</v>
      </c>
      <c r="BT114" s="40">
        <f t="shared" si="456"/>
        <v>0</v>
      </c>
      <c r="BU114" s="40">
        <f t="shared" si="457"/>
        <v>0</v>
      </c>
      <c r="BV114" s="40">
        <f t="shared" si="458"/>
        <v>0</v>
      </c>
      <c r="BW114" s="40">
        <f t="shared" si="459"/>
        <v>0</v>
      </c>
      <c r="BX114" s="40">
        <f t="shared" si="460"/>
        <v>0</v>
      </c>
      <c r="BY114" s="40">
        <f t="shared" si="461"/>
        <v>0</v>
      </c>
      <c r="BZ114" s="40">
        <f t="shared" si="462"/>
        <v>0</v>
      </c>
      <c r="CA114" s="37">
        <f t="shared" si="463"/>
        <v>0</v>
      </c>
      <c r="CC114" s="102"/>
      <c r="CD114" s="12"/>
      <c r="CE114" s="14"/>
      <c r="CF114" s="14"/>
      <c r="CG114" s="14"/>
      <c r="CH114" s="14"/>
      <c r="CI114" s="14"/>
      <c r="CJ114" s="14"/>
      <c r="CK114" s="14"/>
      <c r="CL114" s="14"/>
      <c r="CM114" s="14"/>
      <c r="CN114" s="24"/>
      <c r="CO114" s="63"/>
      <c r="CP114" s="53"/>
      <c r="CQ114" s="21"/>
      <c r="CR114" s="55"/>
      <c r="CS114" s="55"/>
      <c r="CT114" s="55"/>
      <c r="CU114" s="55"/>
      <c r="CV114" s="55"/>
      <c r="CW114" s="55"/>
      <c r="CX114" s="55"/>
      <c r="CY114" s="55"/>
      <c r="CZ114" s="55"/>
      <c r="DA114" s="55"/>
      <c r="DB114" s="56"/>
      <c r="DC114" s="56"/>
      <c r="DD114" s="56"/>
      <c r="DE114" s="56"/>
      <c r="DF114" s="56"/>
      <c r="DG114" s="56"/>
      <c r="DH114" s="56"/>
      <c r="DI114" s="56"/>
      <c r="DJ114" s="56"/>
      <c r="DK114" s="56"/>
      <c r="DL114" s="57"/>
      <c r="DM114" s="54"/>
      <c r="DO114" s="106"/>
    </row>
    <row r="115" spans="2:119" ht="15.75" thickBot="1" x14ac:dyDescent="0.3">
      <c r="B115" s="70"/>
      <c r="C115" s="83"/>
      <c r="D115" s="83"/>
      <c r="E115" s="99"/>
      <c r="F115" s="82"/>
      <c r="G115" s="82"/>
      <c r="H115" s="82"/>
      <c r="I115" s="82"/>
      <c r="J115" s="82"/>
      <c r="K115" s="82"/>
      <c r="L115" s="82"/>
      <c r="M115" s="82"/>
      <c r="N115" s="98"/>
      <c r="O115" s="84" t="s">
        <v>312</v>
      </c>
      <c r="P115" s="84"/>
      <c r="Q115" s="85"/>
      <c r="R115" s="86">
        <f t="shared" ref="R115:AB115" si="599">SUM(R87:R114)</f>
        <v>-51772.333333333328</v>
      </c>
      <c r="S115" s="86">
        <f>SUM(S93:S95)</f>
        <v>-1031163</v>
      </c>
      <c r="T115" s="87">
        <f>SUM(T87:T114)</f>
        <v>0</v>
      </c>
      <c r="U115" s="87">
        <f t="shared" si="599"/>
        <v>0</v>
      </c>
      <c r="V115" s="87">
        <f t="shared" si="599"/>
        <v>0</v>
      </c>
      <c r="W115" s="87">
        <f t="shared" si="599"/>
        <v>0</v>
      </c>
      <c r="X115" s="87">
        <f t="shared" si="599"/>
        <v>0</v>
      </c>
      <c r="Y115" s="87">
        <f t="shared" si="599"/>
        <v>0</v>
      </c>
      <c r="Z115" s="87">
        <f t="shared" si="599"/>
        <v>0</v>
      </c>
      <c r="AA115" s="87">
        <f t="shared" si="599"/>
        <v>0</v>
      </c>
      <c r="AB115" s="87">
        <f t="shared" si="599"/>
        <v>0</v>
      </c>
      <c r="AC115" s="88"/>
      <c r="AD115" s="87"/>
      <c r="AE115" s="87"/>
      <c r="AF115" s="87"/>
      <c r="AG115" s="87"/>
      <c r="AH115" s="87"/>
      <c r="AI115" s="87"/>
      <c r="AJ115" s="87"/>
      <c r="AK115" s="87"/>
      <c r="AL115" s="87"/>
      <c r="AM115" s="87">
        <f>SUM(AM87:AM114)</f>
        <v>0</v>
      </c>
      <c r="AN115" s="89">
        <f>SUM(AN87:AN114)</f>
        <v>-621268</v>
      </c>
      <c r="AP115" s="95"/>
      <c r="AQ115" s="96"/>
      <c r="AR115" s="97"/>
      <c r="AS115" s="97"/>
      <c r="AT115" s="97"/>
      <c r="AU115" s="97"/>
      <c r="AV115" s="97"/>
      <c r="AW115" s="97"/>
      <c r="AX115" s="97"/>
      <c r="AY115" s="97"/>
      <c r="AZ115" s="97"/>
      <c r="BA115" s="126"/>
      <c r="BB115" s="41" t="s">
        <v>51</v>
      </c>
      <c r="BC115" s="41"/>
      <c r="BD115" s="42"/>
      <c r="BE115" s="43">
        <f t="shared" ref="BE115:BO115" si="600">SUM(BE87:BE114)</f>
        <v>22286.458333333332</v>
      </c>
      <c r="BF115" s="44">
        <f t="shared" si="600"/>
        <v>267437.5</v>
      </c>
      <c r="BG115" s="44">
        <f t="shared" si="600"/>
        <v>0</v>
      </c>
      <c r="BH115" s="44">
        <f t="shared" si="600"/>
        <v>0</v>
      </c>
      <c r="BI115" s="44">
        <f t="shared" si="600"/>
        <v>0</v>
      </c>
      <c r="BJ115" s="44">
        <f t="shared" si="600"/>
        <v>0</v>
      </c>
      <c r="BK115" s="44">
        <f t="shared" si="600"/>
        <v>0</v>
      </c>
      <c r="BL115" s="44">
        <f t="shared" si="600"/>
        <v>0</v>
      </c>
      <c r="BM115" s="44">
        <f t="shared" si="600"/>
        <v>0</v>
      </c>
      <c r="BN115" s="44">
        <f t="shared" si="600"/>
        <v>0</v>
      </c>
      <c r="BO115" s="44">
        <f t="shared" si="600"/>
        <v>0</v>
      </c>
      <c r="BP115" s="45"/>
      <c r="BQ115" s="44"/>
      <c r="BR115" s="44"/>
      <c r="BS115" s="44"/>
      <c r="BT115" s="44"/>
      <c r="BU115" s="44"/>
      <c r="BV115" s="44"/>
      <c r="BW115" s="44"/>
      <c r="BX115" s="44"/>
      <c r="BY115" s="44"/>
      <c r="BZ115" s="44">
        <f>SUM(BZ87:BZ114)</f>
        <v>0</v>
      </c>
      <c r="CA115" s="46">
        <f>SUM(CA87:CA114)</f>
        <v>267437.5</v>
      </c>
      <c r="CC115" s="121"/>
      <c r="CD115" s="122"/>
      <c r="CE115" s="122"/>
      <c r="CF115" s="122"/>
      <c r="CG115" s="122"/>
      <c r="CH115" s="122"/>
      <c r="CI115" s="122"/>
      <c r="CJ115" s="122"/>
      <c r="CK115" s="122"/>
      <c r="CL115" s="122"/>
      <c r="CM115" s="122"/>
      <c r="CN115" s="123"/>
      <c r="CO115" s="64" t="s">
        <v>51</v>
      </c>
      <c r="CP115" s="58"/>
      <c r="CQ115" s="59">
        <f t="shared" ref="CQ115:DA115" si="601">SUM(CQ87:CQ114)</f>
        <v>0</v>
      </c>
      <c r="CR115" s="60">
        <f t="shared" si="601"/>
        <v>0</v>
      </c>
      <c r="CS115" s="60">
        <f t="shared" si="601"/>
        <v>0</v>
      </c>
      <c r="CT115" s="60">
        <f t="shared" si="601"/>
        <v>0</v>
      </c>
      <c r="CU115" s="60">
        <f t="shared" si="601"/>
        <v>0</v>
      </c>
      <c r="CV115" s="60">
        <f t="shared" si="601"/>
        <v>0</v>
      </c>
      <c r="CW115" s="60">
        <f t="shared" si="601"/>
        <v>0</v>
      </c>
      <c r="CX115" s="60">
        <f t="shared" si="601"/>
        <v>0</v>
      </c>
      <c r="CY115" s="60">
        <f t="shared" si="601"/>
        <v>0</v>
      </c>
      <c r="CZ115" s="60">
        <f t="shared" si="601"/>
        <v>0</v>
      </c>
      <c r="DA115" s="60">
        <f t="shared" si="601"/>
        <v>0</v>
      </c>
      <c r="DB115" s="61"/>
      <c r="DC115" s="60"/>
      <c r="DD115" s="60"/>
      <c r="DE115" s="60"/>
      <c r="DF115" s="60"/>
      <c r="DG115" s="60"/>
      <c r="DH115" s="60"/>
      <c r="DI115" s="60"/>
      <c r="DJ115" s="60"/>
      <c r="DK115" s="60"/>
      <c r="DL115" s="60">
        <f>SUM(DL87:DL114)</f>
        <v>0</v>
      </c>
      <c r="DM115" s="62">
        <f>SUM(DM87:DM114)</f>
        <v>0</v>
      </c>
    </row>
    <row r="116" spans="2:119" ht="3.6" customHeight="1" thickBot="1" x14ac:dyDescent="0.3"/>
    <row r="117" spans="2:119" ht="15.75" thickBot="1" x14ac:dyDescent="0.3">
      <c r="B117" s="70"/>
      <c r="C117" s="83"/>
      <c r="D117" s="83"/>
      <c r="E117" s="99"/>
      <c r="F117" s="82"/>
      <c r="G117" s="82"/>
      <c r="H117" s="82"/>
      <c r="I117" s="82"/>
      <c r="J117" s="82"/>
      <c r="K117" s="82"/>
      <c r="L117" s="82"/>
      <c r="M117" s="82"/>
      <c r="N117" s="98"/>
      <c r="O117" s="84" t="s">
        <v>313</v>
      </c>
      <c r="P117" s="84"/>
      <c r="Q117" s="85"/>
      <c r="R117" s="86"/>
      <c r="S117" s="87">
        <f>(SUM(S7:S83)+S115)</f>
        <v>-631630</v>
      </c>
      <c r="T117" s="87">
        <f>T115+T85</f>
        <v>376753.4</v>
      </c>
      <c r="U117" s="87">
        <f t="shared" ref="U117:AB117" si="602">U115+U85</f>
        <v>440017.87999999995</v>
      </c>
      <c r="V117" s="87">
        <f t="shared" si="602"/>
        <v>510294.94496000011</v>
      </c>
      <c r="W117" s="87">
        <f t="shared" si="602"/>
        <v>599967.73395199992</v>
      </c>
      <c r="X117" s="87">
        <f t="shared" si="602"/>
        <v>607547.2924544001</v>
      </c>
      <c r="Y117" s="87">
        <f t="shared" si="602"/>
        <v>642270.55094528</v>
      </c>
      <c r="Z117" s="87">
        <f t="shared" si="602"/>
        <v>0</v>
      </c>
      <c r="AA117" s="87">
        <f t="shared" si="602"/>
        <v>0</v>
      </c>
      <c r="AB117" s="87">
        <f t="shared" si="602"/>
        <v>0</v>
      </c>
      <c r="AC117" s="88"/>
      <c r="AD117" s="87"/>
      <c r="AE117" s="87"/>
      <c r="AF117" s="87"/>
      <c r="AG117" s="87"/>
      <c r="AH117" s="87"/>
      <c r="AI117" s="87"/>
      <c r="AJ117" s="87"/>
      <c r="AK117" s="87"/>
      <c r="AL117" s="87"/>
      <c r="AM117" s="87">
        <f>AM115+AM85</f>
        <v>174131.48876233082</v>
      </c>
      <c r="AN117" s="89">
        <f>AN115+AN85</f>
        <v>3129248.2910740096</v>
      </c>
      <c r="AP117" s="95"/>
      <c r="AQ117" s="96"/>
      <c r="AR117" s="97"/>
      <c r="AS117" s="97"/>
      <c r="AT117" s="97"/>
      <c r="AU117" s="97"/>
      <c r="AV117" s="97"/>
      <c r="AW117" s="97"/>
      <c r="AX117" s="97"/>
      <c r="AY117" s="97"/>
      <c r="AZ117" s="97"/>
      <c r="BA117" s="97"/>
      <c r="BB117" s="41" t="s">
        <v>52</v>
      </c>
      <c r="BC117" s="41"/>
      <c r="BD117" s="42"/>
      <c r="BE117" s="43"/>
      <c r="BF117" s="44">
        <f t="shared" ref="BF117:BO117" si="603">BF115+BF85</f>
        <v>764433.5</v>
      </c>
      <c r="BG117" s="44">
        <f t="shared" si="603"/>
        <v>496996</v>
      </c>
      <c r="BH117" s="44">
        <f t="shared" si="603"/>
        <v>496996</v>
      </c>
      <c r="BI117" s="44">
        <f t="shared" si="603"/>
        <v>511905.88000000012</v>
      </c>
      <c r="BJ117" s="44">
        <f t="shared" si="603"/>
        <v>527262.87370000035</v>
      </c>
      <c r="BK117" s="44">
        <f t="shared" si="603"/>
        <v>543080.66991100018</v>
      </c>
      <c r="BL117" s="44">
        <f t="shared" si="603"/>
        <v>559373.00000832998</v>
      </c>
      <c r="BM117" s="44">
        <f t="shared" si="603"/>
        <v>0</v>
      </c>
      <c r="BN117" s="44">
        <f t="shared" si="603"/>
        <v>0</v>
      </c>
      <c r="BO117" s="44">
        <f t="shared" si="603"/>
        <v>0</v>
      </c>
      <c r="BP117" s="45"/>
      <c r="BQ117" s="44"/>
      <c r="BR117" s="44"/>
      <c r="BS117" s="44"/>
      <c r="BT117" s="44"/>
      <c r="BU117" s="44"/>
      <c r="BV117" s="44"/>
      <c r="BW117" s="44"/>
      <c r="BX117" s="44"/>
      <c r="BY117" s="44"/>
      <c r="BZ117" s="44">
        <f>BZ115+BZ85</f>
        <v>353866.85500825848</v>
      </c>
      <c r="CA117" s="46">
        <f>CA115+CA85</f>
        <v>4253914.7786275875</v>
      </c>
      <c r="CC117" s="121"/>
      <c r="CD117" s="122"/>
      <c r="CE117" s="122"/>
      <c r="CF117" s="122"/>
      <c r="CG117" s="122"/>
      <c r="CH117" s="122"/>
      <c r="CI117" s="122"/>
      <c r="CJ117" s="122"/>
      <c r="CK117" s="122"/>
      <c r="CL117" s="122"/>
      <c r="CM117" s="122"/>
      <c r="CN117" s="123"/>
      <c r="CO117" s="64" t="s">
        <v>52</v>
      </c>
      <c r="CP117" s="58"/>
      <c r="CQ117" s="59"/>
      <c r="CR117" s="60">
        <f t="shared" ref="CR117:DA117" si="604">CR115+CR85</f>
        <v>0</v>
      </c>
      <c r="CS117" s="60">
        <f t="shared" si="604"/>
        <v>0</v>
      </c>
      <c r="CT117" s="60">
        <f t="shared" si="604"/>
        <v>0</v>
      </c>
      <c r="CU117" s="60">
        <f t="shared" si="604"/>
        <v>0</v>
      </c>
      <c r="CV117" s="60">
        <f t="shared" si="604"/>
        <v>0</v>
      </c>
      <c r="CW117" s="60">
        <f t="shared" si="604"/>
        <v>0</v>
      </c>
      <c r="CX117" s="60">
        <f t="shared" si="604"/>
        <v>0</v>
      </c>
      <c r="CY117" s="60">
        <f t="shared" si="604"/>
        <v>0</v>
      </c>
      <c r="CZ117" s="60">
        <f t="shared" si="604"/>
        <v>0</v>
      </c>
      <c r="DA117" s="60">
        <f t="shared" si="604"/>
        <v>0</v>
      </c>
      <c r="DB117" s="61"/>
      <c r="DC117" s="60"/>
      <c r="DD117" s="60"/>
      <c r="DE117" s="60"/>
      <c r="DF117" s="60"/>
      <c r="DG117" s="60"/>
      <c r="DH117" s="60"/>
      <c r="DI117" s="60"/>
      <c r="DJ117" s="60"/>
      <c r="DK117" s="60"/>
      <c r="DL117" s="60">
        <f>DL115+DL85</f>
        <v>0</v>
      </c>
      <c r="DM117" s="62">
        <f>DM115+DM85</f>
        <v>0</v>
      </c>
    </row>
    <row r="118" spans="2:119" ht="15.75" thickBot="1" x14ac:dyDescent="0.3"/>
    <row r="119" spans="2:119" ht="15" customHeight="1" thickBot="1" x14ac:dyDescent="0.3">
      <c r="B119" s="229" t="s">
        <v>8</v>
      </c>
      <c r="C119" s="153"/>
      <c r="D119" s="231" t="s">
        <v>9</v>
      </c>
      <c r="E119" s="233" t="s">
        <v>10</v>
      </c>
      <c r="F119" s="234"/>
      <c r="G119" s="234"/>
      <c r="H119" s="234"/>
      <c r="I119" s="234"/>
      <c r="J119" s="234"/>
      <c r="K119" s="234"/>
      <c r="L119" s="234"/>
      <c r="M119" s="234"/>
      <c r="N119" s="235"/>
      <c r="O119" s="236" t="str">
        <f>_xlfn.CONCAT(O4," Optional Solutions")</f>
        <v>FIS Optional Solutions</v>
      </c>
      <c r="P119" s="237"/>
      <c r="Q119" s="237"/>
      <c r="R119" s="237"/>
      <c r="S119" s="237"/>
      <c r="T119" s="237"/>
      <c r="U119" s="237"/>
      <c r="V119" s="237"/>
      <c r="W119" s="237"/>
      <c r="X119" s="237"/>
      <c r="Y119" s="237"/>
      <c r="Z119" s="237"/>
      <c r="AA119" s="237"/>
      <c r="AB119" s="237"/>
      <c r="AC119" s="237"/>
      <c r="AD119" s="237"/>
      <c r="AE119" s="237"/>
      <c r="AF119" s="237"/>
      <c r="AG119" s="237"/>
      <c r="AH119" s="237"/>
      <c r="AI119" s="237"/>
      <c r="AJ119" s="237"/>
      <c r="AK119" s="237"/>
      <c r="AL119" s="237"/>
      <c r="AM119" s="237"/>
      <c r="AN119" s="238"/>
      <c r="AP119" s="227" t="s">
        <v>8</v>
      </c>
      <c r="AQ119" s="219" t="s">
        <v>9</v>
      </c>
      <c r="AR119" s="221" t="s">
        <v>10</v>
      </c>
      <c r="AS119" s="222"/>
      <c r="AT119" s="222"/>
      <c r="AU119" s="222"/>
      <c r="AV119" s="222"/>
      <c r="AW119" s="222"/>
      <c r="AX119" s="222"/>
      <c r="AY119" s="222"/>
      <c r="AZ119" s="222"/>
      <c r="BA119" s="223"/>
      <c r="BB119" s="224" t="str">
        <f>_xlfn.CONCAT(BB4,"  Optional Solutions")</f>
        <v>Jack Henry  Optional Solutions</v>
      </c>
      <c r="BC119" s="225"/>
      <c r="BD119" s="225"/>
      <c r="BE119" s="225"/>
      <c r="BF119" s="225"/>
      <c r="BG119" s="225"/>
      <c r="BH119" s="225"/>
      <c r="BI119" s="225"/>
      <c r="BJ119" s="225"/>
      <c r="BK119" s="225"/>
      <c r="BL119" s="225"/>
      <c r="BM119" s="225"/>
      <c r="BN119" s="225"/>
      <c r="BO119" s="225"/>
      <c r="BP119" s="225"/>
      <c r="BQ119" s="225"/>
      <c r="BR119" s="225"/>
      <c r="BS119" s="225"/>
      <c r="BT119" s="225"/>
      <c r="BU119" s="225"/>
      <c r="BV119" s="225"/>
      <c r="BW119" s="225"/>
      <c r="BX119" s="225"/>
      <c r="BY119" s="225"/>
      <c r="BZ119" s="225"/>
      <c r="CA119" s="226"/>
      <c r="CC119" s="227" t="s">
        <v>8</v>
      </c>
      <c r="CD119" s="219" t="s">
        <v>9</v>
      </c>
      <c r="CE119" s="221" t="s">
        <v>10</v>
      </c>
      <c r="CF119" s="222"/>
      <c r="CG119" s="222"/>
      <c r="CH119" s="222"/>
      <c r="CI119" s="222"/>
      <c r="CJ119" s="222"/>
      <c r="CK119" s="222"/>
      <c r="CL119" s="222"/>
      <c r="CM119" s="222"/>
      <c r="CN119" s="223"/>
      <c r="CO119" s="210" t="str">
        <f>_xlfn.CONCAT(CO4," New Optional Solutions")</f>
        <v>Vendor 3 New Optional Solutions</v>
      </c>
      <c r="CP119" s="211"/>
      <c r="CQ119" s="211"/>
      <c r="CR119" s="211"/>
      <c r="CS119" s="211"/>
      <c r="CT119" s="211"/>
      <c r="CU119" s="211"/>
      <c r="CV119" s="211"/>
      <c r="CW119" s="211"/>
      <c r="CX119" s="211"/>
      <c r="CY119" s="211"/>
      <c r="CZ119" s="211"/>
      <c r="DA119" s="211"/>
      <c r="DB119" s="211"/>
      <c r="DC119" s="211"/>
      <c r="DD119" s="211"/>
      <c r="DE119" s="211"/>
      <c r="DF119" s="211"/>
      <c r="DG119" s="211"/>
      <c r="DH119" s="211"/>
      <c r="DI119" s="211"/>
      <c r="DJ119" s="211"/>
      <c r="DK119" s="211"/>
      <c r="DL119" s="211"/>
      <c r="DM119" s="212"/>
    </row>
    <row r="120" spans="2:119" ht="45.75" thickBot="1" x14ac:dyDescent="0.3">
      <c r="B120" s="230"/>
      <c r="C120" s="10" t="s">
        <v>57</v>
      </c>
      <c r="D120" s="232"/>
      <c r="E120" s="10" t="s">
        <v>12</v>
      </c>
      <c r="F120" s="10" t="s">
        <v>13</v>
      </c>
      <c r="G120" s="10" t="s">
        <v>14</v>
      </c>
      <c r="H120" s="10" t="s">
        <v>15</v>
      </c>
      <c r="I120" s="10" t="s">
        <v>16</v>
      </c>
      <c r="J120" s="10" t="s">
        <v>17</v>
      </c>
      <c r="K120" s="10" t="s">
        <v>18</v>
      </c>
      <c r="L120" s="10" t="s">
        <v>19</v>
      </c>
      <c r="M120" s="10" t="s">
        <v>20</v>
      </c>
      <c r="N120" s="11" t="s">
        <v>21</v>
      </c>
      <c r="O120" s="4" t="s">
        <v>22</v>
      </c>
      <c r="P120" s="19" t="s">
        <v>23</v>
      </c>
      <c r="Q120" s="17" t="s">
        <v>24</v>
      </c>
      <c r="R120" s="22" t="s">
        <v>25</v>
      </c>
      <c r="S120" s="18" t="s">
        <v>26</v>
      </c>
      <c r="T120" s="18" t="s">
        <v>27</v>
      </c>
      <c r="U120" s="18" t="s">
        <v>28</v>
      </c>
      <c r="V120" s="18" t="s">
        <v>29</v>
      </c>
      <c r="W120" s="18" t="s">
        <v>30</v>
      </c>
      <c r="X120" s="5" t="s">
        <v>31</v>
      </c>
      <c r="Y120" s="17" t="s">
        <v>32</v>
      </c>
      <c r="Z120" s="17" t="s">
        <v>33</v>
      </c>
      <c r="AA120" s="17" t="s">
        <v>34</v>
      </c>
      <c r="AB120" s="18" t="s">
        <v>35</v>
      </c>
      <c r="AC120" s="8" t="s">
        <v>36</v>
      </c>
      <c r="AD120" s="8" t="s">
        <v>37</v>
      </c>
      <c r="AE120" s="8" t="s">
        <v>38</v>
      </c>
      <c r="AF120" s="8" t="s">
        <v>39</v>
      </c>
      <c r="AG120" s="8" t="s">
        <v>40</v>
      </c>
      <c r="AH120" s="8" t="s">
        <v>41</v>
      </c>
      <c r="AI120" s="8" t="s">
        <v>42</v>
      </c>
      <c r="AJ120" s="8" t="s">
        <v>43</v>
      </c>
      <c r="AK120" s="8" t="s">
        <v>44</v>
      </c>
      <c r="AL120" s="8" t="s">
        <v>45</v>
      </c>
      <c r="AM120" s="5" t="s">
        <v>46</v>
      </c>
      <c r="AN120" s="79" t="s">
        <v>47</v>
      </c>
      <c r="AP120" s="228"/>
      <c r="AQ120" s="220"/>
      <c r="AR120" s="71" t="s">
        <v>12</v>
      </c>
      <c r="AS120" s="71" t="s">
        <v>13</v>
      </c>
      <c r="AT120" s="71" t="s">
        <v>14</v>
      </c>
      <c r="AU120" s="71" t="s">
        <v>15</v>
      </c>
      <c r="AV120" s="71" t="s">
        <v>16</v>
      </c>
      <c r="AW120" s="71" t="s">
        <v>17</v>
      </c>
      <c r="AX120" s="71" t="s">
        <v>18</v>
      </c>
      <c r="AY120" s="71" t="s">
        <v>19</v>
      </c>
      <c r="AZ120" s="71" t="s">
        <v>20</v>
      </c>
      <c r="BA120" s="72" t="s">
        <v>21</v>
      </c>
      <c r="BB120" s="73" t="s">
        <v>22</v>
      </c>
      <c r="BC120" s="74" t="s">
        <v>23</v>
      </c>
      <c r="BD120" s="75" t="s">
        <v>24</v>
      </c>
      <c r="BE120" s="68" t="s">
        <v>25</v>
      </c>
      <c r="BF120" s="76" t="s">
        <v>26</v>
      </c>
      <c r="BG120" s="76" t="s">
        <v>27</v>
      </c>
      <c r="BH120" s="76" t="s">
        <v>28</v>
      </c>
      <c r="BI120" s="76" t="s">
        <v>29</v>
      </c>
      <c r="BJ120" s="76" t="s">
        <v>30</v>
      </c>
      <c r="BK120" s="77" t="s">
        <v>31</v>
      </c>
      <c r="BL120" s="75" t="s">
        <v>32</v>
      </c>
      <c r="BM120" s="75" t="s">
        <v>33</v>
      </c>
      <c r="BN120" s="75" t="s">
        <v>34</v>
      </c>
      <c r="BO120" s="76" t="s">
        <v>35</v>
      </c>
      <c r="BP120" s="78" t="s">
        <v>36</v>
      </c>
      <c r="BQ120" s="78" t="s">
        <v>37</v>
      </c>
      <c r="BR120" s="78" t="s">
        <v>38</v>
      </c>
      <c r="BS120" s="78" t="s">
        <v>39</v>
      </c>
      <c r="BT120" s="78" t="s">
        <v>40</v>
      </c>
      <c r="BU120" s="78" t="s">
        <v>41</v>
      </c>
      <c r="BV120" s="78" t="s">
        <v>42</v>
      </c>
      <c r="BW120" s="78" t="s">
        <v>43</v>
      </c>
      <c r="BX120" s="78" t="s">
        <v>44</v>
      </c>
      <c r="BY120" s="78" t="s">
        <v>45</v>
      </c>
      <c r="BZ120" s="77" t="s">
        <v>46</v>
      </c>
      <c r="CA120" s="101" t="s">
        <v>47</v>
      </c>
      <c r="CC120" s="228"/>
      <c r="CD120" s="220"/>
      <c r="CE120" s="71" t="s">
        <v>12</v>
      </c>
      <c r="CF120" s="71" t="s">
        <v>13</v>
      </c>
      <c r="CG120" s="71" t="s">
        <v>14</v>
      </c>
      <c r="CH120" s="71" t="s">
        <v>15</v>
      </c>
      <c r="CI120" s="71" t="s">
        <v>16</v>
      </c>
      <c r="CJ120" s="71" t="s">
        <v>17</v>
      </c>
      <c r="CK120" s="71" t="s">
        <v>18</v>
      </c>
      <c r="CL120" s="71" t="s">
        <v>19</v>
      </c>
      <c r="CM120" s="71" t="s">
        <v>20</v>
      </c>
      <c r="CN120" s="72" t="s">
        <v>21</v>
      </c>
      <c r="CO120" s="115" t="s">
        <v>22</v>
      </c>
      <c r="CP120" s="116" t="s">
        <v>24</v>
      </c>
      <c r="CQ120" s="68" t="s">
        <v>25</v>
      </c>
      <c r="CR120" s="117" t="s">
        <v>26</v>
      </c>
      <c r="CS120" s="117" t="s">
        <v>27</v>
      </c>
      <c r="CT120" s="117" t="s">
        <v>28</v>
      </c>
      <c r="CU120" s="117" t="s">
        <v>29</v>
      </c>
      <c r="CV120" s="117" t="s">
        <v>30</v>
      </c>
      <c r="CW120" s="118" t="s">
        <v>31</v>
      </c>
      <c r="CX120" s="116" t="s">
        <v>32</v>
      </c>
      <c r="CY120" s="116" t="s">
        <v>33</v>
      </c>
      <c r="CZ120" s="116" t="s">
        <v>34</v>
      </c>
      <c r="DA120" s="117" t="s">
        <v>35</v>
      </c>
      <c r="DB120" s="78" t="s">
        <v>36</v>
      </c>
      <c r="DC120" s="78" t="s">
        <v>37</v>
      </c>
      <c r="DD120" s="78" t="s">
        <v>38</v>
      </c>
      <c r="DE120" s="78" t="s">
        <v>39</v>
      </c>
      <c r="DF120" s="78" t="s">
        <v>40</v>
      </c>
      <c r="DG120" s="78" t="s">
        <v>41</v>
      </c>
      <c r="DH120" s="78" t="s">
        <v>42</v>
      </c>
      <c r="DI120" s="78" t="s">
        <v>43</v>
      </c>
      <c r="DJ120" s="78" t="s">
        <v>44</v>
      </c>
      <c r="DK120" s="78" t="s">
        <v>45</v>
      </c>
      <c r="DL120" s="118" t="s">
        <v>46</v>
      </c>
      <c r="DM120" s="119" t="s">
        <v>47</v>
      </c>
    </row>
    <row r="121" spans="2:119" ht="15.75" thickBot="1" x14ac:dyDescent="0.3">
      <c r="B121" s="213" t="s">
        <v>123</v>
      </c>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c r="AA121" s="214"/>
      <c r="AB121" s="214"/>
      <c r="AC121" s="214"/>
      <c r="AD121" s="214"/>
      <c r="AE121" s="214"/>
      <c r="AF121" s="214"/>
      <c r="AG121" s="214"/>
      <c r="AH121" s="214"/>
      <c r="AI121" s="214"/>
      <c r="AJ121" s="214"/>
      <c r="AK121" s="214"/>
      <c r="AL121" s="214"/>
      <c r="AM121" s="214"/>
      <c r="AN121" s="215"/>
      <c r="AP121" s="158"/>
      <c r="AQ121" s="159"/>
      <c r="AR121" s="71"/>
      <c r="AS121" s="71"/>
      <c r="AT121" s="71"/>
      <c r="AU121" s="71"/>
      <c r="AV121" s="71"/>
      <c r="AW121" s="71"/>
      <c r="AX121" s="71"/>
      <c r="AY121" s="71"/>
      <c r="AZ121" s="71"/>
      <c r="BA121" s="72"/>
      <c r="BB121" s="160"/>
      <c r="BC121" s="160"/>
      <c r="BD121" s="161"/>
      <c r="BE121" s="159"/>
      <c r="BF121" s="161"/>
      <c r="BG121" s="161"/>
      <c r="BH121" s="161"/>
      <c r="BI121" s="161"/>
      <c r="BJ121" s="161"/>
      <c r="BK121" s="161"/>
      <c r="BL121" s="161"/>
      <c r="BM121" s="161"/>
      <c r="BN121" s="161"/>
      <c r="BO121" s="161"/>
      <c r="BP121" s="71"/>
      <c r="BQ121" s="71"/>
      <c r="BR121" s="71"/>
      <c r="BS121" s="71"/>
      <c r="BT121" s="71"/>
      <c r="BU121" s="71"/>
      <c r="BV121" s="71"/>
      <c r="BW121" s="71"/>
      <c r="BX121" s="71"/>
      <c r="BY121" s="71"/>
      <c r="BZ121" s="161"/>
      <c r="CA121" s="162"/>
      <c r="CC121" s="158"/>
      <c r="CD121" s="159"/>
      <c r="CE121" s="71"/>
      <c r="CF121" s="71"/>
      <c r="CG121" s="71"/>
      <c r="CH121" s="71"/>
      <c r="CI121" s="71"/>
      <c r="CJ121" s="71"/>
      <c r="CK121" s="71"/>
      <c r="CL121" s="71"/>
      <c r="CM121" s="71"/>
      <c r="CN121" s="71"/>
      <c r="CO121" s="163"/>
      <c r="CP121" s="164"/>
      <c r="CQ121" s="159"/>
      <c r="CR121" s="164"/>
      <c r="CS121" s="164"/>
      <c r="CT121" s="164"/>
      <c r="CU121" s="164"/>
      <c r="CV121" s="164"/>
      <c r="CW121" s="164"/>
      <c r="CX121" s="164"/>
      <c r="CY121" s="164"/>
      <c r="CZ121" s="164"/>
      <c r="DA121" s="164"/>
      <c r="DB121" s="71"/>
      <c r="DC121" s="71"/>
      <c r="DD121" s="71"/>
      <c r="DE121" s="71"/>
      <c r="DF121" s="71"/>
      <c r="DG121" s="71"/>
      <c r="DH121" s="71"/>
      <c r="DI121" s="71"/>
      <c r="DJ121" s="71"/>
      <c r="DK121" s="71"/>
      <c r="DL121" s="164"/>
      <c r="DM121" s="165"/>
    </row>
    <row r="122" spans="2:119" x14ac:dyDescent="0.25">
      <c r="B122" s="141" t="s">
        <v>0</v>
      </c>
      <c r="C122" s="24">
        <v>1</v>
      </c>
      <c r="D122" s="147">
        <f t="shared" ref="D122:D126" si="605">IFERROR(AVERAGE(C122:C122),0)</f>
        <v>1</v>
      </c>
      <c r="E122" s="142">
        <f t="shared" ref="E122:E126" si="606">IF($B122="Annual",1,IF($B122="Monthly F",12,IF($B122="Monthly V",D122*12,IF($B122="One-Time",1,D122*12))))</f>
        <v>12</v>
      </c>
      <c r="F122" s="14" cm="1">
        <f t="array" ref="F122">IFERROR(_xlfn.IFS(VALUE(MID(F$5,6,1))&gt;$D$2,0,$B122="Annual",1,E122=12,12,$B122="Monthly V",E122*(1+$D$3),$B122="Monthly F",12,$B122="One-Time",0),E122*(1+$D$3))</f>
        <v>12</v>
      </c>
      <c r="G122" s="14" cm="1">
        <f t="array" ref="G122">IFERROR(_xlfn.IFS(VALUE(MID(G$5,6,1))&gt;$D$2,0,$B122="Annual",1,F122=12,12,$B122="Monthly V",F122*(1+$D$3),$B122="Monthly F",12,$B122="One-Time",0),F122*(1+$D$3))</f>
        <v>12</v>
      </c>
      <c r="H122" s="14" cm="1">
        <f t="array" ref="H122">IFERROR(_xlfn.IFS(VALUE(MID(H$5,6,1))&gt;$D$2,0,$B122="Annual",1,G122=12,12,$B122="Monthly V",G122*(1+$D$3),$B122="Monthly F",12,$B122="One-Time",0),G122*(1+$D$3))</f>
        <v>12</v>
      </c>
      <c r="I122" s="14" cm="1">
        <f t="array" ref="I122">IFERROR(_xlfn.IFS(VALUE(MID(I$5,6,1))&gt;$D$2,0,$B122="Annual",1,H122=12,12,$B122="Monthly V",H122*(1+$D$3),$B122="Monthly F",12,$B122="One-Time",0),H122*(1+$D$3))</f>
        <v>12</v>
      </c>
      <c r="J122" s="14" cm="1">
        <f t="array" ref="J122">IFERROR(_xlfn.IFS(VALUE(MID(J$5,6,1))&gt;$D$2,0,$B122="Annual",1,I122=12,12,$B122="Monthly V",I122*(1+$D$3),$B122="Monthly F",12,$B122="One-Time",0),I122*(1+$D$3))</f>
        <v>12</v>
      </c>
      <c r="K122" s="14" cm="1">
        <f t="array" ref="K122">IFERROR(_xlfn.IFS(VALUE(MID(K$5,6,1))&gt;$D$2,0,$B122="Annual",1,J122=12,12,$B122="Monthly V",J122*(1+$D$3),$B122="Monthly F",12,$B122="One-Time",0),J122*(1+$D$3))</f>
        <v>12</v>
      </c>
      <c r="L122" s="14" cm="1">
        <f t="array" ref="L122">IFERROR(_xlfn.IFS(VALUE(MID(L$5,6,1))&gt;$D$2,0,$B122="Annual",1,K122=12,12,$B122="Monthly V",K122*(1+$D$3),$B122="Monthly F",12,$B122="One-Time",0),K122*(1+$D$3))</f>
        <v>0</v>
      </c>
      <c r="M122" s="14" cm="1">
        <f t="array" ref="M122">IFERROR(_xlfn.IFS(VALUE(MID(M$5,6,1))&gt;$D$2,0,$B122="Annual",1,L122=12,12,$B122="Monthly V",L122*(1+$D$3),$B122="Monthly F",12,$B122="One-Time",0),L122*(1+$D$3))</f>
        <v>0</v>
      </c>
      <c r="N122" s="24" cm="1">
        <f t="array" ref="N122">IFERROR(_xlfn.IFS(VALUE(MID(N$5,6,2))&gt;$D$2,0,$B122="Annual",1,M122=12,12,$B122="Monthly V",M122*(1+$D$3),$B122="Monthly F",12,$B122="One-Time",0),M122*(1+$D$3))</f>
        <v>0</v>
      </c>
      <c r="O122" s="127" t="s">
        <v>119</v>
      </c>
      <c r="P122" s="13"/>
      <c r="Q122" s="20">
        <v>382</v>
      </c>
      <c r="R122" s="21">
        <f t="shared" ref="R122:R126" si="607">S122/12</f>
        <v>382</v>
      </c>
      <c r="S122" s="6">
        <f t="shared" ref="S122:AB126" si="608">IFERROR($Q122*E122,0)</f>
        <v>4584</v>
      </c>
      <c r="T122" s="6">
        <f t="shared" si="608"/>
        <v>4584</v>
      </c>
      <c r="U122" s="6">
        <f t="shared" si="608"/>
        <v>4584</v>
      </c>
      <c r="V122" s="6">
        <f t="shared" si="608"/>
        <v>4584</v>
      </c>
      <c r="W122" s="6">
        <f t="shared" si="608"/>
        <v>4584</v>
      </c>
      <c r="X122" s="6">
        <f t="shared" si="608"/>
        <v>4584</v>
      </c>
      <c r="Y122" s="6">
        <f t="shared" si="608"/>
        <v>4584</v>
      </c>
      <c r="Z122" s="6">
        <f t="shared" si="608"/>
        <v>0</v>
      </c>
      <c r="AA122" s="6">
        <f t="shared" si="608"/>
        <v>0</v>
      </c>
      <c r="AB122" s="6">
        <f t="shared" si="608"/>
        <v>0</v>
      </c>
      <c r="AC122" s="7"/>
      <c r="AD122" s="152">
        <f t="shared" ref="AD122:AD126" si="609">IF(VALUE(MID(AD$5,6,1))&lt;=$D$2,((1+$Q$3)^1-1)*T122,0)</f>
        <v>137.52000000000012</v>
      </c>
      <c r="AE122" s="152">
        <f t="shared" ref="AE122:AE126" si="610">IF(VALUE(MID(AE$5,6,1))&lt;=$D$2,((1+$Q$3)^2-1)*U122,0)</f>
        <v>279.16559999999981</v>
      </c>
      <c r="AF122" s="152">
        <f t="shared" ref="AF122:AF126" si="611">IF(VALUE(MID(AF$5,6,1))&lt;=$D$2,((1+$Q$3)^3-1)*V122,0)</f>
        <v>425.06056799999999</v>
      </c>
      <c r="AG122" s="152">
        <f t="shared" ref="AG122:AG126" si="612">IF(VALUE(MID(AG$5,6,1))&lt;=$D$2,((1+$Q$3)^4-1)*W122,0)</f>
        <v>575.33238503999962</v>
      </c>
      <c r="AH122" s="152">
        <f t="shared" ref="AH122:AH126" si="613">IF(VALUE(MID(AH$5,6,1))&lt;=$D$2,((1+$Q$3)^5-1)*X122,0)</f>
        <v>730.11235659119927</v>
      </c>
      <c r="AI122" s="152">
        <f t="shared" ref="AI122:AI126" si="614">IF(VALUE(MID(AI$5,6,1))&lt;=$D$2,((1+$Q$3)^6-1)*Y122,0)</f>
        <v>889.53572728893562</v>
      </c>
      <c r="AJ122" s="152">
        <f t="shared" ref="AJ122:AJ126" si="615">IF(VALUE(MID(AJ$5,6,1))&lt;=$D$2,((1+$Q$3)^7-1)*Z122,0)</f>
        <v>0</v>
      </c>
      <c r="AK122" s="152">
        <f t="shared" ref="AK122:AK126" si="616">IF(VALUE(MID(AK$5,6,1))&lt;=$D$2,((1+$Q$3)^8-1)*AA122,0)</f>
        <v>0</v>
      </c>
      <c r="AL122" s="152">
        <f t="shared" ref="AL122:AL126" si="617">IF(VALUE(MID(AL$5,6,2))&lt;=$D$2,((1+$Q$3)^9-1)*AB122,0)</f>
        <v>0</v>
      </c>
      <c r="AM122" s="9">
        <f t="shared" ref="AM122:AM126" si="618">SUM(AC122:AL122)</f>
        <v>3036.7266369201343</v>
      </c>
      <c r="AN122" s="80">
        <f t="shared" ref="AN122:AN126" si="619">SUM(AM122,S122:AB122)</f>
        <v>35124.726636920139</v>
      </c>
      <c r="AP122" s="102" t="s">
        <v>0</v>
      </c>
      <c r="AQ122" s="12">
        <v>1</v>
      </c>
      <c r="AR122" s="14">
        <f>IF($AP122="Annual",1,IF($AP122="Monthly F",12,IF($AP122="Monthly V",AQ122*12,IF($AP122="One-Time",1,AQ122*12))))</f>
        <v>12</v>
      </c>
      <c r="AS122" s="14" cm="1">
        <f t="array" ref="AS122">IFERROR(_xlfn.IFS(VALUE(MID(AS$5,6,1))&gt;$D$2,0,$AP122="Annual",1,AR122=12,12,$AP122="Monthly V",AR122*(1+$BD$2),$AP122="Monthly F",12,$AP122="One-Time",0),AR122*(1+$BD$2))</f>
        <v>12</v>
      </c>
      <c r="AT122" s="14" cm="1">
        <f t="array" ref="AT122">IFERROR(_xlfn.IFS(VALUE(MID(AT$5,6,1))&gt;$D$2,0,$AP122="Annual",1,AS122=12,12,$AP122="Monthly V",AS122*(1+$BD$2),$AP122="Monthly F",12,$AP122="One-Time",0),AS122*(1+$BD$2))</f>
        <v>12</v>
      </c>
      <c r="AU122" s="14" cm="1">
        <f t="array" ref="AU122">IFERROR(_xlfn.IFS(VALUE(MID(AU$5,6,1))&gt;$D$2,0,$AP122="Annual",1,AT122=12,12,$AP122="Monthly V",AT122*(1+$BD$2),$AP122="Monthly F",12,$AP122="One-Time",0),AT122*(1+$BD$2))</f>
        <v>12</v>
      </c>
      <c r="AV122" s="14" cm="1">
        <f t="array" ref="AV122">IFERROR(_xlfn.IFS(VALUE(MID(AV$5,6,1))&gt;$D$2,0,$AP122="Annual",1,AU122=12,12,$AP122="Monthly V",AU122*(1+$BD$2),$AP122="Monthly F",12,$AP122="One-Time",0),AU122*(1+$BD$2))</f>
        <v>12</v>
      </c>
      <c r="AW122" s="14" cm="1">
        <f t="array" ref="AW122">IFERROR(_xlfn.IFS(VALUE(MID(AW$5,6,1))&gt;$D$2,0,$AP122="Annual",1,AV122=12,12,$AP122="Monthly V",AV122*(1+$BD$2),$AP122="Monthly F",12,$AP122="One-Time",0),AV122*(1+$BD$2))</f>
        <v>12</v>
      </c>
      <c r="AX122" s="14" cm="1">
        <f t="array" ref="AX122">IFERROR(_xlfn.IFS(VALUE(MID(AX$5,6,1))&gt;$D$2,0,$AP122="Annual",1,AW122=12,12,$AP122="Monthly V",AW122*(1+$BD$2),$AP122="Monthly F",12,$AP122="One-Time",0),AW122*(1+$BD$2))</f>
        <v>12</v>
      </c>
      <c r="AY122" s="14" cm="1">
        <f t="array" ref="AY122">IFERROR(_xlfn.IFS(VALUE(MID(AY$5,6,1))&gt;$D$2,0,$AP122="Annual",1,AX122=12,12,$AP122="Monthly V",AX122*(1+$D$3),$AP122="Monthly F",12,$AP122="One-Time",0),AX122*(1+$D$3))</f>
        <v>0</v>
      </c>
      <c r="AZ122" s="14" cm="1">
        <f t="array" ref="AZ122">IFERROR(_xlfn.IFS(VALUE(MID(AZ$5,6,1))&gt;$D$2,0,$AP122="Annual",1,AY122=12,12,$AP122="Monthly V",AY122*(1+$D$3),$AP122="Monthly F",12,$AP122="One-Time",0),AY122*(1+$D$3))</f>
        <v>0</v>
      </c>
      <c r="BA122" s="125" cm="1">
        <f t="array" ref="BA122">IFERROR(_xlfn.IFS(VALUE(MID(BA$5,6,2))&gt;$D$2,0,$AP122="Annual",1,AZ122=12,12,$AP122="Monthly V",AZ122*(1+$D$3),$AP122="Monthly F",12,$AP122="One-Time",0),AZ122*(1+$D$3))</f>
        <v>0</v>
      </c>
      <c r="BB122" s="124" t="s">
        <v>272</v>
      </c>
      <c r="BC122" s="38" t="s">
        <v>216</v>
      </c>
      <c r="BD122" s="36">
        <v>397.5</v>
      </c>
      <c r="BE122" s="21">
        <f t="shared" ref="BE122:BE145" si="620">BF122/12</f>
        <v>397.5</v>
      </c>
      <c r="BF122" s="39">
        <f t="shared" ref="BF122:BO145" si="621">IFERROR(AR122*$BD122,0)</f>
        <v>4770</v>
      </c>
      <c r="BG122" s="39">
        <f>IFERROR(AS122*$BD122,0)</f>
        <v>4770</v>
      </c>
      <c r="BH122" s="39">
        <f t="shared" si="621"/>
        <v>4770</v>
      </c>
      <c r="BI122" s="39">
        <f t="shared" ref="BI122:BI140" si="622">BH122*1.03</f>
        <v>4913.1000000000004</v>
      </c>
      <c r="BJ122" s="39">
        <f t="shared" ref="BJ122:BL122" si="623">BI122*1.03</f>
        <v>5060.4930000000004</v>
      </c>
      <c r="BK122" s="39">
        <f t="shared" si="623"/>
        <v>5212.3077900000008</v>
      </c>
      <c r="BL122" s="39">
        <f t="shared" si="623"/>
        <v>5368.677023700001</v>
      </c>
      <c r="BM122" s="39">
        <f t="shared" si="621"/>
        <v>0</v>
      </c>
      <c r="BN122" s="39">
        <f t="shared" si="621"/>
        <v>0</v>
      </c>
      <c r="BO122" s="39">
        <f t="shared" si="621"/>
        <v>0</v>
      </c>
      <c r="BP122" s="40"/>
      <c r="BQ122" s="40">
        <f t="shared" ref="BQ122:BQ145" si="624">IF(VALUE(MID(BQ$5,6,1))&lt;=$D$2,((1+$BD$3)^1-1)*BG122,0)</f>
        <v>143.10000000000014</v>
      </c>
      <c r="BR122" s="40">
        <f t="shared" ref="BR122:BR145" si="625">IF(VALUE(MID(BR$5,6,1))&lt;=$D$2,((1+$BD$3)^2-1)*BH122,0)</f>
        <v>290.49299999999977</v>
      </c>
      <c r="BS122" s="40">
        <f t="shared" ref="BS122:BS145" si="626">IF(VALUE(MID(BS$5,6,1))&lt;=$D$2,((1+$BD$3)^3-1)*BI122,0)</f>
        <v>455.57702370000004</v>
      </c>
      <c r="BT122" s="40">
        <f t="shared" ref="BT122:BT145" si="627">IF(VALUE(MID(BT$5,6,1))&lt;=$D$2,((1+$BD$3)^4-1)*BJ122,0)</f>
        <v>635.13645444332963</v>
      </c>
      <c r="BU122" s="40">
        <f t="shared" ref="BU122:BU145" si="628">IF(VALUE(MID(BU$5,6,1))&lt;=$D$2,((1+$BD$3)^5-1)*BK122,0)</f>
        <v>830.18549821892816</v>
      </c>
      <c r="BV122" s="40">
        <f t="shared" ref="BV122:BV145" si="629">IF(VALUE(MID(BV$5,6,1))&lt;=$D$2,((1+$BD$3)^6-1)*BL122,0)</f>
        <v>1041.8041057714613</v>
      </c>
      <c r="BW122" s="40">
        <f t="shared" ref="BW122:BW145" si="630">IF(VALUE(MID(BW$5,6,1))&lt;=$D$2,((1+$BD$3)^7-1)*BM122,0)</f>
        <v>0</v>
      </c>
      <c r="BX122" s="40">
        <f t="shared" ref="BX122:BX145" si="631">IF(VALUE(MID(BX$5,6,1))&lt;=$D$2,((1+$BD$3)^8-1)*BN122,0)</f>
        <v>0</v>
      </c>
      <c r="BY122" s="40">
        <f t="shared" ref="BY122:BY145" si="632">IF(VALUE(MID(BY$5,6,2))&lt;=$D$2,((1+$BD$3)^9-1)*BO122,0)</f>
        <v>0</v>
      </c>
      <c r="BZ122" s="40">
        <f t="shared" ref="BZ122:BZ145" si="633">SUM(BP122:BY122)</f>
        <v>3396.2960821337188</v>
      </c>
      <c r="CA122" s="37">
        <f t="shared" ref="CA122:CA145" si="634">SUM(BZ122,BF122:BO122)</f>
        <v>38260.87389583372</v>
      </c>
      <c r="CC122" s="102"/>
      <c r="CD122" s="12"/>
      <c r="CE122" s="14">
        <f t="shared" ref="CE122:CE146" si="635">IF($CC122="Annual",1,IF($CC122="Monthly F",12,IF($CC122="Monthly V",CD122*12,IF($CC122="One-Time",1,CD122*12))))</f>
        <v>0</v>
      </c>
      <c r="CF122" s="14" cm="1">
        <f t="array" ref="CF122">IFERROR(_xlfn.IFS(VALUE(MID(CF$5,6,1))&gt;$D$2,0,$CC122="Annual",1,CE122=12,12,$CC122="Monthly V",CE122*(1+$D$3),$CC122="Monthly F",12,$CC122="One-Time",0),CE122*(1+$D$3))</f>
        <v>0</v>
      </c>
      <c r="CG122" s="14" cm="1">
        <f t="array" ref="CG122">IFERROR(_xlfn.IFS(VALUE(MID(CG$5,6,1))&gt;$D$2,0,$CC122="Annual",1,CF122=12,12,$CC122="Monthly V",CF122*(1+$D$3),$CC122="Monthly F",12,$CC122="One-Time",0),CF122*(1+$D$3))</f>
        <v>0</v>
      </c>
      <c r="CH122" s="14" cm="1">
        <f t="array" ref="CH122">IFERROR(_xlfn.IFS(VALUE(MID(CH$5,6,1))&gt;$D$2,0,$CC122="Annual",1,CG122=12,12,$CC122="Monthly V",CG122*(1+$D$3),$CC122="Monthly F",12,$CC122="One-Time",0),CG122*(1+$D$3))</f>
        <v>0</v>
      </c>
      <c r="CI122" s="14" cm="1">
        <f t="array" ref="CI122">IFERROR(_xlfn.IFS(VALUE(MID(CI$5,6,1))&gt;$D$2,0,$CC122="Annual",1,CH122=12,12,$CC122="Monthly V",CH122*(1+$D$3),$CC122="Monthly F",12,$CC122="One-Time",0),CH122*(1+$D$3))</f>
        <v>0</v>
      </c>
      <c r="CJ122" s="14" cm="1">
        <f t="array" ref="CJ122">IFERROR(_xlfn.IFS(VALUE(MID(CJ$5,6,1))&gt;$D$2,0,$CC122="Annual",1,CI122=12,12,$CC122="Monthly V",CI122*(1+$D$3),$CC122="Monthly F",12,$CC122="One-Time",0),CI122*(1+$D$3))</f>
        <v>0</v>
      </c>
      <c r="CK122" s="14" cm="1">
        <f t="array" ref="CK122">IFERROR(_xlfn.IFS(VALUE(MID(CK$5,6,1))&gt;$D$2,0,$CC122="Annual",1,CJ122=12,12,$CC122="Monthly V",CJ122*(1+$D$3),$CC122="Monthly F",12,$CC122="One-Time",0),CJ122*(1+$D$3))</f>
        <v>0</v>
      </c>
      <c r="CL122" s="14" cm="1">
        <f t="array" ref="CL122">IFERROR(_xlfn.IFS(VALUE(MID(CL$5,6,1))&gt;$D$2,0,$CC122="Annual",1,CK122=12,12,$CC122="Monthly V",CK122*(1+$D$3),$CC122="Monthly F",12,$CC122="One-Time",0),CK122*(1+$D$3))</f>
        <v>0</v>
      </c>
      <c r="CM122" s="14" cm="1">
        <f t="array" ref="CM122">IFERROR(_xlfn.IFS(VALUE(MID(CM$5,6,1))&gt;$D$2,0,$CC122="Annual",1,CL122=12,12,$CC122="Monthly V",CL122*(1+$D$3),$CC122="Monthly F",12,$CC122="One-Time",0),CL122*(1+$D$3))</f>
        <v>0</v>
      </c>
      <c r="CN122" s="24" cm="1">
        <f t="array" ref="CN122">IFERROR(_xlfn.IFS(VALUE(MID(CN$5,6,2))&gt;$D$2,0,$CC122="Annual",1,CM122=12,12,$CC122="Monthly V",CM122*(1+$D$3),$CC122="Monthly F",12,$CC122="One-Time",0),CM122*(1+$D$3))</f>
        <v>0</v>
      </c>
      <c r="CO122" s="63"/>
      <c r="CP122" s="53"/>
      <c r="CQ122" s="21">
        <f t="shared" ref="CQ122:CQ146" si="636">CR122/12</f>
        <v>0</v>
      </c>
      <c r="CR122" s="55">
        <f t="shared" ref="CR122:DA146" si="637">IFERROR(CE122*$CP122,0)</f>
        <v>0</v>
      </c>
      <c r="CS122" s="55">
        <f t="shared" si="637"/>
        <v>0</v>
      </c>
      <c r="CT122" s="55">
        <f t="shared" si="637"/>
        <v>0</v>
      </c>
      <c r="CU122" s="55">
        <f t="shared" si="637"/>
        <v>0</v>
      </c>
      <c r="CV122" s="55">
        <f t="shared" si="637"/>
        <v>0</v>
      </c>
      <c r="CW122" s="55">
        <f t="shared" si="637"/>
        <v>0</v>
      </c>
      <c r="CX122" s="55">
        <f t="shared" si="637"/>
        <v>0</v>
      </c>
      <c r="CY122" s="55">
        <f t="shared" si="637"/>
        <v>0</v>
      </c>
      <c r="CZ122" s="55">
        <f t="shared" si="637"/>
        <v>0</v>
      </c>
      <c r="DA122" s="55">
        <f t="shared" si="637"/>
        <v>0</v>
      </c>
      <c r="DB122" s="56"/>
      <c r="DC122" s="56">
        <f t="shared" ref="DC122:DC146" si="638">IF(VALUE(MID(DC$5,6,1))&lt;=$D$2,((1+$CP$3)^1-1)*CS122,0)</f>
        <v>0</v>
      </c>
      <c r="DD122" s="56">
        <f t="shared" ref="DD122:DD146" si="639">IF(VALUE(MID(DD$5,6,1))&lt;=$D$2,((1+$CP$3)^2-1)*CT122,0)</f>
        <v>0</v>
      </c>
      <c r="DE122" s="56">
        <f t="shared" ref="DE122:DE146" si="640">IF(VALUE(MID(DE$5,6,1))&lt;=$D$2,((1+$CP$3)^3-1)*CU122,0)</f>
        <v>0</v>
      </c>
      <c r="DF122" s="56">
        <f t="shared" ref="DF122:DF146" si="641">IF(VALUE(MID(DF$5,6,1))&lt;=$D$2,((1+$CP$3)^4-1)*CV122,0)</f>
        <v>0</v>
      </c>
      <c r="DG122" s="56">
        <f t="shared" ref="DG122:DG146" si="642">IF(VALUE(MID(DG$5,6,1))&lt;=$D$2,((1+$CP$3)^5-1)*CW122,0)</f>
        <v>0</v>
      </c>
      <c r="DH122" s="56">
        <f t="shared" ref="DH122:DH146" si="643">IF(VALUE(MID(DH$5,6,1))&lt;=$D$2,((1+$CP$3)^6-1)*CX122,0)</f>
        <v>0</v>
      </c>
      <c r="DI122" s="56">
        <f t="shared" ref="DI122:DI146" si="644">IF(VALUE(MID(DI$5,6,1))&lt;=$D$2,((1+$CP$3)^7-1)*CY122,0)</f>
        <v>0</v>
      </c>
      <c r="DJ122" s="56">
        <f t="shared" ref="DJ122:DJ146" si="645">IF(VALUE(MID(DJ$5,6,1))&lt;=$D$2,((1+$CP$3)^8-1)*CZ122,0)</f>
        <v>0</v>
      </c>
      <c r="DK122" s="56">
        <f t="shared" ref="DK122:DK146" si="646">IF(VALUE(MID(DK$5,6,2))&lt;=$D$2,((1+$CP$3)^9-1)*DA122,0)</f>
        <v>0</v>
      </c>
      <c r="DL122" s="57">
        <f t="shared" ref="DL122:DL146" si="647">SUM(DB122:DK122)</f>
        <v>0</v>
      </c>
      <c r="DM122" s="54">
        <f t="shared" ref="DM122:DM146" si="648">SUM(DL122,CR122:DA122)</f>
        <v>0</v>
      </c>
      <c r="DO122" s="106"/>
    </row>
    <row r="123" spans="2:119" x14ac:dyDescent="0.25">
      <c r="B123" s="141" t="s">
        <v>3</v>
      </c>
      <c r="C123" s="24"/>
      <c r="D123" s="147">
        <f t="shared" si="605"/>
        <v>0</v>
      </c>
      <c r="E123" s="142">
        <f t="shared" si="606"/>
        <v>1</v>
      </c>
      <c r="F123" s="14" cm="1">
        <f t="array" ref="F123">IFERROR(_xlfn.IFS(VALUE(MID(F$5,6,1))&gt;$D$2,0,$B123="Annual",1,E123=12,12,$B123="Monthly V",E123*(1+$D$3),$B123="Monthly F",12,$B123="One-Time",0),E123*(1+$D$3))</f>
        <v>0</v>
      </c>
      <c r="G123" s="14" cm="1">
        <f t="array" ref="G123">IFERROR(_xlfn.IFS(VALUE(MID(G$5,6,1))&gt;$D$2,0,$B123="Annual",1,F123=12,12,$B123="Monthly V",F123*(1+$D$3),$B123="Monthly F",12,$B123="One-Time",0),F123*(1+$D$3))</f>
        <v>0</v>
      </c>
      <c r="H123" s="14" cm="1">
        <f t="array" ref="H123">IFERROR(_xlfn.IFS(VALUE(MID(H$5,6,1))&gt;$D$2,0,$B123="Annual",1,G123=12,12,$B123="Monthly V",G123*(1+$D$3),$B123="Monthly F",12,$B123="One-Time",0),G123*(1+$D$3))</f>
        <v>0</v>
      </c>
      <c r="I123" s="14" cm="1">
        <f t="array" ref="I123">IFERROR(_xlfn.IFS(VALUE(MID(I$5,6,1))&gt;$D$2,0,$B123="Annual",1,H123=12,12,$B123="Monthly V",H123*(1+$D$3),$B123="Monthly F",12,$B123="One-Time",0),H123*(1+$D$3))</f>
        <v>0</v>
      </c>
      <c r="J123" s="14" cm="1">
        <f t="array" ref="J123">IFERROR(_xlfn.IFS(VALUE(MID(J$5,6,1))&gt;$D$2,0,$B123="Annual",1,I123=12,12,$B123="Monthly V",I123*(1+$D$3),$B123="Monthly F",12,$B123="One-Time",0),I123*(1+$D$3))</f>
        <v>0</v>
      </c>
      <c r="K123" s="14" cm="1">
        <f t="array" ref="K123">IFERROR(_xlfn.IFS(VALUE(MID(K$5,6,1))&gt;$D$2,0,$B123="Annual",1,J123=12,12,$B123="Monthly V",J123*(1+$D$3),$B123="Monthly F",12,$B123="One-Time",0),J123*(1+$D$3))</f>
        <v>0</v>
      </c>
      <c r="L123" s="14" cm="1">
        <f t="array" ref="L123">IFERROR(_xlfn.IFS(VALUE(MID(L$5,6,1))&gt;$D$2,0,$B123="Annual",1,K123=12,12,$B123="Monthly V",K123*(1+$D$3),$B123="Monthly F",12,$B123="One-Time",0),K123*(1+$D$3))</f>
        <v>0</v>
      </c>
      <c r="M123" s="14" cm="1">
        <f t="array" ref="M123">IFERROR(_xlfn.IFS(VALUE(MID(M$5,6,1))&gt;$D$2,0,$B123="Annual",1,L123=12,12,$B123="Monthly V",L123*(1+$D$3),$B123="Monthly F",12,$B123="One-Time",0),L123*(1+$D$3))</f>
        <v>0</v>
      </c>
      <c r="N123" s="24" cm="1">
        <f t="array" ref="N123">IFERROR(_xlfn.IFS(VALUE(MID(N$5,6,2))&gt;$D$2,0,$B123="Annual",1,M123=12,12,$B123="Monthly V",M123*(1+$D$3),$B123="Monthly F",12,$B123="One-Time",0),M123*(1+$D$3))</f>
        <v>0</v>
      </c>
      <c r="O123" s="127" t="s">
        <v>121</v>
      </c>
      <c r="P123" s="13"/>
      <c r="Q123" s="20">
        <v>3399</v>
      </c>
      <c r="R123" s="21">
        <f t="shared" si="607"/>
        <v>283.25</v>
      </c>
      <c r="S123" s="6">
        <f t="shared" si="608"/>
        <v>3399</v>
      </c>
      <c r="T123" s="6">
        <f t="shared" si="608"/>
        <v>0</v>
      </c>
      <c r="U123" s="6">
        <f t="shared" si="608"/>
        <v>0</v>
      </c>
      <c r="V123" s="6">
        <f t="shared" si="608"/>
        <v>0</v>
      </c>
      <c r="W123" s="6">
        <f t="shared" si="608"/>
        <v>0</v>
      </c>
      <c r="X123" s="6">
        <f t="shared" si="608"/>
        <v>0</v>
      </c>
      <c r="Y123" s="6">
        <f t="shared" si="608"/>
        <v>0</v>
      </c>
      <c r="Z123" s="6">
        <f t="shared" si="608"/>
        <v>0</v>
      </c>
      <c r="AA123" s="6">
        <f t="shared" si="608"/>
        <v>0</v>
      </c>
      <c r="AB123" s="6">
        <f t="shared" si="608"/>
        <v>0</v>
      </c>
      <c r="AC123" s="7"/>
      <c r="AD123" s="152">
        <f t="shared" si="609"/>
        <v>0</v>
      </c>
      <c r="AE123" s="152">
        <f t="shared" si="610"/>
        <v>0</v>
      </c>
      <c r="AF123" s="152">
        <f t="shared" si="611"/>
        <v>0</v>
      </c>
      <c r="AG123" s="152">
        <f t="shared" si="612"/>
        <v>0</v>
      </c>
      <c r="AH123" s="152">
        <f t="shared" si="613"/>
        <v>0</v>
      </c>
      <c r="AI123" s="152">
        <f t="shared" si="614"/>
        <v>0</v>
      </c>
      <c r="AJ123" s="152">
        <f t="shared" si="615"/>
        <v>0</v>
      </c>
      <c r="AK123" s="152">
        <f t="shared" si="616"/>
        <v>0</v>
      </c>
      <c r="AL123" s="152">
        <f t="shared" si="617"/>
        <v>0</v>
      </c>
      <c r="AM123" s="9">
        <f t="shared" si="618"/>
        <v>0</v>
      </c>
      <c r="AN123" s="80">
        <f t="shared" si="619"/>
        <v>3399</v>
      </c>
      <c r="AP123" s="102" t="s">
        <v>0</v>
      </c>
      <c r="AQ123" s="12">
        <v>1</v>
      </c>
      <c r="AR123" s="14">
        <f t="shared" ref="AR123:AR136" si="649">IF($AP123="Annual",1,IF($AP123="Monthly F",12,IF($AP123="Monthly V",AQ123*12,IF($AP123="One-Time",1,AQ123*12))))</f>
        <v>12</v>
      </c>
      <c r="AS123" s="14" cm="1">
        <f t="array" ref="AS123">IFERROR(_xlfn.IFS(VALUE(MID(AS$5,6,1))&gt;$D$2,0,$AP123="Annual",1,AR123=12,12,$AP123="Monthly V",AR123*(1+$BD$2),$AP123="Monthly F",12,$AP123="One-Time",0),AR123*(1+$BD$2))</f>
        <v>12</v>
      </c>
      <c r="AT123" s="14" cm="1">
        <f t="array" ref="AT123">IFERROR(_xlfn.IFS(VALUE(MID(AT$5,6,1))&gt;$D$2,0,$AP123="Annual",1,AS123=12,12,$AP123="Monthly V",AS123*(1+$BD$2),$AP123="Monthly F",12,$AP123="One-Time",0),AS123*(1+$BD$2))</f>
        <v>12</v>
      </c>
      <c r="AU123" s="14" cm="1">
        <f t="array" ref="AU123">IFERROR(_xlfn.IFS(VALUE(MID(AU$5,6,1))&gt;$D$2,0,$AP123="Annual",1,AT123=12,12,$AP123="Monthly V",AT123*(1+$BD$2),$AP123="Monthly F",12,$AP123="One-Time",0),AT123*(1+$BD$2))</f>
        <v>12</v>
      </c>
      <c r="AV123" s="14" cm="1">
        <f t="array" ref="AV123">IFERROR(_xlfn.IFS(VALUE(MID(AV$5,6,1))&gt;$D$2,0,$AP123="Annual",1,AU123=12,12,$AP123="Monthly V",AU123*(1+$BD$2),$AP123="Monthly F",12,$AP123="One-Time",0),AU123*(1+$BD$2))</f>
        <v>12</v>
      </c>
      <c r="AW123" s="14" cm="1">
        <f t="array" ref="AW123">IFERROR(_xlfn.IFS(VALUE(MID(AW$5,6,1))&gt;$D$2,0,$AP123="Annual",1,AV123=12,12,$AP123="Monthly V",AV123*(1+$BD$2),$AP123="Monthly F",12,$AP123="One-Time",0),AV123*(1+$BD$2))</f>
        <v>12</v>
      </c>
      <c r="AX123" s="14" cm="1">
        <f t="array" ref="AX123">IFERROR(_xlfn.IFS(VALUE(MID(AX$5,6,1))&gt;$D$2,0,$AP123="Annual",1,AW123=12,12,$AP123="Monthly V",AW123*(1+$BD$2),$AP123="Monthly F",12,$AP123="One-Time",0),AW123*(1+$BD$2))</f>
        <v>12</v>
      </c>
      <c r="AY123" s="14" cm="1">
        <f t="array" ref="AY123">IFERROR(_xlfn.IFS(VALUE(MID(AY$5,6,1))&gt;$D$2,0,$AP123="Annual",1,AX123=12,12,$AP123="Monthly V",AX123*(1+$D$3),$AP123="Monthly F",12,$AP123="One-Time",0),AX123*(1+$D$3))</f>
        <v>0</v>
      </c>
      <c r="AZ123" s="14" cm="1">
        <f t="array" ref="AZ123">IFERROR(_xlfn.IFS(VALUE(MID(AZ$5,6,1))&gt;$D$2,0,$AP123="Annual",1,AY123=12,12,$AP123="Monthly V",AY123*(1+$D$3),$AP123="Monthly F",12,$AP123="One-Time",0),AY123*(1+$D$3))</f>
        <v>0</v>
      </c>
      <c r="BA123" s="125" cm="1">
        <f t="array" ref="BA123">IFERROR(_xlfn.IFS(VALUE(MID(BA$5,6,2))&gt;$D$2,0,$AP123="Annual",1,AZ123=12,12,$AP123="Monthly V",AZ123*(1+$D$3),$AP123="Monthly F",12,$AP123="One-Time",0),AZ123*(1+$D$3))</f>
        <v>0</v>
      </c>
      <c r="BB123" s="124" t="s">
        <v>273</v>
      </c>
      <c r="BC123" s="38" t="s">
        <v>216</v>
      </c>
      <c r="BD123" s="36">
        <v>165</v>
      </c>
      <c r="BE123" s="21">
        <f t="shared" si="620"/>
        <v>165</v>
      </c>
      <c r="BF123" s="39">
        <f t="shared" si="621"/>
        <v>1980</v>
      </c>
      <c r="BG123" s="39">
        <f t="shared" si="621"/>
        <v>1980</v>
      </c>
      <c r="BH123" s="39">
        <f t="shared" si="621"/>
        <v>1980</v>
      </c>
      <c r="BI123" s="39">
        <f t="shared" si="622"/>
        <v>2039.4</v>
      </c>
      <c r="BJ123" s="39">
        <f t="shared" ref="BJ123:BL123" si="650">BI123*1.03</f>
        <v>2100.5820000000003</v>
      </c>
      <c r="BK123" s="39">
        <f t="shared" si="650"/>
        <v>2163.5994600000004</v>
      </c>
      <c r="BL123" s="39">
        <f t="shared" si="650"/>
        <v>2228.5074438000006</v>
      </c>
      <c r="BM123" s="39">
        <f t="shared" si="621"/>
        <v>0</v>
      </c>
      <c r="BN123" s="39">
        <f t="shared" si="621"/>
        <v>0</v>
      </c>
      <c r="BO123" s="39">
        <f t="shared" si="621"/>
        <v>0</v>
      </c>
      <c r="BP123" s="40"/>
      <c r="BQ123" s="40">
        <f t="shared" si="624"/>
        <v>59.400000000000055</v>
      </c>
      <c r="BR123" s="40">
        <f t="shared" si="625"/>
        <v>120.58199999999991</v>
      </c>
      <c r="BS123" s="40">
        <f t="shared" si="626"/>
        <v>189.10744380000003</v>
      </c>
      <c r="BT123" s="40">
        <f t="shared" si="627"/>
        <v>263.64154712741987</v>
      </c>
      <c r="BU123" s="40">
        <f t="shared" si="628"/>
        <v>344.60530114747962</v>
      </c>
      <c r="BV123" s="40">
        <f t="shared" si="629"/>
        <v>432.44698730136133</v>
      </c>
      <c r="BW123" s="40">
        <f t="shared" si="630"/>
        <v>0</v>
      </c>
      <c r="BX123" s="40">
        <f t="shared" si="631"/>
        <v>0</v>
      </c>
      <c r="BY123" s="40">
        <f t="shared" si="632"/>
        <v>0</v>
      </c>
      <c r="BZ123" s="40">
        <f t="shared" si="633"/>
        <v>1409.7832793762609</v>
      </c>
      <c r="CA123" s="37">
        <f t="shared" si="634"/>
        <v>15881.872183176263</v>
      </c>
      <c r="CC123" s="102"/>
      <c r="CD123" s="12"/>
      <c r="CE123" s="14">
        <f t="shared" si="635"/>
        <v>0</v>
      </c>
      <c r="CF123" s="14" cm="1">
        <f t="array" ref="CF123">IFERROR(_xlfn.IFS(VALUE(MID(CF$5,6,1))&gt;$D$2,0,$CC123="Annual",1,CE123=12,12,$CC123="Monthly V",CE123*(1+$D$3),$CC123="Monthly F",12,$CC123="One-Time",0),CE123*(1+$D$3))</f>
        <v>0</v>
      </c>
      <c r="CG123" s="14" cm="1">
        <f t="array" ref="CG123">IFERROR(_xlfn.IFS(VALUE(MID(CG$5,6,1))&gt;$D$2,0,$CC123="Annual",1,CF123=12,12,$CC123="Monthly V",CF123*(1+$D$3),$CC123="Monthly F",12,$CC123="One-Time",0),CF123*(1+$D$3))</f>
        <v>0</v>
      </c>
      <c r="CH123" s="14" cm="1">
        <f t="array" ref="CH123">IFERROR(_xlfn.IFS(VALUE(MID(CH$5,6,1))&gt;$D$2,0,$CC123="Annual",1,CG123=12,12,$CC123="Monthly V",CG123*(1+$D$3),$CC123="Monthly F",12,$CC123="One-Time",0),CG123*(1+$D$3))</f>
        <v>0</v>
      </c>
      <c r="CI123" s="14" cm="1">
        <f t="array" ref="CI123">IFERROR(_xlfn.IFS(VALUE(MID(CI$5,6,1))&gt;$D$2,0,$CC123="Annual",1,CH123=12,12,$CC123="Monthly V",CH123*(1+$D$3),$CC123="Monthly F",12,$CC123="One-Time",0),CH123*(1+$D$3))</f>
        <v>0</v>
      </c>
      <c r="CJ123" s="14" cm="1">
        <f t="array" ref="CJ123">IFERROR(_xlfn.IFS(VALUE(MID(CJ$5,6,1))&gt;$D$2,0,$CC123="Annual",1,CI123=12,12,$CC123="Monthly V",CI123*(1+$D$3),$CC123="Monthly F",12,$CC123="One-Time",0),CI123*(1+$D$3))</f>
        <v>0</v>
      </c>
      <c r="CK123" s="14" cm="1">
        <f t="array" ref="CK123">IFERROR(_xlfn.IFS(VALUE(MID(CK$5,6,1))&gt;$D$2,0,$CC123="Annual",1,CJ123=12,12,$CC123="Monthly V",CJ123*(1+$D$3),$CC123="Monthly F",12,$CC123="One-Time",0),CJ123*(1+$D$3))</f>
        <v>0</v>
      </c>
      <c r="CL123" s="14" cm="1">
        <f t="array" ref="CL123">IFERROR(_xlfn.IFS(VALUE(MID(CL$5,6,1))&gt;$D$2,0,$CC123="Annual",1,CK123=12,12,$CC123="Monthly V",CK123*(1+$D$3),$CC123="Monthly F",12,$CC123="One-Time",0),CK123*(1+$D$3))</f>
        <v>0</v>
      </c>
      <c r="CM123" s="14" cm="1">
        <f t="array" ref="CM123">IFERROR(_xlfn.IFS(VALUE(MID(CM$5,6,1))&gt;$D$2,0,$CC123="Annual",1,CL123=12,12,$CC123="Monthly V",CL123*(1+$D$3),$CC123="Monthly F",12,$CC123="One-Time",0),CL123*(1+$D$3))</f>
        <v>0</v>
      </c>
      <c r="CN123" s="24" cm="1">
        <f t="array" ref="CN123">IFERROR(_xlfn.IFS(VALUE(MID(CN$5,6,2))&gt;$D$2,0,$CC123="Annual",1,CM123=12,12,$CC123="Monthly V",CM123*(1+$D$3),$CC123="Monthly F",12,$CC123="One-Time",0),CM123*(1+$D$3))</f>
        <v>0</v>
      </c>
      <c r="CO123" s="63"/>
      <c r="CP123" s="53"/>
      <c r="CQ123" s="21">
        <f t="shared" si="636"/>
        <v>0</v>
      </c>
      <c r="CR123" s="55">
        <f t="shared" si="637"/>
        <v>0</v>
      </c>
      <c r="CS123" s="55">
        <f t="shared" si="637"/>
        <v>0</v>
      </c>
      <c r="CT123" s="55">
        <f t="shared" si="637"/>
        <v>0</v>
      </c>
      <c r="CU123" s="55">
        <f t="shared" si="637"/>
        <v>0</v>
      </c>
      <c r="CV123" s="55">
        <f t="shared" si="637"/>
        <v>0</v>
      </c>
      <c r="CW123" s="55">
        <f t="shared" si="637"/>
        <v>0</v>
      </c>
      <c r="CX123" s="55">
        <f t="shared" si="637"/>
        <v>0</v>
      </c>
      <c r="CY123" s="55">
        <f t="shared" si="637"/>
        <v>0</v>
      </c>
      <c r="CZ123" s="55">
        <f t="shared" si="637"/>
        <v>0</v>
      </c>
      <c r="DA123" s="55">
        <f t="shared" si="637"/>
        <v>0</v>
      </c>
      <c r="DB123" s="56"/>
      <c r="DC123" s="56">
        <f t="shared" si="638"/>
        <v>0</v>
      </c>
      <c r="DD123" s="56">
        <f t="shared" si="639"/>
        <v>0</v>
      </c>
      <c r="DE123" s="56">
        <f t="shared" si="640"/>
        <v>0</v>
      </c>
      <c r="DF123" s="56">
        <f t="shared" si="641"/>
        <v>0</v>
      </c>
      <c r="DG123" s="56">
        <f t="shared" si="642"/>
        <v>0</v>
      </c>
      <c r="DH123" s="56">
        <f t="shared" si="643"/>
        <v>0</v>
      </c>
      <c r="DI123" s="56">
        <f t="shared" si="644"/>
        <v>0</v>
      </c>
      <c r="DJ123" s="56">
        <f t="shared" si="645"/>
        <v>0</v>
      </c>
      <c r="DK123" s="56">
        <f t="shared" si="646"/>
        <v>0</v>
      </c>
      <c r="DL123" s="57">
        <f t="shared" si="647"/>
        <v>0</v>
      </c>
      <c r="DM123" s="54">
        <f t="shared" si="648"/>
        <v>0</v>
      </c>
      <c r="DO123" s="106"/>
    </row>
    <row r="124" spans="2:119" x14ac:dyDescent="0.25">
      <c r="B124" s="141" t="s">
        <v>1</v>
      </c>
      <c r="C124" s="24">
        <v>100</v>
      </c>
      <c r="D124" s="147">
        <f t="shared" si="605"/>
        <v>100</v>
      </c>
      <c r="E124" s="142">
        <f t="shared" si="606"/>
        <v>1200</v>
      </c>
      <c r="F124" s="14" cm="1">
        <f t="array" ref="F124">IFERROR(_xlfn.IFS(VALUE(MID(F$5,6,1))&gt;$D$2,0,$B124="Annual",1,E124=12,12,$B124="Monthly V",E124*(1+$D$3),$B124="Monthly F",12,$B124="One-Time",0),E124*(1+$D$3))</f>
        <v>1440</v>
      </c>
      <c r="G124" s="14" cm="1">
        <f t="array" ref="G124">IFERROR(_xlfn.IFS(VALUE(MID(G$5,6,1))&gt;$D$2,0,$B124="Annual",1,F124=12,12,$B124="Monthly V",F124*(1+$D$3),$B124="Monthly F",12,$B124="One-Time",0),F124*(1+$D$3))</f>
        <v>1728</v>
      </c>
      <c r="H124" s="14" cm="1">
        <f t="array" ref="H124">IFERROR(_xlfn.IFS(VALUE(MID(H$5,6,1))&gt;$D$2,0,$B124="Annual",1,G124=12,12,$B124="Monthly V",G124*(1+$D$3),$B124="Monthly F",12,$B124="One-Time",0),G124*(1+$D$3))</f>
        <v>2073.6</v>
      </c>
      <c r="I124" s="14" cm="1">
        <f t="array" ref="I124">IFERROR(_xlfn.IFS(VALUE(MID(I$5,6,1))&gt;$D$2,0,$B124="Annual",1,H124=12,12,$B124="Monthly V",H124*(1+$D$3),$B124="Monthly F",12,$B124="One-Time",0),H124*(1+$D$3))</f>
        <v>2488.3199999999997</v>
      </c>
      <c r="J124" s="14" cm="1">
        <f t="array" ref="J124">IFERROR(_xlfn.IFS(VALUE(MID(J$5,6,1))&gt;$D$2,0,$B124="Annual",1,I124=12,12,$B124="Monthly V",I124*(1+$D$3),$B124="Monthly F",12,$B124="One-Time",0),I124*(1+$D$3))</f>
        <v>2985.9839999999995</v>
      </c>
      <c r="K124" s="14" cm="1">
        <f t="array" ref="K124">IFERROR(_xlfn.IFS(VALUE(MID(K$5,6,1))&gt;$D$2,0,$B124="Annual",1,J124=12,12,$B124="Monthly V",J124*(1+$D$3),$B124="Monthly F",12,$B124="One-Time",0),J124*(1+$D$3))</f>
        <v>3583.1807999999992</v>
      </c>
      <c r="L124" s="14" cm="1">
        <f t="array" ref="L124">IFERROR(_xlfn.IFS(VALUE(MID(L$5,6,1))&gt;$D$2,0,$B124="Annual",1,K124=12,12,$B124="Monthly V",K124*(1+$D$3),$B124="Monthly F",12,$B124="One-Time",0),K124*(1+$D$3))</f>
        <v>0</v>
      </c>
      <c r="M124" s="14" cm="1">
        <f t="array" ref="M124">IFERROR(_xlfn.IFS(VALUE(MID(M$5,6,1))&gt;$D$2,0,$B124="Annual",1,L124=12,12,$B124="Monthly V",L124*(1+$D$3),$B124="Monthly F",12,$B124="One-Time",0),L124*(1+$D$3))</f>
        <v>0</v>
      </c>
      <c r="N124" s="24" cm="1">
        <f t="array" ref="N124">IFERROR(_xlfn.IFS(VALUE(MID(N$5,6,2))&gt;$D$2,0,$B124="Annual",1,M124=12,12,$B124="Monthly V",M124*(1+$D$3),$B124="Monthly F",12,$B124="One-Time",0),M124*(1+$D$3))</f>
        <v>0</v>
      </c>
      <c r="O124" s="127" t="s">
        <v>120</v>
      </c>
      <c r="P124" s="13"/>
      <c r="Q124" s="20">
        <v>150</v>
      </c>
      <c r="R124" s="21">
        <f t="shared" si="607"/>
        <v>15000</v>
      </c>
      <c r="S124" s="6">
        <f t="shared" si="608"/>
        <v>180000</v>
      </c>
      <c r="T124" s="6">
        <f t="shared" si="608"/>
        <v>216000</v>
      </c>
      <c r="U124" s="6">
        <f t="shared" si="608"/>
        <v>259200</v>
      </c>
      <c r="V124" s="6">
        <f t="shared" si="608"/>
        <v>311040</v>
      </c>
      <c r="W124" s="6">
        <f t="shared" si="608"/>
        <v>373247.99999999994</v>
      </c>
      <c r="X124" s="6">
        <f t="shared" si="608"/>
        <v>447897.59999999992</v>
      </c>
      <c r="Y124" s="6">
        <f t="shared" si="608"/>
        <v>537477.11999999988</v>
      </c>
      <c r="Z124" s="6">
        <f t="shared" si="608"/>
        <v>0</v>
      </c>
      <c r="AA124" s="6">
        <f t="shared" si="608"/>
        <v>0</v>
      </c>
      <c r="AB124" s="6">
        <f t="shared" si="608"/>
        <v>0</v>
      </c>
      <c r="AC124" s="7"/>
      <c r="AD124" s="152">
        <f t="shared" si="609"/>
        <v>6480.0000000000055</v>
      </c>
      <c r="AE124" s="152">
        <f t="shared" si="610"/>
        <v>15785.279999999988</v>
      </c>
      <c r="AF124" s="152">
        <f t="shared" si="611"/>
        <v>28841.806080000002</v>
      </c>
      <c r="AG124" s="152">
        <f t="shared" si="612"/>
        <v>46845.912314879963</v>
      </c>
      <c r="AH124" s="152">
        <f t="shared" si="613"/>
        <v>71338.475621191596</v>
      </c>
      <c r="AI124" s="152">
        <f t="shared" si="614"/>
        <v>104298.66946779285</v>
      </c>
      <c r="AJ124" s="152">
        <f t="shared" si="615"/>
        <v>0</v>
      </c>
      <c r="AK124" s="152">
        <f t="shared" si="616"/>
        <v>0</v>
      </c>
      <c r="AL124" s="152">
        <f t="shared" si="617"/>
        <v>0</v>
      </c>
      <c r="AM124" s="9">
        <f t="shared" si="618"/>
        <v>273590.14348386438</v>
      </c>
      <c r="AN124" s="80">
        <f t="shared" si="619"/>
        <v>2598452.8634838639</v>
      </c>
      <c r="AP124" s="102" t="s">
        <v>0</v>
      </c>
      <c r="AQ124" s="12">
        <v>1</v>
      </c>
      <c r="AR124" s="14">
        <f t="shared" si="649"/>
        <v>12</v>
      </c>
      <c r="AS124" s="14" cm="1">
        <f t="array" ref="AS124">IFERROR(_xlfn.IFS(VALUE(MID(AS$5,6,1))&gt;$D$2,0,$AP124="Annual",1,AR124=12,12,$AP124="Monthly V",AR124*(1+$BD$2),$AP124="Monthly F",12,$AP124="One-Time",0),AR124*(1+$BD$2))</f>
        <v>12</v>
      </c>
      <c r="AT124" s="14" cm="1">
        <f t="array" ref="AT124">IFERROR(_xlfn.IFS(VALUE(MID(AT$5,6,1))&gt;$D$2,0,$AP124="Annual",1,AS124=12,12,$AP124="Monthly V",AS124*(1+$BD$2),$AP124="Monthly F",12,$AP124="One-Time",0),AS124*(1+$BD$2))</f>
        <v>12</v>
      </c>
      <c r="AU124" s="14" cm="1">
        <f t="array" ref="AU124">IFERROR(_xlfn.IFS(VALUE(MID(AU$5,6,1))&gt;$D$2,0,$AP124="Annual",1,AT124=12,12,$AP124="Monthly V",AT124*(1+$BD$2),$AP124="Monthly F",12,$AP124="One-Time",0),AT124*(1+$BD$2))</f>
        <v>12</v>
      </c>
      <c r="AV124" s="14" cm="1">
        <f t="array" ref="AV124">IFERROR(_xlfn.IFS(VALUE(MID(AV$5,6,1))&gt;$D$2,0,$AP124="Annual",1,AU124=12,12,$AP124="Monthly V",AU124*(1+$BD$2),$AP124="Monthly F",12,$AP124="One-Time",0),AU124*(1+$BD$2))</f>
        <v>12</v>
      </c>
      <c r="AW124" s="14" cm="1">
        <f t="array" ref="AW124">IFERROR(_xlfn.IFS(VALUE(MID(AW$5,6,1))&gt;$D$2,0,$AP124="Annual",1,AV124=12,12,$AP124="Monthly V",AV124*(1+$BD$2),$AP124="Monthly F",12,$AP124="One-Time",0),AV124*(1+$BD$2))</f>
        <v>12</v>
      </c>
      <c r="AX124" s="14" cm="1">
        <f t="array" ref="AX124">IFERROR(_xlfn.IFS(VALUE(MID(AX$5,6,1))&gt;$D$2,0,$AP124="Annual",1,AW124=12,12,$AP124="Monthly V",AW124*(1+$BD$2),$AP124="Monthly F",12,$AP124="One-Time",0),AW124*(1+$BD$2))</f>
        <v>12</v>
      </c>
      <c r="AY124" s="14" cm="1">
        <f t="array" ref="AY124">IFERROR(_xlfn.IFS(VALUE(MID(AY$5,6,1))&gt;$D$2,0,$AP124="Annual",1,AX124=12,12,$AP124="Monthly V",AX124*(1+$D$3),$AP124="Monthly F",12,$AP124="One-Time",0),AX124*(1+$D$3))</f>
        <v>0</v>
      </c>
      <c r="AZ124" s="14" cm="1">
        <f t="array" ref="AZ124">IFERROR(_xlfn.IFS(VALUE(MID(AZ$5,6,1))&gt;$D$2,0,$AP124="Annual",1,AY124=12,12,$AP124="Monthly V",AY124*(1+$D$3),$AP124="Monthly F",12,$AP124="One-Time",0),AY124*(1+$D$3))</f>
        <v>0</v>
      </c>
      <c r="BA124" s="125" cm="1">
        <f t="array" ref="BA124">IFERROR(_xlfn.IFS(VALUE(MID(BA$5,6,2))&gt;$D$2,0,$AP124="Annual",1,AZ124=12,12,$AP124="Monthly V",AZ124*(1+$D$3),$AP124="Monthly F",12,$AP124="One-Time",0),AZ124*(1+$D$3))</f>
        <v>0</v>
      </c>
      <c r="BB124" s="124" t="s">
        <v>250</v>
      </c>
      <c r="BC124" s="38" t="s">
        <v>216</v>
      </c>
      <c r="BD124" s="36">
        <v>165</v>
      </c>
      <c r="BE124" s="21">
        <f t="shared" si="620"/>
        <v>165</v>
      </c>
      <c r="BF124" s="39">
        <f t="shared" si="621"/>
        <v>1980</v>
      </c>
      <c r="BG124" s="39">
        <f t="shared" si="621"/>
        <v>1980</v>
      </c>
      <c r="BH124" s="39">
        <f t="shared" si="621"/>
        <v>1980</v>
      </c>
      <c r="BI124" s="39">
        <f t="shared" si="622"/>
        <v>2039.4</v>
      </c>
      <c r="BJ124" s="39">
        <f t="shared" ref="BJ124:BL124" si="651">BI124*1.03</f>
        <v>2100.5820000000003</v>
      </c>
      <c r="BK124" s="39">
        <f t="shared" si="651"/>
        <v>2163.5994600000004</v>
      </c>
      <c r="BL124" s="39">
        <f t="shared" si="651"/>
        <v>2228.5074438000006</v>
      </c>
      <c r="BM124" s="39">
        <f t="shared" si="621"/>
        <v>0</v>
      </c>
      <c r="BN124" s="39">
        <f t="shared" si="621"/>
        <v>0</v>
      </c>
      <c r="BO124" s="39">
        <f t="shared" si="621"/>
        <v>0</v>
      </c>
      <c r="BP124" s="40"/>
      <c r="BQ124" s="40">
        <f t="shared" si="624"/>
        <v>59.400000000000055</v>
      </c>
      <c r="BR124" s="40">
        <f t="shared" si="625"/>
        <v>120.58199999999991</v>
      </c>
      <c r="BS124" s="40">
        <f t="shared" si="626"/>
        <v>189.10744380000003</v>
      </c>
      <c r="BT124" s="40">
        <f t="shared" si="627"/>
        <v>263.64154712741987</v>
      </c>
      <c r="BU124" s="40">
        <f t="shared" si="628"/>
        <v>344.60530114747962</v>
      </c>
      <c r="BV124" s="40">
        <f t="shared" si="629"/>
        <v>432.44698730136133</v>
      </c>
      <c r="BW124" s="40">
        <f t="shared" si="630"/>
        <v>0</v>
      </c>
      <c r="BX124" s="40">
        <f t="shared" si="631"/>
        <v>0</v>
      </c>
      <c r="BY124" s="40">
        <f t="shared" si="632"/>
        <v>0</v>
      </c>
      <c r="BZ124" s="40">
        <f t="shared" si="633"/>
        <v>1409.7832793762609</v>
      </c>
      <c r="CA124" s="37">
        <f t="shared" si="634"/>
        <v>15881.872183176263</v>
      </c>
      <c r="CC124" s="102"/>
      <c r="CD124" s="12"/>
      <c r="CE124" s="14">
        <f t="shared" si="635"/>
        <v>0</v>
      </c>
      <c r="CF124" s="14" cm="1">
        <f t="array" ref="CF124">IFERROR(_xlfn.IFS(VALUE(MID(CF$5,6,1))&gt;$D$2,0,$CC124="Annual",1,CE124=12,12,$CC124="Monthly V",CE124*(1+$D$3),$CC124="Monthly F",12,$CC124="One-Time",0),CE124*(1+$D$3))</f>
        <v>0</v>
      </c>
      <c r="CG124" s="14" cm="1">
        <f t="array" ref="CG124">IFERROR(_xlfn.IFS(VALUE(MID(CG$5,6,1))&gt;$D$2,0,$CC124="Annual",1,CF124=12,12,$CC124="Monthly V",CF124*(1+$D$3),$CC124="Monthly F",12,$CC124="One-Time",0),CF124*(1+$D$3))</f>
        <v>0</v>
      </c>
      <c r="CH124" s="14" cm="1">
        <f t="array" ref="CH124">IFERROR(_xlfn.IFS(VALUE(MID(CH$5,6,1))&gt;$D$2,0,$CC124="Annual",1,CG124=12,12,$CC124="Monthly V",CG124*(1+$D$3),$CC124="Monthly F",12,$CC124="One-Time",0),CG124*(1+$D$3))</f>
        <v>0</v>
      </c>
      <c r="CI124" s="14" cm="1">
        <f t="array" ref="CI124">IFERROR(_xlfn.IFS(VALUE(MID(CI$5,6,1))&gt;$D$2,0,$CC124="Annual",1,CH124=12,12,$CC124="Monthly V",CH124*(1+$D$3),$CC124="Monthly F",12,$CC124="One-Time",0),CH124*(1+$D$3))</f>
        <v>0</v>
      </c>
      <c r="CJ124" s="14" cm="1">
        <f t="array" ref="CJ124">IFERROR(_xlfn.IFS(VALUE(MID(CJ$5,6,1))&gt;$D$2,0,$CC124="Annual",1,CI124=12,12,$CC124="Monthly V",CI124*(1+$D$3),$CC124="Monthly F",12,$CC124="One-Time",0),CI124*(1+$D$3))</f>
        <v>0</v>
      </c>
      <c r="CK124" s="14" cm="1">
        <f t="array" ref="CK124">IFERROR(_xlfn.IFS(VALUE(MID(CK$5,6,1))&gt;$D$2,0,$CC124="Annual",1,CJ124=12,12,$CC124="Monthly V",CJ124*(1+$D$3),$CC124="Monthly F",12,$CC124="One-Time",0),CJ124*(1+$D$3))</f>
        <v>0</v>
      </c>
      <c r="CL124" s="14" cm="1">
        <f t="array" ref="CL124">IFERROR(_xlfn.IFS(VALUE(MID(CL$5,6,1))&gt;$D$2,0,$CC124="Annual",1,CK124=12,12,$CC124="Monthly V",CK124*(1+$D$3),$CC124="Monthly F",12,$CC124="One-Time",0),CK124*(1+$D$3))</f>
        <v>0</v>
      </c>
      <c r="CM124" s="14" cm="1">
        <f t="array" ref="CM124">IFERROR(_xlfn.IFS(VALUE(MID(CM$5,6,1))&gt;$D$2,0,$CC124="Annual",1,CL124=12,12,$CC124="Monthly V",CL124*(1+$D$3),$CC124="Monthly F",12,$CC124="One-Time",0),CL124*(1+$D$3))</f>
        <v>0</v>
      </c>
      <c r="CN124" s="24" cm="1">
        <f t="array" ref="CN124">IFERROR(_xlfn.IFS(VALUE(MID(CN$5,6,2))&gt;$D$2,0,$CC124="Annual",1,CM124=12,12,$CC124="Monthly V",CM124*(1+$D$3),$CC124="Monthly F",12,$CC124="One-Time",0),CM124*(1+$D$3))</f>
        <v>0</v>
      </c>
      <c r="CO124" s="63"/>
      <c r="CP124" s="53"/>
      <c r="CQ124" s="21">
        <f t="shared" si="636"/>
        <v>0</v>
      </c>
      <c r="CR124" s="55">
        <f t="shared" si="637"/>
        <v>0</v>
      </c>
      <c r="CS124" s="55">
        <f t="shared" si="637"/>
        <v>0</v>
      </c>
      <c r="CT124" s="55">
        <f t="shared" si="637"/>
        <v>0</v>
      </c>
      <c r="CU124" s="55">
        <f t="shared" si="637"/>
        <v>0</v>
      </c>
      <c r="CV124" s="55">
        <f t="shared" si="637"/>
        <v>0</v>
      </c>
      <c r="CW124" s="55">
        <f t="shared" si="637"/>
        <v>0</v>
      </c>
      <c r="CX124" s="55">
        <f t="shared" si="637"/>
        <v>0</v>
      </c>
      <c r="CY124" s="55">
        <f t="shared" si="637"/>
        <v>0</v>
      </c>
      <c r="CZ124" s="55">
        <f t="shared" si="637"/>
        <v>0</v>
      </c>
      <c r="DA124" s="55">
        <f t="shared" si="637"/>
        <v>0</v>
      </c>
      <c r="DB124" s="56"/>
      <c r="DC124" s="56">
        <f t="shared" si="638"/>
        <v>0</v>
      </c>
      <c r="DD124" s="56">
        <f t="shared" si="639"/>
        <v>0</v>
      </c>
      <c r="DE124" s="56">
        <f t="shared" si="640"/>
        <v>0</v>
      </c>
      <c r="DF124" s="56">
        <f t="shared" si="641"/>
        <v>0</v>
      </c>
      <c r="DG124" s="56">
        <f t="shared" si="642"/>
        <v>0</v>
      </c>
      <c r="DH124" s="56">
        <f t="shared" si="643"/>
        <v>0</v>
      </c>
      <c r="DI124" s="56">
        <f t="shared" si="644"/>
        <v>0</v>
      </c>
      <c r="DJ124" s="56">
        <f t="shared" si="645"/>
        <v>0</v>
      </c>
      <c r="DK124" s="56">
        <f t="shared" si="646"/>
        <v>0</v>
      </c>
      <c r="DL124" s="57">
        <f t="shared" si="647"/>
        <v>0</v>
      </c>
      <c r="DM124" s="54">
        <f t="shared" si="648"/>
        <v>0</v>
      </c>
      <c r="DO124" s="106"/>
    </row>
    <row r="125" spans="2:119" x14ac:dyDescent="0.25">
      <c r="B125" s="141" t="s">
        <v>3</v>
      </c>
      <c r="C125" s="24"/>
      <c r="D125" s="147">
        <f t="shared" si="605"/>
        <v>0</v>
      </c>
      <c r="E125" s="142">
        <f t="shared" si="606"/>
        <v>1</v>
      </c>
      <c r="F125" s="14" cm="1">
        <f t="array" ref="F125">IFERROR(_xlfn.IFS(VALUE(MID(F$5,6,1))&gt;$D$2,0,$B125="Annual",1,E125=12,12,$B125="Monthly V",E125*(1+$D$3),$B125="Monthly F",12,$B125="One-Time",0),E125*(1+$D$3))</f>
        <v>0</v>
      </c>
      <c r="G125" s="14" cm="1">
        <f t="array" ref="G125">IFERROR(_xlfn.IFS(VALUE(MID(G$5,6,1))&gt;$D$2,0,$B125="Annual",1,F125=12,12,$B125="Monthly V",F125*(1+$D$3),$B125="Monthly F",12,$B125="One-Time",0),F125*(1+$D$3))</f>
        <v>0</v>
      </c>
      <c r="H125" s="14" cm="1">
        <f t="array" ref="H125">IFERROR(_xlfn.IFS(VALUE(MID(H$5,6,1))&gt;$D$2,0,$B125="Annual",1,G125=12,12,$B125="Monthly V",G125*(1+$D$3),$B125="Monthly F",12,$B125="One-Time",0),G125*(1+$D$3))</f>
        <v>0</v>
      </c>
      <c r="I125" s="14" cm="1">
        <f t="array" ref="I125">IFERROR(_xlfn.IFS(VALUE(MID(I$5,6,1))&gt;$D$2,0,$B125="Annual",1,H125=12,12,$B125="Monthly V",H125*(1+$D$3),$B125="Monthly F",12,$B125="One-Time",0),H125*(1+$D$3))</f>
        <v>0</v>
      </c>
      <c r="J125" s="14" cm="1">
        <f t="array" ref="J125">IFERROR(_xlfn.IFS(VALUE(MID(J$5,6,1))&gt;$D$2,0,$B125="Annual",1,I125=12,12,$B125="Monthly V",I125*(1+$D$3),$B125="Monthly F",12,$B125="One-Time",0),I125*(1+$D$3))</f>
        <v>0</v>
      </c>
      <c r="K125" s="14" cm="1">
        <f t="array" ref="K125">IFERROR(_xlfn.IFS(VALUE(MID(K$5,6,1))&gt;$D$2,0,$B125="Annual",1,J125=12,12,$B125="Monthly V",J125*(1+$D$3),$B125="Monthly F",12,$B125="One-Time",0),J125*(1+$D$3))</f>
        <v>0</v>
      </c>
      <c r="L125" s="14" cm="1">
        <f t="array" ref="L125">IFERROR(_xlfn.IFS(VALUE(MID(L$5,6,1))&gt;$D$2,0,$B125="Annual",1,K125=12,12,$B125="Monthly V",K125*(1+$D$3),$B125="Monthly F",12,$B125="One-Time",0),K125*(1+$D$3))</f>
        <v>0</v>
      </c>
      <c r="M125" s="14" cm="1">
        <f t="array" ref="M125">IFERROR(_xlfn.IFS(VALUE(MID(M$5,6,1))&gt;$D$2,0,$B125="Annual",1,L125=12,12,$B125="Monthly V",L125*(1+$D$3),$B125="Monthly F",12,$B125="One-Time",0),L125*(1+$D$3))</f>
        <v>0</v>
      </c>
      <c r="N125" s="24" cm="1">
        <f t="array" ref="N125">IFERROR(_xlfn.IFS(VALUE(MID(N$5,6,2))&gt;$D$2,0,$B125="Annual",1,M125=12,12,$B125="Monthly V",M125*(1+$D$3),$B125="Monthly F",12,$B125="One-Time",0),M125*(1+$D$3))</f>
        <v>0</v>
      </c>
      <c r="O125" s="127" t="s">
        <v>122</v>
      </c>
      <c r="P125" s="13"/>
      <c r="Q125" s="20">
        <v>2000</v>
      </c>
      <c r="R125" s="21">
        <f t="shared" si="607"/>
        <v>166.66666666666666</v>
      </c>
      <c r="S125" s="6">
        <f t="shared" si="608"/>
        <v>2000</v>
      </c>
      <c r="T125" s="6">
        <f t="shared" si="608"/>
        <v>0</v>
      </c>
      <c r="U125" s="6">
        <f t="shared" si="608"/>
        <v>0</v>
      </c>
      <c r="V125" s="6">
        <f t="shared" si="608"/>
        <v>0</v>
      </c>
      <c r="W125" s="6">
        <f t="shared" si="608"/>
        <v>0</v>
      </c>
      <c r="X125" s="6">
        <f t="shared" si="608"/>
        <v>0</v>
      </c>
      <c r="Y125" s="6">
        <f t="shared" si="608"/>
        <v>0</v>
      </c>
      <c r="Z125" s="6">
        <f t="shared" si="608"/>
        <v>0</v>
      </c>
      <c r="AA125" s="6">
        <f t="shared" si="608"/>
        <v>0</v>
      </c>
      <c r="AB125" s="6">
        <f t="shared" si="608"/>
        <v>0</v>
      </c>
      <c r="AC125" s="7"/>
      <c r="AD125" s="152">
        <f t="shared" si="609"/>
        <v>0</v>
      </c>
      <c r="AE125" s="152">
        <f t="shared" si="610"/>
        <v>0</v>
      </c>
      <c r="AF125" s="152">
        <f t="shared" si="611"/>
        <v>0</v>
      </c>
      <c r="AG125" s="152">
        <f t="shared" si="612"/>
        <v>0</v>
      </c>
      <c r="AH125" s="152">
        <f t="shared" si="613"/>
        <v>0</v>
      </c>
      <c r="AI125" s="152">
        <f t="shared" si="614"/>
        <v>0</v>
      </c>
      <c r="AJ125" s="152">
        <f t="shared" si="615"/>
        <v>0</v>
      </c>
      <c r="AK125" s="152">
        <f t="shared" si="616"/>
        <v>0</v>
      </c>
      <c r="AL125" s="152">
        <f t="shared" si="617"/>
        <v>0</v>
      </c>
      <c r="AM125" s="9">
        <f t="shared" si="618"/>
        <v>0</v>
      </c>
      <c r="AN125" s="80">
        <f t="shared" si="619"/>
        <v>2000</v>
      </c>
      <c r="AP125" s="102" t="s">
        <v>1</v>
      </c>
      <c r="AQ125" s="12">
        <v>5000</v>
      </c>
      <c r="AR125" s="14">
        <f t="shared" si="649"/>
        <v>60000</v>
      </c>
      <c r="AS125" s="14" cm="1">
        <f t="array" ref="AS125">IFERROR(_xlfn.IFS(VALUE(MID(AS$5,6,1))&gt;$D$2,0,$AP125="Annual",1,AR125=12,12,$AP125="Monthly V",AR125*(1+$BD$2),$AP125="Monthly F",12,$AP125="One-Time",0),AR125*(1+$BD$2))</f>
        <v>60000</v>
      </c>
      <c r="AT125" s="14" cm="1">
        <f t="array" ref="AT125">IFERROR(_xlfn.IFS(VALUE(MID(AT$5,6,1))&gt;$D$2,0,$AP125="Annual",1,AS125=12,12,$AP125="Monthly V",AS125*(1+$BD$2),$AP125="Monthly F",12,$AP125="One-Time",0),AS125*(1+$BD$2))</f>
        <v>60000</v>
      </c>
      <c r="AU125" s="14" cm="1">
        <f t="array" ref="AU125">IFERROR(_xlfn.IFS(VALUE(MID(AU$5,6,1))&gt;$D$2,0,$AP125="Annual",1,AT125=12,12,$AP125="Monthly V",AT125*(1+$BD$2),$AP125="Monthly F",12,$AP125="One-Time",0),AT125*(1+$BD$2))</f>
        <v>60000</v>
      </c>
      <c r="AV125" s="14" cm="1">
        <f t="array" ref="AV125">IFERROR(_xlfn.IFS(VALUE(MID(AV$5,6,1))&gt;$D$2,0,$AP125="Annual",1,AU125=12,12,$AP125="Monthly V",AU125*(1+$BD$2),$AP125="Monthly F",12,$AP125="One-Time",0),AU125*(1+$BD$2))</f>
        <v>60000</v>
      </c>
      <c r="AW125" s="14" cm="1">
        <f t="array" ref="AW125">IFERROR(_xlfn.IFS(VALUE(MID(AW$5,6,1))&gt;$D$2,0,$AP125="Annual",1,AV125=12,12,$AP125="Monthly V",AV125*(1+$BD$2),$AP125="Monthly F",12,$AP125="One-Time",0),AV125*(1+$BD$2))</f>
        <v>60000</v>
      </c>
      <c r="AX125" s="14" cm="1">
        <f t="array" ref="AX125">IFERROR(_xlfn.IFS(VALUE(MID(AX$5,6,1))&gt;$D$2,0,$AP125="Annual",1,AW125=12,12,$AP125="Monthly V",AW125*(1+$BD$2),$AP125="Monthly F",12,$AP125="One-Time",0),AW125*(1+$BD$2))</f>
        <v>60000</v>
      </c>
      <c r="AY125" s="14" cm="1">
        <f t="array" ref="AY125">IFERROR(_xlfn.IFS(VALUE(MID(AY$5,6,1))&gt;$D$2,0,$AP125="Annual",1,AX125=12,12,$AP125="Monthly V",AX125*(1+$D$3),$AP125="Monthly F",12,$AP125="One-Time",0),AX125*(1+$D$3))</f>
        <v>0</v>
      </c>
      <c r="AZ125" s="14" cm="1">
        <f t="array" ref="AZ125">IFERROR(_xlfn.IFS(VALUE(MID(AZ$5,6,1))&gt;$D$2,0,$AP125="Annual",1,AY125=12,12,$AP125="Monthly V",AY125*(1+$D$3),$AP125="Monthly F",12,$AP125="One-Time",0),AY125*(1+$D$3))</f>
        <v>0</v>
      </c>
      <c r="BA125" s="125" cm="1">
        <f t="array" ref="BA125">IFERROR(_xlfn.IFS(VALUE(MID(BA$5,6,2))&gt;$D$2,0,$AP125="Annual",1,AZ125=12,12,$AP125="Monthly V",AZ125*(1+$D$3),$AP125="Monthly F",12,$AP125="One-Time",0),AZ125*(1+$D$3))</f>
        <v>0</v>
      </c>
      <c r="BB125" s="124" t="s">
        <v>251</v>
      </c>
      <c r="BC125" s="38" t="s">
        <v>274</v>
      </c>
      <c r="BD125" s="36">
        <v>0.2273</v>
      </c>
      <c r="BE125" s="21">
        <f t="shared" si="620"/>
        <v>1136.5</v>
      </c>
      <c r="BF125" s="39">
        <f t="shared" si="621"/>
        <v>13638</v>
      </c>
      <c r="BG125" s="39">
        <f t="shared" si="621"/>
        <v>13638</v>
      </c>
      <c r="BH125" s="39">
        <f t="shared" si="621"/>
        <v>13638</v>
      </c>
      <c r="BI125" s="39">
        <f t="shared" si="622"/>
        <v>14047.140000000001</v>
      </c>
      <c r="BJ125" s="39">
        <f t="shared" ref="BJ125:BL125" si="652">BI125*1.03</f>
        <v>14468.554200000002</v>
      </c>
      <c r="BK125" s="39">
        <f t="shared" si="652"/>
        <v>14902.610826000002</v>
      </c>
      <c r="BL125" s="39">
        <f t="shared" si="652"/>
        <v>15349.689150780003</v>
      </c>
      <c r="BM125" s="39">
        <f t="shared" si="621"/>
        <v>0</v>
      </c>
      <c r="BN125" s="39">
        <f t="shared" si="621"/>
        <v>0</v>
      </c>
      <c r="BO125" s="39">
        <f t="shared" si="621"/>
        <v>0</v>
      </c>
      <c r="BP125" s="40"/>
      <c r="BQ125" s="40">
        <f t="shared" si="624"/>
        <v>409.14000000000038</v>
      </c>
      <c r="BR125" s="40">
        <f t="shared" si="625"/>
        <v>830.55419999999935</v>
      </c>
      <c r="BS125" s="40">
        <f t="shared" si="626"/>
        <v>1302.5491507800002</v>
      </c>
      <c r="BT125" s="40">
        <f t="shared" si="627"/>
        <v>1815.9310200625011</v>
      </c>
      <c r="BU125" s="40">
        <f t="shared" si="628"/>
        <v>2373.5995439643066</v>
      </c>
      <c r="BV125" s="40">
        <f t="shared" si="629"/>
        <v>2978.6424307151337</v>
      </c>
      <c r="BW125" s="40">
        <f t="shared" si="630"/>
        <v>0</v>
      </c>
      <c r="BX125" s="40">
        <f t="shared" si="631"/>
        <v>0</v>
      </c>
      <c r="BY125" s="40">
        <f t="shared" si="632"/>
        <v>0</v>
      </c>
      <c r="BZ125" s="40">
        <f t="shared" si="633"/>
        <v>9710.4163455219423</v>
      </c>
      <c r="CA125" s="37">
        <f t="shared" si="634"/>
        <v>109392.41052230194</v>
      </c>
      <c r="CC125" s="102"/>
      <c r="CD125" s="12"/>
      <c r="CE125" s="14">
        <f t="shared" si="635"/>
        <v>0</v>
      </c>
      <c r="CF125" s="14" cm="1">
        <f t="array" ref="CF125">IFERROR(_xlfn.IFS(VALUE(MID(CF$5,6,1))&gt;$D$2,0,$CC125="Annual",1,CE125=12,12,$CC125="Monthly V",CE125*(1+$D$3),$CC125="Monthly F",12,$CC125="One-Time",0),CE125*(1+$D$3))</f>
        <v>0</v>
      </c>
      <c r="CG125" s="14" cm="1">
        <f t="array" ref="CG125">IFERROR(_xlfn.IFS(VALUE(MID(CG$5,6,1))&gt;$D$2,0,$CC125="Annual",1,CF125=12,12,$CC125="Monthly V",CF125*(1+$D$3),$CC125="Monthly F",12,$CC125="One-Time",0),CF125*(1+$D$3))</f>
        <v>0</v>
      </c>
      <c r="CH125" s="14" cm="1">
        <f t="array" ref="CH125">IFERROR(_xlfn.IFS(VALUE(MID(CH$5,6,1))&gt;$D$2,0,$CC125="Annual",1,CG125=12,12,$CC125="Monthly V",CG125*(1+$D$3),$CC125="Monthly F",12,$CC125="One-Time",0),CG125*(1+$D$3))</f>
        <v>0</v>
      </c>
      <c r="CI125" s="14" cm="1">
        <f t="array" ref="CI125">IFERROR(_xlfn.IFS(VALUE(MID(CI$5,6,1))&gt;$D$2,0,$CC125="Annual",1,CH125=12,12,$CC125="Monthly V",CH125*(1+$D$3),$CC125="Monthly F",12,$CC125="One-Time",0),CH125*(1+$D$3))</f>
        <v>0</v>
      </c>
      <c r="CJ125" s="14" cm="1">
        <f t="array" ref="CJ125">IFERROR(_xlfn.IFS(VALUE(MID(CJ$5,6,1))&gt;$D$2,0,$CC125="Annual",1,CI125=12,12,$CC125="Monthly V",CI125*(1+$D$3),$CC125="Monthly F",12,$CC125="One-Time",0),CI125*(1+$D$3))</f>
        <v>0</v>
      </c>
      <c r="CK125" s="14" cm="1">
        <f t="array" ref="CK125">IFERROR(_xlfn.IFS(VALUE(MID(CK$5,6,1))&gt;$D$2,0,$CC125="Annual",1,CJ125=12,12,$CC125="Monthly V",CJ125*(1+$D$3),$CC125="Monthly F",12,$CC125="One-Time",0),CJ125*(1+$D$3))</f>
        <v>0</v>
      </c>
      <c r="CL125" s="14" cm="1">
        <f t="array" ref="CL125">IFERROR(_xlfn.IFS(VALUE(MID(CL$5,6,1))&gt;$D$2,0,$CC125="Annual",1,CK125=12,12,$CC125="Monthly V",CK125*(1+$D$3),$CC125="Monthly F",12,$CC125="One-Time",0),CK125*(1+$D$3))</f>
        <v>0</v>
      </c>
      <c r="CM125" s="14" cm="1">
        <f t="array" ref="CM125">IFERROR(_xlfn.IFS(VALUE(MID(CM$5,6,1))&gt;$D$2,0,$CC125="Annual",1,CL125=12,12,$CC125="Monthly V",CL125*(1+$D$3),$CC125="Monthly F",12,$CC125="One-Time",0),CL125*(1+$D$3))</f>
        <v>0</v>
      </c>
      <c r="CN125" s="24" cm="1">
        <f t="array" ref="CN125">IFERROR(_xlfn.IFS(VALUE(MID(CN$5,6,2))&gt;$D$2,0,$CC125="Annual",1,CM125=12,12,$CC125="Monthly V",CM125*(1+$D$3),$CC125="Monthly F",12,$CC125="One-Time",0),CM125*(1+$D$3))</f>
        <v>0</v>
      </c>
      <c r="CO125" s="63"/>
      <c r="CP125" s="53"/>
      <c r="CQ125" s="21">
        <f t="shared" si="636"/>
        <v>0</v>
      </c>
      <c r="CR125" s="55">
        <f t="shared" si="637"/>
        <v>0</v>
      </c>
      <c r="CS125" s="55">
        <f t="shared" si="637"/>
        <v>0</v>
      </c>
      <c r="CT125" s="55">
        <f t="shared" si="637"/>
        <v>0</v>
      </c>
      <c r="CU125" s="55">
        <f t="shared" si="637"/>
        <v>0</v>
      </c>
      <c r="CV125" s="55">
        <f t="shared" si="637"/>
        <v>0</v>
      </c>
      <c r="CW125" s="55">
        <f t="shared" si="637"/>
        <v>0</v>
      </c>
      <c r="CX125" s="55">
        <f t="shared" si="637"/>
        <v>0</v>
      </c>
      <c r="CY125" s="55">
        <f t="shared" si="637"/>
        <v>0</v>
      </c>
      <c r="CZ125" s="55">
        <f t="shared" si="637"/>
        <v>0</v>
      </c>
      <c r="DA125" s="55">
        <f t="shared" si="637"/>
        <v>0</v>
      </c>
      <c r="DB125" s="56"/>
      <c r="DC125" s="56">
        <f t="shared" si="638"/>
        <v>0</v>
      </c>
      <c r="DD125" s="56">
        <f t="shared" si="639"/>
        <v>0</v>
      </c>
      <c r="DE125" s="56">
        <f t="shared" si="640"/>
        <v>0</v>
      </c>
      <c r="DF125" s="56">
        <f t="shared" si="641"/>
        <v>0</v>
      </c>
      <c r="DG125" s="56">
        <f t="shared" si="642"/>
        <v>0</v>
      </c>
      <c r="DH125" s="56">
        <f t="shared" si="643"/>
        <v>0</v>
      </c>
      <c r="DI125" s="56">
        <f t="shared" si="644"/>
        <v>0</v>
      </c>
      <c r="DJ125" s="56">
        <f t="shared" si="645"/>
        <v>0</v>
      </c>
      <c r="DK125" s="56">
        <f t="shared" si="646"/>
        <v>0</v>
      </c>
      <c r="DL125" s="57">
        <f t="shared" si="647"/>
        <v>0</v>
      </c>
      <c r="DM125" s="54">
        <f t="shared" si="648"/>
        <v>0</v>
      </c>
      <c r="DO125" s="106"/>
    </row>
    <row r="126" spans="2:119" x14ac:dyDescent="0.25">
      <c r="B126" s="141" t="s">
        <v>0</v>
      </c>
      <c r="C126" s="24">
        <v>1</v>
      </c>
      <c r="D126" s="147">
        <f t="shared" si="605"/>
        <v>1</v>
      </c>
      <c r="E126" s="142">
        <f t="shared" si="606"/>
        <v>12</v>
      </c>
      <c r="F126" s="14" cm="1">
        <f t="array" ref="F126">IFERROR(_xlfn.IFS(VALUE(MID(F$5,6,1))&gt;$D$2,0,$B126="Annual",1,E126=12,12,$B126="Monthly V",E126*(1+$D$3),$B126="Monthly F",12,$B126="One-Time",0),E126*(1+$D$3))</f>
        <v>12</v>
      </c>
      <c r="G126" s="14"/>
      <c r="H126" s="14"/>
      <c r="I126" s="14"/>
      <c r="J126" s="14"/>
      <c r="K126" s="14"/>
      <c r="L126" s="14" cm="1">
        <f t="array" ref="L126">IFERROR(_xlfn.IFS(VALUE(MID(L$5,6,1))&gt;$D$2,0,$B126="Annual",1,K126=12,12,$B126="Monthly V",K126*(1+$D$3),$B126="Monthly F",12,$B126="One-Time",0),K126*(1+$D$3))</f>
        <v>0</v>
      </c>
      <c r="M126" s="14" cm="1">
        <f t="array" ref="M126">IFERROR(_xlfn.IFS(VALUE(MID(M$5,6,1))&gt;$D$2,0,$B126="Annual",1,L126=12,12,$B126="Monthly V",L126*(1+$D$3),$B126="Monthly F",12,$B126="One-Time",0),L126*(1+$D$3))</f>
        <v>0</v>
      </c>
      <c r="N126" s="24" cm="1">
        <f t="array" ref="N126">IFERROR(_xlfn.IFS(VALUE(MID(N$5,6,2))&gt;$D$2,0,$B126="Annual",1,M126=12,12,$B126="Monthly V",M126*(1+$D$3),$B126="Monthly F",12,$B126="One-Time",0),M126*(1+$D$3))</f>
        <v>0</v>
      </c>
      <c r="O126" s="127" t="s">
        <v>342</v>
      </c>
      <c r="P126" s="13" t="s">
        <v>341</v>
      </c>
      <c r="Q126" s="20">
        <v>15000</v>
      </c>
      <c r="R126" s="21">
        <f t="shared" si="607"/>
        <v>15000</v>
      </c>
      <c r="S126" s="6">
        <f t="shared" si="608"/>
        <v>180000</v>
      </c>
      <c r="T126" s="6">
        <f t="shared" si="608"/>
        <v>180000</v>
      </c>
      <c r="U126" s="6">
        <f t="shared" si="608"/>
        <v>0</v>
      </c>
      <c r="V126" s="6">
        <f t="shared" si="608"/>
        <v>0</v>
      </c>
      <c r="W126" s="6">
        <f t="shared" si="608"/>
        <v>0</v>
      </c>
      <c r="X126" s="6">
        <f t="shared" si="608"/>
        <v>0</v>
      </c>
      <c r="Y126" s="6">
        <f t="shared" si="608"/>
        <v>0</v>
      </c>
      <c r="Z126" s="6">
        <f t="shared" si="608"/>
        <v>0</v>
      </c>
      <c r="AA126" s="6">
        <f t="shared" si="608"/>
        <v>0</v>
      </c>
      <c r="AB126" s="6">
        <f t="shared" si="608"/>
        <v>0</v>
      </c>
      <c r="AC126" s="7"/>
      <c r="AD126" s="152">
        <f t="shared" si="609"/>
        <v>5400.0000000000045</v>
      </c>
      <c r="AE126" s="152">
        <f t="shared" si="610"/>
        <v>0</v>
      </c>
      <c r="AF126" s="152">
        <f t="shared" si="611"/>
        <v>0</v>
      </c>
      <c r="AG126" s="152">
        <f t="shared" si="612"/>
        <v>0</v>
      </c>
      <c r="AH126" s="152">
        <f t="shared" si="613"/>
        <v>0</v>
      </c>
      <c r="AI126" s="152">
        <f t="shared" si="614"/>
        <v>0</v>
      </c>
      <c r="AJ126" s="152">
        <f t="shared" si="615"/>
        <v>0</v>
      </c>
      <c r="AK126" s="152">
        <f t="shared" si="616"/>
        <v>0</v>
      </c>
      <c r="AL126" s="152">
        <f t="shared" si="617"/>
        <v>0</v>
      </c>
      <c r="AM126" s="9">
        <f t="shared" si="618"/>
        <v>5400.0000000000045</v>
      </c>
      <c r="AN126" s="80">
        <f t="shared" si="619"/>
        <v>365400</v>
      </c>
      <c r="AP126" s="102"/>
      <c r="AQ126" s="12"/>
      <c r="AR126" s="14"/>
      <c r="AS126" s="14"/>
      <c r="AT126" s="14"/>
      <c r="AU126" s="14"/>
      <c r="AV126" s="14"/>
      <c r="AW126" s="14"/>
      <c r="AX126" s="14"/>
      <c r="AY126" s="14"/>
      <c r="AZ126" s="14"/>
      <c r="BA126" s="125"/>
      <c r="BB126" s="148"/>
      <c r="BC126" s="38"/>
      <c r="BD126" s="36"/>
      <c r="BE126" s="21"/>
      <c r="BF126" s="39"/>
      <c r="BG126" s="39"/>
      <c r="BH126" s="39"/>
      <c r="BI126" s="39">
        <f t="shared" si="622"/>
        <v>0</v>
      </c>
      <c r="BJ126" s="39">
        <f t="shared" ref="BJ126:BL126" si="653">BI126*1.03</f>
        <v>0</v>
      </c>
      <c r="BK126" s="39">
        <f t="shared" si="653"/>
        <v>0</v>
      </c>
      <c r="BL126" s="39">
        <f t="shared" si="653"/>
        <v>0</v>
      </c>
      <c r="BM126" s="39"/>
      <c r="BN126" s="39"/>
      <c r="BO126" s="39"/>
      <c r="BP126" s="40"/>
      <c r="BQ126" s="40"/>
      <c r="BR126" s="40"/>
      <c r="BS126" s="40"/>
      <c r="BT126" s="40"/>
      <c r="BU126" s="40"/>
      <c r="BV126" s="40"/>
      <c r="BW126" s="40"/>
      <c r="BX126" s="40"/>
      <c r="BY126" s="40"/>
      <c r="BZ126" s="40"/>
      <c r="CA126" s="37"/>
      <c r="CC126" s="102"/>
      <c r="CD126" s="12"/>
      <c r="CE126" s="14">
        <f t="shared" si="635"/>
        <v>0</v>
      </c>
      <c r="CF126" s="14" cm="1">
        <f t="array" ref="CF126">IFERROR(_xlfn.IFS(VALUE(MID(CF$5,6,1))&gt;$D$2,0,$CC126="Annual",1,CE126=12,12,$CC126="Monthly V",CE126*(1+$D$3),$CC126="Monthly F",12,$CC126="One-Time",0),CE126*(1+$D$3))</f>
        <v>0</v>
      </c>
      <c r="CG126" s="14" cm="1">
        <f t="array" ref="CG126">IFERROR(_xlfn.IFS(VALUE(MID(CG$5,6,1))&gt;$D$2,0,$CC126="Annual",1,CF126=12,12,$CC126="Monthly V",CF126*(1+$D$3),$CC126="Monthly F",12,$CC126="One-Time",0),CF126*(1+$D$3))</f>
        <v>0</v>
      </c>
      <c r="CH126" s="14" cm="1">
        <f t="array" ref="CH126">IFERROR(_xlfn.IFS(VALUE(MID(CH$5,6,1))&gt;$D$2,0,$CC126="Annual",1,CG126=12,12,$CC126="Monthly V",CG126*(1+$D$3),$CC126="Monthly F",12,$CC126="One-Time",0),CG126*(1+$D$3))</f>
        <v>0</v>
      </c>
      <c r="CI126" s="14" cm="1">
        <f t="array" ref="CI126">IFERROR(_xlfn.IFS(VALUE(MID(CI$5,6,1))&gt;$D$2,0,$CC126="Annual",1,CH126=12,12,$CC126="Monthly V",CH126*(1+$D$3),$CC126="Monthly F",12,$CC126="One-Time",0),CH126*(1+$D$3))</f>
        <v>0</v>
      </c>
      <c r="CJ126" s="14" cm="1">
        <f t="array" ref="CJ126">IFERROR(_xlfn.IFS(VALUE(MID(CJ$5,6,1))&gt;$D$2,0,$CC126="Annual",1,CI126=12,12,$CC126="Monthly V",CI126*(1+$D$3),$CC126="Monthly F",12,$CC126="One-Time",0),CI126*(1+$D$3))</f>
        <v>0</v>
      </c>
      <c r="CK126" s="14" cm="1">
        <f t="array" ref="CK126">IFERROR(_xlfn.IFS(VALUE(MID(CK$5,6,1))&gt;$D$2,0,$CC126="Annual",1,CJ126=12,12,$CC126="Monthly V",CJ126*(1+$D$3),$CC126="Monthly F",12,$CC126="One-Time",0),CJ126*(1+$D$3))</f>
        <v>0</v>
      </c>
      <c r="CL126" s="14" cm="1">
        <f t="array" ref="CL126">IFERROR(_xlfn.IFS(VALUE(MID(CL$5,6,1))&gt;$D$2,0,$CC126="Annual",1,CK126=12,12,$CC126="Monthly V",CK126*(1+$D$3),$CC126="Monthly F",12,$CC126="One-Time",0),CK126*(1+$D$3))</f>
        <v>0</v>
      </c>
      <c r="CM126" s="14" cm="1">
        <f t="array" ref="CM126">IFERROR(_xlfn.IFS(VALUE(MID(CM$5,6,1))&gt;$D$2,0,$CC126="Annual",1,CL126=12,12,$CC126="Monthly V",CL126*(1+$D$3),$CC126="Monthly F",12,$CC126="One-Time",0),CL126*(1+$D$3))</f>
        <v>0</v>
      </c>
      <c r="CN126" s="24" cm="1">
        <f t="array" ref="CN126">IFERROR(_xlfn.IFS(VALUE(MID(CN$5,6,2))&gt;$D$2,0,$CC126="Annual",1,CM126=12,12,$CC126="Monthly V",CM126*(1+$D$3),$CC126="Monthly F",12,$CC126="One-Time",0),CM126*(1+$D$3))</f>
        <v>0</v>
      </c>
      <c r="CO126" s="63"/>
      <c r="CP126" s="53"/>
      <c r="CQ126" s="21">
        <f t="shared" si="636"/>
        <v>0</v>
      </c>
      <c r="CR126" s="55">
        <f t="shared" si="637"/>
        <v>0</v>
      </c>
      <c r="CS126" s="55">
        <f t="shared" si="637"/>
        <v>0</v>
      </c>
      <c r="CT126" s="55">
        <f t="shared" si="637"/>
        <v>0</v>
      </c>
      <c r="CU126" s="55">
        <f t="shared" si="637"/>
        <v>0</v>
      </c>
      <c r="CV126" s="55">
        <f t="shared" si="637"/>
        <v>0</v>
      </c>
      <c r="CW126" s="55">
        <f t="shared" si="637"/>
        <v>0</v>
      </c>
      <c r="CX126" s="55">
        <f t="shared" si="637"/>
        <v>0</v>
      </c>
      <c r="CY126" s="55">
        <f t="shared" si="637"/>
        <v>0</v>
      </c>
      <c r="CZ126" s="55">
        <f t="shared" si="637"/>
        <v>0</v>
      </c>
      <c r="DA126" s="55">
        <f t="shared" si="637"/>
        <v>0</v>
      </c>
      <c r="DB126" s="56"/>
      <c r="DC126" s="56">
        <f t="shared" si="638"/>
        <v>0</v>
      </c>
      <c r="DD126" s="56">
        <f t="shared" si="639"/>
        <v>0</v>
      </c>
      <c r="DE126" s="56">
        <f t="shared" si="640"/>
        <v>0</v>
      </c>
      <c r="DF126" s="56">
        <f t="shared" si="641"/>
        <v>0</v>
      </c>
      <c r="DG126" s="56">
        <f t="shared" si="642"/>
        <v>0</v>
      </c>
      <c r="DH126" s="56">
        <f t="shared" si="643"/>
        <v>0</v>
      </c>
      <c r="DI126" s="56">
        <f t="shared" si="644"/>
        <v>0</v>
      </c>
      <c r="DJ126" s="56">
        <f t="shared" si="645"/>
        <v>0</v>
      </c>
      <c r="DK126" s="56">
        <f t="shared" si="646"/>
        <v>0</v>
      </c>
      <c r="DL126" s="57">
        <f t="shared" si="647"/>
        <v>0</v>
      </c>
      <c r="DM126" s="54">
        <f t="shared" si="648"/>
        <v>0</v>
      </c>
      <c r="DO126" s="106"/>
    </row>
    <row r="127" spans="2:119" x14ac:dyDescent="0.25">
      <c r="B127" s="141"/>
      <c r="C127" s="24"/>
      <c r="D127" s="147"/>
      <c r="E127" s="142"/>
      <c r="F127" s="14"/>
      <c r="G127" s="14"/>
      <c r="H127" s="14"/>
      <c r="I127" s="14"/>
      <c r="J127" s="14"/>
      <c r="K127" s="14"/>
      <c r="L127" s="14"/>
      <c r="M127" s="14"/>
      <c r="N127" s="24"/>
      <c r="O127" s="127"/>
      <c r="P127" s="13"/>
      <c r="Q127" s="20"/>
      <c r="R127" s="21"/>
      <c r="S127" s="6"/>
      <c r="T127" s="6"/>
      <c r="U127" s="6"/>
      <c r="V127" s="6"/>
      <c r="W127" s="6"/>
      <c r="X127" s="6"/>
      <c r="Y127" s="6"/>
      <c r="Z127" s="6"/>
      <c r="AA127" s="6"/>
      <c r="AB127" s="6"/>
      <c r="AC127" s="7"/>
      <c r="AD127" s="152"/>
      <c r="AE127" s="152"/>
      <c r="AF127" s="152"/>
      <c r="AG127" s="152"/>
      <c r="AH127" s="152"/>
      <c r="AI127" s="152"/>
      <c r="AJ127" s="152"/>
      <c r="AK127" s="152"/>
      <c r="AL127" s="152"/>
      <c r="AM127" s="9"/>
      <c r="AN127" s="80"/>
      <c r="AP127" s="102" t="s">
        <v>0</v>
      </c>
      <c r="AQ127" s="12">
        <v>1</v>
      </c>
      <c r="AR127" s="14">
        <f t="shared" si="649"/>
        <v>12</v>
      </c>
      <c r="AS127" s="14" cm="1">
        <f t="array" ref="AS127">IFERROR(_xlfn.IFS(VALUE(MID(AS$5,6,1))&gt;$D$2,0,$AP127="Annual",1,AR127=12,12,$AP127="Monthly V",AR127*(1+$BD$2),$AP127="Monthly F",12,$AP127="One-Time",0),AR127*(1+$BD$2))</f>
        <v>12</v>
      </c>
      <c r="AT127" s="14" cm="1">
        <f t="array" ref="AT127">IFERROR(_xlfn.IFS(VALUE(MID(AT$5,6,1))&gt;$D$2,0,$AP127="Annual",1,AS127=12,12,$AP127="Monthly V",AS127*(1+$BD$2),$AP127="Monthly F",12,$AP127="One-Time",0),AS127*(1+$BD$2))</f>
        <v>12</v>
      </c>
      <c r="AU127" s="14" cm="1">
        <f t="array" ref="AU127">IFERROR(_xlfn.IFS(VALUE(MID(AU$5,6,1))&gt;$D$2,0,$AP127="Annual",1,AT127=12,12,$AP127="Monthly V",AT127*(1+$BD$2),$AP127="Monthly F",12,$AP127="One-Time",0),AT127*(1+$BD$2))</f>
        <v>12</v>
      </c>
      <c r="AV127" s="14" cm="1">
        <f t="array" ref="AV127">IFERROR(_xlfn.IFS(VALUE(MID(AV$5,6,1))&gt;$D$2,0,$AP127="Annual",1,AU127=12,12,$AP127="Monthly V",AU127*(1+$BD$2),$AP127="Monthly F",12,$AP127="One-Time",0),AU127*(1+$BD$2))</f>
        <v>12</v>
      </c>
      <c r="AW127" s="14" cm="1">
        <f t="array" ref="AW127">IFERROR(_xlfn.IFS(VALUE(MID(AW$5,6,1))&gt;$D$2,0,$AP127="Annual",1,AV127=12,12,$AP127="Monthly V",AV127*(1+$BD$2),$AP127="Monthly F",12,$AP127="One-Time",0),AV127*(1+$BD$2))</f>
        <v>12</v>
      </c>
      <c r="AX127" s="14" cm="1">
        <f t="array" ref="AX127">IFERROR(_xlfn.IFS(VALUE(MID(AX$5,6,1))&gt;$D$2,0,$AP127="Annual",1,AW127=12,12,$AP127="Monthly V",AW127*(1+$BD$2),$AP127="Monthly F",12,$AP127="One-Time",0),AW127*(1+$BD$2))</f>
        <v>12</v>
      </c>
      <c r="AY127" s="14" cm="1">
        <f t="array" ref="AY127">IFERROR(_xlfn.IFS(VALUE(MID(AY$5,6,1))&gt;$D$2,0,$AP127="Annual",1,AX127=12,12,$AP127="Monthly V",AX127*(1+$D$3),$AP127="Monthly F",12,$AP127="One-Time",0),AX127*(1+$D$3))</f>
        <v>0</v>
      </c>
      <c r="AZ127" s="14" cm="1">
        <f t="array" ref="AZ127">IFERROR(_xlfn.IFS(VALUE(MID(AZ$5,6,1))&gt;$D$2,0,$AP127="Annual",1,AY127=12,12,$AP127="Monthly V",AY127*(1+$D$3),$AP127="Monthly F",12,$AP127="One-Time",0),AY127*(1+$D$3))</f>
        <v>0</v>
      </c>
      <c r="BA127" s="125" cm="1">
        <f t="array" ref="BA127">IFERROR(_xlfn.IFS(VALUE(MID(BA$5,6,2))&gt;$D$2,0,$AP127="Annual",1,AZ127=12,12,$AP127="Monthly V",AZ127*(1+$D$3),$AP127="Monthly F",12,$AP127="One-Time",0),AZ127*(1+$D$3))</f>
        <v>0</v>
      </c>
      <c r="BB127" s="124" t="s">
        <v>253</v>
      </c>
      <c r="BC127" s="38" t="s">
        <v>162</v>
      </c>
      <c r="BD127" s="36">
        <v>2000</v>
      </c>
      <c r="BE127" s="21">
        <f t="shared" ref="BE127:BE129" si="654">BF127/12</f>
        <v>2000</v>
      </c>
      <c r="BF127" s="39">
        <f t="shared" ref="BF127:BF129" si="655">IFERROR(AR127*$BD127,0)</f>
        <v>24000</v>
      </c>
      <c r="BG127" s="39">
        <f t="shared" ref="BG127:BG129" si="656">IFERROR(AS127*$BD127,0)</f>
        <v>24000</v>
      </c>
      <c r="BH127" s="39">
        <f t="shared" ref="BH127:BH129" si="657">IFERROR(AT127*$BD127,0)</f>
        <v>24000</v>
      </c>
      <c r="BI127" s="39">
        <f t="shared" si="622"/>
        <v>24720</v>
      </c>
      <c r="BJ127" s="39">
        <f t="shared" ref="BJ127:BL127" si="658">BI127*1.03</f>
        <v>25461.600000000002</v>
      </c>
      <c r="BK127" s="39">
        <f t="shared" si="658"/>
        <v>26225.448000000004</v>
      </c>
      <c r="BL127" s="39">
        <f t="shared" si="658"/>
        <v>27012.211440000006</v>
      </c>
      <c r="BM127" s="39">
        <f t="shared" ref="BM127:BM129" si="659">IFERROR(AY127*$BD127,0)</f>
        <v>0</v>
      </c>
      <c r="BN127" s="39">
        <f t="shared" ref="BN127:BN129" si="660">IFERROR(AZ127*$BD127,0)</f>
        <v>0</v>
      </c>
      <c r="BO127" s="39">
        <f t="shared" ref="BO127:BO129" si="661">IFERROR(BA127*$BD127,0)</f>
        <v>0</v>
      </c>
      <c r="BP127" s="40"/>
      <c r="BQ127" s="40">
        <f t="shared" ref="BQ127:BQ129" si="662">IF(VALUE(MID(BQ$5,6,1))&lt;=$D$2,((1+$BD$3)^1-1)*BG127,0)</f>
        <v>720.00000000000068</v>
      </c>
      <c r="BR127" s="40">
        <f t="shared" ref="BR127:BR129" si="663">IF(VALUE(MID(BR$5,6,1))&lt;=$D$2,((1+$BD$3)^2-1)*BH127,0)</f>
        <v>1461.599999999999</v>
      </c>
      <c r="BS127" s="40">
        <f t="shared" ref="BS127:BS129" si="664">IF(VALUE(MID(BS$5,6,1))&lt;=$D$2,((1+$BD$3)^3-1)*BI127,0)</f>
        <v>2292.21144</v>
      </c>
      <c r="BT127" s="40">
        <f t="shared" ref="BT127:BT129" si="665">IF(VALUE(MID(BT$5,6,1))&lt;=$D$2,((1+$BD$3)^4-1)*BJ127,0)</f>
        <v>3195.655116695998</v>
      </c>
      <c r="BU127" s="40">
        <f t="shared" ref="BU127:BU129" si="666">IF(VALUE(MID(BU$5,6,1))&lt;=$D$2,((1+$BD$3)^5-1)*BK127,0)</f>
        <v>4177.0339533027827</v>
      </c>
      <c r="BV127" s="40">
        <f t="shared" ref="BV127:BV129" si="667">IF(VALUE(MID(BV$5,6,1))&lt;=$D$2,((1+$BD$3)^6-1)*BL127,0)</f>
        <v>5241.781664258925</v>
      </c>
      <c r="BW127" s="40">
        <f t="shared" ref="BW127:BW129" si="668">IF(VALUE(MID(BW$5,6,1))&lt;=$D$2,((1+$BD$3)^7-1)*BM127,0)</f>
        <v>0</v>
      </c>
      <c r="BX127" s="40">
        <f t="shared" ref="BX127:BX129" si="669">IF(VALUE(MID(BX$5,6,1))&lt;=$D$2,((1+$BD$3)^8-1)*BN127,0)</f>
        <v>0</v>
      </c>
      <c r="BY127" s="40">
        <f t="shared" ref="BY127:BY129" si="670">IF(VALUE(MID(BY$5,6,2))&lt;=$D$2,((1+$BD$3)^9-1)*BO127,0)</f>
        <v>0</v>
      </c>
      <c r="BZ127" s="40">
        <f t="shared" ref="BZ127:BZ129" si="671">SUM(BP127:BY127)</f>
        <v>17088.282174257703</v>
      </c>
      <c r="CA127" s="37">
        <f t="shared" ref="CA127:CA129" si="672">SUM(BZ127,BF127:BO127)</f>
        <v>192507.54161425773</v>
      </c>
      <c r="CC127" s="102"/>
      <c r="CD127" s="12"/>
      <c r="CE127" s="14"/>
      <c r="CF127" s="14"/>
      <c r="CG127" s="14"/>
      <c r="CH127" s="14"/>
      <c r="CI127" s="14"/>
      <c r="CJ127" s="14"/>
      <c r="CK127" s="14"/>
      <c r="CL127" s="14"/>
      <c r="CM127" s="14"/>
      <c r="CN127" s="24"/>
      <c r="CO127" s="63"/>
      <c r="CP127" s="53"/>
      <c r="CQ127" s="21"/>
      <c r="CR127" s="55"/>
      <c r="CS127" s="55"/>
      <c r="CT127" s="55"/>
      <c r="CU127" s="55"/>
      <c r="CV127" s="55"/>
      <c r="CW127" s="55"/>
      <c r="CX127" s="55"/>
      <c r="CY127" s="55"/>
      <c r="CZ127" s="55"/>
      <c r="DA127" s="55"/>
      <c r="DB127" s="56"/>
      <c r="DC127" s="56"/>
      <c r="DD127" s="56"/>
      <c r="DE127" s="56"/>
      <c r="DF127" s="56"/>
      <c r="DG127" s="56"/>
      <c r="DH127" s="56"/>
      <c r="DI127" s="56"/>
      <c r="DJ127" s="56"/>
      <c r="DK127" s="56"/>
      <c r="DL127" s="57"/>
      <c r="DM127" s="54"/>
      <c r="DO127" s="106"/>
    </row>
    <row r="128" spans="2:119" x14ac:dyDescent="0.25">
      <c r="B128" s="141"/>
      <c r="C128" s="24"/>
      <c r="D128" s="147"/>
      <c r="E128" s="142"/>
      <c r="F128" s="14"/>
      <c r="G128" s="14"/>
      <c r="H128" s="14"/>
      <c r="I128" s="14"/>
      <c r="J128" s="14"/>
      <c r="K128" s="14"/>
      <c r="L128" s="14"/>
      <c r="M128" s="14"/>
      <c r="N128" s="24"/>
      <c r="O128" s="127"/>
      <c r="P128" s="13"/>
      <c r="Q128" s="20"/>
      <c r="R128" s="21"/>
      <c r="S128" s="6"/>
      <c r="T128" s="6"/>
      <c r="U128" s="6"/>
      <c r="V128" s="6"/>
      <c r="W128" s="6"/>
      <c r="X128" s="6"/>
      <c r="Y128" s="6"/>
      <c r="Z128" s="6"/>
      <c r="AA128" s="6"/>
      <c r="AB128" s="6"/>
      <c r="AC128" s="7"/>
      <c r="AD128" s="152"/>
      <c r="AE128" s="152"/>
      <c r="AF128" s="152"/>
      <c r="AG128" s="152"/>
      <c r="AH128" s="152"/>
      <c r="AI128" s="152"/>
      <c r="AJ128" s="152"/>
      <c r="AK128" s="152"/>
      <c r="AL128" s="152"/>
      <c r="AM128" s="9"/>
      <c r="AN128" s="80"/>
      <c r="AP128" s="102" t="s">
        <v>0</v>
      </c>
      <c r="AQ128" s="12">
        <v>1</v>
      </c>
      <c r="AR128" s="14">
        <f t="shared" si="649"/>
        <v>12</v>
      </c>
      <c r="AS128" s="14" cm="1">
        <f t="array" ref="AS128">IFERROR(_xlfn.IFS(VALUE(MID(AS$5,6,1))&gt;$D$2,0,$AP128="Annual",1,AR128=12,12,$AP128="Monthly V",AR128*(1+$BD$2),$AP128="Monthly F",12,$AP128="One-Time",0),AR128*(1+$BD$2))</f>
        <v>12</v>
      </c>
      <c r="AT128" s="14" cm="1">
        <f t="array" ref="AT128">IFERROR(_xlfn.IFS(VALUE(MID(AT$5,6,1))&gt;$D$2,0,$AP128="Annual",1,AS128=12,12,$AP128="Monthly V",AS128*(1+$BD$2),$AP128="Monthly F",12,$AP128="One-Time",0),AS128*(1+$BD$2))</f>
        <v>12</v>
      </c>
      <c r="AU128" s="14" cm="1">
        <f t="array" ref="AU128">IFERROR(_xlfn.IFS(VALUE(MID(AU$5,6,1))&gt;$D$2,0,$AP128="Annual",1,AT128=12,12,$AP128="Monthly V",AT128*(1+$BD$2),$AP128="Monthly F",12,$AP128="One-Time",0),AT128*(1+$BD$2))</f>
        <v>12</v>
      </c>
      <c r="AV128" s="14" cm="1">
        <f t="array" ref="AV128">IFERROR(_xlfn.IFS(VALUE(MID(AV$5,6,1))&gt;$D$2,0,$AP128="Annual",1,AU128=12,12,$AP128="Monthly V",AU128*(1+$BD$2),$AP128="Monthly F",12,$AP128="One-Time",0),AU128*(1+$BD$2))</f>
        <v>12</v>
      </c>
      <c r="AW128" s="14" cm="1">
        <f t="array" ref="AW128">IFERROR(_xlfn.IFS(VALUE(MID(AW$5,6,1))&gt;$D$2,0,$AP128="Annual",1,AV128=12,12,$AP128="Monthly V",AV128*(1+$BD$2),$AP128="Monthly F",12,$AP128="One-Time",0),AV128*(1+$BD$2))</f>
        <v>12</v>
      </c>
      <c r="AX128" s="14" cm="1">
        <f t="array" ref="AX128">IFERROR(_xlfn.IFS(VALUE(MID(AX$5,6,1))&gt;$D$2,0,$AP128="Annual",1,AW128=12,12,$AP128="Monthly V",AW128*(1+$BD$2),$AP128="Monthly F",12,$AP128="One-Time",0),AW128*(1+$BD$2))</f>
        <v>12</v>
      </c>
      <c r="AY128" s="14" cm="1">
        <f t="array" ref="AY128">IFERROR(_xlfn.IFS(VALUE(MID(AY$5,6,1))&gt;$D$2,0,$AP128="Annual",1,AX128=12,12,$AP128="Monthly V",AX128*(1+$D$3),$AP128="Monthly F",12,$AP128="One-Time",0),AX128*(1+$D$3))</f>
        <v>0</v>
      </c>
      <c r="AZ128" s="14" cm="1">
        <f t="array" ref="AZ128">IFERROR(_xlfn.IFS(VALUE(MID(AZ$5,6,1))&gt;$D$2,0,$AP128="Annual",1,AY128=12,12,$AP128="Monthly V",AY128*(1+$D$3),$AP128="Monthly F",12,$AP128="One-Time",0),AY128*(1+$D$3))</f>
        <v>0</v>
      </c>
      <c r="BA128" s="125" cm="1">
        <f t="array" ref="BA128">IFERROR(_xlfn.IFS(VALUE(MID(BA$5,6,2))&gt;$D$2,0,$AP128="Annual",1,AZ128=12,12,$AP128="Monthly V",AZ128*(1+$D$3),$AP128="Monthly F",12,$AP128="One-Time",0),AZ128*(1+$D$3))</f>
        <v>0</v>
      </c>
      <c r="BB128" s="124" t="s">
        <v>254</v>
      </c>
      <c r="BC128" s="38" t="s">
        <v>165</v>
      </c>
      <c r="BD128" s="36">
        <v>500</v>
      </c>
      <c r="BE128" s="21">
        <f t="shared" si="654"/>
        <v>500</v>
      </c>
      <c r="BF128" s="39">
        <f t="shared" si="655"/>
        <v>6000</v>
      </c>
      <c r="BG128" s="39">
        <f t="shared" si="656"/>
        <v>6000</v>
      </c>
      <c r="BH128" s="39">
        <f t="shared" si="657"/>
        <v>6000</v>
      </c>
      <c r="BI128" s="39">
        <f t="shared" si="622"/>
        <v>6180</v>
      </c>
      <c r="BJ128" s="39">
        <f t="shared" ref="BJ128:BL128" si="673">BI128*1.03</f>
        <v>6365.4000000000005</v>
      </c>
      <c r="BK128" s="39">
        <f t="shared" si="673"/>
        <v>6556.362000000001</v>
      </c>
      <c r="BL128" s="39">
        <f t="shared" si="673"/>
        <v>6753.0528600000016</v>
      </c>
      <c r="BM128" s="39">
        <f t="shared" si="659"/>
        <v>0</v>
      </c>
      <c r="BN128" s="39">
        <f t="shared" si="660"/>
        <v>0</v>
      </c>
      <c r="BO128" s="39">
        <f t="shared" si="661"/>
        <v>0</v>
      </c>
      <c r="BP128" s="40"/>
      <c r="BQ128" s="40">
        <f t="shared" si="662"/>
        <v>180.00000000000017</v>
      </c>
      <c r="BR128" s="40">
        <f t="shared" si="663"/>
        <v>365.39999999999975</v>
      </c>
      <c r="BS128" s="40">
        <f t="shared" si="664"/>
        <v>573.05286000000001</v>
      </c>
      <c r="BT128" s="40">
        <f t="shared" si="665"/>
        <v>798.9137791739995</v>
      </c>
      <c r="BU128" s="40">
        <f t="shared" si="666"/>
        <v>1044.2584883256957</v>
      </c>
      <c r="BV128" s="40">
        <f t="shared" si="667"/>
        <v>1310.4454160647313</v>
      </c>
      <c r="BW128" s="40">
        <f t="shared" si="668"/>
        <v>0</v>
      </c>
      <c r="BX128" s="40">
        <f t="shared" si="669"/>
        <v>0</v>
      </c>
      <c r="BY128" s="40">
        <f t="shared" si="670"/>
        <v>0</v>
      </c>
      <c r="BZ128" s="40">
        <f t="shared" si="671"/>
        <v>4272.0705435644259</v>
      </c>
      <c r="CA128" s="37">
        <f t="shared" si="672"/>
        <v>48126.885403564433</v>
      </c>
      <c r="CC128" s="102"/>
      <c r="CD128" s="12"/>
      <c r="CE128" s="14"/>
      <c r="CF128" s="14"/>
      <c r="CG128" s="14"/>
      <c r="CH128" s="14"/>
      <c r="CI128" s="14"/>
      <c r="CJ128" s="14"/>
      <c r="CK128" s="14"/>
      <c r="CL128" s="14"/>
      <c r="CM128" s="14"/>
      <c r="CN128" s="24"/>
      <c r="CO128" s="63"/>
      <c r="CP128" s="53"/>
      <c r="CQ128" s="21"/>
      <c r="CR128" s="55"/>
      <c r="CS128" s="55"/>
      <c r="CT128" s="55"/>
      <c r="CU128" s="55"/>
      <c r="CV128" s="55"/>
      <c r="CW128" s="55"/>
      <c r="CX128" s="55"/>
      <c r="CY128" s="55"/>
      <c r="CZ128" s="55"/>
      <c r="DA128" s="55"/>
      <c r="DB128" s="56"/>
      <c r="DC128" s="56"/>
      <c r="DD128" s="56"/>
      <c r="DE128" s="56"/>
      <c r="DF128" s="56"/>
      <c r="DG128" s="56"/>
      <c r="DH128" s="56"/>
      <c r="DI128" s="56"/>
      <c r="DJ128" s="56"/>
      <c r="DK128" s="56"/>
      <c r="DL128" s="57"/>
      <c r="DM128" s="54"/>
      <c r="DO128" s="106"/>
    </row>
    <row r="129" spans="2:119" ht="15.75" thickBot="1" x14ac:dyDescent="0.3">
      <c r="B129" s="141"/>
      <c r="C129" s="24"/>
      <c r="D129" s="147"/>
      <c r="E129" s="142"/>
      <c r="F129" s="14"/>
      <c r="G129" s="14"/>
      <c r="H129" s="14"/>
      <c r="I129" s="14"/>
      <c r="J129" s="14"/>
      <c r="K129" s="14"/>
      <c r="L129" s="14"/>
      <c r="M129" s="14"/>
      <c r="N129" s="24"/>
      <c r="O129" s="127"/>
      <c r="P129" s="13"/>
      <c r="Q129" s="20"/>
      <c r="R129" s="21"/>
      <c r="S129" s="6"/>
      <c r="T129" s="6"/>
      <c r="U129" s="6"/>
      <c r="V129" s="6"/>
      <c r="W129" s="6"/>
      <c r="X129" s="6"/>
      <c r="Y129" s="6"/>
      <c r="Z129" s="6"/>
      <c r="AA129" s="6"/>
      <c r="AB129" s="6"/>
      <c r="AC129" s="7"/>
      <c r="AD129" s="152"/>
      <c r="AE129" s="152"/>
      <c r="AF129" s="152"/>
      <c r="AG129" s="152"/>
      <c r="AH129" s="152"/>
      <c r="AI129" s="152"/>
      <c r="AJ129" s="152"/>
      <c r="AK129" s="152"/>
      <c r="AL129" s="152"/>
      <c r="AM129" s="9"/>
      <c r="AN129" s="80"/>
      <c r="AP129" s="102" t="s">
        <v>1</v>
      </c>
      <c r="AQ129" s="12">
        <v>5000</v>
      </c>
      <c r="AR129" s="14">
        <f t="shared" si="649"/>
        <v>60000</v>
      </c>
      <c r="AS129" s="14" cm="1">
        <f t="array" ref="AS129">IFERROR(_xlfn.IFS(VALUE(MID(AS$5,6,1))&gt;$D$2,0,$AP129="Annual",1,AR129=12,12,$AP129="Monthly V",AR129*(1+$BD$2),$AP129="Monthly F",12,$AP129="One-Time",0),AR129*(1+$BD$2))</f>
        <v>60000</v>
      </c>
      <c r="AT129" s="14" cm="1">
        <f t="array" ref="AT129">IFERROR(_xlfn.IFS(VALUE(MID(AT$5,6,1))&gt;$D$2,0,$AP129="Annual",1,AS129=12,12,$AP129="Monthly V",AS129*(1+$BD$2),$AP129="Monthly F",12,$AP129="One-Time",0),AS129*(1+$BD$2))</f>
        <v>60000</v>
      </c>
      <c r="AU129" s="14" cm="1">
        <f t="array" ref="AU129">IFERROR(_xlfn.IFS(VALUE(MID(AU$5,6,1))&gt;$D$2,0,$AP129="Annual",1,AT129=12,12,$AP129="Monthly V",AT129*(1+$BD$2),$AP129="Monthly F",12,$AP129="One-Time",0),AT129*(1+$BD$2))</f>
        <v>60000</v>
      </c>
      <c r="AV129" s="14" cm="1">
        <f t="array" ref="AV129">IFERROR(_xlfn.IFS(VALUE(MID(AV$5,6,1))&gt;$D$2,0,$AP129="Annual",1,AU129=12,12,$AP129="Monthly V",AU129*(1+$BD$2),$AP129="Monthly F",12,$AP129="One-Time",0),AU129*(1+$BD$2))</f>
        <v>60000</v>
      </c>
      <c r="AW129" s="14" cm="1">
        <f t="array" ref="AW129">IFERROR(_xlfn.IFS(VALUE(MID(AW$5,6,1))&gt;$D$2,0,$AP129="Annual",1,AV129=12,12,$AP129="Monthly V",AV129*(1+$BD$2),$AP129="Monthly F",12,$AP129="One-Time",0),AV129*(1+$BD$2))</f>
        <v>60000</v>
      </c>
      <c r="AX129" s="14" cm="1">
        <f t="array" ref="AX129">IFERROR(_xlfn.IFS(VALUE(MID(AX$5,6,1))&gt;$D$2,0,$AP129="Annual",1,AW129=12,12,$AP129="Monthly V",AW129*(1+$BD$2),$AP129="Monthly F",12,$AP129="One-Time",0),AW129*(1+$BD$2))</f>
        <v>60000</v>
      </c>
      <c r="AY129" s="14" cm="1">
        <f t="array" ref="AY129">IFERROR(_xlfn.IFS(VALUE(MID(AY$5,6,1))&gt;$D$2,0,$AP129="Annual",1,AX129=12,12,$AP129="Monthly V",AX129*(1+$D$3),$AP129="Monthly F",12,$AP129="One-Time",0),AX129*(1+$D$3))</f>
        <v>0</v>
      </c>
      <c r="AZ129" s="14" cm="1">
        <f t="array" ref="AZ129">IFERROR(_xlfn.IFS(VALUE(MID(AZ$5,6,1))&gt;$D$2,0,$AP129="Annual",1,AY129=12,12,$AP129="Monthly V",AY129*(1+$D$3),$AP129="Monthly F",12,$AP129="One-Time",0),AY129*(1+$D$3))</f>
        <v>0</v>
      </c>
      <c r="BA129" s="125" cm="1">
        <f t="array" ref="BA129">IFERROR(_xlfn.IFS(VALUE(MID(BA$5,6,2))&gt;$D$2,0,$AP129="Annual",1,AZ129=12,12,$AP129="Monthly V",AZ129*(1+$D$3),$AP129="Monthly F",12,$AP129="One-Time",0),AZ129*(1+$D$3))</f>
        <v>0</v>
      </c>
      <c r="BB129" s="124" t="s">
        <v>255</v>
      </c>
      <c r="BC129" s="38" t="s">
        <v>247</v>
      </c>
      <c r="BD129" s="36">
        <v>4.0500000000000001E-2</v>
      </c>
      <c r="BE129" s="21">
        <f t="shared" si="654"/>
        <v>202.5</v>
      </c>
      <c r="BF129" s="39">
        <f t="shared" si="655"/>
        <v>2430</v>
      </c>
      <c r="BG129" s="39">
        <f t="shared" si="656"/>
        <v>2430</v>
      </c>
      <c r="BH129" s="39">
        <f t="shared" si="657"/>
        <v>2430</v>
      </c>
      <c r="BI129" s="39">
        <f t="shared" si="622"/>
        <v>2502.9</v>
      </c>
      <c r="BJ129" s="39">
        <f t="shared" ref="BJ129:BL129" si="674">BI129*1.03</f>
        <v>2577.9870000000001</v>
      </c>
      <c r="BK129" s="39">
        <f t="shared" si="674"/>
        <v>2655.3266100000001</v>
      </c>
      <c r="BL129" s="39">
        <f t="shared" si="674"/>
        <v>2734.9864083000002</v>
      </c>
      <c r="BM129" s="39">
        <f t="shared" si="659"/>
        <v>0</v>
      </c>
      <c r="BN129" s="39">
        <f t="shared" si="660"/>
        <v>0</v>
      </c>
      <c r="BO129" s="39">
        <f t="shared" si="661"/>
        <v>0</v>
      </c>
      <c r="BP129" s="40"/>
      <c r="BQ129" s="40">
        <f t="shared" si="662"/>
        <v>72.900000000000063</v>
      </c>
      <c r="BR129" s="40">
        <f t="shared" si="663"/>
        <v>147.98699999999988</v>
      </c>
      <c r="BS129" s="40">
        <f t="shared" si="664"/>
        <v>232.08640830000002</v>
      </c>
      <c r="BT129" s="40">
        <f t="shared" si="665"/>
        <v>323.56008056546978</v>
      </c>
      <c r="BU129" s="40">
        <f t="shared" si="666"/>
        <v>422.92468777190675</v>
      </c>
      <c r="BV129" s="40">
        <f t="shared" si="667"/>
        <v>530.73039350621605</v>
      </c>
      <c r="BW129" s="40">
        <f t="shared" si="668"/>
        <v>0</v>
      </c>
      <c r="BX129" s="40">
        <f t="shared" si="669"/>
        <v>0</v>
      </c>
      <c r="BY129" s="40">
        <f t="shared" si="670"/>
        <v>0</v>
      </c>
      <c r="BZ129" s="40">
        <f t="shared" si="671"/>
        <v>1730.1885701435926</v>
      </c>
      <c r="CA129" s="37">
        <f t="shared" si="672"/>
        <v>19491.388588443591</v>
      </c>
      <c r="CC129" s="102"/>
      <c r="CD129" s="12"/>
      <c r="CE129" s="14"/>
      <c r="CF129" s="14"/>
      <c r="CG129" s="14"/>
      <c r="CH129" s="14"/>
      <c r="CI129" s="14"/>
      <c r="CJ129" s="14"/>
      <c r="CK129" s="14"/>
      <c r="CL129" s="14"/>
      <c r="CM129" s="14"/>
      <c r="CN129" s="24"/>
      <c r="CO129" s="63"/>
      <c r="CP129" s="53"/>
      <c r="CQ129" s="21"/>
      <c r="CR129" s="55"/>
      <c r="CS129" s="55"/>
      <c r="CT129" s="55"/>
      <c r="CU129" s="55"/>
      <c r="CV129" s="55"/>
      <c r="CW129" s="55"/>
      <c r="CX129" s="55"/>
      <c r="CY129" s="55"/>
      <c r="CZ129" s="55"/>
      <c r="DA129" s="55"/>
      <c r="DB129" s="56"/>
      <c r="DC129" s="56"/>
      <c r="DD129" s="56"/>
      <c r="DE129" s="56"/>
      <c r="DF129" s="56"/>
      <c r="DG129" s="56"/>
      <c r="DH129" s="56"/>
      <c r="DI129" s="56"/>
      <c r="DJ129" s="56"/>
      <c r="DK129" s="56"/>
      <c r="DL129" s="57"/>
      <c r="DM129" s="54"/>
      <c r="DO129" s="106"/>
    </row>
    <row r="130" spans="2:119" ht="15.75" thickBot="1" x14ac:dyDescent="0.3">
      <c r="B130" s="213" t="s">
        <v>128</v>
      </c>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c r="AA130" s="214"/>
      <c r="AB130" s="214"/>
      <c r="AC130" s="214"/>
      <c r="AD130" s="214"/>
      <c r="AE130" s="214"/>
      <c r="AF130" s="214"/>
      <c r="AG130" s="214"/>
      <c r="AH130" s="214"/>
      <c r="AI130" s="214"/>
      <c r="AJ130" s="214"/>
      <c r="AK130" s="214"/>
      <c r="AL130" s="214"/>
      <c r="AM130" s="214"/>
      <c r="AN130" s="215"/>
      <c r="AP130" s="102" t="s">
        <v>1</v>
      </c>
      <c r="AQ130" s="12">
        <v>5000</v>
      </c>
      <c r="AR130" s="14">
        <f t="shared" si="649"/>
        <v>60000</v>
      </c>
      <c r="AS130" s="14" cm="1">
        <f t="array" ref="AS130">IFERROR(_xlfn.IFS(VALUE(MID(AS$5,6,1))&gt;$D$2,0,$AP130="Annual",1,AR130=12,12,$AP130="Monthly V",AR130*(1+$BD$2),$AP130="Monthly F",12,$AP130="One-Time",0),AR130*(1+$BD$2))</f>
        <v>60000</v>
      </c>
      <c r="AT130" s="14" cm="1">
        <f t="array" ref="AT130">IFERROR(_xlfn.IFS(VALUE(MID(AT$5,6,1))&gt;$D$2,0,$AP130="Annual",1,AS130=12,12,$AP130="Monthly V",AS130*(1+$BD$2),$AP130="Monthly F",12,$AP130="One-Time",0),AS130*(1+$BD$2))</f>
        <v>60000</v>
      </c>
      <c r="AU130" s="14" cm="1">
        <f t="array" ref="AU130">IFERROR(_xlfn.IFS(VALUE(MID(AU$5,6,1))&gt;$D$2,0,$AP130="Annual",1,AT130=12,12,$AP130="Monthly V",AT130*(1+$BD$2),$AP130="Monthly F",12,$AP130="One-Time",0),AT130*(1+$BD$2))</f>
        <v>60000</v>
      </c>
      <c r="AV130" s="14" cm="1">
        <f t="array" ref="AV130">IFERROR(_xlfn.IFS(VALUE(MID(AV$5,6,1))&gt;$D$2,0,$AP130="Annual",1,AU130=12,12,$AP130="Monthly V",AU130*(1+$BD$2),$AP130="Monthly F",12,$AP130="One-Time",0),AU130*(1+$BD$2))</f>
        <v>60000</v>
      </c>
      <c r="AW130" s="14" cm="1">
        <f t="array" ref="AW130">IFERROR(_xlfn.IFS(VALUE(MID(AW$5,6,1))&gt;$D$2,0,$AP130="Annual",1,AV130=12,12,$AP130="Monthly V",AV130*(1+$BD$2),$AP130="Monthly F",12,$AP130="One-Time",0),AV130*(1+$BD$2))</f>
        <v>60000</v>
      </c>
      <c r="AX130" s="14" cm="1">
        <f t="array" ref="AX130">IFERROR(_xlfn.IFS(VALUE(MID(AX$5,6,1))&gt;$D$2,0,$AP130="Annual",1,AW130=12,12,$AP130="Monthly V",AW130*(1+$BD$2),$AP130="Monthly F",12,$AP130="One-Time",0),AW130*(1+$BD$2))</f>
        <v>60000</v>
      </c>
      <c r="AY130" s="14" cm="1">
        <f t="array" ref="AY130">IFERROR(_xlfn.IFS(VALUE(MID(AY$5,6,1))&gt;$D$2,0,$AP130="Annual",1,AX130=12,12,$AP130="Monthly V",AX130*(1+$D$3),$AP130="Monthly F",12,$AP130="One-Time",0),AX130*(1+$D$3))</f>
        <v>0</v>
      </c>
      <c r="AZ130" s="14" cm="1">
        <f t="array" ref="AZ130">IFERROR(_xlfn.IFS(VALUE(MID(AZ$5,6,1))&gt;$D$2,0,$AP130="Annual",1,AY130=12,12,$AP130="Monthly V",AY130*(1+$D$3),$AP130="Monthly F",12,$AP130="One-Time",0),AY130*(1+$D$3))</f>
        <v>0</v>
      </c>
      <c r="BA130" s="125" cm="1">
        <f t="array" ref="BA130">IFERROR(_xlfn.IFS(VALUE(MID(BA$5,6,2))&gt;$D$2,0,$AP130="Annual",1,AZ130=12,12,$AP130="Monthly V",AZ130*(1+$D$3),$AP130="Monthly F",12,$AP130="One-Time",0),AZ130*(1+$D$3))</f>
        <v>0</v>
      </c>
      <c r="BB130" s="124" t="s">
        <v>256</v>
      </c>
      <c r="BC130" s="38" t="s">
        <v>247</v>
      </c>
      <c r="BD130" s="36">
        <v>3.0800000000000001E-2</v>
      </c>
      <c r="BE130" s="21">
        <f t="shared" si="620"/>
        <v>154</v>
      </c>
      <c r="BF130" s="39">
        <f t="shared" si="621"/>
        <v>1848</v>
      </c>
      <c r="BG130" s="39">
        <f t="shared" si="621"/>
        <v>1848</v>
      </c>
      <c r="BH130" s="39">
        <f t="shared" si="621"/>
        <v>1848</v>
      </c>
      <c r="BI130" s="39">
        <f t="shared" si="622"/>
        <v>1903.44</v>
      </c>
      <c r="BJ130" s="39">
        <f t="shared" ref="BJ130:BL130" si="675">BI130*1.03</f>
        <v>1960.5432000000001</v>
      </c>
      <c r="BK130" s="39">
        <f t="shared" si="675"/>
        <v>2019.359496</v>
      </c>
      <c r="BL130" s="39">
        <f t="shared" si="675"/>
        <v>2079.94028088</v>
      </c>
      <c r="BM130" s="39">
        <f t="shared" si="621"/>
        <v>0</v>
      </c>
      <c r="BN130" s="39">
        <f t="shared" si="621"/>
        <v>0</v>
      </c>
      <c r="BO130" s="39">
        <f t="shared" si="621"/>
        <v>0</v>
      </c>
      <c r="BP130" s="40"/>
      <c r="BQ130" s="40">
        <f t="shared" si="624"/>
        <v>55.440000000000047</v>
      </c>
      <c r="BR130" s="40">
        <f t="shared" si="625"/>
        <v>112.54319999999991</v>
      </c>
      <c r="BS130" s="40">
        <f t="shared" si="626"/>
        <v>176.50028088000002</v>
      </c>
      <c r="BT130" s="40">
        <f t="shared" si="627"/>
        <v>246.06544398559186</v>
      </c>
      <c r="BU130" s="40">
        <f t="shared" si="628"/>
        <v>321.63161440431423</v>
      </c>
      <c r="BV130" s="40">
        <f t="shared" si="629"/>
        <v>403.61718814793716</v>
      </c>
      <c r="BW130" s="40">
        <f t="shared" si="630"/>
        <v>0</v>
      </c>
      <c r="BX130" s="40">
        <f t="shared" si="631"/>
        <v>0</v>
      </c>
      <c r="BY130" s="40">
        <f t="shared" si="632"/>
        <v>0</v>
      </c>
      <c r="BZ130" s="40">
        <f t="shared" si="633"/>
        <v>1315.7977274178434</v>
      </c>
      <c r="CA130" s="37">
        <f t="shared" si="634"/>
        <v>14823.080704297845</v>
      </c>
      <c r="CC130" s="102"/>
      <c r="CD130" s="12"/>
      <c r="CE130" s="14">
        <f t="shared" si="635"/>
        <v>0</v>
      </c>
      <c r="CF130" s="14" cm="1">
        <f t="array" ref="CF130">IFERROR(_xlfn.IFS(VALUE(MID(CF$5,6,1))&gt;$D$2,0,$CC130="Annual",1,CE130=12,12,$CC130="Monthly V",CE130*(1+$D$3),$CC130="Monthly F",12,$CC130="One-Time",0),CE130*(1+$D$3))</f>
        <v>0</v>
      </c>
      <c r="CG130" s="14" cm="1">
        <f t="array" ref="CG130">IFERROR(_xlfn.IFS(VALUE(MID(CG$5,6,1))&gt;$D$2,0,$CC130="Annual",1,CF130=12,12,$CC130="Monthly V",CF130*(1+$D$3),$CC130="Monthly F",12,$CC130="One-Time",0),CF130*(1+$D$3))</f>
        <v>0</v>
      </c>
      <c r="CH130" s="14" cm="1">
        <f t="array" ref="CH130">IFERROR(_xlfn.IFS(VALUE(MID(CH$5,6,1))&gt;$D$2,0,$CC130="Annual",1,CG130=12,12,$CC130="Monthly V",CG130*(1+$D$3),$CC130="Monthly F",12,$CC130="One-Time",0),CG130*(1+$D$3))</f>
        <v>0</v>
      </c>
      <c r="CI130" s="14" cm="1">
        <f t="array" ref="CI130">IFERROR(_xlfn.IFS(VALUE(MID(CI$5,6,1))&gt;$D$2,0,$CC130="Annual",1,CH130=12,12,$CC130="Monthly V",CH130*(1+$D$3),$CC130="Monthly F",12,$CC130="One-Time",0),CH130*(1+$D$3))</f>
        <v>0</v>
      </c>
      <c r="CJ130" s="14" cm="1">
        <f t="array" ref="CJ130">IFERROR(_xlfn.IFS(VALUE(MID(CJ$5,6,1))&gt;$D$2,0,$CC130="Annual",1,CI130=12,12,$CC130="Monthly V",CI130*(1+$D$3),$CC130="Monthly F",12,$CC130="One-Time",0),CI130*(1+$D$3))</f>
        <v>0</v>
      </c>
      <c r="CK130" s="14" cm="1">
        <f t="array" ref="CK130">IFERROR(_xlfn.IFS(VALUE(MID(CK$5,6,1))&gt;$D$2,0,$CC130="Annual",1,CJ130=12,12,$CC130="Monthly V",CJ130*(1+$D$3),$CC130="Monthly F",12,$CC130="One-Time",0),CJ130*(1+$D$3))</f>
        <v>0</v>
      </c>
      <c r="CL130" s="14" cm="1">
        <f t="array" ref="CL130">IFERROR(_xlfn.IFS(VALUE(MID(CL$5,6,1))&gt;$D$2,0,$CC130="Annual",1,CK130=12,12,$CC130="Monthly V",CK130*(1+$D$3),$CC130="Monthly F",12,$CC130="One-Time",0),CK130*(1+$D$3))</f>
        <v>0</v>
      </c>
      <c r="CM130" s="14" cm="1">
        <f t="array" ref="CM130">IFERROR(_xlfn.IFS(VALUE(MID(CM$5,6,1))&gt;$D$2,0,$CC130="Annual",1,CL130=12,12,$CC130="Monthly V",CL130*(1+$D$3),$CC130="Monthly F",12,$CC130="One-Time",0),CL130*(1+$D$3))</f>
        <v>0</v>
      </c>
      <c r="CN130" s="24" cm="1">
        <f t="array" ref="CN130">IFERROR(_xlfn.IFS(VALUE(MID(CN$5,6,2))&gt;$D$2,0,$CC130="Annual",1,CM130=12,12,$CC130="Monthly V",CM130*(1+$D$3),$CC130="Monthly F",12,$CC130="One-Time",0),CM130*(1+$D$3))</f>
        <v>0</v>
      </c>
      <c r="CO130" s="63"/>
      <c r="CP130" s="53"/>
      <c r="CQ130" s="21">
        <f t="shared" si="636"/>
        <v>0</v>
      </c>
      <c r="CR130" s="55">
        <f t="shared" si="637"/>
        <v>0</v>
      </c>
      <c r="CS130" s="55">
        <f t="shared" si="637"/>
        <v>0</v>
      </c>
      <c r="CT130" s="55">
        <f t="shared" si="637"/>
        <v>0</v>
      </c>
      <c r="CU130" s="55">
        <f t="shared" si="637"/>
        <v>0</v>
      </c>
      <c r="CV130" s="55">
        <f t="shared" si="637"/>
        <v>0</v>
      </c>
      <c r="CW130" s="55">
        <f t="shared" si="637"/>
        <v>0</v>
      </c>
      <c r="CX130" s="55">
        <f t="shared" si="637"/>
        <v>0</v>
      </c>
      <c r="CY130" s="55">
        <f t="shared" si="637"/>
        <v>0</v>
      </c>
      <c r="CZ130" s="55">
        <f t="shared" si="637"/>
        <v>0</v>
      </c>
      <c r="DA130" s="55">
        <f t="shared" si="637"/>
        <v>0</v>
      </c>
      <c r="DB130" s="56"/>
      <c r="DC130" s="56">
        <f t="shared" si="638"/>
        <v>0</v>
      </c>
      <c r="DD130" s="56">
        <f t="shared" si="639"/>
        <v>0</v>
      </c>
      <c r="DE130" s="56">
        <f t="shared" si="640"/>
        <v>0</v>
      </c>
      <c r="DF130" s="56">
        <f t="shared" si="641"/>
        <v>0</v>
      </c>
      <c r="DG130" s="56">
        <f t="shared" si="642"/>
        <v>0</v>
      </c>
      <c r="DH130" s="56">
        <f t="shared" si="643"/>
        <v>0</v>
      </c>
      <c r="DI130" s="56">
        <f t="shared" si="644"/>
        <v>0</v>
      </c>
      <c r="DJ130" s="56">
        <f t="shared" si="645"/>
        <v>0</v>
      </c>
      <c r="DK130" s="56">
        <f t="shared" si="646"/>
        <v>0</v>
      </c>
      <c r="DL130" s="57">
        <f t="shared" si="647"/>
        <v>0</v>
      </c>
      <c r="DM130" s="54">
        <f t="shared" si="648"/>
        <v>0</v>
      </c>
      <c r="DO130" s="106"/>
    </row>
    <row r="131" spans="2:119" x14ac:dyDescent="0.25">
      <c r="B131" s="141"/>
      <c r="C131" s="24"/>
      <c r="D131" s="147"/>
      <c r="E131" s="142"/>
      <c r="F131" s="14"/>
      <c r="G131" s="14"/>
      <c r="H131" s="14"/>
      <c r="I131" s="14"/>
      <c r="J131" s="14"/>
      <c r="K131" s="14"/>
      <c r="L131" s="14"/>
      <c r="M131" s="14"/>
      <c r="N131" s="24"/>
      <c r="O131" s="157"/>
      <c r="P131" s="13"/>
      <c r="Q131" s="20"/>
      <c r="R131" s="21"/>
      <c r="S131" s="6"/>
      <c r="T131" s="6"/>
      <c r="U131" s="6"/>
      <c r="V131" s="6"/>
      <c r="W131" s="6"/>
      <c r="X131" s="6"/>
      <c r="Y131" s="6"/>
      <c r="Z131" s="6"/>
      <c r="AA131" s="6"/>
      <c r="AB131" s="6"/>
      <c r="AC131" s="7"/>
      <c r="AD131" s="152"/>
      <c r="AE131" s="152"/>
      <c r="AF131" s="152"/>
      <c r="AG131" s="152"/>
      <c r="AH131" s="152"/>
      <c r="AI131" s="152"/>
      <c r="AJ131" s="152"/>
      <c r="AK131" s="152"/>
      <c r="AL131" s="152"/>
      <c r="AM131" s="9"/>
      <c r="AN131" s="80"/>
      <c r="AP131" s="102" t="s">
        <v>0</v>
      </c>
      <c r="AQ131" s="12">
        <v>1</v>
      </c>
      <c r="AR131" s="14">
        <f t="shared" si="649"/>
        <v>12</v>
      </c>
      <c r="AS131" s="14" cm="1">
        <f t="array" ref="AS131">IFERROR(_xlfn.IFS(VALUE(MID(AS$5,6,1))&gt;$D$2,0,$AP131="Annual",1,AR131=12,12,$AP131="Monthly V",AR131*(1+$BD$2),$AP131="Monthly F",12,$AP131="One-Time",0),AR131*(1+$BD$2))</f>
        <v>12</v>
      </c>
      <c r="AT131" s="14" cm="1">
        <f t="array" ref="AT131">IFERROR(_xlfn.IFS(VALUE(MID(AT$5,6,1))&gt;$D$2,0,$AP131="Annual",1,AS131=12,12,$AP131="Monthly V",AS131*(1+$BD$2),$AP131="Monthly F",12,$AP131="One-Time",0),AS131*(1+$BD$2))</f>
        <v>12</v>
      </c>
      <c r="AU131" s="14" cm="1">
        <f t="array" ref="AU131">IFERROR(_xlfn.IFS(VALUE(MID(AU$5,6,1))&gt;$D$2,0,$AP131="Annual",1,AT131=12,12,$AP131="Monthly V",AT131*(1+$BD$2),$AP131="Monthly F",12,$AP131="One-Time",0),AT131*(1+$BD$2))</f>
        <v>12</v>
      </c>
      <c r="AV131" s="14" cm="1">
        <f t="array" ref="AV131">IFERROR(_xlfn.IFS(VALUE(MID(AV$5,6,1))&gt;$D$2,0,$AP131="Annual",1,AU131=12,12,$AP131="Monthly V",AU131*(1+$BD$2),$AP131="Monthly F",12,$AP131="One-Time",0),AU131*(1+$BD$2))</f>
        <v>12</v>
      </c>
      <c r="AW131" s="14" cm="1">
        <f t="array" ref="AW131">IFERROR(_xlfn.IFS(VALUE(MID(AW$5,6,1))&gt;$D$2,0,$AP131="Annual",1,AV131=12,12,$AP131="Monthly V",AV131*(1+$BD$2),$AP131="Monthly F",12,$AP131="One-Time",0),AV131*(1+$BD$2))</f>
        <v>12</v>
      </c>
      <c r="AX131" s="14" cm="1">
        <f t="array" ref="AX131">IFERROR(_xlfn.IFS(VALUE(MID(AX$5,6,1))&gt;$D$2,0,$AP131="Annual",1,AW131=12,12,$AP131="Monthly V",AW131*(1+$BD$2),$AP131="Monthly F",12,$AP131="One-Time",0),AW131*(1+$BD$2))</f>
        <v>12</v>
      </c>
      <c r="AY131" s="14" cm="1">
        <f t="array" ref="AY131">IFERROR(_xlfn.IFS(VALUE(MID(AY$5,6,1))&gt;$D$2,0,$AP131="Annual",1,AX131=12,12,$AP131="Monthly V",AX131*(1+$D$3),$AP131="Monthly F",12,$AP131="One-Time",0),AX131*(1+$D$3))</f>
        <v>0</v>
      </c>
      <c r="AZ131" s="14" cm="1">
        <f t="array" ref="AZ131">IFERROR(_xlfn.IFS(VALUE(MID(AZ$5,6,1))&gt;$D$2,0,$AP131="Annual",1,AY131=12,12,$AP131="Monthly V",AY131*(1+$D$3),$AP131="Monthly F",12,$AP131="One-Time",0),AY131*(1+$D$3))</f>
        <v>0</v>
      </c>
      <c r="BA131" s="125" cm="1">
        <f t="array" ref="BA131">IFERROR(_xlfn.IFS(VALUE(MID(BA$5,6,2))&gt;$D$2,0,$AP131="Annual",1,AZ131=12,12,$AP131="Monthly V",AZ131*(1+$D$3),$AP131="Monthly F",12,$AP131="One-Time",0),AZ131*(1+$D$3))</f>
        <v>0</v>
      </c>
      <c r="BB131" s="124" t="s">
        <v>257</v>
      </c>
      <c r="BC131" s="38" t="s">
        <v>221</v>
      </c>
      <c r="BD131" s="36">
        <v>760</v>
      </c>
      <c r="BE131" s="21">
        <f t="shared" si="620"/>
        <v>760</v>
      </c>
      <c r="BF131" s="39">
        <f t="shared" si="621"/>
        <v>9120</v>
      </c>
      <c r="BG131" s="39">
        <f t="shared" si="621"/>
        <v>9120</v>
      </c>
      <c r="BH131" s="39">
        <f t="shared" si="621"/>
        <v>9120</v>
      </c>
      <c r="BI131" s="39">
        <f t="shared" si="622"/>
        <v>9393.6</v>
      </c>
      <c r="BJ131" s="39">
        <f t="shared" ref="BJ131:BL131" si="676">BI131*1.03</f>
        <v>9675.4080000000013</v>
      </c>
      <c r="BK131" s="39">
        <f t="shared" si="676"/>
        <v>9965.6702400000013</v>
      </c>
      <c r="BL131" s="39">
        <f t="shared" si="676"/>
        <v>10264.640347200002</v>
      </c>
      <c r="BM131" s="39">
        <f t="shared" si="621"/>
        <v>0</v>
      </c>
      <c r="BN131" s="39">
        <f t="shared" si="621"/>
        <v>0</v>
      </c>
      <c r="BO131" s="39">
        <f t="shared" si="621"/>
        <v>0</v>
      </c>
      <c r="BP131" s="40"/>
      <c r="BQ131" s="40">
        <f t="shared" si="624"/>
        <v>273.60000000000025</v>
      </c>
      <c r="BR131" s="40">
        <f t="shared" si="625"/>
        <v>555.40799999999956</v>
      </c>
      <c r="BS131" s="40">
        <f t="shared" si="626"/>
        <v>871.04034720000004</v>
      </c>
      <c r="BT131" s="40">
        <f t="shared" si="627"/>
        <v>1214.3489443444794</v>
      </c>
      <c r="BU131" s="40">
        <f t="shared" si="628"/>
        <v>1587.2729022550575</v>
      </c>
      <c r="BV131" s="40">
        <f t="shared" si="629"/>
        <v>1991.8770324183913</v>
      </c>
      <c r="BW131" s="40">
        <f t="shared" si="630"/>
        <v>0</v>
      </c>
      <c r="BX131" s="40">
        <f t="shared" si="631"/>
        <v>0</v>
      </c>
      <c r="BY131" s="40">
        <f t="shared" si="632"/>
        <v>0</v>
      </c>
      <c r="BZ131" s="40">
        <f t="shared" si="633"/>
        <v>6493.5472262179283</v>
      </c>
      <c r="CA131" s="37">
        <f t="shared" si="634"/>
        <v>73152.865813417928</v>
      </c>
      <c r="CC131" s="102"/>
      <c r="CD131" s="12"/>
      <c r="CE131" s="14">
        <f t="shared" si="635"/>
        <v>0</v>
      </c>
      <c r="CF131" s="14" cm="1">
        <f t="array" ref="CF131">IFERROR(_xlfn.IFS(VALUE(MID(CF$5,6,1))&gt;$D$2,0,$CC131="Annual",1,CE131=12,12,$CC131="Monthly V",CE131*(1+$D$3),$CC131="Monthly F",12,$CC131="One-Time",0),CE131*(1+$D$3))</f>
        <v>0</v>
      </c>
      <c r="CG131" s="14" cm="1">
        <f t="array" ref="CG131">IFERROR(_xlfn.IFS(VALUE(MID(CG$5,6,1))&gt;$D$2,0,$CC131="Annual",1,CF131=12,12,$CC131="Monthly V",CF131*(1+$D$3),$CC131="Monthly F",12,$CC131="One-Time",0),CF131*(1+$D$3))</f>
        <v>0</v>
      </c>
      <c r="CH131" s="14" cm="1">
        <f t="array" ref="CH131">IFERROR(_xlfn.IFS(VALUE(MID(CH$5,6,1))&gt;$D$2,0,$CC131="Annual",1,CG131=12,12,$CC131="Monthly V",CG131*(1+$D$3),$CC131="Monthly F",12,$CC131="One-Time",0),CG131*(1+$D$3))</f>
        <v>0</v>
      </c>
      <c r="CI131" s="14" cm="1">
        <f t="array" ref="CI131">IFERROR(_xlfn.IFS(VALUE(MID(CI$5,6,1))&gt;$D$2,0,$CC131="Annual",1,CH131=12,12,$CC131="Monthly V",CH131*(1+$D$3),$CC131="Monthly F",12,$CC131="One-Time",0),CH131*(1+$D$3))</f>
        <v>0</v>
      </c>
      <c r="CJ131" s="14" cm="1">
        <f t="array" ref="CJ131">IFERROR(_xlfn.IFS(VALUE(MID(CJ$5,6,1))&gt;$D$2,0,$CC131="Annual",1,CI131=12,12,$CC131="Monthly V",CI131*(1+$D$3),$CC131="Monthly F",12,$CC131="One-Time",0),CI131*(1+$D$3))</f>
        <v>0</v>
      </c>
      <c r="CK131" s="14" cm="1">
        <f t="array" ref="CK131">IFERROR(_xlfn.IFS(VALUE(MID(CK$5,6,1))&gt;$D$2,0,$CC131="Annual",1,CJ131=12,12,$CC131="Monthly V",CJ131*(1+$D$3),$CC131="Monthly F",12,$CC131="One-Time",0),CJ131*(1+$D$3))</f>
        <v>0</v>
      </c>
      <c r="CL131" s="14" cm="1">
        <f t="array" ref="CL131">IFERROR(_xlfn.IFS(VALUE(MID(CL$5,6,1))&gt;$D$2,0,$CC131="Annual",1,CK131=12,12,$CC131="Monthly V",CK131*(1+$D$3),$CC131="Monthly F",12,$CC131="One-Time",0),CK131*(1+$D$3))</f>
        <v>0</v>
      </c>
      <c r="CM131" s="14" cm="1">
        <f t="array" ref="CM131">IFERROR(_xlfn.IFS(VALUE(MID(CM$5,6,1))&gt;$D$2,0,$CC131="Annual",1,CL131=12,12,$CC131="Monthly V",CL131*(1+$D$3),$CC131="Monthly F",12,$CC131="One-Time",0),CL131*(1+$D$3))</f>
        <v>0</v>
      </c>
      <c r="CN131" s="24" cm="1">
        <f t="array" ref="CN131">IFERROR(_xlfn.IFS(VALUE(MID(CN$5,6,2))&gt;$D$2,0,$CC131="Annual",1,CM131=12,12,$CC131="Monthly V",CM131*(1+$D$3),$CC131="Monthly F",12,$CC131="One-Time",0),CM131*(1+$D$3))</f>
        <v>0</v>
      </c>
      <c r="CO131" s="63"/>
      <c r="CP131" s="53"/>
      <c r="CQ131" s="21">
        <f t="shared" si="636"/>
        <v>0</v>
      </c>
      <c r="CR131" s="55">
        <f t="shared" si="637"/>
        <v>0</v>
      </c>
      <c r="CS131" s="55">
        <f t="shared" si="637"/>
        <v>0</v>
      </c>
      <c r="CT131" s="55">
        <f t="shared" si="637"/>
        <v>0</v>
      </c>
      <c r="CU131" s="55">
        <f t="shared" si="637"/>
        <v>0</v>
      </c>
      <c r="CV131" s="55">
        <f t="shared" si="637"/>
        <v>0</v>
      </c>
      <c r="CW131" s="55">
        <f t="shared" si="637"/>
        <v>0</v>
      </c>
      <c r="CX131" s="55">
        <f t="shared" si="637"/>
        <v>0</v>
      </c>
      <c r="CY131" s="55">
        <f t="shared" si="637"/>
        <v>0</v>
      </c>
      <c r="CZ131" s="55">
        <f t="shared" si="637"/>
        <v>0</v>
      </c>
      <c r="DA131" s="55">
        <f t="shared" si="637"/>
        <v>0</v>
      </c>
      <c r="DB131" s="56"/>
      <c r="DC131" s="56">
        <f t="shared" si="638"/>
        <v>0</v>
      </c>
      <c r="DD131" s="56">
        <f t="shared" si="639"/>
        <v>0</v>
      </c>
      <c r="DE131" s="56">
        <f t="shared" si="640"/>
        <v>0</v>
      </c>
      <c r="DF131" s="56">
        <f t="shared" si="641"/>
        <v>0</v>
      </c>
      <c r="DG131" s="56">
        <f t="shared" si="642"/>
        <v>0</v>
      </c>
      <c r="DH131" s="56">
        <f t="shared" si="643"/>
        <v>0</v>
      </c>
      <c r="DI131" s="56">
        <f t="shared" si="644"/>
        <v>0</v>
      </c>
      <c r="DJ131" s="56">
        <f t="shared" si="645"/>
        <v>0</v>
      </c>
      <c r="DK131" s="56">
        <f t="shared" si="646"/>
        <v>0</v>
      </c>
      <c r="DL131" s="57">
        <f t="shared" si="647"/>
        <v>0</v>
      </c>
      <c r="DM131" s="54">
        <f t="shared" si="648"/>
        <v>0</v>
      </c>
      <c r="DO131" s="106"/>
    </row>
    <row r="132" spans="2:119" x14ac:dyDescent="0.25">
      <c r="B132" s="141"/>
      <c r="C132" s="24"/>
      <c r="D132" s="147"/>
      <c r="E132" s="142"/>
      <c r="F132" s="14"/>
      <c r="G132" s="14"/>
      <c r="H132" s="14"/>
      <c r="I132" s="14"/>
      <c r="J132" s="14"/>
      <c r="K132" s="14"/>
      <c r="L132" s="14"/>
      <c r="M132" s="14"/>
      <c r="N132" s="24"/>
      <c r="O132" s="157"/>
      <c r="P132" s="13"/>
      <c r="Q132" s="20"/>
      <c r="R132" s="21"/>
      <c r="S132" s="6"/>
      <c r="T132" s="6"/>
      <c r="U132" s="6"/>
      <c r="V132" s="6"/>
      <c r="W132" s="6"/>
      <c r="X132" s="6"/>
      <c r="Y132" s="6"/>
      <c r="Z132" s="6"/>
      <c r="AA132" s="6"/>
      <c r="AB132" s="6"/>
      <c r="AC132" s="7"/>
      <c r="AD132" s="152"/>
      <c r="AE132" s="152"/>
      <c r="AF132" s="152"/>
      <c r="AG132" s="152"/>
      <c r="AH132" s="152"/>
      <c r="AI132" s="152"/>
      <c r="AJ132" s="152"/>
      <c r="AK132" s="152"/>
      <c r="AL132" s="152"/>
      <c r="AM132" s="9"/>
      <c r="AN132" s="80"/>
      <c r="AP132" s="102" t="s">
        <v>0</v>
      </c>
      <c r="AQ132" s="12">
        <v>1</v>
      </c>
      <c r="AR132" s="14">
        <f t="shared" si="649"/>
        <v>12</v>
      </c>
      <c r="AS132" s="14" cm="1">
        <f t="array" ref="AS132">IFERROR(_xlfn.IFS(VALUE(MID(AS$5,6,1))&gt;$D$2,0,$AP132="Annual",1,AR132=12,12,$AP132="Monthly V",AR132*(1+$BD$2),$AP132="Monthly F",12,$AP132="One-Time",0),AR132*(1+$BD$2))</f>
        <v>12</v>
      </c>
      <c r="AT132" s="14" cm="1">
        <f t="array" ref="AT132">IFERROR(_xlfn.IFS(VALUE(MID(AT$5,6,1))&gt;$D$2,0,$AP132="Annual",1,AS132=12,12,$AP132="Monthly V",AS132*(1+$BD$2),$AP132="Monthly F",12,$AP132="One-Time",0),AS132*(1+$BD$2))</f>
        <v>12</v>
      </c>
      <c r="AU132" s="14" cm="1">
        <f t="array" ref="AU132">IFERROR(_xlfn.IFS(VALUE(MID(AU$5,6,1))&gt;$D$2,0,$AP132="Annual",1,AT132=12,12,$AP132="Monthly V",AT132*(1+$BD$2),$AP132="Monthly F",12,$AP132="One-Time",0),AT132*(1+$BD$2))</f>
        <v>12</v>
      </c>
      <c r="AV132" s="14" cm="1">
        <f t="array" ref="AV132">IFERROR(_xlfn.IFS(VALUE(MID(AV$5,6,1))&gt;$D$2,0,$AP132="Annual",1,AU132=12,12,$AP132="Monthly V",AU132*(1+$BD$2),$AP132="Monthly F",12,$AP132="One-Time",0),AU132*(1+$BD$2))</f>
        <v>12</v>
      </c>
      <c r="AW132" s="14" cm="1">
        <f t="array" ref="AW132">IFERROR(_xlfn.IFS(VALUE(MID(AW$5,6,1))&gt;$D$2,0,$AP132="Annual",1,AV132=12,12,$AP132="Monthly V",AV132*(1+$BD$2),$AP132="Monthly F",12,$AP132="One-Time",0),AV132*(1+$BD$2))</f>
        <v>12</v>
      </c>
      <c r="AX132" s="14" cm="1">
        <f t="array" ref="AX132">IFERROR(_xlfn.IFS(VALUE(MID(AX$5,6,1))&gt;$D$2,0,$AP132="Annual",1,AW132=12,12,$AP132="Monthly V",AW132*(1+$BD$2),$AP132="Monthly F",12,$AP132="One-Time",0),AW132*(1+$BD$2))</f>
        <v>12</v>
      </c>
      <c r="AY132" s="14" cm="1">
        <f t="array" ref="AY132">IFERROR(_xlfn.IFS(VALUE(MID(AY$5,6,1))&gt;$D$2,0,$AP132="Annual",1,AX132=12,12,$AP132="Monthly V",AX132*(1+$D$3),$AP132="Monthly F",12,$AP132="One-Time",0),AX132*(1+$D$3))</f>
        <v>0</v>
      </c>
      <c r="AZ132" s="14" cm="1">
        <f t="array" ref="AZ132">IFERROR(_xlfn.IFS(VALUE(MID(AZ$5,6,1))&gt;$D$2,0,$AP132="Annual",1,AY132=12,12,$AP132="Monthly V",AY132*(1+$D$3),$AP132="Monthly F",12,$AP132="One-Time",0),AY132*(1+$D$3))</f>
        <v>0</v>
      </c>
      <c r="BA132" s="125" cm="1">
        <f t="array" ref="BA132">IFERROR(_xlfn.IFS(VALUE(MID(BA$5,6,2))&gt;$D$2,0,$AP132="Annual",1,AZ132=12,12,$AP132="Monthly V",AZ132*(1+$D$3),$AP132="Monthly F",12,$AP132="One-Time",0),AZ132*(1+$D$3))</f>
        <v>0</v>
      </c>
      <c r="BB132" s="124" t="s">
        <v>258</v>
      </c>
      <c r="BC132" s="38" t="s">
        <v>275</v>
      </c>
      <c r="BD132" s="36">
        <v>420</v>
      </c>
      <c r="BE132" s="21">
        <f t="shared" ref="BE132" si="677">BF132/12</f>
        <v>420</v>
      </c>
      <c r="BF132" s="39">
        <f t="shared" ref="BF132" si="678">IFERROR(AR132*$BD132,0)</f>
        <v>5040</v>
      </c>
      <c r="BG132" s="39">
        <f t="shared" ref="BG132" si="679">IFERROR(AS132*$BD132,0)</f>
        <v>5040</v>
      </c>
      <c r="BH132" s="39">
        <f t="shared" ref="BH132" si="680">IFERROR(AT132*$BD132,0)</f>
        <v>5040</v>
      </c>
      <c r="BI132" s="39">
        <f t="shared" si="622"/>
        <v>5191.2</v>
      </c>
      <c r="BJ132" s="39">
        <f t="shared" ref="BJ132:BL132" si="681">BI132*1.03</f>
        <v>5346.9359999999997</v>
      </c>
      <c r="BK132" s="39">
        <f t="shared" si="681"/>
        <v>5507.3440799999998</v>
      </c>
      <c r="BL132" s="39">
        <f t="shared" si="681"/>
        <v>5672.5644024000003</v>
      </c>
      <c r="BM132" s="39">
        <f t="shared" ref="BM132" si="682">IFERROR(AY132*$BD132,0)</f>
        <v>0</v>
      </c>
      <c r="BN132" s="39">
        <f t="shared" ref="BN132" si="683">IFERROR(AZ132*$BD132,0)</f>
        <v>0</v>
      </c>
      <c r="BO132" s="39">
        <f t="shared" ref="BO132" si="684">IFERROR(BA132*$BD132,0)</f>
        <v>0</v>
      </c>
      <c r="BP132" s="40"/>
      <c r="BQ132" s="40">
        <f t="shared" ref="BQ132" si="685">IF(VALUE(MID(BQ$5,6,1))&lt;=$D$2,((1+$BD$3)^1-1)*BG132,0)</f>
        <v>151.20000000000013</v>
      </c>
      <c r="BR132" s="40">
        <f t="shared" ref="BR132" si="686">IF(VALUE(MID(BR$5,6,1))&lt;=$D$2,((1+$BD$3)^2-1)*BH132,0)</f>
        <v>306.93599999999975</v>
      </c>
      <c r="BS132" s="40">
        <f t="shared" ref="BS132" si="687">IF(VALUE(MID(BS$5,6,1))&lt;=$D$2,((1+$BD$3)^3-1)*BI132,0)</f>
        <v>481.36440240000002</v>
      </c>
      <c r="BT132" s="40">
        <f t="shared" ref="BT132" si="688">IF(VALUE(MID(BT$5,6,1))&lt;=$D$2,((1+$BD$3)^4-1)*BJ132,0)</f>
        <v>671.08757450615951</v>
      </c>
      <c r="BU132" s="40">
        <f t="shared" ref="BU132" si="689">IF(VALUE(MID(BU$5,6,1))&lt;=$D$2,((1+$BD$3)^5-1)*BK132,0)</f>
        <v>877.17713019358428</v>
      </c>
      <c r="BV132" s="40">
        <f t="shared" ref="BV132" si="690">IF(VALUE(MID(BV$5,6,1))&lt;=$D$2,((1+$BD$3)^6-1)*BL132,0)</f>
        <v>1100.7741494943741</v>
      </c>
      <c r="BW132" s="40">
        <f t="shared" ref="BW132" si="691">IF(VALUE(MID(BW$5,6,1))&lt;=$D$2,((1+$BD$3)^7-1)*BM132,0)</f>
        <v>0</v>
      </c>
      <c r="BX132" s="40">
        <f t="shared" ref="BX132" si="692">IF(VALUE(MID(BX$5,6,1))&lt;=$D$2,((1+$BD$3)^8-1)*BN132,0)</f>
        <v>0</v>
      </c>
      <c r="BY132" s="40">
        <f t="shared" ref="BY132" si="693">IF(VALUE(MID(BY$5,6,2))&lt;=$D$2,((1+$BD$3)^9-1)*BO132,0)</f>
        <v>0</v>
      </c>
      <c r="BZ132" s="40">
        <f t="shared" ref="BZ132" si="694">SUM(BP132:BY132)</f>
        <v>3588.5392565941174</v>
      </c>
      <c r="CA132" s="37">
        <f t="shared" ref="CA132" si="695">SUM(BZ132,BF132:BO132)</f>
        <v>40426.583738994123</v>
      </c>
      <c r="CC132" s="102"/>
      <c r="CD132" s="12"/>
      <c r="CE132" s="14"/>
      <c r="CF132" s="14"/>
      <c r="CG132" s="14"/>
      <c r="CH132" s="14"/>
      <c r="CI132" s="14"/>
      <c r="CJ132" s="14"/>
      <c r="CK132" s="14"/>
      <c r="CL132" s="14"/>
      <c r="CM132" s="14"/>
      <c r="CN132" s="24"/>
      <c r="CO132" s="63"/>
      <c r="CP132" s="53"/>
      <c r="CQ132" s="21"/>
      <c r="CR132" s="55"/>
      <c r="CS132" s="55"/>
      <c r="CT132" s="55"/>
      <c r="CU132" s="55"/>
      <c r="CV132" s="55"/>
      <c r="CW132" s="55"/>
      <c r="CX132" s="55"/>
      <c r="CY132" s="55"/>
      <c r="CZ132" s="55"/>
      <c r="DA132" s="55"/>
      <c r="DB132" s="56"/>
      <c r="DC132" s="56"/>
      <c r="DD132" s="56"/>
      <c r="DE132" s="56"/>
      <c r="DF132" s="56"/>
      <c r="DG132" s="56"/>
      <c r="DH132" s="56"/>
      <c r="DI132" s="56"/>
      <c r="DJ132" s="56"/>
      <c r="DK132" s="56"/>
      <c r="DL132" s="57"/>
      <c r="DM132" s="54"/>
      <c r="DO132" s="106"/>
    </row>
    <row r="133" spans="2:119" x14ac:dyDescent="0.25">
      <c r="B133" s="141"/>
      <c r="C133" s="24"/>
      <c r="D133" s="147"/>
      <c r="E133" s="142"/>
      <c r="F133" s="14"/>
      <c r="G133" s="14"/>
      <c r="H133" s="14"/>
      <c r="I133" s="14"/>
      <c r="J133" s="14"/>
      <c r="K133" s="14"/>
      <c r="L133" s="14"/>
      <c r="M133" s="14"/>
      <c r="N133" s="24"/>
      <c r="O133" s="127"/>
      <c r="P133" s="13"/>
      <c r="Q133" s="20"/>
      <c r="R133" s="21"/>
      <c r="S133" s="6"/>
      <c r="T133" s="6"/>
      <c r="U133" s="6"/>
      <c r="V133" s="6"/>
      <c r="W133" s="6"/>
      <c r="X133" s="6"/>
      <c r="Y133" s="6"/>
      <c r="Z133" s="6"/>
      <c r="AA133" s="6"/>
      <c r="AB133" s="6"/>
      <c r="AC133" s="7"/>
      <c r="AD133" s="152"/>
      <c r="AE133" s="152"/>
      <c r="AF133" s="152"/>
      <c r="AG133" s="152"/>
      <c r="AH133" s="152"/>
      <c r="AI133" s="152"/>
      <c r="AJ133" s="152"/>
      <c r="AK133" s="152"/>
      <c r="AL133" s="152"/>
      <c r="AM133" s="9"/>
      <c r="AN133" s="80"/>
      <c r="AP133" s="102" t="s">
        <v>0</v>
      </c>
      <c r="AQ133" s="12">
        <v>1</v>
      </c>
      <c r="AR133" s="14">
        <f t="shared" si="649"/>
        <v>12</v>
      </c>
      <c r="AS133" s="14" cm="1">
        <f t="array" ref="AS133">IFERROR(_xlfn.IFS(VALUE(MID(AS$5,6,1))&gt;$D$2,0,$AP133="Annual",1,AR133=12,12,$AP133="Monthly V",AR133*(1+$BD$2),$AP133="Monthly F",12,$AP133="One-Time",0),AR133*(1+$BD$2))</f>
        <v>12</v>
      </c>
      <c r="AT133" s="14" cm="1">
        <f t="array" ref="AT133">IFERROR(_xlfn.IFS(VALUE(MID(AT$5,6,1))&gt;$D$2,0,$AP133="Annual",1,AS133=12,12,$AP133="Monthly V",AS133*(1+$BD$2),$AP133="Monthly F",12,$AP133="One-Time",0),AS133*(1+$BD$2))</f>
        <v>12</v>
      </c>
      <c r="AU133" s="14" cm="1">
        <f t="array" ref="AU133">IFERROR(_xlfn.IFS(VALUE(MID(AU$5,6,1))&gt;$D$2,0,$AP133="Annual",1,AT133=12,12,$AP133="Monthly V",AT133*(1+$BD$2),$AP133="Monthly F",12,$AP133="One-Time",0),AT133*(1+$BD$2))</f>
        <v>12</v>
      </c>
      <c r="AV133" s="14" cm="1">
        <f t="array" ref="AV133">IFERROR(_xlfn.IFS(VALUE(MID(AV$5,6,1))&gt;$D$2,0,$AP133="Annual",1,AU133=12,12,$AP133="Monthly V",AU133*(1+$BD$2),$AP133="Monthly F",12,$AP133="One-Time",0),AU133*(1+$BD$2))</f>
        <v>12</v>
      </c>
      <c r="AW133" s="14" cm="1">
        <f t="array" ref="AW133">IFERROR(_xlfn.IFS(VALUE(MID(AW$5,6,1))&gt;$D$2,0,$AP133="Annual",1,AV133=12,12,$AP133="Monthly V",AV133*(1+$BD$2),$AP133="Monthly F",12,$AP133="One-Time",0),AV133*(1+$BD$2))</f>
        <v>12</v>
      </c>
      <c r="AX133" s="14" cm="1">
        <f t="array" ref="AX133">IFERROR(_xlfn.IFS(VALUE(MID(AX$5,6,1))&gt;$D$2,0,$AP133="Annual",1,AW133=12,12,$AP133="Monthly V",AW133*(1+$BD$2),$AP133="Monthly F",12,$AP133="One-Time",0),AW133*(1+$BD$2))</f>
        <v>12</v>
      </c>
      <c r="AY133" s="14" cm="1">
        <f t="array" ref="AY133">IFERROR(_xlfn.IFS(VALUE(MID(AY$5,6,1))&gt;$D$2,0,$AP133="Annual",1,AX133=12,12,$AP133="Monthly V",AX133*(1+$D$3),$AP133="Monthly F",12,$AP133="One-Time",0),AX133*(1+$D$3))</f>
        <v>0</v>
      </c>
      <c r="AZ133" s="14" cm="1">
        <f t="array" ref="AZ133">IFERROR(_xlfn.IFS(VALUE(MID(AZ$5,6,1))&gt;$D$2,0,$AP133="Annual",1,AY133=12,12,$AP133="Monthly V",AY133*(1+$D$3),$AP133="Monthly F",12,$AP133="One-Time",0),AY133*(1+$D$3))</f>
        <v>0</v>
      </c>
      <c r="BA133" s="125" cm="1">
        <f t="array" ref="BA133">IFERROR(_xlfn.IFS(VALUE(MID(BA$5,6,2))&gt;$D$2,0,$AP133="Annual",1,AZ133=12,12,$AP133="Monthly V",AZ133*(1+$D$3),$AP133="Monthly F",12,$AP133="One-Time",0),AZ133*(1+$D$3))</f>
        <v>0</v>
      </c>
      <c r="BB133" s="124" t="s">
        <v>260</v>
      </c>
      <c r="BC133" s="38" t="s">
        <v>275</v>
      </c>
      <c r="BD133" s="36">
        <v>75</v>
      </c>
      <c r="BE133" s="21">
        <f t="shared" si="620"/>
        <v>75</v>
      </c>
      <c r="BF133" s="39">
        <f t="shared" si="621"/>
        <v>900</v>
      </c>
      <c r="BG133" s="39">
        <f t="shared" si="621"/>
        <v>900</v>
      </c>
      <c r="BH133" s="39">
        <f t="shared" si="621"/>
        <v>900</v>
      </c>
      <c r="BI133" s="39">
        <f t="shared" si="622"/>
        <v>927</v>
      </c>
      <c r="BJ133" s="39">
        <f t="shared" ref="BJ133:BL133" si="696">BI133*1.03</f>
        <v>954.81000000000006</v>
      </c>
      <c r="BK133" s="39">
        <f t="shared" si="696"/>
        <v>983.4543000000001</v>
      </c>
      <c r="BL133" s="39">
        <f t="shared" si="696"/>
        <v>1012.9579290000001</v>
      </c>
      <c r="BM133" s="39">
        <f t="shared" si="621"/>
        <v>0</v>
      </c>
      <c r="BN133" s="39">
        <f t="shared" si="621"/>
        <v>0</v>
      </c>
      <c r="BO133" s="39">
        <f t="shared" si="621"/>
        <v>0</v>
      </c>
      <c r="BP133" s="40"/>
      <c r="BQ133" s="40">
        <f t="shared" si="624"/>
        <v>27.000000000000025</v>
      </c>
      <c r="BR133" s="40">
        <f t="shared" si="625"/>
        <v>54.80999999999996</v>
      </c>
      <c r="BS133" s="40">
        <f t="shared" si="626"/>
        <v>85.957929000000007</v>
      </c>
      <c r="BT133" s="40">
        <f t="shared" si="627"/>
        <v>119.83706687609993</v>
      </c>
      <c r="BU133" s="40">
        <f t="shared" si="628"/>
        <v>156.63877324885436</v>
      </c>
      <c r="BV133" s="40">
        <f t="shared" si="629"/>
        <v>196.56681240970966</v>
      </c>
      <c r="BW133" s="40">
        <f t="shared" si="630"/>
        <v>0</v>
      </c>
      <c r="BX133" s="40">
        <f t="shared" si="631"/>
        <v>0</v>
      </c>
      <c r="BY133" s="40">
        <f t="shared" si="632"/>
        <v>0</v>
      </c>
      <c r="BZ133" s="40">
        <f t="shared" si="633"/>
        <v>640.81058153466392</v>
      </c>
      <c r="CA133" s="37">
        <f t="shared" si="634"/>
        <v>7219.0328105346653</v>
      </c>
      <c r="CC133" s="102"/>
      <c r="CD133" s="12"/>
      <c r="CE133" s="14">
        <f t="shared" si="635"/>
        <v>0</v>
      </c>
      <c r="CF133" s="14" cm="1">
        <f t="array" ref="CF133">IFERROR(_xlfn.IFS(VALUE(MID(CF$5,6,1))&gt;$D$2,0,$CC133="Annual",1,CE133=12,12,$CC133="Monthly V",CE133*(1+$D$3),$CC133="Monthly F",12,$CC133="One-Time",0),CE133*(1+$D$3))</f>
        <v>0</v>
      </c>
      <c r="CG133" s="14" cm="1">
        <f t="array" ref="CG133">IFERROR(_xlfn.IFS(VALUE(MID(CG$5,6,1))&gt;$D$2,0,$CC133="Annual",1,CF133=12,12,$CC133="Monthly V",CF133*(1+$D$3),$CC133="Monthly F",12,$CC133="One-Time",0),CF133*(1+$D$3))</f>
        <v>0</v>
      </c>
      <c r="CH133" s="14" cm="1">
        <f t="array" ref="CH133">IFERROR(_xlfn.IFS(VALUE(MID(CH$5,6,1))&gt;$D$2,0,$CC133="Annual",1,CG133=12,12,$CC133="Monthly V",CG133*(1+$D$3),$CC133="Monthly F",12,$CC133="One-Time",0),CG133*(1+$D$3))</f>
        <v>0</v>
      </c>
      <c r="CI133" s="14" cm="1">
        <f t="array" ref="CI133">IFERROR(_xlfn.IFS(VALUE(MID(CI$5,6,1))&gt;$D$2,0,$CC133="Annual",1,CH133=12,12,$CC133="Monthly V",CH133*(1+$D$3),$CC133="Monthly F",12,$CC133="One-Time",0),CH133*(1+$D$3))</f>
        <v>0</v>
      </c>
      <c r="CJ133" s="14" cm="1">
        <f t="array" ref="CJ133">IFERROR(_xlfn.IFS(VALUE(MID(CJ$5,6,1))&gt;$D$2,0,$CC133="Annual",1,CI133=12,12,$CC133="Monthly V",CI133*(1+$D$3),$CC133="Monthly F",12,$CC133="One-Time",0),CI133*(1+$D$3))</f>
        <v>0</v>
      </c>
      <c r="CK133" s="14" cm="1">
        <f t="array" ref="CK133">IFERROR(_xlfn.IFS(VALUE(MID(CK$5,6,1))&gt;$D$2,0,$CC133="Annual",1,CJ133=12,12,$CC133="Monthly V",CJ133*(1+$D$3),$CC133="Monthly F",12,$CC133="One-Time",0),CJ133*(1+$D$3))</f>
        <v>0</v>
      </c>
      <c r="CL133" s="14" cm="1">
        <f t="array" ref="CL133">IFERROR(_xlfn.IFS(VALUE(MID(CL$5,6,1))&gt;$D$2,0,$CC133="Annual",1,CK133=12,12,$CC133="Monthly V",CK133*(1+$D$3),$CC133="Monthly F",12,$CC133="One-Time",0),CK133*(1+$D$3))</f>
        <v>0</v>
      </c>
      <c r="CM133" s="14" cm="1">
        <f t="array" ref="CM133">IFERROR(_xlfn.IFS(VALUE(MID(CM$5,6,1))&gt;$D$2,0,$CC133="Annual",1,CL133=12,12,$CC133="Monthly V",CL133*(1+$D$3),$CC133="Monthly F",12,$CC133="One-Time",0),CL133*(1+$D$3))</f>
        <v>0</v>
      </c>
      <c r="CN133" s="24" cm="1">
        <f t="array" ref="CN133">IFERROR(_xlfn.IFS(VALUE(MID(CN$5,6,2))&gt;$D$2,0,$CC133="Annual",1,CM133=12,12,$CC133="Monthly V",CM133*(1+$D$3),$CC133="Monthly F",12,$CC133="One-Time",0),CM133*(1+$D$3))</f>
        <v>0</v>
      </c>
      <c r="CO133" s="63"/>
      <c r="CP133" s="53"/>
      <c r="CQ133" s="21">
        <f t="shared" si="636"/>
        <v>0</v>
      </c>
      <c r="CR133" s="55">
        <f t="shared" si="637"/>
        <v>0</v>
      </c>
      <c r="CS133" s="55">
        <f t="shared" si="637"/>
        <v>0</v>
      </c>
      <c r="CT133" s="55">
        <f t="shared" si="637"/>
        <v>0</v>
      </c>
      <c r="CU133" s="55">
        <f t="shared" si="637"/>
        <v>0</v>
      </c>
      <c r="CV133" s="55">
        <f t="shared" si="637"/>
        <v>0</v>
      </c>
      <c r="CW133" s="55">
        <f t="shared" si="637"/>
        <v>0</v>
      </c>
      <c r="CX133" s="55">
        <f t="shared" si="637"/>
        <v>0</v>
      </c>
      <c r="CY133" s="55">
        <f t="shared" si="637"/>
        <v>0</v>
      </c>
      <c r="CZ133" s="55">
        <f t="shared" si="637"/>
        <v>0</v>
      </c>
      <c r="DA133" s="55">
        <f t="shared" si="637"/>
        <v>0</v>
      </c>
      <c r="DB133" s="56"/>
      <c r="DC133" s="56">
        <f t="shared" si="638"/>
        <v>0</v>
      </c>
      <c r="DD133" s="56">
        <f t="shared" si="639"/>
        <v>0</v>
      </c>
      <c r="DE133" s="56">
        <f t="shared" si="640"/>
        <v>0</v>
      </c>
      <c r="DF133" s="56">
        <f t="shared" si="641"/>
        <v>0</v>
      </c>
      <c r="DG133" s="56">
        <f t="shared" si="642"/>
        <v>0</v>
      </c>
      <c r="DH133" s="56">
        <f t="shared" si="643"/>
        <v>0</v>
      </c>
      <c r="DI133" s="56">
        <f t="shared" si="644"/>
        <v>0</v>
      </c>
      <c r="DJ133" s="56">
        <f t="shared" si="645"/>
        <v>0</v>
      </c>
      <c r="DK133" s="56">
        <f t="shared" si="646"/>
        <v>0</v>
      </c>
      <c r="DL133" s="57">
        <f t="shared" si="647"/>
        <v>0</v>
      </c>
      <c r="DM133" s="54">
        <f t="shared" si="648"/>
        <v>0</v>
      </c>
      <c r="DO133" s="106"/>
    </row>
    <row r="134" spans="2:119" x14ac:dyDescent="0.25">
      <c r="B134" s="141"/>
      <c r="C134" s="24"/>
      <c r="D134" s="147"/>
      <c r="E134" s="142"/>
      <c r="F134" s="14"/>
      <c r="G134" s="14"/>
      <c r="H134" s="14"/>
      <c r="I134" s="14"/>
      <c r="J134" s="14"/>
      <c r="K134" s="14"/>
      <c r="L134" s="14"/>
      <c r="M134" s="14"/>
      <c r="N134" s="24"/>
      <c r="O134" s="127"/>
      <c r="P134" s="13"/>
      <c r="Q134" s="20"/>
      <c r="R134" s="21"/>
      <c r="S134" s="6"/>
      <c r="T134" s="6"/>
      <c r="U134" s="6"/>
      <c r="V134" s="6"/>
      <c r="W134" s="6"/>
      <c r="X134" s="6"/>
      <c r="Y134" s="6"/>
      <c r="Z134" s="6"/>
      <c r="AA134" s="6"/>
      <c r="AB134" s="6"/>
      <c r="AC134" s="7"/>
      <c r="AD134" s="152"/>
      <c r="AE134" s="152"/>
      <c r="AF134" s="152"/>
      <c r="AG134" s="152"/>
      <c r="AH134" s="152"/>
      <c r="AI134" s="152"/>
      <c r="AJ134" s="152"/>
      <c r="AK134" s="152"/>
      <c r="AL134" s="152"/>
      <c r="AM134" s="9"/>
      <c r="AN134" s="80"/>
      <c r="AP134" s="102" t="s">
        <v>1</v>
      </c>
      <c r="AQ134" s="12">
        <v>5000</v>
      </c>
      <c r="AR134" s="14">
        <f t="shared" si="649"/>
        <v>60000</v>
      </c>
      <c r="AS134" s="14" cm="1">
        <f t="array" ref="AS134">IFERROR(_xlfn.IFS(VALUE(MID(AS$5,6,1))&gt;$D$2,0,$AP134="Annual",1,AR134=12,12,$AP134="Monthly V",AR134*(1+$BD$2),$AP134="Monthly F",12,$AP134="One-Time",0),AR134*(1+$BD$2))</f>
        <v>60000</v>
      </c>
      <c r="AT134" s="14" cm="1">
        <f t="array" ref="AT134">IFERROR(_xlfn.IFS(VALUE(MID(AT$5,6,1))&gt;$D$2,0,$AP134="Annual",1,AS134=12,12,$AP134="Monthly V",AS134*(1+$BD$2),$AP134="Monthly F",12,$AP134="One-Time",0),AS134*(1+$BD$2))</f>
        <v>60000</v>
      </c>
      <c r="AU134" s="14" cm="1">
        <f t="array" ref="AU134">IFERROR(_xlfn.IFS(VALUE(MID(AU$5,6,1))&gt;$D$2,0,$AP134="Annual",1,AT134=12,12,$AP134="Monthly V",AT134*(1+$BD$2),$AP134="Monthly F",12,$AP134="One-Time",0),AT134*(1+$BD$2))</f>
        <v>60000</v>
      </c>
      <c r="AV134" s="14" cm="1">
        <f t="array" ref="AV134">IFERROR(_xlfn.IFS(VALUE(MID(AV$5,6,1))&gt;$D$2,0,$AP134="Annual",1,AU134=12,12,$AP134="Monthly V",AU134*(1+$BD$2),$AP134="Monthly F",12,$AP134="One-Time",0),AU134*(1+$BD$2))</f>
        <v>60000</v>
      </c>
      <c r="AW134" s="14" cm="1">
        <f t="array" ref="AW134">IFERROR(_xlfn.IFS(VALUE(MID(AW$5,6,1))&gt;$D$2,0,$AP134="Annual",1,AV134=12,12,$AP134="Monthly V",AV134*(1+$BD$2),$AP134="Monthly F",12,$AP134="One-Time",0),AV134*(1+$BD$2))</f>
        <v>60000</v>
      </c>
      <c r="AX134" s="14" cm="1">
        <f t="array" ref="AX134">IFERROR(_xlfn.IFS(VALUE(MID(AX$5,6,1))&gt;$D$2,0,$AP134="Annual",1,AW134=12,12,$AP134="Monthly V",AW134*(1+$BD$2),$AP134="Monthly F",12,$AP134="One-Time",0),AW134*(1+$BD$2))</f>
        <v>60000</v>
      </c>
      <c r="AY134" s="14" cm="1">
        <f t="array" ref="AY134">IFERROR(_xlfn.IFS(VALUE(MID(AY$5,6,1))&gt;$D$2,0,$AP134="Annual",1,AX134=12,12,$AP134="Monthly V",AX134*(1+$D$3),$AP134="Monthly F",12,$AP134="One-Time",0),AX134*(1+$D$3))</f>
        <v>0</v>
      </c>
      <c r="AZ134" s="14" cm="1">
        <f t="array" ref="AZ134">IFERROR(_xlfn.IFS(VALUE(MID(AZ$5,6,1))&gt;$D$2,0,$AP134="Annual",1,AY134=12,12,$AP134="Monthly V",AY134*(1+$D$3),$AP134="Monthly F",12,$AP134="One-Time",0),AY134*(1+$D$3))</f>
        <v>0</v>
      </c>
      <c r="BA134" s="125" cm="1">
        <f t="array" ref="BA134">IFERROR(_xlfn.IFS(VALUE(MID(BA$5,6,2))&gt;$D$2,0,$AP134="Annual",1,AZ134=12,12,$AP134="Monthly V",AZ134*(1+$D$3),$AP134="Monthly F",12,$AP134="One-Time",0),AZ134*(1+$D$3))</f>
        <v>0</v>
      </c>
      <c r="BB134" s="124" t="s">
        <v>261</v>
      </c>
      <c r="BC134" s="38" t="s">
        <v>222</v>
      </c>
      <c r="BD134" s="36">
        <v>0.08</v>
      </c>
      <c r="BE134" s="21">
        <f t="shared" ref="BE134" si="697">BF134/12</f>
        <v>400</v>
      </c>
      <c r="BF134" s="39">
        <f t="shared" ref="BF134" si="698">IFERROR(AR134*$BD134,0)</f>
        <v>4800</v>
      </c>
      <c r="BG134" s="39">
        <f t="shared" ref="BG134" si="699">IFERROR(AS134*$BD134,0)</f>
        <v>4800</v>
      </c>
      <c r="BH134" s="39">
        <f t="shared" ref="BH134" si="700">IFERROR(AT134*$BD134,0)</f>
        <v>4800</v>
      </c>
      <c r="BI134" s="39">
        <f t="shared" si="622"/>
        <v>4944</v>
      </c>
      <c r="BJ134" s="39">
        <f t="shared" ref="BJ134:BL134" si="701">BI134*1.03</f>
        <v>5092.32</v>
      </c>
      <c r="BK134" s="39">
        <f t="shared" si="701"/>
        <v>5245.0896000000002</v>
      </c>
      <c r="BL134" s="39">
        <f t="shared" si="701"/>
        <v>5402.4422880000002</v>
      </c>
      <c r="BM134" s="39">
        <f t="shared" ref="BM134" si="702">IFERROR(AY134*$BD134,0)</f>
        <v>0</v>
      </c>
      <c r="BN134" s="39">
        <f t="shared" ref="BN134" si="703">IFERROR(AZ134*$BD134,0)</f>
        <v>0</v>
      </c>
      <c r="BO134" s="39">
        <f t="shared" ref="BO134" si="704">IFERROR(BA134*$BD134,0)</f>
        <v>0</v>
      </c>
      <c r="BP134" s="40"/>
      <c r="BQ134" s="40">
        <f t="shared" ref="BQ134" si="705">IF(VALUE(MID(BQ$5,6,1))&lt;=$D$2,((1+$BD$3)^1-1)*BG134,0)</f>
        <v>144.00000000000011</v>
      </c>
      <c r="BR134" s="40">
        <f t="shared" ref="BR134" si="706">IF(VALUE(MID(BR$5,6,1))&lt;=$D$2,((1+$BD$3)^2-1)*BH134,0)</f>
        <v>292.31999999999977</v>
      </c>
      <c r="BS134" s="40">
        <f t="shared" ref="BS134" si="707">IF(VALUE(MID(BS$5,6,1))&lt;=$D$2,((1+$BD$3)^3-1)*BI134,0)</f>
        <v>458.44228800000002</v>
      </c>
      <c r="BT134" s="40">
        <f t="shared" ref="BT134" si="708">IF(VALUE(MID(BT$5,6,1))&lt;=$D$2,((1+$BD$3)^4-1)*BJ134,0)</f>
        <v>639.13102333919949</v>
      </c>
      <c r="BU134" s="40">
        <f t="shared" ref="BU134" si="709">IF(VALUE(MID(BU$5,6,1))&lt;=$D$2,((1+$BD$3)^5-1)*BK134,0)</f>
        <v>835.40679066055657</v>
      </c>
      <c r="BV134" s="40">
        <f t="shared" ref="BV134" si="710">IF(VALUE(MID(BV$5,6,1))&lt;=$D$2,((1+$BD$3)^6-1)*BL134,0)</f>
        <v>1048.3563328517848</v>
      </c>
      <c r="BW134" s="40">
        <f t="shared" ref="BW134" si="711">IF(VALUE(MID(BW$5,6,1))&lt;=$D$2,((1+$BD$3)^7-1)*BM134,0)</f>
        <v>0</v>
      </c>
      <c r="BX134" s="40">
        <f t="shared" ref="BX134" si="712">IF(VALUE(MID(BX$5,6,1))&lt;=$D$2,((1+$BD$3)^8-1)*BN134,0)</f>
        <v>0</v>
      </c>
      <c r="BY134" s="40">
        <f t="shared" ref="BY134" si="713">IF(VALUE(MID(BY$5,6,2))&lt;=$D$2,((1+$BD$3)^9-1)*BO134,0)</f>
        <v>0</v>
      </c>
      <c r="BZ134" s="40">
        <f t="shared" ref="BZ134" si="714">SUM(BP134:BY134)</f>
        <v>3417.6564348515408</v>
      </c>
      <c r="CA134" s="37">
        <f t="shared" ref="CA134" si="715">SUM(BZ134,BF134:BO134)</f>
        <v>38501.508322851536</v>
      </c>
      <c r="CC134" s="102"/>
      <c r="CD134" s="12"/>
      <c r="CE134" s="14"/>
      <c r="CF134" s="14"/>
      <c r="CG134" s="14"/>
      <c r="CH134" s="14"/>
      <c r="CI134" s="14"/>
      <c r="CJ134" s="14"/>
      <c r="CK134" s="14"/>
      <c r="CL134" s="14"/>
      <c r="CM134" s="14"/>
      <c r="CN134" s="24"/>
      <c r="CO134" s="63"/>
      <c r="CP134" s="53"/>
      <c r="CQ134" s="21"/>
      <c r="CR134" s="55"/>
      <c r="CS134" s="55"/>
      <c r="CT134" s="55"/>
      <c r="CU134" s="55"/>
      <c r="CV134" s="55"/>
      <c r="CW134" s="55"/>
      <c r="CX134" s="55"/>
      <c r="CY134" s="55"/>
      <c r="CZ134" s="55"/>
      <c r="DA134" s="55"/>
      <c r="DB134" s="56"/>
      <c r="DC134" s="56"/>
      <c r="DD134" s="56"/>
      <c r="DE134" s="56"/>
      <c r="DF134" s="56"/>
      <c r="DG134" s="56"/>
      <c r="DH134" s="56"/>
      <c r="DI134" s="56"/>
      <c r="DJ134" s="56"/>
      <c r="DK134" s="56"/>
      <c r="DL134" s="57"/>
      <c r="DM134" s="54"/>
      <c r="DO134" s="106"/>
    </row>
    <row r="135" spans="2:119" x14ac:dyDescent="0.25">
      <c r="B135" s="141"/>
      <c r="C135" s="24"/>
      <c r="D135" s="147"/>
      <c r="E135" s="142"/>
      <c r="F135" s="14"/>
      <c r="G135" s="14"/>
      <c r="H135" s="14"/>
      <c r="I135" s="14"/>
      <c r="J135" s="14"/>
      <c r="K135" s="14"/>
      <c r="L135" s="14"/>
      <c r="M135" s="14"/>
      <c r="N135" s="24"/>
      <c r="O135" s="127"/>
      <c r="P135" s="13"/>
      <c r="Q135" s="20"/>
      <c r="R135" s="21"/>
      <c r="S135" s="6"/>
      <c r="T135" s="6"/>
      <c r="U135" s="6"/>
      <c r="V135" s="6"/>
      <c r="W135" s="6"/>
      <c r="X135" s="6"/>
      <c r="Y135" s="6"/>
      <c r="Z135" s="6"/>
      <c r="AA135" s="6"/>
      <c r="AB135" s="6"/>
      <c r="AC135" s="7"/>
      <c r="AD135" s="152"/>
      <c r="AE135" s="152"/>
      <c r="AF135" s="152"/>
      <c r="AG135" s="152"/>
      <c r="AH135" s="152"/>
      <c r="AI135" s="152"/>
      <c r="AJ135" s="152"/>
      <c r="AK135" s="152"/>
      <c r="AL135" s="152"/>
      <c r="AM135" s="9"/>
      <c r="AN135" s="80"/>
      <c r="AP135" s="102" t="s">
        <v>0</v>
      </c>
      <c r="AQ135" s="12">
        <v>1</v>
      </c>
      <c r="AR135" s="14">
        <f t="shared" si="649"/>
        <v>12</v>
      </c>
      <c r="AS135" s="14" cm="1">
        <f t="array" ref="AS135">IFERROR(_xlfn.IFS(VALUE(MID(AS$5,6,1))&gt;$D$2,0,$AP135="Annual",1,AR135=12,12,$AP135="Monthly V",AR135*(1+$BD$2),$AP135="Monthly F",12,$AP135="One-Time",0),AR135*(1+$BD$2))</f>
        <v>12</v>
      </c>
      <c r="AT135" s="14" cm="1">
        <f t="array" ref="AT135">IFERROR(_xlfn.IFS(VALUE(MID(AT$5,6,1))&gt;$D$2,0,$AP135="Annual",1,AS135=12,12,$AP135="Monthly V",AS135*(1+$BD$2),$AP135="Monthly F",12,$AP135="One-Time",0),AS135*(1+$BD$2))</f>
        <v>12</v>
      </c>
      <c r="AU135" s="14" cm="1">
        <f t="array" ref="AU135">IFERROR(_xlfn.IFS(VALUE(MID(AU$5,6,1))&gt;$D$2,0,$AP135="Annual",1,AT135=12,12,$AP135="Monthly V",AT135*(1+$BD$2),$AP135="Monthly F",12,$AP135="One-Time",0),AT135*(1+$BD$2))</f>
        <v>12</v>
      </c>
      <c r="AV135" s="14" cm="1">
        <f t="array" ref="AV135">IFERROR(_xlfn.IFS(VALUE(MID(AV$5,6,1))&gt;$D$2,0,$AP135="Annual",1,AU135=12,12,$AP135="Monthly V",AU135*(1+$BD$2),$AP135="Monthly F",12,$AP135="One-Time",0),AU135*(1+$BD$2))</f>
        <v>12</v>
      </c>
      <c r="AW135" s="14" cm="1">
        <f t="array" ref="AW135">IFERROR(_xlfn.IFS(VALUE(MID(AW$5,6,1))&gt;$D$2,0,$AP135="Annual",1,AV135=12,12,$AP135="Monthly V",AV135*(1+$BD$2),$AP135="Monthly F",12,$AP135="One-Time",0),AV135*(1+$BD$2))</f>
        <v>12</v>
      </c>
      <c r="AX135" s="14" cm="1">
        <f t="array" ref="AX135">IFERROR(_xlfn.IFS(VALUE(MID(AX$5,6,1))&gt;$D$2,0,$AP135="Annual",1,AW135=12,12,$AP135="Monthly V",AW135*(1+$BD$2),$AP135="Monthly F",12,$AP135="One-Time",0),AW135*(1+$BD$2))</f>
        <v>12</v>
      </c>
      <c r="AY135" s="14" cm="1">
        <f t="array" ref="AY135">IFERROR(_xlfn.IFS(VALUE(MID(AY$5,6,1))&gt;$D$2,0,$AP135="Annual",1,AX135=12,12,$AP135="Monthly V",AX135*(1+$D$3),$AP135="Monthly F",12,$AP135="One-Time",0),AX135*(1+$D$3))</f>
        <v>0</v>
      </c>
      <c r="AZ135" s="14" cm="1">
        <f t="array" ref="AZ135">IFERROR(_xlfn.IFS(VALUE(MID(AZ$5,6,1))&gt;$D$2,0,$AP135="Annual",1,AY135=12,12,$AP135="Monthly V",AY135*(1+$D$3),$AP135="Monthly F",12,$AP135="One-Time",0),AY135*(1+$D$3))</f>
        <v>0</v>
      </c>
      <c r="BA135" s="125" cm="1">
        <f t="array" ref="BA135">IFERROR(_xlfn.IFS(VALUE(MID(BA$5,6,2))&gt;$D$2,0,$AP135="Annual",1,AZ135=12,12,$AP135="Monthly V",AZ135*(1+$D$3),$AP135="Monthly F",12,$AP135="One-Time",0),AZ135*(1+$D$3))</f>
        <v>0</v>
      </c>
      <c r="BB135" s="124" t="s">
        <v>263</v>
      </c>
      <c r="BC135" s="38" t="s">
        <v>276</v>
      </c>
      <c r="BD135" s="36">
        <v>100</v>
      </c>
      <c r="BE135" s="21">
        <f t="shared" ref="BE135" si="716">BF135/12</f>
        <v>100</v>
      </c>
      <c r="BF135" s="39">
        <f t="shared" ref="BF135" si="717">IFERROR(AR135*$BD135,0)</f>
        <v>1200</v>
      </c>
      <c r="BG135" s="39">
        <f t="shared" ref="BG135" si="718">IFERROR(AS135*$BD135,0)</f>
        <v>1200</v>
      </c>
      <c r="BH135" s="39">
        <f t="shared" ref="BH135" si="719">IFERROR(AT135*$BD135,0)</f>
        <v>1200</v>
      </c>
      <c r="BI135" s="39">
        <f t="shared" si="622"/>
        <v>1236</v>
      </c>
      <c r="BJ135" s="39">
        <f t="shared" ref="BJ135:BL135" si="720">BI135*1.03</f>
        <v>1273.08</v>
      </c>
      <c r="BK135" s="39">
        <f t="shared" si="720"/>
        <v>1311.2724000000001</v>
      </c>
      <c r="BL135" s="39">
        <f t="shared" si="720"/>
        <v>1350.610572</v>
      </c>
      <c r="BM135" s="39">
        <f t="shared" ref="BM135" si="721">IFERROR(AY135*$BD135,0)</f>
        <v>0</v>
      </c>
      <c r="BN135" s="39">
        <f t="shared" ref="BN135" si="722">IFERROR(AZ135*$BD135,0)</f>
        <v>0</v>
      </c>
      <c r="BO135" s="39">
        <f t="shared" ref="BO135" si="723">IFERROR(BA135*$BD135,0)</f>
        <v>0</v>
      </c>
      <c r="BP135" s="40"/>
      <c r="BQ135" s="40">
        <f t="shared" ref="BQ135" si="724">IF(VALUE(MID(BQ$5,6,1))&lt;=$D$2,((1+$BD$3)^1-1)*BG135,0)</f>
        <v>36.000000000000028</v>
      </c>
      <c r="BR135" s="40">
        <f t="shared" ref="BR135" si="725">IF(VALUE(MID(BR$5,6,1))&lt;=$D$2,((1+$BD$3)^2-1)*BH135,0)</f>
        <v>73.079999999999941</v>
      </c>
      <c r="BS135" s="40">
        <f t="shared" ref="BS135" si="726">IF(VALUE(MID(BS$5,6,1))&lt;=$D$2,((1+$BD$3)^3-1)*BI135,0)</f>
        <v>114.610572</v>
      </c>
      <c r="BT135" s="40">
        <f t="shared" ref="BT135" si="727">IF(VALUE(MID(BT$5,6,1))&lt;=$D$2,((1+$BD$3)^4-1)*BJ135,0)</f>
        <v>159.78275583479987</v>
      </c>
      <c r="BU135" s="40">
        <f t="shared" ref="BU135" si="728">IF(VALUE(MID(BU$5,6,1))&lt;=$D$2,((1+$BD$3)^5-1)*BK135,0)</f>
        <v>208.85169766513914</v>
      </c>
      <c r="BV135" s="40">
        <f t="shared" ref="BV135" si="729">IF(VALUE(MID(BV$5,6,1))&lt;=$D$2,((1+$BD$3)^6-1)*BL135,0)</f>
        <v>262.08908321294621</v>
      </c>
      <c r="BW135" s="40">
        <f t="shared" ref="BW135" si="730">IF(VALUE(MID(BW$5,6,1))&lt;=$D$2,((1+$BD$3)^7-1)*BM135,0)</f>
        <v>0</v>
      </c>
      <c r="BX135" s="40">
        <f t="shared" ref="BX135" si="731">IF(VALUE(MID(BX$5,6,1))&lt;=$D$2,((1+$BD$3)^8-1)*BN135,0)</f>
        <v>0</v>
      </c>
      <c r="BY135" s="40">
        <f t="shared" ref="BY135" si="732">IF(VALUE(MID(BY$5,6,2))&lt;=$D$2,((1+$BD$3)^9-1)*BO135,0)</f>
        <v>0</v>
      </c>
      <c r="BZ135" s="40">
        <f t="shared" ref="BZ135" si="733">SUM(BP135:BY135)</f>
        <v>854.4141087128852</v>
      </c>
      <c r="CA135" s="37">
        <f t="shared" ref="CA135" si="734">SUM(BZ135,BF135:BO135)</f>
        <v>9625.377080712884</v>
      </c>
      <c r="CC135" s="102"/>
      <c r="CD135" s="12"/>
      <c r="CE135" s="14"/>
      <c r="CF135" s="14"/>
      <c r="CG135" s="14"/>
      <c r="CH135" s="14"/>
      <c r="CI135" s="14"/>
      <c r="CJ135" s="14"/>
      <c r="CK135" s="14"/>
      <c r="CL135" s="14"/>
      <c r="CM135" s="14"/>
      <c r="CN135" s="24"/>
      <c r="CO135" s="63"/>
      <c r="CP135" s="53"/>
      <c r="CQ135" s="21"/>
      <c r="CR135" s="55"/>
      <c r="CS135" s="55"/>
      <c r="CT135" s="55"/>
      <c r="CU135" s="55"/>
      <c r="CV135" s="55"/>
      <c r="CW135" s="55"/>
      <c r="CX135" s="55"/>
      <c r="CY135" s="55"/>
      <c r="CZ135" s="55"/>
      <c r="DA135" s="55"/>
      <c r="DB135" s="56"/>
      <c r="DC135" s="56"/>
      <c r="DD135" s="56"/>
      <c r="DE135" s="56"/>
      <c r="DF135" s="56"/>
      <c r="DG135" s="56"/>
      <c r="DH135" s="56"/>
      <c r="DI135" s="56"/>
      <c r="DJ135" s="56"/>
      <c r="DK135" s="56"/>
      <c r="DL135" s="57"/>
      <c r="DM135" s="54"/>
      <c r="DO135" s="106"/>
    </row>
    <row r="136" spans="2:119" x14ac:dyDescent="0.25">
      <c r="B136" s="141"/>
      <c r="C136" s="24"/>
      <c r="D136" s="147"/>
      <c r="E136" s="142"/>
      <c r="F136" s="14"/>
      <c r="G136" s="14"/>
      <c r="H136" s="14"/>
      <c r="I136" s="14"/>
      <c r="J136" s="14"/>
      <c r="K136" s="14"/>
      <c r="L136" s="14"/>
      <c r="M136" s="14"/>
      <c r="N136" s="24"/>
      <c r="O136" s="127"/>
      <c r="P136" s="13"/>
      <c r="Q136" s="20"/>
      <c r="R136" s="21"/>
      <c r="S136" s="6"/>
      <c r="T136" s="6"/>
      <c r="U136" s="6"/>
      <c r="V136" s="6"/>
      <c r="W136" s="6"/>
      <c r="X136" s="6"/>
      <c r="Y136" s="6"/>
      <c r="Z136" s="6"/>
      <c r="AA136" s="6"/>
      <c r="AB136" s="6"/>
      <c r="AC136" s="7"/>
      <c r="AD136" s="152"/>
      <c r="AE136" s="152"/>
      <c r="AF136" s="152"/>
      <c r="AG136" s="152"/>
      <c r="AH136" s="152"/>
      <c r="AI136" s="152"/>
      <c r="AJ136" s="152"/>
      <c r="AK136" s="152"/>
      <c r="AL136" s="152"/>
      <c r="AM136" s="9"/>
      <c r="AN136" s="80"/>
      <c r="AP136" s="102" t="s">
        <v>1</v>
      </c>
      <c r="AQ136" s="12">
        <v>5000</v>
      </c>
      <c r="AR136" s="14">
        <f t="shared" si="649"/>
        <v>60000</v>
      </c>
      <c r="AS136" s="14" cm="1">
        <f t="array" ref="AS136">IFERROR(_xlfn.IFS(VALUE(MID(AS$5,6,1))&gt;$D$2,0,$AP136="Annual",1,AR136=12,12,$AP136="Monthly V",AR136*(1+$BD$2),$AP136="Monthly F",12,$AP136="One-Time",0),AR136*(1+$BD$2))</f>
        <v>60000</v>
      </c>
      <c r="AT136" s="14" cm="1">
        <f t="array" ref="AT136">IFERROR(_xlfn.IFS(VALUE(MID(AT$5,6,1))&gt;$D$2,0,$AP136="Annual",1,AS136=12,12,$AP136="Monthly V",AS136*(1+$BD$2),$AP136="Monthly F",12,$AP136="One-Time",0),AS136*(1+$BD$2))</f>
        <v>60000</v>
      </c>
      <c r="AU136" s="14" cm="1">
        <f t="array" ref="AU136">IFERROR(_xlfn.IFS(VALUE(MID(AU$5,6,1))&gt;$D$2,0,$AP136="Annual",1,AT136=12,12,$AP136="Monthly V",AT136*(1+$BD$2),$AP136="Monthly F",12,$AP136="One-Time",0),AT136*(1+$BD$2))</f>
        <v>60000</v>
      </c>
      <c r="AV136" s="14" cm="1">
        <f t="array" ref="AV136">IFERROR(_xlfn.IFS(VALUE(MID(AV$5,6,1))&gt;$D$2,0,$AP136="Annual",1,AU136=12,12,$AP136="Monthly V",AU136*(1+$BD$2),$AP136="Monthly F",12,$AP136="One-Time",0),AU136*(1+$BD$2))</f>
        <v>60000</v>
      </c>
      <c r="AW136" s="14" cm="1">
        <f t="array" ref="AW136">IFERROR(_xlfn.IFS(VALUE(MID(AW$5,6,1))&gt;$D$2,0,$AP136="Annual",1,AV136=12,12,$AP136="Monthly V",AV136*(1+$BD$2),$AP136="Monthly F",12,$AP136="One-Time",0),AV136*(1+$BD$2))</f>
        <v>60000</v>
      </c>
      <c r="AX136" s="14" cm="1">
        <f t="array" ref="AX136">IFERROR(_xlfn.IFS(VALUE(MID(AX$5,6,1))&gt;$D$2,0,$AP136="Annual",1,AW136=12,12,$AP136="Monthly V",AW136*(1+$BD$2),$AP136="Monthly F",12,$AP136="One-Time",0),AW136*(1+$BD$2))</f>
        <v>60000</v>
      </c>
      <c r="AY136" s="14" cm="1">
        <f t="array" ref="AY136">IFERROR(_xlfn.IFS(VALUE(MID(AY$5,6,1))&gt;$D$2,0,$AP136="Annual",1,AX136=12,12,$AP136="Monthly V",AX136*(1+$D$3),$AP136="Monthly F",12,$AP136="One-Time",0),AX136*(1+$D$3))</f>
        <v>0</v>
      </c>
      <c r="AZ136" s="14" cm="1">
        <f t="array" ref="AZ136">IFERROR(_xlfn.IFS(VALUE(MID(AZ$5,6,1))&gt;$D$2,0,$AP136="Annual",1,AY136=12,12,$AP136="Monthly V",AY136*(1+$D$3),$AP136="Monthly F",12,$AP136="One-Time",0),AY136*(1+$D$3))</f>
        <v>0</v>
      </c>
      <c r="BA136" s="125" cm="1">
        <f t="array" ref="BA136">IFERROR(_xlfn.IFS(VALUE(MID(BA$5,6,2))&gt;$D$2,0,$AP136="Annual",1,AZ136=12,12,$AP136="Monthly V",AZ136*(1+$D$3),$AP136="Monthly F",12,$AP136="One-Time",0),AZ136*(1+$D$3))</f>
        <v>0</v>
      </c>
      <c r="BB136" s="124" t="s">
        <v>264</v>
      </c>
      <c r="BC136" s="38" t="s">
        <v>277</v>
      </c>
      <c r="BD136" s="36">
        <v>0.24979999999999999</v>
      </c>
      <c r="BE136" s="21">
        <f t="shared" si="620"/>
        <v>1249</v>
      </c>
      <c r="BF136" s="39">
        <f t="shared" si="621"/>
        <v>14988</v>
      </c>
      <c r="BG136" s="39">
        <f t="shared" si="621"/>
        <v>14988</v>
      </c>
      <c r="BH136" s="39">
        <f t="shared" si="621"/>
        <v>14988</v>
      </c>
      <c r="BI136" s="39">
        <f t="shared" si="622"/>
        <v>15437.640000000001</v>
      </c>
      <c r="BJ136" s="39">
        <f t="shared" ref="BJ136:BL136" si="735">BI136*1.03</f>
        <v>15900.769200000002</v>
      </c>
      <c r="BK136" s="39">
        <f t="shared" si="735"/>
        <v>16377.792276000004</v>
      </c>
      <c r="BL136" s="39">
        <f t="shared" si="735"/>
        <v>16869.126044280005</v>
      </c>
      <c r="BM136" s="39">
        <f t="shared" si="621"/>
        <v>0</v>
      </c>
      <c r="BN136" s="39">
        <f t="shared" si="621"/>
        <v>0</v>
      </c>
      <c r="BO136" s="39">
        <f t="shared" si="621"/>
        <v>0</v>
      </c>
      <c r="BP136" s="40"/>
      <c r="BQ136" s="40">
        <f t="shared" si="624"/>
        <v>449.64000000000038</v>
      </c>
      <c r="BR136" s="40">
        <f t="shared" si="625"/>
        <v>912.76919999999927</v>
      </c>
      <c r="BS136" s="40">
        <f t="shared" si="626"/>
        <v>1431.4860442800002</v>
      </c>
      <c r="BT136" s="40">
        <f t="shared" si="627"/>
        <v>1995.686620376651</v>
      </c>
      <c r="BU136" s="40">
        <f t="shared" si="628"/>
        <v>2608.5577038375882</v>
      </c>
      <c r="BV136" s="40">
        <f t="shared" si="629"/>
        <v>3273.4926493296989</v>
      </c>
      <c r="BW136" s="40">
        <f t="shared" si="630"/>
        <v>0</v>
      </c>
      <c r="BX136" s="40">
        <f t="shared" si="631"/>
        <v>0</v>
      </c>
      <c r="BY136" s="40">
        <f t="shared" si="632"/>
        <v>0</v>
      </c>
      <c r="BZ136" s="40">
        <f t="shared" si="633"/>
        <v>10671.632217823939</v>
      </c>
      <c r="CA136" s="37">
        <f t="shared" si="634"/>
        <v>120220.95973810393</v>
      </c>
      <c r="CC136" s="102"/>
      <c r="CD136" s="12"/>
      <c r="CE136" s="14">
        <f t="shared" si="635"/>
        <v>0</v>
      </c>
      <c r="CF136" s="14" cm="1">
        <f t="array" ref="CF136">IFERROR(_xlfn.IFS(VALUE(MID(CF$5,6,1))&gt;$D$2,0,$CC136="Annual",1,CE136=12,12,$CC136="Monthly V",CE136*(1+$D$3),$CC136="Monthly F",12,$CC136="One-Time",0),CE136*(1+$D$3))</f>
        <v>0</v>
      </c>
      <c r="CG136" s="14" cm="1">
        <f t="array" ref="CG136">IFERROR(_xlfn.IFS(VALUE(MID(CG$5,6,1))&gt;$D$2,0,$CC136="Annual",1,CF136=12,12,$CC136="Monthly V",CF136*(1+$D$3),$CC136="Monthly F",12,$CC136="One-Time",0),CF136*(1+$D$3))</f>
        <v>0</v>
      </c>
      <c r="CH136" s="14" cm="1">
        <f t="array" ref="CH136">IFERROR(_xlfn.IFS(VALUE(MID(CH$5,6,1))&gt;$D$2,0,$CC136="Annual",1,CG136=12,12,$CC136="Monthly V",CG136*(1+$D$3),$CC136="Monthly F",12,$CC136="One-Time",0),CG136*(1+$D$3))</f>
        <v>0</v>
      </c>
      <c r="CI136" s="14" cm="1">
        <f t="array" ref="CI136">IFERROR(_xlfn.IFS(VALUE(MID(CI$5,6,1))&gt;$D$2,0,$CC136="Annual",1,CH136=12,12,$CC136="Monthly V",CH136*(1+$D$3),$CC136="Monthly F",12,$CC136="One-Time",0),CH136*(1+$D$3))</f>
        <v>0</v>
      </c>
      <c r="CJ136" s="14" cm="1">
        <f t="array" ref="CJ136">IFERROR(_xlfn.IFS(VALUE(MID(CJ$5,6,1))&gt;$D$2,0,$CC136="Annual",1,CI136=12,12,$CC136="Monthly V",CI136*(1+$D$3),$CC136="Monthly F",12,$CC136="One-Time",0),CI136*(1+$D$3))</f>
        <v>0</v>
      </c>
      <c r="CK136" s="14" cm="1">
        <f t="array" ref="CK136">IFERROR(_xlfn.IFS(VALUE(MID(CK$5,6,1))&gt;$D$2,0,$CC136="Annual",1,CJ136=12,12,$CC136="Monthly V",CJ136*(1+$D$3),$CC136="Monthly F",12,$CC136="One-Time",0),CJ136*(1+$D$3))</f>
        <v>0</v>
      </c>
      <c r="CL136" s="14" cm="1">
        <f t="array" ref="CL136">IFERROR(_xlfn.IFS(VALUE(MID(CL$5,6,1))&gt;$D$2,0,$CC136="Annual",1,CK136=12,12,$CC136="Monthly V",CK136*(1+$D$3),$CC136="Monthly F",12,$CC136="One-Time",0),CK136*(1+$D$3))</f>
        <v>0</v>
      </c>
      <c r="CM136" s="14" cm="1">
        <f t="array" ref="CM136">IFERROR(_xlfn.IFS(VALUE(MID(CM$5,6,1))&gt;$D$2,0,$CC136="Annual",1,CL136=12,12,$CC136="Monthly V",CL136*(1+$D$3),$CC136="Monthly F",12,$CC136="One-Time",0),CL136*(1+$D$3))</f>
        <v>0</v>
      </c>
      <c r="CN136" s="24" cm="1">
        <f t="array" ref="CN136">IFERROR(_xlfn.IFS(VALUE(MID(CN$5,6,2))&gt;$D$2,0,$CC136="Annual",1,CM136=12,12,$CC136="Monthly V",CM136*(1+$D$3),$CC136="Monthly F",12,$CC136="One-Time",0),CM136*(1+$D$3))</f>
        <v>0</v>
      </c>
      <c r="CO136" s="63"/>
      <c r="CP136" s="53"/>
      <c r="CQ136" s="21">
        <f t="shared" si="636"/>
        <v>0</v>
      </c>
      <c r="CR136" s="55">
        <f t="shared" si="637"/>
        <v>0</v>
      </c>
      <c r="CS136" s="55">
        <f t="shared" si="637"/>
        <v>0</v>
      </c>
      <c r="CT136" s="55">
        <f t="shared" si="637"/>
        <v>0</v>
      </c>
      <c r="CU136" s="55">
        <f t="shared" si="637"/>
        <v>0</v>
      </c>
      <c r="CV136" s="55">
        <f t="shared" si="637"/>
        <v>0</v>
      </c>
      <c r="CW136" s="55">
        <f t="shared" si="637"/>
        <v>0</v>
      </c>
      <c r="CX136" s="55">
        <f t="shared" si="637"/>
        <v>0</v>
      </c>
      <c r="CY136" s="55">
        <f t="shared" si="637"/>
        <v>0</v>
      </c>
      <c r="CZ136" s="55">
        <f t="shared" si="637"/>
        <v>0</v>
      </c>
      <c r="DA136" s="55">
        <f t="shared" si="637"/>
        <v>0</v>
      </c>
      <c r="DB136" s="56"/>
      <c r="DC136" s="56">
        <f t="shared" si="638"/>
        <v>0</v>
      </c>
      <c r="DD136" s="56">
        <f t="shared" si="639"/>
        <v>0</v>
      </c>
      <c r="DE136" s="56">
        <f t="shared" si="640"/>
        <v>0</v>
      </c>
      <c r="DF136" s="56">
        <f t="shared" si="641"/>
        <v>0</v>
      </c>
      <c r="DG136" s="56">
        <f t="shared" si="642"/>
        <v>0</v>
      </c>
      <c r="DH136" s="56">
        <f t="shared" si="643"/>
        <v>0</v>
      </c>
      <c r="DI136" s="56">
        <f t="shared" si="644"/>
        <v>0</v>
      </c>
      <c r="DJ136" s="56">
        <f t="shared" si="645"/>
        <v>0</v>
      </c>
      <c r="DK136" s="56">
        <f t="shared" si="646"/>
        <v>0</v>
      </c>
      <c r="DL136" s="57">
        <f t="shared" si="647"/>
        <v>0</v>
      </c>
      <c r="DM136" s="54">
        <f t="shared" si="648"/>
        <v>0</v>
      </c>
      <c r="DO136" s="106"/>
    </row>
    <row r="137" spans="2:119" x14ac:dyDescent="0.25">
      <c r="B137" s="141"/>
      <c r="C137" s="24"/>
      <c r="D137" s="147"/>
      <c r="E137" s="142"/>
      <c r="F137" s="14"/>
      <c r="G137" s="14"/>
      <c r="H137" s="14"/>
      <c r="I137" s="14"/>
      <c r="J137" s="14"/>
      <c r="K137" s="14"/>
      <c r="L137" s="14"/>
      <c r="M137" s="14"/>
      <c r="N137" s="24"/>
      <c r="O137" s="127"/>
      <c r="P137" s="13"/>
      <c r="Q137" s="20"/>
      <c r="R137" s="21"/>
      <c r="S137" s="6"/>
      <c r="T137" s="6"/>
      <c r="U137" s="6"/>
      <c r="V137" s="6"/>
      <c r="W137" s="6"/>
      <c r="X137" s="6"/>
      <c r="Y137" s="6"/>
      <c r="Z137" s="6"/>
      <c r="AA137" s="6"/>
      <c r="AB137" s="6"/>
      <c r="AC137" s="7"/>
      <c r="AD137" s="152"/>
      <c r="AE137" s="152"/>
      <c r="AF137" s="152"/>
      <c r="AG137" s="152"/>
      <c r="AH137" s="152"/>
      <c r="AI137" s="152"/>
      <c r="AJ137" s="152"/>
      <c r="AK137" s="152"/>
      <c r="AL137" s="152"/>
      <c r="AM137" s="9"/>
      <c r="AN137" s="80"/>
      <c r="AP137" s="102" t="s">
        <v>0</v>
      </c>
      <c r="AQ137" s="12">
        <v>1</v>
      </c>
      <c r="AR137" s="14">
        <f t="shared" ref="AR137:AR145" si="736">IF($AP137="Annual",1,IF($AP137="Monthly F",12,IF($AP137="Monthly V",AQ137*12,IF($AP137="One-Time",1,AQ137*12))))</f>
        <v>12</v>
      </c>
      <c r="AS137" s="14" cm="1">
        <f t="array" ref="AS137">IFERROR(_xlfn.IFS(VALUE(MID(AS$5,6,1))&gt;$D$2,0,$AP137="Annual",1,AR137=12,12,$AP137="Monthly V",AR137*(1+$D$3),$AP137="Monthly F",12,$AP137="One-Time",0),AR137*(1+$D$3))</f>
        <v>12</v>
      </c>
      <c r="AT137" s="14" cm="1">
        <f t="array" ref="AT137">IFERROR(_xlfn.IFS(VALUE(MID(AT$5,6,1))&gt;$D$2,0,$AP137="Annual",1,AS137=12,12,$AP137="Monthly V",AS137*(1+$D$3),$AP137="Monthly F",12,$AP137="One-Time",0),AS137*(1+$D$3))</f>
        <v>12</v>
      </c>
      <c r="AU137" s="14" cm="1">
        <f t="array" ref="AU137">IFERROR(_xlfn.IFS(VALUE(MID(AU$5,6,1))&gt;$D$2,0,$AP137="Annual",1,AT137=12,12,$AP137="Monthly V",AT137*(1+$D$3),$AP137="Monthly F",12,$AP137="One-Time",0),AT137*(1+$D$3))</f>
        <v>12</v>
      </c>
      <c r="AV137" s="14" cm="1">
        <f t="array" ref="AV137">IFERROR(_xlfn.IFS(VALUE(MID(AV$5,6,1))&gt;$D$2,0,$AP137="Annual",1,AU137=12,12,$AP137="Monthly V",AU137*(1+$D$3),$AP137="Monthly F",12,$AP137="One-Time",0),AU137*(1+$D$3))</f>
        <v>12</v>
      </c>
      <c r="AW137" s="14" cm="1">
        <f t="array" ref="AW137">IFERROR(_xlfn.IFS(VALUE(MID(AW$5,6,1))&gt;$D$2,0,$AP137="Annual",1,AV137=12,12,$AP137="Monthly V",AV137*(1+$D$3),$AP137="Monthly F",12,$AP137="One-Time",0),AV137*(1+$D$3))</f>
        <v>12</v>
      </c>
      <c r="AX137" s="14" cm="1">
        <f t="array" ref="AX137">IFERROR(_xlfn.IFS(VALUE(MID(AX$5,6,1))&gt;$D$2,0,$AP137="Annual",1,AW137=12,12,$AP137="Monthly V",AW137*(1+$D$3),$AP137="Monthly F",12,$AP137="One-Time",0),AW137*(1+$D$3))</f>
        <v>12</v>
      </c>
      <c r="AY137" s="14" cm="1">
        <f t="array" ref="AY137">IFERROR(_xlfn.IFS(VALUE(MID(AY$5,6,1))&gt;$D$2,0,$AP137="Annual",1,AX137=12,12,$AP137="Monthly V",AX137*(1+$D$3),$AP137="Monthly F",12,$AP137="One-Time",0),AX137*(1+$D$3))</f>
        <v>0</v>
      </c>
      <c r="AZ137" s="14" cm="1">
        <f t="array" ref="AZ137">IFERROR(_xlfn.IFS(VALUE(MID(AZ$5,6,1))&gt;$D$2,0,$AP137="Annual",1,AY137=12,12,$AP137="Monthly V",AY137*(1+$D$3),$AP137="Monthly F",12,$AP137="One-Time",0),AY137*(1+$D$3))</f>
        <v>0</v>
      </c>
      <c r="BA137" s="125" cm="1">
        <f t="array" ref="BA137">IFERROR(_xlfn.IFS(VALUE(MID(BA$5,6,2))&gt;$D$2,0,$AP137="Annual",1,AZ137=12,12,$AP137="Monthly V",AZ137*(1+$D$3),$AP137="Monthly F",12,$AP137="One-Time",0),AZ137*(1+$D$3))</f>
        <v>0</v>
      </c>
      <c r="BB137" s="124" t="s">
        <v>269</v>
      </c>
      <c r="BC137" s="38" t="s">
        <v>278</v>
      </c>
      <c r="BD137" s="36">
        <v>1750</v>
      </c>
      <c r="BE137" s="21">
        <f t="shared" si="620"/>
        <v>1750</v>
      </c>
      <c r="BF137" s="39">
        <f t="shared" si="621"/>
        <v>21000</v>
      </c>
      <c r="BG137" s="39">
        <f t="shared" si="621"/>
        <v>21000</v>
      </c>
      <c r="BH137" s="39">
        <f t="shared" si="621"/>
        <v>21000</v>
      </c>
      <c r="BI137" s="39">
        <f t="shared" si="622"/>
        <v>21630</v>
      </c>
      <c r="BJ137" s="39">
        <f t="shared" ref="BJ137:BL137" si="737">BI137*1.03</f>
        <v>22278.9</v>
      </c>
      <c r="BK137" s="39">
        <f t="shared" si="737"/>
        <v>22947.267000000003</v>
      </c>
      <c r="BL137" s="39">
        <f t="shared" si="737"/>
        <v>23635.685010000005</v>
      </c>
      <c r="BM137" s="39">
        <f t="shared" si="621"/>
        <v>0</v>
      </c>
      <c r="BN137" s="39">
        <f t="shared" si="621"/>
        <v>0</v>
      </c>
      <c r="BO137" s="39">
        <f t="shared" si="621"/>
        <v>0</v>
      </c>
      <c r="BP137" s="40"/>
      <c r="BQ137" s="40">
        <f t="shared" si="624"/>
        <v>630.00000000000057</v>
      </c>
      <c r="BR137" s="40">
        <f t="shared" si="625"/>
        <v>1278.899999999999</v>
      </c>
      <c r="BS137" s="40">
        <f t="shared" si="626"/>
        <v>2005.6850100000001</v>
      </c>
      <c r="BT137" s="40">
        <f t="shared" si="627"/>
        <v>2796.1982271089983</v>
      </c>
      <c r="BU137" s="40">
        <f t="shared" si="628"/>
        <v>3654.9047091399352</v>
      </c>
      <c r="BV137" s="40">
        <f t="shared" si="629"/>
        <v>4586.5589562265595</v>
      </c>
      <c r="BW137" s="40">
        <f t="shared" si="630"/>
        <v>0</v>
      </c>
      <c r="BX137" s="40">
        <f t="shared" si="631"/>
        <v>0</v>
      </c>
      <c r="BY137" s="40">
        <f t="shared" si="632"/>
        <v>0</v>
      </c>
      <c r="BZ137" s="40">
        <f t="shared" si="633"/>
        <v>14952.246902475494</v>
      </c>
      <c r="CA137" s="37">
        <f t="shared" si="634"/>
        <v>168444.09891247551</v>
      </c>
      <c r="CC137" s="102"/>
      <c r="CD137" s="12"/>
      <c r="CE137" s="14">
        <f t="shared" si="635"/>
        <v>0</v>
      </c>
      <c r="CF137" s="14" cm="1">
        <f t="array" ref="CF137">IFERROR(_xlfn.IFS(VALUE(MID(CF$5,6,1))&gt;$D$2,0,$CC137="Annual",1,CE137=12,12,$CC137="Monthly V",CE137*(1+$D$3),$CC137="Monthly F",12,$CC137="One-Time",0),CE137*(1+$D$3))</f>
        <v>0</v>
      </c>
      <c r="CG137" s="14" cm="1">
        <f t="array" ref="CG137">IFERROR(_xlfn.IFS(VALUE(MID(CG$5,6,1))&gt;$D$2,0,$CC137="Annual",1,CF137=12,12,$CC137="Monthly V",CF137*(1+$D$3),$CC137="Monthly F",12,$CC137="One-Time",0),CF137*(1+$D$3))</f>
        <v>0</v>
      </c>
      <c r="CH137" s="14" cm="1">
        <f t="array" ref="CH137">IFERROR(_xlfn.IFS(VALUE(MID(CH$5,6,1))&gt;$D$2,0,$CC137="Annual",1,CG137=12,12,$CC137="Monthly V",CG137*(1+$D$3),$CC137="Monthly F",12,$CC137="One-Time",0),CG137*(1+$D$3))</f>
        <v>0</v>
      </c>
      <c r="CI137" s="14" cm="1">
        <f t="array" ref="CI137">IFERROR(_xlfn.IFS(VALUE(MID(CI$5,6,1))&gt;$D$2,0,$CC137="Annual",1,CH137=12,12,$CC137="Monthly V",CH137*(1+$D$3),$CC137="Monthly F",12,$CC137="One-Time",0),CH137*(1+$D$3))</f>
        <v>0</v>
      </c>
      <c r="CJ137" s="14" cm="1">
        <f t="array" ref="CJ137">IFERROR(_xlfn.IFS(VALUE(MID(CJ$5,6,1))&gt;$D$2,0,$CC137="Annual",1,CI137=12,12,$CC137="Monthly V",CI137*(1+$D$3),$CC137="Monthly F",12,$CC137="One-Time",0),CI137*(1+$D$3))</f>
        <v>0</v>
      </c>
      <c r="CK137" s="14" cm="1">
        <f t="array" ref="CK137">IFERROR(_xlfn.IFS(VALUE(MID(CK$5,6,1))&gt;$D$2,0,$CC137="Annual",1,CJ137=12,12,$CC137="Monthly V",CJ137*(1+$D$3),$CC137="Monthly F",12,$CC137="One-Time",0),CJ137*(1+$D$3))</f>
        <v>0</v>
      </c>
      <c r="CL137" s="14" cm="1">
        <f t="array" ref="CL137">IFERROR(_xlfn.IFS(VALUE(MID(CL$5,6,1))&gt;$D$2,0,$CC137="Annual",1,CK137=12,12,$CC137="Monthly V",CK137*(1+$D$3),$CC137="Monthly F",12,$CC137="One-Time",0),CK137*(1+$D$3))</f>
        <v>0</v>
      </c>
      <c r="CM137" s="14" cm="1">
        <f t="array" ref="CM137">IFERROR(_xlfn.IFS(VALUE(MID(CM$5,6,1))&gt;$D$2,0,$CC137="Annual",1,CL137=12,12,$CC137="Monthly V",CL137*(1+$D$3),$CC137="Monthly F",12,$CC137="One-Time",0),CL137*(1+$D$3))</f>
        <v>0</v>
      </c>
      <c r="CN137" s="24" cm="1">
        <f t="array" ref="CN137">IFERROR(_xlfn.IFS(VALUE(MID(CN$5,6,2))&gt;$D$2,0,$CC137="Annual",1,CM137=12,12,$CC137="Monthly V",CM137*(1+$D$3),$CC137="Monthly F",12,$CC137="One-Time",0),CM137*(1+$D$3))</f>
        <v>0</v>
      </c>
      <c r="CO137" s="63"/>
      <c r="CP137" s="53"/>
      <c r="CQ137" s="21">
        <f t="shared" si="636"/>
        <v>0</v>
      </c>
      <c r="CR137" s="55">
        <f t="shared" si="637"/>
        <v>0</v>
      </c>
      <c r="CS137" s="55">
        <f t="shared" si="637"/>
        <v>0</v>
      </c>
      <c r="CT137" s="55">
        <f t="shared" si="637"/>
        <v>0</v>
      </c>
      <c r="CU137" s="55">
        <f t="shared" si="637"/>
        <v>0</v>
      </c>
      <c r="CV137" s="55">
        <f t="shared" si="637"/>
        <v>0</v>
      </c>
      <c r="CW137" s="55">
        <f t="shared" si="637"/>
        <v>0</v>
      </c>
      <c r="CX137" s="55">
        <f t="shared" si="637"/>
        <v>0</v>
      </c>
      <c r="CY137" s="55">
        <f t="shared" si="637"/>
        <v>0</v>
      </c>
      <c r="CZ137" s="55">
        <f t="shared" si="637"/>
        <v>0</v>
      </c>
      <c r="DA137" s="55">
        <f t="shared" si="637"/>
        <v>0</v>
      </c>
      <c r="DB137" s="56"/>
      <c r="DC137" s="56">
        <f t="shared" si="638"/>
        <v>0</v>
      </c>
      <c r="DD137" s="56">
        <f t="shared" si="639"/>
        <v>0</v>
      </c>
      <c r="DE137" s="56">
        <f t="shared" si="640"/>
        <v>0</v>
      </c>
      <c r="DF137" s="56">
        <f t="shared" si="641"/>
        <v>0</v>
      </c>
      <c r="DG137" s="56">
        <f t="shared" si="642"/>
        <v>0</v>
      </c>
      <c r="DH137" s="56">
        <f t="shared" si="643"/>
        <v>0</v>
      </c>
      <c r="DI137" s="56">
        <f t="shared" si="644"/>
        <v>0</v>
      </c>
      <c r="DJ137" s="56">
        <f t="shared" si="645"/>
        <v>0</v>
      </c>
      <c r="DK137" s="56">
        <f t="shared" si="646"/>
        <v>0</v>
      </c>
      <c r="DL137" s="57">
        <f t="shared" si="647"/>
        <v>0</v>
      </c>
      <c r="DM137" s="54">
        <f t="shared" si="648"/>
        <v>0</v>
      </c>
      <c r="DO137" s="106"/>
    </row>
    <row r="138" spans="2:119" x14ac:dyDescent="0.25">
      <c r="B138" s="141"/>
      <c r="C138" s="24"/>
      <c r="D138" s="147"/>
      <c r="E138" s="142"/>
      <c r="F138" s="14"/>
      <c r="G138" s="14"/>
      <c r="H138" s="14"/>
      <c r="I138" s="14"/>
      <c r="J138" s="14"/>
      <c r="K138" s="14"/>
      <c r="L138" s="14"/>
      <c r="M138" s="14"/>
      <c r="N138" s="24"/>
      <c r="O138" s="127"/>
      <c r="P138" s="13"/>
      <c r="Q138" s="20"/>
      <c r="R138" s="21"/>
      <c r="S138" s="6"/>
      <c r="T138" s="6"/>
      <c r="U138" s="6"/>
      <c r="V138" s="6"/>
      <c r="W138" s="6"/>
      <c r="X138" s="6"/>
      <c r="Y138" s="6"/>
      <c r="Z138" s="6"/>
      <c r="AA138" s="6"/>
      <c r="AB138" s="6"/>
      <c r="AC138" s="7"/>
      <c r="AD138" s="152"/>
      <c r="AE138" s="152"/>
      <c r="AF138" s="152"/>
      <c r="AG138" s="152"/>
      <c r="AH138" s="152"/>
      <c r="AI138" s="152"/>
      <c r="AJ138" s="152"/>
      <c r="AK138" s="152"/>
      <c r="AL138" s="152"/>
      <c r="AM138" s="9"/>
      <c r="AN138" s="80"/>
      <c r="AP138" s="102" t="s">
        <v>0</v>
      </c>
      <c r="AQ138" s="12">
        <v>1</v>
      </c>
      <c r="AR138" s="14">
        <f t="shared" si="736"/>
        <v>12</v>
      </c>
      <c r="AS138" s="14" cm="1">
        <f t="array" ref="AS138">IFERROR(_xlfn.IFS(VALUE(MID(AS$5,6,1))&gt;$D$2,0,$AP138="Annual",1,AR138=12,12,$AP138="Monthly V",AR138*(1+$D$3),$AP138="Monthly F",12,$AP138="One-Time",0),AR138*(1+$D$3))</f>
        <v>12</v>
      </c>
      <c r="AT138" s="14" cm="1">
        <f t="array" ref="AT138">IFERROR(_xlfn.IFS(VALUE(MID(AT$5,6,1))&gt;$D$2,0,$AP138="Annual",1,AS138=12,12,$AP138="Monthly V",AS138*(1+$D$3),$AP138="Monthly F",12,$AP138="One-Time",0),AS138*(1+$D$3))</f>
        <v>12</v>
      </c>
      <c r="AU138" s="14" cm="1">
        <f t="array" ref="AU138">IFERROR(_xlfn.IFS(VALUE(MID(AU$5,6,1))&gt;$D$2,0,$AP138="Annual",1,AT138=12,12,$AP138="Monthly V",AT138*(1+$D$3),$AP138="Monthly F",12,$AP138="One-Time",0),AT138*(1+$D$3))</f>
        <v>12</v>
      </c>
      <c r="AV138" s="14" cm="1">
        <f t="array" ref="AV138">IFERROR(_xlfn.IFS(VALUE(MID(AV$5,6,1))&gt;$D$2,0,$AP138="Annual",1,AU138=12,12,$AP138="Monthly V",AU138*(1+$D$3),$AP138="Monthly F",12,$AP138="One-Time",0),AU138*(1+$D$3))</f>
        <v>12</v>
      </c>
      <c r="AW138" s="14" cm="1">
        <f t="array" ref="AW138">IFERROR(_xlfn.IFS(VALUE(MID(AW$5,6,1))&gt;$D$2,0,$AP138="Annual",1,AV138=12,12,$AP138="Monthly V",AV138*(1+$D$3),$AP138="Monthly F",12,$AP138="One-Time",0),AV138*(1+$D$3))</f>
        <v>12</v>
      </c>
      <c r="AX138" s="14" cm="1">
        <f t="array" ref="AX138">IFERROR(_xlfn.IFS(VALUE(MID(AX$5,6,1))&gt;$D$2,0,$AP138="Annual",1,AW138=12,12,$AP138="Monthly V",AW138*(1+$D$3),$AP138="Monthly F",12,$AP138="One-Time",0),AW138*(1+$D$3))</f>
        <v>12</v>
      </c>
      <c r="AY138" s="14" cm="1">
        <f t="array" ref="AY138">IFERROR(_xlfn.IFS(VALUE(MID(AY$5,6,1))&gt;$D$2,0,$AP138="Annual",1,AX138=12,12,$AP138="Monthly V",AX138*(1+$D$3),$AP138="Monthly F",12,$AP138="One-Time",0),AX138*(1+$D$3))</f>
        <v>0</v>
      </c>
      <c r="AZ138" s="14" cm="1">
        <f t="array" ref="AZ138">IFERROR(_xlfn.IFS(VALUE(MID(AZ$5,6,1))&gt;$D$2,0,$AP138="Annual",1,AY138=12,12,$AP138="Monthly V",AY138*(1+$D$3),$AP138="Monthly F",12,$AP138="One-Time",0),AY138*(1+$D$3))</f>
        <v>0</v>
      </c>
      <c r="BA138" s="125" cm="1">
        <f t="array" ref="BA138">IFERROR(_xlfn.IFS(VALUE(MID(BA$5,6,2))&gt;$D$2,0,$AP138="Annual",1,AZ138=12,12,$AP138="Monthly V",AZ138*(1+$D$3),$AP138="Monthly F",12,$AP138="One-Time",0),AZ138*(1+$D$3))</f>
        <v>0</v>
      </c>
      <c r="BB138" s="124" t="s">
        <v>271</v>
      </c>
      <c r="BC138" s="38" t="s">
        <v>279</v>
      </c>
      <c r="BD138" s="36">
        <v>375</v>
      </c>
      <c r="BE138" s="21">
        <f t="shared" si="620"/>
        <v>375</v>
      </c>
      <c r="BF138" s="39">
        <f t="shared" si="621"/>
        <v>4500</v>
      </c>
      <c r="BG138" s="39">
        <f t="shared" si="621"/>
        <v>4500</v>
      </c>
      <c r="BH138" s="39">
        <f t="shared" si="621"/>
        <v>4500</v>
      </c>
      <c r="BI138" s="39">
        <f t="shared" si="622"/>
        <v>4635</v>
      </c>
      <c r="BJ138" s="39">
        <f t="shared" ref="BJ138:BL138" si="738">BI138*1.03</f>
        <v>4774.05</v>
      </c>
      <c r="BK138" s="39">
        <f t="shared" si="738"/>
        <v>4917.2715000000007</v>
      </c>
      <c r="BL138" s="39">
        <f t="shared" si="738"/>
        <v>5064.7896450000007</v>
      </c>
      <c r="BM138" s="39">
        <f t="shared" si="621"/>
        <v>0</v>
      </c>
      <c r="BN138" s="39">
        <f t="shared" si="621"/>
        <v>0</v>
      </c>
      <c r="BO138" s="39">
        <f t="shared" si="621"/>
        <v>0</v>
      </c>
      <c r="BP138" s="40"/>
      <c r="BQ138" s="40">
        <f t="shared" si="624"/>
        <v>135.00000000000011</v>
      </c>
      <c r="BR138" s="40">
        <f t="shared" si="625"/>
        <v>274.04999999999978</v>
      </c>
      <c r="BS138" s="40">
        <f t="shared" si="626"/>
        <v>429.78964500000001</v>
      </c>
      <c r="BT138" s="40">
        <f t="shared" si="627"/>
        <v>599.18533438049963</v>
      </c>
      <c r="BU138" s="40">
        <f t="shared" si="628"/>
        <v>783.19386624427182</v>
      </c>
      <c r="BV138" s="40">
        <f t="shared" si="629"/>
        <v>982.83406204854839</v>
      </c>
      <c r="BW138" s="40">
        <f t="shared" si="630"/>
        <v>0</v>
      </c>
      <c r="BX138" s="40">
        <f t="shared" si="631"/>
        <v>0</v>
      </c>
      <c r="BY138" s="40">
        <f t="shared" si="632"/>
        <v>0</v>
      </c>
      <c r="BZ138" s="40">
        <f t="shared" si="633"/>
        <v>3204.0529076733196</v>
      </c>
      <c r="CA138" s="37">
        <f t="shared" si="634"/>
        <v>36095.164052673324</v>
      </c>
      <c r="CC138" s="102"/>
      <c r="CD138" s="12"/>
      <c r="CE138" s="14">
        <f t="shared" si="635"/>
        <v>0</v>
      </c>
      <c r="CF138" s="14" cm="1">
        <f t="array" ref="CF138">IFERROR(_xlfn.IFS(VALUE(MID(CF$5,6,1))&gt;$D$2,0,$CC138="Annual",1,CE138=12,12,$CC138="Monthly V",CE138*(1+$D$3),$CC138="Monthly F",12,$CC138="One-Time",0),CE138*(1+$D$3))</f>
        <v>0</v>
      </c>
      <c r="CG138" s="14" cm="1">
        <f t="array" ref="CG138">IFERROR(_xlfn.IFS(VALUE(MID(CG$5,6,1))&gt;$D$2,0,$CC138="Annual",1,CF138=12,12,$CC138="Monthly V",CF138*(1+$D$3),$CC138="Monthly F",12,$CC138="One-Time",0),CF138*(1+$D$3))</f>
        <v>0</v>
      </c>
      <c r="CH138" s="14" cm="1">
        <f t="array" ref="CH138">IFERROR(_xlfn.IFS(VALUE(MID(CH$5,6,1))&gt;$D$2,0,$CC138="Annual",1,CG138=12,12,$CC138="Monthly V",CG138*(1+$D$3),$CC138="Monthly F",12,$CC138="One-Time",0),CG138*(1+$D$3))</f>
        <v>0</v>
      </c>
      <c r="CI138" s="14" cm="1">
        <f t="array" ref="CI138">IFERROR(_xlfn.IFS(VALUE(MID(CI$5,6,1))&gt;$D$2,0,$CC138="Annual",1,CH138=12,12,$CC138="Monthly V",CH138*(1+$D$3),$CC138="Monthly F",12,$CC138="One-Time",0),CH138*(1+$D$3))</f>
        <v>0</v>
      </c>
      <c r="CJ138" s="14" cm="1">
        <f t="array" ref="CJ138">IFERROR(_xlfn.IFS(VALUE(MID(CJ$5,6,1))&gt;$D$2,0,$CC138="Annual",1,CI138=12,12,$CC138="Monthly V",CI138*(1+$D$3),$CC138="Monthly F",12,$CC138="One-Time",0),CI138*(1+$D$3))</f>
        <v>0</v>
      </c>
      <c r="CK138" s="14" cm="1">
        <f t="array" ref="CK138">IFERROR(_xlfn.IFS(VALUE(MID(CK$5,6,1))&gt;$D$2,0,$CC138="Annual",1,CJ138=12,12,$CC138="Monthly V",CJ138*(1+$D$3),$CC138="Monthly F",12,$CC138="One-Time",0),CJ138*(1+$D$3))</f>
        <v>0</v>
      </c>
      <c r="CL138" s="14" cm="1">
        <f t="array" ref="CL138">IFERROR(_xlfn.IFS(VALUE(MID(CL$5,6,1))&gt;$D$2,0,$CC138="Annual",1,CK138=12,12,$CC138="Monthly V",CK138*(1+$D$3),$CC138="Monthly F",12,$CC138="One-Time",0),CK138*(1+$D$3))</f>
        <v>0</v>
      </c>
      <c r="CM138" s="14" cm="1">
        <f t="array" ref="CM138">IFERROR(_xlfn.IFS(VALUE(MID(CM$5,6,1))&gt;$D$2,0,$CC138="Annual",1,CL138=12,12,$CC138="Monthly V",CL138*(1+$D$3),$CC138="Monthly F",12,$CC138="One-Time",0),CL138*(1+$D$3))</f>
        <v>0</v>
      </c>
      <c r="CN138" s="24" cm="1">
        <f t="array" ref="CN138">IFERROR(_xlfn.IFS(VALUE(MID(CN$5,6,2))&gt;$D$2,0,$CC138="Annual",1,CM138=12,12,$CC138="Monthly V",CM138*(1+$D$3),$CC138="Monthly F",12,$CC138="One-Time",0),CM138*(1+$D$3))</f>
        <v>0</v>
      </c>
      <c r="CO138" s="63"/>
      <c r="CP138" s="53"/>
      <c r="CQ138" s="21">
        <f t="shared" si="636"/>
        <v>0</v>
      </c>
      <c r="CR138" s="55">
        <f t="shared" si="637"/>
        <v>0</v>
      </c>
      <c r="CS138" s="55">
        <f t="shared" si="637"/>
        <v>0</v>
      </c>
      <c r="CT138" s="55">
        <f t="shared" si="637"/>
        <v>0</v>
      </c>
      <c r="CU138" s="55">
        <f t="shared" si="637"/>
        <v>0</v>
      </c>
      <c r="CV138" s="55">
        <f t="shared" si="637"/>
        <v>0</v>
      </c>
      <c r="CW138" s="55">
        <f t="shared" si="637"/>
        <v>0</v>
      </c>
      <c r="CX138" s="55">
        <f t="shared" si="637"/>
        <v>0</v>
      </c>
      <c r="CY138" s="55">
        <f t="shared" si="637"/>
        <v>0</v>
      </c>
      <c r="CZ138" s="55">
        <f t="shared" si="637"/>
        <v>0</v>
      </c>
      <c r="DA138" s="55">
        <f t="shared" si="637"/>
        <v>0</v>
      </c>
      <c r="DB138" s="56"/>
      <c r="DC138" s="56">
        <f t="shared" si="638"/>
        <v>0</v>
      </c>
      <c r="DD138" s="56">
        <f t="shared" si="639"/>
        <v>0</v>
      </c>
      <c r="DE138" s="56">
        <f t="shared" si="640"/>
        <v>0</v>
      </c>
      <c r="DF138" s="56">
        <f t="shared" si="641"/>
        <v>0</v>
      </c>
      <c r="DG138" s="56">
        <f t="shared" si="642"/>
        <v>0</v>
      </c>
      <c r="DH138" s="56">
        <f t="shared" si="643"/>
        <v>0</v>
      </c>
      <c r="DI138" s="56">
        <f t="shared" si="644"/>
        <v>0</v>
      </c>
      <c r="DJ138" s="56">
        <f t="shared" si="645"/>
        <v>0</v>
      </c>
      <c r="DK138" s="56">
        <f t="shared" si="646"/>
        <v>0</v>
      </c>
      <c r="DL138" s="57">
        <f t="shared" si="647"/>
        <v>0</v>
      </c>
      <c r="DM138" s="54">
        <f t="shared" si="648"/>
        <v>0</v>
      </c>
      <c r="DO138" s="106"/>
    </row>
    <row r="139" spans="2:119" x14ac:dyDescent="0.25">
      <c r="B139" s="141" t="s">
        <v>0</v>
      </c>
      <c r="C139" s="24">
        <v>1</v>
      </c>
      <c r="D139" s="147">
        <f t="shared" ref="D139:D144" si="739">IFERROR(AVERAGE(C139:C139),0)</f>
        <v>1</v>
      </c>
      <c r="E139" s="142">
        <f t="shared" ref="E139:E151" si="740">IF($B139="Annual",1,IF($B139="Monthly F",12,IF($B139="Monthly V",D139*12,IF($B139="One-Time",1,D139*12))))</f>
        <v>12</v>
      </c>
      <c r="F139" s="14" cm="1">
        <f t="array" ref="F139">IFERROR(_xlfn.IFS(VALUE(MID(F$5,6,1))&gt;$D$2,0,$B139="Annual",1,E139=12,12,$B139="Monthly V",E139*(1+$D$3),$B139="Monthly F",12,$B139="One-Time",0),E139*(1+$D$3))</f>
        <v>12</v>
      </c>
      <c r="G139" s="14" cm="1">
        <f t="array" ref="G139">IFERROR(_xlfn.IFS(VALUE(MID(G$5,6,1))&gt;$D$2,0,$B139="Annual",1,F139=12,12,$B139="Monthly V",F139*(1+$D$3),$B139="Monthly F",12,$B139="One-Time",0),F139*(1+$D$3))</f>
        <v>12</v>
      </c>
      <c r="H139" s="14" cm="1">
        <f t="array" ref="H139">IFERROR(_xlfn.IFS(VALUE(MID(H$5,6,1))&gt;$D$2,0,$B139="Annual",1,G139=12,12,$B139="Monthly V",G139*(1+$D$3),$B139="Monthly F",12,$B139="One-Time",0),G139*(1+$D$3))</f>
        <v>12</v>
      </c>
      <c r="I139" s="14" cm="1">
        <f t="array" ref="I139">IFERROR(_xlfn.IFS(VALUE(MID(I$5,6,1))&gt;$D$2,0,$B139="Annual",1,H139=12,12,$B139="Monthly V",H139*(1+$D$3),$B139="Monthly F",12,$B139="One-Time",0),H139*(1+$D$3))</f>
        <v>12</v>
      </c>
      <c r="J139" s="14" cm="1">
        <f t="array" ref="J139">IFERROR(_xlfn.IFS(VALUE(MID(J$5,6,1))&gt;$D$2,0,$B139="Annual",1,I139=12,12,$B139="Monthly V",I139*(1+$D$3),$B139="Monthly F",12,$B139="One-Time",0),I139*(1+$D$3))</f>
        <v>12</v>
      </c>
      <c r="K139" s="14" cm="1">
        <f t="array" ref="K139">IFERROR(_xlfn.IFS(VALUE(MID(K$5,6,1))&gt;$D$2,0,$B139="Annual",1,J139=12,12,$B139="Monthly V",J139*(1+$D$3),$B139="Monthly F",12,$B139="One-Time",0),J139*(1+$D$3))</f>
        <v>12</v>
      </c>
      <c r="L139" s="14" cm="1">
        <f t="array" ref="L139">IFERROR(_xlfn.IFS(VALUE(MID(L$5,6,1))&gt;$D$2,0,$B139="Annual",1,K139=12,12,$B139="Monthly V",K139*(1+$D$3),$B139="Monthly F",12,$B139="One-Time",0),K139*(1+$D$3))</f>
        <v>0</v>
      </c>
      <c r="M139" s="14" cm="1">
        <f t="array" ref="M139">IFERROR(_xlfn.IFS(VALUE(MID(M$5,6,1))&gt;$D$2,0,$B139="Annual",1,L139=12,12,$B139="Monthly V",L139*(1+$D$3),$B139="Monthly F",12,$B139="One-Time",0),L139*(1+$D$3))</f>
        <v>0</v>
      </c>
      <c r="N139" s="24" cm="1">
        <f t="array" ref="N139">IFERROR(_xlfn.IFS(VALUE(MID(N$5,6,2))&gt;$D$2,0,$B139="Annual",1,M139=12,12,$B139="Monthly V",M139*(1+$D$3),$B139="Monthly F",12,$B139="One-Time",0),M139*(1+$D$3))</f>
        <v>0</v>
      </c>
      <c r="O139" s="127" t="s">
        <v>134</v>
      </c>
      <c r="P139" s="13"/>
      <c r="Q139" s="20">
        <v>859</v>
      </c>
      <c r="R139" s="21">
        <f t="shared" ref="R139:R142" si="741">S139/12</f>
        <v>859</v>
      </c>
      <c r="S139" s="6">
        <f t="shared" ref="S139:AB151" si="742">IFERROR($Q139*E139,0)</f>
        <v>10308</v>
      </c>
      <c r="T139" s="6">
        <f t="shared" si="742"/>
        <v>10308</v>
      </c>
      <c r="U139" s="6">
        <f t="shared" si="742"/>
        <v>10308</v>
      </c>
      <c r="V139" s="6">
        <f t="shared" si="742"/>
        <v>10308</v>
      </c>
      <c r="W139" s="6">
        <f t="shared" si="742"/>
        <v>10308</v>
      </c>
      <c r="X139" s="6">
        <f t="shared" si="742"/>
        <v>10308</v>
      </c>
      <c r="Y139" s="6">
        <f t="shared" si="742"/>
        <v>10308</v>
      </c>
      <c r="Z139" s="6">
        <f t="shared" si="742"/>
        <v>0</v>
      </c>
      <c r="AA139" s="6">
        <f t="shared" si="742"/>
        <v>0</v>
      </c>
      <c r="AB139" s="6">
        <f t="shared" si="742"/>
        <v>0</v>
      </c>
      <c r="AC139" s="7"/>
      <c r="AD139" s="152">
        <f t="shared" ref="AD139:AD151" si="743">IF(VALUE(MID(AD$5,6,1))&lt;=$D$2,((1+$Q$3)^1-1)*T139,0)</f>
        <v>309.24000000000029</v>
      </c>
      <c r="AE139" s="152">
        <f t="shared" ref="AE139:AE151" si="744">IF(VALUE(MID(AE$5,6,1))&lt;=$D$2,((1+$Q$3)^2-1)*U139,0)</f>
        <v>627.75719999999956</v>
      </c>
      <c r="AF139" s="152">
        <f t="shared" ref="AF139:AF151" si="745">IF(VALUE(MID(AF$5,6,1))&lt;=$D$2,((1+$Q$3)^3-1)*V139,0)</f>
        <v>955.82991600000003</v>
      </c>
      <c r="AG139" s="152">
        <f t="shared" ref="AG139:AG151" si="746">IF(VALUE(MID(AG$5,6,1))&lt;=$D$2,((1+$Q$3)^4-1)*W139,0)</f>
        <v>1293.744813479999</v>
      </c>
      <c r="AH139" s="152">
        <f t="shared" ref="AH139:AH151" si="747">IF(VALUE(MID(AH$5,6,1))&lt;=$D$2,((1+$Q$3)^5-1)*X139,0)</f>
        <v>1641.7971578843983</v>
      </c>
      <c r="AI139" s="152">
        <f t="shared" ref="AI139:AI151" si="748">IF(VALUE(MID(AI$5,6,1))&lt;=$D$2,((1+$Q$3)^6-1)*Y139,0)</f>
        <v>2000.2910726209311</v>
      </c>
      <c r="AJ139" s="152">
        <f t="shared" ref="AJ139:AJ151" si="749">IF(VALUE(MID(AJ$5,6,1))&lt;=$D$2,((1+$Q$3)^7-1)*Z139,0)</f>
        <v>0</v>
      </c>
      <c r="AK139" s="152">
        <f t="shared" ref="AK139:AK151" si="750">IF(VALUE(MID(AK$5,6,1))&lt;=$D$2,((1+$Q$3)^8-1)*AA139,0)</f>
        <v>0</v>
      </c>
      <c r="AL139" s="152">
        <f t="shared" ref="AL139:AL151" si="751">IF(VALUE(MID(AL$5,6,2))&lt;=$D$2,((1+$Q$3)^9-1)*AB139,0)</f>
        <v>0</v>
      </c>
      <c r="AM139" s="9">
        <f t="shared" ref="AM139:AM151" si="752">SUM(AC139:AL139)</f>
        <v>6828.6601599853284</v>
      </c>
      <c r="AN139" s="80">
        <f t="shared" ref="AN139:AN151" si="753">SUM(AM139,S139:AB139)</f>
        <v>78984.660159985331</v>
      </c>
      <c r="AP139" s="102" t="s">
        <v>2</v>
      </c>
      <c r="AQ139" s="12">
        <v>1</v>
      </c>
      <c r="AR139" s="14">
        <f t="shared" si="736"/>
        <v>1</v>
      </c>
      <c r="AS139" s="14" cm="1">
        <f t="array" ref="AS139">IFERROR(_xlfn.IFS(VALUE(MID(AS$5,6,1))&gt;$D$2,0,$AP139="Annual",1,AR139=12,12,$AP139="Monthly V",AR139*(1+$D$3),$AP139="Monthly F",12,$AP139="One-Time",0),AR139*(1+$D$3))</f>
        <v>1</v>
      </c>
      <c r="AT139" s="14" cm="1">
        <f t="array" ref="AT139">IFERROR(_xlfn.IFS(VALUE(MID(AT$5,6,1))&gt;$D$2,0,$AP139="Annual",1,AS139=12,12,$AP139="Monthly V",AS139*(1+$D$3),$AP139="Monthly F",12,$AP139="One-Time",0),AS139*(1+$D$3))</f>
        <v>1</v>
      </c>
      <c r="AU139" s="14" cm="1">
        <f t="array" ref="AU139">IFERROR(_xlfn.IFS(VALUE(MID(AU$5,6,1))&gt;$D$2,0,$AP139="Annual",1,AT139=12,12,$AP139="Monthly V",AT139*(1+$D$3),$AP139="Monthly F",12,$AP139="One-Time",0),AT139*(1+$D$3))</f>
        <v>1</v>
      </c>
      <c r="AV139" s="14" cm="1">
        <f t="array" ref="AV139">IFERROR(_xlfn.IFS(VALUE(MID(AV$5,6,1))&gt;$D$2,0,$AP139="Annual",1,AU139=12,12,$AP139="Monthly V",AU139*(1+$D$3),$AP139="Monthly F",12,$AP139="One-Time",0),AU139*(1+$D$3))</f>
        <v>1</v>
      </c>
      <c r="AW139" s="14" cm="1">
        <f t="array" ref="AW139">IFERROR(_xlfn.IFS(VALUE(MID(AW$5,6,1))&gt;$D$2,0,$AP139="Annual",1,AV139=12,12,$AP139="Monthly V",AV139*(1+$D$3),$AP139="Monthly F",12,$AP139="One-Time",0),AV139*(1+$D$3))</f>
        <v>1</v>
      </c>
      <c r="AX139" s="14" cm="1">
        <f t="array" ref="AX139">IFERROR(_xlfn.IFS(VALUE(MID(AX$5,6,1))&gt;$D$2,0,$AP139="Annual",1,AW139=12,12,$AP139="Monthly V",AW139*(1+$D$3),$AP139="Monthly F",12,$AP139="One-Time",0),AW139*(1+$D$3))</f>
        <v>1</v>
      </c>
      <c r="AY139" s="14" cm="1">
        <f t="array" ref="AY139">IFERROR(_xlfn.IFS(VALUE(MID(AY$5,6,1))&gt;$D$2,0,$AP139="Annual",1,AX139=12,12,$AP139="Monthly V",AX139*(1+$D$3),$AP139="Monthly F",12,$AP139="One-Time",0),AX139*(1+$D$3))</f>
        <v>0</v>
      </c>
      <c r="AZ139" s="14" cm="1">
        <f t="array" ref="AZ139">IFERROR(_xlfn.IFS(VALUE(MID(AZ$5,6,1))&gt;$D$2,0,$AP139="Annual",1,AY139=12,12,$AP139="Monthly V",AY139*(1+$D$3),$AP139="Monthly F",12,$AP139="One-Time",0),AY139*(1+$D$3))</f>
        <v>0</v>
      </c>
      <c r="BA139" s="125" cm="1">
        <f t="array" ref="BA139">IFERROR(_xlfn.IFS(VALUE(MID(BA$5,6,2))&gt;$D$2,0,$AP139="Annual",1,AZ139=12,12,$AP139="Monthly V",AZ139*(1+$D$3),$AP139="Monthly F",12,$AP139="One-Time",0),AZ139*(1+$D$3))</f>
        <v>0</v>
      </c>
      <c r="BB139" s="124" t="s">
        <v>266</v>
      </c>
      <c r="BC139" s="38" t="s">
        <v>231</v>
      </c>
      <c r="BD139" s="36">
        <v>3500</v>
      </c>
      <c r="BE139" s="21">
        <f t="shared" si="620"/>
        <v>291.66666666666669</v>
      </c>
      <c r="BF139" s="39">
        <f t="shared" si="621"/>
        <v>3500</v>
      </c>
      <c r="BG139" s="39">
        <f t="shared" si="621"/>
        <v>3500</v>
      </c>
      <c r="BH139" s="39">
        <f t="shared" si="621"/>
        <v>3500</v>
      </c>
      <c r="BI139" s="39">
        <f t="shared" si="622"/>
        <v>3605</v>
      </c>
      <c r="BJ139" s="39">
        <f t="shared" ref="BJ139:BL139" si="754">BI139*1.03</f>
        <v>3713.15</v>
      </c>
      <c r="BK139" s="39">
        <f t="shared" si="754"/>
        <v>3824.5445</v>
      </c>
      <c r="BL139" s="39">
        <f t="shared" si="754"/>
        <v>3939.280835</v>
      </c>
      <c r="BM139" s="39">
        <f t="shared" si="621"/>
        <v>0</v>
      </c>
      <c r="BN139" s="39">
        <f t="shared" si="621"/>
        <v>0</v>
      </c>
      <c r="BO139" s="39">
        <f t="shared" si="621"/>
        <v>0</v>
      </c>
      <c r="BP139" s="40"/>
      <c r="BQ139" s="40">
        <f t="shared" si="624"/>
        <v>105.0000000000001</v>
      </c>
      <c r="BR139" s="40">
        <f t="shared" si="625"/>
        <v>213.14999999999984</v>
      </c>
      <c r="BS139" s="40">
        <f t="shared" si="626"/>
        <v>334.28083500000002</v>
      </c>
      <c r="BT139" s="40">
        <f t="shared" si="627"/>
        <v>466.03303785149967</v>
      </c>
      <c r="BU139" s="40">
        <f t="shared" si="628"/>
        <v>609.15078485665572</v>
      </c>
      <c r="BV139" s="40">
        <f t="shared" si="629"/>
        <v>764.42649270442644</v>
      </c>
      <c r="BW139" s="40">
        <f t="shared" si="630"/>
        <v>0</v>
      </c>
      <c r="BX139" s="40">
        <f t="shared" si="631"/>
        <v>0</v>
      </c>
      <c r="BY139" s="40">
        <f t="shared" si="632"/>
        <v>0</v>
      </c>
      <c r="BZ139" s="40">
        <f t="shared" si="633"/>
        <v>2492.0411504125818</v>
      </c>
      <c r="CA139" s="37">
        <f t="shared" si="634"/>
        <v>28074.016485412583</v>
      </c>
      <c r="CC139" s="102"/>
      <c r="CD139" s="12"/>
      <c r="CE139" s="14">
        <f t="shared" si="635"/>
        <v>0</v>
      </c>
      <c r="CF139" s="14" cm="1">
        <f t="array" ref="CF139">IFERROR(_xlfn.IFS(VALUE(MID(CF$5,6,1))&gt;$D$2,0,$CC139="Annual",1,CE139=12,12,$CC139="Monthly V",CE139*(1+$D$3),$CC139="Monthly F",12,$CC139="One-Time",0),CE139*(1+$D$3))</f>
        <v>0</v>
      </c>
      <c r="CG139" s="14" cm="1">
        <f t="array" ref="CG139">IFERROR(_xlfn.IFS(VALUE(MID(CG$5,6,1))&gt;$D$2,0,$CC139="Annual",1,CF139=12,12,$CC139="Monthly V",CF139*(1+$D$3),$CC139="Monthly F",12,$CC139="One-Time",0),CF139*(1+$D$3))</f>
        <v>0</v>
      </c>
      <c r="CH139" s="14" cm="1">
        <f t="array" ref="CH139">IFERROR(_xlfn.IFS(VALUE(MID(CH$5,6,1))&gt;$D$2,0,$CC139="Annual",1,CG139=12,12,$CC139="Monthly V",CG139*(1+$D$3),$CC139="Monthly F",12,$CC139="One-Time",0),CG139*(1+$D$3))</f>
        <v>0</v>
      </c>
      <c r="CI139" s="14" cm="1">
        <f t="array" ref="CI139">IFERROR(_xlfn.IFS(VALUE(MID(CI$5,6,1))&gt;$D$2,0,$CC139="Annual",1,CH139=12,12,$CC139="Monthly V",CH139*(1+$D$3),$CC139="Monthly F",12,$CC139="One-Time",0),CH139*(1+$D$3))</f>
        <v>0</v>
      </c>
      <c r="CJ139" s="14" cm="1">
        <f t="array" ref="CJ139">IFERROR(_xlfn.IFS(VALUE(MID(CJ$5,6,1))&gt;$D$2,0,$CC139="Annual",1,CI139=12,12,$CC139="Monthly V",CI139*(1+$D$3),$CC139="Monthly F",12,$CC139="One-Time",0),CI139*(1+$D$3))</f>
        <v>0</v>
      </c>
      <c r="CK139" s="14" cm="1">
        <f t="array" ref="CK139">IFERROR(_xlfn.IFS(VALUE(MID(CK$5,6,1))&gt;$D$2,0,$CC139="Annual",1,CJ139=12,12,$CC139="Monthly V",CJ139*(1+$D$3),$CC139="Monthly F",12,$CC139="One-Time",0),CJ139*(1+$D$3))</f>
        <v>0</v>
      </c>
      <c r="CL139" s="14" cm="1">
        <f t="array" ref="CL139">IFERROR(_xlfn.IFS(VALUE(MID(CL$5,6,1))&gt;$D$2,0,$CC139="Annual",1,CK139=12,12,$CC139="Monthly V",CK139*(1+$D$3),$CC139="Monthly F",12,$CC139="One-Time",0),CK139*(1+$D$3))</f>
        <v>0</v>
      </c>
      <c r="CM139" s="14" cm="1">
        <f t="array" ref="CM139">IFERROR(_xlfn.IFS(VALUE(MID(CM$5,6,1))&gt;$D$2,0,$CC139="Annual",1,CL139=12,12,$CC139="Monthly V",CL139*(1+$D$3),$CC139="Monthly F",12,$CC139="One-Time",0),CL139*(1+$D$3))</f>
        <v>0</v>
      </c>
      <c r="CN139" s="24" cm="1">
        <f t="array" ref="CN139">IFERROR(_xlfn.IFS(VALUE(MID(CN$5,6,2))&gt;$D$2,0,$CC139="Annual",1,CM139=12,12,$CC139="Monthly V",CM139*(1+$D$3),$CC139="Monthly F",12,$CC139="One-Time",0),CM139*(1+$D$3))</f>
        <v>0</v>
      </c>
      <c r="CO139" s="63"/>
      <c r="CP139" s="53"/>
      <c r="CQ139" s="21">
        <f t="shared" si="636"/>
        <v>0</v>
      </c>
      <c r="CR139" s="55">
        <f t="shared" si="637"/>
        <v>0</v>
      </c>
      <c r="CS139" s="55">
        <f t="shared" si="637"/>
        <v>0</v>
      </c>
      <c r="CT139" s="55">
        <f t="shared" si="637"/>
        <v>0</v>
      </c>
      <c r="CU139" s="55">
        <f t="shared" si="637"/>
        <v>0</v>
      </c>
      <c r="CV139" s="55">
        <f t="shared" si="637"/>
        <v>0</v>
      </c>
      <c r="CW139" s="55">
        <f t="shared" si="637"/>
        <v>0</v>
      </c>
      <c r="CX139" s="55">
        <f t="shared" si="637"/>
        <v>0</v>
      </c>
      <c r="CY139" s="55">
        <f t="shared" si="637"/>
        <v>0</v>
      </c>
      <c r="CZ139" s="55">
        <f t="shared" si="637"/>
        <v>0</v>
      </c>
      <c r="DA139" s="55">
        <f t="shared" si="637"/>
        <v>0</v>
      </c>
      <c r="DB139" s="56"/>
      <c r="DC139" s="56">
        <f t="shared" si="638"/>
        <v>0</v>
      </c>
      <c r="DD139" s="56">
        <f t="shared" si="639"/>
        <v>0</v>
      </c>
      <c r="DE139" s="56">
        <f t="shared" si="640"/>
        <v>0</v>
      </c>
      <c r="DF139" s="56">
        <f t="shared" si="641"/>
        <v>0</v>
      </c>
      <c r="DG139" s="56">
        <f t="shared" si="642"/>
        <v>0</v>
      </c>
      <c r="DH139" s="56">
        <f t="shared" si="643"/>
        <v>0</v>
      </c>
      <c r="DI139" s="56">
        <f t="shared" si="644"/>
        <v>0</v>
      </c>
      <c r="DJ139" s="56">
        <f t="shared" si="645"/>
        <v>0</v>
      </c>
      <c r="DK139" s="56">
        <f t="shared" si="646"/>
        <v>0</v>
      </c>
      <c r="DL139" s="57">
        <f t="shared" si="647"/>
        <v>0</v>
      </c>
      <c r="DM139" s="54">
        <f t="shared" si="648"/>
        <v>0</v>
      </c>
      <c r="DO139" s="106"/>
    </row>
    <row r="140" spans="2:119" x14ac:dyDescent="0.25">
      <c r="B140" s="141" t="s">
        <v>3</v>
      </c>
      <c r="C140" s="24">
        <v>1</v>
      </c>
      <c r="D140" s="147">
        <f t="shared" si="739"/>
        <v>1</v>
      </c>
      <c r="E140" s="142">
        <f t="shared" si="740"/>
        <v>1</v>
      </c>
      <c r="F140" s="14" cm="1">
        <f t="array" ref="F140">IFERROR(_xlfn.IFS(VALUE(MID(F$5,6,1))&gt;$D$2,0,$B140="Annual",1,E140=12,12,$B140="Monthly V",E140*(1+$D$3),$B140="Monthly F",12,$B140="One-Time",0),E140*(1+$D$3))</f>
        <v>0</v>
      </c>
      <c r="G140" s="14" cm="1">
        <f t="array" ref="G140">IFERROR(_xlfn.IFS(VALUE(MID(G$5,6,1))&gt;$D$2,0,$B140="Annual",1,F140=12,12,$B140="Monthly V",F140*(1+$D$3),$B140="Monthly F",12,$B140="One-Time",0),F140*(1+$D$3))</f>
        <v>0</v>
      </c>
      <c r="H140" s="14" cm="1">
        <f t="array" ref="H140">IFERROR(_xlfn.IFS(VALUE(MID(H$5,6,1))&gt;$D$2,0,$B140="Annual",1,G140=12,12,$B140="Monthly V",G140*(1+$D$3),$B140="Monthly F",12,$B140="One-Time",0),G140*(1+$D$3))</f>
        <v>0</v>
      </c>
      <c r="I140" s="14" cm="1">
        <f t="array" ref="I140">IFERROR(_xlfn.IFS(VALUE(MID(I$5,6,1))&gt;$D$2,0,$B140="Annual",1,H140=12,12,$B140="Monthly V",H140*(1+$D$3),$B140="Monthly F",12,$B140="One-Time",0),H140*(1+$D$3))</f>
        <v>0</v>
      </c>
      <c r="J140" s="14" cm="1">
        <f t="array" ref="J140">IFERROR(_xlfn.IFS(VALUE(MID(J$5,6,1))&gt;$D$2,0,$B140="Annual",1,I140=12,12,$B140="Monthly V",I140*(1+$D$3),$B140="Monthly F",12,$B140="One-Time",0),I140*(1+$D$3))</f>
        <v>0</v>
      </c>
      <c r="K140" s="14" cm="1">
        <f t="array" ref="K140">IFERROR(_xlfn.IFS(VALUE(MID(K$5,6,1))&gt;$D$2,0,$B140="Annual",1,J140=12,12,$B140="Monthly V",J140*(1+$D$3),$B140="Monthly F",12,$B140="One-Time",0),J140*(1+$D$3))</f>
        <v>0</v>
      </c>
      <c r="L140" s="14" cm="1">
        <f t="array" ref="L140">IFERROR(_xlfn.IFS(VALUE(MID(L$5,6,1))&gt;$D$2,0,$B140="Annual",1,K140=12,12,$B140="Monthly V",K140*(1+$D$3),$B140="Monthly F",12,$B140="One-Time",0),K140*(1+$D$3))</f>
        <v>0</v>
      </c>
      <c r="M140" s="14" cm="1">
        <f t="array" ref="M140">IFERROR(_xlfn.IFS(VALUE(MID(M$5,6,1))&gt;$D$2,0,$B140="Annual",1,L140=12,12,$B140="Monthly V",L140*(1+$D$3),$B140="Monthly F",12,$B140="One-Time",0),L140*(1+$D$3))</f>
        <v>0</v>
      </c>
      <c r="N140" s="24" cm="1">
        <f t="array" ref="N140">IFERROR(_xlfn.IFS(VALUE(MID(N$5,6,2))&gt;$D$2,0,$B140="Annual",1,M140=12,12,$B140="Monthly V",M140*(1+$D$3),$B140="Monthly F",12,$B140="One-Time",0),M140*(1+$D$3))</f>
        <v>0</v>
      </c>
      <c r="O140" s="127" t="s">
        <v>135</v>
      </c>
      <c r="P140" s="13"/>
      <c r="Q140" s="20">
        <v>6099</v>
      </c>
      <c r="R140" s="21">
        <f t="shared" si="741"/>
        <v>508.25</v>
      </c>
      <c r="S140" s="6">
        <f t="shared" si="742"/>
        <v>6099</v>
      </c>
      <c r="T140" s="6">
        <f t="shared" si="742"/>
        <v>0</v>
      </c>
      <c r="U140" s="6">
        <f t="shared" si="742"/>
        <v>0</v>
      </c>
      <c r="V140" s="6">
        <f t="shared" si="742"/>
        <v>0</v>
      </c>
      <c r="W140" s="6">
        <f t="shared" si="742"/>
        <v>0</v>
      </c>
      <c r="X140" s="6">
        <f t="shared" si="742"/>
        <v>0</v>
      </c>
      <c r="Y140" s="6">
        <f t="shared" si="742"/>
        <v>0</v>
      </c>
      <c r="Z140" s="6">
        <f t="shared" si="742"/>
        <v>0</v>
      </c>
      <c r="AA140" s="6">
        <f t="shared" si="742"/>
        <v>0</v>
      </c>
      <c r="AB140" s="6">
        <f t="shared" si="742"/>
        <v>0</v>
      </c>
      <c r="AC140" s="7"/>
      <c r="AD140" s="152">
        <f t="shared" si="743"/>
        <v>0</v>
      </c>
      <c r="AE140" s="152">
        <f t="shared" si="744"/>
        <v>0</v>
      </c>
      <c r="AF140" s="152">
        <f t="shared" si="745"/>
        <v>0</v>
      </c>
      <c r="AG140" s="152">
        <f t="shared" si="746"/>
        <v>0</v>
      </c>
      <c r="AH140" s="152">
        <f t="shared" si="747"/>
        <v>0</v>
      </c>
      <c r="AI140" s="152">
        <f t="shared" si="748"/>
        <v>0</v>
      </c>
      <c r="AJ140" s="152">
        <f t="shared" si="749"/>
        <v>0</v>
      </c>
      <c r="AK140" s="152">
        <f t="shared" si="750"/>
        <v>0</v>
      </c>
      <c r="AL140" s="152">
        <f t="shared" si="751"/>
        <v>0</v>
      </c>
      <c r="AM140" s="9">
        <f t="shared" si="752"/>
        <v>0</v>
      </c>
      <c r="AN140" s="80">
        <f t="shared" si="753"/>
        <v>6099</v>
      </c>
      <c r="AP140" s="102" t="s">
        <v>2</v>
      </c>
      <c r="AQ140" s="12">
        <v>1</v>
      </c>
      <c r="AR140" s="14">
        <f t="shared" si="736"/>
        <v>1</v>
      </c>
      <c r="AS140" s="14" cm="1">
        <f t="array" ref="AS140">IFERROR(_xlfn.IFS(VALUE(MID(AS$5,6,1))&gt;$D$2,0,$AP140="Annual",1,AR140=12,12,$AP140="Monthly V",AR140*(1+$D$3),$AP140="Monthly F",12,$AP140="One-Time",0),AR140*(1+$D$3))</f>
        <v>1</v>
      </c>
      <c r="AT140" s="14" cm="1">
        <f t="array" ref="AT140">IFERROR(_xlfn.IFS(VALUE(MID(AT$5,6,1))&gt;$D$2,0,$AP140="Annual",1,AS140=12,12,$AP140="Monthly V",AS140*(1+$D$3),$AP140="Monthly F",12,$AP140="One-Time",0),AS140*(1+$D$3))</f>
        <v>1</v>
      </c>
      <c r="AU140" s="14" cm="1">
        <f t="array" ref="AU140">IFERROR(_xlfn.IFS(VALUE(MID(AU$5,6,1))&gt;$D$2,0,$AP140="Annual",1,AT140=12,12,$AP140="Monthly V",AT140*(1+$D$3),$AP140="Monthly F",12,$AP140="One-Time",0),AT140*(1+$D$3))</f>
        <v>1</v>
      </c>
      <c r="AV140" s="14" cm="1">
        <f t="array" ref="AV140">IFERROR(_xlfn.IFS(VALUE(MID(AV$5,6,1))&gt;$D$2,0,$AP140="Annual",1,AU140=12,12,$AP140="Monthly V",AU140*(1+$D$3),$AP140="Monthly F",12,$AP140="One-Time",0),AU140*(1+$D$3))</f>
        <v>1</v>
      </c>
      <c r="AW140" s="14" cm="1">
        <f t="array" ref="AW140">IFERROR(_xlfn.IFS(VALUE(MID(AW$5,6,1))&gt;$D$2,0,$AP140="Annual",1,AV140=12,12,$AP140="Monthly V",AV140*(1+$D$3),$AP140="Monthly F",12,$AP140="One-Time",0),AV140*(1+$D$3))</f>
        <v>1</v>
      </c>
      <c r="AX140" s="14" cm="1">
        <f t="array" ref="AX140">IFERROR(_xlfn.IFS(VALUE(MID(AX$5,6,1))&gt;$D$2,0,$AP140="Annual",1,AW140=12,12,$AP140="Monthly V",AW140*(1+$D$3),$AP140="Monthly F",12,$AP140="One-Time",0),AW140*(1+$D$3))</f>
        <v>1</v>
      </c>
      <c r="AY140" s="14" cm="1">
        <f t="array" ref="AY140">IFERROR(_xlfn.IFS(VALUE(MID(AY$5,6,1))&gt;$D$2,0,$AP140="Annual",1,AX140=12,12,$AP140="Monthly V",AX140*(1+$D$3),$AP140="Monthly F",12,$AP140="One-Time",0),AX140*(1+$D$3))</f>
        <v>0</v>
      </c>
      <c r="AZ140" s="14" cm="1">
        <f t="array" ref="AZ140">IFERROR(_xlfn.IFS(VALUE(MID(AZ$5,6,1))&gt;$D$2,0,$AP140="Annual",1,AY140=12,12,$AP140="Monthly V",AY140*(1+$D$3),$AP140="Monthly F",12,$AP140="One-Time",0),AY140*(1+$D$3))</f>
        <v>0</v>
      </c>
      <c r="BA140" s="125" cm="1">
        <f t="array" ref="BA140">IFERROR(_xlfn.IFS(VALUE(MID(BA$5,6,2))&gt;$D$2,0,$AP140="Annual",1,AZ140=12,12,$AP140="Monthly V",AZ140*(1+$D$3),$AP140="Monthly F",12,$AP140="One-Time",0),AZ140*(1+$D$3))</f>
        <v>0</v>
      </c>
      <c r="BB140" s="124" t="s">
        <v>270</v>
      </c>
      <c r="BC140" s="38" t="s">
        <v>249</v>
      </c>
      <c r="BD140" s="36">
        <v>10595.7</v>
      </c>
      <c r="BE140" s="21">
        <f t="shared" si="620"/>
        <v>882.97500000000002</v>
      </c>
      <c r="BF140" s="39">
        <f t="shared" si="621"/>
        <v>10595.7</v>
      </c>
      <c r="BG140" s="39">
        <f t="shared" si="621"/>
        <v>10595.7</v>
      </c>
      <c r="BH140" s="39">
        <f t="shared" si="621"/>
        <v>10595.7</v>
      </c>
      <c r="BI140" s="39">
        <f t="shared" si="622"/>
        <v>10913.571000000002</v>
      </c>
      <c r="BJ140" s="39">
        <f t="shared" ref="BJ140:BL140" si="755">BI140*1.03</f>
        <v>11240.978130000001</v>
      </c>
      <c r="BK140" s="39">
        <f t="shared" si="755"/>
        <v>11578.207473900002</v>
      </c>
      <c r="BL140" s="39">
        <f t="shared" si="755"/>
        <v>11925.553698117003</v>
      </c>
      <c r="BM140" s="39">
        <f t="shared" si="621"/>
        <v>0</v>
      </c>
      <c r="BN140" s="39">
        <f t="shared" si="621"/>
        <v>0</v>
      </c>
      <c r="BO140" s="39">
        <f t="shared" si="621"/>
        <v>0</v>
      </c>
      <c r="BP140" s="40"/>
      <c r="BQ140" s="40">
        <f t="shared" si="624"/>
        <v>317.87100000000032</v>
      </c>
      <c r="BR140" s="40">
        <f t="shared" si="625"/>
        <v>645.27812999999958</v>
      </c>
      <c r="BS140" s="40">
        <f t="shared" si="626"/>
        <v>1011.9826981170002</v>
      </c>
      <c r="BT140" s="40">
        <f t="shared" si="627"/>
        <v>1410.8417883323245</v>
      </c>
      <c r="BU140" s="40">
        <f t="shared" si="628"/>
        <v>1844.1082774587624</v>
      </c>
      <c r="BV140" s="40">
        <f t="shared" si="629"/>
        <v>2314.1810824995123</v>
      </c>
      <c r="BW140" s="40">
        <f t="shared" si="630"/>
        <v>0</v>
      </c>
      <c r="BX140" s="40">
        <f t="shared" si="631"/>
        <v>0</v>
      </c>
      <c r="BY140" s="40">
        <f t="shared" si="632"/>
        <v>0</v>
      </c>
      <c r="BZ140" s="40">
        <f t="shared" si="633"/>
        <v>7544.2629764075991</v>
      </c>
      <c r="CA140" s="37">
        <f t="shared" si="634"/>
        <v>84989.673278424612</v>
      </c>
      <c r="CC140" s="102"/>
      <c r="CD140" s="12"/>
      <c r="CE140" s="14">
        <f t="shared" si="635"/>
        <v>0</v>
      </c>
      <c r="CF140" s="14" cm="1">
        <f t="array" ref="CF140">IFERROR(_xlfn.IFS(VALUE(MID(CF$5,6,1))&gt;$D$2,0,$CC140="Annual",1,CE140=12,12,$CC140="Monthly V",CE140*(1+$D$3),$CC140="Monthly F",12,$CC140="One-Time",0),CE140*(1+$D$3))</f>
        <v>0</v>
      </c>
      <c r="CG140" s="14" cm="1">
        <f t="array" ref="CG140">IFERROR(_xlfn.IFS(VALUE(MID(CG$5,6,1))&gt;$D$2,0,$CC140="Annual",1,CF140=12,12,$CC140="Monthly V",CF140*(1+$D$3),$CC140="Monthly F",12,$CC140="One-Time",0),CF140*(1+$D$3))</f>
        <v>0</v>
      </c>
      <c r="CH140" s="14" cm="1">
        <f t="array" ref="CH140">IFERROR(_xlfn.IFS(VALUE(MID(CH$5,6,1))&gt;$D$2,0,$CC140="Annual",1,CG140=12,12,$CC140="Monthly V",CG140*(1+$D$3),$CC140="Monthly F",12,$CC140="One-Time",0),CG140*(1+$D$3))</f>
        <v>0</v>
      </c>
      <c r="CI140" s="14" cm="1">
        <f t="array" ref="CI140">IFERROR(_xlfn.IFS(VALUE(MID(CI$5,6,1))&gt;$D$2,0,$CC140="Annual",1,CH140=12,12,$CC140="Monthly V",CH140*(1+$D$3),$CC140="Monthly F",12,$CC140="One-Time",0),CH140*(1+$D$3))</f>
        <v>0</v>
      </c>
      <c r="CJ140" s="14" cm="1">
        <f t="array" ref="CJ140">IFERROR(_xlfn.IFS(VALUE(MID(CJ$5,6,1))&gt;$D$2,0,$CC140="Annual",1,CI140=12,12,$CC140="Monthly V",CI140*(1+$D$3),$CC140="Monthly F",12,$CC140="One-Time",0),CI140*(1+$D$3))</f>
        <v>0</v>
      </c>
      <c r="CK140" s="14" cm="1">
        <f t="array" ref="CK140">IFERROR(_xlfn.IFS(VALUE(MID(CK$5,6,1))&gt;$D$2,0,$CC140="Annual",1,CJ140=12,12,$CC140="Monthly V",CJ140*(1+$D$3),$CC140="Monthly F",12,$CC140="One-Time",0),CJ140*(1+$D$3))</f>
        <v>0</v>
      </c>
      <c r="CL140" s="14" cm="1">
        <f t="array" ref="CL140">IFERROR(_xlfn.IFS(VALUE(MID(CL$5,6,1))&gt;$D$2,0,$CC140="Annual",1,CK140=12,12,$CC140="Monthly V",CK140*(1+$D$3),$CC140="Monthly F",12,$CC140="One-Time",0),CK140*(1+$D$3))</f>
        <v>0</v>
      </c>
      <c r="CM140" s="14" cm="1">
        <f t="array" ref="CM140">IFERROR(_xlfn.IFS(VALUE(MID(CM$5,6,1))&gt;$D$2,0,$CC140="Annual",1,CL140=12,12,$CC140="Monthly V",CL140*(1+$D$3),$CC140="Monthly F",12,$CC140="One-Time",0),CL140*(1+$D$3))</f>
        <v>0</v>
      </c>
      <c r="CN140" s="24" cm="1">
        <f t="array" ref="CN140">IFERROR(_xlfn.IFS(VALUE(MID(CN$5,6,2))&gt;$D$2,0,$CC140="Annual",1,CM140=12,12,$CC140="Monthly V",CM140*(1+$D$3),$CC140="Monthly F",12,$CC140="One-Time",0),CM140*(1+$D$3))</f>
        <v>0</v>
      </c>
      <c r="CO140" s="63"/>
      <c r="CP140" s="53"/>
      <c r="CQ140" s="21">
        <f t="shared" si="636"/>
        <v>0</v>
      </c>
      <c r="CR140" s="55">
        <f t="shared" si="637"/>
        <v>0</v>
      </c>
      <c r="CS140" s="55">
        <f t="shared" si="637"/>
        <v>0</v>
      </c>
      <c r="CT140" s="55">
        <f t="shared" si="637"/>
        <v>0</v>
      </c>
      <c r="CU140" s="55">
        <f t="shared" si="637"/>
        <v>0</v>
      </c>
      <c r="CV140" s="55">
        <f t="shared" si="637"/>
        <v>0</v>
      </c>
      <c r="CW140" s="55">
        <f t="shared" si="637"/>
        <v>0</v>
      </c>
      <c r="CX140" s="55">
        <f t="shared" si="637"/>
        <v>0</v>
      </c>
      <c r="CY140" s="55">
        <f t="shared" si="637"/>
        <v>0</v>
      </c>
      <c r="CZ140" s="55">
        <f t="shared" si="637"/>
        <v>0</v>
      </c>
      <c r="DA140" s="55">
        <f t="shared" si="637"/>
        <v>0</v>
      </c>
      <c r="DB140" s="56"/>
      <c r="DC140" s="56">
        <f t="shared" si="638"/>
        <v>0</v>
      </c>
      <c r="DD140" s="56">
        <f t="shared" si="639"/>
        <v>0</v>
      </c>
      <c r="DE140" s="56">
        <f t="shared" si="640"/>
        <v>0</v>
      </c>
      <c r="DF140" s="56">
        <f t="shared" si="641"/>
        <v>0</v>
      </c>
      <c r="DG140" s="56">
        <f t="shared" si="642"/>
        <v>0</v>
      </c>
      <c r="DH140" s="56">
        <f t="shared" si="643"/>
        <v>0</v>
      </c>
      <c r="DI140" s="56">
        <f t="shared" si="644"/>
        <v>0</v>
      </c>
      <c r="DJ140" s="56">
        <f t="shared" si="645"/>
        <v>0</v>
      </c>
      <c r="DK140" s="56">
        <f t="shared" si="646"/>
        <v>0</v>
      </c>
      <c r="DL140" s="57">
        <f t="shared" si="647"/>
        <v>0</v>
      </c>
      <c r="DM140" s="54">
        <f t="shared" si="648"/>
        <v>0</v>
      </c>
      <c r="DO140" s="106"/>
    </row>
    <row r="141" spans="2:119" x14ac:dyDescent="0.25">
      <c r="B141" s="141" t="s">
        <v>0</v>
      </c>
      <c r="C141" s="24">
        <v>1</v>
      </c>
      <c r="D141" s="147">
        <f t="shared" si="739"/>
        <v>1</v>
      </c>
      <c r="E141" s="142">
        <f t="shared" si="740"/>
        <v>12</v>
      </c>
      <c r="F141" s="14" cm="1">
        <f t="array" ref="F141">IFERROR(_xlfn.IFS(VALUE(MID(F$5,6,1))&gt;$D$2,0,$B141="Annual",1,E141=12,12,$B141="Monthly V",E141*(1+$D$3),$B141="Monthly F",12,$B141="One-Time",0),E141*(1+$D$3))</f>
        <v>12</v>
      </c>
      <c r="G141" s="14" cm="1">
        <f t="array" ref="G141">IFERROR(_xlfn.IFS(VALUE(MID(G$5,6,1))&gt;$D$2,0,$B141="Annual",1,F141=12,12,$B141="Monthly V",F141*(1+$D$3),$B141="Monthly F",12,$B141="One-Time",0),F141*(1+$D$3))</f>
        <v>12</v>
      </c>
      <c r="H141" s="14" cm="1">
        <f t="array" ref="H141">IFERROR(_xlfn.IFS(VALUE(MID(H$5,6,1))&gt;$D$2,0,$B141="Annual",1,G141=12,12,$B141="Monthly V",G141*(1+$D$3),$B141="Monthly F",12,$B141="One-Time",0),G141*(1+$D$3))</f>
        <v>12</v>
      </c>
      <c r="I141" s="14" cm="1">
        <f t="array" ref="I141">IFERROR(_xlfn.IFS(VALUE(MID(I$5,6,1))&gt;$D$2,0,$B141="Annual",1,H141=12,12,$B141="Monthly V",H141*(1+$D$3),$B141="Monthly F",12,$B141="One-Time",0),H141*(1+$D$3))</f>
        <v>12</v>
      </c>
      <c r="J141" s="14" cm="1">
        <f t="array" ref="J141">IFERROR(_xlfn.IFS(VALUE(MID(J$5,6,1))&gt;$D$2,0,$B141="Annual",1,I141=12,12,$B141="Monthly V",I141*(1+$D$3),$B141="Monthly F",12,$B141="One-Time",0),I141*(1+$D$3))</f>
        <v>12</v>
      </c>
      <c r="K141" s="14" cm="1">
        <f t="array" ref="K141">IFERROR(_xlfn.IFS(VALUE(MID(K$5,6,1))&gt;$D$2,0,$B141="Annual",1,J141=12,12,$B141="Monthly V",J141*(1+$D$3),$B141="Monthly F",12,$B141="One-Time",0),J141*(1+$D$3))</f>
        <v>12</v>
      </c>
      <c r="L141" s="14" cm="1">
        <f t="array" ref="L141">IFERROR(_xlfn.IFS(VALUE(MID(L$5,6,1))&gt;$D$2,0,$B141="Annual",1,K141=12,12,$B141="Monthly V",K141*(1+$D$3),$B141="Monthly F",12,$B141="One-Time",0),K141*(1+$D$3))</f>
        <v>0</v>
      </c>
      <c r="M141" s="14" cm="1">
        <f t="array" ref="M141">IFERROR(_xlfn.IFS(VALUE(MID(M$5,6,1))&gt;$D$2,0,$B141="Annual",1,L141=12,12,$B141="Monthly V",L141*(1+$D$3),$B141="Monthly F",12,$B141="One-Time",0),L141*(1+$D$3))</f>
        <v>0</v>
      </c>
      <c r="N141" s="24" cm="1">
        <f t="array" ref="N141">IFERROR(_xlfn.IFS(VALUE(MID(N$5,6,2))&gt;$D$2,0,$B141="Annual",1,M141=12,12,$B141="Monthly V",M141*(1+$D$3),$B141="Monthly F",12,$B141="One-Time",0),M141*(1+$D$3))</f>
        <v>0</v>
      </c>
      <c r="O141" s="127" t="s">
        <v>136</v>
      </c>
      <c r="P141" s="13"/>
      <c r="Q141" s="20">
        <v>1000</v>
      </c>
      <c r="R141" s="21">
        <f t="shared" si="741"/>
        <v>1000</v>
      </c>
      <c r="S141" s="6">
        <f t="shared" si="742"/>
        <v>12000</v>
      </c>
      <c r="T141" s="6">
        <f t="shared" si="742"/>
        <v>12000</v>
      </c>
      <c r="U141" s="6">
        <f t="shared" si="742"/>
        <v>12000</v>
      </c>
      <c r="V141" s="6">
        <f t="shared" si="742"/>
        <v>12000</v>
      </c>
      <c r="W141" s="6">
        <f t="shared" si="742"/>
        <v>12000</v>
      </c>
      <c r="X141" s="6">
        <f t="shared" si="742"/>
        <v>12000</v>
      </c>
      <c r="Y141" s="6">
        <f t="shared" si="742"/>
        <v>12000</v>
      </c>
      <c r="Z141" s="6">
        <f t="shared" si="742"/>
        <v>0</v>
      </c>
      <c r="AA141" s="6">
        <f t="shared" si="742"/>
        <v>0</v>
      </c>
      <c r="AB141" s="6">
        <f t="shared" si="742"/>
        <v>0</v>
      </c>
      <c r="AC141" s="7"/>
      <c r="AD141" s="152">
        <f t="shared" si="743"/>
        <v>360.00000000000034</v>
      </c>
      <c r="AE141" s="152">
        <f t="shared" si="744"/>
        <v>730.7999999999995</v>
      </c>
      <c r="AF141" s="152">
        <f t="shared" si="745"/>
        <v>1112.7240000000002</v>
      </c>
      <c r="AG141" s="152">
        <f t="shared" si="746"/>
        <v>1506.1057199999989</v>
      </c>
      <c r="AH141" s="152">
        <f t="shared" si="747"/>
        <v>1911.2888915999981</v>
      </c>
      <c r="AI141" s="152">
        <f t="shared" si="748"/>
        <v>2328.6275583479987</v>
      </c>
      <c r="AJ141" s="152">
        <f t="shared" si="749"/>
        <v>0</v>
      </c>
      <c r="AK141" s="152">
        <f t="shared" si="750"/>
        <v>0</v>
      </c>
      <c r="AL141" s="152">
        <f t="shared" si="751"/>
        <v>0</v>
      </c>
      <c r="AM141" s="9">
        <f t="shared" si="752"/>
        <v>7949.5461699479965</v>
      </c>
      <c r="AN141" s="80">
        <f t="shared" si="753"/>
        <v>91949.546169947993</v>
      </c>
      <c r="AP141" s="102" t="s">
        <v>3</v>
      </c>
      <c r="AQ141" s="12">
        <v>1</v>
      </c>
      <c r="AR141" s="14">
        <f t="shared" si="736"/>
        <v>1</v>
      </c>
      <c r="AS141" s="14" cm="1">
        <f t="array" ref="AS141">IFERROR(_xlfn.IFS(VALUE(MID(AS$5,6,1))&gt;$D$2,0,$AP141="Annual",1,AR141=12,12,$AP141="Monthly V",AR141*(1+$D$3),$AP141="Monthly F",12,$AP141="One-Time",0),AR141*(1+$D$3))</f>
        <v>0</v>
      </c>
      <c r="AT141" s="14" cm="1">
        <f t="array" ref="AT141">IFERROR(_xlfn.IFS(VALUE(MID(AT$5,6,1))&gt;$D$2,0,$AP141="Annual",1,AS141=12,12,$AP141="Monthly V",AS141*(1+$D$3),$AP141="Monthly F",12,$AP141="One-Time",0),AS141*(1+$D$3))</f>
        <v>0</v>
      </c>
      <c r="AU141" s="14" cm="1">
        <f t="array" ref="AU141">IFERROR(_xlfn.IFS(VALUE(MID(AU$5,6,1))&gt;$D$2,0,$AP141="Annual",1,AT141=12,12,$AP141="Monthly V",AT141*(1+$D$3),$AP141="Monthly F",12,$AP141="One-Time",0),AT141*(1+$D$3))</f>
        <v>0</v>
      </c>
      <c r="AV141" s="14" cm="1">
        <f t="array" ref="AV141">IFERROR(_xlfn.IFS(VALUE(MID(AV$5,6,1))&gt;$D$2,0,$AP141="Annual",1,AU141=12,12,$AP141="Monthly V",AU141*(1+$D$3),$AP141="Monthly F",12,$AP141="One-Time",0),AU141*(1+$D$3))</f>
        <v>0</v>
      </c>
      <c r="AW141" s="14" cm="1">
        <f t="array" ref="AW141">IFERROR(_xlfn.IFS(VALUE(MID(AW$5,6,1))&gt;$D$2,0,$AP141="Annual",1,AV141=12,12,$AP141="Monthly V",AV141*(1+$D$3),$AP141="Monthly F",12,$AP141="One-Time",0),AV141*(1+$D$3))</f>
        <v>0</v>
      </c>
      <c r="AX141" s="14" cm="1">
        <f t="array" ref="AX141">IFERROR(_xlfn.IFS(VALUE(MID(AX$5,6,1))&gt;$D$2,0,$AP141="Annual",1,AW141=12,12,$AP141="Monthly V",AW141*(1+$D$3),$AP141="Monthly F",12,$AP141="One-Time",0),AW141*(1+$D$3))</f>
        <v>0</v>
      </c>
      <c r="AY141" s="14" cm="1">
        <f t="array" ref="AY141">IFERROR(_xlfn.IFS(VALUE(MID(AY$5,6,1))&gt;$D$2,0,$AP141="Annual",1,AX141=12,12,$AP141="Monthly V",AX141*(1+$D$3),$AP141="Monthly F",12,$AP141="One-Time",0),AX141*(1+$D$3))</f>
        <v>0</v>
      </c>
      <c r="AZ141" s="14" cm="1">
        <f t="array" ref="AZ141">IFERROR(_xlfn.IFS(VALUE(MID(AZ$5,6,1))&gt;$D$2,0,$AP141="Annual",1,AY141=12,12,$AP141="Monthly V",AY141*(1+$D$3),$AP141="Monthly F",12,$AP141="One-Time",0),AY141*(1+$D$3))</f>
        <v>0</v>
      </c>
      <c r="BA141" s="125" cm="1">
        <f t="array" ref="BA141">IFERROR(_xlfn.IFS(VALUE(MID(BA$5,6,2))&gt;$D$2,0,$AP141="Annual",1,AZ141=12,12,$AP141="Monthly V",AZ141*(1+$D$3),$AP141="Monthly F",12,$AP141="One-Time",0),AZ141*(1+$D$3))</f>
        <v>0</v>
      </c>
      <c r="BB141" s="124" t="s">
        <v>252</v>
      </c>
      <c r="BC141" s="38" t="s">
        <v>274</v>
      </c>
      <c r="BD141" s="36">
        <v>1500</v>
      </c>
      <c r="BE141" s="21">
        <f t="shared" si="620"/>
        <v>125</v>
      </c>
      <c r="BF141" s="39">
        <f t="shared" si="621"/>
        <v>1500</v>
      </c>
      <c r="BG141" s="39">
        <f t="shared" si="621"/>
        <v>0</v>
      </c>
      <c r="BH141" s="39">
        <f t="shared" si="621"/>
        <v>0</v>
      </c>
      <c r="BI141" s="39">
        <f t="shared" si="621"/>
        <v>0</v>
      </c>
      <c r="BJ141" s="39">
        <f t="shared" si="621"/>
        <v>0</v>
      </c>
      <c r="BK141" s="39">
        <f t="shared" si="621"/>
        <v>0</v>
      </c>
      <c r="BL141" s="39">
        <f t="shared" si="621"/>
        <v>0</v>
      </c>
      <c r="BM141" s="39">
        <f t="shared" si="621"/>
        <v>0</v>
      </c>
      <c r="BN141" s="39">
        <f t="shared" si="621"/>
        <v>0</v>
      </c>
      <c r="BO141" s="39">
        <f t="shared" si="621"/>
        <v>0</v>
      </c>
      <c r="BP141" s="40"/>
      <c r="BQ141" s="40">
        <f t="shared" si="624"/>
        <v>0</v>
      </c>
      <c r="BR141" s="40">
        <f t="shared" si="625"/>
        <v>0</v>
      </c>
      <c r="BS141" s="40">
        <f t="shared" si="626"/>
        <v>0</v>
      </c>
      <c r="BT141" s="40">
        <f t="shared" si="627"/>
        <v>0</v>
      </c>
      <c r="BU141" s="40">
        <f t="shared" si="628"/>
        <v>0</v>
      </c>
      <c r="BV141" s="40">
        <f t="shared" si="629"/>
        <v>0</v>
      </c>
      <c r="BW141" s="40">
        <f t="shared" si="630"/>
        <v>0</v>
      </c>
      <c r="BX141" s="40">
        <f t="shared" si="631"/>
        <v>0</v>
      </c>
      <c r="BY141" s="40">
        <f t="shared" si="632"/>
        <v>0</v>
      </c>
      <c r="BZ141" s="40">
        <f t="shared" si="633"/>
        <v>0</v>
      </c>
      <c r="CA141" s="37">
        <f t="shared" si="634"/>
        <v>1500</v>
      </c>
      <c r="CC141" s="102"/>
      <c r="CD141" s="12"/>
      <c r="CE141" s="14">
        <f t="shared" si="635"/>
        <v>0</v>
      </c>
      <c r="CF141" s="14" cm="1">
        <f t="array" ref="CF141">IFERROR(_xlfn.IFS(VALUE(MID(CF$5,6,1))&gt;$D$2,0,$CC141="Annual",1,CE141=12,12,$CC141="Monthly V",CE141*(1+$D$3),$CC141="Monthly F",12,$CC141="One-Time",0),CE141*(1+$D$3))</f>
        <v>0</v>
      </c>
      <c r="CG141" s="14" cm="1">
        <f t="array" ref="CG141">IFERROR(_xlfn.IFS(VALUE(MID(CG$5,6,1))&gt;$D$2,0,$CC141="Annual",1,CF141=12,12,$CC141="Monthly V",CF141*(1+$D$3),$CC141="Monthly F",12,$CC141="One-Time",0),CF141*(1+$D$3))</f>
        <v>0</v>
      </c>
      <c r="CH141" s="14" cm="1">
        <f t="array" ref="CH141">IFERROR(_xlfn.IFS(VALUE(MID(CH$5,6,1))&gt;$D$2,0,$CC141="Annual",1,CG141=12,12,$CC141="Monthly V",CG141*(1+$D$3),$CC141="Monthly F",12,$CC141="One-Time",0),CG141*(1+$D$3))</f>
        <v>0</v>
      </c>
      <c r="CI141" s="14" cm="1">
        <f t="array" ref="CI141">IFERROR(_xlfn.IFS(VALUE(MID(CI$5,6,1))&gt;$D$2,0,$CC141="Annual",1,CH141=12,12,$CC141="Monthly V",CH141*(1+$D$3),$CC141="Monthly F",12,$CC141="One-Time",0),CH141*(1+$D$3))</f>
        <v>0</v>
      </c>
      <c r="CJ141" s="14" cm="1">
        <f t="array" ref="CJ141">IFERROR(_xlfn.IFS(VALUE(MID(CJ$5,6,1))&gt;$D$2,0,$CC141="Annual",1,CI141=12,12,$CC141="Monthly V",CI141*(1+$D$3),$CC141="Monthly F",12,$CC141="One-Time",0),CI141*(1+$D$3))</f>
        <v>0</v>
      </c>
      <c r="CK141" s="14" cm="1">
        <f t="array" ref="CK141">IFERROR(_xlfn.IFS(VALUE(MID(CK$5,6,1))&gt;$D$2,0,$CC141="Annual",1,CJ141=12,12,$CC141="Monthly V",CJ141*(1+$D$3),$CC141="Monthly F",12,$CC141="One-Time",0),CJ141*(1+$D$3))</f>
        <v>0</v>
      </c>
      <c r="CL141" s="14" cm="1">
        <f t="array" ref="CL141">IFERROR(_xlfn.IFS(VALUE(MID(CL$5,6,1))&gt;$D$2,0,$CC141="Annual",1,CK141=12,12,$CC141="Monthly V",CK141*(1+$D$3),$CC141="Monthly F",12,$CC141="One-Time",0),CK141*(1+$D$3))</f>
        <v>0</v>
      </c>
      <c r="CM141" s="14" cm="1">
        <f t="array" ref="CM141">IFERROR(_xlfn.IFS(VALUE(MID(CM$5,6,1))&gt;$D$2,0,$CC141="Annual",1,CL141=12,12,$CC141="Monthly V",CL141*(1+$D$3),$CC141="Monthly F",12,$CC141="One-Time",0),CL141*(1+$D$3))</f>
        <v>0</v>
      </c>
      <c r="CN141" s="24" cm="1">
        <f t="array" ref="CN141">IFERROR(_xlfn.IFS(VALUE(MID(CN$5,6,2))&gt;$D$2,0,$CC141="Annual",1,CM141=12,12,$CC141="Monthly V",CM141*(1+$D$3),$CC141="Monthly F",12,$CC141="One-Time",0),CM141*(1+$D$3))</f>
        <v>0</v>
      </c>
      <c r="CO141" s="63"/>
      <c r="CP141" s="53"/>
      <c r="CQ141" s="21">
        <f t="shared" si="636"/>
        <v>0</v>
      </c>
      <c r="CR141" s="55">
        <f t="shared" si="637"/>
        <v>0</v>
      </c>
      <c r="CS141" s="55">
        <f t="shared" si="637"/>
        <v>0</v>
      </c>
      <c r="CT141" s="55">
        <f t="shared" si="637"/>
        <v>0</v>
      </c>
      <c r="CU141" s="55">
        <f t="shared" si="637"/>
        <v>0</v>
      </c>
      <c r="CV141" s="55">
        <f t="shared" si="637"/>
        <v>0</v>
      </c>
      <c r="CW141" s="55">
        <f t="shared" si="637"/>
        <v>0</v>
      </c>
      <c r="CX141" s="55">
        <f t="shared" si="637"/>
        <v>0</v>
      </c>
      <c r="CY141" s="55">
        <f t="shared" si="637"/>
        <v>0</v>
      </c>
      <c r="CZ141" s="55">
        <f t="shared" si="637"/>
        <v>0</v>
      </c>
      <c r="DA141" s="55">
        <f t="shared" si="637"/>
        <v>0</v>
      </c>
      <c r="DB141" s="56"/>
      <c r="DC141" s="56">
        <f t="shared" si="638"/>
        <v>0</v>
      </c>
      <c r="DD141" s="56">
        <f t="shared" si="639"/>
        <v>0</v>
      </c>
      <c r="DE141" s="56">
        <f t="shared" si="640"/>
        <v>0</v>
      </c>
      <c r="DF141" s="56">
        <f t="shared" si="641"/>
        <v>0</v>
      </c>
      <c r="DG141" s="56">
        <f t="shared" si="642"/>
        <v>0</v>
      </c>
      <c r="DH141" s="56">
        <f t="shared" si="643"/>
        <v>0</v>
      </c>
      <c r="DI141" s="56">
        <f t="shared" si="644"/>
        <v>0</v>
      </c>
      <c r="DJ141" s="56">
        <f t="shared" si="645"/>
        <v>0</v>
      </c>
      <c r="DK141" s="56">
        <f t="shared" si="646"/>
        <v>0</v>
      </c>
      <c r="DL141" s="57">
        <f t="shared" si="647"/>
        <v>0</v>
      </c>
      <c r="DM141" s="54">
        <f t="shared" si="648"/>
        <v>0</v>
      </c>
      <c r="DO141" s="106"/>
    </row>
    <row r="142" spans="2:119" x14ac:dyDescent="0.25">
      <c r="B142" s="141" t="s">
        <v>3</v>
      </c>
      <c r="C142" s="24">
        <v>1</v>
      </c>
      <c r="D142" s="147">
        <f t="shared" si="739"/>
        <v>1</v>
      </c>
      <c r="E142" s="142">
        <f t="shared" si="740"/>
        <v>1</v>
      </c>
      <c r="F142" s="14" cm="1">
        <f t="array" ref="F142">IFERROR(_xlfn.IFS(VALUE(MID(F$5,6,1))&gt;$D$2,0,$B142="Annual",1,E142=12,12,$B142="Monthly V",E142*(1+$D$3),$B142="Monthly F",12,$B142="One-Time",0),E142*(1+$D$3))</f>
        <v>0</v>
      </c>
      <c r="G142" s="14" cm="1">
        <f t="array" ref="G142">IFERROR(_xlfn.IFS(VALUE(MID(G$5,6,1))&gt;$D$2,0,$B142="Annual",1,F142=12,12,$B142="Monthly V",F142*(1+$D$3),$B142="Monthly F",12,$B142="One-Time",0),F142*(1+$D$3))</f>
        <v>0</v>
      </c>
      <c r="H142" s="14" cm="1">
        <f t="array" ref="H142">IFERROR(_xlfn.IFS(VALUE(MID(H$5,6,1))&gt;$D$2,0,$B142="Annual",1,G142=12,12,$B142="Monthly V",G142*(1+$D$3),$B142="Monthly F",12,$B142="One-Time",0),G142*(1+$D$3))</f>
        <v>0</v>
      </c>
      <c r="I142" s="14" cm="1">
        <f t="array" ref="I142">IFERROR(_xlfn.IFS(VALUE(MID(I$5,6,1))&gt;$D$2,0,$B142="Annual",1,H142=12,12,$B142="Monthly V",H142*(1+$D$3),$B142="Monthly F",12,$B142="One-Time",0),H142*(1+$D$3))</f>
        <v>0</v>
      </c>
      <c r="J142" s="14" cm="1">
        <f t="array" ref="J142">IFERROR(_xlfn.IFS(VALUE(MID(J$5,6,1))&gt;$D$2,0,$B142="Annual",1,I142=12,12,$B142="Monthly V",I142*(1+$D$3),$B142="Monthly F",12,$B142="One-Time",0),I142*(1+$D$3))</f>
        <v>0</v>
      </c>
      <c r="K142" s="14" cm="1">
        <f t="array" ref="K142">IFERROR(_xlfn.IFS(VALUE(MID(K$5,6,1))&gt;$D$2,0,$B142="Annual",1,J142=12,12,$B142="Monthly V",J142*(1+$D$3),$B142="Monthly F",12,$B142="One-Time",0),J142*(1+$D$3))</f>
        <v>0</v>
      </c>
      <c r="L142" s="14" cm="1">
        <f t="array" ref="L142">IFERROR(_xlfn.IFS(VALUE(MID(L$5,6,1))&gt;$D$2,0,$B142="Annual",1,K142=12,12,$B142="Monthly V",K142*(1+$D$3),$B142="Monthly F",12,$B142="One-Time",0),K142*(1+$D$3))</f>
        <v>0</v>
      </c>
      <c r="M142" s="14" cm="1">
        <f t="array" ref="M142">IFERROR(_xlfn.IFS(VALUE(MID(M$5,6,1))&gt;$D$2,0,$B142="Annual",1,L142=12,12,$B142="Monthly V",L142*(1+$D$3),$B142="Monthly F",12,$B142="One-Time",0),L142*(1+$D$3))</f>
        <v>0</v>
      </c>
      <c r="N142" s="24" cm="1">
        <f t="array" ref="N142">IFERROR(_xlfn.IFS(VALUE(MID(N$5,6,2))&gt;$D$2,0,$B142="Annual",1,M142=12,12,$B142="Monthly V",M142*(1+$D$3),$B142="Monthly F",12,$B142="One-Time",0),M142*(1+$D$3))</f>
        <v>0</v>
      </c>
      <c r="O142" s="127" t="s">
        <v>137</v>
      </c>
      <c r="P142" s="13"/>
      <c r="Q142" s="20">
        <v>5000</v>
      </c>
      <c r="R142" s="21">
        <f t="shared" si="741"/>
        <v>416.66666666666669</v>
      </c>
      <c r="S142" s="6">
        <f t="shared" si="742"/>
        <v>5000</v>
      </c>
      <c r="T142" s="6">
        <f t="shared" si="742"/>
        <v>0</v>
      </c>
      <c r="U142" s="6">
        <f t="shared" si="742"/>
        <v>0</v>
      </c>
      <c r="V142" s="6">
        <f t="shared" si="742"/>
        <v>0</v>
      </c>
      <c r="W142" s="6">
        <f t="shared" si="742"/>
        <v>0</v>
      </c>
      <c r="X142" s="6">
        <f t="shared" si="742"/>
        <v>0</v>
      </c>
      <c r="Y142" s="6">
        <f t="shared" si="742"/>
        <v>0</v>
      </c>
      <c r="Z142" s="6">
        <f t="shared" si="742"/>
        <v>0</v>
      </c>
      <c r="AA142" s="6">
        <f t="shared" si="742"/>
        <v>0</v>
      </c>
      <c r="AB142" s="6">
        <f t="shared" si="742"/>
        <v>0</v>
      </c>
      <c r="AC142" s="7"/>
      <c r="AD142" s="152">
        <f t="shared" si="743"/>
        <v>0</v>
      </c>
      <c r="AE142" s="152">
        <f t="shared" si="744"/>
        <v>0</v>
      </c>
      <c r="AF142" s="152">
        <f t="shared" si="745"/>
        <v>0</v>
      </c>
      <c r="AG142" s="152">
        <f t="shared" si="746"/>
        <v>0</v>
      </c>
      <c r="AH142" s="152">
        <f t="shared" si="747"/>
        <v>0</v>
      </c>
      <c r="AI142" s="152">
        <f t="shared" si="748"/>
        <v>0</v>
      </c>
      <c r="AJ142" s="152">
        <f t="shared" si="749"/>
        <v>0</v>
      </c>
      <c r="AK142" s="152">
        <f t="shared" si="750"/>
        <v>0</v>
      </c>
      <c r="AL142" s="152">
        <f t="shared" si="751"/>
        <v>0</v>
      </c>
      <c r="AM142" s="9">
        <f t="shared" si="752"/>
        <v>0</v>
      </c>
      <c r="AN142" s="80">
        <f t="shared" si="753"/>
        <v>5000</v>
      </c>
      <c r="AP142" s="102" t="s">
        <v>3</v>
      </c>
      <c r="AQ142" s="12">
        <v>1</v>
      </c>
      <c r="AR142" s="14">
        <f t="shared" si="736"/>
        <v>1</v>
      </c>
      <c r="AS142" s="14" cm="1">
        <f t="array" ref="AS142">IFERROR(_xlfn.IFS(VALUE(MID(AS$5,6,1))&gt;$D$2,0,$AP142="Annual",1,AR142=12,12,$AP142="Monthly V",AR142*(1+$D$3),$AP142="Monthly F",12,$AP142="One-Time",0),AR142*(1+$D$3))</f>
        <v>0</v>
      </c>
      <c r="AT142" s="14" cm="1">
        <f t="array" ref="AT142">IFERROR(_xlfn.IFS(VALUE(MID(AT$5,6,1))&gt;$D$2,0,$AP142="Annual",1,AS142=12,12,$AP142="Monthly V",AS142*(1+$D$3),$AP142="Monthly F",12,$AP142="One-Time",0),AS142*(1+$D$3))</f>
        <v>0</v>
      </c>
      <c r="AU142" s="14" cm="1">
        <f t="array" ref="AU142">IFERROR(_xlfn.IFS(VALUE(MID(AU$5,6,1))&gt;$D$2,0,$AP142="Annual",1,AT142=12,12,$AP142="Monthly V",AT142*(1+$D$3),$AP142="Monthly F",12,$AP142="One-Time",0),AT142*(1+$D$3))</f>
        <v>0</v>
      </c>
      <c r="AV142" s="14" cm="1">
        <f t="array" ref="AV142">IFERROR(_xlfn.IFS(VALUE(MID(AV$5,6,1))&gt;$D$2,0,$AP142="Annual",1,AU142=12,12,$AP142="Monthly V",AU142*(1+$D$3),$AP142="Monthly F",12,$AP142="One-Time",0),AU142*(1+$D$3))</f>
        <v>0</v>
      </c>
      <c r="AW142" s="14" cm="1">
        <f t="array" ref="AW142">IFERROR(_xlfn.IFS(VALUE(MID(AW$5,6,1))&gt;$D$2,0,$AP142="Annual",1,AV142=12,12,$AP142="Monthly V",AV142*(1+$D$3),$AP142="Monthly F",12,$AP142="One-Time",0),AV142*(1+$D$3))</f>
        <v>0</v>
      </c>
      <c r="AX142" s="14" cm="1">
        <f t="array" ref="AX142">IFERROR(_xlfn.IFS(VALUE(MID(AX$5,6,1))&gt;$D$2,0,$AP142="Annual",1,AW142=12,12,$AP142="Monthly V",AW142*(1+$D$3),$AP142="Monthly F",12,$AP142="One-Time",0),AW142*(1+$D$3))</f>
        <v>0</v>
      </c>
      <c r="AY142" s="14" cm="1">
        <f t="array" ref="AY142">IFERROR(_xlfn.IFS(VALUE(MID(AY$5,6,1))&gt;$D$2,0,$AP142="Annual",1,AX142=12,12,$AP142="Monthly V",AX142*(1+$D$3),$AP142="Monthly F",12,$AP142="One-Time",0),AX142*(1+$D$3))</f>
        <v>0</v>
      </c>
      <c r="AZ142" s="14" cm="1">
        <f t="array" ref="AZ142">IFERROR(_xlfn.IFS(VALUE(MID(AZ$5,6,1))&gt;$D$2,0,$AP142="Annual",1,AY142=12,12,$AP142="Monthly V",AY142*(1+$D$3),$AP142="Monthly F",12,$AP142="One-Time",0),AY142*(1+$D$3))</f>
        <v>0</v>
      </c>
      <c r="BA142" s="125" cm="1">
        <f t="array" ref="BA142">IFERROR(_xlfn.IFS(VALUE(MID(BA$5,6,2))&gt;$D$2,0,$AP142="Annual",1,AZ142=12,12,$AP142="Monthly V",AZ142*(1+$D$3),$AP142="Monthly F",12,$AP142="One-Time",0),AZ142*(1+$D$3))</f>
        <v>0</v>
      </c>
      <c r="BB142" s="124" t="s">
        <v>253</v>
      </c>
      <c r="BC142" s="38" t="s">
        <v>162</v>
      </c>
      <c r="BD142" s="36">
        <v>3500</v>
      </c>
      <c r="BE142" s="21">
        <f t="shared" si="620"/>
        <v>291.66666666666669</v>
      </c>
      <c r="BF142" s="39">
        <f t="shared" si="621"/>
        <v>3500</v>
      </c>
      <c r="BG142" s="39">
        <f t="shared" si="621"/>
        <v>0</v>
      </c>
      <c r="BH142" s="39">
        <f t="shared" si="621"/>
        <v>0</v>
      </c>
      <c r="BI142" s="39">
        <f t="shared" si="621"/>
        <v>0</v>
      </c>
      <c r="BJ142" s="39">
        <f t="shared" si="621"/>
        <v>0</v>
      </c>
      <c r="BK142" s="39">
        <f t="shared" si="621"/>
        <v>0</v>
      </c>
      <c r="BL142" s="39">
        <f t="shared" si="621"/>
        <v>0</v>
      </c>
      <c r="BM142" s="39">
        <f t="shared" si="621"/>
        <v>0</v>
      </c>
      <c r="BN142" s="39">
        <f t="shared" si="621"/>
        <v>0</v>
      </c>
      <c r="BO142" s="39">
        <f t="shared" si="621"/>
        <v>0</v>
      </c>
      <c r="BP142" s="40"/>
      <c r="BQ142" s="40">
        <f t="shared" si="624"/>
        <v>0</v>
      </c>
      <c r="BR142" s="40">
        <f t="shared" si="625"/>
        <v>0</v>
      </c>
      <c r="BS142" s="40">
        <f t="shared" si="626"/>
        <v>0</v>
      </c>
      <c r="BT142" s="40">
        <f t="shared" si="627"/>
        <v>0</v>
      </c>
      <c r="BU142" s="40">
        <f t="shared" si="628"/>
        <v>0</v>
      </c>
      <c r="BV142" s="40">
        <f t="shared" si="629"/>
        <v>0</v>
      </c>
      <c r="BW142" s="40">
        <f t="shared" si="630"/>
        <v>0</v>
      </c>
      <c r="BX142" s="40">
        <f t="shared" si="631"/>
        <v>0</v>
      </c>
      <c r="BY142" s="40">
        <f t="shared" si="632"/>
        <v>0</v>
      </c>
      <c r="BZ142" s="40">
        <f t="shared" si="633"/>
        <v>0</v>
      </c>
      <c r="CA142" s="37">
        <f t="shared" si="634"/>
        <v>3500</v>
      </c>
      <c r="CC142" s="102"/>
      <c r="CD142" s="12"/>
      <c r="CE142" s="14">
        <f t="shared" si="635"/>
        <v>0</v>
      </c>
      <c r="CF142" s="14" cm="1">
        <f t="array" ref="CF142">IFERROR(_xlfn.IFS(VALUE(MID(CF$5,6,1))&gt;$D$2,0,$CC142="Annual",1,CE142=12,12,$CC142="Monthly V",CE142*(1+$D$3),$CC142="Monthly F",12,$CC142="One-Time",0),CE142*(1+$D$3))</f>
        <v>0</v>
      </c>
      <c r="CG142" s="14" cm="1">
        <f t="array" ref="CG142">IFERROR(_xlfn.IFS(VALUE(MID(CG$5,6,1))&gt;$D$2,0,$CC142="Annual",1,CF142=12,12,$CC142="Monthly V",CF142*(1+$D$3),$CC142="Monthly F",12,$CC142="One-Time",0),CF142*(1+$D$3))</f>
        <v>0</v>
      </c>
      <c r="CH142" s="14" cm="1">
        <f t="array" ref="CH142">IFERROR(_xlfn.IFS(VALUE(MID(CH$5,6,1))&gt;$D$2,0,$CC142="Annual",1,CG142=12,12,$CC142="Monthly V",CG142*(1+$D$3),$CC142="Monthly F",12,$CC142="One-Time",0),CG142*(1+$D$3))</f>
        <v>0</v>
      </c>
      <c r="CI142" s="14" cm="1">
        <f t="array" ref="CI142">IFERROR(_xlfn.IFS(VALUE(MID(CI$5,6,1))&gt;$D$2,0,$CC142="Annual",1,CH142=12,12,$CC142="Monthly V",CH142*(1+$D$3),$CC142="Monthly F",12,$CC142="One-Time",0),CH142*(1+$D$3))</f>
        <v>0</v>
      </c>
      <c r="CJ142" s="14" cm="1">
        <f t="array" ref="CJ142">IFERROR(_xlfn.IFS(VALUE(MID(CJ$5,6,1))&gt;$D$2,0,$CC142="Annual",1,CI142=12,12,$CC142="Monthly V",CI142*(1+$D$3),$CC142="Monthly F",12,$CC142="One-Time",0),CI142*(1+$D$3))</f>
        <v>0</v>
      </c>
      <c r="CK142" s="14" cm="1">
        <f t="array" ref="CK142">IFERROR(_xlfn.IFS(VALUE(MID(CK$5,6,1))&gt;$D$2,0,$CC142="Annual",1,CJ142=12,12,$CC142="Monthly V",CJ142*(1+$D$3),$CC142="Monthly F",12,$CC142="One-Time",0),CJ142*(1+$D$3))</f>
        <v>0</v>
      </c>
      <c r="CL142" s="14" cm="1">
        <f t="array" ref="CL142">IFERROR(_xlfn.IFS(VALUE(MID(CL$5,6,1))&gt;$D$2,0,$CC142="Annual",1,CK142=12,12,$CC142="Monthly V",CK142*(1+$D$3),$CC142="Monthly F",12,$CC142="One-Time",0),CK142*(1+$D$3))</f>
        <v>0</v>
      </c>
      <c r="CM142" s="14" cm="1">
        <f t="array" ref="CM142">IFERROR(_xlfn.IFS(VALUE(MID(CM$5,6,1))&gt;$D$2,0,$CC142="Annual",1,CL142=12,12,$CC142="Monthly V",CL142*(1+$D$3),$CC142="Monthly F",12,$CC142="One-Time",0),CL142*(1+$D$3))</f>
        <v>0</v>
      </c>
      <c r="CN142" s="24" cm="1">
        <f t="array" ref="CN142">IFERROR(_xlfn.IFS(VALUE(MID(CN$5,6,2))&gt;$D$2,0,$CC142="Annual",1,CM142=12,12,$CC142="Monthly V",CM142*(1+$D$3),$CC142="Monthly F",12,$CC142="One-Time",0),CM142*(1+$D$3))</f>
        <v>0</v>
      </c>
      <c r="CO142" s="63"/>
      <c r="CP142" s="53"/>
      <c r="CQ142" s="21">
        <f t="shared" si="636"/>
        <v>0</v>
      </c>
      <c r="CR142" s="55">
        <f t="shared" si="637"/>
        <v>0</v>
      </c>
      <c r="CS142" s="55">
        <f t="shared" si="637"/>
        <v>0</v>
      </c>
      <c r="CT142" s="55">
        <f t="shared" si="637"/>
        <v>0</v>
      </c>
      <c r="CU142" s="55">
        <f t="shared" si="637"/>
        <v>0</v>
      </c>
      <c r="CV142" s="55">
        <f t="shared" si="637"/>
        <v>0</v>
      </c>
      <c r="CW142" s="55">
        <f t="shared" si="637"/>
        <v>0</v>
      </c>
      <c r="CX142" s="55">
        <f t="shared" si="637"/>
        <v>0</v>
      </c>
      <c r="CY142" s="55">
        <f t="shared" si="637"/>
        <v>0</v>
      </c>
      <c r="CZ142" s="55">
        <f t="shared" si="637"/>
        <v>0</v>
      </c>
      <c r="DA142" s="55">
        <f t="shared" si="637"/>
        <v>0</v>
      </c>
      <c r="DB142" s="56"/>
      <c r="DC142" s="56">
        <f t="shared" si="638"/>
        <v>0</v>
      </c>
      <c r="DD142" s="56">
        <f t="shared" si="639"/>
        <v>0</v>
      </c>
      <c r="DE142" s="56">
        <f t="shared" si="640"/>
        <v>0</v>
      </c>
      <c r="DF142" s="56">
        <f t="shared" si="641"/>
        <v>0</v>
      </c>
      <c r="DG142" s="56">
        <f t="shared" si="642"/>
        <v>0</v>
      </c>
      <c r="DH142" s="56">
        <f t="shared" si="643"/>
        <v>0</v>
      </c>
      <c r="DI142" s="56">
        <f t="shared" si="644"/>
        <v>0</v>
      </c>
      <c r="DJ142" s="56">
        <f t="shared" si="645"/>
        <v>0</v>
      </c>
      <c r="DK142" s="56">
        <f t="shared" si="646"/>
        <v>0</v>
      </c>
      <c r="DL142" s="57">
        <f t="shared" si="647"/>
        <v>0</v>
      </c>
      <c r="DM142" s="54">
        <f t="shared" si="648"/>
        <v>0</v>
      </c>
      <c r="DO142" s="106"/>
    </row>
    <row r="143" spans="2:119" x14ac:dyDescent="0.25">
      <c r="B143" s="141"/>
      <c r="C143" s="24"/>
      <c r="D143" s="147">
        <f t="shared" si="739"/>
        <v>0</v>
      </c>
      <c r="E143" s="142">
        <f t="shared" si="740"/>
        <v>0</v>
      </c>
      <c r="F143" s="14" cm="1">
        <f t="array" ref="F143">IFERROR(_xlfn.IFS(VALUE(MID(F$5,6,1))&gt;$D$2,0,$B143="Annual",1,E143=12,12,$B143="Monthly V",E143*(1+$D$3),$B143="Monthly F",12,$B143="One-Time",0),E143*(1+$D$3))</f>
        <v>0</v>
      </c>
      <c r="G143" s="14" cm="1">
        <f t="array" ref="G143">IFERROR(_xlfn.IFS(VALUE(MID(G$5,6,1))&gt;$D$2,0,$B143="Annual",1,F143=12,12,$B143="Monthly V",F143*(1+$D$3),$B143="Monthly F",12,$B143="One-Time",0),F143*(1+$D$3))</f>
        <v>0</v>
      </c>
      <c r="H143" s="14" cm="1">
        <f t="array" ref="H143">IFERROR(_xlfn.IFS(VALUE(MID(H$5,6,1))&gt;$D$2,0,$B143="Annual",1,G143=12,12,$B143="Monthly V",G143*(1+$D$3),$B143="Monthly F",12,$B143="One-Time",0),G143*(1+$D$3))</f>
        <v>0</v>
      </c>
      <c r="I143" s="14" cm="1">
        <f t="array" ref="I143">IFERROR(_xlfn.IFS(VALUE(MID(I$5,6,1))&gt;$D$2,0,$B143="Annual",1,H143=12,12,$B143="Monthly V",H143*(1+$D$3),$B143="Monthly F",12,$B143="One-Time",0),H143*(1+$D$3))</f>
        <v>0</v>
      </c>
      <c r="J143" s="14" cm="1">
        <f t="array" ref="J143">IFERROR(_xlfn.IFS(VALUE(MID(J$5,6,1))&gt;$D$2,0,$B143="Annual",1,I143=12,12,$B143="Monthly V",I143*(1+$D$3),$B143="Monthly F",12,$B143="One-Time",0),I143*(1+$D$3))</f>
        <v>0</v>
      </c>
      <c r="K143" s="14" cm="1">
        <f t="array" ref="K143">IFERROR(_xlfn.IFS(VALUE(MID(K$5,6,1))&gt;$D$2,0,$B143="Annual",1,J143=12,12,$B143="Monthly V",J143*(1+$D$3),$B143="Monthly F",12,$B143="One-Time",0),J143*(1+$D$3))</f>
        <v>0</v>
      </c>
      <c r="L143" s="14" cm="1">
        <f t="array" ref="L143">IFERROR(_xlfn.IFS(VALUE(MID(L$5,6,1))&gt;$D$2,0,$B143="Annual",1,K143=12,12,$B143="Monthly V",K143*(1+$D$3),$B143="Monthly F",12,$B143="One-Time",0),K143*(1+$D$3))</f>
        <v>0</v>
      </c>
      <c r="M143" s="14" cm="1">
        <f t="array" ref="M143">IFERROR(_xlfn.IFS(VALUE(MID(M$5,6,1))&gt;$D$2,0,$B143="Annual",1,L143=12,12,$B143="Monthly V",L143*(1+$D$3),$B143="Monthly F",12,$B143="One-Time",0),L143*(1+$D$3))</f>
        <v>0</v>
      </c>
      <c r="N143" s="24" cm="1">
        <f t="array" ref="N143">IFERROR(_xlfn.IFS(VALUE(MID(N$5,6,2))&gt;$D$2,0,$B143="Annual",1,M143=12,12,$B143="Monthly V",M143*(1+$D$3),$B143="Monthly F",12,$B143="One-Time",0),M143*(1+$D$3))</f>
        <v>0</v>
      </c>
      <c r="O143" s="127"/>
      <c r="P143" s="13"/>
      <c r="Q143" s="20"/>
      <c r="R143" s="21">
        <f>S143/12</f>
        <v>0</v>
      </c>
      <c r="S143" s="6">
        <f t="shared" si="742"/>
        <v>0</v>
      </c>
      <c r="T143" s="6">
        <f t="shared" si="742"/>
        <v>0</v>
      </c>
      <c r="U143" s="6">
        <f t="shared" si="742"/>
        <v>0</v>
      </c>
      <c r="V143" s="6">
        <f t="shared" si="742"/>
        <v>0</v>
      </c>
      <c r="W143" s="6">
        <f t="shared" si="742"/>
        <v>0</v>
      </c>
      <c r="X143" s="6">
        <f t="shared" si="742"/>
        <v>0</v>
      </c>
      <c r="Y143" s="6">
        <f t="shared" si="742"/>
        <v>0</v>
      </c>
      <c r="Z143" s="6">
        <f t="shared" si="742"/>
        <v>0</v>
      </c>
      <c r="AA143" s="6">
        <f t="shared" si="742"/>
        <v>0</v>
      </c>
      <c r="AB143" s="6">
        <f t="shared" si="742"/>
        <v>0</v>
      </c>
      <c r="AC143" s="7"/>
      <c r="AD143" s="152">
        <f t="shared" si="743"/>
        <v>0</v>
      </c>
      <c r="AE143" s="152">
        <f t="shared" si="744"/>
        <v>0</v>
      </c>
      <c r="AF143" s="152">
        <f t="shared" si="745"/>
        <v>0</v>
      </c>
      <c r="AG143" s="152">
        <f t="shared" si="746"/>
        <v>0</v>
      </c>
      <c r="AH143" s="152">
        <f t="shared" si="747"/>
        <v>0</v>
      </c>
      <c r="AI143" s="152">
        <f t="shared" si="748"/>
        <v>0</v>
      </c>
      <c r="AJ143" s="152">
        <f t="shared" si="749"/>
        <v>0</v>
      </c>
      <c r="AK143" s="152">
        <f t="shared" si="750"/>
        <v>0</v>
      </c>
      <c r="AL143" s="152">
        <f t="shared" si="751"/>
        <v>0</v>
      </c>
      <c r="AM143" s="9">
        <f t="shared" si="752"/>
        <v>0</v>
      </c>
      <c r="AN143" s="80">
        <f t="shared" si="753"/>
        <v>0</v>
      </c>
      <c r="AP143" s="102" t="s">
        <v>3</v>
      </c>
      <c r="AQ143" s="12">
        <v>1</v>
      </c>
      <c r="AR143" s="14">
        <f t="shared" si="736"/>
        <v>1</v>
      </c>
      <c r="AS143" s="14" cm="1">
        <f t="array" ref="AS143">IFERROR(_xlfn.IFS(VALUE(MID(AS$5,6,1))&gt;$D$2,0,$AP143="Annual",1,AR143=12,12,$AP143="Monthly V",AR143*(1+$D$3),$AP143="Monthly F",12,$AP143="One-Time",0),AR143*(1+$D$3))</f>
        <v>0</v>
      </c>
      <c r="AT143" s="14" cm="1">
        <f t="array" ref="AT143">IFERROR(_xlfn.IFS(VALUE(MID(AT$5,6,1))&gt;$D$2,0,$AP143="Annual",1,AS143=12,12,$AP143="Monthly V",AS143*(1+$D$3),$AP143="Monthly F",12,$AP143="One-Time",0),AS143*(1+$D$3))</f>
        <v>0</v>
      </c>
      <c r="AU143" s="14" cm="1">
        <f t="array" ref="AU143">IFERROR(_xlfn.IFS(VALUE(MID(AU$5,6,1))&gt;$D$2,0,$AP143="Annual",1,AT143=12,12,$AP143="Monthly V",AT143*(1+$D$3),$AP143="Monthly F",12,$AP143="One-Time",0),AT143*(1+$D$3))</f>
        <v>0</v>
      </c>
      <c r="AV143" s="14" cm="1">
        <f t="array" ref="AV143">IFERROR(_xlfn.IFS(VALUE(MID(AV$5,6,1))&gt;$D$2,0,$AP143="Annual",1,AU143=12,12,$AP143="Monthly V",AU143*(1+$D$3),$AP143="Monthly F",12,$AP143="One-Time",0),AU143*(1+$D$3))</f>
        <v>0</v>
      </c>
      <c r="AW143" s="14" cm="1">
        <f t="array" ref="AW143">IFERROR(_xlfn.IFS(VALUE(MID(AW$5,6,1))&gt;$D$2,0,$AP143="Annual",1,AV143=12,12,$AP143="Monthly V",AV143*(1+$D$3),$AP143="Monthly F",12,$AP143="One-Time",0),AV143*(1+$D$3))</f>
        <v>0</v>
      </c>
      <c r="AX143" s="14" cm="1">
        <f t="array" ref="AX143">IFERROR(_xlfn.IFS(VALUE(MID(AX$5,6,1))&gt;$D$2,0,$AP143="Annual",1,AW143=12,12,$AP143="Monthly V",AW143*(1+$D$3),$AP143="Monthly F",12,$AP143="One-Time",0),AW143*(1+$D$3))</f>
        <v>0</v>
      </c>
      <c r="AY143" s="14" cm="1">
        <f t="array" ref="AY143">IFERROR(_xlfn.IFS(VALUE(MID(AY$5,6,1))&gt;$D$2,0,$AP143="Annual",1,AX143=12,12,$AP143="Monthly V",AX143*(1+$D$3),$AP143="Monthly F",12,$AP143="One-Time",0),AX143*(1+$D$3))</f>
        <v>0</v>
      </c>
      <c r="AZ143" s="14" cm="1">
        <f t="array" ref="AZ143">IFERROR(_xlfn.IFS(VALUE(MID(AZ$5,6,1))&gt;$D$2,0,$AP143="Annual",1,AY143=12,12,$AP143="Monthly V",AY143*(1+$D$3),$AP143="Monthly F",12,$AP143="One-Time",0),AY143*(1+$D$3))</f>
        <v>0</v>
      </c>
      <c r="BA143" s="125" cm="1">
        <f t="array" ref="BA143">IFERROR(_xlfn.IFS(VALUE(MID(BA$5,6,2))&gt;$D$2,0,$AP143="Annual",1,AZ143=12,12,$AP143="Monthly V",AZ143*(1+$D$3),$AP143="Monthly F",12,$AP143="One-Time",0),AZ143*(1+$D$3))</f>
        <v>0</v>
      </c>
      <c r="BB143" s="124" t="s">
        <v>257</v>
      </c>
      <c r="BC143" s="38" t="s">
        <v>221</v>
      </c>
      <c r="BD143" s="36">
        <v>7425</v>
      </c>
      <c r="BE143" s="21">
        <f t="shared" si="620"/>
        <v>618.75</v>
      </c>
      <c r="BF143" s="39">
        <f t="shared" si="621"/>
        <v>7425</v>
      </c>
      <c r="BG143" s="39">
        <f t="shared" si="621"/>
        <v>0</v>
      </c>
      <c r="BH143" s="39">
        <f t="shared" si="621"/>
        <v>0</v>
      </c>
      <c r="BI143" s="39">
        <f t="shared" si="621"/>
        <v>0</v>
      </c>
      <c r="BJ143" s="39">
        <f t="shared" si="621"/>
        <v>0</v>
      </c>
      <c r="BK143" s="39">
        <f t="shared" si="621"/>
        <v>0</v>
      </c>
      <c r="BL143" s="39">
        <f t="shared" si="621"/>
        <v>0</v>
      </c>
      <c r="BM143" s="39">
        <f t="shared" si="621"/>
        <v>0</v>
      </c>
      <c r="BN143" s="39">
        <f t="shared" si="621"/>
        <v>0</v>
      </c>
      <c r="BO143" s="39">
        <f t="shared" si="621"/>
        <v>0</v>
      </c>
      <c r="BP143" s="40"/>
      <c r="BQ143" s="40">
        <f t="shared" si="624"/>
        <v>0</v>
      </c>
      <c r="BR143" s="40">
        <f t="shared" si="625"/>
        <v>0</v>
      </c>
      <c r="BS143" s="40">
        <f t="shared" si="626"/>
        <v>0</v>
      </c>
      <c r="BT143" s="40">
        <f t="shared" si="627"/>
        <v>0</v>
      </c>
      <c r="BU143" s="40">
        <f t="shared" si="628"/>
        <v>0</v>
      </c>
      <c r="BV143" s="40">
        <f t="shared" si="629"/>
        <v>0</v>
      </c>
      <c r="BW143" s="40">
        <f t="shared" si="630"/>
        <v>0</v>
      </c>
      <c r="BX143" s="40">
        <f t="shared" si="631"/>
        <v>0</v>
      </c>
      <c r="BY143" s="40">
        <f t="shared" si="632"/>
        <v>0</v>
      </c>
      <c r="BZ143" s="40">
        <f t="shared" si="633"/>
        <v>0</v>
      </c>
      <c r="CA143" s="37">
        <f t="shared" si="634"/>
        <v>7425</v>
      </c>
      <c r="CC143" s="102"/>
      <c r="CD143" s="12"/>
      <c r="CE143" s="14">
        <f t="shared" si="635"/>
        <v>0</v>
      </c>
      <c r="CF143" s="14" cm="1">
        <f t="array" ref="CF143">IFERROR(_xlfn.IFS(VALUE(MID(CF$5,6,1))&gt;$D$2,0,$CC143="Annual",1,CE143=12,12,$CC143="Monthly V",CE143*(1+$D$3),$CC143="Monthly F",12,$CC143="One-Time",0),CE143*(1+$D$3))</f>
        <v>0</v>
      </c>
      <c r="CG143" s="14" cm="1">
        <f t="array" ref="CG143">IFERROR(_xlfn.IFS(VALUE(MID(CG$5,6,1))&gt;$D$2,0,$CC143="Annual",1,CF143=12,12,$CC143="Monthly V",CF143*(1+$D$3),$CC143="Monthly F",12,$CC143="One-Time",0),CF143*(1+$D$3))</f>
        <v>0</v>
      </c>
      <c r="CH143" s="14" cm="1">
        <f t="array" ref="CH143">IFERROR(_xlfn.IFS(VALUE(MID(CH$5,6,1))&gt;$D$2,0,$CC143="Annual",1,CG143=12,12,$CC143="Monthly V",CG143*(1+$D$3),$CC143="Monthly F",12,$CC143="One-Time",0),CG143*(1+$D$3))</f>
        <v>0</v>
      </c>
      <c r="CI143" s="14" cm="1">
        <f t="array" ref="CI143">IFERROR(_xlfn.IFS(VALUE(MID(CI$5,6,1))&gt;$D$2,0,$CC143="Annual",1,CH143=12,12,$CC143="Monthly V",CH143*(1+$D$3),$CC143="Monthly F",12,$CC143="One-Time",0),CH143*(1+$D$3))</f>
        <v>0</v>
      </c>
      <c r="CJ143" s="14" cm="1">
        <f t="array" ref="CJ143">IFERROR(_xlfn.IFS(VALUE(MID(CJ$5,6,1))&gt;$D$2,0,$CC143="Annual",1,CI143=12,12,$CC143="Monthly V",CI143*(1+$D$3),$CC143="Monthly F",12,$CC143="One-Time",0),CI143*(1+$D$3))</f>
        <v>0</v>
      </c>
      <c r="CK143" s="14" cm="1">
        <f t="array" ref="CK143">IFERROR(_xlfn.IFS(VALUE(MID(CK$5,6,1))&gt;$D$2,0,$CC143="Annual",1,CJ143=12,12,$CC143="Monthly V",CJ143*(1+$D$3),$CC143="Monthly F",12,$CC143="One-Time",0),CJ143*(1+$D$3))</f>
        <v>0</v>
      </c>
      <c r="CL143" s="14" cm="1">
        <f t="array" ref="CL143">IFERROR(_xlfn.IFS(VALUE(MID(CL$5,6,1))&gt;$D$2,0,$CC143="Annual",1,CK143=12,12,$CC143="Monthly V",CK143*(1+$D$3),$CC143="Monthly F",12,$CC143="One-Time",0),CK143*(1+$D$3))</f>
        <v>0</v>
      </c>
      <c r="CM143" s="14" cm="1">
        <f t="array" ref="CM143">IFERROR(_xlfn.IFS(VALUE(MID(CM$5,6,1))&gt;$D$2,0,$CC143="Annual",1,CL143=12,12,$CC143="Monthly V",CL143*(1+$D$3),$CC143="Monthly F",12,$CC143="One-Time",0),CL143*(1+$D$3))</f>
        <v>0</v>
      </c>
      <c r="CN143" s="24" cm="1">
        <f t="array" ref="CN143">IFERROR(_xlfn.IFS(VALUE(MID(CN$5,6,2))&gt;$D$2,0,$CC143="Annual",1,CM143=12,12,$CC143="Monthly V",CM143*(1+$D$3),$CC143="Monthly F",12,$CC143="One-Time",0),CM143*(1+$D$3))</f>
        <v>0</v>
      </c>
      <c r="CO143" s="63"/>
      <c r="CP143" s="53"/>
      <c r="CQ143" s="21">
        <f t="shared" si="636"/>
        <v>0</v>
      </c>
      <c r="CR143" s="55">
        <f t="shared" si="637"/>
        <v>0</v>
      </c>
      <c r="CS143" s="55">
        <f t="shared" si="637"/>
        <v>0</v>
      </c>
      <c r="CT143" s="55">
        <f t="shared" si="637"/>
        <v>0</v>
      </c>
      <c r="CU143" s="55">
        <f t="shared" si="637"/>
        <v>0</v>
      </c>
      <c r="CV143" s="55">
        <f t="shared" si="637"/>
        <v>0</v>
      </c>
      <c r="CW143" s="55">
        <f t="shared" si="637"/>
        <v>0</v>
      </c>
      <c r="CX143" s="55">
        <f t="shared" si="637"/>
        <v>0</v>
      </c>
      <c r="CY143" s="55">
        <f t="shared" si="637"/>
        <v>0</v>
      </c>
      <c r="CZ143" s="55">
        <f t="shared" si="637"/>
        <v>0</v>
      </c>
      <c r="DA143" s="55">
        <f t="shared" si="637"/>
        <v>0</v>
      </c>
      <c r="DB143" s="56"/>
      <c r="DC143" s="56">
        <f t="shared" si="638"/>
        <v>0</v>
      </c>
      <c r="DD143" s="56">
        <f t="shared" si="639"/>
        <v>0</v>
      </c>
      <c r="DE143" s="56">
        <f t="shared" si="640"/>
        <v>0</v>
      </c>
      <c r="DF143" s="56">
        <f t="shared" si="641"/>
        <v>0</v>
      </c>
      <c r="DG143" s="56">
        <f t="shared" si="642"/>
        <v>0</v>
      </c>
      <c r="DH143" s="56">
        <f t="shared" si="643"/>
        <v>0</v>
      </c>
      <c r="DI143" s="56">
        <f t="shared" si="644"/>
        <v>0</v>
      </c>
      <c r="DJ143" s="56">
        <f t="shared" si="645"/>
        <v>0</v>
      </c>
      <c r="DK143" s="56">
        <f t="shared" si="646"/>
        <v>0</v>
      </c>
      <c r="DL143" s="57">
        <f t="shared" si="647"/>
        <v>0</v>
      </c>
      <c r="DM143" s="54">
        <f t="shared" si="648"/>
        <v>0</v>
      </c>
      <c r="DO143" s="106"/>
    </row>
    <row r="144" spans="2:119" x14ac:dyDescent="0.25">
      <c r="B144" s="141"/>
      <c r="C144" s="24"/>
      <c r="D144" s="147">
        <f t="shared" si="739"/>
        <v>0</v>
      </c>
      <c r="E144" s="142">
        <f t="shared" si="740"/>
        <v>0</v>
      </c>
      <c r="F144" s="14" cm="1">
        <f t="array" ref="F144">IFERROR(_xlfn.IFS(VALUE(MID(F$5,6,1))&gt;$D$2,0,$B144="Annual",1,E144=12,12,$B144="Monthly V",E144*(1+$D$3),$B144="Monthly F",12,$B144="One-Time",0),E144*(1+$D$3))</f>
        <v>0</v>
      </c>
      <c r="G144" s="14" cm="1">
        <f t="array" ref="G144">IFERROR(_xlfn.IFS(VALUE(MID(G$5,6,1))&gt;$D$2,0,$B144="Annual",1,F144=12,12,$B144="Monthly V",F144*(1+$D$3),$B144="Monthly F",12,$B144="One-Time",0),F144*(1+$D$3))</f>
        <v>0</v>
      </c>
      <c r="H144" s="14" cm="1">
        <f t="array" ref="H144">IFERROR(_xlfn.IFS(VALUE(MID(H$5,6,1))&gt;$D$2,0,$B144="Annual",1,G144=12,12,$B144="Monthly V",G144*(1+$D$3),$B144="Monthly F",12,$B144="One-Time",0),G144*(1+$D$3))</f>
        <v>0</v>
      </c>
      <c r="I144" s="14" cm="1">
        <f t="array" ref="I144">IFERROR(_xlfn.IFS(VALUE(MID(I$5,6,1))&gt;$D$2,0,$B144="Annual",1,H144=12,12,$B144="Monthly V",H144*(1+$D$3),$B144="Monthly F",12,$B144="One-Time",0),H144*(1+$D$3))</f>
        <v>0</v>
      </c>
      <c r="J144" s="14" cm="1">
        <f t="array" ref="J144">IFERROR(_xlfn.IFS(VALUE(MID(J$5,6,1))&gt;$D$2,0,$B144="Annual",1,I144=12,12,$B144="Monthly V",I144*(1+$D$3),$B144="Monthly F",12,$B144="One-Time",0),I144*(1+$D$3))</f>
        <v>0</v>
      </c>
      <c r="K144" s="14" cm="1">
        <f t="array" ref="K144">IFERROR(_xlfn.IFS(VALUE(MID(K$5,6,1))&gt;$D$2,0,$B144="Annual",1,J144=12,12,$B144="Monthly V",J144*(1+$D$3),$B144="Monthly F",12,$B144="One-Time",0),J144*(1+$D$3))</f>
        <v>0</v>
      </c>
      <c r="L144" s="14" cm="1">
        <f t="array" ref="L144">IFERROR(_xlfn.IFS(VALUE(MID(L$5,6,1))&gt;$D$2,0,$B144="Annual",1,K144=12,12,$B144="Monthly V",K144*(1+$D$3),$B144="Monthly F",12,$B144="One-Time",0),K144*(1+$D$3))</f>
        <v>0</v>
      </c>
      <c r="M144" s="14" cm="1">
        <f t="array" ref="M144">IFERROR(_xlfn.IFS(VALUE(MID(M$5,6,1))&gt;$D$2,0,$B144="Annual",1,L144=12,12,$B144="Monthly V",L144*(1+$D$3),$B144="Monthly F",12,$B144="One-Time",0),L144*(1+$D$3))</f>
        <v>0</v>
      </c>
      <c r="N144" s="24" cm="1">
        <f t="array" ref="N144">IFERROR(_xlfn.IFS(VALUE(MID(N$5,6,2))&gt;$D$2,0,$B144="Annual",1,M144=12,12,$B144="Monthly V",M144*(1+$D$3),$B144="Monthly F",12,$B144="One-Time",0),M144*(1+$D$3))</f>
        <v>0</v>
      </c>
      <c r="O144" s="127"/>
      <c r="P144" s="13"/>
      <c r="Q144" s="20"/>
      <c r="R144" s="21">
        <f t="shared" ref="R144:R151" si="756">S144/12</f>
        <v>0</v>
      </c>
      <c r="S144" s="6">
        <f t="shared" si="742"/>
        <v>0</v>
      </c>
      <c r="T144" s="6">
        <f t="shared" si="742"/>
        <v>0</v>
      </c>
      <c r="U144" s="6">
        <f t="shared" si="742"/>
        <v>0</v>
      </c>
      <c r="V144" s="6">
        <f t="shared" si="742"/>
        <v>0</v>
      </c>
      <c r="W144" s="6">
        <f t="shared" si="742"/>
        <v>0</v>
      </c>
      <c r="X144" s="6">
        <f t="shared" si="742"/>
        <v>0</v>
      </c>
      <c r="Y144" s="6">
        <f t="shared" si="742"/>
        <v>0</v>
      </c>
      <c r="Z144" s="6">
        <f t="shared" si="742"/>
        <v>0</v>
      </c>
      <c r="AA144" s="6">
        <f t="shared" si="742"/>
        <v>0</v>
      </c>
      <c r="AB144" s="6">
        <f t="shared" si="742"/>
        <v>0</v>
      </c>
      <c r="AC144" s="7"/>
      <c r="AD144" s="152">
        <f t="shared" si="743"/>
        <v>0</v>
      </c>
      <c r="AE144" s="152">
        <f t="shared" si="744"/>
        <v>0</v>
      </c>
      <c r="AF144" s="152">
        <f t="shared" si="745"/>
        <v>0</v>
      </c>
      <c r="AG144" s="152">
        <f t="shared" si="746"/>
        <v>0</v>
      </c>
      <c r="AH144" s="152">
        <f t="shared" si="747"/>
        <v>0</v>
      </c>
      <c r="AI144" s="152">
        <f t="shared" si="748"/>
        <v>0</v>
      </c>
      <c r="AJ144" s="152">
        <f t="shared" si="749"/>
        <v>0</v>
      </c>
      <c r="AK144" s="152">
        <f t="shared" si="750"/>
        <v>0</v>
      </c>
      <c r="AL144" s="152">
        <f t="shared" si="751"/>
        <v>0</v>
      </c>
      <c r="AM144" s="9">
        <f t="shared" si="752"/>
        <v>0</v>
      </c>
      <c r="AN144" s="80">
        <f t="shared" si="753"/>
        <v>0</v>
      </c>
      <c r="AP144" s="102" t="s">
        <v>3</v>
      </c>
      <c r="AQ144" s="12">
        <v>1</v>
      </c>
      <c r="AR144" s="14">
        <f t="shared" si="736"/>
        <v>1</v>
      </c>
      <c r="AS144" s="14" cm="1">
        <f t="array" ref="AS144">IFERROR(_xlfn.IFS(VALUE(MID(AS$5,6,1))&gt;$D$2,0,$AP144="Annual",1,AR144=12,12,$AP144="Monthly V",AR144*(1+$D$3),$AP144="Monthly F",12,$AP144="One-Time",0),AR144*(1+$D$3))</f>
        <v>0</v>
      </c>
      <c r="AT144" s="14" cm="1">
        <f t="array" ref="AT144">IFERROR(_xlfn.IFS(VALUE(MID(AT$5,6,1))&gt;$D$2,0,$AP144="Annual",1,AS144=12,12,$AP144="Monthly V",AS144*(1+$D$3),$AP144="Monthly F",12,$AP144="One-Time",0),AS144*(1+$D$3))</f>
        <v>0</v>
      </c>
      <c r="AU144" s="14" cm="1">
        <f t="array" ref="AU144">IFERROR(_xlfn.IFS(VALUE(MID(AU$5,6,1))&gt;$D$2,0,$AP144="Annual",1,AT144=12,12,$AP144="Monthly V",AT144*(1+$D$3),$AP144="Monthly F",12,$AP144="One-Time",0),AT144*(1+$D$3))</f>
        <v>0</v>
      </c>
      <c r="AV144" s="14" cm="1">
        <f t="array" ref="AV144">IFERROR(_xlfn.IFS(VALUE(MID(AV$5,6,1))&gt;$D$2,0,$AP144="Annual",1,AU144=12,12,$AP144="Monthly V",AU144*(1+$D$3),$AP144="Monthly F",12,$AP144="One-Time",0),AU144*(1+$D$3))</f>
        <v>0</v>
      </c>
      <c r="AW144" s="14" cm="1">
        <f t="array" ref="AW144">IFERROR(_xlfn.IFS(VALUE(MID(AW$5,6,1))&gt;$D$2,0,$AP144="Annual",1,AV144=12,12,$AP144="Monthly V",AV144*(1+$D$3),$AP144="Monthly F",12,$AP144="One-Time",0),AV144*(1+$D$3))</f>
        <v>0</v>
      </c>
      <c r="AX144" s="14" cm="1">
        <f t="array" ref="AX144">IFERROR(_xlfn.IFS(VALUE(MID(AX$5,6,1))&gt;$D$2,0,$AP144="Annual",1,AW144=12,12,$AP144="Monthly V",AW144*(1+$D$3),$AP144="Monthly F",12,$AP144="One-Time",0),AW144*(1+$D$3))</f>
        <v>0</v>
      </c>
      <c r="AY144" s="14" cm="1">
        <f t="array" ref="AY144">IFERROR(_xlfn.IFS(VALUE(MID(AY$5,6,1))&gt;$D$2,0,$AP144="Annual",1,AX144=12,12,$AP144="Monthly V",AX144*(1+$D$3),$AP144="Monthly F",12,$AP144="One-Time",0),AX144*(1+$D$3))</f>
        <v>0</v>
      </c>
      <c r="AZ144" s="14" cm="1">
        <f t="array" ref="AZ144">IFERROR(_xlfn.IFS(VALUE(MID(AZ$5,6,1))&gt;$D$2,0,$AP144="Annual",1,AY144=12,12,$AP144="Monthly V",AY144*(1+$D$3),$AP144="Monthly F",12,$AP144="One-Time",0),AY144*(1+$D$3))</f>
        <v>0</v>
      </c>
      <c r="BA144" s="125" cm="1">
        <f t="array" ref="BA144">IFERROR(_xlfn.IFS(VALUE(MID(BA$5,6,2))&gt;$D$2,0,$AP144="Annual",1,AZ144=12,12,$AP144="Monthly V",AZ144*(1+$D$3),$AP144="Monthly F",12,$AP144="One-Time",0),AZ144*(1+$D$3))</f>
        <v>0</v>
      </c>
      <c r="BB144" s="124" t="s">
        <v>259</v>
      </c>
      <c r="BC144" s="38" t="s">
        <v>275</v>
      </c>
      <c r="BD144" s="36">
        <v>825</v>
      </c>
      <c r="BE144" s="21">
        <f t="shared" si="620"/>
        <v>68.75</v>
      </c>
      <c r="BF144" s="39">
        <f t="shared" si="621"/>
        <v>825</v>
      </c>
      <c r="BG144" s="39">
        <f t="shared" si="621"/>
        <v>0</v>
      </c>
      <c r="BH144" s="39">
        <f t="shared" si="621"/>
        <v>0</v>
      </c>
      <c r="BI144" s="39">
        <f t="shared" si="621"/>
        <v>0</v>
      </c>
      <c r="BJ144" s="39">
        <f t="shared" si="621"/>
        <v>0</v>
      </c>
      <c r="BK144" s="39">
        <f t="shared" si="621"/>
        <v>0</v>
      </c>
      <c r="BL144" s="39">
        <f t="shared" si="621"/>
        <v>0</v>
      </c>
      <c r="BM144" s="39">
        <f t="shared" si="621"/>
        <v>0</v>
      </c>
      <c r="BN144" s="39">
        <f t="shared" si="621"/>
        <v>0</v>
      </c>
      <c r="BO144" s="39">
        <f t="shared" si="621"/>
        <v>0</v>
      </c>
      <c r="BP144" s="40"/>
      <c r="BQ144" s="40">
        <f t="shared" si="624"/>
        <v>0</v>
      </c>
      <c r="BR144" s="40">
        <f t="shared" si="625"/>
        <v>0</v>
      </c>
      <c r="BS144" s="40">
        <f t="shared" si="626"/>
        <v>0</v>
      </c>
      <c r="BT144" s="40">
        <f t="shared" si="627"/>
        <v>0</v>
      </c>
      <c r="BU144" s="40">
        <f t="shared" si="628"/>
        <v>0</v>
      </c>
      <c r="BV144" s="40">
        <f t="shared" si="629"/>
        <v>0</v>
      </c>
      <c r="BW144" s="40">
        <f t="shared" si="630"/>
        <v>0</v>
      </c>
      <c r="BX144" s="40">
        <f t="shared" si="631"/>
        <v>0</v>
      </c>
      <c r="BY144" s="40">
        <f t="shared" si="632"/>
        <v>0</v>
      </c>
      <c r="BZ144" s="40">
        <f t="shared" si="633"/>
        <v>0</v>
      </c>
      <c r="CA144" s="37">
        <f t="shared" si="634"/>
        <v>825</v>
      </c>
      <c r="CC144" s="102"/>
      <c r="CD144" s="12"/>
      <c r="CE144" s="14">
        <f t="shared" si="635"/>
        <v>0</v>
      </c>
      <c r="CF144" s="14" cm="1">
        <f t="array" ref="CF144">IFERROR(_xlfn.IFS(VALUE(MID(CF$5,6,1))&gt;$D$2,0,$CC144="Annual",1,CE144=12,12,$CC144="Monthly V",CE144*(1+$D$3),$CC144="Monthly F",12,$CC144="One-Time",0),CE144*(1+$D$3))</f>
        <v>0</v>
      </c>
      <c r="CG144" s="14" cm="1">
        <f t="array" ref="CG144">IFERROR(_xlfn.IFS(VALUE(MID(CG$5,6,1))&gt;$D$2,0,$CC144="Annual",1,CF144=12,12,$CC144="Monthly V",CF144*(1+$D$3),$CC144="Monthly F",12,$CC144="One-Time",0),CF144*(1+$D$3))</f>
        <v>0</v>
      </c>
      <c r="CH144" s="14" cm="1">
        <f t="array" ref="CH144">IFERROR(_xlfn.IFS(VALUE(MID(CH$5,6,1))&gt;$D$2,0,$CC144="Annual",1,CG144=12,12,$CC144="Monthly V",CG144*(1+$D$3),$CC144="Monthly F",12,$CC144="One-Time",0),CG144*(1+$D$3))</f>
        <v>0</v>
      </c>
      <c r="CI144" s="14" cm="1">
        <f t="array" ref="CI144">IFERROR(_xlfn.IFS(VALUE(MID(CI$5,6,1))&gt;$D$2,0,$CC144="Annual",1,CH144=12,12,$CC144="Monthly V",CH144*(1+$D$3),$CC144="Monthly F",12,$CC144="One-Time",0),CH144*(1+$D$3))</f>
        <v>0</v>
      </c>
      <c r="CJ144" s="14" cm="1">
        <f t="array" ref="CJ144">IFERROR(_xlfn.IFS(VALUE(MID(CJ$5,6,1))&gt;$D$2,0,$CC144="Annual",1,CI144=12,12,$CC144="Monthly V",CI144*(1+$D$3),$CC144="Monthly F",12,$CC144="One-Time",0),CI144*(1+$D$3))</f>
        <v>0</v>
      </c>
      <c r="CK144" s="14" cm="1">
        <f t="array" ref="CK144">IFERROR(_xlfn.IFS(VALUE(MID(CK$5,6,1))&gt;$D$2,0,$CC144="Annual",1,CJ144=12,12,$CC144="Monthly V",CJ144*(1+$D$3),$CC144="Monthly F",12,$CC144="One-Time",0),CJ144*(1+$D$3))</f>
        <v>0</v>
      </c>
      <c r="CL144" s="14" cm="1">
        <f t="array" ref="CL144">IFERROR(_xlfn.IFS(VALUE(MID(CL$5,6,1))&gt;$D$2,0,$CC144="Annual",1,CK144=12,12,$CC144="Monthly V",CK144*(1+$D$3),$CC144="Monthly F",12,$CC144="One-Time",0),CK144*(1+$D$3))</f>
        <v>0</v>
      </c>
      <c r="CM144" s="14" cm="1">
        <f t="array" ref="CM144">IFERROR(_xlfn.IFS(VALUE(MID(CM$5,6,1))&gt;$D$2,0,$CC144="Annual",1,CL144=12,12,$CC144="Monthly V",CL144*(1+$D$3),$CC144="Monthly F",12,$CC144="One-Time",0),CL144*(1+$D$3))</f>
        <v>0</v>
      </c>
      <c r="CN144" s="24" cm="1">
        <f t="array" ref="CN144">IFERROR(_xlfn.IFS(VALUE(MID(CN$5,6,2))&gt;$D$2,0,$CC144="Annual",1,CM144=12,12,$CC144="Monthly V",CM144*(1+$D$3),$CC144="Monthly F",12,$CC144="One-Time",0),CM144*(1+$D$3))</f>
        <v>0</v>
      </c>
      <c r="CO144" s="63"/>
      <c r="CP144" s="53"/>
      <c r="CQ144" s="21">
        <f t="shared" si="636"/>
        <v>0</v>
      </c>
      <c r="CR144" s="55">
        <f t="shared" si="637"/>
        <v>0</v>
      </c>
      <c r="CS144" s="55">
        <f t="shared" si="637"/>
        <v>0</v>
      </c>
      <c r="CT144" s="55">
        <f t="shared" si="637"/>
        <v>0</v>
      </c>
      <c r="CU144" s="55">
        <f t="shared" si="637"/>
        <v>0</v>
      </c>
      <c r="CV144" s="55">
        <f t="shared" si="637"/>
        <v>0</v>
      </c>
      <c r="CW144" s="55">
        <f t="shared" si="637"/>
        <v>0</v>
      </c>
      <c r="CX144" s="55">
        <f t="shared" si="637"/>
        <v>0</v>
      </c>
      <c r="CY144" s="55">
        <f t="shared" si="637"/>
        <v>0</v>
      </c>
      <c r="CZ144" s="55">
        <f t="shared" si="637"/>
        <v>0</v>
      </c>
      <c r="DA144" s="55">
        <f t="shared" si="637"/>
        <v>0</v>
      </c>
      <c r="DB144" s="56"/>
      <c r="DC144" s="56">
        <f t="shared" si="638"/>
        <v>0</v>
      </c>
      <c r="DD144" s="56">
        <f t="shared" si="639"/>
        <v>0</v>
      </c>
      <c r="DE144" s="56">
        <f t="shared" si="640"/>
        <v>0</v>
      </c>
      <c r="DF144" s="56">
        <f t="shared" si="641"/>
        <v>0</v>
      </c>
      <c r="DG144" s="56">
        <f t="shared" si="642"/>
        <v>0</v>
      </c>
      <c r="DH144" s="56">
        <f t="shared" si="643"/>
        <v>0</v>
      </c>
      <c r="DI144" s="56">
        <f t="shared" si="644"/>
        <v>0</v>
      </c>
      <c r="DJ144" s="56">
        <f t="shared" si="645"/>
        <v>0</v>
      </c>
      <c r="DK144" s="56">
        <f t="shared" si="646"/>
        <v>0</v>
      </c>
      <c r="DL144" s="57">
        <f t="shared" si="647"/>
        <v>0</v>
      </c>
      <c r="DM144" s="54">
        <f t="shared" si="648"/>
        <v>0</v>
      </c>
      <c r="DO144" s="106"/>
    </row>
    <row r="145" spans="2:119" x14ac:dyDescent="0.25">
      <c r="B145" s="141"/>
      <c r="C145" s="24"/>
      <c r="D145" s="147"/>
      <c r="E145" s="142">
        <f t="shared" si="740"/>
        <v>0</v>
      </c>
      <c r="F145" s="14" cm="1">
        <f t="array" ref="F145">IFERROR(_xlfn.IFS(VALUE(MID(F$5,6,1))&gt;$D$2,0,$B145="Annual",1,E145=12,12,$B145="Monthly V",E145*(1+$D$3),$B145="Monthly F",12,$B145="One-Time",0),E145*(1+$D$3))</f>
        <v>0</v>
      </c>
      <c r="G145" s="14" cm="1">
        <f t="array" ref="G145">IFERROR(_xlfn.IFS(VALUE(MID(G$5,6,1))&gt;$D$2,0,$B145="Annual",1,F145=12,12,$B145="Monthly V",F145*(1+$D$3),$B145="Monthly F",12,$B145="One-Time",0),F145*(1+$D$3))</f>
        <v>0</v>
      </c>
      <c r="H145" s="14" cm="1">
        <f t="array" ref="H145">IFERROR(_xlfn.IFS(VALUE(MID(H$5,6,1))&gt;$D$2,0,$B145="Annual",1,G145=12,12,$B145="Monthly V",G145*(1+$D$3),$B145="Monthly F",12,$B145="One-Time",0),G145*(1+$D$3))</f>
        <v>0</v>
      </c>
      <c r="I145" s="14" cm="1">
        <f t="array" ref="I145">IFERROR(_xlfn.IFS(VALUE(MID(I$5,6,1))&gt;$D$2,0,$B145="Annual",1,H145=12,12,$B145="Monthly V",H145*(1+$D$3),$B145="Monthly F",12,$B145="One-Time",0),H145*(1+$D$3))</f>
        <v>0</v>
      </c>
      <c r="J145" s="14" cm="1">
        <f t="array" ref="J145">IFERROR(_xlfn.IFS(VALUE(MID(J$5,6,1))&gt;$D$2,0,$B145="Annual",1,I145=12,12,$B145="Monthly V",I145*(1+$D$3),$B145="Monthly F",12,$B145="One-Time",0),I145*(1+$D$3))</f>
        <v>0</v>
      </c>
      <c r="K145" s="14" cm="1">
        <f t="array" ref="K145">IFERROR(_xlfn.IFS(VALUE(MID(K$5,6,1))&gt;$D$2,0,$B145="Annual",1,J145=12,12,$B145="Monthly V",J145*(1+$D$3),$B145="Monthly F",12,$B145="One-Time",0),J145*(1+$D$3))</f>
        <v>0</v>
      </c>
      <c r="L145" s="14" cm="1">
        <f t="array" ref="L145">IFERROR(_xlfn.IFS(VALUE(MID(L$5,6,1))&gt;$D$2,0,$B145="Annual",1,K145=12,12,$B145="Monthly V",K145*(1+$D$3),$B145="Monthly F",12,$B145="One-Time",0),K145*(1+$D$3))</f>
        <v>0</v>
      </c>
      <c r="M145" s="14" cm="1">
        <f t="array" ref="M145">IFERROR(_xlfn.IFS(VALUE(MID(M$5,6,1))&gt;$D$2,0,$B145="Annual",1,L145=12,12,$B145="Monthly V",L145*(1+$D$3),$B145="Monthly F",12,$B145="One-Time",0),L145*(1+$D$3))</f>
        <v>0</v>
      </c>
      <c r="N145" s="24" cm="1">
        <f t="array" ref="N145">IFERROR(_xlfn.IFS(VALUE(MID(N$5,6,2))&gt;$D$2,0,$B145="Annual",1,M145=12,12,$B145="Monthly V",M145*(1+$D$3),$B145="Monthly F",12,$B145="One-Time",0),M145*(1+$D$3))</f>
        <v>0</v>
      </c>
      <c r="O145" s="157" t="s">
        <v>139</v>
      </c>
      <c r="P145" s="13"/>
      <c r="Q145" s="20"/>
      <c r="R145" s="21">
        <f t="shared" si="756"/>
        <v>0</v>
      </c>
      <c r="S145" s="6">
        <f t="shared" si="742"/>
        <v>0</v>
      </c>
      <c r="T145" s="6">
        <f t="shared" si="742"/>
        <v>0</v>
      </c>
      <c r="U145" s="6">
        <f t="shared" si="742"/>
        <v>0</v>
      </c>
      <c r="V145" s="6">
        <f t="shared" si="742"/>
        <v>0</v>
      </c>
      <c r="W145" s="6">
        <f t="shared" si="742"/>
        <v>0</v>
      </c>
      <c r="X145" s="6">
        <f t="shared" si="742"/>
        <v>0</v>
      </c>
      <c r="Y145" s="6">
        <f t="shared" si="742"/>
        <v>0</v>
      </c>
      <c r="Z145" s="6">
        <f t="shared" si="742"/>
        <v>0</v>
      </c>
      <c r="AA145" s="6">
        <f t="shared" si="742"/>
        <v>0</v>
      </c>
      <c r="AB145" s="6">
        <f t="shared" si="742"/>
        <v>0</v>
      </c>
      <c r="AC145" s="7"/>
      <c r="AD145" s="152">
        <f t="shared" si="743"/>
        <v>0</v>
      </c>
      <c r="AE145" s="152">
        <f t="shared" si="744"/>
        <v>0</v>
      </c>
      <c r="AF145" s="152">
        <f t="shared" si="745"/>
        <v>0</v>
      </c>
      <c r="AG145" s="152">
        <f t="shared" si="746"/>
        <v>0</v>
      </c>
      <c r="AH145" s="152">
        <f t="shared" si="747"/>
        <v>0</v>
      </c>
      <c r="AI145" s="152">
        <f t="shared" si="748"/>
        <v>0</v>
      </c>
      <c r="AJ145" s="152">
        <f t="shared" si="749"/>
        <v>0</v>
      </c>
      <c r="AK145" s="152">
        <f t="shared" si="750"/>
        <v>0</v>
      </c>
      <c r="AL145" s="152">
        <f t="shared" si="751"/>
        <v>0</v>
      </c>
      <c r="AM145" s="9">
        <f t="shared" si="752"/>
        <v>0</v>
      </c>
      <c r="AN145" s="80">
        <f t="shared" si="753"/>
        <v>0</v>
      </c>
      <c r="AP145" s="102" t="s">
        <v>3</v>
      </c>
      <c r="AQ145" s="12">
        <v>1</v>
      </c>
      <c r="AR145" s="14">
        <f t="shared" si="736"/>
        <v>1</v>
      </c>
      <c r="AS145" s="14" cm="1">
        <f t="array" ref="AS145">IFERROR(_xlfn.IFS(VALUE(MID(AS$5,6,1))&gt;$D$2,0,$AP145="Annual",1,AR145=12,12,$AP145="Monthly V",AR145*(1+$D$3),$AP145="Monthly F",12,$AP145="One-Time",0),AR145*(1+$D$3))</f>
        <v>0</v>
      </c>
      <c r="AT145" s="14" cm="1">
        <f t="array" ref="AT145">IFERROR(_xlfn.IFS(VALUE(MID(AT$5,6,1))&gt;$D$2,0,$AP145="Annual",1,AS145=12,12,$AP145="Monthly V",AS145*(1+$D$3),$AP145="Monthly F",12,$AP145="One-Time",0),AS145*(1+$D$3))</f>
        <v>0</v>
      </c>
      <c r="AU145" s="14" cm="1">
        <f t="array" ref="AU145">IFERROR(_xlfn.IFS(VALUE(MID(AU$5,6,1))&gt;$D$2,0,$AP145="Annual",1,AT145=12,12,$AP145="Monthly V",AT145*(1+$D$3),$AP145="Monthly F",12,$AP145="One-Time",0),AT145*(1+$D$3))</f>
        <v>0</v>
      </c>
      <c r="AV145" s="14" cm="1">
        <f t="array" ref="AV145">IFERROR(_xlfn.IFS(VALUE(MID(AV$5,6,1))&gt;$D$2,0,$AP145="Annual",1,AU145=12,12,$AP145="Monthly V",AU145*(1+$D$3),$AP145="Monthly F",12,$AP145="One-Time",0),AU145*(1+$D$3))</f>
        <v>0</v>
      </c>
      <c r="AW145" s="14" cm="1">
        <f t="array" ref="AW145">IFERROR(_xlfn.IFS(VALUE(MID(AW$5,6,1))&gt;$D$2,0,$AP145="Annual",1,AV145=12,12,$AP145="Monthly V",AV145*(1+$D$3),$AP145="Monthly F",12,$AP145="One-Time",0),AV145*(1+$D$3))</f>
        <v>0</v>
      </c>
      <c r="AX145" s="14" cm="1">
        <f t="array" ref="AX145">IFERROR(_xlfn.IFS(VALUE(MID(AX$5,6,1))&gt;$D$2,0,$AP145="Annual",1,AW145=12,12,$AP145="Monthly V",AW145*(1+$D$3),$AP145="Monthly F",12,$AP145="One-Time",0),AW145*(1+$D$3))</f>
        <v>0</v>
      </c>
      <c r="AY145" s="14" cm="1">
        <f t="array" ref="AY145">IFERROR(_xlfn.IFS(VALUE(MID(AY$5,6,1))&gt;$D$2,0,$AP145="Annual",1,AX145=12,12,$AP145="Monthly V",AX145*(1+$D$3),$AP145="Monthly F",12,$AP145="One-Time",0),AX145*(1+$D$3))</f>
        <v>0</v>
      </c>
      <c r="AZ145" s="14" cm="1">
        <f t="array" ref="AZ145">IFERROR(_xlfn.IFS(VALUE(MID(AZ$5,6,1))&gt;$D$2,0,$AP145="Annual",1,AY145=12,12,$AP145="Monthly V",AY145*(1+$D$3),$AP145="Monthly F",12,$AP145="One-Time",0),AY145*(1+$D$3))</f>
        <v>0</v>
      </c>
      <c r="BA145" s="125" cm="1">
        <f t="array" ref="BA145">IFERROR(_xlfn.IFS(VALUE(MID(BA$5,6,2))&gt;$D$2,0,$AP145="Annual",1,AZ145=12,12,$AP145="Monthly V",AZ145*(1+$D$3),$AP145="Monthly F",12,$AP145="One-Time",0),AZ145*(1+$D$3))</f>
        <v>0</v>
      </c>
      <c r="BB145" s="124" t="s">
        <v>262</v>
      </c>
      <c r="BC145" s="38" t="s">
        <v>222</v>
      </c>
      <c r="BD145" s="36">
        <v>450</v>
      </c>
      <c r="BE145" s="21">
        <f t="shared" si="620"/>
        <v>37.5</v>
      </c>
      <c r="BF145" s="39">
        <f t="shared" si="621"/>
        <v>450</v>
      </c>
      <c r="BG145" s="39">
        <f t="shared" si="621"/>
        <v>0</v>
      </c>
      <c r="BH145" s="39">
        <f t="shared" si="621"/>
        <v>0</v>
      </c>
      <c r="BI145" s="39">
        <f t="shared" si="621"/>
        <v>0</v>
      </c>
      <c r="BJ145" s="39">
        <f t="shared" si="621"/>
        <v>0</v>
      </c>
      <c r="BK145" s="39">
        <f t="shared" si="621"/>
        <v>0</v>
      </c>
      <c r="BL145" s="39">
        <f t="shared" si="621"/>
        <v>0</v>
      </c>
      <c r="BM145" s="39">
        <f t="shared" si="621"/>
        <v>0</v>
      </c>
      <c r="BN145" s="39">
        <f t="shared" si="621"/>
        <v>0</v>
      </c>
      <c r="BO145" s="39">
        <f t="shared" si="621"/>
        <v>0</v>
      </c>
      <c r="BP145" s="40"/>
      <c r="BQ145" s="40">
        <f t="shared" si="624"/>
        <v>0</v>
      </c>
      <c r="BR145" s="40">
        <f t="shared" si="625"/>
        <v>0</v>
      </c>
      <c r="BS145" s="40">
        <f t="shared" si="626"/>
        <v>0</v>
      </c>
      <c r="BT145" s="40">
        <f t="shared" si="627"/>
        <v>0</v>
      </c>
      <c r="BU145" s="40">
        <f t="shared" si="628"/>
        <v>0</v>
      </c>
      <c r="BV145" s="40">
        <f t="shared" si="629"/>
        <v>0</v>
      </c>
      <c r="BW145" s="40">
        <f t="shared" si="630"/>
        <v>0</v>
      </c>
      <c r="BX145" s="40">
        <f t="shared" si="631"/>
        <v>0</v>
      </c>
      <c r="BY145" s="40">
        <f t="shared" si="632"/>
        <v>0</v>
      </c>
      <c r="BZ145" s="40">
        <f t="shared" si="633"/>
        <v>0</v>
      </c>
      <c r="CA145" s="37">
        <f t="shared" si="634"/>
        <v>450</v>
      </c>
      <c r="CC145" s="102"/>
      <c r="CD145" s="12"/>
      <c r="CE145" s="14">
        <f t="shared" si="635"/>
        <v>0</v>
      </c>
      <c r="CF145" s="14" cm="1">
        <f t="array" ref="CF145">IFERROR(_xlfn.IFS(VALUE(MID(CF$5,6,1))&gt;$D$2,0,$CC145="Annual",1,CE145=12,12,$CC145="Monthly V",CE145*(1+$D$3),$CC145="Monthly F",12,$CC145="One-Time",0),CE145*(1+$D$3))</f>
        <v>0</v>
      </c>
      <c r="CG145" s="14" cm="1">
        <f t="array" ref="CG145">IFERROR(_xlfn.IFS(VALUE(MID(CG$5,6,1))&gt;$D$2,0,$CC145="Annual",1,CF145=12,12,$CC145="Monthly V",CF145*(1+$D$3),$CC145="Monthly F",12,$CC145="One-Time",0),CF145*(1+$D$3))</f>
        <v>0</v>
      </c>
      <c r="CH145" s="14" cm="1">
        <f t="array" ref="CH145">IFERROR(_xlfn.IFS(VALUE(MID(CH$5,6,1))&gt;$D$2,0,$CC145="Annual",1,CG145=12,12,$CC145="Monthly V",CG145*(1+$D$3),$CC145="Monthly F",12,$CC145="One-Time",0),CG145*(1+$D$3))</f>
        <v>0</v>
      </c>
      <c r="CI145" s="14" cm="1">
        <f t="array" ref="CI145">IFERROR(_xlfn.IFS(VALUE(MID(CI$5,6,1))&gt;$D$2,0,$CC145="Annual",1,CH145=12,12,$CC145="Monthly V",CH145*(1+$D$3),$CC145="Monthly F",12,$CC145="One-Time",0),CH145*(1+$D$3))</f>
        <v>0</v>
      </c>
      <c r="CJ145" s="14" cm="1">
        <f t="array" ref="CJ145">IFERROR(_xlfn.IFS(VALUE(MID(CJ$5,6,1))&gt;$D$2,0,$CC145="Annual",1,CI145=12,12,$CC145="Monthly V",CI145*(1+$D$3),$CC145="Monthly F",12,$CC145="One-Time",0),CI145*(1+$D$3))</f>
        <v>0</v>
      </c>
      <c r="CK145" s="14" cm="1">
        <f t="array" ref="CK145">IFERROR(_xlfn.IFS(VALUE(MID(CK$5,6,1))&gt;$D$2,0,$CC145="Annual",1,CJ145=12,12,$CC145="Monthly V",CJ145*(1+$D$3),$CC145="Monthly F",12,$CC145="One-Time",0),CJ145*(1+$D$3))</f>
        <v>0</v>
      </c>
      <c r="CL145" s="14" cm="1">
        <f t="array" ref="CL145">IFERROR(_xlfn.IFS(VALUE(MID(CL$5,6,1))&gt;$D$2,0,$CC145="Annual",1,CK145=12,12,$CC145="Monthly V",CK145*(1+$D$3),$CC145="Monthly F",12,$CC145="One-Time",0),CK145*(1+$D$3))</f>
        <v>0</v>
      </c>
      <c r="CM145" s="14" cm="1">
        <f t="array" ref="CM145">IFERROR(_xlfn.IFS(VALUE(MID(CM$5,6,1))&gt;$D$2,0,$CC145="Annual",1,CL145=12,12,$CC145="Monthly V",CL145*(1+$D$3),$CC145="Monthly F",12,$CC145="One-Time",0),CL145*(1+$D$3))</f>
        <v>0</v>
      </c>
      <c r="CN145" s="24" cm="1">
        <f t="array" ref="CN145">IFERROR(_xlfn.IFS(VALUE(MID(CN$5,6,2))&gt;$D$2,0,$CC145="Annual",1,CM145=12,12,$CC145="Monthly V",CM145*(1+$D$3),$CC145="Monthly F",12,$CC145="One-Time",0),CM145*(1+$D$3))</f>
        <v>0</v>
      </c>
      <c r="CO145" s="63"/>
      <c r="CP145" s="53"/>
      <c r="CQ145" s="21">
        <f t="shared" si="636"/>
        <v>0</v>
      </c>
      <c r="CR145" s="55">
        <f t="shared" si="637"/>
        <v>0</v>
      </c>
      <c r="CS145" s="55">
        <f t="shared" si="637"/>
        <v>0</v>
      </c>
      <c r="CT145" s="55">
        <f t="shared" si="637"/>
        <v>0</v>
      </c>
      <c r="CU145" s="55">
        <f t="shared" si="637"/>
        <v>0</v>
      </c>
      <c r="CV145" s="55">
        <f t="shared" si="637"/>
        <v>0</v>
      </c>
      <c r="CW145" s="55">
        <f t="shared" si="637"/>
        <v>0</v>
      </c>
      <c r="CX145" s="55">
        <f t="shared" si="637"/>
        <v>0</v>
      </c>
      <c r="CY145" s="55">
        <f t="shared" si="637"/>
        <v>0</v>
      </c>
      <c r="CZ145" s="55">
        <f t="shared" si="637"/>
        <v>0</v>
      </c>
      <c r="DA145" s="55">
        <f t="shared" si="637"/>
        <v>0</v>
      </c>
      <c r="DB145" s="56"/>
      <c r="DC145" s="56">
        <f t="shared" si="638"/>
        <v>0</v>
      </c>
      <c r="DD145" s="56">
        <f t="shared" si="639"/>
        <v>0</v>
      </c>
      <c r="DE145" s="56">
        <f t="shared" si="640"/>
        <v>0</v>
      </c>
      <c r="DF145" s="56">
        <f t="shared" si="641"/>
        <v>0</v>
      </c>
      <c r="DG145" s="56">
        <f t="shared" si="642"/>
        <v>0</v>
      </c>
      <c r="DH145" s="56">
        <f t="shared" si="643"/>
        <v>0</v>
      </c>
      <c r="DI145" s="56">
        <f t="shared" si="644"/>
        <v>0</v>
      </c>
      <c r="DJ145" s="56">
        <f t="shared" si="645"/>
        <v>0</v>
      </c>
      <c r="DK145" s="56">
        <f t="shared" si="646"/>
        <v>0</v>
      </c>
      <c r="DL145" s="57">
        <f t="shared" si="647"/>
        <v>0</v>
      </c>
      <c r="DM145" s="54">
        <f t="shared" si="648"/>
        <v>0</v>
      </c>
      <c r="DO145" s="106"/>
    </row>
    <row r="146" spans="2:119" x14ac:dyDescent="0.25">
      <c r="B146" s="141" t="s">
        <v>0</v>
      </c>
      <c r="C146" s="24">
        <v>1</v>
      </c>
      <c r="D146" s="147">
        <f t="shared" ref="D146:D151" si="757">IFERROR(AVERAGE(C146:C146),0)</f>
        <v>1</v>
      </c>
      <c r="E146" s="142">
        <f t="shared" si="740"/>
        <v>12</v>
      </c>
      <c r="F146" s="14" cm="1">
        <f t="array" ref="F146">IFERROR(_xlfn.IFS(VALUE(MID(F$5,6,1))&gt;$D$2,0,$B146="Annual",1,E146=12,12,$B146="Monthly V",E146*(1+$D$3),$B146="Monthly F",12,$B146="One-Time",0),E146*(1+$D$3))</f>
        <v>12</v>
      </c>
      <c r="G146" s="14" cm="1">
        <f t="array" ref="G146">IFERROR(_xlfn.IFS(VALUE(MID(G$5,6,1))&gt;$D$2,0,$B146="Annual",1,F146=12,12,$B146="Monthly V",F146*(1+$D$3),$B146="Monthly F",12,$B146="One-Time",0),F146*(1+$D$3))</f>
        <v>12</v>
      </c>
      <c r="H146" s="14" cm="1">
        <f t="array" ref="H146">IFERROR(_xlfn.IFS(VALUE(MID(H$5,6,1))&gt;$D$2,0,$B146="Annual",1,G146=12,12,$B146="Monthly V",G146*(1+$D$3),$B146="Monthly F",12,$B146="One-Time",0),G146*(1+$D$3))</f>
        <v>12</v>
      </c>
      <c r="I146" s="14" cm="1">
        <f t="array" ref="I146">IFERROR(_xlfn.IFS(VALUE(MID(I$5,6,1))&gt;$D$2,0,$B146="Annual",1,H146=12,12,$B146="Monthly V",H146*(1+$D$3),$B146="Monthly F",12,$B146="One-Time",0),H146*(1+$D$3))</f>
        <v>12</v>
      </c>
      <c r="J146" s="14" cm="1">
        <f t="array" ref="J146">IFERROR(_xlfn.IFS(VALUE(MID(J$5,6,1))&gt;$D$2,0,$B146="Annual",1,I146=12,12,$B146="Monthly V",I146*(1+$D$3),$B146="Monthly F",12,$B146="One-Time",0),I146*(1+$D$3))</f>
        <v>12</v>
      </c>
      <c r="K146" s="14" cm="1">
        <f t="array" ref="K146">IFERROR(_xlfn.IFS(VALUE(MID(K$5,6,1))&gt;$D$2,0,$B146="Annual",1,J146=12,12,$B146="Monthly V",J146*(1+$D$3),$B146="Monthly F",12,$B146="One-Time",0),J146*(1+$D$3))</f>
        <v>12</v>
      </c>
      <c r="L146" s="14" cm="1">
        <f t="array" ref="L146">IFERROR(_xlfn.IFS(VALUE(MID(L$5,6,1))&gt;$D$2,0,$B146="Annual",1,K146=12,12,$B146="Monthly V",K146*(1+$D$3),$B146="Monthly F",12,$B146="One-Time",0),K146*(1+$D$3))</f>
        <v>0</v>
      </c>
      <c r="M146" s="14" cm="1">
        <f t="array" ref="M146">IFERROR(_xlfn.IFS(VALUE(MID(M$5,6,1))&gt;$D$2,0,$B146="Annual",1,L146=12,12,$B146="Monthly V",L146*(1+$D$3),$B146="Monthly F",12,$B146="One-Time",0),L146*(1+$D$3))</f>
        <v>0</v>
      </c>
      <c r="N146" s="24" cm="1">
        <f t="array" ref="N146">IFERROR(_xlfn.IFS(VALUE(MID(N$5,6,2))&gt;$D$2,0,$B146="Annual",1,M146=12,12,$B146="Monthly V",M146*(1+$D$3),$B146="Monthly F",12,$B146="One-Time",0),M146*(1+$D$3))</f>
        <v>0</v>
      </c>
      <c r="O146" s="127" t="s">
        <v>140</v>
      </c>
      <c r="P146" s="13"/>
      <c r="Q146" s="20">
        <v>492</v>
      </c>
      <c r="R146" s="21">
        <f t="shared" si="756"/>
        <v>492</v>
      </c>
      <c r="S146" s="6">
        <f t="shared" si="742"/>
        <v>5904</v>
      </c>
      <c r="T146" s="6">
        <f t="shared" si="742"/>
        <v>5904</v>
      </c>
      <c r="U146" s="6">
        <f t="shared" si="742"/>
        <v>5904</v>
      </c>
      <c r="V146" s="6">
        <f t="shared" si="742"/>
        <v>5904</v>
      </c>
      <c r="W146" s="6">
        <f t="shared" si="742"/>
        <v>5904</v>
      </c>
      <c r="X146" s="6">
        <f t="shared" si="742"/>
        <v>5904</v>
      </c>
      <c r="Y146" s="6">
        <f t="shared" si="742"/>
        <v>5904</v>
      </c>
      <c r="Z146" s="6">
        <f t="shared" si="742"/>
        <v>0</v>
      </c>
      <c r="AA146" s="6">
        <f t="shared" si="742"/>
        <v>0</v>
      </c>
      <c r="AB146" s="6">
        <f t="shared" si="742"/>
        <v>0</v>
      </c>
      <c r="AC146" s="7"/>
      <c r="AD146" s="152">
        <f t="shared" si="743"/>
        <v>177.12000000000015</v>
      </c>
      <c r="AE146" s="152">
        <f t="shared" si="744"/>
        <v>359.55359999999973</v>
      </c>
      <c r="AF146" s="152">
        <f t="shared" si="745"/>
        <v>547.46020799999997</v>
      </c>
      <c r="AG146" s="152">
        <f t="shared" si="746"/>
        <v>741.00401423999949</v>
      </c>
      <c r="AH146" s="152">
        <f t="shared" si="747"/>
        <v>940.35413466719911</v>
      </c>
      <c r="AI146" s="152">
        <f t="shared" si="748"/>
        <v>1145.6847587072155</v>
      </c>
      <c r="AJ146" s="152">
        <f t="shared" si="749"/>
        <v>0</v>
      </c>
      <c r="AK146" s="152">
        <f t="shared" si="750"/>
        <v>0</v>
      </c>
      <c r="AL146" s="152">
        <f t="shared" si="751"/>
        <v>0</v>
      </c>
      <c r="AM146" s="9">
        <f t="shared" si="752"/>
        <v>3911.1767156144142</v>
      </c>
      <c r="AN146" s="80">
        <f t="shared" si="753"/>
        <v>45239.176715614412</v>
      </c>
      <c r="AP146" s="102" t="s">
        <v>3</v>
      </c>
      <c r="AQ146" s="12">
        <v>1</v>
      </c>
      <c r="AR146" s="14">
        <f t="shared" ref="AR146:AR151" si="758">IF($AP146="Annual",1,IF($AP146="Monthly F",12,IF($AP146="Monthly V",AQ146*12,IF($AP146="One-Time",1,AQ146*12))))</f>
        <v>1</v>
      </c>
      <c r="AS146" s="14" cm="1">
        <f t="array" ref="AS146">IFERROR(_xlfn.IFS(VALUE(MID(AS$5,6,1))&gt;$D$2,0,$AP146="Annual",1,AR146=12,12,$AP146="Monthly V",AR146*(1+$D$3),$AP146="Monthly F",12,$AP146="One-Time",0),AR146*(1+$D$3))</f>
        <v>0</v>
      </c>
      <c r="AT146" s="14" cm="1">
        <f t="array" ref="AT146">IFERROR(_xlfn.IFS(VALUE(MID(AT$5,6,1))&gt;$D$2,0,$AP146="Annual",1,AS146=12,12,$AP146="Monthly V",AS146*(1+$D$3),$AP146="Monthly F",12,$AP146="One-Time",0),AS146*(1+$D$3))</f>
        <v>0</v>
      </c>
      <c r="AU146" s="14" cm="1">
        <f t="array" ref="AU146">IFERROR(_xlfn.IFS(VALUE(MID(AU$5,6,1))&gt;$D$2,0,$AP146="Annual",1,AT146=12,12,$AP146="Monthly V",AT146*(1+$D$3),$AP146="Monthly F",12,$AP146="One-Time",0),AT146*(1+$D$3))</f>
        <v>0</v>
      </c>
      <c r="AV146" s="14" cm="1">
        <f t="array" ref="AV146">IFERROR(_xlfn.IFS(VALUE(MID(AV$5,6,1))&gt;$D$2,0,$AP146="Annual",1,AU146=12,12,$AP146="Monthly V",AU146*(1+$D$3),$AP146="Monthly F",12,$AP146="One-Time",0),AU146*(1+$D$3))</f>
        <v>0</v>
      </c>
      <c r="AW146" s="14" cm="1">
        <f t="array" ref="AW146">IFERROR(_xlfn.IFS(VALUE(MID(AW$5,6,1))&gt;$D$2,0,$AP146="Annual",1,AV146=12,12,$AP146="Monthly V",AV146*(1+$D$3),$AP146="Monthly F",12,$AP146="One-Time",0),AV146*(1+$D$3))</f>
        <v>0</v>
      </c>
      <c r="AX146" s="14" cm="1">
        <f t="array" ref="AX146">IFERROR(_xlfn.IFS(VALUE(MID(AX$5,6,1))&gt;$D$2,0,$AP146="Annual",1,AW146=12,12,$AP146="Monthly V",AW146*(1+$D$3),$AP146="Monthly F",12,$AP146="One-Time",0),AW146*(1+$D$3))</f>
        <v>0</v>
      </c>
      <c r="AY146" s="14" cm="1">
        <f t="array" ref="AY146">IFERROR(_xlfn.IFS(VALUE(MID(AY$5,6,1))&gt;$D$2,0,$AP146="Annual",1,AX146=12,12,$AP146="Monthly V",AX146*(1+$D$3),$AP146="Monthly F",12,$AP146="One-Time",0),AX146*(1+$D$3))</f>
        <v>0</v>
      </c>
      <c r="AZ146" s="14" cm="1">
        <f t="array" ref="AZ146">IFERROR(_xlfn.IFS(VALUE(MID(AZ$5,6,1))&gt;$D$2,0,$AP146="Annual",1,AY146=12,12,$AP146="Monthly V",AY146*(1+$D$3),$AP146="Monthly F",12,$AP146="One-Time",0),AY146*(1+$D$3))</f>
        <v>0</v>
      </c>
      <c r="BA146" s="125" cm="1">
        <f t="array" ref="BA146">IFERROR(_xlfn.IFS(VALUE(MID(BA$5,6,2))&gt;$D$2,0,$AP146="Annual",1,AZ146=12,12,$AP146="Monthly V",AZ146*(1+$D$3),$AP146="Monthly F",12,$AP146="One-Time",0),AZ146*(1+$D$3))</f>
        <v>0</v>
      </c>
      <c r="BB146" s="124" t="s">
        <v>263</v>
      </c>
      <c r="BC146" s="38" t="s">
        <v>276</v>
      </c>
      <c r="BD146" s="36">
        <v>3000</v>
      </c>
      <c r="BE146" s="21">
        <f t="shared" ref="BE146:BE151" si="759">BF146/12</f>
        <v>250</v>
      </c>
      <c r="BF146" s="39">
        <f t="shared" ref="BF146:BF151" si="760">IFERROR(AR146*$BD146,0)</f>
        <v>3000</v>
      </c>
      <c r="BG146" s="39">
        <f t="shared" ref="BG146:BG151" si="761">IFERROR(AS146*$BD146,0)</f>
        <v>0</v>
      </c>
      <c r="BH146" s="39">
        <f t="shared" ref="BH146:BH151" si="762">IFERROR(AT146*$BD146,0)</f>
        <v>0</v>
      </c>
      <c r="BI146" s="39">
        <f t="shared" ref="BI146:BI151" si="763">IFERROR(AU146*$BD146,0)</f>
        <v>0</v>
      </c>
      <c r="BJ146" s="39">
        <f t="shared" ref="BJ146:BJ151" si="764">IFERROR(AV146*$BD146,0)</f>
        <v>0</v>
      </c>
      <c r="BK146" s="39">
        <f t="shared" ref="BK146:BK151" si="765">IFERROR(AW146*$BD146,0)</f>
        <v>0</v>
      </c>
      <c r="BL146" s="39">
        <f t="shared" ref="BL146:BL151" si="766">IFERROR(AX146*$BD146,0)</f>
        <v>0</v>
      </c>
      <c r="BM146" s="39">
        <f t="shared" ref="BM146:BM151" si="767">IFERROR(AY146*$BD146,0)</f>
        <v>0</v>
      </c>
      <c r="BN146" s="39">
        <f t="shared" ref="BN146:BN151" si="768">IFERROR(AZ146*$BD146,0)</f>
        <v>0</v>
      </c>
      <c r="BO146" s="39">
        <f t="shared" ref="BO146:BO151" si="769">IFERROR(BA146*$BD146,0)</f>
        <v>0</v>
      </c>
      <c r="BP146" s="40"/>
      <c r="BQ146" s="40">
        <f t="shared" ref="BQ146:BQ151" si="770">IF(VALUE(MID(BQ$5,6,1))&lt;=$D$2,((1+$BD$3)^1-1)*BG146,0)</f>
        <v>0</v>
      </c>
      <c r="BR146" s="40">
        <f t="shared" ref="BR146:BR151" si="771">IF(VALUE(MID(BR$5,6,1))&lt;=$D$2,((1+$BD$3)^2-1)*BH146,0)</f>
        <v>0</v>
      </c>
      <c r="BS146" s="40">
        <f t="shared" ref="BS146:BS151" si="772">IF(VALUE(MID(BS$5,6,1))&lt;=$D$2,((1+$BD$3)^3-1)*BI146,0)</f>
        <v>0</v>
      </c>
      <c r="BT146" s="40">
        <f t="shared" ref="BT146:BT151" si="773">IF(VALUE(MID(BT$5,6,1))&lt;=$D$2,((1+$BD$3)^4-1)*BJ146,0)</f>
        <v>0</v>
      </c>
      <c r="BU146" s="40">
        <f t="shared" ref="BU146:BU151" si="774">IF(VALUE(MID(BU$5,6,1))&lt;=$D$2,((1+$BD$3)^5-1)*BK146,0)</f>
        <v>0</v>
      </c>
      <c r="BV146" s="40">
        <f t="shared" ref="BV146:BV151" si="775">IF(VALUE(MID(BV$5,6,1))&lt;=$D$2,((1+$BD$3)^6-1)*BL146,0)</f>
        <v>0</v>
      </c>
      <c r="BW146" s="40">
        <f t="shared" ref="BW146:BW151" si="776">IF(VALUE(MID(BW$5,6,1))&lt;=$D$2,((1+$BD$3)^7-1)*BM146,0)</f>
        <v>0</v>
      </c>
      <c r="BX146" s="40">
        <f t="shared" ref="BX146:BX151" si="777">IF(VALUE(MID(BX$5,6,1))&lt;=$D$2,((1+$BD$3)^8-1)*BN146,0)</f>
        <v>0</v>
      </c>
      <c r="BY146" s="40">
        <f t="shared" ref="BY146:BY151" si="778">IF(VALUE(MID(BY$5,6,2))&lt;=$D$2,((1+$BD$3)^9-1)*BO146,0)</f>
        <v>0</v>
      </c>
      <c r="BZ146" s="40">
        <f t="shared" ref="BZ146:BZ151" si="779">SUM(BP146:BY146)</f>
        <v>0</v>
      </c>
      <c r="CA146" s="37">
        <f t="shared" ref="CA146:CA151" si="780">SUM(BZ146,BF146:BO146)</f>
        <v>3000</v>
      </c>
      <c r="CC146" s="102"/>
      <c r="CD146" s="12"/>
      <c r="CE146" s="14">
        <f t="shared" si="635"/>
        <v>0</v>
      </c>
      <c r="CF146" s="14" cm="1">
        <f t="array" ref="CF146">IFERROR(_xlfn.IFS(VALUE(MID(CF$5,6,1))&gt;$D$2,0,$CC146="Annual",1,CE146=12,12,$CC146="Monthly V",CE146*(1+$D$3),$CC146="Monthly F",12,$CC146="One-Time",0),CE146*(1+$D$3))</f>
        <v>0</v>
      </c>
      <c r="CG146" s="14" cm="1">
        <f t="array" ref="CG146">IFERROR(_xlfn.IFS(VALUE(MID(CG$5,6,1))&gt;$D$2,0,$CC146="Annual",1,CF146=12,12,$CC146="Monthly V",CF146*(1+$D$3),$CC146="Monthly F",12,$CC146="One-Time",0),CF146*(1+$D$3))</f>
        <v>0</v>
      </c>
      <c r="CH146" s="14" cm="1">
        <f t="array" ref="CH146">IFERROR(_xlfn.IFS(VALUE(MID(CH$5,6,1))&gt;$D$2,0,$CC146="Annual",1,CG146=12,12,$CC146="Monthly V",CG146*(1+$D$3),$CC146="Monthly F",12,$CC146="One-Time",0),CG146*(1+$D$3))</f>
        <v>0</v>
      </c>
      <c r="CI146" s="14" cm="1">
        <f t="array" ref="CI146">IFERROR(_xlfn.IFS(VALUE(MID(CI$5,6,1))&gt;$D$2,0,$CC146="Annual",1,CH146=12,12,$CC146="Monthly V",CH146*(1+$D$3),$CC146="Monthly F",12,$CC146="One-Time",0),CH146*(1+$D$3))</f>
        <v>0</v>
      </c>
      <c r="CJ146" s="14" cm="1">
        <f t="array" ref="CJ146">IFERROR(_xlfn.IFS(VALUE(MID(CJ$5,6,1))&gt;$D$2,0,$CC146="Annual",1,CI146=12,12,$CC146="Monthly V",CI146*(1+$D$3),$CC146="Monthly F",12,$CC146="One-Time",0),CI146*(1+$D$3))</f>
        <v>0</v>
      </c>
      <c r="CK146" s="14" cm="1">
        <f t="array" ref="CK146">IFERROR(_xlfn.IFS(VALUE(MID(CK$5,6,1))&gt;$D$2,0,$CC146="Annual",1,CJ146=12,12,$CC146="Monthly V",CJ146*(1+$D$3),$CC146="Monthly F",12,$CC146="One-Time",0),CJ146*(1+$D$3))</f>
        <v>0</v>
      </c>
      <c r="CL146" s="14" cm="1">
        <f t="array" ref="CL146">IFERROR(_xlfn.IFS(VALUE(MID(CL$5,6,1))&gt;$D$2,0,$CC146="Annual",1,CK146=12,12,$CC146="Monthly V",CK146*(1+$D$3),$CC146="Monthly F",12,$CC146="One-Time",0),CK146*(1+$D$3))</f>
        <v>0</v>
      </c>
      <c r="CM146" s="14" cm="1">
        <f t="array" ref="CM146">IFERROR(_xlfn.IFS(VALUE(MID(CM$5,6,1))&gt;$D$2,0,$CC146="Annual",1,CL146=12,12,$CC146="Monthly V",CL146*(1+$D$3),$CC146="Monthly F",12,$CC146="One-Time",0),CL146*(1+$D$3))</f>
        <v>0</v>
      </c>
      <c r="CN146" s="24" cm="1">
        <f t="array" ref="CN146">IFERROR(_xlfn.IFS(VALUE(MID(CN$5,6,2))&gt;$D$2,0,$CC146="Annual",1,CM146=12,12,$CC146="Monthly V",CM146*(1+$D$3),$CC146="Monthly F",12,$CC146="One-Time",0),CM146*(1+$D$3))</f>
        <v>0</v>
      </c>
      <c r="CO146" s="63"/>
      <c r="CP146" s="53"/>
      <c r="CQ146" s="21">
        <f t="shared" si="636"/>
        <v>0</v>
      </c>
      <c r="CR146" s="55">
        <f t="shared" si="637"/>
        <v>0</v>
      </c>
      <c r="CS146" s="55">
        <f t="shared" si="637"/>
        <v>0</v>
      </c>
      <c r="CT146" s="55">
        <f t="shared" si="637"/>
        <v>0</v>
      </c>
      <c r="CU146" s="55">
        <f t="shared" si="637"/>
        <v>0</v>
      </c>
      <c r="CV146" s="55">
        <f t="shared" si="637"/>
        <v>0</v>
      </c>
      <c r="CW146" s="55">
        <f t="shared" si="637"/>
        <v>0</v>
      </c>
      <c r="CX146" s="55">
        <f t="shared" si="637"/>
        <v>0</v>
      </c>
      <c r="CY146" s="55">
        <f t="shared" si="637"/>
        <v>0</v>
      </c>
      <c r="CZ146" s="55">
        <f t="shared" si="637"/>
        <v>0</v>
      </c>
      <c r="DA146" s="55">
        <f t="shared" si="637"/>
        <v>0</v>
      </c>
      <c r="DB146" s="56"/>
      <c r="DC146" s="56">
        <f t="shared" si="638"/>
        <v>0</v>
      </c>
      <c r="DD146" s="56">
        <f t="shared" si="639"/>
        <v>0</v>
      </c>
      <c r="DE146" s="56">
        <f t="shared" si="640"/>
        <v>0</v>
      </c>
      <c r="DF146" s="56">
        <f t="shared" si="641"/>
        <v>0</v>
      </c>
      <c r="DG146" s="56">
        <f t="shared" si="642"/>
        <v>0</v>
      </c>
      <c r="DH146" s="56">
        <f t="shared" si="643"/>
        <v>0</v>
      </c>
      <c r="DI146" s="56">
        <f t="shared" si="644"/>
        <v>0</v>
      </c>
      <c r="DJ146" s="56">
        <f t="shared" si="645"/>
        <v>0</v>
      </c>
      <c r="DK146" s="56">
        <f t="shared" si="646"/>
        <v>0</v>
      </c>
      <c r="DL146" s="57">
        <f t="shared" si="647"/>
        <v>0</v>
      </c>
      <c r="DM146" s="54">
        <f t="shared" si="648"/>
        <v>0</v>
      </c>
      <c r="DO146" s="106"/>
    </row>
    <row r="147" spans="2:119" x14ac:dyDescent="0.25">
      <c r="B147" s="141" t="s">
        <v>0</v>
      </c>
      <c r="C147" s="24">
        <v>1</v>
      </c>
      <c r="D147" s="147">
        <f t="shared" si="757"/>
        <v>1</v>
      </c>
      <c r="E147" s="142">
        <f t="shared" si="740"/>
        <v>12</v>
      </c>
      <c r="F147" s="14" cm="1">
        <f t="array" ref="F147">IFERROR(_xlfn.IFS(VALUE(MID(F$5,6,1))&gt;$D$2,0,$B147="Annual",1,E147=12,12,$B147="Monthly V",E147*(1+$D$3),$B147="Monthly F",12,$B147="One-Time",0),E147*(1+$D$3))</f>
        <v>12</v>
      </c>
      <c r="G147" s="14" cm="1">
        <f t="array" ref="G147">IFERROR(_xlfn.IFS(VALUE(MID(G$5,6,1))&gt;$D$2,0,$B147="Annual",1,F147=12,12,$B147="Monthly V",F147*(1+$D$3),$B147="Monthly F",12,$B147="One-Time",0),F147*(1+$D$3))</f>
        <v>12</v>
      </c>
      <c r="H147" s="14" cm="1">
        <f t="array" ref="H147">IFERROR(_xlfn.IFS(VALUE(MID(H$5,6,1))&gt;$D$2,0,$B147="Annual",1,G147=12,12,$B147="Monthly V",G147*(1+$D$3),$B147="Monthly F",12,$B147="One-Time",0),G147*(1+$D$3))</f>
        <v>12</v>
      </c>
      <c r="I147" s="14" cm="1">
        <f t="array" ref="I147">IFERROR(_xlfn.IFS(VALUE(MID(I$5,6,1))&gt;$D$2,0,$B147="Annual",1,H147=12,12,$B147="Monthly V",H147*(1+$D$3),$B147="Monthly F",12,$B147="One-Time",0),H147*(1+$D$3))</f>
        <v>12</v>
      </c>
      <c r="J147" s="14" cm="1">
        <f t="array" ref="J147">IFERROR(_xlfn.IFS(VALUE(MID(J$5,6,1))&gt;$D$2,0,$B147="Annual",1,I147=12,12,$B147="Monthly V",I147*(1+$D$3),$B147="Monthly F",12,$B147="One-Time",0),I147*(1+$D$3))</f>
        <v>12</v>
      </c>
      <c r="K147" s="14" cm="1">
        <f t="array" ref="K147">IFERROR(_xlfn.IFS(VALUE(MID(K$5,6,1))&gt;$D$2,0,$B147="Annual",1,J147=12,12,$B147="Monthly V",J147*(1+$D$3),$B147="Monthly F",12,$B147="One-Time",0),J147*(1+$D$3))</f>
        <v>12</v>
      </c>
      <c r="L147" s="14" cm="1">
        <f t="array" ref="L147">IFERROR(_xlfn.IFS(VALUE(MID(L$5,6,1))&gt;$D$2,0,$B147="Annual",1,K147=12,12,$B147="Monthly V",K147*(1+$D$3),$B147="Monthly F",12,$B147="One-Time",0),K147*(1+$D$3))</f>
        <v>0</v>
      </c>
      <c r="M147" s="14" cm="1">
        <f t="array" ref="M147">IFERROR(_xlfn.IFS(VALUE(MID(M$5,6,1))&gt;$D$2,0,$B147="Annual",1,L147=12,12,$B147="Monthly V",L147*(1+$D$3),$B147="Monthly F",12,$B147="One-Time",0),L147*(1+$D$3))</f>
        <v>0</v>
      </c>
      <c r="N147" s="24" cm="1">
        <f t="array" ref="N147">IFERROR(_xlfn.IFS(VALUE(MID(N$5,6,2))&gt;$D$2,0,$B147="Annual",1,M147=12,12,$B147="Monthly V",M147*(1+$D$3),$B147="Monthly F",12,$B147="One-Time",0),M147*(1+$D$3))</f>
        <v>0</v>
      </c>
      <c r="O147" s="127" t="s">
        <v>141</v>
      </c>
      <c r="P147" s="13"/>
      <c r="Q147" s="20">
        <v>311</v>
      </c>
      <c r="R147" s="21">
        <f t="shared" si="756"/>
        <v>311</v>
      </c>
      <c r="S147" s="6">
        <f t="shared" si="742"/>
        <v>3732</v>
      </c>
      <c r="T147" s="6">
        <f t="shared" si="742"/>
        <v>3732</v>
      </c>
      <c r="U147" s="6">
        <f t="shared" si="742"/>
        <v>3732</v>
      </c>
      <c r="V147" s="6">
        <f t="shared" si="742"/>
        <v>3732</v>
      </c>
      <c r="W147" s="6">
        <f t="shared" si="742"/>
        <v>3732</v>
      </c>
      <c r="X147" s="6">
        <f t="shared" si="742"/>
        <v>3732</v>
      </c>
      <c r="Y147" s="6">
        <f t="shared" si="742"/>
        <v>3732</v>
      </c>
      <c r="Z147" s="6">
        <f t="shared" si="742"/>
        <v>0</v>
      </c>
      <c r="AA147" s="6">
        <f t="shared" si="742"/>
        <v>0</v>
      </c>
      <c r="AB147" s="6">
        <f t="shared" si="742"/>
        <v>0</v>
      </c>
      <c r="AC147" s="7"/>
      <c r="AD147" s="152">
        <f t="shared" si="743"/>
        <v>111.96000000000009</v>
      </c>
      <c r="AE147" s="152">
        <f t="shared" si="744"/>
        <v>227.27879999999982</v>
      </c>
      <c r="AF147" s="152">
        <f t="shared" si="745"/>
        <v>346.057164</v>
      </c>
      <c r="AG147" s="152">
        <f t="shared" si="746"/>
        <v>468.39887891999967</v>
      </c>
      <c r="AH147" s="152">
        <f t="shared" si="747"/>
        <v>594.41084528759939</v>
      </c>
      <c r="AI147" s="152">
        <f t="shared" si="748"/>
        <v>724.2031706462277</v>
      </c>
      <c r="AJ147" s="152">
        <f t="shared" si="749"/>
        <v>0</v>
      </c>
      <c r="AK147" s="152">
        <f t="shared" si="750"/>
        <v>0</v>
      </c>
      <c r="AL147" s="152">
        <f t="shared" si="751"/>
        <v>0</v>
      </c>
      <c r="AM147" s="9">
        <f t="shared" si="752"/>
        <v>2472.3088588538267</v>
      </c>
      <c r="AN147" s="80">
        <f t="shared" si="753"/>
        <v>28596.308858853827</v>
      </c>
      <c r="AP147" s="102" t="s">
        <v>3</v>
      </c>
      <c r="AQ147" s="12">
        <v>1</v>
      </c>
      <c r="AR147" s="14">
        <f t="shared" si="758"/>
        <v>1</v>
      </c>
      <c r="AS147" s="14" cm="1">
        <f t="array" ref="AS147">IFERROR(_xlfn.IFS(VALUE(MID(AS$5,6,1))&gt;$D$2,0,$AP147="Annual",1,AR147=12,12,$AP147="Monthly V",AR147*(1+$D$3),$AP147="Monthly F",12,$AP147="One-Time",0),AR147*(1+$D$3))</f>
        <v>0</v>
      </c>
      <c r="AT147" s="14" cm="1">
        <f t="array" ref="AT147">IFERROR(_xlfn.IFS(VALUE(MID(AT$5,6,1))&gt;$D$2,0,$AP147="Annual",1,AS147=12,12,$AP147="Monthly V",AS147*(1+$D$3),$AP147="Monthly F",12,$AP147="One-Time",0),AS147*(1+$D$3))</f>
        <v>0</v>
      </c>
      <c r="AU147" s="14" cm="1">
        <f t="array" ref="AU147">IFERROR(_xlfn.IFS(VALUE(MID(AU$5,6,1))&gt;$D$2,0,$AP147="Annual",1,AT147=12,12,$AP147="Monthly V",AT147*(1+$D$3),$AP147="Monthly F",12,$AP147="One-Time",0),AT147*(1+$D$3))</f>
        <v>0</v>
      </c>
      <c r="AV147" s="14" cm="1">
        <f t="array" ref="AV147">IFERROR(_xlfn.IFS(VALUE(MID(AV$5,6,1))&gt;$D$2,0,$AP147="Annual",1,AU147=12,12,$AP147="Monthly V",AU147*(1+$D$3),$AP147="Monthly F",12,$AP147="One-Time",0),AU147*(1+$D$3))</f>
        <v>0</v>
      </c>
      <c r="AW147" s="14" cm="1">
        <f t="array" ref="AW147">IFERROR(_xlfn.IFS(VALUE(MID(AW$5,6,1))&gt;$D$2,0,$AP147="Annual",1,AV147=12,12,$AP147="Monthly V",AV147*(1+$D$3),$AP147="Monthly F",12,$AP147="One-Time",0),AV147*(1+$D$3))</f>
        <v>0</v>
      </c>
      <c r="AX147" s="14" cm="1">
        <f t="array" ref="AX147">IFERROR(_xlfn.IFS(VALUE(MID(AX$5,6,1))&gt;$D$2,0,$AP147="Annual",1,AW147=12,12,$AP147="Monthly V",AW147*(1+$D$3),$AP147="Monthly F",12,$AP147="One-Time",0),AW147*(1+$D$3))</f>
        <v>0</v>
      </c>
      <c r="AY147" s="14" cm="1">
        <f t="array" ref="AY147">IFERROR(_xlfn.IFS(VALUE(MID(AY$5,6,1))&gt;$D$2,0,$AP147="Annual",1,AX147=12,12,$AP147="Monthly V",AX147*(1+$D$3),$AP147="Monthly F",12,$AP147="One-Time",0),AX147*(1+$D$3))</f>
        <v>0</v>
      </c>
      <c r="AZ147" s="14" cm="1">
        <f t="array" ref="AZ147">IFERROR(_xlfn.IFS(VALUE(MID(AZ$5,6,1))&gt;$D$2,0,$AP147="Annual",1,AY147=12,12,$AP147="Monthly V",AY147*(1+$D$3),$AP147="Monthly F",12,$AP147="One-Time",0),AY147*(1+$D$3))</f>
        <v>0</v>
      </c>
      <c r="BA147" s="125" cm="1">
        <f t="array" ref="BA147">IFERROR(_xlfn.IFS(VALUE(MID(BA$5,6,2))&gt;$D$2,0,$AP147="Annual",1,AZ147=12,12,$AP147="Monthly V",AZ147*(1+$D$3),$AP147="Monthly F",12,$AP147="One-Time",0),AZ147*(1+$D$3))</f>
        <v>0</v>
      </c>
      <c r="BB147" s="124" t="s">
        <v>265</v>
      </c>
      <c r="BC147" s="38" t="s">
        <v>231</v>
      </c>
      <c r="BD147" s="36">
        <v>18000</v>
      </c>
      <c r="BE147" s="21">
        <f t="shared" si="759"/>
        <v>1500</v>
      </c>
      <c r="BF147" s="39">
        <f t="shared" si="760"/>
        <v>18000</v>
      </c>
      <c r="BG147" s="39">
        <f t="shared" si="761"/>
        <v>0</v>
      </c>
      <c r="BH147" s="39">
        <f t="shared" si="762"/>
        <v>0</v>
      </c>
      <c r="BI147" s="39">
        <f t="shared" si="763"/>
        <v>0</v>
      </c>
      <c r="BJ147" s="39">
        <f t="shared" si="764"/>
        <v>0</v>
      </c>
      <c r="BK147" s="39">
        <f t="shared" si="765"/>
        <v>0</v>
      </c>
      <c r="BL147" s="39">
        <f t="shared" si="766"/>
        <v>0</v>
      </c>
      <c r="BM147" s="39">
        <f t="shared" si="767"/>
        <v>0</v>
      </c>
      <c r="BN147" s="39">
        <f t="shared" si="768"/>
        <v>0</v>
      </c>
      <c r="BO147" s="39">
        <f t="shared" si="769"/>
        <v>0</v>
      </c>
      <c r="BP147" s="40"/>
      <c r="BQ147" s="40">
        <f t="shared" si="770"/>
        <v>0</v>
      </c>
      <c r="BR147" s="40">
        <f t="shared" si="771"/>
        <v>0</v>
      </c>
      <c r="BS147" s="40">
        <f t="shared" si="772"/>
        <v>0</v>
      </c>
      <c r="BT147" s="40">
        <f t="shared" si="773"/>
        <v>0</v>
      </c>
      <c r="BU147" s="40">
        <f t="shared" si="774"/>
        <v>0</v>
      </c>
      <c r="BV147" s="40">
        <f t="shared" si="775"/>
        <v>0</v>
      </c>
      <c r="BW147" s="40">
        <f t="shared" si="776"/>
        <v>0</v>
      </c>
      <c r="BX147" s="40">
        <f t="shared" si="777"/>
        <v>0</v>
      </c>
      <c r="BY147" s="40">
        <f t="shared" si="778"/>
        <v>0</v>
      </c>
      <c r="BZ147" s="40">
        <f t="shared" si="779"/>
        <v>0</v>
      </c>
      <c r="CA147" s="37">
        <f t="shared" si="780"/>
        <v>18000</v>
      </c>
      <c r="CC147" s="102"/>
      <c r="CD147" s="12"/>
      <c r="CE147" s="14"/>
      <c r="CF147" s="14"/>
      <c r="CG147" s="14"/>
      <c r="CH147" s="14"/>
      <c r="CI147" s="14"/>
      <c r="CJ147" s="14"/>
      <c r="CK147" s="14"/>
      <c r="CL147" s="14"/>
      <c r="CM147" s="14"/>
      <c r="CN147" s="24"/>
      <c r="CO147" s="63"/>
      <c r="CP147" s="53"/>
      <c r="CQ147" s="21"/>
      <c r="CR147" s="55"/>
      <c r="CS147" s="55"/>
      <c r="CT147" s="55"/>
      <c r="CU147" s="55"/>
      <c r="CV147" s="55"/>
      <c r="CW147" s="55"/>
      <c r="CX147" s="55"/>
      <c r="CY147" s="55"/>
      <c r="CZ147" s="55"/>
      <c r="DA147" s="55"/>
      <c r="DB147" s="56"/>
      <c r="DC147" s="56"/>
      <c r="DD147" s="56"/>
      <c r="DE147" s="56"/>
      <c r="DF147" s="56"/>
      <c r="DG147" s="56"/>
      <c r="DH147" s="56"/>
      <c r="DI147" s="56"/>
      <c r="DJ147" s="56"/>
      <c r="DK147" s="56"/>
      <c r="DL147" s="57"/>
      <c r="DM147" s="54"/>
      <c r="DO147" s="106"/>
    </row>
    <row r="148" spans="2:119" x14ac:dyDescent="0.25">
      <c r="B148" s="141" t="s">
        <v>0</v>
      </c>
      <c r="C148" s="24">
        <v>1</v>
      </c>
      <c r="D148" s="147">
        <f t="shared" si="757"/>
        <v>1</v>
      </c>
      <c r="E148" s="142">
        <f t="shared" si="740"/>
        <v>12</v>
      </c>
      <c r="F148" s="14" cm="1">
        <f t="array" ref="F148">IFERROR(_xlfn.IFS(VALUE(MID(F$5,6,1))&gt;$D$2,0,$B148="Annual",1,E148=12,12,$B148="Monthly V",E148*(1+$D$3),$B148="Monthly F",12,$B148="One-Time",0),E148*(1+$D$3))</f>
        <v>12</v>
      </c>
      <c r="G148" s="14" cm="1">
        <f t="array" ref="G148">IFERROR(_xlfn.IFS(VALUE(MID(G$5,6,1))&gt;$D$2,0,$B148="Annual",1,F148=12,12,$B148="Monthly V",F148*(1+$D$3),$B148="Monthly F",12,$B148="One-Time",0),F148*(1+$D$3))</f>
        <v>12</v>
      </c>
      <c r="H148" s="14" cm="1">
        <f t="array" ref="H148">IFERROR(_xlfn.IFS(VALUE(MID(H$5,6,1))&gt;$D$2,0,$B148="Annual",1,G148=12,12,$B148="Monthly V",G148*(1+$D$3),$B148="Monthly F",12,$B148="One-Time",0),G148*(1+$D$3))</f>
        <v>12</v>
      </c>
      <c r="I148" s="14" cm="1">
        <f t="array" ref="I148">IFERROR(_xlfn.IFS(VALUE(MID(I$5,6,1))&gt;$D$2,0,$B148="Annual",1,H148=12,12,$B148="Monthly V",H148*(1+$D$3),$B148="Monthly F",12,$B148="One-Time",0),H148*(1+$D$3))</f>
        <v>12</v>
      </c>
      <c r="J148" s="14" cm="1">
        <f t="array" ref="J148">IFERROR(_xlfn.IFS(VALUE(MID(J$5,6,1))&gt;$D$2,0,$B148="Annual",1,I148=12,12,$B148="Monthly V",I148*(1+$D$3),$B148="Monthly F",12,$B148="One-Time",0),I148*(1+$D$3))</f>
        <v>12</v>
      </c>
      <c r="K148" s="14" cm="1">
        <f t="array" ref="K148">IFERROR(_xlfn.IFS(VALUE(MID(K$5,6,1))&gt;$D$2,0,$B148="Annual",1,J148=12,12,$B148="Monthly V",J148*(1+$D$3),$B148="Monthly F",12,$B148="One-Time",0),J148*(1+$D$3))</f>
        <v>12</v>
      </c>
      <c r="L148" s="14" cm="1">
        <f t="array" ref="L148">IFERROR(_xlfn.IFS(VALUE(MID(L$5,6,1))&gt;$D$2,0,$B148="Annual",1,K148=12,12,$B148="Monthly V",K148*(1+$D$3),$B148="Monthly F",12,$B148="One-Time",0),K148*(1+$D$3))</f>
        <v>0</v>
      </c>
      <c r="M148" s="14" cm="1">
        <f t="array" ref="M148">IFERROR(_xlfn.IFS(VALUE(MID(M$5,6,1))&gt;$D$2,0,$B148="Annual",1,L148=12,12,$B148="Monthly V",L148*(1+$D$3),$B148="Monthly F",12,$B148="One-Time",0),L148*(1+$D$3))</f>
        <v>0</v>
      </c>
      <c r="N148" s="24" cm="1">
        <f t="array" ref="N148">IFERROR(_xlfn.IFS(VALUE(MID(N$5,6,2))&gt;$D$2,0,$B148="Annual",1,M148=12,12,$B148="Monthly V",M148*(1+$D$3),$B148="Monthly F",12,$B148="One-Time",0),M148*(1+$D$3))</f>
        <v>0</v>
      </c>
      <c r="O148" s="127" t="s">
        <v>142</v>
      </c>
      <c r="P148" s="13"/>
      <c r="Q148" s="20">
        <v>109</v>
      </c>
      <c r="R148" s="21">
        <f t="shared" si="756"/>
        <v>109</v>
      </c>
      <c r="S148" s="6">
        <f t="shared" si="742"/>
        <v>1308</v>
      </c>
      <c r="T148" s="6">
        <f t="shared" si="742"/>
        <v>1308</v>
      </c>
      <c r="U148" s="6">
        <f t="shared" si="742"/>
        <v>1308</v>
      </c>
      <c r="V148" s="6">
        <f t="shared" si="742"/>
        <v>1308</v>
      </c>
      <c r="W148" s="6">
        <f t="shared" si="742"/>
        <v>1308</v>
      </c>
      <c r="X148" s="6">
        <f t="shared" si="742"/>
        <v>1308</v>
      </c>
      <c r="Y148" s="6">
        <f t="shared" si="742"/>
        <v>1308</v>
      </c>
      <c r="Z148" s="6">
        <f t="shared" si="742"/>
        <v>0</v>
      </c>
      <c r="AA148" s="6">
        <f t="shared" si="742"/>
        <v>0</v>
      </c>
      <c r="AB148" s="6">
        <f t="shared" si="742"/>
        <v>0</v>
      </c>
      <c r="AC148" s="7"/>
      <c r="AD148" s="152">
        <f t="shared" si="743"/>
        <v>39.240000000000038</v>
      </c>
      <c r="AE148" s="152">
        <f t="shared" si="744"/>
        <v>79.657199999999946</v>
      </c>
      <c r="AF148" s="152">
        <f t="shared" si="745"/>
        <v>121.28691600000001</v>
      </c>
      <c r="AG148" s="152">
        <f t="shared" si="746"/>
        <v>164.16552347999988</v>
      </c>
      <c r="AH148" s="152">
        <f t="shared" si="747"/>
        <v>208.3304891843998</v>
      </c>
      <c r="AI148" s="152">
        <f t="shared" si="748"/>
        <v>253.82040385993187</v>
      </c>
      <c r="AJ148" s="152">
        <f t="shared" si="749"/>
        <v>0</v>
      </c>
      <c r="AK148" s="152">
        <f t="shared" si="750"/>
        <v>0</v>
      </c>
      <c r="AL148" s="152">
        <f t="shared" si="751"/>
        <v>0</v>
      </c>
      <c r="AM148" s="9">
        <f t="shared" si="752"/>
        <v>866.50053252433145</v>
      </c>
      <c r="AN148" s="80">
        <f t="shared" si="753"/>
        <v>10022.500532524331</v>
      </c>
      <c r="AP148" s="102" t="s">
        <v>3</v>
      </c>
      <c r="AQ148" s="12">
        <v>1</v>
      </c>
      <c r="AR148" s="14">
        <f t="shared" si="758"/>
        <v>1</v>
      </c>
      <c r="AS148" s="14" cm="1">
        <f t="array" ref="AS148">IFERROR(_xlfn.IFS(VALUE(MID(AS$5,6,1))&gt;$D$2,0,$AP148="Annual",1,AR148=12,12,$AP148="Monthly V",AR148*(1+$D$3),$AP148="Monthly F",12,$AP148="One-Time",0),AR148*(1+$D$3))</f>
        <v>0</v>
      </c>
      <c r="AT148" s="14" cm="1">
        <f t="array" ref="AT148">IFERROR(_xlfn.IFS(VALUE(MID(AT$5,6,1))&gt;$D$2,0,$AP148="Annual",1,AS148=12,12,$AP148="Monthly V",AS148*(1+$D$3),$AP148="Monthly F",12,$AP148="One-Time",0),AS148*(1+$D$3))</f>
        <v>0</v>
      </c>
      <c r="AU148" s="14" cm="1">
        <f t="array" ref="AU148">IFERROR(_xlfn.IFS(VALUE(MID(AU$5,6,1))&gt;$D$2,0,$AP148="Annual",1,AT148=12,12,$AP148="Monthly V",AT148*(1+$D$3),$AP148="Monthly F",12,$AP148="One-Time",0),AT148*(1+$D$3))</f>
        <v>0</v>
      </c>
      <c r="AV148" s="14" cm="1">
        <f t="array" ref="AV148">IFERROR(_xlfn.IFS(VALUE(MID(AV$5,6,1))&gt;$D$2,0,$AP148="Annual",1,AU148=12,12,$AP148="Monthly V",AU148*(1+$D$3),$AP148="Monthly F",12,$AP148="One-Time",0),AU148*(1+$D$3))</f>
        <v>0</v>
      </c>
      <c r="AW148" s="14" cm="1">
        <f t="array" ref="AW148">IFERROR(_xlfn.IFS(VALUE(MID(AW$5,6,1))&gt;$D$2,0,$AP148="Annual",1,AV148=12,12,$AP148="Monthly V",AV148*(1+$D$3),$AP148="Monthly F",12,$AP148="One-Time",0),AV148*(1+$D$3))</f>
        <v>0</v>
      </c>
      <c r="AX148" s="14" cm="1">
        <f t="array" ref="AX148">IFERROR(_xlfn.IFS(VALUE(MID(AX$5,6,1))&gt;$D$2,0,$AP148="Annual",1,AW148=12,12,$AP148="Monthly V",AW148*(1+$D$3),$AP148="Monthly F",12,$AP148="One-Time",0),AW148*(1+$D$3))</f>
        <v>0</v>
      </c>
      <c r="AY148" s="14" cm="1">
        <f t="array" ref="AY148">IFERROR(_xlfn.IFS(VALUE(MID(AY$5,6,1))&gt;$D$2,0,$AP148="Annual",1,AX148=12,12,$AP148="Monthly V",AX148*(1+$D$3),$AP148="Monthly F",12,$AP148="One-Time",0),AX148*(1+$D$3))</f>
        <v>0</v>
      </c>
      <c r="AZ148" s="14" cm="1">
        <f t="array" ref="AZ148">IFERROR(_xlfn.IFS(VALUE(MID(AZ$5,6,1))&gt;$D$2,0,$AP148="Annual",1,AY148=12,12,$AP148="Monthly V",AY148*(1+$D$3),$AP148="Monthly F",12,$AP148="One-Time",0),AY148*(1+$D$3))</f>
        <v>0</v>
      </c>
      <c r="BA148" s="125" cm="1">
        <f t="array" ref="BA148">IFERROR(_xlfn.IFS(VALUE(MID(BA$5,6,2))&gt;$D$2,0,$AP148="Annual",1,AZ148=12,12,$AP148="Monthly V",AZ148*(1+$D$3),$AP148="Monthly F",12,$AP148="One-Time",0),AZ148*(1+$D$3))</f>
        <v>0</v>
      </c>
      <c r="BB148" s="124" t="s">
        <v>267</v>
      </c>
      <c r="BC148" s="38" t="s">
        <v>205</v>
      </c>
      <c r="BD148" s="36">
        <v>15000</v>
      </c>
      <c r="BE148" s="21">
        <f t="shared" si="759"/>
        <v>1250</v>
      </c>
      <c r="BF148" s="39">
        <f t="shared" si="760"/>
        <v>15000</v>
      </c>
      <c r="BG148" s="39">
        <f t="shared" si="761"/>
        <v>0</v>
      </c>
      <c r="BH148" s="39">
        <f t="shared" si="762"/>
        <v>0</v>
      </c>
      <c r="BI148" s="39">
        <f t="shared" si="763"/>
        <v>0</v>
      </c>
      <c r="BJ148" s="39">
        <f t="shared" si="764"/>
        <v>0</v>
      </c>
      <c r="BK148" s="39">
        <f t="shared" si="765"/>
        <v>0</v>
      </c>
      <c r="BL148" s="39">
        <f t="shared" si="766"/>
        <v>0</v>
      </c>
      <c r="BM148" s="39">
        <f t="shared" si="767"/>
        <v>0</v>
      </c>
      <c r="BN148" s="39">
        <f t="shared" si="768"/>
        <v>0</v>
      </c>
      <c r="BO148" s="39">
        <f t="shared" si="769"/>
        <v>0</v>
      </c>
      <c r="BP148" s="40"/>
      <c r="BQ148" s="40">
        <f t="shared" si="770"/>
        <v>0</v>
      </c>
      <c r="BR148" s="40">
        <f t="shared" si="771"/>
        <v>0</v>
      </c>
      <c r="BS148" s="40">
        <f t="shared" si="772"/>
        <v>0</v>
      </c>
      <c r="BT148" s="40">
        <f t="shared" si="773"/>
        <v>0</v>
      </c>
      <c r="BU148" s="40">
        <f t="shared" si="774"/>
        <v>0</v>
      </c>
      <c r="BV148" s="40">
        <f t="shared" si="775"/>
        <v>0</v>
      </c>
      <c r="BW148" s="40">
        <f t="shared" si="776"/>
        <v>0</v>
      </c>
      <c r="BX148" s="40">
        <f t="shared" si="777"/>
        <v>0</v>
      </c>
      <c r="BY148" s="40">
        <f t="shared" si="778"/>
        <v>0</v>
      </c>
      <c r="BZ148" s="40">
        <f t="shared" si="779"/>
        <v>0</v>
      </c>
      <c r="CA148" s="37">
        <f t="shared" si="780"/>
        <v>15000</v>
      </c>
      <c r="CC148" s="102"/>
      <c r="CD148" s="12"/>
      <c r="CE148" s="14"/>
      <c r="CF148" s="14"/>
      <c r="CG148" s="14"/>
      <c r="CH148" s="14"/>
      <c r="CI148" s="14"/>
      <c r="CJ148" s="14"/>
      <c r="CK148" s="14"/>
      <c r="CL148" s="14"/>
      <c r="CM148" s="14"/>
      <c r="CN148" s="24"/>
      <c r="CO148" s="63"/>
      <c r="CP148" s="53"/>
      <c r="CQ148" s="21"/>
      <c r="CR148" s="55"/>
      <c r="CS148" s="55"/>
      <c r="CT148" s="55"/>
      <c r="CU148" s="55"/>
      <c r="CV148" s="55"/>
      <c r="CW148" s="55"/>
      <c r="CX148" s="55"/>
      <c r="CY148" s="55"/>
      <c r="CZ148" s="55"/>
      <c r="DA148" s="55"/>
      <c r="DB148" s="56"/>
      <c r="DC148" s="56"/>
      <c r="DD148" s="56"/>
      <c r="DE148" s="56"/>
      <c r="DF148" s="56"/>
      <c r="DG148" s="56"/>
      <c r="DH148" s="56"/>
      <c r="DI148" s="56"/>
      <c r="DJ148" s="56"/>
      <c r="DK148" s="56"/>
      <c r="DL148" s="57"/>
      <c r="DM148" s="54"/>
      <c r="DO148" s="106"/>
    </row>
    <row r="149" spans="2:119" x14ac:dyDescent="0.25">
      <c r="B149" s="141" t="s">
        <v>0</v>
      </c>
      <c r="C149" s="24">
        <v>1</v>
      </c>
      <c r="D149" s="147">
        <f t="shared" si="757"/>
        <v>1</v>
      </c>
      <c r="E149" s="142">
        <f t="shared" si="740"/>
        <v>12</v>
      </c>
      <c r="F149" s="14" cm="1">
        <f t="array" ref="F149">IFERROR(_xlfn.IFS(VALUE(MID(F$5,6,1))&gt;$D$2,0,$B149="Annual",1,E149=12,12,$B149="Monthly V",E149*(1+$D$3),$B149="Monthly F",12,$B149="One-Time",0),E149*(1+$D$3))</f>
        <v>12</v>
      </c>
      <c r="G149" s="14" cm="1">
        <f t="array" ref="G149">IFERROR(_xlfn.IFS(VALUE(MID(G$5,6,1))&gt;$D$2,0,$B149="Annual",1,F149=12,12,$B149="Monthly V",F149*(1+$D$3),$B149="Monthly F",12,$B149="One-Time",0),F149*(1+$D$3))</f>
        <v>12</v>
      </c>
      <c r="H149" s="14" cm="1">
        <f t="array" ref="H149">IFERROR(_xlfn.IFS(VALUE(MID(H$5,6,1))&gt;$D$2,0,$B149="Annual",1,G149=12,12,$B149="Monthly V",G149*(1+$D$3),$B149="Monthly F",12,$B149="One-Time",0),G149*(1+$D$3))</f>
        <v>12</v>
      </c>
      <c r="I149" s="14" cm="1">
        <f t="array" ref="I149">IFERROR(_xlfn.IFS(VALUE(MID(I$5,6,1))&gt;$D$2,0,$B149="Annual",1,H149=12,12,$B149="Monthly V",H149*(1+$D$3),$B149="Monthly F",12,$B149="One-Time",0),H149*(1+$D$3))</f>
        <v>12</v>
      </c>
      <c r="J149" s="14" cm="1">
        <f t="array" ref="J149">IFERROR(_xlfn.IFS(VALUE(MID(J$5,6,1))&gt;$D$2,0,$B149="Annual",1,I149=12,12,$B149="Monthly V",I149*(1+$D$3),$B149="Monthly F",12,$B149="One-Time",0),I149*(1+$D$3))</f>
        <v>12</v>
      </c>
      <c r="K149" s="14" cm="1">
        <f t="array" ref="K149">IFERROR(_xlfn.IFS(VALUE(MID(K$5,6,1))&gt;$D$2,0,$B149="Annual",1,J149=12,12,$B149="Monthly V",J149*(1+$D$3),$B149="Monthly F",12,$B149="One-Time",0),J149*(1+$D$3))</f>
        <v>12</v>
      </c>
      <c r="L149" s="14" cm="1">
        <f t="array" ref="L149">IFERROR(_xlfn.IFS(VALUE(MID(L$5,6,1))&gt;$D$2,0,$B149="Annual",1,K149=12,12,$B149="Monthly V",K149*(1+$D$3),$B149="Monthly F",12,$B149="One-Time",0),K149*(1+$D$3))</f>
        <v>0</v>
      </c>
      <c r="M149" s="14" cm="1">
        <f t="array" ref="M149">IFERROR(_xlfn.IFS(VALUE(MID(M$5,6,1))&gt;$D$2,0,$B149="Annual",1,L149=12,12,$B149="Monthly V",L149*(1+$D$3),$B149="Monthly F",12,$B149="One-Time",0),L149*(1+$D$3))</f>
        <v>0</v>
      </c>
      <c r="N149" s="24" cm="1">
        <f t="array" ref="N149">IFERROR(_xlfn.IFS(VALUE(MID(N$5,6,2))&gt;$D$2,0,$B149="Annual",1,M149=12,12,$B149="Monthly V",M149*(1+$D$3),$B149="Monthly F",12,$B149="One-Time",0),M149*(1+$D$3))</f>
        <v>0</v>
      </c>
      <c r="O149" s="127" t="s">
        <v>143</v>
      </c>
      <c r="P149" s="13"/>
      <c r="Q149" s="20">
        <v>154</v>
      </c>
      <c r="R149" s="21">
        <f t="shared" si="756"/>
        <v>154</v>
      </c>
      <c r="S149" s="6">
        <f t="shared" si="742"/>
        <v>1848</v>
      </c>
      <c r="T149" s="6">
        <f t="shared" si="742"/>
        <v>1848</v>
      </c>
      <c r="U149" s="6">
        <f t="shared" si="742"/>
        <v>1848</v>
      </c>
      <c r="V149" s="6">
        <f t="shared" si="742"/>
        <v>1848</v>
      </c>
      <c r="W149" s="6">
        <f t="shared" si="742"/>
        <v>1848</v>
      </c>
      <c r="X149" s="6">
        <f t="shared" si="742"/>
        <v>1848</v>
      </c>
      <c r="Y149" s="6">
        <f t="shared" si="742"/>
        <v>1848</v>
      </c>
      <c r="Z149" s="6">
        <f t="shared" si="742"/>
        <v>0</v>
      </c>
      <c r="AA149" s="6">
        <f t="shared" si="742"/>
        <v>0</v>
      </c>
      <c r="AB149" s="6">
        <f t="shared" si="742"/>
        <v>0</v>
      </c>
      <c r="AC149" s="7"/>
      <c r="AD149" s="152">
        <f t="shared" si="743"/>
        <v>55.440000000000047</v>
      </c>
      <c r="AE149" s="152">
        <f t="shared" si="744"/>
        <v>112.54319999999991</v>
      </c>
      <c r="AF149" s="152">
        <f t="shared" si="745"/>
        <v>171.35949600000001</v>
      </c>
      <c r="AG149" s="152">
        <f t="shared" si="746"/>
        <v>231.94028087999985</v>
      </c>
      <c r="AH149" s="152">
        <f t="shared" si="747"/>
        <v>294.33848930639971</v>
      </c>
      <c r="AI149" s="152">
        <f t="shared" si="748"/>
        <v>358.60864398559181</v>
      </c>
      <c r="AJ149" s="152">
        <f t="shared" si="749"/>
        <v>0</v>
      </c>
      <c r="AK149" s="152">
        <f t="shared" si="750"/>
        <v>0</v>
      </c>
      <c r="AL149" s="152">
        <f t="shared" si="751"/>
        <v>0</v>
      </c>
      <c r="AM149" s="9">
        <f t="shared" si="752"/>
        <v>1224.2301101719913</v>
      </c>
      <c r="AN149" s="80">
        <f t="shared" si="753"/>
        <v>14160.230110171991</v>
      </c>
      <c r="AP149" s="102" t="s">
        <v>3</v>
      </c>
      <c r="AQ149" s="12">
        <v>1</v>
      </c>
      <c r="AR149" s="14">
        <f t="shared" si="758"/>
        <v>1</v>
      </c>
      <c r="AS149" s="14" cm="1">
        <f t="array" ref="AS149">IFERROR(_xlfn.IFS(VALUE(MID(AS$5,6,1))&gt;$D$2,0,$AP149="Annual",1,AR149=12,12,$AP149="Monthly V",AR149*(1+$D$3),$AP149="Monthly F",12,$AP149="One-Time",0),AR149*(1+$D$3))</f>
        <v>0</v>
      </c>
      <c r="AT149" s="14" cm="1">
        <f t="array" ref="AT149">IFERROR(_xlfn.IFS(VALUE(MID(AT$5,6,1))&gt;$D$2,0,$AP149="Annual",1,AS149=12,12,$AP149="Monthly V",AS149*(1+$D$3),$AP149="Monthly F",12,$AP149="One-Time",0),AS149*(1+$D$3))</f>
        <v>0</v>
      </c>
      <c r="AU149" s="14" cm="1">
        <f t="array" ref="AU149">IFERROR(_xlfn.IFS(VALUE(MID(AU$5,6,1))&gt;$D$2,0,$AP149="Annual",1,AT149=12,12,$AP149="Monthly V",AT149*(1+$D$3),$AP149="Monthly F",12,$AP149="One-Time",0),AT149*(1+$D$3))</f>
        <v>0</v>
      </c>
      <c r="AV149" s="14" cm="1">
        <f t="array" ref="AV149">IFERROR(_xlfn.IFS(VALUE(MID(AV$5,6,1))&gt;$D$2,0,$AP149="Annual",1,AU149=12,12,$AP149="Monthly V",AU149*(1+$D$3),$AP149="Monthly F",12,$AP149="One-Time",0),AU149*(1+$D$3))</f>
        <v>0</v>
      </c>
      <c r="AW149" s="14" cm="1">
        <f t="array" ref="AW149">IFERROR(_xlfn.IFS(VALUE(MID(AW$5,6,1))&gt;$D$2,0,$AP149="Annual",1,AV149=12,12,$AP149="Monthly V",AV149*(1+$D$3),$AP149="Monthly F",12,$AP149="One-Time",0),AV149*(1+$D$3))</f>
        <v>0</v>
      </c>
      <c r="AX149" s="14" cm="1">
        <f t="array" ref="AX149">IFERROR(_xlfn.IFS(VALUE(MID(AX$5,6,1))&gt;$D$2,0,$AP149="Annual",1,AW149=12,12,$AP149="Monthly V",AW149*(1+$D$3),$AP149="Monthly F",12,$AP149="One-Time",0),AW149*(1+$D$3))</f>
        <v>0</v>
      </c>
      <c r="AY149" s="14" cm="1">
        <f t="array" ref="AY149">IFERROR(_xlfn.IFS(VALUE(MID(AY$5,6,1))&gt;$D$2,0,$AP149="Annual",1,AX149=12,12,$AP149="Monthly V",AX149*(1+$D$3),$AP149="Monthly F",12,$AP149="One-Time",0),AX149*(1+$D$3))</f>
        <v>0</v>
      </c>
      <c r="AZ149" s="14" cm="1">
        <f t="array" ref="AZ149">IFERROR(_xlfn.IFS(VALUE(MID(AZ$5,6,1))&gt;$D$2,0,$AP149="Annual",1,AY149=12,12,$AP149="Monthly V",AY149*(1+$D$3),$AP149="Monthly F",12,$AP149="One-Time",0),AY149*(1+$D$3))</f>
        <v>0</v>
      </c>
      <c r="BA149" s="125" cm="1">
        <f t="array" ref="BA149">IFERROR(_xlfn.IFS(VALUE(MID(BA$5,6,2))&gt;$D$2,0,$AP149="Annual",1,AZ149=12,12,$AP149="Monthly V",AZ149*(1+$D$3),$AP149="Monthly F",12,$AP149="One-Time",0),AZ149*(1+$D$3))</f>
        <v>0</v>
      </c>
      <c r="BB149" s="124" t="s">
        <v>268</v>
      </c>
      <c r="BC149" s="38" t="s">
        <v>205</v>
      </c>
      <c r="BD149" s="36">
        <v>25000</v>
      </c>
      <c r="BE149" s="21">
        <f t="shared" si="759"/>
        <v>2083.3333333333335</v>
      </c>
      <c r="BF149" s="39">
        <f t="shared" si="760"/>
        <v>25000</v>
      </c>
      <c r="BG149" s="39">
        <f t="shared" si="761"/>
        <v>0</v>
      </c>
      <c r="BH149" s="39">
        <f t="shared" si="762"/>
        <v>0</v>
      </c>
      <c r="BI149" s="39">
        <f t="shared" si="763"/>
        <v>0</v>
      </c>
      <c r="BJ149" s="39">
        <f t="shared" si="764"/>
        <v>0</v>
      </c>
      <c r="BK149" s="39">
        <f t="shared" si="765"/>
        <v>0</v>
      </c>
      <c r="BL149" s="39">
        <f t="shared" si="766"/>
        <v>0</v>
      </c>
      <c r="BM149" s="39">
        <f t="shared" si="767"/>
        <v>0</v>
      </c>
      <c r="BN149" s="39">
        <f t="shared" si="768"/>
        <v>0</v>
      </c>
      <c r="BO149" s="39">
        <f t="shared" si="769"/>
        <v>0</v>
      </c>
      <c r="BP149" s="40"/>
      <c r="BQ149" s="40">
        <f t="shared" si="770"/>
        <v>0</v>
      </c>
      <c r="BR149" s="40">
        <f t="shared" si="771"/>
        <v>0</v>
      </c>
      <c r="BS149" s="40">
        <f t="shared" si="772"/>
        <v>0</v>
      </c>
      <c r="BT149" s="40">
        <f t="shared" si="773"/>
        <v>0</v>
      </c>
      <c r="BU149" s="40">
        <f t="shared" si="774"/>
        <v>0</v>
      </c>
      <c r="BV149" s="40">
        <f t="shared" si="775"/>
        <v>0</v>
      </c>
      <c r="BW149" s="40">
        <f t="shared" si="776"/>
        <v>0</v>
      </c>
      <c r="BX149" s="40">
        <f t="shared" si="777"/>
        <v>0</v>
      </c>
      <c r="BY149" s="40">
        <f t="shared" si="778"/>
        <v>0</v>
      </c>
      <c r="BZ149" s="40">
        <f t="shared" si="779"/>
        <v>0</v>
      </c>
      <c r="CA149" s="37">
        <f t="shared" si="780"/>
        <v>25000</v>
      </c>
      <c r="CC149" s="102"/>
      <c r="CD149" s="12"/>
      <c r="CE149" s="14">
        <f t="shared" ref="CE149" si="781">IF($CC149="Annual",1,IF($CC149="Monthly F",12,IF($CC149="Monthly V",CD149*12,IF($CC149="One-Time",1,CD149*12))))</f>
        <v>0</v>
      </c>
      <c r="CF149" s="14" cm="1">
        <f t="array" ref="CF149">IFERROR(_xlfn.IFS(VALUE(MID(CF$5,6,1))&gt;$D$2,0,$CC149="Annual",1,CE149=12,12,$CC149="Monthly V",CE149*(1+$D$3),$CC149="Monthly F",12,$CC149="One-Time",0),CE149*(1+$D$3))</f>
        <v>0</v>
      </c>
      <c r="CG149" s="14" cm="1">
        <f t="array" ref="CG149">IFERROR(_xlfn.IFS(VALUE(MID(CG$5,6,1))&gt;$D$2,0,$CC149="Annual",1,CF149=12,12,$CC149="Monthly V",CF149*(1+$D$3),$CC149="Monthly F",12,$CC149="One-Time",0),CF149*(1+$D$3))</f>
        <v>0</v>
      </c>
      <c r="CH149" s="14" cm="1">
        <f t="array" ref="CH149">IFERROR(_xlfn.IFS(VALUE(MID(CH$5,6,1))&gt;$D$2,0,$CC149="Annual",1,CG149=12,12,$CC149="Monthly V",CG149*(1+$D$3),$CC149="Monthly F",12,$CC149="One-Time",0),CG149*(1+$D$3))</f>
        <v>0</v>
      </c>
      <c r="CI149" s="14" cm="1">
        <f t="array" ref="CI149">IFERROR(_xlfn.IFS(VALUE(MID(CI$5,6,1))&gt;$D$2,0,$CC149="Annual",1,CH149=12,12,$CC149="Monthly V",CH149*(1+$D$3),$CC149="Monthly F",12,$CC149="One-Time",0),CH149*(1+$D$3))</f>
        <v>0</v>
      </c>
      <c r="CJ149" s="14" cm="1">
        <f t="array" ref="CJ149">IFERROR(_xlfn.IFS(VALUE(MID(CJ$5,6,1))&gt;$D$2,0,$CC149="Annual",1,CI149=12,12,$CC149="Monthly V",CI149*(1+$D$3),$CC149="Monthly F",12,$CC149="One-Time",0),CI149*(1+$D$3))</f>
        <v>0</v>
      </c>
      <c r="CK149" s="14" cm="1">
        <f t="array" ref="CK149">IFERROR(_xlfn.IFS(VALUE(MID(CK$5,6,1))&gt;$D$2,0,$CC149="Annual",1,CJ149=12,12,$CC149="Monthly V",CJ149*(1+$D$3),$CC149="Monthly F",12,$CC149="One-Time",0),CJ149*(1+$D$3))</f>
        <v>0</v>
      </c>
      <c r="CL149" s="14" cm="1">
        <f t="array" ref="CL149">IFERROR(_xlfn.IFS(VALUE(MID(CL$5,6,1))&gt;$D$2,0,$CC149="Annual",1,CK149=12,12,$CC149="Monthly V",CK149*(1+$D$3),$CC149="Monthly F",12,$CC149="One-Time",0),CK149*(1+$D$3))</f>
        <v>0</v>
      </c>
      <c r="CM149" s="14" cm="1">
        <f t="array" ref="CM149">IFERROR(_xlfn.IFS(VALUE(MID(CM$5,6,1))&gt;$D$2,0,$CC149="Annual",1,CL149=12,12,$CC149="Monthly V",CL149*(1+$D$3),$CC149="Monthly F",12,$CC149="One-Time",0),CL149*(1+$D$3))</f>
        <v>0</v>
      </c>
      <c r="CN149" s="24" cm="1">
        <f t="array" ref="CN149">IFERROR(_xlfn.IFS(VALUE(MID(CN$5,6,2))&gt;$D$2,0,$CC149="Annual",1,CM149=12,12,$CC149="Monthly V",CM149*(1+$D$3),$CC149="Monthly F",12,$CC149="One-Time",0),CM149*(1+$D$3))</f>
        <v>0</v>
      </c>
      <c r="CO149" s="63"/>
      <c r="CP149" s="53"/>
      <c r="CQ149" s="21">
        <f t="shared" ref="CQ149" si="782">CR149/12</f>
        <v>0</v>
      </c>
      <c r="CR149" s="55">
        <f t="shared" ref="CR149:DA149" si="783">IFERROR(CE149*$CP149,0)</f>
        <v>0</v>
      </c>
      <c r="CS149" s="55">
        <f t="shared" si="783"/>
        <v>0</v>
      </c>
      <c r="CT149" s="55">
        <f t="shared" si="783"/>
        <v>0</v>
      </c>
      <c r="CU149" s="55">
        <f t="shared" si="783"/>
        <v>0</v>
      </c>
      <c r="CV149" s="55">
        <f t="shared" si="783"/>
        <v>0</v>
      </c>
      <c r="CW149" s="55">
        <f t="shared" si="783"/>
        <v>0</v>
      </c>
      <c r="CX149" s="55">
        <f t="shared" si="783"/>
        <v>0</v>
      </c>
      <c r="CY149" s="55">
        <f t="shared" si="783"/>
        <v>0</v>
      </c>
      <c r="CZ149" s="55">
        <f t="shared" si="783"/>
        <v>0</v>
      </c>
      <c r="DA149" s="55">
        <f t="shared" si="783"/>
        <v>0</v>
      </c>
      <c r="DB149" s="56"/>
      <c r="DC149" s="56">
        <f t="shared" ref="DC149" si="784">IF(VALUE(MID(DC$5,6,1))&lt;=$D$2,((1+$CP$3)^1-1)*CS149,0)</f>
        <v>0</v>
      </c>
      <c r="DD149" s="56">
        <f t="shared" ref="DD149" si="785">IF(VALUE(MID(DD$5,6,1))&lt;=$D$2,((1+$CP$3)^2-1)*CT149,0)</f>
        <v>0</v>
      </c>
      <c r="DE149" s="56">
        <f t="shared" ref="DE149" si="786">IF(VALUE(MID(DE$5,6,1))&lt;=$D$2,((1+$CP$3)^3-1)*CU149,0)</f>
        <v>0</v>
      </c>
      <c r="DF149" s="56">
        <f t="shared" ref="DF149" si="787">IF(VALUE(MID(DF$5,6,1))&lt;=$D$2,((1+$CP$3)^4-1)*CV149,0)</f>
        <v>0</v>
      </c>
      <c r="DG149" s="56">
        <f t="shared" ref="DG149" si="788">IF(VALUE(MID(DG$5,6,1))&lt;=$D$2,((1+$CP$3)^5-1)*CW149,0)</f>
        <v>0</v>
      </c>
      <c r="DH149" s="56">
        <f t="shared" ref="DH149" si="789">IF(VALUE(MID(DH$5,6,1))&lt;=$D$2,((1+$CP$3)^6-1)*CX149,0)</f>
        <v>0</v>
      </c>
      <c r="DI149" s="56">
        <f t="shared" ref="DI149" si="790">IF(VALUE(MID(DI$5,6,1))&lt;=$D$2,((1+$CP$3)^7-1)*CY149,0)</f>
        <v>0</v>
      </c>
      <c r="DJ149" s="56">
        <f t="shared" ref="DJ149" si="791">IF(VALUE(MID(DJ$5,6,1))&lt;=$D$2,((1+$CP$3)^8-1)*CZ149,0)</f>
        <v>0</v>
      </c>
      <c r="DK149" s="56">
        <f t="shared" ref="DK149" si="792">IF(VALUE(MID(DK$5,6,2))&lt;=$D$2,((1+$CP$3)^9-1)*DA149,0)</f>
        <v>0</v>
      </c>
      <c r="DL149" s="57">
        <f t="shared" ref="DL149" si="793">SUM(DB149:DK149)</f>
        <v>0</v>
      </c>
      <c r="DM149" s="54">
        <f t="shared" ref="DM149" si="794">SUM(DL149,CR149:DA149)</f>
        <v>0</v>
      </c>
      <c r="DO149" s="106"/>
    </row>
    <row r="150" spans="2:119" x14ac:dyDescent="0.25">
      <c r="B150" s="141" t="s">
        <v>0</v>
      </c>
      <c r="C150" s="24">
        <v>1</v>
      </c>
      <c r="D150" s="147">
        <f t="shared" si="757"/>
        <v>1</v>
      </c>
      <c r="E150" s="142">
        <f t="shared" si="740"/>
        <v>12</v>
      </c>
      <c r="F150" s="14" cm="1">
        <f t="array" ref="F150">IFERROR(_xlfn.IFS(VALUE(MID(F$5,6,1))&gt;$D$2,0,$B150="Annual",1,E150=12,12,$B150="Monthly V",E150*(1+$D$3),$B150="Monthly F",12,$B150="One-Time",0),E150*(1+$D$3))</f>
        <v>12</v>
      </c>
      <c r="G150" s="14" cm="1">
        <f t="array" ref="G150">IFERROR(_xlfn.IFS(VALUE(MID(G$5,6,1))&gt;$D$2,0,$B150="Annual",1,F150=12,12,$B150="Monthly V",F150*(1+$D$3),$B150="Monthly F",12,$B150="One-Time",0),F150*(1+$D$3))</f>
        <v>12</v>
      </c>
      <c r="H150" s="14" cm="1">
        <f t="array" ref="H150">IFERROR(_xlfn.IFS(VALUE(MID(H$5,6,1))&gt;$D$2,0,$B150="Annual",1,G150=12,12,$B150="Monthly V",G150*(1+$D$3),$B150="Monthly F",12,$B150="One-Time",0),G150*(1+$D$3))</f>
        <v>12</v>
      </c>
      <c r="I150" s="14" cm="1">
        <f t="array" ref="I150">IFERROR(_xlfn.IFS(VALUE(MID(I$5,6,1))&gt;$D$2,0,$B150="Annual",1,H150=12,12,$B150="Monthly V",H150*(1+$D$3),$B150="Monthly F",12,$B150="One-Time",0),H150*(1+$D$3))</f>
        <v>12</v>
      </c>
      <c r="J150" s="14" cm="1">
        <f t="array" ref="J150">IFERROR(_xlfn.IFS(VALUE(MID(J$5,6,1))&gt;$D$2,0,$B150="Annual",1,I150=12,12,$B150="Monthly V",I150*(1+$D$3),$B150="Monthly F",12,$B150="One-Time",0),I150*(1+$D$3))</f>
        <v>12</v>
      </c>
      <c r="K150" s="14" cm="1">
        <f t="array" ref="K150">IFERROR(_xlfn.IFS(VALUE(MID(K$5,6,1))&gt;$D$2,0,$B150="Annual",1,J150=12,12,$B150="Monthly V",J150*(1+$D$3),$B150="Monthly F",12,$B150="One-Time",0),J150*(1+$D$3))</f>
        <v>12</v>
      </c>
      <c r="L150" s="14" cm="1">
        <f t="array" ref="L150">IFERROR(_xlfn.IFS(VALUE(MID(L$5,6,1))&gt;$D$2,0,$B150="Annual",1,K150=12,12,$B150="Monthly V",K150*(1+$D$3),$B150="Monthly F",12,$B150="One-Time",0),K150*(1+$D$3))</f>
        <v>0</v>
      </c>
      <c r="M150" s="14" cm="1">
        <f t="array" ref="M150">IFERROR(_xlfn.IFS(VALUE(MID(M$5,6,1))&gt;$D$2,0,$B150="Annual",1,L150=12,12,$B150="Monthly V",L150*(1+$D$3),$B150="Monthly F",12,$B150="One-Time",0),L150*(1+$D$3))</f>
        <v>0</v>
      </c>
      <c r="N150" s="24" cm="1">
        <f t="array" ref="N150">IFERROR(_xlfn.IFS(VALUE(MID(N$5,6,2))&gt;$D$2,0,$B150="Annual",1,M150=12,12,$B150="Monthly V",M150*(1+$D$3),$B150="Monthly F",12,$B150="One-Time",0),M150*(1+$D$3))</f>
        <v>0</v>
      </c>
      <c r="O150" s="127" t="s">
        <v>144</v>
      </c>
      <c r="P150" s="13"/>
      <c r="Q150" s="20">
        <v>61</v>
      </c>
      <c r="R150" s="21">
        <f t="shared" si="756"/>
        <v>61</v>
      </c>
      <c r="S150" s="6">
        <f t="shared" si="742"/>
        <v>732</v>
      </c>
      <c r="T150" s="6">
        <f t="shared" si="742"/>
        <v>732</v>
      </c>
      <c r="U150" s="6">
        <f t="shared" si="742"/>
        <v>732</v>
      </c>
      <c r="V150" s="6">
        <f t="shared" si="742"/>
        <v>732</v>
      </c>
      <c r="W150" s="6">
        <f t="shared" si="742"/>
        <v>732</v>
      </c>
      <c r="X150" s="6">
        <f t="shared" si="742"/>
        <v>732</v>
      </c>
      <c r="Y150" s="6">
        <f t="shared" si="742"/>
        <v>732</v>
      </c>
      <c r="Z150" s="6">
        <f t="shared" si="742"/>
        <v>0</v>
      </c>
      <c r="AA150" s="6">
        <f t="shared" si="742"/>
        <v>0</v>
      </c>
      <c r="AB150" s="6">
        <f t="shared" si="742"/>
        <v>0</v>
      </c>
      <c r="AC150" s="7"/>
      <c r="AD150" s="152">
        <f t="shared" si="743"/>
        <v>21.960000000000019</v>
      </c>
      <c r="AE150" s="152">
        <f t="shared" si="744"/>
        <v>44.578799999999966</v>
      </c>
      <c r="AF150" s="152">
        <f t="shared" si="745"/>
        <v>67.876164000000003</v>
      </c>
      <c r="AG150" s="152">
        <f t="shared" si="746"/>
        <v>91.87244891999994</v>
      </c>
      <c r="AH150" s="152">
        <f t="shared" si="747"/>
        <v>116.58862238759988</v>
      </c>
      <c r="AI150" s="152">
        <f t="shared" si="748"/>
        <v>142.04628105922794</v>
      </c>
      <c r="AJ150" s="152">
        <f t="shared" si="749"/>
        <v>0</v>
      </c>
      <c r="AK150" s="152">
        <f t="shared" si="750"/>
        <v>0</v>
      </c>
      <c r="AL150" s="152">
        <f t="shared" si="751"/>
        <v>0</v>
      </c>
      <c r="AM150" s="9">
        <f t="shared" si="752"/>
        <v>484.92231636682777</v>
      </c>
      <c r="AN150" s="80">
        <f t="shared" si="753"/>
        <v>5608.9223163668275</v>
      </c>
      <c r="AP150" s="102" t="s">
        <v>3</v>
      </c>
      <c r="AQ150" s="12">
        <v>1</v>
      </c>
      <c r="AR150" s="14">
        <f t="shared" si="758"/>
        <v>1</v>
      </c>
      <c r="AS150" s="14" cm="1">
        <f t="array" ref="AS150">IFERROR(_xlfn.IFS(VALUE(MID(AS$5,6,1))&gt;$D$2,0,$AP150="Annual",1,AR150=12,12,$AP150="Monthly V",AR150*(1+$D$3),$AP150="Monthly F",12,$AP150="One-Time",0),AR150*(1+$D$3))</f>
        <v>0</v>
      </c>
      <c r="AT150" s="14" cm="1">
        <f t="array" ref="AT150">IFERROR(_xlfn.IFS(VALUE(MID(AT$5,6,1))&gt;$D$2,0,$AP150="Annual",1,AS150=12,12,$AP150="Monthly V",AS150*(1+$D$3),$AP150="Monthly F",12,$AP150="One-Time",0),AS150*(1+$D$3))</f>
        <v>0</v>
      </c>
      <c r="AU150" s="14" cm="1">
        <f t="array" ref="AU150">IFERROR(_xlfn.IFS(VALUE(MID(AU$5,6,1))&gt;$D$2,0,$AP150="Annual",1,AT150=12,12,$AP150="Monthly V",AT150*(1+$D$3),$AP150="Monthly F",12,$AP150="One-Time",0),AT150*(1+$D$3))</f>
        <v>0</v>
      </c>
      <c r="AV150" s="14" cm="1">
        <f t="array" ref="AV150">IFERROR(_xlfn.IFS(VALUE(MID(AV$5,6,1))&gt;$D$2,0,$AP150="Annual",1,AU150=12,12,$AP150="Monthly V",AU150*(1+$D$3),$AP150="Monthly F",12,$AP150="One-Time",0),AU150*(1+$D$3))</f>
        <v>0</v>
      </c>
      <c r="AW150" s="14" cm="1">
        <f t="array" ref="AW150">IFERROR(_xlfn.IFS(VALUE(MID(AW$5,6,1))&gt;$D$2,0,$AP150="Annual",1,AV150=12,12,$AP150="Monthly V",AV150*(1+$D$3),$AP150="Monthly F",12,$AP150="One-Time",0),AV150*(1+$D$3))</f>
        <v>0</v>
      </c>
      <c r="AX150" s="14" cm="1">
        <f t="array" ref="AX150">IFERROR(_xlfn.IFS(VALUE(MID(AX$5,6,1))&gt;$D$2,0,$AP150="Annual",1,AW150=12,12,$AP150="Monthly V",AW150*(1+$D$3),$AP150="Monthly F",12,$AP150="One-Time",0),AW150*(1+$D$3))</f>
        <v>0</v>
      </c>
      <c r="AY150" s="14" cm="1">
        <f t="array" ref="AY150">IFERROR(_xlfn.IFS(VALUE(MID(AY$5,6,1))&gt;$D$2,0,$AP150="Annual",1,AX150=12,12,$AP150="Monthly V",AX150*(1+$D$3),$AP150="Monthly F",12,$AP150="One-Time",0),AX150*(1+$D$3))</f>
        <v>0</v>
      </c>
      <c r="AZ150" s="14" cm="1">
        <f t="array" ref="AZ150">IFERROR(_xlfn.IFS(VALUE(MID(AZ$5,6,1))&gt;$D$2,0,$AP150="Annual",1,AY150=12,12,$AP150="Monthly V",AY150*(1+$D$3),$AP150="Monthly F",12,$AP150="One-Time",0),AY150*(1+$D$3))</f>
        <v>0</v>
      </c>
      <c r="BA150" s="125" cm="1">
        <f t="array" ref="BA150">IFERROR(_xlfn.IFS(VALUE(MID(BA$5,6,2))&gt;$D$2,0,$AP150="Annual",1,AZ150=12,12,$AP150="Monthly V",AZ150*(1+$D$3),$AP150="Monthly F",12,$AP150="One-Time",0),AZ150*(1+$D$3))</f>
        <v>0</v>
      </c>
      <c r="BB150" s="124" t="s">
        <v>270</v>
      </c>
      <c r="BC150" s="38" t="s">
        <v>249</v>
      </c>
      <c r="BD150" s="36">
        <v>7650</v>
      </c>
      <c r="BE150" s="21">
        <f t="shared" si="759"/>
        <v>637.5</v>
      </c>
      <c r="BF150" s="39">
        <f t="shared" si="760"/>
        <v>7650</v>
      </c>
      <c r="BG150" s="39">
        <f t="shared" si="761"/>
        <v>0</v>
      </c>
      <c r="BH150" s="39">
        <f t="shared" si="762"/>
        <v>0</v>
      </c>
      <c r="BI150" s="39">
        <f t="shared" si="763"/>
        <v>0</v>
      </c>
      <c r="BJ150" s="39">
        <f t="shared" si="764"/>
        <v>0</v>
      </c>
      <c r="BK150" s="39">
        <f t="shared" si="765"/>
        <v>0</v>
      </c>
      <c r="BL150" s="39">
        <f t="shared" si="766"/>
        <v>0</v>
      </c>
      <c r="BM150" s="39">
        <f t="shared" si="767"/>
        <v>0</v>
      </c>
      <c r="BN150" s="39">
        <f t="shared" si="768"/>
        <v>0</v>
      </c>
      <c r="BO150" s="39">
        <f t="shared" si="769"/>
        <v>0</v>
      </c>
      <c r="BP150" s="40"/>
      <c r="BQ150" s="40">
        <f t="shared" si="770"/>
        <v>0</v>
      </c>
      <c r="BR150" s="40">
        <f t="shared" si="771"/>
        <v>0</v>
      </c>
      <c r="BS150" s="40">
        <f t="shared" si="772"/>
        <v>0</v>
      </c>
      <c r="BT150" s="40">
        <f t="shared" si="773"/>
        <v>0</v>
      </c>
      <c r="BU150" s="40">
        <f t="shared" si="774"/>
        <v>0</v>
      </c>
      <c r="BV150" s="40">
        <f t="shared" si="775"/>
        <v>0</v>
      </c>
      <c r="BW150" s="40">
        <f t="shared" si="776"/>
        <v>0</v>
      </c>
      <c r="BX150" s="40">
        <f t="shared" si="777"/>
        <v>0</v>
      </c>
      <c r="BY150" s="40">
        <f t="shared" si="778"/>
        <v>0</v>
      </c>
      <c r="BZ150" s="40">
        <f t="shared" si="779"/>
        <v>0</v>
      </c>
      <c r="CA150" s="37">
        <f t="shared" si="780"/>
        <v>7650</v>
      </c>
      <c r="CC150" s="102"/>
      <c r="CD150" s="12"/>
      <c r="CE150" s="14"/>
      <c r="CF150" s="14"/>
      <c r="CG150" s="14"/>
      <c r="CH150" s="14"/>
      <c r="CI150" s="14"/>
      <c r="CJ150" s="14"/>
      <c r="CK150" s="14"/>
      <c r="CL150" s="14"/>
      <c r="CM150" s="14"/>
      <c r="CN150" s="24"/>
      <c r="CO150" s="63"/>
      <c r="CP150" s="53"/>
      <c r="CQ150" s="21"/>
      <c r="CR150" s="55"/>
      <c r="CS150" s="55"/>
      <c r="CT150" s="55"/>
      <c r="CU150" s="55"/>
      <c r="CV150" s="55"/>
      <c r="CW150" s="55"/>
      <c r="CX150" s="55"/>
      <c r="CY150" s="55"/>
      <c r="CZ150" s="55"/>
      <c r="DA150" s="55"/>
      <c r="DB150" s="56"/>
      <c r="DC150" s="56"/>
      <c r="DD150" s="56"/>
      <c r="DE150" s="56"/>
      <c r="DF150" s="56"/>
      <c r="DG150" s="56"/>
      <c r="DH150" s="56"/>
      <c r="DI150" s="56"/>
      <c r="DJ150" s="56"/>
      <c r="DK150" s="56"/>
      <c r="DL150" s="57"/>
      <c r="DM150" s="54"/>
      <c r="DO150" s="106"/>
    </row>
    <row r="151" spans="2:119" ht="15.75" thickBot="1" x14ac:dyDescent="0.3">
      <c r="B151" s="141" t="s">
        <v>3</v>
      </c>
      <c r="C151" s="24">
        <v>1</v>
      </c>
      <c r="D151" s="147">
        <f t="shared" si="757"/>
        <v>1</v>
      </c>
      <c r="E151" s="142">
        <f t="shared" si="740"/>
        <v>1</v>
      </c>
      <c r="F151" s="14" cm="1">
        <f t="array" ref="F151">IFERROR(_xlfn.IFS(VALUE(MID(F$5,6,1))&gt;$D$2,0,$B151="Annual",1,E151=12,12,$B151="Monthly V",E151*(1+$D$3),$B151="Monthly F",12,$B151="One-Time",0),E151*(1+$D$3))</f>
        <v>0</v>
      </c>
      <c r="G151" s="14" cm="1">
        <f t="array" ref="G151">IFERROR(_xlfn.IFS(VALUE(MID(G$5,6,1))&gt;$D$2,0,$B151="Annual",1,F151=12,12,$B151="Monthly V",F151*(1+$D$3),$B151="Monthly F",12,$B151="One-Time",0),F151*(1+$D$3))</f>
        <v>0</v>
      </c>
      <c r="H151" s="14" cm="1">
        <f t="array" ref="H151">IFERROR(_xlfn.IFS(VALUE(MID(H$5,6,1))&gt;$D$2,0,$B151="Annual",1,G151=12,12,$B151="Monthly V",G151*(1+$D$3),$B151="Monthly F",12,$B151="One-Time",0),G151*(1+$D$3))</f>
        <v>0</v>
      </c>
      <c r="I151" s="14" cm="1">
        <f t="array" ref="I151">IFERROR(_xlfn.IFS(VALUE(MID(I$5,6,1))&gt;$D$2,0,$B151="Annual",1,H151=12,12,$B151="Monthly V",H151*(1+$D$3),$B151="Monthly F",12,$B151="One-Time",0),H151*(1+$D$3))</f>
        <v>0</v>
      </c>
      <c r="J151" s="14" cm="1">
        <f t="array" ref="J151">IFERROR(_xlfn.IFS(VALUE(MID(J$5,6,1))&gt;$D$2,0,$B151="Annual",1,I151=12,12,$B151="Monthly V",I151*(1+$D$3),$B151="Monthly F",12,$B151="One-Time",0),I151*(1+$D$3))</f>
        <v>0</v>
      </c>
      <c r="K151" s="14" cm="1">
        <f t="array" ref="K151">IFERROR(_xlfn.IFS(VALUE(MID(K$5,6,1))&gt;$D$2,0,$B151="Annual",1,J151=12,12,$B151="Monthly V",J151*(1+$D$3),$B151="Monthly F",12,$B151="One-Time",0),J151*(1+$D$3))</f>
        <v>0</v>
      </c>
      <c r="L151" s="14" cm="1">
        <f t="array" ref="L151">IFERROR(_xlfn.IFS(VALUE(MID(L$5,6,1))&gt;$D$2,0,$B151="Annual",1,K151=12,12,$B151="Monthly V",K151*(1+$D$3),$B151="Monthly F",12,$B151="One-Time",0),K151*(1+$D$3))</f>
        <v>0</v>
      </c>
      <c r="M151" s="14" cm="1">
        <f t="array" ref="M151">IFERROR(_xlfn.IFS(VALUE(MID(M$5,6,1))&gt;$D$2,0,$B151="Annual",1,L151=12,12,$B151="Monthly V",L151*(1+$D$3),$B151="Monthly F",12,$B151="One-Time",0),L151*(1+$D$3))</f>
        <v>0</v>
      </c>
      <c r="N151" s="24" cm="1">
        <f t="array" ref="N151">IFERROR(_xlfn.IFS(VALUE(MID(N$5,6,2))&gt;$D$2,0,$B151="Annual",1,M151=12,12,$B151="Monthly V",M151*(1+$D$3),$B151="Monthly F",12,$B151="One-Time",0),M151*(1+$D$3))</f>
        <v>0</v>
      </c>
      <c r="O151" s="127" t="s">
        <v>145</v>
      </c>
      <c r="P151" s="13"/>
      <c r="Q151" s="20">
        <v>5044</v>
      </c>
      <c r="R151" s="21">
        <f t="shared" si="756"/>
        <v>420.33333333333331</v>
      </c>
      <c r="S151" s="6">
        <f t="shared" si="742"/>
        <v>5044</v>
      </c>
      <c r="T151" s="6">
        <f t="shared" si="742"/>
        <v>0</v>
      </c>
      <c r="U151" s="6">
        <f t="shared" si="742"/>
        <v>0</v>
      </c>
      <c r="V151" s="6">
        <f t="shared" si="742"/>
        <v>0</v>
      </c>
      <c r="W151" s="6">
        <f t="shared" si="742"/>
        <v>0</v>
      </c>
      <c r="X151" s="6">
        <f t="shared" si="742"/>
        <v>0</v>
      </c>
      <c r="Y151" s="6">
        <f t="shared" si="742"/>
        <v>0</v>
      </c>
      <c r="Z151" s="6">
        <f t="shared" si="742"/>
        <v>0</v>
      </c>
      <c r="AA151" s="6">
        <f t="shared" si="742"/>
        <v>0</v>
      </c>
      <c r="AB151" s="6">
        <f t="shared" si="742"/>
        <v>0</v>
      </c>
      <c r="AC151" s="7"/>
      <c r="AD151" s="152">
        <f t="shared" si="743"/>
        <v>0</v>
      </c>
      <c r="AE151" s="152">
        <f t="shared" si="744"/>
        <v>0</v>
      </c>
      <c r="AF151" s="152">
        <f t="shared" si="745"/>
        <v>0</v>
      </c>
      <c r="AG151" s="152">
        <f t="shared" si="746"/>
        <v>0</v>
      </c>
      <c r="AH151" s="152">
        <f t="shared" si="747"/>
        <v>0</v>
      </c>
      <c r="AI151" s="152">
        <f t="shared" si="748"/>
        <v>0</v>
      </c>
      <c r="AJ151" s="152">
        <f t="shared" si="749"/>
        <v>0</v>
      </c>
      <c r="AK151" s="152">
        <f t="shared" si="750"/>
        <v>0</v>
      </c>
      <c r="AL151" s="152">
        <f t="shared" si="751"/>
        <v>0</v>
      </c>
      <c r="AM151" s="9">
        <f t="shared" si="752"/>
        <v>0</v>
      </c>
      <c r="AN151" s="80">
        <f t="shared" si="753"/>
        <v>5044</v>
      </c>
      <c r="AP151" s="102" t="s">
        <v>3</v>
      </c>
      <c r="AQ151" s="12">
        <v>1</v>
      </c>
      <c r="AR151" s="14">
        <f t="shared" si="758"/>
        <v>1</v>
      </c>
      <c r="AS151" s="14" cm="1">
        <f t="array" ref="AS151">IFERROR(_xlfn.IFS(VALUE(MID(AS$5,6,1))&gt;$D$2,0,$AP151="Annual",1,AR151=12,12,$AP151="Monthly V",AR151*(1+$D$3),$AP151="Monthly F",12,$AP151="One-Time",0),AR151*(1+$D$3))</f>
        <v>0</v>
      </c>
      <c r="AT151" s="14" cm="1">
        <f t="array" ref="AT151">IFERROR(_xlfn.IFS(VALUE(MID(AT$5,6,1))&gt;$D$2,0,$AP151="Annual",1,AS151=12,12,$AP151="Monthly V",AS151*(1+$D$3),$AP151="Monthly F",12,$AP151="One-Time",0),AS151*(1+$D$3))</f>
        <v>0</v>
      </c>
      <c r="AU151" s="14" cm="1">
        <f t="array" ref="AU151">IFERROR(_xlfn.IFS(VALUE(MID(AU$5,6,1))&gt;$D$2,0,$AP151="Annual",1,AT151=12,12,$AP151="Monthly V",AT151*(1+$D$3),$AP151="Monthly F",12,$AP151="One-Time",0),AT151*(1+$D$3))</f>
        <v>0</v>
      </c>
      <c r="AV151" s="14" cm="1">
        <f t="array" ref="AV151">IFERROR(_xlfn.IFS(VALUE(MID(AV$5,6,1))&gt;$D$2,0,$AP151="Annual",1,AU151=12,12,$AP151="Monthly V",AU151*(1+$D$3),$AP151="Monthly F",12,$AP151="One-Time",0),AU151*(1+$D$3))</f>
        <v>0</v>
      </c>
      <c r="AW151" s="14" cm="1">
        <f t="array" ref="AW151">IFERROR(_xlfn.IFS(VALUE(MID(AW$5,6,1))&gt;$D$2,0,$AP151="Annual",1,AV151=12,12,$AP151="Monthly V",AV151*(1+$D$3),$AP151="Monthly F",12,$AP151="One-Time",0),AV151*(1+$D$3))</f>
        <v>0</v>
      </c>
      <c r="AX151" s="14" cm="1">
        <f t="array" ref="AX151">IFERROR(_xlfn.IFS(VALUE(MID(AX$5,6,1))&gt;$D$2,0,$AP151="Annual",1,AW151=12,12,$AP151="Monthly V",AW151*(1+$D$3),$AP151="Monthly F",12,$AP151="One-Time",0),AW151*(1+$D$3))</f>
        <v>0</v>
      </c>
      <c r="AY151" s="14" cm="1">
        <f t="array" ref="AY151">IFERROR(_xlfn.IFS(VALUE(MID(AY$5,6,1))&gt;$D$2,0,$AP151="Annual",1,AX151=12,12,$AP151="Monthly V",AX151*(1+$D$3),$AP151="Monthly F",12,$AP151="One-Time",0),AX151*(1+$D$3))</f>
        <v>0</v>
      </c>
      <c r="AZ151" s="14" cm="1">
        <f t="array" ref="AZ151">IFERROR(_xlfn.IFS(VALUE(MID(AZ$5,6,1))&gt;$D$2,0,$AP151="Annual",1,AY151=12,12,$AP151="Monthly V",AY151*(1+$D$3),$AP151="Monthly F",12,$AP151="One-Time",0),AY151*(1+$D$3))</f>
        <v>0</v>
      </c>
      <c r="BA151" s="125" cm="1">
        <f t="array" ref="BA151">IFERROR(_xlfn.IFS(VALUE(MID(BA$5,6,2))&gt;$D$2,0,$AP151="Annual",1,AZ151=12,12,$AP151="Monthly V",AZ151*(1+$D$3),$AP151="Monthly F",12,$AP151="One-Time",0),AZ151*(1+$D$3))</f>
        <v>0</v>
      </c>
      <c r="BB151" s="124" t="s">
        <v>271</v>
      </c>
      <c r="BC151" s="38" t="s">
        <v>279</v>
      </c>
      <c r="BD151" s="36">
        <v>6500</v>
      </c>
      <c r="BE151" s="21">
        <f t="shared" si="759"/>
        <v>541.66666666666663</v>
      </c>
      <c r="BF151" s="39">
        <f t="shared" si="760"/>
        <v>6500</v>
      </c>
      <c r="BG151" s="39">
        <f t="shared" si="761"/>
        <v>0</v>
      </c>
      <c r="BH151" s="39">
        <f t="shared" si="762"/>
        <v>0</v>
      </c>
      <c r="BI151" s="39">
        <f t="shared" si="763"/>
        <v>0</v>
      </c>
      <c r="BJ151" s="39">
        <f t="shared" si="764"/>
        <v>0</v>
      </c>
      <c r="BK151" s="39">
        <f t="shared" si="765"/>
        <v>0</v>
      </c>
      <c r="BL151" s="39">
        <f t="shared" si="766"/>
        <v>0</v>
      </c>
      <c r="BM151" s="39">
        <f t="shared" si="767"/>
        <v>0</v>
      </c>
      <c r="BN151" s="39">
        <f t="shared" si="768"/>
        <v>0</v>
      </c>
      <c r="BO151" s="39">
        <f t="shared" si="769"/>
        <v>0</v>
      </c>
      <c r="BP151" s="40"/>
      <c r="BQ151" s="40">
        <f t="shared" si="770"/>
        <v>0</v>
      </c>
      <c r="BR151" s="40">
        <f t="shared" si="771"/>
        <v>0</v>
      </c>
      <c r="BS151" s="40">
        <f t="shared" si="772"/>
        <v>0</v>
      </c>
      <c r="BT151" s="40">
        <f t="shared" si="773"/>
        <v>0</v>
      </c>
      <c r="BU151" s="40">
        <f t="shared" si="774"/>
        <v>0</v>
      </c>
      <c r="BV151" s="40">
        <f t="shared" si="775"/>
        <v>0</v>
      </c>
      <c r="BW151" s="40">
        <f t="shared" si="776"/>
        <v>0</v>
      </c>
      <c r="BX151" s="40">
        <f t="shared" si="777"/>
        <v>0</v>
      </c>
      <c r="BY151" s="40">
        <f t="shared" si="778"/>
        <v>0</v>
      </c>
      <c r="BZ151" s="40">
        <f t="shared" si="779"/>
        <v>0</v>
      </c>
      <c r="CA151" s="37">
        <f t="shared" si="780"/>
        <v>6500</v>
      </c>
      <c r="CC151" s="102"/>
      <c r="CD151" s="12"/>
      <c r="CE151" s="14">
        <f t="shared" ref="CE151" si="795">IF($CC151="Annual",1,IF($CC151="Monthly F",12,IF($CC151="Monthly V",CD151*12,IF($CC151="One-Time",1,CD151*12))))</f>
        <v>0</v>
      </c>
      <c r="CF151" s="14" cm="1">
        <f t="array" ref="CF151">IFERROR(_xlfn.IFS(VALUE(MID(CF$5,6,1))&gt;$D$2,0,$CC151="Annual",1,CE151=12,12,$CC151="Monthly V",CE151*(1+$D$3),$CC151="Monthly F",12,$CC151="One-Time",0),CE151*(1+$D$3))</f>
        <v>0</v>
      </c>
      <c r="CG151" s="14" cm="1">
        <f t="array" ref="CG151">IFERROR(_xlfn.IFS(VALUE(MID(CG$5,6,1))&gt;$D$2,0,$CC151="Annual",1,CF151=12,12,$CC151="Monthly V",CF151*(1+$D$3),$CC151="Monthly F",12,$CC151="One-Time",0),CF151*(1+$D$3))</f>
        <v>0</v>
      </c>
      <c r="CH151" s="14" cm="1">
        <f t="array" ref="CH151">IFERROR(_xlfn.IFS(VALUE(MID(CH$5,6,1))&gt;$D$2,0,$CC151="Annual",1,CG151=12,12,$CC151="Monthly V",CG151*(1+$D$3),$CC151="Monthly F",12,$CC151="One-Time",0),CG151*(1+$D$3))</f>
        <v>0</v>
      </c>
      <c r="CI151" s="14" cm="1">
        <f t="array" ref="CI151">IFERROR(_xlfn.IFS(VALUE(MID(CI$5,6,1))&gt;$D$2,0,$CC151="Annual",1,CH151=12,12,$CC151="Monthly V",CH151*(1+$D$3),$CC151="Monthly F",12,$CC151="One-Time",0),CH151*(1+$D$3))</f>
        <v>0</v>
      </c>
      <c r="CJ151" s="14" cm="1">
        <f t="array" ref="CJ151">IFERROR(_xlfn.IFS(VALUE(MID(CJ$5,6,1))&gt;$D$2,0,$CC151="Annual",1,CI151=12,12,$CC151="Monthly V",CI151*(1+$D$3),$CC151="Monthly F",12,$CC151="One-Time",0),CI151*(1+$D$3))</f>
        <v>0</v>
      </c>
      <c r="CK151" s="14" cm="1">
        <f t="array" ref="CK151">IFERROR(_xlfn.IFS(VALUE(MID(CK$5,6,1))&gt;$D$2,0,$CC151="Annual",1,CJ151=12,12,$CC151="Monthly V",CJ151*(1+$D$3),$CC151="Monthly F",12,$CC151="One-Time",0),CJ151*(1+$D$3))</f>
        <v>0</v>
      </c>
      <c r="CL151" s="14" cm="1">
        <f t="array" ref="CL151">IFERROR(_xlfn.IFS(VALUE(MID(CL$5,6,1))&gt;$D$2,0,$CC151="Annual",1,CK151=12,12,$CC151="Monthly V",CK151*(1+$D$3),$CC151="Monthly F",12,$CC151="One-Time",0),CK151*(1+$D$3))</f>
        <v>0</v>
      </c>
      <c r="CM151" s="14" cm="1">
        <f t="array" ref="CM151">IFERROR(_xlfn.IFS(VALUE(MID(CM$5,6,1))&gt;$D$2,0,$CC151="Annual",1,CL151=12,12,$CC151="Monthly V",CL151*(1+$D$3),$CC151="Monthly F",12,$CC151="One-Time",0),CL151*(1+$D$3))</f>
        <v>0</v>
      </c>
      <c r="CN151" s="24" cm="1">
        <f t="array" ref="CN151">IFERROR(_xlfn.IFS(VALUE(MID(CN$5,6,2))&gt;$D$2,0,$CC151="Annual",1,CM151=12,12,$CC151="Monthly V",CM151*(1+$D$3),$CC151="Monthly F",12,$CC151="One-Time",0),CM151*(1+$D$3))</f>
        <v>0</v>
      </c>
      <c r="CO151" s="63"/>
      <c r="CP151" s="53"/>
      <c r="CQ151" s="21">
        <f t="shared" ref="CQ151" si="796">CR151/12</f>
        <v>0</v>
      </c>
      <c r="CR151" s="55">
        <f t="shared" ref="CR151:DA151" si="797">IFERROR(CE151*$CP151,0)</f>
        <v>0</v>
      </c>
      <c r="CS151" s="55">
        <f t="shared" si="797"/>
        <v>0</v>
      </c>
      <c r="CT151" s="55">
        <f t="shared" si="797"/>
        <v>0</v>
      </c>
      <c r="CU151" s="55">
        <f t="shared" si="797"/>
        <v>0</v>
      </c>
      <c r="CV151" s="55">
        <f t="shared" si="797"/>
        <v>0</v>
      </c>
      <c r="CW151" s="55">
        <f t="shared" si="797"/>
        <v>0</v>
      </c>
      <c r="CX151" s="55">
        <f t="shared" si="797"/>
        <v>0</v>
      </c>
      <c r="CY151" s="55">
        <f t="shared" si="797"/>
        <v>0</v>
      </c>
      <c r="CZ151" s="55">
        <f t="shared" si="797"/>
        <v>0</v>
      </c>
      <c r="DA151" s="55">
        <f t="shared" si="797"/>
        <v>0</v>
      </c>
      <c r="DB151" s="56"/>
      <c r="DC151" s="56">
        <f t="shared" ref="DC151" si="798">IF(VALUE(MID(DC$5,6,1))&lt;=$D$2,((1+$CP$3)^1-1)*CS151,0)</f>
        <v>0</v>
      </c>
      <c r="DD151" s="56">
        <f t="shared" ref="DD151" si="799">IF(VALUE(MID(DD$5,6,1))&lt;=$D$2,((1+$CP$3)^2-1)*CT151,0)</f>
        <v>0</v>
      </c>
      <c r="DE151" s="56">
        <f t="shared" ref="DE151" si="800">IF(VALUE(MID(DE$5,6,1))&lt;=$D$2,((1+$CP$3)^3-1)*CU151,0)</f>
        <v>0</v>
      </c>
      <c r="DF151" s="56">
        <f t="shared" ref="DF151" si="801">IF(VALUE(MID(DF$5,6,1))&lt;=$D$2,((1+$CP$3)^4-1)*CV151,0)</f>
        <v>0</v>
      </c>
      <c r="DG151" s="56">
        <f t="shared" ref="DG151" si="802">IF(VALUE(MID(DG$5,6,1))&lt;=$D$2,((1+$CP$3)^5-1)*CW151,0)</f>
        <v>0</v>
      </c>
      <c r="DH151" s="56">
        <f t="shared" ref="DH151" si="803">IF(VALUE(MID(DH$5,6,1))&lt;=$D$2,((1+$CP$3)^6-1)*CX151,0)</f>
        <v>0</v>
      </c>
      <c r="DI151" s="56">
        <f t="shared" ref="DI151" si="804">IF(VALUE(MID(DI$5,6,1))&lt;=$D$2,((1+$CP$3)^7-1)*CY151,0)</f>
        <v>0</v>
      </c>
      <c r="DJ151" s="56">
        <f t="shared" ref="DJ151" si="805">IF(VALUE(MID(DJ$5,6,1))&lt;=$D$2,((1+$CP$3)^8-1)*CZ151,0)</f>
        <v>0</v>
      </c>
      <c r="DK151" s="56">
        <f t="shared" ref="DK151" si="806">IF(VALUE(MID(DK$5,6,2))&lt;=$D$2,((1+$CP$3)^9-1)*DA151,0)</f>
        <v>0</v>
      </c>
      <c r="DL151" s="57">
        <f t="shared" ref="DL151" si="807">SUM(DB151:DK151)</f>
        <v>0</v>
      </c>
      <c r="DM151" s="54">
        <f t="shared" ref="DM151" si="808">SUM(DL151,CR151:DA151)</f>
        <v>0</v>
      </c>
      <c r="DO151" s="106"/>
    </row>
    <row r="152" spans="2:119" ht="15.75" thickBot="1" x14ac:dyDescent="0.3">
      <c r="B152" s="69"/>
      <c r="C152" s="29"/>
      <c r="D152" s="29"/>
      <c r="E152" s="100"/>
      <c r="F152" s="28"/>
      <c r="G152" s="28"/>
      <c r="H152" s="28"/>
      <c r="I152" s="28"/>
      <c r="J152" s="28"/>
      <c r="K152" s="28"/>
      <c r="L152" s="28"/>
      <c r="M152" s="28"/>
      <c r="N152" s="28"/>
      <c r="O152" s="30" t="s">
        <v>53</v>
      </c>
      <c r="P152" s="30"/>
      <c r="Q152" s="31"/>
      <c r="R152" s="32">
        <f>SUM(R122:R151)</f>
        <v>35163.166666666664</v>
      </c>
      <c r="S152" s="33">
        <f t="shared" ref="S152:AB152" si="809">SUM(S122:S151)</f>
        <v>421958</v>
      </c>
      <c r="T152" s="33">
        <f t="shared" si="809"/>
        <v>436416</v>
      </c>
      <c r="U152" s="33">
        <f t="shared" si="809"/>
        <v>299616</v>
      </c>
      <c r="V152" s="33">
        <f t="shared" si="809"/>
        <v>351456</v>
      </c>
      <c r="W152" s="33">
        <f t="shared" si="809"/>
        <v>413663.99999999994</v>
      </c>
      <c r="X152" s="33">
        <f t="shared" si="809"/>
        <v>488313.59999999992</v>
      </c>
      <c r="Y152" s="33">
        <f t="shared" si="809"/>
        <v>577893.11999999988</v>
      </c>
      <c r="Z152" s="33">
        <f t="shared" si="809"/>
        <v>0</v>
      </c>
      <c r="AA152" s="33">
        <f t="shared" si="809"/>
        <v>0</v>
      </c>
      <c r="AB152" s="33">
        <f t="shared" si="809"/>
        <v>0</v>
      </c>
      <c r="AC152" s="34"/>
      <c r="AD152" s="33"/>
      <c r="AE152" s="33"/>
      <c r="AF152" s="33"/>
      <c r="AG152" s="33"/>
      <c r="AH152" s="33"/>
      <c r="AI152" s="33"/>
      <c r="AJ152" s="33"/>
      <c r="AK152" s="33"/>
      <c r="AL152" s="33"/>
      <c r="AM152" s="33">
        <f>SUM(AM122:AM151)</f>
        <v>305764.21498424915</v>
      </c>
      <c r="AN152" s="81">
        <f>SUM(AN122:AN151)</f>
        <v>3295080.9349842486</v>
      </c>
      <c r="AP152" s="95"/>
      <c r="AQ152" s="97"/>
      <c r="AR152" s="97"/>
      <c r="AS152" s="97"/>
      <c r="AT152" s="97"/>
      <c r="AU152" s="97"/>
      <c r="AV152" s="97"/>
      <c r="AW152" s="97"/>
      <c r="AX152" s="97"/>
      <c r="AY152" s="97"/>
      <c r="AZ152" s="97"/>
      <c r="BA152" s="126"/>
      <c r="BB152" s="41" t="s">
        <v>53</v>
      </c>
      <c r="BC152" s="41"/>
      <c r="BD152" s="42"/>
      <c r="BE152" s="43">
        <f t="shared" ref="BE152:BO152" si="810">SUM(BE122:BE151)</f>
        <v>18428.308333333334</v>
      </c>
      <c r="BF152" s="44">
        <f t="shared" si="810"/>
        <v>221139.7</v>
      </c>
      <c r="BG152" s="44">
        <f t="shared" si="810"/>
        <v>132289.70000000001</v>
      </c>
      <c r="BH152" s="44">
        <f t="shared" si="810"/>
        <v>132289.70000000001</v>
      </c>
      <c r="BI152" s="44">
        <f t="shared" si="810"/>
        <v>136258.391</v>
      </c>
      <c r="BJ152" s="44">
        <f t="shared" si="810"/>
        <v>140346.14272999999</v>
      </c>
      <c r="BK152" s="44">
        <f t="shared" si="810"/>
        <v>144556.52701190001</v>
      </c>
      <c r="BL152" s="44">
        <f t="shared" si="810"/>
        <v>148893.22282225706</v>
      </c>
      <c r="BM152" s="44">
        <f t="shared" si="810"/>
        <v>0</v>
      </c>
      <c r="BN152" s="44">
        <f t="shared" si="810"/>
        <v>0</v>
      </c>
      <c r="BO152" s="44">
        <f t="shared" si="810"/>
        <v>0</v>
      </c>
      <c r="BP152" s="45"/>
      <c r="BQ152" s="44"/>
      <c r="BR152" s="44"/>
      <c r="BS152" s="44"/>
      <c r="BT152" s="44"/>
      <c r="BU152" s="44"/>
      <c r="BV152" s="44"/>
      <c r="BW152" s="44"/>
      <c r="BX152" s="44"/>
      <c r="BY152" s="44"/>
      <c r="BZ152" s="44">
        <f>SUM(BZ122:BZ151)</f>
        <v>94191.82176449582</v>
      </c>
      <c r="CA152" s="46">
        <f>SUM(CA122:CA151)</f>
        <v>1149965.2053286529</v>
      </c>
      <c r="CC152" s="121"/>
      <c r="CD152" s="122"/>
      <c r="CE152" s="122"/>
      <c r="CF152" s="122"/>
      <c r="CG152" s="122"/>
      <c r="CH152" s="122"/>
      <c r="CI152" s="122"/>
      <c r="CJ152" s="122"/>
      <c r="CK152" s="122"/>
      <c r="CL152" s="122"/>
      <c r="CM152" s="122"/>
      <c r="CN152" s="122"/>
      <c r="CO152" s="64" t="s">
        <v>53</v>
      </c>
      <c r="CP152" s="58"/>
      <c r="CQ152" s="59">
        <f t="shared" ref="CQ152:DA152" si="811">SUM(CQ122:CQ151)</f>
        <v>0</v>
      </c>
      <c r="CR152" s="60">
        <f t="shared" si="811"/>
        <v>0</v>
      </c>
      <c r="CS152" s="60">
        <f t="shared" si="811"/>
        <v>0</v>
      </c>
      <c r="CT152" s="60">
        <f t="shared" si="811"/>
        <v>0</v>
      </c>
      <c r="CU152" s="60">
        <f t="shared" si="811"/>
        <v>0</v>
      </c>
      <c r="CV152" s="60">
        <f t="shared" si="811"/>
        <v>0</v>
      </c>
      <c r="CW152" s="60">
        <f t="shared" si="811"/>
        <v>0</v>
      </c>
      <c r="CX152" s="60">
        <f t="shared" si="811"/>
        <v>0</v>
      </c>
      <c r="CY152" s="60">
        <f t="shared" si="811"/>
        <v>0</v>
      </c>
      <c r="CZ152" s="60">
        <f t="shared" si="811"/>
        <v>0</v>
      </c>
      <c r="DA152" s="60">
        <f t="shared" si="811"/>
        <v>0</v>
      </c>
      <c r="DB152" s="61"/>
      <c r="DC152" s="60"/>
      <c r="DD152" s="60"/>
      <c r="DE152" s="60"/>
      <c r="DF152" s="60"/>
      <c r="DG152" s="60"/>
      <c r="DH152" s="60"/>
      <c r="DI152" s="60"/>
      <c r="DJ152" s="60"/>
      <c r="DK152" s="60"/>
      <c r="DL152" s="60">
        <f>SUM(DL122:DL151)</f>
        <v>0</v>
      </c>
      <c r="DM152" s="62">
        <f>SUM(DM122:DM151)</f>
        <v>0</v>
      </c>
    </row>
    <row r="163" spans="2:118" ht="15.75" thickBot="1" x14ac:dyDescent="0.3"/>
    <row r="164" spans="2:118" ht="15.75" thickBot="1" x14ac:dyDescent="0.3">
      <c r="B164" s="216" t="s">
        <v>54</v>
      </c>
      <c r="C164" s="217"/>
      <c r="D164" s="217"/>
      <c r="E164" s="217"/>
      <c r="F164" s="217"/>
      <c r="G164" s="217"/>
      <c r="H164" s="217"/>
      <c r="I164" s="217"/>
      <c r="J164" s="217"/>
      <c r="K164" s="217"/>
      <c r="L164" s="217"/>
      <c r="M164" s="217"/>
      <c r="N164" s="217"/>
      <c r="O164" s="217"/>
      <c r="P164" s="217"/>
      <c r="Q164" s="217"/>
      <c r="R164" s="217"/>
      <c r="S164" s="217"/>
      <c r="T164" s="217"/>
      <c r="U164" s="217"/>
      <c r="V164" s="217"/>
      <c r="W164" s="217"/>
      <c r="X164" s="217"/>
      <c r="Y164" s="217"/>
      <c r="Z164" s="217"/>
      <c r="AA164" s="217"/>
      <c r="AB164" s="217"/>
      <c r="AC164" s="217"/>
      <c r="AD164" s="217"/>
      <c r="AE164" s="217"/>
      <c r="AF164" s="217"/>
      <c r="AG164" s="217"/>
      <c r="AH164" s="217"/>
      <c r="AI164" s="217"/>
      <c r="AJ164" s="217"/>
      <c r="AK164" s="217"/>
      <c r="AL164" s="217"/>
      <c r="AM164" s="217"/>
      <c r="AN164" s="217"/>
      <c r="AP164" s="216" t="s">
        <v>54</v>
      </c>
      <c r="AQ164" s="217"/>
      <c r="AR164" s="217"/>
      <c r="AS164" s="217"/>
      <c r="AT164" s="217"/>
      <c r="AU164" s="217"/>
      <c r="AV164" s="217"/>
      <c r="AW164" s="217"/>
      <c r="AX164" s="217"/>
      <c r="AY164" s="217"/>
      <c r="AZ164" s="217"/>
      <c r="BA164" s="217"/>
      <c r="BB164" s="217"/>
      <c r="BC164" s="217"/>
      <c r="BD164" s="217"/>
      <c r="BE164" s="217"/>
      <c r="BF164" s="217"/>
      <c r="BG164" s="217"/>
      <c r="BH164" s="217"/>
      <c r="BI164" s="217"/>
      <c r="BJ164" s="217"/>
      <c r="BK164" s="217"/>
      <c r="BL164" s="217"/>
      <c r="BM164" s="217"/>
      <c r="BN164" s="217"/>
      <c r="BO164" s="217"/>
      <c r="BP164" s="217"/>
      <c r="BQ164" s="217"/>
      <c r="BR164" s="217"/>
      <c r="BS164" s="217"/>
      <c r="BT164" s="217"/>
      <c r="BU164" s="217"/>
      <c r="BV164" s="217"/>
      <c r="BW164" s="217"/>
      <c r="BX164" s="217"/>
      <c r="BY164" s="217"/>
      <c r="BZ164" s="217"/>
      <c r="CA164" s="218"/>
      <c r="CC164" s="216" t="s">
        <v>54</v>
      </c>
      <c r="CD164" s="217"/>
      <c r="CE164" s="217"/>
      <c r="CF164" s="217"/>
      <c r="CG164" s="217"/>
      <c r="CH164" s="217"/>
      <c r="CI164" s="217"/>
      <c r="CJ164" s="217"/>
      <c r="CK164" s="217"/>
      <c r="CL164" s="217"/>
      <c r="CM164" s="217"/>
      <c r="CN164" s="217"/>
      <c r="CO164" s="217"/>
      <c r="CP164" s="217"/>
      <c r="CQ164" s="217"/>
      <c r="CR164" s="217"/>
      <c r="CS164" s="217"/>
      <c r="CT164" s="217"/>
      <c r="CU164" s="217"/>
      <c r="CV164" s="217"/>
      <c r="CW164" s="217"/>
      <c r="CX164" s="217"/>
      <c r="CY164" s="217"/>
      <c r="CZ164" s="217"/>
      <c r="DA164" s="217"/>
      <c r="DB164" s="217"/>
      <c r="DC164" s="217"/>
      <c r="DD164" s="217"/>
      <c r="DE164" s="217"/>
      <c r="DF164" s="217"/>
      <c r="DG164" s="217"/>
      <c r="DH164" s="217"/>
      <c r="DI164" s="217"/>
      <c r="DJ164" s="217"/>
      <c r="DK164" s="217"/>
      <c r="DL164" s="217"/>
      <c r="DM164" s="217"/>
      <c r="DN164" s="218"/>
    </row>
  </sheetData>
  <mergeCells count="42">
    <mergeCell ref="BB1:CA1"/>
    <mergeCell ref="O1:AN1"/>
    <mergeCell ref="AP108:CA108"/>
    <mergeCell ref="B86:AN86"/>
    <mergeCell ref="AP86:CA86"/>
    <mergeCell ref="B4:B5"/>
    <mergeCell ref="D4:D5"/>
    <mergeCell ref="E4:N4"/>
    <mergeCell ref="O4:AN4"/>
    <mergeCell ref="AP4:AP5"/>
    <mergeCell ref="AQ4:AQ5"/>
    <mergeCell ref="B6:AN6"/>
    <mergeCell ref="B21:AN21"/>
    <mergeCell ref="B55:AN55"/>
    <mergeCell ref="CC86:DM86"/>
    <mergeCell ref="AR4:BA4"/>
    <mergeCell ref="BB4:CA4"/>
    <mergeCell ref="CC4:CC5"/>
    <mergeCell ref="CD4:CD5"/>
    <mergeCell ref="CE4:CN4"/>
    <mergeCell ref="CO4:DM4"/>
    <mergeCell ref="AP78:CA78"/>
    <mergeCell ref="AP6:CA6"/>
    <mergeCell ref="CC6:DM6"/>
    <mergeCell ref="B110:AN110"/>
    <mergeCell ref="B119:B120"/>
    <mergeCell ref="D119:D120"/>
    <mergeCell ref="E119:N119"/>
    <mergeCell ref="O119:AN119"/>
    <mergeCell ref="CO119:DM119"/>
    <mergeCell ref="B121:AN121"/>
    <mergeCell ref="B130:AN130"/>
    <mergeCell ref="B164:AN164"/>
    <mergeCell ref="AP164:CA164"/>
    <mergeCell ref="CC164:DN164"/>
    <mergeCell ref="AQ119:AQ120"/>
    <mergeCell ref="AR119:BA119"/>
    <mergeCell ref="BB119:CA119"/>
    <mergeCell ref="CC119:CC120"/>
    <mergeCell ref="CD119:CD120"/>
    <mergeCell ref="CE119:CN119"/>
    <mergeCell ref="AP119:AP120"/>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2F22EED-FF1E-4AAF-801B-CA1B59B980BB}">
          <x14:formula1>
            <xm:f>Control!$A$3:$A$10</xm:f>
          </x14:formula1>
          <xm:sqref>AP109:AP114 B22:B54 CC7:CC85 B7:B20 B111:B115 AP87:AP107 AP79:AP85 B87:B108 AP7:AP77 B131:B152 CC122:CC152 CC87:CC115 AP122:AP151 B122:B129 B58:B85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C716E-BB52-4100-A0B3-86F4714CF79D}">
  <sheetPr>
    <tabColor rgb="FF92D050"/>
  </sheetPr>
  <dimension ref="A1:H16"/>
  <sheetViews>
    <sheetView zoomScale="86" workbookViewId="0">
      <selection activeCell="B7" sqref="B7"/>
    </sheetView>
  </sheetViews>
  <sheetFormatPr defaultRowHeight="15" x14ac:dyDescent="0.25"/>
  <cols>
    <col min="1" max="1" width="19" customWidth="1"/>
    <col min="2" max="8" width="16.28515625" customWidth="1"/>
    <col min="9" max="9" width="20.28515625" customWidth="1"/>
    <col min="10" max="16" width="13" customWidth="1"/>
  </cols>
  <sheetData>
    <row r="1" spans="1:8" s="177" customFormat="1" ht="26.25" x14ac:dyDescent="0.4">
      <c r="B1" s="177" t="s">
        <v>304</v>
      </c>
    </row>
    <row r="3" spans="1:8" ht="23.25" x14ac:dyDescent="0.25">
      <c r="B3" s="247" t="s">
        <v>151</v>
      </c>
      <c r="C3" s="248"/>
      <c r="D3" s="248"/>
      <c r="E3" s="248"/>
      <c r="F3" s="248"/>
      <c r="G3" s="248"/>
      <c r="H3" s="248"/>
    </row>
    <row r="4" spans="1:8" x14ac:dyDescent="0.25">
      <c r="A4" s="172"/>
      <c r="B4" s="174" t="s">
        <v>296</v>
      </c>
      <c r="C4" s="174" t="s">
        <v>297</v>
      </c>
      <c r="D4" s="174" t="s">
        <v>298</v>
      </c>
      <c r="E4" s="174" t="s">
        <v>299</v>
      </c>
      <c r="F4" s="174" t="s">
        <v>300</v>
      </c>
      <c r="G4" s="174" t="s">
        <v>301</v>
      </c>
      <c r="H4" s="174" t="s">
        <v>302</v>
      </c>
    </row>
    <row r="5" spans="1:8" s="170" customFormat="1" ht="48.4" customHeight="1" x14ac:dyDescent="0.25">
      <c r="A5" s="173" t="s">
        <v>294</v>
      </c>
      <c r="B5" s="171">
        <v>399533</v>
      </c>
      <c r="C5" s="171">
        <v>376753.4</v>
      </c>
      <c r="D5" s="171">
        <v>440017.87999999995</v>
      </c>
      <c r="E5" s="171">
        <v>510294.94496000011</v>
      </c>
      <c r="F5" s="171">
        <v>599967.73395199992</v>
      </c>
      <c r="G5" s="171">
        <v>607547.2924544001</v>
      </c>
      <c r="H5" s="171">
        <v>642270.55094528</v>
      </c>
    </row>
    <row r="6" spans="1:8" s="170" customFormat="1" ht="48.4" customHeight="1" x14ac:dyDescent="0.25">
      <c r="A6" s="173" t="s">
        <v>295</v>
      </c>
      <c r="B6" s="171">
        <v>421958</v>
      </c>
      <c r="C6" s="171">
        <v>436416</v>
      </c>
      <c r="D6" s="171">
        <v>299616</v>
      </c>
      <c r="E6" s="171">
        <v>351456</v>
      </c>
      <c r="F6" s="171">
        <v>413663.99999999994</v>
      </c>
      <c r="G6" s="171">
        <v>488313.59999999992</v>
      </c>
      <c r="H6" s="171">
        <v>577893.11999999988</v>
      </c>
    </row>
    <row r="7" spans="1:8" s="170" customFormat="1" ht="48.4" customHeight="1" x14ac:dyDescent="0.25">
      <c r="A7" s="173" t="s">
        <v>346</v>
      </c>
      <c r="B7" s="171">
        <v>-159156.14285714287</v>
      </c>
      <c r="C7" s="171">
        <v>-159156.14285714287</v>
      </c>
      <c r="D7" s="171">
        <v>-159156.14285714287</v>
      </c>
      <c r="E7" s="171">
        <v>-159156.14285714287</v>
      </c>
      <c r="F7" s="171">
        <v>-159156.14285714287</v>
      </c>
      <c r="G7" s="171">
        <v>-159156.14285714287</v>
      </c>
      <c r="H7" s="171">
        <v>-159156.14285714287</v>
      </c>
    </row>
    <row r="8" spans="1:8" x14ac:dyDescent="0.25">
      <c r="A8" s="173" t="s">
        <v>303</v>
      </c>
      <c r="B8" s="171">
        <f>SUM(B5:B7)</f>
        <v>662334.85714285716</v>
      </c>
      <c r="C8" s="171">
        <f t="shared" ref="C8:H8" si="0">SUM(C5:C7)</f>
        <v>654013.25714285718</v>
      </c>
      <c r="D8" s="171">
        <f t="shared" si="0"/>
        <v>580477.73714285705</v>
      </c>
      <c r="E8" s="171">
        <f t="shared" si="0"/>
        <v>702594.80210285727</v>
      </c>
      <c r="F8" s="171">
        <f t="shared" si="0"/>
        <v>854475.59109485697</v>
      </c>
      <c r="G8" s="171">
        <f t="shared" si="0"/>
        <v>936704.74959725712</v>
      </c>
      <c r="H8" s="171">
        <f t="shared" si="0"/>
        <v>1061007.5280881368</v>
      </c>
    </row>
    <row r="12" spans="1:8" ht="23.25" x14ac:dyDescent="0.25">
      <c r="B12" s="249" t="s">
        <v>280</v>
      </c>
      <c r="C12" s="250"/>
      <c r="D12" s="250"/>
      <c r="E12" s="250"/>
      <c r="F12" s="250"/>
      <c r="G12" s="250"/>
      <c r="H12" s="250"/>
    </row>
    <row r="13" spans="1:8" x14ac:dyDescent="0.25">
      <c r="B13" s="176" t="s">
        <v>296</v>
      </c>
      <c r="C13" s="176" t="s">
        <v>297</v>
      </c>
      <c r="D13" s="176" t="s">
        <v>298</v>
      </c>
      <c r="E13" s="176" t="s">
        <v>299</v>
      </c>
      <c r="F13" s="176" t="s">
        <v>300</v>
      </c>
      <c r="G13" s="176" t="s">
        <v>301</v>
      </c>
      <c r="H13" s="176" t="s">
        <v>302</v>
      </c>
    </row>
    <row r="14" spans="1:8" ht="48" customHeight="1" x14ac:dyDescent="0.25">
      <c r="A14" s="175" t="s">
        <v>294</v>
      </c>
      <c r="B14" s="178">
        <v>483178.32</v>
      </c>
      <c r="C14" s="178">
        <v>529585.58400000003</v>
      </c>
      <c r="D14" s="178">
        <v>585274.30079999997</v>
      </c>
      <c r="E14" s="178">
        <v>652100.76095999975</v>
      </c>
      <c r="F14" s="178">
        <v>732292.51315200026</v>
      </c>
      <c r="G14" s="178">
        <v>828522.61578239966</v>
      </c>
      <c r="H14" s="178">
        <v>943998.73893887992</v>
      </c>
    </row>
    <row r="15" spans="1:8" ht="48" customHeight="1" x14ac:dyDescent="0.25">
      <c r="A15" s="175" t="s">
        <v>295</v>
      </c>
      <c r="B15" s="178">
        <v>119705</v>
      </c>
      <c r="C15" s="178">
        <v>127244</v>
      </c>
      <c r="D15" s="178">
        <v>136290.79999999999</v>
      </c>
      <c r="E15" s="178">
        <v>147146.96</v>
      </c>
      <c r="F15" s="178">
        <v>160174.35199999998</v>
      </c>
      <c r="G15" s="178">
        <v>175807.2224</v>
      </c>
      <c r="H15" s="178">
        <v>194566.66687999998</v>
      </c>
    </row>
    <row r="16" spans="1:8" ht="48" customHeight="1" x14ac:dyDescent="0.25">
      <c r="A16" s="175" t="s">
        <v>303</v>
      </c>
      <c r="B16" s="178">
        <f>SUM(B14:B15)</f>
        <v>602883.32000000007</v>
      </c>
      <c r="C16" s="178">
        <f t="shared" ref="C16:H16" si="1">SUM(C14:C15)</f>
        <v>656829.58400000003</v>
      </c>
      <c r="D16" s="178">
        <f t="shared" si="1"/>
        <v>721565.1007999999</v>
      </c>
      <c r="E16" s="178">
        <f t="shared" si="1"/>
        <v>799247.72095999971</v>
      </c>
      <c r="F16" s="178">
        <f t="shared" si="1"/>
        <v>892466.86515200022</v>
      </c>
      <c r="G16" s="178">
        <f t="shared" si="1"/>
        <v>1004329.8381823996</v>
      </c>
      <c r="H16" s="178">
        <f t="shared" si="1"/>
        <v>1138565.4058188798</v>
      </c>
    </row>
  </sheetData>
  <mergeCells count="2">
    <mergeCell ref="B3:H3"/>
    <mergeCell ref="B12:H12"/>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19FDB-C9AC-48F2-97F7-6E8F5E4798A1}">
  <sheetPr>
    <tabColor theme="9"/>
  </sheetPr>
  <dimension ref="A1:G47"/>
  <sheetViews>
    <sheetView showGridLines="0" zoomScale="89" zoomScaleNormal="150" workbookViewId="0">
      <pane ySplit="1" topLeftCell="A2" activePane="bottomLeft" state="frozen"/>
      <selection activeCell="H1" sqref="H1"/>
      <selection pane="bottomLeft" activeCell="C9" sqref="C9"/>
    </sheetView>
  </sheetViews>
  <sheetFormatPr defaultRowHeight="15" outlineLevelRow="1" x14ac:dyDescent="0.25"/>
  <cols>
    <col min="1" max="1" width="3.28515625" customWidth="1"/>
    <col min="2" max="2" width="46.42578125" bestFit="1" customWidth="1"/>
    <col min="3" max="4" width="14.7109375" customWidth="1"/>
    <col min="5" max="5" width="55" bestFit="1" customWidth="1"/>
    <col min="6" max="7" width="15" customWidth="1"/>
  </cols>
  <sheetData>
    <row r="1" spans="1:7" ht="15.75" thickBot="1" x14ac:dyDescent="0.3">
      <c r="B1" s="251" t="s">
        <v>151</v>
      </c>
      <c r="C1" s="252"/>
      <c r="E1" s="224" t="s">
        <v>280</v>
      </c>
      <c r="F1" s="226"/>
    </row>
    <row r="2" spans="1:7" ht="15.75" thickBot="1" x14ac:dyDescent="0.3">
      <c r="B2" s="26" t="s">
        <v>150</v>
      </c>
      <c r="C2" s="129" t="s">
        <v>281</v>
      </c>
      <c r="D2" s="129" t="s">
        <v>345</v>
      </c>
      <c r="E2" s="47" t="s">
        <v>150</v>
      </c>
      <c r="F2" s="128" t="s">
        <v>281</v>
      </c>
      <c r="G2" s="128" t="s">
        <v>345</v>
      </c>
    </row>
    <row r="3" spans="1:7" ht="15.75" thickBot="1" x14ac:dyDescent="0.3">
      <c r="B3" s="25" t="s">
        <v>147</v>
      </c>
      <c r="C3" s="191">
        <f>SUM('Line Items'!AN7:AN19)</f>
        <v>2333112</v>
      </c>
      <c r="D3" s="191">
        <f>C3/84</f>
        <v>27775.142857142859</v>
      </c>
      <c r="E3" s="25" t="s">
        <v>282</v>
      </c>
      <c r="F3" s="192">
        <f>SUM('Line Items'!CA7:CA77)</f>
        <v>3761163.2434632331</v>
      </c>
      <c r="G3" s="192">
        <f>F3/84</f>
        <v>44775.752898371822</v>
      </c>
    </row>
    <row r="4" spans="1:7" ht="15.75" thickBot="1" x14ac:dyDescent="0.3">
      <c r="B4" s="25" t="s">
        <v>148</v>
      </c>
      <c r="C4" s="193">
        <f>SUM('Line Items'!AN22:AN54)</f>
        <v>425125.25631911517</v>
      </c>
      <c r="D4" s="191">
        <f t="shared" ref="D4:D6" si="0">C4/84</f>
        <v>5061.0149561799426</v>
      </c>
      <c r="E4" s="25" t="s">
        <v>283</v>
      </c>
      <c r="F4" s="198">
        <f>SUM('Line Items'!CA79:CA84)</f>
        <v>225314.03516435414</v>
      </c>
      <c r="G4" s="192">
        <f t="shared" ref="G4:G6" si="1">F4/84</f>
        <v>2682.3099424327875</v>
      </c>
    </row>
    <row r="5" spans="1:7" ht="15.75" thickBot="1" x14ac:dyDescent="0.3">
      <c r="A5" s="52"/>
      <c r="B5" s="25" t="s">
        <v>149</v>
      </c>
      <c r="C5" s="194">
        <f>SUM('Line Items'!AN58:AN84)</f>
        <v>992279.03475489561</v>
      </c>
      <c r="D5" s="191">
        <f t="shared" si="0"/>
        <v>11812.845651843996</v>
      </c>
      <c r="E5" s="25"/>
      <c r="F5" s="198"/>
      <c r="G5" s="192">
        <f t="shared" si="1"/>
        <v>0</v>
      </c>
    </row>
    <row r="6" spans="1:7" ht="15.75" thickBot="1" x14ac:dyDescent="0.3">
      <c r="A6" s="52"/>
      <c r="B6" s="150" t="s">
        <v>290</v>
      </c>
      <c r="C6" s="168">
        <f>SUM(C3:C5)</f>
        <v>3750516.2910740105</v>
      </c>
      <c r="D6" s="191">
        <f t="shared" si="0"/>
        <v>44649.003465166796</v>
      </c>
      <c r="E6" s="166" t="s">
        <v>290</v>
      </c>
      <c r="F6" s="199">
        <f>SUM(F3:F5)</f>
        <v>3986477.2786275875</v>
      </c>
      <c r="G6" s="192">
        <f t="shared" si="1"/>
        <v>47458.06284080461</v>
      </c>
    </row>
    <row r="7" spans="1:7" ht="15.75" thickBot="1" x14ac:dyDescent="0.3">
      <c r="A7" s="52"/>
      <c r="B7" s="23" t="s">
        <v>288</v>
      </c>
      <c r="C7" s="194">
        <f>SUM('Line Items'!AN93)</f>
        <v>-844093</v>
      </c>
      <c r="D7" s="191"/>
      <c r="E7" s="23" t="s">
        <v>291</v>
      </c>
      <c r="F7" s="198">
        <f>-SUM('Line Items'!CA87:CA92)</f>
        <v>-25775</v>
      </c>
      <c r="G7" s="192"/>
    </row>
    <row r="8" spans="1:7" ht="15.75" thickBot="1" x14ac:dyDescent="0.3">
      <c r="A8" s="52"/>
      <c r="B8" s="23" t="s">
        <v>289</v>
      </c>
      <c r="C8" s="193">
        <f>'Line Items'!AN94</f>
        <v>-137070</v>
      </c>
      <c r="D8" s="191"/>
      <c r="E8" s="23" t="s">
        <v>292</v>
      </c>
      <c r="F8" s="198">
        <f>-SUM('Line Items'!CA109:CA114)</f>
        <v>-16545</v>
      </c>
      <c r="G8" s="192"/>
    </row>
    <row r="9" spans="1:7" ht="15.75" thickBot="1" x14ac:dyDescent="0.3">
      <c r="A9" s="52"/>
      <c r="B9" s="150" t="s">
        <v>309</v>
      </c>
      <c r="C9" s="168">
        <f>SUM(C6:D8)</f>
        <v>2814002.2945391773</v>
      </c>
      <c r="D9" s="191">
        <f>C9/84</f>
        <v>33500.027315942585</v>
      </c>
      <c r="E9" s="166" t="s">
        <v>310</v>
      </c>
      <c r="F9" s="199">
        <f>SUM(F6:F8)</f>
        <v>3944157.2786275875</v>
      </c>
      <c r="G9" s="192">
        <f>F9/84</f>
        <v>46954.253316995091</v>
      </c>
    </row>
    <row r="10" spans="1:7" ht="15.75" thickBot="1" x14ac:dyDescent="0.3">
      <c r="C10" s="130"/>
      <c r="F10" s="130"/>
    </row>
    <row r="11" spans="1:7" ht="15.75" thickBot="1" x14ac:dyDescent="0.3">
      <c r="A11" s="52"/>
      <c r="B11" s="253" t="s">
        <v>308</v>
      </c>
      <c r="C11" s="254"/>
      <c r="D11" s="254"/>
      <c r="E11" s="254"/>
      <c r="F11" s="255"/>
    </row>
    <row r="12" spans="1:7" x14ac:dyDescent="0.25">
      <c r="A12" s="52"/>
      <c r="B12" s="149" t="s">
        <v>152</v>
      </c>
      <c r="C12" s="195">
        <f>SUM('Line Items'!AN122:AN129)</f>
        <v>3004376.590120784</v>
      </c>
      <c r="E12" s="23" t="s">
        <v>284</v>
      </c>
      <c r="F12" s="198">
        <f>SUM('Line Items'!CA122:CA151)</f>
        <v>1149965.2053286529</v>
      </c>
    </row>
    <row r="13" spans="1:7" ht="15.75" thickBot="1" x14ac:dyDescent="0.3">
      <c r="A13" s="52"/>
      <c r="B13" s="182" t="s">
        <v>153</v>
      </c>
      <c r="C13" s="196">
        <f>SUM('Line Items'!AN131:AN151)</f>
        <v>290704.34486346471</v>
      </c>
      <c r="D13" s="183"/>
      <c r="E13" s="182"/>
      <c r="F13" s="169"/>
    </row>
    <row r="14" spans="1:7" ht="15.75" thickBot="1" x14ac:dyDescent="0.3">
      <c r="A14" s="52"/>
      <c r="B14" s="181"/>
      <c r="C14" s="197"/>
      <c r="E14" s="181"/>
      <c r="F14" s="200"/>
    </row>
    <row r="15" spans="1:7" ht="15.75" thickBot="1" x14ac:dyDescent="0.3">
      <c r="B15" s="150" t="s">
        <v>343</v>
      </c>
      <c r="C15" s="168">
        <f>SUM(C12:C13)</f>
        <v>3295080.9349842486</v>
      </c>
      <c r="E15" s="131" t="s">
        <v>343</v>
      </c>
      <c r="F15" s="169">
        <f>SUM(F12:F13)</f>
        <v>1149965.2053286529</v>
      </c>
    </row>
    <row r="16" spans="1:7" ht="15.75" thickBot="1" x14ac:dyDescent="0.3">
      <c r="C16" s="130"/>
      <c r="F16" s="130"/>
    </row>
    <row r="17" spans="2:6" x14ac:dyDescent="0.25">
      <c r="B17" s="253" t="s">
        <v>311</v>
      </c>
      <c r="C17" s="254"/>
      <c r="D17" s="254"/>
      <c r="E17" s="254"/>
      <c r="F17" s="255"/>
    </row>
    <row r="18" spans="2:6" ht="15.75" thickBot="1" x14ac:dyDescent="0.3">
      <c r="B18" s="184"/>
      <c r="C18" s="179"/>
      <c r="E18" s="180"/>
      <c r="F18" s="185"/>
    </row>
    <row r="19" spans="2:6" ht="15.75" thickBot="1" x14ac:dyDescent="0.3">
      <c r="B19" s="150" t="s">
        <v>305</v>
      </c>
      <c r="C19" s="168">
        <v>124118</v>
      </c>
      <c r="E19" s="131" t="s">
        <v>305</v>
      </c>
      <c r="F19" s="169">
        <v>210392.5</v>
      </c>
    </row>
    <row r="20" spans="2:6" ht="15.75" thickBot="1" x14ac:dyDescent="0.3">
      <c r="B20" s="150" t="s">
        <v>306</v>
      </c>
      <c r="C20" s="168">
        <v>75176</v>
      </c>
      <c r="E20" s="131" t="s">
        <v>306</v>
      </c>
      <c r="F20" s="169">
        <v>88850</v>
      </c>
    </row>
    <row r="21" spans="2:6" ht="15.75" thickBot="1" x14ac:dyDescent="0.3">
      <c r="B21" s="150" t="s">
        <v>307</v>
      </c>
      <c r="C21" s="168">
        <f>SUM(C19:C20)</f>
        <v>199294</v>
      </c>
      <c r="E21" s="131" t="s">
        <v>293</v>
      </c>
      <c r="F21" s="169">
        <f>SUM(F19:F20)</f>
        <v>299242.5</v>
      </c>
    </row>
    <row r="22" spans="2:6" x14ac:dyDescent="0.25">
      <c r="C22" s="130"/>
      <c r="F22" s="130"/>
    </row>
    <row r="23" spans="2:6" x14ac:dyDescent="0.25">
      <c r="C23" s="130"/>
      <c r="F23" s="130"/>
    </row>
    <row r="24" spans="2:6" x14ac:dyDescent="0.25">
      <c r="C24" s="130"/>
      <c r="F24" s="130"/>
    </row>
    <row r="25" spans="2:6" x14ac:dyDescent="0.25">
      <c r="C25" s="130"/>
      <c r="E25" s="52"/>
      <c r="F25" s="130"/>
    </row>
    <row r="26" spans="2:6" x14ac:dyDescent="0.25">
      <c r="C26" s="130"/>
      <c r="F26" s="130"/>
    </row>
    <row r="27" spans="2:6" x14ac:dyDescent="0.25">
      <c r="C27" s="130"/>
      <c r="F27" s="130"/>
    </row>
    <row r="28" spans="2:6" x14ac:dyDescent="0.25">
      <c r="C28" s="130"/>
      <c r="F28" s="130"/>
    </row>
    <row r="29" spans="2:6" x14ac:dyDescent="0.25">
      <c r="B29" s="167" t="s">
        <v>285</v>
      </c>
      <c r="C29" s="130"/>
      <c r="F29" s="130"/>
    </row>
    <row r="30" spans="2:6" x14ac:dyDescent="0.25">
      <c r="B30" s="167" t="s">
        <v>286</v>
      </c>
      <c r="C30" s="130"/>
      <c r="F30" s="130"/>
    </row>
    <row r="31" spans="2:6" ht="45" x14ac:dyDescent="0.25">
      <c r="B31" s="167" t="s">
        <v>287</v>
      </c>
      <c r="C31" s="130"/>
      <c r="F31" s="130"/>
    </row>
    <row r="32" spans="2:6" x14ac:dyDescent="0.25">
      <c r="C32" s="130"/>
      <c r="F32" s="130"/>
    </row>
    <row r="33" spans="2:6" x14ac:dyDescent="0.25">
      <c r="B33" s="134" t="s">
        <v>55</v>
      </c>
      <c r="C33" s="136"/>
      <c r="E33" s="132" t="s">
        <v>55</v>
      </c>
      <c r="F33" s="133"/>
    </row>
    <row r="35" spans="2:6" x14ac:dyDescent="0.25">
      <c r="B35" s="49" t="s">
        <v>56</v>
      </c>
      <c r="E35" s="50" t="s">
        <v>56</v>
      </c>
    </row>
    <row r="36" spans="2:6" x14ac:dyDescent="0.25">
      <c r="B36" s="137"/>
      <c r="E36" s="137"/>
    </row>
    <row r="37" spans="2:6" x14ac:dyDescent="0.25">
      <c r="B37" s="137"/>
      <c r="E37" s="137"/>
    </row>
    <row r="38" spans="2:6" x14ac:dyDescent="0.25">
      <c r="B38" s="137"/>
      <c r="E38" s="137"/>
    </row>
    <row r="39" spans="2:6" x14ac:dyDescent="0.25">
      <c r="B39" s="48"/>
      <c r="E39" s="48"/>
    </row>
    <row r="40" spans="2:6" hidden="1" outlineLevel="1" x14ac:dyDescent="0.25">
      <c r="B40" s="48"/>
      <c r="C40" s="135" t="e">
        <f>C15+C33-#REF!</f>
        <v>#REF!</v>
      </c>
      <c r="F40" s="135" t="e">
        <f>F15+F33-#REF!</f>
        <v>#REF!</v>
      </c>
    </row>
    <row r="41" spans="2:6" collapsed="1" x14ac:dyDescent="0.25">
      <c r="E41" s="51"/>
    </row>
    <row r="42" spans="2:6" x14ac:dyDescent="0.25">
      <c r="E42" s="48"/>
    </row>
    <row r="43" spans="2:6" x14ac:dyDescent="0.25">
      <c r="E43" s="48"/>
    </row>
    <row r="44" spans="2:6" x14ac:dyDescent="0.25">
      <c r="C44" s="52"/>
      <c r="E44" s="48"/>
    </row>
    <row r="45" spans="2:6" x14ac:dyDescent="0.25">
      <c r="E45" s="48"/>
    </row>
    <row r="46" spans="2:6" x14ac:dyDescent="0.25">
      <c r="E46" s="48"/>
    </row>
    <row r="47" spans="2:6" x14ac:dyDescent="0.25">
      <c r="E47" s="48"/>
    </row>
  </sheetData>
  <sortState xmlns:xlrd2="http://schemas.microsoft.com/office/spreadsheetml/2017/richdata2" ref="B3:C13">
    <sortCondition descending="1" ref="C3:C13"/>
  </sortState>
  <mergeCells count="4">
    <mergeCell ref="E1:F1"/>
    <mergeCell ref="B1:C1"/>
    <mergeCell ref="B11:F11"/>
    <mergeCell ref="B17:F17"/>
  </mergeCells>
  <phoneticPr fontId="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0f553d3-a7a8-499e-8b31-51266332b8bc" xsi:nil="true"/>
    <lcf76f155ced4ddcb4097134ff3c332f xmlns="781bdc3a-95ba-4660-92b5-9954aceb549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E1D7FA0C4B4A3419C7A6FD3FA5B19CF" ma:contentTypeVersion="18" ma:contentTypeDescription="Create a new document." ma:contentTypeScope="" ma:versionID="38927cd64cde1c78549c661594f53b39">
  <xsd:schema xmlns:xsd="http://www.w3.org/2001/XMLSchema" xmlns:xs="http://www.w3.org/2001/XMLSchema" xmlns:p="http://schemas.microsoft.com/office/2006/metadata/properties" xmlns:ns2="781bdc3a-95ba-4660-92b5-9954aceb5499" xmlns:ns3="c0f553d3-a7a8-499e-8b31-51266332b8bc" targetNamespace="http://schemas.microsoft.com/office/2006/metadata/properties" ma:root="true" ma:fieldsID="046ebee714f3daa241bf2cad461bb459" ns2:_="" ns3:_="">
    <xsd:import namespace="781bdc3a-95ba-4660-92b5-9954aceb5499"/>
    <xsd:import namespace="c0f553d3-a7a8-499e-8b31-51266332b8b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1bdc3a-95ba-4660-92b5-9954aceb54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b2034fb-8686-45cb-beaa-cd46e98d5464"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0f553d3-a7a8-499e-8b31-51266332b8b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ea36d35-3a77-4376-b66a-2b037a3659a0}" ma:internalName="TaxCatchAll" ma:showField="CatchAllData" ma:web="c0f553d3-a7a8-499e-8b31-51266332b8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1229FE-8AFB-421B-A93C-152C8DD5309E}">
  <ds:schemaRefs>
    <ds:schemaRef ds:uri="http://schemas.openxmlformats.org/package/2006/metadata/core-properties"/>
    <ds:schemaRef ds:uri="http://www.w3.org/XML/1998/namespace"/>
    <ds:schemaRef ds:uri="http://schemas.microsoft.com/office/2006/documentManagement/types"/>
    <ds:schemaRef ds:uri="http://purl.org/dc/dcmitype/"/>
    <ds:schemaRef ds:uri="http://schemas.microsoft.com/office/infopath/2007/PartnerControls"/>
    <ds:schemaRef ds:uri="781bdc3a-95ba-4660-92b5-9954aceb5499"/>
    <ds:schemaRef ds:uri="http://purl.org/dc/terms/"/>
    <ds:schemaRef ds:uri="http://purl.org/dc/elements/1.1/"/>
    <ds:schemaRef ds:uri="c0f553d3-a7a8-499e-8b31-51266332b8bc"/>
    <ds:schemaRef ds:uri="http://schemas.microsoft.com/office/2006/metadata/properties"/>
  </ds:schemaRefs>
</ds:datastoreItem>
</file>

<file path=customXml/itemProps2.xml><?xml version="1.0" encoding="utf-8"?>
<ds:datastoreItem xmlns:ds="http://schemas.openxmlformats.org/officeDocument/2006/customXml" ds:itemID="{A69EF7CE-583A-4ED1-86E0-5C28E32603D6}">
  <ds:schemaRefs>
    <ds:schemaRef ds:uri="http://schemas.microsoft.com/sharepoint/v3/contenttype/forms"/>
  </ds:schemaRefs>
</ds:datastoreItem>
</file>

<file path=customXml/itemProps3.xml><?xml version="1.0" encoding="utf-8"?>
<ds:datastoreItem xmlns:ds="http://schemas.openxmlformats.org/officeDocument/2006/customXml" ds:itemID="{0C45A43C-EF24-45F9-85ED-6C408E6985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1bdc3a-95ba-4660-92b5-9954aceb5499"/>
    <ds:schemaRef ds:uri="c0f553d3-a7a8-499e-8b31-51266332b8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Control</vt:lpstr>
      <vt:lpstr>DeleteThisPageThenSave</vt:lpstr>
      <vt:lpstr>Confidentiality&amp;Non-Disclosure</vt:lpstr>
      <vt:lpstr>Line Items</vt:lpstr>
      <vt:lpstr>Years 1-7</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 Dyer</dc:creator>
  <cp:keywords/>
  <dc:description/>
  <cp:lastModifiedBy>Shuva Mukhopadhyay</cp:lastModifiedBy>
  <cp:revision/>
  <dcterms:created xsi:type="dcterms:W3CDTF">2025-01-15T19:03:52Z</dcterms:created>
  <dcterms:modified xsi:type="dcterms:W3CDTF">2025-11-20T22:19:45Z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0x0101005E1D7FA0C4B4A3419C7A6FD3FA5B19CF</vt:lpwstr>
  </property>
  <property fmtid="{D5CDD505-2E9C-101B-9397-08002B2CF9AE}" pid="3" name="MediaServiceImageTags">
    <vt:lpwstr/>
  </property>
</Properties>
</file>