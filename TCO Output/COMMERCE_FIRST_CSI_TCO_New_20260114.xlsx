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2</v>
      </c>
      <c r="B2" t="inlineStr">
        <is>
          <t>Monthly F</t>
        </is>
      </c>
      <c r="C2" t="inlineStr">
        <is>
          <t>Digital Banking Platform</t>
        </is>
      </c>
      <c r="D2" t="inlineStr">
        <is>
          <t>Other</t>
        </is>
      </c>
      <c r="E2" t="b">
        <v>0</v>
      </c>
      <c r="F2" t="b">
        <v>0</v>
      </c>
      <c r="G2" s="12" t="n">
        <v>8200</v>
      </c>
      <c r="H2" t="inlineStr">
        <is>
          <t>per month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Bundle component</t>
        </is>
      </c>
    </row>
    <row r="3">
      <c r="A3" t="n">
        <v>4</v>
      </c>
      <c r="B3" t="inlineStr">
        <is>
          <t>Monthly F</t>
        </is>
      </c>
      <c r="C3" t="inlineStr">
        <is>
          <t>Document Management</t>
        </is>
      </c>
      <c r="D3" t="inlineStr">
        <is>
          <t>Other</t>
        </is>
      </c>
      <c r="E3" t="b">
        <v>0</v>
      </c>
      <c r="F3" t="b">
        <v>0</v>
      </c>
      <c r="G3" s="12" t="n">
        <v>3600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Bundle component</t>
        </is>
      </c>
    </row>
    <row r="4">
      <c r="A4" t="n">
        <v>7</v>
      </c>
      <c r="B4" t="inlineStr">
        <is>
          <t>Monthly F</t>
        </is>
      </c>
      <c r="C4" t="inlineStr">
        <is>
          <t>Integration Layer</t>
        </is>
      </c>
      <c r="D4" t="inlineStr">
        <is>
          <t>Other</t>
        </is>
      </c>
      <c r="E4" t="b">
        <v>0</v>
      </c>
      <c r="F4" t="b">
        <v>0</v>
      </c>
      <c r="G4" s="12" t="n">
        <v>1600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Bundle component</t>
        </is>
      </c>
    </row>
    <row r="5">
      <c r="A5" t="n">
        <v>3</v>
      </c>
      <c r="B5" t="inlineStr">
        <is>
          <t>Monthly F</t>
        </is>
      </c>
      <c r="C5" t="inlineStr">
        <is>
          <t>Mobile Banking Suite</t>
        </is>
      </c>
      <c r="D5" t="inlineStr">
        <is>
          <t>Other</t>
        </is>
      </c>
      <c r="E5" t="b">
        <v>0</v>
      </c>
      <c r="F5" t="b">
        <v>0</v>
      </c>
      <c r="G5" s="12" t="n">
        <v>4800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Bundle component</t>
        </is>
      </c>
    </row>
    <row r="6">
      <c r="A6" t="n">
        <v>1</v>
      </c>
      <c r="B6" t="inlineStr">
        <is>
          <t>Monthly F</t>
        </is>
      </c>
      <c r="C6" t="inlineStr">
        <is>
          <t>NuPoint Core Engine</t>
        </is>
      </c>
      <c r="D6" t="inlineStr">
        <is>
          <t>Other</t>
        </is>
      </c>
      <c r="E6" t="b">
        <v>0</v>
      </c>
      <c r="F6" t="b">
        <v>0</v>
      </c>
      <c r="G6" s="12" t="n">
        <v>18500</v>
      </c>
      <c r="H6" t="inlineStr">
        <is>
          <t>per month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Core bundle component</t>
        </is>
      </c>
    </row>
    <row r="7">
      <c r="A7" t="n">
        <v>5</v>
      </c>
      <c r="B7" t="inlineStr">
        <is>
          <t>Monthly F</t>
        </is>
      </c>
      <c r="C7" t="inlineStr">
        <is>
          <t>Reporting &amp; Analytics</t>
        </is>
      </c>
      <c r="D7" t="inlineStr">
        <is>
          <t>Other</t>
        </is>
      </c>
      <c r="E7" t="b">
        <v>0</v>
      </c>
      <c r="F7" t="b">
        <v>0</v>
      </c>
      <c r="G7" s="12" t="n">
        <v>2900</v>
      </c>
      <c r="H7" t="inlineStr">
        <is>
          <t>per month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Bundle component</t>
        </is>
      </c>
    </row>
    <row r="8">
      <c r="A8" t="n">
        <v>6</v>
      </c>
      <c r="B8" t="inlineStr">
        <is>
          <t>Monthly F</t>
        </is>
      </c>
      <c r="C8" t="inlineStr">
        <is>
          <t>Security &amp; Compliance</t>
        </is>
      </c>
      <c r="D8" t="inlineStr">
        <is>
          <t>Other</t>
        </is>
      </c>
      <c r="E8" t="b">
        <v>0</v>
      </c>
      <c r="F8" t="b">
        <v>0</v>
      </c>
      <c r="G8" s="12" t="n">
        <v>2200</v>
      </c>
      <c r="H8" t="inlineStr">
        <is>
          <t>per month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Bundle component</t>
        </is>
      </c>
    </row>
    <row r="9">
      <c r="A9" t="n">
        <v>8</v>
      </c>
      <c r="B9" t="inlineStr">
        <is>
          <t>Monthly V</t>
        </is>
      </c>
      <c r="C9" t="inlineStr">
        <is>
          <t>ACH Processing</t>
        </is>
      </c>
      <c r="D9" t="inlineStr">
        <is>
          <t>Other</t>
        </is>
      </c>
      <c r="E9" t="b">
        <v>0</v>
      </c>
      <c r="F9" t="b">
        <v>0</v>
      </c>
      <c r="G9" s="12" t="n">
        <v>820</v>
      </c>
      <c r="H9" t="inlineStr">
        <is>
          <t>per item</t>
        </is>
      </c>
      <c r="I9" s="13" t="n">
        <v>1</v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Base monthly plus per-item fee</t>
        </is>
      </c>
    </row>
    <row r="10">
      <c r="A10" t="n">
        <v>12</v>
      </c>
      <c r="B10" t="inlineStr">
        <is>
          <t>Monthly V</t>
        </is>
      </c>
      <c r="C10" t="inlineStr">
        <is>
          <t>Bill Pay</t>
        </is>
      </c>
      <c r="D10" t="inlineStr">
        <is>
          <t>Other</t>
        </is>
      </c>
      <c r="E10" t="b">
        <v>0</v>
      </c>
      <c r="F10" t="b">
        <v>0</v>
      </c>
      <c r="G10" s="12" t="n">
        <v>340</v>
      </c>
      <c r="H10" t="inlineStr">
        <is>
          <t>per payment</t>
        </is>
      </c>
      <c r="I10" s="13" t="n">
        <v>1</v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0.95</v>
      </c>
      <c r="T10" t="inlineStr">
        <is>
          <t>Base monthly plus per-payment fee</t>
        </is>
      </c>
    </row>
    <row r="11">
      <c r="A11" t="n">
        <v>11</v>
      </c>
      <c r="B11" t="inlineStr">
        <is>
          <t>Monthly V</t>
        </is>
      </c>
      <c r="C11" t="inlineStr">
        <is>
          <t>Positive Pay</t>
        </is>
      </c>
      <c r="D11" t="inlineStr">
        <is>
          <t>Other</t>
        </is>
      </c>
      <c r="E11" t="b">
        <v>0</v>
      </c>
      <c r="F11" t="b">
        <v>0</v>
      </c>
      <c r="G11" s="12" t="n">
        <v>385</v>
      </c>
      <c r="H11" t="inlineStr">
        <is>
          <t>per item</t>
        </is>
      </c>
      <c r="I11" s="13" t="n">
        <v>1</v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0.95</v>
      </c>
      <c r="T11" t="inlineStr">
        <is>
          <t>Base monthly plus per-item fee</t>
        </is>
      </c>
    </row>
    <row r="12">
      <c r="A12" t="n">
        <v>10</v>
      </c>
      <c r="B12" t="inlineStr">
        <is>
          <t>Monthly V</t>
        </is>
      </c>
      <c r="C12" t="inlineStr">
        <is>
          <t>Remote Deposit</t>
        </is>
      </c>
      <c r="D12" t="inlineStr">
        <is>
          <t>Other</t>
        </is>
      </c>
      <c r="E12" t="b">
        <v>0</v>
      </c>
      <c r="F12" t="b">
        <v>0</v>
      </c>
      <c r="G12" s="12" t="n">
        <v>625</v>
      </c>
      <c r="H12" t="inlineStr">
        <is>
          <t>per deposit</t>
        </is>
      </c>
      <c r="I12" s="13" t="n">
        <v>1</v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0.95</v>
      </c>
      <c r="T12" t="inlineStr">
        <is>
          <t>Base monthly plus per-deposit fee</t>
        </is>
      </c>
    </row>
    <row r="13">
      <c r="A13" t="n">
        <v>9</v>
      </c>
      <c r="B13" t="inlineStr">
        <is>
          <t>Monthly V</t>
        </is>
      </c>
      <c r="C13" t="inlineStr">
        <is>
          <t>Wire Services</t>
        </is>
      </c>
      <c r="D13" t="inlineStr">
        <is>
          <t>Other</t>
        </is>
      </c>
      <c r="E13" t="b">
        <v>0</v>
      </c>
      <c r="F13" t="b">
        <v>0</v>
      </c>
      <c r="G13" s="12" t="n">
        <v>450</v>
      </c>
      <c r="H13" t="inlineStr">
        <is>
          <t>per wire</t>
        </is>
      </c>
      <c r="I13" s="13" t="n">
        <v>1</v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0.95</v>
      </c>
      <c r="T13" t="inlineStr">
        <is>
          <t>Base monthly plus per-wire fee</t>
        </is>
      </c>
    </row>
    <row r="14">
      <c r="A14" t="n">
        <v>13</v>
      </c>
      <c r="B14" t="inlineStr">
        <is>
          <t>Monthly V</t>
        </is>
      </c>
      <c r="C14" t="inlineStr">
        <is>
          <t>eStatements</t>
        </is>
      </c>
      <c r="D14" t="inlineStr">
        <is>
          <t>Other</t>
        </is>
      </c>
      <c r="E14" t="b">
        <v>0</v>
      </c>
      <c r="F14" t="b">
        <v>0</v>
      </c>
      <c r="G14" s="12" t="n">
        <v>275</v>
      </c>
      <c r="H14" t="inlineStr">
        <is>
          <t>per statement</t>
        </is>
      </c>
      <c r="I14" s="13" t="n">
        <v>1</v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0.95</v>
      </c>
      <c r="T14" t="inlineStr">
        <is>
          <t>Base monthly plus per-statement fee</t>
        </is>
      </c>
    </row>
    <row r="15">
      <c r="A15" t="n">
        <v>19</v>
      </c>
      <c r="B15" t="inlineStr">
        <is>
          <t>One-Time</t>
        </is>
      </c>
      <c r="C15" t="inlineStr">
        <is>
          <t>Core Implementation - Implementation Fee</t>
        </is>
      </c>
      <c r="D15" t="inlineStr">
        <is>
          <t>Other</t>
        </is>
      </c>
      <c r="E15" t="b">
        <v>0</v>
      </c>
      <c r="F15" t="b">
        <v>0</v>
      </c>
      <c r="G15" s="12" t="n">
        <v>145000</v>
      </c>
      <c r="H15" t="inlineStr">
        <is>
          <t>one-time</t>
        </is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0.95</v>
      </c>
      <c r="T15" t="inlineStr">
        <is>
          <t>Implementation fee</t>
        </is>
      </c>
    </row>
    <row r="16">
      <c r="A16" t="n">
        <v>20</v>
      </c>
      <c r="B16" t="inlineStr">
        <is>
          <t>One-Time</t>
        </is>
      </c>
      <c r="C16" t="inlineStr">
        <is>
          <t>Data Migration - Implementation Fee</t>
        </is>
      </c>
      <c r="D16" t="inlineStr">
        <is>
          <t>Other</t>
        </is>
      </c>
      <c r="E16" t="b">
        <v>0</v>
      </c>
      <c r="F16" t="b">
        <v>0</v>
      </c>
      <c r="G16" s="12" t="n">
        <v>48000</v>
      </c>
      <c r="H16" t="inlineStr">
        <is>
          <t>one-time</t>
        </is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0.95</v>
      </c>
      <c r="T16" t="inlineStr">
        <is>
          <t>Implementation fee</t>
        </is>
      </c>
    </row>
    <row r="17">
      <c r="A17" t="n">
        <v>23</v>
      </c>
      <c r="B17" t="inlineStr">
        <is>
          <t>One-Time</t>
        </is>
      </c>
      <c r="C17" t="inlineStr">
        <is>
          <t>Integrations - Implementation Fee</t>
        </is>
      </c>
      <c r="D17" t="inlineStr">
        <is>
          <t>Other</t>
        </is>
      </c>
      <c r="E17" t="b">
        <v>0</v>
      </c>
      <c r="F17" t="b">
        <v>0</v>
      </c>
      <c r="G17" s="12" t="n">
        <v>28000</v>
      </c>
      <c r="H17" t="inlineStr">
        <is>
          <t>one-time</t>
        </is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0.95</v>
      </c>
      <c r="T17" t="inlineStr">
        <is>
          <t>Implementation fee</t>
        </is>
      </c>
    </row>
    <row r="18">
      <c r="A18" t="n">
        <v>22</v>
      </c>
      <c r="B18" t="inlineStr">
        <is>
          <t>One-Time</t>
        </is>
      </c>
      <c r="C18" t="inlineStr">
        <is>
          <t>Project Management - Implementation Fee</t>
        </is>
      </c>
      <c r="D18" t="inlineStr">
        <is>
          <t>Other</t>
        </is>
      </c>
      <c r="E18" t="b">
        <v>0</v>
      </c>
      <c r="F18" t="b">
        <v>0</v>
      </c>
      <c r="G18" s="12" t="n">
        <v>22000</v>
      </c>
      <c r="H18" t="inlineStr">
        <is>
          <t>one-time</t>
        </is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0.95</v>
      </c>
      <c r="T18" t="inlineStr">
        <is>
          <t>Implementation fee</t>
        </is>
      </c>
    </row>
    <row r="19">
      <c r="A19" t="n">
        <v>24</v>
      </c>
      <c r="B19" t="inlineStr">
        <is>
          <t>One-Time</t>
        </is>
      </c>
      <c r="C19" t="inlineStr">
        <is>
          <t>Signing Incentive - Implementation Fee</t>
        </is>
      </c>
      <c r="D19" t="inlineStr">
        <is>
          <t>Other</t>
        </is>
      </c>
      <c r="E19" t="b">
        <v>0</v>
      </c>
      <c r="F19" t="b">
        <v>0</v>
      </c>
      <c r="G19" s="12" t="n">
        <v>-35000</v>
      </c>
      <c r="H19" t="inlineStr">
        <is>
          <t>one-time</t>
        </is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0.95</v>
      </c>
      <c r="T19" t="inlineStr">
        <is>
          <t>One-time credit</t>
        </is>
      </c>
    </row>
    <row r="20">
      <c r="A20" t="n">
        <v>21</v>
      </c>
      <c r="B20" t="inlineStr">
        <is>
          <t>One-Time</t>
        </is>
      </c>
      <c r="C20" t="inlineStr">
        <is>
          <t>Training - Implementation Fee</t>
        </is>
      </c>
      <c r="D20" t="inlineStr">
        <is>
          <t>Other</t>
        </is>
      </c>
      <c r="E20" t="b">
        <v>0</v>
      </c>
      <c r="F20" t="b">
        <v>0</v>
      </c>
      <c r="G20" s="12" t="n">
        <v>18500</v>
      </c>
      <c r="H20" t="inlineStr">
        <is>
          <t>one-time</t>
        </is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0.95</v>
      </c>
      <c r="T20" t="inlineStr">
        <is>
          <t>Implementation fee</t>
        </is>
      </c>
    </row>
    <row r="21">
      <c r="A21" t="n">
        <v>18</v>
      </c>
      <c r="B21" t="inlineStr">
        <is>
          <t>Monthly F</t>
        </is>
      </c>
      <c r="C21" t="inlineStr">
        <is>
          <t>API Developer Access</t>
        </is>
      </c>
      <c r="D21" t="inlineStr">
        <is>
          <t>Other</t>
        </is>
      </c>
      <c r="E21" t="b">
        <v>0</v>
      </c>
      <c r="F21" t="b">
        <v>1</v>
      </c>
      <c r="G21" s="12" t="n">
        <v>875</v>
      </c>
      <c r="H21" t="inlineStr">
        <is>
          <t>per month</t>
        </is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0.95</v>
      </c>
      <c r="T21" t="inlineStr">
        <is>
          <t>Optional service</t>
        </is>
      </c>
    </row>
    <row r="22">
      <c r="A22" t="n">
        <v>17</v>
      </c>
      <c r="B22" t="inlineStr">
        <is>
          <t>Monthly F</t>
        </is>
      </c>
      <c r="C22" t="inlineStr">
        <is>
          <t>Advanced Fraud AI</t>
        </is>
      </c>
      <c r="D22" t="inlineStr">
        <is>
          <t>Other</t>
        </is>
      </c>
      <c r="E22" t="b">
        <v>0</v>
      </c>
      <c r="F22" t="b">
        <v>1</v>
      </c>
      <c r="G22" s="12" t="n">
        <v>580</v>
      </c>
      <c r="H22" t="inlineStr">
        <is>
          <t>per month</t>
        </is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0.95</v>
      </c>
      <c r="T22" t="inlineStr">
        <is>
          <t>Optional service</t>
        </is>
      </c>
    </row>
    <row r="23">
      <c r="A23" t="n">
        <v>15</v>
      </c>
      <c r="B23" t="inlineStr">
        <is>
          <t>Monthly F</t>
        </is>
      </c>
      <c r="C23" t="inlineStr">
        <is>
          <t>Commercial Lockbox</t>
        </is>
      </c>
      <c r="D23" t="inlineStr">
        <is>
          <t>Other</t>
        </is>
      </c>
      <c r="E23" t="b">
        <v>0</v>
      </c>
      <c r="F23" t="b">
        <v>1</v>
      </c>
      <c r="G23" s="12" t="n">
        <v>1350</v>
      </c>
      <c r="H23" t="inlineStr">
        <is>
          <t>per month</t>
        </is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0.95</v>
      </c>
      <c r="T23" t="inlineStr">
        <is>
          <t>Optional service</t>
        </is>
      </c>
    </row>
    <row r="24">
      <c r="A24" t="n">
        <v>16</v>
      </c>
      <c r="B24" t="inlineStr">
        <is>
          <t>Monthly F</t>
        </is>
      </c>
      <c r="C24" t="inlineStr">
        <is>
          <t>International Services</t>
        </is>
      </c>
      <c r="D24" t="inlineStr">
        <is>
          <t>Other</t>
        </is>
      </c>
      <c r="E24" t="b">
        <v>0</v>
      </c>
      <c r="F24" t="b">
        <v>1</v>
      </c>
      <c r="G24" s="12" t="n">
        <v>520</v>
      </c>
      <c r="H24" t="inlineStr">
        <is>
          <t>per month</t>
        </is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0.95</v>
      </c>
      <c r="T24" t="inlineStr">
        <is>
          <t>Optional service</t>
        </is>
      </c>
    </row>
    <row r="25">
      <c r="A25" t="n">
        <v>14</v>
      </c>
      <c r="B25" t="inlineStr">
        <is>
          <t>Monthly F</t>
        </is>
      </c>
      <c r="C25" t="inlineStr">
        <is>
          <t>Treasury Management Suite</t>
        </is>
      </c>
      <c r="D25" t="inlineStr">
        <is>
          <t>Other</t>
        </is>
      </c>
      <c r="E25" t="b">
        <v>0</v>
      </c>
      <c r="F25" t="b">
        <v>1</v>
      </c>
      <c r="G25" s="12" t="n">
        <v>1650</v>
      </c>
      <c r="H25" t="inlineStr">
        <is>
          <t>per month</t>
        </is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0.95</v>
      </c>
      <c r="T25" t="inlineStr">
        <is>
          <t>Optional service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4" t="inlineStr">
        <is>
          <t>Total Annual Cost</t>
        </is>
      </c>
      <c r="B5" s="15">
        <f>B3+B4</f>
        <v/>
      </c>
      <c r="C5" s="15">
        <f>C3+C4</f>
        <v/>
      </c>
      <c r="D5" s="15">
        <f>D3+D4</f>
        <v/>
      </c>
      <c r="E5" s="15">
        <f>E3+E4</f>
        <v/>
      </c>
      <c r="F5" s="15">
        <f>F3+F4</f>
        <v/>
      </c>
      <c r="G5" s="15">
        <f>G3+G4</f>
        <v/>
      </c>
      <c r="H5" s="15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Other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Non-Bundle Required - Vendor</t>
        </is>
      </c>
      <c r="B6" s="9" t="n"/>
      <c r="C6" s="9" t="n"/>
    </row>
    <row r="7">
      <c r="A7" s="14" t="inlineStr">
        <is>
          <t>Total Required TCO</t>
        </is>
      </c>
      <c r="B7" s="15">
        <f>SUM(B5:B5)</f>
        <v/>
      </c>
      <c r="C7" s="15">
        <f>B7/84</f>
        <v/>
      </c>
    </row>
    <row r="8">
      <c r="A8" t="inlineStr">
        <is>
          <t>One-Time Fees</t>
        </is>
      </c>
      <c r="B8" s="9" t="n"/>
      <c r="C8" s="9" t="n"/>
    </row>
    <row r="9">
      <c r="A9" s="16" t="inlineStr">
        <is>
          <t>Optional Items Total</t>
        </is>
      </c>
      <c r="B9" s="9">
        <f>SUMIFS('Line Items'!$R:$R,'Line Items'!$F:$F,TRUE)</f>
        <v/>
      </c>
      <c r="C9" s="9">
        <f>B9/84</f>
        <v/>
      </c>
    </row>
    <row r="10">
      <c r="A10" s="10" t="inlineStr">
        <is>
          <t>Total Required TCO</t>
        </is>
      </c>
      <c r="B10" s="9" t="n"/>
      <c r="C10" s="9" t="n"/>
    </row>
    <row r="11">
      <c r="B11" s="9" t="n"/>
      <c r="C11" s="9" t="n"/>
    </row>
    <row r="12">
      <c r="A12" t="inlineStr">
        <is>
          <t>Optional Solutions</t>
        </is>
      </c>
      <c r="B12" s="9" t="n"/>
      <c r="C12" s="9" t="n"/>
    </row>
    <row r="13">
      <c r="B13" s="9" t="n"/>
      <c r="C13" s="9" t="n"/>
    </row>
    <row r="14">
      <c r="A14" s="10" t="inlineStr">
        <is>
          <t>Grand Total (Required + Optional)</t>
        </is>
      </c>
      <c r="B14" s="9" t="n"/>
      <c r="C14" s="9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COMMERCE_FIRST_CSI</t>
        </is>
      </c>
    </row>
    <row r="3">
      <c r="A3" s="2" t="inlineStr">
        <is>
          <t>Client Name:</t>
        </is>
      </c>
    </row>
    <row r="4">
      <c r="A4" s="2" t="inlineStr">
        <is>
          <t>Proposal Type:</t>
        </is>
      </c>
      <c r="B4" t="inlineStr">
        <is>
          <t>Banking Software Proposal</t>
        </is>
      </c>
    </row>
    <row r="5">
      <c r="A5" s="2" t="inlineStr">
        <is>
          <t>Proposal Date:</t>
        </is>
      </c>
      <c r="B5" t="inlineStr">
        <is>
          <t>2025</t>
        </is>
      </c>
    </row>
    <row r="6">
      <c r="A6" s="2" t="inlineStr">
        <is>
          <t>Contract Term (Years):</t>
        </is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2026-01-14 17:43:10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2026-01-14T23:43:10Z</dcterms:modified>
</cp:coreProperties>
</file>