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6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1</v>
      </c>
      <c r="B2" t="inlineStr">
        <is>
          <t>Monthly F</t>
        </is>
      </c>
      <c r="C2" t="inlineStr">
        <is>
          <t>Core: HORIZON</t>
        </is>
      </c>
      <c r="D2" t="inlineStr">
        <is>
          <t>Core</t>
        </is>
      </c>
      <c r="E2" t="b">
        <v>0</v>
      </c>
      <c r="F2" t="b">
        <v>0</v>
      </c>
      <c r="G2" s="12" t="n">
        <v>20644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Combined organization pricing</t>
        </is>
      </c>
    </row>
    <row r="3">
      <c r="A3" t="n">
        <v>19</v>
      </c>
      <c r="B3" t="inlineStr">
        <is>
          <t>Monthly F</t>
        </is>
      </c>
      <c r="C3" t="inlineStr">
        <is>
          <t>HORIZON: Conditional Processing</t>
        </is>
      </c>
      <c r="D3" t="inlineStr">
        <is>
          <t>Core</t>
        </is>
      </c>
      <c r="E3" t="b">
        <v>0</v>
      </c>
      <c r="F3" t="b">
        <v>0</v>
      </c>
      <c r="G3" s="12" t="n">
        <v>1257.17</v>
      </c>
      <c r="H3" t="inlineStr">
        <is>
          <t>per month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0.95</v>
      </c>
      <c r="T3" t="inlineStr">
        <is>
          <t>Recommended</t>
        </is>
      </c>
    </row>
    <row r="4">
      <c r="A4" t="n">
        <v>2</v>
      </c>
      <c r="B4" t="inlineStr">
        <is>
          <t>Monthly F</t>
        </is>
      </c>
      <c r="C4" t="inlineStr">
        <is>
          <t>Digital: D1 Flex, D1 Business, Mobile, Bill Pay</t>
        </is>
      </c>
      <c r="D4" t="inlineStr">
        <is>
          <t>Digital</t>
        </is>
      </c>
      <c r="E4" t="b">
        <v>0</v>
      </c>
      <c r="F4" t="b">
        <v>0</v>
      </c>
      <c r="G4" s="12" t="n">
        <v>37870</v>
      </c>
      <c r="H4" t="inlineStr">
        <is>
          <t>per month</t>
        </is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0.95</v>
      </c>
      <c r="T4" t="inlineStr">
        <is>
          <t>Combined organization pricing</t>
        </is>
      </c>
    </row>
    <row r="5">
      <c r="A5" t="n">
        <v>3</v>
      </c>
      <c r="B5" t="inlineStr">
        <is>
          <t>Monthly F</t>
        </is>
      </c>
      <c r="C5" t="inlineStr">
        <is>
          <t>Digital: Website Services</t>
        </is>
      </c>
      <c r="D5" t="inlineStr">
        <is>
          <t>Digital</t>
        </is>
      </c>
      <c r="E5" t="b">
        <v>0</v>
      </c>
      <c r="F5" t="b">
        <v>0</v>
      </c>
      <c r="G5" s="12" t="n">
        <v>572</v>
      </c>
      <c r="H5" t="inlineStr">
        <is>
          <t>per month</t>
        </is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0.95</v>
      </c>
      <c r="T5" t="inlineStr">
        <is>
          <t>Combined organization pricing</t>
        </is>
      </c>
    </row>
    <row r="6">
      <c r="A6" t="n">
        <v>4</v>
      </c>
      <c r="B6" t="inlineStr">
        <is>
          <t>Monthly F</t>
        </is>
      </c>
      <c r="C6" t="inlineStr">
        <is>
          <t>Digital: Zelle</t>
        </is>
      </c>
      <c r="D6" t="inlineStr">
        <is>
          <t>Digital</t>
        </is>
      </c>
      <c r="E6" t="b">
        <v>0</v>
      </c>
      <c r="F6" t="b">
        <v>0</v>
      </c>
      <c r="G6" s="12" t="n">
        <v>605</v>
      </c>
      <c r="H6" t="inlineStr">
        <is>
          <t>per month</t>
        </is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0.95</v>
      </c>
      <c r="T6" t="inlineStr">
        <is>
          <t>Combined organization pricing</t>
        </is>
      </c>
    </row>
    <row r="7">
      <c r="A7" t="n">
        <v>5</v>
      </c>
      <c r="B7" t="inlineStr">
        <is>
          <t>Monthly F</t>
        </is>
      </c>
      <c r="C7" t="inlineStr">
        <is>
          <t>EFT: EFT Norcross, 3D Secure, Tokenization, SecurLOCK</t>
        </is>
      </c>
      <c r="D7" t="inlineStr">
        <is>
          <t>EFT</t>
        </is>
      </c>
      <c r="E7" t="b">
        <v>0</v>
      </c>
      <c r="F7" t="b">
        <v>0</v>
      </c>
      <c r="G7" s="12" t="n">
        <v>7673</v>
      </c>
      <c r="H7" t="inlineStr">
        <is>
          <t>per month</t>
        </is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0.95</v>
      </c>
      <c r="T7" t="inlineStr">
        <is>
          <t>Combined organization pricing</t>
        </is>
      </c>
    </row>
    <row r="8">
      <c r="A8" t="n">
        <v>9</v>
      </c>
      <c r="B8" t="inlineStr">
        <is>
          <t>Monthly F</t>
        </is>
      </c>
      <c r="C8" t="inlineStr">
        <is>
          <t>Item Processing: FCM, IP, Branch Capture, CCX, FXD, DLRR</t>
        </is>
      </c>
      <c r="D8" t="inlineStr">
        <is>
          <t>Item Processing</t>
        </is>
      </c>
      <c r="E8" t="b">
        <v>0</v>
      </c>
      <c r="F8" t="b">
        <v>0</v>
      </c>
      <c r="G8" s="12" t="n">
        <v>20268</v>
      </c>
      <c r="H8" t="inlineStr">
        <is>
          <t>per month</t>
        </is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0.95</v>
      </c>
      <c r="T8" t="inlineStr">
        <is>
          <t>Combined organization pricing</t>
        </is>
      </c>
    </row>
    <row r="9">
      <c r="A9" t="n">
        <v>12</v>
      </c>
      <c r="B9" t="inlineStr">
        <is>
          <t>Monthly F</t>
        </is>
      </c>
      <c r="C9" t="inlineStr">
        <is>
          <t>Lending: CRA Wiz/Fair Lending</t>
        </is>
      </c>
      <c r="D9" t="inlineStr">
        <is>
          <t>Lending</t>
        </is>
      </c>
      <c r="E9" t="b">
        <v>0</v>
      </c>
      <c r="F9" t="b">
        <v>0</v>
      </c>
      <c r="G9" s="12" t="n">
        <v>1369</v>
      </c>
      <c r="H9" t="inlineStr">
        <is>
          <t>per month</t>
        </is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0.95</v>
      </c>
      <c r="T9" t="inlineStr">
        <is>
          <t>Combined organization pricing</t>
        </is>
      </c>
    </row>
    <row r="10">
      <c r="A10" t="n">
        <v>11</v>
      </c>
      <c r="B10" t="inlineStr">
        <is>
          <t>Monthly F</t>
        </is>
      </c>
      <c r="C10" t="inlineStr">
        <is>
          <t>Lending: FLO</t>
        </is>
      </c>
      <c r="D10" t="inlineStr">
        <is>
          <t>Lending</t>
        </is>
      </c>
      <c r="E10" t="b">
        <v>0</v>
      </c>
      <c r="F10" t="b">
        <v>0</v>
      </c>
      <c r="G10" s="12" t="n">
        <v>1019</v>
      </c>
      <c r="H10" t="inlineStr">
        <is>
          <t>per month</t>
        </is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0.95</v>
      </c>
      <c r="T10" t="inlineStr">
        <is>
          <t>Combined organization pricing</t>
        </is>
      </c>
    </row>
    <row r="11">
      <c r="A11" t="n">
        <v>10</v>
      </c>
      <c r="B11" t="inlineStr">
        <is>
          <t>Monthly F</t>
        </is>
      </c>
      <c r="C11" t="inlineStr">
        <is>
          <t>FOS: eDelivery, Print/Render, Forms &amp; Envelopes</t>
        </is>
      </c>
      <c r="D11" t="inlineStr">
        <is>
          <t>Other</t>
        </is>
      </c>
      <c r="E11" t="b">
        <v>0</v>
      </c>
      <c r="F11" t="b">
        <v>0</v>
      </c>
      <c r="G11" s="12" t="n">
        <v>2712</v>
      </c>
      <c r="H11" t="inlineStr">
        <is>
          <t>per month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0.95</v>
      </c>
      <c r="T11" t="inlineStr">
        <is>
          <t>Combined organization pricing</t>
        </is>
      </c>
    </row>
    <row r="12">
      <c r="A12" t="n">
        <v>29</v>
      </c>
      <c r="B12" t="inlineStr">
        <is>
          <t>Monthly F</t>
        </is>
      </c>
      <c r="C12" t="inlineStr">
        <is>
          <t>Image Solutions: Chargeback Manager</t>
        </is>
      </c>
      <c r="D12" t="inlineStr">
        <is>
          <t>Other</t>
        </is>
      </c>
      <c r="E12" t="b">
        <v>0</v>
      </c>
      <c r="F12" t="b">
        <v>0</v>
      </c>
      <c r="G12" s="12" t="n">
        <v>284</v>
      </c>
      <c r="H12" t="inlineStr">
        <is>
          <t>per month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0.95</v>
      </c>
      <c r="T12" t="inlineStr">
        <is>
          <t>Recommended</t>
        </is>
      </c>
    </row>
    <row r="13">
      <c r="A13" t="n">
        <v>8</v>
      </c>
      <c r="B13" t="inlineStr">
        <is>
          <t>Monthly F</t>
        </is>
      </c>
      <c r="C13" t="inlineStr">
        <is>
          <t>Image Solutions: RTP (Receive)</t>
        </is>
      </c>
      <c r="D13" t="inlineStr">
        <is>
          <t>Other</t>
        </is>
      </c>
      <c r="E13" t="b">
        <v>0</v>
      </c>
      <c r="F13" t="b">
        <v>0</v>
      </c>
      <c r="G13" s="12" t="n">
        <v>1027</v>
      </c>
      <c r="H13" t="inlineStr">
        <is>
          <t>per month</t>
        </is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0.95</v>
      </c>
      <c r="T13" t="inlineStr">
        <is>
          <t>Combined organization pricing</t>
        </is>
      </c>
    </row>
    <row r="14">
      <c r="A14" t="n">
        <v>25</v>
      </c>
      <c r="B14" t="inlineStr">
        <is>
          <t>Monthly F</t>
        </is>
      </c>
      <c r="C14" t="inlineStr">
        <is>
          <t>Image Solutions: RTP Send for Business</t>
        </is>
      </c>
      <c r="D14" t="inlineStr">
        <is>
          <t>Other</t>
        </is>
      </c>
      <c r="E14" t="b">
        <v>0</v>
      </c>
      <c r="F14" t="b">
        <v>0</v>
      </c>
      <c r="G14" s="12" t="n">
        <v>158.84</v>
      </c>
      <c r="H14" t="inlineStr">
        <is>
          <t>per month</t>
        </is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0.95</v>
      </c>
      <c r="T14" t="inlineStr">
        <is>
          <t>Recommended</t>
        </is>
      </c>
    </row>
    <row r="15">
      <c r="A15" t="n">
        <v>14</v>
      </c>
      <c r="B15" t="inlineStr">
        <is>
          <t>Monthly F</t>
        </is>
      </c>
      <c r="C15" t="inlineStr">
        <is>
          <t>Information Services: IRS Reporting</t>
        </is>
      </c>
      <c r="D15" t="inlineStr">
        <is>
          <t>Other</t>
        </is>
      </c>
      <c r="E15" t="b">
        <v>0</v>
      </c>
      <c r="F15" t="b">
        <v>0</v>
      </c>
      <c r="G15" s="12" t="n">
        <v>2335</v>
      </c>
      <c r="H15" t="inlineStr">
        <is>
          <t>per month</t>
        </is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0.95</v>
      </c>
      <c r="T15" t="inlineStr">
        <is>
          <t>Combined organization pricing</t>
        </is>
      </c>
    </row>
    <row r="16">
      <c r="A16" t="n">
        <v>13</v>
      </c>
      <c r="B16" t="inlineStr">
        <is>
          <t>Monthly F</t>
        </is>
      </c>
      <c r="C16" t="inlineStr">
        <is>
          <t>Information Services: Regulatory Compliance</t>
        </is>
      </c>
      <c r="D16" t="inlineStr">
        <is>
          <t>Other</t>
        </is>
      </c>
      <c r="E16" t="b">
        <v>0</v>
      </c>
      <c r="F16" t="b">
        <v>0</v>
      </c>
      <c r="G16" s="12" t="n">
        <v>6185</v>
      </c>
      <c r="H16" t="inlineStr">
        <is>
          <t>per month</t>
        </is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0.95</v>
      </c>
      <c r="T16" t="inlineStr">
        <is>
          <t>Combined organization pricing</t>
        </is>
      </c>
    </row>
    <row r="17">
      <c r="A17" t="n">
        <v>6</v>
      </c>
      <c r="B17" t="inlineStr">
        <is>
          <t>Monthly F</t>
        </is>
      </c>
      <c r="C17" t="inlineStr">
        <is>
          <t>Risk, Fraud &amp; Compliance: Decision Solutions</t>
        </is>
      </c>
      <c r="D17" t="inlineStr">
        <is>
          <t>Risk, Fraud &amp; Compliance</t>
        </is>
      </c>
      <c r="E17" t="b">
        <v>0</v>
      </c>
      <c r="F17" t="b">
        <v>0</v>
      </c>
      <c r="G17" s="12" t="n">
        <v>809</v>
      </c>
      <c r="H17" t="inlineStr">
        <is>
          <t>per month</t>
        </is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0.95</v>
      </c>
      <c r="T17" t="inlineStr">
        <is>
          <t>Combined organization pricing</t>
        </is>
      </c>
    </row>
    <row r="18">
      <c r="A18" t="n">
        <v>23</v>
      </c>
      <c r="B18" t="inlineStr">
        <is>
          <t>Monthly F</t>
        </is>
      </c>
      <c r="C18" t="inlineStr">
        <is>
          <t>Treasury: Extended Account Analysis</t>
        </is>
      </c>
      <c r="D18" t="inlineStr">
        <is>
          <t>Treasury</t>
        </is>
      </c>
      <c r="E18" t="b">
        <v>0</v>
      </c>
      <c r="F18" t="b">
        <v>0</v>
      </c>
      <c r="G18" s="12" t="n">
        <v>1088.4</v>
      </c>
      <c r="H18" t="inlineStr">
        <is>
          <t>per month</t>
        </is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0.95</v>
      </c>
      <c r="T18" t="inlineStr">
        <is>
          <t>Recommended</t>
        </is>
      </c>
    </row>
    <row r="19">
      <c r="A19" t="n">
        <v>7</v>
      </c>
      <c r="B19" t="inlineStr">
        <is>
          <t>Monthly F</t>
        </is>
      </c>
      <c r="C19" t="inlineStr">
        <is>
          <t>Treasury: eWire (Business)</t>
        </is>
      </c>
      <c r="D19" t="inlineStr">
        <is>
          <t>Treasury</t>
        </is>
      </c>
      <c r="E19" t="b">
        <v>0</v>
      </c>
      <c r="F19" t="b">
        <v>0</v>
      </c>
      <c r="G19" s="12" t="n">
        <v>2863</v>
      </c>
      <c r="H19" t="inlineStr">
        <is>
          <t>per month</t>
        </is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0.95</v>
      </c>
      <c r="T19" t="inlineStr">
        <is>
          <t>Combined organization pricing</t>
        </is>
      </c>
    </row>
    <row r="20">
      <c r="A20" t="n">
        <v>21</v>
      </c>
      <c r="B20" t="inlineStr">
        <is>
          <t>Monthly F</t>
        </is>
      </c>
      <c r="C20" t="inlineStr">
        <is>
          <t>Treasury: eWire (Consumer)</t>
        </is>
      </c>
      <c r="D20" t="inlineStr">
        <is>
          <t>Treasury</t>
        </is>
      </c>
      <c r="E20" t="b">
        <v>0</v>
      </c>
      <c r="F20" t="b">
        <v>0</v>
      </c>
      <c r="G20" s="12" t="n">
        <v>5.15</v>
      </c>
      <c r="H20" t="inlineStr">
        <is>
          <t>per month</t>
        </is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0.95</v>
      </c>
      <c r="T20" t="inlineStr">
        <is>
          <t>Recommended</t>
        </is>
      </c>
    </row>
    <row r="21">
      <c r="A21" t="n">
        <v>20</v>
      </c>
      <c r="B21" t="inlineStr">
        <is>
          <t>One-Time</t>
        </is>
      </c>
      <c r="C21" t="inlineStr">
        <is>
          <t>HORIZON: Conditional Processing - Implementation Fee</t>
        </is>
      </c>
      <c r="D21" t="inlineStr">
        <is>
          <t>Core</t>
        </is>
      </c>
      <c r="E21" t="b">
        <v>0</v>
      </c>
      <c r="F21" t="b">
        <v>0</v>
      </c>
      <c r="G21" s="12" t="n">
        <v>16883</v>
      </c>
      <c r="H21" t="inlineStr">
        <is>
          <t>one-time</t>
        </is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0.95</v>
      </c>
      <c r="T21" t="inlineStr">
        <is>
          <t>Recommended</t>
        </is>
      </c>
    </row>
    <row r="22">
      <c r="A22" t="n">
        <v>30</v>
      </c>
      <c r="B22" t="inlineStr">
        <is>
          <t>One-Time</t>
        </is>
      </c>
      <c r="C22" t="inlineStr">
        <is>
          <t>Image Solutions: Chargeback Manager - Implementation Fee</t>
        </is>
      </c>
      <c r="D22" t="inlineStr">
        <is>
          <t>Other</t>
        </is>
      </c>
      <c r="E22" t="b">
        <v>0</v>
      </c>
      <c r="F22" t="b">
        <v>0</v>
      </c>
      <c r="G22" s="12" t="n">
        <v>6967</v>
      </c>
      <c r="H22" t="inlineStr">
        <is>
          <t>one-time</t>
        </is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0.95</v>
      </c>
      <c r="T22" t="inlineStr">
        <is>
          <t>Recommended</t>
        </is>
      </c>
    </row>
    <row r="23">
      <c r="A23" t="n">
        <v>26</v>
      </c>
      <c r="B23" t="inlineStr">
        <is>
          <t>One-Time</t>
        </is>
      </c>
      <c r="C23" t="inlineStr">
        <is>
          <t>Image Solutions: RTP Send for Business - Implementation Fee</t>
        </is>
      </c>
      <c r="D23" t="inlineStr">
        <is>
          <t>Other</t>
        </is>
      </c>
      <c r="E23" t="b">
        <v>0</v>
      </c>
      <c r="F23" t="b">
        <v>0</v>
      </c>
      <c r="G23" s="12" t="n">
        <v>8735</v>
      </c>
      <c r="H23" t="inlineStr">
        <is>
          <t>one-time</t>
        </is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0.95</v>
      </c>
      <c r="T23" t="inlineStr">
        <is>
          <t>Recommended</t>
        </is>
      </c>
    </row>
    <row r="24">
      <c r="A24" t="n">
        <v>24</v>
      </c>
      <c r="B24" t="inlineStr">
        <is>
          <t>One-Time</t>
        </is>
      </c>
      <c r="C24" t="inlineStr">
        <is>
          <t>Treasury: Extended Account Analysis - Implementation Fee</t>
        </is>
      </c>
      <c r="D24" t="inlineStr">
        <is>
          <t>Treasury</t>
        </is>
      </c>
      <c r="E24" t="b">
        <v>0</v>
      </c>
      <c r="F24" t="b">
        <v>0</v>
      </c>
      <c r="G24" s="12" t="n">
        <v>65768</v>
      </c>
      <c r="H24" t="inlineStr">
        <is>
          <t>one-time</t>
        </is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0.95</v>
      </c>
      <c r="T24" t="inlineStr">
        <is>
          <t>Recommended</t>
        </is>
      </c>
    </row>
    <row r="25">
      <c r="A25" t="n">
        <v>22</v>
      </c>
      <c r="B25" t="inlineStr">
        <is>
          <t>One-Time</t>
        </is>
      </c>
      <c r="C25" t="inlineStr">
        <is>
          <t>Treasury: eWire (Consumer) - Implementation Fee</t>
        </is>
      </c>
      <c r="D25" t="inlineStr">
        <is>
          <t>Treasury</t>
        </is>
      </c>
      <c r="E25" t="b">
        <v>0</v>
      </c>
      <c r="F25" t="b">
        <v>0</v>
      </c>
      <c r="G25" s="12" t="n">
        <v>1010</v>
      </c>
      <c r="H25" t="inlineStr">
        <is>
          <t>one-time</t>
        </is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0.95</v>
      </c>
      <c r="T25" t="inlineStr">
        <is>
          <t>Recommended</t>
        </is>
      </c>
    </row>
    <row r="26">
      <c r="A26" t="n">
        <v>15</v>
      </c>
      <c r="B26" t="inlineStr">
        <is>
          <t>Monthly F</t>
        </is>
      </c>
      <c r="C26" t="inlineStr">
        <is>
          <t>IP: DirectLink Merchant (via RegO)</t>
        </is>
      </c>
      <c r="D26" t="inlineStr">
        <is>
          <t>Item Processing</t>
        </is>
      </c>
      <c r="E26" t="b">
        <v>1</v>
      </c>
      <c r="F26" t="b">
        <v>0</v>
      </c>
      <c r="G26" s="12" t="n">
        <v>3605.98</v>
      </c>
      <c r="H26" t="inlineStr">
        <is>
          <t>per month</t>
        </is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S26" s="3" t="n">
        <v>0.95</v>
      </c>
      <c r="T26" t="inlineStr">
        <is>
          <t>Recommended - via RegO third party</t>
        </is>
      </c>
    </row>
    <row r="27">
      <c r="A27" t="n">
        <v>16</v>
      </c>
      <c r="B27" t="inlineStr">
        <is>
          <t>One-Time</t>
        </is>
      </c>
      <c r="C27" t="inlineStr">
        <is>
          <t>IP: DirectLink Merchant (via RegO) - Implementation Fee</t>
        </is>
      </c>
      <c r="D27" t="inlineStr">
        <is>
          <t>Item Processing</t>
        </is>
      </c>
      <c r="E27" t="b">
        <v>1</v>
      </c>
      <c r="F27" t="b">
        <v>0</v>
      </c>
      <c r="G27" s="12" t="n">
        <v>27563</v>
      </c>
      <c r="H27" t="inlineStr">
        <is>
          <t>one-time</t>
        </is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S27" s="3" t="n">
        <v>0.95</v>
      </c>
      <c r="T27" t="inlineStr">
        <is>
          <t>Recommended - via RegO third party</t>
        </is>
      </c>
    </row>
    <row r="28">
      <c r="A28" t="n">
        <v>17</v>
      </c>
      <c r="B28" t="inlineStr">
        <is>
          <t>Monthly F</t>
        </is>
      </c>
      <c r="C28" t="inlineStr">
        <is>
          <t>IP: DirectLink Consumer (via FIS)</t>
        </is>
      </c>
      <c r="D28" t="inlineStr">
        <is>
          <t>Item Processing</t>
        </is>
      </c>
      <c r="E28" t="b">
        <v>0</v>
      </c>
      <c r="F28" t="b">
        <v>1</v>
      </c>
      <c r="G28" s="12" t="n">
        <v>1332.98</v>
      </c>
      <c r="H28" t="inlineStr">
        <is>
          <t>per month</t>
        </is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S28" s="3" t="n">
        <v>0.95</v>
      </c>
      <c r="T28" t="inlineStr">
        <is>
          <t>Optional - via FIS</t>
        </is>
      </c>
    </row>
    <row r="29">
      <c r="A29" t="n">
        <v>27</v>
      </c>
      <c r="B29" t="inlineStr">
        <is>
          <t>Monthly F</t>
        </is>
      </c>
      <c r="C29" t="inlineStr">
        <is>
          <t>Image Solutions: FedNOW (both Send/Receive)</t>
        </is>
      </c>
      <c r="D29" t="inlineStr">
        <is>
          <t>Other</t>
        </is>
      </c>
      <c r="E29" t="b">
        <v>0</v>
      </c>
      <c r="F29" t="b">
        <v>1</v>
      </c>
      <c r="G29" s="12" t="n">
        <v>3632.01</v>
      </c>
      <c r="H29" t="inlineStr">
        <is>
          <t>per month</t>
        </is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S29" s="3" t="n">
        <v>0.95</v>
      </c>
      <c r="T29" t="inlineStr">
        <is>
          <t>Optional</t>
        </is>
      </c>
    </row>
    <row r="30">
      <c r="A30" t="n">
        <v>18</v>
      </c>
      <c r="B30" t="inlineStr">
        <is>
          <t>One-Time</t>
        </is>
      </c>
      <c r="C30" t="inlineStr">
        <is>
          <t>IP: DirectLink Consumer (via FIS) - Implementation Fee</t>
        </is>
      </c>
      <c r="D30" t="inlineStr">
        <is>
          <t>Item Processing</t>
        </is>
      </c>
      <c r="E30" t="b">
        <v>0</v>
      </c>
      <c r="F30" t="b">
        <v>1</v>
      </c>
      <c r="G30" s="12" t="n">
        <v>30884</v>
      </c>
      <c r="H30" t="inlineStr">
        <is>
          <t>one-time</t>
        </is>
      </c>
      <c r="J30" s="12">
        <f>IF(B30="Monthly F",G30,IF(B30="Monthly V",G30*I30,IF(B30="Annual",G30/12,0)))</f>
        <v/>
      </c>
      <c r="K30" s="12">
        <f>IF(B30="One-Time",G30,J30*12)</f>
        <v/>
      </c>
      <c r="L30" s="12">
        <f>IF(B30="One-Time",0,K30*(1+Metadata!$B$8))</f>
        <v/>
      </c>
      <c r="M30" s="12">
        <f>IF(B30="One-Time",0,L30*(1+Metadata!$B$8))</f>
        <v/>
      </c>
      <c r="N30" s="12">
        <f>IF(B30="One-Time",0,M30*(1+Metadata!$B$8))</f>
        <v/>
      </c>
      <c r="O30" s="12">
        <f>IF(B30="One-Time",0,N30*(1+Metadata!$B$8))</f>
        <v/>
      </c>
      <c r="P30" s="12">
        <f>IF(B30="One-Time",0,O30*(1+Metadata!$B$8))</f>
        <v/>
      </c>
      <c r="Q30" s="12">
        <f>IF(B30="One-Time",0,P30*(1+Metadata!$B$8))</f>
        <v/>
      </c>
      <c r="R30" s="12">
        <f>SUM(K30:Q30)</f>
        <v/>
      </c>
      <c r="S30" s="3" t="n">
        <v>0.95</v>
      </c>
      <c r="T30" t="inlineStr">
        <is>
          <t>Optional - via FIS</t>
        </is>
      </c>
    </row>
    <row r="31">
      <c r="A31" t="n">
        <v>28</v>
      </c>
      <c r="B31" t="inlineStr">
        <is>
          <t>One-Time</t>
        </is>
      </c>
      <c r="C31" t="inlineStr">
        <is>
          <t>Image Solutions: FedNOW (both Send/Receive) - Implementation Fee</t>
        </is>
      </c>
      <c r="D31" t="inlineStr">
        <is>
          <t>Other</t>
        </is>
      </c>
      <c r="E31" t="b">
        <v>0</v>
      </c>
      <c r="F31" t="b">
        <v>1</v>
      </c>
      <c r="G31" s="12" t="n">
        <v>12552</v>
      </c>
      <c r="H31" t="inlineStr">
        <is>
          <t>one-time</t>
        </is>
      </c>
      <c r="J31" s="12">
        <f>IF(B31="Monthly F",G31,IF(B31="Monthly V",G31*I31,IF(B31="Annual",G31/12,0)))</f>
        <v/>
      </c>
      <c r="K31" s="12">
        <f>IF(B31="One-Time",G31,J31*12)</f>
        <v/>
      </c>
      <c r="L31" s="12">
        <f>IF(B31="One-Time",0,K31*(1+Metadata!$B$8))</f>
        <v/>
      </c>
      <c r="M31" s="12">
        <f>IF(B31="One-Time",0,L31*(1+Metadata!$B$8))</f>
        <v/>
      </c>
      <c r="N31" s="12">
        <f>IF(B31="One-Time",0,M31*(1+Metadata!$B$8))</f>
        <v/>
      </c>
      <c r="O31" s="12">
        <f>IF(B31="One-Time",0,N31*(1+Metadata!$B$8))</f>
        <v/>
      </c>
      <c r="P31" s="12">
        <f>IF(B31="One-Time",0,O31*(1+Metadata!$B$8))</f>
        <v/>
      </c>
      <c r="Q31" s="12">
        <f>IF(B31="One-Time",0,P31*(1+Metadata!$B$8))</f>
        <v/>
      </c>
      <c r="R31" s="12">
        <f>SUM(K31:Q31)</f>
        <v/>
      </c>
      <c r="S31" s="3" t="n">
        <v>0.95</v>
      </c>
      <c r="T31" t="inlineStr">
        <is>
          <t>Optional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3" t="inlineStr">
        <is>
          <t>Total Annual Cost</t>
        </is>
      </c>
      <c r="B5" s="14">
        <f>B3+B4</f>
        <v/>
      </c>
      <c r="C5" s="14">
        <f>C3+C4</f>
        <v/>
      </c>
      <c r="D5" s="14">
        <f>D3+D4</f>
        <v/>
      </c>
      <c r="E5" s="14">
        <f>E3+E4</f>
        <v/>
      </c>
      <c r="F5" s="14">
        <f>F3+F4</f>
        <v/>
      </c>
      <c r="G5" s="14">
        <f>G3+G4</f>
        <v/>
      </c>
      <c r="H5" s="14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Core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Digital</t>
        </is>
      </c>
      <c r="B6" s="9">
        <f>SUMIFS('Line Items'!$R:$R,'Line Items'!$D:$D,A6)</f>
        <v/>
      </c>
      <c r="C6" s="9">
        <f>B6/84</f>
        <v/>
      </c>
    </row>
    <row r="7">
      <c r="A7" t="inlineStr">
        <is>
          <t>EFT</t>
        </is>
      </c>
      <c r="B7" s="9">
        <f>SUMIFS('Line Items'!$R:$R,'Line Items'!$D:$D,A7)</f>
        <v/>
      </c>
      <c r="C7" s="9">
        <f>B7/84</f>
        <v/>
      </c>
    </row>
    <row r="8">
      <c r="A8" t="inlineStr">
        <is>
          <t>Item Processing</t>
        </is>
      </c>
      <c r="B8" s="9">
        <f>SUMIFS('Line Items'!$R:$R,'Line Items'!$D:$D,A8)</f>
        <v/>
      </c>
      <c r="C8" s="9">
        <f>B8/84</f>
        <v/>
      </c>
    </row>
    <row r="9">
      <c r="A9" t="inlineStr">
        <is>
          <t>Lending</t>
        </is>
      </c>
      <c r="B9" s="9">
        <f>SUMIFS('Line Items'!$R:$R,'Line Items'!$D:$D,A9)</f>
        <v/>
      </c>
      <c r="C9" s="9">
        <f>B9/84</f>
        <v/>
      </c>
    </row>
    <row r="10">
      <c r="A10" s="10" t="inlineStr">
        <is>
          <t>Other</t>
        </is>
      </c>
      <c r="B10" s="9">
        <f>SUMIFS('Line Items'!$R:$R,'Line Items'!$D:$D,A10)</f>
        <v/>
      </c>
      <c r="C10" s="9">
        <f>B10/84</f>
        <v/>
      </c>
    </row>
    <row r="11">
      <c r="A11" t="inlineStr">
        <is>
          <t>Risk, Fraud &amp; Compliance</t>
        </is>
      </c>
      <c r="B11" s="9">
        <f>SUMIFS('Line Items'!$R:$R,'Line Items'!$D:$D,A11)</f>
        <v/>
      </c>
      <c r="C11" s="9">
        <f>B11/84</f>
        <v/>
      </c>
    </row>
    <row r="12">
      <c r="A12" t="inlineStr">
        <is>
          <t>Treasury</t>
        </is>
      </c>
      <c r="B12" s="9">
        <f>SUMIFS('Line Items'!$R:$R,'Line Items'!$D:$D,A12)</f>
        <v/>
      </c>
      <c r="C12" s="9">
        <f>B12/84</f>
        <v/>
      </c>
    </row>
    <row r="13">
      <c r="B13" s="9" t="n"/>
      <c r="C13" s="9" t="n"/>
    </row>
    <row r="14">
      <c r="A14" s="15" t="inlineStr">
        <is>
          <t>Total Required TCO</t>
        </is>
      </c>
      <c r="B14" s="14">
        <f>SUM(B5:B12)</f>
        <v/>
      </c>
      <c r="C14" s="14">
        <f>B14/84</f>
        <v/>
      </c>
    </row>
    <row r="16">
      <c r="A16" s="16" t="inlineStr">
        <is>
          <t>Optional Items Total</t>
        </is>
      </c>
      <c r="B16" s="12">
        <f>SUMIFS('Line Items'!$R:$R,'Line Items'!$F:$F,TRUE)</f>
        <v/>
      </c>
      <c r="C16" s="12">
        <f>B16/84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FIRST_NATIONAL_TX</t>
        </is>
      </c>
    </row>
    <row r="3">
      <c r="A3" s="2" t="inlineStr">
        <is>
          <t>Client Name:</t>
        </is>
      </c>
      <c r="B3" t="inlineStr">
        <is>
          <t>Not specified</t>
        </is>
      </c>
    </row>
    <row r="4">
      <c r="A4" s="2" t="inlineStr">
        <is>
          <t>Proposal Type:</t>
        </is>
      </c>
      <c r="B4" t="inlineStr">
        <is>
          <t>Investment Summary</t>
        </is>
      </c>
    </row>
    <row r="5">
      <c r="A5" s="2" t="inlineStr">
        <is>
          <t>Proposal Date:</t>
        </is>
      </c>
      <c r="B5" t="inlineStr">
        <is>
          <t>2025</t>
        </is>
      </c>
    </row>
    <row r="6">
      <c r="A6" s="2" t="inlineStr">
        <is>
          <t>Contract Term (Years):</t>
        </is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2026-01-14 17:42:18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2026-01-14T23:42:18Z</dcterms:modified>
</cp:coreProperties>
</file>