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6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Episys Core</t>
        </is>
      </c>
      <c r="D2" t="inlineStr">
        <is>
          <t>Core</t>
        </is>
      </c>
      <c r="E2" t="b">
        <v>0</v>
      </c>
      <c r="F2" t="b">
        <v>0</v>
      </c>
      <c r="G2" s="12" t="n">
        <v>6200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Core banking system bundle with license fee 62000, maintenance 11000</t>
        </is>
      </c>
    </row>
    <row r="3">
      <c r="A3" t="n">
        <v>3</v>
      </c>
      <c r="B3" t="inlineStr">
        <is>
          <t>Monthly F</t>
        </is>
      </c>
      <c r="C3" t="inlineStr">
        <is>
          <t>PowerOn</t>
        </is>
      </c>
      <c r="D3" t="inlineStr">
        <is>
          <t>Core</t>
        </is>
      </c>
      <c r="E3" t="b">
        <v>0</v>
      </c>
      <c r="F3" t="b">
        <v>0</v>
      </c>
      <c r="G3" s="12" t="n">
        <v>950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system component with license fee 9500, maintenance 1900</t>
        </is>
      </c>
    </row>
    <row r="4">
      <c r="A4" t="n">
        <v>5</v>
      </c>
      <c r="B4" t="inlineStr">
        <is>
          <t>Monthly F</t>
        </is>
      </c>
      <c r="C4" t="inlineStr">
        <is>
          <t>SymConnect</t>
        </is>
      </c>
      <c r="D4" t="inlineStr">
        <is>
          <t>Core</t>
        </is>
      </c>
      <c r="E4" t="b">
        <v>0</v>
      </c>
      <c r="F4" t="b">
        <v>0</v>
      </c>
      <c r="G4" s="12" t="n">
        <v>750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Core connectivity component with license fee 7500, maintenance 1500</t>
        </is>
      </c>
    </row>
    <row r="5">
      <c r="A5" t="n">
        <v>9</v>
      </c>
      <c r="B5" t="inlineStr">
        <is>
          <t>Monthly F</t>
        </is>
      </c>
      <c r="C5" t="inlineStr">
        <is>
          <t>Banno Digital Platform</t>
        </is>
      </c>
      <c r="D5" t="inlineStr">
        <is>
          <t>Digital</t>
        </is>
      </c>
      <c r="E5" t="b">
        <v>0</v>
      </c>
      <c r="F5" t="b">
        <v>0</v>
      </c>
      <c r="G5" s="12" t="n">
        <v>2600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Digital platform with license fee 18000, maintenance 3400</t>
        </is>
      </c>
    </row>
    <row r="6">
      <c r="A6" t="n">
        <v>11</v>
      </c>
      <c r="B6" t="inlineStr">
        <is>
          <t>Monthly F</t>
        </is>
      </c>
      <c r="C6" t="inlineStr">
        <is>
          <t>Banno Mobile</t>
        </is>
      </c>
      <c r="D6" t="inlineStr">
        <is>
          <t>Digital</t>
        </is>
      </c>
      <c r="E6" t="b">
        <v>0</v>
      </c>
      <c r="F6" t="b">
        <v>0</v>
      </c>
      <c r="G6" s="12" t="n">
        <v>1900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Mobile banking with license fee 12000, maintenance 2400</t>
        </is>
      </c>
    </row>
    <row r="7">
      <c r="A7" t="n">
        <v>7</v>
      </c>
      <c r="B7" t="inlineStr">
        <is>
          <t>Monthly F</t>
        </is>
      </c>
      <c r="C7" t="inlineStr">
        <is>
          <t>Member Connect Online</t>
        </is>
      </c>
      <c r="D7" t="inlineStr">
        <is>
          <t>Digital</t>
        </is>
      </c>
      <c r="E7" t="b">
        <v>0</v>
      </c>
      <c r="F7" t="b">
        <v>0</v>
      </c>
      <c r="G7" s="12" t="n">
        <v>1650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Digital banking platform with license fee 14000, maintenance 2800</t>
        </is>
      </c>
    </row>
    <row r="8">
      <c r="A8" t="n">
        <v>13</v>
      </c>
      <c r="B8" t="inlineStr">
        <is>
          <t>Monthly F</t>
        </is>
      </c>
      <c r="C8" t="inlineStr">
        <is>
          <t>ACH Services</t>
        </is>
      </c>
      <c r="D8" t="inlineStr">
        <is>
          <t>Other</t>
        </is>
      </c>
      <c r="E8" t="b">
        <v>0</v>
      </c>
      <c r="F8" t="b">
        <v>0</v>
      </c>
      <c r="G8" s="12" t="n">
        <v>520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Required payment service with maintenance 950</t>
        </is>
      </c>
    </row>
    <row r="9">
      <c r="A9" t="n">
        <v>17</v>
      </c>
      <c r="B9" t="inlineStr">
        <is>
          <t>Monthly F</t>
        </is>
      </c>
      <c r="C9" t="inlineStr">
        <is>
          <t>Bill Pay</t>
        </is>
      </c>
      <c r="D9" t="inlineStr">
        <is>
          <t>Other</t>
        </is>
      </c>
      <c r="E9" t="b">
        <v>0</v>
      </c>
      <c r="F9" t="b">
        <v>0</v>
      </c>
      <c r="G9" s="12" t="n">
        <v>425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Required bill payment service with maintenance 850</t>
        </is>
      </c>
    </row>
    <row r="10">
      <c r="A10" t="n">
        <v>19</v>
      </c>
      <c r="B10" t="inlineStr">
        <is>
          <t>Monthly F</t>
        </is>
      </c>
      <c r="C10" t="inlineStr">
        <is>
          <t>Remote Deposit</t>
        </is>
      </c>
      <c r="D10" t="inlineStr">
        <is>
          <t>Other</t>
        </is>
      </c>
      <c r="E10" t="b">
        <v>0</v>
      </c>
      <c r="F10" t="b">
        <v>0</v>
      </c>
      <c r="G10" s="12" t="n">
        <v>475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Required remote deposit capture with maintenance 900</t>
        </is>
      </c>
    </row>
    <row r="11">
      <c r="A11" t="n">
        <v>33</v>
      </c>
      <c r="B11" t="inlineStr">
        <is>
          <t>Monthly F</t>
        </is>
      </c>
      <c r="C11" t="inlineStr">
        <is>
          <t>Security Services</t>
        </is>
      </c>
      <c r="D11" t="inlineStr">
        <is>
          <t>Other</t>
        </is>
      </c>
      <c r="E11" t="b">
        <v>0</v>
      </c>
      <c r="F11" t="b">
        <v>0</v>
      </c>
      <c r="G11" s="12" t="n">
        <v>1450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Required security services with maintenance 2800</t>
        </is>
      </c>
    </row>
    <row r="12">
      <c r="A12" t="n">
        <v>31</v>
      </c>
      <c r="B12" t="inlineStr">
        <is>
          <t>Monthly F</t>
        </is>
      </c>
      <c r="C12" t="inlineStr">
        <is>
          <t>Symitar EASE Hosting</t>
        </is>
      </c>
      <c r="D12" t="inlineStr">
        <is>
          <t>Other</t>
        </is>
      </c>
      <c r="E12" t="b">
        <v>0</v>
      </c>
      <c r="F12" t="b">
        <v>0</v>
      </c>
      <c r="G12" s="12" t="n">
        <v>3600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Required hosting service with maintenance 6500</t>
        </is>
      </c>
    </row>
    <row r="13">
      <c r="A13" t="n">
        <v>15</v>
      </c>
      <c r="B13" t="inlineStr">
        <is>
          <t>Monthly F</t>
        </is>
      </c>
      <c r="C13" t="inlineStr">
        <is>
          <t>Wire Services</t>
        </is>
      </c>
      <c r="D13" t="inlineStr">
        <is>
          <t>Other</t>
        </is>
      </c>
      <c r="E13" t="b">
        <v>0</v>
      </c>
      <c r="F13" t="b">
        <v>0</v>
      </c>
      <c r="G13" s="12" t="n">
        <v>320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Required wire transfer service with maintenance 600</t>
        </is>
      </c>
    </row>
    <row r="14">
      <c r="A14" t="n">
        <v>21</v>
      </c>
      <c r="B14" t="inlineStr">
        <is>
          <t>Monthly F</t>
        </is>
      </c>
      <c r="C14" t="inlineStr">
        <is>
          <t>eStatements</t>
        </is>
      </c>
      <c r="D14" t="inlineStr">
        <is>
          <t>Other</t>
        </is>
      </c>
      <c r="E14" t="b">
        <v>0</v>
      </c>
      <c r="F14" t="b">
        <v>0</v>
      </c>
      <c r="G14" s="12" t="n">
        <v>285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Required electronic statements with maintenance 550</t>
        </is>
      </c>
    </row>
    <row r="15">
      <c r="A15" t="n">
        <v>2</v>
      </c>
      <c r="B15" t="inlineStr">
        <is>
          <t>One-Time</t>
        </is>
      </c>
      <c r="C15" t="inlineStr">
        <is>
          <t>Episys Core - Implementation Fee</t>
        </is>
      </c>
      <c r="D15" t="inlineStr">
        <is>
          <t>Core</t>
        </is>
      </c>
      <c r="E15" t="b">
        <v>0</v>
      </c>
      <c r="F15" t="b">
        <v>0</v>
      </c>
      <c r="G15" s="12" t="n">
        <v>18000</v>
      </c>
      <c r="H15" t="inlineStr">
        <is>
          <t>one-time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Core banking system bundle with license fee 62000, maintenance 11000</t>
        </is>
      </c>
    </row>
    <row r="16">
      <c r="A16" t="n">
        <v>4</v>
      </c>
      <c r="B16" t="inlineStr">
        <is>
          <t>One-Time</t>
        </is>
      </c>
      <c r="C16" t="inlineStr">
        <is>
          <t>PowerOn - Implementation Fee</t>
        </is>
      </c>
      <c r="D16" t="inlineStr">
        <is>
          <t>Core</t>
        </is>
      </c>
      <c r="E16" t="b">
        <v>0</v>
      </c>
      <c r="F16" t="b">
        <v>0</v>
      </c>
      <c r="G16" s="12" t="n">
        <v>4000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Core system component with license fee 9500, maintenance 1900</t>
        </is>
      </c>
    </row>
    <row r="17">
      <c r="A17" t="n">
        <v>6</v>
      </c>
      <c r="B17" t="inlineStr">
        <is>
          <t>One-Time</t>
        </is>
      </c>
      <c r="C17" t="inlineStr">
        <is>
          <t>SymConnect - Implementation Fee</t>
        </is>
      </c>
      <c r="D17" t="inlineStr">
        <is>
          <t>Core</t>
        </is>
      </c>
      <c r="E17" t="b">
        <v>0</v>
      </c>
      <c r="F17" t="b">
        <v>0</v>
      </c>
      <c r="G17" s="12" t="n">
        <v>3000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Core connectivity component with license fee 7500, maintenance 1500</t>
        </is>
      </c>
    </row>
    <row r="18">
      <c r="A18" t="n">
        <v>10</v>
      </c>
      <c r="B18" t="inlineStr">
        <is>
          <t>One-Time</t>
        </is>
      </c>
      <c r="C18" t="inlineStr">
        <is>
          <t>Banno Digital Platform - Implementation Fee</t>
        </is>
      </c>
      <c r="D18" t="inlineStr">
        <is>
          <t>Digital</t>
        </is>
      </c>
      <c r="E18" t="b">
        <v>0</v>
      </c>
      <c r="F18" t="b">
        <v>0</v>
      </c>
      <c r="G18" s="12" t="n">
        <v>8000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Digital platform with license fee 18000, maintenance 3400</t>
        </is>
      </c>
    </row>
    <row r="19">
      <c r="A19" t="n">
        <v>12</v>
      </c>
      <c r="B19" t="inlineStr">
        <is>
          <t>One-Time</t>
        </is>
      </c>
      <c r="C19" t="inlineStr">
        <is>
          <t>Banno Mobile - Implementation Fee</t>
        </is>
      </c>
      <c r="D19" t="inlineStr">
        <is>
          <t>Digital</t>
        </is>
      </c>
      <c r="E19" t="b">
        <v>0</v>
      </c>
      <c r="F19" t="b">
        <v>0</v>
      </c>
      <c r="G19" s="12" t="n">
        <v>5000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Mobile banking with license fee 12000, maintenance 2400</t>
        </is>
      </c>
    </row>
    <row r="20">
      <c r="A20" t="n">
        <v>8</v>
      </c>
      <c r="B20" t="inlineStr">
        <is>
          <t>One-Time</t>
        </is>
      </c>
      <c r="C20" t="inlineStr">
        <is>
          <t>Member Connect Online - Implementation Fee</t>
        </is>
      </c>
      <c r="D20" t="inlineStr">
        <is>
          <t>Digital</t>
        </is>
      </c>
      <c r="E20" t="b">
        <v>0</v>
      </c>
      <c r="F20" t="b">
        <v>0</v>
      </c>
      <c r="G20" s="12" t="n">
        <v>6500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Digital banking platform with license fee 14000, maintenance 2800</t>
        </is>
      </c>
    </row>
    <row r="21">
      <c r="A21" t="n">
        <v>14</v>
      </c>
      <c r="B21" t="inlineStr">
        <is>
          <t>One-Time</t>
        </is>
      </c>
      <c r="C21" t="inlineStr">
        <is>
          <t>ACH Services - Implementation Fee</t>
        </is>
      </c>
      <c r="D21" t="inlineStr">
        <is>
          <t>Other</t>
        </is>
      </c>
      <c r="E21" t="b">
        <v>0</v>
      </c>
      <c r="F21" t="b">
        <v>0</v>
      </c>
      <c r="G21" s="12" t="n">
        <v>2000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Required payment service with maintenance 950</t>
        </is>
      </c>
    </row>
    <row r="22">
      <c r="A22" t="n">
        <v>18</v>
      </c>
      <c r="B22" t="inlineStr">
        <is>
          <t>One-Time</t>
        </is>
      </c>
      <c r="C22" t="inlineStr">
        <is>
          <t>Bill Pay - Implementation Fee</t>
        </is>
      </c>
      <c r="D22" t="inlineStr">
        <is>
          <t>Other</t>
        </is>
      </c>
      <c r="E22" t="b">
        <v>0</v>
      </c>
      <c r="F22" t="b">
        <v>0</v>
      </c>
      <c r="G22" s="12" t="n">
        <v>2500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Required bill payment service with maintenance 850</t>
        </is>
      </c>
    </row>
    <row r="23">
      <c r="A23" t="n">
        <v>20</v>
      </c>
      <c r="B23" t="inlineStr">
        <is>
          <t>One-Time</t>
        </is>
      </c>
      <c r="C23" t="inlineStr">
        <is>
          <t>Remote Deposit - Implementation Fee</t>
        </is>
      </c>
      <c r="D23" t="inlineStr">
        <is>
          <t>Other</t>
        </is>
      </c>
      <c r="E23" t="b">
        <v>0</v>
      </c>
      <c r="F23" t="b">
        <v>0</v>
      </c>
      <c r="G23" s="12" t="n">
        <v>3500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Required remote deposit capture with maintenance 900</t>
        </is>
      </c>
    </row>
    <row r="24">
      <c r="A24" t="n">
        <v>34</v>
      </c>
      <c r="B24" t="inlineStr">
        <is>
          <t>One-Time</t>
        </is>
      </c>
      <c r="C24" t="inlineStr">
        <is>
          <t>Security Services - Implementation Fee</t>
        </is>
      </c>
      <c r="D24" t="inlineStr">
        <is>
          <t>Other</t>
        </is>
      </c>
      <c r="E24" t="b">
        <v>0</v>
      </c>
      <c r="F24" t="b">
        <v>0</v>
      </c>
      <c r="G24" s="12" t="n">
        <v>6500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Required security services with maintenance 2800</t>
        </is>
      </c>
    </row>
    <row r="25">
      <c r="A25" t="n">
        <v>32</v>
      </c>
      <c r="B25" t="inlineStr">
        <is>
          <t>One-Time</t>
        </is>
      </c>
      <c r="C25" t="inlineStr">
        <is>
          <t>Symitar EASE Hosting - Implementation Fee</t>
        </is>
      </c>
      <c r="D25" t="inlineStr">
        <is>
          <t>Other</t>
        </is>
      </c>
      <c r="E25" t="b">
        <v>0</v>
      </c>
      <c r="F25" t="b">
        <v>0</v>
      </c>
      <c r="G25" s="12" t="n">
        <v>12000</v>
      </c>
      <c r="H25" t="inlineStr">
        <is>
          <t>one-time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Required hosting service with maintenance 6500</t>
        </is>
      </c>
    </row>
    <row r="26">
      <c r="A26" t="n">
        <v>16</v>
      </c>
      <c r="B26" t="inlineStr">
        <is>
          <t>One-Time</t>
        </is>
      </c>
      <c r="C26" t="inlineStr">
        <is>
          <t>Wire Services - Implementation Fee</t>
        </is>
      </c>
      <c r="D26" t="inlineStr">
        <is>
          <t>Other</t>
        </is>
      </c>
      <c r="E26" t="b">
        <v>0</v>
      </c>
      <c r="F26" t="b">
        <v>0</v>
      </c>
      <c r="G26" s="12" t="n">
        <v>1200</v>
      </c>
      <c r="H26" t="inlineStr">
        <is>
          <t>one-time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Required wire transfer service with maintenance 600</t>
        </is>
      </c>
    </row>
    <row r="27">
      <c r="A27" t="n">
        <v>22</v>
      </c>
      <c r="B27" t="inlineStr">
        <is>
          <t>One-Time</t>
        </is>
      </c>
      <c r="C27" t="inlineStr">
        <is>
          <t>eStatements - Implementation Fee</t>
        </is>
      </c>
      <c r="D27" t="inlineStr">
        <is>
          <t>Other</t>
        </is>
      </c>
      <c r="E27" t="b">
        <v>0</v>
      </c>
      <c r="F27" t="b">
        <v>0</v>
      </c>
      <c r="G27" s="12" t="n">
        <v>1800</v>
      </c>
      <c r="H27" t="inlineStr">
        <is>
          <t>one-time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Required electronic statements with maintenance 550</t>
        </is>
      </c>
    </row>
    <row r="28">
      <c r="A28" t="n">
        <v>25</v>
      </c>
      <c r="B28" t="inlineStr">
        <is>
          <t>Monthly F</t>
        </is>
      </c>
      <c r="C28" t="inlineStr">
        <is>
          <t>Loan Origination</t>
        </is>
      </c>
      <c r="D28" t="inlineStr">
        <is>
          <t>Lending</t>
        </is>
      </c>
      <c r="E28" t="b">
        <v>0</v>
      </c>
      <c r="F28" t="b">
        <v>1</v>
      </c>
      <c r="G28" s="12" t="n">
        <v>1150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loan origination system with license fee 12000, maintenance 2300</t>
        </is>
      </c>
    </row>
    <row r="29">
      <c r="A29" t="n">
        <v>29</v>
      </c>
      <c r="B29" t="inlineStr">
        <is>
          <t>Monthly F</t>
        </is>
      </c>
      <c r="C29" t="inlineStr">
        <is>
          <t>Business Intelligence</t>
        </is>
      </c>
      <c r="D29" t="inlineStr">
        <is>
          <t>Other</t>
        </is>
      </c>
      <c r="E29" t="b">
        <v>0</v>
      </c>
      <c r="F29" t="b">
        <v>1</v>
      </c>
      <c r="G29" s="12" t="n">
        <v>900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BI platform with license fee 9500, maintenance 1800</t>
        </is>
      </c>
    </row>
    <row r="30">
      <c r="A30" t="n">
        <v>23</v>
      </c>
      <c r="B30" t="inlineStr">
        <is>
          <t>Monthly F</t>
        </is>
      </c>
      <c r="C30" t="inlineStr">
        <is>
          <t>Card Processing</t>
        </is>
      </c>
      <c r="D30" t="inlineStr">
        <is>
          <t>Other</t>
        </is>
      </c>
      <c r="E30" t="b">
        <v>0</v>
      </c>
      <c r="F30" t="b">
        <v>1</v>
      </c>
      <c r="G30" s="12" t="n">
        <v>780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card processing with license fee 6500, maintenance 1400</t>
        </is>
      </c>
    </row>
    <row r="31">
      <c r="A31" t="n">
        <v>27</v>
      </c>
      <c r="B31" t="inlineStr">
        <is>
          <t>Monthly F</t>
        </is>
      </c>
      <c r="C31" t="inlineStr">
        <is>
          <t>Document Imaging</t>
        </is>
      </c>
      <c r="D31" t="inlineStr">
        <is>
          <t>Other</t>
        </is>
      </c>
      <c r="E31" t="b">
        <v>0</v>
      </c>
      <c r="F31" t="b">
        <v>1</v>
      </c>
      <c r="G31" s="12" t="n">
        <v>700</v>
      </c>
      <c r="H31" t="inlineStr">
        <is>
          <t>per month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document imaging with license fee 7500, maintenance 1350</t>
        </is>
      </c>
    </row>
    <row r="32">
      <c r="A32" t="n">
        <v>26</v>
      </c>
      <c r="B32" t="inlineStr">
        <is>
          <t>One-Time</t>
        </is>
      </c>
      <c r="C32" t="inlineStr">
        <is>
          <t>Loan Origination - Implementation Fee</t>
        </is>
      </c>
      <c r="D32" t="inlineStr">
        <is>
          <t>Lending</t>
        </is>
      </c>
      <c r="E32" t="b">
        <v>0</v>
      </c>
      <c r="F32" t="b">
        <v>1</v>
      </c>
      <c r="G32" s="12" t="n">
        <v>6000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Optional loan origination system with license fee 12000, maintenance 2300</t>
        </is>
      </c>
    </row>
    <row r="33">
      <c r="A33" t="n">
        <v>30</v>
      </c>
      <c r="B33" t="inlineStr">
        <is>
          <t>One-Time</t>
        </is>
      </c>
      <c r="C33" t="inlineStr">
        <is>
          <t>Business Intelligence - Implementation Fee</t>
        </is>
      </c>
      <c r="D33" t="inlineStr">
        <is>
          <t>Other</t>
        </is>
      </c>
      <c r="E33" t="b">
        <v>0</v>
      </c>
      <c r="F33" t="b">
        <v>1</v>
      </c>
      <c r="G33" s="12" t="n">
        <v>5000</v>
      </c>
      <c r="H33" t="inlineStr">
        <is>
          <t>one-time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0.95</v>
      </c>
      <c r="T33" t="inlineStr">
        <is>
          <t>Optional BI platform with license fee 9500, maintenance 1800</t>
        </is>
      </c>
    </row>
    <row r="34">
      <c r="A34" t="n">
        <v>24</v>
      </c>
      <c r="B34" t="inlineStr">
        <is>
          <t>One-Time</t>
        </is>
      </c>
      <c r="C34" t="inlineStr">
        <is>
          <t>Card Processing - Implementation Fee</t>
        </is>
      </c>
      <c r="D34" t="inlineStr">
        <is>
          <t>Other</t>
        </is>
      </c>
      <c r="E34" t="b">
        <v>0</v>
      </c>
      <c r="F34" t="b">
        <v>1</v>
      </c>
      <c r="G34" s="12" t="n">
        <v>4000</v>
      </c>
      <c r="H34" t="inlineStr">
        <is>
          <t>one-time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0.95</v>
      </c>
      <c r="T34" t="inlineStr">
        <is>
          <t>Optional card processing with license fee 6500, maintenance 1400</t>
        </is>
      </c>
    </row>
    <row r="35">
      <c r="A35" t="n">
        <v>28</v>
      </c>
      <c r="B35" t="inlineStr">
        <is>
          <t>One-Time</t>
        </is>
      </c>
      <c r="C35" t="inlineStr">
        <is>
          <t>Document Imaging - Implementation Fee</t>
        </is>
      </c>
      <c r="D35" t="inlineStr">
        <is>
          <t>Other</t>
        </is>
      </c>
      <c r="E35" t="b">
        <v>0</v>
      </c>
      <c r="F35" t="b">
        <v>1</v>
      </c>
      <c r="G35" s="12" t="n">
        <v>3800</v>
      </c>
      <c r="H35" t="inlineStr">
        <is>
          <t>one-time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0.95</v>
      </c>
      <c r="T35" t="inlineStr">
        <is>
          <t>Optional document imaging with license fee 7500, maintenance 1350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Lending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Other</t>
        </is>
      </c>
      <c r="B8" s="9">
        <f>SUMIFS('Line Items'!$R:$R,'Line Items'!$D:$D,A8)</f>
        <v/>
      </c>
      <c r="C8" s="9">
        <f>B8/84</f>
        <v/>
      </c>
    </row>
    <row r="9">
      <c r="B9" s="9" t="n"/>
      <c r="C9" s="9" t="n"/>
    </row>
    <row r="10">
      <c r="A10" s="15" t="inlineStr">
        <is>
          <t>Total Required TCO</t>
        </is>
      </c>
      <c r="B10" s="14">
        <f>SUM(B5:B8)</f>
        <v/>
      </c>
      <c r="C10" s="14">
        <f>B10/84</f>
        <v/>
      </c>
    </row>
    <row r="11">
      <c r="B11" s="9" t="n"/>
      <c r="C11" s="9" t="n"/>
    </row>
    <row r="12">
      <c r="A12" s="16" t="inlineStr">
        <is>
          <t>Optional Items Total</t>
        </is>
      </c>
      <c r="B12" s="9">
        <f>SUMIFS('Line Items'!$R:$R,'Line Items'!$F:$F,TRUE)</f>
        <v/>
      </c>
      <c r="C12" s="9">
        <f>B12/84</f>
        <v/>
      </c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LAKEVIEW_CU_JH</t>
        </is>
      </c>
    </row>
    <row r="3">
      <c r="A3" s="2" t="inlineStr">
        <is>
          <t>Client Name:</t>
        </is>
      </c>
      <c r="B3" t="inlineStr">
        <is>
          <t>Lakeview Credit Union</t>
        </is>
      </c>
    </row>
    <row r="4">
      <c r="A4" s="2" t="inlineStr">
        <is>
          <t>Proposal Type:</t>
        </is>
      </c>
      <c r="B4" t="inlineStr">
        <is>
          <t>Jack Henry Symitar Proposal</t>
        </is>
      </c>
    </row>
    <row r="5">
      <c r="A5" s="2" t="inlineStr">
        <is>
          <t>Proposal Date:</t>
        </is>
      </c>
      <c r="B5" t="inlineStr">
        <is>
          <t>January 2025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17:43:18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2026-01-14T23:43:18Z</dcterms:modified>
</cp:coreProperties>
</file>