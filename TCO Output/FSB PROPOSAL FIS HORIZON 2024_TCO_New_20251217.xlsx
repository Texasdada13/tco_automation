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 Banking Platform</t>
        </is>
      </c>
      <c r="D2" t="inlineStr">
        <is>
          <t>Core</t>
        </is>
      </c>
      <c r="E2" t="b">
        <v>0</v>
      </c>
      <c r="F2" t="b">
        <v>0</v>
      </c>
      <c r="G2" s="12" t="n">
        <v>25697.93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0.85</v>
      </c>
      <c r="T2" t="inlineStr">
        <is>
          <t>Primary monthly fee identified from table data</t>
        </is>
      </c>
    </row>
    <row r="3">
      <c r="A3" t="n">
        <v>3</v>
      </c>
      <c r="B3" t="inlineStr">
        <is>
          <t>Monthly F</t>
        </is>
      </c>
      <c r="C3" t="inlineStr">
        <is>
          <t>Transaction Processing</t>
        </is>
      </c>
      <c r="D3" t="inlineStr">
        <is>
          <t>Other</t>
        </is>
      </c>
      <c r="E3" t="b">
        <v>0</v>
      </c>
      <c r="F3" t="b">
        <v>0</v>
      </c>
      <c r="G3" s="12" t="n">
        <v>817.54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0.8</v>
      </c>
      <c r="T3" t="inlineStr">
        <is>
          <t>Secondary monthly fee component</t>
        </is>
      </c>
    </row>
    <row r="4">
      <c r="A4" t="n">
        <v>13</v>
      </c>
      <c r="B4" t="inlineStr">
        <is>
          <t>Monthly V</t>
        </is>
      </c>
      <c r="C4" t="inlineStr">
        <is>
          <t>Transaction Processing Services</t>
        </is>
      </c>
      <c r="D4" t="inlineStr">
        <is>
          <t>Other</t>
        </is>
      </c>
      <c r="E4" t="b">
        <v>0</v>
      </c>
      <c r="F4" t="b">
        <v>0</v>
      </c>
      <c r="G4" s="12" t="n">
        <v>187.49</v>
      </c>
      <c r="H4" t="inlineStr">
        <is>
          <t>per transaction</t>
        </is>
      </c>
      <c r="I4" s="13" t="n">
        <v>1</v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0.8</v>
      </c>
      <c r="T4" t="inlineStr">
        <is>
          <t>Variable rate pricing identified</t>
        </is>
      </c>
    </row>
    <row r="5">
      <c r="A5" t="n">
        <v>2</v>
      </c>
      <c r="B5" t="inlineStr">
        <is>
          <t>One-Time</t>
        </is>
      </c>
      <c r="C5" t="inlineStr">
        <is>
          <t>Core Banking Platform - Implementation Fee</t>
        </is>
      </c>
      <c r="D5" t="inlineStr">
        <is>
          <t>Core</t>
        </is>
      </c>
      <c r="E5" t="b">
        <v>0</v>
      </c>
      <c r="F5" t="b">
        <v>0</v>
      </c>
      <c r="G5" s="12" t="n">
        <v>28853.62</v>
      </c>
      <c r="H5" t="inlineStr">
        <is>
          <t>one-time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0.85</v>
      </c>
      <c r="T5" t="inlineStr">
        <is>
          <t>Primary monthly fee identified from table data</t>
        </is>
      </c>
    </row>
    <row r="6">
      <c r="A6" t="n">
        <v>7</v>
      </c>
      <c r="B6" t="inlineStr">
        <is>
          <t>One-Time</t>
        </is>
      </c>
      <c r="C6" t="inlineStr">
        <is>
          <t>Implementation Services - Implementation Fee</t>
        </is>
      </c>
      <c r="D6" t="inlineStr">
        <is>
          <t>Other</t>
        </is>
      </c>
      <c r="E6" t="b">
        <v>0</v>
      </c>
      <c r="F6" t="b">
        <v>0</v>
      </c>
      <c r="G6" s="12" t="n">
        <v>1350</v>
      </c>
      <c r="H6" t="inlineStr">
        <is>
          <t>one-time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</v>
      </c>
      <c r="T6" t="inlineStr">
        <is>
          <t>Implementation fee from pricing tables</t>
        </is>
      </c>
    </row>
    <row r="7">
      <c r="A7" t="n">
        <v>8</v>
      </c>
      <c r="B7" t="inlineStr">
        <is>
          <t>One-Time</t>
        </is>
      </c>
      <c r="C7" t="inlineStr">
        <is>
          <t>Setup and Configuration - Implementation Fee</t>
        </is>
      </c>
      <c r="D7" t="inlineStr">
        <is>
          <t>Other</t>
        </is>
      </c>
      <c r="E7" t="b">
        <v>0</v>
      </c>
      <c r="F7" t="b">
        <v>0</v>
      </c>
      <c r="G7" s="12" t="n">
        <v>469</v>
      </c>
      <c r="H7" t="inlineStr">
        <is>
          <t>one-time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0.85</v>
      </c>
      <c r="T7" t="inlineStr">
        <is>
          <t>Setup fees identified</t>
        </is>
      </c>
    </row>
    <row r="8">
      <c r="A8" t="n">
        <v>4</v>
      </c>
      <c r="B8" t="inlineStr">
        <is>
          <t>One-Time</t>
        </is>
      </c>
      <c r="C8" t="inlineStr">
        <is>
          <t>Transaction Processing - Implementation Fee</t>
        </is>
      </c>
      <c r="D8" t="inlineStr">
        <is>
          <t>Other</t>
        </is>
      </c>
      <c r="E8" t="b">
        <v>0</v>
      </c>
      <c r="F8" t="b">
        <v>0</v>
      </c>
      <c r="G8" s="12" t="n">
        <v>2775.26</v>
      </c>
      <c r="H8" t="inlineStr">
        <is>
          <t>one-time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0.8</v>
      </c>
      <c r="T8" t="inlineStr">
        <is>
          <t>Secondary monthly fee component</t>
        </is>
      </c>
    </row>
    <row r="9">
      <c r="A9" t="n">
        <v>11</v>
      </c>
      <c r="B9" t="inlineStr">
        <is>
          <t>Monthly F</t>
        </is>
      </c>
      <c r="C9" t="inlineStr">
        <is>
          <t>Additional Professional Services</t>
        </is>
      </c>
      <c r="D9" t="inlineStr">
        <is>
          <t>Other</t>
        </is>
      </c>
      <c r="E9" t="b">
        <v>0</v>
      </c>
      <c r="F9" t="b">
        <v>1</v>
      </c>
      <c r="G9" s="12" t="n">
        <v>1194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0.65</v>
      </c>
      <c r="T9" t="inlineStr">
        <is>
          <t>Extended professional services</t>
        </is>
      </c>
    </row>
    <row r="10">
      <c r="A10" t="n">
        <v>5</v>
      </c>
      <c r="B10" t="inlineStr">
        <is>
          <t>Monthly F</t>
        </is>
      </c>
      <c r="C10" t="inlineStr">
        <is>
          <t>Additional Services</t>
        </is>
      </c>
      <c r="D10" t="inlineStr">
        <is>
          <t>Other</t>
        </is>
      </c>
      <c r="E10" t="b">
        <v>0</v>
      </c>
      <c r="F10" t="b">
        <v>1</v>
      </c>
      <c r="G10" s="12" t="n">
        <v>1502.94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0.75</v>
      </c>
      <c r="T10" t="inlineStr">
        <is>
          <t>Additional service fees identified</t>
        </is>
      </c>
    </row>
    <row r="11">
      <c r="A11" t="n">
        <v>9</v>
      </c>
      <c r="B11" t="inlineStr">
        <is>
          <t>Monthly F</t>
        </is>
      </c>
      <c r="C11" t="inlineStr">
        <is>
          <t>Professional Services</t>
        </is>
      </c>
      <c r="D11" t="inlineStr">
        <is>
          <t>Other</t>
        </is>
      </c>
      <c r="E11" t="b">
        <v>0</v>
      </c>
      <c r="F11" t="b">
        <v>1</v>
      </c>
      <c r="G11" s="12" t="n">
        <v>416.46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0.7</v>
      </c>
      <c r="T11" t="inlineStr">
        <is>
          <t>Professional services component</t>
        </is>
      </c>
    </row>
    <row r="12">
      <c r="A12" t="n">
        <v>12</v>
      </c>
      <c r="B12" t="inlineStr">
        <is>
          <t>One-Time</t>
        </is>
      </c>
      <c r="C12" t="inlineStr">
        <is>
          <t>Additional Professional Services - Implementation Fee</t>
        </is>
      </c>
      <c r="D12" t="inlineStr">
        <is>
          <t>Other</t>
        </is>
      </c>
      <c r="E12" t="b">
        <v>0</v>
      </c>
      <c r="F12" t="b">
        <v>1</v>
      </c>
      <c r="G12" s="12" t="n">
        <v>1312.5</v>
      </c>
      <c r="H12" t="inlineStr">
        <is>
          <t>one-time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0.65</v>
      </c>
      <c r="T12" t="inlineStr">
        <is>
          <t>Extended professional services</t>
        </is>
      </c>
    </row>
    <row r="13">
      <c r="A13" t="n">
        <v>6</v>
      </c>
      <c r="B13" t="inlineStr">
        <is>
          <t>One-Time</t>
        </is>
      </c>
      <c r="C13" t="inlineStr">
        <is>
          <t>Additional Services - Implementation Fee</t>
        </is>
      </c>
      <c r="D13" t="inlineStr">
        <is>
          <t>Other</t>
        </is>
      </c>
      <c r="E13" t="b">
        <v>0</v>
      </c>
      <c r="F13" t="b">
        <v>1</v>
      </c>
      <c r="G13" s="12" t="n">
        <v>249.99</v>
      </c>
      <c r="H13" t="inlineStr">
        <is>
          <t>one-time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0.75</v>
      </c>
      <c r="T13" t="inlineStr">
        <is>
          <t>Additional service fees identified</t>
        </is>
      </c>
    </row>
    <row r="14">
      <c r="A14" t="n">
        <v>10</v>
      </c>
      <c r="B14" t="inlineStr">
        <is>
          <t>One-Time</t>
        </is>
      </c>
      <c r="C14" t="inlineStr">
        <is>
          <t>Professional Services - Implementation Fee</t>
        </is>
      </c>
      <c r="D14" t="inlineStr">
        <is>
          <t>Other</t>
        </is>
      </c>
      <c r="E14" t="b">
        <v>0</v>
      </c>
      <c r="F14" t="b">
        <v>1</v>
      </c>
      <c r="G14" s="12" t="n">
        <v>750</v>
      </c>
      <c r="H14" t="inlineStr">
        <is>
          <t>one-time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0.7</v>
      </c>
      <c r="T14" t="inlineStr">
        <is>
          <t>Professional services component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Other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Non-Bundle Required - Third Party</t>
        </is>
      </c>
      <c r="B7" s="9" t="n"/>
      <c r="C7" s="9" t="n"/>
    </row>
    <row r="8">
      <c r="A8" s="14" t="inlineStr">
        <is>
          <t>Total Required TCO</t>
        </is>
      </c>
      <c r="B8" s="15">
        <f>SUM(B5:B6)</f>
        <v/>
      </c>
      <c r="C8" s="15">
        <f>B8/84</f>
        <v/>
      </c>
    </row>
    <row r="9">
      <c r="B9" s="9" t="n"/>
      <c r="C9" s="9" t="n"/>
    </row>
    <row r="10">
      <c r="A10" s="16" t="inlineStr">
        <is>
          <t>Optional Items Total</t>
        </is>
      </c>
      <c r="B10" s="9">
        <f>SUMIFS('Line Items'!$R:$R,'Line Items'!$F:$F,TRUE)</f>
        <v/>
      </c>
      <c r="C10" s="9">
        <f>B10/84</f>
        <v/>
      </c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FSB PROPOSAL FIS HORIZON 2024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Financial Services Proposal</t>
        </is>
      </c>
    </row>
    <row r="5">
      <c r="A5" s="2" t="inlineStr">
        <is>
          <t>Proposal Date:</t>
        </is>
      </c>
      <c r="B5" t="inlineStr">
        <is>
          <t>2024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2025-12-17 20:26:52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2025-12-18T02:26:52Z</dcterms:modified>
</cp:coreProperties>
</file>