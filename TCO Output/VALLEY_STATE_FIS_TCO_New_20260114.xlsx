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5</v>
      </c>
      <c r="B2" t="inlineStr">
        <is>
          <t>Monthly F</t>
        </is>
      </c>
      <c r="C2" t="inlineStr">
        <is>
          <t>Analytics Dashboard</t>
        </is>
      </c>
      <c r="D2" t="inlineStr">
        <is>
          <t>Other</t>
        </is>
      </c>
      <c r="E2" t="b">
        <v>0</v>
      </c>
      <c r="F2" t="b">
        <v>0</v>
      </c>
      <c r="G2" s="12" t="n">
        <v>2100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Analytics bundle with fixed monthly fee</t>
        </is>
      </c>
    </row>
    <row r="3">
      <c r="A3" t="n">
        <v>6</v>
      </c>
      <c r="B3" t="inlineStr">
        <is>
          <t>Monthly F</t>
        </is>
      </c>
      <c r="C3" t="inlineStr">
        <is>
          <t>Compliance Manager</t>
        </is>
      </c>
      <c r="D3" t="inlineStr">
        <is>
          <t>Other</t>
        </is>
      </c>
      <c r="E3" t="b">
        <v>0</v>
      </c>
      <c r="F3" t="b">
        <v>0</v>
      </c>
      <c r="G3" s="12" t="n">
        <v>1400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Compliance management bundle with fixed monthly fee</t>
        </is>
      </c>
    </row>
    <row r="4">
      <c r="A4" t="n">
        <v>2</v>
      </c>
      <c r="B4" t="inlineStr">
        <is>
          <t>Monthly F</t>
        </is>
      </c>
      <c r="C4" t="inlineStr">
        <is>
          <t>Digital One Online Banking</t>
        </is>
      </c>
      <c r="D4" t="inlineStr">
        <is>
          <t>Other</t>
        </is>
      </c>
      <c r="E4" t="b">
        <v>0</v>
      </c>
      <c r="F4" t="b">
        <v>0</v>
      </c>
      <c r="G4" s="12" t="n">
        <v>7500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Online banking bundle with fixed monthly fee</t>
        </is>
      </c>
    </row>
    <row r="5">
      <c r="A5" t="n">
        <v>1</v>
      </c>
      <c r="B5" t="inlineStr">
        <is>
          <t>Monthly F</t>
        </is>
      </c>
      <c r="C5" t="inlineStr">
        <is>
          <t>HORIZON Core Platform</t>
        </is>
      </c>
      <c r="D5" t="inlineStr">
        <is>
          <t>Other</t>
        </is>
      </c>
      <c r="E5" t="b">
        <v>0</v>
      </c>
      <c r="F5" t="b">
        <v>0</v>
      </c>
      <c r="G5" s="12" t="n">
        <v>12800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Core platform bundle with fixed monthly fee</t>
        </is>
      </c>
    </row>
    <row r="6">
      <c r="A6" t="n">
        <v>4</v>
      </c>
      <c r="B6" t="inlineStr">
        <is>
          <t>Monthly F</t>
        </is>
      </c>
      <c r="C6" t="inlineStr">
        <is>
          <t>ImageCentre Document Management</t>
        </is>
      </c>
      <c r="D6" t="inlineStr">
        <is>
          <t>Other</t>
        </is>
      </c>
      <c r="E6" t="b">
        <v>0</v>
      </c>
      <c r="F6" t="b">
        <v>0</v>
      </c>
      <c r="G6" s="12" t="n">
        <v>3800</v>
      </c>
      <c r="H6" t="inlineStr">
        <is>
          <t>per month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Document management bundle with fixed monthly fee</t>
        </is>
      </c>
    </row>
    <row r="7">
      <c r="A7" t="n">
        <v>3</v>
      </c>
      <c r="B7" t="inlineStr">
        <is>
          <t>Monthly F</t>
        </is>
      </c>
      <c r="C7" t="inlineStr">
        <is>
          <t>Payments One</t>
        </is>
      </c>
      <c r="D7" t="inlineStr">
        <is>
          <t>Other</t>
        </is>
      </c>
      <c r="E7" t="b">
        <v>0</v>
      </c>
      <c r="F7" t="b">
        <v>0</v>
      </c>
      <c r="G7" s="12" t="n">
        <v>5200</v>
      </c>
      <c r="H7" t="inlineStr">
        <is>
          <t>per month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Payment processing bundle with fixed monthly fee</t>
        </is>
      </c>
    </row>
    <row r="8">
      <c r="A8" t="n">
        <v>22</v>
      </c>
      <c r="B8" t="inlineStr">
        <is>
          <t>One-Time</t>
        </is>
      </c>
      <c r="C8" t="inlineStr">
        <is>
          <t>Conversion Credit - Implementation Fee</t>
        </is>
      </c>
      <c r="D8" t="inlineStr">
        <is>
          <t>Other</t>
        </is>
      </c>
      <c r="E8" t="b">
        <v>0</v>
      </c>
      <c r="F8" t="b">
        <v>0</v>
      </c>
      <c r="G8" s="12" t="n">
        <v>-25000</v>
      </c>
      <c r="H8" t="inlineStr">
        <is>
          <t>one-time</t>
        </is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0.95</v>
      </c>
      <c r="T8" t="inlineStr">
        <is>
          <t>One-time conversion credit applied to implementation costs</t>
        </is>
      </c>
    </row>
    <row r="9">
      <c r="A9" t="n">
        <v>18</v>
      </c>
      <c r="B9" t="inlineStr">
        <is>
          <t>One-Time</t>
        </is>
      </c>
      <c r="C9" t="inlineStr">
        <is>
          <t>Core Implementation - Implementation Fee</t>
        </is>
      </c>
      <c r="D9" t="inlineStr">
        <is>
          <t>Other</t>
        </is>
      </c>
      <c r="E9" t="b">
        <v>0</v>
      </c>
      <c r="F9" t="b">
        <v>0</v>
      </c>
      <c r="G9" s="12" t="n">
        <v>98000</v>
      </c>
      <c r="H9" t="inlineStr">
        <is>
          <t>one-time</t>
        </is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0.95</v>
      </c>
      <c r="T9" t="inlineStr">
        <is>
          <t>One-time core system implementation fee</t>
        </is>
      </c>
    </row>
    <row r="10">
      <c r="A10" t="n">
        <v>19</v>
      </c>
      <c r="B10" t="inlineStr">
        <is>
          <t>One-Time</t>
        </is>
      </c>
      <c r="C10" t="inlineStr">
        <is>
          <t>Data Migration - Implementation Fee</t>
        </is>
      </c>
      <c r="D10" t="inlineStr">
        <is>
          <t>Other</t>
        </is>
      </c>
      <c r="E10" t="b">
        <v>0</v>
      </c>
      <c r="F10" t="b">
        <v>0</v>
      </c>
      <c r="G10" s="12" t="n">
        <v>35000</v>
      </c>
      <c r="H10" t="inlineStr">
        <is>
          <t>one-time</t>
        </is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0.95</v>
      </c>
      <c r="T10" t="inlineStr">
        <is>
          <t>One-time data migration fee</t>
        </is>
      </c>
    </row>
    <row r="11">
      <c r="A11" t="n">
        <v>21</v>
      </c>
      <c r="B11" t="inlineStr">
        <is>
          <t>One-Time</t>
        </is>
      </c>
      <c r="C11" t="inlineStr">
        <is>
          <t>Project Management - Implementation Fee</t>
        </is>
      </c>
      <c r="D11" t="inlineStr">
        <is>
          <t>Other</t>
        </is>
      </c>
      <c r="E11" t="b">
        <v>0</v>
      </c>
      <c r="F11" t="b">
        <v>0</v>
      </c>
      <c r="G11" s="12" t="n">
        <v>18000</v>
      </c>
      <c r="H11" t="inlineStr">
        <is>
          <t>one-time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0.95</v>
      </c>
      <c r="T11" t="inlineStr">
        <is>
          <t>One-time project management fee</t>
        </is>
      </c>
    </row>
    <row r="12">
      <c r="A12" t="n">
        <v>20</v>
      </c>
      <c r="B12" t="inlineStr">
        <is>
          <t>One-Time</t>
        </is>
      </c>
      <c r="C12" t="inlineStr">
        <is>
          <t>Training Package - Implementation Fee</t>
        </is>
      </c>
      <c r="D12" t="inlineStr">
        <is>
          <t>Other</t>
        </is>
      </c>
      <c r="E12" t="b">
        <v>0</v>
      </c>
      <c r="F12" t="b">
        <v>0</v>
      </c>
      <c r="G12" s="12" t="n">
        <v>15000</v>
      </c>
      <c r="H12" t="inlineStr">
        <is>
          <t>one-time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0.95</v>
      </c>
      <c r="T12" t="inlineStr">
        <is>
          <t>One-time training package fee</t>
        </is>
      </c>
    </row>
    <row r="13">
      <c r="A13" t="n">
        <v>15</v>
      </c>
      <c r="B13" t="inlineStr">
        <is>
          <t>Monthly F</t>
        </is>
      </c>
      <c r="C13" t="inlineStr">
        <is>
          <t>API Gateway Access</t>
        </is>
      </c>
      <c r="D13" t="inlineStr">
        <is>
          <t>Other</t>
        </is>
      </c>
      <c r="E13" t="b">
        <v>0</v>
      </c>
      <c r="F13" t="b">
        <v>1</v>
      </c>
      <c r="G13" s="12" t="n">
        <v>800</v>
      </c>
      <c r="H13" t="inlineStr">
        <is>
          <t>per month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0.95</v>
      </c>
      <c r="T13" t="inlineStr">
        <is>
          <t>API gateway access up to 50,000 calls with fixed monthly fee</t>
        </is>
      </c>
    </row>
    <row r="14">
      <c r="A14" t="n">
        <v>17</v>
      </c>
      <c r="B14" t="inlineStr">
        <is>
          <t>Monthly F</t>
        </is>
      </c>
      <c r="C14" t="inlineStr">
        <is>
          <t>Extended Support</t>
        </is>
      </c>
      <c r="D14" t="inlineStr">
        <is>
          <t>Other</t>
        </is>
      </c>
      <c r="E14" t="b">
        <v>0</v>
      </c>
      <c r="F14" t="b">
        <v>1</v>
      </c>
      <c r="G14" s="12" t="n">
        <v>375</v>
      </c>
      <c r="H14" t="inlineStr">
        <is>
          <t>per month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0.95</v>
      </c>
      <c r="T14" t="inlineStr">
        <is>
          <t>24/7 support coverage with fixed monthly fee</t>
        </is>
      </c>
    </row>
    <row r="15">
      <c r="A15" t="n">
        <v>16</v>
      </c>
      <c r="B15" t="inlineStr">
        <is>
          <t>Monthly F</t>
        </is>
      </c>
      <c r="C15" t="inlineStr">
        <is>
          <t>Fraud Analytics Pro</t>
        </is>
      </c>
      <c r="D15" t="inlineStr">
        <is>
          <t>Other</t>
        </is>
      </c>
      <c r="E15" t="b">
        <v>0</v>
      </c>
      <c r="F15" t="b">
        <v>1</v>
      </c>
      <c r="G15" s="12" t="n">
        <v>525</v>
      </c>
      <c r="H15" t="inlineStr">
        <is>
          <t>per month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0.95</v>
      </c>
      <c r="T15" t="inlineStr">
        <is>
          <t>Real-time fraud monitoring with fixed monthly fee</t>
        </is>
      </c>
    </row>
    <row r="16">
      <c r="A16" t="n">
        <v>11</v>
      </c>
      <c r="B16" t="inlineStr">
        <is>
          <t>Monthly F</t>
        </is>
      </c>
      <c r="C16" t="inlineStr">
        <is>
          <t>Mobile Banking App</t>
        </is>
      </c>
      <c r="D16" t="inlineStr">
        <is>
          <t>Other</t>
        </is>
      </c>
      <c r="E16" t="b">
        <v>0</v>
      </c>
      <c r="F16" t="b">
        <v>1</v>
      </c>
      <c r="G16" s="12" t="n">
        <v>1100</v>
      </c>
      <c r="H16" t="inlineStr">
        <is>
          <t>per month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0.95</v>
      </c>
      <c r="T16" t="inlineStr">
        <is>
          <t>Mobile banking application with fixed monthly fee</t>
        </is>
      </c>
    </row>
    <row r="17">
      <c r="A17" t="n">
        <v>10</v>
      </c>
      <c r="B17" t="inlineStr">
        <is>
          <t>Monthly F</t>
        </is>
      </c>
      <c r="C17" t="inlineStr">
        <is>
          <t>Positive Pay</t>
        </is>
      </c>
      <c r="D17" t="inlineStr">
        <is>
          <t>Other</t>
        </is>
      </c>
      <c r="E17" t="b">
        <v>0</v>
      </c>
      <c r="F17" t="b">
        <v>1</v>
      </c>
      <c r="G17" s="12" t="n">
        <v>350</v>
      </c>
      <c r="H17" t="inlineStr">
        <is>
          <t>per month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0.95</v>
      </c>
      <c r="T17" t="inlineStr">
        <is>
          <t>Positive pay service with fixed monthly fee</t>
        </is>
      </c>
    </row>
    <row r="18">
      <c r="A18" t="n">
        <v>9</v>
      </c>
      <c r="B18" t="inlineStr">
        <is>
          <t>Monthly F</t>
        </is>
      </c>
      <c r="C18" t="inlineStr">
        <is>
          <t>Remote Deposit</t>
        </is>
      </c>
      <c r="D18" t="inlineStr">
        <is>
          <t>Other</t>
        </is>
      </c>
      <c r="E18" t="b">
        <v>0</v>
      </c>
      <c r="F18" t="b">
        <v>1</v>
      </c>
      <c r="G18" s="12" t="n">
        <v>575</v>
      </c>
      <c r="H18" t="inlineStr">
        <is>
          <t>per month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0.95</v>
      </c>
      <c r="T18" t="inlineStr">
        <is>
          <t>Remote deposit capture with fixed monthly fee</t>
        </is>
      </c>
    </row>
    <row r="19">
      <c r="A19" t="n">
        <v>7</v>
      </c>
      <c r="B19" t="inlineStr">
        <is>
          <t>Monthly V</t>
        </is>
      </c>
      <c r="C19" t="inlineStr">
        <is>
          <t>ACH Processing</t>
        </is>
      </c>
      <c r="D19" t="inlineStr">
        <is>
          <t>Other</t>
        </is>
      </c>
      <c r="E19" t="b">
        <v>0</v>
      </c>
      <c r="F19" t="b">
        <v>1</v>
      </c>
      <c r="G19" s="12" t="n">
        <v>750</v>
      </c>
      <c r="H19" t="inlineStr">
        <is>
          <t>per item</t>
        </is>
      </c>
      <c r="I19" s="13" t="n">
        <v>1</v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0.95</v>
      </c>
      <c r="T19" t="inlineStr">
        <is>
          <t>ACH processing with base fee plus per-item charges</t>
        </is>
      </c>
    </row>
    <row r="20">
      <c r="A20" t="n">
        <v>12</v>
      </c>
      <c r="B20" t="inlineStr">
        <is>
          <t>Monthly V</t>
        </is>
      </c>
      <c r="C20" t="inlineStr">
        <is>
          <t>Bill Payment</t>
        </is>
      </c>
      <c r="D20" t="inlineStr">
        <is>
          <t>Other</t>
        </is>
      </c>
      <c r="E20" t="b">
        <v>0</v>
      </c>
      <c r="F20" t="b">
        <v>1</v>
      </c>
      <c r="G20" s="12" t="n">
        <v>275</v>
      </c>
      <c r="H20" t="inlineStr">
        <is>
          <t>per payment</t>
        </is>
      </c>
      <c r="I20" s="13" t="n">
        <v>1</v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0.95</v>
      </c>
      <c r="T20" t="inlineStr">
        <is>
          <t>Bill payment service with base fee plus per-payment charges</t>
        </is>
      </c>
    </row>
    <row r="21">
      <c r="A21" t="n">
        <v>13</v>
      </c>
      <c r="B21" t="inlineStr">
        <is>
          <t>Monthly V</t>
        </is>
      </c>
      <c r="C21" t="inlineStr">
        <is>
          <t>Commercial Lockbox</t>
        </is>
      </c>
      <c r="D21" t="inlineStr">
        <is>
          <t>Other</t>
        </is>
      </c>
      <c r="E21" t="b">
        <v>0</v>
      </c>
      <c r="F21" t="b">
        <v>1</v>
      </c>
      <c r="G21" s="12" t="n">
        <v>1400</v>
      </c>
      <c r="H21" t="inlineStr">
        <is>
          <t>per item</t>
        </is>
      </c>
      <c r="I21" s="13" t="n">
        <v>1</v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0.95</v>
      </c>
      <c r="T21" t="inlineStr">
        <is>
          <t>Commercial lockbox service with base fee plus per-item charges</t>
        </is>
      </c>
    </row>
    <row r="22">
      <c r="A22" t="n">
        <v>14</v>
      </c>
      <c r="B22" t="inlineStr">
        <is>
          <t>Monthly V</t>
        </is>
      </c>
      <c r="C22" t="inlineStr">
        <is>
          <t>International Wires</t>
        </is>
      </c>
      <c r="D22" t="inlineStr">
        <is>
          <t>Other</t>
        </is>
      </c>
      <c r="E22" t="b">
        <v>0</v>
      </c>
      <c r="F22" t="b">
        <v>1</v>
      </c>
      <c r="G22" s="12" t="n">
        <v>300</v>
      </c>
      <c r="H22" t="inlineStr">
        <is>
          <t>per wire</t>
        </is>
      </c>
      <c r="I22" s="13" t="n">
        <v>1</v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0.95</v>
      </c>
      <c r="T22" t="inlineStr">
        <is>
          <t>International wire service with base fee plus per-wire charges</t>
        </is>
      </c>
    </row>
    <row r="23">
      <c r="A23" t="n">
        <v>8</v>
      </c>
      <c r="B23" t="inlineStr">
        <is>
          <t>Monthly V</t>
        </is>
      </c>
      <c r="C23" t="inlineStr">
        <is>
          <t>Wire Services</t>
        </is>
      </c>
      <c r="D23" t="inlineStr">
        <is>
          <t>Other</t>
        </is>
      </c>
      <c r="E23" t="b">
        <v>0</v>
      </c>
      <c r="F23" t="b">
        <v>1</v>
      </c>
      <c r="G23" s="12" t="n">
        <v>425</v>
      </c>
      <c r="H23" t="inlineStr">
        <is>
          <t>per domestic wire</t>
        </is>
      </c>
      <c r="I23" s="13" t="n">
        <v>1</v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0.95</v>
      </c>
      <c r="T23" t="inlineStr">
        <is>
          <t>Wire services with base fee plus per-wire charges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4" t="inlineStr">
        <is>
          <t>Total Annual Cost</t>
        </is>
      </c>
      <c r="B5" s="15">
        <f>B3+B4</f>
        <v/>
      </c>
      <c r="C5" s="15">
        <f>C3+C4</f>
        <v/>
      </c>
      <c r="D5" s="15">
        <f>D3+D4</f>
        <v/>
      </c>
      <c r="E5" s="15">
        <f>E3+E4</f>
        <v/>
      </c>
      <c r="F5" s="15">
        <f>F3+F4</f>
        <v/>
      </c>
      <c r="G5" s="15">
        <f>G3+G4</f>
        <v/>
      </c>
      <c r="H5" s="15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Other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Non-Bundle Required - Vendor</t>
        </is>
      </c>
      <c r="B6" s="9" t="n"/>
      <c r="C6" s="9" t="n"/>
    </row>
    <row r="7">
      <c r="A7" s="14" t="inlineStr">
        <is>
          <t>Total Required TCO</t>
        </is>
      </c>
      <c r="B7" s="15">
        <f>SUM(B5:B5)</f>
        <v/>
      </c>
      <c r="C7" s="15">
        <f>B7/84</f>
        <v/>
      </c>
    </row>
    <row r="8">
      <c r="A8" t="inlineStr">
        <is>
          <t>One-Time Fees</t>
        </is>
      </c>
      <c r="B8" s="9" t="n"/>
      <c r="C8" s="9" t="n"/>
    </row>
    <row r="9">
      <c r="A9" s="16" t="inlineStr">
        <is>
          <t>Optional Items Total</t>
        </is>
      </c>
      <c r="B9" s="9">
        <f>SUMIFS('Line Items'!$R:$R,'Line Items'!$F:$F,TRUE)</f>
        <v/>
      </c>
      <c r="C9" s="9">
        <f>B9/84</f>
        <v/>
      </c>
    </row>
    <row r="10">
      <c r="A10" s="10" t="inlineStr">
        <is>
          <t>Total Required TCO</t>
        </is>
      </c>
      <c r="B10" s="9" t="n"/>
      <c r="C10" s="9" t="n"/>
    </row>
    <row r="11">
      <c r="B11" s="9" t="n"/>
      <c r="C11" s="9" t="n"/>
    </row>
    <row r="12">
      <c r="A12" t="inlineStr">
        <is>
          <t>Optional Solutions</t>
        </is>
      </c>
      <c r="B12" s="9" t="n"/>
      <c r="C12" s="9" t="n"/>
    </row>
    <row r="13">
      <c r="B13" s="9" t="n"/>
      <c r="C13" s="9" t="n"/>
    </row>
    <row r="14">
      <c r="A14" s="10" t="inlineStr">
        <is>
          <t>Grand Total (Required + Optional)</t>
        </is>
      </c>
      <c r="B14" s="9" t="n"/>
      <c r="C14" s="9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VALLEY_STATE_FIS</t>
        </is>
      </c>
    </row>
    <row r="3">
      <c r="A3" s="2" t="inlineStr">
        <is>
          <t>Client Name:</t>
        </is>
      </c>
      <c r="B3" t="inlineStr">
        <is>
          <t>Not specified</t>
        </is>
      </c>
    </row>
    <row r="4">
      <c r="A4" s="2" t="inlineStr">
        <is>
          <t>Proposal Type:</t>
        </is>
      </c>
      <c r="B4" t="inlineStr">
        <is>
          <t>Financial Services Proposal</t>
        </is>
      </c>
    </row>
    <row r="5">
      <c r="A5" s="2" t="inlineStr">
        <is>
          <t>Proposal Date:</t>
        </is>
      </c>
      <c r="B5" t="inlineStr">
        <is>
          <t>2025</t>
        </is>
      </c>
    </row>
    <row r="6">
      <c r="A6" s="2" t="inlineStr">
        <is>
          <t>Contract Term (Years):</t>
        </is>
      </c>
      <c r="B6" t="n">
        <v>7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2026-01-14 17:42:48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2026-01-14T23:42:48Z</dcterms:modified>
</cp:coreProperties>
</file>