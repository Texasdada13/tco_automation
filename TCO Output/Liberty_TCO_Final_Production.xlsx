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D:\Yikes\TCO_Final_Merged\tco_automation\TCO Output\"/>
    </mc:Choice>
  </mc:AlternateContent>
  <xr:revisionPtr revIDLastSave="0" documentId="13_ncr:1_{236E11A7-9C77-4196-93AA-40980E30A121}" xr6:coauthVersionLast="47" xr6:coauthVersionMax="47" xr10:uidLastSave="{00000000-0000-0000-0000-000000000000}"/>
  <bookViews>
    <workbookView xWindow="-108" yWindow="-108" windowWidth="23256" windowHeight="12456" activeTab="2" xr2:uid="{00000000-000D-0000-FFFF-FFFF00000000}"/>
  </bookViews>
  <sheets>
    <sheet name="Metadata" sheetId="1" r:id="rId1"/>
    <sheet name="Enums" sheetId="2" r:id="rId2"/>
    <sheet name="Line_Items" sheetId="3" r:id="rId3"/>
    <sheet name="Year_Summary" sheetId="5" r:id="rId4"/>
    <sheet name="Summary" sheetId="4" r:id="rId5"/>
  </sheets>
  <definedNames>
    <definedName name="_xlnm._FilterDatabase" localSheetId="2" hidden="1">Line_Items!$A$1:$T$38</definedName>
  </definedNames>
  <calcPr calcId="191029"/>
</workbook>
</file>

<file path=xl/calcChain.xml><?xml version="1.0" encoding="utf-8"?>
<calcChain xmlns="http://schemas.openxmlformats.org/spreadsheetml/2006/main">
  <c r="B14" i="4" l="1"/>
  <c r="B10" i="4"/>
  <c r="B8" i="4"/>
  <c r="B12" i="4"/>
  <c r="H6" i="5" l="1"/>
  <c r="G6" i="5"/>
  <c r="F6" i="5"/>
  <c r="E6" i="5"/>
  <c r="D6" i="5"/>
  <c r="C6" i="5"/>
  <c r="B6" i="5"/>
  <c r="B2" i="4"/>
  <c r="J38" i="3"/>
  <c r="K38" i="3" s="1"/>
  <c r="J37" i="3"/>
  <c r="K37" i="3" s="1"/>
  <c r="Q36" i="3"/>
  <c r="P36" i="3"/>
  <c r="O36" i="3"/>
  <c r="N36" i="3"/>
  <c r="M36" i="3"/>
  <c r="L36" i="3"/>
  <c r="K36" i="3"/>
  <c r="J36" i="3"/>
  <c r="Q35" i="3"/>
  <c r="P35" i="3"/>
  <c r="O35" i="3"/>
  <c r="N35" i="3"/>
  <c r="M35" i="3"/>
  <c r="L35" i="3"/>
  <c r="K35" i="3"/>
  <c r="J35" i="3"/>
  <c r="Q34" i="3"/>
  <c r="P34" i="3"/>
  <c r="O34" i="3"/>
  <c r="N34" i="3"/>
  <c r="M34" i="3"/>
  <c r="L34" i="3"/>
  <c r="K34" i="3"/>
  <c r="J34" i="3"/>
  <c r="Q33" i="3"/>
  <c r="P33" i="3"/>
  <c r="O33" i="3"/>
  <c r="N33" i="3"/>
  <c r="M33" i="3"/>
  <c r="L33" i="3"/>
  <c r="K33" i="3"/>
  <c r="J33" i="3"/>
  <c r="Q32" i="3"/>
  <c r="P32" i="3"/>
  <c r="O32" i="3"/>
  <c r="N32" i="3"/>
  <c r="M32" i="3"/>
  <c r="L32" i="3"/>
  <c r="K32" i="3"/>
  <c r="J32" i="3"/>
  <c r="Q31" i="3"/>
  <c r="P31" i="3"/>
  <c r="O31" i="3"/>
  <c r="N31" i="3"/>
  <c r="M31" i="3"/>
  <c r="L31" i="3"/>
  <c r="K31" i="3"/>
  <c r="J31" i="3"/>
  <c r="Q30" i="3"/>
  <c r="P30" i="3"/>
  <c r="O30" i="3"/>
  <c r="N30" i="3"/>
  <c r="M30" i="3"/>
  <c r="L30" i="3"/>
  <c r="K30" i="3"/>
  <c r="J30" i="3"/>
  <c r="Q29" i="3"/>
  <c r="P29" i="3"/>
  <c r="O29" i="3"/>
  <c r="N29" i="3"/>
  <c r="M29" i="3"/>
  <c r="L29" i="3"/>
  <c r="K29" i="3"/>
  <c r="J29" i="3"/>
  <c r="Q28" i="3"/>
  <c r="P28" i="3"/>
  <c r="O28" i="3"/>
  <c r="N28" i="3"/>
  <c r="M28" i="3"/>
  <c r="L28" i="3"/>
  <c r="K28" i="3"/>
  <c r="J28" i="3"/>
  <c r="J27" i="3"/>
  <c r="K27" i="3" s="1"/>
  <c r="J26" i="3"/>
  <c r="K26" i="3" s="1"/>
  <c r="J25" i="3"/>
  <c r="K25" i="3" s="1"/>
  <c r="J24" i="3"/>
  <c r="K24" i="3" s="1"/>
  <c r="J23" i="3"/>
  <c r="K23" i="3" s="1"/>
  <c r="J22" i="3"/>
  <c r="K22" i="3" s="1"/>
  <c r="J21" i="3"/>
  <c r="K21" i="3" s="1"/>
  <c r="J20" i="3"/>
  <c r="K20" i="3" s="1"/>
  <c r="L20" i="3" s="1"/>
  <c r="M20" i="3" s="1"/>
  <c r="J19" i="3"/>
  <c r="K19" i="3" s="1"/>
  <c r="J18" i="3"/>
  <c r="K18" i="3" s="1"/>
  <c r="L18" i="3" s="1"/>
  <c r="J17" i="3"/>
  <c r="K17" i="3" s="1"/>
  <c r="J16" i="3"/>
  <c r="K16" i="3" s="1"/>
  <c r="J15" i="3"/>
  <c r="K15" i="3" s="1"/>
  <c r="J14" i="3"/>
  <c r="K14" i="3" s="1"/>
  <c r="L14" i="3" s="1"/>
  <c r="J13" i="3"/>
  <c r="K13" i="3" s="1"/>
  <c r="J12" i="3"/>
  <c r="K12" i="3" s="1"/>
  <c r="J11" i="3"/>
  <c r="K11" i="3" s="1"/>
  <c r="J10" i="3"/>
  <c r="K10" i="3" s="1"/>
  <c r="J9" i="3"/>
  <c r="K9" i="3" s="1"/>
  <c r="J8" i="3"/>
  <c r="K8" i="3" s="1"/>
  <c r="L8" i="3" s="1"/>
  <c r="M8" i="3" s="1"/>
  <c r="N8" i="3" s="1"/>
  <c r="O8" i="3" s="1"/>
  <c r="P8" i="3" s="1"/>
  <c r="Q8" i="3" s="1"/>
  <c r="J7" i="3"/>
  <c r="K7" i="3" s="1"/>
  <c r="J6" i="3"/>
  <c r="K6" i="3" s="1"/>
  <c r="J5" i="3"/>
  <c r="K5" i="3" s="1"/>
  <c r="J4" i="3"/>
  <c r="K4" i="3" s="1"/>
  <c r="J3" i="3"/>
  <c r="K3" i="3" s="1"/>
  <c r="J2" i="3"/>
  <c r="K2" i="3" s="1"/>
  <c r="L2" i="3" s="1"/>
  <c r="R32" i="3" l="1"/>
  <c r="R34" i="3"/>
  <c r="R36" i="3"/>
  <c r="R35" i="3"/>
  <c r="R30" i="3"/>
  <c r="R31" i="3"/>
  <c r="R29" i="3"/>
  <c r="R33" i="3"/>
  <c r="R28" i="3"/>
  <c r="L27" i="3"/>
  <c r="M27" i="3" s="1"/>
  <c r="N27" i="3" s="1"/>
  <c r="O27" i="3" s="1"/>
  <c r="P27" i="3" s="1"/>
  <c r="Q27" i="3" s="1"/>
  <c r="L3" i="3"/>
  <c r="M3" i="3" s="1"/>
  <c r="N3" i="3" s="1"/>
  <c r="O3" i="3" s="1"/>
  <c r="P3" i="3" s="1"/>
  <c r="Q3" i="3" s="1"/>
  <c r="L4" i="3"/>
  <c r="M4" i="3" s="1"/>
  <c r="N4" i="3" s="1"/>
  <c r="O4" i="3" s="1"/>
  <c r="P4" i="3" s="1"/>
  <c r="Q4" i="3" s="1"/>
  <c r="L5" i="3"/>
  <c r="M5" i="3" s="1"/>
  <c r="N5" i="3" s="1"/>
  <c r="O5" i="3" s="1"/>
  <c r="P5" i="3" s="1"/>
  <c r="Q5" i="3" s="1"/>
  <c r="L17" i="3"/>
  <c r="M17" i="3" s="1"/>
  <c r="N17" i="3" s="1"/>
  <c r="O17" i="3" s="1"/>
  <c r="P17" i="3" s="1"/>
  <c r="Q17" i="3" s="1"/>
  <c r="L6" i="3"/>
  <c r="M6" i="3" s="1"/>
  <c r="N6" i="3" s="1"/>
  <c r="O6" i="3" s="1"/>
  <c r="P6" i="3" s="1"/>
  <c r="Q6" i="3" s="1"/>
  <c r="L7" i="3"/>
  <c r="M7" i="3" s="1"/>
  <c r="N7" i="3" s="1"/>
  <c r="O7" i="3" s="1"/>
  <c r="P7" i="3" s="1"/>
  <c r="Q7" i="3" s="1"/>
  <c r="M18" i="3"/>
  <c r="N18" i="3" s="1"/>
  <c r="O18" i="3" s="1"/>
  <c r="P18" i="3" s="1"/>
  <c r="Q18" i="3" s="1"/>
  <c r="L19" i="3"/>
  <c r="M19" i="3" s="1"/>
  <c r="N19" i="3" s="1"/>
  <c r="O19" i="3" s="1"/>
  <c r="P19" i="3" s="1"/>
  <c r="Q19" i="3" s="1"/>
  <c r="N20" i="3"/>
  <c r="O20" i="3" s="1"/>
  <c r="P20" i="3" s="1"/>
  <c r="Q20" i="3" s="1"/>
  <c r="L11" i="3"/>
  <c r="M11" i="3" s="1"/>
  <c r="N11" i="3" s="1"/>
  <c r="O11" i="3" s="1"/>
  <c r="P11" i="3" s="1"/>
  <c r="Q11" i="3" s="1"/>
  <c r="L22" i="3"/>
  <c r="M22" i="3" s="1"/>
  <c r="N22" i="3" s="1"/>
  <c r="O22" i="3" s="1"/>
  <c r="P22" i="3" s="1"/>
  <c r="Q22" i="3" s="1"/>
  <c r="L23" i="3"/>
  <c r="M23" i="3" s="1"/>
  <c r="N23" i="3" s="1"/>
  <c r="O23" i="3" s="1"/>
  <c r="P23" i="3" s="1"/>
  <c r="Q23" i="3" s="1"/>
  <c r="L37" i="3"/>
  <c r="M37" i="3" s="1"/>
  <c r="N37" i="3" s="1"/>
  <c r="O37" i="3" s="1"/>
  <c r="P37" i="3" s="1"/>
  <c r="Q37" i="3" s="1"/>
  <c r="M14" i="3"/>
  <c r="N14" i="3" s="1"/>
  <c r="O14" i="3" s="1"/>
  <c r="P14" i="3" s="1"/>
  <c r="Q14" i="3" s="1"/>
  <c r="L25" i="3"/>
  <c r="M25" i="3" s="1"/>
  <c r="N25" i="3" s="1"/>
  <c r="O25" i="3" s="1"/>
  <c r="P25" i="3" s="1"/>
  <c r="Q25" i="3" s="1"/>
  <c r="L38" i="3"/>
  <c r="M38" i="3" s="1"/>
  <c r="N38" i="3" s="1"/>
  <c r="O38" i="3" s="1"/>
  <c r="P38" i="3" s="1"/>
  <c r="Q38" i="3" s="1"/>
  <c r="L9" i="3"/>
  <c r="M9" i="3" s="1"/>
  <c r="N9" i="3" s="1"/>
  <c r="O9" i="3" s="1"/>
  <c r="P9" i="3" s="1"/>
  <c r="Q9" i="3" s="1"/>
  <c r="L10" i="3"/>
  <c r="M10" i="3" s="1"/>
  <c r="N10" i="3" s="1"/>
  <c r="O10" i="3" s="1"/>
  <c r="P10" i="3" s="1"/>
  <c r="Q10" i="3" s="1"/>
  <c r="L21" i="3"/>
  <c r="M21" i="3" s="1"/>
  <c r="N21" i="3" s="1"/>
  <c r="O21" i="3" s="1"/>
  <c r="P21" i="3" s="1"/>
  <c r="Q21" i="3" s="1"/>
  <c r="L12" i="3"/>
  <c r="M12" i="3" s="1"/>
  <c r="N12" i="3" s="1"/>
  <c r="O12" i="3" s="1"/>
  <c r="P12" i="3" s="1"/>
  <c r="Q12" i="3" s="1"/>
  <c r="M2" i="3"/>
  <c r="N2" i="3" s="1"/>
  <c r="O2" i="3" s="1"/>
  <c r="P2" i="3" s="1"/>
  <c r="Q2" i="3" s="1"/>
  <c r="L15" i="3"/>
  <c r="M15" i="3" s="1"/>
  <c r="N15" i="3" s="1"/>
  <c r="O15" i="3" s="1"/>
  <c r="P15" i="3" s="1"/>
  <c r="Q15" i="3" s="1"/>
  <c r="L26" i="3"/>
  <c r="M26" i="3" s="1"/>
  <c r="N26" i="3" s="1"/>
  <c r="O26" i="3" s="1"/>
  <c r="P26" i="3" s="1"/>
  <c r="Q26" i="3" s="1"/>
  <c r="L24" i="3"/>
  <c r="M24" i="3" s="1"/>
  <c r="N24" i="3" s="1"/>
  <c r="O24" i="3" s="1"/>
  <c r="P24" i="3" s="1"/>
  <c r="Q24" i="3" s="1"/>
  <c r="R8" i="3"/>
  <c r="L16" i="3"/>
  <c r="M16" i="3" s="1"/>
  <c r="N16" i="3" s="1"/>
  <c r="O16" i="3" s="1"/>
  <c r="P16" i="3" s="1"/>
  <c r="Q16" i="3" s="1"/>
  <c r="L13" i="3"/>
  <c r="M13" i="3" s="1"/>
  <c r="N13" i="3" s="1"/>
  <c r="O13" i="3" s="1"/>
  <c r="P13" i="3" s="1"/>
  <c r="Q13" i="3" s="1"/>
  <c r="R27" i="3" l="1"/>
  <c r="R24" i="3"/>
  <c r="R3" i="3"/>
  <c r="R11" i="3"/>
  <c r="R13" i="3"/>
  <c r="R20" i="3"/>
  <c r="R12" i="3"/>
  <c r="R19" i="3"/>
  <c r="R23" i="3"/>
  <c r="R2" i="3"/>
  <c r="B5" i="4" s="1"/>
  <c r="R21" i="3"/>
  <c r="R37" i="3"/>
  <c r="R4" i="3"/>
  <c r="R16" i="3"/>
  <c r="R14" i="3"/>
  <c r="R6" i="3"/>
  <c r="R9" i="3"/>
  <c r="R7" i="3"/>
  <c r="R17" i="3"/>
  <c r="R22" i="3"/>
  <c r="R5" i="3"/>
  <c r="R10" i="3"/>
  <c r="R26" i="3"/>
  <c r="R38" i="3"/>
  <c r="R15" i="3"/>
  <c r="R25" i="3"/>
  <c r="R18" i="3"/>
  <c r="B7" i="4" l="1"/>
  <c r="B6" i="4"/>
</calcChain>
</file>

<file path=xl/sharedStrings.xml><?xml version="1.0" encoding="utf-8"?>
<sst xmlns="http://schemas.openxmlformats.org/spreadsheetml/2006/main" count="271" uniqueCount="143">
  <si>
    <t>TCO Analysis - Proposal Metadata</t>
  </si>
  <si>
    <t>Primary Vendor:</t>
  </si>
  <si>
    <t>FIS</t>
  </si>
  <si>
    <t>Client Name:</t>
  </si>
  <si>
    <t>Liberty Capital Bank</t>
  </si>
  <si>
    <t>Proposal Type:</t>
  </si>
  <si>
    <t>Renewal with Acquisition</t>
  </si>
  <si>
    <t>Proposal Date:</t>
  </si>
  <si>
    <t>December 2024</t>
  </si>
  <si>
    <t>Contract Term (Years):</t>
  </si>
  <si>
    <t>Annual Growth Rate:</t>
  </si>
  <si>
    <t>Annual CPI Rate:</t>
  </si>
  <si>
    <t>Data Extraction Date:</t>
  </si>
  <si>
    <t>2025-12-08 17:04:41</t>
  </si>
  <si>
    <t>AI Model Used:</t>
  </si>
  <si>
    <t>claude-sonnet-4-20250514</t>
  </si>
  <si>
    <t>Source Proposal File:</t>
  </si>
  <si>
    <t>N/A</t>
  </si>
  <si>
    <t>Fee Types</t>
  </si>
  <si>
    <t>Categories</t>
  </si>
  <si>
    <t>Boolean</t>
  </si>
  <si>
    <t>Monthly F</t>
  </si>
  <si>
    <t>Core</t>
  </si>
  <si>
    <t>TRUE</t>
  </si>
  <si>
    <t>Monthly V</t>
  </si>
  <si>
    <t>Digital</t>
  </si>
  <si>
    <t>FALSE</t>
  </si>
  <si>
    <t>Annual</t>
  </si>
  <si>
    <t>EFT</t>
  </si>
  <si>
    <t>One-Time</t>
  </si>
  <si>
    <t>Risk, Fraud &amp; Compliance</t>
  </si>
  <si>
    <t>Treasury</t>
  </si>
  <si>
    <t>Image Solutions</t>
  </si>
  <si>
    <t>Item Processing</t>
  </si>
  <si>
    <t>FOS</t>
  </si>
  <si>
    <t>Lending</t>
  </si>
  <si>
    <t>ACH</t>
  </si>
  <si>
    <t>Accounts Payable</t>
  </si>
  <si>
    <t>Security Plus</t>
  </si>
  <si>
    <t>Network</t>
  </si>
  <si>
    <t>Other</t>
  </si>
  <si>
    <t>Row ID</t>
  </si>
  <si>
    <t>Fee Type</t>
  </si>
  <si>
    <t>Solution Name</t>
  </si>
  <si>
    <t>Category</t>
  </si>
  <si>
    <t>Third Party</t>
  </si>
  <si>
    <t>Optional</t>
  </si>
  <si>
    <t>Per Unit Rate</t>
  </si>
  <si>
    <t>Unit Description</t>
  </si>
  <si>
    <t>Avg Monthly Qty</t>
  </si>
  <si>
    <t>Year 1 Monthly</t>
  </si>
  <si>
    <t>Year 1 Annual</t>
  </si>
  <si>
    <t>Year 2</t>
  </si>
  <si>
    <t>Year 3</t>
  </si>
  <si>
    <t>Year 4</t>
  </si>
  <si>
    <t>Year 5</t>
  </si>
  <si>
    <t>Year 6</t>
  </si>
  <si>
    <t>Year 7</t>
  </si>
  <si>
    <t>Total 7-Year Cost</t>
  </si>
  <si>
    <t>Confidence</t>
  </si>
  <si>
    <t>Notes</t>
  </si>
  <si>
    <t>Core: HORIZON</t>
  </si>
  <si>
    <t>per month</t>
  </si>
  <si>
    <t>Core banking system pricing clearly defined</t>
  </si>
  <si>
    <t>Digital: D1 Flex, D1 Business, Mobile, Bill Pay</t>
  </si>
  <si>
    <t>Digital banking suite pricing clearly defined</t>
  </si>
  <si>
    <t>Digital: Website Services</t>
  </si>
  <si>
    <t>Website services pricing unchanged</t>
  </si>
  <si>
    <t>Digital: Zelle</t>
  </si>
  <si>
    <t>Zelle pricing unchanged</t>
  </si>
  <si>
    <t>EFT: Debit Card Production</t>
  </si>
  <si>
    <t>Debit card production pricing unchanged</t>
  </si>
  <si>
    <t>EFT: EFT Norcross, 3D Secure, Tokenization, SecurLOCK</t>
  </si>
  <si>
    <t>EFT services bundle pricing clearly defined</t>
  </si>
  <si>
    <t>EFT: NYCE Debit Card Network</t>
  </si>
  <si>
    <t>NYCE network pricing unchanged</t>
  </si>
  <si>
    <t>FOS: eDelivery, Print/Render, Forms &amp; Envelopes</t>
  </si>
  <si>
    <t>Forms and output services pricing clearly defined</t>
  </si>
  <si>
    <t>HORIZON: Conditional Processing</t>
  </si>
  <si>
    <t>New HORIZON conditional processing module</t>
  </si>
  <si>
    <t>IP: DirectLink Consumer (via FXD)</t>
  </si>
  <si>
    <t>New DirectLink Consumer solution</t>
  </si>
  <si>
    <t>IP: DirectLink Merchant (via RDC)</t>
  </si>
  <si>
    <t>New DirectLink Merchant solution</t>
  </si>
  <si>
    <t>Image Solutions: Chargeback Manager</t>
  </si>
  <si>
    <t>New chargeback management solution</t>
  </si>
  <si>
    <t>Image Solutions: Collaboration Hub</t>
  </si>
  <si>
    <t>New collaboration hub solution</t>
  </si>
  <si>
    <t>Image Solutions: FedNOW (both Send and Receive) D1B</t>
  </si>
  <si>
    <t>New FedNOW instant payments solution</t>
  </si>
  <si>
    <t>Image Solutions: RTP (Receive)</t>
  </si>
  <si>
    <t>RTP receive pricing unchanged</t>
  </si>
  <si>
    <t>Image Solutions: RTP Send for D1B</t>
  </si>
  <si>
    <t>New RTP Send capability for D1 Business</t>
  </si>
  <si>
    <t>Item Processing: FCM, IP, Branch Capture, CCX, FXD, DLRR</t>
  </si>
  <si>
    <t>Item processing suite pricing clearly defined</t>
  </si>
  <si>
    <t>Lending: FLO</t>
  </si>
  <si>
    <t>Lending platform pricing unchanged</t>
  </si>
  <si>
    <t>Network: Network Connectivity Services</t>
  </si>
  <si>
    <t>Network services with slight price reduction</t>
  </si>
  <si>
    <t>Recently Signed Solutions: Various</t>
  </si>
  <si>
    <t>Various recently signed solutions with price increase</t>
  </si>
  <si>
    <t>Risk, Fraud &amp; Compliance: Decision Solutions</t>
  </si>
  <si>
    <t>Risk and compliance pricing unchanged</t>
  </si>
  <si>
    <t>SSL Encryption Certificates: GEOTrust, Verisign</t>
  </si>
  <si>
    <t>SSL certificates billed annually, converted to monthly</t>
  </si>
  <si>
    <t>Security Plus: Data Restore</t>
  </si>
  <si>
    <t>Data restore services pricing unchanged</t>
  </si>
  <si>
    <t>Treasury: Extended Account Analysis (XAA)</t>
  </si>
  <si>
    <t>New extended account analysis solution</t>
  </si>
  <si>
    <t>ACH: Milwaukee ACH</t>
  </si>
  <si>
    <t>ACH processing pricing unchanged</t>
  </si>
  <si>
    <t>Treasury: eWire (Business)</t>
  </si>
  <si>
    <t>Business wire services pricing unchanged</t>
  </si>
  <si>
    <t>HORIZON: Conditional Processing - Implementation Fee</t>
  </si>
  <si>
    <t>one-time</t>
  </si>
  <si>
    <t>IP: DirectLink Consumer (via FXD) - Implementation Fee</t>
  </si>
  <si>
    <t>IP: DirectLink Merchant (via RDC) - Implementation Fee</t>
  </si>
  <si>
    <t>Image Solutions: Chargeback Manager - Implementation Fee</t>
  </si>
  <si>
    <t>Image Solutions: Collaboration Hub - Implementation Fee</t>
  </si>
  <si>
    <t>Image Solutions: FedNOW (both Send and Receive) D1B - Implementation Fee</t>
  </si>
  <si>
    <t>Image Solutions: RTP Send for D1B - Implementation Fee</t>
  </si>
  <si>
    <t>Treasury: Extended Account Analysis (XAA) - Implementation Fee</t>
  </si>
  <si>
    <t>Treasury: eWire (Consumer) - Implementation Fee</t>
  </si>
  <si>
    <t>per wire</t>
  </si>
  <si>
    <t>New consumer wire service with per-transaction pricing</t>
  </si>
  <si>
    <t>Digital: WebConnect/DirectConnect &amp; Quickbooks</t>
  </si>
  <si>
    <t>Third-party integration services with price reduction</t>
  </si>
  <si>
    <t>Accounts Payable: Avid Ascend</t>
  </si>
  <si>
    <t>Third-party accounts payable solution</t>
  </si>
  <si>
    <t>Total Cost of Ownership (TCO) Summary</t>
  </si>
  <si>
    <t>Vendor:</t>
  </si>
  <si>
    <t>7-Year Total</t>
  </si>
  <si>
    <t>Monthly Average</t>
  </si>
  <si>
    <t>One-Time Fees</t>
  </si>
  <si>
    <t>Total Required TCO</t>
  </si>
  <si>
    <t>Optional Solutions</t>
  </si>
  <si>
    <t>Grand Total (Required + Optional)</t>
  </si>
  <si>
    <t>Annual Cost Breakdown (7-Year Projection)</t>
  </si>
  <si>
    <t>Year 1</t>
  </si>
  <si>
    <t>Required Annual Fees</t>
  </si>
  <si>
    <t>Optional Annual Fees</t>
  </si>
  <si>
    <t>Total Annual Cost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</si>
</sst>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\$#,##0.00"/>
  </numFmts>
  <fonts count="7">
    <font>
      <sz val="11"/>
      <color theme="1"/>
      <name val="Calibri"/>
      <family val="2"/>
      <scheme val="minor"/>
    </font>
    <font>
      <b/>
      <sz val="14"/>
      <name val="Calibri"/>
    </font>
    <font>
      <b/>
      <sz val="10"/>
      <name val="Calibri"/>
    </font>
    <font>
      <b/>
      <sz val="11"/>
      <color rgb="FFFFFFFF"/>
      <name val="Calibri"/>
    </font>
    <font>
      <b/>
      <sz val="11"/>
      <name val="Calibri"/>
    </font>
    <font>
      <sz val="11"/>
      <name val="Calibri"/>
    </font>
    <font>
      <sz val="11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4472C4"/>
        <bgColor rgb="FF4472C4"/>
      </patternFill>
    </fill>
    <fill>
      <patternFill patternType="solid">
        <fgColor rgb="FFF2F2F2"/>
        <bgColor rgb="FFF2F2F2"/>
      </patternFill>
    </fill>
    <fill>
      <patternFill patternType="solid">
        <fgColor theme="0"/>
        <bgColor indexed="64"/>
      </patternFill>
    </fill>
  </fills>
  <borders count="4">
    <border>
      <left/>
      <right/>
      <top/>
      <bottom/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D3D3D3"/>
      </left>
      <right style="thin">
        <color rgb="FFD3D3D3"/>
      </right>
      <top style="thin">
        <color rgb="FFD3D3D3"/>
      </top>
      <bottom/>
      <diagonal/>
    </border>
  </borders>
  <cellStyleXfs count="2">
    <xf numFmtId="0" fontId="0" fillId="0" borderId="0"/>
    <xf numFmtId="44" fontId="6" fillId="0" borderId="0" applyFont="0" applyFill="0" applyBorder="0" applyAlignment="0" applyProtection="0"/>
  </cellStyleXfs>
  <cellXfs count="17">
    <xf numFmtId="0" fontId="0" fillId="0" borderId="0" xfId="0"/>
    <xf numFmtId="0" fontId="1" fillId="0" borderId="0" xfId="0" applyFont="1"/>
    <xf numFmtId="0" fontId="2" fillId="0" borderId="0" xfId="0" applyFont="1" applyAlignment="1">
      <alignment horizontal="right"/>
    </xf>
    <xf numFmtId="10" fontId="0" fillId="0" borderId="0" xfId="0" applyNumberFormat="1"/>
    <xf numFmtId="0" fontId="3" fillId="2" borderId="0" xfId="0" applyFont="1" applyFill="1"/>
    <xf numFmtId="0" fontId="3" fillId="2" borderId="1" xfId="0" applyFont="1" applyFill="1" applyBorder="1" applyAlignment="1">
      <alignment horizontal="center" vertical="center"/>
    </xf>
    <xf numFmtId="0" fontId="4" fillId="0" borderId="0" xfId="0" applyFont="1"/>
    <xf numFmtId="0" fontId="5" fillId="0" borderId="0" xfId="0" applyFont="1"/>
    <xf numFmtId="0" fontId="3" fillId="2" borderId="1" xfId="0" applyFont="1" applyFill="1" applyBorder="1"/>
    <xf numFmtId="164" fontId="0" fillId="0" borderId="1" xfId="0" applyNumberFormat="1" applyBorder="1"/>
    <xf numFmtId="0" fontId="4" fillId="3" borderId="0" xfId="0" applyFont="1" applyFill="1"/>
    <xf numFmtId="0" fontId="3" fillId="2" borderId="1" xfId="0" applyFont="1" applyFill="1" applyBorder="1" applyAlignment="1">
      <alignment horizontal="center"/>
    </xf>
    <xf numFmtId="164" fontId="0" fillId="0" borderId="0" xfId="0" applyNumberFormat="1"/>
    <xf numFmtId="0" fontId="1" fillId="0" borderId="0" xfId="0" applyFont="1"/>
    <xf numFmtId="0" fontId="0" fillId="0" borderId="0" xfId="0"/>
    <xf numFmtId="44" fontId="6" fillId="4" borderId="2" xfId="1" applyFont="1" applyFill="1" applyBorder="1" applyAlignment="1">
      <alignment horizontal="center" vertical="center"/>
    </xf>
    <xf numFmtId="0" fontId="3" fillId="2" borderId="3" xfId="0" applyFont="1" applyFill="1" applyBorder="1" applyAlignment="1">
      <alignment horizontal="center"/>
    </xf>
  </cellXfs>
  <cellStyles count="2">
    <cellStyle name="Currency" xfId="1" builtinId="4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12"/>
  <sheetViews>
    <sheetView workbookViewId="0">
      <pane ySplit="1" topLeftCell="A2" activePane="bottomLeft" state="frozen"/>
      <selection pane="bottomLeft"/>
    </sheetView>
  </sheetViews>
  <sheetFormatPr defaultRowHeight="14.4"/>
  <cols>
    <col min="1" max="1" width="30" customWidth="1"/>
    <col min="2" max="2" width="40" customWidth="1"/>
  </cols>
  <sheetData>
    <row r="1" spans="1:2" ht="18">
      <c r="A1" s="1" t="s">
        <v>0</v>
      </c>
    </row>
    <row r="2" spans="1:2">
      <c r="A2" s="2" t="s">
        <v>1</v>
      </c>
      <c r="B2" t="s">
        <v>2</v>
      </c>
    </row>
    <row r="3" spans="1:2">
      <c r="A3" s="2" t="s">
        <v>3</v>
      </c>
      <c r="B3" t="s">
        <v>4</v>
      </c>
    </row>
    <row r="4" spans="1:2">
      <c r="A4" s="2" t="s">
        <v>5</v>
      </c>
      <c r="B4" t="s">
        <v>6</v>
      </c>
    </row>
    <row r="5" spans="1:2">
      <c r="A5" s="2" t="s">
        <v>7</v>
      </c>
      <c r="B5" t="s">
        <v>8</v>
      </c>
    </row>
    <row r="6" spans="1:2">
      <c r="A6" s="2" t="s">
        <v>9</v>
      </c>
      <c r="B6">
        <v>7</v>
      </c>
    </row>
    <row r="7" spans="1:2">
      <c r="A7" s="2" t="s">
        <v>10</v>
      </c>
      <c r="B7" s="3">
        <v>0.02</v>
      </c>
    </row>
    <row r="8" spans="1:2">
      <c r="A8" s="2" t="s">
        <v>11</v>
      </c>
      <c r="B8" s="3">
        <v>0.02</v>
      </c>
    </row>
    <row r="10" spans="1:2">
      <c r="A10" s="2" t="s">
        <v>12</v>
      </c>
      <c r="B10" t="s">
        <v>13</v>
      </c>
    </row>
    <row r="11" spans="1:2">
      <c r="A11" s="2" t="s">
        <v>14</v>
      </c>
      <c r="B11" t="s">
        <v>15</v>
      </c>
    </row>
    <row r="12" spans="1:2">
      <c r="A12" s="2" t="s">
        <v>16</v>
      </c>
      <c r="B12" t="s">
        <v>17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15"/>
  <sheetViews>
    <sheetView workbookViewId="0">
      <selection activeCell="B25" sqref="B25"/>
    </sheetView>
  </sheetViews>
  <sheetFormatPr defaultRowHeight="14.4"/>
  <cols>
    <col min="1" max="1" width="15" customWidth="1"/>
    <col min="2" max="2" width="25" customWidth="1"/>
    <col min="3" max="3" width="10" customWidth="1"/>
  </cols>
  <sheetData>
    <row r="1" spans="1:3">
      <c r="A1" s="4" t="s">
        <v>18</v>
      </c>
      <c r="B1" s="4" t="s">
        <v>19</v>
      </c>
      <c r="C1" s="4" t="s">
        <v>20</v>
      </c>
    </row>
    <row r="2" spans="1:3">
      <c r="A2" t="s">
        <v>21</v>
      </c>
      <c r="B2" t="s">
        <v>22</v>
      </c>
      <c r="C2" t="s">
        <v>23</v>
      </c>
    </row>
    <row r="3" spans="1:3">
      <c r="A3" t="s">
        <v>24</v>
      </c>
      <c r="B3" t="s">
        <v>25</v>
      </c>
      <c r="C3" t="s">
        <v>26</v>
      </c>
    </row>
    <row r="4" spans="1:3">
      <c r="A4" t="s">
        <v>27</v>
      </c>
      <c r="B4" t="s">
        <v>28</v>
      </c>
    </row>
    <row r="5" spans="1:3">
      <c r="A5" t="s">
        <v>29</v>
      </c>
      <c r="B5" t="s">
        <v>30</v>
      </c>
    </row>
    <row r="6" spans="1:3">
      <c r="B6" t="s">
        <v>31</v>
      </c>
    </row>
    <row r="7" spans="1:3">
      <c r="B7" t="s">
        <v>32</v>
      </c>
    </row>
    <row r="8" spans="1:3">
      <c r="B8" t="s">
        <v>33</v>
      </c>
    </row>
    <row r="9" spans="1:3">
      <c r="B9" t="s">
        <v>34</v>
      </c>
    </row>
    <row r="10" spans="1:3">
      <c r="B10" t="s">
        <v>35</v>
      </c>
    </row>
    <row r="11" spans="1:3">
      <c r="B11" t="s">
        <v>36</v>
      </c>
    </row>
    <row r="12" spans="1:3">
      <c r="B12" t="s">
        <v>37</v>
      </c>
    </row>
    <row r="13" spans="1:3">
      <c r="B13" t="s">
        <v>38</v>
      </c>
    </row>
    <row r="14" spans="1:3">
      <c r="B14" t="s">
        <v>39</v>
      </c>
    </row>
    <row r="15" spans="1:3">
      <c r="B15" t="s">
        <v>40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filterMode="1"/>
  <dimension ref="A1:T38"/>
  <sheetViews>
    <sheetView tabSelected="1" workbookViewId="0">
      <pane ySplit="1" topLeftCell="A26" activePane="bottomLeft" state="frozen"/>
      <selection pane="bottomLeft" activeCell="E54" sqref="E54"/>
    </sheetView>
  </sheetViews>
  <sheetFormatPr defaultRowHeight="14.4"/>
  <cols>
    <col min="1" max="1" width="8" customWidth="1"/>
    <col min="2" max="2" width="12" customWidth="1"/>
    <col min="3" max="3" width="40" customWidth="1"/>
    <col min="4" max="4" width="20" customWidth="1"/>
    <col min="5" max="5" width="12" customWidth="1"/>
    <col min="6" max="6" width="10" customWidth="1"/>
    <col min="7" max="7" width="15" customWidth="1"/>
    <col min="8" max="8" width="18" customWidth="1"/>
    <col min="9" max="17" width="15" customWidth="1"/>
    <col min="18" max="18" width="18" customWidth="1"/>
    <col min="19" max="19" width="12" customWidth="1"/>
    <col min="20" max="20" width="30" customWidth="1"/>
  </cols>
  <sheetData>
    <row r="1" spans="1:20">
      <c r="A1" s="5" t="s">
        <v>41</v>
      </c>
      <c r="B1" s="5" t="s">
        <v>42</v>
      </c>
      <c r="C1" s="5" t="s">
        <v>43</v>
      </c>
      <c r="D1" s="5" t="s">
        <v>44</v>
      </c>
      <c r="E1" s="5" t="s">
        <v>45</v>
      </c>
      <c r="F1" s="5" t="s">
        <v>46</v>
      </c>
      <c r="G1" s="5" t="s">
        <v>47</v>
      </c>
      <c r="H1" s="5" t="s">
        <v>48</v>
      </c>
      <c r="I1" s="5" t="s">
        <v>49</v>
      </c>
      <c r="J1" s="5" t="s">
        <v>50</v>
      </c>
      <c r="K1" s="5" t="s">
        <v>51</v>
      </c>
      <c r="L1" s="5" t="s">
        <v>52</v>
      </c>
      <c r="M1" s="5" t="s">
        <v>53</v>
      </c>
      <c r="N1" s="5" t="s">
        <v>54</v>
      </c>
      <c r="O1" s="5" t="s">
        <v>55</v>
      </c>
      <c r="P1" s="5" t="s">
        <v>56</v>
      </c>
      <c r="Q1" s="5" t="s">
        <v>57</v>
      </c>
      <c r="R1" s="5" t="s">
        <v>58</v>
      </c>
      <c r="S1" s="5" t="s">
        <v>59</v>
      </c>
      <c r="T1" s="5" t="s">
        <v>60</v>
      </c>
    </row>
    <row r="2" spans="1:20" hidden="1">
      <c r="A2">
        <v>1</v>
      </c>
      <c r="B2" t="s">
        <v>21</v>
      </c>
      <c r="C2" t="s">
        <v>61</v>
      </c>
      <c r="D2" t="s">
        <v>22</v>
      </c>
      <c r="E2" t="b">
        <v>0</v>
      </c>
      <c r="F2" t="b">
        <v>0</v>
      </c>
      <c r="G2" s="12">
        <v>16792</v>
      </c>
      <c r="H2" t="s">
        <v>62</v>
      </c>
      <c r="J2" s="12">
        <f t="shared" ref="J2:J38" si="0">IF(B2="Monthly F",G2,IF(B2="Monthly V",G2*I2,IF(B2="Annual",G2/12,0)))</f>
        <v>16792</v>
      </c>
      <c r="K2" s="12">
        <f t="shared" ref="K2:K38" si="1">IF(B2="One-Time",G2,J2*12)</f>
        <v>201504</v>
      </c>
      <c r="L2" s="12">
        <f>IF(B2="One-Time",0,K2*(1+Metadata!$B$8))</f>
        <v>205534.08000000002</v>
      </c>
      <c r="M2" s="12">
        <f>IF(B2="One-Time",0,L2*(1+Metadata!$B$8))</f>
        <v>209644.76160000003</v>
      </c>
      <c r="N2" s="12">
        <f>IF(B2="One-Time",0,M2*(1+Metadata!$B$8))</f>
        <v>213837.65683200004</v>
      </c>
      <c r="O2" s="12">
        <f>IF(B2="One-Time",0,N2*(1+Metadata!$B$8))</f>
        <v>218114.40996864004</v>
      </c>
      <c r="P2" s="12">
        <f>IF(B2="One-Time",0,O2*(1+Metadata!$B$8))</f>
        <v>222476.69816801284</v>
      </c>
      <c r="Q2" s="12">
        <f>IF(B2="One-Time",0,P2*(1+Metadata!$B$8))</f>
        <v>226926.23213137311</v>
      </c>
      <c r="R2" s="12">
        <f t="shared" ref="R2:R38" si="2">SUM(K2:Q2)</f>
        <v>1498037.838700026</v>
      </c>
      <c r="S2" s="3">
        <v>0.98</v>
      </c>
      <c r="T2" t="s">
        <v>63</v>
      </c>
    </row>
    <row r="3" spans="1:20" hidden="1">
      <c r="A3">
        <v>2</v>
      </c>
      <c r="B3" t="s">
        <v>21</v>
      </c>
      <c r="C3" t="s">
        <v>64</v>
      </c>
      <c r="D3" t="s">
        <v>25</v>
      </c>
      <c r="E3" t="b">
        <v>0</v>
      </c>
      <c r="F3" t="b">
        <v>0</v>
      </c>
      <c r="G3" s="12">
        <v>35253</v>
      </c>
      <c r="H3" t="s">
        <v>62</v>
      </c>
      <c r="J3" s="12">
        <f t="shared" si="0"/>
        <v>35253</v>
      </c>
      <c r="K3" s="12">
        <f t="shared" si="1"/>
        <v>423036</v>
      </c>
      <c r="L3" s="12">
        <f>IF(B3="One-Time",0,K3*(1+Metadata!$B$8))</f>
        <v>431496.72000000003</v>
      </c>
      <c r="M3" s="12">
        <f>IF(B3="One-Time",0,L3*(1+Metadata!$B$8))</f>
        <v>440126.65440000006</v>
      </c>
      <c r="N3" s="12">
        <f>IF(B3="One-Time",0,M3*(1+Metadata!$B$8))</f>
        <v>448929.18748800008</v>
      </c>
      <c r="O3" s="12">
        <f>IF(B3="One-Time",0,N3*(1+Metadata!$B$8))</f>
        <v>457907.77123776008</v>
      </c>
      <c r="P3" s="12">
        <f>IF(B3="One-Time",0,O3*(1+Metadata!$B$8))</f>
        <v>467065.92666251527</v>
      </c>
      <c r="Q3" s="12">
        <f>IF(B3="One-Time",0,P3*(1+Metadata!$B$8))</f>
        <v>476407.24519576557</v>
      </c>
      <c r="R3" s="12">
        <f t="shared" si="2"/>
        <v>3144969.5049840412</v>
      </c>
      <c r="S3" s="3">
        <v>0.98</v>
      </c>
      <c r="T3" t="s">
        <v>65</v>
      </c>
    </row>
    <row r="4" spans="1:20" hidden="1">
      <c r="A4">
        <v>3</v>
      </c>
      <c r="B4" t="s">
        <v>21</v>
      </c>
      <c r="C4" t="s">
        <v>66</v>
      </c>
      <c r="D4" t="s">
        <v>25</v>
      </c>
      <c r="E4" t="b">
        <v>0</v>
      </c>
      <c r="F4" t="b">
        <v>0</v>
      </c>
      <c r="G4" s="12">
        <v>568</v>
      </c>
      <c r="H4" t="s">
        <v>62</v>
      </c>
      <c r="J4" s="12">
        <f t="shared" si="0"/>
        <v>568</v>
      </c>
      <c r="K4" s="12">
        <f t="shared" si="1"/>
        <v>6816</v>
      </c>
      <c r="L4" s="12">
        <f>IF(B4="One-Time",0,K4*(1+Metadata!$B$8))</f>
        <v>6952.32</v>
      </c>
      <c r="M4" s="12">
        <f>IF(B4="One-Time",0,L4*(1+Metadata!$B$8))</f>
        <v>7091.3663999999999</v>
      </c>
      <c r="N4" s="12">
        <f>IF(B4="One-Time",0,M4*(1+Metadata!$B$8))</f>
        <v>7233.1937280000002</v>
      </c>
      <c r="O4" s="12">
        <f>IF(B4="One-Time",0,N4*(1+Metadata!$B$8))</f>
        <v>7377.8576025600005</v>
      </c>
      <c r="P4" s="12">
        <f>IF(B4="One-Time",0,O4*(1+Metadata!$B$8))</f>
        <v>7525.4147546112008</v>
      </c>
      <c r="Q4" s="12">
        <f>IF(B4="One-Time",0,P4*(1+Metadata!$B$8))</f>
        <v>7675.923049703425</v>
      </c>
      <c r="R4" s="12">
        <f t="shared" si="2"/>
        <v>50672.075534874617</v>
      </c>
      <c r="S4" s="3">
        <v>0.98</v>
      </c>
      <c r="T4" t="s">
        <v>67</v>
      </c>
    </row>
    <row r="5" spans="1:20" hidden="1">
      <c r="A5">
        <v>4</v>
      </c>
      <c r="B5" t="s">
        <v>21</v>
      </c>
      <c r="C5" t="s">
        <v>68</v>
      </c>
      <c r="D5" t="s">
        <v>25</v>
      </c>
      <c r="E5" t="b">
        <v>0</v>
      </c>
      <c r="F5" t="b">
        <v>0</v>
      </c>
      <c r="G5" s="12">
        <v>641</v>
      </c>
      <c r="H5" t="s">
        <v>62</v>
      </c>
      <c r="J5" s="12">
        <f t="shared" si="0"/>
        <v>641</v>
      </c>
      <c r="K5" s="12">
        <f t="shared" si="1"/>
        <v>7692</v>
      </c>
      <c r="L5" s="12">
        <f>IF(B5="One-Time",0,K5*(1+Metadata!$B$8))</f>
        <v>7845.84</v>
      </c>
      <c r="M5" s="12">
        <f>IF(B5="One-Time",0,L5*(1+Metadata!$B$8))</f>
        <v>8002.7568000000001</v>
      </c>
      <c r="N5" s="12">
        <f>IF(B5="One-Time",0,M5*(1+Metadata!$B$8))</f>
        <v>8162.8119360000001</v>
      </c>
      <c r="O5" s="12">
        <f>IF(B5="One-Time",0,N5*(1+Metadata!$B$8))</f>
        <v>8326.0681747199997</v>
      </c>
      <c r="P5" s="12">
        <f>IF(B5="One-Time",0,O5*(1+Metadata!$B$8))</f>
        <v>8492.589538214399</v>
      </c>
      <c r="Q5" s="12">
        <f>IF(B5="One-Time",0,P5*(1+Metadata!$B$8))</f>
        <v>8662.441328978688</v>
      </c>
      <c r="R5" s="12">
        <f t="shared" si="2"/>
        <v>57184.507777913088</v>
      </c>
      <c r="S5" s="3">
        <v>0.98</v>
      </c>
      <c r="T5" t="s">
        <v>69</v>
      </c>
    </row>
    <row r="6" spans="1:20" hidden="1">
      <c r="A6">
        <v>18</v>
      </c>
      <c r="B6" t="s">
        <v>21</v>
      </c>
      <c r="C6" t="s">
        <v>70</v>
      </c>
      <c r="D6" t="s">
        <v>28</v>
      </c>
      <c r="E6" t="b">
        <v>0</v>
      </c>
      <c r="F6" t="b">
        <v>0</v>
      </c>
      <c r="G6" s="12">
        <v>512</v>
      </c>
      <c r="H6" t="s">
        <v>62</v>
      </c>
      <c r="J6" s="12">
        <f t="shared" si="0"/>
        <v>512</v>
      </c>
      <c r="K6" s="12">
        <f t="shared" si="1"/>
        <v>6144</v>
      </c>
      <c r="L6" s="12">
        <f>IF(B6="One-Time",0,K6*(1+Metadata!$B$8))</f>
        <v>6266.88</v>
      </c>
      <c r="M6" s="12">
        <f>IF(B6="One-Time",0,L6*(1+Metadata!$B$8))</f>
        <v>6392.2175999999999</v>
      </c>
      <c r="N6" s="12">
        <f>IF(B6="One-Time",0,M6*(1+Metadata!$B$8))</f>
        <v>6520.061952</v>
      </c>
      <c r="O6" s="12">
        <f>IF(B6="One-Time",0,N6*(1+Metadata!$B$8))</f>
        <v>6650.4631910400003</v>
      </c>
      <c r="P6" s="12">
        <f>IF(B6="One-Time",0,O6*(1+Metadata!$B$8))</f>
        <v>6783.4724548608001</v>
      </c>
      <c r="Q6" s="12">
        <f>IF(B6="One-Time",0,P6*(1+Metadata!$B$8))</f>
        <v>6919.141903958016</v>
      </c>
      <c r="R6" s="12">
        <f t="shared" si="2"/>
        <v>45676.237101858816</v>
      </c>
      <c r="S6" s="3">
        <v>0.98</v>
      </c>
      <c r="T6" t="s">
        <v>71</v>
      </c>
    </row>
    <row r="7" spans="1:20" hidden="1">
      <c r="A7">
        <v>5</v>
      </c>
      <c r="B7" t="s">
        <v>21</v>
      </c>
      <c r="C7" t="s">
        <v>72</v>
      </c>
      <c r="D7" t="s">
        <v>28</v>
      </c>
      <c r="E7" t="b">
        <v>0</v>
      </c>
      <c r="F7" t="b">
        <v>0</v>
      </c>
      <c r="G7" s="12">
        <v>6675</v>
      </c>
      <c r="H7" t="s">
        <v>62</v>
      </c>
      <c r="J7" s="12">
        <f t="shared" si="0"/>
        <v>6675</v>
      </c>
      <c r="K7" s="12">
        <f t="shared" si="1"/>
        <v>80100</v>
      </c>
      <c r="L7" s="12">
        <f>IF(B7="One-Time",0,K7*(1+Metadata!$B$8))</f>
        <v>81702</v>
      </c>
      <c r="M7" s="12">
        <f>IF(B7="One-Time",0,L7*(1+Metadata!$B$8))</f>
        <v>83336.040000000008</v>
      </c>
      <c r="N7" s="12">
        <f>IF(B7="One-Time",0,M7*(1+Metadata!$B$8))</f>
        <v>85002.760800000004</v>
      </c>
      <c r="O7" s="12">
        <f>IF(B7="One-Time",0,N7*(1+Metadata!$B$8))</f>
        <v>86702.816016000012</v>
      </c>
      <c r="P7" s="12">
        <f>IF(B7="One-Time",0,O7*(1+Metadata!$B$8))</f>
        <v>88436.872336320012</v>
      </c>
      <c r="Q7" s="12">
        <f>IF(B7="One-Time",0,P7*(1+Metadata!$B$8))</f>
        <v>90205.609783046413</v>
      </c>
      <c r="R7" s="12">
        <f t="shared" si="2"/>
        <v>595486.09893536638</v>
      </c>
      <c r="S7" s="3">
        <v>0.98</v>
      </c>
      <c r="T7" t="s">
        <v>73</v>
      </c>
    </row>
    <row r="8" spans="1:20" hidden="1">
      <c r="A8">
        <v>19</v>
      </c>
      <c r="B8" t="s">
        <v>21</v>
      </c>
      <c r="C8" t="s">
        <v>74</v>
      </c>
      <c r="D8" t="s">
        <v>28</v>
      </c>
      <c r="E8" t="b">
        <v>0</v>
      </c>
      <c r="F8" t="b">
        <v>0</v>
      </c>
      <c r="G8" s="12">
        <v>171</v>
      </c>
      <c r="H8" t="s">
        <v>62</v>
      </c>
      <c r="J8" s="12">
        <f t="shared" si="0"/>
        <v>171</v>
      </c>
      <c r="K8" s="12">
        <f t="shared" si="1"/>
        <v>2052</v>
      </c>
      <c r="L8" s="12">
        <f>IF(B8="One-Time",0,K8*(1+Metadata!$B$8))</f>
        <v>2093.04</v>
      </c>
      <c r="M8" s="12">
        <f>IF(B8="One-Time",0,L8*(1+Metadata!$B$8))</f>
        <v>2134.9007999999999</v>
      </c>
      <c r="N8" s="12">
        <f>IF(B8="One-Time",0,M8*(1+Metadata!$B$8))</f>
        <v>2177.5988159999997</v>
      </c>
      <c r="O8" s="12">
        <f>IF(B8="One-Time",0,N8*(1+Metadata!$B$8))</f>
        <v>2221.1507923199997</v>
      </c>
      <c r="P8" s="12">
        <f>IF(B8="One-Time",0,O8*(1+Metadata!$B$8))</f>
        <v>2265.5738081663999</v>
      </c>
      <c r="Q8" s="12">
        <f>IF(B8="One-Time",0,P8*(1+Metadata!$B$8))</f>
        <v>2310.8852843297277</v>
      </c>
      <c r="R8" s="12">
        <f t="shared" si="2"/>
        <v>15255.149500816127</v>
      </c>
      <c r="S8" s="3">
        <v>0.98</v>
      </c>
      <c r="T8" t="s">
        <v>75</v>
      </c>
    </row>
    <row r="9" spans="1:20" hidden="1">
      <c r="A9">
        <v>10</v>
      </c>
      <c r="B9" t="s">
        <v>21</v>
      </c>
      <c r="C9" t="s">
        <v>76</v>
      </c>
      <c r="D9" t="s">
        <v>40</v>
      </c>
      <c r="E9" t="b">
        <v>0</v>
      </c>
      <c r="F9" t="b">
        <v>0</v>
      </c>
      <c r="G9" s="12">
        <v>2168</v>
      </c>
      <c r="H9" t="s">
        <v>62</v>
      </c>
      <c r="J9" s="12">
        <f t="shared" si="0"/>
        <v>2168</v>
      </c>
      <c r="K9" s="12">
        <f t="shared" si="1"/>
        <v>26016</v>
      </c>
      <c r="L9" s="12">
        <f>IF(B9="One-Time",0,K9*(1+Metadata!$B$8))</f>
        <v>26536.32</v>
      </c>
      <c r="M9" s="12">
        <f>IF(B9="One-Time",0,L9*(1+Metadata!$B$8))</f>
        <v>27067.046399999999</v>
      </c>
      <c r="N9" s="12">
        <f>IF(B9="One-Time",0,M9*(1+Metadata!$B$8))</f>
        <v>27608.387328000001</v>
      </c>
      <c r="O9" s="12">
        <f>IF(B9="One-Time",0,N9*(1+Metadata!$B$8))</f>
        <v>28160.555074560001</v>
      </c>
      <c r="P9" s="12">
        <f>IF(B9="One-Time",0,O9*(1+Metadata!$B$8))</f>
        <v>28723.766176051202</v>
      </c>
      <c r="Q9" s="12">
        <f>IF(B9="One-Time",0,P9*(1+Metadata!$B$8))</f>
        <v>29298.241499572225</v>
      </c>
      <c r="R9" s="12">
        <f t="shared" si="2"/>
        <v>193410.31647818343</v>
      </c>
      <c r="S9" s="3">
        <v>0.98</v>
      </c>
      <c r="T9" t="s">
        <v>77</v>
      </c>
    </row>
    <row r="10" spans="1:20" hidden="1">
      <c r="A10">
        <v>25</v>
      </c>
      <c r="B10" t="s">
        <v>21</v>
      </c>
      <c r="C10" t="s">
        <v>78</v>
      </c>
      <c r="D10" t="s">
        <v>40</v>
      </c>
      <c r="E10" t="b">
        <v>0</v>
      </c>
      <c r="F10" t="b">
        <v>0</v>
      </c>
      <c r="G10" s="12">
        <v>1076.8</v>
      </c>
      <c r="H10" t="s">
        <v>62</v>
      </c>
      <c r="J10" s="12">
        <f t="shared" si="0"/>
        <v>1076.8</v>
      </c>
      <c r="K10" s="12">
        <f t="shared" si="1"/>
        <v>12921.599999999999</v>
      </c>
      <c r="L10" s="12">
        <f>IF(B10="One-Time",0,K10*(1+Metadata!$B$8))</f>
        <v>13180.031999999999</v>
      </c>
      <c r="M10" s="12">
        <f>IF(B10="One-Time",0,L10*(1+Metadata!$B$8))</f>
        <v>13443.63264</v>
      </c>
      <c r="N10" s="12">
        <f>IF(B10="One-Time",0,M10*(1+Metadata!$B$8))</f>
        <v>13712.5052928</v>
      </c>
      <c r="O10" s="12">
        <f>IF(B10="One-Time",0,N10*(1+Metadata!$B$8))</f>
        <v>13986.755398656001</v>
      </c>
      <c r="P10" s="12">
        <f>IF(B10="One-Time",0,O10*(1+Metadata!$B$8))</f>
        <v>14266.490506629121</v>
      </c>
      <c r="Q10" s="12">
        <f>IF(B10="One-Time",0,P10*(1+Metadata!$B$8))</f>
        <v>14551.820316761703</v>
      </c>
      <c r="R10" s="12">
        <f t="shared" si="2"/>
        <v>96062.836154846824</v>
      </c>
      <c r="S10" s="3">
        <v>0.98</v>
      </c>
      <c r="T10" t="s">
        <v>79</v>
      </c>
    </row>
    <row r="11" spans="1:20" hidden="1">
      <c r="A11">
        <v>23</v>
      </c>
      <c r="B11" t="s">
        <v>21</v>
      </c>
      <c r="C11" t="s">
        <v>80</v>
      </c>
      <c r="D11" t="s">
        <v>40</v>
      </c>
      <c r="E11" t="b">
        <v>0</v>
      </c>
      <c r="F11" t="b">
        <v>0</v>
      </c>
      <c r="G11" s="12">
        <v>1170.19</v>
      </c>
      <c r="H11" t="s">
        <v>62</v>
      </c>
      <c r="J11" s="12">
        <f t="shared" si="0"/>
        <v>1170.19</v>
      </c>
      <c r="K11" s="12">
        <f t="shared" si="1"/>
        <v>14042.28</v>
      </c>
      <c r="L11" s="12">
        <f>IF(B11="One-Time",0,K11*(1+Metadata!$B$8))</f>
        <v>14323.125600000001</v>
      </c>
      <c r="M11" s="12">
        <f>IF(B11="One-Time",0,L11*(1+Metadata!$B$8))</f>
        <v>14609.588112000001</v>
      </c>
      <c r="N11" s="12">
        <f>IF(B11="One-Time",0,M11*(1+Metadata!$B$8))</f>
        <v>14901.779874240001</v>
      </c>
      <c r="O11" s="12">
        <f>IF(B11="One-Time",0,N11*(1+Metadata!$B$8))</f>
        <v>15199.815471724802</v>
      </c>
      <c r="P11" s="12">
        <f>IF(B11="One-Time",0,O11*(1+Metadata!$B$8))</f>
        <v>15503.811781159298</v>
      </c>
      <c r="Q11" s="12">
        <f>IF(B11="One-Time",0,P11*(1+Metadata!$B$8))</f>
        <v>15813.888016782485</v>
      </c>
      <c r="R11" s="12">
        <f t="shared" si="2"/>
        <v>104394.28885590658</v>
      </c>
      <c r="S11" s="3">
        <v>0.98</v>
      </c>
      <c r="T11" t="s">
        <v>81</v>
      </c>
    </row>
    <row r="12" spans="1:20" hidden="1">
      <c r="A12">
        <v>21</v>
      </c>
      <c r="B12" t="s">
        <v>21</v>
      </c>
      <c r="C12" t="s">
        <v>82</v>
      </c>
      <c r="D12" t="s">
        <v>40</v>
      </c>
      <c r="E12" t="b">
        <v>0</v>
      </c>
      <c r="F12" t="b">
        <v>0</v>
      </c>
      <c r="G12" s="12">
        <v>3402.14</v>
      </c>
      <c r="H12" t="s">
        <v>62</v>
      </c>
      <c r="J12" s="12">
        <f t="shared" si="0"/>
        <v>3402.14</v>
      </c>
      <c r="K12" s="12">
        <f t="shared" si="1"/>
        <v>40825.68</v>
      </c>
      <c r="L12" s="12">
        <f>IF(B12="One-Time",0,K12*(1+Metadata!$B$8))</f>
        <v>41642.193599999999</v>
      </c>
      <c r="M12" s="12">
        <f>IF(B12="One-Time",0,L12*(1+Metadata!$B$8))</f>
        <v>42475.037471999996</v>
      </c>
      <c r="N12" s="12">
        <f>IF(B12="One-Time",0,M12*(1+Metadata!$B$8))</f>
        <v>43324.538221439994</v>
      </c>
      <c r="O12" s="12">
        <f>IF(B12="One-Time",0,N12*(1+Metadata!$B$8))</f>
        <v>44191.028985868797</v>
      </c>
      <c r="P12" s="12">
        <f>IF(B12="One-Time",0,O12*(1+Metadata!$B$8))</f>
        <v>45074.849565586177</v>
      </c>
      <c r="Q12" s="12">
        <f>IF(B12="One-Time",0,P12*(1+Metadata!$B$8))</f>
        <v>45976.346556897901</v>
      </c>
      <c r="R12" s="12">
        <f t="shared" si="2"/>
        <v>303509.67440179287</v>
      </c>
      <c r="S12" s="3">
        <v>0.98</v>
      </c>
      <c r="T12" t="s">
        <v>83</v>
      </c>
    </row>
    <row r="13" spans="1:20" hidden="1">
      <c r="A13">
        <v>34</v>
      </c>
      <c r="B13" t="s">
        <v>21</v>
      </c>
      <c r="C13" t="s">
        <v>84</v>
      </c>
      <c r="D13" t="s">
        <v>40</v>
      </c>
      <c r="E13" t="b">
        <v>0</v>
      </c>
      <c r="F13" t="b">
        <v>0</v>
      </c>
      <c r="G13" s="12">
        <v>250</v>
      </c>
      <c r="H13" t="s">
        <v>62</v>
      </c>
      <c r="J13" s="12">
        <f t="shared" si="0"/>
        <v>250</v>
      </c>
      <c r="K13" s="12">
        <f t="shared" si="1"/>
        <v>3000</v>
      </c>
      <c r="L13" s="12">
        <f>IF(B13="One-Time",0,K13*(1+Metadata!$B$8))</f>
        <v>3060</v>
      </c>
      <c r="M13" s="12">
        <f>IF(B13="One-Time",0,L13*(1+Metadata!$B$8))</f>
        <v>3121.2000000000003</v>
      </c>
      <c r="N13" s="12">
        <f>IF(B13="One-Time",0,M13*(1+Metadata!$B$8))</f>
        <v>3183.6240000000003</v>
      </c>
      <c r="O13" s="12">
        <f>IF(B13="One-Time",0,N13*(1+Metadata!$B$8))</f>
        <v>3247.2964800000004</v>
      </c>
      <c r="P13" s="12">
        <f>IF(B13="One-Time",0,O13*(1+Metadata!$B$8))</f>
        <v>3312.2424096000004</v>
      </c>
      <c r="Q13" s="12">
        <f>IF(B13="One-Time",0,P13*(1+Metadata!$B$8))</f>
        <v>3378.4872577920005</v>
      </c>
      <c r="R13" s="12">
        <f t="shared" si="2"/>
        <v>22302.850147392001</v>
      </c>
      <c r="S13" s="3">
        <v>0.98</v>
      </c>
      <c r="T13" t="s">
        <v>85</v>
      </c>
    </row>
    <row r="14" spans="1:20" hidden="1">
      <c r="A14">
        <v>36</v>
      </c>
      <c r="B14" t="s">
        <v>21</v>
      </c>
      <c r="C14" t="s">
        <v>86</v>
      </c>
      <c r="D14" t="s">
        <v>40</v>
      </c>
      <c r="E14" t="b">
        <v>0</v>
      </c>
      <c r="F14" t="b">
        <v>0</v>
      </c>
      <c r="G14" s="12">
        <v>1173.2</v>
      </c>
      <c r="H14" t="s">
        <v>62</v>
      </c>
      <c r="J14" s="12">
        <f t="shared" si="0"/>
        <v>1173.2</v>
      </c>
      <c r="K14" s="12">
        <f t="shared" si="1"/>
        <v>14078.400000000001</v>
      </c>
      <c r="L14" s="12">
        <f>IF(B14="One-Time",0,K14*(1+Metadata!$B$8))</f>
        <v>14359.968000000003</v>
      </c>
      <c r="M14" s="12">
        <f>IF(B14="One-Time",0,L14*(1+Metadata!$B$8))</f>
        <v>14647.167360000003</v>
      </c>
      <c r="N14" s="12">
        <f>IF(B14="One-Time",0,M14*(1+Metadata!$B$8))</f>
        <v>14940.110707200003</v>
      </c>
      <c r="O14" s="12">
        <f>IF(B14="One-Time",0,N14*(1+Metadata!$B$8))</f>
        <v>15238.912921344003</v>
      </c>
      <c r="P14" s="12">
        <f>IF(B14="One-Time",0,O14*(1+Metadata!$B$8))</f>
        <v>15543.691179770884</v>
      </c>
      <c r="Q14" s="12">
        <f>IF(B14="One-Time",0,P14*(1+Metadata!$B$8))</f>
        <v>15854.565003366302</v>
      </c>
      <c r="R14" s="12">
        <f t="shared" si="2"/>
        <v>104662.8151716812</v>
      </c>
      <c r="S14" s="3">
        <v>0.98</v>
      </c>
      <c r="T14" t="s">
        <v>87</v>
      </c>
    </row>
    <row r="15" spans="1:20" hidden="1">
      <c r="A15">
        <v>32</v>
      </c>
      <c r="B15" t="s">
        <v>21</v>
      </c>
      <c r="C15" t="s">
        <v>88</v>
      </c>
      <c r="D15" t="s">
        <v>40</v>
      </c>
      <c r="E15" t="b">
        <v>0</v>
      </c>
      <c r="F15" t="b">
        <v>0</v>
      </c>
      <c r="G15" s="12">
        <v>3550</v>
      </c>
      <c r="H15" t="s">
        <v>62</v>
      </c>
      <c r="J15" s="12">
        <f t="shared" si="0"/>
        <v>3550</v>
      </c>
      <c r="K15" s="12">
        <f t="shared" si="1"/>
        <v>42600</v>
      </c>
      <c r="L15" s="12">
        <f>IF(B15="One-Time",0,K15*(1+Metadata!$B$8))</f>
        <v>43452</v>
      </c>
      <c r="M15" s="12">
        <f>IF(B15="One-Time",0,L15*(1+Metadata!$B$8))</f>
        <v>44321.04</v>
      </c>
      <c r="N15" s="12">
        <f>IF(B15="One-Time",0,M15*(1+Metadata!$B$8))</f>
        <v>45207.460800000001</v>
      </c>
      <c r="O15" s="12">
        <f>IF(B15="One-Time",0,N15*(1+Metadata!$B$8))</f>
        <v>46111.610015999999</v>
      </c>
      <c r="P15" s="12">
        <f>IF(B15="One-Time",0,O15*(1+Metadata!$B$8))</f>
        <v>47033.842216320001</v>
      </c>
      <c r="Q15" s="12">
        <f>IF(B15="One-Time",0,P15*(1+Metadata!$B$8))</f>
        <v>47974.519060646402</v>
      </c>
      <c r="R15" s="12">
        <f t="shared" si="2"/>
        <v>316700.47209296643</v>
      </c>
      <c r="S15" s="3">
        <v>0.98</v>
      </c>
      <c r="T15" t="s">
        <v>89</v>
      </c>
    </row>
    <row r="16" spans="1:20" hidden="1">
      <c r="A16">
        <v>8</v>
      </c>
      <c r="B16" t="s">
        <v>21</v>
      </c>
      <c r="C16" t="s">
        <v>90</v>
      </c>
      <c r="D16" t="s">
        <v>40</v>
      </c>
      <c r="E16" t="b">
        <v>0</v>
      </c>
      <c r="F16" t="b">
        <v>0</v>
      </c>
      <c r="G16" s="12">
        <v>855</v>
      </c>
      <c r="H16" t="s">
        <v>62</v>
      </c>
      <c r="J16" s="12">
        <f t="shared" si="0"/>
        <v>855</v>
      </c>
      <c r="K16" s="12">
        <f t="shared" si="1"/>
        <v>10260</v>
      </c>
      <c r="L16" s="12">
        <f>IF(B16="One-Time",0,K16*(1+Metadata!$B$8))</f>
        <v>10465.200000000001</v>
      </c>
      <c r="M16" s="12">
        <f>IF(B16="One-Time",0,L16*(1+Metadata!$B$8))</f>
        <v>10674.504000000001</v>
      </c>
      <c r="N16" s="12">
        <f>IF(B16="One-Time",0,M16*(1+Metadata!$B$8))</f>
        <v>10887.99408</v>
      </c>
      <c r="O16" s="12">
        <f>IF(B16="One-Time",0,N16*(1+Metadata!$B$8))</f>
        <v>11105.753961600001</v>
      </c>
      <c r="P16" s="12">
        <f>IF(B16="One-Time",0,O16*(1+Metadata!$B$8))</f>
        <v>11327.869040832002</v>
      </c>
      <c r="Q16" s="12">
        <f>IF(B16="One-Time",0,P16*(1+Metadata!$B$8))</f>
        <v>11554.426421648643</v>
      </c>
      <c r="R16" s="12">
        <f t="shared" si="2"/>
        <v>76275.747504080646</v>
      </c>
      <c r="S16" s="3">
        <v>0.98</v>
      </c>
      <c r="T16" t="s">
        <v>91</v>
      </c>
    </row>
    <row r="17" spans="1:20" hidden="1">
      <c r="A17">
        <v>30</v>
      </c>
      <c r="B17" t="s">
        <v>21</v>
      </c>
      <c r="C17" t="s">
        <v>92</v>
      </c>
      <c r="D17" t="s">
        <v>40</v>
      </c>
      <c r="E17" t="b">
        <v>0</v>
      </c>
      <c r="F17" t="b">
        <v>0</v>
      </c>
      <c r="G17" s="12">
        <v>150.5</v>
      </c>
      <c r="H17" t="s">
        <v>62</v>
      </c>
      <c r="J17" s="12">
        <f t="shared" si="0"/>
        <v>150.5</v>
      </c>
      <c r="K17" s="12">
        <f t="shared" si="1"/>
        <v>1806</v>
      </c>
      <c r="L17" s="12">
        <f>IF(B17="One-Time",0,K17*(1+Metadata!$B$8))</f>
        <v>1842.1200000000001</v>
      </c>
      <c r="M17" s="12">
        <f>IF(B17="One-Time",0,L17*(1+Metadata!$B$8))</f>
        <v>1878.9624000000001</v>
      </c>
      <c r="N17" s="12">
        <f>IF(B17="One-Time",0,M17*(1+Metadata!$B$8))</f>
        <v>1916.5416480000001</v>
      </c>
      <c r="O17" s="12">
        <f>IF(B17="One-Time",0,N17*(1+Metadata!$B$8))</f>
        <v>1954.8724809600001</v>
      </c>
      <c r="P17" s="12">
        <f>IF(B17="One-Time",0,O17*(1+Metadata!$B$8))</f>
        <v>1993.9699305792001</v>
      </c>
      <c r="Q17" s="12">
        <f>IF(B17="One-Time",0,P17*(1+Metadata!$B$8))</f>
        <v>2033.8493291907841</v>
      </c>
      <c r="R17" s="12">
        <f t="shared" si="2"/>
        <v>13426.315788729984</v>
      </c>
      <c r="S17" s="3">
        <v>0.98</v>
      </c>
      <c r="T17" t="s">
        <v>93</v>
      </c>
    </row>
    <row r="18" spans="1:20" hidden="1">
      <c r="A18">
        <v>9</v>
      </c>
      <c r="B18" t="s">
        <v>21</v>
      </c>
      <c r="C18" t="s">
        <v>94</v>
      </c>
      <c r="D18" t="s">
        <v>40</v>
      </c>
      <c r="E18" t="b">
        <v>0</v>
      </c>
      <c r="F18" t="b">
        <v>0</v>
      </c>
      <c r="G18" s="12">
        <v>19353</v>
      </c>
      <c r="H18" t="s">
        <v>62</v>
      </c>
      <c r="J18" s="12">
        <f t="shared" si="0"/>
        <v>19353</v>
      </c>
      <c r="K18" s="12">
        <f t="shared" si="1"/>
        <v>232236</v>
      </c>
      <c r="L18" s="12">
        <f>IF(B18="One-Time",0,K18*(1+Metadata!$B$8))</f>
        <v>236880.72</v>
      </c>
      <c r="M18" s="12">
        <f>IF(B18="One-Time",0,L18*(1+Metadata!$B$8))</f>
        <v>241618.33439999999</v>
      </c>
      <c r="N18" s="12">
        <f>IF(B18="One-Time",0,M18*(1+Metadata!$B$8))</f>
        <v>246450.701088</v>
      </c>
      <c r="O18" s="12">
        <f>IF(B18="One-Time",0,N18*(1+Metadata!$B$8))</f>
        <v>251379.71510976</v>
      </c>
      <c r="P18" s="12">
        <f>IF(B18="One-Time",0,O18*(1+Metadata!$B$8))</f>
        <v>256407.30941195521</v>
      </c>
      <c r="Q18" s="12">
        <f>IF(B18="One-Time",0,P18*(1+Metadata!$B$8))</f>
        <v>261535.45560019431</v>
      </c>
      <c r="R18" s="12">
        <f t="shared" si="2"/>
        <v>1726508.2356099098</v>
      </c>
      <c r="S18" s="3">
        <v>0.98</v>
      </c>
      <c r="T18" t="s">
        <v>95</v>
      </c>
    </row>
    <row r="19" spans="1:20" hidden="1">
      <c r="A19">
        <v>11</v>
      </c>
      <c r="B19" t="s">
        <v>21</v>
      </c>
      <c r="C19" t="s">
        <v>96</v>
      </c>
      <c r="D19" t="s">
        <v>40</v>
      </c>
      <c r="E19" t="b">
        <v>0</v>
      </c>
      <c r="F19" t="b">
        <v>0</v>
      </c>
      <c r="G19" s="12">
        <v>1055</v>
      </c>
      <c r="H19" t="s">
        <v>62</v>
      </c>
      <c r="J19" s="12">
        <f t="shared" si="0"/>
        <v>1055</v>
      </c>
      <c r="K19" s="12">
        <f t="shared" si="1"/>
        <v>12660</v>
      </c>
      <c r="L19" s="12">
        <f>IF(B19="One-Time",0,K19*(1+Metadata!$B$8))</f>
        <v>12913.2</v>
      </c>
      <c r="M19" s="12">
        <f>IF(B19="One-Time",0,L19*(1+Metadata!$B$8))</f>
        <v>13171.464000000002</v>
      </c>
      <c r="N19" s="12">
        <f>IF(B19="One-Time",0,M19*(1+Metadata!$B$8))</f>
        <v>13434.893280000002</v>
      </c>
      <c r="O19" s="12">
        <f>IF(B19="One-Time",0,N19*(1+Metadata!$B$8))</f>
        <v>13703.591145600003</v>
      </c>
      <c r="P19" s="12">
        <f>IF(B19="One-Time",0,O19*(1+Metadata!$B$8))</f>
        <v>13977.662968512004</v>
      </c>
      <c r="Q19" s="12">
        <f>IF(B19="One-Time",0,P19*(1+Metadata!$B$8))</f>
        <v>14257.216227882245</v>
      </c>
      <c r="R19" s="12">
        <f t="shared" si="2"/>
        <v>94118.027621994261</v>
      </c>
      <c r="S19" s="3">
        <v>0.98</v>
      </c>
      <c r="T19" t="s">
        <v>97</v>
      </c>
    </row>
    <row r="20" spans="1:20" hidden="1">
      <c r="A20">
        <v>17</v>
      </c>
      <c r="B20" t="s">
        <v>21</v>
      </c>
      <c r="C20" t="s">
        <v>98</v>
      </c>
      <c r="D20" t="s">
        <v>40</v>
      </c>
      <c r="E20" t="b">
        <v>0</v>
      </c>
      <c r="F20" t="b">
        <v>0</v>
      </c>
      <c r="G20" s="12">
        <v>2176</v>
      </c>
      <c r="H20" t="s">
        <v>62</v>
      </c>
      <c r="J20" s="12">
        <f t="shared" si="0"/>
        <v>2176</v>
      </c>
      <c r="K20" s="12">
        <f t="shared" si="1"/>
        <v>26112</v>
      </c>
      <c r="L20" s="12">
        <f>IF(B20="One-Time",0,K20*(1+Metadata!$B$8))</f>
        <v>26634.240000000002</v>
      </c>
      <c r="M20" s="12">
        <f>IF(B20="One-Time",0,L20*(1+Metadata!$B$8))</f>
        <v>27166.924800000001</v>
      </c>
      <c r="N20" s="12">
        <f>IF(B20="One-Time",0,M20*(1+Metadata!$B$8))</f>
        <v>27710.263296000001</v>
      </c>
      <c r="O20" s="12">
        <f>IF(B20="One-Time",0,N20*(1+Metadata!$B$8))</f>
        <v>28264.468561920003</v>
      </c>
      <c r="P20" s="12">
        <f>IF(B20="One-Time",0,O20*(1+Metadata!$B$8))</f>
        <v>28829.757933158402</v>
      </c>
      <c r="Q20" s="12">
        <f>IF(B20="One-Time",0,P20*(1+Metadata!$B$8))</f>
        <v>29406.353091821569</v>
      </c>
      <c r="R20" s="12">
        <f t="shared" si="2"/>
        <v>194124.00768289997</v>
      </c>
      <c r="S20" s="3">
        <v>0.98</v>
      </c>
      <c r="T20" t="s">
        <v>99</v>
      </c>
    </row>
    <row r="21" spans="1:20" hidden="1">
      <c r="A21">
        <v>20</v>
      </c>
      <c r="B21" t="s">
        <v>21</v>
      </c>
      <c r="C21" t="s">
        <v>100</v>
      </c>
      <c r="D21" t="s">
        <v>40</v>
      </c>
      <c r="E21" t="b">
        <v>0</v>
      </c>
      <c r="F21" t="b">
        <v>0</v>
      </c>
      <c r="G21" s="12">
        <v>646</v>
      </c>
      <c r="H21" t="s">
        <v>62</v>
      </c>
      <c r="J21" s="12">
        <f t="shared" si="0"/>
        <v>646</v>
      </c>
      <c r="K21" s="12">
        <f t="shared" si="1"/>
        <v>7752</v>
      </c>
      <c r="L21" s="12">
        <f>IF(B21="One-Time",0,K21*(1+Metadata!$B$8))</f>
        <v>7907.04</v>
      </c>
      <c r="M21" s="12">
        <f>IF(B21="One-Time",0,L21*(1+Metadata!$B$8))</f>
        <v>8065.1808000000001</v>
      </c>
      <c r="N21" s="12">
        <f>IF(B21="One-Time",0,M21*(1+Metadata!$B$8))</f>
        <v>8226.4844159999993</v>
      </c>
      <c r="O21" s="12">
        <f>IF(B21="One-Time",0,N21*(1+Metadata!$B$8))</f>
        <v>8391.0141043200001</v>
      </c>
      <c r="P21" s="12">
        <f>IF(B21="One-Time",0,O21*(1+Metadata!$B$8))</f>
        <v>8558.8343864064009</v>
      </c>
      <c r="Q21" s="12">
        <f>IF(B21="One-Time",0,P21*(1+Metadata!$B$8))</f>
        <v>8730.0110741345288</v>
      </c>
      <c r="R21" s="12">
        <f t="shared" si="2"/>
        <v>57630.564780860928</v>
      </c>
      <c r="S21" s="3">
        <v>0.9</v>
      </c>
      <c r="T21" t="s">
        <v>101</v>
      </c>
    </row>
    <row r="22" spans="1:20" hidden="1">
      <c r="A22">
        <v>6</v>
      </c>
      <c r="B22" t="s">
        <v>21</v>
      </c>
      <c r="C22" t="s">
        <v>102</v>
      </c>
      <c r="D22" t="s">
        <v>40</v>
      </c>
      <c r="E22" t="b">
        <v>0</v>
      </c>
      <c r="F22" t="b">
        <v>0</v>
      </c>
      <c r="G22" s="12">
        <v>803</v>
      </c>
      <c r="H22" t="s">
        <v>62</v>
      </c>
      <c r="J22" s="12">
        <f t="shared" si="0"/>
        <v>803</v>
      </c>
      <c r="K22" s="12">
        <f t="shared" si="1"/>
        <v>9636</v>
      </c>
      <c r="L22" s="12">
        <f>IF(B22="One-Time",0,K22*(1+Metadata!$B$8))</f>
        <v>9828.7199999999993</v>
      </c>
      <c r="M22" s="12">
        <f>IF(B22="One-Time",0,L22*(1+Metadata!$B$8))</f>
        <v>10025.294399999999</v>
      </c>
      <c r="N22" s="12">
        <f>IF(B22="One-Time",0,M22*(1+Metadata!$B$8))</f>
        <v>10225.800287999999</v>
      </c>
      <c r="O22" s="12">
        <f>IF(B22="One-Time",0,N22*(1+Metadata!$B$8))</f>
        <v>10430.316293759999</v>
      </c>
      <c r="P22" s="12">
        <f>IF(B22="One-Time",0,O22*(1+Metadata!$B$8))</f>
        <v>10638.922619635199</v>
      </c>
      <c r="Q22" s="12">
        <f>IF(B22="One-Time",0,P22*(1+Metadata!$B$8))</f>
        <v>10851.701072027903</v>
      </c>
      <c r="R22" s="12">
        <f t="shared" si="2"/>
        <v>71636.7546734231</v>
      </c>
      <c r="S22" s="3">
        <v>0.98</v>
      </c>
      <c r="T22" t="s">
        <v>103</v>
      </c>
    </row>
    <row r="23" spans="1:20" hidden="1">
      <c r="A23">
        <v>15</v>
      </c>
      <c r="B23" t="s">
        <v>21</v>
      </c>
      <c r="C23" t="s">
        <v>104</v>
      </c>
      <c r="D23" t="s">
        <v>40</v>
      </c>
      <c r="E23" t="b">
        <v>0</v>
      </c>
      <c r="F23" t="b">
        <v>0</v>
      </c>
      <c r="G23" s="12">
        <v>165</v>
      </c>
      <c r="H23" t="s">
        <v>62</v>
      </c>
      <c r="J23" s="12">
        <f t="shared" si="0"/>
        <v>165</v>
      </c>
      <c r="K23" s="12">
        <f t="shared" si="1"/>
        <v>1980</v>
      </c>
      <c r="L23" s="12">
        <f>IF(B23="One-Time",0,K23*(1+Metadata!$B$8))</f>
        <v>2019.6000000000001</v>
      </c>
      <c r="M23" s="12">
        <f>IF(B23="One-Time",0,L23*(1+Metadata!$B$8))</f>
        <v>2059.9920000000002</v>
      </c>
      <c r="N23" s="12">
        <f>IF(B23="One-Time",0,M23*(1+Metadata!$B$8))</f>
        <v>2101.1918400000004</v>
      </c>
      <c r="O23" s="12">
        <f>IF(B23="One-Time",0,N23*(1+Metadata!$B$8))</f>
        <v>2143.2156768000004</v>
      </c>
      <c r="P23" s="12">
        <f>IF(B23="One-Time",0,O23*(1+Metadata!$B$8))</f>
        <v>2186.0799903360003</v>
      </c>
      <c r="Q23" s="12">
        <f>IF(B23="One-Time",0,P23*(1+Metadata!$B$8))</f>
        <v>2229.8015901427202</v>
      </c>
      <c r="R23" s="12">
        <f t="shared" si="2"/>
        <v>14719.881097278723</v>
      </c>
      <c r="S23" s="3">
        <v>0.95</v>
      </c>
      <c r="T23" t="s">
        <v>105</v>
      </c>
    </row>
    <row r="24" spans="1:20" hidden="1">
      <c r="A24">
        <v>14</v>
      </c>
      <c r="B24" t="s">
        <v>21</v>
      </c>
      <c r="C24" t="s">
        <v>106</v>
      </c>
      <c r="D24" t="s">
        <v>40</v>
      </c>
      <c r="E24" t="b">
        <v>0</v>
      </c>
      <c r="F24" t="b">
        <v>0</v>
      </c>
      <c r="G24" s="12">
        <v>328</v>
      </c>
      <c r="H24" t="s">
        <v>62</v>
      </c>
      <c r="J24" s="12">
        <f t="shared" si="0"/>
        <v>328</v>
      </c>
      <c r="K24" s="12">
        <f t="shared" si="1"/>
        <v>3936</v>
      </c>
      <c r="L24" s="12">
        <f>IF(B24="One-Time",0,K24*(1+Metadata!$B$8))</f>
        <v>4014.7200000000003</v>
      </c>
      <c r="M24" s="12">
        <f>IF(B24="One-Time",0,L24*(1+Metadata!$B$8))</f>
        <v>4095.0144000000005</v>
      </c>
      <c r="N24" s="12">
        <f>IF(B24="One-Time",0,M24*(1+Metadata!$B$8))</f>
        <v>4176.9146880000008</v>
      </c>
      <c r="O24" s="12">
        <f>IF(B24="One-Time",0,N24*(1+Metadata!$B$8))</f>
        <v>4260.4529817600005</v>
      </c>
      <c r="P24" s="12">
        <f>IF(B24="One-Time",0,O24*(1+Metadata!$B$8))</f>
        <v>4345.6620413952005</v>
      </c>
      <c r="Q24" s="12">
        <f>IF(B24="One-Time",0,P24*(1+Metadata!$B$8))</f>
        <v>4432.5752822231043</v>
      </c>
      <c r="R24" s="12">
        <f t="shared" si="2"/>
        <v>29261.339393378308</v>
      </c>
      <c r="S24" s="3">
        <v>0.98</v>
      </c>
      <c r="T24" t="s">
        <v>107</v>
      </c>
    </row>
    <row r="25" spans="1:20" hidden="1">
      <c r="A25">
        <v>28</v>
      </c>
      <c r="B25" t="s">
        <v>21</v>
      </c>
      <c r="C25" t="s">
        <v>108</v>
      </c>
      <c r="D25" t="s">
        <v>40</v>
      </c>
      <c r="E25" t="b">
        <v>0</v>
      </c>
      <c r="F25" t="b">
        <v>0</v>
      </c>
      <c r="G25" s="12">
        <v>1124</v>
      </c>
      <c r="H25" t="s">
        <v>62</v>
      </c>
      <c r="J25" s="12">
        <f t="shared" si="0"/>
        <v>1124</v>
      </c>
      <c r="K25" s="12">
        <f t="shared" si="1"/>
        <v>13488</v>
      </c>
      <c r="L25" s="12">
        <f>IF(B25="One-Time",0,K25*(1+Metadata!$B$8))</f>
        <v>13757.76</v>
      </c>
      <c r="M25" s="12">
        <f>IF(B25="One-Time",0,L25*(1+Metadata!$B$8))</f>
        <v>14032.915200000001</v>
      </c>
      <c r="N25" s="12">
        <f>IF(B25="One-Time",0,M25*(1+Metadata!$B$8))</f>
        <v>14313.573504000002</v>
      </c>
      <c r="O25" s="12">
        <f>IF(B25="One-Time",0,N25*(1+Metadata!$B$8))</f>
        <v>14599.844974080002</v>
      </c>
      <c r="P25" s="12">
        <f>IF(B25="One-Time",0,O25*(1+Metadata!$B$8))</f>
        <v>14891.841873561603</v>
      </c>
      <c r="Q25" s="12">
        <f>IF(B25="One-Time",0,P25*(1+Metadata!$B$8))</f>
        <v>15189.678711032835</v>
      </c>
      <c r="R25" s="12">
        <f t="shared" si="2"/>
        <v>100273.61426267444</v>
      </c>
      <c r="S25" s="3">
        <v>0.98</v>
      </c>
      <c r="T25" t="s">
        <v>109</v>
      </c>
    </row>
    <row r="26" spans="1:20">
      <c r="A26">
        <v>12</v>
      </c>
      <c r="B26" t="s">
        <v>21</v>
      </c>
      <c r="C26" t="s">
        <v>110</v>
      </c>
      <c r="D26" t="s">
        <v>31</v>
      </c>
      <c r="E26" t="b">
        <v>0</v>
      </c>
      <c r="F26" t="b">
        <v>0</v>
      </c>
      <c r="G26" s="12">
        <v>1845</v>
      </c>
      <c r="H26" t="s">
        <v>62</v>
      </c>
      <c r="J26" s="12">
        <f t="shared" si="0"/>
        <v>1845</v>
      </c>
      <c r="K26" s="12">
        <f t="shared" si="1"/>
        <v>22140</v>
      </c>
      <c r="L26" s="12">
        <f>IF(B26="One-Time",0,K26*(1+Metadata!$B$8))</f>
        <v>22582.799999999999</v>
      </c>
      <c r="M26" s="12">
        <f>IF(B26="One-Time",0,L26*(1+Metadata!$B$8))</f>
        <v>23034.455999999998</v>
      </c>
      <c r="N26" s="12">
        <f>IF(B26="One-Time",0,M26*(1+Metadata!$B$8))</f>
        <v>23495.145119999997</v>
      </c>
      <c r="O26" s="12">
        <f>IF(B26="One-Time",0,N26*(1+Metadata!$B$8))</f>
        <v>23965.048022399998</v>
      </c>
      <c r="P26" s="12">
        <f>IF(B26="One-Time",0,O26*(1+Metadata!$B$8))</f>
        <v>24444.348982847998</v>
      </c>
      <c r="Q26" s="12">
        <f>IF(B26="One-Time",0,P26*(1+Metadata!$B$8))</f>
        <v>24933.235962504958</v>
      </c>
      <c r="R26" s="12">
        <f t="shared" si="2"/>
        <v>164595.03408775295</v>
      </c>
      <c r="S26" s="3">
        <v>0.98</v>
      </c>
      <c r="T26" t="s">
        <v>111</v>
      </c>
    </row>
    <row r="27" spans="1:20">
      <c r="A27">
        <v>7</v>
      </c>
      <c r="B27" t="s">
        <v>21</v>
      </c>
      <c r="C27" t="s">
        <v>112</v>
      </c>
      <c r="D27" t="s">
        <v>31</v>
      </c>
      <c r="E27" t="b">
        <v>0</v>
      </c>
      <c r="F27" t="b">
        <v>0</v>
      </c>
      <c r="G27" s="12">
        <v>2382</v>
      </c>
      <c r="H27" t="s">
        <v>62</v>
      </c>
      <c r="J27" s="12">
        <f t="shared" si="0"/>
        <v>2382</v>
      </c>
      <c r="K27" s="12">
        <f t="shared" si="1"/>
        <v>28584</v>
      </c>
      <c r="L27" s="12">
        <f>IF(B27="One-Time",0,K27*(1+Metadata!$B$8))</f>
        <v>29155.68</v>
      </c>
      <c r="M27" s="12">
        <f>IF(B27="One-Time",0,L27*(1+Metadata!$B$8))</f>
        <v>29738.793600000001</v>
      </c>
      <c r="N27" s="12">
        <f>IF(B27="One-Time",0,M27*(1+Metadata!$B$8))</f>
        <v>30333.569472000003</v>
      </c>
      <c r="O27" s="12">
        <f>IF(B27="One-Time",0,N27*(1+Metadata!$B$8))</f>
        <v>30940.240861440005</v>
      </c>
      <c r="P27" s="12">
        <f>IF(B27="One-Time",0,O27*(1+Metadata!$B$8))</f>
        <v>31559.045678668805</v>
      </c>
      <c r="Q27" s="12">
        <f>IF(B27="One-Time",0,P27*(1+Metadata!$B$8))</f>
        <v>32190.226592242183</v>
      </c>
      <c r="R27" s="12">
        <f t="shared" si="2"/>
        <v>212501.55620435099</v>
      </c>
      <c r="S27" s="3">
        <v>0.98</v>
      </c>
      <c r="T27" t="s">
        <v>113</v>
      </c>
    </row>
    <row r="28" spans="1:20" hidden="1">
      <c r="A28">
        <v>26</v>
      </c>
      <c r="B28" t="s">
        <v>29</v>
      </c>
      <c r="C28" t="s">
        <v>114</v>
      </c>
      <c r="D28" t="s">
        <v>40</v>
      </c>
      <c r="E28" t="b">
        <v>0</v>
      </c>
      <c r="F28" t="b">
        <v>0</v>
      </c>
      <c r="G28" s="12">
        <v>15000</v>
      </c>
      <c r="H28" t="s">
        <v>115</v>
      </c>
      <c r="J28" s="12">
        <f t="shared" si="0"/>
        <v>0</v>
      </c>
      <c r="K28" s="12">
        <f t="shared" si="1"/>
        <v>15000</v>
      </c>
      <c r="L28" s="12">
        <f>IF(B28="One-Time",0,K28*(1+Metadata!$B$8))</f>
        <v>0</v>
      </c>
      <c r="M28" s="12">
        <f>IF(B28="One-Time",0,L28*(1+Metadata!$B$8))</f>
        <v>0</v>
      </c>
      <c r="N28" s="12">
        <f>IF(B28="One-Time",0,M28*(1+Metadata!$B$8))</f>
        <v>0</v>
      </c>
      <c r="O28" s="12">
        <f>IF(B28="One-Time",0,N28*(1+Metadata!$B$8))</f>
        <v>0</v>
      </c>
      <c r="P28" s="12">
        <f>IF(B28="One-Time",0,O28*(1+Metadata!$B$8))</f>
        <v>0</v>
      </c>
      <c r="Q28" s="12">
        <f>IF(B28="One-Time",0,P28*(1+Metadata!$B$8))</f>
        <v>0</v>
      </c>
      <c r="R28" s="12">
        <f t="shared" si="2"/>
        <v>15000</v>
      </c>
      <c r="S28" s="3">
        <v>0.98</v>
      </c>
      <c r="T28" t="s">
        <v>79</v>
      </c>
    </row>
    <row r="29" spans="1:20" hidden="1">
      <c r="A29">
        <v>24</v>
      </c>
      <c r="B29" t="s">
        <v>29</v>
      </c>
      <c r="C29" t="s">
        <v>116</v>
      </c>
      <c r="D29" t="s">
        <v>40</v>
      </c>
      <c r="E29" t="b">
        <v>0</v>
      </c>
      <c r="F29" t="b">
        <v>0</v>
      </c>
      <c r="G29" s="12">
        <v>25551</v>
      </c>
      <c r="H29" t="s">
        <v>115</v>
      </c>
      <c r="J29" s="12">
        <f t="shared" si="0"/>
        <v>0</v>
      </c>
      <c r="K29" s="12">
        <f t="shared" si="1"/>
        <v>25551</v>
      </c>
      <c r="L29" s="12">
        <f>IF(B29="One-Time",0,K29*(1+Metadata!$B$8))</f>
        <v>0</v>
      </c>
      <c r="M29" s="12">
        <f>IF(B29="One-Time",0,L29*(1+Metadata!$B$8))</f>
        <v>0</v>
      </c>
      <c r="N29" s="12">
        <f>IF(B29="One-Time",0,M29*(1+Metadata!$B$8))</f>
        <v>0</v>
      </c>
      <c r="O29" s="12">
        <f>IF(B29="One-Time",0,N29*(1+Metadata!$B$8))</f>
        <v>0</v>
      </c>
      <c r="P29" s="12">
        <f>IF(B29="One-Time",0,O29*(1+Metadata!$B$8))</f>
        <v>0</v>
      </c>
      <c r="Q29" s="12">
        <f>IF(B29="One-Time",0,P29*(1+Metadata!$B$8))</f>
        <v>0</v>
      </c>
      <c r="R29" s="12">
        <f t="shared" si="2"/>
        <v>25551</v>
      </c>
      <c r="S29" s="3">
        <v>0.98</v>
      </c>
      <c r="T29" t="s">
        <v>81</v>
      </c>
    </row>
    <row r="30" spans="1:20" hidden="1">
      <c r="A30">
        <v>22</v>
      </c>
      <c r="B30" t="s">
        <v>29</v>
      </c>
      <c r="C30" t="s">
        <v>117</v>
      </c>
      <c r="D30" t="s">
        <v>40</v>
      </c>
      <c r="E30" t="b">
        <v>0</v>
      </c>
      <c r="F30" t="b">
        <v>0</v>
      </c>
      <c r="G30" s="12">
        <v>21943</v>
      </c>
      <c r="H30" t="s">
        <v>115</v>
      </c>
      <c r="J30" s="12">
        <f t="shared" si="0"/>
        <v>0</v>
      </c>
      <c r="K30" s="12">
        <f t="shared" si="1"/>
        <v>21943</v>
      </c>
      <c r="L30" s="12">
        <f>IF(B30="One-Time",0,K30*(1+Metadata!$B$8))</f>
        <v>0</v>
      </c>
      <c r="M30" s="12">
        <f>IF(B30="One-Time",0,L30*(1+Metadata!$B$8))</f>
        <v>0</v>
      </c>
      <c r="N30" s="12">
        <f>IF(B30="One-Time",0,M30*(1+Metadata!$B$8))</f>
        <v>0</v>
      </c>
      <c r="O30" s="12">
        <f>IF(B30="One-Time",0,N30*(1+Metadata!$B$8))</f>
        <v>0</v>
      </c>
      <c r="P30" s="12">
        <f>IF(B30="One-Time",0,O30*(1+Metadata!$B$8))</f>
        <v>0</v>
      </c>
      <c r="Q30" s="12">
        <f>IF(B30="One-Time",0,P30*(1+Metadata!$B$8))</f>
        <v>0</v>
      </c>
      <c r="R30" s="12">
        <f t="shared" si="2"/>
        <v>21943</v>
      </c>
      <c r="S30" s="3">
        <v>0.98</v>
      </c>
      <c r="T30" t="s">
        <v>83</v>
      </c>
    </row>
    <row r="31" spans="1:20" hidden="1">
      <c r="A31">
        <v>35</v>
      </c>
      <c r="B31" t="s">
        <v>29</v>
      </c>
      <c r="C31" t="s">
        <v>118</v>
      </c>
      <c r="D31" t="s">
        <v>40</v>
      </c>
      <c r="E31" t="b">
        <v>0</v>
      </c>
      <c r="F31" t="b">
        <v>0</v>
      </c>
      <c r="G31" s="12">
        <v>6064</v>
      </c>
      <c r="H31" t="s">
        <v>115</v>
      </c>
      <c r="J31" s="12">
        <f t="shared" si="0"/>
        <v>0</v>
      </c>
      <c r="K31" s="12">
        <f t="shared" si="1"/>
        <v>6064</v>
      </c>
      <c r="L31" s="12">
        <f>IF(B31="One-Time",0,K31*(1+Metadata!$B$8))</f>
        <v>0</v>
      </c>
      <c r="M31" s="12">
        <f>IF(B31="One-Time",0,L31*(1+Metadata!$B$8))</f>
        <v>0</v>
      </c>
      <c r="N31" s="12">
        <f>IF(B31="One-Time",0,M31*(1+Metadata!$B$8))</f>
        <v>0</v>
      </c>
      <c r="O31" s="12">
        <f>IF(B31="One-Time",0,N31*(1+Metadata!$B$8))</f>
        <v>0</v>
      </c>
      <c r="P31" s="12">
        <f>IF(B31="One-Time",0,O31*(1+Metadata!$B$8))</f>
        <v>0</v>
      </c>
      <c r="Q31" s="12">
        <f>IF(B31="One-Time",0,P31*(1+Metadata!$B$8))</f>
        <v>0</v>
      </c>
      <c r="R31" s="12">
        <f t="shared" si="2"/>
        <v>6064</v>
      </c>
      <c r="S31" s="3">
        <v>0.98</v>
      </c>
      <c r="T31" t="s">
        <v>85</v>
      </c>
    </row>
    <row r="32" spans="1:20" hidden="1">
      <c r="A32">
        <v>37</v>
      </c>
      <c r="B32" t="s">
        <v>29</v>
      </c>
      <c r="C32" t="s">
        <v>119</v>
      </c>
      <c r="D32" t="s">
        <v>40</v>
      </c>
      <c r="E32" t="b">
        <v>0</v>
      </c>
      <c r="F32" t="b">
        <v>0</v>
      </c>
      <c r="G32" s="12">
        <v>28030</v>
      </c>
      <c r="H32" t="s">
        <v>115</v>
      </c>
      <c r="J32" s="12">
        <f t="shared" si="0"/>
        <v>0</v>
      </c>
      <c r="K32" s="12">
        <f t="shared" si="1"/>
        <v>28030</v>
      </c>
      <c r="L32" s="12">
        <f>IF(B32="One-Time",0,K32*(1+Metadata!$B$8))</f>
        <v>0</v>
      </c>
      <c r="M32" s="12">
        <f>IF(B32="One-Time",0,L32*(1+Metadata!$B$8))</f>
        <v>0</v>
      </c>
      <c r="N32" s="12">
        <f>IF(B32="One-Time",0,M32*(1+Metadata!$B$8))</f>
        <v>0</v>
      </c>
      <c r="O32" s="12">
        <f>IF(B32="One-Time",0,N32*(1+Metadata!$B$8))</f>
        <v>0</v>
      </c>
      <c r="P32" s="12">
        <f>IF(B32="One-Time",0,O32*(1+Metadata!$B$8))</f>
        <v>0</v>
      </c>
      <c r="Q32" s="12">
        <f>IF(B32="One-Time",0,P32*(1+Metadata!$B$8))</f>
        <v>0</v>
      </c>
      <c r="R32" s="12">
        <f t="shared" si="2"/>
        <v>28030</v>
      </c>
      <c r="S32" s="3">
        <v>0.98</v>
      </c>
      <c r="T32" t="s">
        <v>87</v>
      </c>
    </row>
    <row r="33" spans="1:20" hidden="1">
      <c r="A33">
        <v>33</v>
      </c>
      <c r="B33" t="s">
        <v>29</v>
      </c>
      <c r="C33" t="s">
        <v>120</v>
      </c>
      <c r="D33" t="s">
        <v>40</v>
      </c>
      <c r="E33" t="b">
        <v>0</v>
      </c>
      <c r="F33" t="b">
        <v>0</v>
      </c>
      <c r="G33" s="12">
        <v>12500</v>
      </c>
      <c r="H33" t="s">
        <v>115</v>
      </c>
      <c r="J33" s="12">
        <f t="shared" si="0"/>
        <v>0</v>
      </c>
      <c r="K33" s="12">
        <f t="shared" si="1"/>
        <v>12500</v>
      </c>
      <c r="L33" s="12">
        <f>IF(B33="One-Time",0,K33*(1+Metadata!$B$8))</f>
        <v>0</v>
      </c>
      <c r="M33" s="12">
        <f>IF(B33="One-Time",0,L33*(1+Metadata!$B$8))</f>
        <v>0</v>
      </c>
      <c r="N33" s="12">
        <f>IF(B33="One-Time",0,M33*(1+Metadata!$B$8))</f>
        <v>0</v>
      </c>
      <c r="O33" s="12">
        <f>IF(B33="One-Time",0,N33*(1+Metadata!$B$8))</f>
        <v>0</v>
      </c>
      <c r="P33" s="12">
        <f>IF(B33="One-Time",0,O33*(1+Metadata!$B$8))</f>
        <v>0</v>
      </c>
      <c r="Q33" s="12">
        <f>IF(B33="One-Time",0,P33*(1+Metadata!$B$8))</f>
        <v>0</v>
      </c>
      <c r="R33" s="12">
        <f t="shared" si="2"/>
        <v>12500</v>
      </c>
      <c r="S33" s="3">
        <v>0.98</v>
      </c>
      <c r="T33" t="s">
        <v>89</v>
      </c>
    </row>
    <row r="34" spans="1:20" hidden="1">
      <c r="A34">
        <v>31</v>
      </c>
      <c r="B34" t="s">
        <v>29</v>
      </c>
      <c r="C34" t="s">
        <v>121</v>
      </c>
      <c r="D34" t="s">
        <v>40</v>
      </c>
      <c r="E34" t="b">
        <v>0</v>
      </c>
      <c r="F34" t="b">
        <v>0</v>
      </c>
      <c r="G34" s="12">
        <v>7630</v>
      </c>
      <c r="H34" t="s">
        <v>115</v>
      </c>
      <c r="J34" s="12">
        <f t="shared" si="0"/>
        <v>0</v>
      </c>
      <c r="K34" s="12">
        <f t="shared" si="1"/>
        <v>7630</v>
      </c>
      <c r="L34" s="12">
        <f>IF(B34="One-Time",0,K34*(1+Metadata!$B$8))</f>
        <v>0</v>
      </c>
      <c r="M34" s="12">
        <f>IF(B34="One-Time",0,L34*(1+Metadata!$B$8))</f>
        <v>0</v>
      </c>
      <c r="N34" s="12">
        <f>IF(B34="One-Time",0,M34*(1+Metadata!$B$8))</f>
        <v>0</v>
      </c>
      <c r="O34" s="12">
        <f>IF(B34="One-Time",0,N34*(1+Metadata!$B$8))</f>
        <v>0</v>
      </c>
      <c r="P34" s="12">
        <f>IF(B34="One-Time",0,O34*(1+Metadata!$B$8))</f>
        <v>0</v>
      </c>
      <c r="Q34" s="12">
        <f>IF(B34="One-Time",0,P34*(1+Metadata!$B$8))</f>
        <v>0</v>
      </c>
      <c r="R34" s="12">
        <f t="shared" si="2"/>
        <v>7630</v>
      </c>
      <c r="S34" s="3">
        <v>0.98</v>
      </c>
      <c r="T34" t="s">
        <v>93</v>
      </c>
    </row>
    <row r="35" spans="1:20" hidden="1">
      <c r="A35">
        <v>29</v>
      </c>
      <c r="B35" t="s">
        <v>29</v>
      </c>
      <c r="C35" t="s">
        <v>122</v>
      </c>
      <c r="D35" t="s">
        <v>40</v>
      </c>
      <c r="E35" t="b">
        <v>0</v>
      </c>
      <c r="F35" t="b">
        <v>0</v>
      </c>
      <c r="G35" s="12">
        <v>65000</v>
      </c>
      <c r="H35" t="s">
        <v>115</v>
      </c>
      <c r="J35" s="12">
        <f t="shared" si="0"/>
        <v>0</v>
      </c>
      <c r="K35" s="12">
        <f t="shared" si="1"/>
        <v>65000</v>
      </c>
      <c r="L35" s="12">
        <f>IF(B35="One-Time",0,K35*(1+Metadata!$B$8))</f>
        <v>0</v>
      </c>
      <c r="M35" s="12">
        <f>IF(B35="One-Time",0,L35*(1+Metadata!$B$8))</f>
        <v>0</v>
      </c>
      <c r="N35" s="12">
        <f>IF(B35="One-Time",0,M35*(1+Metadata!$B$8))</f>
        <v>0</v>
      </c>
      <c r="O35" s="12">
        <f>IF(B35="One-Time",0,N35*(1+Metadata!$B$8))</f>
        <v>0</v>
      </c>
      <c r="P35" s="12">
        <f>IF(B35="One-Time",0,O35*(1+Metadata!$B$8))</f>
        <v>0</v>
      </c>
      <c r="Q35" s="12">
        <f>IF(B35="One-Time",0,P35*(1+Metadata!$B$8))</f>
        <v>0</v>
      </c>
      <c r="R35" s="12">
        <f t="shared" si="2"/>
        <v>65000</v>
      </c>
      <c r="S35" s="3">
        <v>0.98</v>
      </c>
      <c r="T35" t="s">
        <v>109</v>
      </c>
    </row>
    <row r="36" spans="1:20" hidden="1">
      <c r="A36">
        <v>27</v>
      </c>
      <c r="B36" t="s">
        <v>29</v>
      </c>
      <c r="C36" t="s">
        <v>123</v>
      </c>
      <c r="D36" t="s">
        <v>40</v>
      </c>
      <c r="E36" t="b">
        <v>0</v>
      </c>
      <c r="F36" t="b">
        <v>0</v>
      </c>
      <c r="G36" s="12">
        <v>1000</v>
      </c>
      <c r="H36" t="s">
        <v>124</v>
      </c>
      <c r="J36" s="12">
        <f t="shared" si="0"/>
        <v>0</v>
      </c>
      <c r="K36" s="12">
        <f t="shared" si="1"/>
        <v>1000</v>
      </c>
      <c r="L36" s="12">
        <f>IF(B36="One-Time",0,K36*(1+Metadata!$B$8))</f>
        <v>0</v>
      </c>
      <c r="M36" s="12">
        <f>IF(B36="One-Time",0,L36*(1+Metadata!$B$8))</f>
        <v>0</v>
      </c>
      <c r="N36" s="12">
        <f>IF(B36="One-Time",0,M36*(1+Metadata!$B$8))</f>
        <v>0</v>
      </c>
      <c r="O36" s="12">
        <f>IF(B36="One-Time",0,N36*(1+Metadata!$B$8))</f>
        <v>0</v>
      </c>
      <c r="P36" s="12">
        <f>IF(B36="One-Time",0,O36*(1+Metadata!$B$8))</f>
        <v>0</v>
      </c>
      <c r="Q36" s="12">
        <f>IF(B36="One-Time",0,P36*(1+Metadata!$B$8))</f>
        <v>0</v>
      </c>
      <c r="R36" s="12">
        <f t="shared" si="2"/>
        <v>1000</v>
      </c>
      <c r="S36" s="3">
        <v>0.98</v>
      </c>
      <c r="T36" t="s">
        <v>125</v>
      </c>
    </row>
    <row r="37" spans="1:20" hidden="1">
      <c r="A37">
        <v>16</v>
      </c>
      <c r="B37" t="s">
        <v>21</v>
      </c>
      <c r="C37" t="s">
        <v>126</v>
      </c>
      <c r="D37" t="s">
        <v>25</v>
      </c>
      <c r="E37" t="b">
        <v>1</v>
      </c>
      <c r="F37" t="b">
        <v>0</v>
      </c>
      <c r="G37" s="12">
        <v>2079</v>
      </c>
      <c r="H37" t="s">
        <v>62</v>
      </c>
      <c r="J37" s="12">
        <f t="shared" si="0"/>
        <v>2079</v>
      </c>
      <c r="K37" s="12">
        <f t="shared" si="1"/>
        <v>24948</v>
      </c>
      <c r="L37" s="12">
        <f>IF(B37="One-Time",0,K37*(1+Metadata!$B$8))</f>
        <v>25446.959999999999</v>
      </c>
      <c r="M37" s="12">
        <f>IF(B37="One-Time",0,L37*(1+Metadata!$B$8))</f>
        <v>25955.8992</v>
      </c>
      <c r="N37" s="12">
        <f>IF(B37="One-Time",0,M37*(1+Metadata!$B$8))</f>
        <v>26475.017184</v>
      </c>
      <c r="O37" s="12">
        <f>IF(B37="One-Time",0,N37*(1+Metadata!$B$8))</f>
        <v>27004.51752768</v>
      </c>
      <c r="P37" s="12">
        <f>IF(B37="One-Time",0,O37*(1+Metadata!$B$8))</f>
        <v>27544.607878233601</v>
      </c>
      <c r="Q37" s="12">
        <f>IF(B37="One-Time",0,P37*(1+Metadata!$B$8))</f>
        <v>28095.500035798272</v>
      </c>
      <c r="R37" s="12">
        <f t="shared" si="2"/>
        <v>185470.50182571186</v>
      </c>
      <c r="S37" s="3">
        <v>0.98</v>
      </c>
      <c r="T37" t="s">
        <v>127</v>
      </c>
    </row>
    <row r="38" spans="1:20" hidden="1">
      <c r="A38">
        <v>13</v>
      </c>
      <c r="B38" t="s">
        <v>21</v>
      </c>
      <c r="C38" t="s">
        <v>128</v>
      </c>
      <c r="D38" t="s">
        <v>40</v>
      </c>
      <c r="E38" t="b">
        <v>1</v>
      </c>
      <c r="F38" t="b">
        <v>0</v>
      </c>
      <c r="G38" s="12">
        <v>807</v>
      </c>
      <c r="H38" t="s">
        <v>62</v>
      </c>
      <c r="J38" s="12">
        <f t="shared" si="0"/>
        <v>807</v>
      </c>
      <c r="K38" s="12">
        <f t="shared" si="1"/>
        <v>9684</v>
      </c>
      <c r="L38" s="12">
        <f>IF(B38="One-Time",0,K38*(1+Metadata!$B$8))</f>
        <v>9877.68</v>
      </c>
      <c r="M38" s="12">
        <f>IF(B38="One-Time",0,L38*(1+Metadata!$B$8))</f>
        <v>10075.2336</v>
      </c>
      <c r="N38" s="12">
        <f>IF(B38="One-Time",0,M38*(1+Metadata!$B$8))</f>
        <v>10276.738272000001</v>
      </c>
      <c r="O38" s="12">
        <f>IF(B38="One-Time",0,N38*(1+Metadata!$B$8))</f>
        <v>10482.27303744</v>
      </c>
      <c r="P38" s="12">
        <f>IF(B38="One-Time",0,O38*(1+Metadata!$B$8))</f>
        <v>10691.918498188799</v>
      </c>
      <c r="Q38" s="12">
        <f>IF(B38="One-Time",0,P38*(1+Metadata!$B$8))</f>
        <v>10905.756868152575</v>
      </c>
      <c r="R38" s="12">
        <f t="shared" si="2"/>
        <v>71993.600275781369</v>
      </c>
      <c r="S38" s="3">
        <v>0.98</v>
      </c>
      <c r="T38" t="s">
        <v>129</v>
      </c>
    </row>
  </sheetData>
  <autoFilter ref="A1:T38" xr:uid="{00000000-0001-0000-0200-000000000000}">
    <filterColumn colId="3">
      <filters>
        <filter val="Treasury"/>
      </filters>
    </filterColumn>
  </autoFilter>
  <pageMargins left="0.75" right="0.75" top="1" bottom="1" header="0.5" footer="0.5"/>
  <extLst>
    <ext xmlns:x14="http://schemas.microsoft.com/office/spreadsheetml/2009/9/main" uri="{CCE6A557-97BC-4b89-ADB6-D9C93CAAB3DF}">
      <x14:dataValidations xmlns:xm="http://schemas.microsoft.com/office/excel/2006/main" count="3">
        <x14:dataValidation type="list" errorTitle="Invalid Entry" error="Invalid Fee Type" xr:uid="{00000000-0002-0000-0200-000000000000}">
          <x14:formula1>
            <xm:f>Enums!$A$2:$A$5</xm:f>
          </x14:formula1>
          <xm:sqref>B2:B1000</xm:sqref>
        </x14:dataValidation>
        <x14:dataValidation type="list" errorTitle="Invalid Entry" error="Invalid Category" xr:uid="{00000000-0002-0000-0200-000001000000}">
          <x14:formula1>
            <xm:f>Enums!$B$2:$B$15</xm:f>
          </x14:formula1>
          <xm:sqref>D2:D1000</xm:sqref>
        </x14:dataValidation>
        <x14:dataValidation type="list" xr:uid="{00000000-0002-0000-0200-000002000000}">
          <x14:formula1>
            <xm:f>Enums!$C$2:$C$3</xm:f>
          </x14:formula1>
          <xm:sqref>E2:E1000 F2:F1000</xm:sqref>
        </x14:dataValidation>
      </x14:dataValidations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H6"/>
  <sheetViews>
    <sheetView workbookViewId="0">
      <pane ySplit="2" topLeftCell="A3" activePane="bottomLeft" state="frozen"/>
      <selection pane="bottomLeft" activeCell="C21" sqref="C21:C22"/>
    </sheetView>
  </sheetViews>
  <sheetFormatPr defaultRowHeight="14.4"/>
  <cols>
    <col min="1" max="1" width="30" customWidth="1"/>
    <col min="2" max="8" width="15" customWidth="1"/>
  </cols>
  <sheetData>
    <row r="1" spans="1:8" ht="18">
      <c r="A1" s="1" t="s">
        <v>138</v>
      </c>
    </row>
    <row r="2" spans="1:8">
      <c r="A2" s="11" t="s">
        <v>44</v>
      </c>
      <c r="B2" s="16" t="s">
        <v>139</v>
      </c>
      <c r="C2" s="16" t="s">
        <v>52</v>
      </c>
      <c r="D2" s="16" t="s">
        <v>53</v>
      </c>
      <c r="E2" s="16" t="s">
        <v>54</v>
      </c>
      <c r="F2" s="16" t="s">
        <v>55</v>
      </c>
      <c r="G2" s="16" t="s">
        <v>56</v>
      </c>
      <c r="H2" s="16" t="s">
        <v>57</v>
      </c>
    </row>
    <row r="3" spans="1:8">
      <c r="A3" t="s">
        <v>140</v>
      </c>
      <c r="B3" s="15">
        <v>399533</v>
      </c>
      <c r="C3" s="15">
        <v>376753.4</v>
      </c>
      <c r="D3" s="15">
        <v>440017.87999999989</v>
      </c>
      <c r="E3" s="15">
        <v>510294.94496000011</v>
      </c>
      <c r="F3" s="15">
        <v>599967.73395199992</v>
      </c>
      <c r="G3" s="15">
        <v>607547.2924544001</v>
      </c>
      <c r="H3" s="15">
        <v>642270.55094528</v>
      </c>
    </row>
    <row r="4" spans="1:8">
      <c r="A4" t="s">
        <v>141</v>
      </c>
      <c r="B4" s="15">
        <v>421958</v>
      </c>
      <c r="C4" s="15">
        <v>436416</v>
      </c>
      <c r="D4" s="15">
        <v>299616</v>
      </c>
      <c r="E4" s="15">
        <v>351456</v>
      </c>
      <c r="F4" s="15">
        <v>413663.99999999988</v>
      </c>
      <c r="G4" s="15">
        <v>488313.59999999992</v>
      </c>
      <c r="H4" s="15">
        <v>577893.11999999988</v>
      </c>
    </row>
    <row r="5" spans="1:8">
      <c r="A5" t="s">
        <v>134</v>
      </c>
      <c r="B5" s="15">
        <v>-159156.1428571429</v>
      </c>
      <c r="C5" s="15">
        <v>-159156.1428571429</v>
      </c>
      <c r="D5" s="15">
        <v>-159156.1428571429</v>
      </c>
      <c r="E5" s="15">
        <v>-159156.1428571429</v>
      </c>
      <c r="F5" s="15">
        <v>-159156.1428571429</v>
      </c>
      <c r="G5" s="15">
        <v>-159156.1428571429</v>
      </c>
      <c r="H5" s="15">
        <v>-159156.1428571429</v>
      </c>
    </row>
    <row r="6" spans="1:8">
      <c r="A6" s="10" t="s">
        <v>142</v>
      </c>
      <c r="B6" s="15">
        <f>SUM(B3:B5)</f>
        <v>662334.85714285704</v>
      </c>
      <c r="C6" s="15">
        <f>SUM(C3:C5)</f>
        <v>654013.25714285718</v>
      </c>
      <c r="D6" s="15">
        <f>SUM(D3:D5)</f>
        <v>580477.73714285693</v>
      </c>
      <c r="E6" s="15">
        <f>SUM(E3:E5)</f>
        <v>702594.80210285727</v>
      </c>
      <c r="F6" s="15">
        <f>SUM(F3:F5)</f>
        <v>854475.59109485685</v>
      </c>
      <c r="G6" s="15">
        <f>SUM(G3:G5)</f>
        <v>936704.749597257</v>
      </c>
      <c r="H6" s="15">
        <f>SUM(H3:H5)</f>
        <v>1061007.5280881368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D14"/>
  <sheetViews>
    <sheetView workbookViewId="0">
      <pane ySplit="4" topLeftCell="A5" activePane="bottomLeft" state="frozen"/>
      <selection pane="bottomLeft" activeCell="E11" sqref="E11"/>
    </sheetView>
  </sheetViews>
  <sheetFormatPr defaultRowHeight="14.4"/>
  <cols>
    <col min="1" max="1" width="35" customWidth="1"/>
    <col min="2" max="3" width="20" customWidth="1"/>
  </cols>
  <sheetData>
    <row r="1" spans="1:4" ht="18">
      <c r="A1" s="13" t="s">
        <v>130</v>
      </c>
      <c r="B1" s="14"/>
      <c r="C1" s="14"/>
      <c r="D1" s="14"/>
    </row>
    <row r="2" spans="1:4">
      <c r="A2" s="6" t="s">
        <v>131</v>
      </c>
      <c r="B2" s="7" t="str">
        <f>Metadata!B2</f>
        <v>FIS</v>
      </c>
    </row>
    <row r="4" spans="1:4">
      <c r="A4" s="8" t="s">
        <v>44</v>
      </c>
      <c r="B4" s="8" t="s">
        <v>132</v>
      </c>
      <c r="C4" s="8" t="s">
        <v>133</v>
      </c>
    </row>
    <row r="5" spans="1:4">
      <c r="A5" t="s">
        <v>22</v>
      </c>
      <c r="B5" s="9">
        <f>Line_Items!R2</f>
        <v>1498037.838700026</v>
      </c>
      <c r="C5" s="9"/>
    </row>
    <row r="6" spans="1:4">
      <c r="A6" t="s">
        <v>25</v>
      </c>
      <c r="B6" s="9">
        <f>SUM(Line_Items!R3:R37)</f>
        <v>8173546.4076706842</v>
      </c>
      <c r="C6" s="9"/>
    </row>
    <row r="7" spans="1:4">
      <c r="A7" t="s">
        <v>28</v>
      </c>
      <c r="B7" s="9">
        <f>SUM(Line_Items!R6:R8)</f>
        <v>656417.48553804134</v>
      </c>
      <c r="C7" s="9"/>
    </row>
    <row r="8" spans="1:4">
      <c r="A8" t="s">
        <v>134</v>
      </c>
      <c r="B8" s="9">
        <f>SUM(Line_Items!R26:R27)</f>
        <v>377096.59029210394</v>
      </c>
      <c r="C8" s="9"/>
    </row>
    <row r="9" spans="1:4">
      <c r="B9" s="9"/>
      <c r="C9" s="9"/>
    </row>
    <row r="10" spans="1:4">
      <c r="A10" s="10" t="s">
        <v>135</v>
      </c>
      <c r="B10" s="9">
        <f>SUM(B5:B8)</f>
        <v>10705098.322200855</v>
      </c>
      <c r="C10" s="9"/>
    </row>
    <row r="11" spans="1:4">
      <c r="B11" s="9"/>
      <c r="C11" s="9"/>
    </row>
    <row r="12" spans="1:4">
      <c r="A12" t="s">
        <v>136</v>
      </c>
      <c r="B12" s="9">
        <f>SUM(Line_Items!R9:R38)</f>
        <v>4336296.434111597</v>
      </c>
      <c r="C12" s="9"/>
    </row>
    <row r="13" spans="1:4">
      <c r="B13" s="9"/>
      <c r="C13" s="9"/>
    </row>
    <row r="14" spans="1:4">
      <c r="A14" s="10" t="s">
        <v>137</v>
      </c>
      <c r="B14" s="9">
        <f>SUM(B10,B12)</f>
        <v>15041394.756312452</v>
      </c>
      <c r="C14" s="9"/>
    </row>
  </sheetData>
  <mergeCells count="1">
    <mergeCell ref="A1:D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Metadata</vt:lpstr>
      <vt:lpstr>Enums</vt:lpstr>
      <vt:lpstr>Line_Items</vt:lpstr>
      <vt:lpstr>Year_Summary</vt:lpstr>
      <vt:lpstr>Summary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Aashay Bhujbal</cp:lastModifiedBy>
  <dcterms:created xsi:type="dcterms:W3CDTF">2025-12-08T17:44:20Z</dcterms:created>
  <dcterms:modified xsi:type="dcterms:W3CDTF">2025-12-10T03:06:31Z</dcterms:modified>
</cp:coreProperties>
</file>