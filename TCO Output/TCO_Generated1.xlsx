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AEEF3"/>
        <bgColor rgb="00DAEEF3"/>
      </patternFill>
    </fill>
    <fill>
      <patternFill patternType="solid">
        <fgColor rgb="00FDE9D9"/>
        <b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N98"/>
  <sheetViews>
    <sheetView workbookViewId="0">
      <selection activeCell="A1" sqref="A1"/>
    </sheetView>
  </sheetViews>
  <sheetFormatPr baseColWidth="8" defaultRowHeight="15"/>
  <sheetData>
    <row r="1">
      <c r="O1" s="1" t="inlineStr">
        <is>
          <t>FIS</t>
        </is>
      </c>
    </row>
    <row r="2">
      <c r="B2" t="inlineStr">
        <is>
          <t>Years-&gt;</t>
        </is>
      </c>
      <c r="D2" t="n">
        <v>7</v>
      </c>
    </row>
    <row r="3">
      <c r="B3" t="inlineStr">
        <is>
          <t>Growth-&gt;</t>
        </is>
      </c>
      <c r="D3" t="n">
        <v>0.2</v>
      </c>
    </row>
    <row r="4">
      <c r="B4" s="2" t="inlineStr">
        <is>
          <t>Type (Monthly/Annual)</t>
        </is>
      </c>
      <c r="D4" s="2" t="inlineStr">
        <is>
          <t>Average Monthly QTY</t>
        </is>
      </c>
      <c r="E4" s="2" t="inlineStr">
        <is>
          <t>Quantity Per Year with Growth</t>
        </is>
      </c>
      <c r="O4" s="2" t="inlineStr">
        <is>
          <t>FIS</t>
        </is>
      </c>
      <c r="Q4" s="2" t="inlineStr">
        <is>
          <t>Per Unit Rate</t>
        </is>
      </c>
    </row>
    <row r="5">
      <c r="C5" s="3" t="inlineStr">
        <is>
          <t>Proposal
(12/2025)</t>
        </is>
      </c>
      <c r="E5" s="3" t="inlineStr">
        <is>
          <t>Year 1 Quantity</t>
        </is>
      </c>
      <c r="F5" s="3" t="inlineStr">
        <is>
          <t>Year 2 Quantity</t>
        </is>
      </c>
      <c r="G5" s="3" t="inlineStr">
        <is>
          <t>Year 3 Quantity</t>
        </is>
      </c>
      <c r="H5" s="3" t="inlineStr">
        <is>
          <t>Year 4 Quantity</t>
        </is>
      </c>
      <c r="I5" s="3" t="inlineStr">
        <is>
          <t>Year 5 Quantity</t>
        </is>
      </c>
      <c r="J5" s="3" t="inlineStr">
        <is>
          <t>Year 6 Quantity</t>
        </is>
      </c>
      <c r="K5" s="3" t="inlineStr">
        <is>
          <t>Year 7 Quantity</t>
        </is>
      </c>
      <c r="O5" s="3" t="inlineStr">
        <is>
          <t>Solution Name/Description</t>
        </is>
      </c>
      <c r="P5" s="3" t="inlineStr">
        <is>
          <t>Category</t>
        </is>
      </c>
      <c r="R5" s="3" t="inlineStr">
        <is>
          <t>Year 1 Monthly Cost</t>
        </is>
      </c>
      <c r="S5" s="3" t="inlineStr">
        <is>
          <t>Year 1 Cost</t>
        </is>
      </c>
      <c r="T5" s="3" t="inlineStr">
        <is>
          <t>Year 2 Cost</t>
        </is>
      </c>
      <c r="U5" s="3" t="inlineStr">
        <is>
          <t>Year 3 Cost</t>
        </is>
      </c>
      <c r="V5" s="3" t="inlineStr">
        <is>
          <t>Year 4 Cost</t>
        </is>
      </c>
      <c r="W5" s="3" t="inlineStr">
        <is>
          <t>Year 5 Cost</t>
        </is>
      </c>
      <c r="X5" s="3" t="inlineStr">
        <is>
          <t>Year 6 Cost</t>
        </is>
      </c>
      <c r="Y5" s="3" t="inlineStr">
        <is>
          <t>Year 7 Cost</t>
        </is>
      </c>
      <c r="AM5" s="3" t="inlineStr">
        <is>
          <t>CPI</t>
        </is>
      </c>
      <c r="AN5" s="3" t="inlineStr">
        <is>
          <t>Total Term Cost</t>
        </is>
      </c>
    </row>
    <row r="6">
      <c r="B6" s="4" t="inlineStr">
        <is>
          <t>Recurring Monthly and Annual Fees</t>
        </is>
      </c>
    </row>
    <row r="7">
      <c r="B7" t="inlineStr">
        <is>
          <t>Monthly F</t>
        </is>
      </c>
      <c r="C7" t="n">
        <v>1</v>
      </c>
      <c r="D7">
        <f>IFERROR(AVERAGE(C7:C7),0)</f>
        <v/>
      </c>
      <c r="E7" t="n">
        <v>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O7" t="inlineStr">
        <is>
          <t>Year 1 CORE PROCESSING (Bundle)</t>
        </is>
      </c>
      <c r="P7" t="inlineStr">
        <is>
          <t>HORIZON CORE ACCOUNT PROCESSING</t>
        </is>
      </c>
      <c r="Q7" t="n">
        <v>15000</v>
      </c>
      <c r="R7">
        <f>S7/12</f>
        <v/>
      </c>
      <c r="S7">
        <f>IFERROR($Q7*E7,0)</f>
        <v/>
      </c>
      <c r="T7">
        <f>IFERROR($Q7*F7,0)</f>
        <v/>
      </c>
      <c r="U7">
        <f>IFERROR($Q7*G7,0)</f>
        <v/>
      </c>
      <c r="V7">
        <f>IFERROR($Q7*H7,0)</f>
        <v/>
      </c>
      <c r="W7">
        <f>IFERROR($Q7*I7,0)</f>
        <v/>
      </c>
      <c r="X7">
        <f>IFERROR($Q7*J7,0)</f>
        <v/>
      </c>
      <c r="Y7">
        <f>IFERROR($Q7*K7,0)</f>
        <v/>
      </c>
      <c r="AM7" t="n">
        <v>0</v>
      </c>
      <c r="AN7">
        <f>SUM(AM7,S7:Y7)</f>
        <v/>
      </c>
    </row>
    <row r="8">
      <c r="B8" t="inlineStr">
        <is>
          <t>Monthly F</t>
        </is>
      </c>
      <c r="C8" t="n">
        <v>1</v>
      </c>
      <c r="D8">
        <f>IFERROR(AVERAGE(C8:C8),0)</f>
        <v/>
      </c>
      <c r="E8" t="n">
        <v>0</v>
      </c>
      <c r="F8" t="n">
        <v>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O8" t="inlineStr">
        <is>
          <t>Year 2 CORE PROCESSING (Bundle)</t>
        </is>
      </c>
      <c r="P8" t="inlineStr">
        <is>
          <t>HORIZON CORE ACCOUNT PROCESSING</t>
        </is>
      </c>
      <c r="Q8" t="n">
        <v>17500</v>
      </c>
      <c r="R8">
        <f>S8/12</f>
        <v/>
      </c>
      <c r="S8">
        <f>IFERROR($Q8*E8,0)</f>
        <v/>
      </c>
      <c r="T8">
        <f>IFERROR($Q8*F8,0)</f>
        <v/>
      </c>
      <c r="U8">
        <f>IFERROR($Q8*G8,0)</f>
        <v/>
      </c>
      <c r="V8">
        <f>IFERROR($Q8*H8,0)</f>
        <v/>
      </c>
      <c r="W8">
        <f>IFERROR($Q8*I8,0)</f>
        <v/>
      </c>
      <c r="X8">
        <f>IFERROR($Q8*J8,0)</f>
        <v/>
      </c>
      <c r="Y8">
        <f>IFERROR($Q8*K8,0)</f>
        <v/>
      </c>
      <c r="AM8" t="n">
        <v>0</v>
      </c>
      <c r="AN8">
        <f>SUM(AM8,S8:Y8)</f>
        <v/>
      </c>
    </row>
    <row r="9">
      <c r="B9" t="inlineStr">
        <is>
          <t>Monthly F</t>
        </is>
      </c>
      <c r="C9" t="n">
        <v>1</v>
      </c>
      <c r="D9">
        <f>IFERROR(AVERAGE(C9:C9),0)</f>
        <v/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0</v>
      </c>
      <c r="K9" t="n">
        <v>0</v>
      </c>
      <c r="O9" t="inlineStr">
        <is>
          <t>Year 3 CORE PROCESSING (Bundle)</t>
        </is>
      </c>
      <c r="P9" t="inlineStr">
        <is>
          <t>HORIZON CORE ACCOUNT PROCESSING</t>
        </is>
      </c>
      <c r="Q9" t="n">
        <v>22500</v>
      </c>
      <c r="R9">
        <f>S9/12</f>
        <v/>
      </c>
      <c r="S9">
        <f>IFERROR($Q9*E9,0)</f>
        <v/>
      </c>
      <c r="T9">
        <f>IFERROR($Q9*F9,0)</f>
        <v/>
      </c>
      <c r="U9">
        <f>IFERROR($Q9*G9,0)</f>
        <v/>
      </c>
      <c r="V9">
        <f>IFERROR($Q9*H9,0)</f>
        <v/>
      </c>
      <c r="W9">
        <f>IFERROR($Q9*I9,0)</f>
        <v/>
      </c>
      <c r="X9">
        <f>IFERROR($Q9*J9,0)</f>
        <v/>
      </c>
      <c r="Y9">
        <f>IFERROR($Q9*K9,0)</f>
        <v/>
      </c>
      <c r="AM9" t="n">
        <v>0</v>
      </c>
      <c r="AN9">
        <f>SUM(AM9,S9:Y9)</f>
        <v/>
      </c>
    </row>
    <row r="10">
      <c r="B10" t="inlineStr">
        <is>
          <t>Monthly F</t>
        </is>
      </c>
      <c r="C10" t="n">
        <v>1</v>
      </c>
      <c r="D10">
        <f>IFERROR(AVERAGE(C10:C10),0)</f>
        <v/>
      </c>
      <c r="E10" t="n">
        <v>0</v>
      </c>
      <c r="F10" t="n">
        <v>0</v>
      </c>
      <c r="G10" t="n">
        <v>0</v>
      </c>
      <c r="H10" t="n">
        <v>12</v>
      </c>
      <c r="I10" t="n">
        <v>0</v>
      </c>
      <c r="J10" t="n">
        <v>0</v>
      </c>
      <c r="K10" t="n">
        <v>0</v>
      </c>
      <c r="O10" t="inlineStr">
        <is>
          <t>Year 4 CORE PROCESSING (Bundle)</t>
        </is>
      </c>
      <c r="P10" t="inlineStr">
        <is>
          <t>HORIZON CORE ACCOUNT PROCESSING</t>
        </is>
      </c>
      <c r="Q10" t="n">
        <v>28000</v>
      </c>
      <c r="R10">
        <f>S10/12</f>
        <v/>
      </c>
      <c r="S10">
        <f>IFERROR($Q10*E10,0)</f>
        <v/>
      </c>
      <c r="T10">
        <f>IFERROR($Q10*F10,0)</f>
        <v/>
      </c>
      <c r="U10">
        <f>IFERROR($Q10*G10,0)</f>
        <v/>
      </c>
      <c r="V10">
        <f>IFERROR($Q10*H10,0)</f>
        <v/>
      </c>
      <c r="W10">
        <f>IFERROR($Q10*I10,0)</f>
        <v/>
      </c>
      <c r="X10">
        <f>IFERROR($Q10*J10,0)</f>
        <v/>
      </c>
      <c r="Y10">
        <f>IFERROR($Q10*K10,0)</f>
        <v/>
      </c>
      <c r="AM10" t="n">
        <v>0</v>
      </c>
      <c r="AN10">
        <f>SUM(AM10,S10:Y10)</f>
        <v/>
      </c>
    </row>
    <row r="11">
      <c r="B11" t="inlineStr">
        <is>
          <t>Monthly F</t>
        </is>
      </c>
      <c r="C11" t="n">
        <v>1</v>
      </c>
      <c r="D11">
        <f>IFERROR(AVERAGE(C11:C11),0)</f>
        <v/>
      </c>
      <c r="E11" t="n">
        <v>0</v>
      </c>
      <c r="F11" t="n">
        <v>0</v>
      </c>
      <c r="G11" t="n">
        <v>0</v>
      </c>
      <c r="H11" t="n">
        <v>0</v>
      </c>
      <c r="I11" t="n">
        <v>12</v>
      </c>
      <c r="J11" t="n">
        <v>0</v>
      </c>
      <c r="K11" t="n">
        <v>0</v>
      </c>
      <c r="O11" t="inlineStr">
        <is>
          <t>Year 5 CORE PROCESSING (Bundle)</t>
        </is>
      </c>
      <c r="P11" t="inlineStr">
        <is>
          <t>HORIZON CORE ACCOUNT PROCESSING</t>
        </is>
      </c>
      <c r="Q11" t="n">
        <v>35000</v>
      </c>
      <c r="R11">
        <f>S11/12</f>
        <v/>
      </c>
      <c r="S11">
        <f>IFERROR($Q11*E11,0)</f>
        <v/>
      </c>
      <c r="T11">
        <f>IFERROR($Q11*F11,0)</f>
        <v/>
      </c>
      <c r="U11">
        <f>IFERROR($Q11*G11,0)</f>
        <v/>
      </c>
      <c r="V11">
        <f>IFERROR($Q11*H11,0)</f>
        <v/>
      </c>
      <c r="W11">
        <f>IFERROR($Q11*I11,0)</f>
        <v/>
      </c>
      <c r="X11">
        <f>IFERROR($Q11*J11,0)</f>
        <v/>
      </c>
      <c r="Y11">
        <f>IFERROR($Q11*K11,0)</f>
        <v/>
      </c>
      <c r="AM11" t="n">
        <v>0</v>
      </c>
      <c r="AN11">
        <f>SUM(AM11,S11:Y11)</f>
        <v/>
      </c>
    </row>
    <row r="12">
      <c r="B12" t="inlineStr">
        <is>
          <t>Monthly F</t>
        </is>
      </c>
      <c r="C12" t="n">
        <v>1</v>
      </c>
      <c r="D12">
        <f>IFERROR(AVERAGE(C12:C12),0)</f>
        <v/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</v>
      </c>
      <c r="K12" t="n">
        <v>0</v>
      </c>
      <c r="O12" t="inlineStr">
        <is>
          <t>Year 6 CORE PROCESSING (Bundle) - CPI Increase</t>
        </is>
      </c>
      <c r="P12" t="inlineStr">
        <is>
          <t>HORIZON CORE ACCOUNT PROCESSING</t>
        </is>
      </c>
      <c r="Q12" t="n">
        <v>37275</v>
      </c>
      <c r="R12">
        <f>S12/12</f>
        <v/>
      </c>
      <c r="S12">
        <f>IFERROR($Q12*E12,0)</f>
        <v/>
      </c>
      <c r="T12">
        <f>IFERROR($Q12*F12,0)</f>
        <v/>
      </c>
      <c r="U12">
        <f>IFERROR($Q12*G12,0)</f>
        <v/>
      </c>
      <c r="V12">
        <f>IFERROR($Q12*H12,0)</f>
        <v/>
      </c>
      <c r="W12">
        <f>IFERROR($Q12*I12,0)</f>
        <v/>
      </c>
      <c r="X12">
        <f>IFERROR($Q12*J12,0)</f>
        <v/>
      </c>
      <c r="Y12">
        <f>IFERROR($Q12*K12,0)</f>
        <v/>
      </c>
      <c r="AM12" t="n">
        <v>0</v>
      </c>
      <c r="AN12">
        <f>SUM(AM12,S12:Y12)</f>
        <v/>
      </c>
    </row>
    <row r="13">
      <c r="B13" t="inlineStr">
        <is>
          <t>Monthly F</t>
        </is>
      </c>
      <c r="C13" t="n">
        <v>1</v>
      </c>
      <c r="D13">
        <f>IFERROR(AVERAGE(C13:C13),0)</f>
        <v/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</v>
      </c>
      <c r="O13" t="inlineStr">
        <is>
          <t>Year 7 CORE PROCESSING (Bundle) - CPI Increase</t>
        </is>
      </c>
      <c r="P13" t="inlineStr">
        <is>
          <t>HORIZON CORE ACCOUNT PROCESSING</t>
        </is>
      </c>
      <c r="Q13" t="n">
        <v>39697.875</v>
      </c>
      <c r="R13">
        <f>S13/12</f>
        <v/>
      </c>
      <c r="S13">
        <f>IFERROR($Q13*E13,0)</f>
        <v/>
      </c>
      <c r="T13">
        <f>IFERROR($Q13*F13,0)</f>
        <v/>
      </c>
      <c r="U13">
        <f>IFERROR($Q13*G13,0)</f>
        <v/>
      </c>
      <c r="V13">
        <f>IFERROR($Q13*H13,0)</f>
        <v/>
      </c>
      <c r="W13">
        <f>IFERROR($Q13*I13,0)</f>
        <v/>
      </c>
      <c r="X13">
        <f>IFERROR($Q13*J13,0)</f>
        <v/>
      </c>
      <c r="Y13">
        <f>IFERROR($Q13*K13,0)</f>
        <v/>
      </c>
      <c r="AM13" t="n">
        <v>0</v>
      </c>
      <c r="AN13">
        <f>SUM(AM13,S13:Y13)</f>
        <v/>
      </c>
    </row>
    <row r="21">
      <c r="O21" s="5" t="inlineStr">
        <is>
          <t>Non-Bundle FIS Required Products</t>
        </is>
      </c>
    </row>
    <row r="22">
      <c r="B22" t="inlineStr">
        <is>
          <t>Monthly F</t>
        </is>
      </c>
      <c r="C22" t="n">
        <v>1</v>
      </c>
      <c r="D22">
        <f>IFERROR(AVERAGE(C22:C22),0)</f>
        <v/>
      </c>
      <c r="E22">
        <f>IF($B22="Annual",1,IF($B22="Monthly F",12,IF($B22="Monthly V",D22*12,IF($B22="One-Time",1,D22*12))))</f>
        <v/>
      </c>
      <c r="F22">
        <f>IF($B22="Monthly V",E22*(1+$D$3),E22)</f>
        <v/>
      </c>
      <c r="G22">
        <f>IF($B22="Monthly V",F22*(1+$D$3),F22)</f>
        <v/>
      </c>
      <c r="H22">
        <f>IF($B22="Monthly V",G22*(1+$D$3),G22)</f>
        <v/>
      </c>
      <c r="I22">
        <f>IF($B22="Monthly V",H22*(1+$D$3),H22)</f>
        <v/>
      </c>
      <c r="J22">
        <f>IF($B22="Monthly V",I22*(1+$D$3),I22)</f>
        <v/>
      </c>
      <c r="K22">
        <f>IF($B22="Monthly V",J22*(1+$D$3),J22)</f>
        <v/>
      </c>
      <c r="O22" t="inlineStr">
        <is>
          <t>Paper and Envelopes (statements and notices)</t>
        </is>
      </c>
      <c r="P22" t="inlineStr">
        <is>
          <t>Non-Bundle Required</t>
        </is>
      </c>
      <c r="Q22" t="n">
        <v>29</v>
      </c>
      <c r="R22">
        <f>S22/12</f>
        <v/>
      </c>
      <c r="S22">
        <f>IFERROR($Q22*E22,0)</f>
        <v/>
      </c>
      <c r="T22">
        <f>IFERROR($Q22*F22,0)</f>
        <v/>
      </c>
      <c r="U22">
        <f>IFERROR($Q22*G22,0)</f>
        <v/>
      </c>
      <c r="V22">
        <f>IFERROR($Q22*H22,0)</f>
        <v/>
      </c>
      <c r="W22">
        <f>IFERROR($Q22*I22,0)</f>
        <v/>
      </c>
      <c r="X22">
        <f>IFERROR($Q22*J22,0)</f>
        <v/>
      </c>
      <c r="Y22">
        <f>IFERROR($Q22*K22,0)</f>
        <v/>
      </c>
      <c r="AM22" t="n">
        <v>0</v>
      </c>
      <c r="AN22">
        <f>SUM(AM22,S22:Y22)</f>
        <v/>
      </c>
    </row>
    <row r="23">
      <c r="B23" t="inlineStr">
        <is>
          <t>Monthly F</t>
        </is>
      </c>
      <c r="C23" t="n">
        <v>1</v>
      </c>
      <c r="D23">
        <f>IFERROR(AVERAGE(C23:C23),0)</f>
        <v/>
      </c>
      <c r="E23">
        <f>IF($B23="Annual",1,IF($B23="Monthly F",12,IF($B23="Monthly V",D23*12,IF($B23="One-Time",1,D23*12))))</f>
        <v/>
      </c>
      <c r="F23">
        <f>IF($B23="Monthly V",E23*(1+$D$3),E23)</f>
        <v/>
      </c>
      <c r="G23">
        <f>IF($B23="Monthly V",F23*(1+$D$3),F23)</f>
        <v/>
      </c>
      <c r="H23">
        <f>IF($B23="Monthly V",G23*(1+$D$3),G23)</f>
        <v/>
      </c>
      <c r="I23">
        <f>IF($B23="Monthly V",H23*(1+$D$3),H23)</f>
        <v/>
      </c>
      <c r="J23">
        <f>IF($B23="Monthly V",I23*(1+$D$3),I23)</f>
        <v/>
      </c>
      <c r="K23">
        <f>IF($B23="Monthly V",J23*(1+$D$3),J23)</f>
        <v/>
      </c>
      <c r="O23" t="inlineStr">
        <is>
          <t>Debit Card Production</t>
        </is>
      </c>
      <c r="P23" t="inlineStr">
        <is>
          <t>Non-Bundle Required</t>
        </is>
      </c>
      <c r="Q23" t="n">
        <v>1018</v>
      </c>
      <c r="R23">
        <f>S23/12</f>
        <v/>
      </c>
      <c r="S23">
        <f>IFERROR($Q23*E23,0)</f>
        <v/>
      </c>
      <c r="T23">
        <f>IFERROR($Q23*F23,0)</f>
        <v/>
      </c>
      <c r="U23">
        <f>IFERROR($Q23*G23,0)</f>
        <v/>
      </c>
      <c r="V23">
        <f>IFERROR($Q23*H23,0)</f>
        <v/>
      </c>
      <c r="W23">
        <f>IFERROR($Q23*I23,0)</f>
        <v/>
      </c>
      <c r="X23">
        <f>IFERROR($Q23*J23,0)</f>
        <v/>
      </c>
      <c r="Y23">
        <f>IFERROR($Q23*K23,0)</f>
        <v/>
      </c>
      <c r="AM23" t="n">
        <v>0</v>
      </c>
      <c r="AN23">
        <f>SUM(AM23,S23:Y23)</f>
        <v/>
      </c>
    </row>
    <row r="24">
      <c r="B24" t="inlineStr">
        <is>
          <t>Monthly F</t>
        </is>
      </c>
      <c r="C24" t="n">
        <v>1</v>
      </c>
      <c r="D24">
        <f>IFERROR(AVERAGE(C24:C24),0)</f>
        <v/>
      </c>
      <c r="E24">
        <f>IF($B24="Annual",1,IF($B24="Monthly F",12,IF($B24="Monthly V",D24*12,IF($B24="One-Time",1,D24*12))))</f>
        <v/>
      </c>
      <c r="F24">
        <f>IF($B24="Monthly V",E24*(1+$D$3),E24)</f>
        <v/>
      </c>
      <c r="G24">
        <f>IF($B24="Monthly V",F24*(1+$D$3),F24)</f>
        <v/>
      </c>
      <c r="H24">
        <f>IF($B24="Monthly V",G24*(1+$D$3),G24)</f>
        <v/>
      </c>
      <c r="I24">
        <f>IF($B24="Monthly V",H24*(1+$D$3),H24)</f>
        <v/>
      </c>
      <c r="J24">
        <f>IF($B24="Monthly V",I24*(1+$D$3),I24)</f>
        <v/>
      </c>
      <c r="K24">
        <f>IF($B24="Monthly V",J24*(1+$D$3),J24)</f>
        <v/>
      </c>
      <c r="O24" t="inlineStr">
        <is>
          <t>DirectLink Risk Review (DLRR)</t>
        </is>
      </c>
      <c r="P24" t="inlineStr">
        <is>
          <t>Non-Bundle Required</t>
        </is>
      </c>
      <c r="Q24" t="n">
        <v>233</v>
      </c>
      <c r="R24">
        <f>S24/12</f>
        <v/>
      </c>
      <c r="S24">
        <f>IFERROR($Q24*E24,0)</f>
        <v/>
      </c>
      <c r="T24">
        <f>IFERROR($Q24*F24,0)</f>
        <v/>
      </c>
      <c r="U24">
        <f>IFERROR($Q24*G24,0)</f>
        <v/>
      </c>
      <c r="V24">
        <f>IFERROR($Q24*H24,0)</f>
        <v/>
      </c>
      <c r="W24">
        <f>IFERROR($Q24*I24,0)</f>
        <v/>
      </c>
      <c r="X24">
        <f>IFERROR($Q24*J24,0)</f>
        <v/>
      </c>
      <c r="Y24">
        <f>IFERROR($Q24*K24,0)</f>
        <v/>
      </c>
      <c r="AM24" t="n">
        <v>0</v>
      </c>
      <c r="AN24">
        <f>SUM(AM24,S24:Y24)</f>
        <v/>
      </c>
    </row>
    <row r="25">
      <c r="B25" t="inlineStr">
        <is>
          <t>Monthly F</t>
        </is>
      </c>
      <c r="C25" t="n">
        <v>1</v>
      </c>
      <c r="D25">
        <f>IFERROR(AVERAGE(C25:C25),0)</f>
        <v/>
      </c>
      <c r="E25">
        <f>IF($B25="Annual",1,IF($B25="Monthly F",12,IF($B25="Monthly V",D25*12,IF($B25="One-Time",1,D25*12))))</f>
        <v/>
      </c>
      <c r="F25">
        <f>IF($B25="Monthly V",E25*(1+$D$3),E25)</f>
        <v/>
      </c>
      <c r="G25">
        <f>IF($B25="Monthly V",F25*(1+$D$3),F25)</f>
        <v/>
      </c>
      <c r="H25">
        <f>IF($B25="Monthly V",G25*(1+$D$3),G25)</f>
        <v/>
      </c>
      <c r="I25">
        <f>IF($B25="Monthly V",H25*(1+$D$3),H25)</f>
        <v/>
      </c>
      <c r="J25">
        <f>IF($B25="Monthly V",I25*(1+$D$3),I25)</f>
        <v/>
      </c>
      <c r="K25">
        <f>IF($B25="Monthly V",J25*(1+$D$3),J25)</f>
        <v/>
      </c>
      <c r="O25" t="inlineStr">
        <is>
          <t>Card Suite Pro (digital debit card controls)</t>
        </is>
      </c>
      <c r="P25" t="inlineStr">
        <is>
          <t>Non-Bundle Required</t>
        </is>
      </c>
      <c r="Q25" t="n">
        <v>425</v>
      </c>
      <c r="R25">
        <f>S25/12</f>
        <v/>
      </c>
      <c r="S25">
        <f>IFERROR($Q25*E25,0)</f>
        <v/>
      </c>
      <c r="T25">
        <f>IFERROR($Q25*F25,0)</f>
        <v/>
      </c>
      <c r="U25">
        <f>IFERROR($Q25*G25,0)</f>
        <v/>
      </c>
      <c r="V25">
        <f>IFERROR($Q25*H25,0)</f>
        <v/>
      </c>
      <c r="W25">
        <f>IFERROR($Q25*I25,0)</f>
        <v/>
      </c>
      <c r="X25">
        <f>IFERROR($Q25*J25,0)</f>
        <v/>
      </c>
      <c r="Y25">
        <f>IFERROR($Q25*K25,0)</f>
        <v/>
      </c>
      <c r="AM25" t="n">
        <v>0</v>
      </c>
      <c r="AN25">
        <f>SUM(AM25,S25:Y25)</f>
        <v/>
      </c>
    </row>
    <row r="26">
      <c r="B26" t="inlineStr">
        <is>
          <t>Monthly F</t>
        </is>
      </c>
      <c r="C26" t="n">
        <v>1</v>
      </c>
      <c r="D26">
        <f>IFERROR(AVERAGE(C26:C26),0)</f>
        <v/>
      </c>
      <c r="E26">
        <f>IF($B26="Annual",1,IF($B26="Monthly F",12,IF($B26="Monthly V",D26*12,IF($B26="One-Time",1,D26*12))))</f>
        <v/>
      </c>
      <c r="F26">
        <f>IF($B26="Monthly V",E26*(1+$D$3),E26)</f>
        <v/>
      </c>
      <c r="G26">
        <f>IF($B26="Monthly V",F26*(1+$D$3),F26)</f>
        <v/>
      </c>
      <c r="H26">
        <f>IF($B26="Monthly V",G26*(1+$D$3),G26)</f>
        <v/>
      </c>
      <c r="I26">
        <f>IF($B26="Monthly V",H26*(1+$D$3),H26)</f>
        <v/>
      </c>
      <c r="J26">
        <f>IF($B26="Monthly V",I26*(1+$D$3),I26)</f>
        <v/>
      </c>
      <c r="K26">
        <f>IF($B26="Monthly V",J26*(1+$D$3),J26)</f>
        <v/>
      </c>
      <c r="O26" t="inlineStr">
        <is>
          <t>Payments One Debit Card Fraud Case Investigation Sheets</t>
        </is>
      </c>
      <c r="P26" t="inlineStr">
        <is>
          <t>Non-Bundle Required</t>
        </is>
      </c>
      <c r="Q26" t="n">
        <v>500</v>
      </c>
      <c r="R26">
        <f>S26/12</f>
        <v/>
      </c>
      <c r="S26">
        <f>IFERROR($Q26*E26,0)</f>
        <v/>
      </c>
      <c r="T26">
        <f>IFERROR($Q26*F26,0)</f>
        <v/>
      </c>
      <c r="U26">
        <f>IFERROR($Q26*G26,0)</f>
        <v/>
      </c>
      <c r="V26">
        <f>IFERROR($Q26*H26,0)</f>
        <v/>
      </c>
      <c r="W26">
        <f>IFERROR($Q26*I26,0)</f>
        <v/>
      </c>
      <c r="X26">
        <f>IFERROR($Q26*J26,0)</f>
        <v/>
      </c>
      <c r="Y26">
        <f>IFERROR($Q26*K26,0)</f>
        <v/>
      </c>
      <c r="AM26" t="n">
        <v>0</v>
      </c>
      <c r="AN26">
        <f>SUM(AM26,S26:Y26)</f>
        <v/>
      </c>
    </row>
    <row r="27">
      <c r="B27" t="inlineStr">
        <is>
          <t>Monthly F</t>
        </is>
      </c>
      <c r="C27" t="n">
        <v>1</v>
      </c>
      <c r="D27">
        <f>IFERROR(AVERAGE(C27:C27),0)</f>
        <v/>
      </c>
      <c r="E27">
        <f>IF($B27="Annual",1,IF($B27="Monthly F",12,IF($B27="Monthly V",D27*12,IF($B27="One-Time",1,D27*12))))</f>
        <v/>
      </c>
      <c r="F27">
        <f>IF($B27="Monthly V",E27*(1+$D$3),E27)</f>
        <v/>
      </c>
      <c r="G27">
        <f>IF($B27="Monthly V",F27*(1+$D$3),F27)</f>
        <v/>
      </c>
      <c r="H27">
        <f>IF($B27="Monthly V",G27*(1+$D$3),G27)</f>
        <v/>
      </c>
      <c r="I27">
        <f>IF($B27="Monthly V",H27*(1+$D$3),H27)</f>
        <v/>
      </c>
      <c r="J27">
        <f>IF($B27="Monthly V",I27*(1+$D$3),I27)</f>
        <v/>
      </c>
      <c r="K27">
        <f>IF($B27="Monthly V",J27*(1+$D$3),J27)</f>
        <v/>
      </c>
      <c r="O27" t="inlineStr">
        <is>
          <t>Payments One Full-Service Debit Card Fraud Disputes</t>
        </is>
      </c>
      <c r="P27" t="inlineStr">
        <is>
          <t>Non-Bundle Required</t>
        </is>
      </c>
      <c r="Q27" t="n">
        <v>175</v>
      </c>
      <c r="R27">
        <f>S27/12</f>
        <v/>
      </c>
      <c r="S27">
        <f>IFERROR($Q27*E27,0)</f>
        <v/>
      </c>
      <c r="T27">
        <f>IFERROR($Q27*F27,0)</f>
        <v/>
      </c>
      <c r="U27">
        <f>IFERROR($Q27*G27,0)</f>
        <v/>
      </c>
      <c r="V27">
        <f>IFERROR($Q27*H27,0)</f>
        <v/>
      </c>
      <c r="W27">
        <f>IFERROR($Q27*I27,0)</f>
        <v/>
      </c>
      <c r="X27">
        <f>IFERROR($Q27*J27,0)</f>
        <v/>
      </c>
      <c r="Y27">
        <f>IFERROR($Q27*K27,0)</f>
        <v/>
      </c>
      <c r="AM27" t="n">
        <v>0</v>
      </c>
      <c r="AN27">
        <f>SUM(AM27,S27:Y27)</f>
        <v/>
      </c>
    </row>
    <row r="28">
      <c r="B28" t="inlineStr">
        <is>
          <t>Monthly F</t>
        </is>
      </c>
      <c r="C28" t="n">
        <v>1</v>
      </c>
      <c r="D28">
        <f>IFERROR(AVERAGE(C28:C28),0)</f>
        <v/>
      </c>
      <c r="E28">
        <f>IF($B28="Annual",1,IF($B28="Monthly F",12,IF($B28="Monthly V",D28*12,IF($B28="One-Time",1,D28*12))))</f>
        <v/>
      </c>
      <c r="F28">
        <f>IF($B28="Monthly V",E28*(1+$D$3),E28)</f>
        <v/>
      </c>
      <c r="G28">
        <f>IF($B28="Monthly V",F28*(1+$D$3),F28)</f>
        <v/>
      </c>
      <c r="H28">
        <f>IF($B28="Monthly V",G28*(1+$D$3),G28)</f>
        <v/>
      </c>
      <c r="I28">
        <f>IF($B28="Monthly V",H28*(1+$D$3),H28)</f>
        <v/>
      </c>
      <c r="J28">
        <f>IF($B28="Monthly V",I28*(1+$D$3),I28)</f>
        <v/>
      </c>
      <c r="K28">
        <f>IF($B28="Monthly V",J28*(1+$D$3),J28)</f>
        <v/>
      </c>
      <c r="O28" t="inlineStr">
        <is>
          <t>Tokenization (ApplePay, Additional Pays)</t>
        </is>
      </c>
      <c r="P28" t="inlineStr">
        <is>
          <t>Non-Bundle Required</t>
        </is>
      </c>
      <c r="Q28" t="n">
        <v>337</v>
      </c>
      <c r="R28">
        <f>S28/12</f>
        <v/>
      </c>
      <c r="S28">
        <f>IFERROR($Q28*E28,0)</f>
        <v/>
      </c>
      <c r="T28">
        <f>IFERROR($Q28*F28,0)</f>
        <v/>
      </c>
      <c r="U28">
        <f>IFERROR($Q28*G28,0)</f>
        <v/>
      </c>
      <c r="V28">
        <f>IFERROR($Q28*H28,0)</f>
        <v/>
      </c>
      <c r="W28">
        <f>IFERROR($Q28*I28,0)</f>
        <v/>
      </c>
      <c r="X28">
        <f>IFERROR($Q28*J28,0)</f>
        <v/>
      </c>
      <c r="Y28">
        <f>IFERROR($Q28*K28,0)</f>
        <v/>
      </c>
      <c r="AM28" t="n">
        <v>0</v>
      </c>
      <c r="AN28">
        <f>SUM(AM28,S28:Y28)</f>
        <v/>
      </c>
    </row>
    <row r="29">
      <c r="B29" t="inlineStr">
        <is>
          <t>Monthly F</t>
        </is>
      </c>
      <c r="C29" t="n">
        <v>1</v>
      </c>
      <c r="D29">
        <f>IFERROR(AVERAGE(C29:C29),0)</f>
        <v/>
      </c>
      <c r="E29">
        <f>IF($B29="Annual",1,IF($B29="Monthly F",12,IF($B29="Monthly V",D29*12,IF($B29="One-Time",1,D29*12))))</f>
        <v/>
      </c>
      <c r="F29">
        <f>IF($B29="Monthly V",E29*(1+$D$3),E29)</f>
        <v/>
      </c>
      <c r="G29">
        <f>IF($B29="Monthly V",F29*(1+$D$3),F29)</f>
        <v/>
      </c>
      <c r="H29">
        <f>IF($B29="Monthly V",G29*(1+$D$3),G29)</f>
        <v/>
      </c>
      <c r="I29">
        <f>IF($B29="Monthly V",H29*(1+$D$3),H29)</f>
        <v/>
      </c>
      <c r="J29">
        <f>IF($B29="Monthly V",I29*(1+$D$3),I29)</f>
        <v/>
      </c>
      <c r="K29">
        <f>IF($B29="Monthly V",J29*(1+$D$3),J29)</f>
        <v/>
      </c>
      <c r="O29" t="inlineStr">
        <is>
          <t>NYCE Preferred Debit Card Network</t>
        </is>
      </c>
      <c r="P29" t="inlineStr">
        <is>
          <t>Non-Bundle Required</t>
        </is>
      </c>
      <c r="Q29" t="n">
        <v>152</v>
      </c>
      <c r="R29">
        <f>S29/12</f>
        <v/>
      </c>
      <c r="S29">
        <f>IFERROR($Q29*E29,0)</f>
        <v/>
      </c>
      <c r="T29">
        <f>IFERROR($Q29*F29,0)</f>
        <v/>
      </c>
      <c r="U29">
        <f>IFERROR($Q29*G29,0)</f>
        <v/>
      </c>
      <c r="V29">
        <f>IFERROR($Q29*H29,0)</f>
        <v/>
      </c>
      <c r="W29">
        <f>IFERROR($Q29*I29,0)</f>
        <v/>
      </c>
      <c r="X29">
        <f>IFERROR($Q29*J29,0)</f>
        <v/>
      </c>
      <c r="Y29">
        <f>IFERROR($Q29*K29,0)</f>
        <v/>
      </c>
      <c r="AM29" t="n">
        <v>0</v>
      </c>
      <c r="AN29">
        <f>SUM(AM29,S29:Y29)</f>
        <v/>
      </c>
    </row>
    <row r="30">
      <c r="B30" t="inlineStr">
        <is>
          <t>Monthly F</t>
        </is>
      </c>
      <c r="C30" t="n">
        <v>1</v>
      </c>
      <c r="D30">
        <f>IFERROR(AVERAGE(C30:C30),0)</f>
        <v/>
      </c>
      <c r="E30">
        <f>IF($B30="Annual",1,IF($B30="Monthly F",12,IF($B30="Monthly V",D30*12,IF($B30="One-Time",1,D30*12))))</f>
        <v/>
      </c>
      <c r="F30">
        <f>IF($B30="Monthly V",E30*(1+$D$3),E30)</f>
        <v/>
      </c>
      <c r="G30">
        <f>IF($B30="Monthly V",F30*(1+$D$3),F30)</f>
        <v/>
      </c>
      <c r="H30">
        <f>IF($B30="Monthly V",G30*(1+$D$3),G30)</f>
        <v/>
      </c>
      <c r="I30">
        <f>IF($B30="Monthly V",H30*(1+$D$3),H30)</f>
        <v/>
      </c>
      <c r="J30">
        <f>IF($B30="Monthly V",I30*(1+$D$3),I30)</f>
        <v/>
      </c>
      <c r="K30">
        <f>IF($B30="Monthly V",J30*(1+$D$3),J30)</f>
        <v/>
      </c>
      <c r="O30" t="inlineStr">
        <is>
          <t>Subpoena Centre</t>
        </is>
      </c>
      <c r="P30" t="inlineStr">
        <is>
          <t>Non-Bundle Required</t>
        </is>
      </c>
      <c r="Q30" t="n">
        <v>382</v>
      </c>
      <c r="R30">
        <f>S30/12</f>
        <v/>
      </c>
      <c r="S30">
        <f>IFERROR($Q30*E30,0)</f>
        <v/>
      </c>
      <c r="T30">
        <f>IFERROR($Q30*F30,0)</f>
        <v/>
      </c>
      <c r="U30">
        <f>IFERROR($Q30*G30,0)</f>
        <v/>
      </c>
      <c r="V30">
        <f>IFERROR($Q30*H30,0)</f>
        <v/>
      </c>
      <c r="W30">
        <f>IFERROR($Q30*I30,0)</f>
        <v/>
      </c>
      <c r="X30">
        <f>IFERROR($Q30*J30,0)</f>
        <v/>
      </c>
      <c r="Y30">
        <f>IFERROR($Q30*K30,0)</f>
        <v/>
      </c>
      <c r="AM30" t="n">
        <v>0</v>
      </c>
      <c r="AN30">
        <f>SUM(AM30,S30:Y30)</f>
        <v/>
      </c>
    </row>
    <row r="31">
      <c r="B31" t="inlineStr">
        <is>
          <t>Monthly F</t>
        </is>
      </c>
      <c r="C31" t="n">
        <v>1</v>
      </c>
      <c r="D31">
        <f>IFERROR(AVERAGE(C31:C31),0)</f>
        <v/>
      </c>
      <c r="E31">
        <f>IF($B31="Annual",1,IF($B31="Monthly F",12,IF($B31="Monthly V",D31*12,IF($B31="One-Time",1,D31*12))))</f>
        <v/>
      </c>
      <c r="F31">
        <f>IF($B31="Monthly V",E31*(1+$D$3),E31)</f>
        <v/>
      </c>
      <c r="G31">
        <f>IF($B31="Monthly V",F31*(1+$D$3),F31)</f>
        <v/>
      </c>
      <c r="H31">
        <f>IF($B31="Monthly V",G31*(1+$D$3),G31)</f>
        <v/>
      </c>
      <c r="I31">
        <f>IF($B31="Monthly V",H31*(1+$D$3),H31)</f>
        <v/>
      </c>
      <c r="J31">
        <f>IF($B31="Monthly V",I31*(1+$D$3),I31)</f>
        <v/>
      </c>
      <c r="K31">
        <f>IF($B31="Monthly V",J31*(1+$D$3),J31)</f>
        <v/>
      </c>
      <c r="O31" t="inlineStr">
        <is>
          <t>Start Card (Temporary Debit Card)</t>
        </is>
      </c>
      <c r="P31" t="inlineStr">
        <is>
          <t>Non-Bundle Required</t>
        </is>
      </c>
      <c r="Q31" t="n">
        <v>150</v>
      </c>
      <c r="R31">
        <f>S31/12</f>
        <v/>
      </c>
      <c r="S31">
        <f>IFERROR($Q31*E31,0)</f>
        <v/>
      </c>
      <c r="T31">
        <f>IFERROR($Q31*F31,0)</f>
        <v/>
      </c>
      <c r="U31">
        <f>IFERROR($Q31*G31,0)</f>
        <v/>
      </c>
      <c r="V31">
        <f>IFERROR($Q31*H31,0)</f>
        <v/>
      </c>
      <c r="W31">
        <f>IFERROR($Q31*I31,0)</f>
        <v/>
      </c>
      <c r="X31">
        <f>IFERROR($Q31*J31,0)</f>
        <v/>
      </c>
      <c r="Y31">
        <f>IFERROR($Q31*K31,0)</f>
        <v/>
      </c>
      <c r="AM31" t="n">
        <v>0</v>
      </c>
      <c r="AN31">
        <f>SUM(AM31,S31:Y31)</f>
        <v/>
      </c>
    </row>
    <row r="32">
      <c r="B32" t="inlineStr">
        <is>
          <t>Monthly F</t>
        </is>
      </c>
      <c r="C32" t="n">
        <v>1</v>
      </c>
      <c r="D32">
        <f>IFERROR(AVERAGE(C32:C32),0)</f>
        <v/>
      </c>
      <c r="E32">
        <f>IF($B32="Annual",1,IF($B32="Monthly F",12,IF($B32="Monthly V",D32*12,IF($B32="One-Time",1,D32*12))))</f>
        <v/>
      </c>
      <c r="F32">
        <f>IF($B32="Monthly V",E32*(1+$D$3),E32)</f>
        <v/>
      </c>
      <c r="G32">
        <f>IF($B32="Monthly V",F32*(1+$D$3),F32)</f>
        <v/>
      </c>
      <c r="H32">
        <f>IF($B32="Monthly V",G32*(1+$D$3),G32)</f>
        <v/>
      </c>
      <c r="I32">
        <f>IF($B32="Monthly V",H32*(1+$D$3),H32)</f>
        <v/>
      </c>
      <c r="J32">
        <f>IF($B32="Monthly V",I32*(1+$D$3),I32)</f>
        <v/>
      </c>
      <c r="K32">
        <f>IF($B32="Monthly V",J32*(1+$D$3),J32)</f>
        <v/>
      </c>
      <c r="O32" t="inlineStr">
        <is>
          <t>FedNOW (Receive Only)</t>
        </is>
      </c>
      <c r="P32" t="inlineStr">
        <is>
          <t>Non-Bundle Required</t>
        </is>
      </c>
      <c r="Q32" t="n">
        <v>1500</v>
      </c>
      <c r="R32">
        <f>S32/12</f>
        <v/>
      </c>
      <c r="S32">
        <f>IFERROR($Q32*E32,0)</f>
        <v/>
      </c>
      <c r="T32">
        <f>IFERROR($Q32*F32,0)</f>
        <v/>
      </c>
      <c r="U32">
        <f>IFERROR($Q32*G32,0)</f>
        <v/>
      </c>
      <c r="V32">
        <f>IFERROR($Q32*H32,0)</f>
        <v/>
      </c>
      <c r="W32">
        <f>IFERROR($Q32*I32,0)</f>
        <v/>
      </c>
      <c r="X32">
        <f>IFERROR($Q32*J32,0)</f>
        <v/>
      </c>
      <c r="Y32">
        <f>IFERROR($Q32*K32,0)</f>
        <v/>
      </c>
      <c r="AM32" t="n">
        <v>0</v>
      </c>
      <c r="AN32">
        <f>SUM(AM32,S32:Y32)</f>
        <v/>
      </c>
    </row>
    <row r="33">
      <c r="B33" t="inlineStr">
        <is>
          <t>Monthly F</t>
        </is>
      </c>
      <c r="C33" t="n">
        <v>1</v>
      </c>
      <c r="D33">
        <f>IFERROR(AVERAGE(C33:C33),0)</f>
        <v/>
      </c>
      <c r="E33">
        <f>IF($B33="Annual",1,IF($B33="Monthly F",12,IF($B33="Monthly V",D33*12,IF($B33="One-Time",1,D33*12))))</f>
        <v/>
      </c>
      <c r="F33">
        <f>IF($B33="Monthly V",E33*(1+$D$3),E33)</f>
        <v/>
      </c>
      <c r="G33">
        <f>IF($B33="Monthly V",F33*(1+$D$3),F33)</f>
        <v/>
      </c>
      <c r="H33">
        <f>IF($B33="Monthly V",G33*(1+$D$3),G33)</f>
        <v/>
      </c>
      <c r="I33">
        <f>IF($B33="Monthly V",H33*(1+$D$3),H33)</f>
        <v/>
      </c>
      <c r="J33">
        <f>IF($B33="Monthly V",I33*(1+$D$3),I33)</f>
        <v/>
      </c>
      <c r="K33">
        <f>IF($B33="Monthly V",J33*(1+$D$3),J33)</f>
        <v/>
      </c>
      <c r="O33" t="inlineStr">
        <is>
          <t>Real-Time Payments (RTP) (Receive Only)</t>
        </is>
      </c>
      <c r="P33" t="inlineStr">
        <is>
          <t>Non-Bundle Required</t>
        </is>
      </c>
      <c r="Q33" t="n">
        <v>1500</v>
      </c>
      <c r="R33">
        <f>S33/12</f>
        <v/>
      </c>
      <c r="S33">
        <f>IFERROR($Q33*E33,0)</f>
        <v/>
      </c>
      <c r="T33">
        <f>IFERROR($Q33*F33,0)</f>
        <v/>
      </c>
      <c r="U33">
        <f>IFERROR($Q33*G33,0)</f>
        <v/>
      </c>
      <c r="V33">
        <f>IFERROR($Q33*H33,0)</f>
        <v/>
      </c>
      <c r="W33">
        <f>IFERROR($Q33*I33,0)</f>
        <v/>
      </c>
      <c r="X33">
        <f>IFERROR($Q33*J33,0)</f>
        <v/>
      </c>
      <c r="Y33">
        <f>IFERROR($Q33*K33,0)</f>
        <v/>
      </c>
      <c r="AM33" t="n">
        <v>0</v>
      </c>
      <c r="AN33">
        <f>SUM(AM33,S33:Y33)</f>
        <v/>
      </c>
    </row>
    <row r="34">
      <c r="B34" t="inlineStr">
        <is>
          <t>Monthly F</t>
        </is>
      </c>
      <c r="C34" t="n">
        <v>1</v>
      </c>
      <c r="D34">
        <f>IFERROR(AVERAGE(C34:C34),0)</f>
        <v/>
      </c>
      <c r="E34">
        <f>IF($B34="Annual",1,IF($B34="Monthly F",12,IF($B34="Monthly V",D34*12,IF($B34="One-Time",1,D34*12))))</f>
        <v/>
      </c>
      <c r="F34">
        <f>IF($B34="Monthly V",E34*(1+$D$3),E34)</f>
        <v/>
      </c>
      <c r="G34">
        <f>IF($B34="Monthly V",F34*(1+$D$3),F34)</f>
        <v/>
      </c>
      <c r="H34">
        <f>IF($B34="Monthly V",G34*(1+$D$3),G34)</f>
        <v/>
      </c>
      <c r="I34">
        <f>IF($B34="Monthly V",H34*(1+$D$3),H34)</f>
        <v/>
      </c>
      <c r="J34">
        <f>IF($B34="Monthly V",I34*(1+$D$3),I34)</f>
        <v/>
      </c>
      <c r="K34">
        <f>IF($B34="Monthly V",J34*(1+$D$3),J34)</f>
        <v/>
      </c>
      <c r="O34" t="inlineStr">
        <is>
          <t>Zelle (Consumer and Small Business)</t>
        </is>
      </c>
      <c r="P34" t="inlineStr">
        <is>
          <t>Non-Bundle Required</t>
        </is>
      </c>
      <c r="Q34" t="n">
        <v>1325</v>
      </c>
      <c r="R34">
        <f>S34/12</f>
        <v/>
      </c>
      <c r="S34">
        <f>IFERROR($Q34*E34,0)</f>
        <v/>
      </c>
      <c r="T34">
        <f>IFERROR($Q34*F34,0)</f>
        <v/>
      </c>
      <c r="U34">
        <f>IFERROR($Q34*G34,0)</f>
        <v/>
      </c>
      <c r="V34">
        <f>IFERROR($Q34*H34,0)</f>
        <v/>
      </c>
      <c r="W34">
        <f>IFERROR($Q34*I34,0)</f>
        <v/>
      </c>
      <c r="X34">
        <f>IFERROR($Q34*J34,0)</f>
        <v/>
      </c>
      <c r="Y34">
        <f>IFERROR($Q34*K34,0)</f>
        <v/>
      </c>
      <c r="AM34" t="n">
        <v>0</v>
      </c>
      <c r="AN34">
        <f>SUM(AM34,S34:Y34)</f>
        <v/>
      </c>
    </row>
    <row r="35">
      <c r="B35" t="inlineStr">
        <is>
          <t>Monthly F</t>
        </is>
      </c>
      <c r="C35" t="n">
        <v>1</v>
      </c>
      <c r="D35">
        <f>IFERROR(AVERAGE(C35:C35),0)</f>
        <v/>
      </c>
      <c r="E35">
        <f>IF($B35="Annual",1,IF($B35="Monthly F",12,IF($B35="Monthly V",D35*12,IF($B35="One-Time",1,D35*12))))</f>
        <v/>
      </c>
      <c r="F35">
        <f>IF($B35="Monthly V",E35*(1+$D$3),E35)</f>
        <v/>
      </c>
      <c r="G35">
        <f>IF($B35="Monthly V",F35*(1+$D$3),F35)</f>
        <v/>
      </c>
      <c r="H35">
        <f>IF($B35="Monthly V",G35*(1+$D$3),G35)</f>
        <v/>
      </c>
      <c r="I35">
        <f>IF($B35="Monthly V",H35*(1+$D$3),H35)</f>
        <v/>
      </c>
      <c r="J35">
        <f>IF($B35="Monthly V",I35*(1+$D$3),I35)</f>
        <v/>
      </c>
      <c r="K35">
        <f>IF($B35="Monthly V",J35*(1+$D$3),J35)</f>
        <v/>
      </c>
      <c r="O35" t="inlineStr">
        <is>
          <t>WebConnect and DirectConnect</t>
        </is>
      </c>
      <c r="P35" t="inlineStr">
        <is>
          <t>Non-Bundle Required</t>
        </is>
      </c>
      <c r="Q35" t="n">
        <v>859</v>
      </c>
      <c r="R35">
        <f>S35/12</f>
        <v/>
      </c>
      <c r="S35">
        <f>IFERROR($Q35*E35,0)</f>
        <v/>
      </c>
      <c r="T35">
        <f>IFERROR($Q35*F35,0)</f>
        <v/>
      </c>
      <c r="U35">
        <f>IFERROR($Q35*G35,0)</f>
        <v/>
      </c>
      <c r="V35">
        <f>IFERROR($Q35*H35,0)</f>
        <v/>
      </c>
      <c r="W35">
        <f>IFERROR($Q35*I35,0)</f>
        <v/>
      </c>
      <c r="X35">
        <f>IFERROR($Q35*J35,0)</f>
        <v/>
      </c>
      <c r="Y35">
        <f>IFERROR($Q35*K35,0)</f>
        <v/>
      </c>
      <c r="AM35" t="n">
        <v>0</v>
      </c>
      <c r="AN35">
        <f>SUM(AM35,S35:Y35)</f>
        <v/>
      </c>
    </row>
    <row r="36">
      <c r="B36" t="inlineStr">
        <is>
          <t>Monthly F</t>
        </is>
      </c>
      <c r="C36" t="n">
        <v>1</v>
      </c>
      <c r="D36">
        <f>IFERROR(AVERAGE(C36:C36),0)</f>
        <v/>
      </c>
      <c r="E36">
        <f>IF($B36="Annual",1,IF($B36="Monthly F",12,IF($B36="Monthly V",D36*12,IF($B36="One-Time",1,D36*12))))</f>
        <v/>
      </c>
      <c r="F36">
        <f>IF($B36="Monthly V",E36*(1+$D$3),E36)</f>
        <v/>
      </c>
      <c r="G36">
        <f>IF($B36="Monthly V",F36*(1+$D$3),F36)</f>
        <v/>
      </c>
      <c r="H36">
        <f>IF($B36="Monthly V",G36*(1+$D$3),G36)</f>
        <v/>
      </c>
      <c r="I36">
        <f>IF($B36="Monthly V",H36*(1+$D$3),H36)</f>
        <v/>
      </c>
      <c r="J36">
        <f>IF($B36="Monthly V",I36*(1+$D$3),I36)</f>
        <v/>
      </c>
      <c r="K36">
        <f>IF($B36="Monthly V",J36*(1+$D$3),J36)</f>
        <v/>
      </c>
      <c r="O36" t="inlineStr">
        <is>
          <t>Credit Insights</t>
        </is>
      </c>
      <c r="P36" t="inlineStr">
        <is>
          <t>Non-Bundle Required</t>
        </is>
      </c>
      <c r="Q36" t="n">
        <v>1000</v>
      </c>
      <c r="R36">
        <f>S36/12</f>
        <v/>
      </c>
      <c r="S36">
        <f>IFERROR($Q36*E36,0)</f>
        <v/>
      </c>
      <c r="T36">
        <f>IFERROR($Q36*F36,0)</f>
        <v/>
      </c>
      <c r="U36">
        <f>IFERROR($Q36*G36,0)</f>
        <v/>
      </c>
      <c r="V36">
        <f>IFERROR($Q36*H36,0)</f>
        <v/>
      </c>
      <c r="W36">
        <f>IFERROR($Q36*I36,0)</f>
        <v/>
      </c>
      <c r="X36">
        <f>IFERROR($Q36*J36,0)</f>
        <v/>
      </c>
      <c r="Y36">
        <f>IFERROR($Q36*K36,0)</f>
        <v/>
      </c>
      <c r="AM36" t="n">
        <v>0</v>
      </c>
      <c r="AN36">
        <f>SUM(AM36,S36:Y36)</f>
        <v/>
      </c>
    </row>
    <row r="37">
      <c r="B37" t="inlineStr">
        <is>
          <t>Monthly F</t>
        </is>
      </c>
      <c r="C37" t="n">
        <v>1</v>
      </c>
      <c r="D37">
        <f>IFERROR(AVERAGE(C37:C37),0)</f>
        <v/>
      </c>
      <c r="E37">
        <f>IF($B37="Annual",1,IF($B37="Monthly F",12,IF($B37="Monthly V",D37*12,IF($B37="One-Time",1,D37*12))))</f>
        <v/>
      </c>
      <c r="F37">
        <f>IF($B37="Monthly V",E37*(1+$D$3),E37)</f>
        <v/>
      </c>
      <c r="G37">
        <f>IF($B37="Monthly V",F37*(1+$D$3),F37)</f>
        <v/>
      </c>
      <c r="H37">
        <f>IF($B37="Monthly V",G37*(1+$D$3),G37)</f>
        <v/>
      </c>
      <c r="I37">
        <f>IF($B37="Monthly V",H37*(1+$D$3),H37)</f>
        <v/>
      </c>
      <c r="J37">
        <f>IF($B37="Monthly V",I37*(1+$D$3),I37)</f>
        <v/>
      </c>
      <c r="K37">
        <f>IF($B37="Monthly V",J37*(1+$D$3),J37)</f>
        <v/>
      </c>
      <c r="O37" t="inlineStr">
        <is>
          <t>Collaboration Hub</t>
        </is>
      </c>
      <c r="P37" t="inlineStr">
        <is>
          <t>Non-Bundle Required</t>
        </is>
      </c>
      <c r="Q37" t="n">
        <v>3300</v>
      </c>
      <c r="R37">
        <f>S37/12</f>
        <v/>
      </c>
      <c r="S37">
        <f>IFERROR($Q37*E37,0)</f>
        <v/>
      </c>
      <c r="T37">
        <f>IFERROR($Q37*F37,0)</f>
        <v/>
      </c>
      <c r="U37">
        <f>IFERROR($Q37*G37,0)</f>
        <v/>
      </c>
      <c r="V37">
        <f>IFERROR($Q37*H37,0)</f>
        <v/>
      </c>
      <c r="W37">
        <f>IFERROR($Q37*I37,0)</f>
        <v/>
      </c>
      <c r="X37">
        <f>IFERROR($Q37*J37,0)</f>
        <v/>
      </c>
      <c r="Y37">
        <f>IFERROR($Q37*K37,0)</f>
        <v/>
      </c>
      <c r="AM37" t="n">
        <v>0</v>
      </c>
      <c r="AN37">
        <f>SUM(AM37,S37:Y37)</f>
        <v/>
      </c>
    </row>
    <row r="57">
      <c r="O57" s="5" t="inlineStr">
        <is>
          <t>Non-Bundle Required Third Parties</t>
        </is>
      </c>
    </row>
    <row r="58">
      <c r="B58" t="inlineStr">
        <is>
          <t>Monthly F</t>
        </is>
      </c>
      <c r="C58" t="n">
        <v>1</v>
      </c>
      <c r="D58">
        <f>IFERROR(AVERAGE(C58:C58),0)</f>
        <v/>
      </c>
      <c r="E58">
        <f>IF($B58="Annual",1,IF($B58="Monthly F",12,IF($B58="Monthly V",D58*12,IF($B58="One-Time",1,D58*12))))</f>
        <v/>
      </c>
      <c r="F58">
        <f>IF($B58="Monthly V",E58*(1+$D$3),E58)</f>
        <v/>
      </c>
      <c r="G58">
        <f>IF($B58="Monthly V",F58*(1+$D$3),F58)</f>
        <v/>
      </c>
      <c r="H58">
        <f>IF($B58="Monthly V",G58*(1+$D$3),G58)</f>
        <v/>
      </c>
      <c r="I58">
        <f>IF($B58="Monthly V",H58*(1+$D$3),H58)</f>
        <v/>
      </c>
      <c r="J58">
        <f>IF($B58="Monthly V",I58*(1+$D$3),I58)</f>
        <v/>
      </c>
      <c r="K58">
        <f>IF($B58="Monthly V",J58*(1+$D$3),J58)</f>
        <v/>
      </c>
      <c r="O58" t="inlineStr">
        <is>
          <t>Network Services (connectivity to data center)</t>
        </is>
      </c>
      <c r="P58" t="inlineStr">
        <is>
          <t>Third-Party Required</t>
        </is>
      </c>
      <c r="Q58" t="n">
        <v>2088</v>
      </c>
      <c r="R58">
        <f>S58/12</f>
        <v/>
      </c>
      <c r="S58">
        <f>IFERROR($Q58*E58,0)</f>
        <v/>
      </c>
      <c r="T58">
        <f>IFERROR($Q58*F58,0)</f>
        <v/>
      </c>
      <c r="U58">
        <f>IFERROR($Q58*G58,0)</f>
        <v/>
      </c>
      <c r="V58">
        <f>IFERROR($Q58*H58,0)</f>
        <v/>
      </c>
      <c r="W58">
        <f>IFERROR($Q58*I58,0)</f>
        <v/>
      </c>
      <c r="X58">
        <f>IFERROR($Q58*J58,0)</f>
        <v/>
      </c>
      <c r="Y58">
        <f>IFERROR($Q58*K58,0)</f>
        <v/>
      </c>
      <c r="AM58" t="n">
        <v>0</v>
      </c>
      <c r="AN58">
        <f>SUM(AM58,S58:Y58)</f>
        <v/>
      </c>
    </row>
    <row r="59">
      <c r="B59" t="inlineStr">
        <is>
          <t>Monthly F</t>
        </is>
      </c>
      <c r="C59" t="n">
        <v>1</v>
      </c>
      <c r="D59">
        <f>IFERROR(AVERAGE(C59:C59),0)</f>
        <v/>
      </c>
      <c r="E59">
        <f>IF($B59="Annual",1,IF($B59="Monthly F",12,IF($B59="Monthly V",D59*12,IF($B59="One-Time",1,D59*12))))</f>
        <v/>
      </c>
      <c r="F59">
        <f>IF($B59="Monthly V",E59*(1+$D$3),E59)</f>
        <v/>
      </c>
      <c r="G59">
        <f>IF($B59="Monthly V",F59*(1+$D$3),F59)</f>
        <v/>
      </c>
      <c r="H59">
        <f>IF($B59="Monthly V",G59*(1+$D$3),G59)</f>
        <v/>
      </c>
      <c r="I59">
        <f>IF($B59="Monthly V",H59*(1+$D$3),H59)</f>
        <v/>
      </c>
      <c r="J59">
        <f>IF($B59="Monthly V",I59*(1+$D$3),I59)</f>
        <v/>
      </c>
      <c r="K59">
        <f>IF($B59="Monthly V",J59*(1+$D$3),J59)</f>
        <v/>
      </c>
      <c r="O59" t="inlineStr">
        <is>
          <t>SmartSign (eSignature)</t>
        </is>
      </c>
      <c r="P59" t="inlineStr">
        <is>
          <t>Third-Party Required</t>
        </is>
      </c>
      <c r="Q59" t="n">
        <v>478</v>
      </c>
      <c r="R59">
        <f>S59/12</f>
        <v/>
      </c>
      <c r="S59">
        <f>IFERROR($Q59*E59,0)</f>
        <v/>
      </c>
      <c r="T59">
        <f>IFERROR($Q59*F59,0)</f>
        <v/>
      </c>
      <c r="U59">
        <f>IFERROR($Q59*G59,0)</f>
        <v/>
      </c>
      <c r="V59">
        <f>IFERROR($Q59*H59,0)</f>
        <v/>
      </c>
      <c r="W59">
        <f>IFERROR($Q59*I59,0)</f>
        <v/>
      </c>
      <c r="X59">
        <f>IFERROR($Q59*J59,0)</f>
        <v/>
      </c>
      <c r="Y59">
        <f>IFERROR($Q59*K59,0)</f>
        <v/>
      </c>
      <c r="AM59" t="n">
        <v>0</v>
      </c>
      <c r="AN59">
        <f>SUM(AM59,S59:Y59)</f>
        <v/>
      </c>
    </row>
    <row r="60">
      <c r="B60" t="inlineStr">
        <is>
          <t>Monthly F</t>
        </is>
      </c>
      <c r="C60" t="n">
        <v>1</v>
      </c>
      <c r="D60">
        <f>IFERROR(AVERAGE(C60:C60),0)</f>
        <v/>
      </c>
      <c r="E60">
        <f>IF($B60="Annual",1,IF($B60="Monthly F",12,IF($B60="Monthly V",D60*12,IF($B60="One-Time",1,D60*12))))</f>
        <v/>
      </c>
      <c r="F60">
        <f>IF($B60="Monthly V",E60*(1+$D$3),E60)</f>
        <v/>
      </c>
      <c r="G60">
        <f>IF($B60="Monthly V",F60*(1+$D$3),F60)</f>
        <v/>
      </c>
      <c r="H60">
        <f>IF($B60="Monthly V",G60*(1+$D$3),G60)</f>
        <v/>
      </c>
      <c r="I60">
        <f>IF($B60="Monthly V",H60*(1+$D$3),H60)</f>
        <v/>
      </c>
      <c r="J60">
        <f>IF($B60="Monthly V",I60*(1+$D$3),I60)</f>
        <v/>
      </c>
      <c r="K60">
        <f>IF($B60="Monthly V",J60*(1+$D$3),J60)</f>
        <v/>
      </c>
      <c r="O60" t="inlineStr">
        <is>
          <t>TruStage (new deposit account documents)</t>
        </is>
      </c>
      <c r="P60" t="inlineStr">
        <is>
          <t>Third-Party Required</t>
        </is>
      </c>
      <c r="Q60" t="n">
        <v>1158</v>
      </c>
      <c r="R60">
        <f>S60/12</f>
        <v/>
      </c>
      <c r="S60">
        <f>IFERROR($Q60*E60,0)</f>
        <v/>
      </c>
      <c r="T60">
        <f>IFERROR($Q60*F60,0)</f>
        <v/>
      </c>
      <c r="U60">
        <f>IFERROR($Q60*G60,0)</f>
        <v/>
      </c>
      <c r="V60">
        <f>IFERROR($Q60*H60,0)</f>
        <v/>
      </c>
      <c r="W60">
        <f>IFERROR($Q60*I60,0)</f>
        <v/>
      </c>
      <c r="X60">
        <f>IFERROR($Q60*J60,0)</f>
        <v/>
      </c>
      <c r="Y60">
        <f>IFERROR($Q60*K60,0)</f>
        <v/>
      </c>
      <c r="AM60" t="n">
        <v>0</v>
      </c>
      <c r="AN60">
        <f>SUM(AM60,S60:Y60)</f>
        <v/>
      </c>
    </row>
    <row r="61">
      <c r="B61" t="inlineStr">
        <is>
          <t>Monthly F</t>
        </is>
      </c>
      <c r="C61" t="n">
        <v>1</v>
      </c>
      <c r="D61">
        <f>IFERROR(AVERAGE(C61:C61),0)</f>
        <v/>
      </c>
      <c r="E61">
        <f>IF($B61="Annual",1,IF($B61="Monthly F",12,IF($B61="Monthly V",D61*12,IF($B61="One-Time",1,D61*12))))</f>
        <v/>
      </c>
      <c r="F61">
        <f>IF($B61="Monthly V",E61*(1+$D$3),E61)</f>
        <v/>
      </c>
      <c r="G61">
        <f>IF($B61="Monthly V",F61*(1+$D$3),F61)</f>
        <v/>
      </c>
      <c r="H61">
        <f>IF($B61="Monthly V",G61*(1+$D$3),G61)</f>
        <v/>
      </c>
      <c r="I61">
        <f>IF($B61="Monthly V",H61*(1+$D$3),H61)</f>
        <v/>
      </c>
      <c r="J61">
        <f>IF($B61="Monthly V",I61*(1+$D$3),I61)</f>
        <v/>
      </c>
      <c r="K61">
        <f>IF($B61="Monthly V",J61*(1+$D$3),J61)</f>
        <v/>
      </c>
      <c r="O61" t="inlineStr">
        <is>
          <t>IBM Cognos (HORIZON 360)</t>
        </is>
      </c>
      <c r="P61" t="inlineStr">
        <is>
          <t>Third-Party Required</t>
        </is>
      </c>
      <c r="Q61" t="n">
        <v>1172</v>
      </c>
      <c r="R61">
        <f>S61/12</f>
        <v/>
      </c>
      <c r="S61">
        <f>IFERROR($Q61*E61,0)</f>
        <v/>
      </c>
      <c r="T61">
        <f>IFERROR($Q61*F61,0)</f>
        <v/>
      </c>
      <c r="U61">
        <f>IFERROR($Q61*G61,0)</f>
        <v/>
      </c>
      <c r="V61">
        <f>IFERROR($Q61*H61,0)</f>
        <v/>
      </c>
      <c r="W61">
        <f>IFERROR($Q61*I61,0)</f>
        <v/>
      </c>
      <c r="X61">
        <f>IFERROR($Q61*J61,0)</f>
        <v/>
      </c>
      <c r="Y61">
        <f>IFERROR($Q61*K61,0)</f>
        <v/>
      </c>
      <c r="AM61" t="n">
        <v>0</v>
      </c>
      <c r="AN61">
        <f>SUM(AM61,S61:Y61)</f>
        <v/>
      </c>
    </row>
    <row r="62">
      <c r="B62" t="inlineStr">
        <is>
          <t>Monthly F</t>
        </is>
      </c>
      <c r="C62" t="n">
        <v>1</v>
      </c>
      <c r="D62">
        <f>IFERROR(AVERAGE(C62:C62),0)</f>
        <v/>
      </c>
      <c r="E62">
        <f>IF($B62="Annual",1,IF($B62="Monthly F",12,IF($B62="Monthly V",D62*12,IF($B62="One-Time",1,D62*12))))</f>
        <v/>
      </c>
      <c r="F62">
        <f>IF($B62="Monthly V",E62*(1+$D$3),E62)</f>
        <v/>
      </c>
      <c r="G62">
        <f>IF($B62="Monthly V",F62*(1+$D$3),F62)</f>
        <v/>
      </c>
      <c r="H62">
        <f>IF($B62="Monthly V",G62*(1+$D$3),G62)</f>
        <v/>
      </c>
      <c r="I62">
        <f>IF($B62="Monthly V",H62*(1+$D$3),H62)</f>
        <v/>
      </c>
      <c r="J62">
        <f>IF($B62="Monthly V",I62*(1+$D$3),I62)</f>
        <v/>
      </c>
      <c r="K62">
        <f>IF($B62="Monthly V",J62*(1+$D$3),J62)</f>
        <v/>
      </c>
      <c r="O62" t="inlineStr">
        <is>
          <t>AvidAscend (Accounts Payable, Fixed Assets, and Prepaids)</t>
        </is>
      </c>
      <c r="P62" t="inlineStr">
        <is>
          <t>Third-Party Required</t>
        </is>
      </c>
      <c r="Q62" t="n">
        <v>1127</v>
      </c>
      <c r="R62">
        <f>S62/12</f>
        <v/>
      </c>
      <c r="S62">
        <f>IFERROR($Q62*E62,0)</f>
        <v/>
      </c>
      <c r="T62">
        <f>IFERROR($Q62*F62,0)</f>
        <v/>
      </c>
      <c r="U62">
        <f>IFERROR($Q62*G62,0)</f>
        <v/>
      </c>
      <c r="V62">
        <f>IFERROR($Q62*H62,0)</f>
        <v/>
      </c>
      <c r="W62">
        <f>IFERROR($Q62*I62,0)</f>
        <v/>
      </c>
      <c r="X62">
        <f>IFERROR($Q62*J62,0)</f>
        <v/>
      </c>
      <c r="Y62">
        <f>IFERROR($Q62*K62,0)</f>
        <v/>
      </c>
      <c r="AM62" t="n">
        <v>0</v>
      </c>
      <c r="AN62">
        <f>SUM(AM62,S62:Y62)</f>
        <v/>
      </c>
    </row>
    <row r="92">
      <c r="O92" s="5" t="inlineStr">
        <is>
          <t>Implementation Credits and Fees</t>
        </is>
      </c>
    </row>
    <row r="93">
      <c r="B93" t="inlineStr">
        <is>
          <t>One-Time</t>
        </is>
      </c>
      <c r="C93" t="n">
        <v>1</v>
      </c>
      <c r="D93">
        <f>IFERROR(AVERAGE(C93:C93),0)</f>
        <v/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O93" t="inlineStr">
        <is>
          <t>Signing Bonus</t>
        </is>
      </c>
      <c r="P93" t="inlineStr">
        <is>
          <t>Implementation Credit</t>
        </is>
      </c>
      <c r="Q93" t="n">
        <v>-75000</v>
      </c>
      <c r="R93">
        <f>S93/12</f>
        <v/>
      </c>
      <c r="S93">
        <f>IFERROR($Q93*E93,0)</f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AM93" t="n">
        <v>0</v>
      </c>
      <c r="AN93">
        <f>SUM(AM93,S93:Y93)</f>
        <v/>
      </c>
    </row>
    <row r="94">
      <c r="B94" t="inlineStr">
        <is>
          <t>One-Time</t>
        </is>
      </c>
      <c r="C94" t="n">
        <v>1</v>
      </c>
      <c r="D94">
        <f>IFERROR(AVERAGE(C94:C94),0)</f>
        <v/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O94" t="inlineStr">
        <is>
          <t>First-Year Free FIS Processing</t>
        </is>
      </c>
      <c r="P94" t="inlineStr">
        <is>
          <t>Implementation Credit</t>
        </is>
      </c>
      <c r="Q94" t="n">
        <v>-180000</v>
      </c>
      <c r="R94">
        <f>S94/12</f>
        <v/>
      </c>
      <c r="S94">
        <f>IFERROR($Q94*E94,0)</f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AM94" t="n">
        <v>0</v>
      </c>
      <c r="AN94">
        <f>SUM(AM94,S94:Y94)</f>
        <v/>
      </c>
    </row>
    <row r="95">
      <c r="B95" t="inlineStr">
        <is>
          <t>One-Time</t>
        </is>
      </c>
      <c r="C95" t="n">
        <v>1</v>
      </c>
      <c r="D95">
        <f>IFERROR(AVERAGE(C95:C95),0)</f>
        <v/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O95" t="inlineStr">
        <is>
          <t>FIS Conversion / Implementation Fees</t>
        </is>
      </c>
      <c r="P95" t="inlineStr">
        <is>
          <t>Implementation Fee</t>
        </is>
      </c>
      <c r="Q95" t="n">
        <v>844093</v>
      </c>
      <c r="R95">
        <f>S95/12</f>
        <v/>
      </c>
      <c r="S95">
        <f>IFERROR($Q95*E95,0)</f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AM95" t="n">
        <v>0</v>
      </c>
      <c r="AN95">
        <f>SUM(AM95,S95:Y95)</f>
        <v/>
      </c>
    </row>
    <row r="96">
      <c r="B96" t="inlineStr">
        <is>
          <t>One-Time</t>
        </is>
      </c>
      <c r="C96" t="n">
        <v>1</v>
      </c>
      <c r="D96">
        <f>IFERROR(AVERAGE(C96:C96),0)</f>
        <v/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O96" t="inlineStr">
        <is>
          <t>Third-Party Conversion / Implementation Fees</t>
        </is>
      </c>
      <c r="P96" t="inlineStr">
        <is>
          <t>Implementation Fee</t>
        </is>
      </c>
      <c r="Q96" t="n">
        <v>137070</v>
      </c>
      <c r="R96">
        <f>S96/12</f>
        <v/>
      </c>
      <c r="S96">
        <f>IFERROR($Q96*E96,0)</f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AM96" t="n">
        <v>0</v>
      </c>
      <c r="AN96">
        <f>SUM(AM96,S96:Y96)</f>
        <v/>
      </c>
    </row>
    <row r="97">
      <c r="B97" t="inlineStr">
        <is>
          <t>One-Time</t>
        </is>
      </c>
      <c r="C97" t="n">
        <v>1</v>
      </c>
      <c r="D97">
        <f>IFERROR(AVERAGE(C97:C97),0)</f>
        <v/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O97" t="inlineStr">
        <is>
          <t>Special Credit to Hire Industry Consultant</t>
        </is>
      </c>
      <c r="P97" t="inlineStr">
        <is>
          <t>Implementation Credit</t>
        </is>
      </c>
      <c r="Q97" t="n">
        <v>-50000</v>
      </c>
      <c r="R97">
        <f>S97/12</f>
        <v/>
      </c>
      <c r="S97">
        <f>IFERROR($Q97*E97,0)</f>
        <v/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AM97" t="n">
        <v>0</v>
      </c>
      <c r="AN97">
        <f>SUM(AM97,S97:Y97)</f>
        <v/>
      </c>
    </row>
    <row r="98">
      <c r="B98" t="inlineStr">
        <is>
          <t>One-Time</t>
        </is>
      </c>
      <c r="C98" t="n">
        <v>1</v>
      </c>
      <c r="D98">
        <f>IFERROR(AVERAGE(C98:C98),0)</f>
        <v/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O98" t="inlineStr">
        <is>
          <t>Conversion-Related Professional Service Fees</t>
        </is>
      </c>
      <c r="P98" t="inlineStr">
        <is>
          <t>Implementation Fee</t>
        </is>
      </c>
      <c r="Q98" t="n">
        <v>290000</v>
      </c>
      <c r="R98">
        <f>S98/12</f>
        <v/>
      </c>
      <c r="S98">
        <f>IFERROR($Q98*E98,0)</f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AM98" t="n">
        <v>0</v>
      </c>
      <c r="AN98">
        <f>SUM(AM98,S98:Y98)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FIS</t>
        </is>
      </c>
    </row>
    <row r="2">
      <c r="B2" s="2" t="inlineStr">
        <is>
          <t>Required Items</t>
        </is>
      </c>
      <c r="C2" s="2" t="inlineStr">
        <is>
          <t>Total 7 Year</t>
        </is>
      </c>
      <c r="D2" s="2" t="inlineStr">
        <is>
          <t>Monthly Avg.</t>
        </is>
      </c>
    </row>
    <row r="3">
      <c r="B3" t="inlineStr">
        <is>
          <t>Bundle FIS Products</t>
        </is>
      </c>
      <c r="C3">
        <f>SUM('Line Items'!AN7:AN13)</f>
        <v/>
      </c>
      <c r="D3">
        <f>C3/84</f>
        <v/>
      </c>
    </row>
    <row r="4">
      <c r="B4" t="inlineStr">
        <is>
          <t>Non-Bundle FIS Required Products</t>
        </is>
      </c>
      <c r="C4">
        <f>SUM('Line Items'!AN22:AN54)</f>
        <v/>
      </c>
      <c r="D4">
        <f>C4/84</f>
        <v/>
      </c>
    </row>
    <row r="5">
      <c r="B5" t="inlineStr">
        <is>
          <t>Non-Bundle Required Third Parties</t>
        </is>
      </c>
      <c r="C5">
        <f>SUM('Line Items'!AN58:AN84)</f>
        <v/>
      </c>
      <c r="D5">
        <f>C5/84</f>
        <v/>
      </c>
    </row>
    <row r="6">
      <c r="B6" s="6" t="inlineStr">
        <is>
          <t>Sub-Total: Required/Included Products</t>
        </is>
      </c>
      <c r="C6">
        <f>SUM(C3:C5)</f>
        <v/>
      </c>
      <c r="D6">
        <f>C6/84</f>
        <v/>
      </c>
    </row>
    <row r="8">
      <c r="B8" t="inlineStr">
        <is>
          <t>Implementation Credits</t>
        </is>
      </c>
      <c r="C8">
        <f>SUM('Line Items'!AN93:AN97)</f>
        <v/>
      </c>
    </row>
    <row r="10">
      <c r="B10" s="6" t="inlineStr">
        <is>
          <t>TOTAL REQUIRED (minus credits)</t>
        </is>
      </c>
      <c r="C10" s="6">
        <f>C6+C8</f>
        <v/>
      </c>
      <c r="D10">
        <f>C10/84</f>
        <v/>
      </c>
    </row>
    <row r="13">
      <c r="B13" s="7" t="inlineStr">
        <is>
          <t>Yearly Breakdown</t>
        </is>
      </c>
    </row>
    <row r="14">
      <c r="B14" t="inlineStr">
        <is>
          <t>Year 1</t>
        </is>
      </c>
      <c r="C14">
        <f>SUM('Line Items'!S7:S97)</f>
        <v/>
      </c>
    </row>
    <row r="15">
      <c r="B15" t="inlineStr">
        <is>
          <t>Year 2</t>
        </is>
      </c>
      <c r="C15">
        <f>SUM('Line Items'!T7:T97)</f>
        <v/>
      </c>
    </row>
    <row r="16">
      <c r="B16" t="inlineStr">
        <is>
          <t>Year 3</t>
        </is>
      </c>
      <c r="C16">
        <f>SUM('Line Items'!U7:U97)</f>
        <v/>
      </c>
    </row>
    <row r="17">
      <c r="B17" t="inlineStr">
        <is>
          <t>Year 4</t>
        </is>
      </c>
      <c r="C17">
        <f>SUM('Line Items'!V7:V97)</f>
        <v/>
      </c>
    </row>
    <row r="18">
      <c r="B18" t="inlineStr">
        <is>
          <t>Year 5</t>
        </is>
      </c>
      <c r="C18">
        <f>SUM('Line Items'!W7:W97)</f>
        <v/>
      </c>
    </row>
    <row r="19">
      <c r="B19" t="inlineStr">
        <is>
          <t>Year 6</t>
        </is>
      </c>
      <c r="C19">
        <f>SUM('Line Items'!X7:X97)</f>
        <v/>
      </c>
    </row>
    <row r="20">
      <c r="B20" t="inlineStr">
        <is>
          <t>Year 7</t>
        </is>
      </c>
      <c r="C20">
        <f>SUM('Line Items'!Y7:Y97)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2025-12-05T16:58:04Z</dcterms:created>
  <dcterms:modified xmlns:dcterms="http://purl.org/dc/terms/" xmlns:xsi="http://www.w3.org/2001/XMLSchema-instance" xsi:type="dcterms:W3CDTF">2025-12-05T16:58:04Z</dcterms:modified>
</cp:coreProperties>
</file>