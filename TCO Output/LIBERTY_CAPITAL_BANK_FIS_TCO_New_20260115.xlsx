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Normalize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_(&quot;$&quot;* #,##0.00_);_(&quot;$&quot;* (#,##0.00);_(&quot;$&quot;* &quot;-&quot;??_);_(@_)"/>
  </numFmts>
  <fonts count="1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  <font>
      <b val="1"/>
      <sz val="16"/>
    </font>
    <font>
      <i val="1"/>
      <color rgb="00666666"/>
      <sz val="1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sz val="12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/>
    </xf>
    <xf numFmtId="0" fontId="12" fillId="5" borderId="2" pivotButton="0" quotePrefix="0" xfId="0"/>
    <xf numFmtId="165" fontId="0" fillId="6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0" fontId="13" fillId="7" borderId="2" pivotButton="0" quotePrefix="0" xfId="0"/>
    <xf numFmtId="165" fontId="13" fillId="7" borderId="2" pivotButton="0" quotePrefix="0" xfId="0"/>
    <xf numFmtId="0" fontId="13" fillId="7" borderId="2" applyAlignment="1" pivotButton="0" quotePrefix="0" xfId="0">
      <alignment horizontal="center"/>
    </xf>
    <xf numFmtId="0" fontId="14" fillId="0" borderId="0" pivotButton="0" quotePrefix="0" xfId="0"/>
    <xf numFmtId="0" fontId="12" fillId="5" borderId="0" pivotButton="0" quotePrefix="0" xfId="0"/>
    <xf numFmtId="0" fontId="11" fillId="4" borderId="2" pivotButton="0" quotePrefix="0" xfId="0"/>
    <xf numFmtId="0" fontId="0" fillId="0" borderId="2" pivotButton="0" quotePrefix="0" xfId="0"/>
    <xf numFmtId="0" fontId="6" fillId="0" borderId="2" pivotButton="0" quotePrefix="0" xfId="0"/>
    <xf numFmtId="165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15</v>
      </c>
      <c r="B2" t="inlineStr">
        <is>
          <t>Annual</t>
        </is>
      </c>
      <c r="C2" t="inlineStr">
        <is>
          <t>SSL Encryption Certificates: GEOTrust, Verisign</t>
        </is>
      </c>
      <c r="D2" t="inlineStr">
        <is>
          <t>Security Plus</t>
        </is>
      </c>
      <c r="E2" t="b">
        <v>0</v>
      </c>
      <c r="F2" t="b">
        <v>0</v>
      </c>
      <c r="G2" s="12" t="n">
        <v>165</v>
      </c>
      <c r="H2" t="inlineStr">
        <is>
          <t>per year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Billed annually, no pricing change</t>
        </is>
      </c>
    </row>
    <row r="3">
      <c r="A3" t="n">
        <v>12</v>
      </c>
      <c r="B3" t="inlineStr">
        <is>
          <t>Monthly F</t>
        </is>
      </c>
      <c r="C3" t="inlineStr">
        <is>
          <t>ACH: Milwaukee ACH</t>
        </is>
      </c>
      <c r="D3" t="inlineStr">
        <is>
          <t>ACH</t>
        </is>
      </c>
      <c r="E3" t="b">
        <v>0</v>
      </c>
      <c r="F3" t="b">
        <v>0</v>
      </c>
      <c r="G3" s="12" t="n">
        <v>1845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No pricing change</t>
        </is>
      </c>
    </row>
    <row r="4">
      <c r="A4" t="n">
        <v>1</v>
      </c>
      <c r="B4" t="inlineStr">
        <is>
          <t>Monthly F</t>
        </is>
      </c>
      <c r="C4" t="inlineStr">
        <is>
          <t>Core: HORIZON</t>
        </is>
      </c>
      <c r="D4" t="inlineStr">
        <is>
          <t>Core</t>
        </is>
      </c>
      <c r="E4" t="b">
        <v>0</v>
      </c>
      <c r="F4" t="b">
        <v>0</v>
      </c>
      <c r="G4" s="12" t="n">
        <v>16792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Current pricing $11,266, new pricing $16,792</t>
        </is>
      </c>
    </row>
    <row r="5">
      <c r="A5" t="n">
        <v>2</v>
      </c>
      <c r="B5" t="inlineStr">
        <is>
          <t>Monthly F</t>
        </is>
      </c>
      <c r="C5" t="inlineStr">
        <is>
          <t>Digital: D1 Flex, D1 Business, Mobile, Bill Pay</t>
        </is>
      </c>
      <c r="D5" t="inlineStr">
        <is>
          <t>Digital</t>
        </is>
      </c>
      <c r="E5" t="b">
        <v>0</v>
      </c>
      <c r="F5" t="b">
        <v>0</v>
      </c>
      <c r="G5" s="12" t="n">
        <v>35253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Current pricing $15,184, new pricing $35,253</t>
        </is>
      </c>
    </row>
    <row r="6">
      <c r="A6" t="n">
        <v>3</v>
      </c>
      <c r="B6" t="inlineStr">
        <is>
          <t>Monthly F</t>
        </is>
      </c>
      <c r="C6" t="inlineStr">
        <is>
          <t>Digital: Website Services</t>
        </is>
      </c>
      <c r="D6" t="inlineStr">
        <is>
          <t>Digital</t>
        </is>
      </c>
      <c r="E6" t="b">
        <v>0</v>
      </c>
      <c r="F6" t="b">
        <v>0</v>
      </c>
      <c r="G6" s="12" t="n">
        <v>568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No pricing change</t>
        </is>
      </c>
    </row>
    <row r="7">
      <c r="A7" t="n">
        <v>4</v>
      </c>
      <c r="B7" t="inlineStr">
        <is>
          <t>Monthly F</t>
        </is>
      </c>
      <c r="C7" t="inlineStr">
        <is>
          <t>Digital: Zelle</t>
        </is>
      </c>
      <c r="D7" t="inlineStr">
        <is>
          <t>Digital</t>
        </is>
      </c>
      <c r="E7" t="b">
        <v>0</v>
      </c>
      <c r="F7" t="b">
        <v>0</v>
      </c>
      <c r="G7" s="12" t="n">
        <v>641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No pricing change</t>
        </is>
      </c>
    </row>
    <row r="8">
      <c r="A8" t="n">
        <v>18</v>
      </c>
      <c r="B8" t="inlineStr">
        <is>
          <t>Monthly F</t>
        </is>
      </c>
      <c r="C8" t="inlineStr">
        <is>
          <t>EFT: Debit Card Production</t>
        </is>
      </c>
      <c r="D8" t="inlineStr">
        <is>
          <t>EFT</t>
        </is>
      </c>
      <c r="E8" t="b">
        <v>0</v>
      </c>
      <c r="F8" t="b">
        <v>0</v>
      </c>
      <c r="G8" s="12" t="n">
        <v>512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No pricing change</t>
        </is>
      </c>
    </row>
    <row r="9">
      <c r="A9" t="n">
        <v>5</v>
      </c>
      <c r="B9" t="inlineStr">
        <is>
          <t>Monthly F</t>
        </is>
      </c>
      <c r="C9" t="inlineStr">
        <is>
          <t>EFT: EFT Norcross, 3D Secure, Tokenization, SecurLOCK</t>
        </is>
      </c>
      <c r="D9" t="inlineStr">
        <is>
          <t>EFT</t>
        </is>
      </c>
      <c r="E9" t="b">
        <v>0</v>
      </c>
      <c r="F9" t="b">
        <v>0</v>
      </c>
      <c r="G9" s="12" t="n">
        <v>6675</v>
      </c>
      <c r="H9" t="inlineStr">
        <is>
          <t>per month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Current pricing $1,736, new pricing $6,675</t>
        </is>
      </c>
    </row>
    <row r="10">
      <c r="A10" t="n">
        <v>19</v>
      </c>
      <c r="B10" t="inlineStr">
        <is>
          <t>Monthly F</t>
        </is>
      </c>
      <c r="C10" t="inlineStr">
        <is>
          <t>EFT: NYCE Debit Card Network</t>
        </is>
      </c>
      <c r="D10" t="inlineStr">
        <is>
          <t>EFT</t>
        </is>
      </c>
      <c r="E10" t="b">
        <v>0</v>
      </c>
      <c r="F10" t="b">
        <v>0</v>
      </c>
      <c r="G10" s="12" t="n">
        <v>171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No pricing change</t>
        </is>
      </c>
    </row>
    <row r="11">
      <c r="A11" t="n">
        <v>8</v>
      </c>
      <c r="B11" t="inlineStr">
        <is>
          <t>Monthly F</t>
        </is>
      </c>
      <c r="C11" t="inlineStr">
        <is>
          <t>Image Solutions: RTP (Receive)</t>
        </is>
      </c>
      <c r="D11" t="inlineStr">
        <is>
          <t>Image Solutions</t>
        </is>
      </c>
      <c r="E11" t="b">
        <v>0</v>
      </c>
      <c r="F11" t="b">
        <v>0</v>
      </c>
      <c r="G11" s="12" t="n">
        <v>855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No pricing change</t>
        </is>
      </c>
    </row>
    <row r="12">
      <c r="A12" t="n">
        <v>9</v>
      </c>
      <c r="B12" t="inlineStr">
        <is>
          <t>Monthly F</t>
        </is>
      </c>
      <c r="C12" t="inlineStr">
        <is>
          <t>Item Processing: FCM, IP, Branch Capture, CCX, FXD, DLRR</t>
        </is>
      </c>
      <c r="D12" t="inlineStr">
        <is>
          <t>Item Processing</t>
        </is>
      </c>
      <c r="E12" t="b">
        <v>0</v>
      </c>
      <c r="F12" t="b">
        <v>0</v>
      </c>
      <c r="G12" s="12" t="n">
        <v>19353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Current pricing $11,155, new pricing $19,353</t>
        </is>
      </c>
    </row>
    <row r="13">
      <c r="A13" t="n">
        <v>11</v>
      </c>
      <c r="B13" t="inlineStr">
        <is>
          <t>Monthly F</t>
        </is>
      </c>
      <c r="C13" t="inlineStr">
        <is>
          <t>Lending: FLO</t>
        </is>
      </c>
      <c r="D13" t="inlineStr">
        <is>
          <t>Lending</t>
        </is>
      </c>
      <c r="E13" t="b">
        <v>0</v>
      </c>
      <c r="F13" t="b">
        <v>0</v>
      </c>
      <c r="G13" s="12" t="n">
        <v>1055</v>
      </c>
      <c r="H13" t="inlineStr">
        <is>
          <t>per month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No pricing change</t>
        </is>
      </c>
    </row>
    <row r="14">
      <c r="A14" t="n">
        <v>17</v>
      </c>
      <c r="B14" t="inlineStr">
        <is>
          <t>Monthly F</t>
        </is>
      </c>
      <c r="C14" t="inlineStr">
        <is>
          <t>Network: Network Connectivity Services</t>
        </is>
      </c>
      <c r="D14" t="inlineStr">
        <is>
          <t>Network</t>
        </is>
      </c>
      <c r="E14" t="b">
        <v>0</v>
      </c>
      <c r="F14" t="b">
        <v>0</v>
      </c>
      <c r="G14" s="12" t="n">
        <v>2176</v>
      </c>
      <c r="H14" t="inlineStr">
        <is>
          <t>per month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Current pricing $2,251, new pricing $2,176</t>
        </is>
      </c>
    </row>
    <row r="15">
      <c r="A15" t="n">
        <v>10</v>
      </c>
      <c r="B15" t="inlineStr">
        <is>
          <t>Monthly F</t>
        </is>
      </c>
      <c r="C15" t="inlineStr">
        <is>
          <t>FOS: eDelivery, Print/Render, Forms &amp; Envelopes</t>
        </is>
      </c>
      <c r="D15" t="inlineStr">
        <is>
          <t>Other</t>
        </is>
      </c>
      <c r="E15" t="b">
        <v>0</v>
      </c>
      <c r="F15" t="b">
        <v>0</v>
      </c>
      <c r="G15" s="12" t="n">
        <v>2168</v>
      </c>
      <c r="H15" t="inlineStr">
        <is>
          <t>per month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Current pricing $515, new pricing $2,168</t>
        </is>
      </c>
    </row>
    <row r="16">
      <c r="A16" t="n">
        <v>21</v>
      </c>
      <c r="B16" t="inlineStr">
        <is>
          <t>Monthly F</t>
        </is>
      </c>
      <c r="C16" t="inlineStr">
        <is>
          <t>Monthly Relationship Credit</t>
        </is>
      </c>
      <c r="D16" t="inlineStr">
        <is>
          <t>Other</t>
        </is>
      </c>
      <c r="E16" t="b">
        <v>0</v>
      </c>
      <c r="F16" t="b">
        <v>0</v>
      </c>
      <c r="G16" s="12" t="n">
        <v>-35000</v>
      </c>
      <c r="H16" t="inlineStr">
        <is>
          <t>per month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Monthly credit applied to combined organization</t>
        </is>
      </c>
    </row>
    <row r="17">
      <c r="A17" t="n">
        <v>20</v>
      </c>
      <c r="B17" t="inlineStr">
        <is>
          <t>Monthly F</t>
        </is>
      </c>
      <c r="C17" t="inlineStr">
        <is>
          <t>Recently Signed Solutions: Various</t>
        </is>
      </c>
      <c r="D17" t="inlineStr">
        <is>
          <t>Other</t>
        </is>
      </c>
      <c r="E17" t="b">
        <v>0</v>
      </c>
      <c r="F17" t="b">
        <v>0</v>
      </c>
      <c r="G17" s="12" t="n">
        <v>646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</v>
      </c>
      <c r="T17" t="inlineStr">
        <is>
          <t>Current pricing $313, new pricing $646</t>
        </is>
      </c>
    </row>
    <row r="18">
      <c r="A18" t="n">
        <v>6</v>
      </c>
      <c r="B18" t="inlineStr">
        <is>
          <t>Monthly F</t>
        </is>
      </c>
      <c r="C18" t="inlineStr">
        <is>
          <t>Risk, Fraud &amp; Compliance: Decision Solutions</t>
        </is>
      </c>
      <c r="D18" t="inlineStr">
        <is>
          <t>Risk, Fraud &amp; Compliance</t>
        </is>
      </c>
      <c r="E18" t="b">
        <v>0</v>
      </c>
      <c r="F18" t="b">
        <v>0</v>
      </c>
      <c r="G18" s="12" t="n">
        <v>803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No pricing change</t>
        </is>
      </c>
    </row>
    <row r="19">
      <c r="A19" t="n">
        <v>14</v>
      </c>
      <c r="B19" t="inlineStr">
        <is>
          <t>Monthly F</t>
        </is>
      </c>
      <c r="C19" t="inlineStr">
        <is>
          <t>Security Plus: Data Restore</t>
        </is>
      </c>
      <c r="D19" t="inlineStr">
        <is>
          <t>Security Plus</t>
        </is>
      </c>
      <c r="E19" t="b">
        <v>0</v>
      </c>
      <c r="F19" t="b">
        <v>0</v>
      </c>
      <c r="G19" s="12" t="n">
        <v>328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No pricing change</t>
        </is>
      </c>
    </row>
    <row r="20">
      <c r="A20" t="n">
        <v>7</v>
      </c>
      <c r="B20" t="inlineStr">
        <is>
          <t>Monthly F</t>
        </is>
      </c>
      <c r="C20" t="inlineStr">
        <is>
          <t>Treasury: eWire (Business)</t>
        </is>
      </c>
      <c r="D20" t="inlineStr">
        <is>
          <t>Treasury</t>
        </is>
      </c>
      <c r="E20" t="b">
        <v>0</v>
      </c>
      <c r="F20" t="b">
        <v>0</v>
      </c>
      <c r="G20" s="12" t="n">
        <v>2382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No pricing change</t>
        </is>
      </c>
    </row>
    <row r="21">
      <c r="A21" t="n">
        <v>13</v>
      </c>
      <c r="B21" t="inlineStr">
        <is>
          <t>Monthly F</t>
        </is>
      </c>
      <c r="C21" t="inlineStr">
        <is>
          <t>Accounts Payable: Avid Ascend</t>
        </is>
      </c>
      <c r="D21" t="inlineStr">
        <is>
          <t>Accounts Payable</t>
        </is>
      </c>
      <c r="E21" t="b">
        <v>1</v>
      </c>
      <c r="F21" t="b">
        <v>0</v>
      </c>
      <c r="G21" s="12" t="n">
        <v>807</v>
      </c>
      <c r="H21" t="inlineStr">
        <is>
          <t>per month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Third-party solution, no pricing change</t>
        </is>
      </c>
    </row>
    <row r="22">
      <c r="A22" t="n">
        <v>16</v>
      </c>
      <c r="B22" t="inlineStr">
        <is>
          <t>Monthly F</t>
        </is>
      </c>
      <c r="C22" t="inlineStr">
        <is>
          <t>Digital: WebConnect/DirectConnect &amp; Quickbooks</t>
        </is>
      </c>
      <c r="D22" t="inlineStr">
        <is>
          <t>Digital</t>
        </is>
      </c>
      <c r="E22" t="b">
        <v>1</v>
      </c>
      <c r="F22" t="b">
        <v>0</v>
      </c>
      <c r="G22" s="12" t="n">
        <v>2079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Third-party solution, current pricing $2,684, new pricing $2,079</t>
        </is>
      </c>
    </row>
    <row r="23">
      <c r="A23" t="n">
        <v>26</v>
      </c>
      <c r="B23" t="inlineStr">
        <is>
          <t>Monthly F</t>
        </is>
      </c>
      <c r="C23" t="inlineStr">
        <is>
          <t>HORIZON: Conditional Processing</t>
        </is>
      </c>
      <c r="D23" t="inlineStr">
        <is>
          <t>Core</t>
        </is>
      </c>
      <c r="E23" t="b">
        <v>0</v>
      </c>
      <c r="F23" t="b">
        <v>1</v>
      </c>
      <c r="G23" s="12" t="n">
        <v>1076.8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Optional solution with one-time and monthly fees</t>
        </is>
      </c>
    </row>
    <row r="24">
      <c r="A24" t="n">
        <v>35</v>
      </c>
      <c r="B24" t="inlineStr">
        <is>
          <t>Monthly F</t>
        </is>
      </c>
      <c r="C24" t="inlineStr">
        <is>
          <t>Image Solutions: Chargeback Manager</t>
        </is>
      </c>
      <c r="D24" t="inlineStr">
        <is>
          <t>Image Solutions</t>
        </is>
      </c>
      <c r="E24" t="b">
        <v>0</v>
      </c>
      <c r="F24" t="b">
        <v>1</v>
      </c>
      <c r="G24" s="12" t="n">
        <v>250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Optional solution with one-time and monthly fees</t>
        </is>
      </c>
    </row>
    <row r="25">
      <c r="A25" t="n">
        <v>37</v>
      </c>
      <c r="B25" t="inlineStr">
        <is>
          <t>Monthly F</t>
        </is>
      </c>
      <c r="C25" t="inlineStr">
        <is>
          <t>Image Solutions: Collaboration Hub</t>
        </is>
      </c>
      <c r="D25" t="inlineStr">
        <is>
          <t>Image Solutions</t>
        </is>
      </c>
      <c r="E25" t="b">
        <v>0</v>
      </c>
      <c r="F25" t="b">
        <v>1</v>
      </c>
      <c r="G25" s="12" t="n">
        <v>1173.2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Optional solution with one-time and monthly fees</t>
        </is>
      </c>
    </row>
    <row r="26">
      <c r="A26" t="n">
        <v>33</v>
      </c>
      <c r="B26" t="inlineStr">
        <is>
          <t>Monthly F</t>
        </is>
      </c>
      <c r="C26" t="inlineStr">
        <is>
          <t>Image Solutions: FedNOW (Send and Receive) D1B</t>
        </is>
      </c>
      <c r="D26" t="inlineStr">
        <is>
          <t>Image Solutions</t>
        </is>
      </c>
      <c r="E26" t="b">
        <v>0</v>
      </c>
      <c r="F26" t="b">
        <v>1</v>
      </c>
      <c r="G26" s="12" t="n">
        <v>3550</v>
      </c>
      <c r="H26" t="inlineStr">
        <is>
          <t>per month</t>
        </is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0.95</v>
      </c>
      <c r="T26" t="inlineStr">
        <is>
          <t>Optional solution with one-time and monthly fees</t>
        </is>
      </c>
    </row>
    <row r="27">
      <c r="A27" t="n">
        <v>31</v>
      </c>
      <c r="B27" t="inlineStr">
        <is>
          <t>Monthly F</t>
        </is>
      </c>
      <c r="C27" t="inlineStr">
        <is>
          <t>Image Solutions: RTP Send for D1B</t>
        </is>
      </c>
      <c r="D27" t="inlineStr">
        <is>
          <t>Image Solutions</t>
        </is>
      </c>
      <c r="E27" t="b">
        <v>0</v>
      </c>
      <c r="F27" t="b">
        <v>1</v>
      </c>
      <c r="G27" s="12" t="n">
        <v>150.5</v>
      </c>
      <c r="H27" t="inlineStr">
        <is>
          <t>per month</t>
        </is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0.95</v>
      </c>
      <c r="T27" t="inlineStr">
        <is>
          <t>Optional solution, bank already has RTP Receive</t>
        </is>
      </c>
    </row>
    <row r="28">
      <c r="A28" t="n">
        <v>24</v>
      </c>
      <c r="B28" t="inlineStr">
        <is>
          <t>Monthly F</t>
        </is>
      </c>
      <c r="C28" t="inlineStr">
        <is>
          <t>IP: DirectLink Consumer (via FXD)</t>
        </is>
      </c>
      <c r="D28" t="inlineStr">
        <is>
          <t>Item Processing</t>
        </is>
      </c>
      <c r="E28" t="b">
        <v>0</v>
      </c>
      <c r="F28" t="b">
        <v>1</v>
      </c>
      <c r="G28" s="12" t="n">
        <v>1170.19</v>
      </c>
      <c r="H28" t="inlineStr">
        <is>
          <t>per month</t>
        </is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0.95</v>
      </c>
      <c r="T28" t="inlineStr">
        <is>
          <t>Optional solution with one-time and monthly fees</t>
        </is>
      </c>
    </row>
    <row r="29">
      <c r="A29" t="n">
        <v>22</v>
      </c>
      <c r="B29" t="inlineStr">
        <is>
          <t>Monthly F</t>
        </is>
      </c>
      <c r="C29" t="inlineStr">
        <is>
          <t>IP: DirectLink Merchant (via RDC)</t>
        </is>
      </c>
      <c r="D29" t="inlineStr">
        <is>
          <t>Item Processing</t>
        </is>
      </c>
      <c r="E29" t="b">
        <v>0</v>
      </c>
      <c r="F29" t="b">
        <v>1</v>
      </c>
      <c r="G29" s="12" t="n">
        <v>3402.14</v>
      </c>
      <c r="H29" t="inlineStr">
        <is>
          <t>per month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0.95</v>
      </c>
      <c r="T29" t="inlineStr">
        <is>
          <t>Optional solution with one-time and monthly fees</t>
        </is>
      </c>
    </row>
    <row r="30">
      <c r="A30" t="n">
        <v>29</v>
      </c>
      <c r="B30" t="inlineStr">
        <is>
          <t>Monthly F</t>
        </is>
      </c>
      <c r="C30" t="inlineStr">
        <is>
          <t>Treasury: Extended Account Analysis (XAA)</t>
        </is>
      </c>
      <c r="D30" t="inlineStr">
        <is>
          <t>Treasury</t>
        </is>
      </c>
      <c r="E30" t="b">
        <v>0</v>
      </c>
      <c r="F30" t="b">
        <v>1</v>
      </c>
      <c r="G30" s="12" t="n">
        <v>1124</v>
      </c>
      <c r="H30" t="inlineStr">
        <is>
          <t>per month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0.95</v>
      </c>
      <c r="T30" t="inlineStr">
        <is>
          <t>Optional solution with one-time and monthly fees</t>
        </is>
      </c>
    </row>
    <row r="31">
      <c r="A31" t="n">
        <v>27</v>
      </c>
      <c r="B31" t="inlineStr">
        <is>
          <t>One-Time</t>
        </is>
      </c>
      <c r="C31" t="inlineStr">
        <is>
          <t>HORIZON: Conditional Processing - Implementation Fee</t>
        </is>
      </c>
      <c r="D31" t="inlineStr">
        <is>
          <t>Core</t>
        </is>
      </c>
      <c r="E31" t="b">
        <v>0</v>
      </c>
      <c r="F31" t="b">
        <v>1</v>
      </c>
      <c r="G31" s="12" t="n">
        <v>15000</v>
      </c>
      <c r="H31" t="inlineStr">
        <is>
          <t>one-time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0.95</v>
      </c>
      <c r="T31" t="inlineStr">
        <is>
          <t>Optional solution with one-time and monthly fees</t>
        </is>
      </c>
    </row>
    <row r="32">
      <c r="A32" t="n">
        <v>36</v>
      </c>
      <c r="B32" t="inlineStr">
        <is>
          <t>One-Time</t>
        </is>
      </c>
      <c r="C32" t="inlineStr">
        <is>
          <t>Image Solutions: Chargeback Manager - Implementation Fee</t>
        </is>
      </c>
      <c r="D32" t="inlineStr">
        <is>
          <t>Image Solutions</t>
        </is>
      </c>
      <c r="E32" t="b">
        <v>0</v>
      </c>
      <c r="F32" t="b">
        <v>1</v>
      </c>
      <c r="G32" s="12" t="n">
        <v>6064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Optional solution with one-time and monthly fees</t>
        </is>
      </c>
    </row>
    <row r="33">
      <c r="A33" t="n">
        <v>38</v>
      </c>
      <c r="B33" t="inlineStr">
        <is>
          <t>One-Time</t>
        </is>
      </c>
      <c r="C33" t="inlineStr">
        <is>
          <t>Image Solutions: Collaboration Hub - Implementation Fee</t>
        </is>
      </c>
      <c r="D33" t="inlineStr">
        <is>
          <t>Image Solutions</t>
        </is>
      </c>
      <c r="E33" t="b">
        <v>0</v>
      </c>
      <c r="F33" t="b">
        <v>1</v>
      </c>
      <c r="G33" s="12" t="n">
        <v>28030</v>
      </c>
      <c r="H33" t="inlineStr">
        <is>
          <t>one-time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0.95</v>
      </c>
      <c r="T33" t="inlineStr">
        <is>
          <t>Optional solution with one-time and monthly fees</t>
        </is>
      </c>
    </row>
    <row r="34">
      <c r="A34" t="n">
        <v>34</v>
      </c>
      <c r="B34" t="inlineStr">
        <is>
          <t>One-Time</t>
        </is>
      </c>
      <c r="C34" t="inlineStr">
        <is>
          <t>Image Solutions: FedNOW (Send and Receive) D1B - Implementation Fee</t>
        </is>
      </c>
      <c r="D34" t="inlineStr">
        <is>
          <t>Image Solutions</t>
        </is>
      </c>
      <c r="E34" t="b">
        <v>0</v>
      </c>
      <c r="F34" t="b">
        <v>1</v>
      </c>
      <c r="G34" s="12" t="n">
        <v>12500</v>
      </c>
      <c r="H34" t="inlineStr">
        <is>
          <t>one-time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0.95</v>
      </c>
      <c r="T34" t="inlineStr">
        <is>
          <t>Optional solution with one-time and monthly fees</t>
        </is>
      </c>
    </row>
    <row r="35">
      <c r="A35" t="n">
        <v>32</v>
      </c>
      <c r="B35" t="inlineStr">
        <is>
          <t>One-Time</t>
        </is>
      </c>
      <c r="C35" t="inlineStr">
        <is>
          <t>Image Solutions: RTP Send for D1B - Implementation Fee</t>
        </is>
      </c>
      <c r="D35" t="inlineStr">
        <is>
          <t>Image Solutions</t>
        </is>
      </c>
      <c r="E35" t="b">
        <v>0</v>
      </c>
      <c r="F35" t="b">
        <v>1</v>
      </c>
      <c r="G35" s="12" t="n">
        <v>7630</v>
      </c>
      <c r="H35" t="inlineStr">
        <is>
          <t>one-time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0.95</v>
      </c>
      <c r="T35" t="inlineStr">
        <is>
          <t>Optional solution, bank already has RTP Receive</t>
        </is>
      </c>
    </row>
    <row r="36">
      <c r="A36" t="n">
        <v>25</v>
      </c>
      <c r="B36" t="inlineStr">
        <is>
          <t>One-Time</t>
        </is>
      </c>
      <c r="C36" t="inlineStr">
        <is>
          <t>IP: DirectLink Consumer (via FXD) - Implementation Fee</t>
        </is>
      </c>
      <c r="D36" t="inlineStr">
        <is>
          <t>Item Processing</t>
        </is>
      </c>
      <c r="E36" t="b">
        <v>0</v>
      </c>
      <c r="F36" t="b">
        <v>1</v>
      </c>
      <c r="G36" s="12" t="n">
        <v>25551</v>
      </c>
      <c r="H36" t="inlineStr">
        <is>
          <t>one-time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0.95</v>
      </c>
      <c r="T36" t="inlineStr">
        <is>
          <t>Optional solution with one-time and monthly fees</t>
        </is>
      </c>
    </row>
    <row r="37">
      <c r="A37" t="n">
        <v>23</v>
      </c>
      <c r="B37" t="inlineStr">
        <is>
          <t>One-Time</t>
        </is>
      </c>
      <c r="C37" t="inlineStr">
        <is>
          <t>IP: DirectLink Merchant (via RDC) - Implementation Fee</t>
        </is>
      </c>
      <c r="D37" t="inlineStr">
        <is>
          <t>Item Processing</t>
        </is>
      </c>
      <c r="E37" t="b">
        <v>0</v>
      </c>
      <c r="F37" t="b">
        <v>1</v>
      </c>
      <c r="G37" s="12" t="n">
        <v>21943</v>
      </c>
      <c r="H37" t="inlineStr">
        <is>
          <t>one-time</t>
        </is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0.95</v>
      </c>
      <c r="T37" t="inlineStr">
        <is>
          <t>Optional solution with one-time and monthly fees</t>
        </is>
      </c>
    </row>
    <row r="38">
      <c r="A38" t="n">
        <v>30</v>
      </c>
      <c r="B38" t="inlineStr">
        <is>
          <t>One-Time</t>
        </is>
      </c>
      <c r="C38" t="inlineStr">
        <is>
          <t>Treasury: Extended Account Analysis (XAA) - Implementation Fee</t>
        </is>
      </c>
      <c r="D38" t="inlineStr">
        <is>
          <t>Treasury</t>
        </is>
      </c>
      <c r="E38" t="b">
        <v>0</v>
      </c>
      <c r="F38" t="b">
        <v>1</v>
      </c>
      <c r="G38" s="12" t="n">
        <v>65000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0.95</v>
      </c>
      <c r="T38" t="inlineStr">
        <is>
          <t>Optional solution with one-time and monthly fees</t>
        </is>
      </c>
    </row>
    <row r="39">
      <c r="A39" t="n">
        <v>28</v>
      </c>
      <c r="B39" t="inlineStr">
        <is>
          <t>One-Time</t>
        </is>
      </c>
      <c r="C39" t="inlineStr">
        <is>
          <t>Treasury: eWire (Consumer) - Implementation Fee</t>
        </is>
      </c>
      <c r="D39" t="inlineStr">
        <is>
          <t>Treasury</t>
        </is>
      </c>
      <c r="E39" t="b">
        <v>0</v>
      </c>
      <c r="F39" t="b">
        <v>1</v>
      </c>
      <c r="G39" s="12" t="n">
        <v>1000</v>
      </c>
      <c r="H39" t="inlineStr">
        <is>
          <t>per wire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0.95</v>
      </c>
      <c r="T39" t="inlineStr">
        <is>
          <t>Optional solution with per-wire pricing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3" t="inlineStr">
        <is>
          <t>Total Annual Cost</t>
        </is>
      </c>
      <c r="B5" s="14">
        <f>B3+B4</f>
        <v/>
      </c>
      <c r="C5" s="14">
        <f>C3+C4</f>
        <v/>
      </c>
      <c r="D5" s="14">
        <f>D3+D4</f>
        <v/>
      </c>
      <c r="E5" s="14">
        <f>E3+E4</f>
        <v/>
      </c>
      <c r="F5" s="14">
        <f>F3+F4</f>
        <v/>
      </c>
      <c r="G5" s="14">
        <f>G3+G4</f>
        <v/>
      </c>
      <c r="H5" s="14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ACH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Accounts Payable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Core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Digital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EFT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Image Solutions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Item Processing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Lending</t>
        </is>
      </c>
      <c r="B12" s="9">
        <f>SUMIFS('Line Items'!$R:$R,'Line Items'!$D:$D,A12)</f>
        <v/>
      </c>
      <c r="C12" s="9">
        <f>B12/84</f>
        <v/>
      </c>
    </row>
    <row r="13">
      <c r="A13" t="inlineStr">
        <is>
          <t>Network</t>
        </is>
      </c>
      <c r="B13" s="9">
        <f>SUMIFS('Line Items'!$R:$R,'Line Items'!$D:$D,A13)</f>
        <v/>
      </c>
      <c r="C13" s="9">
        <f>B13/84</f>
        <v/>
      </c>
    </row>
    <row r="14">
      <c r="A14" s="10" t="inlineStr">
        <is>
          <t>Other</t>
        </is>
      </c>
      <c r="B14" s="9">
        <f>SUMIFS('Line Items'!$R:$R,'Line Items'!$D:$D,A14)</f>
        <v/>
      </c>
      <c r="C14" s="9">
        <f>B14/84</f>
        <v/>
      </c>
    </row>
    <row r="15">
      <c r="A15" t="inlineStr">
        <is>
          <t>Risk, Fraud &amp; Compliance</t>
        </is>
      </c>
      <c r="B15" s="12">
        <f>SUMIFS('Line Items'!$R:$R,'Line Items'!$D:$D,A15)</f>
        <v/>
      </c>
      <c r="C15" s="12">
        <f>B15/84</f>
        <v/>
      </c>
    </row>
    <row r="16">
      <c r="A16" t="inlineStr">
        <is>
          <t>Security Plus</t>
        </is>
      </c>
      <c r="B16" s="12">
        <f>SUMIFS('Line Items'!$R:$R,'Line Items'!$D:$D,A16)</f>
        <v/>
      </c>
      <c r="C16" s="12">
        <f>B16/84</f>
        <v/>
      </c>
    </row>
    <row r="17">
      <c r="A17" t="inlineStr">
        <is>
          <t>Treasury</t>
        </is>
      </c>
      <c r="B17" s="12">
        <f>SUMIFS('Line Items'!$R:$R,'Line Items'!$D:$D,A17)</f>
        <v/>
      </c>
      <c r="C17" s="12">
        <f>B17/84</f>
        <v/>
      </c>
    </row>
    <row r="19">
      <c r="A19" s="13" t="inlineStr">
        <is>
          <t>Total Required TCO</t>
        </is>
      </c>
      <c r="B19" s="15">
        <f>SUM(B5:B17)</f>
        <v/>
      </c>
      <c r="C19" s="15">
        <f>B19/84</f>
        <v/>
      </c>
    </row>
    <row r="21">
      <c r="A21" s="16" t="inlineStr">
        <is>
          <t>Optional Items Total</t>
        </is>
      </c>
      <c r="B21" s="12">
        <f>SUMIFS('Line Items'!$R:$R,'Line Items'!$F:$F,TRUE)</f>
        <v/>
      </c>
      <c r="C21" s="12">
        <f>B21/84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LIBERTY_CAPITAL_BANK_FIS</t>
        </is>
      </c>
    </row>
    <row r="3">
      <c r="A3" s="2" t="inlineStr">
        <is>
          <t>Client Name:</t>
        </is>
      </c>
      <c r="B3" t="inlineStr">
        <is>
          <t>Liberty Capital Bank</t>
        </is>
      </c>
    </row>
    <row r="4">
      <c r="A4" s="2" t="inlineStr">
        <is>
          <t>Proposal Type:</t>
        </is>
      </c>
      <c r="B4" t="inlineStr">
        <is>
          <t>Investment Summary - Renewal</t>
        </is>
      </c>
    </row>
    <row r="5">
      <c r="A5" s="2" t="inlineStr">
        <is>
          <t>Proposal Date:</t>
        </is>
      </c>
      <c r="B5" t="inlineStr">
        <is>
          <t>December 2024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2026-01-15 14:50:16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40" customWidth="1" min="7" max="7"/>
    <col width="20" customWidth="1" min="8" max="8"/>
  </cols>
  <sheetData>
    <row r="1">
      <c r="A1" s="17" t="inlineStr">
        <is>
          <t>VENDOR COMPARISON: LIBERTY CAPITAL BANK</t>
        </is>
      </c>
    </row>
    <row r="2">
      <c r="A2" s="18" t="inlineStr">
        <is>
          <t>Side-by-Side Analysis using 6-Bucket Cost Structure</t>
        </is>
      </c>
    </row>
    <row r="3"/>
    <row r="4">
      <c r="A4" s="19" t="inlineStr">
        <is>
          <t>7-YEAR TCO BY COST BUCKET</t>
        </is>
      </c>
    </row>
    <row r="5">
      <c r="A5" s="20" t="inlineStr">
        <is>
          <t>Cost Bucket</t>
        </is>
      </c>
      <c r="B5" s="20" t="inlineStr">
        <is>
          <t>FIS</t>
        </is>
      </c>
      <c r="C5" s="20" t="inlineStr">
        <is>
          <t>CSI</t>
        </is>
      </c>
      <c r="D5" s="20" t="inlineStr">
        <is>
          <t>CSI</t>
        </is>
      </c>
      <c r="E5" s="20" t="inlineStr">
        <is>
          <t>Difference</t>
        </is>
      </c>
      <c r="F5" s="20" t="inlineStr">
        <is>
          <t>Lower Cost</t>
        </is>
      </c>
    </row>
    <row r="6">
      <c r="A6" s="21" t="inlineStr">
        <is>
          <t>Setup/Implementation</t>
        </is>
      </c>
      <c r="B6" s="22" t="n">
        <v>-3218234.115948181</v>
      </c>
      <c r="C6" s="23" t="n">
        <v>-374999</v>
      </c>
      <c r="D6" s="23" t="n">
        <v>-374999</v>
      </c>
      <c r="E6" s="23" t="n">
        <v>-2843235.115948181</v>
      </c>
      <c r="F6" s="24" t="inlineStr">
        <is>
          <t>FIS</t>
        </is>
      </c>
    </row>
    <row r="7">
      <c r="A7" s="21" t="inlineStr">
        <is>
          <t>Licensing/Subscription</t>
        </is>
      </c>
      <c r="B7" s="23" t="n">
        <v>6534838.614875354</v>
      </c>
      <c r="C7" s="22" t="n">
        <v>3838045.241407288</v>
      </c>
      <c r="D7" s="23" t="n">
        <v>3838045.241407288</v>
      </c>
      <c r="E7" s="23" t="n">
        <v>2696793.373468066</v>
      </c>
      <c r="F7" s="24" t="inlineStr">
        <is>
          <t>CSI</t>
        </is>
      </c>
    </row>
    <row r="8">
      <c r="A8" s="21" t="inlineStr">
        <is>
          <t>Transaction/Usage</t>
        </is>
      </c>
      <c r="B8" s="22" t="n">
        <v>0</v>
      </c>
      <c r="C8" s="23" t="n">
        <v>1905440.101929596</v>
      </c>
      <c r="D8" s="23" t="n">
        <v>1905440.101929596</v>
      </c>
      <c r="E8" s="23" t="n">
        <v>-1905440.101929596</v>
      </c>
      <c r="F8" s="24" t="inlineStr">
        <is>
          <t>FIS</t>
        </is>
      </c>
    </row>
    <row r="9">
      <c r="A9" s="21" t="inlineStr">
        <is>
          <t>Training/Enablement</t>
        </is>
      </c>
      <c r="B9" s="22" t="n">
        <v>0</v>
      </c>
      <c r="C9" s="23" t="n">
        <v>6620.367324236257</v>
      </c>
      <c r="D9" s="23" t="n">
        <v>6620.367324236257</v>
      </c>
      <c r="E9" s="23" t="n">
        <v>-6620.367324236257</v>
      </c>
      <c r="F9" s="24" t="inlineStr">
        <is>
          <t>FIS</t>
        </is>
      </c>
    </row>
    <row r="10">
      <c r="A10" s="21" t="inlineStr">
        <is>
          <t>Support/Maintenance</t>
        </is>
      </c>
      <c r="B10" s="22" t="n">
        <v>0</v>
      </c>
      <c r="C10" s="23" t="n">
        <v>23079.33608865695</v>
      </c>
      <c r="D10" s="23" t="n">
        <v>23079.33608865695</v>
      </c>
      <c r="E10" s="23" t="n">
        <v>-23079.33608865695</v>
      </c>
      <c r="F10" s="24" t="inlineStr">
        <is>
          <t>FIS</t>
        </is>
      </c>
    </row>
    <row r="11">
      <c r="A11" s="21" t="inlineStr">
        <is>
          <t>Professional Services</t>
        </is>
      </c>
      <c r="B11" s="23" t="n">
        <v>3305563.197423088</v>
      </c>
      <c r="C11" s="22" t="n">
        <v>67766.81552725167</v>
      </c>
      <c r="D11" s="23" t="n">
        <v>67766.81552725167</v>
      </c>
      <c r="E11" s="23" t="n">
        <v>3237796.381895837</v>
      </c>
      <c r="F11" s="24" t="inlineStr">
        <is>
          <t>CSI</t>
        </is>
      </c>
    </row>
    <row r="12">
      <c r="A12" s="25" t="inlineStr">
        <is>
          <t>TOTAL 7-YEAR TCO</t>
        </is>
      </c>
      <c r="B12" s="26" t="n">
        <v>6622167.696350262</v>
      </c>
      <c r="C12" s="26" t="n">
        <v>10931905.72455406</v>
      </c>
      <c r="D12" s="26" t="n">
        <v>10931905.72455406</v>
      </c>
      <c r="E12" s="26" t="n">
        <v>-4309738.028203797</v>
      </c>
      <c r="F12" s="27" t="inlineStr">
        <is>
          <t>FIS</t>
        </is>
      </c>
    </row>
    <row r="13"/>
    <row r="14">
      <c r="A14" s="19" t="inlineStr">
        <is>
          <t>RECOMMENDATION</t>
        </is>
      </c>
    </row>
    <row r="15">
      <c r="A15" s="28" t="inlineStr">
        <is>
          <t>FIS is the lower-cost option, saving $4,309,738.03 over 7 years compared to CSI.</t>
        </is>
      </c>
    </row>
    <row r="16"/>
    <row r="17">
      <c r="A17" s="19" t="inlineStr">
        <is>
          <t>LINE ITEM DETAILS BY BUCKET</t>
        </is>
      </c>
    </row>
    <row r="18">
      <c r="A18" s="29" t="inlineStr">
        <is>
          <t>Setup/Implementation</t>
        </is>
      </c>
    </row>
    <row r="19">
      <c r="A19" s="30" t="inlineStr">
        <is>
          <t>FIS Line Items</t>
        </is>
      </c>
      <c r="B19" s="30" t="inlineStr">
        <is>
          <t>FIS 7-Year Cost</t>
        </is>
      </c>
      <c r="D19" s="30" t="inlineStr">
        <is>
          <t>CSI Line Items</t>
        </is>
      </c>
      <c r="E19" s="30" t="inlineStr">
        <is>
          <t>CSI 7-Year Cost</t>
        </is>
      </c>
      <c r="G19" s="30" t="inlineStr">
        <is>
          <t>CSI Line Items</t>
        </is>
      </c>
      <c r="H19" s="30" t="inlineStr">
        <is>
          <t>CSI 7-Year Cost</t>
        </is>
      </c>
    </row>
    <row r="20">
      <c r="A20" s="31" t="inlineStr">
        <is>
          <t>Monthly Relationship Credit</t>
        </is>
      </c>
      <c r="B20" s="23" t="n">
        <v>-3218234.115948181</v>
      </c>
      <c r="G20" s="31" t="inlineStr">
        <is>
          <t>CSI One-Time Fee</t>
        </is>
      </c>
      <c r="H20" s="23" t="n">
        <v>261102</v>
      </c>
    </row>
    <row r="21">
      <c r="A21" s="31" t="inlineStr"/>
      <c r="B21" s="31" t="inlineStr"/>
      <c r="G21" s="31" t="inlineStr">
        <is>
          <t>Equipment Fees</t>
        </is>
      </c>
      <c r="H21" s="23" t="n">
        <v>76933</v>
      </c>
    </row>
    <row r="22">
      <c r="A22" s="31" t="inlineStr"/>
      <c r="B22" s="31" t="inlineStr"/>
      <c r="G22" s="31" t="inlineStr">
        <is>
          <t>Credit for One-Time Fees</t>
        </is>
      </c>
      <c r="H22" s="23" t="n">
        <v>-338034</v>
      </c>
    </row>
    <row r="23">
      <c r="A23" s="31" t="inlineStr"/>
      <c r="B23" s="31" t="inlineStr"/>
      <c r="G23" s="31" t="inlineStr">
        <is>
          <t>Special Incentive Billing Credit</t>
        </is>
      </c>
      <c r="H23" s="23" t="n">
        <v>-375000</v>
      </c>
    </row>
    <row r="24">
      <c r="A24" s="32" t="inlineStr">
        <is>
          <t>FIS Subtotal</t>
        </is>
      </c>
      <c r="B24" s="33" t="n">
        <v>-3218234.115948181</v>
      </c>
      <c r="G24" s="32" t="inlineStr">
        <is>
          <t>CSI Subtotal</t>
        </is>
      </c>
      <c r="H24" s="33" t="n">
        <v>-374999</v>
      </c>
    </row>
    <row r="25"/>
    <row r="26">
      <c r="A26" s="29" t="inlineStr">
        <is>
          <t>Licensing/Subscription</t>
        </is>
      </c>
    </row>
    <row r="27">
      <c r="A27" s="30" t="inlineStr">
        <is>
          <t>FIS Line Items</t>
        </is>
      </c>
      <c r="B27" s="30" t="inlineStr">
        <is>
          <t>FIS 7-Year Cost</t>
        </is>
      </c>
      <c r="D27" s="30" t="inlineStr">
        <is>
          <t>CSI Line Items</t>
        </is>
      </c>
      <c r="E27" s="30" t="inlineStr">
        <is>
          <t>CSI 7-Year Cost</t>
        </is>
      </c>
      <c r="G27" s="30" t="inlineStr">
        <is>
          <t>CSI Line Items</t>
        </is>
      </c>
      <c r="H27" s="30" t="inlineStr">
        <is>
          <t>CSI 7-Year Cost</t>
        </is>
      </c>
    </row>
    <row r="28">
      <c r="A28" s="31" t="inlineStr">
        <is>
          <t>Core: HORIZON</t>
        </is>
      </c>
      <c r="B28" s="23" t="n">
        <v>1544016.779285767</v>
      </c>
      <c r="G28" s="31" t="inlineStr">
        <is>
          <t>CSI Fees Included in Organic Growth Based Pricing</t>
        </is>
      </c>
      <c r="H28" s="23" t="n">
        <v>3555045.303568699</v>
      </c>
    </row>
    <row r="29">
      <c r="A29" s="31" t="inlineStr">
        <is>
          <t>Digital: Website Services</t>
        </is>
      </c>
      <c r="B29" s="23" t="n">
        <v>52227.34222453048</v>
      </c>
      <c r="G29" s="31" t="inlineStr">
        <is>
          <t>CSI Annual Forms &amp; Statements</t>
        </is>
      </c>
      <c r="H29" s="23" t="n">
        <v>1305.147183260604</v>
      </c>
    </row>
    <row r="30">
      <c r="A30" s="31" t="inlineStr">
        <is>
          <t>Digital: Zelle</t>
        </is>
      </c>
      <c r="B30" s="23" t="n">
        <v>58939.65909493667</v>
      </c>
      <c r="G30" s="31" t="inlineStr">
        <is>
          <t>PLUS Network Sponsorship</t>
        </is>
      </c>
      <c r="H30" s="23" t="n">
        <v>4597.477308497399</v>
      </c>
    </row>
    <row r="31">
      <c r="A31" s="31" t="inlineStr">
        <is>
          <t>EFT: EFT Norcross, 3D Secure, Tokenization, SecurLOCK</t>
        </is>
      </c>
      <c r="B31" s="23" t="n">
        <v>613763.2206844029</v>
      </c>
      <c r="G31" s="31" t="inlineStr">
        <is>
          <t>iPay Online Bill Pay</t>
        </is>
      </c>
      <c r="H31" s="23" t="n">
        <v>122108.997313691</v>
      </c>
    </row>
    <row r="32">
      <c r="A32" s="31" t="inlineStr">
        <is>
          <t>Risk, Fraud &amp; Compliance: Decision Solutions</t>
        </is>
      </c>
      <c r="B32" s="23" t="n">
        <v>73835.48557446826</v>
      </c>
      <c r="G32" s="31" t="inlineStr">
        <is>
          <t>Integrated (PFM)</t>
        </is>
      </c>
      <c r="H32" s="23" t="n">
        <v>32458.18979799165</v>
      </c>
    </row>
    <row r="33">
      <c r="A33" s="31" t="inlineStr">
        <is>
          <t>Treasury: eWire (Business)</t>
        </is>
      </c>
      <c r="B33" s="23" t="n">
        <v>219023.8189768161</v>
      </c>
      <c r="G33" s="31" t="inlineStr">
        <is>
          <t>Integrated (PFM) + Aggregation</t>
        </is>
      </c>
      <c r="H33" s="23" t="n">
        <v>8643.257339975113</v>
      </c>
    </row>
    <row r="34">
      <c r="A34" s="31" t="inlineStr">
        <is>
          <t>Image Solutions: RTP (Receive)</t>
        </is>
      </c>
      <c r="B34" s="23" t="n">
        <v>78616.86197530555</v>
      </c>
      <c r="G34" s="31" t="inlineStr">
        <is>
          <t>Out of Band Authentication (OOBA)</t>
        </is>
      </c>
      <c r="H34" s="23" t="n">
        <v>9286.904163164749</v>
      </c>
    </row>
    <row r="35">
      <c r="A35" s="31" t="inlineStr">
        <is>
          <t>Item Processing: FCM, IP, Branch Capture, CCX, FXD, DLRR</t>
        </is>
      </c>
      <c r="B35" s="23" t="n">
        <v>1779499.567027004</v>
      </c>
      <c r="G35" s="31" t="inlineStr">
        <is>
          <t>Mobile Banking Push Notifications</t>
        </is>
      </c>
      <c r="H35" s="23" t="n">
        <v>14803.87693336163</v>
      </c>
    </row>
    <row r="36">
      <c r="A36" s="31" t="inlineStr">
        <is>
          <t>FOS: eDelivery, Print/Render, Forms &amp; Envelopes</t>
        </is>
      </c>
      <c r="B36" s="23" t="n">
        <v>199346.6160964473</v>
      </c>
      <c r="G36" s="31" t="inlineStr">
        <is>
          <t>Mobile Deposit</t>
        </is>
      </c>
      <c r="H36" s="23" t="n">
        <v>48273.5117392227</v>
      </c>
    </row>
    <row r="37">
      <c r="A37" s="31" t="inlineStr">
        <is>
          <t>Lending: FLO</t>
        </is>
      </c>
      <c r="B37" s="23" t="n">
        <v>97006.77120929516</v>
      </c>
      <c r="G37" s="31" t="inlineStr">
        <is>
          <t>800 Number</t>
        </is>
      </c>
      <c r="H37" s="23" t="n">
        <v>9378.853709334697</v>
      </c>
    </row>
    <row r="38">
      <c r="A38" s="31" t="inlineStr">
        <is>
          <t>ACH: Milwaukee ACH</t>
        </is>
      </c>
      <c r="B38" s="23" t="n">
        <v>169646.9126835541</v>
      </c>
      <c r="G38" s="31" t="inlineStr">
        <is>
          <t>Call Report File Download (SmartCall)</t>
        </is>
      </c>
      <c r="H38" s="23" t="n">
        <v>9194.954616994799</v>
      </c>
    </row>
    <row r="39">
      <c r="A39" s="31" t="inlineStr">
        <is>
          <t>Accounts Payable: Avid Ascend</t>
        </is>
      </c>
      <c r="B39" s="23" t="n">
        <v>74203.28375914805</v>
      </c>
      <c r="G39" s="31" t="inlineStr">
        <is>
          <t>WatchDog CIP</t>
        </is>
      </c>
      <c r="H39" s="23" t="n">
        <v>22948.76773309562</v>
      </c>
    </row>
    <row r="40">
      <c r="A40" s="31" t="inlineStr">
        <is>
          <t>Security Plus: Data Restore</t>
        </is>
      </c>
      <c r="B40" s="23" t="n">
        <v>30159.45114374295</v>
      </c>
      <c r="G40" s="31" t="inlineStr"/>
      <c r="H40" s="31" t="inlineStr"/>
    </row>
    <row r="41">
      <c r="A41" s="31" t="inlineStr">
        <is>
          <t>Digital: WebConnect/DirectConnect &amp; Quickbooks</t>
        </is>
      </c>
      <c r="B41" s="23" t="n">
        <v>191163.1064873219</v>
      </c>
      <c r="G41" s="31" t="inlineStr"/>
      <c r="H41" s="31" t="inlineStr"/>
    </row>
    <row r="42">
      <c r="A42" s="31" t="inlineStr">
        <is>
          <t>Network: Network Connectivity Services</t>
        </is>
      </c>
      <c r="B42" s="23" t="n">
        <v>200082.2124658069</v>
      </c>
      <c r="G42" s="31" t="inlineStr"/>
      <c r="H42" s="31" t="inlineStr"/>
    </row>
    <row r="43">
      <c r="A43" s="31" t="inlineStr">
        <is>
          <t>Recently Signed Solutions: Various</t>
        </is>
      </c>
      <c r="B43" s="23" t="n">
        <v>59399.40682578643</v>
      </c>
      <c r="G43" s="31" t="inlineStr"/>
      <c r="H43" s="31" t="inlineStr"/>
    </row>
    <row r="44">
      <c r="A44" s="31" t="inlineStr">
        <is>
          <t>IP: DirectLink Merchant (via RDC)</t>
        </is>
      </c>
      <c r="B44" s="23" t="n">
        <v>312825.2290066269</v>
      </c>
      <c r="G44" s="31" t="inlineStr"/>
      <c r="H44" s="31" t="inlineStr"/>
    </row>
    <row r="45">
      <c r="A45" s="31" t="inlineStr">
        <is>
          <t>IP: DirectLink Consumer (via FXD)</t>
        </is>
      </c>
      <c r="B45" s="23" t="n">
        <v>107598.4394326115</v>
      </c>
      <c r="G45" s="31" t="inlineStr"/>
      <c r="H45" s="31" t="inlineStr"/>
    </row>
    <row r="46">
      <c r="A46" s="31" t="inlineStr">
        <is>
          <t>HORIZON: Conditional Processing</t>
        </is>
      </c>
      <c r="B46" s="23" t="n">
        <v>99011.2713158</v>
      </c>
      <c r="G46" s="31" t="inlineStr"/>
      <c r="H46" s="31" t="inlineStr"/>
    </row>
    <row r="47">
      <c r="A47" s="31" t="inlineStr">
        <is>
          <t>Treasury: Extended Account Analysis (XAA)</t>
        </is>
      </c>
      <c r="B47" s="23" t="n">
        <v>103351.2898950216</v>
      </c>
      <c r="G47" s="31" t="inlineStr"/>
      <c r="H47" s="31" t="inlineStr"/>
    </row>
    <row r="48">
      <c r="A48" s="31" t="inlineStr">
        <is>
          <t>Image Solutions: RTP Send for D1B</t>
        </is>
      </c>
      <c r="B48" s="23" t="n">
        <v>13838.40669857718</v>
      </c>
      <c r="G48" s="31" t="inlineStr"/>
      <c r="H48" s="31" t="inlineStr"/>
    </row>
    <row r="49">
      <c r="A49" s="31" t="inlineStr">
        <is>
          <t>Image Solutions: FedNOW (Send and Receive) D1B</t>
        </is>
      </c>
      <c r="B49" s="23" t="n">
        <v>326420.8889033155</v>
      </c>
      <c r="G49" s="31" t="inlineStr"/>
      <c r="H49" s="31" t="inlineStr"/>
    </row>
    <row r="50">
      <c r="A50" s="31" t="inlineStr">
        <is>
          <t>Image Solutions: Chargeback Manager</t>
        </is>
      </c>
      <c r="B50" s="23" t="n">
        <v>22987.38654248701</v>
      </c>
      <c r="G50" s="31" t="inlineStr"/>
      <c r="H50" s="31" t="inlineStr"/>
    </row>
    <row r="51">
      <c r="A51" s="31" t="inlineStr">
        <is>
          <t>Image Solutions: Collaboration Hub</t>
        </is>
      </c>
      <c r="B51" s="23" t="n">
        <v>107875.207566583</v>
      </c>
      <c r="G51" s="31" t="inlineStr"/>
      <c r="H51" s="31" t="inlineStr"/>
    </row>
    <row r="52">
      <c r="A52" s="32" t="inlineStr">
        <is>
          <t>FIS Subtotal</t>
        </is>
      </c>
      <c r="B52" s="33" t="n">
        <v>6534838.614875354</v>
      </c>
      <c r="G52" s="32" t="inlineStr">
        <is>
          <t>CSI Subtotal</t>
        </is>
      </c>
      <c r="H52" s="33" t="n">
        <v>3838045.241407288</v>
      </c>
    </row>
    <row r="53"/>
    <row r="54">
      <c r="A54" s="29" t="inlineStr">
        <is>
          <t>Transaction/Usage</t>
        </is>
      </c>
    </row>
    <row r="55">
      <c r="A55" s="30" t="inlineStr">
        <is>
          <t>FIS Line Items</t>
        </is>
      </c>
      <c r="B55" s="30" t="inlineStr">
        <is>
          <t>FIS 7-Year Cost</t>
        </is>
      </c>
      <c r="D55" s="30" t="inlineStr">
        <is>
          <t>CSI Line Items</t>
        </is>
      </c>
      <c r="E55" s="30" t="inlineStr">
        <is>
          <t>CSI 7-Year Cost</t>
        </is>
      </c>
      <c r="G55" s="30" t="inlineStr">
        <is>
          <t>CSI Line Items</t>
        </is>
      </c>
      <c r="H55" s="30" t="inlineStr">
        <is>
          <t>CSI 7-Year Cost</t>
        </is>
      </c>
    </row>
    <row r="56">
      <c r="A56" s="31" t="inlineStr">
        <is>
          <t>Treasury: eWire (Consumer)</t>
        </is>
      </c>
      <c r="B56" s="23" t="n">
        <v>0</v>
      </c>
      <c r="G56" s="31" t="inlineStr">
        <is>
          <t>Other Processing Fees</t>
        </is>
      </c>
      <c r="H56" s="23" t="n">
        <v>1170885.520928118</v>
      </c>
    </row>
    <row r="57">
      <c r="A57" s="31" t="inlineStr"/>
      <c r="B57" s="31" t="inlineStr"/>
      <c r="G57" s="31" t="inlineStr">
        <is>
          <t>Image Capture Processing Fees</t>
        </is>
      </c>
      <c r="H57" s="23" t="n">
        <v>17102.61558761033</v>
      </c>
    </row>
    <row r="58">
      <c r="A58" s="31" t="inlineStr"/>
      <c r="B58" s="31" t="inlineStr"/>
      <c r="G58" s="31" t="inlineStr">
        <is>
          <t>A2iA CAR/LAR</t>
        </is>
      </c>
      <c r="H58" s="23" t="n">
        <v>70525.30191235013</v>
      </c>
    </row>
    <row r="59">
      <c r="A59" s="31" t="inlineStr"/>
      <c r="B59" s="31" t="inlineStr"/>
      <c r="G59" s="31" t="inlineStr">
        <is>
          <t>PIN Change</t>
        </is>
      </c>
      <c r="H59" s="23" t="n">
        <v>7815.711424445581</v>
      </c>
    </row>
    <row r="60">
      <c r="A60" s="31" t="inlineStr"/>
      <c r="B60" s="31" t="inlineStr"/>
      <c r="G60" s="31" t="inlineStr">
        <is>
          <t>Card Production - Instant Issue</t>
        </is>
      </c>
      <c r="H60" s="23" t="n">
        <v>7447.91323976579</v>
      </c>
    </row>
    <row r="61">
      <c r="A61" s="31" t="inlineStr"/>
      <c r="B61" s="31" t="inlineStr"/>
      <c r="G61" s="31" t="inlineStr">
        <is>
          <t>EMV Card Production Fee</t>
        </is>
      </c>
      <c r="H61" s="23" t="n">
        <v>6712.316870406204</v>
      </c>
    </row>
    <row r="62">
      <c r="A62" s="31" t="inlineStr"/>
      <c r="B62" s="31" t="inlineStr"/>
      <c r="G62" s="31" t="inlineStr">
        <is>
          <t>EFT Processing Fees - Primary Network</t>
        </is>
      </c>
      <c r="H62" s="23" t="n">
        <v>47262.06673135328</v>
      </c>
    </row>
    <row r="63">
      <c r="A63" s="31" t="inlineStr"/>
      <c r="B63" s="31" t="inlineStr"/>
      <c r="G63" s="31" t="inlineStr">
        <is>
          <t>Contactless EMV Card Production Fee</t>
        </is>
      </c>
      <c r="H63" s="23" t="n">
        <v>6252.569139556465</v>
      </c>
    </row>
    <row r="64">
      <c r="A64" s="31" t="inlineStr"/>
      <c r="B64" s="31" t="inlineStr"/>
      <c r="G64" s="31" t="inlineStr">
        <is>
          <t>Quicken &amp; QuickBooks</t>
        </is>
      </c>
      <c r="H64" s="23" t="n">
        <v>67736.47217701559</v>
      </c>
    </row>
    <row r="65">
      <c r="A65" s="31" t="inlineStr"/>
      <c r="B65" s="31" t="inlineStr"/>
      <c r="G65" s="31" t="inlineStr">
        <is>
          <t>Text Messages</t>
        </is>
      </c>
      <c r="H65" s="23" t="n">
        <v>9838.601440184437</v>
      </c>
    </row>
    <row r="66">
      <c r="A66" s="31" t="inlineStr"/>
      <c r="B66" s="31" t="inlineStr"/>
      <c r="G66" s="31" t="inlineStr">
        <is>
          <t>Voice Authentication</t>
        </is>
      </c>
      <c r="H66" s="23" t="n">
        <v>91.94954616994801</v>
      </c>
    </row>
    <row r="67">
      <c r="A67" s="31" t="inlineStr"/>
      <c r="B67" s="31" t="inlineStr"/>
      <c r="G67" s="31" t="inlineStr">
        <is>
          <t>Card Alerts</t>
        </is>
      </c>
      <c r="H67" s="23" t="n">
        <v>71536.74692021956</v>
      </c>
    </row>
    <row r="68">
      <c r="A68" s="31" t="inlineStr"/>
      <c r="B68" s="31" t="inlineStr"/>
      <c r="G68" s="31" t="inlineStr">
        <is>
          <t>Digital Wallet - Push Provisioning</t>
        </is>
      </c>
      <c r="H68" s="23" t="n">
        <v>11033.94554039376</v>
      </c>
    </row>
    <row r="69">
      <c r="A69" s="31" t="inlineStr"/>
      <c r="B69" s="31" t="inlineStr"/>
      <c r="G69" s="31" t="inlineStr">
        <is>
          <t>Digital Chat</t>
        </is>
      </c>
      <c r="H69" s="23" t="n">
        <v>1103.394554039376</v>
      </c>
    </row>
    <row r="70">
      <c r="A70" s="31" t="inlineStr"/>
      <c r="B70" s="31" t="inlineStr"/>
      <c r="G70" s="31" t="inlineStr">
        <is>
          <t>FMS Margin Performer</t>
        </is>
      </c>
      <c r="H70" s="23" t="n">
        <v>29975.55205140305</v>
      </c>
    </row>
    <row r="71">
      <c r="A71" s="31" t="inlineStr"/>
      <c r="B71" s="31" t="inlineStr"/>
      <c r="G71" s="31" t="inlineStr">
        <is>
          <t>FMS Profit Performer</t>
        </is>
      </c>
      <c r="H71" s="23" t="n">
        <v>29975.55205140305</v>
      </c>
    </row>
    <row r="72">
      <c r="A72" s="31" t="inlineStr"/>
      <c r="B72" s="31" t="inlineStr"/>
      <c r="G72" s="31" t="inlineStr">
        <is>
          <t>Level 2 ID Verification Transactions</t>
        </is>
      </c>
      <c r="H72" s="23" t="n">
        <v>12229.28964060308</v>
      </c>
    </row>
    <row r="73">
      <c r="A73" s="31" t="inlineStr"/>
      <c r="B73" s="31" t="inlineStr"/>
      <c r="G73" s="31" t="inlineStr">
        <is>
          <t>Out of Wallet Transactions</t>
        </is>
      </c>
      <c r="H73" s="23" t="n">
        <v>9011.055524654905</v>
      </c>
    </row>
    <row r="74">
      <c r="A74" s="31" t="inlineStr"/>
      <c r="B74" s="31" t="inlineStr"/>
      <c r="G74" s="31" t="inlineStr">
        <is>
          <t>CSI Wire</t>
        </is>
      </c>
      <c r="H74" s="23" t="n">
        <v>328903.526649904</v>
      </c>
    </row>
    <row r="75">
      <c r="A75" s="32" t="inlineStr">
        <is>
          <t>FIS Subtotal</t>
        </is>
      </c>
      <c r="B75" s="33" t="n">
        <v>0</v>
      </c>
      <c r="G75" s="32" t="inlineStr">
        <is>
          <t>CSI Subtotal</t>
        </is>
      </c>
      <c r="H75" s="33" t="n">
        <v>1905440.101929596</v>
      </c>
    </row>
    <row r="76"/>
    <row r="77">
      <c r="A77" s="29" t="inlineStr">
        <is>
          <t>Training/Enablement</t>
        </is>
      </c>
    </row>
    <row r="78">
      <c r="A78" s="30" t="inlineStr">
        <is>
          <t>FIS Line Items</t>
        </is>
      </c>
      <c r="B78" s="30" t="inlineStr">
        <is>
          <t>FIS 7-Year Cost</t>
        </is>
      </c>
      <c r="D78" s="30" t="inlineStr">
        <is>
          <t>CSI Line Items</t>
        </is>
      </c>
      <c r="E78" s="30" t="inlineStr">
        <is>
          <t>CSI 7-Year Cost</t>
        </is>
      </c>
      <c r="G78" s="30" t="inlineStr">
        <is>
          <t>CSI Line Items</t>
        </is>
      </c>
      <c r="H78" s="30" t="inlineStr">
        <is>
          <t>CSI 7-Year Cost</t>
        </is>
      </c>
    </row>
    <row r="79">
      <c r="A79" s="31" t="inlineStr"/>
      <c r="B79" s="31" t="inlineStr"/>
      <c r="G79" s="31" t="inlineStr">
        <is>
          <t>Monthly Statement Processing Materials - Envelopes &amp; Paper</t>
        </is>
      </c>
      <c r="H79" s="23" t="n">
        <v>6620.367324236257</v>
      </c>
    </row>
    <row r="80">
      <c r="A80" s="32" t="inlineStr">
        <is>
          <t>FIS Subtotal</t>
        </is>
      </c>
      <c r="B80" s="33" t="n">
        <v>0</v>
      </c>
      <c r="G80" s="32" t="inlineStr">
        <is>
          <t>CSI Subtotal</t>
        </is>
      </c>
      <c r="H80" s="33" t="n">
        <v>6620.367324236257</v>
      </c>
    </row>
    <row r="81"/>
    <row r="82">
      <c r="A82" s="29" t="inlineStr">
        <is>
          <t>Support/Maintenance</t>
        </is>
      </c>
    </row>
    <row r="83">
      <c r="A83" s="30" t="inlineStr">
        <is>
          <t>FIS Line Items</t>
        </is>
      </c>
      <c r="B83" s="30" t="inlineStr">
        <is>
          <t>FIS 7-Year Cost</t>
        </is>
      </c>
      <c r="D83" s="30" t="inlineStr">
        <is>
          <t>CSI Line Items</t>
        </is>
      </c>
      <c r="E83" s="30" t="inlineStr">
        <is>
          <t>CSI 7-Year Cost</t>
        </is>
      </c>
      <c r="G83" s="30" t="inlineStr">
        <is>
          <t>CSI Line Items</t>
        </is>
      </c>
      <c r="H83" s="30" t="inlineStr">
        <is>
          <t>CSI 7-Year Cost</t>
        </is>
      </c>
    </row>
    <row r="84">
      <c r="A84" s="31" t="inlineStr"/>
      <c r="B84" s="31" t="inlineStr"/>
      <c r="G84" s="31" t="inlineStr">
        <is>
          <t>Monthly Equipment Fees</t>
        </is>
      </c>
      <c r="H84" s="23" t="n">
        <v>22987.38654248701</v>
      </c>
    </row>
    <row r="85">
      <c r="A85" s="31" t="inlineStr"/>
      <c r="B85" s="31" t="inlineStr"/>
      <c r="G85" s="31" t="inlineStr">
        <is>
          <t>Child Support Accounts</t>
        </is>
      </c>
      <c r="H85" s="23" t="n">
        <v>91.94954616994801</v>
      </c>
    </row>
    <row r="86">
      <c r="A86" s="32" t="inlineStr">
        <is>
          <t>FIS Subtotal</t>
        </is>
      </c>
      <c r="B86" s="33" t="n">
        <v>0</v>
      </c>
      <c r="G86" s="32" t="inlineStr">
        <is>
          <t>CSI Subtotal</t>
        </is>
      </c>
      <c r="H86" s="33" t="n">
        <v>23079.33608865695</v>
      </c>
    </row>
    <row r="87"/>
    <row r="88">
      <c r="A88" s="29" t="inlineStr">
        <is>
          <t>Professional Services</t>
        </is>
      </c>
    </row>
    <row r="89">
      <c r="A89" s="30" t="inlineStr">
        <is>
          <t>FIS Line Items</t>
        </is>
      </c>
      <c r="B89" s="30" t="inlineStr">
        <is>
          <t>FIS 7-Year Cost</t>
        </is>
      </c>
      <c r="D89" s="30" t="inlineStr">
        <is>
          <t>CSI Line Items</t>
        </is>
      </c>
      <c r="E89" s="30" t="inlineStr">
        <is>
          <t>CSI 7-Year Cost</t>
        </is>
      </c>
      <c r="G89" s="30" t="inlineStr">
        <is>
          <t>CSI Line Items</t>
        </is>
      </c>
      <c r="H89" s="30" t="inlineStr">
        <is>
          <t>CSI 7-Year Cost</t>
        </is>
      </c>
    </row>
    <row r="90">
      <c r="A90" s="31" t="inlineStr">
        <is>
          <t>Digital: D1 Flex, D1 Business, Mobile, Bill Pay</t>
        </is>
      </c>
      <c r="B90" s="23" t="n">
        <v>3241497.351129177</v>
      </c>
      <c r="G90" s="31" t="inlineStr">
        <is>
          <t>iPay Business Bill Pay Program</t>
        </is>
      </c>
      <c r="H90" s="23" t="n">
        <v>67766.81552725167</v>
      </c>
    </row>
    <row r="91">
      <c r="A91" s="31" t="inlineStr">
        <is>
          <t>SSL Encryption Certificates: GEOTrust, Verisign</t>
        </is>
      </c>
      <c r="B91" s="23" t="n">
        <v>1264.306259836785</v>
      </c>
      <c r="G91" s="31" t="inlineStr"/>
      <c r="H91" s="31" t="inlineStr"/>
    </row>
    <row r="92">
      <c r="A92" s="31" t="inlineStr">
        <is>
          <t>EFT: Debit Card Production</t>
        </is>
      </c>
      <c r="B92" s="23" t="n">
        <v>47078.16763901338</v>
      </c>
      <c r="G92" s="31" t="inlineStr"/>
      <c r="H92" s="31" t="inlineStr"/>
    </row>
    <row r="93">
      <c r="A93" s="31" t="inlineStr">
        <is>
          <t>EFT: NYCE Debit Card Network</t>
        </is>
      </c>
      <c r="B93" s="23" t="n">
        <v>15723.37239506111</v>
      </c>
      <c r="G93" s="31" t="inlineStr"/>
      <c r="H93" s="31" t="inlineStr"/>
    </row>
    <row r="94">
      <c r="A94" s="32" t="inlineStr">
        <is>
          <t>FIS Subtotal</t>
        </is>
      </c>
      <c r="B94" s="33" t="n">
        <v>3305563.197423088</v>
      </c>
      <c r="G94" s="32" t="inlineStr">
        <is>
          <t>CSI Subtotal</t>
        </is>
      </c>
      <c r="H94" s="33" t="n">
        <v>67766.81552725167</v>
      </c>
    </row>
  </sheetData>
  <mergeCells count="8">
    <mergeCell ref="A54:F54"/>
    <mergeCell ref="A82:F82"/>
    <mergeCell ref="A1:F1"/>
    <mergeCell ref="A88:F88"/>
    <mergeCell ref="A18:F18"/>
    <mergeCell ref="A26:F26"/>
    <mergeCell ref="A77:F77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2026-01-15T20:50:17Z</dcterms:modified>
</cp:coreProperties>
</file>