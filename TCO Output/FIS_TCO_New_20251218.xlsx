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34</v>
      </c>
      <c r="B2" t="inlineStr">
        <is>
          <t>Monthly F</t>
        </is>
      </c>
      <c r="C2" t="inlineStr">
        <is>
          <t>BI Web Administrator</t>
        </is>
      </c>
      <c r="D2" t="inlineStr">
        <is>
          <t>Core</t>
        </is>
      </c>
      <c r="E2" t="b">
        <v>0</v>
      </c>
      <c r="F2" t="b">
        <v>0</v>
      </c>
      <c r="G2" s="12" t="n">
        <v>469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T2" t="inlineStr"/>
    </row>
    <row r="3">
      <c r="A3" t="n">
        <v>1</v>
      </c>
      <c r="B3" t="inlineStr">
        <is>
          <t>Monthly F</t>
        </is>
      </c>
      <c r="C3" t="inlineStr">
        <is>
          <t>Bankway Core Account Processing In-House</t>
        </is>
      </c>
      <c r="D3" t="inlineStr">
        <is>
          <t>Core</t>
        </is>
      </c>
      <c r="E3" t="b">
        <v>0</v>
      </c>
      <c r="F3" t="b">
        <v>0</v>
      </c>
      <c r="G3" s="12" t="n">
        <v>0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T3" t="inlineStr"/>
    </row>
    <row r="4">
      <c r="A4" t="n">
        <v>2</v>
      </c>
      <c r="B4" t="inlineStr">
        <is>
          <t>Monthly F</t>
        </is>
      </c>
      <c r="C4" t="inlineStr">
        <is>
          <t>Bankway Standard Third Party Interface Offerings (IH)</t>
        </is>
      </c>
      <c r="D4" t="inlineStr">
        <is>
          <t>Core</t>
        </is>
      </c>
      <c r="E4" t="b">
        <v>0</v>
      </c>
      <c r="F4" t="b">
        <v>0</v>
      </c>
      <c r="G4" s="12" t="n">
        <v>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T4" t="inlineStr"/>
    </row>
    <row r="5">
      <c r="A5" t="n">
        <v>29</v>
      </c>
      <c r="B5" t="inlineStr">
        <is>
          <t>Monthly F</t>
        </is>
      </c>
      <c r="C5" t="inlineStr">
        <is>
          <t>CSi Simplicity Hosting</t>
        </is>
      </c>
      <c r="D5" t="inlineStr">
        <is>
          <t>Core</t>
        </is>
      </c>
      <c r="E5" t="b">
        <v>0</v>
      </c>
      <c r="F5" t="b">
        <v>0</v>
      </c>
      <c r="G5" s="12" t="n">
        <v>120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T5" t="inlineStr"/>
    </row>
    <row r="6">
      <c r="A6" t="n">
        <v>32</v>
      </c>
      <c r="B6" t="inlineStr">
        <is>
          <t>Monthly F</t>
        </is>
      </c>
      <c r="C6" t="inlineStr">
        <is>
          <t>HORIZON BI Enterprise License</t>
        </is>
      </c>
      <c r="D6" t="inlineStr">
        <is>
          <t>Core</t>
        </is>
      </c>
      <c r="E6" t="b">
        <v>0</v>
      </c>
      <c r="F6" t="b">
        <v>0</v>
      </c>
      <c r="G6" s="12" t="n">
        <v>1350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T6" t="inlineStr"/>
    </row>
    <row r="7">
      <c r="A7" t="n">
        <v>3</v>
      </c>
      <c r="B7" t="inlineStr">
        <is>
          <t>Monthly F</t>
        </is>
      </c>
      <c r="C7" t="inlineStr">
        <is>
          <t>HORIZON Core Account Processing Service Bureau (SB)</t>
        </is>
      </c>
      <c r="D7" t="inlineStr">
        <is>
          <t>Core</t>
        </is>
      </c>
      <c r="E7" t="b">
        <v>0</v>
      </c>
      <c r="F7" t="b">
        <v>0</v>
      </c>
      <c r="G7" s="12" t="n">
        <v>28854</v>
      </c>
      <c r="H7" t="inlineStr">
        <is>
          <t>per account</t>
        </is>
      </c>
      <c r="I7" s="13" t="n">
        <v>54437</v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T7" t="inlineStr"/>
    </row>
    <row r="8">
      <c r="A8" t="n">
        <v>4</v>
      </c>
      <c r="B8" t="inlineStr">
        <is>
          <t>Monthly F</t>
        </is>
      </c>
      <c r="C8" t="inlineStr">
        <is>
          <t>HORIZON Products and Services (SB)</t>
        </is>
      </c>
      <c r="D8" t="inlineStr">
        <is>
          <t>Core</t>
        </is>
      </c>
      <c r="E8" t="b">
        <v>0</v>
      </c>
      <c r="F8" t="b">
        <v>0</v>
      </c>
      <c r="G8" s="12" t="n">
        <v>6549</v>
      </c>
      <c r="H8" t="inlineStr">
        <is>
          <t>per account</t>
        </is>
      </c>
      <c r="I8" s="13" t="n">
        <v>54437</v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T8" t="inlineStr"/>
    </row>
    <row r="9">
      <c r="A9" t="n">
        <v>5</v>
      </c>
      <c r="B9" t="inlineStr">
        <is>
          <t>Monthly F</t>
        </is>
      </c>
      <c r="C9" t="inlineStr">
        <is>
          <t>HORIZON Standard Third Party Interface Offerings (SB)</t>
        </is>
      </c>
      <c r="D9" t="inlineStr">
        <is>
          <t>Core</t>
        </is>
      </c>
      <c r="E9" t="b">
        <v>0</v>
      </c>
      <c r="F9" t="b">
        <v>0</v>
      </c>
      <c r="G9" s="12" t="n">
        <v>1610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T9" t="inlineStr"/>
    </row>
    <row r="10">
      <c r="A10" t="n">
        <v>31</v>
      </c>
      <c r="B10" t="inlineStr">
        <is>
          <t>Monthly F</t>
        </is>
      </c>
      <c r="C10" t="inlineStr">
        <is>
          <t>SmartSign</t>
        </is>
      </c>
      <c r="D10" t="inlineStr">
        <is>
          <t>Core</t>
        </is>
      </c>
      <c r="E10" t="b">
        <v>0</v>
      </c>
      <c r="F10" t="b">
        <v>0</v>
      </c>
      <c r="G10" s="12" t="n">
        <v>1531.2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T10" t="inlineStr"/>
    </row>
    <row r="11">
      <c r="A11" t="n">
        <v>7</v>
      </c>
      <c r="B11" t="inlineStr">
        <is>
          <t>Monthly F</t>
        </is>
      </c>
      <c r="C11" t="inlineStr">
        <is>
          <t>FIS Payment Manager - Consumer</t>
        </is>
      </c>
      <c r="D11" t="inlineStr">
        <is>
          <t>Digital</t>
        </is>
      </c>
      <c r="E11" t="b">
        <v>0</v>
      </c>
      <c r="F11" t="b">
        <v>0</v>
      </c>
      <c r="G11" s="12" t="n">
        <v>4089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T11" t="inlineStr"/>
    </row>
    <row r="12">
      <c r="A12" t="n">
        <v>56</v>
      </c>
      <c r="B12" t="inlineStr">
        <is>
          <t>Monthly F</t>
        </is>
      </c>
      <c r="C12" t="inlineStr">
        <is>
          <t>Monthly Hosting Fee</t>
        </is>
      </c>
      <c r="D12" t="inlineStr">
        <is>
          <t>Digital</t>
        </is>
      </c>
      <c r="E12" t="b">
        <v>0</v>
      </c>
      <c r="F12" t="b">
        <v>0</v>
      </c>
      <c r="G12" s="12" t="n">
        <v>750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T12" t="inlineStr"/>
    </row>
    <row r="13">
      <c r="A13" t="n">
        <v>9</v>
      </c>
      <c r="B13" t="inlineStr">
        <is>
          <t>Monthly F</t>
        </is>
      </c>
      <c r="C13" t="inlineStr">
        <is>
          <t>3D Secure</t>
        </is>
      </c>
      <c r="D13" t="inlineStr">
        <is>
          <t>EFT</t>
        </is>
      </c>
      <c r="E13" t="b">
        <v>0</v>
      </c>
      <c r="F13" t="b">
        <v>0</v>
      </c>
      <c r="G13" s="12" t="n">
        <v>435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T13" t="inlineStr"/>
    </row>
    <row r="14">
      <c r="A14" t="n">
        <v>10</v>
      </c>
      <c r="B14" t="inlineStr">
        <is>
          <t>Monthly F</t>
        </is>
      </c>
      <c r="C14" t="inlineStr">
        <is>
          <t>Card Suite</t>
        </is>
      </c>
      <c r="D14" t="inlineStr">
        <is>
          <t>EFT</t>
        </is>
      </c>
      <c r="E14" t="b">
        <v>0</v>
      </c>
      <c r="F14" t="b">
        <v>0</v>
      </c>
      <c r="G14" s="12" t="n">
        <v>658</v>
      </c>
      <c r="H14" t="inlineStr">
        <is>
          <t>per user</t>
        </is>
      </c>
      <c r="I14" s="13" t="n">
        <v>1110</v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T14" t="inlineStr"/>
    </row>
    <row r="15">
      <c r="A15" t="n">
        <v>8</v>
      </c>
      <c r="B15" t="inlineStr">
        <is>
          <t>Monthly F</t>
        </is>
      </c>
      <c r="C15" t="inlineStr">
        <is>
          <t>FIS EFT Processing - PaymentsOne</t>
        </is>
      </c>
      <c r="D15" t="inlineStr">
        <is>
          <t>EFT</t>
        </is>
      </c>
      <c r="E15" t="b">
        <v>0</v>
      </c>
      <c r="F15" t="b">
        <v>0</v>
      </c>
      <c r="G15" s="12" t="n">
        <v>10955</v>
      </c>
      <c r="H15" t="inlineStr">
        <is>
          <t>per month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T15" t="inlineStr"/>
    </row>
    <row r="16">
      <c r="A16" t="n">
        <v>11</v>
      </c>
      <c r="B16" t="inlineStr">
        <is>
          <t>Monthly F</t>
        </is>
      </c>
      <c r="C16" t="inlineStr">
        <is>
          <t>SecurLOCK™ Processing</t>
        </is>
      </c>
      <c r="D16" t="inlineStr">
        <is>
          <t>EFT</t>
        </is>
      </c>
      <c r="E16" t="b">
        <v>0</v>
      </c>
      <c r="F16" t="b">
        <v>0</v>
      </c>
      <c r="G16" s="12" t="n">
        <v>13148</v>
      </c>
      <c r="H16" t="inlineStr">
        <is>
          <t>per month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T16" t="inlineStr"/>
    </row>
    <row r="17">
      <c r="A17" t="n">
        <v>17</v>
      </c>
      <c r="B17" t="inlineStr">
        <is>
          <t>Monthly F</t>
        </is>
      </c>
      <c r="C17" t="inlineStr">
        <is>
          <t>Branch Capture Xpress (BCX)</t>
        </is>
      </c>
      <c r="D17" t="inlineStr">
        <is>
          <t>Item Processing</t>
        </is>
      </c>
      <c r="E17" t="b">
        <v>0</v>
      </c>
      <c r="F17" t="b">
        <v>0</v>
      </c>
      <c r="G17" s="12" t="n">
        <v>1042</v>
      </c>
      <c r="H17" t="inlineStr">
        <is>
          <t>per device</t>
        </is>
      </c>
      <c r="I17" s="13" t="n">
        <v>10</v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T17" t="inlineStr"/>
    </row>
    <row r="18">
      <c r="A18" t="n">
        <v>14</v>
      </c>
      <c r="B18" t="inlineStr">
        <is>
          <t>Monthly F</t>
        </is>
      </c>
      <c r="C18" t="inlineStr">
        <is>
          <t>Content Management (new structure)</t>
        </is>
      </c>
      <c r="D18" t="inlineStr">
        <is>
          <t>Item Processing</t>
        </is>
      </c>
      <c r="E18" t="b">
        <v>0</v>
      </c>
      <c r="F18" t="b">
        <v>0</v>
      </c>
      <c r="G18" s="12" t="n">
        <v>5294</v>
      </c>
      <c r="H18" t="inlineStr">
        <is>
          <t>per account</t>
        </is>
      </c>
      <c r="I18" s="13" t="n">
        <v>23700</v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T18" t="inlineStr"/>
    </row>
    <row r="19">
      <c r="A19" t="n">
        <v>13</v>
      </c>
      <c r="B19" t="inlineStr">
        <is>
          <t>Monthly F</t>
        </is>
      </c>
      <c r="C19" t="inlineStr">
        <is>
          <t>Content Management (old structure)</t>
        </is>
      </c>
      <c r="D19" t="inlineStr">
        <is>
          <t>Item Processing</t>
        </is>
      </c>
      <c r="E19" t="b">
        <v>0</v>
      </c>
      <c r="F19" t="b">
        <v>0</v>
      </c>
      <c r="G19" s="12" t="n">
        <v>0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T19" t="inlineStr"/>
    </row>
    <row r="20">
      <c r="A20" t="n">
        <v>19</v>
      </c>
      <c r="B20" t="inlineStr">
        <is>
          <t>Monthly F</t>
        </is>
      </c>
      <c r="C20" t="inlineStr">
        <is>
          <t>FIS DirectLink</t>
        </is>
      </c>
      <c r="D20" t="inlineStr">
        <is>
          <t>Item Processing</t>
        </is>
      </c>
      <c r="E20" t="b">
        <v>0</v>
      </c>
      <c r="F20" t="b">
        <v>0</v>
      </c>
      <c r="G20" s="12" t="n">
        <v>1006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T20" t="inlineStr"/>
    </row>
    <row r="21">
      <c r="A21" t="n">
        <v>18</v>
      </c>
      <c r="B21" t="inlineStr">
        <is>
          <t>Monthly F</t>
        </is>
      </c>
      <c r="C21" t="inlineStr">
        <is>
          <t>FIS Xpress Deposit (FXD)</t>
        </is>
      </c>
      <c r="D21" t="inlineStr">
        <is>
          <t>Item Processing</t>
        </is>
      </c>
      <c r="E21" t="b">
        <v>0</v>
      </c>
      <c r="F21" t="b">
        <v>0</v>
      </c>
      <c r="G21" s="12" t="n">
        <v>867</v>
      </c>
      <c r="H21" t="inlineStr">
        <is>
          <t>per deposit</t>
        </is>
      </c>
      <c r="I21" s="13" t="n">
        <v>352</v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T21" t="inlineStr"/>
    </row>
    <row r="22">
      <c r="A22" t="n">
        <v>16</v>
      </c>
      <c r="B22" t="inlineStr">
        <is>
          <t>Monthly F</t>
        </is>
      </c>
      <c r="C22" t="inlineStr">
        <is>
          <t>Item Processing Services (new structure)</t>
        </is>
      </c>
      <c r="D22" t="inlineStr">
        <is>
          <t>Item Processing</t>
        </is>
      </c>
      <c r="E22" t="b">
        <v>0</v>
      </c>
      <c r="F22" t="b">
        <v>0</v>
      </c>
      <c r="G22" s="12" t="n">
        <v>5257</v>
      </c>
      <c r="H22" t="inlineStr">
        <is>
          <t>per account</t>
        </is>
      </c>
      <c r="I22" s="13" t="n">
        <v>23700</v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T22" t="inlineStr"/>
    </row>
    <row r="23">
      <c r="A23" t="n">
        <v>15</v>
      </c>
      <c r="B23" t="inlineStr">
        <is>
          <t>Monthly F</t>
        </is>
      </c>
      <c r="C23" t="inlineStr">
        <is>
          <t>Item Processing Services (old structure)</t>
        </is>
      </c>
      <c r="D23" t="inlineStr">
        <is>
          <t>Item Processing</t>
        </is>
      </c>
      <c r="E23" t="b">
        <v>0</v>
      </c>
      <c r="F23" t="b">
        <v>0</v>
      </c>
      <c r="G23" s="12" t="n">
        <v>0</v>
      </c>
      <c r="H23" t="inlineStr">
        <is>
          <t>per month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T23" t="inlineStr"/>
    </row>
    <row r="24">
      <c r="A24" t="n">
        <v>20</v>
      </c>
      <c r="B24" t="inlineStr">
        <is>
          <t>Monthly F</t>
        </is>
      </c>
      <c r="C24" t="inlineStr">
        <is>
          <t>Sendpoint Merchant Capture</t>
        </is>
      </c>
      <c r="D24" t="inlineStr">
        <is>
          <t>Item Processing</t>
        </is>
      </c>
      <c r="E24" t="b">
        <v>0</v>
      </c>
      <c r="F24" t="b">
        <v>0</v>
      </c>
      <c r="G24" s="12" t="n">
        <v>0</v>
      </c>
      <c r="H24" t="inlineStr">
        <is>
          <t>per month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T24" t="inlineStr"/>
    </row>
    <row r="25">
      <c r="A25" t="n">
        <v>22</v>
      </c>
      <c r="B25" t="inlineStr">
        <is>
          <t>Monthly F</t>
        </is>
      </c>
      <c r="C25" t="inlineStr">
        <is>
          <t>AvidAscend</t>
        </is>
      </c>
      <c r="D25" t="inlineStr">
        <is>
          <t>Other</t>
        </is>
      </c>
      <c r="E25" t="b">
        <v>0</v>
      </c>
      <c r="F25" t="b">
        <v>0</v>
      </c>
      <c r="G25" s="12" t="n">
        <v>597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T25" t="inlineStr"/>
    </row>
    <row r="26">
      <c r="A26" t="n">
        <v>23</v>
      </c>
      <c r="B26" t="inlineStr">
        <is>
          <t>Monthly F</t>
        </is>
      </c>
      <c r="C26" t="inlineStr">
        <is>
          <t>Card Production</t>
        </is>
      </c>
      <c r="D26" t="inlineStr">
        <is>
          <t>Other</t>
        </is>
      </c>
      <c r="E26" t="b">
        <v>0</v>
      </c>
      <c r="F26" t="b">
        <v>0</v>
      </c>
      <c r="G26" s="12" t="n">
        <v>3958</v>
      </c>
      <c r="H26" t="inlineStr">
        <is>
          <t>per month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T26" t="inlineStr"/>
    </row>
    <row r="27">
      <c r="A27" t="n">
        <v>21</v>
      </c>
      <c r="B27" t="inlineStr">
        <is>
          <t>Monthly F</t>
        </is>
      </c>
      <c r="C27" t="inlineStr">
        <is>
          <t>FIS Telephone Banking Services - On-Call</t>
        </is>
      </c>
      <c r="D27" t="inlineStr">
        <is>
          <t>Other</t>
        </is>
      </c>
      <c r="E27" t="b">
        <v>0</v>
      </c>
      <c r="F27" t="b">
        <v>0</v>
      </c>
      <c r="G27" s="12" t="n">
        <v>497</v>
      </c>
      <c r="H27" t="inlineStr">
        <is>
          <t>per month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T27" t="inlineStr"/>
    </row>
    <row r="28">
      <c r="A28" t="n">
        <v>26</v>
      </c>
      <c r="B28" t="inlineStr">
        <is>
          <t>Monthly F</t>
        </is>
      </c>
      <c r="C28" t="inlineStr">
        <is>
          <t>NYCE</t>
        </is>
      </c>
      <c r="D28" t="inlineStr">
        <is>
          <t>Other</t>
        </is>
      </c>
      <c r="E28" t="b">
        <v>0</v>
      </c>
      <c r="F28" t="b">
        <v>0</v>
      </c>
      <c r="G28" s="12" t="n">
        <v>6688</v>
      </c>
      <c r="H28" t="inlineStr">
        <is>
          <t>per month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T28" t="inlineStr"/>
    </row>
    <row r="29">
      <c r="A29" t="n">
        <v>24</v>
      </c>
      <c r="B29" t="inlineStr">
        <is>
          <t>Monthly F</t>
        </is>
      </c>
      <c r="C29" t="inlineStr">
        <is>
          <t>Network Services</t>
        </is>
      </c>
      <c r="D29" t="inlineStr">
        <is>
          <t>Other</t>
        </is>
      </c>
      <c r="E29" t="b">
        <v>0</v>
      </c>
      <c r="F29" t="b">
        <v>0</v>
      </c>
      <c r="G29" s="12" t="n">
        <v>3334</v>
      </c>
      <c r="H29" t="inlineStr">
        <is>
          <t>per month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T29" t="inlineStr"/>
    </row>
    <row r="30">
      <c r="A30" t="n">
        <v>27</v>
      </c>
      <c r="B30" t="inlineStr">
        <is>
          <t>Monthly F</t>
        </is>
      </c>
      <c r="C30" t="inlineStr">
        <is>
          <t>Recently Signed/Implemented Services</t>
        </is>
      </c>
      <c r="D30" t="inlineStr">
        <is>
          <t>Other</t>
        </is>
      </c>
      <c r="E30" t="b">
        <v>0</v>
      </c>
      <c r="F30" t="b">
        <v>0</v>
      </c>
      <c r="G30" s="12" t="n">
        <v>1254</v>
      </c>
      <c r="H30" t="inlineStr">
        <is>
          <t>per month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T30" t="inlineStr"/>
    </row>
    <row r="31">
      <c r="A31" t="n">
        <v>12</v>
      </c>
      <c r="B31" t="inlineStr">
        <is>
          <t>Monthly F</t>
        </is>
      </c>
      <c r="C31" t="inlineStr">
        <is>
          <t>Decision Solutions</t>
        </is>
      </c>
      <c r="D31" t="inlineStr">
        <is>
          <t>Risk, Fraud &amp; Compliance</t>
        </is>
      </c>
      <c r="E31" t="b">
        <v>0</v>
      </c>
      <c r="F31" t="b">
        <v>0</v>
      </c>
      <c r="G31" s="12" t="n">
        <v>1406</v>
      </c>
      <c r="H31" t="inlineStr">
        <is>
          <t>per month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T31" t="inlineStr"/>
    </row>
    <row r="32">
      <c r="A32" t="n">
        <v>28</v>
      </c>
      <c r="B32" t="inlineStr">
        <is>
          <t>Monthly V</t>
        </is>
      </c>
      <c r="C32" t="inlineStr">
        <is>
          <t>ACH Activity</t>
        </is>
      </c>
      <c r="D32" t="inlineStr">
        <is>
          <t>Core</t>
        </is>
      </c>
      <c r="E32" t="b">
        <v>0</v>
      </c>
      <c r="F32" t="b">
        <v>0</v>
      </c>
      <c r="G32" s="12" t="n">
        <v>53.06</v>
      </c>
      <c r="H32" t="inlineStr">
        <is>
          <t>per transaction</t>
        </is>
      </c>
      <c r="I32" s="13" t="n">
        <v>10611</v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T32" t="inlineStr"/>
    </row>
    <row r="33">
      <c r="A33" t="n">
        <v>53</v>
      </c>
      <c r="B33" t="inlineStr">
        <is>
          <t>Monthly V</t>
        </is>
      </c>
      <c r="C33" t="inlineStr">
        <is>
          <t>Active Monthly User Fee</t>
        </is>
      </c>
      <c r="D33" t="inlineStr">
        <is>
          <t>Digital</t>
        </is>
      </c>
      <c r="E33" t="b">
        <v>0</v>
      </c>
      <c r="F33" t="b">
        <v>0</v>
      </c>
      <c r="G33" s="12" t="n">
        <v>1312.5</v>
      </c>
      <c r="H33" t="inlineStr">
        <is>
          <t>per user</t>
        </is>
      </c>
      <c r="I33" s="13" t="n">
        <v>875</v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T33" t="inlineStr"/>
    </row>
    <row r="34">
      <c r="A34" t="n">
        <v>55</v>
      </c>
      <c r="B34" t="inlineStr">
        <is>
          <t>Monthly V</t>
        </is>
      </c>
      <c r="C34" t="inlineStr">
        <is>
          <t>Checks</t>
        </is>
      </c>
      <c r="D34" t="inlineStr">
        <is>
          <t>Digital</t>
        </is>
      </c>
      <c r="E34" t="b">
        <v>0</v>
      </c>
      <c r="F34" t="b">
        <v>0</v>
      </c>
      <c r="G34" s="12" t="n">
        <v>1585.78</v>
      </c>
      <c r="H34" t="inlineStr">
        <is>
          <t>per check</t>
        </is>
      </c>
      <c r="I34" s="13" t="n">
        <v>1687</v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T34" t="inlineStr"/>
    </row>
    <row r="35">
      <c r="A35" t="n">
        <v>54</v>
      </c>
      <c r="B35" t="inlineStr">
        <is>
          <t>Monthly V</t>
        </is>
      </c>
      <c r="C35" t="inlineStr">
        <is>
          <t>Electronic Payment Transaction Volumes</t>
        </is>
      </c>
      <c r="D35" t="inlineStr">
        <is>
          <t>Digital</t>
        </is>
      </c>
      <c r="E35" t="b">
        <v>0</v>
      </c>
      <c r="F35" t="b">
        <v>0</v>
      </c>
      <c r="G35" s="12" t="n">
        <v>440.39</v>
      </c>
      <c r="H35" t="inlineStr">
        <is>
          <t>per transaction</t>
        </is>
      </c>
      <c r="I35" s="13" t="n">
        <v>937</v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T35" t="inlineStr"/>
    </row>
    <row r="36">
      <c r="A36" t="n">
        <v>52</v>
      </c>
      <c r="B36" t="inlineStr">
        <is>
          <t>Monthly V</t>
        </is>
      </c>
      <c r="C36" t="inlineStr">
        <is>
          <t>Fraud Management</t>
        </is>
      </c>
      <c r="D36" t="inlineStr">
        <is>
          <t>Digital</t>
        </is>
      </c>
      <c r="E36" t="b">
        <v>0</v>
      </c>
      <c r="F36" t="b">
        <v>0</v>
      </c>
      <c r="G36" s="12" t="n">
        <v>0.03925</v>
      </c>
      <c r="H36" t="inlineStr">
        <is>
          <t>per transaction</t>
        </is>
      </c>
      <c r="I36" s="13" t="n">
        <v>1690</v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T36" t="inlineStr"/>
    </row>
    <row r="37">
      <c r="A37" t="n">
        <v>42</v>
      </c>
      <c r="B37" t="inlineStr">
        <is>
          <t>Monthly V</t>
        </is>
      </c>
      <c r="C37" t="inlineStr">
        <is>
          <t>ATM Monitoring User Interface</t>
        </is>
      </c>
      <c r="D37" t="inlineStr">
        <is>
          <t>EFT</t>
        </is>
      </c>
      <c r="E37" t="b">
        <v>0</v>
      </c>
      <c r="F37" t="b">
        <v>0</v>
      </c>
      <c r="G37" s="12" t="n">
        <v>100</v>
      </c>
      <c r="H37" t="inlineStr">
        <is>
          <t>per ATM</t>
        </is>
      </c>
      <c r="I37" s="13" t="n">
        <v>10</v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T37" t="inlineStr"/>
    </row>
    <row r="38">
      <c r="A38" t="n">
        <v>43</v>
      </c>
      <c r="B38" t="inlineStr">
        <is>
          <t>Monthly V</t>
        </is>
      </c>
      <c r="C38" t="inlineStr">
        <is>
          <t>ATM Support</t>
        </is>
      </c>
      <c r="D38" t="inlineStr">
        <is>
          <t>EFT</t>
        </is>
      </c>
      <c r="E38" t="b">
        <v>0</v>
      </c>
      <c r="F38" t="b">
        <v>0</v>
      </c>
      <c r="G38" s="12" t="n">
        <v>431.07</v>
      </c>
      <c r="H38" t="inlineStr">
        <is>
          <t>per ATM</t>
        </is>
      </c>
      <c r="I38" s="13" t="n">
        <v>10</v>
      </c>
      <c r="J38" s="12">
        <f>IF(B38="Monthly F",G38,IF(B38="Monthly V",G38*I38,IF(B38="Annual",G38/12,0)))</f>
        <v/>
      </c>
      <c r="K38" s="12">
        <f>IF(B38="One-Time",G38,J38*12)</f>
        <v/>
      </c>
      <c r="L38" s="12">
        <f>IF(B38="One-Time",0,K38*(1+Metadata!$B$8))</f>
        <v/>
      </c>
      <c r="M38" s="12">
        <f>IF(B38="One-Time",0,L38*(1+Metadata!$B$8))</f>
        <v/>
      </c>
      <c r="N38" s="12">
        <f>IF(B38="One-Time",0,M38*(1+Metadata!$B$8))</f>
        <v/>
      </c>
      <c r="O38" s="12">
        <f>IF(B38="One-Time",0,N38*(1+Metadata!$B$8))</f>
        <v/>
      </c>
      <c r="P38" s="12">
        <f>IF(B38="One-Time",0,O38*(1+Metadata!$B$8))</f>
        <v/>
      </c>
      <c r="Q38" s="12">
        <f>IF(B38="One-Time",0,P38*(1+Metadata!$B$8))</f>
        <v/>
      </c>
      <c r="R38" s="12">
        <f>SUM(K38:Q38)</f>
        <v/>
      </c>
      <c r="T38" t="inlineStr"/>
    </row>
    <row r="39">
      <c r="A39" t="n">
        <v>46</v>
      </c>
      <c r="B39" t="inlineStr">
        <is>
          <t>Monthly V</t>
        </is>
      </c>
      <c r="C39" t="inlineStr">
        <is>
          <t>Affiliate Quarterly Report</t>
        </is>
      </c>
      <c r="D39" t="inlineStr">
        <is>
          <t>EFT</t>
        </is>
      </c>
      <c r="E39" t="b">
        <v>0</v>
      </c>
      <c r="F39" t="b">
        <v>0</v>
      </c>
      <c r="G39" s="12" t="n">
        <v>35.92</v>
      </c>
      <c r="H39" t="inlineStr">
        <is>
          <t>per report</t>
        </is>
      </c>
      <c r="I39" s="13" t="n">
        <v>1</v>
      </c>
      <c r="J39" s="12">
        <f>IF(B39="Monthly F",G39,IF(B39="Monthly V",G39*I39,IF(B39="Annual",G39/12,0)))</f>
        <v/>
      </c>
      <c r="K39" s="12">
        <f>IF(B39="One-Time",G39,J39*12)</f>
        <v/>
      </c>
      <c r="L39" s="12">
        <f>IF(B39="One-Time",0,K39*(1+Metadata!$B$8))</f>
        <v/>
      </c>
      <c r="M39" s="12">
        <f>IF(B39="One-Time",0,L39*(1+Metadata!$B$8))</f>
        <v/>
      </c>
      <c r="N39" s="12">
        <f>IF(B39="One-Time",0,M39*(1+Metadata!$B$8))</f>
        <v/>
      </c>
      <c r="O39" s="12">
        <f>IF(B39="One-Time",0,N39*(1+Metadata!$B$8))</f>
        <v/>
      </c>
      <c r="P39" s="12">
        <f>IF(B39="One-Time",0,O39*(1+Metadata!$B$8))</f>
        <v/>
      </c>
      <c r="Q39" s="12">
        <f>IF(B39="One-Time",0,P39*(1+Metadata!$B$8))</f>
        <v/>
      </c>
      <c r="R39" s="12">
        <f>SUM(K39:Q39)</f>
        <v/>
      </c>
      <c r="T39" t="inlineStr"/>
    </row>
    <row r="40">
      <c r="A40" t="n">
        <v>47</v>
      </c>
      <c r="B40" t="inlineStr">
        <is>
          <t>Monthly V</t>
        </is>
      </c>
      <c r="C40" t="inlineStr">
        <is>
          <t>Billing Account Updater - Accounts on File</t>
        </is>
      </c>
      <c r="D40" t="inlineStr">
        <is>
          <t>EFT</t>
        </is>
      </c>
      <c r="E40" t="b">
        <v>0</v>
      </c>
      <c r="F40" t="b">
        <v>0</v>
      </c>
      <c r="G40" s="12" t="n">
        <v>106.2</v>
      </c>
      <c r="H40" t="inlineStr">
        <is>
          <t>per institution</t>
        </is>
      </c>
      <c r="I40" s="13" t="n">
        <v>18000</v>
      </c>
      <c r="J40" s="12">
        <f>IF(B40="Monthly F",G40,IF(B40="Monthly V",G40*I40,IF(B40="Annual",G40/12,0)))</f>
        <v/>
      </c>
      <c r="K40" s="12">
        <f>IF(B40="One-Time",G40,J40*12)</f>
        <v/>
      </c>
      <c r="L40" s="12">
        <f>IF(B40="One-Time",0,K40*(1+Metadata!$B$8))</f>
        <v/>
      </c>
      <c r="M40" s="12">
        <f>IF(B40="One-Time",0,L40*(1+Metadata!$B$8))</f>
        <v/>
      </c>
      <c r="N40" s="12">
        <f>IF(B40="One-Time",0,M40*(1+Metadata!$B$8))</f>
        <v/>
      </c>
      <c r="O40" s="12">
        <f>IF(B40="One-Time",0,N40*(1+Metadata!$B$8))</f>
        <v/>
      </c>
      <c r="P40" s="12">
        <f>IF(B40="One-Time",0,O40*(1+Metadata!$B$8))</f>
        <v/>
      </c>
      <c r="Q40" s="12">
        <f>IF(B40="One-Time",0,P40*(1+Metadata!$B$8))</f>
        <v/>
      </c>
      <c r="R40" s="12">
        <f>SUM(K40:Q40)</f>
        <v/>
      </c>
      <c r="T40" t="inlineStr"/>
    </row>
    <row r="41">
      <c r="A41" t="n">
        <v>48</v>
      </c>
      <c r="B41" t="inlineStr">
        <is>
          <t>Monthly V</t>
        </is>
      </c>
      <c r="C41" t="inlineStr">
        <is>
          <t>Billing Account Updater - Records on File</t>
        </is>
      </c>
      <c r="D41" t="inlineStr">
        <is>
          <t>EFT</t>
        </is>
      </c>
      <c r="E41" t="b">
        <v>0</v>
      </c>
      <c r="F41" t="b">
        <v>0</v>
      </c>
      <c r="G41" s="12" t="n">
        <v>59.4</v>
      </c>
      <c r="H41" t="inlineStr">
        <is>
          <t>per institution</t>
        </is>
      </c>
      <c r="I41" s="13" t="n">
        <v>900</v>
      </c>
      <c r="J41" s="12">
        <f>IF(B41="Monthly F",G41,IF(B41="Monthly V",G41*I41,IF(B41="Annual",G41/12,0)))</f>
        <v/>
      </c>
      <c r="K41" s="12">
        <f>IF(B41="One-Time",G41,J41*12)</f>
        <v/>
      </c>
      <c r="L41" s="12">
        <f>IF(B41="One-Time",0,K41*(1+Metadata!$B$8))</f>
        <v/>
      </c>
      <c r="M41" s="12">
        <f>IF(B41="One-Time",0,L41*(1+Metadata!$B$8))</f>
        <v/>
      </c>
      <c r="N41" s="12">
        <f>IF(B41="One-Time",0,M41*(1+Metadata!$B$8))</f>
        <v/>
      </c>
      <c r="O41" s="12">
        <f>IF(B41="One-Time",0,N41*(1+Metadata!$B$8))</f>
        <v/>
      </c>
      <c r="P41" s="12">
        <f>IF(B41="One-Time",0,O41*(1+Metadata!$B$8))</f>
        <v/>
      </c>
      <c r="Q41" s="12">
        <f>IF(B41="One-Time",0,P41*(1+Metadata!$B$8))</f>
        <v/>
      </c>
      <c r="R41" s="12">
        <f>SUM(K41:Q41)</f>
        <v/>
      </c>
      <c r="T41" t="inlineStr"/>
    </row>
    <row r="42">
      <c r="A42" t="n">
        <v>41</v>
      </c>
      <c r="B42" t="inlineStr">
        <is>
          <t>Monthly V</t>
        </is>
      </c>
      <c r="C42" t="inlineStr">
        <is>
          <t>Card Activation Processing</t>
        </is>
      </c>
      <c r="D42" t="inlineStr">
        <is>
          <t>EFT</t>
        </is>
      </c>
      <c r="E42" t="b">
        <v>0</v>
      </c>
      <c r="F42" t="b">
        <v>0</v>
      </c>
      <c r="G42" s="12" t="n">
        <v>695.1</v>
      </c>
      <c r="H42" t="inlineStr">
        <is>
          <t>per activation</t>
        </is>
      </c>
      <c r="I42" s="13" t="n">
        <v>1290</v>
      </c>
      <c r="J42" s="12">
        <f>IF(B42="Monthly F",G42,IF(B42="Monthly V",G42*I42,IF(B42="Annual",G42/12,0)))</f>
        <v/>
      </c>
      <c r="K42" s="12">
        <f>IF(B42="One-Time",G42,J42*12)</f>
        <v/>
      </c>
      <c r="L42" s="12">
        <f>IF(B42="One-Time",0,K42*(1+Metadata!$B$8))</f>
        <v/>
      </c>
      <c r="M42" s="12">
        <f>IF(B42="One-Time",0,L42*(1+Metadata!$B$8))</f>
        <v/>
      </c>
      <c r="N42" s="12">
        <f>IF(B42="One-Time",0,M42*(1+Metadata!$B$8))</f>
        <v/>
      </c>
      <c r="O42" s="12">
        <f>IF(B42="One-Time",0,N42*(1+Metadata!$B$8))</f>
        <v/>
      </c>
      <c r="P42" s="12">
        <f>IF(B42="One-Time",0,O42*(1+Metadata!$B$8))</f>
        <v/>
      </c>
      <c r="Q42" s="12">
        <f>IF(B42="One-Time",0,P42*(1+Metadata!$B$8))</f>
        <v/>
      </c>
      <c r="R42" s="12">
        <f>SUM(K42:Q42)</f>
        <v/>
      </c>
      <c r="T42" t="inlineStr"/>
    </row>
    <row r="43">
      <c r="A43" t="n">
        <v>40</v>
      </c>
      <c r="B43" t="inlineStr">
        <is>
          <t>Monthly V</t>
        </is>
      </c>
      <c r="C43" t="inlineStr">
        <is>
          <t>Card File Residency</t>
        </is>
      </c>
      <c r="D43" t="inlineStr">
        <is>
          <t>EFT</t>
        </is>
      </c>
      <c r="E43" t="b">
        <v>0</v>
      </c>
      <c r="F43" t="b">
        <v>0</v>
      </c>
      <c r="G43" s="12" t="n">
        <v>362.2</v>
      </c>
      <c r="H43" t="inlineStr">
        <is>
          <t>per card</t>
        </is>
      </c>
      <c r="I43" s="13" t="n">
        <v>18110</v>
      </c>
      <c r="J43" s="12">
        <f>IF(B43="Monthly F",G43,IF(B43="Monthly V",G43*I43,IF(B43="Annual",G43/12,0)))</f>
        <v/>
      </c>
      <c r="K43" s="12">
        <f>IF(B43="One-Time",G43,J43*12)</f>
        <v/>
      </c>
      <c r="L43" s="12">
        <f>IF(B43="One-Time",0,K43*(1+Metadata!$B$8))</f>
        <v/>
      </c>
      <c r="M43" s="12">
        <f>IF(B43="One-Time",0,L43*(1+Metadata!$B$8))</f>
        <v/>
      </c>
      <c r="N43" s="12">
        <f>IF(B43="One-Time",0,M43*(1+Metadata!$B$8))</f>
        <v/>
      </c>
      <c r="O43" s="12">
        <f>IF(B43="One-Time",0,N43*(1+Metadata!$B$8))</f>
        <v/>
      </c>
      <c r="P43" s="12">
        <f>IF(B43="One-Time",0,O43*(1+Metadata!$B$8))</f>
        <v/>
      </c>
      <c r="Q43" s="12">
        <f>IF(B43="One-Time",0,P43*(1+Metadata!$B$8))</f>
        <v/>
      </c>
      <c r="R43" s="12">
        <f>SUM(K43:Q43)</f>
        <v/>
      </c>
      <c r="T43" t="inlineStr"/>
    </row>
    <row r="44">
      <c r="A44" t="n">
        <v>39</v>
      </c>
      <c r="B44" t="inlineStr">
        <is>
          <t>Monthly V</t>
        </is>
      </c>
      <c r="C44" t="inlineStr">
        <is>
          <t>EMV/Chip Authorizations - Standard</t>
        </is>
      </c>
      <c r="D44" t="inlineStr">
        <is>
          <t>EFT</t>
        </is>
      </c>
      <c r="E44" t="b">
        <v>0</v>
      </c>
      <c r="F44" t="b">
        <v>0</v>
      </c>
      <c r="G44" s="12" t="n">
        <v>281.62</v>
      </c>
      <c r="H44" t="inlineStr">
        <is>
          <t>per authorization</t>
        </is>
      </c>
      <c r="I44" s="13" t="n">
        <v>281619</v>
      </c>
      <c r="J44" s="12">
        <f>IF(B44="Monthly F",G44,IF(B44="Monthly V",G44*I44,IF(B44="Annual",G44/12,0)))</f>
        <v/>
      </c>
      <c r="K44" s="12">
        <f>IF(B44="One-Time",G44,J44*12)</f>
        <v/>
      </c>
      <c r="L44" s="12">
        <f>IF(B44="One-Time",0,K44*(1+Metadata!$B$8))</f>
        <v/>
      </c>
      <c r="M44" s="12">
        <f>IF(B44="One-Time",0,L44*(1+Metadata!$B$8))</f>
        <v/>
      </c>
      <c r="N44" s="12">
        <f>IF(B44="One-Time",0,M44*(1+Metadata!$B$8))</f>
        <v/>
      </c>
      <c r="O44" s="12">
        <f>IF(B44="One-Time",0,N44*(1+Metadata!$B$8))</f>
        <v/>
      </c>
      <c r="P44" s="12">
        <f>IF(B44="One-Time",0,O44*(1+Metadata!$B$8))</f>
        <v/>
      </c>
      <c r="Q44" s="12">
        <f>IF(B44="One-Time",0,P44*(1+Metadata!$B$8))</f>
        <v/>
      </c>
      <c r="R44" s="12">
        <f>SUM(K44:Q44)</f>
        <v/>
      </c>
      <c r="T44" t="inlineStr"/>
    </row>
    <row r="45">
      <c r="A45" t="n">
        <v>50</v>
      </c>
      <c r="B45" t="inlineStr">
        <is>
          <t>Monthly V</t>
        </is>
      </c>
      <c r="C45" t="inlineStr">
        <is>
          <t>Electronic Journal -Support</t>
        </is>
      </c>
      <c r="D45" t="inlineStr">
        <is>
          <t>EFT</t>
        </is>
      </c>
      <c r="E45" t="b">
        <v>0</v>
      </c>
      <c r="F45" t="b">
        <v>0</v>
      </c>
      <c r="G45" s="12" t="n">
        <v>75.44</v>
      </c>
      <c r="H45" t="inlineStr">
        <is>
          <t>per ATM</t>
        </is>
      </c>
      <c r="I45" s="13" t="n">
        <v>7</v>
      </c>
      <c r="J45" s="12">
        <f>IF(B45="Monthly F",G45,IF(B45="Monthly V",G45*I45,IF(B45="Annual",G45/12,0)))</f>
        <v/>
      </c>
      <c r="K45" s="12">
        <f>IF(B45="One-Time",G45,J45*12)</f>
        <v/>
      </c>
      <c r="L45" s="12">
        <f>IF(B45="One-Time",0,K45*(1+Metadata!$B$8))</f>
        <v/>
      </c>
      <c r="M45" s="12">
        <f>IF(B45="One-Time",0,L45*(1+Metadata!$B$8))</f>
        <v/>
      </c>
      <c r="N45" s="12">
        <f>IF(B45="One-Time",0,M45*(1+Metadata!$B$8))</f>
        <v/>
      </c>
      <c r="O45" s="12">
        <f>IF(B45="One-Time",0,N45*(1+Metadata!$B$8))</f>
        <v/>
      </c>
      <c r="P45" s="12">
        <f>IF(B45="One-Time",0,O45*(1+Metadata!$B$8))</f>
        <v/>
      </c>
      <c r="Q45" s="12">
        <f>IF(B45="One-Time",0,P45*(1+Metadata!$B$8))</f>
        <v/>
      </c>
      <c r="R45" s="12">
        <f>SUM(K45:Q45)</f>
        <v/>
      </c>
      <c r="T45" t="inlineStr"/>
    </row>
    <row r="46">
      <c r="A46" t="n">
        <v>51</v>
      </c>
      <c r="B46" t="inlineStr">
        <is>
          <t>Monthly V</t>
        </is>
      </c>
      <c r="C46" t="inlineStr">
        <is>
          <t>File Delivery - File and Non Package File Handling</t>
        </is>
      </c>
      <c r="D46" t="inlineStr">
        <is>
          <t>EFT</t>
        </is>
      </c>
      <c r="E46" t="b">
        <v>0</v>
      </c>
      <c r="F46" t="b">
        <v>0</v>
      </c>
      <c r="G46" s="12" t="n">
        <v>10</v>
      </c>
      <c r="H46" t="inlineStr">
        <is>
          <t>per file</t>
        </is>
      </c>
      <c r="I46" s="13" t="n">
        <v>1</v>
      </c>
      <c r="J46" s="12">
        <f>IF(B46="Monthly F",G46,IF(B46="Monthly V",G46*I46,IF(B46="Annual",G46/12,0)))</f>
        <v/>
      </c>
      <c r="K46" s="12">
        <f>IF(B46="One-Time",G46,J46*12)</f>
        <v/>
      </c>
      <c r="L46" s="12">
        <f>IF(B46="One-Time",0,K46*(1+Metadata!$B$8))</f>
        <v/>
      </c>
      <c r="M46" s="12">
        <f>IF(B46="One-Time",0,L46*(1+Metadata!$B$8))</f>
        <v/>
      </c>
      <c r="N46" s="12">
        <f>IF(B46="One-Time",0,M46*(1+Metadata!$B$8))</f>
        <v/>
      </c>
      <c r="O46" s="12">
        <f>IF(B46="One-Time",0,N46*(1+Metadata!$B$8))</f>
        <v/>
      </c>
      <c r="P46" s="12">
        <f>IF(B46="One-Time",0,O46*(1+Metadata!$B$8))</f>
        <v/>
      </c>
      <c r="Q46" s="12">
        <f>IF(B46="One-Time",0,P46*(1+Metadata!$B$8))</f>
        <v/>
      </c>
      <c r="R46" s="12">
        <f>SUM(K46:Q46)</f>
        <v/>
      </c>
      <c r="T46" t="inlineStr"/>
    </row>
    <row r="47">
      <c r="A47" t="n">
        <v>49</v>
      </c>
      <c r="B47" t="inlineStr">
        <is>
          <t>Monthly V</t>
        </is>
      </c>
      <c r="C47" t="inlineStr">
        <is>
          <t>Lost Stolen Card Reporting</t>
        </is>
      </c>
      <c r="D47" t="inlineStr">
        <is>
          <t>EFT</t>
        </is>
      </c>
      <c r="E47" t="b">
        <v>0</v>
      </c>
      <c r="F47" t="b">
        <v>0</v>
      </c>
      <c r="G47" s="12" t="n">
        <v>115.58</v>
      </c>
      <c r="H47" t="inlineStr">
        <is>
          <t>per card</t>
        </is>
      </c>
      <c r="I47" s="13" t="n">
        <v>13</v>
      </c>
      <c r="J47" s="12">
        <f>IF(B47="Monthly F",G47,IF(B47="Monthly V",G47*I47,IF(B47="Annual",G47/12,0)))</f>
        <v/>
      </c>
      <c r="K47" s="12">
        <f>IF(B47="One-Time",G47,J47*12)</f>
        <v/>
      </c>
      <c r="L47" s="12">
        <f>IF(B47="One-Time",0,K47*(1+Metadata!$B$8))</f>
        <v/>
      </c>
      <c r="M47" s="12">
        <f>IF(B47="One-Time",0,L47*(1+Metadata!$B$8))</f>
        <v/>
      </c>
      <c r="N47" s="12">
        <f>IF(B47="One-Time",0,M47*(1+Metadata!$B$8))</f>
        <v/>
      </c>
      <c r="O47" s="12">
        <f>IF(B47="One-Time",0,N47*(1+Metadata!$B$8))</f>
        <v/>
      </c>
      <c r="P47" s="12">
        <f>IF(B47="One-Time",0,O47*(1+Metadata!$B$8))</f>
        <v/>
      </c>
      <c r="Q47" s="12">
        <f>IF(B47="One-Time",0,P47*(1+Metadata!$B$8))</f>
        <v/>
      </c>
      <c r="R47" s="12">
        <f>SUM(K47:Q47)</f>
        <v/>
      </c>
      <c r="T47" t="inlineStr"/>
    </row>
    <row r="48">
      <c r="A48" t="n">
        <v>45</v>
      </c>
      <c r="B48" t="inlineStr">
        <is>
          <t>Monthly V</t>
        </is>
      </c>
      <c r="C48" t="inlineStr">
        <is>
          <t>Network Connections</t>
        </is>
      </c>
      <c r="D48" t="inlineStr">
        <is>
          <t>EFT</t>
        </is>
      </c>
      <c r="E48" t="b">
        <v>0</v>
      </c>
      <c r="F48" t="b">
        <v>0</v>
      </c>
      <c r="G48" s="12" t="n">
        <v>161.64</v>
      </c>
      <c r="H48" t="inlineStr">
        <is>
          <t>per institution</t>
        </is>
      </c>
      <c r="I48" s="13" t="n">
        <v>3</v>
      </c>
      <c r="J48" s="12">
        <f>IF(B48="Monthly F",G48,IF(B48="Monthly V",G48*I48,IF(B48="Annual",G48/12,0)))</f>
        <v/>
      </c>
      <c r="K48" s="12">
        <f>IF(B48="One-Time",G48,J48*12)</f>
        <v/>
      </c>
      <c r="L48" s="12">
        <f>IF(B48="One-Time",0,K48*(1+Metadata!$B$8))</f>
        <v/>
      </c>
      <c r="M48" s="12">
        <f>IF(B48="One-Time",0,L48*(1+Metadata!$B$8))</f>
        <v/>
      </c>
      <c r="N48" s="12">
        <f>IF(B48="One-Time",0,M48*(1+Metadata!$B$8))</f>
        <v/>
      </c>
      <c r="O48" s="12">
        <f>IF(B48="One-Time",0,N48*(1+Metadata!$B$8))</f>
        <v/>
      </c>
      <c r="P48" s="12">
        <f>IF(B48="One-Time",0,O48*(1+Metadata!$B$8))</f>
        <v/>
      </c>
      <c r="Q48" s="12">
        <f>IF(B48="One-Time",0,P48*(1+Metadata!$B$8))</f>
        <v/>
      </c>
      <c r="R48" s="12">
        <f>SUM(K48:Q48)</f>
        <v/>
      </c>
      <c r="T48" t="inlineStr"/>
    </row>
    <row r="49">
      <c r="A49" t="n">
        <v>44</v>
      </c>
      <c r="B49" t="inlineStr">
        <is>
          <t>Monthly V</t>
        </is>
      </c>
      <c r="C49" t="inlineStr">
        <is>
          <t>PIN Change IVR</t>
        </is>
      </c>
      <c r="D49" t="inlineStr">
        <is>
          <t>EFT</t>
        </is>
      </c>
      <c r="E49" t="b">
        <v>0</v>
      </c>
      <c r="F49" t="b">
        <v>0</v>
      </c>
      <c r="G49" s="12" t="n">
        <v>469.33</v>
      </c>
      <c r="H49" t="inlineStr">
        <is>
          <t>per change</t>
        </is>
      </c>
      <c r="I49" s="13" t="n">
        <v>871</v>
      </c>
      <c r="J49" s="12">
        <f>IF(B49="Monthly F",G49,IF(B49="Monthly V",G49*I49,IF(B49="Annual",G49/12,0)))</f>
        <v/>
      </c>
      <c r="K49" s="12">
        <f>IF(B49="One-Time",G49,J49*12)</f>
        <v/>
      </c>
      <c r="L49" s="12">
        <f>IF(B49="One-Time",0,K49*(1+Metadata!$B$8))</f>
        <v/>
      </c>
      <c r="M49" s="12">
        <f>IF(B49="One-Time",0,L49*(1+Metadata!$B$8))</f>
        <v/>
      </c>
      <c r="N49" s="12">
        <f>IF(B49="One-Time",0,M49*(1+Metadata!$B$8))</f>
        <v/>
      </c>
      <c r="O49" s="12">
        <f>IF(B49="One-Time",0,N49*(1+Metadata!$B$8))</f>
        <v/>
      </c>
      <c r="P49" s="12">
        <f>IF(B49="One-Time",0,O49*(1+Metadata!$B$8))</f>
        <v/>
      </c>
      <c r="Q49" s="12">
        <f>IF(B49="One-Time",0,P49*(1+Metadata!$B$8))</f>
        <v/>
      </c>
      <c r="R49" s="12">
        <f>SUM(K49:Q49)</f>
        <v/>
      </c>
      <c r="T49" t="inlineStr"/>
    </row>
    <row r="50">
      <c r="A50" t="n">
        <v>37</v>
      </c>
      <c r="B50" t="inlineStr">
        <is>
          <t>Monthly V</t>
        </is>
      </c>
      <c r="C50" t="inlineStr">
        <is>
          <t>PIN-based Transaction Volumes</t>
        </is>
      </c>
      <c r="D50" t="inlineStr">
        <is>
          <t>EFT</t>
        </is>
      </c>
      <c r="E50" t="b">
        <v>0</v>
      </c>
      <c r="F50" t="b">
        <v>0</v>
      </c>
      <c r="G50" s="12" t="n">
        <v>2721.26</v>
      </c>
      <c r="H50" t="inlineStr">
        <is>
          <t>per transaction</t>
        </is>
      </c>
      <c r="I50" s="13" t="n">
        <v>143224</v>
      </c>
      <c r="J50" s="12">
        <f>IF(B50="Monthly F",G50,IF(B50="Monthly V",G50*I50,IF(B50="Annual",G50/12,0)))</f>
        <v/>
      </c>
      <c r="K50" s="12">
        <f>IF(B50="One-Time",G50,J50*12)</f>
        <v/>
      </c>
      <c r="L50" s="12">
        <f>IF(B50="One-Time",0,K50*(1+Metadata!$B$8))</f>
        <v/>
      </c>
      <c r="M50" s="12">
        <f>IF(B50="One-Time",0,L50*(1+Metadata!$B$8))</f>
        <v/>
      </c>
      <c r="N50" s="12">
        <f>IF(B50="One-Time",0,M50*(1+Metadata!$B$8))</f>
        <v/>
      </c>
      <c r="O50" s="12">
        <f>IF(B50="One-Time",0,N50*(1+Metadata!$B$8))</f>
        <v/>
      </c>
      <c r="P50" s="12">
        <f>IF(B50="One-Time",0,O50*(1+Metadata!$B$8))</f>
        <v/>
      </c>
      <c r="Q50" s="12">
        <f>IF(B50="One-Time",0,P50*(1+Metadata!$B$8))</f>
        <v/>
      </c>
      <c r="R50" s="12">
        <f>SUM(K50:Q50)</f>
        <v/>
      </c>
      <c r="T50" t="inlineStr"/>
    </row>
    <row r="51">
      <c r="A51" t="n">
        <v>38</v>
      </c>
      <c r="B51" t="inlineStr">
        <is>
          <t>Monthly V</t>
        </is>
      </c>
      <c r="C51" t="inlineStr">
        <is>
          <t>Settlement/Clearing Based Transaction Volumes</t>
        </is>
      </c>
      <c r="D51" t="inlineStr">
        <is>
          <t>EFT</t>
        </is>
      </c>
      <c r="E51" t="b">
        <v>0</v>
      </c>
      <c r="F51" t="b">
        <v>0</v>
      </c>
      <c r="G51" s="12" t="n">
        <v>1990.49</v>
      </c>
      <c r="H51" t="inlineStr">
        <is>
          <t>per transaction</t>
        </is>
      </c>
      <c r="I51" s="13" t="n">
        <v>221165</v>
      </c>
      <c r="J51" s="12">
        <f>IF(B51="Monthly F",G51,IF(B51="Monthly V",G51*I51,IF(B51="Annual",G51/12,0)))</f>
        <v/>
      </c>
      <c r="K51" s="12">
        <f>IF(B51="One-Time",G51,J51*12)</f>
        <v/>
      </c>
      <c r="L51" s="12">
        <f>IF(B51="One-Time",0,K51*(1+Metadata!$B$8))</f>
        <v/>
      </c>
      <c r="M51" s="12">
        <f>IF(B51="One-Time",0,L51*(1+Metadata!$B$8))</f>
        <v/>
      </c>
      <c r="N51" s="12">
        <f>IF(B51="One-Time",0,M51*(1+Metadata!$B$8))</f>
        <v/>
      </c>
      <c r="O51" s="12">
        <f>IF(B51="One-Time",0,N51*(1+Metadata!$B$8))</f>
        <v/>
      </c>
      <c r="P51" s="12">
        <f>IF(B51="One-Time",0,O51*(1+Metadata!$B$8))</f>
        <v/>
      </c>
      <c r="Q51" s="12">
        <f>IF(B51="One-Time",0,P51*(1+Metadata!$B$8))</f>
        <v/>
      </c>
      <c r="R51" s="12">
        <f>SUM(K51:Q51)</f>
        <v/>
      </c>
      <c r="T51" t="inlineStr"/>
    </row>
    <row r="52">
      <c r="A52" t="n">
        <v>36</v>
      </c>
      <c r="B52" t="inlineStr">
        <is>
          <t>Monthly V</t>
        </is>
      </c>
      <c r="C52" t="inlineStr">
        <is>
          <t>Signature Based Authorizations</t>
        </is>
      </c>
      <c r="D52" t="inlineStr">
        <is>
          <t>EFT</t>
        </is>
      </c>
      <c r="E52" t="b">
        <v>0</v>
      </c>
      <c r="F52" t="b">
        <v>0</v>
      </c>
      <c r="G52" s="12" t="n">
        <v>3620.86</v>
      </c>
      <c r="H52" t="inlineStr">
        <is>
          <t>per transaction</t>
        </is>
      </c>
      <c r="I52" s="13" t="n">
        <v>206906</v>
      </c>
      <c r="J52" s="12">
        <f>IF(B52="Monthly F",G52,IF(B52="Monthly V",G52*I52,IF(B52="Annual",G52/12,0)))</f>
        <v/>
      </c>
      <c r="K52" s="12">
        <f>IF(B52="One-Time",G52,J52*12)</f>
        <v/>
      </c>
      <c r="L52" s="12">
        <f>IF(B52="One-Time",0,K52*(1+Metadata!$B$8))</f>
        <v/>
      </c>
      <c r="M52" s="12">
        <f>IF(B52="One-Time",0,L52*(1+Metadata!$B$8))</f>
        <v/>
      </c>
      <c r="N52" s="12">
        <f>IF(B52="One-Time",0,M52*(1+Metadata!$B$8))</f>
        <v/>
      </c>
      <c r="O52" s="12">
        <f>IF(B52="One-Time",0,N52*(1+Metadata!$B$8))</f>
        <v/>
      </c>
      <c r="P52" s="12">
        <f>IF(B52="One-Time",0,O52*(1+Metadata!$B$8))</f>
        <v/>
      </c>
      <c r="Q52" s="12">
        <f>IF(B52="One-Time",0,P52*(1+Metadata!$B$8))</f>
        <v/>
      </c>
      <c r="R52" s="12">
        <f>SUM(K52:Q52)</f>
        <v/>
      </c>
      <c r="T52" t="inlineStr"/>
    </row>
    <row r="53">
      <c r="A53" t="n">
        <v>35</v>
      </c>
      <c r="B53" t="inlineStr">
        <is>
          <t>One-Time</t>
        </is>
      </c>
      <c r="C53" t="inlineStr">
        <is>
          <t>BI Web Administrator - Implementation Fee</t>
        </is>
      </c>
      <c r="D53" t="inlineStr">
        <is>
          <t>Core</t>
        </is>
      </c>
      <c r="E53" t="b">
        <v>0</v>
      </c>
      <c r="F53" t="b">
        <v>0</v>
      </c>
      <c r="G53" s="12" t="n">
        <v>11250</v>
      </c>
      <c r="H53" t="inlineStr">
        <is>
          <t>one-time</t>
        </is>
      </c>
      <c r="J53" s="12">
        <f>IF(B53="Monthly F",G53,IF(B53="Monthly V",G53*I53,IF(B53="Annual",G53/12,0)))</f>
        <v/>
      </c>
      <c r="K53" s="12">
        <f>IF(B53="One-Time",G53,J53*12)</f>
        <v/>
      </c>
      <c r="L53" s="12">
        <f>IF(B53="One-Time",0,K53*(1+Metadata!$B$8))</f>
        <v/>
      </c>
      <c r="M53" s="12">
        <f>IF(B53="One-Time",0,L53*(1+Metadata!$B$8))</f>
        <v/>
      </c>
      <c r="N53" s="12">
        <f>IF(B53="One-Time",0,M53*(1+Metadata!$B$8))</f>
        <v/>
      </c>
      <c r="O53" s="12">
        <f>IF(B53="One-Time",0,N53*(1+Metadata!$B$8))</f>
        <v/>
      </c>
      <c r="P53" s="12">
        <f>IF(B53="One-Time",0,O53*(1+Metadata!$B$8))</f>
        <v/>
      </c>
      <c r="Q53" s="12">
        <f>IF(B53="One-Time",0,P53*(1+Metadata!$B$8))</f>
        <v/>
      </c>
      <c r="R53" s="12">
        <f>SUM(K53:Q53)</f>
        <v/>
      </c>
      <c r="T53" t="inlineStr"/>
    </row>
    <row r="54">
      <c r="A54" t="n">
        <v>30</v>
      </c>
      <c r="B54" t="inlineStr">
        <is>
          <t>One-Time</t>
        </is>
      </c>
      <c r="C54" t="inlineStr">
        <is>
          <t>CSi Simplicity Hosting - Implementation Fee</t>
        </is>
      </c>
      <c r="D54" t="inlineStr">
        <is>
          <t>Core</t>
        </is>
      </c>
      <c r="E54" t="b">
        <v>0</v>
      </c>
      <c r="F54" t="b">
        <v>0</v>
      </c>
      <c r="G54" s="12" t="n">
        <v>9000</v>
      </c>
      <c r="H54" t="inlineStr">
        <is>
          <t>one-time</t>
        </is>
      </c>
      <c r="J54" s="12">
        <f>IF(B54="Monthly F",G54,IF(B54="Monthly V",G54*I54,IF(B54="Annual",G54/12,0)))</f>
        <v/>
      </c>
      <c r="K54" s="12">
        <f>IF(B54="One-Time",G54,J54*12)</f>
        <v/>
      </c>
      <c r="L54" s="12">
        <f>IF(B54="One-Time",0,K54*(1+Metadata!$B$8))</f>
        <v/>
      </c>
      <c r="M54" s="12">
        <f>IF(B54="One-Time",0,L54*(1+Metadata!$B$8))</f>
        <v/>
      </c>
      <c r="N54" s="12">
        <f>IF(B54="One-Time",0,M54*(1+Metadata!$B$8))</f>
        <v/>
      </c>
      <c r="O54" s="12">
        <f>IF(B54="One-Time",0,N54*(1+Metadata!$B$8))</f>
        <v/>
      </c>
      <c r="P54" s="12">
        <f>IF(B54="One-Time",0,O54*(1+Metadata!$B$8))</f>
        <v/>
      </c>
      <c r="Q54" s="12">
        <f>IF(B54="One-Time",0,P54*(1+Metadata!$B$8))</f>
        <v/>
      </c>
      <c r="R54" s="12">
        <f>SUM(K54:Q54)</f>
        <v/>
      </c>
      <c r="T54" t="inlineStr"/>
    </row>
    <row r="55">
      <c r="A55" t="n">
        <v>33</v>
      </c>
      <c r="B55" t="inlineStr">
        <is>
          <t>One-Time</t>
        </is>
      </c>
      <c r="C55" t="inlineStr">
        <is>
          <t>HORIZON BI Enterprise License - Implementation Fee</t>
        </is>
      </c>
      <c r="D55" t="inlineStr">
        <is>
          <t>Core</t>
        </is>
      </c>
      <c r="E55" t="b">
        <v>0</v>
      </c>
      <c r="F55" t="b">
        <v>0</v>
      </c>
      <c r="G55" s="12" t="n">
        <v>19159</v>
      </c>
      <c r="H55" t="inlineStr">
        <is>
          <t>one-time</t>
        </is>
      </c>
      <c r="J55" s="12">
        <f>IF(B55="Monthly F",G55,IF(B55="Monthly V",G55*I55,IF(B55="Annual",G55/12,0)))</f>
        <v/>
      </c>
      <c r="K55" s="12">
        <f>IF(B55="One-Time",G55,J55*12)</f>
        <v/>
      </c>
      <c r="L55" s="12">
        <f>IF(B55="One-Time",0,K55*(1+Metadata!$B$8))</f>
        <v/>
      </c>
      <c r="M55" s="12">
        <f>IF(B55="One-Time",0,L55*(1+Metadata!$B$8))</f>
        <v/>
      </c>
      <c r="N55" s="12">
        <f>IF(B55="One-Time",0,M55*(1+Metadata!$B$8))</f>
        <v/>
      </c>
      <c r="O55" s="12">
        <f>IF(B55="One-Time",0,N55*(1+Metadata!$B$8))</f>
        <v/>
      </c>
      <c r="P55" s="12">
        <f>IF(B55="One-Time",0,O55*(1+Metadata!$B$8))</f>
        <v/>
      </c>
      <c r="Q55" s="12">
        <f>IF(B55="One-Time",0,P55*(1+Metadata!$B$8))</f>
        <v/>
      </c>
      <c r="R55" s="12">
        <f>SUM(K55:Q55)</f>
        <v/>
      </c>
      <c r="T55" t="inlineStr"/>
    </row>
    <row r="56">
      <c r="A56" t="n">
        <v>6</v>
      </c>
      <c r="B56" t="inlineStr">
        <is>
          <t>One-Time</t>
        </is>
      </c>
      <c r="C56" t="inlineStr">
        <is>
          <t>HORIZON Standard Third Party Interface Offerings (SB) - Implementation Fee</t>
        </is>
      </c>
      <c r="D56" t="inlineStr">
        <is>
          <t>Core</t>
        </is>
      </c>
      <c r="E56" t="b">
        <v>0</v>
      </c>
      <c r="F56" t="b">
        <v>0</v>
      </c>
      <c r="G56" s="12" t="n">
        <v>22500</v>
      </c>
      <c r="H56" t="inlineStr">
        <is>
          <t>one-time</t>
        </is>
      </c>
      <c r="J56" s="12">
        <f>IF(B56="Monthly F",G56,IF(B56="Monthly V",G56*I56,IF(B56="Annual",G56/12,0)))</f>
        <v/>
      </c>
      <c r="K56" s="12">
        <f>IF(B56="One-Time",G56,J56*12)</f>
        <v/>
      </c>
      <c r="L56" s="12">
        <f>IF(B56="One-Time",0,K56*(1+Metadata!$B$8))</f>
        <v/>
      </c>
      <c r="M56" s="12">
        <f>IF(B56="One-Time",0,L56*(1+Metadata!$B$8))</f>
        <v/>
      </c>
      <c r="N56" s="12">
        <f>IF(B56="One-Time",0,M56*(1+Metadata!$B$8))</f>
        <v/>
      </c>
      <c r="O56" s="12">
        <f>IF(B56="One-Time",0,N56*(1+Metadata!$B$8))</f>
        <v/>
      </c>
      <c r="P56" s="12">
        <f>IF(B56="One-Time",0,O56*(1+Metadata!$B$8))</f>
        <v/>
      </c>
      <c r="Q56" s="12">
        <f>IF(B56="One-Time",0,P56*(1+Metadata!$B$8))</f>
        <v/>
      </c>
      <c r="R56" s="12">
        <f>SUM(K56:Q56)</f>
        <v/>
      </c>
      <c r="T56" t="inlineStr"/>
    </row>
    <row r="57">
      <c r="A57" t="n">
        <v>25</v>
      </c>
      <c r="B57" t="inlineStr">
        <is>
          <t>One-Time</t>
        </is>
      </c>
      <c r="C57" t="inlineStr">
        <is>
          <t>Network Services - Implementation Fee</t>
        </is>
      </c>
      <c r="D57" t="inlineStr">
        <is>
          <t>Other</t>
        </is>
      </c>
      <c r="E57" t="b">
        <v>0</v>
      </c>
      <c r="F57" t="b">
        <v>0</v>
      </c>
      <c r="G57" s="12" t="n">
        <v>9218</v>
      </c>
      <c r="H57" t="inlineStr">
        <is>
          <t>one-time</t>
        </is>
      </c>
      <c r="J57" s="12">
        <f>IF(B57="Monthly F",G57,IF(B57="Monthly V",G57*I57,IF(B57="Annual",G57/12,0)))</f>
        <v/>
      </c>
      <c r="K57" s="12">
        <f>IF(B57="One-Time",G57,J57*12)</f>
        <v/>
      </c>
      <c r="L57" s="12">
        <f>IF(B57="One-Time",0,K57*(1+Metadata!$B$8))</f>
        <v/>
      </c>
      <c r="M57" s="12">
        <f>IF(B57="One-Time",0,L57*(1+Metadata!$B$8))</f>
        <v/>
      </c>
      <c r="N57" s="12">
        <f>IF(B57="One-Time",0,M57*(1+Metadata!$B$8))</f>
        <v/>
      </c>
      <c r="O57" s="12">
        <f>IF(B57="One-Time",0,N57*(1+Metadata!$B$8))</f>
        <v/>
      </c>
      <c r="P57" s="12">
        <f>IF(B57="One-Time",0,O57*(1+Metadata!$B$8))</f>
        <v/>
      </c>
      <c r="Q57" s="12">
        <f>IF(B57="One-Time",0,P57*(1+Metadata!$B$8))</f>
        <v/>
      </c>
      <c r="R57" s="12">
        <f>SUM(K57:Q57)</f>
        <v/>
      </c>
      <c r="T57" t="inlineStr"/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Item Processing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Other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Risk, Fraud &amp; Compliance</t>
        </is>
      </c>
      <c r="B10" s="9">
        <f>SUMIFS('Line Items'!$R:$R,'Line Items'!$D:$D,A10)</f>
        <v/>
      </c>
      <c r="C10" s="9">
        <f>B10/84</f>
        <v/>
      </c>
    </row>
    <row r="11">
      <c r="B11" s="9" t="n"/>
      <c r="C11" s="9" t="n"/>
    </row>
    <row r="12">
      <c r="A12" s="14" t="inlineStr">
        <is>
          <t>Total Required TCO</t>
        </is>
      </c>
      <c r="B12" s="15">
        <f>SUM(B5:B10)</f>
        <v/>
      </c>
      <c r="C12" s="15">
        <f>B12/84</f>
        <v/>
      </c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FIS</t>
        </is>
      </c>
    </row>
    <row r="3">
      <c r="A3" s="2" t="inlineStr">
        <is>
          <t>Client Name:</t>
        </is>
      </c>
      <c r="B3" t="inlineStr">
        <is>
          <t>First State Bank</t>
        </is>
      </c>
    </row>
    <row r="4">
      <c r="A4" s="2" t="inlineStr">
        <is>
          <t>Proposal Type:</t>
        </is>
      </c>
      <c r="B4" t="inlineStr">
        <is>
          <t>N/A</t>
        </is>
      </c>
    </row>
    <row r="5">
      <c r="A5" s="2" t="inlineStr">
        <is>
          <t>Proposal Date:</t>
        </is>
      </c>
      <c r="B5" t="inlineStr">
        <is>
          <t>2024-03-21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2025-12-18 08:50:22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2025-12-18T14:50:22Z</dcterms:modified>
</cp:coreProperties>
</file>