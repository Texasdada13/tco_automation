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7</v>
      </c>
      <c r="B2" t="inlineStr">
        <is>
          <t>Monthly F</t>
        </is>
      </c>
      <c r="C2" t="inlineStr">
        <is>
          <t>API Gateway Enterprise</t>
        </is>
      </c>
      <c r="D2" t="inlineStr">
        <is>
          <t>Other</t>
        </is>
      </c>
      <c r="E2" t="b">
        <v>0</v>
      </c>
      <c r="F2" t="b">
        <v>0</v>
      </c>
      <c r="G2" s="12" t="n">
        <v>2400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7-year pricing used as primary contract term</t>
        </is>
      </c>
    </row>
    <row r="3">
      <c r="A3" t="n">
        <v>15</v>
      </c>
      <c r="B3" t="inlineStr">
        <is>
          <t>Monthly F</t>
        </is>
      </c>
      <c r="C3" t="inlineStr">
        <is>
          <t>Account Reconciliation Pro</t>
        </is>
      </c>
      <c r="D3" t="inlineStr">
        <is>
          <t>Other</t>
        </is>
      </c>
      <c r="E3" t="b">
        <v>0</v>
      </c>
      <c r="F3" t="b">
        <v>0</v>
      </c>
      <c r="G3" s="12" t="n">
        <v>575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Fixed monthly fee only</t>
        </is>
      </c>
    </row>
    <row r="4">
      <c r="A4" t="n">
        <v>8</v>
      </c>
      <c r="B4" t="inlineStr">
        <is>
          <t>Monthly F</t>
        </is>
      </c>
      <c r="C4" t="inlineStr">
        <is>
          <t>Compliance Manager Pro</t>
        </is>
      </c>
      <c r="D4" t="inlineStr">
        <is>
          <t>Other</t>
        </is>
      </c>
      <c r="E4" t="b">
        <v>0</v>
      </c>
      <c r="F4" t="b">
        <v>0</v>
      </c>
      <c r="G4" s="12" t="n">
        <v>1800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7-year pricing used as primary contract term</t>
        </is>
      </c>
    </row>
    <row r="5">
      <c r="A5" t="n">
        <v>2</v>
      </c>
      <c r="B5" t="inlineStr">
        <is>
          <t>Monthly F</t>
        </is>
      </c>
      <c r="C5" t="inlineStr">
        <is>
          <t>Digital One Enterprise</t>
        </is>
      </c>
      <c r="D5" t="inlineStr">
        <is>
          <t>Other</t>
        </is>
      </c>
      <c r="E5" t="b">
        <v>0</v>
      </c>
      <c r="F5" t="b">
        <v>0</v>
      </c>
      <c r="G5" s="12" t="n">
        <v>12200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7-year pricing used as primary contract term</t>
        </is>
      </c>
    </row>
    <row r="6">
      <c r="A6" t="n">
        <v>5</v>
      </c>
      <c r="B6" t="inlineStr">
        <is>
          <t>Monthly F</t>
        </is>
      </c>
      <c r="C6" t="inlineStr">
        <is>
          <t>Enterprise Analytics</t>
        </is>
      </c>
      <c r="D6" t="inlineStr">
        <is>
          <t>Other</t>
        </is>
      </c>
      <c r="E6" t="b">
        <v>0</v>
      </c>
      <c r="F6" t="b">
        <v>0</v>
      </c>
      <c r="G6" s="12" t="n">
        <v>3800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7-year pricing used as primary contract term</t>
        </is>
      </c>
    </row>
    <row r="7">
      <c r="A7" t="n">
        <v>1</v>
      </c>
      <c r="B7" t="inlineStr">
        <is>
          <t>Monthly F</t>
        </is>
      </c>
      <c r="C7" t="inlineStr">
        <is>
          <t>HORIZON Enterprise Core</t>
        </is>
      </c>
      <c r="D7" t="inlineStr">
        <is>
          <t>Other</t>
        </is>
      </c>
      <c r="E7" t="b">
        <v>0</v>
      </c>
      <c r="F7" t="b">
        <v>0</v>
      </c>
      <c r="G7" s="12" t="n">
        <v>24500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7-year pricing used as primary contract term</t>
        </is>
      </c>
    </row>
    <row r="8">
      <c r="A8" t="n">
        <v>4</v>
      </c>
      <c r="B8" t="inlineStr">
        <is>
          <t>Monthly F</t>
        </is>
      </c>
      <c r="C8" t="inlineStr">
        <is>
          <t>ImageCentre Pro</t>
        </is>
      </c>
      <c r="D8" t="inlineStr">
        <is>
          <t>Other</t>
        </is>
      </c>
      <c r="E8" t="b">
        <v>0</v>
      </c>
      <c r="F8" t="b">
        <v>0</v>
      </c>
      <c r="G8" s="12" t="n">
        <v>5500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7-year pricing used as primary contract term</t>
        </is>
      </c>
    </row>
    <row r="9">
      <c r="A9" t="n">
        <v>16</v>
      </c>
      <c r="B9" t="inlineStr">
        <is>
          <t>Monthly F</t>
        </is>
      </c>
      <c r="C9" t="inlineStr">
        <is>
          <t>Mobile Banking Enterprise</t>
        </is>
      </c>
      <c r="D9" t="inlineStr">
        <is>
          <t>Other</t>
        </is>
      </c>
      <c r="E9" t="b">
        <v>0</v>
      </c>
      <c r="F9" t="b">
        <v>0</v>
      </c>
      <c r="G9" s="12" t="n">
        <v>1850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Fixed monthly fee only</t>
        </is>
      </c>
    </row>
    <row r="10">
      <c r="A10" t="n">
        <v>3</v>
      </c>
      <c r="B10" t="inlineStr">
        <is>
          <t>Monthly F</t>
        </is>
      </c>
      <c r="C10" t="inlineStr">
        <is>
          <t>Payments One Complete</t>
        </is>
      </c>
      <c r="D10" t="inlineStr">
        <is>
          <t>Other</t>
        </is>
      </c>
      <c r="E10" t="b">
        <v>0</v>
      </c>
      <c r="F10" t="b">
        <v>0</v>
      </c>
      <c r="G10" s="12" t="n">
        <v>8400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7-year pricing used as primary contract term</t>
        </is>
      </c>
    </row>
    <row r="11">
      <c r="A11" t="n">
        <v>6</v>
      </c>
      <c r="B11" t="inlineStr">
        <is>
          <t>Monthly F</t>
        </is>
      </c>
      <c r="C11" t="inlineStr">
        <is>
          <t>Security Suite Premium</t>
        </is>
      </c>
      <c r="D11" t="inlineStr">
        <is>
          <t>Other</t>
        </is>
      </c>
      <c r="E11" t="b">
        <v>0</v>
      </c>
      <c r="F11" t="b">
        <v>0</v>
      </c>
      <c r="G11" s="12" t="n">
        <v>2700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7-year pricing used as primary contract term</t>
        </is>
      </c>
    </row>
    <row r="12">
      <c r="A12" t="n">
        <v>9</v>
      </c>
      <c r="B12" t="inlineStr">
        <is>
          <t>Monthly V</t>
        </is>
      </c>
      <c r="C12" t="inlineStr">
        <is>
          <t>ACH Origination Enterprise</t>
        </is>
      </c>
      <c r="D12" t="inlineStr">
        <is>
          <t>Other</t>
        </is>
      </c>
      <c r="E12" t="b">
        <v>0</v>
      </c>
      <c r="F12" t="b">
        <v>0</v>
      </c>
      <c r="G12" s="12" t="n">
        <v>1450</v>
      </c>
      <c r="H12" t="inlineStr">
        <is>
          <t>per item</t>
        </is>
      </c>
      <c r="I12" s="13" t="n">
        <v>1</v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Base monthly fee plus per-transaction pricing</t>
        </is>
      </c>
    </row>
    <row r="13">
      <c r="A13" t="n">
        <v>10</v>
      </c>
      <c r="B13" t="inlineStr">
        <is>
          <t>Monthly V</t>
        </is>
      </c>
      <c r="C13" t="inlineStr">
        <is>
          <t>ACH Receipt Processing</t>
        </is>
      </c>
      <c r="D13" t="inlineStr">
        <is>
          <t>Other</t>
        </is>
      </c>
      <c r="E13" t="b">
        <v>0</v>
      </c>
      <c r="F13" t="b">
        <v>0</v>
      </c>
      <c r="G13" s="12" t="n">
        <v>425</v>
      </c>
      <c r="H13" t="inlineStr">
        <is>
          <t>per item</t>
        </is>
      </c>
      <c r="I13" s="13" t="n">
        <v>1</v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Base monthly fee plus per-transaction pricing</t>
        </is>
      </c>
    </row>
    <row r="14">
      <c r="A14" t="n">
        <v>17</v>
      </c>
      <c r="B14" t="inlineStr">
        <is>
          <t>Monthly V</t>
        </is>
      </c>
      <c r="C14" t="inlineStr">
        <is>
          <t>Bill Pay Platform</t>
        </is>
      </c>
      <c r="D14" t="inlineStr">
        <is>
          <t>Other</t>
        </is>
      </c>
      <c r="E14" t="b">
        <v>0</v>
      </c>
      <c r="F14" t="b">
        <v>0</v>
      </c>
      <c r="G14" s="12" t="n">
        <v>625</v>
      </c>
      <c r="H14" t="inlineStr">
        <is>
          <t>per payment</t>
        </is>
      </c>
      <c r="I14" s="13" t="n">
        <v>1</v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Base monthly fee plus per-payment pricing</t>
        </is>
      </c>
    </row>
    <row r="15">
      <c r="A15" t="n">
        <v>14</v>
      </c>
      <c r="B15" t="inlineStr">
        <is>
          <t>Monthly V</t>
        </is>
      </c>
      <c r="C15" t="inlineStr">
        <is>
          <t>Positive Pay Enterprise</t>
        </is>
      </c>
      <c r="D15" t="inlineStr">
        <is>
          <t>Other</t>
        </is>
      </c>
      <c r="E15" t="b">
        <v>0</v>
      </c>
      <c r="F15" t="b">
        <v>0</v>
      </c>
      <c r="G15" s="12" t="n">
        <v>725</v>
      </c>
      <c r="H15" t="inlineStr">
        <is>
          <t>per item</t>
        </is>
      </c>
      <c r="I15" s="13" t="n">
        <v>1</v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Base monthly fee plus per-item pricing</t>
        </is>
      </c>
    </row>
    <row r="16">
      <c r="A16" t="n">
        <v>13</v>
      </c>
      <c r="B16" t="inlineStr">
        <is>
          <t>Monthly V</t>
        </is>
      </c>
      <c r="C16" t="inlineStr">
        <is>
          <t>Remote Deposit Capture</t>
        </is>
      </c>
      <c r="D16" t="inlineStr">
        <is>
          <t>Other</t>
        </is>
      </c>
      <c r="E16" t="b">
        <v>0</v>
      </c>
      <c r="F16" t="b">
        <v>0</v>
      </c>
      <c r="G16" s="12" t="n">
        <v>1100</v>
      </c>
      <c r="H16" t="inlineStr">
        <is>
          <t>per deposit</t>
        </is>
      </c>
      <c r="I16" s="13" t="n">
        <v>1</v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Base monthly fee plus per-deposit pricing</t>
        </is>
      </c>
    </row>
    <row r="17">
      <c r="A17" t="n">
        <v>11</v>
      </c>
      <c r="B17" t="inlineStr">
        <is>
          <t>Monthly V</t>
        </is>
      </c>
      <c r="C17" t="inlineStr">
        <is>
          <t>Wire Transfer - Domestic</t>
        </is>
      </c>
      <c r="D17" t="inlineStr">
        <is>
          <t>Other</t>
        </is>
      </c>
      <c r="E17" t="b">
        <v>0</v>
      </c>
      <c r="F17" t="b">
        <v>0</v>
      </c>
      <c r="G17" s="12" t="n">
        <v>850</v>
      </c>
      <c r="H17" t="inlineStr">
        <is>
          <t>per wire</t>
        </is>
      </c>
      <c r="I17" s="13" t="n">
        <v>1</v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Base monthly fee plus per-wire pricing</t>
        </is>
      </c>
    </row>
    <row r="18">
      <c r="A18" t="n">
        <v>12</v>
      </c>
      <c r="B18" t="inlineStr">
        <is>
          <t>Monthly V</t>
        </is>
      </c>
      <c r="C18" t="inlineStr">
        <is>
          <t>Wire Transfer - International</t>
        </is>
      </c>
      <c r="D18" t="inlineStr">
        <is>
          <t>Other</t>
        </is>
      </c>
      <c r="E18" t="b">
        <v>0</v>
      </c>
      <c r="F18" t="b">
        <v>0</v>
      </c>
      <c r="G18" s="12" t="n">
        <v>650</v>
      </c>
      <c r="H18" t="inlineStr">
        <is>
          <t>per wire</t>
        </is>
      </c>
      <c r="I18" s="13" t="n">
        <v>1</v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Base monthly fee plus per-wire pricing</t>
        </is>
      </c>
    </row>
    <row r="19">
      <c r="A19" t="n">
        <v>18</v>
      </c>
      <c r="B19" t="inlineStr">
        <is>
          <t>Monthly V</t>
        </is>
      </c>
      <c r="C19" t="inlineStr">
        <is>
          <t>eStatements Enterprise</t>
        </is>
      </c>
      <c r="D19" t="inlineStr">
        <is>
          <t>Other</t>
        </is>
      </c>
      <c r="E19" t="b">
        <v>0</v>
      </c>
      <c r="F19" t="b">
        <v>0</v>
      </c>
      <c r="G19" s="12" t="n">
        <v>480</v>
      </c>
      <c r="H19" t="inlineStr">
        <is>
          <t>per statement</t>
        </is>
      </c>
      <c r="I19" s="13" t="n">
        <v>1</v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Base monthly fee plus per-statement pricing</t>
        </is>
      </c>
    </row>
    <row r="20">
      <c r="A20" t="n">
        <v>38</v>
      </c>
      <c r="B20" t="inlineStr">
        <is>
          <t>One-Time</t>
        </is>
      </c>
      <c r="C20" t="inlineStr">
        <is>
          <t>Custom Configuration - Implementation Fee</t>
        </is>
      </c>
      <c r="D20" t="inlineStr">
        <is>
          <t>Other</t>
        </is>
      </c>
      <c r="E20" t="b">
        <v>0</v>
      </c>
      <c r="F20" t="b">
        <v>0</v>
      </c>
      <c r="G20" s="12" t="n">
        <v>28000</v>
      </c>
      <c r="H20" t="inlineStr">
        <is>
          <t>one-time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One-time implementation fee</t>
        </is>
      </c>
    </row>
    <row r="21">
      <c r="A21" t="n">
        <v>34</v>
      </c>
      <c r="B21" t="inlineStr">
        <is>
          <t>One-Time</t>
        </is>
      </c>
      <c r="C21" t="inlineStr">
        <is>
          <t>Data Migration &amp; Conversion - Implementation Fee</t>
        </is>
      </c>
      <c r="D21" t="inlineStr">
        <is>
          <t>Other</t>
        </is>
      </c>
      <c r="E21" t="b">
        <v>0</v>
      </c>
      <c r="F21" t="b">
        <v>0</v>
      </c>
      <c r="G21" s="12" t="n">
        <v>72000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One-time implementation fee</t>
        </is>
      </c>
    </row>
    <row r="22">
      <c r="A22" t="n">
        <v>33</v>
      </c>
      <c r="B22" t="inlineStr">
        <is>
          <t>One-Time</t>
        </is>
      </c>
      <c r="C22" t="inlineStr">
        <is>
          <t>Enterprise Core Implementation - Implementation Fee</t>
        </is>
      </c>
      <c r="D22" t="inlineStr">
        <is>
          <t>Other</t>
        </is>
      </c>
      <c r="E22" t="b">
        <v>0</v>
      </c>
      <c r="F22" t="b">
        <v>0</v>
      </c>
      <c r="G22" s="12" t="n">
        <v>185000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One-time implementation fee</t>
        </is>
      </c>
    </row>
    <row r="23">
      <c r="A23" t="n">
        <v>40</v>
      </c>
      <c r="B23" t="inlineStr">
        <is>
          <t>One-Time</t>
        </is>
      </c>
      <c r="C23" t="inlineStr">
        <is>
          <t>Enterprise Customer Credit - Implementation Fee</t>
        </is>
      </c>
      <c r="D23" t="inlineStr">
        <is>
          <t>Other</t>
        </is>
      </c>
      <c r="E23" t="b">
        <v>0</v>
      </c>
      <c r="F23" t="b">
        <v>0</v>
      </c>
      <c r="G23" s="12" t="n">
        <v>-65000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One-time credit applied to implementation</t>
        </is>
      </c>
    </row>
    <row r="24">
      <c r="A24" t="n">
        <v>35</v>
      </c>
      <c r="B24" t="inlineStr">
        <is>
          <t>One-Time</t>
        </is>
      </c>
      <c r="C24" t="inlineStr">
        <is>
          <t>Integration Development - Implementation Fee</t>
        </is>
      </c>
      <c r="D24" t="inlineStr">
        <is>
          <t>Other</t>
        </is>
      </c>
      <c r="E24" t="b">
        <v>0</v>
      </c>
      <c r="F24" t="b">
        <v>0</v>
      </c>
      <c r="G24" s="12" t="n">
        <v>48000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One-time implementation fee</t>
        </is>
      </c>
    </row>
    <row r="25">
      <c r="A25" t="n">
        <v>37</v>
      </c>
      <c r="B25" t="inlineStr">
        <is>
          <t>One-Time</t>
        </is>
      </c>
      <c r="C25" t="inlineStr">
        <is>
          <t>Project Management - Implementation Fee</t>
        </is>
      </c>
      <c r="D25" t="inlineStr">
        <is>
          <t>Other</t>
        </is>
      </c>
      <c r="E25" t="b">
        <v>0</v>
      </c>
      <c r="F25" t="b">
        <v>0</v>
      </c>
      <c r="G25" s="12" t="n">
        <v>38000</v>
      </c>
      <c r="H25" t="inlineStr">
        <is>
          <t>one-time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One-time implementation fee</t>
        </is>
      </c>
    </row>
    <row r="26">
      <c r="A26" t="n">
        <v>39</v>
      </c>
      <c r="B26" t="inlineStr">
        <is>
          <t>One-Time</t>
        </is>
      </c>
      <c r="C26" t="inlineStr">
        <is>
          <t>Testing &amp; QA - Implementation Fee</t>
        </is>
      </c>
      <c r="D26" t="inlineStr">
        <is>
          <t>Other</t>
        </is>
      </c>
      <c r="E26" t="b">
        <v>0</v>
      </c>
      <c r="F26" t="b">
        <v>0</v>
      </c>
      <c r="G26" s="12" t="n">
        <v>22000</v>
      </c>
      <c r="H26" t="inlineStr">
        <is>
          <t>one-time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One-time implementation fee</t>
        </is>
      </c>
    </row>
    <row r="27">
      <c r="A27" t="n">
        <v>36</v>
      </c>
      <c r="B27" t="inlineStr">
        <is>
          <t>One-Time</t>
        </is>
      </c>
      <c r="C27" t="inlineStr">
        <is>
          <t>Training Program (Comprehensive) - Implementation Fee</t>
        </is>
      </c>
      <c r="D27" t="inlineStr">
        <is>
          <t>Other</t>
        </is>
      </c>
      <c r="E27" t="b">
        <v>0</v>
      </c>
      <c r="F27" t="b">
        <v>0</v>
      </c>
      <c r="G27" s="12" t="n">
        <v>35000</v>
      </c>
      <c r="H27" t="inlineStr">
        <is>
          <t>one-time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One-time implementation fee</t>
        </is>
      </c>
    </row>
    <row r="28">
      <c r="A28" t="n">
        <v>31</v>
      </c>
      <c r="B28" t="inlineStr">
        <is>
          <t>Annual</t>
        </is>
      </c>
      <c r="C28" t="inlineStr">
        <is>
          <t>Cyber Insurance</t>
        </is>
      </c>
      <c r="D28" t="inlineStr">
        <is>
          <t>Other</t>
        </is>
      </c>
      <c r="E28" t="b">
        <v>1</v>
      </c>
      <c r="F28" t="b">
        <v>0</v>
      </c>
      <c r="G28" s="12" t="n">
        <v>2000</v>
      </c>
      <c r="H28" t="inlineStr">
        <is>
          <t>per year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Annual fee converted to monthly equivalent</t>
        </is>
      </c>
    </row>
    <row r="29">
      <c r="A29" t="n">
        <v>29</v>
      </c>
      <c r="B29" t="inlineStr">
        <is>
          <t>Monthly F</t>
        </is>
      </c>
      <c r="C29" t="inlineStr">
        <is>
          <t>Disaster Recovery</t>
        </is>
      </c>
      <c r="D29" t="inlineStr">
        <is>
          <t>Other</t>
        </is>
      </c>
      <c r="E29" t="b">
        <v>1</v>
      </c>
      <c r="F29" t="b">
        <v>0</v>
      </c>
      <c r="G29" s="12" t="n">
        <v>1650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Third-party required service</t>
        </is>
      </c>
    </row>
    <row r="30">
      <c r="A30" t="n">
        <v>27</v>
      </c>
      <c r="B30" t="inlineStr">
        <is>
          <t>Monthly F</t>
        </is>
      </c>
      <c r="C30" t="inlineStr">
        <is>
          <t>Enterprise Hosting (AWS)</t>
        </is>
      </c>
      <c r="D30" t="inlineStr">
        <is>
          <t>Other</t>
        </is>
      </c>
      <c r="E30" t="b">
        <v>1</v>
      </c>
      <c r="F30" t="b">
        <v>0</v>
      </c>
      <c r="G30" s="12" t="n">
        <v>5200</v>
      </c>
      <c r="H30" t="inlineStr">
        <is>
          <t>per month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Third-party required service</t>
        </is>
      </c>
    </row>
    <row r="31">
      <c r="A31" t="n">
        <v>28</v>
      </c>
      <c r="B31" t="inlineStr">
        <is>
          <t>Monthly F</t>
        </is>
      </c>
      <c r="C31" t="inlineStr">
        <is>
          <t>Network Security Suite</t>
        </is>
      </c>
      <c r="D31" t="inlineStr">
        <is>
          <t>Other</t>
        </is>
      </c>
      <c r="E31" t="b">
        <v>1</v>
      </c>
      <c r="F31" t="b">
        <v>0</v>
      </c>
      <c r="G31" s="12" t="n">
        <v>2800</v>
      </c>
      <c r="H31" t="inlineStr">
        <is>
          <t>per month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Third-party required service</t>
        </is>
      </c>
    </row>
    <row r="32">
      <c r="A32" t="n">
        <v>30</v>
      </c>
      <c r="B32" t="inlineStr">
        <is>
          <t>Monthly F</t>
        </is>
      </c>
      <c r="C32" t="inlineStr">
        <is>
          <t>Regulatory Compliance</t>
        </is>
      </c>
      <c r="D32" t="inlineStr">
        <is>
          <t>Other</t>
        </is>
      </c>
      <c r="E32" t="b">
        <v>1</v>
      </c>
      <c r="F32" t="b">
        <v>0</v>
      </c>
      <c r="G32" s="12" t="n">
        <v>1100</v>
      </c>
      <c r="H32" t="inlineStr">
        <is>
          <t>per month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0.95</v>
      </c>
      <c r="T32" t="inlineStr">
        <is>
          <t>Third-party required service</t>
        </is>
      </c>
    </row>
    <row r="33">
      <c r="A33" t="n">
        <v>25</v>
      </c>
      <c r="B33" t="inlineStr">
        <is>
          <t>Monthly F</t>
        </is>
      </c>
      <c r="C33" t="inlineStr">
        <is>
          <t>Advanced Reporting Suite</t>
        </is>
      </c>
      <c r="D33" t="inlineStr">
        <is>
          <t>Other</t>
        </is>
      </c>
      <c r="E33" t="b">
        <v>0</v>
      </c>
      <c r="F33" t="b">
        <v>1</v>
      </c>
      <c r="G33" s="12" t="n">
        <v>650</v>
      </c>
      <c r="H33" t="inlineStr">
        <is>
          <t>per month</t>
        </is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0.95</v>
      </c>
      <c r="T33" t="inlineStr">
        <is>
          <t>Optional service</t>
        </is>
      </c>
    </row>
    <row r="34">
      <c r="A34" t="n">
        <v>19</v>
      </c>
      <c r="B34" t="inlineStr">
        <is>
          <t>Monthly F</t>
        </is>
      </c>
      <c r="C34" t="inlineStr">
        <is>
          <t>Commercial Cash Management Suite</t>
        </is>
      </c>
      <c r="D34" t="inlineStr">
        <is>
          <t>Other</t>
        </is>
      </c>
      <c r="E34" t="b">
        <v>0</v>
      </c>
      <c r="F34" t="b">
        <v>1</v>
      </c>
      <c r="G34" s="12" t="n">
        <v>2400</v>
      </c>
      <c r="H34" t="inlineStr">
        <is>
          <t>per month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0.95</v>
      </c>
      <c r="T34" t="inlineStr">
        <is>
          <t>Optional service</t>
        </is>
      </c>
    </row>
    <row r="35">
      <c r="A35" t="n">
        <v>21</v>
      </c>
      <c r="B35" t="inlineStr">
        <is>
          <t>Monthly F</t>
        </is>
      </c>
      <c r="C35" t="inlineStr">
        <is>
          <t>Controlled Disbursement</t>
        </is>
      </c>
      <c r="D35" t="inlineStr">
        <is>
          <t>Other</t>
        </is>
      </c>
      <c r="E35" t="b">
        <v>0</v>
      </c>
      <c r="F35" t="b">
        <v>1</v>
      </c>
      <c r="G35" s="12" t="n">
        <v>750</v>
      </c>
      <c r="H35" t="inlineStr">
        <is>
          <t>per month</t>
        </is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0.95</v>
      </c>
      <c r="T35" t="inlineStr">
        <is>
          <t>Optional service</t>
        </is>
      </c>
    </row>
    <row r="36">
      <c r="A36" t="n">
        <v>24</v>
      </c>
      <c r="B36" t="inlineStr">
        <is>
          <t>Monthly F</t>
        </is>
      </c>
      <c r="C36" t="inlineStr">
        <is>
          <t>Custom API Development</t>
        </is>
      </c>
      <c r="D36" t="inlineStr">
        <is>
          <t>Other</t>
        </is>
      </c>
      <c r="E36" t="b">
        <v>0</v>
      </c>
      <c r="F36" t="b">
        <v>1</v>
      </c>
      <c r="G36" s="12" t="n">
        <v>1200</v>
      </c>
      <c r="H36" t="inlineStr">
        <is>
          <t>per month</t>
        </is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0.95</v>
      </c>
      <c r="T36" t="inlineStr">
        <is>
          <t>Optional service</t>
        </is>
      </c>
    </row>
    <row r="37">
      <c r="A37" t="n">
        <v>26</v>
      </c>
      <c r="B37" t="inlineStr">
        <is>
          <t>Monthly F</t>
        </is>
      </c>
      <c r="C37" t="inlineStr">
        <is>
          <t>Extended Support 24/7</t>
        </is>
      </c>
      <c r="D37" t="inlineStr">
        <is>
          <t>Other</t>
        </is>
      </c>
      <c r="E37" t="b">
        <v>0</v>
      </c>
      <c r="F37" t="b">
        <v>1</v>
      </c>
      <c r="G37" s="12" t="n">
        <v>575</v>
      </c>
      <c r="H37" t="inlineStr">
        <is>
          <t>per month</t>
        </is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0.95</v>
      </c>
      <c r="T37" t="inlineStr">
        <is>
          <t>Optional service</t>
        </is>
      </c>
    </row>
    <row r="38">
      <c r="A38" t="n">
        <v>23</v>
      </c>
      <c r="B38" t="inlineStr">
        <is>
          <t>Monthly F</t>
        </is>
      </c>
      <c r="C38" t="inlineStr">
        <is>
          <t>Fraud Detection AI</t>
        </is>
      </c>
      <c r="D38" t="inlineStr">
        <is>
          <t>Other</t>
        </is>
      </c>
      <c r="E38" t="b">
        <v>0</v>
      </c>
      <c r="F38" t="b">
        <v>1</v>
      </c>
      <c r="G38" s="12" t="n">
        <v>950</v>
      </c>
      <c r="H38" t="inlineStr">
        <is>
          <t>per month</t>
        </is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S38" s="3" t="n">
        <v>0.95</v>
      </c>
      <c r="T38" t="inlineStr">
        <is>
          <t>Optional service</t>
        </is>
      </c>
    </row>
    <row r="39">
      <c r="A39" t="n">
        <v>20</v>
      </c>
      <c r="B39" t="inlineStr">
        <is>
          <t>Monthly F</t>
        </is>
      </c>
      <c r="C39" t="inlineStr">
        <is>
          <t>Lockbox Services Enterprise</t>
        </is>
      </c>
      <c r="D39" t="inlineStr">
        <is>
          <t>Other</t>
        </is>
      </c>
      <c r="E39" t="b">
        <v>0</v>
      </c>
      <c r="F39" t="b">
        <v>1</v>
      </c>
      <c r="G39" s="12" t="n">
        <v>2800</v>
      </c>
      <c r="H39" t="inlineStr">
        <is>
          <t>per month</t>
        </is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S39" s="3" t="n">
        <v>0.95</v>
      </c>
      <c r="T39" t="inlineStr">
        <is>
          <t>Optional service</t>
        </is>
      </c>
    </row>
    <row r="40">
      <c r="A40" t="n">
        <v>22</v>
      </c>
      <c r="B40" t="inlineStr">
        <is>
          <t>Monthly F</t>
        </is>
      </c>
      <c r="C40" t="inlineStr">
        <is>
          <t>Sweep Services</t>
        </is>
      </c>
      <c r="D40" t="inlineStr">
        <is>
          <t>Other</t>
        </is>
      </c>
      <c r="E40" t="b">
        <v>0</v>
      </c>
      <c r="F40" t="b">
        <v>1</v>
      </c>
      <c r="G40" s="12" t="n">
        <v>425</v>
      </c>
      <c r="H40" t="inlineStr">
        <is>
          <t>per month</t>
        </is>
      </c>
      <c r="J40" s="12">
        <f>IF(B40="Monthly F",G40,IF(B40="Monthly V",G40*I40,IF(B40="Annual",G40/12,0)))</f>
        <v/>
      </c>
      <c r="K40" s="12">
        <f>IF(B40="One-Time",G40,J40*12)</f>
        <v/>
      </c>
      <c r="L40" s="12">
        <f>IF(B40="One-Time",0,K40*(1+Metadata!$B$8))</f>
        <v/>
      </c>
      <c r="M40" s="12">
        <f>IF(B40="One-Time",0,L40*(1+Metadata!$B$8))</f>
        <v/>
      </c>
      <c r="N40" s="12">
        <f>IF(B40="One-Time",0,M40*(1+Metadata!$B$8))</f>
        <v/>
      </c>
      <c r="O40" s="12">
        <f>IF(B40="One-Time",0,N40*(1+Metadata!$B$8))</f>
        <v/>
      </c>
      <c r="P40" s="12">
        <f>IF(B40="One-Time",0,O40*(1+Metadata!$B$8))</f>
        <v/>
      </c>
      <c r="Q40" s="12">
        <f>IF(B40="One-Time",0,P40*(1+Metadata!$B$8))</f>
        <v/>
      </c>
      <c r="R40" s="12">
        <f>SUM(K40:Q40)</f>
        <v/>
      </c>
      <c r="S40" s="3" t="n">
        <v>0.95</v>
      </c>
      <c r="T40" t="inlineStr">
        <is>
          <t>Optional service</t>
        </is>
      </c>
    </row>
    <row r="41">
      <c r="A41" t="n">
        <v>32</v>
      </c>
      <c r="B41" t="inlineStr">
        <is>
          <t>Annual</t>
        </is>
      </c>
      <c r="C41" t="inlineStr">
        <is>
          <t>Penetration Testing</t>
        </is>
      </c>
      <c r="D41" t="inlineStr">
        <is>
          <t>Other</t>
        </is>
      </c>
      <c r="E41" t="b">
        <v>1</v>
      </c>
      <c r="F41" t="b">
        <v>1</v>
      </c>
      <c r="G41" s="12" t="n">
        <v>1500</v>
      </c>
      <c r="H41" t="inlineStr">
        <is>
          <t>per year</t>
        </is>
      </c>
      <c r="J41" s="12">
        <f>IF(B41="Monthly F",G41,IF(B41="Monthly V",G41*I41,IF(B41="Annual",G41/12,0)))</f>
        <v/>
      </c>
      <c r="K41" s="12">
        <f>IF(B41="One-Time",G41,J41*12)</f>
        <v/>
      </c>
      <c r="L41" s="12">
        <f>IF(B41="One-Time",0,K41*(1+Metadata!$B$8))</f>
        <v/>
      </c>
      <c r="M41" s="12">
        <f>IF(B41="One-Time",0,L41*(1+Metadata!$B$8))</f>
        <v/>
      </c>
      <c r="N41" s="12">
        <f>IF(B41="One-Time",0,M41*(1+Metadata!$B$8))</f>
        <v/>
      </c>
      <c r="O41" s="12">
        <f>IF(B41="One-Time",0,N41*(1+Metadata!$B$8))</f>
        <v/>
      </c>
      <c r="P41" s="12">
        <f>IF(B41="One-Time",0,O41*(1+Metadata!$B$8))</f>
        <v/>
      </c>
      <c r="Q41" s="12">
        <f>IF(B41="One-Time",0,P41*(1+Metadata!$B$8))</f>
        <v/>
      </c>
      <c r="R41" s="12">
        <f>SUM(K41:Q41)</f>
        <v/>
      </c>
      <c r="S41" s="3" t="n">
        <v>0.95</v>
      </c>
      <c r="T41" t="inlineStr">
        <is>
          <t>Annual fee converted to monthly equivalent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Other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Non-Bundle Required - Vendor</t>
        </is>
      </c>
      <c r="B6" s="9" t="n"/>
      <c r="C6" s="9" t="n"/>
    </row>
    <row r="7">
      <c r="A7" s="14" t="inlineStr">
        <is>
          <t>Total Required TCO</t>
        </is>
      </c>
      <c r="B7" s="15">
        <f>SUM(B5:B5)</f>
        <v/>
      </c>
      <c r="C7" s="15">
        <f>B7/84</f>
        <v/>
      </c>
    </row>
    <row r="8">
      <c r="A8" t="inlineStr">
        <is>
          <t>One-Time Fees</t>
        </is>
      </c>
      <c r="B8" s="9" t="n"/>
      <c r="C8" s="9" t="n"/>
    </row>
    <row r="9">
      <c r="A9" s="16" t="inlineStr">
        <is>
          <t>Optional Items Total</t>
        </is>
      </c>
      <c r="B9" s="9">
        <f>SUMIFS('Line Items'!$R:$R,'Line Items'!$F:$F,TRUE)</f>
        <v/>
      </c>
      <c r="C9" s="9">
        <f>B9/84</f>
        <v/>
      </c>
    </row>
    <row r="10">
      <c r="A10" s="10" t="inlineStr">
        <is>
          <t>Total Required TCO</t>
        </is>
      </c>
      <c r="B10" s="9" t="n"/>
      <c r="C10" s="9" t="n"/>
    </row>
    <row r="11">
      <c r="B11" s="9" t="n"/>
      <c r="C11" s="9" t="n"/>
    </row>
    <row r="12">
      <c r="A12" t="inlineStr">
        <is>
          <t>Optional Solutions</t>
        </is>
      </c>
      <c r="B12" s="9" t="n"/>
      <c r="C12" s="9" t="n"/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SUMMIT_FIS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Enterprise Banking Solution Proposal</t>
        </is>
      </c>
    </row>
    <row r="5">
      <c r="A5" s="2" t="inlineStr">
        <is>
          <t>Proposal Date:</t>
        </is>
      </c>
      <c r="B5" t="inlineStr">
        <is>
          <t>2025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17:42:52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2026-01-14T23:42:52Z</dcterms:modified>
</cp:coreProperties>
</file>