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290" yWindow="-70" windowWidth="19420" windowHeight="10300" tabRatio="793" firstSheet="1" activeTab="1" autoFilterDateGrouping="1"/>
  </bookViews>
  <sheets>
    <sheet xmlns:r="http://schemas.openxmlformats.org/officeDocument/2006/relationships" name="Control" sheetId="1" state="hidden" r:id="rId1"/>
    <sheet xmlns:r="http://schemas.openxmlformats.org/officeDocument/2006/relationships" name="DeleteThisPageThenSave" sheetId="2" state="visible" r:id="rId2"/>
    <sheet xmlns:r="http://schemas.openxmlformats.org/officeDocument/2006/relationships" name="Confidentiality&amp;Non-Disclosure" sheetId="3" state="visible" r:id="rId3"/>
    <sheet xmlns:r="http://schemas.openxmlformats.org/officeDocument/2006/relationships" name="Line Items" sheetId="4" state="visible" r:id="rId4"/>
    <sheet xmlns:r="http://schemas.openxmlformats.org/officeDocument/2006/relationships" name="Years 1-7" sheetId="5" state="visible" r:id="rId5"/>
    <sheet xmlns:r="http://schemas.openxmlformats.org/officeDocument/2006/relationships" name="Summary" sheetId="6" state="visible" r:id="rId6"/>
  </sheets>
  <definedNames/>
  <calcPr calcId="191028" fullCalcOnLoad="1"/>
</workbook>
</file>

<file path=xl/styles.xml><?xml version="1.0" encoding="utf-8"?>
<styleSheet xmlns="http://schemas.openxmlformats.org/spreadsheetml/2006/main">
  <numFmts count="4">
    <numFmt numFmtId="164" formatCode="_(* #,##0_);_(* \(#,##0\);_(* &quot;-&quot;??_);_(@_)"/>
    <numFmt numFmtId="165" formatCode="_(* #,##0.0000_);_(* \(#,##0.0000\);_(* &quot;-&quot;??_);_(@_)"/>
    <numFmt numFmtId="166" formatCode="_(&quot;$&quot;* #,##0_);_(&quot;$&quot;* \(#,##0\);_(&quot;$&quot;* &quot;-&quot;??_);_(@_)"/>
    <numFmt numFmtId="167" formatCode="_(&quot;$&quot;* #,##0.00_);_(&quot;$&quot;* \(#,##0.00\);_(&quot;$&quot;* &quot;-&quot;??_);_(@_)"/>
  </numFmts>
  <fonts count="14">
    <font>
      <name val="Calibri"/>
      <family val="2"/>
      <color theme="1"/>
      <sz val="11"/>
      <scheme val="minor"/>
    </font>
    <font>
      <name val="Calibri"/>
      <family val="2"/>
      <color theme="1"/>
      <sz val="11"/>
      <scheme val="minor"/>
    </font>
    <font>
      <name val="Calibri"/>
      <family val="2"/>
      <color rgb="FF3F3F76"/>
      <sz val="11"/>
      <scheme val="minor"/>
    </font>
    <font>
      <name val="Calibri"/>
      <family val="2"/>
      <b val="1"/>
      <color rgb="FF3F3F3F"/>
      <sz val="11"/>
      <scheme val="minor"/>
    </font>
    <font>
      <name val="Calibri"/>
      <family val="2"/>
      <b val="1"/>
      <color theme="0"/>
      <sz val="11"/>
      <scheme val="minor"/>
    </font>
    <font>
      <name val="Calibri"/>
      <family val="2"/>
      <b val="1"/>
      <color theme="1"/>
      <sz val="11"/>
      <scheme val="minor"/>
    </font>
    <font>
      <name val="Calibri"/>
      <family val="2"/>
      <sz val="8"/>
      <scheme val="minor"/>
    </font>
    <font>
      <name val="Calibri"/>
      <family val="2"/>
      <b val="1"/>
      <sz val="11"/>
      <scheme val="minor"/>
    </font>
    <font>
      <name val="Calibri"/>
      <family val="2"/>
      <b val="1"/>
      <color theme="1"/>
      <sz val="11"/>
      <u val="single"/>
      <scheme val="minor"/>
    </font>
    <font>
      <name val="Calibri"/>
      <family val="2"/>
      <sz val="11"/>
      <scheme val="minor"/>
    </font>
    <font>
      <name val="Calibri"/>
      <family val="2"/>
      <b val="1"/>
      <color theme="0"/>
      <sz val="20"/>
      <scheme val="minor"/>
    </font>
    <font>
      <name val="Calibri"/>
      <family val="2"/>
      <color rgb="FF000000"/>
      <sz val="11"/>
    </font>
    <font>
      <name val="Calibri"/>
      <family val="2"/>
      <b val="1"/>
      <color theme="1"/>
      <sz val="18"/>
      <scheme val="minor"/>
    </font>
    <font>
      <name val="Calibri"/>
      <family val="2"/>
      <b val="1"/>
      <color theme="1"/>
      <sz val="20"/>
      <scheme val="minor"/>
    </font>
  </fonts>
  <fills count="19">
    <fill>
      <patternFill/>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
        <bgColor indexed="64"/>
      </patternFill>
    </fill>
    <fill>
      <patternFill patternType="solid">
        <fgColor theme="1"/>
        <bgColor indexed="64"/>
      </patternFill>
    </fill>
    <fill>
      <patternFill patternType="solid">
        <fgColor theme="2" tint="-0.499984740745262"/>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8"/>
        <bgColor indexed="64"/>
      </patternFill>
    </fill>
  </fills>
  <borders count="9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indexed="64"/>
      </left>
      <right style="medium">
        <color theme="1"/>
      </right>
      <top style="medium">
        <color theme="1"/>
      </top>
      <bottom style="medium">
        <color indexed="64"/>
      </bottom>
      <diagonal/>
    </border>
    <border>
      <left/>
      <right style="medium">
        <color theme="1"/>
      </right>
      <top style="medium">
        <color theme="1"/>
      </top>
      <bottom/>
      <diagonal/>
    </border>
    <border>
      <left style="medium">
        <color theme="1"/>
      </left>
      <right style="medium">
        <color theme="1"/>
      </right>
      <top style="medium">
        <color indexed="64"/>
      </top>
      <bottom style="medium">
        <color indexed="64"/>
      </bottom>
      <diagonal/>
    </border>
    <border>
      <left/>
      <right style="medium">
        <color theme="1"/>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thin">
        <color rgb="FF7F7F7F"/>
      </left>
      <right style="medium">
        <color indexed="64"/>
      </right>
      <top style="medium">
        <color indexed="64"/>
      </top>
      <bottom/>
      <diagonal/>
    </border>
  </borders>
  <cellStyleXfs count="6">
    <xf numFmtId="0" fontId="1" fillId="0" borderId="0"/>
    <xf numFmtId="43" fontId="1" fillId="0" borderId="0"/>
    <xf numFmtId="44" fontId="1" fillId="0" borderId="0"/>
    <xf numFmtId="9" fontId="1" fillId="0" borderId="0"/>
    <xf numFmtId="0" fontId="2" fillId="2" borderId="1"/>
    <xf numFmtId="0" fontId="3" fillId="3" borderId="2"/>
  </cellStyleXfs>
  <cellXfs count="302">
    <xf numFmtId="0" fontId="0" fillId="0" borderId="0" pivotButton="0" quotePrefix="0" xfId="0"/>
    <xf numFmtId="43" fontId="0" fillId="0" borderId="0" pivotButton="0" quotePrefix="0" xfId="0"/>
    <xf numFmtId="0" fontId="3" fillId="3" borderId="4" pivotButton="0" quotePrefix="0" xfId="5"/>
    <xf numFmtId="10" fontId="2" fillId="2" borderId="5" pivotButton="0" quotePrefix="0" xfId="3"/>
    <xf numFmtId="0" fontId="4" fillId="4" borderId="6" applyAlignment="1" pivotButton="0" quotePrefix="0" xfId="0">
      <alignment wrapText="1"/>
    </xf>
    <xf numFmtId="0" fontId="4" fillId="4" borderId="7" applyAlignment="1" pivotButton="0" quotePrefix="0" xfId="0">
      <alignment horizontal="center" wrapText="1"/>
    </xf>
    <xf numFmtId="164" fontId="0" fillId="5" borderId="14" pivotButton="0" quotePrefix="0" xfId="1"/>
    <xf numFmtId="164" fontId="0" fillId="5" borderId="15" pivotButton="0" quotePrefix="0" xfId="1"/>
    <xf numFmtId="0" fontId="4" fillId="6" borderId="7" applyAlignment="1" pivotButton="0" quotePrefix="0" xfId="0">
      <alignment horizontal="center" wrapText="1"/>
    </xf>
    <xf numFmtId="164" fontId="0" fillId="5" borderId="16" pivotButton="0" quotePrefix="0" xfId="1"/>
    <xf numFmtId="0" fontId="4" fillId="6" borderId="20" applyAlignment="1" pivotButton="0" quotePrefix="0" xfId="0">
      <alignment horizontal="center" wrapText="1"/>
    </xf>
    <xf numFmtId="0" fontId="4" fillId="6" borderId="21" applyAlignment="1" pivotButton="0" quotePrefix="0" xfId="0">
      <alignment horizontal="center" wrapText="1"/>
    </xf>
    <xf numFmtId="164" fontId="0" fillId="8" borderId="23" pivotButton="0" quotePrefix="0" xfId="1"/>
    <xf numFmtId="0" fontId="0" fillId="5" borderId="22" pivotButton="0" quotePrefix="0" xfId="0"/>
    <xf numFmtId="164" fontId="0" fillId="0" borderId="9" pivotButton="0" quotePrefix="0" xfId="1"/>
    <xf numFmtId="0" fontId="2" fillId="2" borderId="5" applyAlignment="1" pivotButton="0" quotePrefix="0" xfId="4">
      <alignment horizontal="left"/>
    </xf>
    <xf numFmtId="9" fontId="2" fillId="2" borderId="5" applyAlignment="1" pivotButton="0" quotePrefix="0" xfId="4">
      <alignment horizontal="left"/>
    </xf>
    <xf numFmtId="0" fontId="4" fillId="4" borderId="24" applyAlignment="1" pivotButton="0" quotePrefix="0" xfId="0">
      <alignment horizontal="center" wrapText="1"/>
    </xf>
    <xf numFmtId="0" fontId="4" fillId="4" borderId="25" applyAlignment="1" pivotButton="0" quotePrefix="0" xfId="0">
      <alignment horizontal="center" wrapText="1"/>
    </xf>
    <xf numFmtId="0" fontId="4" fillId="4" borderId="7" applyAlignment="1" pivotButton="0" quotePrefix="0" xfId="0">
      <alignment wrapText="1"/>
    </xf>
    <xf numFmtId="165" fontId="0" fillId="9" borderId="13" pivotButton="0" quotePrefix="0" xfId="1"/>
    <xf numFmtId="43" fontId="0" fillId="8" borderId="13" pivotButton="0" quotePrefix="0" xfId="1"/>
    <xf numFmtId="0" fontId="4" fillId="7" borderId="7" applyAlignment="1" pivotButton="0" quotePrefix="0" xfId="0">
      <alignment horizontal="center" wrapText="1"/>
    </xf>
    <xf numFmtId="0" fontId="0" fillId="0" borderId="26" pivotButton="0" quotePrefix="0" xfId="0"/>
    <xf numFmtId="164" fontId="0" fillId="0" borderId="27" pivotButton="0" quotePrefix="0" xfId="1"/>
    <xf numFmtId="0" fontId="0" fillId="0" borderId="28" pivotButton="0" quotePrefix="0" xfId="0"/>
    <xf numFmtId="0" fontId="4" fillId="4" borderId="29" applyAlignment="1" pivotButton="0" quotePrefix="0" xfId="0">
      <alignment horizontal="center"/>
    </xf>
    <xf numFmtId="0" fontId="3" fillId="0" borderId="0" pivotButton="0" quotePrefix="0" xfId="5"/>
    <xf numFmtId="164" fontId="4" fillId="4" borderId="25" pivotButton="0" quotePrefix="0" xfId="1"/>
    <xf numFmtId="164" fontId="4" fillId="4" borderId="7" pivotButton="0" quotePrefix="0" xfId="1"/>
    <xf numFmtId="0" fontId="4" fillId="4" borderId="30" pivotButton="0" quotePrefix="0" xfId="0"/>
    <xf numFmtId="165" fontId="4" fillId="4" borderId="31" pivotButton="0" quotePrefix="0" xfId="1"/>
    <xf numFmtId="43" fontId="4" fillId="4" borderId="31" pivotButton="0" quotePrefix="0" xfId="1"/>
    <xf numFmtId="164" fontId="4" fillId="4" borderId="31" pivotButton="0" quotePrefix="0" xfId="1"/>
    <xf numFmtId="164" fontId="4" fillId="4" borderId="32" pivotButton="0" quotePrefix="0" xfId="1"/>
    <xf numFmtId="164" fontId="0" fillId="0" borderId="0" pivotButton="0" quotePrefix="0" xfId="0"/>
    <xf numFmtId="165" fontId="0" fillId="11" borderId="13" pivotButton="0" quotePrefix="0" xfId="1"/>
    <xf numFmtId="166" fontId="0" fillId="11" borderId="17" pivotButton="0" quotePrefix="0" xfId="2"/>
    <xf numFmtId="0" fontId="0" fillId="12" borderId="22" pivotButton="0" quotePrefix="0" xfId="0"/>
    <xf numFmtId="164" fontId="0" fillId="12" borderId="14" pivotButton="0" quotePrefix="0" xfId="1"/>
    <xf numFmtId="164" fontId="0" fillId="12" borderId="15" pivotButton="0" quotePrefix="0" xfId="1"/>
    <xf numFmtId="0" fontId="4" fillId="10" borderId="30" pivotButton="0" quotePrefix="0" xfId="0"/>
    <xf numFmtId="165" fontId="4" fillId="10" borderId="31" pivotButton="0" quotePrefix="0" xfId="1"/>
    <xf numFmtId="43" fontId="4" fillId="10" borderId="31" pivotButton="0" quotePrefix="0" xfId="1"/>
    <xf numFmtId="164" fontId="4" fillId="10" borderId="31" pivotButton="0" quotePrefix="0" xfId="1"/>
    <xf numFmtId="164" fontId="4" fillId="10" borderId="32" pivotButton="0" quotePrefix="0" xfId="1"/>
    <xf numFmtId="166" fontId="4" fillId="10" borderId="3" pivotButton="0" quotePrefix="0" xfId="2"/>
    <xf numFmtId="0" fontId="4" fillId="10" borderId="29" applyAlignment="1" pivotButton="0" quotePrefix="0" xfId="0">
      <alignment horizontal="center"/>
    </xf>
    <xf numFmtId="0" fontId="0" fillId="0" borderId="0" applyAlignment="1" pivotButton="0" quotePrefix="0" xfId="0">
      <alignment horizontal="left" indent="1"/>
    </xf>
    <xf numFmtId="0" fontId="8" fillId="0" borderId="0" pivotButton="0" quotePrefix="0" xfId="0"/>
    <xf numFmtId="0" fontId="5" fillId="0" borderId="37" pivotButton="0" quotePrefix="0" xfId="0"/>
    <xf numFmtId="0" fontId="8" fillId="0" borderId="0" applyAlignment="1" pivotButton="0" quotePrefix="0" xfId="0">
      <alignment horizontal="left"/>
    </xf>
    <xf numFmtId="167" fontId="0" fillId="0" borderId="0" pivotButton="0" quotePrefix="0" xfId="0"/>
    <xf numFmtId="165" fontId="0" fillId="15" borderId="13" pivotButton="0" quotePrefix="0" xfId="1"/>
    <xf numFmtId="166" fontId="0" fillId="15" borderId="17" pivotButton="0" quotePrefix="0" xfId="2"/>
    <xf numFmtId="164" fontId="0" fillId="14" borderId="14" pivotButton="0" quotePrefix="0" xfId="1"/>
    <xf numFmtId="164" fontId="0" fillId="14" borderId="15" pivotButton="0" quotePrefix="0" xfId="1"/>
    <xf numFmtId="164" fontId="0" fillId="14" borderId="16" pivotButton="0" quotePrefix="0" xfId="1"/>
    <xf numFmtId="165" fontId="4" fillId="13" borderId="31" pivotButton="0" quotePrefix="0" xfId="1"/>
    <xf numFmtId="43" fontId="4" fillId="13" borderId="31" pivotButton="0" quotePrefix="0" xfId="1"/>
    <xf numFmtId="164" fontId="4" fillId="13" borderId="31" pivotButton="0" quotePrefix="0" xfId="1"/>
    <xf numFmtId="164" fontId="4" fillId="13" borderId="32" pivotButton="0" quotePrefix="0" xfId="1"/>
    <xf numFmtId="166" fontId="4" fillId="13" borderId="3" pivotButton="0" quotePrefix="0" xfId="2"/>
    <xf numFmtId="0" fontId="0" fillId="14" borderId="38" applyAlignment="1" pivotButton="0" quotePrefix="0" xfId="0">
      <alignment horizontal="left" indent="1"/>
    </xf>
    <xf numFmtId="0" fontId="4" fillId="13" borderId="39" pivotButton="0" quotePrefix="0" xfId="0"/>
    <xf numFmtId="43" fontId="0"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4" fillId="7" borderId="11" applyAlignment="1" pivotButton="0" quotePrefix="0" xfId="0">
      <alignment horizontal="center" wrapText="1"/>
    </xf>
    <xf numFmtId="0" fontId="4" fillId="4" borderId="55" pivotButton="0" quotePrefix="0" xfId="0"/>
    <xf numFmtId="0" fontId="4" fillId="4" borderId="58" pivotButton="0" quotePrefix="0" xfId="0"/>
    <xf numFmtId="0" fontId="4" fillId="6" borderId="0" applyAlignment="1" pivotButton="0" quotePrefix="0" xfId="0">
      <alignment horizontal="center" wrapText="1"/>
    </xf>
    <xf numFmtId="0" fontId="4" fillId="6" borderId="42" applyAlignment="1" pivotButton="0" quotePrefix="0" xfId="0">
      <alignment horizontal="center" wrapText="1"/>
    </xf>
    <xf numFmtId="0" fontId="4" fillId="10" borderId="10" applyAlignment="1" pivotButton="0" quotePrefix="0" xfId="0">
      <alignment wrapText="1"/>
    </xf>
    <xf numFmtId="0" fontId="4" fillId="10" borderId="11" applyAlignment="1" pivotButton="0" quotePrefix="0" xfId="0">
      <alignment wrapText="1"/>
    </xf>
    <xf numFmtId="0" fontId="4" fillId="10" borderId="63" applyAlignment="1" pivotButton="0" quotePrefix="0" xfId="0">
      <alignment horizontal="center" wrapText="1"/>
    </xf>
    <xf numFmtId="0" fontId="4" fillId="10" borderId="64" applyAlignment="1" pivotButton="0" quotePrefix="0" xfId="0">
      <alignment horizontal="center" wrapText="1"/>
    </xf>
    <xf numFmtId="0" fontId="4" fillId="10" borderId="11" applyAlignment="1" pivotButton="0" quotePrefix="0" xfId="0">
      <alignment horizontal="center" wrapText="1"/>
    </xf>
    <xf numFmtId="0" fontId="4" fillId="6" borderId="11" applyAlignment="1" pivotButton="0" quotePrefix="0" xfId="0">
      <alignment horizontal="center" wrapText="1"/>
    </xf>
    <xf numFmtId="0" fontId="4" fillId="4" borderId="51" applyAlignment="1" pivotButton="0" quotePrefix="0" xfId="0">
      <alignment horizontal="center" wrapText="1"/>
    </xf>
    <xf numFmtId="166" fontId="0" fillId="9" borderId="54" pivotButton="0" quotePrefix="0" xfId="2"/>
    <xf numFmtId="166" fontId="4" fillId="4" borderId="51" pivotButton="0" quotePrefix="0" xfId="2"/>
    <xf numFmtId="164" fontId="4" fillId="4" borderId="66" pivotButton="0" quotePrefix="0" xfId="1"/>
    <xf numFmtId="164" fontId="4" fillId="4" borderId="67" pivotButton="0" quotePrefix="0" xfId="1"/>
    <xf numFmtId="0" fontId="4" fillId="4" borderId="59" pivotButton="0" quotePrefix="0" xfId="0"/>
    <xf numFmtId="165" fontId="4" fillId="4" borderId="60" pivotButton="0" quotePrefix="0" xfId="1"/>
    <xf numFmtId="43" fontId="4" fillId="4" borderId="60" pivotButton="0" quotePrefix="0" xfId="1"/>
    <xf numFmtId="164" fontId="4" fillId="4" borderId="60" pivotButton="0" quotePrefix="0" xfId="1"/>
    <xf numFmtId="164" fontId="4" fillId="4" borderId="61" pivotButton="0" quotePrefix="0" xfId="1"/>
    <xf numFmtId="166" fontId="4" fillId="4" borderId="62" pivotButton="0" quotePrefix="0" xfId="2"/>
    <xf numFmtId="0" fontId="4" fillId="10" borderId="68" pivotButton="0" quotePrefix="0" xfId="0"/>
    <xf numFmtId="165" fontId="4" fillId="10" borderId="69" pivotButton="0" quotePrefix="0" xfId="1"/>
    <xf numFmtId="43" fontId="4" fillId="10" borderId="69" pivotButton="0" quotePrefix="0" xfId="1"/>
    <xf numFmtId="164" fontId="4" fillId="10" borderId="69" pivotButton="0" quotePrefix="0" xfId="1"/>
    <xf numFmtId="164" fontId="4" fillId="10" borderId="70" pivotButton="0" quotePrefix="0" xfId="1"/>
    <xf numFmtId="0" fontId="0" fillId="10" borderId="6" pivotButton="0" quotePrefix="0" xfId="0"/>
    <xf numFmtId="164" fontId="4" fillId="10" borderId="7" pivotButton="0" quotePrefix="0" xfId="1"/>
    <xf numFmtId="0" fontId="0" fillId="10" borderId="7" pivotButton="0" quotePrefix="0" xfId="0"/>
    <xf numFmtId="164" fontId="4" fillId="4" borderId="72" pivotButton="0" quotePrefix="0" xfId="1"/>
    <xf numFmtId="164" fontId="4" fillId="4" borderId="71" pivotButton="0" quotePrefix="0" xfId="1"/>
    <xf numFmtId="164" fontId="4" fillId="4" borderId="33" pivotButton="0" quotePrefix="0" xfId="1"/>
    <xf numFmtId="0" fontId="4" fillId="10" borderId="73" applyAlignment="1" pivotButton="0" quotePrefix="0" xfId="0">
      <alignment horizontal="center" wrapText="1"/>
    </xf>
    <xf numFmtId="0" fontId="0" fillId="8" borderId="38" pivotButton="0" quotePrefix="0" xfId="0"/>
    <xf numFmtId="166" fontId="4" fillId="10" borderId="73" pivotButton="0" quotePrefix="0" xfId="2"/>
    <xf numFmtId="164" fontId="0" fillId="0" borderId="0" pivotButton="0" quotePrefix="0" xfId="1"/>
    <xf numFmtId="165" fontId="0" fillId="0" borderId="0" pivotButton="0" quotePrefix="0" xfId="0"/>
    <xf numFmtId="166" fontId="0" fillId="0" borderId="0" pivotButton="0" quotePrefix="0" xfId="0"/>
    <xf numFmtId="164" fontId="4" fillId="13" borderId="11" pivotButton="0" quotePrefix="0" xfId="1"/>
    <xf numFmtId="0" fontId="4" fillId="13" borderId="10" pivotButton="0" quotePrefix="0" xfId="0"/>
    <xf numFmtId="0" fontId="4" fillId="13" borderId="74" pivotButton="0" quotePrefix="0" xfId="0"/>
    <xf numFmtId="165" fontId="4" fillId="13" borderId="69" pivotButton="0" quotePrefix="0" xfId="1"/>
    <xf numFmtId="43" fontId="4" fillId="13" borderId="69" pivotButton="0" quotePrefix="0" xfId="1"/>
    <xf numFmtId="164" fontId="4" fillId="13" borderId="69" pivotButton="0" quotePrefix="0" xfId="1"/>
    <xf numFmtId="164" fontId="4" fillId="13" borderId="70" pivotButton="0" quotePrefix="0" xfId="1"/>
    <xf numFmtId="0" fontId="0" fillId="8" borderId="40" pivotButton="0" quotePrefix="0" xfId="0"/>
    <xf numFmtId="0" fontId="4" fillId="13" borderId="10" applyAlignment="1" pivotButton="0" quotePrefix="0" xfId="0">
      <alignment wrapText="1"/>
    </xf>
    <xf numFmtId="0" fontId="4" fillId="13" borderId="63" applyAlignment="1" pivotButton="0" quotePrefix="0" xfId="0">
      <alignment horizontal="center" wrapText="1"/>
    </xf>
    <xf numFmtId="0" fontId="4" fillId="13" borderId="64" applyAlignment="1" pivotButton="0" quotePrefix="0" xfId="0">
      <alignment horizontal="center" wrapText="1"/>
    </xf>
    <xf numFmtId="0" fontId="4" fillId="13" borderId="11" applyAlignment="1" pivotButton="0" quotePrefix="0" xfId="0">
      <alignment horizontal="center" wrapText="1"/>
    </xf>
    <xf numFmtId="0" fontId="4" fillId="13" borderId="73" applyAlignment="1" pivotButton="0" quotePrefix="0" xfId="0">
      <alignment horizontal="center" wrapText="1"/>
    </xf>
    <xf numFmtId="166" fontId="4" fillId="13" borderId="73" pivotButton="0" quotePrefix="0" xfId="2"/>
    <xf numFmtId="0" fontId="4" fillId="13" borderId="6" pivotButton="0" quotePrefix="0" xfId="0"/>
    <xf numFmtId="164" fontId="4" fillId="13" borderId="7" pivotButton="0" quotePrefix="0" xfId="1"/>
    <xf numFmtId="164" fontId="4" fillId="13" borderId="8" pivotButton="0" quotePrefix="0" xfId="1"/>
    <xf numFmtId="0" fontId="0" fillId="12" borderId="22" applyAlignment="1" pivotButton="0" quotePrefix="0" xfId="0">
      <alignment horizontal="left" indent="1"/>
    </xf>
    <xf numFmtId="164" fontId="0" fillId="0" borderId="75" pivotButton="0" quotePrefix="0" xfId="1"/>
    <xf numFmtId="0" fontId="0" fillId="10" borderId="8" pivotButton="0" quotePrefix="0" xfId="0"/>
    <xf numFmtId="0" fontId="0" fillId="5" borderId="13" applyAlignment="1" pivotButton="0" quotePrefix="0" xfId="0">
      <alignment horizontal="left" indent="1"/>
    </xf>
    <xf numFmtId="0" fontId="4" fillId="10" borderId="8" applyAlignment="1" pivotButton="0" quotePrefix="0" xfId="0">
      <alignment horizontal="center"/>
    </xf>
    <xf numFmtId="0" fontId="4" fillId="4" borderId="8" applyAlignment="1" pivotButton="0" quotePrefix="0" xfId="0">
      <alignment horizontal="center"/>
    </xf>
    <xf numFmtId="166" fontId="5" fillId="0" borderId="0" pivotButton="0" quotePrefix="0" xfId="2"/>
    <xf numFmtId="0" fontId="5" fillId="12" borderId="78" pivotButton="0" quotePrefix="0" xfId="0"/>
    <xf numFmtId="0" fontId="0" fillId="12" borderId="9" pivotButton="0" quotePrefix="0" xfId="0"/>
    <xf numFmtId="166" fontId="5" fillId="12" borderId="9" pivotButton="0" quotePrefix="0" xfId="2"/>
    <xf numFmtId="0" fontId="0" fillId="5" borderId="9" pivotButton="0" quotePrefix="0" xfId="0"/>
    <xf numFmtId="166" fontId="0" fillId="17" borderId="0" pivotButton="0" quotePrefix="0" xfId="0"/>
    <xf numFmtId="166" fontId="5" fillId="5" borderId="9" pivotButton="0" quotePrefix="0" xfId="2"/>
    <xf numFmtId="0" fontId="0" fillId="0" borderId="0" applyAlignment="1" pivotButton="0" quotePrefix="0" xfId="0">
      <alignment horizontal="left" wrapText="1" indent="1"/>
    </xf>
    <xf numFmtId="164" fontId="4" fillId="10" borderId="12" pivotButton="0" quotePrefix="0" xfId="1"/>
    <xf numFmtId="0" fontId="4" fillId="10" borderId="10" pivotButton="0" quotePrefix="0" xfId="0"/>
    <xf numFmtId="164" fontId="4" fillId="10" borderId="11" pivotButton="0" quotePrefix="0" xfId="1"/>
    <xf numFmtId="0" fontId="0" fillId="8" borderId="53" pivotButton="0" quotePrefix="0" xfId="0"/>
    <xf numFmtId="164" fontId="0" fillId="0" borderId="34" pivotButton="0" quotePrefix="0" xfId="1"/>
    <xf numFmtId="164" fontId="0" fillId="8" borderId="35" pivotButton="0" quotePrefix="0" xfId="1"/>
    <xf numFmtId="0" fontId="0" fillId="12" borderId="36" pivotButton="0" quotePrefix="0" xfId="0"/>
    <xf numFmtId="165" fontId="0" fillId="11" borderId="14" pivotButton="0" quotePrefix="0" xfId="1"/>
    <xf numFmtId="43" fontId="0" fillId="8" borderId="14" pivotButton="0" quotePrefix="0" xfId="1"/>
    <xf numFmtId="164" fontId="0" fillId="8" borderId="13" pivotButton="0" quotePrefix="0" xfId="1"/>
    <xf numFmtId="0" fontId="0" fillId="12" borderId="36" applyAlignment="1" pivotButton="0" quotePrefix="0" xfId="0">
      <alignment horizontal="left" indent="1"/>
    </xf>
    <xf numFmtId="0" fontId="0" fillId="0" borderId="79" pivotButton="0" quotePrefix="0" xfId="0"/>
    <xf numFmtId="0" fontId="7" fillId="5" borderId="29" pivotButton="0" quotePrefix="0" xfId="0"/>
    <xf numFmtId="0" fontId="5" fillId="5" borderId="13" applyAlignment="1" pivotButton="0" quotePrefix="0" xfId="0">
      <alignment horizontal="left"/>
    </xf>
    <xf numFmtId="43" fontId="0" fillId="5" borderId="15" pivotButton="0" quotePrefix="0" xfId="1"/>
    <xf numFmtId="0" fontId="4" fillId="6" borderId="65" applyAlignment="1" pivotButton="0" quotePrefix="0" xfId="0">
      <alignment horizontal="center"/>
    </xf>
    <xf numFmtId="0" fontId="0" fillId="5" borderId="13" applyAlignment="1" pivotButton="0" quotePrefix="0" xfId="0">
      <alignment horizontal="left"/>
    </xf>
    <xf numFmtId="0" fontId="9" fillId="5" borderId="13" applyAlignment="1" pivotButton="0" quotePrefix="0" xfId="0">
      <alignment horizontal="left"/>
    </xf>
    <xf numFmtId="0" fontId="7" fillId="5" borderId="13" applyAlignment="1" pivotButton="0" quotePrefix="0" xfId="0">
      <alignment horizontal="left"/>
    </xf>
    <xf numFmtId="0" fontId="5" fillId="5" borderId="13" applyAlignment="1" pivotButton="0" quotePrefix="0" xfId="0">
      <alignment horizontal="left" indent="1"/>
    </xf>
    <xf numFmtId="0" fontId="4" fillId="7" borderId="41" applyAlignment="1" pivotButton="0" quotePrefix="0" xfId="0">
      <alignment horizontal="center" wrapText="1"/>
    </xf>
    <xf numFmtId="0" fontId="4" fillId="7" borderId="0" applyAlignment="1" pivotButton="0" quotePrefix="0" xfId="0">
      <alignment horizontal="center" wrapText="1"/>
    </xf>
    <xf numFmtId="0" fontId="4" fillId="10" borderId="0" applyAlignment="1" pivotButton="0" quotePrefix="0" xfId="0">
      <alignment wrapText="1"/>
    </xf>
    <xf numFmtId="0" fontId="4" fillId="10" borderId="0" applyAlignment="1" pivotButton="0" quotePrefix="0" xfId="0">
      <alignment horizontal="center" wrapText="1"/>
    </xf>
    <xf numFmtId="0" fontId="4" fillId="10" borderId="81" applyAlignment="1" pivotButton="0" quotePrefix="0" xfId="0">
      <alignment horizontal="center" wrapText="1"/>
    </xf>
    <xf numFmtId="0" fontId="4" fillId="13" borderId="41" applyAlignment="1" pivotButton="0" quotePrefix="0" xfId="0">
      <alignment wrapText="1"/>
    </xf>
    <xf numFmtId="0" fontId="4" fillId="13" borderId="0" applyAlignment="1" pivotButton="0" quotePrefix="0" xfId="0">
      <alignment horizontal="center" wrapText="1"/>
    </xf>
    <xf numFmtId="0" fontId="4" fillId="13" borderId="81" applyAlignment="1" pivotButton="0" quotePrefix="0" xfId="0">
      <alignment horizontal="center" wrapText="1"/>
    </xf>
    <xf numFmtId="0" fontId="5" fillId="12" borderId="29" pivotButton="0" quotePrefix="0" xfId="0"/>
    <xf numFmtId="0" fontId="11" fillId="0" borderId="0" applyAlignment="1" pivotButton="0" quotePrefix="0" xfId="0">
      <alignment horizontal="left" vertical="center" wrapText="1" indent="1"/>
    </xf>
    <xf numFmtId="167" fontId="7" fillId="5" borderId="80" pivotButton="0" quotePrefix="0" xfId="2"/>
    <xf numFmtId="167" fontId="5" fillId="12" borderId="77" pivotButton="0" quotePrefix="0" xfId="2"/>
    <xf numFmtId="0" fontId="0" fillId="0" borderId="0" applyAlignment="1" pivotButton="0" quotePrefix="0" xfId="0">
      <alignment horizontal="center" vertical="center"/>
    </xf>
    <xf numFmtId="167" fontId="4" fillId="4" borderId="9" applyAlignment="1" pivotButton="0" quotePrefix="0" xfId="2">
      <alignment horizontal="center" vertical="center"/>
    </xf>
    <xf numFmtId="0" fontId="5" fillId="0" borderId="0" applyAlignment="1" pivotButton="0" quotePrefix="0" xfId="0">
      <alignment horizontal="center" vertical="center"/>
    </xf>
    <xf numFmtId="167" fontId="5" fillId="4" borderId="9" applyAlignment="1" pivotButton="0" quotePrefix="0" xfId="2">
      <alignment horizontal="center" vertical="center"/>
    </xf>
    <xf numFmtId="0" fontId="5" fillId="4" borderId="9" applyAlignment="1" pivotButton="0" quotePrefix="0" xfId="0">
      <alignment horizontal="center" vertical="center"/>
    </xf>
    <xf numFmtId="0" fontId="5" fillId="10" borderId="9" applyAlignment="1" pivotButton="0" quotePrefix="0" xfId="0">
      <alignment horizontal="center" vertical="center"/>
    </xf>
    <xf numFmtId="0" fontId="5" fillId="10" borderId="84" applyAlignment="1" pivotButton="0" quotePrefix="0" xfId="0">
      <alignment horizontal="center" vertical="center"/>
    </xf>
    <xf numFmtId="0" fontId="13" fillId="0" borderId="0" pivotButton="0" quotePrefix="0" xfId="0"/>
    <xf numFmtId="167" fontId="4" fillId="10" borderId="9" applyAlignment="1" pivotButton="0" quotePrefix="0" xfId="2">
      <alignment horizontal="center" vertical="center"/>
    </xf>
    <xf numFmtId="166" fontId="7" fillId="5" borderId="0" pivotButton="0" quotePrefix="0" xfId="2"/>
    <xf numFmtId="0" fontId="5" fillId="12" borderId="0" pivotButton="0" quotePrefix="0" xfId="0"/>
    <xf numFmtId="0" fontId="0" fillId="0" borderId="85" pivotButton="0" quotePrefix="0" xfId="0"/>
    <xf numFmtId="0" fontId="0" fillId="0" borderId="78" pivotButton="0" quotePrefix="0" xfId="0"/>
    <xf numFmtId="0" fontId="0" fillId="0" borderId="20" pivotButton="0" quotePrefix="0" xfId="0"/>
    <xf numFmtId="0" fontId="7" fillId="5" borderId="0" pivotButton="0" quotePrefix="0" xfId="0"/>
    <xf numFmtId="166" fontId="5" fillId="12" borderId="0" pivotButton="0" quotePrefix="0" xfId="2"/>
    <xf numFmtId="0" fontId="5" fillId="12" borderId="36" applyAlignment="1" pivotButton="0" quotePrefix="0" xfId="0">
      <alignment horizontal="left" indent="1"/>
    </xf>
    <xf numFmtId="0" fontId="5" fillId="12" borderId="22" applyAlignment="1" pivotButton="0" quotePrefix="0" xfId="0">
      <alignment horizontal="left" indent="1"/>
    </xf>
    <xf numFmtId="0" fontId="5" fillId="8" borderId="56" applyAlignment="1" pivotButton="0" quotePrefix="0" xfId="0">
      <alignment horizontal="center"/>
    </xf>
    <xf numFmtId="0" fontId="5" fillId="8" borderId="0" applyAlignment="1" pivotButton="0" quotePrefix="0" xfId="0">
      <alignment horizontal="center"/>
    </xf>
    <xf numFmtId="0" fontId="5" fillId="8" borderId="87" applyAlignment="1" pivotButton="0" quotePrefix="0" xfId="0">
      <alignment horizontal="center"/>
    </xf>
    <xf numFmtId="167" fontId="7" fillId="5" borderId="76" pivotButton="0" quotePrefix="0" xfId="2"/>
    <xf numFmtId="167" fontId="5" fillId="12" borderId="76" pivotButton="0" quotePrefix="0" xfId="2"/>
    <xf numFmtId="167" fontId="7" fillId="5" borderId="42" pivotButton="0" quotePrefix="0" xfId="2"/>
    <xf numFmtId="167" fontId="7" fillId="5" borderId="75" pivotButton="0" quotePrefix="0" xfId="2"/>
    <xf numFmtId="167" fontId="7" fillId="5" borderId="82" pivotButton="0" quotePrefix="0" xfId="2"/>
    <xf numFmtId="167" fontId="7" fillId="5" borderId="77" pivotButton="0" quotePrefix="0" xfId="2"/>
    <xf numFmtId="167" fontId="7" fillId="5" borderId="86" pivotButton="0" quotePrefix="0" xfId="2"/>
    <xf numFmtId="167" fontId="5" fillId="12" borderId="75" pivotButton="0" quotePrefix="0" xfId="2"/>
    <xf numFmtId="167" fontId="5" fillId="12" borderId="80" pivotButton="0" quotePrefix="0" xfId="2"/>
    <xf numFmtId="167" fontId="5" fillId="12" borderId="86" pivotButton="0" quotePrefix="0" xfId="2"/>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41" applyAlignment="1" pivotButton="0" quotePrefix="0" xfId="0">
      <alignment horizontal="center" vertical="top" wrapText="1"/>
    </xf>
    <xf numFmtId="0" fontId="0" fillId="0" borderId="0" applyAlignment="1" pivotButton="0" quotePrefix="0" xfId="0">
      <alignment horizontal="center" vertical="top" wrapText="1"/>
    </xf>
    <xf numFmtId="0" fontId="0" fillId="0" borderId="42" applyAlignment="1" pivotButton="0" quotePrefix="0" xfId="0">
      <alignment horizontal="center" vertical="top" wrapText="1"/>
    </xf>
    <xf numFmtId="0" fontId="0" fillId="0" borderId="19" applyAlignment="1" pivotButton="0" quotePrefix="0" xfId="0">
      <alignment horizontal="center" vertical="top" wrapText="1"/>
    </xf>
    <xf numFmtId="0" fontId="0" fillId="0" borderId="20" applyAlignment="1" pivotButton="0" quotePrefix="0" xfId="0">
      <alignment horizontal="center" vertical="top" wrapText="1"/>
    </xf>
    <xf numFmtId="0" fontId="0" fillId="0" borderId="21" applyAlignment="1" pivotButton="0" quotePrefix="0" xfId="0">
      <alignment horizontal="center" vertical="top" wrapText="1"/>
    </xf>
    <xf numFmtId="0" fontId="4" fillId="13" borderId="6" applyAlignment="1" pivotButton="0" quotePrefix="0" xfId="0">
      <alignment horizontal="center"/>
    </xf>
    <xf numFmtId="0" fontId="4" fillId="13" borderId="7" applyAlignment="1" pivotButton="0" quotePrefix="0" xfId="0">
      <alignment horizontal="center"/>
    </xf>
    <xf numFmtId="0" fontId="4" fillId="13" borderId="8" applyAlignment="1" pivotButton="0" quotePrefix="0" xfId="0">
      <alignment horizontal="center"/>
    </xf>
    <xf numFmtId="0" fontId="5" fillId="8" borderId="55" applyAlignment="1" pivotButton="0" quotePrefix="0" xfId="0">
      <alignment horizontal="center"/>
    </xf>
    <xf numFmtId="0" fontId="5" fillId="8" borderId="7" applyAlignment="1" pivotButton="0" quotePrefix="0" xfId="0">
      <alignment horizontal="center"/>
    </xf>
    <xf numFmtId="0" fontId="5" fillId="8" borderId="57" applyAlignment="1" pivotButton="0" quotePrefix="0" xfId="0">
      <alignment horizontal="center"/>
    </xf>
    <xf numFmtId="0" fontId="4" fillId="16" borderId="6" applyAlignment="1" pivotButton="0" quotePrefix="0" xfId="0">
      <alignment horizontal="center"/>
    </xf>
    <xf numFmtId="0" fontId="4" fillId="16" borderId="7" applyAlignment="1" pivotButton="0" quotePrefix="0" xfId="0">
      <alignment horizontal="center"/>
    </xf>
    <xf numFmtId="0" fontId="4" fillId="16" borderId="8" applyAlignment="1" pivotButton="0" quotePrefix="0" xfId="0">
      <alignment horizontal="center"/>
    </xf>
    <xf numFmtId="0" fontId="4" fillId="7" borderId="52" applyAlignment="1" pivotButton="0" quotePrefix="0" xfId="0">
      <alignment horizontal="center" wrapText="1"/>
    </xf>
    <xf numFmtId="0" fontId="4" fillId="7" borderId="56" applyAlignment="1" pivotButton="0" quotePrefix="0" xfId="0">
      <alignment horizontal="center" wrapText="1"/>
    </xf>
    <xf numFmtId="0" fontId="4" fillId="6" borderId="18" applyAlignment="1" pivotButton="0" quotePrefix="0" xfId="0">
      <alignment horizontal="center"/>
    </xf>
    <xf numFmtId="0" fontId="4" fillId="6" borderId="11" applyAlignment="1" pivotButton="0" quotePrefix="0" xfId="0">
      <alignment horizontal="center"/>
    </xf>
    <xf numFmtId="0" fontId="4" fillId="6" borderId="12" applyAlignment="1" pivotButton="0" quotePrefix="0" xfId="0">
      <alignment horizontal="center"/>
    </xf>
    <xf numFmtId="0" fontId="4" fillId="10" borderId="6"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4" fillId="7" borderId="10" applyAlignment="1" pivotButton="0" quotePrefix="0" xfId="0">
      <alignment horizontal="center" wrapText="1"/>
    </xf>
    <xf numFmtId="0" fontId="4" fillId="7" borderId="41" applyAlignment="1" pivotButton="0" quotePrefix="0" xfId="0">
      <alignment horizontal="center" wrapText="1"/>
    </xf>
    <xf numFmtId="0" fontId="4" fillId="7" borderId="43" applyAlignment="1" pivotButton="0" quotePrefix="0" xfId="0">
      <alignment horizontal="center" wrapText="1"/>
    </xf>
    <xf numFmtId="0" fontId="4" fillId="7" borderId="50" applyAlignment="1" pivotButton="0" quotePrefix="0" xfId="0">
      <alignment horizontal="center" wrapText="1"/>
    </xf>
    <xf numFmtId="0" fontId="4" fillId="7" borderId="45" applyAlignment="1" pivotButton="0" quotePrefix="0" xfId="0">
      <alignment horizontal="center" wrapText="1"/>
    </xf>
    <xf numFmtId="0" fontId="4" fillId="7" borderId="20" applyAlignment="1" pivotButton="0" quotePrefix="0" xfId="0">
      <alignment horizontal="center" wrapText="1"/>
    </xf>
    <xf numFmtId="0" fontId="4" fillId="6" borderId="44" applyAlignment="1" pivotButton="0" quotePrefix="0" xfId="0">
      <alignment horizontal="center"/>
    </xf>
    <xf numFmtId="0" fontId="4" fillId="6" borderId="45" applyAlignment="1" pivotButton="0" quotePrefix="0" xfId="0">
      <alignment horizontal="center"/>
    </xf>
    <xf numFmtId="0" fontId="4" fillId="6" borderId="46" applyAlignment="1" pivotButton="0" quotePrefix="0" xfId="0">
      <alignment horizontal="center"/>
    </xf>
    <xf numFmtId="0" fontId="4" fillId="4" borderId="47" applyAlignment="1" pivotButton="0" quotePrefix="0" xfId="0">
      <alignment horizontal="center"/>
    </xf>
    <xf numFmtId="0" fontId="4" fillId="4" borderId="48" applyAlignment="1" pivotButton="0" quotePrefix="0" xfId="0">
      <alignment horizontal="center"/>
    </xf>
    <xf numFmtId="0" fontId="4" fillId="4" borderId="49" applyAlignment="1" pivotButton="0" quotePrefix="0" xfId="0">
      <alignment horizontal="center"/>
    </xf>
    <xf numFmtId="0" fontId="5" fillId="8" borderId="6" applyAlignment="1" pivotButton="0" quotePrefix="0" xfId="0">
      <alignment horizontal="center"/>
    </xf>
    <xf numFmtId="0" fontId="5" fillId="8" borderId="8" applyAlignment="1" pivotButton="0" quotePrefix="0" xfId="0">
      <alignment horizontal="center"/>
    </xf>
    <xf numFmtId="0" fontId="10" fillId="10" borderId="6" applyAlignment="1" pivotButton="0" quotePrefix="0" xfId="0">
      <alignment horizontal="center"/>
    </xf>
    <xf numFmtId="0" fontId="10" fillId="10" borderId="7" applyAlignment="1" pivotButton="0" quotePrefix="0" xfId="0">
      <alignment horizontal="center"/>
    </xf>
    <xf numFmtId="0" fontId="10" fillId="10" borderId="8" applyAlignment="1" pivotButton="0" quotePrefix="0" xfId="0">
      <alignment horizontal="center"/>
    </xf>
    <xf numFmtId="0" fontId="10" fillId="4" borderId="47" applyAlignment="1" pivotButton="0" quotePrefix="0" xfId="0">
      <alignment horizontal="center"/>
    </xf>
    <xf numFmtId="0" fontId="10" fillId="4" borderId="48" applyAlignment="1" pivotButton="0" quotePrefix="0" xfId="0">
      <alignment horizontal="center"/>
    </xf>
    <xf numFmtId="0" fontId="10" fillId="4" borderId="49" applyAlignment="1" pivotButton="0" quotePrefix="0" xfId="0">
      <alignment horizontal="center"/>
    </xf>
    <xf numFmtId="0" fontId="12" fillId="4" borderId="83" applyAlignment="1" pivotButton="0" quotePrefix="0" xfId="0">
      <alignment horizontal="center" vertical="center"/>
    </xf>
    <xf numFmtId="0" fontId="12" fillId="4" borderId="37" applyAlignment="1" pivotButton="0" quotePrefix="0" xfId="0">
      <alignment horizontal="center" vertical="center"/>
    </xf>
    <xf numFmtId="0" fontId="12" fillId="10" borderId="41" applyAlignment="1" pivotButton="0" quotePrefix="0" xfId="0">
      <alignment horizontal="center" vertical="center"/>
    </xf>
    <xf numFmtId="0" fontId="12" fillId="10" borderId="0" applyAlignment="1" pivotButton="0" quotePrefix="0" xfId="0">
      <alignment horizontal="center" vertical="center"/>
    </xf>
    <xf numFmtId="0" fontId="4" fillId="4" borderId="19" applyAlignment="1" pivotButton="0" quotePrefix="0" xfId="0">
      <alignment horizontal="center"/>
    </xf>
    <xf numFmtId="0" fontId="4" fillId="4" borderId="20" applyAlignment="1" pivotButton="0" quotePrefix="0" xfId="0">
      <alignment horizontal="center"/>
    </xf>
    <xf numFmtId="0" fontId="7" fillId="18" borderId="10" applyAlignment="1" pivotButton="0" quotePrefix="0" xfId="0">
      <alignment horizontal="center" vertical="center"/>
    </xf>
    <xf numFmtId="0" fontId="7" fillId="18" borderId="11" applyAlignment="1" pivotButton="0" quotePrefix="0" xfId="0">
      <alignment horizontal="center" vertical="center"/>
    </xf>
    <xf numFmtId="0" fontId="7" fillId="18" borderId="12" applyAlignment="1" pivotButton="0" quotePrefix="0" xfId="0">
      <alignment horizontal="center" vertical="center"/>
    </xf>
    <xf numFmtId="0" fontId="0" fillId="0" borderId="3" applyAlignment="1" pivotButton="0" quotePrefix="0" xfId="0">
      <alignment horizontal="center" vertical="top" wrapText="1"/>
    </xf>
    <xf numFmtId="0" fontId="0" fillId="0" borderId="11" pivotButton="0" quotePrefix="0" xfId="0"/>
    <xf numFmtId="0" fontId="0" fillId="0" borderId="12" pivotButton="0" quotePrefix="0" xfId="0"/>
    <xf numFmtId="0" fontId="0" fillId="0" borderId="41" pivotButton="0" quotePrefix="0" xfId="0"/>
    <xf numFmtId="0" fontId="0" fillId="0" borderId="42" pivotButton="0" quotePrefix="0" xfId="0"/>
    <xf numFmtId="0" fontId="0" fillId="0" borderId="19" pivotButton="0" quotePrefix="0" xfId="0"/>
    <xf numFmtId="0" fontId="0" fillId="0" borderId="21" pivotButton="0" quotePrefix="0" xfId="0"/>
    <xf numFmtId="0" fontId="10" fillId="4" borderId="88" applyAlignment="1" pivotButton="0" quotePrefix="0" xfId="0">
      <alignment horizontal="center"/>
    </xf>
    <xf numFmtId="0" fontId="0" fillId="0" borderId="48" pivotButton="0" quotePrefix="0" xfId="0"/>
    <xf numFmtId="0" fontId="0" fillId="0" borderId="49" pivotButton="0" quotePrefix="0" xfId="0"/>
    <xf numFmtId="0" fontId="10" fillId="10" borderId="3" applyAlignment="1" pivotButton="0" quotePrefix="0" xfId="0">
      <alignment horizontal="center"/>
    </xf>
    <xf numFmtId="0" fontId="0" fillId="0" borderId="7" pivotButton="0" quotePrefix="0" xfId="0"/>
    <xf numFmtId="0" fontId="0" fillId="0" borderId="8" pivotButton="0" quotePrefix="0" xfId="0"/>
    <xf numFmtId="0" fontId="4" fillId="7" borderId="92" applyAlignment="1" pivotButton="0" quotePrefix="0" xfId="0">
      <alignment horizontal="center" wrapText="1"/>
    </xf>
    <xf numFmtId="0" fontId="4" fillId="7" borderId="48" applyAlignment="1" pivotButton="0" quotePrefix="0" xfId="0">
      <alignment horizontal="center" wrapText="1"/>
    </xf>
    <xf numFmtId="0" fontId="4" fillId="6" borderId="93" applyAlignment="1" pivotButton="0" quotePrefix="0" xfId="0">
      <alignment horizontal="center"/>
    </xf>
    <xf numFmtId="0" fontId="0" fillId="0" borderId="45" pivotButton="0" quotePrefix="0" xfId="0"/>
    <xf numFmtId="0" fontId="0" fillId="0" borderId="46" pivotButton="0" quotePrefix="0" xfId="0"/>
    <xf numFmtId="0" fontId="4" fillId="4" borderId="88" applyAlignment="1" pivotButton="0" quotePrefix="0" xfId="0">
      <alignment horizontal="center"/>
    </xf>
    <xf numFmtId="0" fontId="4" fillId="6" borderId="94" applyAlignment="1" pivotButton="0" quotePrefix="0" xfId="0">
      <alignment horizontal="center"/>
    </xf>
    <xf numFmtId="0" fontId="4" fillId="10" borderId="3" applyAlignment="1" pivotButton="0" quotePrefix="0" xfId="0">
      <alignment horizontal="center"/>
    </xf>
    <xf numFmtId="0" fontId="4" fillId="13" borderId="3" applyAlignment="1" pivotButton="0" quotePrefix="0" xfId="0">
      <alignment horizontal="center"/>
    </xf>
    <xf numFmtId="0" fontId="0" fillId="0" borderId="50" pivotButton="0" quotePrefix="0" xfId="0"/>
    <xf numFmtId="0" fontId="0" fillId="0" borderId="56" pivotButton="0" quotePrefix="0" xfId="0"/>
    <xf numFmtId="0" fontId="5" fillId="8" borderId="90" applyAlignment="1" pivotButton="0" quotePrefix="0" xfId="0">
      <alignment horizontal="center"/>
    </xf>
    <xf numFmtId="0" fontId="0" fillId="0" borderId="57" pivotButton="0" quotePrefix="0" xfId="0"/>
    <xf numFmtId="0" fontId="5" fillId="8" borderId="3" applyAlignment="1" pivotButton="0" quotePrefix="0" xfId="0">
      <alignment horizontal="center"/>
    </xf>
    <xf numFmtId="167" fontId="0" fillId="0" borderId="0" pivotButton="0" quotePrefix="0" xfId="0"/>
    <xf numFmtId="0" fontId="4" fillId="16" borderId="3" applyAlignment="1" pivotButton="0" quotePrefix="0" xfId="0">
      <alignment horizontal="center"/>
    </xf>
    <xf numFmtId="0" fontId="0" fillId="0" borderId="37" pivotButton="0" quotePrefix="0" xfId="0"/>
    <xf numFmtId="167" fontId="5" fillId="4" borderId="9" applyAlignment="1" pivotButton="0" quotePrefix="0" xfId="2">
      <alignment horizontal="center" vertical="center"/>
    </xf>
    <xf numFmtId="167" fontId="4" fillId="4" borderId="9" applyAlignment="1" pivotButton="0" quotePrefix="0" xfId="2">
      <alignment horizontal="center" vertical="center"/>
    </xf>
    <xf numFmtId="167" fontId="4" fillId="10" borderId="9" applyAlignment="1" pivotButton="0" quotePrefix="0" xfId="2">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5" fillId="12" borderId="75" pivotButton="0" quotePrefix="0" xfId="2"/>
    <xf numFmtId="167" fontId="7" fillId="5" borderId="75" pivotButton="0" quotePrefix="0" xfId="2"/>
    <xf numFmtId="167" fontId="7" fillId="5" borderId="80" pivotButton="0" quotePrefix="0" xfId="2"/>
    <xf numFmtId="167" fontId="5" fillId="12" borderId="80" pivotButton="0" quotePrefix="0" xfId="2"/>
    <xf numFmtId="0" fontId="7" fillId="18" borderId="73" applyAlignment="1" pivotButton="0" quotePrefix="0" xfId="0">
      <alignment horizontal="center" vertical="center"/>
    </xf>
    <xf numFmtId="167" fontId="7" fillId="5" borderId="82" pivotButton="0" quotePrefix="0" xfId="2"/>
    <xf numFmtId="167" fontId="7" fillId="5" borderId="77" pivotButton="0" quotePrefix="0" xfId="2"/>
    <xf numFmtId="167" fontId="5" fillId="12" borderId="77" pivotButton="0" quotePrefix="0" xfId="2"/>
    <xf numFmtId="167" fontId="7" fillId="5" borderId="86" pivotButton="0" quotePrefix="0" xfId="2"/>
    <xf numFmtId="167" fontId="5" fillId="12" borderId="86" pivotButton="0" quotePrefix="0" xfId="2"/>
  </cellXfs>
  <cellStyles count="6">
    <cellStyle name="Normal" xfId="0" builtinId="0"/>
    <cellStyle name="Comma" xfId="1" builtinId="3"/>
    <cellStyle name="Currency" xfId="2" builtinId="4"/>
    <cellStyle name="Percent" xfId="3" builtinId="5"/>
    <cellStyle name="Input" xfId="4" builtinId="20"/>
    <cellStyle name="Output" xfId="5"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4:A7"/>
  <sheetViews>
    <sheetView workbookViewId="0">
      <selection activeCell="A10" sqref="A10"/>
    </sheetView>
  </sheetViews>
  <sheetFormatPr baseColWidth="8" defaultRowHeight="15"/>
  <cols>
    <col width="14.5703125" customWidth="1" min="1" max="1"/>
  </cols>
  <sheetData>
    <row r="4">
      <c r="A4" t="inlineStr">
        <is>
          <t>Monthly F</t>
        </is>
      </c>
    </row>
    <row r="5">
      <c r="A5" t="inlineStr">
        <is>
          <t>Monthly V</t>
        </is>
      </c>
    </row>
    <row r="6">
      <c r="A6" t="inlineStr">
        <is>
          <t>Annual</t>
        </is>
      </c>
    </row>
    <row r="7">
      <c r="A7" t="inlineStr">
        <is>
          <t>One-Time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
  <sheetViews>
    <sheetView tabSelected="1" workbookViewId="0">
      <selection activeCell="C3" sqref="C3"/>
    </sheetView>
  </sheetViews>
  <sheetFormatPr baseColWidth="8" defaultRowHeight="15"/>
  <sheetData>
    <row r="2">
      <c r="B2" t="inlineStr">
        <is>
          <t>OriginalFileName</t>
        </is>
      </c>
      <c r="C2" t="inlineStr">
        <is>
          <t>Echelon_Primary_TCO_v5_11_13_25.xlsx</t>
        </is>
      </c>
    </row>
  </sheetData>
  <pageMargins left="0.7" right="0.7" top="0.75" bottom="0.75" header="0.3" footer="0.3"/>
</worksheet>
</file>

<file path=xl/worksheets/sheet3.xml><?xml version="1.0" encoding="utf-8"?>
<worksheet xmlns="http://schemas.openxmlformats.org/spreadsheetml/2006/main">
  <sheetPr>
    <tabColor rgb="FFFF0000"/>
    <outlinePr summaryBelow="1" summaryRight="1"/>
    <pageSetUpPr/>
  </sheetPr>
  <dimension ref="B2:U27"/>
  <sheetViews>
    <sheetView showGridLines="0" workbookViewId="0">
      <selection activeCell="F23" sqref="F23"/>
    </sheetView>
  </sheetViews>
  <sheetFormatPr baseColWidth="8" defaultRowHeight="15"/>
  <cols>
    <col width="19.28515625" customWidth="1" min="14" max="14"/>
  </cols>
  <sheetData>
    <row r="1" ht="15.75" customHeight="1" thickBot="1"/>
    <row r="2" ht="14.45" customHeight="1">
      <c r="B2" s="256" t="inlineStr">
        <is>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is>
      </c>
      <c r="C2" s="257" t="n"/>
      <c r="D2" s="257" t="n"/>
      <c r="E2" s="257" t="n"/>
      <c r="F2" s="257" t="n"/>
      <c r="G2" s="257" t="n"/>
      <c r="H2" s="257" t="n"/>
      <c r="I2" s="257" t="n"/>
      <c r="J2" s="257" t="n"/>
      <c r="K2" s="257" t="n"/>
      <c r="L2" s="257" t="n"/>
      <c r="M2" s="257" t="n"/>
      <c r="N2" s="258" t="n"/>
      <c r="O2" s="67" t="n"/>
      <c r="P2" s="67" t="n"/>
      <c r="Q2" s="67" t="n"/>
      <c r="R2" s="67" t="n"/>
      <c r="S2" s="66" t="n"/>
      <c r="T2" s="66" t="n"/>
      <c r="U2" s="66" t="n"/>
    </row>
    <row r="3">
      <c r="B3" s="259" t="n"/>
      <c r="N3" s="260" t="n"/>
      <c r="O3" s="67" t="n"/>
      <c r="P3" s="67" t="n"/>
      <c r="Q3" s="67" t="n"/>
      <c r="R3" s="67" t="n"/>
      <c r="S3" s="66" t="n"/>
      <c r="T3" s="66" t="n"/>
      <c r="U3" s="66" t="n"/>
    </row>
    <row r="4">
      <c r="B4" s="259" t="n"/>
      <c r="N4" s="260" t="n"/>
      <c r="O4" s="67" t="n"/>
      <c r="P4" s="67" t="n"/>
      <c r="Q4" s="67" t="n"/>
      <c r="R4" s="67" t="n"/>
      <c r="S4" s="66" t="n"/>
      <c r="T4" s="66" t="n"/>
      <c r="U4" s="66" t="n"/>
    </row>
    <row r="5">
      <c r="B5" s="259" t="n"/>
      <c r="N5" s="260" t="n"/>
      <c r="O5" s="67" t="n"/>
      <c r="P5" s="67" t="n"/>
      <c r="Q5" s="67" t="n"/>
      <c r="R5" s="67" t="n"/>
      <c r="S5" s="66" t="n"/>
      <c r="T5" s="66" t="n"/>
      <c r="U5" s="66" t="n"/>
    </row>
    <row r="6">
      <c r="B6" s="259" t="n"/>
      <c r="N6" s="260" t="n"/>
      <c r="O6" s="67" t="n"/>
      <c r="P6" s="67" t="n"/>
      <c r="Q6" s="67" t="n"/>
      <c r="R6" s="67" t="n"/>
      <c r="S6" s="66" t="n"/>
      <c r="T6" s="66" t="n"/>
      <c r="U6" s="66" t="n"/>
    </row>
    <row r="7">
      <c r="B7" s="259" t="n"/>
      <c r="N7" s="260" t="n"/>
      <c r="O7" s="67" t="n"/>
      <c r="P7" s="67" t="n"/>
      <c r="Q7" s="67" t="n"/>
      <c r="R7" s="67" t="n"/>
      <c r="S7" s="66" t="n"/>
      <c r="T7" s="66" t="n"/>
      <c r="U7" s="66" t="n"/>
    </row>
    <row r="8">
      <c r="B8" s="259" t="n"/>
      <c r="N8" s="260" t="n"/>
      <c r="O8" s="67" t="n"/>
      <c r="P8" s="67" t="n"/>
      <c r="Q8" s="67" t="n"/>
      <c r="R8" s="67" t="n"/>
      <c r="S8" s="66" t="n"/>
      <c r="T8" s="66" t="n"/>
      <c r="U8" s="66" t="n"/>
    </row>
    <row r="9">
      <c r="B9" s="259" t="n"/>
      <c r="N9" s="260" t="n"/>
      <c r="O9" s="67" t="n"/>
      <c r="P9" s="67" t="n"/>
      <c r="Q9" s="67" t="n"/>
      <c r="R9" s="67" t="n"/>
      <c r="S9" s="66" t="n"/>
      <c r="T9" s="66" t="n"/>
      <c r="U9" s="66" t="n"/>
    </row>
    <row r="10">
      <c r="B10" s="259" t="n"/>
      <c r="N10" s="260" t="n"/>
      <c r="O10" s="67" t="n"/>
      <c r="P10" s="67" t="n"/>
      <c r="Q10" s="67" t="n"/>
      <c r="R10" s="67" t="n"/>
      <c r="S10" s="66" t="n"/>
      <c r="T10" s="66" t="n"/>
      <c r="U10" s="66" t="n"/>
    </row>
    <row r="11">
      <c r="B11" s="259" t="n"/>
      <c r="N11" s="260" t="n"/>
      <c r="O11" s="67" t="n"/>
      <c r="P11" s="67" t="n"/>
      <c r="Q11" s="67" t="n"/>
      <c r="R11" s="67" t="n"/>
      <c r="S11" s="66" t="n"/>
      <c r="T11" s="66" t="n"/>
      <c r="U11" s="66" t="n"/>
    </row>
    <row r="12">
      <c r="B12" s="259" t="n"/>
      <c r="N12" s="260" t="n"/>
      <c r="O12" s="67" t="n"/>
      <c r="P12" s="67" t="n"/>
      <c r="Q12" s="67" t="n"/>
      <c r="R12" s="67" t="n"/>
      <c r="S12" s="66" t="n"/>
      <c r="T12" s="66" t="n"/>
      <c r="U12" s="66" t="n"/>
    </row>
    <row r="13">
      <c r="B13" s="259" t="n"/>
      <c r="N13" s="260" t="n"/>
      <c r="O13" s="67" t="n"/>
      <c r="P13" s="67" t="n"/>
      <c r="Q13" s="67" t="n"/>
      <c r="R13" s="67" t="n"/>
      <c r="S13" s="66" t="n"/>
      <c r="T13" s="66" t="n"/>
      <c r="U13" s="66" t="n"/>
    </row>
    <row r="14" ht="15.75" customHeight="1" thickBot="1">
      <c r="B14" s="261" t="n"/>
      <c r="C14" s="183" t="n"/>
      <c r="D14" s="183" t="n"/>
      <c r="E14" s="183" t="n"/>
      <c r="F14" s="183" t="n"/>
      <c r="G14" s="183" t="n"/>
      <c r="H14" s="183" t="n"/>
      <c r="I14" s="183" t="n"/>
      <c r="J14" s="183" t="n"/>
      <c r="K14" s="183" t="n"/>
      <c r="L14" s="183" t="n"/>
      <c r="M14" s="183" t="n"/>
      <c r="N14" s="262" t="n"/>
      <c r="O14" s="67" t="n"/>
      <c r="P14" s="67" t="n"/>
      <c r="Q14" s="67" t="n"/>
      <c r="R14" s="67" t="n"/>
      <c r="S14" s="66" t="n"/>
      <c r="T14" s="66" t="n"/>
      <c r="U14" s="66" t="n"/>
    </row>
    <row r="15">
      <c r="B15" s="67" t="n"/>
      <c r="C15" s="67" t="n"/>
      <c r="D15" s="67" t="n"/>
      <c r="E15" s="67" t="n"/>
      <c r="F15" s="67" t="n"/>
      <c r="G15" s="67" t="n"/>
      <c r="H15" s="67" t="n"/>
      <c r="I15" s="67" t="n"/>
      <c r="J15" s="67" t="n"/>
      <c r="K15" s="67" t="n"/>
      <c r="L15" s="67" t="n"/>
      <c r="M15" s="67" t="n"/>
      <c r="N15" s="67" t="n"/>
      <c r="O15" s="67" t="n"/>
      <c r="P15" s="67" t="n"/>
      <c r="Q15" s="67" t="n"/>
      <c r="R15" s="67" t="n"/>
      <c r="S15" s="66" t="n"/>
      <c r="T15" s="66" t="n"/>
      <c r="U15" s="66" t="n"/>
    </row>
    <row r="16">
      <c r="B16" s="67" t="n"/>
      <c r="C16" s="67" t="n"/>
      <c r="D16" s="67" t="n"/>
      <c r="E16" s="67" t="n"/>
      <c r="F16" s="67" t="n"/>
      <c r="G16" s="67" t="n"/>
      <c r="H16" s="67" t="n"/>
      <c r="I16" s="67" t="n"/>
      <c r="J16" s="67" t="n"/>
      <c r="K16" s="67" t="n"/>
      <c r="L16" s="67" t="n"/>
      <c r="M16" s="67" t="n"/>
      <c r="N16" s="67" t="n"/>
      <c r="O16" s="67" t="n"/>
      <c r="P16" s="67" t="n"/>
      <c r="Q16" s="67" t="n"/>
      <c r="R16" s="67" t="n"/>
      <c r="S16" s="66" t="n"/>
      <c r="T16" s="66" t="n"/>
      <c r="U16" s="66" t="n"/>
    </row>
    <row r="17">
      <c r="B17" s="67" t="n"/>
      <c r="C17" s="67" t="n"/>
      <c r="D17" s="67" t="n"/>
      <c r="E17" s="67" t="n"/>
      <c r="F17" s="67" t="n"/>
      <c r="G17" s="67" t="n"/>
      <c r="H17" s="67" t="n"/>
      <c r="I17" s="67" t="n"/>
      <c r="J17" s="67" t="n"/>
      <c r="K17" s="67" t="n"/>
      <c r="L17" s="67" t="n"/>
      <c r="M17" s="67" t="n"/>
      <c r="N17" s="67" t="n"/>
      <c r="O17" s="67" t="n"/>
      <c r="P17" s="67" t="n"/>
      <c r="Q17" s="67" t="n"/>
      <c r="R17" s="67" t="n"/>
      <c r="S17" s="66" t="n"/>
      <c r="T17" s="66" t="n"/>
      <c r="U17" s="66" t="n"/>
    </row>
    <row r="18">
      <c r="B18" s="67" t="n"/>
      <c r="C18" s="67" t="n"/>
      <c r="D18" s="67" t="n"/>
      <c r="E18" s="67" t="n"/>
      <c r="F18" s="67" t="n"/>
      <c r="G18" s="67" t="n"/>
      <c r="H18" s="67" t="n"/>
      <c r="I18" s="67" t="n"/>
      <c r="J18" s="67" t="n"/>
      <c r="K18" s="67" t="n"/>
      <c r="L18" s="67" t="n"/>
      <c r="M18" s="67" t="n"/>
      <c r="N18" s="67" t="n"/>
      <c r="O18" s="67" t="n"/>
      <c r="P18" s="67" t="n"/>
      <c r="Q18" s="67" t="n"/>
      <c r="R18" s="67" t="n"/>
      <c r="S18" s="66" t="n"/>
      <c r="T18" s="66" t="n"/>
      <c r="U18" s="66" t="n"/>
    </row>
    <row r="19">
      <c r="B19" s="67" t="n"/>
      <c r="C19" s="67" t="n"/>
      <c r="D19" s="67" t="n"/>
      <c r="E19" s="67" t="n"/>
      <c r="F19" s="67" t="n"/>
      <c r="G19" s="67" t="n"/>
      <c r="H19" s="67" t="n"/>
      <c r="I19" s="67" t="n"/>
      <c r="J19" s="67" t="n"/>
      <c r="K19" s="67" t="n"/>
      <c r="L19" s="67" t="n"/>
      <c r="M19" s="67" t="n"/>
      <c r="N19" s="67" t="n"/>
      <c r="O19" s="67" t="n"/>
      <c r="P19" s="67" t="n"/>
      <c r="Q19" s="67" t="n"/>
      <c r="R19" s="67" t="n"/>
      <c r="S19" s="66" t="n"/>
      <c r="T19" s="66" t="n"/>
      <c r="U19" s="66" t="n"/>
    </row>
    <row r="20">
      <c r="B20" s="67" t="n"/>
      <c r="C20" s="67" t="n"/>
      <c r="D20" s="67" t="n"/>
      <c r="E20" s="67" t="n"/>
      <c r="F20" s="67" t="n"/>
      <c r="G20" s="67" t="n"/>
      <c r="H20" s="67" t="n"/>
      <c r="I20" s="67" t="n"/>
      <c r="J20" s="67" t="n"/>
      <c r="K20" s="67" t="n"/>
      <c r="L20" s="67" t="n"/>
      <c r="M20" s="67" t="n"/>
      <c r="N20" s="67" t="n"/>
      <c r="O20" s="67" t="n"/>
      <c r="P20" s="67" t="n"/>
      <c r="Q20" s="67" t="n"/>
      <c r="R20" s="67" t="n"/>
      <c r="S20" s="66" t="n"/>
      <c r="T20" s="66" t="n"/>
      <c r="U20" s="66" t="n"/>
    </row>
    <row r="21">
      <c r="B21" s="67" t="n"/>
      <c r="C21" s="67" t="n"/>
      <c r="D21" s="67" t="n"/>
      <c r="E21" s="67" t="n"/>
      <c r="F21" s="67" t="n"/>
      <c r="G21" s="67" t="n"/>
      <c r="H21" s="67" t="n"/>
      <c r="I21" s="67" t="n"/>
      <c r="J21" s="67" t="n"/>
      <c r="K21" s="67" t="n"/>
      <c r="L21" s="67" t="n"/>
      <c r="M21" s="67" t="n"/>
      <c r="N21" s="67" t="n"/>
      <c r="O21" s="67" t="n"/>
      <c r="P21" s="67" t="n"/>
      <c r="Q21" s="67" t="n"/>
      <c r="R21" s="67" t="n"/>
      <c r="S21" s="66" t="n"/>
      <c r="T21" s="66" t="n"/>
      <c r="U21" s="66" t="n"/>
    </row>
    <row r="22">
      <c r="B22" s="67" t="n"/>
      <c r="C22" s="67" t="n"/>
      <c r="D22" s="67" t="n"/>
      <c r="E22" s="67" t="n"/>
      <c r="F22" s="67" t="n"/>
      <c r="G22" s="67" t="n"/>
      <c r="H22" s="67" t="n"/>
      <c r="I22" s="67" t="n"/>
      <c r="J22" s="67" t="n"/>
      <c r="K22" s="67" t="n"/>
      <c r="L22" s="67" t="n"/>
      <c r="M22" s="67" t="n"/>
      <c r="N22" s="67" t="n"/>
      <c r="O22" s="67" t="n"/>
      <c r="P22" s="67" t="n"/>
      <c r="Q22" s="67" t="n"/>
      <c r="R22" s="67" t="n"/>
      <c r="S22" s="66" t="n"/>
      <c r="T22" s="66" t="n"/>
      <c r="U22" s="66" t="n"/>
    </row>
    <row r="23">
      <c r="B23" s="67" t="n"/>
      <c r="C23" s="67" t="n"/>
      <c r="D23" s="67" t="n"/>
      <c r="E23" s="67" t="n"/>
      <c r="F23" s="67" t="n"/>
      <c r="G23" s="67" t="n"/>
      <c r="H23" s="67" t="n"/>
      <c r="I23" s="67" t="n"/>
      <c r="J23" s="67" t="n"/>
      <c r="K23" s="67" t="n"/>
      <c r="L23" s="67" t="n"/>
      <c r="M23" s="67" t="n"/>
      <c r="N23" s="67" t="n"/>
      <c r="O23" s="67" t="n"/>
      <c r="P23" s="67" t="n"/>
      <c r="Q23" s="67" t="n"/>
      <c r="R23" s="67" t="n"/>
      <c r="S23" s="66" t="n"/>
      <c r="T23" s="66" t="n"/>
      <c r="U23" s="66" t="n"/>
    </row>
    <row r="24">
      <c r="B24" s="66" t="n"/>
      <c r="C24" s="66" t="n"/>
      <c r="D24" s="66" t="n"/>
      <c r="E24" s="66" t="n"/>
      <c r="F24" s="66" t="n"/>
      <c r="G24" s="66" t="n"/>
      <c r="H24" s="66" t="n"/>
      <c r="I24" s="66" t="n"/>
      <c r="J24" s="66" t="n"/>
      <c r="K24" s="66" t="n"/>
      <c r="L24" s="66" t="n"/>
      <c r="M24" s="66" t="n"/>
      <c r="N24" s="66" t="n"/>
      <c r="O24" s="66" t="n"/>
      <c r="P24" s="66" t="n"/>
      <c r="Q24" s="66" t="n"/>
      <c r="R24" s="66" t="n"/>
      <c r="S24" s="66" t="n"/>
      <c r="T24" s="66" t="n"/>
      <c r="U24" s="66" t="n"/>
    </row>
    <row r="25">
      <c r="B25" s="66" t="n"/>
      <c r="C25" s="66" t="n"/>
      <c r="D25" s="66" t="n"/>
      <c r="E25" s="66" t="n"/>
      <c r="F25" s="66" t="n"/>
      <c r="G25" s="66" t="n"/>
      <c r="H25" s="66" t="n"/>
      <c r="I25" s="66" t="n"/>
      <c r="J25" s="66" t="n"/>
      <c r="K25" s="66" t="n"/>
      <c r="L25" s="66" t="n"/>
      <c r="M25" s="66" t="n"/>
      <c r="N25" s="66" t="n"/>
      <c r="O25" s="66" t="n"/>
      <c r="P25" s="66" t="n"/>
      <c r="Q25" s="66" t="n"/>
      <c r="R25" s="66" t="n"/>
      <c r="S25" s="66" t="n"/>
      <c r="T25" s="66" t="n"/>
      <c r="U25" s="66" t="n"/>
    </row>
    <row r="26">
      <c r="B26" s="66" t="n"/>
      <c r="C26" s="66" t="n"/>
      <c r="D26" s="66" t="n"/>
      <c r="E26" s="66" t="n"/>
      <c r="F26" s="66" t="n"/>
      <c r="G26" s="66" t="n"/>
      <c r="H26" s="66" t="n"/>
      <c r="I26" s="66" t="n"/>
      <c r="J26" s="66" t="n"/>
      <c r="K26" s="66" t="n"/>
      <c r="L26" s="66" t="n"/>
      <c r="M26" s="66" t="n"/>
      <c r="N26" s="66" t="n"/>
      <c r="O26" s="66" t="n"/>
      <c r="P26" s="66" t="n"/>
      <c r="Q26" s="66" t="n"/>
      <c r="R26" s="66" t="n"/>
      <c r="S26" s="66" t="n"/>
      <c r="T26" s="66" t="n"/>
      <c r="U26" s="66" t="n"/>
    </row>
    <row r="27">
      <c r="B27" s="66" t="n"/>
      <c r="C27" s="66" t="n"/>
      <c r="D27" s="66" t="n"/>
      <c r="E27" s="66" t="n"/>
      <c r="F27" s="66" t="n"/>
      <c r="G27" s="66" t="n"/>
      <c r="H27" s="66" t="n"/>
      <c r="I27" s="66" t="n"/>
      <c r="J27" s="66" t="n"/>
      <c r="K27" s="66" t="n"/>
      <c r="L27" s="66" t="n"/>
      <c r="M27" s="66" t="n"/>
      <c r="N27" s="66" t="n"/>
      <c r="O27" s="66" t="n"/>
      <c r="P27" s="66" t="n"/>
      <c r="Q27" s="66" t="n"/>
      <c r="R27" s="66" t="n"/>
      <c r="S27" s="66" t="n"/>
      <c r="T27" s="66" t="n"/>
      <c r="U27" s="66" t="n"/>
    </row>
  </sheetData>
  <mergeCells count="1">
    <mergeCell ref="B2:N14"/>
  </mergeCells>
  <pageMargins left="0.7" right="0.7" top="0.75" bottom="0.75" header="0.3" footer="0.3"/>
</worksheet>
</file>

<file path=xl/worksheets/sheet4.xml><?xml version="1.0" encoding="utf-8"?>
<worksheet xmlns="http://schemas.openxmlformats.org/spreadsheetml/2006/main">
  <sheetPr>
    <tabColor theme="9"/>
    <outlinePr summaryBelow="1" summaryRight="1"/>
    <pageSetUpPr/>
  </sheetPr>
  <dimension ref="B1:DS164"/>
  <sheetViews>
    <sheetView showGridLines="0" topLeftCell="N1" zoomScale="59" zoomScaleNormal="80" workbookViewId="0">
      <pane ySplit="5" topLeftCell="A6" activePane="bottomLeft" state="frozen"/>
      <selection activeCell="T1" sqref="T1"/>
      <selection pane="bottomLeft" activeCell="S115" sqref="S115"/>
    </sheetView>
  </sheetViews>
  <sheetFormatPr baseColWidth="8" defaultRowHeight="15"/>
  <cols>
    <col width="2.28515625" customWidth="1" min="1" max="1"/>
    <col width="22.5703125" customWidth="1" min="2" max="2"/>
    <col outlineLevel="2" width="12.42578125" customWidth="1" min="3" max="3"/>
    <col width="12.42578125" customWidth="1" min="4" max="4"/>
    <col outlineLevel="2" width="10.85546875" customWidth="1" min="5" max="5"/>
    <col outlineLevel="2" width="10.28515625" customWidth="1" min="6" max="14"/>
    <col width="68.28515625" customWidth="1" min="15" max="15"/>
    <col width="36" bestFit="1" customWidth="1" min="16" max="16"/>
    <col width="18.85546875" customWidth="1" min="17" max="17"/>
    <col outlineLevel="1" width="16.140625" customWidth="1" min="18" max="18"/>
    <col outlineLevel="1" width="16.85546875" customWidth="1" min="19" max="23"/>
    <col outlineLevel="2" width="16.85546875" customWidth="1" min="24" max="25"/>
    <col outlineLevel="2" width="10.28515625" customWidth="1" min="26" max="27"/>
    <col outlineLevel="2" width="7.42578125" customWidth="1" min="28" max="28"/>
    <col outlineLevel="2" width="6.140625" customWidth="1" min="29" max="29"/>
    <col outlineLevel="2" width="9.5703125" customWidth="1" min="30" max="30"/>
    <col outlineLevel="2" width="10.5703125" customWidth="1" min="31" max="33"/>
    <col outlineLevel="2" width="13.140625" customWidth="1" min="34" max="34"/>
    <col outlineLevel="2" width="14" customWidth="1" min="35" max="35"/>
    <col outlineLevel="2" width="6.5703125" customWidth="1" min="36" max="37"/>
    <col outlineLevel="2" width="7.42578125" customWidth="1" min="38" max="38"/>
    <col outlineLevel="1" width="10.7109375" customWidth="1" min="39" max="39"/>
    <col width="15.28515625" bestFit="1" customWidth="1" min="40" max="40"/>
    <col width="1" customWidth="1" min="41" max="41"/>
    <col width="11.7109375" customWidth="1" min="42" max="42"/>
    <col width="12.42578125" customWidth="1" min="43" max="43"/>
    <col outlineLevel="2" width="9.7109375" customWidth="1" min="44" max="46"/>
    <col outlineLevel="2" width="10.7109375" customWidth="1" min="47" max="47"/>
    <col outlineLevel="2" width="10.28515625" customWidth="1" min="48" max="48"/>
    <col outlineLevel="2" width="10.7109375" customWidth="1" min="49" max="49"/>
    <col outlineLevel="2" width="10.28515625" customWidth="1" min="50" max="50"/>
    <col outlineLevel="2" width="9.7109375" customWidth="1" min="51" max="52"/>
    <col outlineLevel="2" width="10.7109375" customWidth="1" min="53" max="53"/>
    <col width="95" bestFit="1" customWidth="1" min="54" max="54"/>
    <col width="36.28515625" bestFit="1" customWidth="1" min="55" max="55"/>
    <col width="16" customWidth="1" min="56" max="56"/>
    <col outlineLevel="1" width="16" bestFit="1" customWidth="1" min="57" max="57"/>
    <col outlineLevel="1" width="14.5703125" customWidth="1" min="58" max="62"/>
    <col outlineLevel="2" width="14.5703125" customWidth="1" min="63" max="64"/>
    <col outlineLevel="2" width="10.28515625" customWidth="1" min="65" max="66"/>
    <col outlineLevel="2" width="7.42578125" customWidth="1" min="67" max="67"/>
    <col outlineLevel="2" width="7.5703125" customWidth="1" min="68" max="68"/>
    <col outlineLevel="2" width="9.28515625" customWidth="1" min="69" max="72"/>
    <col outlineLevel="2" width="9.85546875" customWidth="1" min="73" max="74"/>
    <col outlineLevel="2" width="6.5703125" customWidth="1" min="75" max="76"/>
    <col outlineLevel="2" width="7.5703125" customWidth="1" min="77" max="77"/>
    <col outlineLevel="1" width="11.28515625" bestFit="1" customWidth="1" min="78" max="78"/>
    <col width="17.7109375" bestFit="1" customWidth="1" min="79" max="79"/>
    <col width="1.28515625" customWidth="1" min="80" max="80"/>
    <col hidden="1" width="10.42578125" customWidth="1" min="81" max="81"/>
    <col hidden="1" width="12.42578125" customWidth="1" min="82" max="82"/>
    <col hidden="1" outlineLevel="2" width="9.7109375" customWidth="1" min="83" max="92"/>
    <col hidden="1" collapsed="1" width="54" customWidth="1" min="93" max="93"/>
    <col hidden="1" width="14.42578125" customWidth="1" min="94" max="94"/>
    <col hidden="1" outlineLevel="1" width="11.7109375" customWidth="1" min="95" max="95"/>
    <col hidden="1" outlineLevel="1" width="11.28515625" customWidth="1" min="96" max="96"/>
    <col hidden="1" outlineLevel="1" width="10.7109375" customWidth="1" min="97" max="99"/>
    <col hidden="1" outlineLevel="1" width="11.7109375" customWidth="1" min="100" max="100"/>
    <col hidden="1" outlineLevel="2" width="10.28515625" customWidth="1" min="101" max="104"/>
    <col hidden="1" outlineLevel="2" width="7.42578125" customWidth="1" min="105" max="105"/>
    <col hidden="1" outlineLevel="2" width="6.140625" customWidth="1" min="106" max="106"/>
    <col hidden="1" outlineLevel="2" width="9.28515625" customWidth="1" min="107" max="110"/>
    <col hidden="1" outlineLevel="2" width="6.5703125" customWidth="1" min="111" max="114"/>
    <col hidden="1" outlineLevel="2" width="7.42578125" customWidth="1" min="115" max="115"/>
    <col hidden="1" outlineLevel="1" collapsed="1" width="10.7109375" customWidth="1" min="116" max="116"/>
    <col hidden="1" collapsed="1" width="12.85546875" customWidth="1" min="117" max="117"/>
    <col width="1.5703125" customWidth="1" min="118" max="118"/>
  </cols>
  <sheetData>
    <row r="1" ht="27" customHeight="1" thickBot="1">
      <c r="O1" s="263" t="inlineStr">
        <is>
          <t>FIS</t>
        </is>
      </c>
      <c r="P1" s="264" t="n"/>
      <c r="Q1" s="264" t="n"/>
      <c r="R1" s="264" t="n"/>
      <c r="S1" s="264" t="n"/>
      <c r="T1" s="264" t="n"/>
      <c r="U1" s="264" t="n"/>
      <c r="V1" s="264" t="n"/>
      <c r="W1" s="264" t="n"/>
      <c r="X1" s="264" t="n"/>
      <c r="Y1" s="264" t="n"/>
      <c r="Z1" s="264" t="n"/>
      <c r="AA1" s="264" t="n"/>
      <c r="AB1" s="264" t="n"/>
      <c r="AC1" s="264" t="n"/>
      <c r="AD1" s="264" t="n"/>
      <c r="AE1" s="264" t="n"/>
      <c r="AF1" s="264" t="n"/>
      <c r="AG1" s="264" t="n"/>
      <c r="AH1" s="264" t="n"/>
      <c r="AI1" s="264" t="n"/>
      <c r="AJ1" s="264" t="n"/>
      <c r="AK1" s="264" t="n"/>
      <c r="AL1" s="264" t="n"/>
      <c r="AM1" s="264" t="n"/>
      <c r="AN1" s="265" t="n"/>
      <c r="BB1" s="266" t="inlineStr">
        <is>
          <t>Jack Henry</t>
        </is>
      </c>
      <c r="BC1" s="267" t="n"/>
      <c r="BD1" s="267" t="n"/>
      <c r="BE1" s="267" t="n"/>
      <c r="BF1" s="267" t="n"/>
      <c r="BG1" s="267" t="n"/>
      <c r="BH1" s="267" t="n"/>
      <c r="BI1" s="267" t="n"/>
      <c r="BJ1" s="267" t="n"/>
      <c r="BK1" s="267" t="n"/>
      <c r="BL1" s="267" t="n"/>
      <c r="BM1" s="267" t="n"/>
      <c r="BN1" s="267" t="n"/>
      <c r="BO1" s="267" t="n"/>
      <c r="BP1" s="267" t="n"/>
      <c r="BQ1" s="267" t="n"/>
      <c r="BR1" s="267" t="n"/>
      <c r="BS1" s="267" t="n"/>
      <c r="BT1" s="267" t="n"/>
      <c r="BU1" s="267" t="n"/>
      <c r="BV1" s="267" t="n"/>
      <c r="BW1" s="267" t="n"/>
      <c r="BX1" s="267" t="n"/>
      <c r="BY1" s="267" t="n"/>
      <c r="BZ1" s="267" t="n"/>
      <c r="CA1" s="268" t="n"/>
    </row>
    <row r="2">
      <c r="B2" s="2" t="inlineStr">
        <is>
          <t>Years-&gt;</t>
        </is>
      </c>
      <c r="D2" s="15" t="n">
        <v>7</v>
      </c>
      <c r="O2" s="2" t="inlineStr">
        <is>
          <t>CPI Bundle-&gt;</t>
        </is>
      </c>
      <c r="P2" s="27" t="n"/>
      <c r="Q2" s="3" t="n">
        <v>0.06</v>
      </c>
      <c r="S2" s="105" t="n"/>
      <c r="T2" s="105" t="n"/>
      <c r="U2" s="105" t="n"/>
      <c r="V2" s="105" t="n"/>
      <c r="W2" s="105" t="n"/>
      <c r="BB2" s="2" t="inlineStr">
        <is>
          <t>Growth-&gt;</t>
        </is>
      </c>
      <c r="BC2" s="27" t="n"/>
      <c r="BD2" s="3" t="n">
        <v>0</v>
      </c>
      <c r="BE2" t="inlineStr">
        <is>
          <t>*Variable items are minimums. No growth needs to be added.</t>
        </is>
      </c>
      <c r="BF2" s="35" t="n"/>
      <c r="BG2" s="35" t="n"/>
      <c r="BH2" s="35" t="n"/>
      <c r="BI2" s="35" t="n"/>
      <c r="BJ2" s="35" t="n"/>
      <c r="BR2" s="35" t="n"/>
      <c r="CT2" s="1" t="n"/>
      <c r="CV2" s="1" t="n"/>
      <c r="DD2" s="35" t="n"/>
    </row>
    <row r="3" ht="15.75" customHeight="1" thickBot="1">
      <c r="B3" s="2" t="inlineStr">
        <is>
          <t>Growth-&gt;</t>
        </is>
      </c>
      <c r="D3" s="16" t="n">
        <v>0.2</v>
      </c>
      <c r="O3" s="2" t="inlineStr">
        <is>
          <t>CPI Non-Bundle-&gt;</t>
        </is>
      </c>
      <c r="P3" s="27" t="n"/>
      <c r="Q3" s="3" t="n">
        <v>0.03</v>
      </c>
      <c r="R3" s="1" t="n"/>
      <c r="T3" s="65" t="n"/>
      <c r="U3" s="65" t="n"/>
      <c r="V3" s="65" t="n"/>
      <c r="W3" s="65" t="n"/>
      <c r="AP3" s="104" t="n"/>
      <c r="AQ3" s="104" t="n"/>
      <c r="BB3" s="2" t="inlineStr">
        <is>
          <t>CPI-&gt;</t>
        </is>
      </c>
      <c r="BC3" s="27" t="n"/>
      <c r="BD3" s="3" t="n">
        <v>0.03</v>
      </c>
      <c r="CC3" s="104" t="n"/>
      <c r="CD3" s="104" t="n"/>
      <c r="CO3" s="2" t="inlineStr">
        <is>
          <t>CPI-&gt;</t>
        </is>
      </c>
      <c r="CP3" s="3" t="n">
        <v>0.03</v>
      </c>
    </row>
    <row r="4" ht="15" customHeight="1" thickBot="1">
      <c r="B4" s="269" t="inlineStr">
        <is>
          <t>Type (Monthly/Annual)</t>
        </is>
      </c>
      <c r="C4" s="153" t="n"/>
      <c r="D4" s="270" t="inlineStr">
        <is>
          <t>Average Monthly QTY</t>
        </is>
      </c>
      <c r="E4" s="271" t="inlineStr">
        <is>
          <t>Quantity Per Year with Growth</t>
        </is>
      </c>
      <c r="F4" s="272" t="n"/>
      <c r="G4" s="272" t="n"/>
      <c r="H4" s="272" t="n"/>
      <c r="I4" s="272" t="n"/>
      <c r="J4" s="272" t="n"/>
      <c r="K4" s="272" t="n"/>
      <c r="L4" s="272" t="n"/>
      <c r="M4" s="272" t="n"/>
      <c r="N4" s="273" t="n"/>
      <c r="O4" s="274" t="inlineStr">
        <is>
          <t>FIS</t>
        </is>
      </c>
      <c r="P4" s="264" t="n"/>
      <c r="Q4" s="264" t="n"/>
      <c r="R4" s="264" t="n"/>
      <c r="S4" s="264" t="n"/>
      <c r="T4" s="264" t="n"/>
      <c r="U4" s="264" t="n"/>
      <c r="V4" s="264" t="n"/>
      <c r="W4" s="264" t="n"/>
      <c r="X4" s="264" t="n"/>
      <c r="Y4" s="264" t="n"/>
      <c r="Z4" s="264" t="n"/>
      <c r="AA4" s="264" t="n"/>
      <c r="AB4" s="264" t="n"/>
      <c r="AC4" s="264" t="n"/>
      <c r="AD4" s="264" t="n"/>
      <c r="AE4" s="264" t="n"/>
      <c r="AF4" s="264" t="n"/>
      <c r="AG4" s="264" t="n"/>
      <c r="AH4" s="264" t="n"/>
      <c r="AI4" s="264" t="n"/>
      <c r="AJ4" s="264" t="n"/>
      <c r="AK4" s="264" t="n"/>
      <c r="AL4" s="264" t="n"/>
      <c r="AM4" s="264" t="n"/>
      <c r="AN4" s="265" t="n"/>
      <c r="AP4" s="227" t="inlineStr">
        <is>
          <t>Type (Monthly/Annual)</t>
        </is>
      </c>
      <c r="AQ4" s="219" t="inlineStr">
        <is>
          <t>Average Monthly QTY</t>
        </is>
      </c>
      <c r="AR4" s="275" t="inlineStr">
        <is>
          <t>Quantity Per Year with Growth</t>
        </is>
      </c>
      <c r="AS4" s="257" t="n"/>
      <c r="AT4" s="257" t="n"/>
      <c r="AU4" s="257" t="n"/>
      <c r="AV4" s="257" t="n"/>
      <c r="AW4" s="257" t="n"/>
      <c r="AX4" s="257" t="n"/>
      <c r="AY4" s="257" t="n"/>
      <c r="AZ4" s="257" t="n"/>
      <c r="BA4" s="258" t="n"/>
      <c r="BB4" s="276" t="inlineStr">
        <is>
          <t>Jack Henry</t>
        </is>
      </c>
      <c r="BC4" s="267" t="n"/>
      <c r="BD4" s="267" t="n"/>
      <c r="BE4" s="267" t="n"/>
      <c r="BF4" s="267" t="n"/>
      <c r="BG4" s="267" t="n"/>
      <c r="BH4" s="267" t="n"/>
      <c r="BI4" s="267" t="n"/>
      <c r="BJ4" s="267" t="n"/>
      <c r="BK4" s="267" t="n"/>
      <c r="BL4" s="267" t="n"/>
      <c r="BM4" s="267" t="n"/>
      <c r="BN4" s="267" t="n"/>
      <c r="BO4" s="267" t="n"/>
      <c r="BP4" s="267" t="n"/>
      <c r="BQ4" s="267" t="n"/>
      <c r="BR4" s="267" t="n"/>
      <c r="BS4" s="267" t="n"/>
      <c r="BT4" s="267" t="n"/>
      <c r="BU4" s="267" t="n"/>
      <c r="BV4" s="267" t="n"/>
      <c r="BW4" s="267" t="n"/>
      <c r="BX4" s="267" t="n"/>
      <c r="BY4" s="267" t="n"/>
      <c r="BZ4" s="267" t="n"/>
      <c r="CA4" s="268" t="n"/>
      <c r="CC4" s="227" t="inlineStr">
        <is>
          <t>Type (Monthly/Annual)</t>
        </is>
      </c>
      <c r="CD4" s="219" t="inlineStr">
        <is>
          <t>Average Monthly QTY</t>
        </is>
      </c>
      <c r="CE4" s="275" t="inlineStr">
        <is>
          <t>Quantity Per Year with Growth</t>
        </is>
      </c>
      <c r="CF4" s="257" t="n"/>
      <c r="CG4" s="257" t="n"/>
      <c r="CH4" s="257" t="n"/>
      <c r="CI4" s="257" t="n"/>
      <c r="CJ4" s="257" t="n"/>
      <c r="CK4" s="257" t="n"/>
      <c r="CL4" s="257" t="n"/>
      <c r="CM4" s="257" t="n"/>
      <c r="CN4" s="258" t="n"/>
      <c r="CO4" s="277" t="inlineStr">
        <is>
          <t>Vendor 3</t>
        </is>
      </c>
      <c r="CP4" s="267" t="n"/>
      <c r="CQ4" s="267" t="n"/>
      <c r="CR4" s="267" t="n"/>
      <c r="CS4" s="267" t="n"/>
      <c r="CT4" s="267" t="n"/>
      <c r="CU4" s="267" t="n"/>
      <c r="CV4" s="267" t="n"/>
      <c r="CW4" s="267" t="n"/>
      <c r="CX4" s="267" t="n"/>
      <c r="CY4" s="267" t="n"/>
      <c r="CZ4" s="267" t="n"/>
      <c r="DA4" s="267" t="n"/>
      <c r="DB4" s="267" t="n"/>
      <c r="DC4" s="267" t="n"/>
      <c r="DD4" s="267" t="n"/>
      <c r="DE4" s="267" t="n"/>
      <c r="DF4" s="267" t="n"/>
      <c r="DG4" s="267" t="n"/>
      <c r="DH4" s="267" t="n"/>
      <c r="DI4" s="267" t="n"/>
      <c r="DJ4" s="267" t="n"/>
      <c r="DK4" s="267" t="n"/>
      <c r="DL4" s="267" t="n"/>
      <c r="DM4" s="268" t="n"/>
    </row>
    <row r="5" ht="45.75" customHeight="1" thickBot="1">
      <c r="B5" s="278" t="n"/>
      <c r="C5" s="10" t="inlineStr">
        <is>
          <t>Proposal
(11/2025)</t>
        </is>
      </c>
      <c r="D5" s="183" t="n"/>
      <c r="E5" s="10" t="inlineStr">
        <is>
          <t>Year 1 Quantity</t>
        </is>
      </c>
      <c r="F5" s="10" t="inlineStr">
        <is>
          <t>Year 2 Quantity</t>
        </is>
      </c>
      <c r="G5" s="10" t="inlineStr">
        <is>
          <t>Year 3 Quantity</t>
        </is>
      </c>
      <c r="H5" s="10" t="inlineStr">
        <is>
          <t>Year 4 Quantity</t>
        </is>
      </c>
      <c r="I5" s="10" t="inlineStr">
        <is>
          <t>Year 5 Quantity</t>
        </is>
      </c>
      <c r="J5" s="10" t="inlineStr">
        <is>
          <t>Year 6 Quantity</t>
        </is>
      </c>
      <c r="K5" s="10" t="inlineStr">
        <is>
          <t>Year 7 Quantity</t>
        </is>
      </c>
      <c r="L5" s="10" t="inlineStr">
        <is>
          <t>Year 8 Quantity</t>
        </is>
      </c>
      <c r="M5" s="10" t="inlineStr">
        <is>
          <t>Year 9 Quantity</t>
        </is>
      </c>
      <c r="N5" s="11" t="inlineStr">
        <is>
          <t>Year 10 Quantity</t>
        </is>
      </c>
      <c r="O5" s="4" t="inlineStr">
        <is>
          <t>Solution Name/Description</t>
        </is>
      </c>
      <c r="P5" s="19" t="inlineStr">
        <is>
          <t>Category</t>
        </is>
      </c>
      <c r="Q5" s="17" t="inlineStr">
        <is>
          <t>Per Unit Rate</t>
        </is>
      </c>
      <c r="R5" s="22" t="inlineStr">
        <is>
          <t>Year 1 Monthly Cost</t>
        </is>
      </c>
      <c r="S5" s="18" t="inlineStr">
        <is>
          <t>Year 1 Cost</t>
        </is>
      </c>
      <c r="T5" s="18" t="inlineStr">
        <is>
          <t>Year 2 Cost</t>
        </is>
      </c>
      <c r="U5" s="18" t="inlineStr">
        <is>
          <t>Year 3 Cost</t>
        </is>
      </c>
      <c r="V5" s="18" t="inlineStr">
        <is>
          <t>Year 4 Cost</t>
        </is>
      </c>
      <c r="W5" s="18" t="inlineStr">
        <is>
          <t>Year 5 Cost</t>
        </is>
      </c>
      <c r="X5" s="5" t="inlineStr">
        <is>
          <t>Year 6 Cost</t>
        </is>
      </c>
      <c r="Y5" s="17" t="inlineStr">
        <is>
          <t>Year 7 Cost</t>
        </is>
      </c>
      <c r="Z5" s="17" t="inlineStr">
        <is>
          <t>Year 8 Cost</t>
        </is>
      </c>
      <c r="AA5" s="17" t="inlineStr">
        <is>
          <t>Year 9 Cost</t>
        </is>
      </c>
      <c r="AB5" s="18" t="inlineStr">
        <is>
          <t>Year 10 Cost</t>
        </is>
      </c>
      <c r="AC5" s="8" t="inlineStr">
        <is>
          <t>Year 1 CPI</t>
        </is>
      </c>
      <c r="AD5" s="8" t="inlineStr">
        <is>
          <t>Year 2 CPI</t>
        </is>
      </c>
      <c r="AE5" s="8" t="inlineStr">
        <is>
          <t>Year 3 CPI</t>
        </is>
      </c>
      <c r="AF5" s="8" t="inlineStr">
        <is>
          <t>Year 4 CPI</t>
        </is>
      </c>
      <c r="AG5" s="8" t="inlineStr">
        <is>
          <t>Year 5 CPI</t>
        </is>
      </c>
      <c r="AH5" s="8" t="inlineStr">
        <is>
          <t>Year 6 CPI</t>
        </is>
      </c>
      <c r="AI5" s="8" t="inlineStr">
        <is>
          <t>Year 7 CPI</t>
        </is>
      </c>
      <c r="AJ5" s="8" t="inlineStr">
        <is>
          <t>Year 8 CPI</t>
        </is>
      </c>
      <c r="AK5" s="8" t="inlineStr">
        <is>
          <t>Year 9 CPI</t>
        </is>
      </c>
      <c r="AL5" s="8" t="inlineStr">
        <is>
          <t>Year 10 CPI</t>
        </is>
      </c>
      <c r="AM5" s="5" t="inlineStr">
        <is>
          <t>CPI</t>
        </is>
      </c>
      <c r="AN5" s="79" t="inlineStr">
        <is>
          <t>Total Term Cost</t>
        </is>
      </c>
      <c r="AP5" s="259" t="n"/>
      <c r="AQ5" s="279" t="n"/>
      <c r="AR5" s="71" t="inlineStr">
        <is>
          <t>Year 1 Quantity</t>
        </is>
      </c>
      <c r="AS5" s="71" t="inlineStr">
        <is>
          <t>Year 2 Quantity</t>
        </is>
      </c>
      <c r="AT5" s="71" t="inlineStr">
        <is>
          <t>Year 3 Quantity</t>
        </is>
      </c>
      <c r="AU5" s="71" t="inlineStr">
        <is>
          <t>Year 4 Quantity</t>
        </is>
      </c>
      <c r="AV5" s="71" t="inlineStr">
        <is>
          <t>Year 5 Quantity</t>
        </is>
      </c>
      <c r="AW5" s="71" t="inlineStr">
        <is>
          <t>Year 6 Quantity</t>
        </is>
      </c>
      <c r="AX5" s="71" t="inlineStr">
        <is>
          <t>Year 7 Quantity</t>
        </is>
      </c>
      <c r="AY5" s="71" t="inlineStr">
        <is>
          <t>Year 8 Quantity</t>
        </is>
      </c>
      <c r="AZ5" s="71" t="inlineStr">
        <is>
          <t>Year 9 Quantity</t>
        </is>
      </c>
      <c r="BA5" s="72" t="inlineStr">
        <is>
          <t>Year 10 Quantity</t>
        </is>
      </c>
      <c r="BB5" s="73" t="inlineStr">
        <is>
          <t>Solution Name/Description</t>
        </is>
      </c>
      <c r="BC5" s="74" t="inlineStr">
        <is>
          <t>Category</t>
        </is>
      </c>
      <c r="BD5" s="75" t="inlineStr">
        <is>
          <t>Per Unit Rate</t>
        </is>
      </c>
      <c r="BE5" s="68" t="inlineStr">
        <is>
          <t>Year 1 Monthly Cost</t>
        </is>
      </c>
      <c r="BF5" s="76" t="inlineStr">
        <is>
          <t>Year 1 Cost</t>
        </is>
      </c>
      <c r="BG5" s="76" t="inlineStr">
        <is>
          <t>Year 2 Cost</t>
        </is>
      </c>
      <c r="BH5" s="76" t="inlineStr">
        <is>
          <t>Year 3 Cost</t>
        </is>
      </c>
      <c r="BI5" s="76" t="inlineStr">
        <is>
          <t>Year 4 Cost</t>
        </is>
      </c>
      <c r="BJ5" s="76" t="inlineStr">
        <is>
          <t>Year 5 Cost</t>
        </is>
      </c>
      <c r="BK5" s="77" t="inlineStr">
        <is>
          <t>Year 6 Cost</t>
        </is>
      </c>
      <c r="BL5" s="75" t="inlineStr">
        <is>
          <t>Year 7 Cost</t>
        </is>
      </c>
      <c r="BM5" s="75" t="inlineStr">
        <is>
          <t>Year 8 Cost</t>
        </is>
      </c>
      <c r="BN5" s="75" t="inlineStr">
        <is>
          <t>Year 9 Cost</t>
        </is>
      </c>
      <c r="BO5" s="76" t="inlineStr">
        <is>
          <t>Year 10 Cost</t>
        </is>
      </c>
      <c r="BP5" s="78" t="inlineStr">
        <is>
          <t>Year 1 CPI</t>
        </is>
      </c>
      <c r="BQ5" s="78" t="inlineStr">
        <is>
          <t>Year 2 CPI</t>
        </is>
      </c>
      <c r="BR5" s="78" t="inlineStr">
        <is>
          <t>Year 3 CPI</t>
        </is>
      </c>
      <c r="BS5" s="78" t="inlineStr">
        <is>
          <t>Year 4 CPI</t>
        </is>
      </c>
      <c r="BT5" s="78" t="inlineStr">
        <is>
          <t>Year 5 CPI</t>
        </is>
      </c>
      <c r="BU5" s="78" t="inlineStr">
        <is>
          <t>Year 6 CPI</t>
        </is>
      </c>
      <c r="BV5" s="78" t="inlineStr">
        <is>
          <t>Year 7 CPI</t>
        </is>
      </c>
      <c r="BW5" s="78" t="inlineStr">
        <is>
          <t>Year 8 CPI</t>
        </is>
      </c>
      <c r="BX5" s="78" t="inlineStr">
        <is>
          <t>Year 9 CPI</t>
        </is>
      </c>
      <c r="BY5" s="78" t="inlineStr">
        <is>
          <t>Year 10 CPI</t>
        </is>
      </c>
      <c r="BZ5" s="77" t="inlineStr">
        <is>
          <t>CPI</t>
        </is>
      </c>
      <c r="CA5" s="101" t="inlineStr">
        <is>
          <t>Total Term Cost</t>
        </is>
      </c>
      <c r="CC5" s="259" t="n"/>
      <c r="CD5" s="279" t="n"/>
      <c r="CE5" s="71" t="inlineStr">
        <is>
          <t>Year 1 Quantity</t>
        </is>
      </c>
      <c r="CF5" s="71" t="inlineStr">
        <is>
          <t>Year 2 Quantity</t>
        </is>
      </c>
      <c r="CG5" s="71" t="inlineStr">
        <is>
          <t>Year 3 Quantity</t>
        </is>
      </c>
      <c r="CH5" s="71" t="inlineStr">
        <is>
          <t>Year 4 Quantity</t>
        </is>
      </c>
      <c r="CI5" s="71" t="inlineStr">
        <is>
          <t>Year 5 Quantity</t>
        </is>
      </c>
      <c r="CJ5" s="71" t="inlineStr">
        <is>
          <t>Year 6 Quantity</t>
        </is>
      </c>
      <c r="CK5" s="71" t="inlineStr">
        <is>
          <t>Year 7 Quantity</t>
        </is>
      </c>
      <c r="CL5" s="71" t="inlineStr">
        <is>
          <t>Year 8 Quantity</t>
        </is>
      </c>
      <c r="CM5" s="71" t="inlineStr">
        <is>
          <t>Year 9 Quantity</t>
        </is>
      </c>
      <c r="CN5" s="72" t="inlineStr">
        <is>
          <t>Year 10 Quantity</t>
        </is>
      </c>
      <c r="CO5" s="115" t="inlineStr">
        <is>
          <t>Solution Name/Description</t>
        </is>
      </c>
      <c r="CP5" s="116" t="inlineStr">
        <is>
          <t>Per Unit Rate</t>
        </is>
      </c>
      <c r="CQ5" s="68" t="inlineStr">
        <is>
          <t>Year 1 Monthly Cost</t>
        </is>
      </c>
      <c r="CR5" s="117" t="inlineStr">
        <is>
          <t>Year 1 Cost</t>
        </is>
      </c>
      <c r="CS5" s="117" t="inlineStr">
        <is>
          <t>Year 2 Cost</t>
        </is>
      </c>
      <c r="CT5" s="117" t="inlineStr">
        <is>
          <t>Year 3 Cost</t>
        </is>
      </c>
      <c r="CU5" s="117" t="inlineStr">
        <is>
          <t>Year 4 Cost</t>
        </is>
      </c>
      <c r="CV5" s="117" t="inlineStr">
        <is>
          <t>Year 5 Cost</t>
        </is>
      </c>
      <c r="CW5" s="118" t="inlineStr">
        <is>
          <t>Year 6 Cost</t>
        </is>
      </c>
      <c r="CX5" s="116" t="inlineStr">
        <is>
          <t>Year 7 Cost</t>
        </is>
      </c>
      <c r="CY5" s="116" t="inlineStr">
        <is>
          <t>Year 8 Cost</t>
        </is>
      </c>
      <c r="CZ5" s="116" t="inlineStr">
        <is>
          <t>Year 9 Cost</t>
        </is>
      </c>
      <c r="DA5" s="117" t="inlineStr">
        <is>
          <t>Year 10 Cost</t>
        </is>
      </c>
      <c r="DB5" s="78" t="inlineStr">
        <is>
          <t>Year 1 CPI</t>
        </is>
      </c>
      <c r="DC5" s="78" t="inlineStr">
        <is>
          <t>Year 2 CPI</t>
        </is>
      </c>
      <c r="DD5" s="78" t="inlineStr">
        <is>
          <t>Year 3 CPI</t>
        </is>
      </c>
      <c r="DE5" s="78" t="inlineStr">
        <is>
          <t>Year 4 CPI</t>
        </is>
      </c>
      <c r="DF5" s="78" t="inlineStr">
        <is>
          <t>Year 5 CPI</t>
        </is>
      </c>
      <c r="DG5" s="78" t="inlineStr">
        <is>
          <t>Year 6 CPI</t>
        </is>
      </c>
      <c r="DH5" s="78" t="inlineStr">
        <is>
          <t>Year 7 CPI</t>
        </is>
      </c>
      <c r="DI5" s="78" t="inlineStr">
        <is>
          <t>Year 8 CPI</t>
        </is>
      </c>
      <c r="DJ5" s="78" t="inlineStr">
        <is>
          <t>Year 9 CPI</t>
        </is>
      </c>
      <c r="DK5" s="78" t="inlineStr">
        <is>
          <t>Year 10 CPI</t>
        </is>
      </c>
      <c r="DL5" s="118" t="inlineStr">
        <is>
          <t>CPI</t>
        </is>
      </c>
      <c r="DM5" s="119" t="inlineStr">
        <is>
          <t>Total Term Cost</t>
        </is>
      </c>
    </row>
    <row r="6" ht="15.75" customHeight="1" thickBot="1">
      <c r="B6" s="280" t="inlineStr">
        <is>
          <t>Recurring Monthly and Annual Fees - Bundle FIS products</t>
        </is>
      </c>
      <c r="C6" s="267" t="n"/>
      <c r="D6" s="267" t="n"/>
      <c r="E6" s="267" t="n"/>
      <c r="F6" s="267" t="n"/>
      <c r="G6" s="267" t="n"/>
      <c r="H6" s="267" t="n"/>
      <c r="I6" s="267" t="n"/>
      <c r="J6" s="267" t="n"/>
      <c r="K6" s="267" t="n"/>
      <c r="L6" s="267" t="n"/>
      <c r="M6" s="267" t="n"/>
      <c r="N6" s="267" t="n"/>
      <c r="O6" s="267" t="n"/>
      <c r="P6" s="267" t="n"/>
      <c r="Q6" s="267" t="n"/>
      <c r="R6" s="267" t="n"/>
      <c r="S6" s="267" t="n"/>
      <c r="T6" s="267" t="n"/>
      <c r="U6" s="267" t="n"/>
      <c r="V6" s="267" t="n"/>
      <c r="W6" s="267" t="n"/>
      <c r="X6" s="267" t="n"/>
      <c r="Y6" s="267" t="n"/>
      <c r="Z6" s="267" t="n"/>
      <c r="AA6" s="267" t="n"/>
      <c r="AB6" s="267" t="n"/>
      <c r="AC6" s="267" t="n"/>
      <c r="AD6" s="267" t="n"/>
      <c r="AE6" s="267" t="n"/>
      <c r="AF6" s="267" t="n"/>
      <c r="AG6" s="267" t="n"/>
      <c r="AH6" s="267" t="n"/>
      <c r="AI6" s="267" t="n"/>
      <c r="AJ6" s="267" t="n"/>
      <c r="AK6" s="267" t="n"/>
      <c r="AL6" s="267" t="n"/>
      <c r="AM6" s="267" t="n"/>
      <c r="AN6" s="281" t="n"/>
      <c r="AP6" s="282" t="inlineStr">
        <is>
          <t>Recurring Monthly and Annual Fees Jack Henry Product</t>
        </is>
      </c>
      <c r="AQ6" s="267" t="n"/>
      <c r="AR6" s="267" t="n"/>
      <c r="AS6" s="267" t="n"/>
      <c r="AT6" s="267" t="n"/>
      <c r="AU6" s="267" t="n"/>
      <c r="AV6" s="267" t="n"/>
      <c r="AW6" s="267" t="n"/>
      <c r="AX6" s="267" t="n"/>
      <c r="AY6" s="267" t="n"/>
      <c r="AZ6" s="267" t="n"/>
      <c r="BA6" s="267" t="n"/>
      <c r="BB6" s="267" t="n"/>
      <c r="BC6" s="267" t="n"/>
      <c r="BD6" s="267" t="n"/>
      <c r="BE6" s="267" t="n"/>
      <c r="BF6" s="267" t="n"/>
      <c r="BG6" s="267" t="n"/>
      <c r="BH6" s="267" t="n"/>
      <c r="BI6" s="267" t="n"/>
      <c r="BJ6" s="267" t="n"/>
      <c r="BK6" s="267" t="n"/>
      <c r="BL6" s="267" t="n"/>
      <c r="BM6" s="267" t="n"/>
      <c r="BN6" s="267" t="n"/>
      <c r="BO6" s="267" t="n"/>
      <c r="BP6" s="267" t="n"/>
      <c r="BQ6" s="267" t="n"/>
      <c r="BR6" s="267" t="n"/>
      <c r="BS6" s="267" t="n"/>
      <c r="BT6" s="267" t="n"/>
      <c r="BU6" s="267" t="n"/>
      <c r="BV6" s="267" t="n"/>
      <c r="BW6" s="267" t="n"/>
      <c r="BX6" s="267" t="n"/>
      <c r="BY6" s="267" t="n"/>
      <c r="BZ6" s="267" t="n"/>
      <c r="CA6" s="268" t="n"/>
      <c r="CC6" s="282" t="inlineStr">
        <is>
          <t>Recurring Monthly and Annual Fees</t>
        </is>
      </c>
      <c r="CD6" s="267" t="n"/>
      <c r="CE6" s="267" t="n"/>
      <c r="CF6" s="267" t="n"/>
      <c r="CG6" s="267" t="n"/>
      <c r="CH6" s="267" t="n"/>
      <c r="CI6" s="267" t="n"/>
      <c r="CJ6" s="267" t="n"/>
      <c r="CK6" s="267" t="n"/>
      <c r="CL6" s="267" t="n"/>
      <c r="CM6" s="267" t="n"/>
      <c r="CN6" s="267" t="n"/>
      <c r="CO6" s="267" t="n"/>
      <c r="CP6" s="267" t="n"/>
      <c r="CQ6" s="267" t="n"/>
      <c r="CR6" s="267" t="n"/>
      <c r="CS6" s="267" t="n"/>
      <c r="CT6" s="267" t="n"/>
      <c r="CU6" s="267" t="n"/>
      <c r="CV6" s="267" t="n"/>
      <c r="CW6" s="267" t="n"/>
      <c r="CX6" s="267" t="n"/>
      <c r="CY6" s="267" t="n"/>
      <c r="CZ6" s="267" t="n"/>
      <c r="DA6" s="267" t="n"/>
      <c r="DB6" s="267" t="n"/>
      <c r="DC6" s="267" t="n"/>
      <c r="DD6" s="267" t="n"/>
      <c r="DE6" s="267" t="n"/>
      <c r="DF6" s="267" t="n"/>
      <c r="DG6" s="267" t="n"/>
      <c r="DH6" s="267" t="n"/>
      <c r="DI6" s="267" t="n"/>
      <c r="DJ6" s="267" t="n"/>
      <c r="DK6" s="267" t="n"/>
      <c r="DL6" s="267" t="n"/>
      <c r="DM6" s="268" t="n"/>
    </row>
    <row r="7">
      <c r="B7" s="141" t="inlineStr">
        <is>
          <t>Monthly F</t>
        </is>
      </c>
      <c r="C7" s="24" t="n">
        <v>1</v>
      </c>
      <c r="D7" s="147">
        <f>IFERROR(AVERAGE(C7:C7),0)</f>
        <v/>
      </c>
      <c r="E7" s="142">
        <f>IF($B7="Annual",1,IF($B7="Monthly F",12,IF($B7="Monthly V",D7*12,IF($B7="One-Time",1,D7*12))))</f>
        <v/>
      </c>
      <c r="F7" s="14" t="n">
        <v>0</v>
      </c>
      <c r="G7" s="14" t="n">
        <v>0</v>
      </c>
      <c r="H7" s="14" t="n">
        <v>0</v>
      </c>
      <c r="I7" s="14" t="n">
        <v>0</v>
      </c>
      <c r="J7" s="14" t="n">
        <v>0</v>
      </c>
      <c r="K7" s="14" t="n">
        <v>0</v>
      </c>
      <c r="L7" s="14" t="n">
        <v>0</v>
      </c>
      <c r="M7" s="14" t="n">
        <v>0</v>
      </c>
      <c r="N7" s="14" t="n">
        <v>0</v>
      </c>
      <c r="O7" s="127" t="inlineStr">
        <is>
          <t>Year 1 CORE PROCESSING (Bundle)</t>
        </is>
      </c>
      <c r="P7" s="13" t="inlineStr">
        <is>
          <t>HORIZON CORE ACCOUNT PROCESSING</t>
        </is>
      </c>
      <c r="Q7" s="20" t="n">
        <v>15000</v>
      </c>
      <c r="R7" s="21">
        <f>S7/12</f>
        <v/>
      </c>
      <c r="S7" s="6">
        <f>IFERROR($Q7*E7,0)</f>
        <v/>
      </c>
      <c r="T7" s="6">
        <f>IFERROR($Q7*F7,0)</f>
        <v/>
      </c>
      <c r="U7" s="6">
        <f>IFERROR($Q7*G7,0)</f>
        <v/>
      </c>
      <c r="V7" s="6">
        <f>IFERROR($Q7*H7,0)</f>
        <v/>
      </c>
      <c r="W7" s="6">
        <f>IFERROR($Q7*I7,0)</f>
        <v/>
      </c>
      <c r="X7" s="6">
        <f>IFERROR($Q7*J7,0)</f>
        <v/>
      </c>
      <c r="Y7" s="6">
        <f>IFERROR($Q7*K7,0)</f>
        <v/>
      </c>
      <c r="Z7" s="6">
        <f>IFERROR($Q7*L7,0)</f>
        <v/>
      </c>
      <c r="AA7" s="6">
        <f>IFERROR($Q7*M7,0)</f>
        <v/>
      </c>
      <c r="AB7" s="6">
        <f>IFERROR($Q7*N7,0)</f>
        <v/>
      </c>
      <c r="AC7" s="7" t="n"/>
      <c r="AD7" s="152" t="n">
        <v>0</v>
      </c>
      <c r="AE7" s="152" t="n">
        <v>0</v>
      </c>
      <c r="AF7" s="152" t="n">
        <v>0</v>
      </c>
      <c r="AG7" s="152" t="n">
        <v>0</v>
      </c>
      <c r="AH7" s="152" t="n">
        <v>0</v>
      </c>
      <c r="AI7" s="152" t="n">
        <v>0</v>
      </c>
      <c r="AJ7" s="152" t="n">
        <v>0</v>
      </c>
      <c r="AK7" s="152" t="n">
        <v>0</v>
      </c>
      <c r="AL7" s="152" t="n">
        <v>0</v>
      </c>
      <c r="AM7" s="9">
        <f>SUM(AC7:AL7)</f>
        <v/>
      </c>
      <c r="AN7" s="80">
        <f>SUM(AM7,S7:AB7)</f>
        <v/>
      </c>
      <c r="AP7" s="114" t="inlineStr">
        <is>
          <t>Monthly V</t>
        </is>
      </c>
      <c r="AQ7" s="143" t="n">
        <v>5000</v>
      </c>
      <c r="AR7" s="14">
        <f>IF($AP7="Annual",1,IF($AP7="Monthly F",12,IF($AP7="Monthly V",AQ7*12,IF($AP7="One-Time",1,AQ7*12))))</f>
        <v/>
      </c>
      <c r="AS7" s="14">
        <f t="array" ref="AS7">IFERROR(_xlfn.IFS(VALUE(MID(AS$5,6,1))&gt;$D$2,0,$AP7="Annual",1,AR7=12,12,$AP7="Monthly V",AR7*(1+$BD$2),$AP7="Monthly F",12,$AP7="One-Time",0),AR7*(1+$BD$2))</f>
        <v/>
      </c>
      <c r="AT7" s="14">
        <f t="array" ref="AT7">IFERROR(_xlfn.IFS(VALUE(MID(AT$5,6,1))&gt;$D$2,0,$AP7="Annual",1,AS7=12,12,$AP7="Monthly V",AS7*(1+$BD$2),$AP7="Monthly F",12,$AP7="One-Time",0),AS7*(1+$BD$2))</f>
        <v/>
      </c>
      <c r="AU7" s="14">
        <f t="array" ref="AU7">IFERROR(_xlfn.IFS(VALUE(MID(AU$5,6,1))&gt;$D$2,0,$AP7="Annual",1,AT7=12,12,$AP7="Monthly V",AT7*(1+$BD$2),$AP7="Monthly F",12,$AP7="One-Time",0),AT7*(1+$BD$2))</f>
        <v/>
      </c>
      <c r="AV7" s="14">
        <f t="array" ref="AV7">IFERROR(_xlfn.IFS(VALUE(MID(AV$5,6,1))&gt;$D$2,0,$AP7="Annual",1,AU7=12,12,$AP7="Monthly V",AU7*(1+$BD$2),$AP7="Monthly F",12,$AP7="One-Time",0),AU7*(1+$BD$2))</f>
        <v/>
      </c>
      <c r="AW7" s="14">
        <f t="array" ref="AW7">IFERROR(_xlfn.IFS(VALUE(MID(AW$5,6,1))&gt;$D$2,0,$AP7="Annual",1,AV7=12,12,$AP7="Monthly V",AV7*(1+$BD$2),$AP7="Monthly F",12,$AP7="One-Time",0),AV7*(1+$BD$2))</f>
        <v/>
      </c>
      <c r="AX7" s="14">
        <f t="array" ref="AX7">IFERROR(_xlfn.IFS(VALUE(MID(AX$5,6,1))&gt;$D$2,0,$AP7="Annual",1,AW7=12,12,$AP7="Monthly V",AW7*(1+$BD$2),$AP7="Monthly F",12,$AP7="One-Time",0),AW7*(1+$BD$2))</f>
        <v/>
      </c>
      <c r="AY7" s="14">
        <f t="array" ref="AY7">IFERROR(_xlfn.IFS(VALUE(MID(AY$5,6,1))&gt;$D$2,0,$AP7="Annual",1,AX7=12,12,$AP7="Monthly V",AX7*(1+$D$3),$AP7="Monthly F",12,$AP7="One-Time",0),AX7*(1+$D$3))</f>
        <v/>
      </c>
      <c r="AZ7" s="14">
        <f t="array" ref="AZ7">IFERROR(_xlfn.IFS(VALUE(MID(AZ$5,6,1))&gt;$D$2,0,$AP7="Annual",1,AY7=12,12,$AP7="Monthly V",AY7*(1+$D$3),$AP7="Monthly F",12,$AP7="One-Time",0),AY7*(1+$D$3))</f>
        <v/>
      </c>
      <c r="BA7" s="125">
        <f t="array" ref="BA7">IFERROR(_xlfn.IFS(VALUE(MID(BA$5,6,2))&gt;$D$2,0,$AP7="Annual",1,AZ7=12,12,$AP7="Monthly V",AZ7*(1+$D$3),$AP7="Monthly F",12,$AP7="One-Time",0),AZ7*(1+$D$3))</f>
        <v/>
      </c>
      <c r="BB7" s="186" t="inlineStr">
        <is>
          <t>SilverLake System Bundle</t>
        </is>
      </c>
      <c r="BC7" s="144" t="inlineStr">
        <is>
          <t>SilverLake</t>
        </is>
      </c>
      <c r="BD7" s="145" t="n">
        <v>1.2181</v>
      </c>
      <c r="BE7" s="146">
        <f>BF7/12</f>
        <v/>
      </c>
      <c r="BF7" s="39">
        <f>IFERROR(AR7*$BD7,0)</f>
        <v/>
      </c>
      <c r="BG7" s="39">
        <f>IFERROR(AS7*$BD7,0)</f>
        <v/>
      </c>
      <c r="BH7" s="39">
        <f>IFERROR(AT7*$BD7,0)</f>
        <v/>
      </c>
      <c r="BI7" s="39">
        <f>BH7*1.03</f>
        <v/>
      </c>
      <c r="BJ7" s="39">
        <f>BI7*1.03</f>
        <v/>
      </c>
      <c r="BK7" s="39">
        <f>BJ7*1.03</f>
        <v/>
      </c>
      <c r="BL7" s="39">
        <f>BK7*1.03</f>
        <v/>
      </c>
      <c r="BM7" s="39">
        <f>IFERROR(AY7*$BD7,0)</f>
        <v/>
      </c>
      <c r="BN7" s="39">
        <f>IFERROR(AZ7*$BD7,0)</f>
        <v/>
      </c>
      <c r="BO7" s="39">
        <f>IFERROR(BA7*$BD7,0)</f>
        <v/>
      </c>
      <c r="BP7" s="40" t="n"/>
      <c r="BQ7" s="40">
        <f>IF(VALUE(MID(BQ$5,6,1))&lt;=$D$2,((1+$BD$3)^1-1)*BG7,0)</f>
        <v/>
      </c>
      <c r="BR7" s="40">
        <f>IF(VALUE(MID(BR$5,6,1))&lt;=$D$2,((1+$BD$3)^2-1)*BH7,0)</f>
        <v/>
      </c>
      <c r="BS7" s="40">
        <f>IF(VALUE(MID(BS$5,6,1))&lt;=$D$2,((1+$BD$3)^3-1)*BI7,0)</f>
        <v/>
      </c>
      <c r="BT7" s="40">
        <f>IF(VALUE(MID(BT$5,6,1))&lt;=$D$2,((1+$BD$3)^4-1)*BJ7,0)</f>
        <v/>
      </c>
      <c r="BU7" s="40">
        <f>IF(VALUE(MID(BU$5,6,1))&lt;=$D$2,((1+$BD$3)^5-1)*BK7,0)</f>
        <v/>
      </c>
      <c r="BV7" s="40">
        <f>IF(VALUE(MID(BV$5,6,1))&lt;=$D$2,((1+$BD$3)^6-1)*BL7,0)</f>
        <v/>
      </c>
      <c r="BW7" s="40">
        <f>IF(VALUE(MID(BW$5,6,1))&lt;=$D$2,((1+$BD$3)^7-1)*BM7,0)</f>
        <v/>
      </c>
      <c r="BX7" s="40">
        <f>IF(VALUE(MID(BX$5,6,1))&lt;=$D$2,((1+$BD$3)^8-1)*BN7,0)</f>
        <v/>
      </c>
      <c r="BY7" s="40">
        <f>IF(VALUE(MID(BY$5,6,2))&lt;=$D$2,((1+$BD$3)^9-1)*BO7,0)</f>
        <v/>
      </c>
      <c r="BZ7" s="40">
        <f>SUM(BP7:BY7)</f>
        <v/>
      </c>
      <c r="CA7" s="37">
        <f>SUM(BZ7,BF7:BO7)</f>
        <v/>
      </c>
      <c r="CC7" s="102" t="n"/>
      <c r="CD7" s="12" t="n"/>
      <c r="CE7" s="14">
        <f>IF($CC7="Annual",1,IF($CC7="Monthly F",12,IF($CC7="Monthly V",CD7*12,IF($CC7="One-Time",1,CD7*12))))</f>
        <v/>
      </c>
      <c r="CF7" s="14">
        <f t="array" ref="CF7">IFERROR(_xlfn.IFS(VALUE(MID(CF$5,6,1))&gt;$D$2,0,$CC7="Annual",1,CE7=12,12,$CC7="Monthly V",CE7*(1+$D$3),$CC7="Monthly F",12,$CC7="One-Time",0),CE7*(1+$D$3))</f>
        <v/>
      </c>
      <c r="CG7" s="14">
        <f t="array" ref="CG7">IFERROR(_xlfn.IFS(VALUE(MID(CG$5,6,1))&gt;$D$2,0,$CC7="Annual",1,CF7=12,12,$CC7="Monthly V",CF7*(1+$D$3),$CC7="Monthly F",12,$CC7="One-Time",0),CF7*(1+$D$3))</f>
        <v/>
      </c>
      <c r="CH7" s="14">
        <f t="array" ref="CH7">IFERROR(_xlfn.IFS(VALUE(MID(CH$5,6,1))&gt;$D$2,0,$CC7="Annual",1,CG7=12,12,$CC7="Monthly V",CG7*(1+$D$3),$CC7="Monthly F",12,$CC7="One-Time",0),CG7*(1+$D$3))</f>
        <v/>
      </c>
      <c r="CI7" s="14">
        <f t="array" ref="CI7">IFERROR(_xlfn.IFS(VALUE(MID(CI$5,6,1))&gt;$D$2,0,$CC7="Annual",1,CH7=12,12,$CC7="Monthly V",CH7*(1+$D$3),$CC7="Monthly F",12,$CC7="One-Time",0),CH7*(1+$D$3))</f>
        <v/>
      </c>
      <c r="CJ7" s="14">
        <f t="array" ref="CJ7">IFERROR(_xlfn.IFS(VALUE(MID(CJ$5,6,1))&gt;$D$2,0,$CC7="Annual",1,CI7=12,12,$CC7="Monthly V",CI7*(1+$D$3),$CC7="Monthly F",12,$CC7="One-Time",0),CI7*(1+$D$3))</f>
        <v/>
      </c>
      <c r="CK7" s="14">
        <f t="array" ref="CK7">IFERROR(_xlfn.IFS(VALUE(MID(CK$5,6,1))&gt;$D$2,0,$CC7="Annual",1,CJ7=12,12,$CC7="Monthly V",CJ7*(1+$D$3),$CC7="Monthly F",12,$CC7="One-Time",0),CJ7*(1+$D$3))</f>
        <v/>
      </c>
      <c r="CL7" s="14">
        <f t="array" ref="CL7">IFERROR(_xlfn.IFS(VALUE(MID(CL$5,6,1))&gt;$D$2,0,$CC7="Annual",1,CK7=12,12,$CC7="Monthly V",CK7*(1+$D$3),$CC7="Monthly F",12,$CC7="One-Time",0),CK7*(1+$D$3))</f>
        <v/>
      </c>
      <c r="CM7" s="14">
        <f t="array" ref="CM7">IFERROR(_xlfn.IFS(VALUE(MID(CM$5,6,1))&gt;$D$2,0,$CC7="Annual",1,CL7=12,12,$CC7="Monthly V",CL7*(1+$D$3),$CC7="Monthly F",12,$CC7="One-Time",0),CL7*(1+$D$3))</f>
        <v/>
      </c>
      <c r="CN7" s="24">
        <f t="array" ref="CN7">IFERROR(_xlfn.IFS(VALUE(MID(CN$5,6,2))&gt;$D$2,0,$CC7="Annual",1,CM7=12,12,$CC7="Monthly V",CM7*(1+$D$3),$CC7="Monthly F",12,$CC7="One-Time",0),CM7*(1+$D$3))</f>
        <v/>
      </c>
      <c r="CO7" s="63" t="n"/>
      <c r="CP7" s="53" t="n"/>
      <c r="CQ7" s="21">
        <f>CR7/12</f>
        <v/>
      </c>
      <c r="CR7" s="55">
        <f>IFERROR(CE7*$CP7,0)</f>
        <v/>
      </c>
      <c r="CS7" s="55">
        <f>IFERROR(CF7*$CP7,0)</f>
        <v/>
      </c>
      <c r="CT7" s="55">
        <f>IFERROR(CG7*$CP7,0)</f>
        <v/>
      </c>
      <c r="CU7" s="55">
        <f>IFERROR(CH7*$CP7,0)</f>
        <v/>
      </c>
      <c r="CV7" s="55">
        <f>IFERROR(CI7*$CP7,0)</f>
        <v/>
      </c>
      <c r="CW7" s="55">
        <f>IFERROR(CJ7*$CP7,0)</f>
        <v/>
      </c>
      <c r="CX7" s="55">
        <f>IFERROR(CK7*$CP7,0)</f>
        <v/>
      </c>
      <c r="CY7" s="55">
        <f>IFERROR(CL7*$CP7,0)</f>
        <v/>
      </c>
      <c r="CZ7" s="55">
        <f>IFERROR(CM7*$CP7,0)</f>
        <v/>
      </c>
      <c r="DA7" s="55">
        <f>IFERROR(CN7*$CP7,0)</f>
        <v/>
      </c>
      <c r="DB7" s="56" t="n"/>
      <c r="DC7" s="56">
        <f>IF(VALUE(MID(DC$5,6,1))&lt;=$D$2,((1+$CP$3)^1-1)*CS7,0)</f>
        <v/>
      </c>
      <c r="DD7" s="56">
        <f>IF(VALUE(MID(DD$5,6,1))&lt;=$D$2,((1+$CP$3)^2-1)*CT7,0)</f>
        <v/>
      </c>
      <c r="DE7" s="56">
        <f>IF(VALUE(MID(DE$5,6,1))&lt;=$D$2,((1+$CP$3)^3-1)*CU7,0)</f>
        <v/>
      </c>
      <c r="DF7" s="56">
        <f>IF(VALUE(MID(DF$5,6,1))&lt;=$D$2,((1+$CP$3)^4-1)*CV7,0)</f>
        <v/>
      </c>
      <c r="DG7" s="56">
        <f>IF(VALUE(MID(DG$5,6,1))&lt;=$D$2,((1+$CP$3)^5-1)*CW7,0)</f>
        <v/>
      </c>
      <c r="DH7" s="56">
        <f>IF(VALUE(MID(DH$5,6,1))&lt;=$D$2,((1+$CP$3)^6-1)*CX7,0)</f>
        <v/>
      </c>
      <c r="DI7" s="56">
        <f>IF(VALUE(MID(DI$5,6,1))&lt;=$D$2,((1+$CP$3)^7-1)*CY7,0)</f>
        <v/>
      </c>
      <c r="DJ7" s="56">
        <f>IF(VALUE(MID(DJ$5,6,1))&lt;=$D$2,((1+$CP$3)^8-1)*CZ7,0)</f>
        <v/>
      </c>
      <c r="DK7" s="56">
        <f>IF(VALUE(MID(DK$5,6,2))&lt;=$D$2,((1+$CP$3)^9-1)*DA7,0)</f>
        <v/>
      </c>
      <c r="DL7" s="57">
        <f>SUM(DB7:DK7)</f>
        <v/>
      </c>
      <c r="DM7" s="54">
        <f>SUM(DL7,CR7:DA7)</f>
        <v/>
      </c>
      <c r="DO7" s="106" t="n"/>
      <c r="DR7" s="283" t="n"/>
      <c r="DS7" s="283" t="n"/>
    </row>
    <row r="8">
      <c r="B8" s="141" t="inlineStr">
        <is>
          <t>Monthly F</t>
        </is>
      </c>
      <c r="C8" s="24" t="n">
        <v>1</v>
      </c>
      <c r="D8" s="147">
        <f>IFERROR(AVERAGE(C8:C8),0)</f>
        <v/>
      </c>
      <c r="E8" s="142" t="n">
        <v>0</v>
      </c>
      <c r="F8" s="14">
        <f t="array" ref="F8">IFERROR(_xlfn.IFS(VALUE(MID(F$5,6,1))&gt;$D$2,0,$B8="Annual",1,E8=12,12,$B8="Monthly V",E8*(1+$D$3),$B8="Monthly F",12,$B8="One-Time",0),E8*(1+$D$3))</f>
        <v/>
      </c>
      <c r="G8" s="14" t="n">
        <v>0</v>
      </c>
      <c r="H8" s="14" t="n">
        <v>0</v>
      </c>
      <c r="I8" s="14" t="n">
        <v>0</v>
      </c>
      <c r="J8" s="14" t="n">
        <v>0</v>
      </c>
      <c r="K8" s="14" t="n">
        <v>0</v>
      </c>
      <c r="L8" s="14" t="n">
        <v>0</v>
      </c>
      <c r="M8" s="14" t="n">
        <v>0</v>
      </c>
      <c r="N8" s="14" t="n">
        <v>0</v>
      </c>
      <c r="O8" s="127" t="inlineStr">
        <is>
          <t>Year 2 CORE PROCESSING (Bundle)</t>
        </is>
      </c>
      <c r="P8" s="13" t="inlineStr">
        <is>
          <t>HORIZON CORE ACCOUNT PROCESSING</t>
        </is>
      </c>
      <c r="Q8" s="20" t="n">
        <v>17500</v>
      </c>
      <c r="R8" s="21">
        <f>S8/12</f>
        <v/>
      </c>
      <c r="S8" s="6">
        <f>IFERROR($Q8*E8,0)</f>
        <v/>
      </c>
      <c r="T8" s="6">
        <f>IFERROR($Q8*F8,0)</f>
        <v/>
      </c>
      <c r="U8" s="6">
        <f>IFERROR($Q8*G8,0)</f>
        <v/>
      </c>
      <c r="V8" s="6">
        <f>IFERROR($Q8*H8,0)</f>
        <v/>
      </c>
      <c r="W8" s="6">
        <f>IFERROR($Q8*I8,0)</f>
        <v/>
      </c>
      <c r="X8" s="6">
        <f>IFERROR($Q8*J8,0)</f>
        <v/>
      </c>
      <c r="Y8" s="6">
        <f>IFERROR($Q8*K8,0)</f>
        <v/>
      </c>
      <c r="Z8" s="6">
        <f>IFERROR($Q8*L8,0)</f>
        <v/>
      </c>
      <c r="AA8" s="6">
        <f>IFERROR($Q8*M8,0)</f>
        <v/>
      </c>
      <c r="AB8" s="6">
        <f>IFERROR($Q8*N8,0)</f>
        <v/>
      </c>
      <c r="AC8" s="7" t="n"/>
      <c r="AD8" s="152" t="n">
        <v>0</v>
      </c>
      <c r="AE8" s="152" t="n">
        <v>0</v>
      </c>
      <c r="AF8" s="152" t="n">
        <v>0</v>
      </c>
      <c r="AG8" s="152" t="n">
        <v>0</v>
      </c>
      <c r="AH8" s="152" t="n">
        <v>0</v>
      </c>
      <c r="AI8" s="152" t="n">
        <v>0</v>
      </c>
      <c r="AJ8" s="152" t="n">
        <v>0</v>
      </c>
      <c r="AK8" s="152" t="n">
        <v>0</v>
      </c>
      <c r="AL8" s="152" t="n">
        <v>0</v>
      </c>
      <c r="AM8" s="9">
        <f>SUM(AC8:AL8)</f>
        <v/>
      </c>
      <c r="AN8" s="80">
        <f>SUM(AM8,S8:AB8)</f>
        <v/>
      </c>
      <c r="AP8" s="102" t="inlineStr">
        <is>
          <t>Monthly V</t>
        </is>
      </c>
      <c r="AQ8" s="12" t="n">
        <v>1</v>
      </c>
      <c r="AR8" s="14">
        <f>IF($AP8="Annual",1,IF($AP8="Monthly F",12,IF($AP8="Monthly V",AQ8*12,IF($AP8="One-Time",1,AQ8*12))))</f>
        <v/>
      </c>
      <c r="AS8" s="14">
        <f t="array" ref="AS8">IFERROR(_xlfn.IFS(VALUE(MID(AS$5,6,1))&gt;$D$2,0,$AP8="Annual",1,AR8=12,12,$AP8="Monthly V",AR8*(1+$BD$2),$AP8="Monthly F",12,$AP8="One-Time",0),AR8*(1+$BD$2))</f>
        <v/>
      </c>
      <c r="AT8" s="14">
        <f t="array" ref="AT8">IFERROR(_xlfn.IFS(VALUE(MID(AT$5,6,1))&gt;$D$2,0,$AP8="Annual",1,AS8=12,12,$AP8="Monthly V",AS8*(1+$BD$2),$AP8="Monthly F",12,$AP8="One-Time",0),AS8*(1+$BD$2))</f>
        <v/>
      </c>
      <c r="AU8" s="14">
        <f t="array" ref="AU8">IFERROR(_xlfn.IFS(VALUE(MID(AU$5,6,1))&gt;$D$2,0,$AP8="Annual",1,AT8=12,12,$AP8="Monthly V",AT8*(1+$BD$2),$AP8="Monthly F",12,$AP8="One-Time",0),AT8*(1+$BD$2))</f>
        <v/>
      </c>
      <c r="AV8" s="14">
        <f t="array" ref="AV8">IFERROR(_xlfn.IFS(VALUE(MID(AV$5,6,1))&gt;$D$2,0,$AP8="Annual",1,AU8=12,12,$AP8="Monthly V",AU8*(1+$BD$2),$AP8="Monthly F",12,$AP8="One-Time",0),AU8*(1+$BD$2))</f>
        <v/>
      </c>
      <c r="AW8" s="14">
        <f t="array" ref="AW8">IFERROR(_xlfn.IFS(VALUE(MID(AW$5,6,1))&gt;$D$2,0,$AP8="Annual",1,AV8=12,12,$AP8="Monthly V",AV8*(1+$BD$2),$AP8="Monthly F",12,$AP8="One-Time",0),AV8*(1+$BD$2))</f>
        <v/>
      </c>
      <c r="AX8" s="14">
        <f t="array" ref="AX8">IFERROR(_xlfn.IFS(VALUE(MID(AX$5,6,1))&gt;$D$2,0,$AP8="Annual",1,AW8=12,12,$AP8="Monthly V",AW8*(1+$BD$2),$AP8="Monthly F",12,$AP8="One-Time",0),AW8*(1+$BD$2))</f>
        <v/>
      </c>
      <c r="AY8" s="14">
        <f t="array" ref="AY8">IFERROR(_xlfn.IFS(VALUE(MID(AY$5,6,1))&gt;$D$2,0,$AP8="Annual",1,AX8=12,12,$AP8="Monthly V",AX8*(1+$D$3),$AP8="Monthly F",12,$AP8="One-Time",0),AX8*(1+$D$3))</f>
        <v/>
      </c>
      <c r="AZ8" s="14">
        <f t="array" ref="AZ8">IFERROR(_xlfn.IFS(VALUE(MID(AZ$5,6,1))&gt;$D$2,0,$AP8="Annual",1,AY8=12,12,$AP8="Monthly V",AY8*(1+$D$3),$AP8="Monthly F",12,$AP8="One-Time",0),AY8*(1+$D$3))</f>
        <v/>
      </c>
      <c r="BA8" s="125">
        <f t="array" ref="BA8">IFERROR(_xlfn.IFS(VALUE(MID(BA$5,6,2))&gt;$D$2,0,$AP8="Annual",1,AZ8=12,12,$AP8="Monthly V",AZ8*(1+$D$3),$AP8="Monthly F",12,$AP8="One-Time",0),AZ8*(1+$D$3))</f>
        <v/>
      </c>
      <c r="BB8" s="187" t="inlineStr">
        <is>
          <t>Closed Accounts (PAP)</t>
        </is>
      </c>
      <c r="BC8" s="38" t="inlineStr">
        <is>
          <t>SilverLake</t>
        </is>
      </c>
      <c r="BD8" s="36" t="n">
        <v>0.25</v>
      </c>
      <c r="BE8" s="21">
        <f>BF8/12</f>
        <v/>
      </c>
      <c r="BF8" s="39">
        <f>IFERROR(AR8*$BD8,0)</f>
        <v/>
      </c>
      <c r="BG8" s="39">
        <f>IFERROR(AS8*$BD8,0)</f>
        <v/>
      </c>
      <c r="BH8" s="39">
        <f>IFERROR(AT8*$BD8,0)</f>
        <v/>
      </c>
      <c r="BI8" s="39">
        <f>BH8*1.03</f>
        <v/>
      </c>
      <c r="BJ8" s="39">
        <f>IFERROR(AV8*$BD8,0)</f>
        <v/>
      </c>
      <c r="BK8" s="39">
        <f>IFERROR(AW8*$BD8,0)</f>
        <v/>
      </c>
      <c r="BL8" s="39">
        <f>IFERROR(AX8*$BD8,0)</f>
        <v/>
      </c>
      <c r="BM8" s="39">
        <f>IFERROR(AY8*$BD8,0)</f>
        <v/>
      </c>
      <c r="BN8" s="39">
        <f>IFERROR(AZ8*$BD8,0)</f>
        <v/>
      </c>
      <c r="BO8" s="39">
        <f>IFERROR(BA8*$BD8,0)</f>
        <v/>
      </c>
      <c r="BP8" s="40" t="n"/>
      <c r="BQ8" s="40">
        <f>IF(VALUE(MID(BQ$5,6,1))&lt;=$D$2,((1+$BD$3)^1-1)*BG8,0)</f>
        <v/>
      </c>
      <c r="BR8" s="40">
        <f>IF(VALUE(MID(BR$5,6,1))&lt;=$D$2,((1+$BD$3)^2-1)*BH8,0)</f>
        <v/>
      </c>
      <c r="BS8" s="40">
        <f>IF(VALUE(MID(BS$5,6,1))&lt;=$D$2,((1+$BD$3)^3-1)*BI8,0)</f>
        <v/>
      </c>
      <c r="BT8" s="40">
        <f>IF(VALUE(MID(BT$5,6,1))&lt;=$D$2,((1+$BD$3)^4-1)*BJ8,0)</f>
        <v/>
      </c>
      <c r="BU8" s="40">
        <f>IF(VALUE(MID(BU$5,6,1))&lt;=$D$2,((1+$BD$3)^5-1)*BK8,0)</f>
        <v/>
      </c>
      <c r="BV8" s="40">
        <f>IF(VALUE(MID(BV$5,6,1))&lt;=$D$2,((1+$BD$3)^6-1)*BL8,0)</f>
        <v/>
      </c>
      <c r="BW8" s="40">
        <f>IF(VALUE(MID(BW$5,6,1))&lt;=$D$2,((1+$BD$3)^7-1)*BM8,0)</f>
        <v/>
      </c>
      <c r="BX8" s="40">
        <f>IF(VALUE(MID(BX$5,6,1))&lt;=$D$2,((1+$BD$3)^8-1)*BN8,0)</f>
        <v/>
      </c>
      <c r="BY8" s="40">
        <f>IF(VALUE(MID(BY$5,6,2))&lt;=$D$2,((1+$BD$3)^9-1)*BO8,0)</f>
        <v/>
      </c>
      <c r="BZ8" s="40">
        <f>SUM(BP8:BY8)</f>
        <v/>
      </c>
      <c r="CA8" s="37">
        <f>SUM(BZ8,BF8:BO8)</f>
        <v/>
      </c>
      <c r="CC8" s="102" t="n"/>
      <c r="CD8" s="12" t="n"/>
      <c r="CE8" s="14">
        <f>IF($CC8="Annual",1,IF($CC8="Monthly F",12,IF($CC8="Monthly V",CD8*12,IF($CC8="One-Time",1,CD8*12))))</f>
        <v/>
      </c>
      <c r="CF8" s="14">
        <f t="array" ref="CF8">IFERROR(_xlfn.IFS(VALUE(MID(CF$5,6,1))&gt;$D$2,0,$CC8="Annual",1,CE8=12,12,$CC8="Monthly V",CE8*(1+$D$3),$CC8="Monthly F",12,$CC8="One-Time",0),CE8*(1+$D$3))</f>
        <v/>
      </c>
      <c r="CG8" s="14">
        <f t="array" ref="CG8">IFERROR(_xlfn.IFS(VALUE(MID(CG$5,6,1))&gt;$D$2,0,$CC8="Annual",1,CF8=12,12,$CC8="Monthly V",CF8*(1+$D$3),$CC8="Monthly F",12,$CC8="One-Time",0),CF8*(1+$D$3))</f>
        <v/>
      </c>
      <c r="CH8" s="14">
        <f t="array" ref="CH8">IFERROR(_xlfn.IFS(VALUE(MID(CH$5,6,1))&gt;$D$2,0,$CC8="Annual",1,CG8=12,12,$CC8="Monthly V",CG8*(1+$D$3),$CC8="Monthly F",12,$CC8="One-Time",0),CG8*(1+$D$3))</f>
        <v/>
      </c>
      <c r="CI8" s="14">
        <f t="array" ref="CI8">IFERROR(_xlfn.IFS(VALUE(MID(CI$5,6,1))&gt;$D$2,0,$CC8="Annual",1,CH8=12,12,$CC8="Monthly V",CH8*(1+$D$3),$CC8="Monthly F",12,$CC8="One-Time",0),CH8*(1+$D$3))</f>
        <v/>
      </c>
      <c r="CJ8" s="14">
        <f t="array" ref="CJ8">IFERROR(_xlfn.IFS(VALUE(MID(CJ$5,6,1))&gt;$D$2,0,$CC8="Annual",1,CI8=12,12,$CC8="Monthly V",CI8*(1+$D$3),$CC8="Monthly F",12,$CC8="One-Time",0),CI8*(1+$D$3))</f>
        <v/>
      </c>
      <c r="CK8" s="14">
        <f t="array" ref="CK8">IFERROR(_xlfn.IFS(VALUE(MID(CK$5,6,1))&gt;$D$2,0,$CC8="Annual",1,CJ8=12,12,$CC8="Monthly V",CJ8*(1+$D$3),$CC8="Monthly F",12,$CC8="One-Time",0),CJ8*(1+$D$3))</f>
        <v/>
      </c>
      <c r="CL8" s="14">
        <f t="array" ref="CL8">IFERROR(_xlfn.IFS(VALUE(MID(CL$5,6,1))&gt;$D$2,0,$CC8="Annual",1,CK8=12,12,$CC8="Monthly V",CK8*(1+$D$3),$CC8="Monthly F",12,$CC8="One-Time",0),CK8*(1+$D$3))</f>
        <v/>
      </c>
      <c r="CM8" s="14">
        <f t="array" ref="CM8">IFERROR(_xlfn.IFS(VALUE(MID(CM$5,6,1))&gt;$D$2,0,$CC8="Annual",1,CL8=12,12,$CC8="Monthly V",CL8*(1+$D$3),$CC8="Monthly F",12,$CC8="One-Time",0),CL8*(1+$D$3))</f>
        <v/>
      </c>
      <c r="CN8" s="24">
        <f t="array" ref="CN8">IFERROR(_xlfn.IFS(VALUE(MID(CN$5,6,2))&gt;$D$2,0,$CC8="Annual",1,CM8=12,12,$CC8="Monthly V",CM8*(1+$D$3),$CC8="Monthly F",12,$CC8="One-Time",0),CM8*(1+$D$3))</f>
        <v/>
      </c>
      <c r="CO8" s="63" t="n"/>
      <c r="CP8" s="53" t="n"/>
      <c r="CQ8" s="21">
        <f>CR8/12</f>
        <v/>
      </c>
      <c r="CR8" s="55">
        <f>IFERROR(CE8*$CP8,0)</f>
        <v/>
      </c>
      <c r="CS8" s="55">
        <f>IFERROR(CF8*$CP8,0)</f>
        <v/>
      </c>
      <c r="CT8" s="55">
        <f>IFERROR(CG8*$CP8,0)</f>
        <v/>
      </c>
      <c r="CU8" s="55">
        <f>IFERROR(CH8*$CP8,0)</f>
        <v/>
      </c>
      <c r="CV8" s="55">
        <f>IFERROR(CI8*$CP8,0)</f>
        <v/>
      </c>
      <c r="CW8" s="55">
        <f>IFERROR(CJ8*$CP8,0)</f>
        <v/>
      </c>
      <c r="CX8" s="55">
        <f>IFERROR(CK8*$CP8,0)</f>
        <v/>
      </c>
      <c r="CY8" s="55">
        <f>IFERROR(CL8*$CP8,0)</f>
        <v/>
      </c>
      <c r="CZ8" s="55">
        <f>IFERROR(CM8*$CP8,0)</f>
        <v/>
      </c>
      <c r="DA8" s="55">
        <f>IFERROR(CN8*$CP8,0)</f>
        <v/>
      </c>
      <c r="DB8" s="56" t="n"/>
      <c r="DC8" s="56">
        <f>IF(VALUE(MID(DC$5,6,1))&lt;=$D$2,((1+$CP$3)^1-1)*CS8,0)</f>
        <v/>
      </c>
      <c r="DD8" s="56">
        <f>IF(VALUE(MID(DD$5,6,1))&lt;=$D$2,((1+$CP$3)^2-1)*CT8,0)</f>
        <v/>
      </c>
      <c r="DE8" s="56">
        <f>IF(VALUE(MID(DE$5,6,1))&lt;=$D$2,((1+$CP$3)^3-1)*CU8,0)</f>
        <v/>
      </c>
      <c r="DF8" s="56">
        <f>IF(VALUE(MID(DF$5,6,1))&lt;=$D$2,((1+$CP$3)^4-1)*CV8,0)</f>
        <v/>
      </c>
      <c r="DG8" s="56">
        <f>IF(VALUE(MID(DG$5,6,1))&lt;=$D$2,((1+$CP$3)^5-1)*CW8,0)</f>
        <v/>
      </c>
      <c r="DH8" s="56">
        <f>IF(VALUE(MID(DH$5,6,1))&lt;=$D$2,((1+$CP$3)^6-1)*CX8,0)</f>
        <v/>
      </c>
      <c r="DI8" s="56">
        <f>IF(VALUE(MID(DI$5,6,1))&lt;=$D$2,((1+$CP$3)^7-1)*CY8,0)</f>
        <v/>
      </c>
      <c r="DJ8" s="56">
        <f>IF(VALUE(MID(DJ$5,6,1))&lt;=$D$2,((1+$CP$3)^8-1)*CZ8,0)</f>
        <v/>
      </c>
      <c r="DK8" s="56">
        <f>IF(VALUE(MID(DK$5,6,2))&lt;=$D$2,((1+$CP$3)^9-1)*DA8,0)</f>
        <v/>
      </c>
      <c r="DL8" s="57">
        <f>SUM(DB8:DK8)</f>
        <v/>
      </c>
      <c r="DM8" s="54">
        <f>SUM(DL8,CR8:DA8)</f>
        <v/>
      </c>
      <c r="DO8" s="106" t="n"/>
      <c r="DP8" s="283" t="n"/>
      <c r="DQ8" s="283" t="n"/>
      <c r="DR8" s="283" t="n"/>
      <c r="DS8" s="283" t="n"/>
    </row>
    <row r="9">
      <c r="B9" s="141" t="inlineStr">
        <is>
          <t>Monthly F</t>
        </is>
      </c>
      <c r="C9" s="24" t="n">
        <v>1</v>
      </c>
      <c r="D9" s="147">
        <f>IFERROR(AVERAGE(C9:C9),0)</f>
        <v/>
      </c>
      <c r="E9" s="14" t="n">
        <v>0</v>
      </c>
      <c r="F9" s="14" t="n">
        <v>0</v>
      </c>
      <c r="G9" s="14">
        <f t="array" ref="G9">IFERROR(_xlfn.IFS(VALUE(MID(G$5,6,1))&gt;$D$2,0,$B9="Annual",1,F9=12,12,$B9="Monthly V",F9*(1+$D$3),$B9="Monthly F",12,$B9="One-Time",0),F9*(1+$D$3))</f>
        <v/>
      </c>
      <c r="H9" s="14" t="n">
        <v>0</v>
      </c>
      <c r="I9" s="14" t="n">
        <v>0</v>
      </c>
      <c r="J9" s="14" t="n">
        <v>0</v>
      </c>
      <c r="K9" s="14" t="n">
        <v>0</v>
      </c>
      <c r="L9" s="14" t="n">
        <v>0</v>
      </c>
      <c r="M9" s="14" t="n">
        <v>0</v>
      </c>
      <c r="N9" s="14" t="n">
        <v>0</v>
      </c>
      <c r="O9" s="127" t="inlineStr">
        <is>
          <t>Year 3 CORE PROCESSING (Bundle)</t>
        </is>
      </c>
      <c r="P9" s="13" t="inlineStr">
        <is>
          <t>HORIZON CORE ACCOUNT PROCESSING</t>
        </is>
      </c>
      <c r="Q9" s="20" t="n">
        <v>22500</v>
      </c>
      <c r="R9" s="21">
        <f>S9/12</f>
        <v/>
      </c>
      <c r="S9" s="6">
        <f>IFERROR($Q9*E9,0)</f>
        <v/>
      </c>
      <c r="T9" s="6">
        <f>IFERROR($Q9*F9,0)</f>
        <v/>
      </c>
      <c r="U9" s="6">
        <f>IFERROR($Q9*G9,0)</f>
        <v/>
      </c>
      <c r="V9" s="6">
        <f>IFERROR($Q9*H9,0)</f>
        <v/>
      </c>
      <c r="W9" s="6">
        <f>IFERROR($Q9*I9,0)</f>
        <v/>
      </c>
      <c r="X9" s="6">
        <f>IFERROR($Q9*J9,0)</f>
        <v/>
      </c>
      <c r="Y9" s="6">
        <f>IFERROR($Q9*K9,0)</f>
        <v/>
      </c>
      <c r="Z9" s="6">
        <f>IFERROR($Q9*L9,0)</f>
        <v/>
      </c>
      <c r="AA9" s="6">
        <f>IFERROR($Q9*M9,0)</f>
        <v/>
      </c>
      <c r="AB9" s="6">
        <f>IFERROR($Q9*N9,0)</f>
        <v/>
      </c>
      <c r="AC9" s="7" t="n"/>
      <c r="AD9" s="152" t="n">
        <v>0</v>
      </c>
      <c r="AE9" s="152" t="n">
        <v>0</v>
      </c>
      <c r="AF9" s="152" t="n">
        <v>0</v>
      </c>
      <c r="AG9" s="152" t="n">
        <v>0</v>
      </c>
      <c r="AH9" s="152" t="n">
        <v>0</v>
      </c>
      <c r="AI9" s="152" t="n">
        <v>0</v>
      </c>
      <c r="AJ9" s="152" t="n">
        <v>0</v>
      </c>
      <c r="AK9" s="152" t="n">
        <v>0</v>
      </c>
      <c r="AL9" s="152" t="n">
        <v>0</v>
      </c>
      <c r="AM9" s="9">
        <f>SUM(AC9:AL9)</f>
        <v/>
      </c>
      <c r="AN9" s="80">
        <f>SUM(AM9,S9:AB9)</f>
        <v/>
      </c>
      <c r="AP9" s="102" t="inlineStr">
        <is>
          <t>Monthly F</t>
        </is>
      </c>
      <c r="AQ9" s="12" t="n">
        <v>1</v>
      </c>
      <c r="AR9" s="14">
        <f>IF($AP9="Annual",1,IF($AP9="Monthly F",12,IF($AP9="Monthly V",AQ9*12,IF($AP9="One-Time",1,AQ9*12))))</f>
        <v/>
      </c>
      <c r="AS9" s="14">
        <f t="array" ref="AS9">IFERROR(_xlfn.IFS(VALUE(MID(AS$5,6,1))&gt;$D$2,0,$AP9="Annual",1,AR9=12,12,$AP9="Monthly V",AR9*(1+$BD$2),$AP9="Monthly F",12,$AP9="One-Time",0),AR9*(1+$BD$2))</f>
        <v/>
      </c>
      <c r="AT9" s="14">
        <f t="array" ref="AT9">IFERROR(_xlfn.IFS(VALUE(MID(AT$5,6,1))&gt;$D$2,0,$AP9="Annual",1,AS9=12,12,$AP9="Monthly V",AS9*(1+$BD$2),$AP9="Monthly F",12,$AP9="One-Time",0),AS9*(1+$BD$2))</f>
        <v/>
      </c>
      <c r="AU9" s="14">
        <f t="array" ref="AU9">IFERROR(_xlfn.IFS(VALUE(MID(AU$5,6,1))&gt;$D$2,0,$AP9="Annual",1,AT9=12,12,$AP9="Monthly V",AT9*(1+$BD$2),$AP9="Monthly F",12,$AP9="One-Time",0),AT9*(1+$BD$2))</f>
        <v/>
      </c>
      <c r="AV9" s="14">
        <f t="array" ref="AV9">IFERROR(_xlfn.IFS(VALUE(MID(AV$5,6,1))&gt;$D$2,0,$AP9="Annual",1,AU9=12,12,$AP9="Monthly V",AU9*(1+$BD$2),$AP9="Monthly F",12,$AP9="One-Time",0),AU9*(1+$BD$2))</f>
        <v/>
      </c>
      <c r="AW9" s="14">
        <f t="array" ref="AW9">IFERROR(_xlfn.IFS(VALUE(MID(AW$5,6,1))&gt;$D$2,0,$AP9="Annual",1,AV9=12,12,$AP9="Monthly V",AV9*(1+$BD$2),$AP9="Monthly F",12,$AP9="One-Time",0),AV9*(1+$BD$2))</f>
        <v/>
      </c>
      <c r="AX9" s="14">
        <f t="array" ref="AX9">IFERROR(_xlfn.IFS(VALUE(MID(AX$5,6,1))&gt;$D$2,0,$AP9="Annual",1,AW9=12,12,$AP9="Monthly V",AW9*(1+$BD$2),$AP9="Monthly F",12,$AP9="One-Time",0),AW9*(1+$BD$2))</f>
        <v/>
      </c>
      <c r="AY9" s="14">
        <f t="array" ref="AY9">IFERROR(_xlfn.IFS(VALUE(MID(AY$5,6,1))&gt;$D$2,0,$AP9="Annual",1,AX9=12,12,$AP9="Monthly V",AX9*(1+$D$3),$AP9="Monthly F",12,$AP9="One-Time",0),AX9*(1+$D$3))</f>
        <v/>
      </c>
      <c r="AZ9" s="14">
        <f t="array" ref="AZ9">IFERROR(_xlfn.IFS(VALUE(MID(AZ$5,6,1))&gt;$D$2,0,$AP9="Annual",1,AY9=12,12,$AP9="Monthly V",AY9*(1+$D$3),$AP9="Monthly F",12,$AP9="One-Time",0),AY9*(1+$D$3))</f>
        <v/>
      </c>
      <c r="BA9" s="125">
        <f t="array" ref="BA9">IFERROR(_xlfn.IFS(VALUE(MID(BA$5,6,2))&gt;$D$2,0,$AP9="Annual",1,AZ9=12,12,$AP9="Monthly V",AZ9*(1+$D$3),$AP9="Monthly F",12,$AP9="One-Time",0),AZ9*(1+$D$3))</f>
        <v/>
      </c>
      <c r="BB9" s="124" t="inlineStr">
        <is>
          <t>Daily File Transfer Integration IntraFi</t>
        </is>
      </c>
      <c r="BC9" s="38" t="inlineStr">
        <is>
          <t>SilverLake</t>
        </is>
      </c>
      <c r="BD9" s="36" t="n">
        <v>225</v>
      </c>
      <c r="BE9" s="21">
        <f>BF9/12</f>
        <v/>
      </c>
      <c r="BF9" s="39">
        <f>IFERROR(AR9*$BD9,0)</f>
        <v/>
      </c>
      <c r="BG9" s="39">
        <f>IFERROR(AS9*$BD9,0)</f>
        <v/>
      </c>
      <c r="BH9" s="39">
        <f>IFERROR(AT9*$BD9,0)</f>
        <v/>
      </c>
      <c r="BI9" s="39">
        <f>BH9*1.03</f>
        <v/>
      </c>
      <c r="BJ9" s="39">
        <f>BI9*1.03</f>
        <v/>
      </c>
      <c r="BK9" s="39">
        <f>BJ9*1.03</f>
        <v/>
      </c>
      <c r="BL9" s="39">
        <f>BK9*1.03</f>
        <v/>
      </c>
      <c r="BM9" s="39">
        <f>IFERROR(AY9*$BD9,0)</f>
        <v/>
      </c>
      <c r="BN9" s="39">
        <f>IFERROR(AZ9*$BD9,0)</f>
        <v/>
      </c>
      <c r="BO9" s="39">
        <f>IFERROR(BA9*$BD9,0)</f>
        <v/>
      </c>
      <c r="BP9" s="40" t="n"/>
      <c r="BQ9" s="40">
        <f>IF(VALUE(MID(BQ$5,6,1))&lt;=$D$2,((1+$BD$3)^1-1)*BG9,0)</f>
        <v/>
      </c>
      <c r="BR9" s="40">
        <f>IF(VALUE(MID(BR$5,6,1))&lt;=$D$2,((1+$BD$3)^2-1)*BH9,0)</f>
        <v/>
      </c>
      <c r="BS9" s="40">
        <f>IF(VALUE(MID(BS$5,6,1))&lt;=$D$2,((1+$BD$3)^3-1)*BI9,0)</f>
        <v/>
      </c>
      <c r="BT9" s="40">
        <f>IF(VALUE(MID(BT$5,6,1))&lt;=$D$2,((1+$BD$3)^4-1)*BJ9,0)</f>
        <v/>
      </c>
      <c r="BU9" s="40">
        <f>IF(VALUE(MID(BU$5,6,1))&lt;=$D$2,((1+$BD$3)^5-1)*BK9,0)</f>
        <v/>
      </c>
      <c r="BV9" s="40">
        <f>IF(VALUE(MID(BV$5,6,1))&lt;=$D$2,((1+$BD$3)^6-1)*BL9,0)</f>
        <v/>
      </c>
      <c r="BW9" s="40">
        <f>IF(VALUE(MID(BW$5,6,1))&lt;=$D$2,((1+$BD$3)^7-1)*BM9,0)</f>
        <v/>
      </c>
      <c r="BX9" s="40">
        <f>IF(VALUE(MID(BX$5,6,1))&lt;=$D$2,((1+$BD$3)^8-1)*BN9,0)</f>
        <v/>
      </c>
      <c r="BY9" s="40">
        <f>IF(VALUE(MID(BY$5,6,2))&lt;=$D$2,((1+$BD$3)^9-1)*BO9,0)</f>
        <v/>
      </c>
      <c r="BZ9" s="40">
        <f>SUM(BP9:BY9)</f>
        <v/>
      </c>
      <c r="CA9" s="37">
        <f>SUM(BZ9,BF9:BO9)</f>
        <v/>
      </c>
      <c r="CC9" s="102" t="n"/>
      <c r="CD9" s="12" t="n"/>
      <c r="CE9" s="14">
        <f>IF($CC9="Annual",1,IF($CC9="Monthly F",12,IF($CC9="Monthly V",CD9*12,IF($CC9="One-Time",1,CD9*12))))</f>
        <v/>
      </c>
      <c r="CF9" s="14">
        <f t="array" ref="CF9">IFERROR(_xlfn.IFS(VALUE(MID(CF$5,6,1))&gt;$D$2,0,$CC9="Annual",1,CE9=12,12,$CC9="Monthly V",CE9*(1+$D$3),$CC9="Monthly F",12,$CC9="One-Time",0),CE9*(1+$D$3))</f>
        <v/>
      </c>
      <c r="CG9" s="14">
        <f t="array" ref="CG9">IFERROR(_xlfn.IFS(VALUE(MID(CG$5,6,1))&gt;$D$2,0,$CC9="Annual",1,CF9=12,12,$CC9="Monthly V",CF9*(1+$D$3),$CC9="Monthly F",12,$CC9="One-Time",0),CF9*(1+$D$3))</f>
        <v/>
      </c>
      <c r="CH9" s="14">
        <f t="array" ref="CH9">IFERROR(_xlfn.IFS(VALUE(MID(CH$5,6,1))&gt;$D$2,0,$CC9="Annual",1,CG9=12,12,$CC9="Monthly V",CG9*(1+$D$3),$CC9="Monthly F",12,$CC9="One-Time",0),CG9*(1+$D$3))</f>
        <v/>
      </c>
      <c r="CI9" s="14">
        <f t="array" ref="CI9">IFERROR(_xlfn.IFS(VALUE(MID(CI$5,6,1))&gt;$D$2,0,$CC9="Annual",1,CH9=12,12,$CC9="Monthly V",CH9*(1+$D$3),$CC9="Monthly F",12,$CC9="One-Time",0),CH9*(1+$D$3))</f>
        <v/>
      </c>
      <c r="CJ9" s="14">
        <f t="array" ref="CJ9">IFERROR(_xlfn.IFS(VALUE(MID(CJ$5,6,1))&gt;$D$2,0,$CC9="Annual",1,CI9=12,12,$CC9="Monthly V",CI9*(1+$D$3),$CC9="Monthly F",12,$CC9="One-Time",0),CI9*(1+$D$3))</f>
        <v/>
      </c>
      <c r="CK9" s="14">
        <f t="array" ref="CK9">IFERROR(_xlfn.IFS(VALUE(MID(CK$5,6,1))&gt;$D$2,0,$CC9="Annual",1,CJ9=12,12,$CC9="Monthly V",CJ9*(1+$D$3),$CC9="Monthly F",12,$CC9="One-Time",0),CJ9*(1+$D$3))</f>
        <v/>
      </c>
      <c r="CL9" s="14">
        <f t="array" ref="CL9">IFERROR(_xlfn.IFS(VALUE(MID(CL$5,6,1))&gt;$D$2,0,$CC9="Annual",1,CK9=12,12,$CC9="Monthly V",CK9*(1+$D$3),$CC9="Monthly F",12,$CC9="One-Time",0),CK9*(1+$D$3))</f>
        <v/>
      </c>
      <c r="CM9" s="14">
        <f t="array" ref="CM9">IFERROR(_xlfn.IFS(VALUE(MID(CM$5,6,1))&gt;$D$2,0,$CC9="Annual",1,CL9=12,12,$CC9="Monthly V",CL9*(1+$D$3),$CC9="Monthly F",12,$CC9="One-Time",0),CL9*(1+$D$3))</f>
        <v/>
      </c>
      <c r="CN9" s="24">
        <f t="array" ref="CN9">IFERROR(_xlfn.IFS(VALUE(MID(CN$5,6,2))&gt;$D$2,0,$CC9="Annual",1,CM9=12,12,$CC9="Monthly V",CM9*(1+$D$3),$CC9="Monthly F",12,$CC9="One-Time",0),CM9*(1+$D$3))</f>
        <v/>
      </c>
      <c r="CO9" s="63" t="n"/>
      <c r="CP9" s="53" t="n"/>
      <c r="CQ9" s="21">
        <f>CR9/12</f>
        <v/>
      </c>
      <c r="CR9" s="55">
        <f>IFERROR(CE9*$CP9,0)</f>
        <v/>
      </c>
      <c r="CS9" s="55">
        <f>IFERROR(CF9*$CP9,0)</f>
        <v/>
      </c>
      <c r="CT9" s="55">
        <f>IFERROR(CG9*$CP9,0)</f>
        <v/>
      </c>
      <c r="CU9" s="55">
        <f>IFERROR(CH9*$CP9,0)</f>
        <v/>
      </c>
      <c r="CV9" s="55">
        <f>IFERROR(CI9*$CP9,0)</f>
        <v/>
      </c>
      <c r="CW9" s="55">
        <f>IFERROR(CJ9*$CP9,0)</f>
        <v/>
      </c>
      <c r="CX9" s="55">
        <f>IFERROR(CK9*$CP9,0)</f>
        <v/>
      </c>
      <c r="CY9" s="55">
        <f>IFERROR(CL9*$CP9,0)</f>
        <v/>
      </c>
      <c r="CZ9" s="55">
        <f>IFERROR(CM9*$CP9,0)</f>
        <v/>
      </c>
      <c r="DA9" s="55">
        <f>IFERROR(CN9*$CP9,0)</f>
        <v/>
      </c>
      <c r="DB9" s="56" t="n"/>
      <c r="DC9" s="56">
        <f>IF(VALUE(MID(DC$5,6,1))&lt;=$D$2,((1+$CP$3)^1-1)*CS9,0)</f>
        <v/>
      </c>
      <c r="DD9" s="56">
        <f>IF(VALUE(MID(DD$5,6,1))&lt;=$D$2,((1+$CP$3)^2-1)*CT9,0)</f>
        <v/>
      </c>
      <c r="DE9" s="56">
        <f>IF(VALUE(MID(DE$5,6,1))&lt;=$D$2,((1+$CP$3)^3-1)*CU9,0)</f>
        <v/>
      </c>
      <c r="DF9" s="56">
        <f>IF(VALUE(MID(DF$5,6,1))&lt;=$D$2,((1+$CP$3)^4-1)*CV9,0)</f>
        <v/>
      </c>
      <c r="DG9" s="56">
        <f>IF(VALUE(MID(DG$5,6,1))&lt;=$D$2,((1+$CP$3)^5-1)*CW9,0)</f>
        <v/>
      </c>
      <c r="DH9" s="56">
        <f>IF(VALUE(MID(DH$5,6,1))&lt;=$D$2,((1+$CP$3)^6-1)*CX9,0)</f>
        <v/>
      </c>
      <c r="DI9" s="56">
        <f>IF(VALUE(MID(DI$5,6,1))&lt;=$D$2,((1+$CP$3)^7-1)*CY9,0)</f>
        <v/>
      </c>
      <c r="DJ9" s="56">
        <f>IF(VALUE(MID(DJ$5,6,1))&lt;=$D$2,((1+$CP$3)^8-1)*CZ9,0)</f>
        <v/>
      </c>
      <c r="DK9" s="56">
        <f>IF(VALUE(MID(DK$5,6,2))&lt;=$D$2,((1+$CP$3)^9-1)*DA9,0)</f>
        <v/>
      </c>
      <c r="DL9" s="57">
        <f>SUM(DB9:DK9)</f>
        <v/>
      </c>
      <c r="DM9" s="54">
        <f>SUM(DL9,CR9:DA9)</f>
        <v/>
      </c>
      <c r="DO9" s="106" t="n"/>
    </row>
    <row r="10">
      <c r="B10" s="141" t="inlineStr">
        <is>
          <t>Monthly F</t>
        </is>
      </c>
      <c r="C10" s="24" t="n">
        <v>1</v>
      </c>
      <c r="D10" s="147">
        <f>IFERROR(AVERAGE(C10:C10),0)</f>
        <v/>
      </c>
      <c r="E10" s="14" t="n">
        <v>0</v>
      </c>
      <c r="F10" s="14" t="n">
        <v>0</v>
      </c>
      <c r="G10" s="14" t="n">
        <v>0</v>
      </c>
      <c r="H10" s="14">
        <f t="array" ref="H10">IFERROR(_xlfn.IFS(VALUE(MID(H$5,6,1))&gt;$D$2,0,$B10="Annual",1,G10=12,12,$B10="Monthly V",G10*(1+$D$3),$B10="Monthly F",12,$B10="One-Time",0),G10*(1+$D$3))</f>
        <v/>
      </c>
      <c r="I10" s="14" t="n">
        <v>0</v>
      </c>
      <c r="J10" s="14" t="n">
        <v>0</v>
      </c>
      <c r="K10" s="14" t="n">
        <v>0</v>
      </c>
      <c r="L10" s="14" t="n">
        <v>0</v>
      </c>
      <c r="M10" s="14" t="n">
        <v>0</v>
      </c>
      <c r="N10" s="14" t="n">
        <v>0</v>
      </c>
      <c r="O10" s="127" t="inlineStr">
        <is>
          <t>Year 4 CORE PROCESSING (Bundle)</t>
        </is>
      </c>
      <c r="P10" s="13" t="inlineStr">
        <is>
          <t>HORIZON CORE ACCOUNT PROCESSING</t>
        </is>
      </c>
      <c r="Q10" s="20" t="n">
        <v>28000</v>
      </c>
      <c r="R10" s="21">
        <f>S10/12</f>
        <v/>
      </c>
      <c r="S10" s="6">
        <f>IFERROR($Q10*E10,0)</f>
        <v/>
      </c>
      <c r="T10" s="6">
        <f>IFERROR($Q10*F10,0)</f>
        <v/>
      </c>
      <c r="U10" s="6">
        <f>IFERROR($Q10*G10,0)</f>
        <v/>
      </c>
      <c r="V10" s="6">
        <f>IFERROR($Q10*H10,0)</f>
        <v/>
      </c>
      <c r="W10" s="6">
        <f>IFERROR($Q10*I10,0)</f>
        <v/>
      </c>
      <c r="X10" s="6">
        <f>IFERROR($Q10*J10,0)</f>
        <v/>
      </c>
      <c r="Y10" s="6">
        <f>IFERROR($Q10*K10,0)</f>
        <v/>
      </c>
      <c r="Z10" s="6">
        <f>IFERROR($Q10*L10,0)</f>
        <v/>
      </c>
      <c r="AA10" s="6">
        <f>IFERROR($Q10*M10,0)</f>
        <v/>
      </c>
      <c r="AB10" s="6">
        <f>IFERROR($Q10*N10,0)</f>
        <v/>
      </c>
      <c r="AC10" s="7" t="n"/>
      <c r="AD10" s="152" t="n">
        <v>0</v>
      </c>
      <c r="AE10" s="152" t="n">
        <v>0</v>
      </c>
      <c r="AF10" s="152" t="n">
        <v>0</v>
      </c>
      <c r="AG10" s="152" t="n">
        <v>0</v>
      </c>
      <c r="AH10" s="152" t="n">
        <v>0</v>
      </c>
      <c r="AI10" s="152" t="n">
        <v>0</v>
      </c>
      <c r="AJ10" s="152" t="n">
        <v>0</v>
      </c>
      <c r="AK10" s="152" t="n">
        <v>0</v>
      </c>
      <c r="AL10" s="152" t="n">
        <v>0</v>
      </c>
      <c r="AM10" s="9">
        <f>SUM(AC10:AL10)</f>
        <v/>
      </c>
      <c r="AN10" s="80">
        <f>SUM(AM10,S10:AB10)</f>
        <v/>
      </c>
      <c r="AP10" s="102" t="inlineStr">
        <is>
          <t>Monthly V</t>
        </is>
      </c>
      <c r="AQ10" s="12" t="n">
        <v>5000</v>
      </c>
      <c r="AR10" s="14">
        <f>IF($AP10="Annual",1,IF($AP10="Monthly F",12,IF($AP10="Monthly V",AQ10*12,IF($AP10="One-Time",1,AQ10*12))))</f>
        <v/>
      </c>
      <c r="AS10" s="14">
        <f t="array" ref="AS10">IFERROR(_xlfn.IFS(VALUE(MID(AS$5,6,1))&gt;$D$2,0,$AP10="Annual",1,AR10=12,12,$AP10="Monthly V",AR10*(1+$BD$2),$AP10="Monthly F",12,$AP10="One-Time",0),AR10*(1+$BD$2))</f>
        <v/>
      </c>
      <c r="AT10" s="14">
        <f t="array" ref="AT10">IFERROR(_xlfn.IFS(VALUE(MID(AT$5,6,1))&gt;$D$2,0,$AP10="Annual",1,AS10=12,12,$AP10="Monthly V",AS10*(1+$BD$2),$AP10="Monthly F",12,$AP10="One-Time",0),AS10*(1+$BD$2))</f>
        <v/>
      </c>
      <c r="AU10" s="14">
        <f t="array" ref="AU10">IFERROR(_xlfn.IFS(VALUE(MID(AU$5,6,1))&gt;$D$2,0,$AP10="Annual",1,AT10=12,12,$AP10="Monthly V",AT10*(1+$BD$2),$AP10="Monthly F",12,$AP10="One-Time",0),AT10*(1+$BD$2))</f>
        <v/>
      </c>
      <c r="AV10" s="14">
        <f t="array" ref="AV10">IFERROR(_xlfn.IFS(VALUE(MID(AV$5,6,1))&gt;$D$2,0,$AP10="Annual",1,AU10=12,12,$AP10="Monthly V",AU10*(1+$BD$2),$AP10="Monthly F",12,$AP10="One-Time",0),AU10*(1+$BD$2))</f>
        <v/>
      </c>
      <c r="AW10" s="14">
        <f t="array" ref="AW10">IFERROR(_xlfn.IFS(VALUE(MID(AW$5,6,1))&gt;$D$2,0,$AP10="Annual",1,AV10=12,12,$AP10="Monthly V",AV10*(1+$BD$2),$AP10="Monthly F",12,$AP10="One-Time",0),AV10*(1+$BD$2))</f>
        <v/>
      </c>
      <c r="AX10" s="14">
        <f t="array" ref="AX10">IFERROR(_xlfn.IFS(VALUE(MID(AX$5,6,1))&gt;$D$2,0,$AP10="Annual",1,AW10=12,12,$AP10="Monthly V",AW10*(1+$BD$2),$AP10="Monthly F",12,$AP10="One-Time",0),AW10*(1+$BD$2))</f>
        <v/>
      </c>
      <c r="AY10" s="14">
        <f t="array" ref="AY10">IFERROR(_xlfn.IFS(VALUE(MID(AY$5,6,1))&gt;$D$2,0,$AP10="Annual",1,AX10=12,12,$AP10="Monthly V",AX10*(1+$D$3),$AP10="Monthly F",12,$AP10="One-Time",0),AX10*(1+$D$3))</f>
        <v/>
      </c>
      <c r="AZ10" s="14">
        <f t="array" ref="AZ10">IFERROR(_xlfn.IFS(VALUE(MID(AZ$5,6,1))&gt;$D$2,0,$AP10="Annual",1,AY10=12,12,$AP10="Monthly V",AY10*(1+$D$3),$AP10="Monthly F",12,$AP10="One-Time",0),AY10*(1+$D$3))</f>
        <v/>
      </c>
      <c r="BA10" s="125">
        <f t="array" ref="BA10">IFERROR(_xlfn.IFS(VALUE(MID(BA$5,6,2))&gt;$D$2,0,$AP10="Annual",1,AZ10=12,12,$AP10="Monthly V",AZ10*(1+$D$3),$AP10="Monthly F",12,$AP10="One-Time",0),AZ10*(1+$D$3))</f>
        <v/>
      </c>
      <c r="BB10" s="124" t="inlineStr">
        <is>
          <t>Hosted Xperience</t>
        </is>
      </c>
      <c r="BC10" s="38" t="inlineStr">
        <is>
          <t>Xperience</t>
        </is>
      </c>
      <c r="BD10" s="36" t="n">
        <v>0.0225</v>
      </c>
      <c r="BE10" s="21">
        <f>BF10/12</f>
        <v/>
      </c>
      <c r="BF10" s="39">
        <f>IFERROR(AR10*$BD10,0)</f>
        <v/>
      </c>
      <c r="BG10" s="39">
        <f>IFERROR(AS10*$BD10,0)</f>
        <v/>
      </c>
      <c r="BH10" s="39">
        <f>IFERROR(AT10*$BD10,0)</f>
        <v/>
      </c>
      <c r="BI10" s="39">
        <f>BH10*1.03</f>
        <v/>
      </c>
      <c r="BJ10" s="39">
        <f>BI10*1.03</f>
        <v/>
      </c>
      <c r="BK10" s="39">
        <f>BJ10*1.03</f>
        <v/>
      </c>
      <c r="BL10" s="39">
        <f>BK10*1.03</f>
        <v/>
      </c>
      <c r="BM10" s="39">
        <f>IFERROR(AY10*$BD10,0)</f>
        <v/>
      </c>
      <c r="BN10" s="39">
        <f>IFERROR(AZ10*$BD10,0)</f>
        <v/>
      </c>
      <c r="BO10" s="39">
        <f>IFERROR(BA10*$BD10,0)</f>
        <v/>
      </c>
      <c r="BP10" s="40" t="n"/>
      <c r="BQ10" s="40">
        <f>IF(VALUE(MID(BQ$5,6,1))&lt;=$D$2,((1+$BD$3)^1-1)*BG10,0)</f>
        <v/>
      </c>
      <c r="BR10" s="40">
        <f>IF(VALUE(MID(BR$5,6,1))&lt;=$D$2,((1+$BD$3)^2-1)*BH10,0)</f>
        <v/>
      </c>
      <c r="BS10" s="40">
        <f>IF(VALUE(MID(BS$5,6,1))&lt;=$D$2,((1+$BD$3)^3-1)*BI10,0)</f>
        <v/>
      </c>
      <c r="BT10" s="40">
        <f>IF(VALUE(MID(BT$5,6,1))&lt;=$D$2,((1+$BD$3)^4-1)*BJ10,0)</f>
        <v/>
      </c>
      <c r="BU10" s="40">
        <f>IF(VALUE(MID(BU$5,6,1))&lt;=$D$2,((1+$BD$3)^5-1)*BK10,0)</f>
        <v/>
      </c>
      <c r="BV10" s="40">
        <f>IF(VALUE(MID(BV$5,6,1))&lt;=$D$2,((1+$BD$3)^6-1)*BL10,0)</f>
        <v/>
      </c>
      <c r="BW10" s="40">
        <f>IF(VALUE(MID(BW$5,6,1))&lt;=$D$2,((1+$BD$3)^7-1)*BM10,0)</f>
        <v/>
      </c>
      <c r="BX10" s="40">
        <f>IF(VALUE(MID(BX$5,6,1))&lt;=$D$2,((1+$BD$3)^8-1)*BN10,0)</f>
        <v/>
      </c>
      <c r="BY10" s="40">
        <f>IF(VALUE(MID(BY$5,6,2))&lt;=$D$2,((1+$BD$3)^9-1)*BO10,0)</f>
        <v/>
      </c>
      <c r="BZ10" s="40">
        <f>SUM(BP10:BY10)</f>
        <v/>
      </c>
      <c r="CA10" s="37">
        <f>SUM(BZ10,BF10:BO10)</f>
        <v/>
      </c>
      <c r="CC10" s="102" t="n"/>
      <c r="CD10" s="12" t="n"/>
      <c r="CE10" s="14">
        <f>IF($CC10="Annual",1,IF($CC10="Monthly F",12,IF($CC10="Monthly V",CD10*12,IF($CC10="One-Time",1,CD10*12))))</f>
        <v/>
      </c>
      <c r="CF10" s="14">
        <f t="array" ref="CF10">IFERROR(_xlfn.IFS(VALUE(MID(CF$5,6,1))&gt;$D$2,0,$CC10="Annual",1,CE10=12,12,$CC10="Monthly V",CE10*(1+$D$3),$CC10="Monthly F",12,$CC10="One-Time",0),CE10*(1+$D$3))</f>
        <v/>
      </c>
      <c r="CG10" s="14">
        <f t="array" ref="CG10">IFERROR(_xlfn.IFS(VALUE(MID(CG$5,6,1))&gt;$D$2,0,$CC10="Annual",1,CF10=12,12,$CC10="Monthly V",CF10*(1+$D$3),$CC10="Monthly F",12,$CC10="One-Time",0),CF10*(1+$D$3))</f>
        <v/>
      </c>
      <c r="CH10" s="14">
        <f t="array" ref="CH10">IFERROR(_xlfn.IFS(VALUE(MID(CH$5,6,1))&gt;$D$2,0,$CC10="Annual",1,CG10=12,12,$CC10="Monthly V",CG10*(1+$D$3),$CC10="Monthly F",12,$CC10="One-Time",0),CG10*(1+$D$3))</f>
        <v/>
      </c>
      <c r="CI10" s="14">
        <f t="array" ref="CI10">IFERROR(_xlfn.IFS(VALUE(MID(CI$5,6,1))&gt;$D$2,0,$CC10="Annual",1,CH10=12,12,$CC10="Monthly V",CH10*(1+$D$3),$CC10="Monthly F",12,$CC10="One-Time",0),CH10*(1+$D$3))</f>
        <v/>
      </c>
      <c r="CJ10" s="14">
        <f t="array" ref="CJ10">IFERROR(_xlfn.IFS(VALUE(MID(CJ$5,6,1))&gt;$D$2,0,$CC10="Annual",1,CI10=12,12,$CC10="Monthly V",CI10*(1+$D$3),$CC10="Monthly F",12,$CC10="One-Time",0),CI10*(1+$D$3))</f>
        <v/>
      </c>
      <c r="CK10" s="14">
        <f t="array" ref="CK10">IFERROR(_xlfn.IFS(VALUE(MID(CK$5,6,1))&gt;$D$2,0,$CC10="Annual",1,CJ10=12,12,$CC10="Monthly V",CJ10*(1+$D$3),$CC10="Monthly F",12,$CC10="One-Time",0),CJ10*(1+$D$3))</f>
        <v/>
      </c>
      <c r="CL10" s="14">
        <f t="array" ref="CL10">IFERROR(_xlfn.IFS(VALUE(MID(CL$5,6,1))&gt;$D$2,0,$CC10="Annual",1,CK10=12,12,$CC10="Monthly V",CK10*(1+$D$3),$CC10="Monthly F",12,$CC10="One-Time",0),CK10*(1+$D$3))</f>
        <v/>
      </c>
      <c r="CM10" s="14">
        <f t="array" ref="CM10">IFERROR(_xlfn.IFS(VALUE(MID(CM$5,6,1))&gt;$D$2,0,$CC10="Annual",1,CL10=12,12,$CC10="Monthly V",CL10*(1+$D$3),$CC10="Monthly F",12,$CC10="One-Time",0),CL10*(1+$D$3))</f>
        <v/>
      </c>
      <c r="CN10" s="24">
        <f t="array" ref="CN10">IFERROR(_xlfn.IFS(VALUE(MID(CN$5,6,2))&gt;$D$2,0,$CC10="Annual",1,CM10=12,12,$CC10="Monthly V",CM10*(1+$D$3),$CC10="Monthly F",12,$CC10="One-Time",0),CM10*(1+$D$3))</f>
        <v/>
      </c>
      <c r="CO10" s="63" t="n"/>
      <c r="CP10" s="53" t="n"/>
      <c r="CQ10" s="21">
        <f>CR10/12</f>
        <v/>
      </c>
      <c r="CR10" s="55">
        <f>IFERROR(CE10*$CP10,0)</f>
        <v/>
      </c>
      <c r="CS10" s="55">
        <f>IFERROR(CF10*$CP10,0)</f>
        <v/>
      </c>
      <c r="CT10" s="55">
        <f>IFERROR(CG10*$CP10,0)</f>
        <v/>
      </c>
      <c r="CU10" s="55">
        <f>IFERROR(CH10*$CP10,0)</f>
        <v/>
      </c>
      <c r="CV10" s="55">
        <f>IFERROR(CI10*$CP10,0)</f>
        <v/>
      </c>
      <c r="CW10" s="55">
        <f>IFERROR(CJ10*$CP10,0)</f>
        <v/>
      </c>
      <c r="CX10" s="55">
        <f>IFERROR(CK10*$CP10,0)</f>
        <v/>
      </c>
      <c r="CY10" s="55">
        <f>IFERROR(CL10*$CP10,0)</f>
        <v/>
      </c>
      <c r="CZ10" s="55">
        <f>IFERROR(CM10*$CP10,0)</f>
        <v/>
      </c>
      <c r="DA10" s="55">
        <f>IFERROR(CN10*$CP10,0)</f>
        <v/>
      </c>
      <c r="DB10" s="56" t="n"/>
      <c r="DC10" s="56">
        <f>IF(VALUE(MID(DC$5,6,1))&lt;=$D$2,((1+$CP$3)^1-1)*CS10,0)</f>
        <v/>
      </c>
      <c r="DD10" s="56">
        <f>IF(VALUE(MID(DD$5,6,1))&lt;=$D$2,((1+$CP$3)^2-1)*CT10,0)</f>
        <v/>
      </c>
      <c r="DE10" s="56">
        <f>IF(VALUE(MID(DE$5,6,1))&lt;=$D$2,((1+$CP$3)^3-1)*CU10,0)</f>
        <v/>
      </c>
      <c r="DF10" s="56">
        <f>IF(VALUE(MID(DF$5,6,1))&lt;=$D$2,((1+$CP$3)^4-1)*CV10,0)</f>
        <v/>
      </c>
      <c r="DG10" s="56">
        <f>IF(VALUE(MID(DG$5,6,1))&lt;=$D$2,((1+$CP$3)^5-1)*CW10,0)</f>
        <v/>
      </c>
      <c r="DH10" s="56">
        <f>IF(VALUE(MID(DH$5,6,1))&lt;=$D$2,((1+$CP$3)^6-1)*CX10,0)</f>
        <v/>
      </c>
      <c r="DI10" s="56">
        <f>IF(VALUE(MID(DI$5,6,1))&lt;=$D$2,((1+$CP$3)^7-1)*CY10,0)</f>
        <v/>
      </c>
      <c r="DJ10" s="56">
        <f>IF(VALUE(MID(DJ$5,6,1))&lt;=$D$2,((1+$CP$3)^8-1)*CZ10,0)</f>
        <v/>
      </c>
      <c r="DK10" s="56">
        <f>IF(VALUE(MID(DK$5,6,2))&lt;=$D$2,((1+$CP$3)^9-1)*DA10,0)</f>
        <v/>
      </c>
      <c r="DL10" s="57">
        <f>SUM(DB10:DK10)</f>
        <v/>
      </c>
      <c r="DM10" s="54">
        <f>SUM(DL10,CR10:DA10)</f>
        <v/>
      </c>
      <c r="DO10" s="106" t="n"/>
    </row>
    <row r="11">
      <c r="B11" s="141" t="inlineStr">
        <is>
          <t>Monthly F</t>
        </is>
      </c>
      <c r="C11" s="24" t="n">
        <v>1</v>
      </c>
      <c r="D11" s="147">
        <f>IFERROR(AVERAGE(C11:C11),0)</f>
        <v/>
      </c>
      <c r="E11" s="14" t="n">
        <v>0</v>
      </c>
      <c r="F11" s="14" t="n">
        <v>0</v>
      </c>
      <c r="G11" s="14" t="n">
        <v>0</v>
      </c>
      <c r="H11" s="14" t="n">
        <v>0</v>
      </c>
      <c r="I11" s="14">
        <f t="array" ref="I11">IFERROR(_xlfn.IFS(VALUE(MID(I$5,6,1))&gt;$D$2,0,$B11="Annual",1,H11=12,12,$B11="Monthly V",H11*(1+$D$3),$B11="Monthly F",12,$B11="One-Time",0),H11*(1+$D$3))</f>
        <v/>
      </c>
      <c r="J11" s="14" t="n">
        <v>0</v>
      </c>
      <c r="K11" s="14" t="n">
        <v>0</v>
      </c>
      <c r="L11" s="14" t="n">
        <v>0</v>
      </c>
      <c r="M11" s="14" t="n">
        <v>0</v>
      </c>
      <c r="N11" s="14" t="n">
        <v>0</v>
      </c>
      <c r="O11" s="127" t="inlineStr">
        <is>
          <t>Year 5 CORE PROCESSING (Bundle)</t>
        </is>
      </c>
      <c r="P11" s="13" t="inlineStr">
        <is>
          <t>HORIZON CORE ACCOUNT PROCESSING</t>
        </is>
      </c>
      <c r="Q11" s="20" t="n">
        <v>35000</v>
      </c>
      <c r="R11" s="21">
        <f>S11/12</f>
        <v/>
      </c>
      <c r="S11" s="6">
        <f>IFERROR($Q11*E11,0)</f>
        <v/>
      </c>
      <c r="T11" s="6">
        <f>IFERROR($Q11*F11,0)</f>
        <v/>
      </c>
      <c r="U11" s="6">
        <f>IFERROR($Q11*G11,0)</f>
        <v/>
      </c>
      <c r="V11" s="6">
        <f>IFERROR($Q11*H11,0)</f>
        <v/>
      </c>
      <c r="W11" s="6">
        <f>IFERROR($Q11*I11,0)</f>
        <v/>
      </c>
      <c r="X11" s="6">
        <f>IFERROR($Q11*J11,0)</f>
        <v/>
      </c>
      <c r="Y11" s="6">
        <f>IFERROR($Q11*K11,0)</f>
        <v/>
      </c>
      <c r="Z11" s="6">
        <f>IFERROR($Q11*L11,0)</f>
        <v/>
      </c>
      <c r="AA11" s="6">
        <f>IFERROR($Q11*M11,0)</f>
        <v/>
      </c>
      <c r="AB11" s="6">
        <f>IFERROR($Q11*N11,0)</f>
        <v/>
      </c>
      <c r="AC11" s="7" t="n"/>
      <c r="AD11" s="152" t="n">
        <v>0</v>
      </c>
      <c r="AE11" s="152" t="n">
        <v>0</v>
      </c>
      <c r="AF11" s="152" t="n">
        <v>0</v>
      </c>
      <c r="AG11" s="152" t="n">
        <v>0</v>
      </c>
      <c r="AH11" s="152" t="n">
        <v>0</v>
      </c>
      <c r="AI11" s="152" t="n">
        <v>0</v>
      </c>
      <c r="AJ11" s="152" t="n">
        <v>0</v>
      </c>
      <c r="AK11" s="152" t="n">
        <v>0</v>
      </c>
      <c r="AL11" s="152" t="n">
        <v>0</v>
      </c>
      <c r="AM11" s="9">
        <f>SUM(AC11:AL11)</f>
        <v/>
      </c>
      <c r="AN11" s="80">
        <f>SUM(AM11,S11:AB11)</f>
        <v/>
      </c>
      <c r="AP11" s="102" t="inlineStr">
        <is>
          <t>Monthly V</t>
        </is>
      </c>
      <c r="AQ11" s="12" t="n">
        <v>5000</v>
      </c>
      <c r="AR11" s="14">
        <f>IF($AP11="Annual",1,IF($AP11="Monthly F",12,IF($AP11="Monthly V",AQ11*12,IF($AP11="One-Time",1,AQ11*12))))</f>
        <v/>
      </c>
      <c r="AS11" s="14">
        <f t="array" ref="AS11">IFERROR(_xlfn.IFS(VALUE(MID(AS$5,6,1))&gt;$D$2,0,$AP11="Annual",1,AR11=12,12,$AP11="Monthly V",AR11*(1+$BD$2),$AP11="Monthly F",12,$AP11="One-Time",0),AR11*(1+$BD$2))</f>
        <v/>
      </c>
      <c r="AT11" s="14">
        <f t="array" ref="AT11">IFERROR(_xlfn.IFS(VALUE(MID(AT$5,6,1))&gt;$D$2,0,$AP11="Annual",1,AS11=12,12,$AP11="Monthly V",AS11*(1+$BD$2),$AP11="Monthly F",12,$AP11="One-Time",0),AS11*(1+$BD$2))</f>
        <v/>
      </c>
      <c r="AU11" s="14">
        <f t="array" ref="AU11">IFERROR(_xlfn.IFS(VALUE(MID(AU$5,6,1))&gt;$D$2,0,$AP11="Annual",1,AT11=12,12,$AP11="Monthly V",AT11*(1+$BD$2),$AP11="Monthly F",12,$AP11="One-Time",0),AT11*(1+$BD$2))</f>
        <v/>
      </c>
      <c r="AV11" s="14">
        <f t="array" ref="AV11">IFERROR(_xlfn.IFS(VALUE(MID(AV$5,6,1))&gt;$D$2,0,$AP11="Annual",1,AU11=12,12,$AP11="Monthly V",AU11*(1+$BD$2),$AP11="Monthly F",12,$AP11="One-Time",0),AU11*(1+$BD$2))</f>
        <v/>
      </c>
      <c r="AW11" s="14">
        <f t="array" ref="AW11">IFERROR(_xlfn.IFS(VALUE(MID(AW$5,6,1))&gt;$D$2,0,$AP11="Annual",1,AV11=12,12,$AP11="Monthly V",AV11*(1+$BD$2),$AP11="Monthly F",12,$AP11="One-Time",0),AV11*(1+$BD$2))</f>
        <v/>
      </c>
      <c r="AX11" s="14">
        <f t="array" ref="AX11">IFERROR(_xlfn.IFS(VALUE(MID(AX$5,6,1))&gt;$D$2,0,$AP11="Annual",1,AW11=12,12,$AP11="Monthly V",AW11*(1+$BD$2),$AP11="Monthly F",12,$AP11="One-Time",0),AW11*(1+$BD$2))</f>
        <v/>
      </c>
      <c r="AY11" s="14">
        <f t="array" ref="AY11">IFERROR(_xlfn.IFS(VALUE(MID(AY$5,6,1))&gt;$D$2,0,$AP11="Annual",1,AX11=12,12,$AP11="Monthly V",AX11*(1+$D$3),$AP11="Monthly F",12,$AP11="One-Time",0),AX11*(1+$D$3))</f>
        <v/>
      </c>
      <c r="AZ11" s="14">
        <f t="array" ref="AZ11">IFERROR(_xlfn.IFS(VALUE(MID(AZ$5,6,1))&gt;$D$2,0,$AP11="Annual",1,AY11=12,12,$AP11="Monthly V",AY11*(1+$D$3),$AP11="Monthly F",12,$AP11="One-Time",0),AY11*(1+$D$3))</f>
        <v/>
      </c>
      <c r="BA11" s="125">
        <f t="array" ref="BA11">IFERROR(_xlfn.IFS(VALUE(MID(BA$5,6,2))&gt;$D$2,0,$AP11="Annual",1,AZ11=12,12,$AP11="Monthly V",AZ11*(1+$D$3),$AP11="Monthly F",12,$AP11="One-Time",0),AZ11*(1+$D$3))</f>
        <v/>
      </c>
      <c r="BB11" s="148" t="inlineStr">
        <is>
          <t>OnBoard Deposits</t>
        </is>
      </c>
      <c r="BC11" s="38" t="inlineStr">
        <is>
          <t>OnBoard</t>
        </is>
      </c>
      <c r="BD11" s="36" t="n">
        <v>0.1703</v>
      </c>
      <c r="BE11" s="21">
        <f>BF11/12</f>
        <v/>
      </c>
      <c r="BF11" s="39">
        <f>IFERROR(AR11*$BD11,0)</f>
        <v/>
      </c>
      <c r="BG11" s="39">
        <f>IFERROR(AS11*$BD11,0)</f>
        <v/>
      </c>
      <c r="BH11" s="39">
        <f>IFERROR(AT11*$BD11,0)</f>
        <v/>
      </c>
      <c r="BI11" s="39">
        <f>BH11*1.03</f>
        <v/>
      </c>
      <c r="BJ11" s="39">
        <f>BI11*1.03</f>
        <v/>
      </c>
      <c r="BK11" s="39">
        <f>BJ11*1.03</f>
        <v/>
      </c>
      <c r="BL11" s="39">
        <f>BK11*1.03</f>
        <v/>
      </c>
      <c r="BM11" s="39">
        <f>IFERROR(AY11*$BD11,0)</f>
        <v/>
      </c>
      <c r="BN11" s="39">
        <f>IFERROR(AZ11*$BD11,0)</f>
        <v/>
      </c>
      <c r="BO11" s="39">
        <f>IFERROR(BA11*$BD11,0)</f>
        <v/>
      </c>
      <c r="BP11" s="40" t="n"/>
      <c r="BQ11" s="40">
        <f>IF(VALUE(MID(BQ$5,6,1))&lt;=$D$2,((1+$BD$3)^1-1)*BG11,0)</f>
        <v/>
      </c>
      <c r="BR11" s="40">
        <f>IF(VALUE(MID(BR$5,6,1))&lt;=$D$2,((1+$BD$3)^2-1)*BH11,0)</f>
        <v/>
      </c>
      <c r="BS11" s="40">
        <f>IF(VALUE(MID(BS$5,6,1))&lt;=$D$2,((1+$BD$3)^3-1)*BI11,0)</f>
        <v/>
      </c>
      <c r="BT11" s="40">
        <f>IF(VALUE(MID(BT$5,6,1))&lt;=$D$2,((1+$BD$3)^4-1)*BJ11,0)</f>
        <v/>
      </c>
      <c r="BU11" s="40">
        <f>IF(VALUE(MID(BU$5,6,1))&lt;=$D$2,((1+$BD$3)^5-1)*BK11,0)</f>
        <v/>
      </c>
      <c r="BV11" s="40">
        <f>IF(VALUE(MID(BV$5,6,1))&lt;=$D$2,((1+$BD$3)^6-1)*BL11,0)</f>
        <v/>
      </c>
      <c r="BW11" s="40">
        <f>IF(VALUE(MID(BW$5,6,1))&lt;=$D$2,((1+$BD$3)^7-1)*BM11,0)</f>
        <v/>
      </c>
      <c r="BX11" s="40">
        <f>IF(VALUE(MID(BX$5,6,1))&lt;=$D$2,((1+$BD$3)^8-1)*BN11,0)</f>
        <v/>
      </c>
      <c r="BY11" s="40">
        <f>IF(VALUE(MID(BY$5,6,2))&lt;=$D$2,((1+$BD$3)^9-1)*BO11,0)</f>
        <v/>
      </c>
      <c r="BZ11" s="40">
        <f>SUM(BP11:BY11)</f>
        <v/>
      </c>
      <c r="CA11" s="37">
        <f>SUM(BZ11,BF11:BO11)</f>
        <v/>
      </c>
      <c r="CC11" s="102" t="n"/>
      <c r="CD11" s="12" t="n"/>
      <c r="CE11" s="14">
        <f>IF($CC11="Annual",1,IF($CC11="Monthly F",12,IF($CC11="Monthly V",CD11*12,IF($CC11="One-Time",1,CD11*12))))</f>
        <v/>
      </c>
      <c r="CF11" s="14">
        <f t="array" ref="CF11">IFERROR(_xlfn.IFS(VALUE(MID(CF$5,6,1))&gt;$D$2,0,$CC11="Annual",1,CE11=12,12,$CC11="Monthly V",CE11*(1+$D$3),$CC11="Monthly F",12,$CC11="One-Time",0),CE11*(1+$D$3))</f>
        <v/>
      </c>
      <c r="CG11" s="14">
        <f t="array" ref="CG11">IFERROR(_xlfn.IFS(VALUE(MID(CG$5,6,1))&gt;$D$2,0,$CC11="Annual",1,CF11=12,12,$CC11="Monthly V",CF11*(1+$D$3),$CC11="Monthly F",12,$CC11="One-Time",0),CF11*(1+$D$3))</f>
        <v/>
      </c>
      <c r="CH11" s="14">
        <f t="array" ref="CH11">IFERROR(_xlfn.IFS(VALUE(MID(CH$5,6,1))&gt;$D$2,0,$CC11="Annual",1,CG11=12,12,$CC11="Monthly V",CG11*(1+$D$3),$CC11="Monthly F",12,$CC11="One-Time",0),CG11*(1+$D$3))</f>
        <v/>
      </c>
      <c r="CI11" s="14">
        <f t="array" ref="CI11">IFERROR(_xlfn.IFS(VALUE(MID(CI$5,6,1))&gt;$D$2,0,$CC11="Annual",1,CH11=12,12,$CC11="Monthly V",CH11*(1+$D$3),$CC11="Monthly F",12,$CC11="One-Time",0),CH11*(1+$D$3))</f>
        <v/>
      </c>
      <c r="CJ11" s="14">
        <f t="array" ref="CJ11">IFERROR(_xlfn.IFS(VALUE(MID(CJ$5,6,1))&gt;$D$2,0,$CC11="Annual",1,CI11=12,12,$CC11="Monthly V",CI11*(1+$D$3),$CC11="Monthly F",12,$CC11="One-Time",0),CI11*(1+$D$3))</f>
        <v/>
      </c>
      <c r="CK11" s="14">
        <f t="array" ref="CK11">IFERROR(_xlfn.IFS(VALUE(MID(CK$5,6,1))&gt;$D$2,0,$CC11="Annual",1,CJ11=12,12,$CC11="Monthly V",CJ11*(1+$D$3),$CC11="Monthly F",12,$CC11="One-Time",0),CJ11*(1+$D$3))</f>
        <v/>
      </c>
      <c r="CL11" s="14">
        <f t="array" ref="CL11">IFERROR(_xlfn.IFS(VALUE(MID(CL$5,6,1))&gt;$D$2,0,$CC11="Annual",1,CK11=12,12,$CC11="Monthly V",CK11*(1+$D$3),$CC11="Monthly F",12,$CC11="One-Time",0),CK11*(1+$D$3))</f>
        <v/>
      </c>
      <c r="CM11" s="14">
        <f t="array" ref="CM11">IFERROR(_xlfn.IFS(VALUE(MID(CM$5,6,1))&gt;$D$2,0,$CC11="Annual",1,CL11=12,12,$CC11="Monthly V",CL11*(1+$D$3),$CC11="Monthly F",12,$CC11="One-Time",0),CL11*(1+$D$3))</f>
        <v/>
      </c>
      <c r="CN11" s="24">
        <f t="array" ref="CN11">IFERROR(_xlfn.IFS(VALUE(MID(CN$5,6,2))&gt;$D$2,0,$CC11="Annual",1,CM11=12,12,$CC11="Monthly V",CM11*(1+$D$3),$CC11="Monthly F",12,$CC11="One-Time",0),CM11*(1+$D$3))</f>
        <v/>
      </c>
      <c r="CO11" s="63" t="n"/>
      <c r="CP11" s="53" t="n"/>
      <c r="CQ11" s="21">
        <f>CR11/12</f>
        <v/>
      </c>
      <c r="CR11" s="55">
        <f>IFERROR(CE11*$CP11,0)</f>
        <v/>
      </c>
      <c r="CS11" s="55">
        <f>IFERROR(CF11*$CP11,0)</f>
        <v/>
      </c>
      <c r="CT11" s="55">
        <f>IFERROR(CG11*$CP11,0)</f>
        <v/>
      </c>
      <c r="CU11" s="55">
        <f>IFERROR(CH11*$CP11,0)</f>
        <v/>
      </c>
      <c r="CV11" s="55">
        <f>IFERROR(CI11*$CP11,0)</f>
        <v/>
      </c>
      <c r="CW11" s="55">
        <f>IFERROR(CJ11*$CP11,0)</f>
        <v/>
      </c>
      <c r="CX11" s="55">
        <f>IFERROR(CK11*$CP11,0)</f>
        <v/>
      </c>
      <c r="CY11" s="55">
        <f>IFERROR(CL11*$CP11,0)</f>
        <v/>
      </c>
      <c r="CZ11" s="55">
        <f>IFERROR(CM11*$CP11,0)</f>
        <v/>
      </c>
      <c r="DA11" s="55">
        <f>IFERROR(CN11*$CP11,0)</f>
        <v/>
      </c>
      <c r="DB11" s="56" t="n"/>
      <c r="DC11" s="56">
        <f>IF(VALUE(MID(DC$5,6,1))&lt;=$D$2,((1+$CP$3)^1-1)*CS11,0)</f>
        <v/>
      </c>
      <c r="DD11" s="56">
        <f>IF(VALUE(MID(DD$5,6,1))&lt;=$D$2,((1+$CP$3)^2-1)*CT11,0)</f>
        <v/>
      </c>
      <c r="DE11" s="56">
        <f>IF(VALUE(MID(DE$5,6,1))&lt;=$D$2,((1+$CP$3)^3-1)*CU11,0)</f>
        <v/>
      </c>
      <c r="DF11" s="56">
        <f>IF(VALUE(MID(DF$5,6,1))&lt;=$D$2,((1+$CP$3)^4-1)*CV11,0)</f>
        <v/>
      </c>
      <c r="DG11" s="56">
        <f>IF(VALUE(MID(DG$5,6,1))&lt;=$D$2,((1+$CP$3)^5-1)*CW11,0)</f>
        <v/>
      </c>
      <c r="DH11" s="56">
        <f>IF(VALUE(MID(DH$5,6,1))&lt;=$D$2,((1+$CP$3)^6-1)*CX11,0)</f>
        <v/>
      </c>
      <c r="DI11" s="56">
        <f>IF(VALUE(MID(DI$5,6,1))&lt;=$D$2,((1+$CP$3)^7-1)*CY11,0)</f>
        <v/>
      </c>
      <c r="DJ11" s="56">
        <f>IF(VALUE(MID(DJ$5,6,1))&lt;=$D$2,((1+$CP$3)^8-1)*CZ11,0)</f>
        <v/>
      </c>
      <c r="DK11" s="56">
        <f>IF(VALUE(MID(DK$5,6,2))&lt;=$D$2,((1+$CP$3)^9-1)*DA11,0)</f>
        <v/>
      </c>
      <c r="DL11" s="57">
        <f>SUM(DB11:DK11)</f>
        <v/>
      </c>
      <c r="DM11" s="54">
        <f>SUM(DL11,CR11:DA11)</f>
        <v/>
      </c>
      <c r="DO11" s="106" t="n"/>
    </row>
    <row r="12">
      <c r="B12" s="141" t="inlineStr">
        <is>
          <t>Monthly F</t>
        </is>
      </c>
      <c r="C12" s="24" t="n">
        <v>1</v>
      </c>
      <c r="D12" s="147">
        <f>IFERROR(AVERAGE(C12:C12),0)</f>
        <v/>
      </c>
      <c r="E12" s="14" t="n">
        <v>0</v>
      </c>
      <c r="F12" s="14" t="n">
        <v>0</v>
      </c>
      <c r="G12" s="14" t="n">
        <v>0</v>
      </c>
      <c r="H12" s="14" t="n">
        <v>0</v>
      </c>
      <c r="I12" s="14" t="n">
        <v>0</v>
      </c>
      <c r="J12" s="14">
        <f t="array" ref="J12">IFERROR(_xlfn.IFS(VALUE(MID(J$5,6,1))&gt;$D$2,0,$B12="Annual",1,I12=12,12,$B12="Monthly V",I12*(1+$D$3),$B12="Monthly F",12,$B12="One-Time",0),I12*(1+$D$3))</f>
        <v/>
      </c>
      <c r="K12" s="14" t="n">
        <v>0</v>
      </c>
      <c r="L12" s="14" t="n">
        <v>0</v>
      </c>
      <c r="M12" s="14" t="n">
        <v>0</v>
      </c>
      <c r="N12" s="14" t="n">
        <v>0</v>
      </c>
      <c r="O12" s="127" t="inlineStr">
        <is>
          <t>Year 6 CORE PROCESSING (Bundle) - CPI Increase Begins</t>
        </is>
      </c>
      <c r="P12" s="13" t="inlineStr">
        <is>
          <t>HORIZON CORE ACCOUNT PROCESSING</t>
        </is>
      </c>
      <c r="Q12" s="20" t="n">
        <v>35000</v>
      </c>
      <c r="R12" s="21">
        <f>S12/12</f>
        <v/>
      </c>
      <c r="S12" s="6">
        <f>IFERROR($Q12*E12,0)</f>
        <v/>
      </c>
      <c r="T12" s="6">
        <f>IFERROR($Q12*F12,0)</f>
        <v/>
      </c>
      <c r="U12" s="6">
        <f>IFERROR($Q12*G12,0)</f>
        <v/>
      </c>
      <c r="V12" s="6">
        <f>IFERROR($Q12*H12,0)</f>
        <v/>
      </c>
      <c r="W12" s="6">
        <f>IFERROR($Q12*I12,0)</f>
        <v/>
      </c>
      <c r="X12" s="6">
        <f>IFERROR($Q12*J12,0)</f>
        <v/>
      </c>
      <c r="Y12" s="6">
        <f>IFERROR($Q12*K12,0)</f>
        <v/>
      </c>
      <c r="Z12" s="6">
        <f>IFERROR($Q12*L12,0)</f>
        <v/>
      </c>
      <c r="AA12" s="6">
        <f>IFERROR($Q12*M12,0)</f>
        <v/>
      </c>
      <c r="AB12" s="6">
        <f>IFERROR($Q12*N12,0)</f>
        <v/>
      </c>
      <c r="AC12" s="7" t="n"/>
      <c r="AD12" s="152">
        <f>IF(VALUE(MID(AD$5,6,1))&lt;=$D$2,((1+$Q$3)^1-1)*T12,0)</f>
        <v/>
      </c>
      <c r="AE12" s="152">
        <f>IF(VALUE(MID(AE$5,6,1))&lt;=$D$2,((1+$Q$3)^2-1)*U12,0)</f>
        <v/>
      </c>
      <c r="AF12" s="152">
        <f>IF(VALUE(MID(AF$5,6,1))&lt;=$D$2,((1+$Q$3)^3-1)*V12,0)</f>
        <v/>
      </c>
      <c r="AG12" s="152">
        <f>IF(VALUE(MID(AG$5,6,1))&lt;=$D$2,((1+$Q$3)^4-1)*W12,0)</f>
        <v/>
      </c>
      <c r="AH12" s="152">
        <f>IF(VALUE(MID(AH$5,6,1))&lt;=$D$2,((1+$Q$2)^1-1)*X12,0)</f>
        <v/>
      </c>
      <c r="AI12" s="152">
        <f>IF(VALUE(MID(AI$5,6,1))&lt;=$D$2,((1+$Q$3)^6-1)*Y12,0)</f>
        <v/>
      </c>
      <c r="AJ12" s="152">
        <f>IF(VALUE(MID(AJ$5,6,1))&lt;=$D$2,((1+$Q$3)^7-1)*Z12,0)</f>
        <v/>
      </c>
      <c r="AK12" s="152">
        <f>IF(VALUE(MID(AK$5,6,1))&lt;=$D$2,((1+$Q$3)^8-1)*AA12,0)</f>
        <v/>
      </c>
      <c r="AL12" s="152">
        <f>IF(VALUE(MID(AL$5,6,2))&lt;=$D$2,((1+$Q$3)^9-1)*AB12,0)</f>
        <v/>
      </c>
      <c r="AM12" s="9">
        <f>SUM(AC12:AL12)</f>
        <v/>
      </c>
      <c r="AN12" s="80">
        <f>SUM(AM12,S12:AB12)</f>
        <v/>
      </c>
      <c r="AP12" s="102" t="inlineStr">
        <is>
          <t>Monthly V</t>
        </is>
      </c>
      <c r="AQ12" s="12" t="n">
        <v>5000</v>
      </c>
      <c r="AR12" s="14">
        <f>IF($AP12="Annual",1,IF($AP12="Monthly F",12,IF($AP12="Monthly V",AQ12*12,IF($AP12="One-Time",1,AQ12*12))))</f>
        <v/>
      </c>
      <c r="AS12" s="14">
        <f t="array" ref="AS12">IFERROR(_xlfn.IFS(VALUE(MID(AS$5,6,1))&gt;$D$2,0,$AP12="Annual",1,AR12=12,12,$AP12="Monthly V",AR12*(1+$BD$2),$AP12="Monthly F",12,$AP12="One-Time",0),AR12*(1+$BD$2))</f>
        <v/>
      </c>
      <c r="AT12" s="14">
        <f t="array" ref="AT12">IFERROR(_xlfn.IFS(VALUE(MID(AT$5,6,1))&gt;$D$2,0,$AP12="Annual",1,AS12=12,12,$AP12="Monthly V",AS12*(1+$BD$2),$AP12="Monthly F",12,$AP12="One-Time",0),AS12*(1+$BD$2))</f>
        <v/>
      </c>
      <c r="AU12" s="14">
        <f t="array" ref="AU12">IFERROR(_xlfn.IFS(VALUE(MID(AU$5,6,1))&gt;$D$2,0,$AP12="Annual",1,AT12=12,12,$AP12="Monthly V",AT12*(1+$BD$2),$AP12="Monthly F",12,$AP12="One-Time",0),AT12*(1+$BD$2))</f>
        <v/>
      </c>
      <c r="AV12" s="14">
        <f t="array" ref="AV12">IFERROR(_xlfn.IFS(VALUE(MID(AV$5,6,1))&gt;$D$2,0,$AP12="Annual",1,AU12=12,12,$AP12="Monthly V",AU12*(1+$BD$2),$AP12="Monthly F",12,$AP12="One-Time",0),AU12*(1+$BD$2))</f>
        <v/>
      </c>
      <c r="AW12" s="14">
        <f t="array" ref="AW12">IFERROR(_xlfn.IFS(VALUE(MID(AW$5,6,1))&gt;$D$2,0,$AP12="Annual",1,AV12=12,12,$AP12="Monthly V",AV12*(1+$BD$2),$AP12="Monthly F",12,$AP12="One-Time",0),AV12*(1+$BD$2))</f>
        <v/>
      </c>
      <c r="AX12" s="14">
        <f t="array" ref="AX12">IFERROR(_xlfn.IFS(VALUE(MID(AX$5,6,1))&gt;$D$2,0,$AP12="Annual",1,AW12=12,12,$AP12="Monthly V",AW12*(1+$BD$2),$AP12="Monthly F",12,$AP12="One-Time",0),AW12*(1+$BD$2))</f>
        <v/>
      </c>
      <c r="AY12" s="14">
        <f t="array" ref="AY12">IFERROR(_xlfn.IFS(VALUE(MID(AY$5,6,1))&gt;$D$2,0,$AP12="Annual",1,AX12=12,12,$AP12="Monthly V",AX12*(1+$D$3),$AP12="Monthly F",12,$AP12="One-Time",0),AX12*(1+$D$3))</f>
        <v/>
      </c>
      <c r="AZ12" s="14">
        <f t="array" ref="AZ12">IFERROR(_xlfn.IFS(VALUE(MID(AZ$5,6,1))&gt;$D$2,0,$AP12="Annual",1,AY12=12,12,$AP12="Monthly V",AY12*(1+$D$3),$AP12="Monthly F",12,$AP12="One-Time",0),AY12*(1+$D$3))</f>
        <v/>
      </c>
      <c r="BA12" s="125">
        <f t="array" ref="BA12">IFERROR(_xlfn.IFS(VALUE(MID(BA$5,6,2))&gt;$D$2,0,$AP12="Annual",1,AZ12=12,12,$AP12="Monthly V",AZ12*(1+$D$3),$AP12="Monthly F",12,$AP12="One-Time",0),AZ12*(1+$D$3))</f>
        <v/>
      </c>
      <c r="BB12" s="148" t="inlineStr">
        <is>
          <t>Teller Cash Recycler</t>
        </is>
      </c>
      <c r="BC12" s="38" t="inlineStr">
        <is>
          <t>Teller</t>
        </is>
      </c>
      <c r="BD12" s="36" t="n">
        <v>0.03</v>
      </c>
      <c r="BE12" s="21">
        <f>BF12/12</f>
        <v/>
      </c>
      <c r="BF12" s="39">
        <f>IFERROR(AR12*$BD12,0)</f>
        <v/>
      </c>
      <c r="BG12" s="39">
        <f>IFERROR(AS12*$BD12,0)</f>
        <v/>
      </c>
      <c r="BH12" s="39">
        <f>IFERROR(AT12*$BD12,0)</f>
        <v/>
      </c>
      <c r="BI12" s="39">
        <f>BH12*1.03</f>
        <v/>
      </c>
      <c r="BJ12" s="39">
        <f>BI12*1.03</f>
        <v/>
      </c>
      <c r="BK12" s="39">
        <f>BJ12*1.03</f>
        <v/>
      </c>
      <c r="BL12" s="39">
        <f>BK12*1.03</f>
        <v/>
      </c>
      <c r="BM12" s="39">
        <f>IFERROR(AY12*$BD12,0)</f>
        <v/>
      </c>
      <c r="BN12" s="39">
        <f>IFERROR(AZ12*$BD12,0)</f>
        <v/>
      </c>
      <c r="BO12" s="39">
        <f>IFERROR(BA12*$BD12,0)</f>
        <v/>
      </c>
      <c r="BP12" s="40" t="n"/>
      <c r="BQ12" s="40">
        <f>IF(VALUE(MID(BQ$5,6,1))&lt;=$D$2,((1+$BD$3)^1-1)*BG12,0)</f>
        <v/>
      </c>
      <c r="BR12" s="40">
        <f>IF(VALUE(MID(BR$5,6,1))&lt;=$D$2,((1+$BD$3)^2-1)*BH12,0)</f>
        <v/>
      </c>
      <c r="BS12" s="40">
        <f>IF(VALUE(MID(BS$5,6,1))&lt;=$D$2,((1+$BD$3)^3-1)*BI12,0)</f>
        <v/>
      </c>
      <c r="BT12" s="40">
        <f>IF(VALUE(MID(BT$5,6,1))&lt;=$D$2,((1+$BD$3)^4-1)*BJ12,0)</f>
        <v/>
      </c>
      <c r="BU12" s="40">
        <f>IF(VALUE(MID(BU$5,6,1))&lt;=$D$2,((1+$BD$3)^5-1)*BK12,0)</f>
        <v/>
      </c>
      <c r="BV12" s="40">
        <f>IF(VALUE(MID(BV$5,6,1))&lt;=$D$2,((1+$BD$3)^6-1)*BL12,0)</f>
        <v/>
      </c>
      <c r="BW12" s="40">
        <f>IF(VALUE(MID(BW$5,6,1))&lt;=$D$2,((1+$BD$3)^7-1)*BM12,0)</f>
        <v/>
      </c>
      <c r="BX12" s="40">
        <f>IF(VALUE(MID(BX$5,6,1))&lt;=$D$2,((1+$BD$3)^8-1)*BN12,0)</f>
        <v/>
      </c>
      <c r="BY12" s="40">
        <f>IF(VALUE(MID(BY$5,6,2))&lt;=$D$2,((1+$BD$3)^9-1)*BO12,0)</f>
        <v/>
      </c>
      <c r="BZ12" s="40">
        <f>SUM(BP12:BY12)</f>
        <v/>
      </c>
      <c r="CA12" s="37">
        <f>SUM(BZ12,BF12:BO12)</f>
        <v/>
      </c>
      <c r="CC12" s="102" t="n"/>
      <c r="CD12" s="12" t="n"/>
      <c r="CE12" s="14">
        <f>IF($CC12="Annual",1,IF($CC12="Monthly F",12,IF($CC12="Monthly V",CD12*12,IF($CC12="One-Time",1,CD12*12))))</f>
        <v/>
      </c>
      <c r="CF12" s="14">
        <f t="array" ref="CF12">IFERROR(_xlfn.IFS(VALUE(MID(CF$5,6,1))&gt;$D$2,0,$CC12="Annual",1,CE12=12,12,$CC12="Monthly V",CE12*(1+$D$3),$CC12="Monthly F",12,$CC12="One-Time",0),CE12*(1+$D$3))</f>
        <v/>
      </c>
      <c r="CG12" s="14">
        <f t="array" ref="CG12">IFERROR(_xlfn.IFS(VALUE(MID(CG$5,6,1))&gt;$D$2,0,$CC12="Annual",1,CF12=12,12,$CC12="Monthly V",CF12*(1+$D$3),$CC12="Monthly F",12,$CC12="One-Time",0),CF12*(1+$D$3))</f>
        <v/>
      </c>
      <c r="CH12" s="14">
        <f t="array" ref="CH12">IFERROR(_xlfn.IFS(VALUE(MID(CH$5,6,1))&gt;$D$2,0,$CC12="Annual",1,CG12=12,12,$CC12="Monthly V",CG12*(1+$D$3),$CC12="Monthly F",12,$CC12="One-Time",0),CG12*(1+$D$3))</f>
        <v/>
      </c>
      <c r="CI12" s="14">
        <f t="array" ref="CI12">IFERROR(_xlfn.IFS(VALUE(MID(CI$5,6,1))&gt;$D$2,0,$CC12="Annual",1,CH12=12,12,$CC12="Monthly V",CH12*(1+$D$3),$CC12="Monthly F",12,$CC12="One-Time",0),CH12*(1+$D$3))</f>
        <v/>
      </c>
      <c r="CJ12" s="14">
        <f t="array" ref="CJ12">IFERROR(_xlfn.IFS(VALUE(MID(CJ$5,6,1))&gt;$D$2,0,$CC12="Annual",1,CI12=12,12,$CC12="Monthly V",CI12*(1+$D$3),$CC12="Monthly F",12,$CC12="One-Time",0),CI12*(1+$D$3))</f>
        <v/>
      </c>
      <c r="CK12" s="14">
        <f t="array" ref="CK12">IFERROR(_xlfn.IFS(VALUE(MID(CK$5,6,1))&gt;$D$2,0,$CC12="Annual",1,CJ12=12,12,$CC12="Monthly V",CJ12*(1+$D$3),$CC12="Monthly F",12,$CC12="One-Time",0),CJ12*(1+$D$3))</f>
        <v/>
      </c>
      <c r="CL12" s="14">
        <f t="array" ref="CL12">IFERROR(_xlfn.IFS(VALUE(MID(CL$5,6,1))&gt;$D$2,0,$CC12="Annual",1,CK12=12,12,$CC12="Monthly V",CK12*(1+$D$3),$CC12="Monthly F",12,$CC12="One-Time",0),CK12*(1+$D$3))</f>
        <v/>
      </c>
      <c r="CM12" s="14">
        <f t="array" ref="CM12">IFERROR(_xlfn.IFS(VALUE(MID(CM$5,6,1))&gt;$D$2,0,$CC12="Annual",1,CL12=12,12,$CC12="Monthly V",CL12*(1+$D$3),$CC12="Monthly F",12,$CC12="One-Time",0),CL12*(1+$D$3))</f>
        <v/>
      </c>
      <c r="CN12" s="24">
        <f t="array" ref="CN12">IFERROR(_xlfn.IFS(VALUE(MID(CN$5,6,2))&gt;$D$2,0,$CC12="Annual",1,CM12=12,12,$CC12="Monthly V",CM12*(1+$D$3),$CC12="Monthly F",12,$CC12="One-Time",0),CM12*(1+$D$3))</f>
        <v/>
      </c>
      <c r="CO12" s="63" t="n"/>
      <c r="CP12" s="53" t="n"/>
      <c r="CQ12" s="21">
        <f>CR12/12</f>
        <v/>
      </c>
      <c r="CR12" s="55">
        <f>IFERROR(CE12*$CP12,0)</f>
        <v/>
      </c>
      <c r="CS12" s="55">
        <f>IFERROR(CF12*$CP12,0)</f>
        <v/>
      </c>
      <c r="CT12" s="55">
        <f>IFERROR(CG12*$CP12,0)</f>
        <v/>
      </c>
      <c r="CU12" s="55">
        <f>IFERROR(CH12*$CP12,0)</f>
        <v/>
      </c>
      <c r="CV12" s="55">
        <f>IFERROR(CI12*$CP12,0)</f>
        <v/>
      </c>
      <c r="CW12" s="55">
        <f>IFERROR(CJ12*$CP12,0)</f>
        <v/>
      </c>
      <c r="CX12" s="55">
        <f>IFERROR(CK12*$CP12,0)</f>
        <v/>
      </c>
      <c r="CY12" s="55">
        <f>IFERROR(CL12*$CP12,0)</f>
        <v/>
      </c>
      <c r="CZ12" s="55">
        <f>IFERROR(CM12*$CP12,0)</f>
        <v/>
      </c>
      <c r="DA12" s="55">
        <f>IFERROR(CN12*$CP12,0)</f>
        <v/>
      </c>
      <c r="DB12" s="56" t="n"/>
      <c r="DC12" s="56">
        <f>IF(VALUE(MID(DC$5,6,1))&lt;=$D$2,((1+$CP$3)^1-1)*CS12,0)</f>
        <v/>
      </c>
      <c r="DD12" s="56">
        <f>IF(VALUE(MID(DD$5,6,1))&lt;=$D$2,((1+$CP$3)^2-1)*CT12,0)</f>
        <v/>
      </c>
      <c r="DE12" s="56">
        <f>IF(VALUE(MID(DE$5,6,1))&lt;=$D$2,((1+$CP$3)^3-1)*CU12,0)</f>
        <v/>
      </c>
      <c r="DF12" s="56">
        <f>IF(VALUE(MID(DF$5,6,1))&lt;=$D$2,((1+$CP$3)^4-1)*CV12,0)</f>
        <v/>
      </c>
      <c r="DG12" s="56">
        <f>IF(VALUE(MID(DG$5,6,1))&lt;=$D$2,((1+$CP$3)^5-1)*CW12,0)</f>
        <v/>
      </c>
      <c r="DH12" s="56">
        <f>IF(VALUE(MID(DH$5,6,1))&lt;=$D$2,((1+$CP$3)^6-1)*CX12,0)</f>
        <v/>
      </c>
      <c r="DI12" s="56">
        <f>IF(VALUE(MID(DI$5,6,1))&lt;=$D$2,((1+$CP$3)^7-1)*CY12,0)</f>
        <v/>
      </c>
      <c r="DJ12" s="56">
        <f>IF(VALUE(MID(DJ$5,6,1))&lt;=$D$2,((1+$CP$3)^8-1)*CZ12,0)</f>
        <v/>
      </c>
      <c r="DK12" s="56">
        <f>IF(VALUE(MID(DK$5,6,2))&lt;=$D$2,((1+$CP$3)^9-1)*DA12,0)</f>
        <v/>
      </c>
      <c r="DL12" s="57">
        <f>SUM(DB12:DK12)</f>
        <v/>
      </c>
      <c r="DM12" s="54">
        <f>SUM(DL12,CR12:DA12)</f>
        <v/>
      </c>
      <c r="DO12" s="106" t="n"/>
    </row>
    <row r="13">
      <c r="B13" s="141" t="inlineStr">
        <is>
          <t>Monthly F</t>
        </is>
      </c>
      <c r="C13" s="24" t="n">
        <v>1</v>
      </c>
      <c r="D13" s="147">
        <f>IFERROR(AVERAGE(C13:C13),0)</f>
        <v/>
      </c>
      <c r="E13" s="14" t="n">
        <v>0</v>
      </c>
      <c r="F13" s="14" t="n">
        <v>0</v>
      </c>
      <c r="G13" s="14" t="n">
        <v>0</v>
      </c>
      <c r="H13" s="14" t="n">
        <v>0</v>
      </c>
      <c r="I13" s="14" t="n">
        <v>0</v>
      </c>
      <c r="J13" s="14" t="n">
        <v>0</v>
      </c>
      <c r="K13" s="14">
        <f t="array" ref="K13">IFERROR(_xlfn.IFS(VALUE(MID(K$5,6,1))&gt;$D$2,0,$B13="Annual",1,J13=12,12,$B13="Monthly V",J13*(1+$D$3),$B13="Monthly F",12,$B13="One-Time",0),J13*(1+$D$3))</f>
        <v/>
      </c>
      <c r="L13" s="14" t="n">
        <v>0</v>
      </c>
      <c r="M13" s="14" t="n">
        <v>0</v>
      </c>
      <c r="N13" s="24" t="n">
        <v>0</v>
      </c>
      <c r="O13" s="127" t="inlineStr">
        <is>
          <t>Year 7 CORE PROCESSING (Bundle) - CPI Increase</t>
        </is>
      </c>
      <c r="P13" s="13" t="inlineStr">
        <is>
          <t>HORIZON CORE ACCOUNT PROCESSING</t>
        </is>
      </c>
      <c r="Q13" s="20" t="n">
        <v>35000</v>
      </c>
      <c r="R13" s="21">
        <f>S13/12</f>
        <v/>
      </c>
      <c r="S13" s="6">
        <f>IFERROR($Q13*E13,0)</f>
        <v/>
      </c>
      <c r="T13" s="6">
        <f>IFERROR($Q13*F13,0)</f>
        <v/>
      </c>
      <c r="U13" s="6">
        <f>IFERROR($Q13*G13,0)</f>
        <v/>
      </c>
      <c r="V13" s="6">
        <f>IFERROR($Q13*H13,0)</f>
        <v/>
      </c>
      <c r="W13" s="6">
        <f>IFERROR($Q13*I13,0)</f>
        <v/>
      </c>
      <c r="X13" s="6">
        <f>IFERROR($Q13*J13,0)</f>
        <v/>
      </c>
      <c r="Y13" s="6">
        <f>IFERROR($Q13*K13,0)</f>
        <v/>
      </c>
      <c r="Z13" s="6">
        <f>IFERROR($Q13*L13,0)</f>
        <v/>
      </c>
      <c r="AA13" s="6">
        <f>IFERROR($Q13*M13,0)</f>
        <v/>
      </c>
      <c r="AB13" s="6">
        <f>IFERROR($Q13*N13,0)</f>
        <v/>
      </c>
      <c r="AC13" s="7" t="n"/>
      <c r="AD13" s="152">
        <f>IF(VALUE(MID(AD$5,6,1))&lt;=$D$2,((1+$Q$3)^1-1)*T13,0)</f>
        <v/>
      </c>
      <c r="AE13" s="152">
        <f>IF(VALUE(MID(AE$5,6,1))&lt;=$D$2,((1+$Q$3)^2-1)*U13,0)</f>
        <v/>
      </c>
      <c r="AF13" s="152">
        <f>IF(VALUE(MID(AF$5,6,1))&lt;=$D$2,((1+$Q$3)^3-1)*V13,0)</f>
        <v/>
      </c>
      <c r="AG13" s="152">
        <f>IF(VALUE(MID(AG$5,6,1))&lt;=$D$2,((1+$Q$3)^4-1)*W13,0)</f>
        <v/>
      </c>
      <c r="AH13" s="152">
        <f>IF(VALUE(MID(AH$5,6,1))&lt;=$D$2,((1+$Q$2)^1-1)*X13,0)</f>
        <v/>
      </c>
      <c r="AI13" s="152">
        <f>IF(VALUE(MID(AI$5,6,1))&lt;=$D$2,((1+$Q$2)^1-1)*Y13,0)</f>
        <v/>
      </c>
      <c r="AJ13" s="152">
        <f>IF(VALUE(MID(AJ$5,6,1))&lt;=$D$2,((1+$Q$3)^7-1)*Z13,0)</f>
        <v/>
      </c>
      <c r="AK13" s="152">
        <f>IF(VALUE(MID(AK$5,6,1))&lt;=$D$2,((1+$Q$3)^8-1)*AA13,0)</f>
        <v/>
      </c>
      <c r="AL13" s="152">
        <f>IF(VALUE(MID(AL$5,6,2))&lt;=$D$2,((1+$Q$3)^9-1)*AB13,0)</f>
        <v/>
      </c>
      <c r="AM13" s="9">
        <f>SUM(AC13:AL13)</f>
        <v/>
      </c>
      <c r="AN13" s="80">
        <f>SUM(AM13,S13:AB13)</f>
        <v/>
      </c>
      <c r="AP13" s="102" t="inlineStr">
        <is>
          <t>Monthly V</t>
        </is>
      </c>
      <c r="AQ13" s="12" t="n">
        <v>5000</v>
      </c>
      <c r="AR13" s="14">
        <f>IF($AP13="Annual",1,IF($AP13="Monthly F",12,IF($AP13="Monthly V",AQ13*12,IF($AP13="One-Time",1,AQ13*12))))</f>
        <v/>
      </c>
      <c r="AS13" s="14">
        <f t="array" ref="AS13">IFERROR(_xlfn.IFS(VALUE(MID(AS$5,6,1))&gt;$D$2,0,$AP13="Annual",1,AR13=12,12,$AP13="Monthly V",AR13*(1+$BD$2),$AP13="Monthly F",12,$AP13="One-Time",0),AR13*(1+$BD$2))</f>
        <v/>
      </c>
      <c r="AT13" s="14">
        <f t="array" ref="AT13">IFERROR(_xlfn.IFS(VALUE(MID(AT$5,6,1))&gt;$D$2,0,$AP13="Annual",1,AS13=12,12,$AP13="Monthly V",AS13*(1+$BD$2),$AP13="Monthly F",12,$AP13="One-Time",0),AS13*(1+$BD$2))</f>
        <v/>
      </c>
      <c r="AU13" s="14">
        <f t="array" ref="AU13">IFERROR(_xlfn.IFS(VALUE(MID(AU$5,6,1))&gt;$D$2,0,$AP13="Annual",1,AT13=12,12,$AP13="Monthly V",AT13*(1+$BD$2),$AP13="Monthly F",12,$AP13="One-Time",0),AT13*(1+$BD$2))</f>
        <v/>
      </c>
      <c r="AV13" s="14">
        <f t="array" ref="AV13">IFERROR(_xlfn.IFS(VALUE(MID(AV$5,6,1))&gt;$D$2,0,$AP13="Annual",1,AU13=12,12,$AP13="Monthly V",AU13*(1+$BD$2),$AP13="Monthly F",12,$AP13="One-Time",0),AU13*(1+$BD$2))</f>
        <v/>
      </c>
      <c r="AW13" s="14">
        <f t="array" ref="AW13">IFERROR(_xlfn.IFS(VALUE(MID(AW$5,6,1))&gt;$D$2,0,$AP13="Annual",1,AV13=12,12,$AP13="Monthly V",AV13*(1+$BD$2),$AP13="Monthly F",12,$AP13="One-Time",0),AV13*(1+$BD$2))</f>
        <v/>
      </c>
      <c r="AX13" s="14">
        <f t="array" ref="AX13">IFERROR(_xlfn.IFS(VALUE(MID(AX$5,6,1))&gt;$D$2,0,$AP13="Annual",1,AW13=12,12,$AP13="Monthly V",AW13*(1+$BD$2),$AP13="Monthly F",12,$AP13="One-Time",0),AW13*(1+$BD$2))</f>
        <v/>
      </c>
      <c r="AY13" s="14">
        <f t="array" ref="AY13">IFERROR(_xlfn.IFS(VALUE(MID(AY$5,6,1))&gt;$D$2,0,$AP13="Annual",1,AX13=12,12,$AP13="Monthly V",AX13*(1+$D$3),$AP13="Monthly F",12,$AP13="One-Time",0),AX13*(1+$D$3))</f>
        <v/>
      </c>
      <c r="AZ13" s="14">
        <f t="array" ref="AZ13">IFERROR(_xlfn.IFS(VALUE(MID(AZ$5,6,1))&gt;$D$2,0,$AP13="Annual",1,AY13=12,12,$AP13="Monthly V",AY13*(1+$D$3),$AP13="Monthly F",12,$AP13="One-Time",0),AY13*(1+$D$3))</f>
        <v/>
      </c>
      <c r="BA13" s="125">
        <f t="array" ref="BA13">IFERROR(_xlfn.IFS(VALUE(MID(BA$5,6,2))&gt;$D$2,0,$AP13="Annual",1,AZ13=12,12,$AP13="Monthly V",AZ13*(1+$D$3),$AP13="Monthly F",12,$AP13="One-Time",0),AZ13*(1+$D$3))</f>
        <v/>
      </c>
      <c r="BB13" s="148" t="inlineStr">
        <is>
          <t>Teller CheckMaster Plus</t>
        </is>
      </c>
      <c r="BC13" s="38" t="inlineStr">
        <is>
          <t>Teller</t>
        </is>
      </c>
      <c r="BD13" s="36" t="n">
        <v>0.0135</v>
      </c>
      <c r="BE13" s="21">
        <f>BF13/12</f>
        <v/>
      </c>
      <c r="BF13" s="39">
        <f>IFERROR(AR13*$BD13,0)</f>
        <v/>
      </c>
      <c r="BG13" s="39">
        <f>IFERROR(AS13*$BD13,0)</f>
        <v/>
      </c>
      <c r="BH13" s="39">
        <f>IFERROR(AT13*$BD13,0)</f>
        <v/>
      </c>
      <c r="BI13" s="39">
        <f>BH13*1.03</f>
        <v/>
      </c>
      <c r="BJ13" s="39">
        <f>BI13*1.03</f>
        <v/>
      </c>
      <c r="BK13" s="39">
        <f>BJ13*1.03</f>
        <v/>
      </c>
      <c r="BL13" s="39">
        <f>BK13*1.03</f>
        <v/>
      </c>
      <c r="BM13" s="39">
        <f>IFERROR(AY13*$BD13,0)</f>
        <v/>
      </c>
      <c r="BN13" s="39">
        <f>IFERROR(AZ13*$BD13,0)</f>
        <v/>
      </c>
      <c r="BO13" s="39">
        <f>IFERROR(BA13*$BD13,0)</f>
        <v/>
      </c>
      <c r="BP13" s="40" t="n"/>
      <c r="BQ13" s="40">
        <f>IF(VALUE(MID(BQ$5,6,1))&lt;=$D$2,((1+$BD$3)^1-1)*BG13,0)</f>
        <v/>
      </c>
      <c r="BR13" s="40">
        <f>IF(VALUE(MID(BR$5,6,1))&lt;=$D$2,((1+$BD$3)^2-1)*BH13,0)</f>
        <v/>
      </c>
      <c r="BS13" s="40">
        <f>IF(VALUE(MID(BS$5,6,1))&lt;=$D$2,((1+$BD$3)^3-1)*BI13,0)</f>
        <v/>
      </c>
      <c r="BT13" s="40">
        <f>IF(VALUE(MID(BT$5,6,1))&lt;=$D$2,((1+$BD$3)^4-1)*BJ13,0)</f>
        <v/>
      </c>
      <c r="BU13" s="40">
        <f>IF(VALUE(MID(BU$5,6,1))&lt;=$D$2,((1+$BD$3)^5-1)*BK13,0)</f>
        <v/>
      </c>
      <c r="BV13" s="40">
        <f>IF(VALUE(MID(BV$5,6,1))&lt;=$D$2,((1+$BD$3)^6-1)*BL13,0)</f>
        <v/>
      </c>
      <c r="BW13" s="40">
        <f>IF(VALUE(MID(BW$5,6,1))&lt;=$D$2,((1+$BD$3)^7-1)*BM13,0)</f>
        <v/>
      </c>
      <c r="BX13" s="40">
        <f>IF(VALUE(MID(BX$5,6,1))&lt;=$D$2,((1+$BD$3)^8-1)*BN13,0)</f>
        <v/>
      </c>
      <c r="BY13" s="40">
        <f>IF(VALUE(MID(BY$5,6,2))&lt;=$D$2,((1+$BD$3)^9-1)*BO13,0)</f>
        <v/>
      </c>
      <c r="BZ13" s="40">
        <f>SUM(BP13:BY13)</f>
        <v/>
      </c>
      <c r="CA13" s="37">
        <f>SUM(BZ13,BF13:BO13)</f>
        <v/>
      </c>
      <c r="CC13" s="102" t="n"/>
      <c r="CD13" s="12" t="n"/>
      <c r="CE13" s="14">
        <f>IF($CC13="Annual",1,IF($CC13="Monthly F",12,IF($CC13="Monthly V",CD13*12,IF($CC13="One-Time",1,CD13*12))))</f>
        <v/>
      </c>
      <c r="CF13" s="14">
        <f t="array" ref="CF13">IFERROR(_xlfn.IFS(VALUE(MID(CF$5,6,1))&gt;$D$2,0,$CC13="Annual",1,CE13=12,12,$CC13="Monthly V",CE13*(1+$D$3),$CC13="Monthly F",12,$CC13="One-Time",0),CE13*(1+$D$3))</f>
        <v/>
      </c>
      <c r="CG13" s="14">
        <f t="array" ref="CG13">IFERROR(_xlfn.IFS(VALUE(MID(CG$5,6,1))&gt;$D$2,0,$CC13="Annual",1,CF13=12,12,$CC13="Monthly V",CF13*(1+$D$3),$CC13="Monthly F",12,$CC13="One-Time",0),CF13*(1+$D$3))</f>
        <v/>
      </c>
      <c r="CH13" s="14">
        <f t="array" ref="CH13">IFERROR(_xlfn.IFS(VALUE(MID(CH$5,6,1))&gt;$D$2,0,$CC13="Annual",1,CG13=12,12,$CC13="Monthly V",CG13*(1+$D$3),$CC13="Monthly F",12,$CC13="One-Time",0),CG13*(1+$D$3))</f>
        <v/>
      </c>
      <c r="CI13" s="14">
        <f t="array" ref="CI13">IFERROR(_xlfn.IFS(VALUE(MID(CI$5,6,1))&gt;$D$2,0,$CC13="Annual",1,CH13=12,12,$CC13="Monthly V",CH13*(1+$D$3),$CC13="Monthly F",12,$CC13="One-Time",0),CH13*(1+$D$3))</f>
        <v/>
      </c>
      <c r="CJ13" s="14">
        <f t="array" ref="CJ13">IFERROR(_xlfn.IFS(VALUE(MID(CJ$5,6,1))&gt;$D$2,0,$CC13="Annual",1,CI13=12,12,$CC13="Monthly V",CI13*(1+$D$3),$CC13="Monthly F",12,$CC13="One-Time",0),CI13*(1+$D$3))</f>
        <v/>
      </c>
      <c r="CK13" s="14">
        <f t="array" ref="CK13">IFERROR(_xlfn.IFS(VALUE(MID(CK$5,6,1))&gt;$D$2,0,$CC13="Annual",1,CJ13=12,12,$CC13="Monthly V",CJ13*(1+$D$3),$CC13="Monthly F",12,$CC13="One-Time",0),CJ13*(1+$D$3))</f>
        <v/>
      </c>
      <c r="CL13" s="14">
        <f t="array" ref="CL13">IFERROR(_xlfn.IFS(VALUE(MID(CL$5,6,1))&gt;$D$2,0,$CC13="Annual",1,CK13=12,12,$CC13="Monthly V",CK13*(1+$D$3),$CC13="Monthly F",12,$CC13="One-Time",0),CK13*(1+$D$3))</f>
        <v/>
      </c>
      <c r="CM13" s="14">
        <f t="array" ref="CM13">IFERROR(_xlfn.IFS(VALUE(MID(CM$5,6,1))&gt;$D$2,0,$CC13="Annual",1,CL13=12,12,$CC13="Monthly V",CL13*(1+$D$3),$CC13="Monthly F",12,$CC13="One-Time",0),CL13*(1+$D$3))</f>
        <v/>
      </c>
      <c r="CN13" s="24">
        <f t="array" ref="CN13">IFERROR(_xlfn.IFS(VALUE(MID(CN$5,6,2))&gt;$D$2,0,$CC13="Annual",1,CM13=12,12,$CC13="Monthly V",CM13*(1+$D$3),$CC13="Monthly F",12,$CC13="One-Time",0),CM13*(1+$D$3))</f>
        <v/>
      </c>
      <c r="CO13" s="63" t="n"/>
      <c r="CP13" s="53" t="n"/>
      <c r="CQ13" s="21">
        <f>CR13/12</f>
        <v/>
      </c>
      <c r="CR13" s="55">
        <f>IFERROR(CE13*$CP13,0)</f>
        <v/>
      </c>
      <c r="CS13" s="55">
        <f>IFERROR(CF13*$CP13,0)</f>
        <v/>
      </c>
      <c r="CT13" s="55">
        <f>IFERROR(CG13*$CP13,0)</f>
        <v/>
      </c>
      <c r="CU13" s="55">
        <f>IFERROR(CH13*$CP13,0)</f>
        <v/>
      </c>
      <c r="CV13" s="55">
        <f>IFERROR(CI13*$CP13,0)</f>
        <v/>
      </c>
      <c r="CW13" s="55">
        <f>IFERROR(CJ13*$CP13,0)</f>
        <v/>
      </c>
      <c r="CX13" s="55">
        <f>IFERROR(CK13*$CP13,0)</f>
        <v/>
      </c>
      <c r="CY13" s="55">
        <f>IFERROR(CL13*$CP13,0)</f>
        <v/>
      </c>
      <c r="CZ13" s="55">
        <f>IFERROR(CM13*$CP13,0)</f>
        <v/>
      </c>
      <c r="DA13" s="55">
        <f>IFERROR(CN13*$CP13,0)</f>
        <v/>
      </c>
      <c r="DB13" s="56" t="n"/>
      <c r="DC13" s="56">
        <f>IF(VALUE(MID(DC$5,6,1))&lt;=$D$2,((1+$CP$3)^1-1)*CS13,0)</f>
        <v/>
      </c>
      <c r="DD13" s="56">
        <f>IF(VALUE(MID(DD$5,6,1))&lt;=$D$2,((1+$CP$3)^2-1)*CT13,0)</f>
        <v/>
      </c>
      <c r="DE13" s="56">
        <f>IF(VALUE(MID(DE$5,6,1))&lt;=$D$2,((1+$CP$3)^3-1)*CU13,0)</f>
        <v/>
      </c>
      <c r="DF13" s="56">
        <f>IF(VALUE(MID(DF$5,6,1))&lt;=$D$2,((1+$CP$3)^4-1)*CV13,0)</f>
        <v/>
      </c>
      <c r="DG13" s="56">
        <f>IF(VALUE(MID(DG$5,6,1))&lt;=$D$2,((1+$CP$3)^5-1)*CW13,0)</f>
        <v/>
      </c>
      <c r="DH13" s="56">
        <f>IF(VALUE(MID(DH$5,6,1))&lt;=$D$2,((1+$CP$3)^6-1)*CX13,0)</f>
        <v/>
      </c>
      <c r="DI13" s="56">
        <f>IF(VALUE(MID(DI$5,6,1))&lt;=$D$2,((1+$CP$3)^7-1)*CY13,0)</f>
        <v/>
      </c>
      <c r="DJ13" s="56">
        <f>IF(VALUE(MID(DJ$5,6,1))&lt;=$D$2,((1+$CP$3)^8-1)*CZ13,0)</f>
        <v/>
      </c>
      <c r="DK13" s="56">
        <f>IF(VALUE(MID(DK$5,6,2))&lt;=$D$2,((1+$CP$3)^9-1)*DA13,0)</f>
        <v/>
      </c>
      <c r="DL13" s="57">
        <f>SUM(DB13:DK13)</f>
        <v/>
      </c>
      <c r="DM13" s="54">
        <f>SUM(DL13,CR13:DA13)</f>
        <v/>
      </c>
      <c r="DO13" s="106" t="n"/>
    </row>
    <row r="14">
      <c r="B14" s="141" t="n"/>
      <c r="C14" s="24" t="n"/>
      <c r="D14" s="147">
        <f>IFERROR(AVERAGE(C14:C14),0)</f>
        <v/>
      </c>
      <c r="E14" s="142">
        <f>IF($B14="Annual",1,IF($B14="Monthly F",12,IF($B14="Monthly V",D14*12,IF($B14="One-Time",1,D14*12))))</f>
        <v/>
      </c>
      <c r="F14" s="14">
        <f t="array" ref="F14">IFERROR(_xlfn.IFS(VALUE(MID(F$5,6,1))&gt;$D$2,0,$B14="Annual",1,E14=12,12,$B14="Monthly V",E14*(1+$D$3),$B14="Monthly F",12,$B14="One-Time",0),E14*(1+$D$3))</f>
        <v/>
      </c>
      <c r="G14" s="14">
        <f t="array" ref="G14">IFERROR(_xlfn.IFS(VALUE(MID(G$5,6,1))&gt;$D$2,0,$B14="Annual",1,F14=12,12,$B14="Monthly V",F14*(1+$D$3),$B14="Monthly F",12,$B14="One-Time",0),F14*(1+$D$3))</f>
        <v/>
      </c>
      <c r="H14" s="14">
        <f t="array" ref="H14">IFERROR(_xlfn.IFS(VALUE(MID(H$5,6,1))&gt;$D$2,0,$B14="Annual",1,G14=12,12,$B14="Monthly V",G14*(1+$D$3),$B14="Monthly F",12,$B14="One-Time",0),G14*(1+$D$3))</f>
        <v/>
      </c>
      <c r="I14" s="14">
        <f t="array" ref="I14">IFERROR(_xlfn.IFS(VALUE(MID(I$5,6,1))&gt;$D$2,0,$B14="Annual",1,H14=12,12,$B14="Monthly V",H14*(1+$D$3),$B14="Monthly F",12,$B14="One-Time",0),H14*(1+$D$3))</f>
        <v/>
      </c>
      <c r="J14" s="14">
        <f t="array" ref="J14">IFERROR(_xlfn.IFS(VALUE(MID(J$5,6,1))&gt;$D$2,0,$B14="Annual",1,I14=12,12,$B14="Monthly V",I14*(1+$D$3),$B14="Monthly F",12,$B14="One-Time",0),I14*(1+$D$3))</f>
        <v/>
      </c>
      <c r="K14" s="14">
        <f t="array" ref="K14">IFERROR(_xlfn.IFS(VALUE(MID(K$5,6,1))&gt;$D$2,0,$B14="Annual",1,J14=12,12,$B14="Monthly V",J14*(1+$D$3),$B14="Monthly F",12,$B14="One-Time",0),J14*(1+$D$3))</f>
        <v/>
      </c>
      <c r="L14" s="14">
        <f t="array" ref="L14">IFERROR(_xlfn.IFS(VALUE(MID(L$5,6,1))&gt;$D$2,0,$B14="Annual",1,K14=12,12,$B14="Monthly V",K14*(1+$D$3),$B14="Monthly F",12,$B14="One-Time",0),K14*(1+$D$3))</f>
        <v/>
      </c>
      <c r="M14" s="14">
        <f t="array" ref="M14">IFERROR(_xlfn.IFS(VALUE(MID(M$5,6,1))&gt;$D$2,0,$B14="Annual",1,L14=12,12,$B14="Monthly V",L14*(1+$D$3),$B14="Monthly F",12,$B14="One-Time",0),L14*(1+$D$3))</f>
        <v/>
      </c>
      <c r="N14" s="24">
        <f t="array" ref="N14">IFERROR(_xlfn.IFS(VALUE(MID(N$5,6,2))&gt;$D$2,0,$B14="Annual",1,M14=12,12,$B14="Monthly V",M14*(1+$D$3),$B14="Monthly F",12,$B14="One-Time",0),M14*(1+$D$3))</f>
        <v/>
      </c>
      <c r="O14" s="151" t="n"/>
      <c r="P14" s="13" t="n"/>
      <c r="Q14" s="20" t="n"/>
      <c r="R14" s="21">
        <f>S14/12</f>
        <v/>
      </c>
      <c r="S14" s="6">
        <f>IFERROR($Q14*E14,0)</f>
        <v/>
      </c>
      <c r="T14" s="6">
        <f>IFERROR($Q14*F14,0)</f>
        <v/>
      </c>
      <c r="U14" s="6">
        <f>IFERROR($Q14*G14,0)</f>
        <v/>
      </c>
      <c r="V14" s="6">
        <f>IFERROR($Q14*H14,0)</f>
        <v/>
      </c>
      <c r="W14" s="6">
        <f>IFERROR($Q14*I14,0)</f>
        <v/>
      </c>
      <c r="X14" s="6">
        <f>IFERROR($Q14*J14,0)</f>
        <v/>
      </c>
      <c r="Y14" s="6">
        <f>IFERROR($Q14*K14,0)</f>
        <v/>
      </c>
      <c r="Z14" s="6">
        <f>IFERROR($Q14*L14,0)</f>
        <v/>
      </c>
      <c r="AA14" s="6">
        <f>IFERROR($Q14*M14,0)</f>
        <v/>
      </c>
      <c r="AB14" s="6">
        <f>IFERROR($Q14*N14,0)</f>
        <v/>
      </c>
      <c r="AC14" s="7" t="n"/>
      <c r="AD14" s="152">
        <f>IF(VALUE(MID(AD$5,6,1))&lt;=$D$2,((1+$Q$3)^1-1)*T14,0)</f>
        <v/>
      </c>
      <c r="AE14" s="152">
        <f>IF(VALUE(MID(AE$5,6,1))&lt;=$D$2,((1+$Q$3)^2-1)*U14,0)</f>
        <v/>
      </c>
      <c r="AF14" s="152">
        <f>IF(VALUE(MID(AF$5,6,1))&lt;=$D$2,((1+$Q$3)^3-1)*V14,0)</f>
        <v/>
      </c>
      <c r="AG14" s="152">
        <f>IF(VALUE(MID(AG$5,6,1))&lt;=$D$2,((1+$Q$3)^4-1)*W14,0)</f>
        <v/>
      </c>
      <c r="AH14" s="152">
        <f>IF(VALUE(MID(AH$5,6,1))&lt;=$D$2,((1+$Q$3)^5-1)*X14,0)</f>
        <v/>
      </c>
      <c r="AI14" s="152">
        <f>IF(VALUE(MID(AI$5,6,1))&lt;=$D$2,((1+$Q$3)^6-1)*Y14,0)</f>
        <v/>
      </c>
      <c r="AJ14" s="152">
        <f>IF(VALUE(MID(AJ$5,6,1))&lt;=$D$2,((1+$Q$3)^7-1)*Z14,0)</f>
        <v/>
      </c>
      <c r="AK14" s="152">
        <f>IF(VALUE(MID(AK$5,6,1))&lt;=$D$2,((1+$Q$3)^8-1)*AA14,0)</f>
        <v/>
      </c>
      <c r="AL14" s="152">
        <f>IF(VALUE(MID(AL$5,6,2))&lt;=$D$2,((1+$Q$3)^9-1)*AB14,0)</f>
        <v/>
      </c>
      <c r="AM14" s="9">
        <f>SUM(AC14:AL14)</f>
        <v/>
      </c>
      <c r="AN14" s="80">
        <f>SUM(AM14,S14:AB14)</f>
        <v/>
      </c>
      <c r="AP14" s="102" t="inlineStr">
        <is>
          <t>Monthly V</t>
        </is>
      </c>
      <c r="AQ14" s="12" t="n">
        <v>5000</v>
      </c>
      <c r="AR14" s="14">
        <f>IF($AP14="Annual",1,IF($AP14="Monthly F",12,IF($AP14="Monthly V",AQ14*12,IF($AP14="One-Time",1,AQ14*12))))</f>
        <v/>
      </c>
      <c r="AS14" s="14">
        <f t="array" ref="AS14">IFERROR(_xlfn.IFS(VALUE(MID(AS$5,6,1))&gt;$D$2,0,$AP14="Annual",1,AR14=12,12,$AP14="Monthly V",AR14*(1+$BD$2),$AP14="Monthly F",12,$AP14="One-Time",0),AR14*(1+$BD$2))</f>
        <v/>
      </c>
      <c r="AT14" s="14">
        <f t="array" ref="AT14">IFERROR(_xlfn.IFS(VALUE(MID(AT$5,6,1))&gt;$D$2,0,$AP14="Annual",1,AS14=12,12,$AP14="Monthly V",AS14*(1+$BD$2),$AP14="Monthly F",12,$AP14="One-Time",0),AS14*(1+$BD$2))</f>
        <v/>
      </c>
      <c r="AU14" s="14">
        <f t="array" ref="AU14">IFERROR(_xlfn.IFS(VALUE(MID(AU$5,6,1))&gt;$D$2,0,$AP14="Annual",1,AT14=12,12,$AP14="Monthly V",AT14*(1+$BD$2),$AP14="Monthly F",12,$AP14="One-Time",0),AT14*(1+$BD$2))</f>
        <v/>
      </c>
      <c r="AV14" s="14">
        <f t="array" ref="AV14">IFERROR(_xlfn.IFS(VALUE(MID(AV$5,6,1))&gt;$D$2,0,$AP14="Annual",1,AU14=12,12,$AP14="Monthly V",AU14*(1+$BD$2),$AP14="Monthly F",12,$AP14="One-Time",0),AU14*(1+$BD$2))</f>
        <v/>
      </c>
      <c r="AW14" s="14">
        <f t="array" ref="AW14">IFERROR(_xlfn.IFS(VALUE(MID(AW$5,6,1))&gt;$D$2,0,$AP14="Annual",1,AV14=12,12,$AP14="Monthly V",AV14*(1+$BD$2),$AP14="Monthly F",12,$AP14="One-Time",0),AV14*(1+$BD$2))</f>
        <v/>
      </c>
      <c r="AX14" s="14">
        <f t="array" ref="AX14">IFERROR(_xlfn.IFS(VALUE(MID(AX$5,6,1))&gt;$D$2,0,$AP14="Annual",1,AW14=12,12,$AP14="Monthly V",AW14*(1+$BD$2),$AP14="Monthly F",12,$AP14="One-Time",0),AW14*(1+$BD$2))</f>
        <v/>
      </c>
      <c r="AY14" s="14">
        <f t="array" ref="AY14">IFERROR(_xlfn.IFS(VALUE(MID(AY$5,6,1))&gt;$D$2,0,$AP14="Annual",1,AX14=12,12,$AP14="Monthly V",AX14*(1+$D$3),$AP14="Monthly F",12,$AP14="One-Time",0),AX14*(1+$D$3))</f>
        <v/>
      </c>
      <c r="AZ14" s="14">
        <f t="array" ref="AZ14">IFERROR(_xlfn.IFS(VALUE(MID(AZ$5,6,1))&gt;$D$2,0,$AP14="Annual",1,AY14=12,12,$AP14="Monthly V",AY14*(1+$D$3),$AP14="Monthly F",12,$AP14="One-Time",0),AY14*(1+$D$3))</f>
        <v/>
      </c>
      <c r="BA14" s="125">
        <f t="array" ref="BA14">IFERROR(_xlfn.IFS(VALUE(MID(BA$5,6,2))&gt;$D$2,0,$AP14="Annual",1,AZ14=12,12,$AP14="Monthly V",AZ14*(1+$D$3),$AP14="Monthly F",12,$AP14="One-Time",0),AZ14*(1+$D$3))</f>
        <v/>
      </c>
      <c r="BB14" s="148" t="inlineStr">
        <is>
          <t>Synapsys CRM</t>
        </is>
      </c>
      <c r="BC14" s="38" t="inlineStr">
        <is>
          <t>Synapsys</t>
        </is>
      </c>
      <c r="BD14" s="36" t="n">
        <v>0.1643</v>
      </c>
      <c r="BE14" s="21">
        <f>BF14/12</f>
        <v/>
      </c>
      <c r="BF14" s="39">
        <f>IFERROR(AR14*$BD14,0)</f>
        <v/>
      </c>
      <c r="BG14" s="39">
        <f>IFERROR(AS14*$BD14,0)</f>
        <v/>
      </c>
      <c r="BH14" s="39">
        <f>IFERROR(AT14*$BD14,0)</f>
        <v/>
      </c>
      <c r="BI14" s="39">
        <f>BH14*1.03</f>
        <v/>
      </c>
      <c r="BJ14" s="39">
        <f>BI14*1.03</f>
        <v/>
      </c>
      <c r="BK14" s="39">
        <f>BJ14*1.03</f>
        <v/>
      </c>
      <c r="BL14" s="39">
        <f>BK14*1.03</f>
        <v/>
      </c>
      <c r="BM14" s="39">
        <f>IFERROR(AY14*$BD14,0)</f>
        <v/>
      </c>
      <c r="BN14" s="39">
        <f>IFERROR(AZ14*$BD14,0)</f>
        <v/>
      </c>
      <c r="BO14" s="39">
        <f>IFERROR(BA14*$BD14,0)</f>
        <v/>
      </c>
      <c r="BP14" s="40" t="n"/>
      <c r="BQ14" s="40">
        <f>IF(VALUE(MID(BQ$5,6,1))&lt;=$D$2,((1+$BD$3)^1-1)*BG14,0)</f>
        <v/>
      </c>
      <c r="BR14" s="40">
        <f>IF(VALUE(MID(BR$5,6,1))&lt;=$D$2,((1+$BD$3)^2-1)*BH14,0)</f>
        <v/>
      </c>
      <c r="BS14" s="40">
        <f>IF(VALUE(MID(BS$5,6,1))&lt;=$D$2,((1+$BD$3)^3-1)*BI14,0)</f>
        <v/>
      </c>
      <c r="BT14" s="40">
        <f>IF(VALUE(MID(BT$5,6,1))&lt;=$D$2,((1+$BD$3)^4-1)*BJ14,0)</f>
        <v/>
      </c>
      <c r="BU14" s="40">
        <f>IF(VALUE(MID(BU$5,6,1))&lt;=$D$2,((1+$BD$3)^5-1)*BK14,0)</f>
        <v/>
      </c>
      <c r="BV14" s="40">
        <f>IF(VALUE(MID(BV$5,6,1))&lt;=$D$2,((1+$BD$3)^6-1)*BL14,0)</f>
        <v/>
      </c>
      <c r="BW14" s="40">
        <f>IF(VALUE(MID(BW$5,6,1))&lt;=$D$2,((1+$BD$3)^7-1)*BM14,0)</f>
        <v/>
      </c>
      <c r="BX14" s="40">
        <f>IF(VALUE(MID(BX$5,6,1))&lt;=$D$2,((1+$BD$3)^8-1)*BN14,0)</f>
        <v/>
      </c>
      <c r="BY14" s="40">
        <f>IF(VALUE(MID(BY$5,6,2))&lt;=$D$2,((1+$BD$3)^9-1)*BO14,0)</f>
        <v/>
      </c>
      <c r="BZ14" s="40">
        <f>SUM(BP14:BY14)</f>
        <v/>
      </c>
      <c r="CA14" s="37">
        <f>SUM(BZ14,BF14:BO14)</f>
        <v/>
      </c>
      <c r="CC14" s="102" t="n"/>
      <c r="CD14" s="12" t="n"/>
      <c r="CE14" s="14">
        <f>IF($CC14="Annual",1,IF($CC14="Monthly F",12,IF($CC14="Monthly V",CD14*12,IF($CC14="One-Time",1,CD14*12))))</f>
        <v/>
      </c>
      <c r="CF14" s="14">
        <f t="array" ref="CF14">IFERROR(_xlfn.IFS(VALUE(MID(CF$5,6,1))&gt;$D$2,0,$CC14="Annual",1,CE14=12,12,$CC14="Monthly V",CE14*(1+$D$3),$CC14="Monthly F",12,$CC14="One-Time",0),CE14*(1+$D$3))</f>
        <v/>
      </c>
      <c r="CG14" s="14">
        <f t="array" ref="CG14">IFERROR(_xlfn.IFS(VALUE(MID(CG$5,6,1))&gt;$D$2,0,$CC14="Annual",1,CF14=12,12,$CC14="Monthly V",CF14*(1+$D$3),$CC14="Monthly F",12,$CC14="One-Time",0),CF14*(1+$D$3))</f>
        <v/>
      </c>
      <c r="CH14" s="14">
        <f t="array" ref="CH14">IFERROR(_xlfn.IFS(VALUE(MID(CH$5,6,1))&gt;$D$2,0,$CC14="Annual",1,CG14=12,12,$CC14="Monthly V",CG14*(1+$D$3),$CC14="Monthly F",12,$CC14="One-Time",0),CG14*(1+$D$3))</f>
        <v/>
      </c>
      <c r="CI14" s="14">
        <f t="array" ref="CI14">IFERROR(_xlfn.IFS(VALUE(MID(CI$5,6,1))&gt;$D$2,0,$CC14="Annual",1,CH14=12,12,$CC14="Monthly V",CH14*(1+$D$3),$CC14="Monthly F",12,$CC14="One-Time",0),CH14*(1+$D$3))</f>
        <v/>
      </c>
      <c r="CJ14" s="14">
        <f t="array" ref="CJ14">IFERROR(_xlfn.IFS(VALUE(MID(CJ$5,6,1))&gt;$D$2,0,$CC14="Annual",1,CI14=12,12,$CC14="Monthly V",CI14*(1+$D$3),$CC14="Monthly F",12,$CC14="One-Time",0),CI14*(1+$D$3))</f>
        <v/>
      </c>
      <c r="CK14" s="14">
        <f t="array" ref="CK14">IFERROR(_xlfn.IFS(VALUE(MID(CK$5,6,1))&gt;$D$2,0,$CC14="Annual",1,CJ14=12,12,$CC14="Monthly V",CJ14*(1+$D$3),$CC14="Monthly F",12,$CC14="One-Time",0),CJ14*(1+$D$3))</f>
        <v/>
      </c>
      <c r="CL14" s="14">
        <f t="array" ref="CL14">IFERROR(_xlfn.IFS(VALUE(MID(CL$5,6,1))&gt;$D$2,0,$CC14="Annual",1,CK14=12,12,$CC14="Monthly V",CK14*(1+$D$3),$CC14="Monthly F",12,$CC14="One-Time",0),CK14*(1+$D$3))</f>
        <v/>
      </c>
      <c r="CM14" s="14">
        <f t="array" ref="CM14">IFERROR(_xlfn.IFS(VALUE(MID(CM$5,6,1))&gt;$D$2,0,$CC14="Annual",1,CL14=12,12,$CC14="Monthly V",CL14*(1+$D$3),$CC14="Monthly F",12,$CC14="One-Time",0),CL14*(1+$D$3))</f>
        <v/>
      </c>
      <c r="CN14" s="24">
        <f t="array" ref="CN14">IFERROR(_xlfn.IFS(VALUE(MID(CN$5,6,2))&gt;$D$2,0,$CC14="Annual",1,CM14=12,12,$CC14="Monthly V",CM14*(1+$D$3),$CC14="Monthly F",12,$CC14="One-Time",0),CM14*(1+$D$3))</f>
        <v/>
      </c>
      <c r="CO14" s="63" t="n"/>
      <c r="CP14" s="53" t="n"/>
      <c r="CQ14" s="21">
        <f>CR14/12</f>
        <v/>
      </c>
      <c r="CR14" s="55">
        <f>IFERROR(CE14*$CP14,0)</f>
        <v/>
      </c>
      <c r="CS14" s="55">
        <f>IFERROR(CF14*$CP14,0)</f>
        <v/>
      </c>
      <c r="CT14" s="55">
        <f>IFERROR(CG14*$CP14,0)</f>
        <v/>
      </c>
      <c r="CU14" s="55">
        <f>IFERROR(CH14*$CP14,0)</f>
        <v/>
      </c>
      <c r="CV14" s="55">
        <f>IFERROR(CI14*$CP14,0)</f>
        <v/>
      </c>
      <c r="CW14" s="55">
        <f>IFERROR(CJ14*$CP14,0)</f>
        <v/>
      </c>
      <c r="CX14" s="55">
        <f>IFERROR(CK14*$CP14,0)</f>
        <v/>
      </c>
      <c r="CY14" s="55">
        <f>IFERROR(CL14*$CP14,0)</f>
        <v/>
      </c>
      <c r="CZ14" s="55">
        <f>IFERROR(CM14*$CP14,0)</f>
        <v/>
      </c>
      <c r="DA14" s="55">
        <f>IFERROR(CN14*$CP14,0)</f>
        <v/>
      </c>
      <c r="DB14" s="56" t="n"/>
      <c r="DC14" s="56">
        <f>IF(VALUE(MID(DC$5,6,1))&lt;=$D$2,((1+$CP$3)^1-1)*CS14,0)</f>
        <v/>
      </c>
      <c r="DD14" s="56">
        <f>IF(VALUE(MID(DD$5,6,1))&lt;=$D$2,((1+$CP$3)^2-1)*CT14,0)</f>
        <v/>
      </c>
      <c r="DE14" s="56">
        <f>IF(VALUE(MID(DE$5,6,1))&lt;=$D$2,((1+$CP$3)^3-1)*CU14,0)</f>
        <v/>
      </c>
      <c r="DF14" s="56">
        <f>IF(VALUE(MID(DF$5,6,1))&lt;=$D$2,((1+$CP$3)^4-1)*CV14,0)</f>
        <v/>
      </c>
      <c r="DG14" s="56">
        <f>IF(VALUE(MID(DG$5,6,1))&lt;=$D$2,((1+$CP$3)^5-1)*CW14,0)</f>
        <v/>
      </c>
      <c r="DH14" s="56">
        <f>IF(VALUE(MID(DH$5,6,1))&lt;=$D$2,((1+$CP$3)^6-1)*CX14,0)</f>
        <v/>
      </c>
      <c r="DI14" s="56">
        <f>IF(VALUE(MID(DI$5,6,1))&lt;=$D$2,((1+$CP$3)^7-1)*CY14,0)</f>
        <v/>
      </c>
      <c r="DJ14" s="56">
        <f>IF(VALUE(MID(DJ$5,6,1))&lt;=$D$2,((1+$CP$3)^8-1)*CZ14,0)</f>
        <v/>
      </c>
      <c r="DK14" s="56">
        <f>IF(VALUE(MID(DK$5,6,2))&lt;=$D$2,((1+$CP$3)^9-1)*DA14,0)</f>
        <v/>
      </c>
      <c r="DL14" s="57">
        <f>SUM(DB14:DK14)</f>
        <v/>
      </c>
      <c r="DM14" s="54">
        <f>SUM(DL14,CR14:DA14)</f>
        <v/>
      </c>
      <c r="DO14" s="106" t="n"/>
    </row>
    <row r="15">
      <c r="B15" s="141" t="n"/>
      <c r="C15" s="24" t="n"/>
      <c r="D15" s="147">
        <f>IFERROR(AVERAGE(C15:C15),0)</f>
        <v/>
      </c>
      <c r="E15" s="142">
        <f>IF($B15="Annual",1,IF($B15="Monthly F",12,IF($B15="Monthly V",D15*12,IF($B15="One-Time",1,D15*12))))</f>
        <v/>
      </c>
      <c r="F15" s="14">
        <f t="array" ref="F15">IFERROR(_xlfn.IFS(VALUE(MID(F$5,6,1))&gt;$D$2,0,$B15="Annual",1,E15=12,12,$B15="Monthly V",E15*(1+$D$3),$B15="Monthly F",12,$B15="One-Time",0),E15*(1+$D$3))</f>
        <v/>
      </c>
      <c r="G15" s="14">
        <f t="array" ref="G15">IFERROR(_xlfn.IFS(VALUE(MID(G$5,6,1))&gt;$D$2,0,$B15="Annual",1,F15=12,12,$B15="Monthly V",F15*(1+$D$3),$B15="Monthly F",12,$B15="One-Time",0),F15*(1+$D$3))</f>
        <v/>
      </c>
      <c r="H15" s="14">
        <f t="array" ref="H15">IFERROR(_xlfn.IFS(VALUE(MID(H$5,6,1))&gt;$D$2,0,$B15="Annual",1,G15=12,12,$B15="Monthly V",G15*(1+$D$3),$B15="Monthly F",12,$B15="One-Time",0),G15*(1+$D$3))</f>
        <v/>
      </c>
      <c r="I15" s="14">
        <f t="array" ref="I15">IFERROR(_xlfn.IFS(VALUE(MID(I$5,6,1))&gt;$D$2,0,$B15="Annual",1,H15=12,12,$B15="Monthly V",H15*(1+$D$3),$B15="Monthly F",12,$B15="One-Time",0),H15*(1+$D$3))</f>
        <v/>
      </c>
      <c r="J15" s="14">
        <f t="array" ref="J15">IFERROR(_xlfn.IFS(VALUE(MID(J$5,6,1))&gt;$D$2,0,$B15="Annual",1,I15=12,12,$B15="Monthly V",I15*(1+$D$3),$B15="Monthly F",12,$B15="One-Time",0),I15*(1+$D$3))</f>
        <v/>
      </c>
      <c r="K15" s="14">
        <f t="array" ref="K15">IFERROR(_xlfn.IFS(VALUE(MID(K$5,6,1))&gt;$D$2,0,$B15="Annual",1,J15=12,12,$B15="Monthly V",J15*(1+$D$3),$B15="Monthly F",12,$B15="One-Time",0),J15*(1+$D$3))</f>
        <v/>
      </c>
      <c r="L15" s="14">
        <f t="array" ref="L15">IFERROR(_xlfn.IFS(VALUE(MID(L$5,6,1))&gt;$D$2,0,$B15="Annual",1,K15=12,12,$B15="Monthly V",K15*(1+$D$3),$B15="Monthly F",12,$B15="One-Time",0),K15*(1+$D$3))</f>
        <v/>
      </c>
      <c r="M15" s="14">
        <f t="array" ref="M15">IFERROR(_xlfn.IFS(VALUE(MID(M$5,6,1))&gt;$D$2,0,$B15="Annual",1,L15=12,12,$B15="Monthly V",L15*(1+$D$3),$B15="Monthly F",12,$B15="One-Time",0),L15*(1+$D$3))</f>
        <v/>
      </c>
      <c r="N15" s="24">
        <f t="array" ref="N15">IFERROR(_xlfn.IFS(VALUE(MID(N$5,6,2))&gt;$D$2,0,$B15="Annual",1,M15=12,12,$B15="Monthly V",M15*(1+$D$3),$B15="Monthly F",12,$B15="One-Time",0),M15*(1+$D$3))</f>
        <v/>
      </c>
      <c r="O15" s="154" t="n"/>
      <c r="P15" s="13" t="n"/>
      <c r="Q15" s="20" t="n"/>
      <c r="R15" s="21">
        <f>S15/12</f>
        <v/>
      </c>
      <c r="S15" s="6">
        <f>IFERROR($Q15*E15,0)</f>
        <v/>
      </c>
      <c r="T15" s="6">
        <f>IFERROR($Q15*F15,0)</f>
        <v/>
      </c>
      <c r="U15" s="6">
        <f>IFERROR($Q15*G15,0)</f>
        <v/>
      </c>
      <c r="V15" s="6">
        <f>IFERROR($Q15*H15,0)</f>
        <v/>
      </c>
      <c r="W15" s="6">
        <f>IFERROR($Q15*I15,0)</f>
        <v/>
      </c>
      <c r="X15" s="6">
        <f>IFERROR($Q15*J15,0)</f>
        <v/>
      </c>
      <c r="Y15" s="6">
        <f>IFERROR($Q15*K15,0)</f>
        <v/>
      </c>
      <c r="Z15" s="6">
        <f>IFERROR($Q15*L15,0)</f>
        <v/>
      </c>
      <c r="AA15" s="6">
        <f>IFERROR($Q15*M15,0)</f>
        <v/>
      </c>
      <c r="AB15" s="6">
        <f>IFERROR($Q15*N15,0)</f>
        <v/>
      </c>
      <c r="AC15" s="7" t="n"/>
      <c r="AD15" s="152">
        <f>IF(VALUE(MID(AD$5,6,1))&lt;=$D$2,((1+$Q$3)^1-1)*T15,0)</f>
        <v/>
      </c>
      <c r="AE15" s="152">
        <f>IF(VALUE(MID(AE$5,6,1))&lt;=$D$2,((1+$Q$3)^2-1)*U15,0)</f>
        <v/>
      </c>
      <c r="AF15" s="152">
        <f>IF(VALUE(MID(AF$5,6,1))&lt;=$D$2,((1+$Q$3)^3-1)*V15,0)</f>
        <v/>
      </c>
      <c r="AG15" s="152">
        <f>IF(VALUE(MID(AG$5,6,1))&lt;=$D$2,((1+$Q$3)^4-1)*W15,0)</f>
        <v/>
      </c>
      <c r="AH15" s="152">
        <f>IF(VALUE(MID(AH$5,6,1))&lt;=$D$2,((1+$Q$3)^5-1)*X15,0)</f>
        <v/>
      </c>
      <c r="AI15" s="152">
        <f>IF(VALUE(MID(AI$5,6,1))&lt;=$D$2,((1+$Q$3)^6-1)*Y15,0)</f>
        <v/>
      </c>
      <c r="AJ15" s="152">
        <f>IF(VALUE(MID(AJ$5,6,1))&lt;=$D$2,((1+$Q$3)^7-1)*Z15,0)</f>
        <v/>
      </c>
      <c r="AK15" s="152">
        <f>IF(VALUE(MID(AK$5,6,1))&lt;=$D$2,((1+$Q$3)^8-1)*AA15,0)</f>
        <v/>
      </c>
      <c r="AL15" s="152">
        <f>IF(VALUE(MID(AL$5,6,2))&lt;=$D$2,((1+$Q$3)^9-1)*AB15,0)</f>
        <v/>
      </c>
      <c r="AM15" s="9">
        <f>SUM(AC15:AL15)</f>
        <v/>
      </c>
      <c r="AN15" s="80">
        <f>SUM(AM15,S15:AB15)</f>
        <v/>
      </c>
      <c r="AP15" s="102" t="inlineStr">
        <is>
          <t>Monthly V</t>
        </is>
      </c>
      <c r="AQ15" s="12" t="n">
        <v>5000</v>
      </c>
      <c r="AR15" s="14">
        <f>IF($AP15="Annual",1,IF($AP15="Monthly F",12,IF($AP15="Monthly V",AQ15*12,IF($AP15="One-Time",1,AQ15*12))))</f>
        <v/>
      </c>
      <c r="AS15" s="14">
        <f t="array" ref="AS15">IFERROR(_xlfn.IFS(VALUE(MID(AS$5,6,1))&gt;$D$2,0,$AP15="Annual",1,AR15=12,12,$AP15="Monthly V",AR15*(1+$BD$2),$AP15="Monthly F",12,$AP15="One-Time",0),AR15*(1+$BD$2))</f>
        <v/>
      </c>
      <c r="AT15" s="14">
        <f t="array" ref="AT15">IFERROR(_xlfn.IFS(VALUE(MID(AT$5,6,1))&gt;$D$2,0,$AP15="Annual",1,AS15=12,12,$AP15="Monthly V",AS15*(1+$BD$2),$AP15="Monthly F",12,$AP15="One-Time",0),AS15*(1+$BD$2))</f>
        <v/>
      </c>
      <c r="AU15" s="14">
        <f t="array" ref="AU15">IFERROR(_xlfn.IFS(VALUE(MID(AU$5,6,1))&gt;$D$2,0,$AP15="Annual",1,AT15=12,12,$AP15="Monthly V",AT15*(1+$BD$2),$AP15="Monthly F",12,$AP15="One-Time",0),AT15*(1+$BD$2))</f>
        <v/>
      </c>
      <c r="AV15" s="14">
        <f t="array" ref="AV15">IFERROR(_xlfn.IFS(VALUE(MID(AV$5,6,1))&gt;$D$2,0,$AP15="Annual",1,AU15=12,12,$AP15="Monthly V",AU15*(1+$BD$2),$AP15="Monthly F",12,$AP15="One-Time",0),AU15*(1+$BD$2))</f>
        <v/>
      </c>
      <c r="AW15" s="14">
        <f t="array" ref="AW15">IFERROR(_xlfn.IFS(VALUE(MID(AW$5,6,1))&gt;$D$2,0,$AP15="Annual",1,AV15=12,12,$AP15="Monthly V",AV15*(1+$BD$2),$AP15="Monthly F",12,$AP15="One-Time",0),AV15*(1+$BD$2))</f>
        <v/>
      </c>
      <c r="AX15" s="14">
        <f t="array" ref="AX15">IFERROR(_xlfn.IFS(VALUE(MID(AX$5,6,1))&gt;$D$2,0,$AP15="Annual",1,AW15=12,12,$AP15="Monthly V",AW15*(1+$BD$2),$AP15="Monthly F",12,$AP15="One-Time",0),AW15*(1+$BD$2))</f>
        <v/>
      </c>
      <c r="AY15" s="14">
        <f t="array" ref="AY15">IFERROR(_xlfn.IFS(VALUE(MID(AY$5,6,1))&gt;$D$2,0,$AP15="Annual",1,AX15=12,12,$AP15="Monthly V",AX15*(1+$D$3),$AP15="Monthly F",12,$AP15="One-Time",0),AX15*(1+$D$3))</f>
        <v/>
      </c>
      <c r="AZ15" s="14">
        <f t="array" ref="AZ15">IFERROR(_xlfn.IFS(VALUE(MID(AZ$5,6,1))&gt;$D$2,0,$AP15="Annual",1,AY15=12,12,$AP15="Monthly V",AY15*(1+$D$3),$AP15="Monthly F",12,$AP15="One-Time",0),AY15*(1+$D$3))</f>
        <v/>
      </c>
      <c r="BA15" s="125">
        <f t="array" ref="BA15">IFERROR(_xlfn.IFS(VALUE(MID(BA$5,6,2))&gt;$D$2,0,$AP15="Annual",1,AZ15=12,12,$AP15="Monthly V",AZ15*(1+$D$3),$AP15="Monthly F",12,$AP15="One-Time",0),AZ15*(1+$D$3))</f>
        <v/>
      </c>
      <c r="BB15" s="148" t="inlineStr">
        <is>
          <t>JHA OpenAnywhere</t>
        </is>
      </c>
      <c r="BC15" s="38" t="inlineStr">
        <is>
          <t>JHA OpenAnywhere</t>
        </is>
      </c>
      <c r="BD15" s="36" t="n">
        <v>0.3323</v>
      </c>
      <c r="BE15" s="21">
        <f>BF15/12</f>
        <v/>
      </c>
      <c r="BF15" s="39">
        <f>IFERROR(AR15*$BD15,0)</f>
        <v/>
      </c>
      <c r="BG15" s="39">
        <f>IFERROR(AS15*$BD15,0)</f>
        <v/>
      </c>
      <c r="BH15" s="39">
        <f>IFERROR(AT15*$BD15,0)</f>
        <v/>
      </c>
      <c r="BI15" s="39">
        <f>BH15*1.03</f>
        <v/>
      </c>
      <c r="BJ15" s="39">
        <f>BI15*1.03</f>
        <v/>
      </c>
      <c r="BK15" s="39">
        <f>BJ15*1.03</f>
        <v/>
      </c>
      <c r="BL15" s="39">
        <f>BK15*1.03</f>
        <v/>
      </c>
      <c r="BM15" s="39">
        <f>IFERROR(AY15*$BD15,0)</f>
        <v/>
      </c>
      <c r="BN15" s="39">
        <f>IFERROR(AZ15*$BD15,0)</f>
        <v/>
      </c>
      <c r="BO15" s="39">
        <f>IFERROR(BA15*$BD15,0)</f>
        <v/>
      </c>
      <c r="BP15" s="40" t="n"/>
      <c r="BQ15" s="40">
        <f>IF(VALUE(MID(BQ$5,6,1))&lt;=$D$2,((1+$BD$3)^1-1)*BG15,0)</f>
        <v/>
      </c>
      <c r="BR15" s="40">
        <f>IF(VALUE(MID(BR$5,6,1))&lt;=$D$2,((1+$BD$3)^2-1)*BH15,0)</f>
        <v/>
      </c>
      <c r="BS15" s="40">
        <f>IF(VALUE(MID(BS$5,6,1))&lt;=$D$2,((1+$BD$3)^3-1)*BI15,0)</f>
        <v/>
      </c>
      <c r="BT15" s="40">
        <f>IF(VALUE(MID(BT$5,6,1))&lt;=$D$2,((1+$BD$3)^4-1)*BJ15,0)</f>
        <v/>
      </c>
      <c r="BU15" s="40">
        <f>IF(VALUE(MID(BU$5,6,1))&lt;=$D$2,((1+$BD$3)^5-1)*BK15,0)</f>
        <v/>
      </c>
      <c r="BV15" s="40">
        <f>IF(VALUE(MID(BV$5,6,1))&lt;=$D$2,((1+$BD$3)^6-1)*BL15,0)</f>
        <v/>
      </c>
      <c r="BW15" s="40">
        <f>IF(VALUE(MID(BW$5,6,1))&lt;=$D$2,((1+$BD$3)^7-1)*BM15,0)</f>
        <v/>
      </c>
      <c r="BX15" s="40">
        <f>IF(VALUE(MID(BX$5,6,1))&lt;=$D$2,((1+$BD$3)^8-1)*BN15,0)</f>
        <v/>
      </c>
      <c r="BY15" s="40">
        <f>IF(VALUE(MID(BY$5,6,2))&lt;=$D$2,((1+$BD$3)^9-1)*BO15,0)</f>
        <v/>
      </c>
      <c r="BZ15" s="40">
        <f>SUM(BP15:BY15)</f>
        <v/>
      </c>
      <c r="CA15" s="37">
        <f>SUM(BZ15,BF15:BO15)</f>
        <v/>
      </c>
      <c r="CC15" s="102" t="n"/>
      <c r="CD15" s="12" t="n"/>
      <c r="CE15" s="14">
        <f>IF($CC15="Annual",1,IF($CC15="Monthly F",12,IF($CC15="Monthly V",CD15*12,IF($CC15="One-Time",1,CD15*12))))</f>
        <v/>
      </c>
      <c r="CF15" s="14">
        <f t="array" ref="CF15">IFERROR(_xlfn.IFS(VALUE(MID(CF$5,6,1))&gt;$D$2,0,$CC15="Annual",1,CE15=12,12,$CC15="Monthly V",CE15*(1+$D$3),$CC15="Monthly F",12,$CC15="One-Time",0),CE15*(1+$D$3))</f>
        <v/>
      </c>
      <c r="CG15" s="14">
        <f t="array" ref="CG15">IFERROR(_xlfn.IFS(VALUE(MID(CG$5,6,1))&gt;$D$2,0,$CC15="Annual",1,CF15=12,12,$CC15="Monthly V",CF15*(1+$D$3),$CC15="Monthly F",12,$CC15="One-Time",0),CF15*(1+$D$3))</f>
        <v/>
      </c>
      <c r="CH15" s="14">
        <f t="array" ref="CH15">IFERROR(_xlfn.IFS(VALUE(MID(CH$5,6,1))&gt;$D$2,0,$CC15="Annual",1,CG15=12,12,$CC15="Monthly V",CG15*(1+$D$3),$CC15="Monthly F",12,$CC15="One-Time",0),CG15*(1+$D$3))</f>
        <v/>
      </c>
      <c r="CI15" s="14">
        <f t="array" ref="CI15">IFERROR(_xlfn.IFS(VALUE(MID(CI$5,6,1))&gt;$D$2,0,$CC15="Annual",1,CH15=12,12,$CC15="Monthly V",CH15*(1+$D$3),$CC15="Monthly F",12,$CC15="One-Time",0),CH15*(1+$D$3))</f>
        <v/>
      </c>
      <c r="CJ15" s="14">
        <f t="array" ref="CJ15">IFERROR(_xlfn.IFS(VALUE(MID(CJ$5,6,1))&gt;$D$2,0,$CC15="Annual",1,CI15=12,12,$CC15="Monthly V",CI15*(1+$D$3),$CC15="Monthly F",12,$CC15="One-Time",0),CI15*(1+$D$3))</f>
        <v/>
      </c>
      <c r="CK15" s="14">
        <f t="array" ref="CK15">IFERROR(_xlfn.IFS(VALUE(MID(CK$5,6,1))&gt;$D$2,0,$CC15="Annual",1,CJ15=12,12,$CC15="Monthly V",CJ15*(1+$D$3),$CC15="Monthly F",12,$CC15="One-Time",0),CJ15*(1+$D$3))</f>
        <v/>
      </c>
      <c r="CL15" s="14">
        <f t="array" ref="CL15">IFERROR(_xlfn.IFS(VALUE(MID(CL$5,6,1))&gt;$D$2,0,$CC15="Annual",1,CK15=12,12,$CC15="Monthly V",CK15*(1+$D$3),$CC15="Monthly F",12,$CC15="One-Time",0),CK15*(1+$D$3))</f>
        <v/>
      </c>
      <c r="CM15" s="14">
        <f t="array" ref="CM15">IFERROR(_xlfn.IFS(VALUE(MID(CM$5,6,1))&gt;$D$2,0,$CC15="Annual",1,CL15=12,12,$CC15="Monthly V",CL15*(1+$D$3),$CC15="Monthly F",12,$CC15="One-Time",0),CL15*(1+$D$3))</f>
        <v/>
      </c>
      <c r="CN15" s="24">
        <f t="array" ref="CN15">IFERROR(_xlfn.IFS(VALUE(MID(CN$5,6,2))&gt;$D$2,0,$CC15="Annual",1,CM15=12,12,$CC15="Monthly V",CM15*(1+$D$3),$CC15="Monthly F",12,$CC15="One-Time",0),CM15*(1+$D$3))</f>
        <v/>
      </c>
      <c r="CO15" s="63" t="n"/>
      <c r="CP15" s="53" t="n"/>
      <c r="CQ15" s="21">
        <f>CR15/12</f>
        <v/>
      </c>
      <c r="CR15" s="55">
        <f>IFERROR(CE15*$CP15,0)</f>
        <v/>
      </c>
      <c r="CS15" s="55">
        <f>IFERROR(CF15*$CP15,0)</f>
        <v/>
      </c>
      <c r="CT15" s="55">
        <f>IFERROR(CG15*$CP15,0)</f>
        <v/>
      </c>
      <c r="CU15" s="55">
        <f>IFERROR(CH15*$CP15,0)</f>
        <v/>
      </c>
      <c r="CV15" s="55">
        <f>IFERROR(CI15*$CP15,0)</f>
        <v/>
      </c>
      <c r="CW15" s="55">
        <f>IFERROR(CJ15*$CP15,0)</f>
        <v/>
      </c>
      <c r="CX15" s="55">
        <f>IFERROR(CK15*$CP15,0)</f>
        <v/>
      </c>
      <c r="CY15" s="55">
        <f>IFERROR(CL15*$CP15,0)</f>
        <v/>
      </c>
      <c r="CZ15" s="55">
        <f>IFERROR(CM15*$CP15,0)</f>
        <v/>
      </c>
      <c r="DA15" s="55">
        <f>IFERROR(CN15*$CP15,0)</f>
        <v/>
      </c>
      <c r="DB15" s="56" t="n"/>
      <c r="DC15" s="56">
        <f>IF(VALUE(MID(DC$5,6,1))&lt;=$D$2,((1+$CP$3)^1-1)*CS15,0)</f>
        <v/>
      </c>
      <c r="DD15" s="56">
        <f>IF(VALUE(MID(DD$5,6,1))&lt;=$D$2,((1+$CP$3)^2-1)*CT15,0)</f>
        <v/>
      </c>
      <c r="DE15" s="56">
        <f>IF(VALUE(MID(DE$5,6,1))&lt;=$D$2,((1+$CP$3)^3-1)*CU15,0)</f>
        <v/>
      </c>
      <c r="DF15" s="56">
        <f>IF(VALUE(MID(DF$5,6,1))&lt;=$D$2,((1+$CP$3)^4-1)*CV15,0)</f>
        <v/>
      </c>
      <c r="DG15" s="56">
        <f>IF(VALUE(MID(DG$5,6,1))&lt;=$D$2,((1+$CP$3)^5-1)*CW15,0)</f>
        <v/>
      </c>
      <c r="DH15" s="56">
        <f>IF(VALUE(MID(DH$5,6,1))&lt;=$D$2,((1+$CP$3)^6-1)*CX15,0)</f>
        <v/>
      </c>
      <c r="DI15" s="56">
        <f>IF(VALUE(MID(DI$5,6,1))&lt;=$D$2,((1+$CP$3)^7-1)*CY15,0)</f>
        <v/>
      </c>
      <c r="DJ15" s="56">
        <f>IF(VALUE(MID(DJ$5,6,1))&lt;=$D$2,((1+$CP$3)^8-1)*CZ15,0)</f>
        <v/>
      </c>
      <c r="DK15" s="56">
        <f>IF(VALUE(MID(DK$5,6,2))&lt;=$D$2,((1+$CP$3)^9-1)*DA15,0)</f>
        <v/>
      </c>
      <c r="DL15" s="57">
        <f>SUM(DB15:DK15)</f>
        <v/>
      </c>
      <c r="DM15" s="54">
        <f>SUM(DL15,CR15:DA15)</f>
        <v/>
      </c>
      <c r="DO15" s="106" t="n"/>
    </row>
    <row r="16">
      <c r="B16" s="141" t="n"/>
      <c r="C16" s="24" t="n"/>
      <c r="D16" s="147">
        <f>IFERROR(AVERAGE(C16:C16),0)</f>
        <v/>
      </c>
      <c r="E16" s="142">
        <f>IF($B16="Annual",1,IF($B16="Monthly F",12,IF($B16="Monthly V",D16*12,IF($B16="One-Time",1,D16*12))))</f>
        <v/>
      </c>
      <c r="F16" s="14">
        <f t="array" ref="F16">IFERROR(_xlfn.IFS(VALUE(MID(F$5,6,1))&gt;$D$2,0,$B16="Annual",1,E16=12,12,$B16="Monthly V",E16*(1+$D$3),$B16="Monthly F",12,$B16="One-Time",0),E16*(1+$D$3))</f>
        <v/>
      </c>
      <c r="G16" s="14">
        <f t="array" ref="G16">IFERROR(_xlfn.IFS(VALUE(MID(G$5,6,1))&gt;$D$2,0,$B16="Annual",1,F16=12,12,$B16="Monthly V",F16*(1+$D$3),$B16="Monthly F",12,$B16="One-Time",0),F16*(1+$D$3))</f>
        <v/>
      </c>
      <c r="H16" s="14">
        <f t="array" ref="H16">IFERROR(_xlfn.IFS(VALUE(MID(H$5,6,1))&gt;$D$2,0,$B16="Annual",1,G16=12,12,$B16="Monthly V",G16*(1+$D$3),$B16="Monthly F",12,$B16="One-Time",0),G16*(1+$D$3))</f>
        <v/>
      </c>
      <c r="I16" s="14">
        <f t="array" ref="I16">IFERROR(_xlfn.IFS(VALUE(MID(I$5,6,1))&gt;$D$2,0,$B16="Annual",1,H16=12,12,$B16="Monthly V",H16*(1+$D$3),$B16="Monthly F",12,$B16="One-Time",0),H16*(1+$D$3))</f>
        <v/>
      </c>
      <c r="J16" s="14">
        <f t="array" ref="J16">IFERROR(_xlfn.IFS(VALUE(MID(J$5,6,1))&gt;$D$2,0,$B16="Annual",1,I16=12,12,$B16="Monthly V",I16*(1+$D$3),$B16="Monthly F",12,$B16="One-Time",0),I16*(1+$D$3))</f>
        <v/>
      </c>
      <c r="K16" s="14">
        <f t="array" ref="K16">IFERROR(_xlfn.IFS(VALUE(MID(K$5,6,1))&gt;$D$2,0,$B16="Annual",1,J16=12,12,$B16="Monthly V",J16*(1+$D$3),$B16="Monthly F",12,$B16="One-Time",0),J16*(1+$D$3))</f>
        <v/>
      </c>
      <c r="L16" s="14">
        <f t="array" ref="L16">IFERROR(_xlfn.IFS(VALUE(MID(L$5,6,1))&gt;$D$2,0,$B16="Annual",1,K16=12,12,$B16="Monthly V",K16*(1+$D$3),$B16="Monthly F",12,$B16="One-Time",0),K16*(1+$D$3))</f>
        <v/>
      </c>
      <c r="M16" s="14">
        <f t="array" ref="M16">IFERROR(_xlfn.IFS(VALUE(MID(M$5,6,1))&gt;$D$2,0,$B16="Annual",1,L16=12,12,$B16="Monthly V",L16*(1+$D$3),$B16="Monthly F",12,$B16="One-Time",0),L16*(1+$D$3))</f>
        <v/>
      </c>
      <c r="N16" s="24">
        <f t="array" ref="N16">IFERROR(_xlfn.IFS(VALUE(MID(N$5,6,2))&gt;$D$2,0,$B16="Annual",1,M16=12,12,$B16="Monthly V",M16*(1+$D$3),$B16="Monthly F",12,$B16="One-Time",0),M16*(1+$D$3))</f>
        <v/>
      </c>
      <c r="O16" s="154" t="n"/>
      <c r="P16" s="13" t="n"/>
      <c r="Q16" s="20" t="n"/>
      <c r="R16" s="21">
        <f>S16/12</f>
        <v/>
      </c>
      <c r="S16" s="6">
        <f>IFERROR($Q16*E16,0)</f>
        <v/>
      </c>
      <c r="T16" s="6">
        <f>IFERROR($Q16*F16,0)</f>
        <v/>
      </c>
      <c r="U16" s="6">
        <f>IFERROR($Q16*G16,0)</f>
        <v/>
      </c>
      <c r="V16" s="6">
        <f>IFERROR($Q16*H16,0)</f>
        <v/>
      </c>
      <c r="W16" s="6">
        <f>IFERROR($Q16*I16,0)</f>
        <v/>
      </c>
      <c r="X16" s="6">
        <f>IFERROR($Q16*J16,0)</f>
        <v/>
      </c>
      <c r="Y16" s="6">
        <f>IFERROR($Q16*K16,0)</f>
        <v/>
      </c>
      <c r="Z16" s="6">
        <f>IFERROR($Q16*L16,0)</f>
        <v/>
      </c>
      <c r="AA16" s="6">
        <f>IFERROR($Q16*M16,0)</f>
        <v/>
      </c>
      <c r="AB16" s="6">
        <f>IFERROR($Q16*N16,0)</f>
        <v/>
      </c>
      <c r="AC16" s="7" t="n"/>
      <c r="AD16" s="152">
        <f>IF(VALUE(MID(AD$5,6,1))&lt;=$D$2,((1+$Q$3)^1-1)*T16,0)</f>
        <v/>
      </c>
      <c r="AE16" s="152">
        <f>IF(VALUE(MID(AE$5,6,1))&lt;=$D$2,((1+$Q$3)^2-1)*U16,0)</f>
        <v/>
      </c>
      <c r="AF16" s="152">
        <f>IF(VALUE(MID(AF$5,6,1))&lt;=$D$2,((1+$Q$3)^3-1)*V16,0)</f>
        <v/>
      </c>
      <c r="AG16" s="152">
        <f>IF(VALUE(MID(AG$5,6,1))&lt;=$D$2,((1+$Q$3)^4-1)*W16,0)</f>
        <v/>
      </c>
      <c r="AH16" s="152">
        <f>IF(VALUE(MID(AH$5,6,1))&lt;=$D$2,((1+$Q$3)^5-1)*X16,0)</f>
        <v/>
      </c>
      <c r="AI16" s="152">
        <f>IF(VALUE(MID(AI$5,6,1))&lt;=$D$2,((1+$Q$3)^6-1)*Y16,0)</f>
        <v/>
      </c>
      <c r="AJ16" s="152">
        <f>IF(VALUE(MID(AJ$5,6,1))&lt;=$D$2,((1+$Q$3)^7-1)*Z16,0)</f>
        <v/>
      </c>
      <c r="AK16" s="152">
        <f>IF(VALUE(MID(AK$5,6,1))&lt;=$D$2,((1+$Q$3)^8-1)*AA16,0)</f>
        <v/>
      </c>
      <c r="AL16" s="152">
        <f>IF(VALUE(MID(AL$5,6,2))&lt;=$D$2,((1+$Q$3)^9-1)*AB16,0)</f>
        <v/>
      </c>
      <c r="AM16" s="9">
        <f>SUM(AC16:AL16)</f>
        <v/>
      </c>
      <c r="AN16" s="80">
        <f>SUM(AM16,S16:AB16)</f>
        <v/>
      </c>
      <c r="AP16" s="102" t="inlineStr">
        <is>
          <t>Monthly F</t>
        </is>
      </c>
      <c r="AQ16" s="12" t="n">
        <v>1</v>
      </c>
      <c r="AR16" s="14">
        <f>IF($AP16="Annual",1,IF($AP16="Monthly F",12,IF($AP16="Monthly V",AQ16*12,IF($AP16="One-Time",1,AQ16*12))))</f>
        <v/>
      </c>
      <c r="AS16" s="14">
        <f t="array" ref="AS16">IFERROR(_xlfn.IFS(VALUE(MID(AS$5,6,1))&gt;$D$2,0,$AP16="Annual",1,AR16=12,12,$AP16="Monthly V",AR16*(1+$BD$2),$AP16="Monthly F",12,$AP16="One-Time",0),AR16*(1+$BD$2))</f>
        <v/>
      </c>
      <c r="AT16" s="14">
        <f t="array" ref="AT16">IFERROR(_xlfn.IFS(VALUE(MID(AT$5,6,1))&gt;$D$2,0,$AP16="Annual",1,AS16=12,12,$AP16="Monthly V",AS16*(1+$BD$2),$AP16="Monthly F",12,$AP16="One-Time",0),AS16*(1+$BD$2))</f>
        <v/>
      </c>
      <c r="AU16" s="14">
        <f t="array" ref="AU16">IFERROR(_xlfn.IFS(VALUE(MID(AU$5,6,1))&gt;$D$2,0,$AP16="Annual",1,AT16=12,12,$AP16="Monthly V",AT16*(1+$BD$2),$AP16="Monthly F",12,$AP16="One-Time",0),AT16*(1+$BD$2))</f>
        <v/>
      </c>
      <c r="AV16" s="14">
        <f t="array" ref="AV16">IFERROR(_xlfn.IFS(VALUE(MID(AV$5,6,1))&gt;$D$2,0,$AP16="Annual",1,AU16=12,12,$AP16="Monthly V",AU16*(1+$BD$2),$AP16="Monthly F",12,$AP16="One-Time",0),AU16*(1+$BD$2))</f>
        <v/>
      </c>
      <c r="AW16" s="14">
        <f t="array" ref="AW16">IFERROR(_xlfn.IFS(VALUE(MID(AW$5,6,1))&gt;$D$2,0,$AP16="Annual",1,AV16=12,12,$AP16="Monthly V",AV16*(1+$BD$2),$AP16="Monthly F",12,$AP16="One-Time",0),AV16*(1+$BD$2))</f>
        <v/>
      </c>
      <c r="AX16" s="14">
        <f t="array" ref="AX16">IFERROR(_xlfn.IFS(VALUE(MID(AX$5,6,1))&gt;$D$2,0,$AP16="Annual",1,AW16=12,12,$AP16="Monthly V",AW16*(1+$BD$2),$AP16="Monthly F",12,$AP16="One-Time",0),AW16*(1+$BD$2))</f>
        <v/>
      </c>
      <c r="AY16" s="14">
        <f t="array" ref="AY16">IFERROR(_xlfn.IFS(VALUE(MID(AY$5,6,1))&gt;$D$2,0,$AP16="Annual",1,AX16=12,12,$AP16="Monthly V",AX16*(1+$D$3),$AP16="Monthly F",12,$AP16="One-Time",0),AX16*(1+$D$3))</f>
        <v/>
      </c>
      <c r="AZ16" s="14">
        <f t="array" ref="AZ16">IFERROR(_xlfn.IFS(VALUE(MID(AZ$5,6,1))&gt;$D$2,0,$AP16="Annual",1,AY16=12,12,$AP16="Monthly V",AY16*(1+$D$3),$AP16="Monthly F",12,$AP16="One-Time",0),AY16*(1+$D$3))</f>
        <v/>
      </c>
      <c r="BA16" s="125">
        <f t="array" ref="BA16">IFERROR(_xlfn.IFS(VALUE(MID(BA$5,6,2))&gt;$D$2,0,$AP16="Annual",1,AZ16=12,12,$AP16="Monthly V",AZ16*(1+$D$3),$AP16="Monthly F",12,$AP16="One-Time",0),AZ16*(1+$D$3))</f>
        <v/>
      </c>
      <c r="BB16" s="148" t="inlineStr">
        <is>
          <t>IDScan.net OCR</t>
        </is>
      </c>
      <c r="BC16" s="38" t="inlineStr">
        <is>
          <t>JHA OpenAnywhere</t>
        </is>
      </c>
      <c r="BD16" s="36" t="n">
        <v>400</v>
      </c>
      <c r="BE16" s="21">
        <f>BF16/12</f>
        <v/>
      </c>
      <c r="BF16" s="39">
        <f>IFERROR(AR16*$BD16,0)</f>
        <v/>
      </c>
      <c r="BG16" s="39">
        <f>IFERROR(AS16*$BD16,0)</f>
        <v/>
      </c>
      <c r="BH16" s="39">
        <f>IFERROR(AT16*$BD16,0)</f>
        <v/>
      </c>
      <c r="BI16" s="39">
        <f>BH16*1.03</f>
        <v/>
      </c>
      <c r="BJ16" s="39">
        <f>BI16*1.03</f>
        <v/>
      </c>
      <c r="BK16" s="39">
        <f>BJ16*1.03</f>
        <v/>
      </c>
      <c r="BL16" s="39">
        <f>BK16*1.03</f>
        <v/>
      </c>
      <c r="BM16" s="39">
        <f>IFERROR(AY16*$BD16,0)</f>
        <v/>
      </c>
      <c r="BN16" s="39">
        <f>IFERROR(AZ16*$BD16,0)</f>
        <v/>
      </c>
      <c r="BO16" s="39">
        <f>IFERROR(BA16*$BD16,0)</f>
        <v/>
      </c>
      <c r="BP16" s="40" t="n"/>
      <c r="BQ16" s="40">
        <f>IF(VALUE(MID(BQ$5,6,1))&lt;=$D$2,((1+$BD$3)^1-1)*BG16,0)</f>
        <v/>
      </c>
      <c r="BR16" s="40">
        <f>IF(VALUE(MID(BR$5,6,1))&lt;=$D$2,((1+$BD$3)^2-1)*BH16,0)</f>
        <v/>
      </c>
      <c r="BS16" s="40">
        <f>IF(VALUE(MID(BS$5,6,1))&lt;=$D$2,((1+$BD$3)^3-1)*BI16,0)</f>
        <v/>
      </c>
      <c r="BT16" s="40">
        <f>IF(VALUE(MID(BT$5,6,1))&lt;=$D$2,((1+$BD$3)^4-1)*BJ16,0)</f>
        <v/>
      </c>
      <c r="BU16" s="40">
        <f>IF(VALUE(MID(BU$5,6,1))&lt;=$D$2,((1+$BD$3)^5-1)*BK16,0)</f>
        <v/>
      </c>
      <c r="BV16" s="40">
        <f>IF(VALUE(MID(BV$5,6,1))&lt;=$D$2,((1+$BD$3)^6-1)*BL16,0)</f>
        <v/>
      </c>
      <c r="BW16" s="40">
        <f>IF(VALUE(MID(BW$5,6,1))&lt;=$D$2,((1+$BD$3)^7-1)*BM16,0)</f>
        <v/>
      </c>
      <c r="BX16" s="40">
        <f>IF(VALUE(MID(BX$5,6,1))&lt;=$D$2,((1+$BD$3)^8-1)*BN16,0)</f>
        <v/>
      </c>
      <c r="BY16" s="40">
        <f>IF(VALUE(MID(BY$5,6,2))&lt;=$D$2,((1+$BD$3)^9-1)*BO16,0)</f>
        <v/>
      </c>
      <c r="BZ16" s="40">
        <f>SUM(BP16:BY16)</f>
        <v/>
      </c>
      <c r="CA16" s="37">
        <f>SUM(BZ16,BF16:BO16)</f>
        <v/>
      </c>
      <c r="CC16" s="102" t="n"/>
      <c r="CD16" s="12" t="n"/>
      <c r="CE16" s="14">
        <f>IF($CC16="Annual",1,IF($CC16="Monthly F",12,IF($CC16="Monthly V",CD16*12,IF($CC16="One-Time",1,CD16*12))))</f>
        <v/>
      </c>
      <c r="CF16" s="14">
        <f t="array" ref="CF16">IFERROR(_xlfn.IFS(VALUE(MID(CF$5,6,1))&gt;$D$2,0,$CC16="Annual",1,CE16=12,12,$CC16="Monthly V",CE16*(1+$D$3),$CC16="Monthly F",12,$CC16="One-Time",0),CE16*(1+$D$3))</f>
        <v/>
      </c>
      <c r="CG16" s="14">
        <f t="array" ref="CG16">IFERROR(_xlfn.IFS(VALUE(MID(CG$5,6,1))&gt;$D$2,0,$CC16="Annual",1,CF16=12,12,$CC16="Monthly V",CF16*(1+$D$3),$CC16="Monthly F",12,$CC16="One-Time",0),CF16*(1+$D$3))</f>
        <v/>
      </c>
      <c r="CH16" s="14">
        <f t="array" ref="CH16">IFERROR(_xlfn.IFS(VALUE(MID(CH$5,6,1))&gt;$D$2,0,$CC16="Annual",1,CG16=12,12,$CC16="Monthly V",CG16*(1+$D$3),$CC16="Monthly F",12,$CC16="One-Time",0),CG16*(1+$D$3))</f>
        <v/>
      </c>
      <c r="CI16" s="14">
        <f t="array" ref="CI16">IFERROR(_xlfn.IFS(VALUE(MID(CI$5,6,1))&gt;$D$2,0,$CC16="Annual",1,CH16=12,12,$CC16="Monthly V",CH16*(1+$D$3),$CC16="Monthly F",12,$CC16="One-Time",0),CH16*(1+$D$3))</f>
        <v/>
      </c>
      <c r="CJ16" s="14">
        <f t="array" ref="CJ16">IFERROR(_xlfn.IFS(VALUE(MID(CJ$5,6,1))&gt;$D$2,0,$CC16="Annual",1,CI16=12,12,$CC16="Monthly V",CI16*(1+$D$3),$CC16="Monthly F",12,$CC16="One-Time",0),CI16*(1+$D$3))</f>
        <v/>
      </c>
      <c r="CK16" s="14">
        <f t="array" ref="CK16">IFERROR(_xlfn.IFS(VALUE(MID(CK$5,6,1))&gt;$D$2,0,$CC16="Annual",1,CJ16=12,12,$CC16="Monthly V",CJ16*(1+$D$3),$CC16="Monthly F",12,$CC16="One-Time",0),CJ16*(1+$D$3))</f>
        <v/>
      </c>
      <c r="CL16" s="14">
        <f t="array" ref="CL16">IFERROR(_xlfn.IFS(VALUE(MID(CL$5,6,1))&gt;$D$2,0,$CC16="Annual",1,CK16=12,12,$CC16="Monthly V",CK16*(1+$D$3),$CC16="Monthly F",12,$CC16="One-Time",0),CK16*(1+$D$3))</f>
        <v/>
      </c>
      <c r="CM16" s="14">
        <f t="array" ref="CM16">IFERROR(_xlfn.IFS(VALUE(MID(CM$5,6,1))&gt;$D$2,0,$CC16="Annual",1,CL16=12,12,$CC16="Monthly V",CL16*(1+$D$3),$CC16="Monthly F",12,$CC16="One-Time",0),CL16*(1+$D$3))</f>
        <v/>
      </c>
      <c r="CN16" s="24">
        <f t="array" ref="CN16">IFERROR(_xlfn.IFS(VALUE(MID(CN$5,6,2))&gt;$D$2,0,$CC16="Annual",1,CM16=12,12,$CC16="Monthly V",CM16*(1+$D$3),$CC16="Monthly F",12,$CC16="One-Time",0),CM16*(1+$D$3))</f>
        <v/>
      </c>
      <c r="CO16" s="63" t="n"/>
      <c r="CP16" s="53" t="n"/>
      <c r="CQ16" s="21">
        <f>CR16/12</f>
        <v/>
      </c>
      <c r="CR16" s="55">
        <f>IFERROR(CE16*$CP16,0)</f>
        <v/>
      </c>
      <c r="CS16" s="55">
        <f>IFERROR(CF16*$CP16,0)</f>
        <v/>
      </c>
      <c r="CT16" s="55">
        <f>IFERROR(CG16*$CP16,0)</f>
        <v/>
      </c>
      <c r="CU16" s="55">
        <f>IFERROR(CH16*$CP16,0)</f>
        <v/>
      </c>
      <c r="CV16" s="55">
        <f>IFERROR(CI16*$CP16,0)</f>
        <v/>
      </c>
      <c r="CW16" s="55">
        <f>IFERROR(CJ16*$CP16,0)</f>
        <v/>
      </c>
      <c r="CX16" s="55">
        <f>IFERROR(CK16*$CP16,0)</f>
        <v/>
      </c>
      <c r="CY16" s="55">
        <f>IFERROR(CL16*$CP16,0)</f>
        <v/>
      </c>
      <c r="CZ16" s="55">
        <f>IFERROR(CM16*$CP16,0)</f>
        <v/>
      </c>
      <c r="DA16" s="55">
        <f>IFERROR(CN16*$CP16,0)</f>
        <v/>
      </c>
      <c r="DB16" s="56" t="n"/>
      <c r="DC16" s="56">
        <f>IF(VALUE(MID(DC$5,6,1))&lt;=$D$2,((1+$CP$3)^1-1)*CS16,0)</f>
        <v/>
      </c>
      <c r="DD16" s="56">
        <f>IF(VALUE(MID(DD$5,6,1))&lt;=$D$2,((1+$CP$3)^2-1)*CT16,0)</f>
        <v/>
      </c>
      <c r="DE16" s="56">
        <f>IF(VALUE(MID(DE$5,6,1))&lt;=$D$2,((1+$CP$3)^3-1)*CU16,0)</f>
        <v/>
      </c>
      <c r="DF16" s="56">
        <f>IF(VALUE(MID(DF$5,6,1))&lt;=$D$2,((1+$CP$3)^4-1)*CV16,0)</f>
        <v/>
      </c>
      <c r="DG16" s="56">
        <f>IF(VALUE(MID(DG$5,6,1))&lt;=$D$2,((1+$CP$3)^5-1)*CW16,0)</f>
        <v/>
      </c>
      <c r="DH16" s="56">
        <f>IF(VALUE(MID(DH$5,6,1))&lt;=$D$2,((1+$CP$3)^6-1)*CX16,0)</f>
        <v/>
      </c>
      <c r="DI16" s="56">
        <f>IF(VALUE(MID(DI$5,6,1))&lt;=$D$2,((1+$CP$3)^7-1)*CY16,0)</f>
        <v/>
      </c>
      <c r="DJ16" s="56">
        <f>IF(VALUE(MID(DJ$5,6,1))&lt;=$D$2,((1+$CP$3)^8-1)*CZ16,0)</f>
        <v/>
      </c>
      <c r="DK16" s="56">
        <f>IF(VALUE(MID(DK$5,6,2))&lt;=$D$2,((1+$CP$3)^9-1)*DA16,0)</f>
        <v/>
      </c>
      <c r="DL16" s="57">
        <f>SUM(DB16:DK16)</f>
        <v/>
      </c>
      <c r="DM16" s="54">
        <f>SUM(DL16,CR16:DA16)</f>
        <v/>
      </c>
      <c r="DO16" s="106" t="n"/>
    </row>
    <row r="17">
      <c r="B17" s="141" t="n"/>
      <c r="C17" s="24" t="n"/>
      <c r="D17" s="147">
        <f>IFERROR(AVERAGE(C17:C17),0)</f>
        <v/>
      </c>
      <c r="E17" s="142">
        <f>IF($B17="Annual",1,IF($B17="Monthly F",12,IF($B17="Monthly V",D17*12,IF($B17="One-Time",1,D17*12))))</f>
        <v/>
      </c>
      <c r="F17" s="14">
        <f t="array" ref="F17">IFERROR(_xlfn.IFS(VALUE(MID(F$5,6,1))&gt;$D$2,0,$B17="Annual",1,E17=12,12,$B17="Monthly V",E17*(1+$D$3),$B17="Monthly F",12,$B17="One-Time",0),E17*(1+$D$3))</f>
        <v/>
      </c>
      <c r="G17" s="14">
        <f t="array" ref="G17">IFERROR(_xlfn.IFS(VALUE(MID(G$5,6,1))&gt;$D$2,0,$B17="Annual",1,F17=12,12,$B17="Monthly V",F17*(1+$D$3),$B17="Monthly F",12,$B17="One-Time",0),F17*(1+$D$3))</f>
        <v/>
      </c>
      <c r="H17" s="14">
        <f t="array" ref="H17">IFERROR(_xlfn.IFS(VALUE(MID(H$5,6,1))&gt;$D$2,0,$B17="Annual",1,G17=12,12,$B17="Monthly V",G17*(1+$D$3),$B17="Monthly F",12,$B17="One-Time",0),G17*(1+$D$3))</f>
        <v/>
      </c>
      <c r="I17" s="14">
        <f t="array" ref="I17">IFERROR(_xlfn.IFS(VALUE(MID(I$5,6,1))&gt;$D$2,0,$B17="Annual",1,H17=12,12,$B17="Monthly V",H17*(1+$D$3),$B17="Monthly F",12,$B17="One-Time",0),H17*(1+$D$3))</f>
        <v/>
      </c>
      <c r="J17" s="14">
        <f t="array" ref="J17">IFERROR(_xlfn.IFS(VALUE(MID(J$5,6,1))&gt;$D$2,0,$B17="Annual",1,I17=12,12,$B17="Monthly V",I17*(1+$D$3),$B17="Monthly F",12,$B17="One-Time",0),I17*(1+$D$3))</f>
        <v/>
      </c>
      <c r="K17" s="14">
        <f t="array" ref="K17">IFERROR(_xlfn.IFS(VALUE(MID(K$5,6,1))&gt;$D$2,0,$B17="Annual",1,J17=12,12,$B17="Monthly V",J17*(1+$D$3),$B17="Monthly F",12,$B17="One-Time",0),J17*(1+$D$3))</f>
        <v/>
      </c>
      <c r="L17" s="14">
        <f t="array" ref="L17">IFERROR(_xlfn.IFS(VALUE(MID(L$5,6,1))&gt;$D$2,0,$B17="Annual",1,K17=12,12,$B17="Monthly V",K17*(1+$D$3),$B17="Monthly F",12,$B17="One-Time",0),K17*(1+$D$3))</f>
        <v/>
      </c>
      <c r="M17" s="14">
        <f t="array" ref="M17">IFERROR(_xlfn.IFS(VALUE(MID(M$5,6,1))&gt;$D$2,0,$B17="Annual",1,L17=12,12,$B17="Monthly V",L17*(1+$D$3),$B17="Monthly F",12,$B17="One-Time",0),L17*(1+$D$3))</f>
        <v/>
      </c>
      <c r="N17" s="24">
        <f t="array" ref="N17">IFERROR(_xlfn.IFS(VALUE(MID(N$5,6,2))&gt;$D$2,0,$B17="Annual",1,M17=12,12,$B17="Monthly V",M17*(1+$D$3),$B17="Monthly F",12,$B17="One-Time",0),M17*(1+$D$3))</f>
        <v/>
      </c>
      <c r="O17" s="154" t="n"/>
      <c r="P17" s="13" t="n"/>
      <c r="Q17" s="20" t="n"/>
      <c r="R17" s="21">
        <f>S17/12</f>
        <v/>
      </c>
      <c r="S17" s="6">
        <f>IFERROR($Q17*E17,0)</f>
        <v/>
      </c>
      <c r="T17" s="6">
        <f>IFERROR($Q17*F17,0)</f>
        <v/>
      </c>
      <c r="U17" s="6">
        <f>IFERROR($Q17*G17,0)</f>
        <v/>
      </c>
      <c r="V17" s="6">
        <f>IFERROR($Q17*H17,0)</f>
        <v/>
      </c>
      <c r="W17" s="6">
        <f>IFERROR($Q17*I17,0)</f>
        <v/>
      </c>
      <c r="X17" s="6">
        <f>IFERROR($Q17*J17,0)</f>
        <v/>
      </c>
      <c r="Y17" s="6">
        <f>IFERROR($Q17*K17,0)</f>
        <v/>
      </c>
      <c r="Z17" s="6">
        <f>IFERROR($Q17*L17,0)</f>
        <v/>
      </c>
      <c r="AA17" s="6">
        <f>IFERROR($Q17*M17,0)</f>
        <v/>
      </c>
      <c r="AB17" s="6">
        <f>IFERROR($Q17*N17,0)</f>
        <v/>
      </c>
      <c r="AC17" s="7" t="n"/>
      <c r="AD17" s="152">
        <f>IF(VALUE(MID(AD$5,6,1))&lt;=$D$2,((1+$Q$3)^1-1)*T17,0)</f>
        <v/>
      </c>
      <c r="AE17" s="152">
        <f>IF(VALUE(MID(AE$5,6,1))&lt;=$D$2,((1+$Q$3)^2-1)*U17,0)</f>
        <v/>
      </c>
      <c r="AF17" s="152">
        <f>IF(VALUE(MID(AF$5,6,1))&lt;=$D$2,((1+$Q$3)^3-1)*V17,0)</f>
        <v/>
      </c>
      <c r="AG17" s="152">
        <f>IF(VALUE(MID(AG$5,6,1))&lt;=$D$2,((1+$Q$3)^4-1)*W17,0)</f>
        <v/>
      </c>
      <c r="AH17" s="152">
        <f>IF(VALUE(MID(AH$5,6,1))&lt;=$D$2,((1+$Q$3)^5-1)*X17,0)</f>
        <v/>
      </c>
      <c r="AI17" s="152">
        <f>IF(VALUE(MID(AI$5,6,1))&lt;=$D$2,((1+$Q$3)^6-1)*Y17,0)</f>
        <v/>
      </c>
      <c r="AJ17" s="152">
        <f>IF(VALUE(MID(AJ$5,6,1))&lt;=$D$2,((1+$Q$3)^7-1)*Z17,0)</f>
        <v/>
      </c>
      <c r="AK17" s="152">
        <f>IF(VALUE(MID(AK$5,6,1))&lt;=$D$2,((1+$Q$3)^8-1)*AA17,0)</f>
        <v/>
      </c>
      <c r="AL17" s="152">
        <f>IF(VALUE(MID(AL$5,6,2))&lt;=$D$2,((1+$Q$3)^9-1)*AB17,0)</f>
        <v/>
      </c>
      <c r="AM17" s="9">
        <f>SUM(AC17:AL17)</f>
        <v/>
      </c>
      <c r="AN17" s="80">
        <f>SUM(AM17,S17:AB17)</f>
        <v/>
      </c>
      <c r="AP17" s="102" t="inlineStr">
        <is>
          <t>Monthly F</t>
        </is>
      </c>
      <c r="AQ17" s="12" t="n">
        <v>1</v>
      </c>
      <c r="AR17" s="14">
        <f>IF($AP17="Annual",1,IF($AP17="Monthly F",12,IF($AP17="Monthly V",AQ17*12,IF($AP17="One-Time",1,AQ17*12))))</f>
        <v/>
      </c>
      <c r="AS17" s="14">
        <f t="array" ref="AS17">IFERROR(_xlfn.IFS(VALUE(MID(AS$5,6,1))&gt;$D$2,0,$AP17="Annual",1,AR17=12,12,$AP17="Monthly V",AR17*(1+$BD$2),$AP17="Monthly F",12,$AP17="One-Time",0),AR17*(1+$BD$2))</f>
        <v/>
      </c>
      <c r="AT17" s="14">
        <f t="array" ref="AT17">IFERROR(_xlfn.IFS(VALUE(MID(AT$5,6,1))&gt;$D$2,0,$AP17="Annual",1,AS17=12,12,$AP17="Monthly V",AS17*(1+$BD$2),$AP17="Monthly F",12,$AP17="One-Time",0),AS17*(1+$BD$2))</f>
        <v/>
      </c>
      <c r="AU17" s="14">
        <f t="array" ref="AU17">IFERROR(_xlfn.IFS(VALUE(MID(AU$5,6,1))&gt;$D$2,0,$AP17="Annual",1,AT17=12,12,$AP17="Monthly V",AT17*(1+$BD$2),$AP17="Monthly F",12,$AP17="One-Time",0),AT17*(1+$BD$2))</f>
        <v/>
      </c>
      <c r="AV17" s="14">
        <f t="array" ref="AV17">IFERROR(_xlfn.IFS(VALUE(MID(AV$5,6,1))&gt;$D$2,0,$AP17="Annual",1,AU17=12,12,$AP17="Monthly V",AU17*(1+$BD$2),$AP17="Monthly F",12,$AP17="One-Time",0),AU17*(1+$BD$2))</f>
        <v/>
      </c>
      <c r="AW17" s="14">
        <f t="array" ref="AW17">IFERROR(_xlfn.IFS(VALUE(MID(AW$5,6,1))&gt;$D$2,0,$AP17="Annual",1,AV17=12,12,$AP17="Monthly V",AV17*(1+$BD$2),$AP17="Monthly F",12,$AP17="One-Time",0),AV17*(1+$BD$2))</f>
        <v/>
      </c>
      <c r="AX17" s="14">
        <f t="array" ref="AX17">IFERROR(_xlfn.IFS(VALUE(MID(AX$5,6,1))&gt;$D$2,0,$AP17="Annual",1,AW17=12,12,$AP17="Monthly V",AW17*(1+$BD$2),$AP17="Monthly F",12,$AP17="One-Time",0),AW17*(1+$BD$2))</f>
        <v/>
      </c>
      <c r="AY17" s="14">
        <f t="array" ref="AY17">IFERROR(_xlfn.IFS(VALUE(MID(AY$5,6,1))&gt;$D$2,0,$AP17="Annual",1,AX17=12,12,$AP17="Monthly V",AX17*(1+$D$3),$AP17="Monthly F",12,$AP17="One-Time",0),AX17*(1+$D$3))</f>
        <v/>
      </c>
      <c r="AZ17" s="14">
        <f t="array" ref="AZ17">IFERROR(_xlfn.IFS(VALUE(MID(AZ$5,6,1))&gt;$D$2,0,$AP17="Annual",1,AY17=12,12,$AP17="Monthly V",AY17*(1+$D$3),$AP17="Monthly F",12,$AP17="One-Time",0),AY17*(1+$D$3))</f>
        <v/>
      </c>
      <c r="BA17" s="125">
        <f t="array" ref="BA17">IFERROR(_xlfn.IFS(VALUE(MID(BA$5,6,2))&gt;$D$2,0,$AP17="Annual",1,AZ17=12,12,$AP17="Monthly V",AZ17*(1+$D$3),$AP17="Monthly F",12,$AP17="One-Time",0),AZ17*(1+$D$3))</f>
        <v/>
      </c>
      <c r="BB17" s="148" t="inlineStr">
        <is>
          <t>JHA OpenAnywhere Finicity</t>
        </is>
      </c>
      <c r="BC17" s="38" t="inlineStr">
        <is>
          <t>JHA OpenAnywhere</t>
        </is>
      </c>
      <c r="BD17" s="36" t="n">
        <v>200</v>
      </c>
      <c r="BE17" s="21">
        <f>BF17/12</f>
        <v/>
      </c>
      <c r="BF17" s="39">
        <f>IFERROR(AR17*$BD17,0)</f>
        <v/>
      </c>
      <c r="BG17" s="39">
        <f>IFERROR(AS17*$BD17,0)</f>
        <v/>
      </c>
      <c r="BH17" s="39">
        <f>IFERROR(AT17*$BD17,0)</f>
        <v/>
      </c>
      <c r="BI17" s="39">
        <f>BH17*1.03</f>
        <v/>
      </c>
      <c r="BJ17" s="39">
        <f>BI17*1.03</f>
        <v/>
      </c>
      <c r="BK17" s="39">
        <f>BJ17*1.03</f>
        <v/>
      </c>
      <c r="BL17" s="39">
        <f>BK17*1.03</f>
        <v/>
      </c>
      <c r="BM17" s="39">
        <f>IFERROR(AY17*$BD17,0)</f>
        <v/>
      </c>
      <c r="BN17" s="39">
        <f>IFERROR(AZ17*$BD17,0)</f>
        <v/>
      </c>
      <c r="BO17" s="39">
        <f>IFERROR(BA17*$BD17,0)</f>
        <v/>
      </c>
      <c r="BP17" s="40" t="n"/>
      <c r="BQ17" s="40">
        <f>IF(VALUE(MID(BQ$5,6,1))&lt;=$D$2,((1+$BD$3)^1-1)*BG17,0)</f>
        <v/>
      </c>
      <c r="BR17" s="40">
        <f>IF(VALUE(MID(BR$5,6,1))&lt;=$D$2,((1+$BD$3)^2-1)*BH17,0)</f>
        <v/>
      </c>
      <c r="BS17" s="40">
        <f>IF(VALUE(MID(BS$5,6,1))&lt;=$D$2,((1+$BD$3)^3-1)*BI17,0)</f>
        <v/>
      </c>
      <c r="BT17" s="40">
        <f>IF(VALUE(MID(BT$5,6,1))&lt;=$D$2,((1+$BD$3)^4-1)*BJ17,0)</f>
        <v/>
      </c>
      <c r="BU17" s="40">
        <f>IF(VALUE(MID(BU$5,6,1))&lt;=$D$2,((1+$BD$3)^5-1)*BK17,0)</f>
        <v/>
      </c>
      <c r="BV17" s="40">
        <f>IF(VALUE(MID(BV$5,6,1))&lt;=$D$2,((1+$BD$3)^6-1)*BL17,0)</f>
        <v/>
      </c>
      <c r="BW17" s="40">
        <f>IF(VALUE(MID(BW$5,6,1))&lt;=$D$2,((1+$BD$3)^7-1)*BM17,0)</f>
        <v/>
      </c>
      <c r="BX17" s="40">
        <f>IF(VALUE(MID(BX$5,6,1))&lt;=$D$2,((1+$BD$3)^8-1)*BN17,0)</f>
        <v/>
      </c>
      <c r="BY17" s="40">
        <f>IF(VALUE(MID(BY$5,6,2))&lt;=$D$2,((1+$BD$3)^9-1)*BO17,0)</f>
        <v/>
      </c>
      <c r="BZ17" s="40">
        <f>SUM(BP17:BY17)</f>
        <v/>
      </c>
      <c r="CA17" s="37">
        <f>SUM(BZ17,BF17:BO17)</f>
        <v/>
      </c>
      <c r="CC17" s="102" t="n"/>
      <c r="CD17" s="12" t="n"/>
      <c r="CE17" s="14">
        <f>IF($CC17="Annual",1,IF($CC17="Monthly F",12,IF($CC17="Monthly V",CD17*12,IF($CC17="One-Time",1,CD17*12))))</f>
        <v/>
      </c>
      <c r="CF17" s="14">
        <f t="array" ref="CF17">IFERROR(_xlfn.IFS(VALUE(MID(CF$5,6,1))&gt;$D$2,0,$CC17="Annual",1,CE17=12,12,$CC17="Monthly V",CE17*(1+$D$3),$CC17="Monthly F",12,$CC17="One-Time",0),CE17*(1+$D$3))</f>
        <v/>
      </c>
      <c r="CG17" s="14">
        <f t="array" ref="CG17">IFERROR(_xlfn.IFS(VALUE(MID(CG$5,6,1))&gt;$D$2,0,$CC17="Annual",1,CF17=12,12,$CC17="Monthly V",CF17*(1+$D$3),$CC17="Monthly F",12,$CC17="One-Time",0),CF17*(1+$D$3))</f>
        <v/>
      </c>
      <c r="CH17" s="14">
        <f t="array" ref="CH17">IFERROR(_xlfn.IFS(VALUE(MID(CH$5,6,1))&gt;$D$2,0,$CC17="Annual",1,CG17=12,12,$CC17="Monthly V",CG17*(1+$D$3),$CC17="Monthly F",12,$CC17="One-Time",0),CG17*(1+$D$3))</f>
        <v/>
      </c>
      <c r="CI17" s="14">
        <f t="array" ref="CI17">IFERROR(_xlfn.IFS(VALUE(MID(CI$5,6,1))&gt;$D$2,0,$CC17="Annual",1,CH17=12,12,$CC17="Monthly V",CH17*(1+$D$3),$CC17="Monthly F",12,$CC17="One-Time",0),CH17*(1+$D$3))</f>
        <v/>
      </c>
      <c r="CJ17" s="14">
        <f t="array" ref="CJ17">IFERROR(_xlfn.IFS(VALUE(MID(CJ$5,6,1))&gt;$D$2,0,$CC17="Annual",1,CI17=12,12,$CC17="Monthly V",CI17*(1+$D$3),$CC17="Monthly F",12,$CC17="One-Time",0),CI17*(1+$D$3))</f>
        <v/>
      </c>
      <c r="CK17" s="14">
        <f t="array" ref="CK17">IFERROR(_xlfn.IFS(VALUE(MID(CK$5,6,1))&gt;$D$2,0,$CC17="Annual",1,CJ17=12,12,$CC17="Monthly V",CJ17*(1+$D$3),$CC17="Monthly F",12,$CC17="One-Time",0),CJ17*(1+$D$3))</f>
        <v/>
      </c>
      <c r="CL17" s="14">
        <f t="array" ref="CL17">IFERROR(_xlfn.IFS(VALUE(MID(CL$5,6,1))&gt;$D$2,0,$CC17="Annual",1,CK17=12,12,$CC17="Monthly V",CK17*(1+$D$3),$CC17="Monthly F",12,$CC17="One-Time",0),CK17*(1+$D$3))</f>
        <v/>
      </c>
      <c r="CM17" s="14">
        <f t="array" ref="CM17">IFERROR(_xlfn.IFS(VALUE(MID(CM$5,6,1))&gt;$D$2,0,$CC17="Annual",1,CL17=12,12,$CC17="Monthly V",CL17*(1+$D$3),$CC17="Monthly F",12,$CC17="One-Time",0),CL17*(1+$D$3))</f>
        <v/>
      </c>
      <c r="CN17" s="24">
        <f t="array" ref="CN17">IFERROR(_xlfn.IFS(VALUE(MID(CN$5,6,2))&gt;$D$2,0,$CC17="Annual",1,CM17=12,12,$CC17="Monthly V",CM17*(1+$D$3),$CC17="Monthly F",12,$CC17="One-Time",0),CM17*(1+$D$3))</f>
        <v/>
      </c>
      <c r="CO17" s="63" t="n"/>
      <c r="CP17" s="53" t="n"/>
      <c r="CQ17" s="21">
        <f>CR17/12</f>
        <v/>
      </c>
      <c r="CR17" s="55">
        <f>IFERROR(CE17*$CP17,0)</f>
        <v/>
      </c>
      <c r="CS17" s="55">
        <f>IFERROR(CF17*$CP17,0)</f>
        <v/>
      </c>
      <c r="CT17" s="55">
        <f>IFERROR(CG17*$CP17,0)</f>
        <v/>
      </c>
      <c r="CU17" s="55">
        <f>IFERROR(CH17*$CP17,0)</f>
        <v/>
      </c>
      <c r="CV17" s="55">
        <f>IFERROR(CI17*$CP17,0)</f>
        <v/>
      </c>
      <c r="CW17" s="55">
        <f>IFERROR(CJ17*$CP17,0)</f>
        <v/>
      </c>
      <c r="CX17" s="55">
        <f>IFERROR(CK17*$CP17,0)</f>
        <v/>
      </c>
      <c r="CY17" s="55">
        <f>IFERROR(CL17*$CP17,0)</f>
        <v/>
      </c>
      <c r="CZ17" s="55">
        <f>IFERROR(CM17*$CP17,0)</f>
        <v/>
      </c>
      <c r="DA17" s="55">
        <f>IFERROR(CN17*$CP17,0)</f>
        <v/>
      </c>
      <c r="DB17" s="56" t="n"/>
      <c r="DC17" s="56">
        <f>IF(VALUE(MID(DC$5,6,1))&lt;=$D$2,((1+$CP$3)^1-1)*CS17,0)</f>
        <v/>
      </c>
      <c r="DD17" s="56">
        <f>IF(VALUE(MID(DD$5,6,1))&lt;=$D$2,((1+$CP$3)^2-1)*CT17,0)</f>
        <v/>
      </c>
      <c r="DE17" s="56">
        <f>IF(VALUE(MID(DE$5,6,1))&lt;=$D$2,((1+$CP$3)^3-1)*CU17,0)</f>
        <v/>
      </c>
      <c r="DF17" s="56">
        <f>IF(VALUE(MID(DF$5,6,1))&lt;=$D$2,((1+$CP$3)^4-1)*CV17,0)</f>
        <v/>
      </c>
      <c r="DG17" s="56">
        <f>IF(VALUE(MID(DG$5,6,1))&lt;=$D$2,((1+$CP$3)^5-1)*CW17,0)</f>
        <v/>
      </c>
      <c r="DH17" s="56">
        <f>IF(VALUE(MID(DH$5,6,1))&lt;=$D$2,((1+$CP$3)^6-1)*CX17,0)</f>
        <v/>
      </c>
      <c r="DI17" s="56">
        <f>IF(VALUE(MID(DI$5,6,1))&lt;=$D$2,((1+$CP$3)^7-1)*CY17,0)</f>
        <v/>
      </c>
      <c r="DJ17" s="56">
        <f>IF(VALUE(MID(DJ$5,6,1))&lt;=$D$2,((1+$CP$3)^8-1)*CZ17,0)</f>
        <v/>
      </c>
      <c r="DK17" s="56">
        <f>IF(VALUE(MID(DK$5,6,2))&lt;=$D$2,((1+$CP$3)^9-1)*DA17,0)</f>
        <v/>
      </c>
      <c r="DL17" s="57">
        <f>SUM(DB17:DK17)</f>
        <v/>
      </c>
      <c r="DM17" s="54">
        <f>SUM(DL17,CR17:DA17)</f>
        <v/>
      </c>
      <c r="DO17" s="106" t="n"/>
    </row>
    <row r="18">
      <c r="B18" s="141" t="n"/>
      <c r="C18" s="24" t="n"/>
      <c r="D18" s="147" t="n"/>
      <c r="E18" s="142" t="n"/>
      <c r="F18" s="14" t="n"/>
      <c r="G18" s="14" t="n"/>
      <c r="H18" s="14" t="n"/>
      <c r="I18" s="14" t="n"/>
      <c r="J18" s="14" t="n"/>
      <c r="K18" s="14" t="n"/>
      <c r="L18" s="14" t="n"/>
      <c r="M18" s="14" t="n"/>
      <c r="N18" s="24" t="n"/>
      <c r="O18" s="154" t="n"/>
      <c r="P18" s="13" t="n"/>
      <c r="Q18" s="20" t="n"/>
      <c r="R18" s="21" t="n"/>
      <c r="S18" s="6" t="n"/>
      <c r="T18" s="6" t="n"/>
      <c r="U18" s="6" t="n"/>
      <c r="V18" s="6" t="n"/>
      <c r="W18" s="6" t="n"/>
      <c r="X18" s="6" t="n"/>
      <c r="Y18" s="6" t="n"/>
      <c r="Z18" s="6" t="n"/>
      <c r="AA18" s="6" t="n"/>
      <c r="AB18" s="6" t="n"/>
      <c r="AC18" s="7" t="n"/>
      <c r="AD18" s="152" t="n"/>
      <c r="AE18" s="152" t="n"/>
      <c r="AF18" s="152" t="n"/>
      <c r="AG18" s="152" t="n"/>
      <c r="AH18" s="152" t="n"/>
      <c r="AI18" s="152" t="n"/>
      <c r="AJ18" s="152" t="n"/>
      <c r="AK18" s="152" t="n"/>
      <c r="AL18" s="152" t="n"/>
      <c r="AM18" s="9" t="n"/>
      <c r="AN18" s="80" t="n"/>
      <c r="AP18" s="102" t="inlineStr">
        <is>
          <t>Monthly F</t>
        </is>
      </c>
      <c r="AQ18" s="12" t="n">
        <v>1</v>
      </c>
      <c r="AR18" s="14">
        <f>IF($AP18="Annual",1,IF($AP18="Monthly F",12,IF($AP18="Monthly V",AQ18*12,IF($AP18="One-Time",1,AQ18*12))))</f>
        <v/>
      </c>
      <c r="AS18" s="14">
        <f t="array" ref="AS18">IFERROR(_xlfn.IFS(VALUE(MID(AS$5,6,1))&gt;$D$2,0,$AP18="Annual",1,AR18=12,12,$AP18="Monthly V",AR18*(1+$BD$2),$AP18="Monthly F",12,$AP18="One-Time",0),AR18*(1+$BD$2))</f>
        <v/>
      </c>
      <c r="AT18" s="14">
        <f t="array" ref="AT18">IFERROR(_xlfn.IFS(VALUE(MID(AT$5,6,1))&gt;$D$2,0,$AP18="Annual",1,AS18=12,12,$AP18="Monthly V",AS18*(1+$BD$2),$AP18="Monthly F",12,$AP18="One-Time",0),AS18*(1+$BD$2))</f>
        <v/>
      </c>
      <c r="AU18" s="14">
        <f t="array" ref="AU18">IFERROR(_xlfn.IFS(VALUE(MID(AU$5,6,1))&gt;$D$2,0,$AP18="Annual",1,AT18=12,12,$AP18="Monthly V",AT18*(1+$BD$2),$AP18="Monthly F",12,$AP18="One-Time",0),AT18*(1+$BD$2))</f>
        <v/>
      </c>
      <c r="AV18" s="14">
        <f t="array" ref="AV18">IFERROR(_xlfn.IFS(VALUE(MID(AV$5,6,1))&gt;$D$2,0,$AP18="Annual",1,AU18=12,12,$AP18="Monthly V",AU18*(1+$BD$2),$AP18="Monthly F",12,$AP18="One-Time",0),AU18*(1+$BD$2))</f>
        <v/>
      </c>
      <c r="AW18" s="14">
        <f t="array" ref="AW18">IFERROR(_xlfn.IFS(VALUE(MID(AW$5,6,1))&gt;$D$2,0,$AP18="Annual",1,AV18=12,12,$AP18="Monthly V",AV18*(1+$BD$2),$AP18="Monthly F",12,$AP18="One-Time",0),AV18*(1+$BD$2))</f>
        <v/>
      </c>
      <c r="AX18" s="14">
        <f t="array" ref="AX18">IFERROR(_xlfn.IFS(VALUE(MID(AX$5,6,1))&gt;$D$2,0,$AP18="Annual",1,AW18=12,12,$AP18="Monthly V",AW18*(1+$BD$2),$AP18="Monthly F",12,$AP18="One-Time",0),AW18*(1+$BD$2))</f>
        <v/>
      </c>
      <c r="AY18" s="14">
        <f t="array" ref="AY18">IFERROR(_xlfn.IFS(VALUE(MID(AY$5,6,1))&gt;$D$2,0,$AP18="Annual",1,AX18=12,12,$AP18="Monthly V",AX18*(1+$D$3),$AP18="Monthly F",12,$AP18="One-Time",0),AX18*(1+$D$3))</f>
        <v/>
      </c>
      <c r="AZ18" s="14">
        <f t="array" ref="AZ18">IFERROR(_xlfn.IFS(VALUE(MID(AZ$5,6,1))&gt;$D$2,0,$AP18="Annual",1,AY18=12,12,$AP18="Monthly V",AY18*(1+$D$3),$AP18="Monthly F",12,$AP18="One-Time",0),AY18*(1+$D$3))</f>
        <v/>
      </c>
      <c r="BA18" s="125">
        <f t="array" ref="BA18">IFERROR(_xlfn.IFS(VALUE(MID(BA$5,6,2))&gt;$D$2,0,$AP18="Annual",1,AZ18=12,12,$AP18="Monthly V",AZ18*(1+$D$3),$AP18="Monthly F",12,$AP18="One-Time",0),AZ18*(1+$D$3))</f>
        <v/>
      </c>
      <c r="BB18" s="148" t="inlineStr">
        <is>
          <t>Banno</t>
        </is>
      </c>
      <c r="BC18" s="38" t="inlineStr">
        <is>
          <t>Banno</t>
        </is>
      </c>
      <c r="BD18" s="36" t="n">
        <v>500</v>
      </c>
      <c r="BE18" s="21">
        <f>BF18/12</f>
        <v/>
      </c>
      <c r="BF18" s="39">
        <f>IFERROR(AR18*$BD18,0)</f>
        <v/>
      </c>
      <c r="BG18" s="39">
        <f>IFERROR(AS18*$BD18,0)</f>
        <v/>
      </c>
      <c r="BH18" s="39">
        <f>IFERROR(AT18*$BD18,0)</f>
        <v/>
      </c>
      <c r="BI18" s="39">
        <f>BH18*1.03</f>
        <v/>
      </c>
      <c r="BJ18" s="39">
        <f>BI18*1.03</f>
        <v/>
      </c>
      <c r="BK18" s="39">
        <f>BJ18*1.03</f>
        <v/>
      </c>
      <c r="BL18" s="39">
        <f>BK18*1.03</f>
        <v/>
      </c>
      <c r="BM18" s="39">
        <f>IFERROR(AY18*$BD18,0)</f>
        <v/>
      </c>
      <c r="BN18" s="39">
        <f>IFERROR(AZ18*$BD18,0)</f>
        <v/>
      </c>
      <c r="BO18" s="39">
        <f>IFERROR(BA18*$BD18,0)</f>
        <v/>
      </c>
      <c r="BP18" s="40" t="n"/>
      <c r="BQ18" s="40">
        <f>IF(VALUE(MID(BQ$5,6,1))&lt;=$D$2,((1+$BD$3)^1-1)*BG18,0)</f>
        <v/>
      </c>
      <c r="BR18" s="40">
        <f>IF(VALUE(MID(BR$5,6,1))&lt;=$D$2,((1+$BD$3)^2-1)*BH18,0)</f>
        <v/>
      </c>
      <c r="BS18" s="40">
        <f>IF(VALUE(MID(BS$5,6,1))&lt;=$D$2,((1+$BD$3)^3-1)*BI18,0)</f>
        <v/>
      </c>
      <c r="BT18" s="40">
        <f>IF(VALUE(MID(BT$5,6,1))&lt;=$D$2,((1+$BD$3)^4-1)*BJ18,0)</f>
        <v/>
      </c>
      <c r="BU18" s="40">
        <f>IF(VALUE(MID(BU$5,6,1))&lt;=$D$2,((1+$BD$3)^5-1)*BK18,0)</f>
        <v/>
      </c>
      <c r="BV18" s="40">
        <f>IF(VALUE(MID(BV$5,6,1))&lt;=$D$2,((1+$BD$3)^6-1)*BL18,0)</f>
        <v/>
      </c>
      <c r="BW18" s="40">
        <f>IF(VALUE(MID(BW$5,6,1))&lt;=$D$2,((1+$BD$3)^7-1)*BM18,0)</f>
        <v/>
      </c>
      <c r="BX18" s="40">
        <f>IF(VALUE(MID(BX$5,6,1))&lt;=$D$2,((1+$BD$3)^8-1)*BN18,0)</f>
        <v/>
      </c>
      <c r="BY18" s="40">
        <f>IF(VALUE(MID(BY$5,6,2))&lt;=$D$2,((1+$BD$3)^9-1)*BO18,0)</f>
        <v/>
      </c>
      <c r="BZ18" s="40">
        <f>SUM(BP18:BY18)</f>
        <v/>
      </c>
      <c r="CA18" s="37">
        <f>SUM(BZ18,BF18:BO18)</f>
        <v/>
      </c>
      <c r="CC18" s="102" t="n"/>
      <c r="CD18" s="12" t="n"/>
      <c r="CE18" s="14" t="n"/>
      <c r="CF18" s="14" t="n"/>
      <c r="CG18" s="14" t="n"/>
      <c r="CH18" s="14" t="n"/>
      <c r="CI18" s="14" t="n"/>
      <c r="CJ18" s="14" t="n"/>
      <c r="CK18" s="14" t="n"/>
      <c r="CL18" s="14" t="n"/>
      <c r="CM18" s="14" t="n"/>
      <c r="CN18" s="24" t="n"/>
      <c r="CO18" s="63" t="n"/>
      <c r="CP18" s="53" t="n"/>
      <c r="CQ18" s="21" t="n"/>
      <c r="CR18" s="55" t="n"/>
      <c r="CS18" s="55" t="n"/>
      <c r="CT18" s="55" t="n"/>
      <c r="CU18" s="55" t="n"/>
      <c r="CV18" s="55" t="n"/>
      <c r="CW18" s="55" t="n"/>
      <c r="CX18" s="55" t="n"/>
      <c r="CY18" s="55" t="n"/>
      <c r="CZ18" s="55" t="n"/>
      <c r="DA18" s="55" t="n"/>
      <c r="DB18" s="56" t="n"/>
      <c r="DC18" s="56" t="n"/>
      <c r="DD18" s="56" t="n"/>
      <c r="DE18" s="56" t="n"/>
      <c r="DF18" s="56" t="n"/>
      <c r="DG18" s="56" t="n"/>
      <c r="DH18" s="56" t="n"/>
      <c r="DI18" s="56" t="n"/>
      <c r="DJ18" s="56" t="n"/>
      <c r="DK18" s="56" t="n"/>
      <c r="DL18" s="57" t="n"/>
      <c r="DM18" s="54" t="n"/>
      <c r="DO18" s="106" t="n"/>
    </row>
    <row r="19">
      <c r="B19" s="141" t="n"/>
      <c r="C19" s="24" t="n"/>
      <c r="D19" s="147">
        <f>IFERROR(AVERAGE(C19:C19),0)</f>
        <v/>
      </c>
      <c r="E19" s="142">
        <f>IF($B19="Annual",1,IF($B19="Monthly F",12,IF($B19="Monthly V",D19*12,IF($B19="One-Time",1,D19*12))))</f>
        <v/>
      </c>
      <c r="F19" s="14">
        <f t="array" ref="F19">IFERROR(_xlfn.IFS(VALUE(MID(F$5,6,1))&gt;$D$2,0,$B19="Annual",1,E19=12,12,$B19="Monthly V",E19*(1+$D$3),$B19="Monthly F",12,$B19="One-Time",0),E19*(1+$D$3))</f>
        <v/>
      </c>
      <c r="G19" s="14">
        <f t="array" ref="G19">IFERROR(_xlfn.IFS(VALUE(MID(G$5,6,1))&gt;$D$2,0,$B19="Annual",1,F19=12,12,$B19="Monthly V",F19*(1+$D$3),$B19="Monthly F",12,$B19="One-Time",0),F19*(1+$D$3))</f>
        <v/>
      </c>
      <c r="H19" s="14">
        <f t="array" ref="H19">IFERROR(_xlfn.IFS(VALUE(MID(H$5,6,1))&gt;$D$2,0,$B19="Annual",1,G19=12,12,$B19="Monthly V",G19*(1+$D$3),$B19="Monthly F",12,$B19="One-Time",0),G19*(1+$D$3))</f>
        <v/>
      </c>
      <c r="I19" s="14">
        <f t="array" ref="I19">IFERROR(_xlfn.IFS(VALUE(MID(I$5,6,1))&gt;$D$2,0,$B19="Annual",1,H19=12,12,$B19="Monthly V",H19*(1+$D$3),$B19="Monthly F",12,$B19="One-Time",0),H19*(1+$D$3))</f>
        <v/>
      </c>
      <c r="J19" s="14">
        <f t="array" ref="J19">IFERROR(_xlfn.IFS(VALUE(MID(J$5,6,1))&gt;$D$2,0,$B19="Annual",1,I19=12,12,$B19="Monthly V",I19*(1+$D$3),$B19="Monthly F",12,$B19="One-Time",0),I19*(1+$D$3))</f>
        <v/>
      </c>
      <c r="K19" s="14">
        <f t="array" ref="K19">IFERROR(_xlfn.IFS(VALUE(MID(K$5,6,1))&gt;$D$2,0,$B19="Annual",1,J19=12,12,$B19="Monthly V",J19*(1+$D$3),$B19="Monthly F",12,$B19="One-Time",0),J19*(1+$D$3))</f>
        <v/>
      </c>
      <c r="L19" s="14">
        <f t="array" ref="L19">IFERROR(_xlfn.IFS(VALUE(MID(L$5,6,1))&gt;$D$2,0,$B19="Annual",1,K19=12,12,$B19="Monthly V",K19*(1+$D$3),$B19="Monthly F",12,$B19="One-Time",0),K19*(1+$D$3))</f>
        <v/>
      </c>
      <c r="M19" s="14">
        <f t="array" ref="M19">IFERROR(_xlfn.IFS(VALUE(MID(M$5,6,1))&gt;$D$2,0,$B19="Annual",1,L19=12,12,$B19="Monthly V",L19*(1+$D$3),$B19="Monthly F",12,$B19="One-Time",0),L19*(1+$D$3))</f>
        <v/>
      </c>
      <c r="N19" s="24">
        <f t="array" ref="N19">IFERROR(_xlfn.IFS(VALUE(MID(N$5,6,2))&gt;$D$2,0,$B19="Annual",1,M19=12,12,$B19="Monthly V",M19*(1+$D$3),$B19="Monthly F",12,$B19="One-Time",0),M19*(1+$D$3))</f>
        <v/>
      </c>
      <c r="O19" s="154" t="n"/>
      <c r="P19" s="13" t="n"/>
      <c r="Q19" s="20" t="n"/>
      <c r="R19" s="21">
        <f>S19/12</f>
        <v/>
      </c>
      <c r="S19" s="6">
        <f>IFERROR($Q19*E19,0)</f>
        <v/>
      </c>
      <c r="T19" s="6">
        <f>IFERROR($Q19*F19,0)</f>
        <v/>
      </c>
      <c r="U19" s="6">
        <f>IFERROR($Q19*G19,0)</f>
        <v/>
      </c>
      <c r="V19" s="6">
        <f>IFERROR($Q19*H19,0)</f>
        <v/>
      </c>
      <c r="W19" s="6">
        <f>IFERROR($Q19*I19,0)</f>
        <v/>
      </c>
      <c r="X19" s="6">
        <f>IFERROR($Q19*J19,0)</f>
        <v/>
      </c>
      <c r="Y19" s="6">
        <f>IFERROR($Q19*K19,0)</f>
        <v/>
      </c>
      <c r="Z19" s="6">
        <f>IFERROR($Q19*L19,0)</f>
        <v/>
      </c>
      <c r="AA19" s="6">
        <f>IFERROR($Q19*M19,0)</f>
        <v/>
      </c>
      <c r="AB19" s="6">
        <f>IFERROR($Q19*N19,0)</f>
        <v/>
      </c>
      <c r="AC19" s="7" t="n"/>
      <c r="AD19" s="152">
        <f>IF(VALUE(MID(AD$5,6,1))&lt;=$D$2,((1+$Q$3)^1-1)*T19,0)</f>
        <v/>
      </c>
      <c r="AE19" s="152">
        <f>IF(VALUE(MID(AE$5,6,1))&lt;=$D$2,((1+$Q$3)^2-1)*U19,0)</f>
        <v/>
      </c>
      <c r="AF19" s="152">
        <f>IF(VALUE(MID(AF$5,6,1))&lt;=$D$2,((1+$Q$3)^3-1)*V19,0)</f>
        <v/>
      </c>
      <c r="AG19" s="152">
        <f>IF(VALUE(MID(AG$5,6,1))&lt;=$D$2,((1+$Q$3)^4-1)*W19,0)</f>
        <v/>
      </c>
      <c r="AH19" s="152">
        <f>IF(VALUE(MID(AH$5,6,1))&lt;=$D$2,((1+$Q$3)^5-1)*X19,0)</f>
        <v/>
      </c>
      <c r="AI19" s="152">
        <f>IF(VALUE(MID(AI$5,6,1))&lt;=$D$2,((1+$Q$3)^6-1)*Y19,0)</f>
        <v/>
      </c>
      <c r="AJ19" s="152">
        <f>IF(VALUE(MID(AJ$5,6,1))&lt;=$D$2,((1+$Q$3)^7-1)*Z19,0)</f>
        <v/>
      </c>
      <c r="AK19" s="152">
        <f>IF(VALUE(MID(AK$5,6,1))&lt;=$D$2,((1+$Q$3)^8-1)*AA19,0)</f>
        <v/>
      </c>
      <c r="AL19" s="152">
        <f>IF(VALUE(MID(AL$5,6,2))&lt;=$D$2,((1+$Q$3)^9-1)*AB19,0)</f>
        <v/>
      </c>
      <c r="AM19" s="9">
        <f>SUM(AC19:AL19)</f>
        <v/>
      </c>
      <c r="AN19" s="80">
        <f>SUM(AM19,S19:AB19)</f>
        <v/>
      </c>
      <c r="AP19" s="102" t="inlineStr">
        <is>
          <t>Monthly F</t>
        </is>
      </c>
      <c r="AQ19" s="12" t="n">
        <v>1</v>
      </c>
      <c r="AR19" s="14">
        <f>IF($AP19="Annual",1,IF($AP19="Monthly F",12,IF($AP19="Monthly V",AQ19*12,IF($AP19="One-Time",1,AQ19*12))))</f>
        <v/>
      </c>
      <c r="AS19" s="14">
        <f t="array" ref="AS19">IFERROR(_xlfn.IFS(VALUE(MID(AS$5,6,1))&gt;$D$2,0,$AP19="Annual",1,AR19=12,12,$AP19="Monthly V",AR19*(1+$BD$2),$AP19="Monthly F",12,$AP19="One-Time",0),AR19*(1+$BD$2))</f>
        <v/>
      </c>
      <c r="AT19" s="14">
        <f t="array" ref="AT19">IFERROR(_xlfn.IFS(VALUE(MID(AT$5,6,1))&gt;$D$2,0,$AP19="Annual",1,AS19=12,12,$AP19="Monthly V",AS19*(1+$BD$2),$AP19="Monthly F",12,$AP19="One-Time",0),AS19*(1+$BD$2))</f>
        <v/>
      </c>
      <c r="AU19" s="14">
        <f t="array" ref="AU19">IFERROR(_xlfn.IFS(VALUE(MID(AU$5,6,1))&gt;$D$2,0,$AP19="Annual",1,AT19=12,12,$AP19="Monthly V",AT19*(1+$BD$2),$AP19="Monthly F",12,$AP19="One-Time",0),AT19*(1+$BD$2))</f>
        <v/>
      </c>
      <c r="AV19" s="14">
        <f t="array" ref="AV19">IFERROR(_xlfn.IFS(VALUE(MID(AV$5,6,1))&gt;$D$2,0,$AP19="Annual",1,AU19=12,12,$AP19="Monthly V",AU19*(1+$BD$2),$AP19="Monthly F",12,$AP19="One-Time",0),AU19*(1+$BD$2))</f>
        <v/>
      </c>
      <c r="AW19" s="14">
        <f t="array" ref="AW19">IFERROR(_xlfn.IFS(VALUE(MID(AW$5,6,1))&gt;$D$2,0,$AP19="Annual",1,AV19=12,12,$AP19="Monthly V",AV19*(1+$BD$2),$AP19="Monthly F",12,$AP19="One-Time",0),AV19*(1+$BD$2))</f>
        <v/>
      </c>
      <c r="AX19" s="14">
        <f t="array" ref="AX19">IFERROR(_xlfn.IFS(VALUE(MID(AX$5,6,1))&gt;$D$2,0,$AP19="Annual",1,AW19=12,12,$AP19="Monthly V",AW19*(1+$BD$2),$AP19="Monthly F",12,$AP19="One-Time",0),AW19*(1+$BD$2))</f>
        <v/>
      </c>
      <c r="AY19" s="14">
        <f t="array" ref="AY19">IFERROR(_xlfn.IFS(VALUE(MID(AY$5,6,1))&gt;$D$2,0,$AP19="Annual",1,AX19=12,12,$AP19="Monthly V",AX19*(1+$D$3),$AP19="Monthly F",12,$AP19="One-Time",0),AX19*(1+$D$3))</f>
        <v/>
      </c>
      <c r="AZ19" s="14">
        <f t="array" ref="AZ19">IFERROR(_xlfn.IFS(VALUE(MID(AZ$5,6,1))&gt;$D$2,0,$AP19="Annual",1,AY19=12,12,$AP19="Monthly V",AY19*(1+$D$3),$AP19="Monthly F",12,$AP19="One-Time",0),AY19*(1+$D$3))</f>
        <v/>
      </c>
      <c r="BA19" s="125">
        <f t="array" ref="BA19">IFERROR(_xlfn.IFS(VALUE(MID(BA$5,6,2))&gt;$D$2,0,$AP19="Annual",1,AZ19=12,12,$AP19="Monthly V",AZ19*(1+$D$3),$AP19="Monthly F",12,$AP19="One-Time",0),AZ19*(1+$D$3))</f>
        <v/>
      </c>
      <c r="BB19" s="148" t="inlineStr">
        <is>
          <t>Jack Henry Digital Card Issuance and Provisioning - Mastercard</t>
        </is>
      </c>
      <c r="BC19" s="38" t="inlineStr">
        <is>
          <t>Banno</t>
        </is>
      </c>
      <c r="BD19" s="36" t="n">
        <v>50</v>
      </c>
      <c r="BE19" s="21">
        <f>BF19/12</f>
        <v/>
      </c>
      <c r="BF19" s="39">
        <f>IFERROR(AR19*$BD19,0)</f>
        <v/>
      </c>
      <c r="BG19" s="39">
        <f>IFERROR(AS19*$BD19,0)</f>
        <v/>
      </c>
      <c r="BH19" s="39">
        <f>IFERROR(AT19*$BD19,0)</f>
        <v/>
      </c>
      <c r="BI19" s="39">
        <f>BH19*1.03</f>
        <v/>
      </c>
      <c r="BJ19" s="39">
        <f>BI19*1.03</f>
        <v/>
      </c>
      <c r="BK19" s="39">
        <f>BJ19*1.03</f>
        <v/>
      </c>
      <c r="BL19" s="39">
        <f>BK19*1.03</f>
        <v/>
      </c>
      <c r="BM19" s="39">
        <f>IFERROR(AY19*$BD19,0)</f>
        <v/>
      </c>
      <c r="BN19" s="39">
        <f>IFERROR(AZ19*$BD19,0)</f>
        <v/>
      </c>
      <c r="BO19" s="39">
        <f>IFERROR(BA19*$BD19,0)</f>
        <v/>
      </c>
      <c r="BP19" s="40" t="n"/>
      <c r="BQ19" s="40">
        <f>IF(VALUE(MID(BQ$5,6,1))&lt;=$D$2,((1+$BD$3)^1-1)*BG19,0)</f>
        <v/>
      </c>
      <c r="BR19" s="40">
        <f>IF(VALUE(MID(BR$5,6,1))&lt;=$D$2,((1+$BD$3)^2-1)*BH19,0)</f>
        <v/>
      </c>
      <c r="BS19" s="40">
        <f>IF(VALUE(MID(BS$5,6,1))&lt;=$D$2,((1+$BD$3)^3-1)*BI19,0)</f>
        <v/>
      </c>
      <c r="BT19" s="40">
        <f>IF(VALUE(MID(BT$5,6,1))&lt;=$D$2,((1+$BD$3)^4-1)*BJ19,0)</f>
        <v/>
      </c>
      <c r="BU19" s="40">
        <f>IF(VALUE(MID(BU$5,6,1))&lt;=$D$2,((1+$BD$3)^5-1)*BK19,0)</f>
        <v/>
      </c>
      <c r="BV19" s="40">
        <f>IF(VALUE(MID(BV$5,6,1))&lt;=$D$2,((1+$BD$3)^6-1)*BL19,0)</f>
        <v/>
      </c>
      <c r="BW19" s="40">
        <f>IF(VALUE(MID(BW$5,6,1))&lt;=$D$2,((1+$BD$3)^7-1)*BM19,0)</f>
        <v/>
      </c>
      <c r="BX19" s="40">
        <f>IF(VALUE(MID(BX$5,6,1))&lt;=$D$2,((1+$BD$3)^8-1)*BN19,0)</f>
        <v/>
      </c>
      <c r="BY19" s="40">
        <f>IF(VALUE(MID(BY$5,6,2))&lt;=$D$2,((1+$BD$3)^9-1)*BO19,0)</f>
        <v/>
      </c>
      <c r="BZ19" s="40">
        <f>SUM(BP19:BY19)</f>
        <v/>
      </c>
      <c r="CA19" s="37">
        <f>SUM(BZ19,BF19:BO19)</f>
        <v/>
      </c>
      <c r="CC19" s="102" t="n"/>
      <c r="CD19" s="12" t="n"/>
      <c r="CE19" s="14">
        <f>IF($CC19="Annual",1,IF($CC19="Monthly F",12,IF($CC19="Monthly V",CD19*12,IF($CC19="One-Time",1,CD19*12))))</f>
        <v/>
      </c>
      <c r="CF19" s="14">
        <f t="array" ref="CF19">IFERROR(_xlfn.IFS(VALUE(MID(CF$5,6,1))&gt;$D$2,0,$CC19="Annual",1,CE19=12,12,$CC19="Monthly V",CE19*(1+$D$3),$CC19="Monthly F",12,$CC19="One-Time",0),CE19*(1+$D$3))</f>
        <v/>
      </c>
      <c r="CG19" s="14">
        <f t="array" ref="CG19">IFERROR(_xlfn.IFS(VALUE(MID(CG$5,6,1))&gt;$D$2,0,$CC19="Annual",1,CF19=12,12,$CC19="Monthly V",CF19*(1+$D$3),$CC19="Monthly F",12,$CC19="One-Time",0),CF19*(1+$D$3))</f>
        <v/>
      </c>
      <c r="CH19" s="14">
        <f t="array" ref="CH19">IFERROR(_xlfn.IFS(VALUE(MID(CH$5,6,1))&gt;$D$2,0,$CC19="Annual",1,CG19=12,12,$CC19="Monthly V",CG19*(1+$D$3),$CC19="Monthly F",12,$CC19="One-Time",0),CG19*(1+$D$3))</f>
        <v/>
      </c>
      <c r="CI19" s="14">
        <f t="array" ref="CI19">IFERROR(_xlfn.IFS(VALUE(MID(CI$5,6,1))&gt;$D$2,0,$CC19="Annual",1,CH19=12,12,$CC19="Monthly V",CH19*(1+$D$3),$CC19="Monthly F",12,$CC19="One-Time",0),CH19*(1+$D$3))</f>
        <v/>
      </c>
      <c r="CJ19" s="14">
        <f t="array" ref="CJ19">IFERROR(_xlfn.IFS(VALUE(MID(CJ$5,6,1))&gt;$D$2,0,$CC19="Annual",1,CI19=12,12,$CC19="Monthly V",CI19*(1+$D$3),$CC19="Monthly F",12,$CC19="One-Time",0),CI19*(1+$D$3))</f>
        <v/>
      </c>
      <c r="CK19" s="14">
        <f t="array" ref="CK19">IFERROR(_xlfn.IFS(VALUE(MID(CK$5,6,1))&gt;$D$2,0,$CC19="Annual",1,CJ19=12,12,$CC19="Monthly V",CJ19*(1+$D$3),$CC19="Monthly F",12,$CC19="One-Time",0),CJ19*(1+$D$3))</f>
        <v/>
      </c>
      <c r="CL19" s="14">
        <f t="array" ref="CL19">IFERROR(_xlfn.IFS(VALUE(MID(CL$5,6,1))&gt;$D$2,0,$CC19="Annual",1,CK19=12,12,$CC19="Monthly V",CK19*(1+$D$3),$CC19="Monthly F",12,$CC19="One-Time",0),CK19*(1+$D$3))</f>
        <v/>
      </c>
      <c r="CM19" s="14">
        <f t="array" ref="CM19">IFERROR(_xlfn.IFS(VALUE(MID(CM$5,6,1))&gt;$D$2,0,$CC19="Annual",1,CL19=12,12,$CC19="Monthly V",CL19*(1+$D$3),$CC19="Monthly F",12,$CC19="One-Time",0),CL19*(1+$D$3))</f>
        <v/>
      </c>
      <c r="CN19" s="24">
        <f t="array" ref="CN19">IFERROR(_xlfn.IFS(VALUE(MID(CN$5,6,2))&gt;$D$2,0,$CC19="Annual",1,CM19=12,12,$CC19="Monthly V",CM19*(1+$D$3),$CC19="Monthly F",12,$CC19="One-Time",0),CM19*(1+$D$3))</f>
        <v/>
      </c>
      <c r="CO19" s="63" t="n"/>
      <c r="CP19" s="53" t="n"/>
      <c r="CQ19" s="21">
        <f>CR19/12</f>
        <v/>
      </c>
      <c r="CR19" s="55">
        <f>IFERROR(CE19*$CP19,0)</f>
        <v/>
      </c>
      <c r="CS19" s="55">
        <f>IFERROR(CF19*$CP19,0)</f>
        <v/>
      </c>
      <c r="CT19" s="55">
        <f>IFERROR(CG19*$CP19,0)</f>
        <v/>
      </c>
      <c r="CU19" s="55">
        <f>IFERROR(CH19*$CP19,0)</f>
        <v/>
      </c>
      <c r="CV19" s="55">
        <f>IFERROR(CI19*$CP19,0)</f>
        <v/>
      </c>
      <c r="CW19" s="55">
        <f>IFERROR(CJ19*$CP19,0)</f>
        <v/>
      </c>
      <c r="CX19" s="55">
        <f>IFERROR(CK19*$CP19,0)</f>
        <v/>
      </c>
      <c r="CY19" s="55">
        <f>IFERROR(CL19*$CP19,0)</f>
        <v/>
      </c>
      <c r="CZ19" s="55">
        <f>IFERROR(CM19*$CP19,0)</f>
        <v/>
      </c>
      <c r="DA19" s="55">
        <f>IFERROR(CN19*$CP19,0)</f>
        <v/>
      </c>
      <c r="DB19" s="56" t="n"/>
      <c r="DC19" s="56">
        <f>IF(VALUE(MID(DC$5,6,1))&lt;=$D$2,((1+$CP$3)^1-1)*CS19,0)</f>
        <v/>
      </c>
      <c r="DD19" s="56">
        <f>IF(VALUE(MID(DD$5,6,1))&lt;=$D$2,((1+$CP$3)^2-1)*CT19,0)</f>
        <v/>
      </c>
      <c r="DE19" s="56">
        <f>IF(VALUE(MID(DE$5,6,1))&lt;=$D$2,((1+$CP$3)^3-1)*CU19,0)</f>
        <v/>
      </c>
      <c r="DF19" s="56">
        <f>IF(VALUE(MID(DF$5,6,1))&lt;=$D$2,((1+$CP$3)^4-1)*CV19,0)</f>
        <v/>
      </c>
      <c r="DG19" s="56">
        <f>IF(VALUE(MID(DG$5,6,1))&lt;=$D$2,((1+$CP$3)^5-1)*CW19,0)</f>
        <v/>
      </c>
      <c r="DH19" s="56">
        <f>IF(VALUE(MID(DH$5,6,1))&lt;=$D$2,((1+$CP$3)^6-1)*CX19,0)</f>
        <v/>
      </c>
      <c r="DI19" s="56">
        <f>IF(VALUE(MID(DI$5,6,1))&lt;=$D$2,((1+$CP$3)^7-1)*CY19,0)</f>
        <v/>
      </c>
      <c r="DJ19" s="56">
        <f>IF(VALUE(MID(DJ$5,6,1))&lt;=$D$2,((1+$CP$3)^8-1)*CZ19,0)</f>
        <v/>
      </c>
      <c r="DK19" s="56">
        <f>IF(VALUE(MID(DK$5,6,2))&lt;=$D$2,((1+$CP$3)^9-1)*DA19,0)</f>
        <v/>
      </c>
      <c r="DL19" s="57">
        <f>SUM(DB19:DK19)</f>
        <v/>
      </c>
      <c r="DM19" s="54">
        <f>SUM(DL19,CR19:DA19)</f>
        <v/>
      </c>
      <c r="DO19" s="106" t="n"/>
    </row>
    <row r="20" ht="15.75" customHeight="1" thickBot="1">
      <c r="B20" s="141" t="n"/>
      <c r="C20" s="24" t="n"/>
      <c r="D20" s="147">
        <f>IFERROR(AVERAGE(C20:C20),0)</f>
        <v/>
      </c>
      <c r="E20" s="142">
        <f>IF($B20="Annual",1,IF($B20="Monthly F",12,IF($B20="Monthly V",D20*12,IF($B20="One-Time",1,D20*12))))</f>
        <v/>
      </c>
      <c r="F20" s="14">
        <f t="array" ref="F20">IFERROR(_xlfn.IFS(VALUE(MID(F$5,6,1))&gt;$D$2,0,$B20="Annual",1,E20=12,12,$B20="Monthly V",E20*(1+$D$3),$B20="Monthly F",12,$B20="One-Time",0),E20*(1+$D$3))</f>
        <v/>
      </c>
      <c r="G20" s="14">
        <f t="array" ref="G20">IFERROR(_xlfn.IFS(VALUE(MID(G$5,6,1))&gt;$D$2,0,$B20="Annual",1,F20=12,12,$B20="Monthly V",F20*(1+$D$3),$B20="Monthly F",12,$B20="One-Time",0),F20*(1+$D$3))</f>
        <v/>
      </c>
      <c r="H20" s="14">
        <f t="array" ref="H20">IFERROR(_xlfn.IFS(VALUE(MID(H$5,6,1))&gt;$D$2,0,$B20="Annual",1,G20=12,12,$B20="Monthly V",G20*(1+$D$3),$B20="Monthly F",12,$B20="One-Time",0),G20*(1+$D$3))</f>
        <v/>
      </c>
      <c r="I20" s="14">
        <f t="array" ref="I20">IFERROR(_xlfn.IFS(VALUE(MID(I$5,6,1))&gt;$D$2,0,$B20="Annual",1,H20=12,12,$B20="Monthly V",H20*(1+$D$3),$B20="Monthly F",12,$B20="One-Time",0),H20*(1+$D$3))</f>
        <v/>
      </c>
      <c r="J20" s="14">
        <f t="array" ref="J20">IFERROR(_xlfn.IFS(VALUE(MID(J$5,6,1))&gt;$D$2,0,$B20="Annual",1,I20=12,12,$B20="Monthly V",I20*(1+$D$3),$B20="Monthly F",12,$B20="One-Time",0),I20*(1+$D$3))</f>
        <v/>
      </c>
      <c r="K20" s="14">
        <f t="array" ref="K20">IFERROR(_xlfn.IFS(VALUE(MID(K$5,6,1))&gt;$D$2,0,$B20="Annual",1,J20=12,12,$B20="Monthly V",J20*(1+$D$3),$B20="Monthly F",12,$B20="One-Time",0),J20*(1+$D$3))</f>
        <v/>
      </c>
      <c r="L20" s="14">
        <f t="array" ref="L20">IFERROR(_xlfn.IFS(VALUE(MID(L$5,6,1))&gt;$D$2,0,$B20="Annual",1,K20=12,12,$B20="Monthly V",K20*(1+$D$3),$B20="Monthly F",12,$B20="One-Time",0),K20*(1+$D$3))</f>
        <v/>
      </c>
      <c r="M20" s="14">
        <f t="array" ref="M20">IFERROR(_xlfn.IFS(VALUE(MID(M$5,6,1))&gt;$D$2,0,$B20="Annual",1,L20=12,12,$B20="Monthly V",L20*(1+$D$3),$B20="Monthly F",12,$B20="One-Time",0),L20*(1+$D$3))</f>
        <v/>
      </c>
      <c r="N20" s="24">
        <f t="array" ref="N20">IFERROR(_xlfn.IFS(VALUE(MID(N$5,6,2))&gt;$D$2,0,$B20="Annual",1,M20=12,12,$B20="Monthly V",M20*(1+$D$3),$B20="Monthly F",12,$B20="One-Time",0),M20*(1+$D$3))</f>
        <v/>
      </c>
      <c r="O20" s="154" t="n"/>
      <c r="P20" s="13" t="n"/>
      <c r="Q20" s="20" t="n"/>
      <c r="R20" s="21">
        <f>S20/12</f>
        <v/>
      </c>
      <c r="S20" s="6">
        <f>IFERROR($Q20*E20,0)</f>
        <v/>
      </c>
      <c r="T20" s="6">
        <f>IFERROR($Q20*F20,0)</f>
        <v/>
      </c>
      <c r="U20" s="6">
        <f>IFERROR($Q20*G20,0)</f>
        <v/>
      </c>
      <c r="V20" s="6">
        <f>IFERROR($Q20*H20,0)</f>
        <v/>
      </c>
      <c r="W20" s="6">
        <f>IFERROR($Q20*I20,0)</f>
        <v/>
      </c>
      <c r="X20" s="6">
        <f>IFERROR($Q20*J20,0)</f>
        <v/>
      </c>
      <c r="Y20" s="6">
        <f>IFERROR($Q20*K20,0)</f>
        <v/>
      </c>
      <c r="Z20" s="6">
        <f>IFERROR($Q20*L20,0)</f>
        <v/>
      </c>
      <c r="AA20" s="6">
        <f>IFERROR($Q20*M20,0)</f>
        <v/>
      </c>
      <c r="AB20" s="6">
        <f>IFERROR($Q20*N20,0)</f>
        <v/>
      </c>
      <c r="AC20" s="7" t="n"/>
      <c r="AD20" s="152">
        <f>IF(VALUE(MID(AD$5,6,1))&lt;=$D$2,((1+$Q$3)^1-1)*T20,0)</f>
        <v/>
      </c>
      <c r="AE20" s="152">
        <f>IF(VALUE(MID(AE$5,6,1))&lt;=$D$2,((1+$Q$3)^2-1)*U20,0)</f>
        <v/>
      </c>
      <c r="AF20" s="152">
        <f>IF(VALUE(MID(AF$5,6,1))&lt;=$D$2,((1+$Q$3)^3-1)*V20,0)</f>
        <v/>
      </c>
      <c r="AG20" s="152">
        <f>IF(VALUE(MID(AG$5,6,1))&lt;=$D$2,((1+$Q$3)^4-1)*W20,0)</f>
        <v/>
      </c>
      <c r="AH20" s="152">
        <f>IF(VALUE(MID(AH$5,6,1))&lt;=$D$2,((1+$Q$3)^5-1)*X20,0)</f>
        <v/>
      </c>
      <c r="AI20" s="152">
        <f>IF(VALUE(MID(AI$5,6,1))&lt;=$D$2,((1+$Q$3)^6-1)*Y20,0)</f>
        <v/>
      </c>
      <c r="AJ20" s="152">
        <f>IF(VALUE(MID(AJ$5,6,1))&lt;=$D$2,((1+$Q$3)^7-1)*Z20,0)</f>
        <v/>
      </c>
      <c r="AK20" s="152">
        <f>IF(VALUE(MID(AK$5,6,1))&lt;=$D$2,((1+$Q$3)^8-1)*AA20,0)</f>
        <v/>
      </c>
      <c r="AL20" s="152">
        <f>IF(VALUE(MID(AL$5,6,2))&lt;=$D$2,((1+$Q$3)^9-1)*AB20,0)</f>
        <v/>
      </c>
      <c r="AM20" s="9">
        <f>SUM(AC20:AL20)</f>
        <v/>
      </c>
      <c r="AN20" s="80">
        <f>SUM(AM20,S20:AB20)</f>
        <v/>
      </c>
      <c r="AP20" s="102" t="inlineStr">
        <is>
          <t>Monthly V</t>
        </is>
      </c>
      <c r="AQ20" s="12" t="n">
        <v>5000</v>
      </c>
      <c r="AR20" s="14">
        <f>IF($AP20="Annual",1,IF($AP20="Monthly F",12,IF($AP20="Monthly V",AQ20*12,IF($AP20="One-Time",1,AQ20*12))))</f>
        <v/>
      </c>
      <c r="AS20" s="14">
        <f t="array" ref="AS20">IFERROR(_xlfn.IFS(VALUE(MID(AS$5,6,1))&gt;$D$2,0,$AP20="Annual",1,AR20=12,12,$AP20="Monthly V",AR20*(1+$BD$2),$AP20="Monthly F",12,$AP20="One-Time",0),AR20*(1+$BD$2))</f>
        <v/>
      </c>
      <c r="AT20" s="14">
        <f t="array" ref="AT20">IFERROR(_xlfn.IFS(VALUE(MID(AT$5,6,1))&gt;$D$2,0,$AP20="Annual",1,AS20=12,12,$AP20="Monthly V",AS20*(1+$BD$2),$AP20="Monthly F",12,$AP20="One-Time",0),AS20*(1+$BD$2))</f>
        <v/>
      </c>
      <c r="AU20" s="14">
        <f t="array" ref="AU20">IFERROR(_xlfn.IFS(VALUE(MID(AU$5,6,1))&gt;$D$2,0,$AP20="Annual",1,AT20=12,12,$AP20="Monthly V",AT20*(1+$BD$2),$AP20="Monthly F",12,$AP20="One-Time",0),AT20*(1+$BD$2))</f>
        <v/>
      </c>
      <c r="AV20" s="14">
        <f t="array" ref="AV20">IFERROR(_xlfn.IFS(VALUE(MID(AV$5,6,1))&gt;$D$2,0,$AP20="Annual",1,AU20=12,12,$AP20="Monthly V",AU20*(1+$BD$2),$AP20="Monthly F",12,$AP20="One-Time",0),AU20*(1+$BD$2))</f>
        <v/>
      </c>
      <c r="AW20" s="14">
        <f t="array" ref="AW20">IFERROR(_xlfn.IFS(VALUE(MID(AW$5,6,1))&gt;$D$2,0,$AP20="Annual",1,AV20=12,12,$AP20="Monthly V",AV20*(1+$BD$2),$AP20="Monthly F",12,$AP20="One-Time",0),AV20*(1+$BD$2))</f>
        <v/>
      </c>
      <c r="AX20" s="14">
        <f t="array" ref="AX20">IFERROR(_xlfn.IFS(VALUE(MID(AX$5,6,1))&gt;$D$2,0,$AP20="Annual",1,AW20=12,12,$AP20="Monthly V",AW20*(1+$BD$2),$AP20="Monthly F",12,$AP20="One-Time",0),AW20*(1+$BD$2))</f>
        <v/>
      </c>
      <c r="AY20" s="14">
        <f t="array" ref="AY20">IFERROR(_xlfn.IFS(VALUE(MID(AY$5,6,1))&gt;$D$2,0,$AP20="Annual",1,AX20=12,12,$AP20="Monthly V",AX20*(1+$D$3),$AP20="Monthly F",12,$AP20="One-Time",0),AX20*(1+$D$3))</f>
        <v/>
      </c>
      <c r="AZ20" s="14">
        <f t="array" ref="AZ20">IFERROR(_xlfn.IFS(VALUE(MID(AZ$5,6,1))&gt;$D$2,0,$AP20="Annual",1,AY20=12,12,$AP20="Monthly V",AY20*(1+$D$3),$AP20="Monthly F",12,$AP20="One-Time",0),AY20*(1+$D$3))</f>
        <v/>
      </c>
      <c r="BA20" s="125">
        <f t="array" ref="BA20">IFERROR(_xlfn.IFS(VALUE(MID(BA$5,6,2))&gt;$D$2,0,$AP20="Annual",1,AZ20=12,12,$AP20="Monthly V",AZ20*(1+$D$3),$AP20="Monthly F",12,$AP20="One-Time",0),AZ20*(1+$D$3))</f>
        <v/>
      </c>
      <c r="BB20" s="148" t="inlineStr">
        <is>
          <t>Electronic Statement Interactive (ESI)</t>
        </is>
      </c>
      <c r="BC20" s="38" t="inlineStr">
        <is>
          <t>Electronic Statements Interactive(ESI)</t>
        </is>
      </c>
      <c r="BD20" s="36" t="n">
        <v>0.021</v>
      </c>
      <c r="BE20" s="21">
        <f>BF20/12</f>
        <v/>
      </c>
      <c r="BF20" s="39">
        <f>IFERROR(AR20*$BD20,0)</f>
        <v/>
      </c>
      <c r="BG20" s="39">
        <f>IFERROR(AS20*$BD20,0)</f>
        <v/>
      </c>
      <c r="BH20" s="39">
        <f>IFERROR(AT20*$BD20,0)</f>
        <v/>
      </c>
      <c r="BI20" s="39">
        <f>BH20*1.03</f>
        <v/>
      </c>
      <c r="BJ20" s="39">
        <f>BI20*1.03</f>
        <v/>
      </c>
      <c r="BK20" s="39">
        <f>BJ20*1.03</f>
        <v/>
      </c>
      <c r="BL20" s="39">
        <f>BK20*1.03</f>
        <v/>
      </c>
      <c r="BM20" s="39">
        <f>IFERROR(AY20*$BD20,0)</f>
        <v/>
      </c>
      <c r="BN20" s="39">
        <f>IFERROR(AZ20*$BD20,0)</f>
        <v/>
      </c>
      <c r="BO20" s="39">
        <f>IFERROR(BA20*$BD20,0)</f>
        <v/>
      </c>
      <c r="BP20" s="40" t="n"/>
      <c r="BQ20" s="40">
        <f>IF(VALUE(MID(BQ$5,6,1))&lt;=$D$2,((1+$BD$3)^1-1)*BG20,0)</f>
        <v/>
      </c>
      <c r="BR20" s="40">
        <f>IF(VALUE(MID(BR$5,6,1))&lt;=$D$2,((1+$BD$3)^2-1)*BH20,0)</f>
        <v/>
      </c>
      <c r="BS20" s="40">
        <f>IF(VALUE(MID(BS$5,6,1))&lt;=$D$2,((1+$BD$3)^3-1)*BI20,0)</f>
        <v/>
      </c>
      <c r="BT20" s="40">
        <f>IF(VALUE(MID(BT$5,6,1))&lt;=$D$2,((1+$BD$3)^4-1)*BJ20,0)</f>
        <v/>
      </c>
      <c r="BU20" s="40">
        <f>IF(VALUE(MID(BU$5,6,1))&lt;=$D$2,((1+$BD$3)^5-1)*BK20,0)</f>
        <v/>
      </c>
      <c r="BV20" s="40">
        <f>IF(VALUE(MID(BV$5,6,1))&lt;=$D$2,((1+$BD$3)^6-1)*BL20,0)</f>
        <v/>
      </c>
      <c r="BW20" s="40">
        <f>IF(VALUE(MID(BW$5,6,1))&lt;=$D$2,((1+$BD$3)^7-1)*BM20,0)</f>
        <v/>
      </c>
      <c r="BX20" s="40">
        <f>IF(VALUE(MID(BX$5,6,1))&lt;=$D$2,((1+$BD$3)^8-1)*BN20,0)</f>
        <v/>
      </c>
      <c r="BY20" s="40">
        <f>IF(VALUE(MID(BY$5,6,2))&lt;=$D$2,((1+$BD$3)^9-1)*BO20,0)</f>
        <v/>
      </c>
      <c r="BZ20" s="40">
        <f>SUM(BP20:BY20)</f>
        <v/>
      </c>
      <c r="CA20" s="37">
        <f>SUM(BZ20,BF20:BO20)</f>
        <v/>
      </c>
      <c r="CC20" s="102" t="n"/>
      <c r="CD20" s="12" t="n"/>
      <c r="CE20" s="14" t="n"/>
      <c r="CF20" s="14" t="n"/>
      <c r="CG20" s="14" t="n"/>
      <c r="CH20" s="14" t="n"/>
      <c r="CI20" s="14" t="n"/>
      <c r="CJ20" s="14" t="n"/>
      <c r="CK20" s="14" t="n"/>
      <c r="CL20" s="14" t="n"/>
      <c r="CM20" s="14" t="n"/>
      <c r="CN20" s="24" t="n"/>
      <c r="CO20" s="63" t="n"/>
      <c r="CP20" s="53" t="n"/>
      <c r="CQ20" s="21" t="n"/>
      <c r="CR20" s="55" t="n"/>
      <c r="CS20" s="55" t="n"/>
      <c r="CT20" s="55" t="n"/>
      <c r="CU20" s="55" t="n"/>
      <c r="CV20" s="55" t="n"/>
      <c r="CW20" s="55" t="n"/>
      <c r="CX20" s="55" t="n"/>
      <c r="CY20" s="55" t="n"/>
      <c r="CZ20" s="55" t="n"/>
      <c r="DA20" s="55" t="n"/>
      <c r="DB20" s="56" t="n"/>
      <c r="DC20" s="56" t="n"/>
      <c r="DD20" s="56" t="n"/>
      <c r="DE20" s="56" t="n"/>
      <c r="DF20" s="56" t="n"/>
      <c r="DG20" s="56" t="n"/>
      <c r="DH20" s="56" t="n"/>
      <c r="DI20" s="56" t="n"/>
      <c r="DJ20" s="56" t="n"/>
      <c r="DK20" s="56" t="n"/>
      <c r="DL20" s="57" t="n"/>
      <c r="DM20" s="54" t="n"/>
      <c r="DO20" s="106" t="n"/>
    </row>
    <row r="21" ht="15.75" customHeight="1" thickBot="1">
      <c r="B21" s="280" t="inlineStr">
        <is>
          <t>Recurring Monthly and Annual Fees - Non-Bundle REQUIRED FIS products</t>
        </is>
      </c>
      <c r="C21" s="267" t="n"/>
      <c r="D21" s="267" t="n"/>
      <c r="E21" s="267" t="n"/>
      <c r="F21" s="267" t="n"/>
      <c r="G21" s="267" t="n"/>
      <c r="H21" s="267" t="n"/>
      <c r="I21" s="267" t="n"/>
      <c r="J21" s="267" t="n"/>
      <c r="K21" s="267" t="n"/>
      <c r="L21" s="267" t="n"/>
      <c r="M21" s="267" t="n"/>
      <c r="N21" s="267" t="n"/>
      <c r="O21" s="267" t="n"/>
      <c r="P21" s="267" t="n"/>
      <c r="Q21" s="267" t="n"/>
      <c r="R21" s="267" t="n"/>
      <c r="S21" s="267" t="n"/>
      <c r="T21" s="267" t="n"/>
      <c r="U21" s="267" t="n"/>
      <c r="V21" s="267" t="n"/>
      <c r="W21" s="267" t="n"/>
      <c r="X21" s="267" t="n"/>
      <c r="Y21" s="267" t="n"/>
      <c r="Z21" s="267" t="n"/>
      <c r="AA21" s="267" t="n"/>
      <c r="AB21" s="267" t="n"/>
      <c r="AC21" s="267" t="n"/>
      <c r="AD21" s="267" t="n"/>
      <c r="AE21" s="267" t="n"/>
      <c r="AF21" s="267" t="n"/>
      <c r="AG21" s="267" t="n"/>
      <c r="AH21" s="267" t="n"/>
      <c r="AI21" s="267" t="n"/>
      <c r="AJ21" s="267" t="n"/>
      <c r="AK21" s="267" t="n"/>
      <c r="AL21" s="267" t="n"/>
      <c r="AM21" s="267" t="n"/>
      <c r="AN21" s="281" t="n"/>
      <c r="AP21" s="102" t="inlineStr">
        <is>
          <t>Monthly V</t>
        </is>
      </c>
      <c r="AQ21" s="12" t="n">
        <v>5000</v>
      </c>
      <c r="AR21" s="14">
        <f>IF($AP21="Annual",1,IF($AP21="Monthly F",12,IF($AP21="Monthly V",AQ21*12,IF($AP21="One-Time",1,AQ21*12))))</f>
        <v/>
      </c>
      <c r="AS21" s="14">
        <f t="array" ref="AS21">IFERROR(_xlfn.IFS(VALUE(MID(AS$5,6,1))&gt;$D$2,0,$AP21="Annual",1,AR21=12,12,$AP21="Monthly V",AR21*(1+$BD$2),$AP21="Monthly F",12,$AP21="One-Time",0),AR21*(1+$BD$2))</f>
        <v/>
      </c>
      <c r="AT21" s="14">
        <f t="array" ref="AT21">IFERROR(_xlfn.IFS(VALUE(MID(AT$5,6,1))&gt;$D$2,0,$AP21="Annual",1,AS21=12,12,$AP21="Monthly V",AS21*(1+$BD$2),$AP21="Monthly F",12,$AP21="One-Time",0),AS21*(1+$BD$2))</f>
        <v/>
      </c>
      <c r="AU21" s="14">
        <f t="array" ref="AU21">IFERROR(_xlfn.IFS(VALUE(MID(AU$5,6,1))&gt;$D$2,0,$AP21="Annual",1,AT21=12,12,$AP21="Monthly V",AT21*(1+$BD$2),$AP21="Monthly F",12,$AP21="One-Time",0),AT21*(1+$BD$2))</f>
        <v/>
      </c>
      <c r="AV21" s="14">
        <f t="array" ref="AV21">IFERROR(_xlfn.IFS(VALUE(MID(AV$5,6,1))&gt;$D$2,0,$AP21="Annual",1,AU21=12,12,$AP21="Monthly V",AU21*(1+$BD$2),$AP21="Monthly F",12,$AP21="One-Time",0),AU21*(1+$BD$2))</f>
        <v/>
      </c>
      <c r="AW21" s="14">
        <f t="array" ref="AW21">IFERROR(_xlfn.IFS(VALUE(MID(AW$5,6,1))&gt;$D$2,0,$AP21="Annual",1,AV21=12,12,$AP21="Monthly V",AV21*(1+$BD$2),$AP21="Monthly F",12,$AP21="One-Time",0),AV21*(1+$BD$2))</f>
        <v/>
      </c>
      <c r="AX21" s="14">
        <f t="array" ref="AX21">IFERROR(_xlfn.IFS(VALUE(MID(AX$5,6,1))&gt;$D$2,0,$AP21="Annual",1,AW21=12,12,$AP21="Monthly V",AW21*(1+$BD$2),$AP21="Monthly F",12,$AP21="One-Time",0),AW21*(1+$BD$2))</f>
        <v/>
      </c>
      <c r="AY21" s="14">
        <f t="array" ref="AY21">IFERROR(_xlfn.IFS(VALUE(MID(AY$5,6,1))&gt;$D$2,0,$AP21="Annual",1,AX21=12,12,$AP21="Monthly V",AX21*(1+$D$3),$AP21="Monthly F",12,$AP21="One-Time",0),AX21*(1+$D$3))</f>
        <v/>
      </c>
      <c r="AZ21" s="14">
        <f t="array" ref="AZ21">IFERROR(_xlfn.IFS(VALUE(MID(AZ$5,6,1))&gt;$D$2,0,$AP21="Annual",1,AY21=12,12,$AP21="Monthly V",AY21*(1+$D$3),$AP21="Monthly F",12,$AP21="One-Time",0),AY21*(1+$D$3))</f>
        <v/>
      </c>
      <c r="BA21" s="125">
        <f t="array" ref="BA21">IFERROR(_xlfn.IFS(VALUE(MID(BA$5,6,2))&gt;$D$2,0,$AP21="Annual",1,AZ21=12,12,$AP21="Monthly V",AZ21*(1+$D$3),$AP21="Monthly F",12,$AP21="One-Time",0),AZ21*(1+$D$3))</f>
        <v/>
      </c>
      <c r="BB21" s="148" t="inlineStr">
        <is>
          <t>OutLink Item Imaging</t>
        </is>
      </c>
      <c r="BC21" s="38" t="inlineStr">
        <is>
          <t>OutLink Item Processing</t>
        </is>
      </c>
      <c r="BD21" s="36" t="n">
        <v>0.3338</v>
      </c>
      <c r="BE21" s="21">
        <f>BF21/12</f>
        <v/>
      </c>
      <c r="BF21" s="39">
        <f>IFERROR(AR21*$BD21,0)</f>
        <v/>
      </c>
      <c r="BG21" s="39">
        <f>IFERROR(AS21*$BD21,0)</f>
        <v/>
      </c>
      <c r="BH21" s="39">
        <f>IFERROR(AT21*$BD21,0)</f>
        <v/>
      </c>
      <c r="BI21" s="39">
        <f>BH21*1.03</f>
        <v/>
      </c>
      <c r="BJ21" s="39">
        <f>BI21*1.03</f>
        <v/>
      </c>
      <c r="BK21" s="39">
        <f>BJ21*1.03</f>
        <v/>
      </c>
      <c r="BL21" s="39">
        <f>BK21*1.03</f>
        <v/>
      </c>
      <c r="BM21" s="39">
        <f>IFERROR(AY21*$BD21,0)</f>
        <v/>
      </c>
      <c r="BN21" s="39">
        <f>IFERROR(AZ21*$BD21,0)</f>
        <v/>
      </c>
      <c r="BO21" s="39">
        <f>IFERROR(BA21*$BD21,0)</f>
        <v/>
      </c>
      <c r="BP21" s="40" t="n"/>
      <c r="BQ21" s="40">
        <f>IF(VALUE(MID(BQ$5,6,1))&lt;=$D$2,((1+$BD$3)^1-1)*BG21,0)</f>
        <v/>
      </c>
      <c r="BR21" s="40">
        <f>IF(VALUE(MID(BR$5,6,1))&lt;=$D$2,((1+$BD$3)^2-1)*BH21,0)</f>
        <v/>
      </c>
      <c r="BS21" s="40">
        <f>IF(VALUE(MID(BS$5,6,1))&lt;=$D$2,((1+$BD$3)^3-1)*BI21,0)</f>
        <v/>
      </c>
      <c r="BT21" s="40">
        <f>IF(VALUE(MID(BT$5,6,1))&lt;=$D$2,((1+$BD$3)^4-1)*BJ21,0)</f>
        <v/>
      </c>
      <c r="BU21" s="40">
        <f>IF(VALUE(MID(BU$5,6,1))&lt;=$D$2,((1+$BD$3)^5-1)*BK21,0)</f>
        <v/>
      </c>
      <c r="BV21" s="40">
        <f>IF(VALUE(MID(BV$5,6,1))&lt;=$D$2,((1+$BD$3)^6-1)*BL21,0)</f>
        <v/>
      </c>
      <c r="BW21" s="40">
        <f>IF(VALUE(MID(BW$5,6,1))&lt;=$D$2,((1+$BD$3)^7-1)*BM21,0)</f>
        <v/>
      </c>
      <c r="BX21" s="40">
        <f>IF(VALUE(MID(BX$5,6,1))&lt;=$D$2,((1+$BD$3)^8-1)*BN21,0)</f>
        <v/>
      </c>
      <c r="BY21" s="40">
        <f>IF(VALUE(MID(BY$5,6,2))&lt;=$D$2,((1+$BD$3)^9-1)*BO21,0)</f>
        <v/>
      </c>
      <c r="BZ21" s="40">
        <f>SUM(BP21:BY21)</f>
        <v/>
      </c>
      <c r="CA21" s="37">
        <f>SUM(BZ21,BF21:BO21)</f>
        <v/>
      </c>
      <c r="CC21" s="102" t="n"/>
      <c r="CD21" s="12" t="n"/>
      <c r="CE21" s="14">
        <f>IF($CC21="Annual",1,IF($CC21="Monthly F",12,IF($CC21="Monthly V",CD21*12,IF($CC21="One-Time",1,CD21*12))))</f>
        <v/>
      </c>
      <c r="CF21" s="14">
        <f t="array" ref="CF21">IFERROR(_xlfn.IFS(VALUE(MID(CF$5,6,1))&gt;$D$2,0,$CC21="Annual",1,CE21=12,12,$CC21="Monthly V",CE21*(1+$D$3),$CC21="Monthly F",12,$CC21="One-Time",0),CE21*(1+$D$3))</f>
        <v/>
      </c>
      <c r="CG21" s="14">
        <f t="array" ref="CG21">IFERROR(_xlfn.IFS(VALUE(MID(CG$5,6,1))&gt;$D$2,0,$CC21="Annual",1,CF21=12,12,$CC21="Monthly V",CF21*(1+$D$3),$CC21="Monthly F",12,$CC21="One-Time",0),CF21*(1+$D$3))</f>
        <v/>
      </c>
      <c r="CH21" s="14">
        <f t="array" ref="CH21">IFERROR(_xlfn.IFS(VALUE(MID(CH$5,6,1))&gt;$D$2,0,$CC21="Annual",1,CG21=12,12,$CC21="Monthly V",CG21*(1+$D$3),$CC21="Monthly F",12,$CC21="One-Time",0),CG21*(1+$D$3))</f>
        <v/>
      </c>
      <c r="CI21" s="14">
        <f t="array" ref="CI21">IFERROR(_xlfn.IFS(VALUE(MID(CI$5,6,1))&gt;$D$2,0,$CC21="Annual",1,CH21=12,12,$CC21="Monthly V",CH21*(1+$D$3),$CC21="Monthly F",12,$CC21="One-Time",0),CH21*(1+$D$3))</f>
        <v/>
      </c>
      <c r="CJ21" s="14">
        <f t="array" ref="CJ21">IFERROR(_xlfn.IFS(VALUE(MID(CJ$5,6,1))&gt;$D$2,0,$CC21="Annual",1,CI21=12,12,$CC21="Monthly V",CI21*(1+$D$3),$CC21="Monthly F",12,$CC21="One-Time",0),CI21*(1+$D$3))</f>
        <v/>
      </c>
      <c r="CK21" s="14">
        <f t="array" ref="CK21">IFERROR(_xlfn.IFS(VALUE(MID(CK$5,6,1))&gt;$D$2,0,$CC21="Annual",1,CJ21=12,12,$CC21="Monthly V",CJ21*(1+$D$3),$CC21="Monthly F",12,$CC21="One-Time",0),CJ21*(1+$D$3))</f>
        <v/>
      </c>
      <c r="CL21" s="14">
        <f t="array" ref="CL21">IFERROR(_xlfn.IFS(VALUE(MID(CL$5,6,1))&gt;$D$2,0,$CC21="Annual",1,CK21=12,12,$CC21="Monthly V",CK21*(1+$D$3),$CC21="Monthly F",12,$CC21="One-Time",0),CK21*(1+$D$3))</f>
        <v/>
      </c>
      <c r="CM21" s="14">
        <f t="array" ref="CM21">IFERROR(_xlfn.IFS(VALUE(MID(CM$5,6,1))&gt;$D$2,0,$CC21="Annual",1,CL21=12,12,$CC21="Monthly V",CL21*(1+$D$3),$CC21="Monthly F",12,$CC21="One-Time",0),CL21*(1+$D$3))</f>
        <v/>
      </c>
      <c r="CN21" s="24">
        <f t="array" ref="CN21">IFERROR(_xlfn.IFS(VALUE(MID(CN$5,6,2))&gt;$D$2,0,$CC21="Annual",1,CM21=12,12,$CC21="Monthly V",CM21*(1+$D$3),$CC21="Monthly F",12,$CC21="One-Time",0),CM21*(1+$D$3))</f>
        <v/>
      </c>
      <c r="CO21" s="63" t="n"/>
      <c r="CP21" s="53" t="n"/>
      <c r="CQ21" s="21">
        <f>CR21/12</f>
        <v/>
      </c>
      <c r="CR21" s="55">
        <f>IFERROR(CE21*$CP21,0)</f>
        <v/>
      </c>
      <c r="CS21" s="55">
        <f>IFERROR(CF21*$CP21,0)</f>
        <v/>
      </c>
      <c r="CT21" s="55">
        <f>IFERROR(CG21*$CP21,0)</f>
        <v/>
      </c>
      <c r="CU21" s="55">
        <f>IFERROR(CH21*$CP21,0)</f>
        <v/>
      </c>
      <c r="CV21" s="55">
        <f>IFERROR(CI21*$CP21,0)</f>
        <v/>
      </c>
      <c r="CW21" s="55">
        <f>IFERROR(CJ21*$CP21,0)</f>
        <v/>
      </c>
      <c r="CX21" s="55">
        <f>IFERROR(CK21*$CP21,0)</f>
        <v/>
      </c>
      <c r="CY21" s="55">
        <f>IFERROR(CL21*$CP21,0)</f>
        <v/>
      </c>
      <c r="CZ21" s="55">
        <f>IFERROR(CM21*$CP21,0)</f>
        <v/>
      </c>
      <c r="DA21" s="55">
        <f>IFERROR(CN21*$CP21,0)</f>
        <v/>
      </c>
      <c r="DB21" s="56" t="n"/>
      <c r="DC21" s="56">
        <f>IF(VALUE(MID(DC$5,6,1))&lt;=$D$2,((1+$CP$3)^1-1)*CS21,0)</f>
        <v/>
      </c>
      <c r="DD21" s="56">
        <f>IF(VALUE(MID(DD$5,6,1))&lt;=$D$2,((1+$CP$3)^2-1)*CT21,0)</f>
        <v/>
      </c>
      <c r="DE21" s="56">
        <f>IF(VALUE(MID(DE$5,6,1))&lt;=$D$2,((1+$CP$3)^3-1)*CU21,0)</f>
        <v/>
      </c>
      <c r="DF21" s="56">
        <f>IF(VALUE(MID(DF$5,6,1))&lt;=$D$2,((1+$CP$3)^4-1)*CV21,0)</f>
        <v/>
      </c>
      <c r="DG21" s="56">
        <f>IF(VALUE(MID(DG$5,6,1))&lt;=$D$2,((1+$CP$3)^5-1)*CW21,0)</f>
        <v/>
      </c>
      <c r="DH21" s="56">
        <f>IF(VALUE(MID(DH$5,6,1))&lt;=$D$2,((1+$CP$3)^6-1)*CX21,0)</f>
        <v/>
      </c>
      <c r="DI21" s="56">
        <f>IF(VALUE(MID(DI$5,6,1))&lt;=$D$2,((1+$CP$3)^7-1)*CY21,0)</f>
        <v/>
      </c>
      <c r="DJ21" s="56">
        <f>IF(VALUE(MID(DJ$5,6,1))&lt;=$D$2,((1+$CP$3)^8-1)*CZ21,0)</f>
        <v/>
      </c>
      <c r="DK21" s="56">
        <f>IF(VALUE(MID(DK$5,6,2))&lt;=$D$2,((1+$CP$3)^9-1)*DA21,0)</f>
        <v/>
      </c>
      <c r="DL21" s="57">
        <f>SUM(DB21:DK21)</f>
        <v/>
      </c>
      <c r="DM21" s="54">
        <f>SUM(DL21,CR21:DA21)</f>
        <v/>
      </c>
      <c r="DO21" s="106" t="n"/>
    </row>
    <row r="22">
      <c r="B22" s="141" t="inlineStr">
        <is>
          <t>Monthly V</t>
        </is>
      </c>
      <c r="C22" s="24" t="n">
        <v>1</v>
      </c>
      <c r="D22" s="147" t="n"/>
      <c r="E22" s="142" t="n"/>
      <c r="F22" s="14" t="n"/>
      <c r="G22" s="14" t="n"/>
      <c r="H22" s="14" t="n"/>
      <c r="I22" s="14" t="n"/>
      <c r="J22" s="14" t="n"/>
      <c r="K22" s="14" t="n"/>
      <c r="L22" s="14" t="n"/>
      <c r="M22" s="14" t="n"/>
      <c r="N22" s="24" t="n"/>
      <c r="O22" s="156" t="inlineStr">
        <is>
          <t>NYCE Preferred Debit Card Network</t>
        </is>
      </c>
      <c r="P22" s="13" t="inlineStr">
        <is>
          <t>Card Networks</t>
        </is>
      </c>
      <c r="Q22" s="20" t="n">
        <v>0.035</v>
      </c>
      <c r="R22" s="21">
        <f>S22/12</f>
        <v/>
      </c>
      <c r="S22" s="6">
        <f>IFERROR($Q22*E22,0)</f>
        <v/>
      </c>
      <c r="T22" s="6">
        <f>IFERROR($Q22*F22,0)</f>
        <v/>
      </c>
      <c r="U22" s="6">
        <f>IFERROR($Q22*G22,0)</f>
        <v/>
      </c>
      <c r="V22" s="6">
        <f>IFERROR($Q22*H22,0)</f>
        <v/>
      </c>
      <c r="W22" s="6">
        <f>IFERROR($Q22*I22,0)</f>
        <v/>
      </c>
      <c r="X22" s="6">
        <f>IFERROR($Q22*J22,0)</f>
        <v/>
      </c>
      <c r="Y22" s="6">
        <f>IFERROR($Q22*K22,0)</f>
        <v/>
      </c>
      <c r="Z22" s="6">
        <f>IFERROR($Q22*L22,0)</f>
        <v/>
      </c>
      <c r="AA22" s="6">
        <f>IFERROR($Q22*M22,0)</f>
        <v/>
      </c>
      <c r="AB22" s="6">
        <f>IFERROR($Q22*N22,0)</f>
        <v/>
      </c>
      <c r="AC22" s="7" t="n"/>
      <c r="AD22" s="152">
        <f>IF(VALUE(MID(AD$5,6,1))&lt;=$D$2,((1+$Q$3)^1-1)*T22,0)</f>
        <v/>
      </c>
      <c r="AE22" s="152">
        <f>IF(VALUE(MID(AE$5,6,1))&lt;=$D$2,((1+$Q$3)^2-1)*U22,0)</f>
        <v/>
      </c>
      <c r="AF22" s="152">
        <f>IF(VALUE(MID(AF$5,6,1))&lt;=$D$2,((1+$Q$3)^3-1)*V22,0)</f>
        <v/>
      </c>
      <c r="AG22" s="152">
        <f>IF(VALUE(MID(AG$5,6,1))&lt;=$D$2,((1+$Q$3)^4-1)*W22,0)</f>
        <v/>
      </c>
      <c r="AH22" s="152">
        <f>IF(VALUE(MID(AH$5,6,1))&lt;=$D$2,((1+$Q$3)^5-1)*X22,0)</f>
        <v/>
      </c>
      <c r="AI22" s="152">
        <f>IF(VALUE(MID(AI$5,6,1))&lt;=$D$2,((1+$Q$3)^6-1)*Y22,0)</f>
        <v/>
      </c>
      <c r="AJ22" s="152">
        <f>IF(VALUE(MID(AJ$5,6,1))&lt;=$D$2,((1+$Q$3)^7-1)*Z22,0)</f>
        <v/>
      </c>
      <c r="AK22" s="152">
        <f>IF(VALUE(MID(AK$5,6,1))&lt;=$D$2,((1+$Q$3)^8-1)*AA22,0)</f>
        <v/>
      </c>
      <c r="AL22" s="152">
        <f>IF(VALUE(MID(AL$5,6,2))&lt;=$D$2,((1+$Q$3)^9-1)*AB22,0)</f>
        <v/>
      </c>
      <c r="AM22" s="9">
        <f>SUM(AC22:AL22)</f>
        <v/>
      </c>
      <c r="AN22" s="80">
        <f>SUM(AM22,S22:AB22)</f>
        <v/>
      </c>
      <c r="AP22" s="102" t="inlineStr">
        <is>
          <t>Monthly F</t>
        </is>
      </c>
      <c r="AQ22" s="12" t="n">
        <v>1</v>
      </c>
      <c r="AR22" s="14">
        <f>IF($AP22="Annual",1,IF($AP22="Monthly F",12,IF($AP22="Monthly V",AQ22*12,IF($AP22="One-Time",1,AQ22*12))))</f>
        <v/>
      </c>
      <c r="AS22" s="14">
        <f t="array" ref="AS22">IFERROR(_xlfn.IFS(VALUE(MID(AS$5,6,1))&gt;$D$2,0,$AP22="Annual",1,AR22=12,12,$AP22="Monthly V",AR22*(1+$BD$2),$AP22="Monthly F",12,$AP22="One-Time",0),AR22*(1+$BD$2))</f>
        <v/>
      </c>
      <c r="AT22" s="14">
        <f t="array" ref="AT22">IFERROR(_xlfn.IFS(VALUE(MID(AT$5,6,1))&gt;$D$2,0,$AP22="Annual",1,AS22=12,12,$AP22="Monthly V",AS22*(1+$BD$2),$AP22="Monthly F",12,$AP22="One-Time",0),AS22*(1+$BD$2))</f>
        <v/>
      </c>
      <c r="AU22" s="14">
        <f t="array" ref="AU22">IFERROR(_xlfn.IFS(VALUE(MID(AU$5,6,1))&gt;$D$2,0,$AP22="Annual",1,AT22=12,12,$AP22="Monthly V",AT22*(1+$BD$2),$AP22="Monthly F",12,$AP22="One-Time",0),AT22*(1+$BD$2))</f>
        <v/>
      </c>
      <c r="AV22" s="14">
        <f t="array" ref="AV22">IFERROR(_xlfn.IFS(VALUE(MID(AV$5,6,1))&gt;$D$2,0,$AP22="Annual",1,AU22=12,12,$AP22="Monthly V",AU22*(1+$BD$2),$AP22="Monthly F",12,$AP22="One-Time",0),AU22*(1+$BD$2))</f>
        <v/>
      </c>
      <c r="AW22" s="14">
        <f t="array" ref="AW22">IFERROR(_xlfn.IFS(VALUE(MID(AW$5,6,1))&gt;$D$2,0,$AP22="Annual",1,AV22=12,12,$AP22="Monthly V",AV22*(1+$BD$2),$AP22="Monthly F",12,$AP22="One-Time",0),AV22*(1+$BD$2))</f>
        <v/>
      </c>
      <c r="AX22" s="14">
        <f t="array" ref="AX22">IFERROR(_xlfn.IFS(VALUE(MID(AX$5,6,1))&gt;$D$2,0,$AP22="Annual",1,AW22=12,12,$AP22="Monthly V",AW22*(1+$BD$2),$AP22="Monthly F",12,$AP22="One-Time",0),AW22*(1+$BD$2))</f>
        <v/>
      </c>
      <c r="AY22" s="14">
        <f t="array" ref="AY22">IFERROR(_xlfn.IFS(VALUE(MID(AY$5,6,1))&gt;$D$2,0,$AP22="Annual",1,AX22=12,12,$AP22="Monthly V",AX22*(1+$D$3),$AP22="Monthly F",12,$AP22="One-Time",0),AX22*(1+$D$3))</f>
        <v/>
      </c>
      <c r="AZ22" s="14">
        <f t="array" ref="AZ22">IFERROR(_xlfn.IFS(VALUE(MID(AZ$5,6,1))&gt;$D$2,0,$AP22="Annual",1,AY22=12,12,$AP22="Monthly V",AY22*(1+$D$3),$AP22="Monthly F",12,$AP22="One-Time",0),AY22*(1+$D$3))</f>
        <v/>
      </c>
      <c r="BA22" s="125">
        <f t="array" ref="BA22">IFERROR(_xlfn.IFS(VALUE(MID(BA$5,6,2))&gt;$D$2,0,$AP22="Annual",1,AZ22=12,12,$AP22="Monthly V",AZ22*(1+$D$3),$AP22="Monthly F",12,$AP22="One-Time",0),AZ22*(1+$D$3))</f>
        <v/>
      </c>
      <c r="BB22" s="148" t="inlineStr">
        <is>
          <t>Outlink Statement Printing</t>
        </is>
      </c>
      <c r="BC22" s="38" t="inlineStr">
        <is>
          <t>OutLink Item Processing</t>
        </is>
      </c>
      <c r="BD22" s="36" t="n">
        <v>900</v>
      </c>
      <c r="BE22" s="21">
        <f>BF22/12</f>
        <v/>
      </c>
      <c r="BF22" s="39">
        <f>IFERROR(AR22*$BD22,0)</f>
        <v/>
      </c>
      <c r="BG22" s="39">
        <f>IFERROR(AS22*$BD22,0)</f>
        <v/>
      </c>
      <c r="BH22" s="39">
        <f>IFERROR(AT22*$BD22,0)</f>
        <v/>
      </c>
      <c r="BI22" s="39">
        <f>BH22*1.03</f>
        <v/>
      </c>
      <c r="BJ22" s="39">
        <f>BI22*1.03</f>
        <v/>
      </c>
      <c r="BK22" s="39">
        <f>BJ22*1.03</f>
        <v/>
      </c>
      <c r="BL22" s="39">
        <f>BK22*1.03</f>
        <v/>
      </c>
      <c r="BM22" s="39">
        <f>IFERROR(AY22*$BD22,0)</f>
        <v/>
      </c>
      <c r="BN22" s="39">
        <f>IFERROR(AZ22*$BD22,0)</f>
        <v/>
      </c>
      <c r="BO22" s="39">
        <f>IFERROR(BA22*$BD22,0)</f>
        <v/>
      </c>
      <c r="BP22" s="40" t="n"/>
      <c r="BQ22" s="40">
        <f>IF(VALUE(MID(BQ$5,6,1))&lt;=$D$2,((1+$BD$3)^1-1)*BG22,0)</f>
        <v/>
      </c>
      <c r="BR22" s="40">
        <f>IF(VALUE(MID(BR$5,6,1))&lt;=$D$2,((1+$BD$3)^2-1)*BH22,0)</f>
        <v/>
      </c>
      <c r="BS22" s="40">
        <f>IF(VALUE(MID(BS$5,6,1))&lt;=$D$2,((1+$BD$3)^3-1)*BI22,0)</f>
        <v/>
      </c>
      <c r="BT22" s="40">
        <f>IF(VALUE(MID(BT$5,6,1))&lt;=$D$2,((1+$BD$3)^4-1)*BJ22,0)</f>
        <v/>
      </c>
      <c r="BU22" s="40">
        <f>IF(VALUE(MID(BU$5,6,1))&lt;=$D$2,((1+$BD$3)^5-1)*BK22,0)</f>
        <v/>
      </c>
      <c r="BV22" s="40">
        <f>IF(VALUE(MID(BV$5,6,1))&lt;=$D$2,((1+$BD$3)^6-1)*BL22,0)</f>
        <v/>
      </c>
      <c r="BW22" s="40">
        <f>IF(VALUE(MID(BW$5,6,1))&lt;=$D$2,((1+$BD$3)^7-1)*BM22,0)</f>
        <v/>
      </c>
      <c r="BX22" s="40">
        <f>IF(VALUE(MID(BX$5,6,1))&lt;=$D$2,((1+$BD$3)^8-1)*BN22,0)</f>
        <v/>
      </c>
      <c r="BY22" s="40">
        <f>IF(VALUE(MID(BY$5,6,2))&lt;=$D$2,((1+$BD$3)^9-1)*BO22,0)</f>
        <v/>
      </c>
      <c r="BZ22" s="40">
        <f>SUM(BP22:BY22)</f>
        <v/>
      </c>
      <c r="CA22" s="37">
        <f>SUM(BZ22,BF22:BO22)</f>
        <v/>
      </c>
      <c r="CC22" s="102" t="n"/>
      <c r="CD22" s="12" t="n"/>
      <c r="CE22" s="14">
        <f>IF($CC22="Annual",1,IF($CC22="Monthly F",12,IF($CC22="Monthly V",CD22*12,IF($CC22="One-Time",1,CD22*12))))</f>
        <v/>
      </c>
      <c r="CF22" s="14">
        <f t="array" ref="CF22">IFERROR(_xlfn.IFS(VALUE(MID(CF$5,6,1))&gt;$D$2,0,$CC22="Annual",1,CE22=12,12,$CC22="Monthly V",CE22*(1+$D$3),$CC22="Monthly F",12,$CC22="One-Time",0),CE22*(1+$D$3))</f>
        <v/>
      </c>
      <c r="CG22" s="14">
        <f t="array" ref="CG22">IFERROR(_xlfn.IFS(VALUE(MID(CG$5,6,1))&gt;$D$2,0,$CC22="Annual",1,CF22=12,12,$CC22="Monthly V",CF22*(1+$D$3),$CC22="Monthly F",12,$CC22="One-Time",0),CF22*(1+$D$3))</f>
        <v/>
      </c>
      <c r="CH22" s="14">
        <f t="array" ref="CH22">IFERROR(_xlfn.IFS(VALUE(MID(CH$5,6,1))&gt;$D$2,0,$CC22="Annual",1,CG22=12,12,$CC22="Monthly V",CG22*(1+$D$3),$CC22="Monthly F",12,$CC22="One-Time",0),CG22*(1+$D$3))</f>
        <v/>
      </c>
      <c r="CI22" s="14">
        <f t="array" ref="CI22">IFERROR(_xlfn.IFS(VALUE(MID(CI$5,6,1))&gt;$D$2,0,$CC22="Annual",1,CH22=12,12,$CC22="Monthly V",CH22*(1+$D$3),$CC22="Monthly F",12,$CC22="One-Time",0),CH22*(1+$D$3))</f>
        <v/>
      </c>
      <c r="CJ22" s="14">
        <f t="array" ref="CJ22">IFERROR(_xlfn.IFS(VALUE(MID(CJ$5,6,1))&gt;$D$2,0,$CC22="Annual",1,CI22=12,12,$CC22="Monthly V",CI22*(1+$D$3),$CC22="Monthly F",12,$CC22="One-Time",0),CI22*(1+$D$3))</f>
        <v/>
      </c>
      <c r="CK22" s="14">
        <f t="array" ref="CK22">IFERROR(_xlfn.IFS(VALUE(MID(CK$5,6,1))&gt;$D$2,0,$CC22="Annual",1,CJ22=12,12,$CC22="Monthly V",CJ22*(1+$D$3),$CC22="Monthly F",12,$CC22="One-Time",0),CJ22*(1+$D$3))</f>
        <v/>
      </c>
      <c r="CL22" s="14">
        <f t="array" ref="CL22">IFERROR(_xlfn.IFS(VALUE(MID(CL$5,6,1))&gt;$D$2,0,$CC22="Annual",1,CK22=12,12,$CC22="Monthly V",CK22*(1+$D$3),$CC22="Monthly F",12,$CC22="One-Time",0),CK22*(1+$D$3))</f>
        <v/>
      </c>
      <c r="CM22" s="14">
        <f t="array" ref="CM22">IFERROR(_xlfn.IFS(VALUE(MID(CM$5,6,1))&gt;$D$2,0,$CC22="Annual",1,CL22=12,12,$CC22="Monthly V",CL22*(1+$D$3),$CC22="Monthly F",12,$CC22="One-Time",0),CL22*(1+$D$3))</f>
        <v/>
      </c>
      <c r="CN22" s="24">
        <f t="array" ref="CN22">IFERROR(_xlfn.IFS(VALUE(MID(CN$5,6,2))&gt;$D$2,0,$CC22="Annual",1,CM22=12,12,$CC22="Monthly V",CM22*(1+$D$3),$CC22="Monthly F",12,$CC22="One-Time",0),CM22*(1+$D$3))</f>
        <v/>
      </c>
      <c r="CO22" s="63" t="n"/>
      <c r="CP22" s="53" t="n"/>
      <c r="CQ22" s="21">
        <f>CR22/12</f>
        <v/>
      </c>
      <c r="CR22" s="55">
        <f>IFERROR(CE22*$CP22,0)</f>
        <v/>
      </c>
      <c r="CS22" s="55">
        <f>IFERROR(CF22*$CP22,0)</f>
        <v/>
      </c>
      <c r="CT22" s="55">
        <f>IFERROR(CG22*$CP22,0)</f>
        <v/>
      </c>
      <c r="CU22" s="55">
        <f>IFERROR(CH22*$CP22,0)</f>
        <v/>
      </c>
      <c r="CV22" s="55">
        <f>IFERROR(CI22*$CP22,0)</f>
        <v/>
      </c>
      <c r="CW22" s="55">
        <f>IFERROR(CJ22*$CP22,0)</f>
        <v/>
      </c>
      <c r="CX22" s="55">
        <f>IFERROR(CK22*$CP22,0)</f>
        <v/>
      </c>
      <c r="CY22" s="55">
        <f>IFERROR(CL22*$CP22,0)</f>
        <v/>
      </c>
      <c r="CZ22" s="55">
        <f>IFERROR(CM22*$CP22,0)</f>
        <v/>
      </c>
      <c r="DA22" s="55">
        <f>IFERROR(CN22*$CP22,0)</f>
        <v/>
      </c>
      <c r="DB22" s="56" t="n"/>
      <c r="DC22" s="56">
        <f>IF(VALUE(MID(DC$5,6,1))&lt;=$D$2,((1+$CP$3)^1-1)*CS22,0)</f>
        <v/>
      </c>
      <c r="DD22" s="56">
        <f>IF(VALUE(MID(DD$5,6,1))&lt;=$D$2,((1+$CP$3)^2-1)*CT22,0)</f>
        <v/>
      </c>
      <c r="DE22" s="56">
        <f>IF(VALUE(MID(DE$5,6,1))&lt;=$D$2,((1+$CP$3)^3-1)*CU22,0)</f>
        <v/>
      </c>
      <c r="DF22" s="56">
        <f>IF(VALUE(MID(DF$5,6,1))&lt;=$D$2,((1+$CP$3)^4-1)*CV22,0)</f>
        <v/>
      </c>
      <c r="DG22" s="56">
        <f>IF(VALUE(MID(DG$5,6,1))&lt;=$D$2,((1+$CP$3)^5-1)*CW22,0)</f>
        <v/>
      </c>
      <c r="DH22" s="56">
        <f>IF(VALUE(MID(DH$5,6,1))&lt;=$D$2,((1+$CP$3)^6-1)*CX22,0)</f>
        <v/>
      </c>
      <c r="DI22" s="56">
        <f>IF(VALUE(MID(DI$5,6,1))&lt;=$D$2,((1+$CP$3)^7-1)*CY22,0)</f>
        <v/>
      </c>
      <c r="DJ22" s="56">
        <f>IF(VALUE(MID(DJ$5,6,1))&lt;=$D$2,((1+$CP$3)^8-1)*CZ22,0)</f>
        <v/>
      </c>
      <c r="DK22" s="56">
        <f>IF(VALUE(MID(DK$5,6,2))&lt;=$D$2,((1+$CP$3)^9-1)*DA22,0)</f>
        <v/>
      </c>
      <c r="DL22" s="57">
        <f>SUM(DB22:DK22)</f>
        <v/>
      </c>
      <c r="DM22" s="54">
        <f>SUM(DL22,CR22:DA22)</f>
        <v/>
      </c>
      <c r="DO22" s="106" t="n"/>
    </row>
    <row r="23">
      <c r="B23" s="141" t="inlineStr">
        <is>
          <t>Monthly V</t>
        </is>
      </c>
      <c r="C23" s="24" t="n">
        <v>1000</v>
      </c>
      <c r="D23" s="147">
        <f>IFERROR(AVERAGE(C23:C23),0)</f>
        <v/>
      </c>
      <c r="E23" s="142">
        <f>IF($B23="Annual",1,IF($B23="Monthly F",12,IF($B23="Monthly V",D23*12,IF($B23="One-Time",1,D23*12))))</f>
        <v/>
      </c>
      <c r="F23" s="14">
        <f t="array" ref="F23">IFERROR(_xlfn.IFS(VALUE(MID(F$5,6,1))&gt;$D$2,0,$B23="Annual",1,E23=12,12,$B23="Monthly V",E23*(1+$D$3),$B23="Monthly F",12,$B23="One-Time",0),E23*(1+$D$3))</f>
        <v/>
      </c>
      <c r="G23" s="14">
        <f t="array" ref="G23">IFERROR(_xlfn.IFS(VALUE(MID(G$5,6,1))&gt;$D$2,0,$B23="Annual",1,F23=12,12,$B23="Monthly V",F23*(1+$D$3),$B23="Monthly F",12,$B23="One-Time",0),F23*(1+$D$3))</f>
        <v/>
      </c>
      <c r="H23" s="14">
        <f t="array" ref="H23">IFERROR(_xlfn.IFS(VALUE(MID(H$5,6,1))&gt;$D$2,0,$B23="Annual",1,G23=12,12,$B23="Monthly V",G23*(1+$D$3),$B23="Monthly F",12,$B23="One-Time",0),G23*(1+$D$3))</f>
        <v/>
      </c>
      <c r="I23" s="14">
        <f t="array" ref="I23">IFERROR(_xlfn.IFS(VALUE(MID(I$5,6,1))&gt;$D$2,0,$B23="Annual",1,H23=12,12,$B23="Monthly V",H23*(1+$D$3),$B23="Monthly F",12,$B23="One-Time",0),H23*(1+$D$3))</f>
        <v/>
      </c>
      <c r="J23" s="14">
        <f t="array" ref="J23">IFERROR(_xlfn.IFS(VALUE(MID(J$5,6,1))&gt;$D$2,0,$B23="Annual",1,I23=12,12,$B23="Monthly V",I23*(1+$D$3),$B23="Monthly F",12,$B23="One-Time",0),I23*(1+$D$3))</f>
        <v/>
      </c>
      <c r="K23" s="14">
        <f t="array" ref="K23">IFERROR(_xlfn.IFS(VALUE(MID(K$5,6,1))&gt;$D$2,0,$B23="Annual",1,J23=12,12,$B23="Monthly V",J23*(1+$D$3),$B23="Monthly F",12,$B23="One-Time",0),J23*(1+$D$3))</f>
        <v/>
      </c>
      <c r="L23" s="14">
        <f t="array" ref="L23">IFERROR(_xlfn.IFS(VALUE(MID(L$5,6,1))&gt;$D$2,0,$B23="Annual",1,K23=12,12,$B23="Monthly V",K23*(1+$D$3),$B23="Monthly F",12,$B23="One-Time",0),K23*(1+$D$3))</f>
        <v/>
      </c>
      <c r="M23" s="14">
        <f t="array" ref="M23">IFERROR(_xlfn.IFS(VALUE(MID(M$5,6,1))&gt;$D$2,0,$B23="Annual",1,L23=12,12,$B23="Monthly V",L23*(1+$D$3),$B23="Monthly F",12,$B23="One-Time",0),L23*(1+$D$3))</f>
        <v/>
      </c>
      <c r="N23" s="24">
        <f t="array" ref="N23">IFERROR(_xlfn.IFS(VALUE(MID(N$5,6,2))&gt;$D$2,0,$B23="Annual",1,M23=12,12,$B23="Monthly V",M23*(1+$D$3),$B23="Monthly F",12,$B23="One-Time",0),M23*(1+$D$3))</f>
        <v/>
      </c>
      <c r="O23" s="155" t="inlineStr">
        <is>
          <t>Per piece of paper</t>
        </is>
      </c>
      <c r="P23" s="13" t="inlineStr">
        <is>
          <t>Output Solutions</t>
        </is>
      </c>
      <c r="Q23" s="20" t="n">
        <v>0.0136</v>
      </c>
      <c r="R23" s="21">
        <f>S23/12</f>
        <v/>
      </c>
      <c r="S23" s="6">
        <f>IFERROR($Q23*E23,0)</f>
        <v/>
      </c>
      <c r="T23" s="6">
        <f>IFERROR($Q23*F23,0)</f>
        <v/>
      </c>
      <c r="U23" s="6">
        <f>IFERROR($Q23*G23,0)</f>
        <v/>
      </c>
      <c r="V23" s="6">
        <f>IFERROR($Q23*H23,0)</f>
        <v/>
      </c>
      <c r="W23" s="6">
        <f>IFERROR($Q23*I23,0)</f>
        <v/>
      </c>
      <c r="X23" s="6">
        <f>IFERROR($Q23*J23,0)</f>
        <v/>
      </c>
      <c r="Y23" s="6">
        <f>IFERROR($Q23*K23,0)</f>
        <v/>
      </c>
      <c r="Z23" s="6">
        <f>IFERROR($Q23*L23,0)</f>
        <v/>
      </c>
      <c r="AA23" s="6">
        <f>IFERROR($Q23*M23,0)</f>
        <v/>
      </c>
      <c r="AB23" s="6">
        <f>IFERROR($Q23*N23,0)</f>
        <v/>
      </c>
      <c r="AC23" s="7" t="n"/>
      <c r="AD23" s="152">
        <f>IF(VALUE(MID(AD$5,6,1))&lt;=$D$2,((1+$Q$3)^1-1)*T23,0)</f>
        <v/>
      </c>
      <c r="AE23" s="152">
        <f>IF(VALUE(MID(AE$5,6,1))&lt;=$D$2,((1+$Q$3)^2-1)*U23,0)</f>
        <v/>
      </c>
      <c r="AF23" s="152">
        <f>IF(VALUE(MID(AF$5,6,1))&lt;=$D$2,((1+$Q$3)^3-1)*V23,0)</f>
        <v/>
      </c>
      <c r="AG23" s="152">
        <f>IF(VALUE(MID(AG$5,6,1))&lt;=$D$2,((1+$Q$3)^4-1)*W23,0)</f>
        <v/>
      </c>
      <c r="AH23" s="152">
        <f>IF(VALUE(MID(AH$5,6,1))&lt;=$D$2,((1+$Q$3)^5-1)*X23,0)</f>
        <v/>
      </c>
      <c r="AI23" s="152">
        <f>IF(VALUE(MID(AI$5,6,1))&lt;=$D$2,((1+$Q$3)^6-1)*Y23,0)</f>
        <v/>
      </c>
      <c r="AJ23" s="152">
        <f>IF(VALUE(MID(AJ$5,6,1))&lt;=$D$2,((1+$Q$3)^7-1)*Z23,0)</f>
        <v/>
      </c>
      <c r="AK23" s="152">
        <f>IF(VALUE(MID(AK$5,6,1))&lt;=$D$2,((1+$Q$3)^8-1)*AA23,0)</f>
        <v/>
      </c>
      <c r="AL23" s="152">
        <f>IF(VALUE(MID(AL$5,6,2))&lt;=$D$2,((1+$Q$3)^9-1)*AB23,0)</f>
        <v/>
      </c>
      <c r="AM23" s="9">
        <f>SUM(AC23:AL23)</f>
        <v/>
      </c>
      <c r="AN23" s="80">
        <f>SUM(AM23,S23:AB23)</f>
        <v/>
      </c>
      <c r="AP23" s="102" t="inlineStr">
        <is>
          <t>Monthly V</t>
        </is>
      </c>
      <c r="AQ23" s="12" t="n">
        <v>5000</v>
      </c>
      <c r="AR23" s="14">
        <f>IF($AP23="Annual",1,IF($AP23="Monthly F",12,IF($AP23="Monthly V",AQ23*12,IF($AP23="One-Time",1,AQ23*12))))</f>
        <v/>
      </c>
      <c r="AS23" s="14">
        <f t="array" ref="AS23">IFERROR(_xlfn.IFS(VALUE(MID(AS$5,6,1))&gt;$D$2,0,$AP23="Annual",1,AR23=12,12,$AP23="Monthly V",AR23*(1+$BD$2),$AP23="Monthly F",12,$AP23="One-Time",0),AR23*(1+$BD$2))</f>
        <v/>
      </c>
      <c r="AT23" s="14">
        <f t="array" ref="AT23">IFERROR(_xlfn.IFS(VALUE(MID(AT$5,6,1))&gt;$D$2,0,$AP23="Annual",1,AS23=12,12,$AP23="Monthly V",AS23*(1+$BD$2),$AP23="Monthly F",12,$AP23="One-Time",0),AS23*(1+$BD$2))</f>
        <v/>
      </c>
      <c r="AU23" s="14">
        <f t="array" ref="AU23">IFERROR(_xlfn.IFS(VALUE(MID(AU$5,6,1))&gt;$D$2,0,$AP23="Annual",1,AT23=12,12,$AP23="Monthly V",AT23*(1+$BD$2),$AP23="Monthly F",12,$AP23="One-Time",0),AT23*(1+$BD$2))</f>
        <v/>
      </c>
      <c r="AV23" s="14">
        <f t="array" ref="AV23">IFERROR(_xlfn.IFS(VALUE(MID(AV$5,6,1))&gt;$D$2,0,$AP23="Annual",1,AU23=12,12,$AP23="Monthly V",AU23*(1+$BD$2),$AP23="Monthly F",12,$AP23="One-Time",0),AU23*(1+$BD$2))</f>
        <v/>
      </c>
      <c r="AW23" s="14">
        <f t="array" ref="AW23">IFERROR(_xlfn.IFS(VALUE(MID(AW$5,6,1))&gt;$D$2,0,$AP23="Annual",1,AV23=12,12,$AP23="Monthly V",AV23*(1+$BD$2),$AP23="Monthly F",12,$AP23="One-Time",0),AV23*(1+$BD$2))</f>
        <v/>
      </c>
      <c r="AX23" s="14">
        <f t="array" ref="AX23">IFERROR(_xlfn.IFS(VALUE(MID(AX$5,6,1))&gt;$D$2,0,$AP23="Annual",1,AW23=12,12,$AP23="Monthly V",AW23*(1+$BD$2),$AP23="Monthly F",12,$AP23="One-Time",0),AW23*(1+$BD$2))</f>
        <v/>
      </c>
      <c r="AY23" s="14">
        <f t="array" ref="AY23">IFERROR(_xlfn.IFS(VALUE(MID(AY$5,6,1))&gt;$D$2,0,$AP23="Annual",1,AX23=12,12,$AP23="Monthly V",AX23*(1+$D$3),$AP23="Monthly F",12,$AP23="One-Time",0),AX23*(1+$D$3))</f>
        <v/>
      </c>
      <c r="AZ23" s="14">
        <f t="array" ref="AZ23">IFERROR(_xlfn.IFS(VALUE(MID(AZ$5,6,1))&gt;$D$2,0,$AP23="Annual",1,AY23=12,12,$AP23="Monthly V",AY23*(1+$D$3),$AP23="Monthly F",12,$AP23="One-Time",0),AY23*(1+$D$3))</f>
        <v/>
      </c>
      <c r="BA23" s="125">
        <f t="array" ref="BA23">IFERROR(_xlfn.IFS(VALUE(MID(BA$5,6,2))&gt;$D$2,0,$AP23="Annual",1,AZ23=12,12,$AP23="Monthly V",AZ23*(1+$D$3),$AP23="Monthly F",12,$AP23="One-Time",0),AZ23*(1+$D$3))</f>
        <v/>
      </c>
      <c r="BB23" s="148" t="inlineStr">
        <is>
          <t>Synergy ECM</t>
        </is>
      </c>
      <c r="BC23" s="38" t="inlineStr">
        <is>
          <t>Synergy</t>
        </is>
      </c>
      <c r="BD23" s="36" t="n">
        <v>0.2055</v>
      </c>
      <c r="BE23" s="21">
        <f>BF23/12</f>
        <v/>
      </c>
      <c r="BF23" s="39">
        <f>IFERROR(AR23*$BD23,0)</f>
        <v/>
      </c>
      <c r="BG23" s="39">
        <f>IFERROR(AS23*$BD23,0)</f>
        <v/>
      </c>
      <c r="BH23" s="39">
        <f>IFERROR(AT23*$BD23,0)</f>
        <v/>
      </c>
      <c r="BI23" s="39">
        <f>BH23*1.03</f>
        <v/>
      </c>
      <c r="BJ23" s="39">
        <f>BI23*1.03</f>
        <v/>
      </c>
      <c r="BK23" s="39">
        <f>BJ23*1.03</f>
        <v/>
      </c>
      <c r="BL23" s="39">
        <f>BK23*1.03</f>
        <v/>
      </c>
      <c r="BM23" s="39">
        <f>IFERROR(AY23*$BD23,0)</f>
        <v/>
      </c>
      <c r="BN23" s="39">
        <f>IFERROR(AZ23*$BD23,0)</f>
        <v/>
      </c>
      <c r="BO23" s="39">
        <f>IFERROR(BA23*$BD23,0)</f>
        <v/>
      </c>
      <c r="BP23" s="40" t="n"/>
      <c r="BQ23" s="40">
        <f>IF(VALUE(MID(BQ$5,6,1))&lt;=$D$2,((1+$BD$3)^1-1)*BG23,0)</f>
        <v/>
      </c>
      <c r="BR23" s="40">
        <f>IF(VALUE(MID(BR$5,6,1))&lt;=$D$2,((1+$BD$3)^2-1)*BH23,0)</f>
        <v/>
      </c>
      <c r="BS23" s="40">
        <f>IF(VALUE(MID(BS$5,6,1))&lt;=$D$2,((1+$BD$3)^3-1)*BI23,0)</f>
        <v/>
      </c>
      <c r="BT23" s="40">
        <f>IF(VALUE(MID(BT$5,6,1))&lt;=$D$2,((1+$BD$3)^4-1)*BJ23,0)</f>
        <v/>
      </c>
      <c r="BU23" s="40">
        <f>IF(VALUE(MID(BU$5,6,1))&lt;=$D$2,((1+$BD$3)^5-1)*BK23,0)</f>
        <v/>
      </c>
      <c r="BV23" s="40">
        <f>IF(VALUE(MID(BV$5,6,1))&lt;=$D$2,((1+$BD$3)^6-1)*BL23,0)</f>
        <v/>
      </c>
      <c r="BW23" s="40">
        <f>IF(VALUE(MID(BW$5,6,1))&lt;=$D$2,((1+$BD$3)^7-1)*BM23,0)</f>
        <v/>
      </c>
      <c r="BX23" s="40">
        <f>IF(VALUE(MID(BX$5,6,1))&lt;=$D$2,((1+$BD$3)^8-1)*BN23,0)</f>
        <v/>
      </c>
      <c r="BY23" s="40">
        <f>IF(VALUE(MID(BY$5,6,2))&lt;=$D$2,((1+$BD$3)^9-1)*BO23,0)</f>
        <v/>
      </c>
      <c r="BZ23" s="40">
        <f>SUM(BP23:BY23)</f>
        <v/>
      </c>
      <c r="CA23" s="37">
        <f>SUM(BZ23,BF23:BO23)</f>
        <v/>
      </c>
      <c r="CC23" s="102" t="n"/>
      <c r="CD23" s="12" t="n"/>
      <c r="CE23" s="14">
        <f>IF($CC23="Annual",1,IF($CC23="Monthly F",12,IF($CC23="Monthly V",CD23*12,IF($CC23="One-Time",1,CD23*12))))</f>
        <v/>
      </c>
      <c r="CF23" s="14">
        <f t="array" ref="CF23">IFERROR(_xlfn.IFS(VALUE(MID(CF$5,6,1))&gt;$D$2,0,$CC23="Annual",1,CE23=12,12,$CC23="Monthly V",CE23*(1+$D$3),$CC23="Monthly F",12,$CC23="One-Time",0),CE23*(1+$D$3))</f>
        <v/>
      </c>
      <c r="CG23" s="14">
        <f t="array" ref="CG23">IFERROR(_xlfn.IFS(VALUE(MID(CG$5,6,1))&gt;$D$2,0,$CC23="Annual",1,CF23=12,12,$CC23="Monthly V",CF23*(1+$D$3),$CC23="Monthly F",12,$CC23="One-Time",0),CF23*(1+$D$3))</f>
        <v/>
      </c>
      <c r="CH23" s="14">
        <f t="array" ref="CH23">IFERROR(_xlfn.IFS(VALUE(MID(CH$5,6,1))&gt;$D$2,0,$CC23="Annual",1,CG23=12,12,$CC23="Monthly V",CG23*(1+$D$3),$CC23="Monthly F",12,$CC23="One-Time",0),CG23*(1+$D$3))</f>
        <v/>
      </c>
      <c r="CI23" s="14">
        <f t="array" ref="CI23">IFERROR(_xlfn.IFS(VALUE(MID(CI$5,6,1))&gt;$D$2,0,$CC23="Annual",1,CH23=12,12,$CC23="Monthly V",CH23*(1+$D$3),$CC23="Monthly F",12,$CC23="One-Time",0),CH23*(1+$D$3))</f>
        <v/>
      </c>
      <c r="CJ23" s="14">
        <f t="array" ref="CJ23">IFERROR(_xlfn.IFS(VALUE(MID(CJ$5,6,1))&gt;$D$2,0,$CC23="Annual",1,CI23=12,12,$CC23="Monthly V",CI23*(1+$D$3),$CC23="Monthly F",12,$CC23="One-Time",0),CI23*(1+$D$3))</f>
        <v/>
      </c>
      <c r="CK23" s="14">
        <f t="array" ref="CK23">IFERROR(_xlfn.IFS(VALUE(MID(CK$5,6,1))&gt;$D$2,0,$CC23="Annual",1,CJ23=12,12,$CC23="Monthly V",CJ23*(1+$D$3),$CC23="Monthly F",12,$CC23="One-Time",0),CJ23*(1+$D$3))</f>
        <v/>
      </c>
      <c r="CL23" s="14">
        <f t="array" ref="CL23">IFERROR(_xlfn.IFS(VALUE(MID(CL$5,6,1))&gt;$D$2,0,$CC23="Annual",1,CK23=12,12,$CC23="Monthly V",CK23*(1+$D$3),$CC23="Monthly F",12,$CC23="One-Time",0),CK23*(1+$D$3))</f>
        <v/>
      </c>
      <c r="CM23" s="14">
        <f t="array" ref="CM23">IFERROR(_xlfn.IFS(VALUE(MID(CM$5,6,1))&gt;$D$2,0,$CC23="Annual",1,CL23=12,12,$CC23="Monthly V",CL23*(1+$D$3),$CC23="Monthly F",12,$CC23="One-Time",0),CL23*(1+$D$3))</f>
        <v/>
      </c>
      <c r="CN23" s="24">
        <f t="array" ref="CN23">IFERROR(_xlfn.IFS(VALUE(MID(CN$5,6,2))&gt;$D$2,0,$CC23="Annual",1,CM23=12,12,$CC23="Monthly V",CM23*(1+$D$3),$CC23="Monthly F",12,$CC23="One-Time",0),CM23*(1+$D$3))</f>
        <v/>
      </c>
      <c r="CO23" s="63" t="n"/>
      <c r="CP23" s="53" t="n"/>
      <c r="CQ23" s="21">
        <f>CR23/12</f>
        <v/>
      </c>
      <c r="CR23" s="55">
        <f>IFERROR(CE23*$CP23,0)</f>
        <v/>
      </c>
      <c r="CS23" s="55">
        <f>IFERROR(CF23*$CP23,0)</f>
        <v/>
      </c>
      <c r="CT23" s="55">
        <f>IFERROR(CG23*$CP23,0)</f>
        <v/>
      </c>
      <c r="CU23" s="55">
        <f>IFERROR(CH23*$CP23,0)</f>
        <v/>
      </c>
      <c r="CV23" s="55">
        <f>IFERROR(CI23*$CP23,0)</f>
        <v/>
      </c>
      <c r="CW23" s="55">
        <f>IFERROR(CJ23*$CP23,0)</f>
        <v/>
      </c>
      <c r="CX23" s="55">
        <f>IFERROR(CK23*$CP23,0)</f>
        <v/>
      </c>
      <c r="CY23" s="55">
        <f>IFERROR(CL23*$CP23,0)</f>
        <v/>
      </c>
      <c r="CZ23" s="55">
        <f>IFERROR(CM23*$CP23,0)</f>
        <v/>
      </c>
      <c r="DA23" s="55">
        <f>IFERROR(CN23*$CP23,0)</f>
        <v/>
      </c>
      <c r="DB23" s="56" t="n"/>
      <c r="DC23" s="56">
        <f>IF(VALUE(MID(DC$5,6,1))&lt;=$D$2,((1+$CP$3)^1-1)*CS23,0)</f>
        <v/>
      </c>
      <c r="DD23" s="56">
        <f>IF(VALUE(MID(DD$5,6,1))&lt;=$D$2,((1+$CP$3)^2-1)*CT23,0)</f>
        <v/>
      </c>
      <c r="DE23" s="56">
        <f>IF(VALUE(MID(DE$5,6,1))&lt;=$D$2,((1+$CP$3)^3-1)*CU23,0)</f>
        <v/>
      </c>
      <c r="DF23" s="56">
        <f>IF(VALUE(MID(DF$5,6,1))&lt;=$D$2,((1+$CP$3)^4-1)*CV23,0)</f>
        <v/>
      </c>
      <c r="DG23" s="56">
        <f>IF(VALUE(MID(DG$5,6,1))&lt;=$D$2,((1+$CP$3)^5-1)*CW23,0)</f>
        <v/>
      </c>
      <c r="DH23" s="56">
        <f>IF(VALUE(MID(DH$5,6,1))&lt;=$D$2,((1+$CP$3)^6-1)*CX23,0)</f>
        <v/>
      </c>
      <c r="DI23" s="56">
        <f>IF(VALUE(MID(DI$5,6,1))&lt;=$D$2,((1+$CP$3)^7-1)*CY23,0)</f>
        <v/>
      </c>
      <c r="DJ23" s="56">
        <f>IF(VALUE(MID(DJ$5,6,1))&lt;=$D$2,((1+$CP$3)^8-1)*CZ23,0)</f>
        <v/>
      </c>
      <c r="DK23" s="56">
        <f>IF(VALUE(MID(DK$5,6,2))&lt;=$D$2,((1+$CP$3)^9-1)*DA23,0)</f>
        <v/>
      </c>
      <c r="DL23" s="57">
        <f>SUM(DB23:DK23)</f>
        <v/>
      </c>
      <c r="DM23" s="54">
        <f>SUM(DL23,CR23:DA23)</f>
        <v/>
      </c>
      <c r="DO23" s="106" t="n"/>
    </row>
    <row r="24">
      <c r="B24" s="141" t="inlineStr">
        <is>
          <t>Monthly V</t>
        </is>
      </c>
      <c r="C24" s="24" t="n">
        <v>5000</v>
      </c>
      <c r="D24" s="147">
        <f>IFERROR(AVERAGE(C24:C24),0)</f>
        <v/>
      </c>
      <c r="E24" s="142">
        <f>IF($B24="Annual",1,IF($B24="Monthly F",12,IF($B24="Monthly V",D24*12,IF($B24="One-Time",1,D24*12))))</f>
        <v/>
      </c>
      <c r="F24" s="14">
        <f t="array" ref="F24">IFERROR(_xlfn.IFS(VALUE(MID(F$5,6,1))&gt;$D$2,0,$B24="Annual",1,E24=12,12,$B24="Monthly V",E24*(1+$D$3),$B24="Monthly F",12,$B24="One-Time",0),E24*(1+$D$3))</f>
        <v/>
      </c>
      <c r="G24" s="14">
        <f t="array" ref="G24">IFERROR(_xlfn.IFS(VALUE(MID(G$5,6,1))&gt;$D$2,0,$B24="Annual",1,F24=12,12,$B24="Monthly V",F24*(1+$D$3),$B24="Monthly F",12,$B24="One-Time",0),F24*(1+$D$3))</f>
        <v/>
      </c>
      <c r="H24" s="14">
        <f t="array" ref="H24">IFERROR(_xlfn.IFS(VALUE(MID(H$5,6,1))&gt;$D$2,0,$B24="Annual",1,G24=12,12,$B24="Monthly V",G24*(1+$D$3),$B24="Monthly F",12,$B24="One-Time",0),G24*(1+$D$3))</f>
        <v/>
      </c>
      <c r="I24" s="14">
        <f t="array" ref="I24">IFERROR(_xlfn.IFS(VALUE(MID(I$5,6,1))&gt;$D$2,0,$B24="Annual",1,H24=12,12,$B24="Monthly V",H24*(1+$D$3),$B24="Monthly F",12,$B24="One-Time",0),H24*(1+$D$3))</f>
        <v/>
      </c>
      <c r="J24" s="14">
        <f t="array" ref="J24">IFERROR(_xlfn.IFS(VALUE(MID(J$5,6,1))&gt;$D$2,0,$B24="Annual",1,I24=12,12,$B24="Monthly V",I24*(1+$D$3),$B24="Monthly F",12,$B24="One-Time",0),I24*(1+$D$3))</f>
        <v/>
      </c>
      <c r="K24" s="14">
        <f t="array" ref="K24">IFERROR(_xlfn.IFS(VALUE(MID(K$5,6,1))&gt;$D$2,0,$B24="Annual",1,J24=12,12,$B24="Monthly V",J24*(1+$D$3),$B24="Monthly F",12,$B24="One-Time",0),J24*(1+$D$3))</f>
        <v/>
      </c>
      <c r="L24" s="14">
        <f t="array" ref="L24">IFERROR(_xlfn.IFS(VALUE(MID(L$5,6,1))&gt;$D$2,0,$B24="Annual",1,K24=12,12,$B24="Monthly V",K24*(1+$D$3),$B24="Monthly F",12,$B24="One-Time",0),K24*(1+$D$3))</f>
        <v/>
      </c>
      <c r="M24" s="14">
        <f t="array" ref="M24">IFERROR(_xlfn.IFS(VALUE(MID(M$5,6,1))&gt;$D$2,0,$B24="Annual",1,L24=12,12,$B24="Monthly V",L24*(1+$D$3),$B24="Monthly F",12,$B24="One-Time",0),L24*(1+$D$3))</f>
        <v/>
      </c>
      <c r="N24" s="24">
        <f t="array" ref="N24">IFERROR(_xlfn.IFS(VALUE(MID(N$5,6,2))&gt;$D$2,0,$B24="Annual",1,M24=12,12,$B24="Monthly V",M24*(1+$D$3),$B24="Monthly F",12,$B24="One-Time",0),M24*(1+$D$3))</f>
        <v/>
      </c>
      <c r="O24" s="155" t="inlineStr">
        <is>
          <t>Per envelope x 500</t>
        </is>
      </c>
      <c r="P24" s="13" t="inlineStr">
        <is>
          <t>Output Solutions</t>
        </is>
      </c>
      <c r="Q24" s="20" t="n">
        <v>0.0314</v>
      </c>
      <c r="R24" s="21">
        <f>S24/12</f>
        <v/>
      </c>
      <c r="S24" s="6">
        <f>IFERROR($Q24*E24,0)</f>
        <v/>
      </c>
      <c r="T24" s="6">
        <f>IFERROR($Q24*F24,0)</f>
        <v/>
      </c>
      <c r="U24" s="6">
        <f>IFERROR($Q24*G24,0)</f>
        <v/>
      </c>
      <c r="V24" s="6">
        <f>IFERROR($Q24*H24,0)</f>
        <v/>
      </c>
      <c r="W24" s="6">
        <f>IFERROR($Q24*I24,0)</f>
        <v/>
      </c>
      <c r="X24" s="6">
        <f>IFERROR($Q24*J24,0)</f>
        <v/>
      </c>
      <c r="Y24" s="6">
        <f>IFERROR($Q24*K24,0)</f>
        <v/>
      </c>
      <c r="Z24" s="6">
        <f>IFERROR($Q24*L24,0)</f>
        <v/>
      </c>
      <c r="AA24" s="6">
        <f>IFERROR($Q24*M24,0)</f>
        <v/>
      </c>
      <c r="AB24" s="6">
        <f>IFERROR($Q24*N24,0)</f>
        <v/>
      </c>
      <c r="AC24" s="7" t="n"/>
      <c r="AD24" s="152">
        <f>IF(VALUE(MID(AD$5,6,1))&lt;=$D$2,((1+$Q$3)^1-1)*T24,0)</f>
        <v/>
      </c>
      <c r="AE24" s="152">
        <f>IF(VALUE(MID(AE$5,6,1))&lt;=$D$2,((1+$Q$3)^2-1)*U24,0)</f>
        <v/>
      </c>
      <c r="AF24" s="152">
        <f>IF(VALUE(MID(AF$5,6,1))&lt;=$D$2,((1+$Q$3)^3-1)*V24,0)</f>
        <v/>
      </c>
      <c r="AG24" s="152">
        <f>IF(VALUE(MID(AG$5,6,1))&lt;=$D$2,((1+$Q$3)^4-1)*W24,0)</f>
        <v/>
      </c>
      <c r="AH24" s="152">
        <f>IF(VALUE(MID(AH$5,6,1))&lt;=$D$2,((1+$Q$3)^5-1)*X24,0)</f>
        <v/>
      </c>
      <c r="AI24" s="152">
        <f>IF(VALUE(MID(AI$5,6,1))&lt;=$D$2,((1+$Q$3)^6-1)*Y24,0)</f>
        <v/>
      </c>
      <c r="AJ24" s="152">
        <f>IF(VALUE(MID(AJ$5,6,1))&lt;=$D$2,((1+$Q$3)^7-1)*Z24,0)</f>
        <v/>
      </c>
      <c r="AK24" s="152">
        <f>IF(VALUE(MID(AK$5,6,1))&lt;=$D$2,((1+$Q$3)^8-1)*AA24,0)</f>
        <v/>
      </c>
      <c r="AL24" s="152">
        <f>IF(VALUE(MID(AL$5,6,2))&lt;=$D$2,((1+$Q$3)^9-1)*AB24,0)</f>
        <v/>
      </c>
      <c r="AM24" s="9">
        <f>SUM(AC24:AL24)</f>
        <v/>
      </c>
      <c r="AN24" s="80">
        <f>SUM(AM24,S24:AB24)</f>
        <v/>
      </c>
      <c r="AP24" s="102" t="inlineStr">
        <is>
          <t>Monthly V</t>
        </is>
      </c>
      <c r="AQ24" s="12" t="n">
        <v>5000</v>
      </c>
      <c r="AR24" s="14">
        <f>IF($AP24="Annual",1,IF($AP24="Monthly F",12,IF($AP24="Monthly V",AQ24*12,IF($AP24="One-Time",1,AQ24*12))))</f>
        <v/>
      </c>
      <c r="AS24" s="14">
        <f t="array" ref="AS24">IFERROR(_xlfn.IFS(VALUE(MID(AS$5,6,1))&gt;$D$2,0,$AP24="Annual",1,AR24=12,12,$AP24="Monthly V",AR24*(1+$BD$2),$AP24="Monthly F",12,$AP24="One-Time",0),AR24*(1+$BD$2))</f>
        <v/>
      </c>
      <c r="AT24" s="14">
        <f t="array" ref="AT24">IFERROR(_xlfn.IFS(VALUE(MID(AT$5,6,1))&gt;$D$2,0,$AP24="Annual",1,AS24=12,12,$AP24="Monthly V",AS24*(1+$BD$2),$AP24="Monthly F",12,$AP24="One-Time",0),AS24*(1+$BD$2))</f>
        <v/>
      </c>
      <c r="AU24" s="14">
        <f t="array" ref="AU24">IFERROR(_xlfn.IFS(VALUE(MID(AU$5,6,1))&gt;$D$2,0,$AP24="Annual",1,AT24=12,12,$AP24="Monthly V",AT24*(1+$BD$2),$AP24="Monthly F",12,$AP24="One-Time",0),AT24*(1+$BD$2))</f>
        <v/>
      </c>
      <c r="AV24" s="14">
        <f t="array" ref="AV24">IFERROR(_xlfn.IFS(VALUE(MID(AV$5,6,1))&gt;$D$2,0,$AP24="Annual",1,AU24=12,12,$AP24="Monthly V",AU24*(1+$BD$2),$AP24="Monthly F",12,$AP24="One-Time",0),AU24*(1+$BD$2))</f>
        <v/>
      </c>
      <c r="AW24" s="14">
        <f t="array" ref="AW24">IFERROR(_xlfn.IFS(VALUE(MID(AW$5,6,1))&gt;$D$2,0,$AP24="Annual",1,AV24=12,12,$AP24="Monthly V",AV24*(1+$BD$2),$AP24="Monthly F",12,$AP24="One-Time",0),AV24*(1+$BD$2))</f>
        <v/>
      </c>
      <c r="AX24" s="14">
        <f t="array" ref="AX24">IFERROR(_xlfn.IFS(VALUE(MID(AX$5,6,1))&gt;$D$2,0,$AP24="Annual",1,AW24=12,12,$AP24="Monthly V",AW24*(1+$BD$2),$AP24="Monthly F",12,$AP24="One-Time",0),AW24*(1+$BD$2))</f>
        <v/>
      </c>
      <c r="AY24" s="14">
        <f t="array" ref="AY24">IFERROR(_xlfn.IFS(VALUE(MID(AY$5,6,1))&gt;$D$2,0,$AP24="Annual",1,AX24=12,12,$AP24="Monthly V",AX24*(1+$D$3),$AP24="Monthly F",12,$AP24="One-Time",0),AX24*(1+$D$3))</f>
        <v/>
      </c>
      <c r="AZ24" s="14">
        <f t="array" ref="AZ24">IFERROR(_xlfn.IFS(VALUE(MID(AZ$5,6,1))&gt;$D$2,0,$AP24="Annual",1,AY24=12,12,$AP24="Monthly V",AY24*(1+$D$3),$AP24="Monthly F",12,$AP24="One-Time",0),AY24*(1+$D$3))</f>
        <v/>
      </c>
      <c r="BA24" s="125">
        <f t="array" ref="BA24">IFERROR(_xlfn.IFS(VALUE(MID(BA$5,6,2))&gt;$D$2,0,$AP24="Annual",1,AZ24=12,12,$AP24="Monthly V",AZ24*(1+$D$3),$AP24="Monthly F",12,$AP24="One-Time",0),AZ24*(1+$D$3))</f>
        <v/>
      </c>
      <c r="BB24" s="148" t="inlineStr">
        <is>
          <t>Synergy Productivity</t>
        </is>
      </c>
      <c r="BC24" s="38" t="inlineStr">
        <is>
          <t>Synergy</t>
        </is>
      </c>
      <c r="BD24" s="36" t="n">
        <v>0.0765</v>
      </c>
      <c r="BE24" s="21">
        <f>BF24/12</f>
        <v/>
      </c>
      <c r="BF24" s="39">
        <f>IFERROR(AR24*$BD24,0)</f>
        <v/>
      </c>
      <c r="BG24" s="39">
        <f>IFERROR(AS24*$BD24,0)</f>
        <v/>
      </c>
      <c r="BH24" s="39">
        <f>IFERROR(AT24*$BD24,0)</f>
        <v/>
      </c>
      <c r="BI24" s="39">
        <f>BH24*1.03</f>
        <v/>
      </c>
      <c r="BJ24" s="39">
        <f>BI24*1.03</f>
        <v/>
      </c>
      <c r="BK24" s="39">
        <f>BJ24*1.03</f>
        <v/>
      </c>
      <c r="BL24" s="39">
        <f>BK24*1.03</f>
        <v/>
      </c>
      <c r="BM24" s="39">
        <f>IFERROR(AY24*$BD24,0)</f>
        <v/>
      </c>
      <c r="BN24" s="39">
        <f>IFERROR(AZ24*$BD24,0)</f>
        <v/>
      </c>
      <c r="BO24" s="39">
        <f>IFERROR(BA24*$BD24,0)</f>
        <v/>
      </c>
      <c r="BP24" s="40" t="n"/>
      <c r="BQ24" s="40">
        <f>IF(VALUE(MID(BQ$5,6,1))&lt;=$D$2,((1+$BD$3)^1-1)*BG24,0)</f>
        <v/>
      </c>
      <c r="BR24" s="40">
        <f>IF(VALUE(MID(BR$5,6,1))&lt;=$D$2,((1+$BD$3)^2-1)*BH24,0)</f>
        <v/>
      </c>
      <c r="BS24" s="40">
        <f>IF(VALUE(MID(BS$5,6,1))&lt;=$D$2,((1+$BD$3)^3-1)*BI24,0)</f>
        <v/>
      </c>
      <c r="BT24" s="40">
        <f>IF(VALUE(MID(BT$5,6,1))&lt;=$D$2,((1+$BD$3)^4-1)*BJ24,0)</f>
        <v/>
      </c>
      <c r="BU24" s="40">
        <f>IF(VALUE(MID(BU$5,6,1))&lt;=$D$2,((1+$BD$3)^5-1)*BK24,0)</f>
        <v/>
      </c>
      <c r="BV24" s="40">
        <f>IF(VALUE(MID(BV$5,6,1))&lt;=$D$2,((1+$BD$3)^6-1)*BL24,0)</f>
        <v/>
      </c>
      <c r="BW24" s="40">
        <f>IF(VALUE(MID(BW$5,6,1))&lt;=$D$2,((1+$BD$3)^7-1)*BM24,0)</f>
        <v/>
      </c>
      <c r="BX24" s="40">
        <f>IF(VALUE(MID(BX$5,6,1))&lt;=$D$2,((1+$BD$3)^8-1)*BN24,0)</f>
        <v/>
      </c>
      <c r="BY24" s="40">
        <f>IF(VALUE(MID(BY$5,6,2))&lt;=$D$2,((1+$BD$3)^9-1)*BO24,0)</f>
        <v/>
      </c>
      <c r="BZ24" s="40">
        <f>SUM(BP24:BY24)</f>
        <v/>
      </c>
      <c r="CA24" s="37">
        <f>SUM(BZ24,BF24:BO24)</f>
        <v/>
      </c>
      <c r="CC24" s="102" t="n"/>
      <c r="CD24" s="12" t="n"/>
      <c r="CE24" s="14">
        <f>IF($CC24="Annual",1,IF($CC24="Monthly F",12,IF($CC24="Monthly V",CD24*12,IF($CC24="One-Time",1,CD24*12))))</f>
        <v/>
      </c>
      <c r="CF24" s="14">
        <f t="array" ref="CF24">IFERROR(_xlfn.IFS(VALUE(MID(CF$5,6,1))&gt;$D$2,0,$CC24="Annual",1,CE24=12,12,$CC24="Monthly V",CE24*(1+$D$3),$CC24="Monthly F",12,$CC24="One-Time",0),CE24*(1+$D$3))</f>
        <v/>
      </c>
      <c r="CG24" s="14">
        <f t="array" ref="CG24">IFERROR(_xlfn.IFS(VALUE(MID(CG$5,6,1))&gt;$D$2,0,$CC24="Annual",1,CF24=12,12,$CC24="Monthly V",CF24*(1+$D$3),$CC24="Monthly F",12,$CC24="One-Time",0),CF24*(1+$D$3))</f>
        <v/>
      </c>
      <c r="CH24" s="14">
        <f t="array" ref="CH24">IFERROR(_xlfn.IFS(VALUE(MID(CH$5,6,1))&gt;$D$2,0,$CC24="Annual",1,CG24=12,12,$CC24="Monthly V",CG24*(1+$D$3),$CC24="Monthly F",12,$CC24="One-Time",0),CG24*(1+$D$3))</f>
        <v/>
      </c>
      <c r="CI24" s="14">
        <f t="array" ref="CI24">IFERROR(_xlfn.IFS(VALUE(MID(CI$5,6,1))&gt;$D$2,0,$CC24="Annual",1,CH24=12,12,$CC24="Monthly V",CH24*(1+$D$3),$CC24="Monthly F",12,$CC24="One-Time",0),CH24*(1+$D$3))</f>
        <v/>
      </c>
      <c r="CJ24" s="14">
        <f t="array" ref="CJ24">IFERROR(_xlfn.IFS(VALUE(MID(CJ$5,6,1))&gt;$D$2,0,$CC24="Annual",1,CI24=12,12,$CC24="Monthly V",CI24*(1+$D$3),$CC24="Monthly F",12,$CC24="One-Time",0),CI24*(1+$D$3))</f>
        <v/>
      </c>
      <c r="CK24" s="14">
        <f t="array" ref="CK24">IFERROR(_xlfn.IFS(VALUE(MID(CK$5,6,1))&gt;$D$2,0,$CC24="Annual",1,CJ24=12,12,$CC24="Monthly V",CJ24*(1+$D$3),$CC24="Monthly F",12,$CC24="One-Time",0),CJ24*(1+$D$3))</f>
        <v/>
      </c>
      <c r="CL24" s="14">
        <f t="array" ref="CL24">IFERROR(_xlfn.IFS(VALUE(MID(CL$5,6,1))&gt;$D$2,0,$CC24="Annual",1,CK24=12,12,$CC24="Monthly V",CK24*(1+$D$3),$CC24="Monthly F",12,$CC24="One-Time",0),CK24*(1+$D$3))</f>
        <v/>
      </c>
      <c r="CM24" s="14">
        <f t="array" ref="CM24">IFERROR(_xlfn.IFS(VALUE(MID(CM$5,6,1))&gt;$D$2,0,$CC24="Annual",1,CL24=12,12,$CC24="Monthly V",CL24*(1+$D$3),$CC24="Monthly F",12,$CC24="One-Time",0),CL24*(1+$D$3))</f>
        <v/>
      </c>
      <c r="CN24" s="24">
        <f t="array" ref="CN24">IFERROR(_xlfn.IFS(VALUE(MID(CN$5,6,2))&gt;$D$2,0,$CC24="Annual",1,CM24=12,12,$CC24="Monthly V",CM24*(1+$D$3),$CC24="Monthly F",12,$CC24="One-Time",0),CM24*(1+$D$3))</f>
        <v/>
      </c>
      <c r="CO24" s="63" t="n"/>
      <c r="CP24" s="53" t="n"/>
      <c r="CQ24" s="21">
        <f>CR24/12</f>
        <v/>
      </c>
      <c r="CR24" s="55">
        <f>IFERROR(CE24*$CP24,0)</f>
        <v/>
      </c>
      <c r="CS24" s="55">
        <f>IFERROR(CF24*$CP24,0)</f>
        <v/>
      </c>
      <c r="CT24" s="55">
        <f>IFERROR(CG24*$CP24,0)</f>
        <v/>
      </c>
      <c r="CU24" s="55">
        <f>IFERROR(CH24*$CP24,0)</f>
        <v/>
      </c>
      <c r="CV24" s="55">
        <f>IFERROR(CI24*$CP24,0)</f>
        <v/>
      </c>
      <c r="CW24" s="55">
        <f>IFERROR(CJ24*$CP24,0)</f>
        <v/>
      </c>
      <c r="CX24" s="55">
        <f>IFERROR(CK24*$CP24,0)</f>
        <v/>
      </c>
      <c r="CY24" s="55">
        <f>IFERROR(CL24*$CP24,0)</f>
        <v/>
      </c>
      <c r="CZ24" s="55">
        <f>IFERROR(CM24*$CP24,0)</f>
        <v/>
      </c>
      <c r="DA24" s="55">
        <f>IFERROR(CN24*$CP24,0)</f>
        <v/>
      </c>
      <c r="DB24" s="56" t="n"/>
      <c r="DC24" s="56">
        <f>IF(VALUE(MID(DC$5,6,1))&lt;=$D$2,((1+$CP$3)^1-1)*CS24,0)</f>
        <v/>
      </c>
      <c r="DD24" s="56">
        <f>IF(VALUE(MID(DD$5,6,1))&lt;=$D$2,((1+$CP$3)^2-1)*CT24,0)</f>
        <v/>
      </c>
      <c r="DE24" s="56">
        <f>IF(VALUE(MID(DE$5,6,1))&lt;=$D$2,((1+$CP$3)^3-1)*CU24,0)</f>
        <v/>
      </c>
      <c r="DF24" s="56">
        <f>IF(VALUE(MID(DF$5,6,1))&lt;=$D$2,((1+$CP$3)^4-1)*CV24,0)</f>
        <v/>
      </c>
      <c r="DG24" s="56">
        <f>IF(VALUE(MID(DG$5,6,1))&lt;=$D$2,((1+$CP$3)^5-1)*CW24,0)</f>
        <v/>
      </c>
      <c r="DH24" s="56">
        <f>IF(VALUE(MID(DH$5,6,1))&lt;=$D$2,((1+$CP$3)^6-1)*CX24,0)</f>
        <v/>
      </c>
      <c r="DI24" s="56">
        <f>IF(VALUE(MID(DI$5,6,1))&lt;=$D$2,((1+$CP$3)^7-1)*CY24,0)</f>
        <v/>
      </c>
      <c r="DJ24" s="56">
        <f>IF(VALUE(MID(DJ$5,6,1))&lt;=$D$2,((1+$CP$3)^8-1)*CZ24,0)</f>
        <v/>
      </c>
      <c r="DK24" s="56">
        <f>IF(VALUE(MID(DK$5,6,2))&lt;=$D$2,((1+$CP$3)^9-1)*DA24,0)</f>
        <v/>
      </c>
      <c r="DL24" s="57">
        <f>SUM(DB24:DK24)</f>
        <v/>
      </c>
      <c r="DM24" s="54">
        <f>SUM(DL24,CR24:DA24)</f>
        <v/>
      </c>
      <c r="DO24" s="106" t="n"/>
    </row>
    <row r="25">
      <c r="B25" s="141" t="n"/>
      <c r="C25" s="24" t="n"/>
      <c r="D25" s="147" t="n"/>
      <c r="E25" s="142" t="n"/>
      <c r="F25" s="14" t="n"/>
      <c r="G25" s="14" t="n"/>
      <c r="H25" s="14" t="n"/>
      <c r="I25" s="14" t="n"/>
      <c r="J25" s="14" t="n"/>
      <c r="K25" s="14" t="n"/>
      <c r="L25" s="14" t="n"/>
      <c r="M25" s="14" t="n"/>
      <c r="N25" s="24" t="n"/>
      <c r="O25" s="156" t="inlineStr">
        <is>
          <t>Card Production</t>
        </is>
      </c>
      <c r="P25" s="13" t="n"/>
      <c r="Q25" s="20" t="n"/>
      <c r="R25" s="21">
        <f>S25/12</f>
        <v/>
      </c>
      <c r="S25" s="6">
        <f>IFERROR($Q25*E25,0)</f>
        <v/>
      </c>
      <c r="T25" s="6">
        <f>IFERROR($Q25*F25,0)</f>
        <v/>
      </c>
      <c r="U25" s="6">
        <f>IFERROR($Q25*G25,0)</f>
        <v/>
      </c>
      <c r="V25" s="6">
        <f>IFERROR($Q25*H25,0)</f>
        <v/>
      </c>
      <c r="W25" s="6">
        <f>IFERROR($Q25*I25,0)</f>
        <v/>
      </c>
      <c r="X25" s="6">
        <f>IFERROR($Q25*J25,0)</f>
        <v/>
      </c>
      <c r="Y25" s="6">
        <f>IFERROR($Q25*K25,0)</f>
        <v/>
      </c>
      <c r="Z25" s="6">
        <f>IFERROR($Q25*L25,0)</f>
        <v/>
      </c>
      <c r="AA25" s="6">
        <f>IFERROR($Q25*M25,0)</f>
        <v/>
      </c>
      <c r="AB25" s="6">
        <f>IFERROR($Q25*N25,0)</f>
        <v/>
      </c>
      <c r="AC25" s="7" t="n"/>
      <c r="AD25" s="152">
        <f>IF(VALUE(MID(AD$5,6,1))&lt;=$D$2,((1+$Q$3)^1-1)*T25,0)</f>
        <v/>
      </c>
      <c r="AE25" s="152">
        <f>IF(VALUE(MID(AE$5,6,1))&lt;=$D$2,((1+$Q$3)^2-1)*U25,0)</f>
        <v/>
      </c>
      <c r="AF25" s="152">
        <f>IF(VALUE(MID(AF$5,6,1))&lt;=$D$2,((1+$Q$3)^3-1)*V25,0)</f>
        <v/>
      </c>
      <c r="AG25" s="152">
        <f>IF(VALUE(MID(AG$5,6,1))&lt;=$D$2,((1+$Q$3)^4-1)*W25,0)</f>
        <v/>
      </c>
      <c r="AH25" s="152">
        <f>IF(VALUE(MID(AH$5,6,1))&lt;=$D$2,((1+$Q$3)^5-1)*X25,0)</f>
        <v/>
      </c>
      <c r="AI25" s="152">
        <f>IF(VALUE(MID(AI$5,6,1))&lt;=$D$2,((1+$Q$3)^6-1)*Y25,0)</f>
        <v/>
      </c>
      <c r="AJ25" s="152">
        <f>IF(VALUE(MID(AJ$5,6,1))&lt;=$D$2,((1+$Q$3)^7-1)*Z25,0)</f>
        <v/>
      </c>
      <c r="AK25" s="152">
        <f>IF(VALUE(MID(AK$5,6,1))&lt;=$D$2,((1+$Q$3)^8-1)*AA25,0)</f>
        <v/>
      </c>
      <c r="AL25" s="152">
        <f>IF(VALUE(MID(AL$5,6,2))&lt;=$D$2,((1+$Q$3)^9-1)*AB25,0)</f>
        <v/>
      </c>
      <c r="AM25" s="9">
        <f>SUM(AC25:AL25)</f>
        <v/>
      </c>
      <c r="AN25" s="80">
        <f>SUM(AM25,S25:AB25)</f>
        <v/>
      </c>
      <c r="AP25" s="102" t="inlineStr">
        <is>
          <t>Monthly V</t>
        </is>
      </c>
      <c r="AQ25" s="12" t="n">
        <v>5000</v>
      </c>
      <c r="AR25" s="14">
        <f>IF($AP25="Annual",1,IF($AP25="Monthly F",12,IF($AP25="Monthly V",AQ25*12,IF($AP25="One-Time",1,AQ25*12))))</f>
        <v/>
      </c>
      <c r="AS25" s="14">
        <f t="array" ref="AS25">IFERROR(_xlfn.IFS(VALUE(MID(AS$5,6,1))&gt;$D$2,0,$AP25="Annual",1,AR25=12,12,$AP25="Monthly V",AR25*(1+$BD$2),$AP25="Monthly F",12,$AP25="One-Time",0),AR25*(1+$BD$2))</f>
        <v/>
      </c>
      <c r="AT25" s="14">
        <f t="array" ref="AT25">IFERROR(_xlfn.IFS(VALUE(MID(AT$5,6,1))&gt;$D$2,0,$AP25="Annual",1,AS25=12,12,$AP25="Monthly V",AS25*(1+$BD$2),$AP25="Monthly F",12,$AP25="One-Time",0),AS25*(1+$BD$2))</f>
        <v/>
      </c>
      <c r="AU25" s="14">
        <f t="array" ref="AU25">IFERROR(_xlfn.IFS(VALUE(MID(AU$5,6,1))&gt;$D$2,0,$AP25="Annual",1,AT25=12,12,$AP25="Monthly V",AT25*(1+$BD$2),$AP25="Monthly F",12,$AP25="One-Time",0),AT25*(1+$BD$2))</f>
        <v/>
      </c>
      <c r="AV25" s="14">
        <f t="array" ref="AV25">IFERROR(_xlfn.IFS(VALUE(MID(AV$5,6,1))&gt;$D$2,0,$AP25="Annual",1,AU25=12,12,$AP25="Monthly V",AU25*(1+$BD$2),$AP25="Monthly F",12,$AP25="One-Time",0),AU25*(1+$BD$2))</f>
        <v/>
      </c>
      <c r="AW25" s="14">
        <f t="array" ref="AW25">IFERROR(_xlfn.IFS(VALUE(MID(AW$5,6,1))&gt;$D$2,0,$AP25="Annual",1,AV25=12,12,$AP25="Monthly V",AV25*(1+$BD$2),$AP25="Monthly F",12,$AP25="One-Time",0),AV25*(1+$BD$2))</f>
        <v/>
      </c>
      <c r="AX25" s="14">
        <f t="array" ref="AX25">IFERROR(_xlfn.IFS(VALUE(MID(AX$5,6,1))&gt;$D$2,0,$AP25="Annual",1,AW25=12,12,$AP25="Monthly V",AW25*(1+$BD$2),$AP25="Monthly F",12,$AP25="One-Time",0),AW25*(1+$BD$2))</f>
        <v/>
      </c>
      <c r="AY25" s="14">
        <f t="array" ref="AY25">IFERROR(_xlfn.IFS(VALUE(MID(AY$5,6,1))&gt;$D$2,0,$AP25="Annual",1,AX25=12,12,$AP25="Monthly V",AX25*(1+$D$3),$AP25="Monthly F",12,$AP25="One-Time",0),AX25*(1+$D$3))</f>
        <v/>
      </c>
      <c r="AZ25" s="14">
        <f t="array" ref="AZ25">IFERROR(_xlfn.IFS(VALUE(MID(AZ$5,6,1))&gt;$D$2,0,$AP25="Annual",1,AY25=12,12,$AP25="Monthly V",AY25*(1+$D$3),$AP25="Monthly F",12,$AP25="One-Time",0),AY25*(1+$D$3))</f>
        <v/>
      </c>
      <c r="BA25" s="125">
        <f t="array" ref="BA25">IFERROR(_xlfn.IFS(VALUE(MID(BA$5,6,2))&gt;$D$2,0,$AP25="Annual",1,AZ25=12,12,$AP25="Monthly V",AZ25*(1+$D$3),$AP25="Monthly F",12,$AP25="One-Time",0),AZ25*(1+$D$3))</f>
        <v/>
      </c>
      <c r="BB25" s="148" t="inlineStr">
        <is>
          <t>Synergy eSign and eSignWeb Bundle</t>
        </is>
      </c>
      <c r="BC25" s="38" t="inlineStr">
        <is>
          <t>Synergy</t>
        </is>
      </c>
      <c r="BD25" s="36" t="n">
        <v>0.184</v>
      </c>
      <c r="BE25" s="21">
        <f>BF25/12</f>
        <v/>
      </c>
      <c r="BF25" s="39">
        <f>IFERROR(AR25*$BD25,0)</f>
        <v/>
      </c>
      <c r="BG25" s="39">
        <f>IFERROR(AS25*$BD25,0)</f>
        <v/>
      </c>
      <c r="BH25" s="39">
        <f>IFERROR(AT25*$BD25,0)</f>
        <v/>
      </c>
      <c r="BI25" s="39">
        <f>BH25*1.03</f>
        <v/>
      </c>
      <c r="BJ25" s="39">
        <f>BI25*1.03</f>
        <v/>
      </c>
      <c r="BK25" s="39">
        <f>BJ25*1.03</f>
        <v/>
      </c>
      <c r="BL25" s="39">
        <f>BK25*1.03</f>
        <v/>
      </c>
      <c r="BM25" s="39">
        <f>IFERROR(AY25*$BD25,0)</f>
        <v/>
      </c>
      <c r="BN25" s="39">
        <f>IFERROR(AZ25*$BD25,0)</f>
        <v/>
      </c>
      <c r="BO25" s="39">
        <f>IFERROR(BA25*$BD25,0)</f>
        <v/>
      </c>
      <c r="BP25" s="40" t="n"/>
      <c r="BQ25" s="40">
        <f>IF(VALUE(MID(BQ$5,6,1))&lt;=$D$2,((1+$BD$3)^1-1)*BG25,0)</f>
        <v/>
      </c>
      <c r="BR25" s="40">
        <f>IF(VALUE(MID(BR$5,6,1))&lt;=$D$2,((1+$BD$3)^2-1)*BH25,0)</f>
        <v/>
      </c>
      <c r="BS25" s="40">
        <f>IF(VALUE(MID(BS$5,6,1))&lt;=$D$2,((1+$BD$3)^3-1)*BI25,0)</f>
        <v/>
      </c>
      <c r="BT25" s="40">
        <f>IF(VALUE(MID(BT$5,6,1))&lt;=$D$2,((1+$BD$3)^4-1)*BJ25,0)</f>
        <v/>
      </c>
      <c r="BU25" s="40">
        <f>IF(VALUE(MID(BU$5,6,1))&lt;=$D$2,((1+$BD$3)^5-1)*BK25,0)</f>
        <v/>
      </c>
      <c r="BV25" s="40">
        <f>IF(VALUE(MID(BV$5,6,1))&lt;=$D$2,((1+$BD$3)^6-1)*BL25,0)</f>
        <v/>
      </c>
      <c r="BW25" s="40">
        <f>IF(VALUE(MID(BW$5,6,1))&lt;=$D$2,((1+$BD$3)^7-1)*BM25,0)</f>
        <v/>
      </c>
      <c r="BX25" s="40">
        <f>IF(VALUE(MID(BX$5,6,1))&lt;=$D$2,((1+$BD$3)^8-1)*BN25,0)</f>
        <v/>
      </c>
      <c r="BY25" s="40">
        <f>IF(VALUE(MID(BY$5,6,2))&lt;=$D$2,((1+$BD$3)^9-1)*BO25,0)</f>
        <v/>
      </c>
      <c r="BZ25" s="40">
        <f>SUM(BP25:BY25)</f>
        <v/>
      </c>
      <c r="CA25" s="37">
        <f>SUM(BZ25,BF25:BO25)</f>
        <v/>
      </c>
      <c r="CC25" s="102" t="n"/>
      <c r="CD25" s="12" t="n"/>
      <c r="CE25" s="14">
        <f>IF($CC25="Annual",1,IF($CC25="Monthly F",12,IF($CC25="Monthly V",CD25*12,IF($CC25="One-Time",1,CD25*12))))</f>
        <v/>
      </c>
      <c r="CF25" s="14">
        <f t="array" ref="CF25">IFERROR(_xlfn.IFS(VALUE(MID(CF$5,6,1))&gt;$D$2,0,$CC25="Annual",1,CE25=12,12,$CC25="Monthly V",CE25*(1+$D$3),$CC25="Monthly F",12,$CC25="One-Time",0),CE25*(1+$D$3))</f>
        <v/>
      </c>
      <c r="CG25" s="14">
        <f t="array" ref="CG25">IFERROR(_xlfn.IFS(VALUE(MID(CG$5,6,1))&gt;$D$2,0,$CC25="Annual",1,CF25=12,12,$CC25="Monthly V",CF25*(1+$D$3),$CC25="Monthly F",12,$CC25="One-Time",0),CF25*(1+$D$3))</f>
        <v/>
      </c>
      <c r="CH25" s="14">
        <f t="array" ref="CH25">IFERROR(_xlfn.IFS(VALUE(MID(CH$5,6,1))&gt;$D$2,0,$CC25="Annual",1,CG25=12,12,$CC25="Monthly V",CG25*(1+$D$3),$CC25="Monthly F",12,$CC25="One-Time",0),CG25*(1+$D$3))</f>
        <v/>
      </c>
      <c r="CI25" s="14">
        <f t="array" ref="CI25">IFERROR(_xlfn.IFS(VALUE(MID(CI$5,6,1))&gt;$D$2,0,$CC25="Annual",1,CH25=12,12,$CC25="Monthly V",CH25*(1+$D$3),$CC25="Monthly F",12,$CC25="One-Time",0),CH25*(1+$D$3))</f>
        <v/>
      </c>
      <c r="CJ25" s="14">
        <f t="array" ref="CJ25">IFERROR(_xlfn.IFS(VALUE(MID(CJ$5,6,1))&gt;$D$2,0,$CC25="Annual",1,CI25=12,12,$CC25="Monthly V",CI25*(1+$D$3),$CC25="Monthly F",12,$CC25="One-Time",0),CI25*(1+$D$3))</f>
        <v/>
      </c>
      <c r="CK25" s="14">
        <f t="array" ref="CK25">IFERROR(_xlfn.IFS(VALUE(MID(CK$5,6,1))&gt;$D$2,0,$CC25="Annual",1,CJ25=12,12,$CC25="Monthly V",CJ25*(1+$D$3),$CC25="Monthly F",12,$CC25="One-Time",0),CJ25*(1+$D$3))</f>
        <v/>
      </c>
      <c r="CL25" s="14">
        <f t="array" ref="CL25">IFERROR(_xlfn.IFS(VALUE(MID(CL$5,6,1))&gt;$D$2,0,$CC25="Annual",1,CK25=12,12,$CC25="Monthly V",CK25*(1+$D$3),$CC25="Monthly F",12,$CC25="One-Time",0),CK25*(1+$D$3))</f>
        <v/>
      </c>
      <c r="CM25" s="14">
        <f t="array" ref="CM25">IFERROR(_xlfn.IFS(VALUE(MID(CM$5,6,1))&gt;$D$2,0,$CC25="Annual",1,CL25=12,12,$CC25="Monthly V",CL25*(1+$D$3),$CC25="Monthly F",12,$CC25="One-Time",0),CL25*(1+$D$3))</f>
        <v/>
      </c>
      <c r="CN25" s="24">
        <f t="array" ref="CN25">IFERROR(_xlfn.IFS(VALUE(MID(CN$5,6,2))&gt;$D$2,0,$CC25="Annual",1,CM25=12,12,$CC25="Monthly V",CM25*(1+$D$3),$CC25="Monthly F",12,$CC25="One-Time",0),CM25*(1+$D$3))</f>
        <v/>
      </c>
      <c r="CO25" s="63" t="n"/>
      <c r="CP25" s="53" t="n"/>
      <c r="CQ25" s="21">
        <f>CR25/12</f>
        <v/>
      </c>
      <c r="CR25" s="55">
        <f>IFERROR(CE25*$CP25,0)</f>
        <v/>
      </c>
      <c r="CS25" s="55">
        <f>IFERROR(CF25*$CP25,0)</f>
        <v/>
      </c>
      <c r="CT25" s="55">
        <f>IFERROR(CG25*$CP25,0)</f>
        <v/>
      </c>
      <c r="CU25" s="55">
        <f>IFERROR(CH25*$CP25,0)</f>
        <v/>
      </c>
      <c r="CV25" s="55">
        <f>IFERROR(CI25*$CP25,0)</f>
        <v/>
      </c>
      <c r="CW25" s="55">
        <f>IFERROR(CJ25*$CP25,0)</f>
        <v/>
      </c>
      <c r="CX25" s="55">
        <f>IFERROR(CK25*$CP25,0)</f>
        <v/>
      </c>
      <c r="CY25" s="55">
        <f>IFERROR(CL25*$CP25,0)</f>
        <v/>
      </c>
      <c r="CZ25" s="55">
        <f>IFERROR(CM25*$CP25,0)</f>
        <v/>
      </c>
      <c r="DA25" s="55">
        <f>IFERROR(CN25*$CP25,0)</f>
        <v/>
      </c>
      <c r="DB25" s="56" t="n"/>
      <c r="DC25" s="56">
        <f>IF(VALUE(MID(DC$5,6,1))&lt;=$D$2,((1+$CP$3)^1-1)*CS25,0)</f>
        <v/>
      </c>
      <c r="DD25" s="56">
        <f>IF(VALUE(MID(DD$5,6,1))&lt;=$D$2,((1+$CP$3)^2-1)*CT25,0)</f>
        <v/>
      </c>
      <c r="DE25" s="56">
        <f>IF(VALUE(MID(DE$5,6,1))&lt;=$D$2,((1+$CP$3)^3-1)*CU25,0)</f>
        <v/>
      </c>
      <c r="DF25" s="56">
        <f>IF(VALUE(MID(DF$5,6,1))&lt;=$D$2,((1+$CP$3)^4-1)*CV25,0)</f>
        <v/>
      </c>
      <c r="DG25" s="56">
        <f>IF(VALUE(MID(DG$5,6,1))&lt;=$D$2,((1+$CP$3)^5-1)*CW25,0)</f>
        <v/>
      </c>
      <c r="DH25" s="56">
        <f>IF(VALUE(MID(DH$5,6,1))&lt;=$D$2,((1+$CP$3)^6-1)*CX25,0)</f>
        <v/>
      </c>
      <c r="DI25" s="56">
        <f>IF(VALUE(MID(DI$5,6,1))&lt;=$D$2,((1+$CP$3)^7-1)*CY25,0)</f>
        <v/>
      </c>
      <c r="DJ25" s="56">
        <f>IF(VALUE(MID(DJ$5,6,1))&lt;=$D$2,((1+$CP$3)^8-1)*CZ25,0)</f>
        <v/>
      </c>
      <c r="DK25" s="56">
        <f>IF(VALUE(MID(DK$5,6,2))&lt;=$D$2,((1+$CP$3)^9-1)*DA25,0)</f>
        <v/>
      </c>
      <c r="DL25" s="57">
        <f>SUM(DB25:DK25)</f>
        <v/>
      </c>
      <c r="DM25" s="54">
        <f>SUM(DL25,CR25:DA25)</f>
        <v/>
      </c>
      <c r="DO25" s="106" t="n"/>
    </row>
    <row r="26">
      <c r="B26" s="141" t="inlineStr">
        <is>
          <t>Monthly F</t>
        </is>
      </c>
      <c r="C26" s="24" t="n">
        <v>1</v>
      </c>
      <c r="D26" s="147">
        <f>IFERROR(AVERAGE(C26:C26),0)</f>
        <v/>
      </c>
      <c r="E26" s="142">
        <f>IF($B26="Annual",1,IF($B26="Monthly F",12,IF($B26="Monthly V",D26*12,IF($B26="One-Time",1,D26*12))))</f>
        <v/>
      </c>
      <c r="F26" s="14">
        <f t="array" ref="F26">IFERROR(_xlfn.IFS(VALUE(MID(F$5,6,1))&gt;$D$2,0,$B26="Annual",1,E26=12,12,$B26="Monthly V",E26*(1+$D$3),$B26="Monthly F",12,$B26="One-Time",0),E26*(1+$D$3))</f>
        <v/>
      </c>
      <c r="G26" s="14">
        <f t="array" ref="G26">IFERROR(_xlfn.IFS(VALUE(MID(G$5,6,1))&gt;$D$2,0,$B26="Annual",1,F26=12,12,$B26="Monthly V",F26*(1+$D$3),$B26="Monthly F",12,$B26="One-Time",0),F26*(1+$D$3))</f>
        <v/>
      </c>
      <c r="H26" s="14">
        <f t="array" ref="H26">IFERROR(_xlfn.IFS(VALUE(MID(H$5,6,1))&gt;$D$2,0,$B26="Annual",1,G26=12,12,$B26="Monthly V",G26*(1+$D$3),$B26="Monthly F",12,$B26="One-Time",0),G26*(1+$D$3))</f>
        <v/>
      </c>
      <c r="I26" s="14">
        <f t="array" ref="I26">IFERROR(_xlfn.IFS(VALUE(MID(I$5,6,1))&gt;$D$2,0,$B26="Annual",1,H26=12,12,$B26="Monthly V",H26*(1+$D$3),$B26="Monthly F",12,$B26="One-Time",0),H26*(1+$D$3))</f>
        <v/>
      </c>
      <c r="J26" s="14">
        <f t="array" ref="J26">IFERROR(_xlfn.IFS(VALUE(MID(J$5,6,1))&gt;$D$2,0,$B26="Annual",1,I26=12,12,$B26="Monthly V",I26*(1+$D$3),$B26="Monthly F",12,$B26="One-Time",0),I26*(1+$D$3))</f>
        <v/>
      </c>
      <c r="K26" s="14">
        <f t="array" ref="K26">IFERROR(_xlfn.IFS(VALUE(MID(K$5,6,1))&gt;$D$2,0,$B26="Annual",1,J26=12,12,$B26="Monthly V",J26*(1+$D$3),$B26="Monthly F",12,$B26="One-Time",0),J26*(1+$D$3))</f>
        <v/>
      </c>
      <c r="L26" s="14">
        <f t="array" ref="L26">IFERROR(_xlfn.IFS(VALUE(MID(L$5,6,1))&gt;$D$2,0,$B26="Annual",1,K26=12,12,$B26="Monthly V",K26*(1+$D$3),$B26="Monthly F",12,$B26="One-Time",0),K26*(1+$D$3))</f>
        <v/>
      </c>
      <c r="M26" s="14">
        <f t="array" ref="M26">IFERROR(_xlfn.IFS(VALUE(MID(M$5,6,1))&gt;$D$2,0,$B26="Annual",1,L26=12,12,$B26="Monthly V",L26*(1+$D$3),$B26="Monthly F",12,$B26="One-Time",0),L26*(1+$D$3))</f>
        <v/>
      </c>
      <c r="N26" s="24">
        <f t="array" ref="N26">IFERROR(_xlfn.IFS(VALUE(MID(N$5,6,2))&gt;$D$2,0,$B26="Annual",1,M26=12,12,$B26="Monthly V",M26*(1+$D$3),$B26="Monthly F",12,$B26="One-Time",0),M26*(1+$D$3))</f>
        <v/>
      </c>
      <c r="O26" s="155" t="inlineStr">
        <is>
          <t>Card Pro Connect</t>
        </is>
      </c>
      <c r="P26" s="13" t="inlineStr">
        <is>
          <t>CardProd</t>
        </is>
      </c>
      <c r="Q26" s="20" t="n">
        <v>500</v>
      </c>
      <c r="R26" s="21">
        <f>S26/12</f>
        <v/>
      </c>
      <c r="S26" s="6">
        <f>IFERROR($Q26*E26,0)</f>
        <v/>
      </c>
      <c r="T26" s="6">
        <f>IFERROR($Q26*F26,0)</f>
        <v/>
      </c>
      <c r="U26" s="6">
        <f>IFERROR($Q26*G26,0)</f>
        <v/>
      </c>
      <c r="V26" s="6">
        <f>IFERROR($Q26*H26,0)</f>
        <v/>
      </c>
      <c r="W26" s="6">
        <f>IFERROR($Q26*I26,0)</f>
        <v/>
      </c>
      <c r="X26" s="6">
        <f>IFERROR($Q26*J26,0)</f>
        <v/>
      </c>
      <c r="Y26" s="6">
        <f>IFERROR($Q26*K26,0)</f>
        <v/>
      </c>
      <c r="Z26" s="6">
        <f>IFERROR($Q26*L26,0)</f>
        <v/>
      </c>
      <c r="AA26" s="6">
        <f>IFERROR($Q26*M26,0)</f>
        <v/>
      </c>
      <c r="AB26" s="6">
        <f>IFERROR($Q26*N26,0)</f>
        <v/>
      </c>
      <c r="AC26" s="7" t="n"/>
      <c r="AD26" s="152">
        <f>IF(VALUE(MID(AD$5,6,1))&lt;=$D$2,((1+$Q$3)^1-1)*T26,0)</f>
        <v/>
      </c>
      <c r="AE26" s="152">
        <f>IF(VALUE(MID(AE$5,6,1))&lt;=$D$2,((1+$Q$3)^2-1)*U26,0)</f>
        <v/>
      </c>
      <c r="AF26" s="152">
        <f>IF(VALUE(MID(AF$5,6,1))&lt;=$D$2,((1+$Q$3)^3-1)*V26,0)</f>
        <v/>
      </c>
      <c r="AG26" s="152">
        <f>IF(VALUE(MID(AG$5,6,1))&lt;=$D$2,((1+$Q$3)^4-1)*W26,0)</f>
        <v/>
      </c>
      <c r="AH26" s="152">
        <f>IF(VALUE(MID(AH$5,6,1))&lt;=$D$2,((1+$Q$3)^5-1)*X26,0)</f>
        <v/>
      </c>
      <c r="AI26" s="152">
        <f>IF(VALUE(MID(AI$5,6,1))&lt;=$D$2,((1+$Q$3)^6-1)*Y26,0)</f>
        <v/>
      </c>
      <c r="AJ26" s="152">
        <f>IF(VALUE(MID(AJ$5,6,1))&lt;=$D$2,((1+$Q$3)^7-1)*Z26,0)</f>
        <v/>
      </c>
      <c r="AK26" s="152">
        <f>IF(VALUE(MID(AK$5,6,1))&lt;=$D$2,((1+$Q$3)^8-1)*AA26,0)</f>
        <v/>
      </c>
      <c r="AL26" s="152">
        <f>IF(VALUE(MID(AL$5,6,2))&lt;=$D$2,((1+$Q$3)^9-1)*AB26,0)</f>
        <v/>
      </c>
      <c r="AM26" s="9">
        <f>SUM(AC26:AL26)</f>
        <v/>
      </c>
      <c r="AN26" s="80">
        <f>SUM(AM26,S26:AB26)</f>
        <v/>
      </c>
      <c r="AP26" s="102" t="inlineStr">
        <is>
          <t>Monthly F</t>
        </is>
      </c>
      <c r="AQ26" s="12" t="n">
        <v>1</v>
      </c>
      <c r="AR26" s="14">
        <f>IF($AP26="Annual",1,IF($AP26="Monthly F",12,IF($AP26="Monthly V",AQ26*12,IF($AP26="One-Time",1,AQ26*12))))</f>
        <v/>
      </c>
      <c r="AS26" s="14">
        <f t="array" ref="AS26">IFERROR(_xlfn.IFS(VALUE(MID(AS$5,6,1))&gt;$D$2,0,$AP26="Annual",1,AR26=12,12,$AP26="Monthly V",AR26*(1+$BD$2),$AP26="Monthly F",12,$AP26="One-Time",0),AR26*(1+$BD$2))</f>
        <v/>
      </c>
      <c r="AT26" s="14">
        <f t="array" ref="AT26">IFERROR(_xlfn.IFS(VALUE(MID(AT$5,6,1))&gt;$D$2,0,$AP26="Annual",1,AS26=12,12,$AP26="Monthly V",AS26*(1+$BD$2),$AP26="Monthly F",12,$AP26="One-Time",0),AS26*(1+$BD$2))</f>
        <v/>
      </c>
      <c r="AU26" s="14">
        <f t="array" ref="AU26">IFERROR(_xlfn.IFS(VALUE(MID(AU$5,6,1))&gt;$D$2,0,$AP26="Annual",1,AT26=12,12,$AP26="Monthly V",AT26*(1+$BD$2),$AP26="Monthly F",12,$AP26="One-Time",0),AT26*(1+$BD$2))</f>
        <v/>
      </c>
      <c r="AV26" s="14">
        <f t="array" ref="AV26">IFERROR(_xlfn.IFS(VALUE(MID(AV$5,6,1))&gt;$D$2,0,$AP26="Annual",1,AU26=12,12,$AP26="Monthly V",AU26*(1+$BD$2),$AP26="Monthly F",12,$AP26="One-Time",0),AU26*(1+$BD$2))</f>
        <v/>
      </c>
      <c r="AW26" s="14">
        <f t="array" ref="AW26">IFERROR(_xlfn.IFS(VALUE(MID(AW$5,6,1))&gt;$D$2,0,$AP26="Annual",1,AV26=12,12,$AP26="Monthly V",AV26*(1+$BD$2),$AP26="Monthly F",12,$AP26="One-Time",0),AV26*(1+$BD$2))</f>
        <v/>
      </c>
      <c r="AX26" s="14">
        <f t="array" ref="AX26">IFERROR(_xlfn.IFS(VALUE(MID(AX$5,6,1))&gt;$D$2,0,$AP26="Annual",1,AW26=12,12,$AP26="Monthly V",AW26*(1+$BD$2),$AP26="Monthly F",12,$AP26="One-Time",0),AW26*(1+$BD$2))</f>
        <v/>
      </c>
      <c r="AY26" s="14">
        <f t="array" ref="AY26">IFERROR(_xlfn.IFS(VALUE(MID(AY$5,6,1))&gt;$D$2,0,$AP26="Annual",1,AX26=12,12,$AP26="Monthly V",AX26*(1+$D$3),$AP26="Monthly F",12,$AP26="One-Time",0),AX26*(1+$D$3))</f>
        <v/>
      </c>
      <c r="AZ26" s="14">
        <f t="array" ref="AZ26">IFERROR(_xlfn.IFS(VALUE(MID(AZ$5,6,1))&gt;$D$2,0,$AP26="Annual",1,AY26=12,12,$AP26="Monthly V",AY26*(1+$D$3),$AP26="Monthly F",12,$AP26="One-Time",0),AY26*(1+$D$3))</f>
        <v/>
      </c>
      <c r="BA26" s="125">
        <f t="array" ref="BA26">IFERROR(_xlfn.IFS(VALUE(MID(BA$5,6,2))&gt;$D$2,0,$AP26="Annual",1,AZ26=12,12,$AP26="Monthly V",AZ26*(1+$D$3),$AP26="Monthly F",12,$AP26="One-Time",0),AZ26*(1+$D$3))</f>
        <v/>
      </c>
      <c r="BB26" s="148" t="inlineStr">
        <is>
          <t>iPay Business BillPay Banno</t>
        </is>
      </c>
      <c r="BC26" s="38" t="inlineStr">
        <is>
          <t>iPay</t>
        </is>
      </c>
      <c r="BD26" s="36" t="n">
        <v>400</v>
      </c>
      <c r="BE26" s="21">
        <f>BF26/12</f>
        <v/>
      </c>
      <c r="BF26" s="39">
        <f>IFERROR(AR26*$BD26,0)</f>
        <v/>
      </c>
      <c r="BG26" s="39">
        <f>IFERROR(AS26*$BD26,0)</f>
        <v/>
      </c>
      <c r="BH26" s="39">
        <f>IFERROR(AT26*$BD26,0)</f>
        <v/>
      </c>
      <c r="BI26" s="39">
        <f>BH26*1.03</f>
        <v/>
      </c>
      <c r="BJ26" s="39">
        <f>BI26*1.03</f>
        <v/>
      </c>
      <c r="BK26" s="39">
        <f>BJ26*1.03</f>
        <v/>
      </c>
      <c r="BL26" s="39">
        <f>BK26*1.03</f>
        <v/>
      </c>
      <c r="BM26" s="39">
        <f>IFERROR(AY26*$BD26,0)</f>
        <v/>
      </c>
      <c r="BN26" s="39">
        <f>IFERROR(AZ26*$BD26,0)</f>
        <v/>
      </c>
      <c r="BO26" s="39">
        <f>IFERROR(BA26*$BD26,0)</f>
        <v/>
      </c>
      <c r="BP26" s="40" t="n"/>
      <c r="BQ26" s="40">
        <f>IF(VALUE(MID(BQ$5,6,1))&lt;=$D$2,((1+$BD$3)^1-1)*BG26,0)</f>
        <v/>
      </c>
      <c r="BR26" s="40">
        <f>IF(VALUE(MID(BR$5,6,1))&lt;=$D$2,((1+$BD$3)^2-1)*BH26,0)</f>
        <v/>
      </c>
      <c r="BS26" s="40">
        <f>IF(VALUE(MID(BS$5,6,1))&lt;=$D$2,((1+$BD$3)^3-1)*BI26,0)</f>
        <v/>
      </c>
      <c r="BT26" s="40">
        <f>IF(VALUE(MID(BT$5,6,1))&lt;=$D$2,((1+$BD$3)^4-1)*BJ26,0)</f>
        <v/>
      </c>
      <c r="BU26" s="40">
        <f>IF(VALUE(MID(BU$5,6,1))&lt;=$D$2,((1+$BD$3)^5-1)*BK26,0)</f>
        <v/>
      </c>
      <c r="BV26" s="40">
        <f>IF(VALUE(MID(BV$5,6,1))&lt;=$D$2,((1+$BD$3)^6-1)*BL26,0)</f>
        <v/>
      </c>
      <c r="BW26" s="40">
        <f>IF(VALUE(MID(BW$5,6,1))&lt;=$D$2,((1+$BD$3)^7-1)*BM26,0)</f>
        <v/>
      </c>
      <c r="BX26" s="40">
        <f>IF(VALUE(MID(BX$5,6,1))&lt;=$D$2,((1+$BD$3)^8-1)*BN26,0)</f>
        <v/>
      </c>
      <c r="BY26" s="40">
        <f>IF(VALUE(MID(BY$5,6,2))&lt;=$D$2,((1+$BD$3)^9-1)*BO26,0)</f>
        <v/>
      </c>
      <c r="BZ26" s="40">
        <f>SUM(BP26:BY26)</f>
        <v/>
      </c>
      <c r="CA26" s="37">
        <f>SUM(BZ26,BF26:BO26)</f>
        <v/>
      </c>
      <c r="CC26" s="102" t="n"/>
      <c r="CD26" s="12" t="n"/>
      <c r="CE26" s="14">
        <f>IF($CC26="Annual",1,IF($CC26="Monthly F",12,IF($CC26="Monthly V",CD26*12,IF($CC26="One-Time",1,CD26*12))))</f>
        <v/>
      </c>
      <c r="CF26" s="14">
        <f t="array" ref="CF26">IFERROR(_xlfn.IFS(VALUE(MID(CF$5,6,1))&gt;$D$2,0,$CC26="Annual",1,CE26=12,12,$CC26="Monthly V",CE26*(1+$D$3),$CC26="Monthly F",12,$CC26="One-Time",0),CE26*(1+$D$3))</f>
        <v/>
      </c>
      <c r="CG26" s="14">
        <f t="array" ref="CG26">IFERROR(_xlfn.IFS(VALUE(MID(CG$5,6,1))&gt;$D$2,0,$CC26="Annual",1,CF26=12,12,$CC26="Monthly V",CF26*(1+$D$3),$CC26="Monthly F",12,$CC26="One-Time",0),CF26*(1+$D$3))</f>
        <v/>
      </c>
      <c r="CH26" s="14">
        <f t="array" ref="CH26">IFERROR(_xlfn.IFS(VALUE(MID(CH$5,6,1))&gt;$D$2,0,$CC26="Annual",1,CG26=12,12,$CC26="Monthly V",CG26*(1+$D$3),$CC26="Monthly F",12,$CC26="One-Time",0),CG26*(1+$D$3))</f>
        <v/>
      </c>
      <c r="CI26" s="14">
        <f t="array" ref="CI26">IFERROR(_xlfn.IFS(VALUE(MID(CI$5,6,1))&gt;$D$2,0,$CC26="Annual",1,CH26=12,12,$CC26="Monthly V",CH26*(1+$D$3),$CC26="Monthly F",12,$CC26="One-Time",0),CH26*(1+$D$3))</f>
        <v/>
      </c>
      <c r="CJ26" s="14">
        <f t="array" ref="CJ26">IFERROR(_xlfn.IFS(VALUE(MID(CJ$5,6,1))&gt;$D$2,0,$CC26="Annual",1,CI26=12,12,$CC26="Monthly V",CI26*(1+$D$3),$CC26="Monthly F",12,$CC26="One-Time",0),CI26*(1+$D$3))</f>
        <v/>
      </c>
      <c r="CK26" s="14">
        <f t="array" ref="CK26">IFERROR(_xlfn.IFS(VALUE(MID(CK$5,6,1))&gt;$D$2,0,$CC26="Annual",1,CJ26=12,12,$CC26="Monthly V",CJ26*(1+$D$3),$CC26="Monthly F",12,$CC26="One-Time",0),CJ26*(1+$D$3))</f>
        <v/>
      </c>
      <c r="CL26" s="14">
        <f t="array" ref="CL26">IFERROR(_xlfn.IFS(VALUE(MID(CL$5,6,1))&gt;$D$2,0,$CC26="Annual",1,CK26=12,12,$CC26="Monthly V",CK26*(1+$D$3),$CC26="Monthly F",12,$CC26="One-Time",0),CK26*(1+$D$3))</f>
        <v/>
      </c>
      <c r="CM26" s="14">
        <f t="array" ref="CM26">IFERROR(_xlfn.IFS(VALUE(MID(CM$5,6,1))&gt;$D$2,0,$CC26="Annual",1,CL26=12,12,$CC26="Monthly V",CL26*(1+$D$3),$CC26="Monthly F",12,$CC26="One-Time",0),CL26*(1+$D$3))</f>
        <v/>
      </c>
      <c r="CN26" s="24">
        <f t="array" ref="CN26">IFERROR(_xlfn.IFS(VALUE(MID(CN$5,6,2))&gt;$D$2,0,$CC26="Annual",1,CM26=12,12,$CC26="Monthly V",CM26*(1+$D$3),$CC26="Monthly F",12,$CC26="One-Time",0),CM26*(1+$D$3))</f>
        <v/>
      </c>
      <c r="CO26" s="63" t="n"/>
      <c r="CP26" s="53" t="n"/>
      <c r="CQ26" s="21">
        <f>CR26/12</f>
        <v/>
      </c>
      <c r="CR26" s="55">
        <f>IFERROR(CE26*$CP26,0)</f>
        <v/>
      </c>
      <c r="CS26" s="55">
        <f>IFERROR(CF26*$CP26,0)</f>
        <v/>
      </c>
      <c r="CT26" s="55">
        <f>IFERROR(CG26*$CP26,0)</f>
        <v/>
      </c>
      <c r="CU26" s="55">
        <f>IFERROR(CH26*$CP26,0)</f>
        <v/>
      </c>
      <c r="CV26" s="55">
        <f>IFERROR(CI26*$CP26,0)</f>
        <v/>
      </c>
      <c r="CW26" s="55">
        <f>IFERROR(CJ26*$CP26,0)</f>
        <v/>
      </c>
      <c r="CX26" s="55">
        <f>IFERROR(CK26*$CP26,0)</f>
        <v/>
      </c>
      <c r="CY26" s="55">
        <f>IFERROR(CL26*$CP26,0)</f>
        <v/>
      </c>
      <c r="CZ26" s="55">
        <f>IFERROR(CM26*$CP26,0)</f>
        <v/>
      </c>
      <c r="DA26" s="55">
        <f>IFERROR(CN26*$CP26,0)</f>
        <v/>
      </c>
      <c r="DB26" s="56" t="n"/>
      <c r="DC26" s="56">
        <f>IF(VALUE(MID(DC$5,6,1))&lt;=$D$2,((1+$CP$3)^1-1)*CS26,0)</f>
        <v/>
      </c>
      <c r="DD26" s="56">
        <f>IF(VALUE(MID(DD$5,6,1))&lt;=$D$2,((1+$CP$3)^2-1)*CT26,0)</f>
        <v/>
      </c>
      <c r="DE26" s="56">
        <f>IF(VALUE(MID(DE$5,6,1))&lt;=$D$2,((1+$CP$3)^3-1)*CU26,0)</f>
        <v/>
      </c>
      <c r="DF26" s="56">
        <f>IF(VALUE(MID(DF$5,6,1))&lt;=$D$2,((1+$CP$3)^4-1)*CV26,0)</f>
        <v/>
      </c>
      <c r="DG26" s="56">
        <f>IF(VALUE(MID(DG$5,6,1))&lt;=$D$2,((1+$CP$3)^5-1)*CW26,0)</f>
        <v/>
      </c>
      <c r="DH26" s="56">
        <f>IF(VALUE(MID(DH$5,6,1))&lt;=$D$2,((1+$CP$3)^6-1)*CX26,0)</f>
        <v/>
      </c>
      <c r="DI26" s="56">
        <f>IF(VALUE(MID(DI$5,6,1))&lt;=$D$2,((1+$CP$3)^7-1)*CY26,0)</f>
        <v/>
      </c>
      <c r="DJ26" s="56">
        <f>IF(VALUE(MID(DJ$5,6,1))&lt;=$D$2,((1+$CP$3)^8-1)*CZ26,0)</f>
        <v/>
      </c>
      <c r="DK26" s="56">
        <f>IF(VALUE(MID(DK$5,6,2))&lt;=$D$2,((1+$CP$3)^9-1)*DA26,0)</f>
        <v/>
      </c>
      <c r="DL26" s="57">
        <f>SUM(DB26:DK26)</f>
        <v/>
      </c>
      <c r="DM26" s="54">
        <f>SUM(DL26,CR26:DA26)</f>
        <v/>
      </c>
      <c r="DO26" s="106" t="n"/>
    </row>
    <row r="27">
      <c r="B27" s="141" t="inlineStr">
        <is>
          <t>Monthly V</t>
        </is>
      </c>
      <c r="C27" s="24" t="n">
        <v>29</v>
      </c>
      <c r="D27" s="147">
        <f>IFERROR(AVERAGE(C27:C27),0)</f>
        <v/>
      </c>
      <c r="E27" s="142">
        <f>IF($B27="Annual",1,IF($B27="Monthly F",12,IF($B27="Monthly V",D27*12,IF($B27="One-Time",1,D27*12))))</f>
        <v/>
      </c>
      <c r="F27" s="14">
        <f t="array" ref="F27">IFERROR(_xlfn.IFS(VALUE(MID(F$5,6,1))&gt;$D$2,0,$B27="Annual",1,E27=12,12,$B27="Monthly V",E27*(1+$D$3),$B27="Monthly F",12,$B27="One-Time",0),E27*(1+$D$3))</f>
        <v/>
      </c>
      <c r="G27" s="14">
        <f t="array" ref="G27">IFERROR(_xlfn.IFS(VALUE(MID(G$5,6,1))&gt;$D$2,0,$B27="Annual",1,F27=12,12,$B27="Monthly V",F27*(1+$D$3),$B27="Monthly F",12,$B27="One-Time",0),F27*(1+$D$3))</f>
        <v/>
      </c>
      <c r="H27" s="14">
        <f t="array" ref="H27">IFERROR(_xlfn.IFS(VALUE(MID(H$5,6,1))&gt;$D$2,0,$B27="Annual",1,G27=12,12,$B27="Monthly V",G27*(1+$D$3),$B27="Monthly F",12,$B27="One-Time",0),G27*(1+$D$3))</f>
        <v/>
      </c>
      <c r="I27" s="14">
        <f t="array" ref="I27">IFERROR(_xlfn.IFS(VALUE(MID(I$5,6,1))&gt;$D$2,0,$B27="Annual",1,H27=12,12,$B27="Monthly V",H27*(1+$D$3),$B27="Monthly F",12,$B27="One-Time",0),H27*(1+$D$3))</f>
        <v/>
      </c>
      <c r="J27" s="14">
        <f t="array" ref="J27">IFERROR(_xlfn.IFS(VALUE(MID(J$5,6,1))&gt;$D$2,0,$B27="Annual",1,I27=12,12,$B27="Monthly V",I27*(1+$D$3),$B27="Monthly F",12,$B27="One-Time",0),I27*(1+$D$3))</f>
        <v/>
      </c>
      <c r="K27" s="14">
        <f t="array" ref="K27">IFERROR(_xlfn.IFS(VALUE(MID(K$5,6,1))&gt;$D$2,0,$B27="Annual",1,J27=12,12,$B27="Monthly V",J27*(1+$D$3),$B27="Monthly F",12,$B27="One-Time",0),J27*(1+$D$3))</f>
        <v/>
      </c>
      <c r="L27" s="14">
        <f t="array" ref="L27">IFERROR(_xlfn.IFS(VALUE(MID(L$5,6,1))&gt;$D$2,0,$B27="Annual",1,K27=12,12,$B27="Monthly V",K27*(1+$D$3),$B27="Monthly F",12,$B27="One-Time",0),K27*(1+$D$3))</f>
        <v/>
      </c>
      <c r="M27" s="14">
        <f t="array" ref="M27">IFERROR(_xlfn.IFS(VALUE(MID(M$5,6,1))&gt;$D$2,0,$B27="Annual",1,L27=12,12,$B27="Monthly V",L27*(1+$D$3),$B27="Monthly F",12,$B27="One-Time",0),L27*(1+$D$3))</f>
        <v/>
      </c>
      <c r="N27" s="24">
        <f t="array" ref="N27">IFERROR(_xlfn.IFS(VALUE(MID(N$5,6,2))&gt;$D$2,0,$B27="Annual",1,M27=12,12,$B27="Monthly V",M27*(1+$D$3),$B27="Monthly F",12,$B27="One-Time",0),M27*(1+$D$3))</f>
        <v/>
      </c>
      <c r="O27" s="155" t="inlineStr">
        <is>
          <t>Debit Card Production Files/Jobs per month</t>
        </is>
      </c>
      <c r="P27" s="13" t="inlineStr">
        <is>
          <t>CardProd</t>
        </is>
      </c>
      <c r="Q27" s="20" t="n">
        <v>12</v>
      </c>
      <c r="R27" s="21">
        <f>S27/12</f>
        <v/>
      </c>
      <c r="S27" s="6">
        <f>IFERROR($Q27*E27,0)</f>
        <v/>
      </c>
      <c r="T27" s="6">
        <f>IFERROR($Q27*F27,0)</f>
        <v/>
      </c>
      <c r="U27" s="6">
        <f>IFERROR($Q27*G27,0)</f>
        <v/>
      </c>
      <c r="V27" s="6">
        <f>IFERROR($Q27*H27,0)</f>
        <v/>
      </c>
      <c r="W27" s="6">
        <f>IFERROR($Q27*I27,0)</f>
        <v/>
      </c>
      <c r="X27" s="6">
        <f>IFERROR($Q27*J27,0)</f>
        <v/>
      </c>
      <c r="Y27" s="6">
        <f>IFERROR($Q27*K27,0)</f>
        <v/>
      </c>
      <c r="Z27" s="6">
        <f>IFERROR($Q27*L27,0)</f>
        <v/>
      </c>
      <c r="AA27" s="6">
        <f>IFERROR($Q27*M27,0)</f>
        <v/>
      </c>
      <c r="AB27" s="6">
        <f>IFERROR($Q27*N27,0)</f>
        <v/>
      </c>
      <c r="AC27" s="7" t="n"/>
      <c r="AD27" s="152">
        <f>IF(VALUE(MID(AD$5,6,1))&lt;=$D$2,((1+$Q$3)^1-1)*T27,0)</f>
        <v/>
      </c>
      <c r="AE27" s="152">
        <f>IF(VALUE(MID(AE$5,6,1))&lt;=$D$2,((1+$Q$3)^2-1)*U27,0)</f>
        <v/>
      </c>
      <c r="AF27" s="152">
        <f>IF(VALUE(MID(AF$5,6,1))&lt;=$D$2,((1+$Q$3)^3-1)*V27,0)</f>
        <v/>
      </c>
      <c r="AG27" s="152">
        <f>IF(VALUE(MID(AG$5,6,1))&lt;=$D$2,((1+$Q$3)^4-1)*W27,0)</f>
        <v/>
      </c>
      <c r="AH27" s="152">
        <f>IF(VALUE(MID(AH$5,6,1))&lt;=$D$2,((1+$Q$3)^5-1)*X27,0)</f>
        <v/>
      </c>
      <c r="AI27" s="152">
        <f>IF(VALUE(MID(AI$5,6,1))&lt;=$D$2,((1+$Q$3)^6-1)*Y27,0)</f>
        <v/>
      </c>
      <c r="AJ27" s="152">
        <f>IF(VALUE(MID(AJ$5,6,1))&lt;=$D$2,((1+$Q$3)^7-1)*Z27,0)</f>
        <v/>
      </c>
      <c r="AK27" s="152">
        <f>IF(VALUE(MID(AK$5,6,1))&lt;=$D$2,((1+$Q$3)^8-1)*AA27,0)</f>
        <v/>
      </c>
      <c r="AL27" s="152">
        <f>IF(VALUE(MID(AL$5,6,2))&lt;=$D$2,((1+$Q$3)^9-1)*AB27,0)</f>
        <v/>
      </c>
      <c r="AM27" s="9">
        <f>SUM(AC27:AL27)</f>
        <v/>
      </c>
      <c r="AN27" s="80">
        <f>SUM(AM27,S27:AB27)</f>
        <v/>
      </c>
      <c r="AP27" s="102" t="inlineStr">
        <is>
          <t>Monthly F</t>
        </is>
      </c>
      <c r="AQ27" s="12" t="n">
        <v>1</v>
      </c>
      <c r="AR27" s="14">
        <f>IF($AP27="Annual",1,IF($AP27="Monthly F",12,IF($AP27="Monthly V",AQ27*12,IF($AP27="One-Time",1,AQ27*12))))</f>
        <v/>
      </c>
      <c r="AS27" s="14">
        <f t="array" ref="AS27">IFERROR(_xlfn.IFS(VALUE(MID(AS$5,6,1))&gt;$D$2,0,$AP27="Annual",1,AR27=12,12,$AP27="Monthly V",AR27*(1+$BD$2),$AP27="Monthly F",12,$AP27="One-Time",0),AR27*(1+$BD$2))</f>
        <v/>
      </c>
      <c r="AT27" s="14">
        <f t="array" ref="AT27">IFERROR(_xlfn.IFS(VALUE(MID(AT$5,6,1))&gt;$D$2,0,$AP27="Annual",1,AS27=12,12,$AP27="Monthly V",AS27*(1+$BD$2),$AP27="Monthly F",12,$AP27="One-Time",0),AS27*(1+$BD$2))</f>
        <v/>
      </c>
      <c r="AU27" s="14">
        <f t="array" ref="AU27">IFERROR(_xlfn.IFS(VALUE(MID(AU$5,6,1))&gt;$D$2,0,$AP27="Annual",1,AT27=12,12,$AP27="Monthly V",AT27*(1+$BD$2),$AP27="Monthly F",12,$AP27="One-Time",0),AT27*(1+$BD$2))</f>
        <v/>
      </c>
      <c r="AV27" s="14">
        <f t="array" ref="AV27">IFERROR(_xlfn.IFS(VALUE(MID(AV$5,6,1))&gt;$D$2,0,$AP27="Annual",1,AU27=12,12,$AP27="Monthly V",AU27*(1+$BD$2),$AP27="Monthly F",12,$AP27="One-Time",0),AU27*(1+$BD$2))</f>
        <v/>
      </c>
      <c r="AW27" s="14">
        <f t="array" ref="AW27">IFERROR(_xlfn.IFS(VALUE(MID(AW$5,6,1))&gt;$D$2,0,$AP27="Annual",1,AV27=12,12,$AP27="Monthly V",AV27*(1+$BD$2),$AP27="Monthly F",12,$AP27="One-Time",0),AV27*(1+$BD$2))</f>
        <v/>
      </c>
      <c r="AX27" s="14">
        <f t="array" ref="AX27">IFERROR(_xlfn.IFS(VALUE(MID(AX$5,6,1))&gt;$D$2,0,$AP27="Annual",1,AW27=12,12,$AP27="Monthly V",AW27*(1+$BD$2),$AP27="Monthly F",12,$AP27="One-Time",0),AW27*(1+$BD$2))</f>
        <v/>
      </c>
      <c r="AY27" s="14">
        <f t="array" ref="AY27">IFERROR(_xlfn.IFS(VALUE(MID(AY$5,6,1))&gt;$D$2,0,$AP27="Annual",1,AX27=12,12,$AP27="Monthly V",AX27*(1+$D$3),$AP27="Monthly F",12,$AP27="One-Time",0),AX27*(1+$D$3))</f>
        <v/>
      </c>
      <c r="AZ27" s="14">
        <f t="array" ref="AZ27">IFERROR(_xlfn.IFS(VALUE(MID(AZ$5,6,1))&gt;$D$2,0,$AP27="Annual",1,AY27=12,12,$AP27="Monthly V",AY27*(1+$D$3),$AP27="Monthly F",12,$AP27="One-Time",0),AY27*(1+$D$3))</f>
        <v/>
      </c>
      <c r="BA27" s="125">
        <f t="array" ref="BA27">IFERROR(_xlfn.IFS(VALUE(MID(BA$5,6,2))&gt;$D$2,0,$AP27="Annual",1,AZ27=12,12,$AP27="Monthly V",AZ27*(1+$D$3),$AP27="Monthly F",12,$AP27="One-Time",0),AZ27*(1+$D$3))</f>
        <v/>
      </c>
      <c r="BB27" s="148" t="inlineStr">
        <is>
          <t>DirectLine Wires</t>
        </is>
      </c>
      <c r="BC27" s="38" t="inlineStr">
        <is>
          <t>DirectLine</t>
        </is>
      </c>
      <c r="BD27" s="36" t="n">
        <v>450</v>
      </c>
      <c r="BE27" s="21">
        <f>BF27/12</f>
        <v/>
      </c>
      <c r="BF27" s="39">
        <f>IFERROR(AR27*$BD27,0)</f>
        <v/>
      </c>
      <c r="BG27" s="39">
        <f>IFERROR(AS27*$BD27,0)</f>
        <v/>
      </c>
      <c r="BH27" s="39">
        <f>IFERROR(AT27*$BD27,0)</f>
        <v/>
      </c>
      <c r="BI27" s="39">
        <f>BH27*1.03</f>
        <v/>
      </c>
      <c r="BJ27" s="39">
        <f>BI27*1.03</f>
        <v/>
      </c>
      <c r="BK27" s="39">
        <f>BJ27*1.03</f>
        <v/>
      </c>
      <c r="BL27" s="39">
        <f>BK27*1.03</f>
        <v/>
      </c>
      <c r="BM27" s="39">
        <f>IFERROR(AY27*$BD27,0)</f>
        <v/>
      </c>
      <c r="BN27" s="39">
        <f>IFERROR(AZ27*$BD27,0)</f>
        <v/>
      </c>
      <c r="BO27" s="39">
        <f>IFERROR(BA27*$BD27,0)</f>
        <v/>
      </c>
      <c r="BP27" s="40" t="n"/>
      <c r="BQ27" s="40">
        <f>IF(VALUE(MID(BQ$5,6,1))&lt;=$D$2,((1+$BD$3)^1-1)*BG27,0)</f>
        <v/>
      </c>
      <c r="BR27" s="40">
        <f>IF(VALUE(MID(BR$5,6,1))&lt;=$D$2,((1+$BD$3)^2-1)*BH27,0)</f>
        <v/>
      </c>
      <c r="BS27" s="40">
        <f>IF(VALUE(MID(BS$5,6,1))&lt;=$D$2,((1+$BD$3)^3-1)*BI27,0)</f>
        <v/>
      </c>
      <c r="BT27" s="40">
        <f>IF(VALUE(MID(BT$5,6,1))&lt;=$D$2,((1+$BD$3)^4-1)*BJ27,0)</f>
        <v/>
      </c>
      <c r="BU27" s="40">
        <f>IF(VALUE(MID(BU$5,6,1))&lt;=$D$2,((1+$BD$3)^5-1)*BK27,0)</f>
        <v/>
      </c>
      <c r="BV27" s="40">
        <f>IF(VALUE(MID(BV$5,6,1))&lt;=$D$2,((1+$BD$3)^6-1)*BL27,0)</f>
        <v/>
      </c>
      <c r="BW27" s="40">
        <f>IF(VALUE(MID(BW$5,6,1))&lt;=$D$2,((1+$BD$3)^7-1)*BM27,0)</f>
        <v/>
      </c>
      <c r="BX27" s="40">
        <f>IF(VALUE(MID(BX$5,6,1))&lt;=$D$2,((1+$BD$3)^8-1)*BN27,0)</f>
        <v/>
      </c>
      <c r="BY27" s="40">
        <f>IF(VALUE(MID(BY$5,6,2))&lt;=$D$2,((1+$BD$3)^9-1)*BO27,0)</f>
        <v/>
      </c>
      <c r="BZ27" s="40">
        <f>SUM(BP27:BY27)</f>
        <v/>
      </c>
      <c r="CA27" s="37">
        <f>SUM(BZ27,BF27:BO27)</f>
        <v/>
      </c>
      <c r="CC27" s="102" t="n"/>
      <c r="CD27" s="12" t="n"/>
      <c r="CE27" s="14">
        <f>IF($CC27="Annual",1,IF($CC27="Monthly F",12,IF($CC27="Monthly V",CD27*12,IF($CC27="One-Time",1,CD27*12))))</f>
        <v/>
      </c>
      <c r="CF27" s="14">
        <f t="array" ref="CF27">IFERROR(_xlfn.IFS(VALUE(MID(CF$5,6,1))&gt;$D$2,0,$CC27="Annual",1,CE27=12,12,$CC27="Monthly V",CE27*(1+$D$3),$CC27="Monthly F",12,$CC27="One-Time",0),CE27*(1+$D$3))</f>
        <v/>
      </c>
      <c r="CG27" s="14">
        <f t="array" ref="CG27">IFERROR(_xlfn.IFS(VALUE(MID(CG$5,6,1))&gt;$D$2,0,$CC27="Annual",1,CF27=12,12,$CC27="Monthly V",CF27*(1+$D$3),$CC27="Monthly F",12,$CC27="One-Time",0),CF27*(1+$D$3))</f>
        <v/>
      </c>
      <c r="CH27" s="14">
        <f t="array" ref="CH27">IFERROR(_xlfn.IFS(VALUE(MID(CH$5,6,1))&gt;$D$2,0,$CC27="Annual",1,CG27=12,12,$CC27="Monthly V",CG27*(1+$D$3),$CC27="Monthly F",12,$CC27="One-Time",0),CG27*(1+$D$3))</f>
        <v/>
      </c>
      <c r="CI27" s="14">
        <f t="array" ref="CI27">IFERROR(_xlfn.IFS(VALUE(MID(CI$5,6,1))&gt;$D$2,0,$CC27="Annual",1,CH27=12,12,$CC27="Monthly V",CH27*(1+$D$3),$CC27="Monthly F",12,$CC27="One-Time",0),CH27*(1+$D$3))</f>
        <v/>
      </c>
      <c r="CJ27" s="14">
        <f t="array" ref="CJ27">IFERROR(_xlfn.IFS(VALUE(MID(CJ$5,6,1))&gt;$D$2,0,$CC27="Annual",1,CI27=12,12,$CC27="Monthly V",CI27*(1+$D$3),$CC27="Monthly F",12,$CC27="One-Time",0),CI27*(1+$D$3))</f>
        <v/>
      </c>
      <c r="CK27" s="14">
        <f t="array" ref="CK27">IFERROR(_xlfn.IFS(VALUE(MID(CK$5,6,1))&gt;$D$2,0,$CC27="Annual",1,CJ27=12,12,$CC27="Monthly V",CJ27*(1+$D$3),$CC27="Monthly F",12,$CC27="One-Time",0),CJ27*(1+$D$3))</f>
        <v/>
      </c>
      <c r="CL27" s="14">
        <f t="array" ref="CL27">IFERROR(_xlfn.IFS(VALUE(MID(CL$5,6,1))&gt;$D$2,0,$CC27="Annual",1,CK27=12,12,$CC27="Monthly V",CK27*(1+$D$3),$CC27="Monthly F",12,$CC27="One-Time",0),CK27*(1+$D$3))</f>
        <v/>
      </c>
      <c r="CM27" s="14">
        <f t="array" ref="CM27">IFERROR(_xlfn.IFS(VALUE(MID(CM$5,6,1))&gt;$D$2,0,$CC27="Annual",1,CL27=12,12,$CC27="Monthly V",CL27*(1+$D$3),$CC27="Monthly F",12,$CC27="One-Time",0),CL27*(1+$D$3))</f>
        <v/>
      </c>
      <c r="CN27" s="24">
        <f t="array" ref="CN27">IFERROR(_xlfn.IFS(VALUE(MID(CN$5,6,2))&gt;$D$2,0,$CC27="Annual",1,CM27=12,12,$CC27="Monthly V",CM27*(1+$D$3),$CC27="Monthly F",12,$CC27="One-Time",0),CM27*(1+$D$3))</f>
        <v/>
      </c>
      <c r="CO27" s="63" t="n"/>
      <c r="CP27" s="53" t="n"/>
      <c r="CQ27" s="21">
        <f>CR27/12</f>
        <v/>
      </c>
      <c r="CR27" s="55">
        <f>IFERROR(CE27*$CP27,0)</f>
        <v/>
      </c>
      <c r="CS27" s="55">
        <f>IFERROR(CF27*$CP27,0)</f>
        <v/>
      </c>
      <c r="CT27" s="55">
        <f>IFERROR(CG27*$CP27,0)</f>
        <v/>
      </c>
      <c r="CU27" s="55">
        <f>IFERROR(CH27*$CP27,0)</f>
        <v/>
      </c>
      <c r="CV27" s="55">
        <f>IFERROR(CI27*$CP27,0)</f>
        <v/>
      </c>
      <c r="CW27" s="55">
        <f>IFERROR(CJ27*$CP27,0)</f>
        <v/>
      </c>
      <c r="CX27" s="55">
        <f>IFERROR(CK27*$CP27,0)</f>
        <v/>
      </c>
      <c r="CY27" s="55">
        <f>IFERROR(CL27*$CP27,0)</f>
        <v/>
      </c>
      <c r="CZ27" s="55">
        <f>IFERROR(CM27*$CP27,0)</f>
        <v/>
      </c>
      <c r="DA27" s="55">
        <f>IFERROR(CN27*$CP27,0)</f>
        <v/>
      </c>
      <c r="DB27" s="56" t="n"/>
      <c r="DC27" s="56">
        <f>IF(VALUE(MID(DC$5,6,1))&lt;=$D$2,((1+$CP$3)^1-1)*CS27,0)</f>
        <v/>
      </c>
      <c r="DD27" s="56">
        <f>IF(VALUE(MID(DD$5,6,1))&lt;=$D$2,((1+$CP$3)^2-1)*CT27,0)</f>
        <v/>
      </c>
      <c r="DE27" s="56">
        <f>IF(VALUE(MID(DE$5,6,1))&lt;=$D$2,((1+$CP$3)^3-1)*CU27,0)</f>
        <v/>
      </c>
      <c r="DF27" s="56">
        <f>IF(VALUE(MID(DF$5,6,1))&lt;=$D$2,((1+$CP$3)^4-1)*CV27,0)</f>
        <v/>
      </c>
      <c r="DG27" s="56">
        <f>IF(VALUE(MID(DG$5,6,1))&lt;=$D$2,((1+$CP$3)^5-1)*CW27,0)</f>
        <v/>
      </c>
      <c r="DH27" s="56">
        <f>IF(VALUE(MID(DH$5,6,1))&lt;=$D$2,((1+$CP$3)^6-1)*CX27,0)</f>
        <v/>
      </c>
      <c r="DI27" s="56">
        <f>IF(VALUE(MID(DI$5,6,1))&lt;=$D$2,((1+$CP$3)^7-1)*CY27,0)</f>
        <v/>
      </c>
      <c r="DJ27" s="56">
        <f>IF(VALUE(MID(DJ$5,6,1))&lt;=$D$2,((1+$CP$3)^8-1)*CZ27,0)</f>
        <v/>
      </c>
      <c r="DK27" s="56">
        <f>IF(VALUE(MID(DK$5,6,2))&lt;=$D$2,((1+$CP$3)^9-1)*DA27,0)</f>
        <v/>
      </c>
      <c r="DL27" s="57">
        <f>SUM(DB27:DK27)</f>
        <v/>
      </c>
      <c r="DM27" s="54">
        <f>SUM(DL27,CR27:DA27)</f>
        <v/>
      </c>
      <c r="DO27" s="106" t="n"/>
    </row>
    <row r="28">
      <c r="B28" s="141" t="inlineStr">
        <is>
          <t>Monthly V</t>
        </is>
      </c>
      <c r="C28" s="24" t="n">
        <v>25</v>
      </c>
      <c r="D28" s="147">
        <f>IFERROR(AVERAGE(C28:C28),0)</f>
        <v/>
      </c>
      <c r="E28" s="142">
        <f>IF($B28="Annual",1,IF($B28="Monthly F",12,IF($B28="Monthly V",D28*12,IF($B28="One-Time",1,D28*12))))</f>
        <v/>
      </c>
      <c r="F28" s="14">
        <f t="array" ref="F28">IFERROR(_xlfn.IFS(VALUE(MID(F$5,6,1))&gt;$D$2,0,$B28="Annual",1,E28=12,12,$B28="Monthly V",E28*(1+$D$3),$B28="Monthly F",12,$B28="One-Time",0),E28*(1+$D$3))</f>
        <v/>
      </c>
      <c r="G28" s="14">
        <f t="array" ref="G28">IFERROR(_xlfn.IFS(VALUE(MID(G$5,6,1))&gt;$D$2,0,$B28="Annual",1,F28=12,12,$B28="Monthly V",F28*(1+$D$3),$B28="Monthly F",12,$B28="One-Time",0),F28*(1+$D$3))</f>
        <v/>
      </c>
      <c r="H28" s="14">
        <f t="array" ref="H28">IFERROR(_xlfn.IFS(VALUE(MID(H$5,6,1))&gt;$D$2,0,$B28="Annual",1,G28=12,12,$B28="Monthly V",G28*(1+$D$3),$B28="Monthly F",12,$B28="One-Time",0),G28*(1+$D$3))</f>
        <v/>
      </c>
      <c r="I28" s="14">
        <f t="array" ref="I28">IFERROR(_xlfn.IFS(VALUE(MID(I$5,6,1))&gt;$D$2,0,$B28="Annual",1,H28=12,12,$B28="Monthly V",H28*(1+$D$3),$B28="Monthly F",12,$B28="One-Time",0),H28*(1+$D$3))</f>
        <v/>
      </c>
      <c r="J28" s="14">
        <f t="array" ref="J28">IFERROR(_xlfn.IFS(VALUE(MID(J$5,6,1))&gt;$D$2,0,$B28="Annual",1,I28=12,12,$B28="Monthly V",I28*(1+$D$3),$B28="Monthly F",12,$B28="One-Time",0),I28*(1+$D$3))</f>
        <v/>
      </c>
      <c r="K28" s="14">
        <f t="array" ref="K28">IFERROR(_xlfn.IFS(VALUE(MID(K$5,6,1))&gt;$D$2,0,$B28="Annual",1,J28=12,12,$B28="Monthly V",J28*(1+$D$3),$B28="Monthly F",12,$B28="One-Time",0),J28*(1+$D$3))</f>
        <v/>
      </c>
      <c r="L28" s="14">
        <f t="array" ref="L28">IFERROR(_xlfn.IFS(VALUE(MID(L$5,6,1))&gt;$D$2,0,$B28="Annual",1,K28=12,12,$B28="Monthly V",K28*(1+$D$3),$B28="Monthly F",12,$B28="One-Time",0),K28*(1+$D$3))</f>
        <v/>
      </c>
      <c r="M28" s="14">
        <f t="array" ref="M28">IFERROR(_xlfn.IFS(VALUE(MID(M$5,6,1))&gt;$D$2,0,$B28="Annual",1,L28=12,12,$B28="Monthly V",L28*(1+$D$3),$B28="Monthly F",12,$B28="One-Time",0),L28*(1+$D$3))</f>
        <v/>
      </c>
      <c r="N28" s="24">
        <f t="array" ref="N28">IFERROR(_xlfn.IFS(VALUE(MID(N$5,6,2))&gt;$D$2,0,$B28="Annual",1,M28=12,12,$B28="Monthly V",M28*(1+$D$3),$B28="Monthly F",12,$B28="One-Time",0),M28*(1+$D$3))</f>
        <v/>
      </c>
      <c r="O28" s="154" t="inlineStr">
        <is>
          <t>Debit Cards Produced per month</t>
        </is>
      </c>
      <c r="P28" s="13" t="inlineStr">
        <is>
          <t>CardProd</t>
        </is>
      </c>
      <c r="Q28" s="20" t="n">
        <v>6.82</v>
      </c>
      <c r="R28" s="21">
        <f>S28/12</f>
        <v/>
      </c>
      <c r="S28" s="6">
        <f>IFERROR($Q28*E28,0)</f>
        <v/>
      </c>
      <c r="T28" s="6">
        <f>IFERROR($Q28*F28,0)</f>
        <v/>
      </c>
      <c r="U28" s="6">
        <f>IFERROR($Q28*G28,0)</f>
        <v/>
      </c>
      <c r="V28" s="6">
        <f>IFERROR($Q28*H28,0)</f>
        <v/>
      </c>
      <c r="W28" s="6">
        <f>IFERROR($Q28*I28,0)</f>
        <v/>
      </c>
      <c r="X28" s="6">
        <f>IFERROR($Q28*J28,0)</f>
        <v/>
      </c>
      <c r="Y28" s="6">
        <f>IFERROR($Q28*K28,0)</f>
        <v/>
      </c>
      <c r="Z28" s="6">
        <f>IFERROR($Q28*L28,0)</f>
        <v/>
      </c>
      <c r="AA28" s="6">
        <f>IFERROR($Q28*M28,0)</f>
        <v/>
      </c>
      <c r="AB28" s="6">
        <f>IFERROR($Q28*N28,0)</f>
        <v/>
      </c>
      <c r="AC28" s="7" t="n"/>
      <c r="AD28" s="152">
        <f>IF(VALUE(MID(AD$5,6,1))&lt;=$D$2,((1+$Q$3)^1-1)*T28,0)</f>
        <v/>
      </c>
      <c r="AE28" s="152">
        <f>IF(VALUE(MID(AE$5,6,1))&lt;=$D$2,((1+$Q$3)^2-1)*U28,0)</f>
        <v/>
      </c>
      <c r="AF28" s="152">
        <f>IF(VALUE(MID(AF$5,6,1))&lt;=$D$2,((1+$Q$3)^3-1)*V28,0)</f>
        <v/>
      </c>
      <c r="AG28" s="152">
        <f>IF(VALUE(MID(AG$5,6,1))&lt;=$D$2,((1+$Q$3)^4-1)*W28,0)</f>
        <v/>
      </c>
      <c r="AH28" s="152">
        <f>IF(VALUE(MID(AH$5,6,1))&lt;=$D$2,((1+$Q$3)^5-1)*X28,0)</f>
        <v/>
      </c>
      <c r="AI28" s="152">
        <f>IF(VALUE(MID(AI$5,6,1))&lt;=$D$2,((1+$Q$3)^6-1)*Y28,0)</f>
        <v/>
      </c>
      <c r="AJ28" s="152">
        <f>IF(VALUE(MID(AJ$5,6,1))&lt;=$D$2,((1+$Q$3)^7-1)*Z28,0)</f>
        <v/>
      </c>
      <c r="AK28" s="152">
        <f>IF(VALUE(MID(AK$5,6,1))&lt;=$D$2,((1+$Q$3)^8-1)*AA28,0)</f>
        <v/>
      </c>
      <c r="AL28" s="152">
        <f>IF(VALUE(MID(AL$5,6,2))&lt;=$D$2,((1+$Q$3)^9-1)*AB28,0)</f>
        <v/>
      </c>
      <c r="AM28" s="9">
        <f>SUM(AC28:AL28)</f>
        <v/>
      </c>
      <c r="AN28" s="80">
        <f>SUM(AM28,S28:AB28)</f>
        <v/>
      </c>
      <c r="AP28" s="102" t="inlineStr">
        <is>
          <t>Monthly F</t>
        </is>
      </c>
      <c r="AQ28" s="12" t="n">
        <v>1</v>
      </c>
      <c r="AR28" s="14">
        <f>IF($AP28="Annual",1,IF($AP28="Monthly F",12,IF($AP28="Monthly V",AQ28*12,IF($AP28="One-Time",1,AQ28*12))))</f>
        <v/>
      </c>
      <c r="AS28" s="14">
        <f t="array" ref="AS28">IFERROR(_xlfn.IFS(VALUE(MID(AS$5,6,1))&gt;$D$2,0,$AP28="Annual",1,AR28=12,12,$AP28="Monthly V",AR28*(1+$BD$2),$AP28="Monthly F",12,$AP28="One-Time",0),AR28*(1+$BD$2))</f>
        <v/>
      </c>
      <c r="AT28" s="14">
        <f t="array" ref="AT28">IFERROR(_xlfn.IFS(VALUE(MID(AT$5,6,1))&gt;$D$2,0,$AP28="Annual",1,AS28=12,12,$AP28="Monthly V",AS28*(1+$BD$2),$AP28="Monthly F",12,$AP28="One-Time",0),AS28*(1+$BD$2))</f>
        <v/>
      </c>
      <c r="AU28" s="14">
        <f t="array" ref="AU28">IFERROR(_xlfn.IFS(VALUE(MID(AU$5,6,1))&gt;$D$2,0,$AP28="Annual",1,AT28=12,12,$AP28="Monthly V",AT28*(1+$BD$2),$AP28="Monthly F",12,$AP28="One-Time",0),AT28*(1+$BD$2))</f>
        <v/>
      </c>
      <c r="AV28" s="14">
        <f t="array" ref="AV28">IFERROR(_xlfn.IFS(VALUE(MID(AV$5,6,1))&gt;$D$2,0,$AP28="Annual",1,AU28=12,12,$AP28="Monthly V",AU28*(1+$BD$2),$AP28="Monthly F",12,$AP28="One-Time",0),AU28*(1+$BD$2))</f>
        <v/>
      </c>
      <c r="AW28" s="14">
        <f t="array" ref="AW28">IFERROR(_xlfn.IFS(VALUE(MID(AW$5,6,1))&gt;$D$2,0,$AP28="Annual",1,AV28=12,12,$AP28="Monthly V",AV28*(1+$BD$2),$AP28="Monthly F",12,$AP28="One-Time",0),AV28*(1+$BD$2))</f>
        <v/>
      </c>
      <c r="AX28" s="14">
        <f t="array" ref="AX28">IFERROR(_xlfn.IFS(VALUE(MID(AX$5,6,1))&gt;$D$2,0,$AP28="Annual",1,AW28=12,12,$AP28="Monthly V",AW28*(1+$BD$2),$AP28="Monthly F",12,$AP28="One-Time",0),AW28*(1+$BD$2))</f>
        <v/>
      </c>
      <c r="AY28" s="14">
        <f t="array" ref="AY28">IFERROR(_xlfn.IFS(VALUE(MID(AY$5,6,1))&gt;$D$2,0,$AP28="Annual",1,AX28=12,12,$AP28="Monthly V",AX28*(1+$D$3),$AP28="Monthly F",12,$AP28="One-Time",0),AX28*(1+$D$3))</f>
        <v/>
      </c>
      <c r="AZ28" s="14">
        <f t="array" ref="AZ28">IFERROR(_xlfn.IFS(VALUE(MID(AZ$5,6,1))&gt;$D$2,0,$AP28="Annual",1,AY28=12,12,$AP28="Monthly V",AY28*(1+$D$3),$AP28="Monthly F",12,$AP28="One-Time",0),AY28*(1+$D$3))</f>
        <v/>
      </c>
      <c r="BA28" s="125">
        <f t="array" ref="BA28">IFERROR(_xlfn.IFS(VALUE(MID(BA$5,6,2))&gt;$D$2,0,$AP28="Annual",1,AZ28=12,12,$AP28="Monthly V",AZ28*(1+$D$3),$AP28="Monthly F",12,$AP28="One-Time",0),AZ28*(1+$D$3))</f>
        <v/>
      </c>
      <c r="BB28" s="148" t="inlineStr">
        <is>
          <t>CorPay Integration</t>
        </is>
      </c>
      <c r="BC28" s="38" t="inlineStr">
        <is>
          <t>DirectLine</t>
        </is>
      </c>
      <c r="BD28" s="36" t="n">
        <v>300</v>
      </c>
      <c r="BE28" s="21">
        <f>BF28/12</f>
        <v/>
      </c>
      <c r="BF28" s="39">
        <f>IFERROR(AR28*$BD28,0)</f>
        <v/>
      </c>
      <c r="BG28" s="39">
        <f>IFERROR(AS28*$BD28,0)</f>
        <v/>
      </c>
      <c r="BH28" s="39">
        <f>IFERROR(AT28*$BD28,0)</f>
        <v/>
      </c>
      <c r="BI28" s="39">
        <f>BH28*1.03</f>
        <v/>
      </c>
      <c r="BJ28" s="39">
        <f>BI28*1.03</f>
        <v/>
      </c>
      <c r="BK28" s="39">
        <f>BJ28*1.03</f>
        <v/>
      </c>
      <c r="BL28" s="39">
        <f>BK28*1.03</f>
        <v/>
      </c>
      <c r="BM28" s="39">
        <f>IFERROR(AY28*$BD28,0)</f>
        <v/>
      </c>
      <c r="BN28" s="39">
        <f>IFERROR(AZ28*$BD28,0)</f>
        <v/>
      </c>
      <c r="BO28" s="39">
        <f>IFERROR(BA28*$BD28,0)</f>
        <v/>
      </c>
      <c r="BP28" s="40" t="n"/>
      <c r="BQ28" s="40">
        <f>IF(VALUE(MID(BQ$5,6,1))&lt;=$D$2,((1+$BD$3)^1-1)*BG28,0)</f>
        <v/>
      </c>
      <c r="BR28" s="40">
        <f>IF(VALUE(MID(BR$5,6,1))&lt;=$D$2,((1+$BD$3)^2-1)*BH28,0)</f>
        <v/>
      </c>
      <c r="BS28" s="40">
        <f>IF(VALUE(MID(BS$5,6,1))&lt;=$D$2,((1+$BD$3)^3-1)*BI28,0)</f>
        <v/>
      </c>
      <c r="BT28" s="40">
        <f>IF(VALUE(MID(BT$5,6,1))&lt;=$D$2,((1+$BD$3)^4-1)*BJ28,0)</f>
        <v/>
      </c>
      <c r="BU28" s="40">
        <f>IF(VALUE(MID(BU$5,6,1))&lt;=$D$2,((1+$BD$3)^5-1)*BK28,0)</f>
        <v/>
      </c>
      <c r="BV28" s="40">
        <f>IF(VALUE(MID(BV$5,6,1))&lt;=$D$2,((1+$BD$3)^6-1)*BL28,0)</f>
        <v/>
      </c>
      <c r="BW28" s="40">
        <f>IF(VALUE(MID(BW$5,6,1))&lt;=$D$2,((1+$BD$3)^7-1)*BM28,0)</f>
        <v/>
      </c>
      <c r="BX28" s="40">
        <f>IF(VALUE(MID(BX$5,6,1))&lt;=$D$2,((1+$BD$3)^8-1)*BN28,0)</f>
        <v/>
      </c>
      <c r="BY28" s="40">
        <f>IF(VALUE(MID(BY$5,6,2))&lt;=$D$2,((1+$BD$3)^9-1)*BO28,0)</f>
        <v/>
      </c>
      <c r="BZ28" s="40">
        <f>SUM(BP28:BY28)</f>
        <v/>
      </c>
      <c r="CA28" s="37">
        <f>SUM(BZ28,BF28:BO28)</f>
        <v/>
      </c>
      <c r="CC28" s="102" t="n"/>
      <c r="CD28" s="12" t="n"/>
      <c r="CE28" s="14">
        <f>IF($CC28="Annual",1,IF($CC28="Monthly F",12,IF($CC28="Monthly V",CD28*12,IF($CC28="One-Time",1,CD28*12))))</f>
        <v/>
      </c>
      <c r="CF28" s="14">
        <f t="array" ref="CF28">IFERROR(_xlfn.IFS(VALUE(MID(CF$5,6,1))&gt;$D$2,0,$CC28="Annual",1,CE28=12,12,$CC28="Monthly V",CE28*(1+$D$3),$CC28="Monthly F",12,$CC28="One-Time",0),CE28*(1+$D$3))</f>
        <v/>
      </c>
      <c r="CG28" s="14">
        <f t="array" ref="CG28">IFERROR(_xlfn.IFS(VALUE(MID(CG$5,6,1))&gt;$D$2,0,$CC28="Annual",1,CF28=12,12,$CC28="Monthly V",CF28*(1+$D$3),$CC28="Monthly F",12,$CC28="One-Time",0),CF28*(1+$D$3))</f>
        <v/>
      </c>
      <c r="CH28" s="14">
        <f t="array" ref="CH28">IFERROR(_xlfn.IFS(VALUE(MID(CH$5,6,1))&gt;$D$2,0,$CC28="Annual",1,CG28=12,12,$CC28="Monthly V",CG28*(1+$D$3),$CC28="Monthly F",12,$CC28="One-Time",0),CG28*(1+$D$3))</f>
        <v/>
      </c>
      <c r="CI28" s="14">
        <f t="array" ref="CI28">IFERROR(_xlfn.IFS(VALUE(MID(CI$5,6,1))&gt;$D$2,0,$CC28="Annual",1,CH28=12,12,$CC28="Monthly V",CH28*(1+$D$3),$CC28="Monthly F",12,$CC28="One-Time",0),CH28*(1+$D$3))</f>
        <v/>
      </c>
      <c r="CJ28" s="14">
        <f t="array" ref="CJ28">IFERROR(_xlfn.IFS(VALUE(MID(CJ$5,6,1))&gt;$D$2,0,$CC28="Annual",1,CI28=12,12,$CC28="Monthly V",CI28*(1+$D$3),$CC28="Monthly F",12,$CC28="One-Time",0),CI28*(1+$D$3))</f>
        <v/>
      </c>
      <c r="CK28" s="14">
        <f t="array" ref="CK28">IFERROR(_xlfn.IFS(VALUE(MID(CK$5,6,1))&gt;$D$2,0,$CC28="Annual",1,CJ28=12,12,$CC28="Monthly V",CJ28*(1+$D$3),$CC28="Monthly F",12,$CC28="One-Time",0),CJ28*(1+$D$3))</f>
        <v/>
      </c>
      <c r="CL28" s="14">
        <f t="array" ref="CL28">IFERROR(_xlfn.IFS(VALUE(MID(CL$5,6,1))&gt;$D$2,0,$CC28="Annual",1,CK28=12,12,$CC28="Monthly V",CK28*(1+$D$3),$CC28="Monthly F",12,$CC28="One-Time",0),CK28*(1+$D$3))</f>
        <v/>
      </c>
      <c r="CM28" s="14">
        <f t="array" ref="CM28">IFERROR(_xlfn.IFS(VALUE(MID(CM$5,6,1))&gt;$D$2,0,$CC28="Annual",1,CL28=12,12,$CC28="Monthly V",CL28*(1+$D$3),$CC28="Monthly F",12,$CC28="One-Time",0),CL28*(1+$D$3))</f>
        <v/>
      </c>
      <c r="CN28" s="24">
        <f t="array" ref="CN28">IFERROR(_xlfn.IFS(VALUE(MID(CN$5,6,2))&gt;$D$2,0,$CC28="Annual",1,CM28=12,12,$CC28="Monthly V",CM28*(1+$D$3),$CC28="Monthly F",12,$CC28="One-Time",0),CM28*(1+$D$3))</f>
        <v/>
      </c>
      <c r="CO28" s="63" t="n"/>
      <c r="CP28" s="53" t="n"/>
      <c r="CQ28" s="21">
        <f>CR28/12</f>
        <v/>
      </c>
      <c r="CR28" s="55">
        <f>IFERROR(CE28*$CP28,0)</f>
        <v/>
      </c>
      <c r="CS28" s="55">
        <f>IFERROR(CF28*$CP28,0)</f>
        <v/>
      </c>
      <c r="CT28" s="55">
        <f>IFERROR(CG28*$CP28,0)</f>
        <v/>
      </c>
      <c r="CU28" s="55">
        <f>IFERROR(CH28*$CP28,0)</f>
        <v/>
      </c>
      <c r="CV28" s="55">
        <f>IFERROR(CI28*$CP28,0)</f>
        <v/>
      </c>
      <c r="CW28" s="55">
        <f>IFERROR(CJ28*$CP28,0)</f>
        <v/>
      </c>
      <c r="CX28" s="55">
        <f>IFERROR(CK28*$CP28,0)</f>
        <v/>
      </c>
      <c r="CY28" s="55">
        <f>IFERROR(CL28*$CP28,0)</f>
        <v/>
      </c>
      <c r="CZ28" s="55">
        <f>IFERROR(CM28*$CP28,0)</f>
        <v/>
      </c>
      <c r="DA28" s="55">
        <f>IFERROR(CN28*$CP28,0)</f>
        <v/>
      </c>
      <c r="DB28" s="56" t="n"/>
      <c r="DC28" s="56">
        <f>IF(VALUE(MID(DC$5,6,1))&lt;=$D$2,((1+$CP$3)^1-1)*CS28,0)</f>
        <v/>
      </c>
      <c r="DD28" s="56">
        <f>IF(VALUE(MID(DD$5,6,1))&lt;=$D$2,((1+$CP$3)^2-1)*CT28,0)</f>
        <v/>
      </c>
      <c r="DE28" s="56">
        <f>IF(VALUE(MID(DE$5,6,1))&lt;=$D$2,((1+$CP$3)^3-1)*CU28,0)</f>
        <v/>
      </c>
      <c r="DF28" s="56">
        <f>IF(VALUE(MID(DF$5,6,1))&lt;=$D$2,((1+$CP$3)^4-1)*CV28,0)</f>
        <v/>
      </c>
      <c r="DG28" s="56">
        <f>IF(VALUE(MID(DG$5,6,1))&lt;=$D$2,((1+$CP$3)^5-1)*CW28,0)</f>
        <v/>
      </c>
      <c r="DH28" s="56">
        <f>IF(VALUE(MID(DH$5,6,1))&lt;=$D$2,((1+$CP$3)^6-1)*CX28,0)</f>
        <v/>
      </c>
      <c r="DI28" s="56">
        <f>IF(VALUE(MID(DI$5,6,1))&lt;=$D$2,((1+$CP$3)^7-1)*CY28,0)</f>
        <v/>
      </c>
      <c r="DJ28" s="56">
        <f>IF(VALUE(MID(DJ$5,6,1))&lt;=$D$2,((1+$CP$3)^8-1)*CZ28,0)</f>
        <v/>
      </c>
      <c r="DK28" s="56">
        <f>IF(VALUE(MID(DK$5,6,2))&lt;=$D$2,((1+$CP$3)^9-1)*DA28,0)</f>
        <v/>
      </c>
      <c r="DL28" s="57">
        <f>SUM(DB28:DK28)</f>
        <v/>
      </c>
      <c r="DM28" s="54">
        <f>SUM(DL28,CR28:DA28)</f>
        <v/>
      </c>
      <c r="DO28" s="106" t="n"/>
    </row>
    <row r="29">
      <c r="B29" s="141" t="n"/>
      <c r="C29" s="24" t="n"/>
      <c r="D29" s="147" t="n"/>
      <c r="E29" s="142" t="n"/>
      <c r="F29" s="14" t="n"/>
      <c r="G29" s="14" t="n"/>
      <c r="H29" s="14" t="n"/>
      <c r="I29" s="14" t="n"/>
      <c r="J29" s="14" t="n"/>
      <c r="K29" s="14" t="n"/>
      <c r="L29" s="14" t="n"/>
      <c r="M29" s="14" t="n"/>
      <c r="N29" s="24" t="n"/>
      <c r="O29" s="151" t="inlineStr">
        <is>
          <t>DirectLink Risk Review</t>
        </is>
      </c>
      <c r="P29" s="13" t="n"/>
      <c r="Q29" s="20" t="n"/>
      <c r="R29" s="21">
        <f>S29/12</f>
        <v/>
      </c>
      <c r="S29" s="6">
        <f>IFERROR($Q29*E29,0)</f>
        <v/>
      </c>
      <c r="T29" s="6">
        <f>IFERROR($Q29*F29,0)</f>
        <v/>
      </c>
      <c r="U29" s="6">
        <f>IFERROR($Q29*G29,0)</f>
        <v/>
      </c>
      <c r="V29" s="6">
        <f>IFERROR($Q29*H29,0)</f>
        <v/>
      </c>
      <c r="W29" s="6">
        <f>IFERROR($Q29*I29,0)</f>
        <v/>
      </c>
      <c r="X29" s="6">
        <f>IFERROR($Q29*J29,0)</f>
        <v/>
      </c>
      <c r="Y29" s="6">
        <f>IFERROR($Q29*K29,0)</f>
        <v/>
      </c>
      <c r="Z29" s="6">
        <f>IFERROR($Q29*L29,0)</f>
        <v/>
      </c>
      <c r="AA29" s="6">
        <f>IFERROR($Q29*M29,0)</f>
        <v/>
      </c>
      <c r="AB29" s="6">
        <f>IFERROR($Q29*N29,0)</f>
        <v/>
      </c>
      <c r="AC29" s="7" t="n"/>
      <c r="AD29" s="152">
        <f>IF(VALUE(MID(AD$5,6,1))&lt;=$D$2,((1+$Q$3)^1-1)*T29,0)</f>
        <v/>
      </c>
      <c r="AE29" s="152">
        <f>IF(VALUE(MID(AE$5,6,1))&lt;=$D$2,((1+$Q$3)^2-1)*U29,0)</f>
        <v/>
      </c>
      <c r="AF29" s="152">
        <f>IF(VALUE(MID(AF$5,6,1))&lt;=$D$2,((1+$Q$3)^3-1)*V29,0)</f>
        <v/>
      </c>
      <c r="AG29" s="152">
        <f>IF(VALUE(MID(AG$5,6,1))&lt;=$D$2,((1+$Q$3)^4-1)*W29,0)</f>
        <v/>
      </c>
      <c r="AH29" s="152">
        <f>IF(VALUE(MID(AH$5,6,1))&lt;=$D$2,((1+$Q$3)^5-1)*X29,0)</f>
        <v/>
      </c>
      <c r="AI29" s="152">
        <f>IF(VALUE(MID(AI$5,6,1))&lt;=$D$2,((1+$Q$3)^6-1)*Y29,0)</f>
        <v/>
      </c>
      <c r="AJ29" s="152">
        <f>IF(VALUE(MID(AJ$5,6,1))&lt;=$D$2,((1+$Q$3)^7-1)*Z29,0)</f>
        <v/>
      </c>
      <c r="AK29" s="152">
        <f>IF(VALUE(MID(AK$5,6,1))&lt;=$D$2,((1+$Q$3)^8-1)*AA29,0)</f>
        <v/>
      </c>
      <c r="AL29" s="152">
        <f>IF(VALUE(MID(AL$5,6,2))&lt;=$D$2,((1+$Q$3)^9-1)*AB29,0)</f>
        <v/>
      </c>
      <c r="AM29" s="9">
        <f>SUM(AC29:AL29)</f>
        <v/>
      </c>
      <c r="AN29" s="80">
        <f>SUM(AM29,S29:AB29)</f>
        <v/>
      </c>
      <c r="AP29" s="102" t="inlineStr">
        <is>
          <t>Monthly F</t>
        </is>
      </c>
      <c r="AQ29" s="12" t="n">
        <v>1</v>
      </c>
      <c r="AR29" s="14">
        <f>IF($AP29="Annual",1,IF($AP29="Monthly F",12,IF($AP29="Monthly V",AQ29*12,IF($AP29="One-Time",1,AQ29*12))))</f>
        <v/>
      </c>
      <c r="AS29" s="14">
        <f t="array" ref="AS29">IFERROR(_xlfn.IFS(VALUE(MID(AS$5,6,1))&gt;$D$2,0,$AP29="Annual",1,AR29=12,12,$AP29="Monthly V",AR29*(1+$BD$2),$AP29="Monthly F",12,$AP29="One-Time",0),AR29*(1+$BD$2))</f>
        <v/>
      </c>
      <c r="AT29" s="14">
        <f t="array" ref="AT29">IFERROR(_xlfn.IFS(VALUE(MID(AT$5,6,1))&gt;$D$2,0,$AP29="Annual",1,AS29=12,12,$AP29="Monthly V",AS29*(1+$BD$2),$AP29="Monthly F",12,$AP29="One-Time",0),AS29*(1+$BD$2))</f>
        <v/>
      </c>
      <c r="AU29" s="14">
        <f t="array" ref="AU29">IFERROR(_xlfn.IFS(VALUE(MID(AU$5,6,1))&gt;$D$2,0,$AP29="Annual",1,AT29=12,12,$AP29="Monthly V",AT29*(1+$BD$2),$AP29="Monthly F",12,$AP29="One-Time",0),AT29*(1+$BD$2))</f>
        <v/>
      </c>
      <c r="AV29" s="14">
        <f t="array" ref="AV29">IFERROR(_xlfn.IFS(VALUE(MID(AV$5,6,1))&gt;$D$2,0,$AP29="Annual",1,AU29=12,12,$AP29="Monthly V",AU29*(1+$BD$2),$AP29="Monthly F",12,$AP29="One-Time",0),AU29*(1+$BD$2))</f>
        <v/>
      </c>
      <c r="AW29" s="14">
        <f t="array" ref="AW29">IFERROR(_xlfn.IFS(VALUE(MID(AW$5,6,1))&gt;$D$2,0,$AP29="Annual",1,AV29=12,12,$AP29="Monthly V",AV29*(1+$BD$2),$AP29="Monthly F",12,$AP29="One-Time",0),AV29*(1+$BD$2))</f>
        <v/>
      </c>
      <c r="AX29" s="14">
        <f t="array" ref="AX29">IFERROR(_xlfn.IFS(VALUE(MID(AX$5,6,1))&gt;$D$2,0,$AP29="Annual",1,AW29=12,12,$AP29="Monthly V",AW29*(1+$BD$2),$AP29="Monthly F",12,$AP29="One-Time",0),AW29*(1+$BD$2))</f>
        <v/>
      </c>
      <c r="AY29" s="14">
        <f t="array" ref="AY29">IFERROR(_xlfn.IFS(VALUE(MID(AY$5,6,1))&gt;$D$2,0,$AP29="Annual",1,AX29=12,12,$AP29="Monthly V",AX29*(1+$D$3),$AP29="Monthly F",12,$AP29="One-Time",0),AX29*(1+$D$3))</f>
        <v/>
      </c>
      <c r="AZ29" s="14">
        <f t="array" ref="AZ29">IFERROR(_xlfn.IFS(VALUE(MID(AZ$5,6,1))&gt;$D$2,0,$AP29="Annual",1,AY29=12,12,$AP29="Monthly V",AY29*(1+$D$3),$AP29="Monthly F",12,$AP29="One-Time",0),AY29*(1+$D$3))</f>
        <v/>
      </c>
      <c r="BA29" s="125">
        <f t="array" ref="BA29">IFERROR(_xlfn.IFS(VALUE(MID(BA$5,6,2))&gt;$D$2,0,$AP29="Annual",1,AZ29=12,12,$AP29="Monthly V",AZ29*(1+$D$3),$AP29="Monthly F",12,$AP29="One-Time",0),AZ29*(1+$D$3))</f>
        <v/>
      </c>
      <c r="BB29" s="148" t="inlineStr">
        <is>
          <t>Zelle Implementation and Monthly Network</t>
        </is>
      </c>
      <c r="BC29" s="38" t="inlineStr">
        <is>
          <t>JHA Payment Center</t>
        </is>
      </c>
      <c r="BD29" s="36" t="n">
        <v>600</v>
      </c>
      <c r="BE29" s="21">
        <f>BF29/12</f>
        <v/>
      </c>
      <c r="BF29" s="39">
        <f>IFERROR(AR29*$BD29,0)</f>
        <v/>
      </c>
      <c r="BG29" s="39">
        <f>IFERROR(AS29*$BD29,0)</f>
        <v/>
      </c>
      <c r="BH29" s="39">
        <f>IFERROR(AT29*$BD29,0)</f>
        <v/>
      </c>
      <c r="BI29" s="39">
        <f>BH29*1.03</f>
        <v/>
      </c>
      <c r="BJ29" s="39">
        <f>BI29*1.03</f>
        <v/>
      </c>
      <c r="BK29" s="39">
        <f>BJ29*1.03</f>
        <v/>
      </c>
      <c r="BL29" s="39">
        <f>BK29*1.03</f>
        <v/>
      </c>
      <c r="BM29" s="39">
        <f>IFERROR(AY29*$BD29,0)</f>
        <v/>
      </c>
      <c r="BN29" s="39">
        <f>IFERROR(AZ29*$BD29,0)</f>
        <v/>
      </c>
      <c r="BO29" s="39">
        <f>IFERROR(BA29*$BD29,0)</f>
        <v/>
      </c>
      <c r="BP29" s="40" t="n"/>
      <c r="BQ29" s="40">
        <f>IF(VALUE(MID(BQ$5,6,1))&lt;=$D$2,((1+$BD$3)^1-1)*BG29,0)</f>
        <v/>
      </c>
      <c r="BR29" s="40">
        <f>IF(VALUE(MID(BR$5,6,1))&lt;=$D$2,((1+$BD$3)^2-1)*BH29,0)</f>
        <v/>
      </c>
      <c r="BS29" s="40">
        <f>IF(VALUE(MID(BS$5,6,1))&lt;=$D$2,((1+$BD$3)^3-1)*BI29,0)</f>
        <v/>
      </c>
      <c r="BT29" s="40">
        <f>IF(VALUE(MID(BT$5,6,1))&lt;=$D$2,((1+$BD$3)^4-1)*BJ29,0)</f>
        <v/>
      </c>
      <c r="BU29" s="40">
        <f>IF(VALUE(MID(BU$5,6,1))&lt;=$D$2,((1+$BD$3)^5-1)*BK29,0)</f>
        <v/>
      </c>
      <c r="BV29" s="40">
        <f>IF(VALUE(MID(BV$5,6,1))&lt;=$D$2,((1+$BD$3)^6-1)*BL29,0)</f>
        <v/>
      </c>
      <c r="BW29" s="40">
        <f>IF(VALUE(MID(BW$5,6,1))&lt;=$D$2,((1+$BD$3)^7-1)*BM29,0)</f>
        <v/>
      </c>
      <c r="BX29" s="40">
        <f>IF(VALUE(MID(BX$5,6,1))&lt;=$D$2,((1+$BD$3)^8-1)*BN29,0)</f>
        <v/>
      </c>
      <c r="BY29" s="40">
        <f>IF(VALUE(MID(BY$5,6,2))&lt;=$D$2,((1+$BD$3)^9-1)*BO29,0)</f>
        <v/>
      </c>
      <c r="BZ29" s="40">
        <f>SUM(BP29:BY29)</f>
        <v/>
      </c>
      <c r="CA29" s="37">
        <f>SUM(BZ29,BF29:BO29)</f>
        <v/>
      </c>
      <c r="CC29" s="102" t="n"/>
      <c r="CD29" s="12" t="n"/>
      <c r="CE29" s="14">
        <f>IF($CC29="Annual",1,IF($CC29="Monthly F",12,IF($CC29="Monthly V",CD29*12,IF($CC29="One-Time",1,CD29*12))))</f>
        <v/>
      </c>
      <c r="CF29" s="14">
        <f t="array" ref="CF29">IFERROR(_xlfn.IFS(VALUE(MID(CF$5,6,1))&gt;$D$2,0,$CC29="Annual",1,CE29=12,12,$CC29="Monthly V",CE29*(1+$D$3),$CC29="Monthly F",12,$CC29="One-Time",0),CE29*(1+$D$3))</f>
        <v/>
      </c>
      <c r="CG29" s="14">
        <f t="array" ref="CG29">IFERROR(_xlfn.IFS(VALUE(MID(CG$5,6,1))&gt;$D$2,0,$CC29="Annual",1,CF29=12,12,$CC29="Monthly V",CF29*(1+$D$3),$CC29="Monthly F",12,$CC29="One-Time",0),CF29*(1+$D$3))</f>
        <v/>
      </c>
      <c r="CH29" s="14">
        <f t="array" ref="CH29">IFERROR(_xlfn.IFS(VALUE(MID(CH$5,6,1))&gt;$D$2,0,$CC29="Annual",1,CG29=12,12,$CC29="Monthly V",CG29*(1+$D$3),$CC29="Monthly F",12,$CC29="One-Time",0),CG29*(1+$D$3))</f>
        <v/>
      </c>
      <c r="CI29" s="14">
        <f t="array" ref="CI29">IFERROR(_xlfn.IFS(VALUE(MID(CI$5,6,1))&gt;$D$2,0,$CC29="Annual",1,CH29=12,12,$CC29="Monthly V",CH29*(1+$D$3),$CC29="Monthly F",12,$CC29="One-Time",0),CH29*(1+$D$3))</f>
        <v/>
      </c>
      <c r="CJ29" s="14">
        <f t="array" ref="CJ29">IFERROR(_xlfn.IFS(VALUE(MID(CJ$5,6,1))&gt;$D$2,0,$CC29="Annual",1,CI29=12,12,$CC29="Monthly V",CI29*(1+$D$3),$CC29="Monthly F",12,$CC29="One-Time",0),CI29*(1+$D$3))</f>
        <v/>
      </c>
      <c r="CK29" s="14">
        <f t="array" ref="CK29">IFERROR(_xlfn.IFS(VALUE(MID(CK$5,6,1))&gt;$D$2,0,$CC29="Annual",1,CJ29=12,12,$CC29="Monthly V",CJ29*(1+$D$3),$CC29="Monthly F",12,$CC29="One-Time",0),CJ29*(1+$D$3))</f>
        <v/>
      </c>
      <c r="CL29" s="14">
        <f t="array" ref="CL29">IFERROR(_xlfn.IFS(VALUE(MID(CL$5,6,1))&gt;$D$2,0,$CC29="Annual",1,CK29=12,12,$CC29="Monthly V",CK29*(1+$D$3),$CC29="Monthly F",12,$CC29="One-Time",0),CK29*(1+$D$3))</f>
        <v/>
      </c>
      <c r="CM29" s="14">
        <f t="array" ref="CM29">IFERROR(_xlfn.IFS(VALUE(MID(CM$5,6,1))&gt;$D$2,0,$CC29="Annual",1,CL29=12,12,$CC29="Monthly V",CL29*(1+$D$3),$CC29="Monthly F",12,$CC29="One-Time",0),CL29*(1+$D$3))</f>
        <v/>
      </c>
      <c r="CN29" s="24">
        <f t="array" ref="CN29">IFERROR(_xlfn.IFS(VALUE(MID(CN$5,6,2))&gt;$D$2,0,$CC29="Annual",1,CM29=12,12,$CC29="Monthly V",CM29*(1+$D$3),$CC29="Monthly F",12,$CC29="One-Time",0),CM29*(1+$D$3))</f>
        <v/>
      </c>
      <c r="CO29" s="63" t="n"/>
      <c r="CP29" s="53" t="n"/>
      <c r="CQ29" s="21">
        <f>CR29/12</f>
        <v/>
      </c>
      <c r="CR29" s="55">
        <f>IFERROR(CE29*$CP29,0)</f>
        <v/>
      </c>
      <c r="CS29" s="55">
        <f>IFERROR(CF29*$CP29,0)</f>
        <v/>
      </c>
      <c r="CT29" s="55">
        <f>IFERROR(CG29*$CP29,0)</f>
        <v/>
      </c>
      <c r="CU29" s="55">
        <f>IFERROR(CH29*$CP29,0)</f>
        <v/>
      </c>
      <c r="CV29" s="55">
        <f>IFERROR(CI29*$CP29,0)</f>
        <v/>
      </c>
      <c r="CW29" s="55">
        <f>IFERROR(CJ29*$CP29,0)</f>
        <v/>
      </c>
      <c r="CX29" s="55">
        <f>IFERROR(CK29*$CP29,0)</f>
        <v/>
      </c>
      <c r="CY29" s="55">
        <f>IFERROR(CL29*$CP29,0)</f>
        <v/>
      </c>
      <c r="CZ29" s="55">
        <f>IFERROR(CM29*$CP29,0)</f>
        <v/>
      </c>
      <c r="DA29" s="55">
        <f>IFERROR(CN29*$CP29,0)</f>
        <v/>
      </c>
      <c r="DB29" s="56" t="n"/>
      <c r="DC29" s="56">
        <f>IF(VALUE(MID(DC$5,6,1))&lt;=$D$2,((1+$CP$3)^1-1)*CS29,0)</f>
        <v/>
      </c>
      <c r="DD29" s="56">
        <f>IF(VALUE(MID(DD$5,6,1))&lt;=$D$2,((1+$CP$3)^2-1)*CT29,0)</f>
        <v/>
      </c>
      <c r="DE29" s="56">
        <f>IF(VALUE(MID(DE$5,6,1))&lt;=$D$2,((1+$CP$3)^3-1)*CU29,0)</f>
        <v/>
      </c>
      <c r="DF29" s="56">
        <f>IF(VALUE(MID(DF$5,6,1))&lt;=$D$2,((1+$CP$3)^4-1)*CV29,0)</f>
        <v/>
      </c>
      <c r="DG29" s="56">
        <f>IF(VALUE(MID(DG$5,6,1))&lt;=$D$2,((1+$CP$3)^5-1)*CW29,0)</f>
        <v/>
      </c>
      <c r="DH29" s="56">
        <f>IF(VALUE(MID(DH$5,6,1))&lt;=$D$2,((1+$CP$3)^6-1)*CX29,0)</f>
        <v/>
      </c>
      <c r="DI29" s="56">
        <f>IF(VALUE(MID(DI$5,6,1))&lt;=$D$2,((1+$CP$3)^7-1)*CY29,0)</f>
        <v/>
      </c>
      <c r="DJ29" s="56">
        <f>IF(VALUE(MID(DJ$5,6,1))&lt;=$D$2,((1+$CP$3)^8-1)*CZ29,0)</f>
        <v/>
      </c>
      <c r="DK29" s="56">
        <f>IF(VALUE(MID(DK$5,6,2))&lt;=$D$2,((1+$CP$3)^9-1)*DA29,0)</f>
        <v/>
      </c>
      <c r="DL29" s="57">
        <f>SUM(DB29:DK29)</f>
        <v/>
      </c>
      <c r="DM29" s="54">
        <f>SUM(DL29,CR29:DA29)</f>
        <v/>
      </c>
      <c r="DO29" s="106" t="n"/>
    </row>
    <row r="30">
      <c r="B30" s="141" t="inlineStr">
        <is>
          <t>Monthly F</t>
        </is>
      </c>
      <c r="C30" s="24" t="n">
        <v>1</v>
      </c>
      <c r="D30" s="147">
        <f>IFERROR(AVERAGE(C30:C30),0)</f>
        <v/>
      </c>
      <c r="E30" s="142">
        <f>IF($B30="Annual",1,IF($B30="Monthly F",12,IF($B30="Monthly V",D30*12,IF($B30="One-Time",1,D30*12))))</f>
        <v/>
      </c>
      <c r="F30" s="14">
        <f t="array" ref="F30">IFERROR(_xlfn.IFS(VALUE(MID(F$5,6,1))&gt;$D$2,0,$B30="Annual",1,E30=12,12,$B30="Monthly V",E30*(1+$D$3),$B30="Monthly F",12,$B30="One-Time",0),E30*(1+$D$3))</f>
        <v/>
      </c>
      <c r="G30" s="14">
        <f t="array" ref="G30">IFERROR(_xlfn.IFS(VALUE(MID(G$5,6,1))&gt;$D$2,0,$B30="Annual",1,F30=12,12,$B30="Monthly V",F30*(1+$D$3),$B30="Monthly F",12,$B30="One-Time",0),F30*(1+$D$3))</f>
        <v/>
      </c>
      <c r="H30" s="14">
        <f t="array" ref="H30">IFERROR(_xlfn.IFS(VALUE(MID(H$5,6,1))&gt;$D$2,0,$B30="Annual",1,G30=12,12,$B30="Monthly V",G30*(1+$D$3),$B30="Monthly F",12,$B30="One-Time",0),G30*(1+$D$3))</f>
        <v/>
      </c>
      <c r="I30" s="14">
        <f t="array" ref="I30">IFERROR(_xlfn.IFS(VALUE(MID(I$5,6,1))&gt;$D$2,0,$B30="Annual",1,H30=12,12,$B30="Monthly V",H30*(1+$D$3),$B30="Monthly F",12,$B30="One-Time",0),H30*(1+$D$3))</f>
        <v/>
      </c>
      <c r="J30" s="14">
        <f t="array" ref="J30">IFERROR(_xlfn.IFS(VALUE(MID(J$5,6,1))&gt;$D$2,0,$B30="Annual",1,I30=12,12,$B30="Monthly V",I30*(1+$D$3),$B30="Monthly F",12,$B30="One-Time",0),I30*(1+$D$3))</f>
        <v/>
      </c>
      <c r="K30" s="14">
        <f t="array" ref="K30">IFERROR(_xlfn.IFS(VALUE(MID(K$5,6,1))&gt;$D$2,0,$B30="Annual",1,J30=12,12,$B30="Monthly V",J30*(1+$D$3),$B30="Monthly F",12,$B30="One-Time",0),J30*(1+$D$3))</f>
        <v/>
      </c>
      <c r="L30" s="14">
        <f t="array" ref="L30">IFERROR(_xlfn.IFS(VALUE(MID(L$5,6,1))&gt;$D$2,0,$B30="Annual",1,K30=12,12,$B30="Monthly V",K30*(1+$D$3),$B30="Monthly F",12,$B30="One-Time",0),K30*(1+$D$3))</f>
        <v/>
      </c>
      <c r="M30" s="14">
        <f t="array" ref="M30">IFERROR(_xlfn.IFS(VALUE(MID(M$5,6,1))&gt;$D$2,0,$B30="Annual",1,L30=12,12,$B30="Monthly V",L30*(1+$D$3),$B30="Monthly F",12,$B30="One-Time",0),L30*(1+$D$3))</f>
        <v/>
      </c>
      <c r="N30" s="24">
        <f t="array" ref="N30">IFERROR(_xlfn.IFS(VALUE(MID(N$5,6,2))&gt;$D$2,0,$B30="Annual",1,M30=12,12,$B30="Monthly V",M30*(1+$D$3),$B30="Monthly F",12,$B30="One-Time",0),M30*(1+$D$3))</f>
        <v/>
      </c>
      <c r="O30" s="127" t="inlineStr">
        <is>
          <t>Monthly Minimum</t>
        </is>
      </c>
      <c r="P30" s="13" t="inlineStr">
        <is>
          <t>DirectLink</t>
        </is>
      </c>
      <c r="Q30" s="20" t="n">
        <v>200</v>
      </c>
      <c r="R30" s="21">
        <f>S30/12</f>
        <v/>
      </c>
      <c r="S30" s="6">
        <f>IFERROR($Q30*E30,0)</f>
        <v/>
      </c>
      <c r="T30" s="6">
        <f>IFERROR($Q30*F30,0)</f>
        <v/>
      </c>
      <c r="U30" s="6">
        <f>IFERROR($Q30*G30,0)</f>
        <v/>
      </c>
      <c r="V30" s="6">
        <f>IFERROR($Q30*H30,0)</f>
        <v/>
      </c>
      <c r="W30" s="6">
        <f>IFERROR($Q30*I30,0)</f>
        <v/>
      </c>
      <c r="X30" s="6">
        <f>IFERROR($Q30*J30,0)</f>
        <v/>
      </c>
      <c r="Y30" s="6">
        <f>IFERROR($Q30*K30,0)</f>
        <v/>
      </c>
      <c r="Z30" s="6">
        <f>IFERROR($Q30*L30,0)</f>
        <v/>
      </c>
      <c r="AA30" s="6">
        <f>IFERROR($Q30*M30,0)</f>
        <v/>
      </c>
      <c r="AB30" s="6">
        <f>IFERROR($Q30*N30,0)</f>
        <v/>
      </c>
      <c r="AC30" s="7" t="n"/>
      <c r="AD30" s="152">
        <f>IF(VALUE(MID(AD$5,6,1))&lt;=$D$2,((1+$Q$3)^1-1)*T30,0)</f>
        <v/>
      </c>
      <c r="AE30" s="152">
        <f>IF(VALUE(MID(AE$5,6,1))&lt;=$D$2,((1+$Q$3)^2-1)*U30,0)</f>
        <v/>
      </c>
      <c r="AF30" s="152">
        <f>IF(VALUE(MID(AF$5,6,1))&lt;=$D$2,((1+$Q$3)^3-1)*V30,0)</f>
        <v/>
      </c>
      <c r="AG30" s="152">
        <f>IF(VALUE(MID(AG$5,6,1))&lt;=$D$2,((1+$Q$3)^4-1)*W30,0)</f>
        <v/>
      </c>
      <c r="AH30" s="152">
        <f>IF(VALUE(MID(AH$5,6,1))&lt;=$D$2,((1+$Q$3)^5-1)*X30,0)</f>
        <v/>
      </c>
      <c r="AI30" s="152">
        <f>IF(VALUE(MID(AI$5,6,1))&lt;=$D$2,((1+$Q$3)^6-1)*Y30,0)</f>
        <v/>
      </c>
      <c r="AJ30" s="152">
        <f>IF(VALUE(MID(AJ$5,6,1))&lt;=$D$2,((1+$Q$3)^7-1)*Z30,0)</f>
        <v/>
      </c>
      <c r="AK30" s="152">
        <f>IF(VALUE(MID(AK$5,6,1))&lt;=$D$2,((1+$Q$3)^8-1)*AA30,0)</f>
        <v/>
      </c>
      <c r="AL30" s="152">
        <f>IF(VALUE(MID(AL$5,6,2))&lt;=$D$2,((1+$Q$3)^9-1)*AB30,0)</f>
        <v/>
      </c>
      <c r="AM30" s="9">
        <f>SUM(AC30:AL30)</f>
        <v/>
      </c>
      <c r="AN30" s="80">
        <f>SUM(AM30,S30:AB30)</f>
        <v/>
      </c>
      <c r="AP30" s="102" t="inlineStr">
        <is>
          <t>Monthly F</t>
        </is>
      </c>
      <c r="AQ30" s="12" t="n">
        <v>1</v>
      </c>
      <c r="AR30" s="14">
        <f>IF($AP30="Annual",1,IF($AP30="Monthly F",12,IF($AP30="Monthly V",AQ30*12,IF($AP30="One-Time",1,AQ30*12))))</f>
        <v/>
      </c>
      <c r="AS30" s="14">
        <f t="array" ref="AS30">IFERROR(_xlfn.IFS(VALUE(MID(AS$5,6,1))&gt;$D$2,0,$AP30="Annual",1,AR30=12,12,$AP30="Monthly V",AR30*(1+$BD$2),$AP30="Monthly F",12,$AP30="One-Time",0),AR30*(1+$BD$2))</f>
        <v/>
      </c>
      <c r="AT30" s="14">
        <f t="array" ref="AT30">IFERROR(_xlfn.IFS(VALUE(MID(AT$5,6,1))&gt;$D$2,0,$AP30="Annual",1,AS30=12,12,$AP30="Monthly V",AS30*(1+$BD$2),$AP30="Monthly F",12,$AP30="One-Time",0),AS30*(1+$BD$2))</f>
        <v/>
      </c>
      <c r="AU30" s="14">
        <f t="array" ref="AU30">IFERROR(_xlfn.IFS(VALUE(MID(AU$5,6,1))&gt;$D$2,0,$AP30="Annual",1,AT30=12,12,$AP30="Monthly V",AT30*(1+$BD$2),$AP30="Monthly F",12,$AP30="One-Time",0),AT30*(1+$BD$2))</f>
        <v/>
      </c>
      <c r="AV30" s="14">
        <f t="array" ref="AV30">IFERROR(_xlfn.IFS(VALUE(MID(AV$5,6,1))&gt;$D$2,0,$AP30="Annual",1,AU30=12,12,$AP30="Monthly V",AU30*(1+$BD$2),$AP30="Monthly F",12,$AP30="One-Time",0),AU30*(1+$BD$2))</f>
        <v/>
      </c>
      <c r="AW30" s="14">
        <f t="array" ref="AW30">IFERROR(_xlfn.IFS(VALUE(MID(AW$5,6,1))&gt;$D$2,0,$AP30="Annual",1,AV30=12,12,$AP30="Monthly V",AV30*(1+$BD$2),$AP30="Monthly F",12,$AP30="One-Time",0),AV30*(1+$BD$2))</f>
        <v/>
      </c>
      <c r="AX30" s="14">
        <f t="array" ref="AX30">IFERROR(_xlfn.IFS(VALUE(MID(AX$5,6,1))&gt;$D$2,0,$AP30="Annual",1,AW30=12,12,$AP30="Monthly V",AW30*(1+$BD$2),$AP30="Monthly F",12,$AP30="One-Time",0),AW30*(1+$BD$2))</f>
        <v/>
      </c>
      <c r="AY30" s="14">
        <f t="array" ref="AY30">IFERROR(_xlfn.IFS(VALUE(MID(AY$5,6,1))&gt;$D$2,0,$AP30="Annual",1,AX30=12,12,$AP30="Monthly V",AX30*(1+$D$3),$AP30="Monthly F",12,$AP30="One-Time",0),AX30*(1+$D$3))</f>
        <v/>
      </c>
      <c r="AZ30" s="14">
        <f t="array" ref="AZ30">IFERROR(_xlfn.IFS(VALUE(MID(AZ$5,6,1))&gt;$D$2,0,$AP30="Annual",1,AY30=12,12,$AP30="Monthly V",AY30*(1+$D$3),$AP30="Monthly F",12,$AP30="One-Time",0),AY30*(1+$D$3))</f>
        <v/>
      </c>
      <c r="BA30" s="125">
        <f t="array" ref="BA30">IFERROR(_xlfn.IFS(VALUE(MID(BA$5,6,2))&gt;$D$2,0,$AP30="Annual",1,AZ30=12,12,$AP30="Monthly V",AZ30*(1+$D$3),$AP30="Monthly F",12,$AP30="One-Time",0),AZ30*(1+$D$3))</f>
        <v/>
      </c>
      <c r="BB30" s="148" t="inlineStr">
        <is>
          <t>RTP Implementation and Monthly Network Receive Only</t>
        </is>
      </c>
      <c r="BC30" s="38" t="inlineStr">
        <is>
          <t>JHA Payment Center</t>
        </is>
      </c>
      <c r="BD30" s="36" t="n">
        <v>400</v>
      </c>
      <c r="BE30" s="21">
        <f>BF30/12</f>
        <v/>
      </c>
      <c r="BF30" s="39">
        <f>IFERROR(AR30*$BD30,0)</f>
        <v/>
      </c>
      <c r="BG30" s="39">
        <f>IFERROR(AS30*$BD30,0)</f>
        <v/>
      </c>
      <c r="BH30" s="39">
        <f>IFERROR(AT30*$BD30,0)</f>
        <v/>
      </c>
      <c r="BI30" s="39">
        <f>BH30*1.03</f>
        <v/>
      </c>
      <c r="BJ30" s="39">
        <f>BI30*1.03</f>
        <v/>
      </c>
      <c r="BK30" s="39">
        <f>BJ30*1.03</f>
        <v/>
      </c>
      <c r="BL30" s="39">
        <f>BK30*1.03</f>
        <v/>
      </c>
      <c r="BM30" s="39">
        <f>IFERROR(AY30*$BD30,0)</f>
        <v/>
      </c>
      <c r="BN30" s="39">
        <f>IFERROR(AZ30*$BD30,0)</f>
        <v/>
      </c>
      <c r="BO30" s="39">
        <f>IFERROR(BA30*$BD30,0)</f>
        <v/>
      </c>
      <c r="BP30" s="40" t="n"/>
      <c r="BQ30" s="40">
        <f>IF(VALUE(MID(BQ$5,6,1))&lt;=$D$2,((1+$BD$3)^1-1)*BG30,0)</f>
        <v/>
      </c>
      <c r="BR30" s="40">
        <f>IF(VALUE(MID(BR$5,6,1))&lt;=$D$2,((1+$BD$3)^2-1)*BH30,0)</f>
        <v/>
      </c>
      <c r="BS30" s="40">
        <f>IF(VALUE(MID(BS$5,6,1))&lt;=$D$2,((1+$BD$3)^3-1)*BI30,0)</f>
        <v/>
      </c>
      <c r="BT30" s="40">
        <f>IF(VALUE(MID(BT$5,6,1))&lt;=$D$2,((1+$BD$3)^4-1)*BJ30,0)</f>
        <v/>
      </c>
      <c r="BU30" s="40">
        <f>IF(VALUE(MID(BU$5,6,1))&lt;=$D$2,((1+$BD$3)^5-1)*BK30,0)</f>
        <v/>
      </c>
      <c r="BV30" s="40">
        <f>IF(VALUE(MID(BV$5,6,1))&lt;=$D$2,((1+$BD$3)^6-1)*BL30,0)</f>
        <v/>
      </c>
      <c r="BW30" s="40">
        <f>IF(VALUE(MID(BW$5,6,1))&lt;=$D$2,((1+$BD$3)^7-1)*BM30,0)</f>
        <v/>
      </c>
      <c r="BX30" s="40">
        <f>IF(VALUE(MID(BX$5,6,1))&lt;=$D$2,((1+$BD$3)^8-1)*BN30,0)</f>
        <v/>
      </c>
      <c r="BY30" s="40">
        <f>IF(VALUE(MID(BY$5,6,2))&lt;=$D$2,((1+$BD$3)^9-1)*BO30,0)</f>
        <v/>
      </c>
      <c r="BZ30" s="40">
        <f>SUM(BP30:BY30)</f>
        <v/>
      </c>
      <c r="CA30" s="37">
        <f>SUM(BZ30,BF30:BO30)</f>
        <v/>
      </c>
      <c r="CC30" s="102" t="n"/>
      <c r="CD30" s="12" t="n"/>
      <c r="CE30" s="14">
        <f>IF($CC30="Annual",1,IF($CC30="Monthly F",12,IF($CC30="Monthly V",CD30*12,IF($CC30="One-Time",1,CD30*12))))</f>
        <v/>
      </c>
      <c r="CF30" s="14">
        <f t="array" ref="CF30">IFERROR(_xlfn.IFS(VALUE(MID(CF$5,6,1))&gt;$D$2,0,$CC30="Annual",1,CE30=12,12,$CC30="Monthly V",CE30*(1+$D$3),$CC30="Monthly F",12,$CC30="One-Time",0),CE30*(1+$D$3))</f>
        <v/>
      </c>
      <c r="CG30" s="14">
        <f t="array" ref="CG30">IFERROR(_xlfn.IFS(VALUE(MID(CG$5,6,1))&gt;$D$2,0,$CC30="Annual",1,CF30=12,12,$CC30="Monthly V",CF30*(1+$D$3),$CC30="Monthly F",12,$CC30="One-Time",0),CF30*(1+$D$3))</f>
        <v/>
      </c>
      <c r="CH30" s="14">
        <f t="array" ref="CH30">IFERROR(_xlfn.IFS(VALUE(MID(CH$5,6,1))&gt;$D$2,0,$CC30="Annual",1,CG30=12,12,$CC30="Monthly V",CG30*(1+$D$3),$CC30="Monthly F",12,$CC30="One-Time",0),CG30*(1+$D$3))</f>
        <v/>
      </c>
      <c r="CI30" s="14">
        <f t="array" ref="CI30">IFERROR(_xlfn.IFS(VALUE(MID(CI$5,6,1))&gt;$D$2,0,$CC30="Annual",1,CH30=12,12,$CC30="Monthly V",CH30*(1+$D$3),$CC30="Monthly F",12,$CC30="One-Time",0),CH30*(1+$D$3))</f>
        <v/>
      </c>
      <c r="CJ30" s="14">
        <f t="array" ref="CJ30">IFERROR(_xlfn.IFS(VALUE(MID(CJ$5,6,1))&gt;$D$2,0,$CC30="Annual",1,CI30=12,12,$CC30="Monthly V",CI30*(1+$D$3),$CC30="Monthly F",12,$CC30="One-Time",0),CI30*(1+$D$3))</f>
        <v/>
      </c>
      <c r="CK30" s="14">
        <f t="array" ref="CK30">IFERROR(_xlfn.IFS(VALUE(MID(CK$5,6,1))&gt;$D$2,0,$CC30="Annual",1,CJ30=12,12,$CC30="Monthly V",CJ30*(1+$D$3),$CC30="Monthly F",12,$CC30="One-Time",0),CJ30*(1+$D$3))</f>
        <v/>
      </c>
      <c r="CL30" s="14">
        <f t="array" ref="CL30">IFERROR(_xlfn.IFS(VALUE(MID(CL$5,6,1))&gt;$D$2,0,$CC30="Annual",1,CK30=12,12,$CC30="Monthly V",CK30*(1+$D$3),$CC30="Monthly F",12,$CC30="One-Time",0),CK30*(1+$D$3))</f>
        <v/>
      </c>
      <c r="CM30" s="14">
        <f t="array" ref="CM30">IFERROR(_xlfn.IFS(VALUE(MID(CM$5,6,1))&gt;$D$2,0,$CC30="Annual",1,CL30=12,12,$CC30="Monthly V",CL30*(1+$D$3),$CC30="Monthly F",12,$CC30="One-Time",0),CL30*(1+$D$3))</f>
        <v/>
      </c>
      <c r="CN30" s="24">
        <f t="array" ref="CN30">IFERROR(_xlfn.IFS(VALUE(MID(CN$5,6,2))&gt;$D$2,0,$CC30="Annual",1,CM30=12,12,$CC30="Monthly V",CM30*(1+$D$3),$CC30="Monthly F",12,$CC30="One-Time",0),CM30*(1+$D$3))</f>
        <v/>
      </c>
      <c r="CO30" s="63" t="n"/>
      <c r="CP30" s="53" t="n"/>
      <c r="CQ30" s="21">
        <f>CR30/12</f>
        <v/>
      </c>
      <c r="CR30" s="55">
        <f>IFERROR(CE30*$CP30,0)</f>
        <v/>
      </c>
      <c r="CS30" s="55">
        <f>IFERROR(CF30*$CP30,0)</f>
        <v/>
      </c>
      <c r="CT30" s="55">
        <f>IFERROR(CG30*$CP30,0)</f>
        <v/>
      </c>
      <c r="CU30" s="55">
        <f>IFERROR(CH30*$CP30,0)</f>
        <v/>
      </c>
      <c r="CV30" s="55">
        <f>IFERROR(CI30*$CP30,0)</f>
        <v/>
      </c>
      <c r="CW30" s="55">
        <f>IFERROR(CJ30*$CP30,0)</f>
        <v/>
      </c>
      <c r="CX30" s="55">
        <f>IFERROR(CK30*$CP30,0)</f>
        <v/>
      </c>
      <c r="CY30" s="55">
        <f>IFERROR(CL30*$CP30,0)</f>
        <v/>
      </c>
      <c r="CZ30" s="55">
        <f>IFERROR(CM30*$CP30,0)</f>
        <v/>
      </c>
      <c r="DA30" s="55">
        <f>IFERROR(CN30*$CP30,0)</f>
        <v/>
      </c>
      <c r="DB30" s="56" t="n"/>
      <c r="DC30" s="56">
        <f>IF(VALUE(MID(DC$5,6,1))&lt;=$D$2,((1+$CP$3)^1-1)*CS30,0)</f>
        <v/>
      </c>
      <c r="DD30" s="56">
        <f>IF(VALUE(MID(DD$5,6,1))&lt;=$D$2,((1+$CP$3)^2-1)*CT30,0)</f>
        <v/>
      </c>
      <c r="DE30" s="56">
        <f>IF(VALUE(MID(DE$5,6,1))&lt;=$D$2,((1+$CP$3)^3-1)*CU30,0)</f>
        <v/>
      </c>
      <c r="DF30" s="56">
        <f>IF(VALUE(MID(DF$5,6,1))&lt;=$D$2,((1+$CP$3)^4-1)*CV30,0)</f>
        <v/>
      </c>
      <c r="DG30" s="56">
        <f>IF(VALUE(MID(DG$5,6,1))&lt;=$D$2,((1+$CP$3)^5-1)*CW30,0)</f>
        <v/>
      </c>
      <c r="DH30" s="56">
        <f>IF(VALUE(MID(DH$5,6,1))&lt;=$D$2,((1+$CP$3)^6-1)*CX30,0)</f>
        <v/>
      </c>
      <c r="DI30" s="56">
        <f>IF(VALUE(MID(DI$5,6,1))&lt;=$D$2,((1+$CP$3)^7-1)*CY30,0)</f>
        <v/>
      </c>
      <c r="DJ30" s="56">
        <f>IF(VALUE(MID(DJ$5,6,1))&lt;=$D$2,((1+$CP$3)^8-1)*CZ30,0)</f>
        <v/>
      </c>
      <c r="DK30" s="56">
        <f>IF(VALUE(MID(DK$5,6,2))&lt;=$D$2,((1+$CP$3)^9-1)*DA30,0)</f>
        <v/>
      </c>
      <c r="DL30" s="57">
        <f>SUM(DB30:DK30)</f>
        <v/>
      </c>
      <c r="DM30" s="54">
        <f>SUM(DL30,CR30:DA30)</f>
        <v/>
      </c>
      <c r="DO30" s="106" t="n"/>
    </row>
    <row r="31">
      <c r="B31" s="141" t="inlineStr">
        <is>
          <t>Monthly V</t>
        </is>
      </c>
      <c r="C31" s="24" t="n">
        <v>10000</v>
      </c>
      <c r="D31" s="147">
        <f>IFERROR(AVERAGE(C31:C31),0)</f>
        <v/>
      </c>
      <c r="E31" s="142">
        <f>IF($B31="Annual",1,IF($B31="Monthly F",12,IF($B31="Monthly V",D31*12,IF($B31="One-Time",1,D31*12))))</f>
        <v/>
      </c>
      <c r="F31" s="14">
        <f t="array" ref="F31">IFERROR(_xlfn.IFS(VALUE(MID(F$5,6,1))&gt;$D$2,0,$B31="Annual",1,E31=12,12,$B31="Monthly V",E31*(1+$D$3),$B31="Monthly F",12,$B31="One-Time",0),E31*(1+$D$3))</f>
        <v/>
      </c>
      <c r="G31" s="14">
        <f t="array" ref="G31">IFERROR(_xlfn.IFS(VALUE(MID(G$5,6,1))&gt;$D$2,0,$B31="Annual",1,F31=12,12,$B31="Monthly V",F31*(1+$D$3),$B31="Monthly F",12,$B31="One-Time",0),F31*(1+$D$3))</f>
        <v/>
      </c>
      <c r="H31" s="14">
        <f t="array" ref="H31">IFERROR(_xlfn.IFS(VALUE(MID(H$5,6,1))&gt;$D$2,0,$B31="Annual",1,G31=12,12,$B31="Monthly V",G31*(1+$D$3),$B31="Monthly F",12,$B31="One-Time",0),G31*(1+$D$3))</f>
        <v/>
      </c>
      <c r="I31" s="14">
        <f t="array" ref="I31">IFERROR(_xlfn.IFS(VALUE(MID(I$5,6,1))&gt;$D$2,0,$B31="Annual",1,H31=12,12,$B31="Monthly V",H31*(1+$D$3),$B31="Monthly F",12,$B31="One-Time",0),H31*(1+$D$3))</f>
        <v/>
      </c>
      <c r="J31" s="14">
        <f t="array" ref="J31">IFERROR(_xlfn.IFS(VALUE(MID(J$5,6,1))&gt;$D$2,0,$B31="Annual",1,I31=12,12,$B31="Monthly V",I31*(1+$D$3),$B31="Monthly F",12,$B31="One-Time",0),I31*(1+$D$3))</f>
        <v/>
      </c>
      <c r="K31" s="14">
        <f t="array" ref="K31">IFERROR(_xlfn.IFS(VALUE(MID(K$5,6,1))&gt;$D$2,0,$B31="Annual",1,J31=12,12,$B31="Monthly V",J31*(1+$D$3),$B31="Monthly F",12,$B31="One-Time",0),J31*(1+$D$3))</f>
        <v/>
      </c>
      <c r="L31" s="14">
        <f t="array" ref="L31">IFERROR(_xlfn.IFS(VALUE(MID(L$5,6,1))&gt;$D$2,0,$B31="Annual",1,K31=12,12,$B31="Monthly V",K31*(1+$D$3),$B31="Monthly F",12,$B31="One-Time",0),K31*(1+$D$3))</f>
        <v/>
      </c>
      <c r="M31" s="14">
        <f t="array" ref="M31">IFERROR(_xlfn.IFS(VALUE(MID(M$5,6,1))&gt;$D$2,0,$B31="Annual",1,L31=12,12,$B31="Monthly V",L31*(1+$D$3),$B31="Monthly F",12,$B31="One-Time",0),L31*(1+$D$3))</f>
        <v/>
      </c>
      <c r="N31" s="24">
        <f t="array" ref="N31">IFERROR(_xlfn.IFS(VALUE(MID(N$5,6,2))&gt;$D$2,0,$B31="Annual",1,M31=12,12,$B31="Monthly V",M31*(1+$D$3),$B31="Monthly F",12,$B31="One-Time",0),M31*(1+$D$3))</f>
        <v/>
      </c>
      <c r="O31" s="127" t="inlineStr">
        <is>
          <t>DirectLink Risk Review (Transactions)</t>
        </is>
      </c>
      <c r="P31" s="13" t="inlineStr">
        <is>
          <t>DirectLink</t>
        </is>
      </c>
      <c r="Q31" s="20" t="n">
        <v>0.0033</v>
      </c>
      <c r="R31" s="21">
        <f>S31/12</f>
        <v/>
      </c>
      <c r="S31" s="6">
        <f>IFERROR($Q31*E31,0)</f>
        <v/>
      </c>
      <c r="T31" s="6">
        <f>IFERROR($Q31*F31,0)</f>
        <v/>
      </c>
      <c r="U31" s="6">
        <f>IFERROR($Q31*G31,0)</f>
        <v/>
      </c>
      <c r="V31" s="6">
        <f>IFERROR($Q31*H31,0)</f>
        <v/>
      </c>
      <c r="W31" s="6">
        <f>IFERROR($Q31*I31,0)</f>
        <v/>
      </c>
      <c r="X31" s="6">
        <f>IFERROR($Q31*J31,0)</f>
        <v/>
      </c>
      <c r="Y31" s="6">
        <f>IFERROR($Q31*K31,0)</f>
        <v/>
      </c>
      <c r="Z31" s="6">
        <f>IFERROR($Q31*L31,0)</f>
        <v/>
      </c>
      <c r="AA31" s="6">
        <f>IFERROR($Q31*M31,0)</f>
        <v/>
      </c>
      <c r="AB31" s="6">
        <f>IFERROR($Q31*N31,0)</f>
        <v/>
      </c>
      <c r="AC31" s="7" t="n"/>
      <c r="AD31" s="152">
        <f>IF(VALUE(MID(AD$5,6,1))&lt;=$D$2,((1+$Q$3)^1-1)*T31,0)</f>
        <v/>
      </c>
      <c r="AE31" s="152">
        <f>IF(VALUE(MID(AE$5,6,1))&lt;=$D$2,((1+$Q$3)^2-1)*U31,0)</f>
        <v/>
      </c>
      <c r="AF31" s="152">
        <f>IF(VALUE(MID(AF$5,6,1))&lt;=$D$2,((1+$Q$3)^3-1)*V31,0)</f>
        <v/>
      </c>
      <c r="AG31" s="152">
        <f>IF(VALUE(MID(AG$5,6,1))&lt;=$D$2,((1+$Q$3)^4-1)*W31,0)</f>
        <v/>
      </c>
      <c r="AH31" s="152">
        <f>IF(VALUE(MID(AH$5,6,1))&lt;=$D$2,((1+$Q$3)^5-1)*X31,0)</f>
        <v/>
      </c>
      <c r="AI31" s="152">
        <f>IF(VALUE(MID(AI$5,6,1))&lt;=$D$2,((1+$Q$3)^6-1)*Y31,0)</f>
        <v/>
      </c>
      <c r="AJ31" s="152">
        <f>IF(VALUE(MID(AJ$5,6,1))&lt;=$D$2,((1+$Q$3)^7-1)*Z31,0)</f>
        <v/>
      </c>
      <c r="AK31" s="152">
        <f>IF(VALUE(MID(AK$5,6,1))&lt;=$D$2,((1+$Q$3)^8-1)*AA31,0)</f>
        <v/>
      </c>
      <c r="AL31" s="152">
        <f>IF(VALUE(MID(AL$5,6,2))&lt;=$D$2,((1+$Q$3)^9-1)*AB31,0)</f>
        <v/>
      </c>
      <c r="AM31" s="9">
        <f>SUM(AC31:AL31)</f>
        <v/>
      </c>
      <c r="AN31" s="80">
        <f>SUM(AM31,S31:AB31)</f>
        <v/>
      </c>
      <c r="AP31" s="102" t="inlineStr">
        <is>
          <t>Monthly F</t>
        </is>
      </c>
      <c r="AQ31" s="12" t="n">
        <v>1</v>
      </c>
      <c r="AR31" s="14">
        <f>IF($AP31="Annual",1,IF($AP31="Monthly F",12,IF($AP31="Monthly V",AQ31*12,IF($AP31="One-Time",1,AQ31*12))))</f>
        <v/>
      </c>
      <c r="AS31" s="14">
        <f t="array" ref="AS31">IFERROR(_xlfn.IFS(VALUE(MID(AS$5,6,1))&gt;$D$2,0,$AP31="Annual",1,AR31=12,12,$AP31="Monthly V",AR31*(1+$BD$2),$AP31="Monthly F",12,$AP31="One-Time",0),AR31*(1+$BD$2))</f>
        <v/>
      </c>
      <c r="AT31" s="14">
        <f t="array" ref="AT31">IFERROR(_xlfn.IFS(VALUE(MID(AT$5,6,1))&gt;$D$2,0,$AP31="Annual",1,AS31=12,12,$AP31="Monthly V",AS31*(1+$BD$2),$AP31="Monthly F",12,$AP31="One-Time",0),AS31*(1+$BD$2))</f>
        <v/>
      </c>
      <c r="AU31" s="14">
        <f t="array" ref="AU31">IFERROR(_xlfn.IFS(VALUE(MID(AU$5,6,1))&gt;$D$2,0,$AP31="Annual",1,AT31=12,12,$AP31="Monthly V",AT31*(1+$BD$2),$AP31="Monthly F",12,$AP31="One-Time",0),AT31*(1+$BD$2))</f>
        <v/>
      </c>
      <c r="AV31" s="14">
        <f t="array" ref="AV31">IFERROR(_xlfn.IFS(VALUE(MID(AV$5,6,1))&gt;$D$2,0,$AP31="Annual",1,AU31=12,12,$AP31="Monthly V",AU31*(1+$BD$2),$AP31="Monthly F",12,$AP31="One-Time",0),AU31*(1+$BD$2))</f>
        <v/>
      </c>
      <c r="AW31" s="14">
        <f t="array" ref="AW31">IFERROR(_xlfn.IFS(VALUE(MID(AW$5,6,1))&gt;$D$2,0,$AP31="Annual",1,AV31=12,12,$AP31="Monthly V",AV31*(1+$BD$2),$AP31="Monthly F",12,$AP31="One-Time",0),AV31*(1+$BD$2))</f>
        <v/>
      </c>
      <c r="AX31" s="14">
        <f t="array" ref="AX31">IFERROR(_xlfn.IFS(VALUE(MID(AX$5,6,1))&gt;$D$2,0,$AP31="Annual",1,AW31=12,12,$AP31="Monthly V",AW31*(1+$BD$2),$AP31="Monthly F",12,$AP31="One-Time",0),AW31*(1+$BD$2))</f>
        <v/>
      </c>
      <c r="AY31" s="14">
        <f t="array" ref="AY31">IFERROR(_xlfn.IFS(VALUE(MID(AY$5,6,1))&gt;$D$2,0,$AP31="Annual",1,AX31=12,12,$AP31="Monthly V",AX31*(1+$D$3),$AP31="Monthly F",12,$AP31="One-Time",0),AX31*(1+$D$3))</f>
        <v/>
      </c>
      <c r="AZ31" s="14">
        <f t="array" ref="AZ31">IFERROR(_xlfn.IFS(VALUE(MID(AZ$5,6,1))&gt;$D$2,0,$AP31="Annual",1,AY31=12,12,$AP31="Monthly V",AY31*(1+$D$3),$AP31="Monthly F",12,$AP31="One-Time",0),AY31*(1+$D$3))</f>
        <v/>
      </c>
      <c r="BA31" s="125">
        <f t="array" ref="BA31">IFERROR(_xlfn.IFS(VALUE(MID(BA$5,6,2))&gt;$D$2,0,$AP31="Annual",1,AZ31=12,12,$AP31="Monthly V",AZ31*(1+$D$3),$AP31="Monthly F",12,$AP31="One-Time",0),AZ31*(1+$D$3))</f>
        <v/>
      </c>
      <c r="BB31" s="148" t="inlineStr">
        <is>
          <t>FedNow Implementation and Monthly Network Receive Only</t>
        </is>
      </c>
      <c r="BC31" s="38" t="inlineStr">
        <is>
          <t>JHA Payment Center</t>
        </is>
      </c>
      <c r="BD31" s="36" t="n">
        <v>400</v>
      </c>
      <c r="BE31" s="21">
        <f>BF31/12</f>
        <v/>
      </c>
      <c r="BF31" s="39">
        <f>IFERROR(AR31*$BD31,0)</f>
        <v/>
      </c>
      <c r="BG31" s="39">
        <f>IFERROR(AS31*$BD31,0)</f>
        <v/>
      </c>
      <c r="BH31" s="39">
        <f>IFERROR(AT31*$BD31,0)</f>
        <v/>
      </c>
      <c r="BI31" s="39">
        <f>BH31*1.03</f>
        <v/>
      </c>
      <c r="BJ31" s="39">
        <f>BI31*1.03</f>
        <v/>
      </c>
      <c r="BK31" s="39">
        <f>BJ31*1.03</f>
        <v/>
      </c>
      <c r="BL31" s="39">
        <f>BK31*1.03</f>
        <v/>
      </c>
      <c r="BM31" s="39">
        <f>IFERROR(AY31*$BD31,0)</f>
        <v/>
      </c>
      <c r="BN31" s="39">
        <f>IFERROR(AZ31*$BD31,0)</f>
        <v/>
      </c>
      <c r="BO31" s="39">
        <f>IFERROR(BA31*$BD31,0)</f>
        <v/>
      </c>
      <c r="BP31" s="40" t="n"/>
      <c r="BQ31" s="40">
        <f>IF(VALUE(MID(BQ$5,6,1))&lt;=$D$2,((1+$BD$3)^1-1)*BG31,0)</f>
        <v/>
      </c>
      <c r="BR31" s="40">
        <f>IF(VALUE(MID(BR$5,6,1))&lt;=$D$2,((1+$BD$3)^2-1)*BH31,0)</f>
        <v/>
      </c>
      <c r="BS31" s="40">
        <f>IF(VALUE(MID(BS$5,6,1))&lt;=$D$2,((1+$BD$3)^3-1)*BI31,0)</f>
        <v/>
      </c>
      <c r="BT31" s="40">
        <f>IF(VALUE(MID(BT$5,6,1))&lt;=$D$2,((1+$BD$3)^4-1)*BJ31,0)</f>
        <v/>
      </c>
      <c r="BU31" s="40">
        <f>IF(VALUE(MID(BU$5,6,1))&lt;=$D$2,((1+$BD$3)^5-1)*BK31,0)</f>
        <v/>
      </c>
      <c r="BV31" s="40">
        <f>IF(VALUE(MID(BV$5,6,1))&lt;=$D$2,((1+$BD$3)^6-1)*BL31,0)</f>
        <v/>
      </c>
      <c r="BW31" s="40">
        <f>IF(VALUE(MID(BW$5,6,1))&lt;=$D$2,((1+$BD$3)^7-1)*BM31,0)</f>
        <v/>
      </c>
      <c r="BX31" s="40">
        <f>IF(VALUE(MID(BX$5,6,1))&lt;=$D$2,((1+$BD$3)^8-1)*BN31,0)</f>
        <v/>
      </c>
      <c r="BY31" s="40">
        <f>IF(VALUE(MID(BY$5,6,2))&lt;=$D$2,((1+$BD$3)^9-1)*BO31,0)</f>
        <v/>
      </c>
      <c r="BZ31" s="40">
        <f>SUM(BP31:BY31)</f>
        <v/>
      </c>
      <c r="CA31" s="37">
        <f>SUM(BZ31,BF31:BO31)</f>
        <v/>
      </c>
      <c r="CC31" s="102" t="n"/>
      <c r="CD31" s="12" t="n"/>
      <c r="CE31" s="14">
        <f>IF($CC31="Annual",1,IF($CC31="Monthly F",12,IF($CC31="Monthly V",CD31*12,IF($CC31="One-Time",1,CD31*12))))</f>
        <v/>
      </c>
      <c r="CF31" s="14">
        <f t="array" ref="CF31">IFERROR(_xlfn.IFS(VALUE(MID(CF$5,6,1))&gt;$D$2,0,$CC31="Annual",1,CE31=12,12,$CC31="Monthly V",CE31*(1+$D$3),$CC31="Monthly F",12,$CC31="One-Time",0),CE31*(1+$D$3))</f>
        <v/>
      </c>
      <c r="CG31" s="14">
        <f t="array" ref="CG31">IFERROR(_xlfn.IFS(VALUE(MID(CG$5,6,1))&gt;$D$2,0,$CC31="Annual",1,CF31=12,12,$CC31="Monthly V",CF31*(1+$D$3),$CC31="Monthly F",12,$CC31="One-Time",0),CF31*(1+$D$3))</f>
        <v/>
      </c>
      <c r="CH31" s="14">
        <f t="array" ref="CH31">IFERROR(_xlfn.IFS(VALUE(MID(CH$5,6,1))&gt;$D$2,0,$CC31="Annual",1,CG31=12,12,$CC31="Monthly V",CG31*(1+$D$3),$CC31="Monthly F",12,$CC31="One-Time",0),CG31*(1+$D$3))</f>
        <v/>
      </c>
      <c r="CI31" s="14">
        <f t="array" ref="CI31">IFERROR(_xlfn.IFS(VALUE(MID(CI$5,6,1))&gt;$D$2,0,$CC31="Annual",1,CH31=12,12,$CC31="Monthly V",CH31*(1+$D$3),$CC31="Monthly F",12,$CC31="One-Time",0),CH31*(1+$D$3))</f>
        <v/>
      </c>
      <c r="CJ31" s="14">
        <f t="array" ref="CJ31">IFERROR(_xlfn.IFS(VALUE(MID(CJ$5,6,1))&gt;$D$2,0,$CC31="Annual",1,CI31=12,12,$CC31="Monthly V",CI31*(1+$D$3),$CC31="Monthly F",12,$CC31="One-Time",0),CI31*(1+$D$3))</f>
        <v/>
      </c>
      <c r="CK31" s="14">
        <f t="array" ref="CK31">IFERROR(_xlfn.IFS(VALUE(MID(CK$5,6,1))&gt;$D$2,0,$CC31="Annual",1,CJ31=12,12,$CC31="Monthly V",CJ31*(1+$D$3),$CC31="Monthly F",12,$CC31="One-Time",0),CJ31*(1+$D$3))</f>
        <v/>
      </c>
      <c r="CL31" s="14">
        <f t="array" ref="CL31">IFERROR(_xlfn.IFS(VALUE(MID(CL$5,6,1))&gt;$D$2,0,$CC31="Annual",1,CK31=12,12,$CC31="Monthly V",CK31*(1+$D$3),$CC31="Monthly F",12,$CC31="One-Time",0),CK31*(1+$D$3))</f>
        <v/>
      </c>
      <c r="CM31" s="14">
        <f t="array" ref="CM31">IFERROR(_xlfn.IFS(VALUE(MID(CM$5,6,1))&gt;$D$2,0,$CC31="Annual",1,CL31=12,12,$CC31="Monthly V",CL31*(1+$D$3),$CC31="Monthly F",12,$CC31="One-Time",0),CL31*(1+$D$3))</f>
        <v/>
      </c>
      <c r="CN31" s="24">
        <f t="array" ref="CN31">IFERROR(_xlfn.IFS(VALUE(MID(CN$5,6,2))&gt;$D$2,0,$CC31="Annual",1,CM31=12,12,$CC31="Monthly V",CM31*(1+$D$3),$CC31="Monthly F",12,$CC31="One-Time",0),CM31*(1+$D$3))</f>
        <v/>
      </c>
      <c r="CO31" s="63" t="n"/>
      <c r="CP31" s="53" t="n"/>
      <c r="CQ31" s="21">
        <f>CR31/12</f>
        <v/>
      </c>
      <c r="CR31" s="55">
        <f>IFERROR(CE31*$CP31,0)</f>
        <v/>
      </c>
      <c r="CS31" s="55">
        <f>IFERROR(CF31*$CP31,0)</f>
        <v/>
      </c>
      <c r="CT31" s="55">
        <f>IFERROR(CG31*$CP31,0)</f>
        <v/>
      </c>
      <c r="CU31" s="55">
        <f>IFERROR(CH31*$CP31,0)</f>
        <v/>
      </c>
      <c r="CV31" s="55">
        <f>IFERROR(CI31*$CP31,0)</f>
        <v/>
      </c>
      <c r="CW31" s="55">
        <f>IFERROR(CJ31*$CP31,0)</f>
        <v/>
      </c>
      <c r="CX31" s="55">
        <f>IFERROR(CK31*$CP31,0)</f>
        <v/>
      </c>
      <c r="CY31" s="55">
        <f>IFERROR(CL31*$CP31,0)</f>
        <v/>
      </c>
      <c r="CZ31" s="55">
        <f>IFERROR(CM31*$CP31,0)</f>
        <v/>
      </c>
      <c r="DA31" s="55">
        <f>IFERROR(CN31*$CP31,0)</f>
        <v/>
      </c>
      <c r="DB31" s="56" t="n"/>
      <c r="DC31" s="56">
        <f>IF(VALUE(MID(DC$5,6,1))&lt;=$D$2,((1+$CP$3)^1-1)*CS31,0)</f>
        <v/>
      </c>
      <c r="DD31" s="56">
        <f>IF(VALUE(MID(DD$5,6,1))&lt;=$D$2,((1+$CP$3)^2-1)*CT31,0)</f>
        <v/>
      </c>
      <c r="DE31" s="56">
        <f>IF(VALUE(MID(DE$5,6,1))&lt;=$D$2,((1+$CP$3)^3-1)*CU31,0)</f>
        <v/>
      </c>
      <c r="DF31" s="56">
        <f>IF(VALUE(MID(DF$5,6,1))&lt;=$D$2,((1+$CP$3)^4-1)*CV31,0)</f>
        <v/>
      </c>
      <c r="DG31" s="56">
        <f>IF(VALUE(MID(DG$5,6,1))&lt;=$D$2,((1+$CP$3)^5-1)*CW31,0)</f>
        <v/>
      </c>
      <c r="DH31" s="56">
        <f>IF(VALUE(MID(DH$5,6,1))&lt;=$D$2,((1+$CP$3)^6-1)*CX31,0)</f>
        <v/>
      </c>
      <c r="DI31" s="56">
        <f>IF(VALUE(MID(DI$5,6,1))&lt;=$D$2,((1+$CP$3)^7-1)*CY31,0)</f>
        <v/>
      </c>
      <c r="DJ31" s="56">
        <f>IF(VALUE(MID(DJ$5,6,1))&lt;=$D$2,((1+$CP$3)^8-1)*CZ31,0)</f>
        <v/>
      </c>
      <c r="DK31" s="56">
        <f>IF(VALUE(MID(DK$5,6,2))&lt;=$D$2,((1+$CP$3)^9-1)*DA31,0)</f>
        <v/>
      </c>
      <c r="DL31" s="57">
        <f>SUM(DB31:DK31)</f>
        <v/>
      </c>
      <c r="DM31" s="54">
        <f>SUM(DL31,CR31:DA31)</f>
        <v/>
      </c>
      <c r="DO31" s="106" t="n"/>
    </row>
    <row r="32">
      <c r="B32" s="141" t="n"/>
      <c r="C32" s="24" t="n"/>
      <c r="D32" s="147" t="n"/>
      <c r="E32" s="142" t="n"/>
      <c r="F32" s="14" t="n"/>
      <c r="G32" s="14" t="n"/>
      <c r="H32" s="14" t="n"/>
      <c r="I32" s="14" t="n"/>
      <c r="J32" s="14" t="n"/>
      <c r="K32" s="14" t="n"/>
      <c r="L32" s="14" t="n"/>
      <c r="M32" s="14" t="n"/>
      <c r="N32" s="24" t="n"/>
      <c r="O32" s="157" t="inlineStr">
        <is>
          <t>Card Suite Pro (digital debit card controls)</t>
        </is>
      </c>
      <c r="P32" s="13" t="n"/>
      <c r="Q32" s="20" t="n"/>
      <c r="R32" s="21">
        <f>S32/12</f>
        <v/>
      </c>
      <c r="S32" s="6">
        <f>IFERROR($Q32*E32,0)</f>
        <v/>
      </c>
      <c r="T32" s="6">
        <f>IFERROR($Q32*F32,0)</f>
        <v/>
      </c>
      <c r="U32" s="6">
        <f>IFERROR($Q32*G32,0)</f>
        <v/>
      </c>
      <c r="V32" s="6">
        <f>IFERROR($Q32*H32,0)</f>
        <v/>
      </c>
      <c r="W32" s="6">
        <f>IFERROR($Q32*I32,0)</f>
        <v/>
      </c>
      <c r="X32" s="6">
        <f>IFERROR($Q32*J32,0)</f>
        <v/>
      </c>
      <c r="Y32" s="6">
        <f>IFERROR($Q32*K32,0)</f>
        <v/>
      </c>
      <c r="Z32" s="6">
        <f>IFERROR($Q32*L32,0)</f>
        <v/>
      </c>
      <c r="AA32" s="6">
        <f>IFERROR($Q32*M32,0)</f>
        <v/>
      </c>
      <c r="AB32" s="6">
        <f>IFERROR($Q32*N32,0)</f>
        <v/>
      </c>
      <c r="AC32" s="7" t="n"/>
      <c r="AD32" s="152">
        <f>IF(VALUE(MID(AD$5,6,1))&lt;=$D$2,((1+$Q$3)^1-1)*T32,0)</f>
        <v/>
      </c>
      <c r="AE32" s="152">
        <f>IF(VALUE(MID(AE$5,6,1))&lt;=$D$2,((1+$Q$3)^2-1)*U32,0)</f>
        <v/>
      </c>
      <c r="AF32" s="152">
        <f>IF(VALUE(MID(AF$5,6,1))&lt;=$D$2,((1+$Q$3)^3-1)*V32,0)</f>
        <v/>
      </c>
      <c r="AG32" s="152">
        <f>IF(VALUE(MID(AG$5,6,1))&lt;=$D$2,((1+$Q$3)^4-1)*W32,0)</f>
        <v/>
      </c>
      <c r="AH32" s="152">
        <f>IF(VALUE(MID(AH$5,6,1))&lt;=$D$2,((1+$Q$3)^5-1)*X32,0)</f>
        <v/>
      </c>
      <c r="AI32" s="152">
        <f>IF(VALUE(MID(AI$5,6,1))&lt;=$D$2,((1+$Q$3)^6-1)*Y32,0)</f>
        <v/>
      </c>
      <c r="AJ32" s="152">
        <f>IF(VALUE(MID(AJ$5,6,1))&lt;=$D$2,((1+$Q$3)^7-1)*Z32,0)</f>
        <v/>
      </c>
      <c r="AK32" s="152">
        <f>IF(VALUE(MID(AK$5,6,1))&lt;=$D$2,((1+$Q$3)^8-1)*AA32,0)</f>
        <v/>
      </c>
      <c r="AL32" s="152">
        <f>IF(VALUE(MID(AL$5,6,2))&lt;=$D$2,((1+$Q$3)^9-1)*AB32,0)</f>
        <v/>
      </c>
      <c r="AM32" s="9">
        <f>SUM(AC32:AL32)</f>
        <v/>
      </c>
      <c r="AN32" s="80">
        <f>SUM(AM32,S32:AB32)</f>
        <v/>
      </c>
      <c r="AP32" s="102" t="inlineStr">
        <is>
          <t>Monthly F</t>
        </is>
      </c>
      <c r="AQ32" s="12" t="n">
        <v>1</v>
      </c>
      <c r="AR32" s="14">
        <f>IF($AP32="Annual",1,IF($AP32="Monthly F",12,IF($AP32="Monthly V",AQ32*12,IF($AP32="One-Time",1,AQ32*12))))</f>
        <v/>
      </c>
      <c r="AS32" s="14">
        <f t="array" ref="AS32">IFERROR(_xlfn.IFS(VALUE(MID(AS$5,6,1))&gt;$D$2,0,$AP32="Annual",1,AR32=12,12,$AP32="Monthly V",AR32*(1+$BD$2),$AP32="Monthly F",12,$AP32="One-Time",0),AR32*(1+$BD$2))</f>
        <v/>
      </c>
      <c r="AT32" s="14">
        <f t="array" ref="AT32">IFERROR(_xlfn.IFS(VALUE(MID(AT$5,6,1))&gt;$D$2,0,$AP32="Annual",1,AS32=12,12,$AP32="Monthly V",AS32*(1+$BD$2),$AP32="Monthly F",12,$AP32="One-Time",0),AS32*(1+$BD$2))</f>
        <v/>
      </c>
      <c r="AU32" s="14">
        <f t="array" ref="AU32">IFERROR(_xlfn.IFS(VALUE(MID(AU$5,6,1))&gt;$D$2,0,$AP32="Annual",1,AT32=12,12,$AP32="Monthly V",AT32*(1+$BD$2),$AP32="Monthly F",12,$AP32="One-Time",0),AT32*(1+$BD$2))</f>
        <v/>
      </c>
      <c r="AV32" s="14">
        <f t="array" ref="AV32">IFERROR(_xlfn.IFS(VALUE(MID(AV$5,6,1))&gt;$D$2,0,$AP32="Annual",1,AU32=12,12,$AP32="Monthly V",AU32*(1+$BD$2),$AP32="Monthly F",12,$AP32="One-Time",0),AU32*(1+$BD$2))</f>
        <v/>
      </c>
      <c r="AW32" s="14">
        <f t="array" ref="AW32">IFERROR(_xlfn.IFS(VALUE(MID(AW$5,6,1))&gt;$D$2,0,$AP32="Annual",1,AV32=12,12,$AP32="Monthly V",AV32*(1+$BD$2),$AP32="Monthly F",12,$AP32="One-Time",0),AV32*(1+$BD$2))</f>
        <v/>
      </c>
      <c r="AX32" s="14">
        <f t="array" ref="AX32">IFERROR(_xlfn.IFS(VALUE(MID(AX$5,6,1))&gt;$D$2,0,$AP32="Annual",1,AW32=12,12,$AP32="Monthly V",AW32*(1+$BD$2),$AP32="Monthly F",12,$AP32="One-Time",0),AW32*(1+$BD$2))</f>
        <v/>
      </c>
      <c r="AY32" s="14">
        <f t="array" ref="AY32">IFERROR(_xlfn.IFS(VALUE(MID(AY$5,6,1))&gt;$D$2,0,$AP32="Annual",1,AX32=12,12,$AP32="Monthly V",AX32*(1+$D$3),$AP32="Monthly F",12,$AP32="One-Time",0),AX32*(1+$D$3))</f>
        <v/>
      </c>
      <c r="AZ32" s="14">
        <f t="array" ref="AZ32">IFERROR(_xlfn.IFS(VALUE(MID(AZ$5,6,1))&gt;$D$2,0,$AP32="Annual",1,AY32=12,12,$AP32="Monthly V",AY32*(1+$D$3),$AP32="Monthly F",12,$AP32="One-Time",0),AY32*(1+$D$3))</f>
        <v/>
      </c>
      <c r="BA32" s="125">
        <f t="array" ref="BA32">IFERROR(_xlfn.IFS(VALUE(MID(BA$5,6,2))&gt;$D$2,0,$AP32="Annual",1,AZ32=12,12,$AP32="Monthly V",AZ32*(1+$D$3),$AP32="Monthly F",12,$AP32="One-Time",0),AZ32*(1+$D$3))</f>
        <v/>
      </c>
      <c r="BB32" s="148" t="inlineStr">
        <is>
          <t>JHA SmartPay Remote Deposit Now (RDN)</t>
        </is>
      </c>
      <c r="BC32" s="38" t="inlineStr">
        <is>
          <t>Enterprise Payment Solutions (EPS)</t>
        </is>
      </c>
      <c r="BD32" s="36" t="n">
        <v>350</v>
      </c>
      <c r="BE32" s="21">
        <f>BF32/12</f>
        <v/>
      </c>
      <c r="BF32" s="39">
        <f>IFERROR(AR32*$BD32,0)</f>
        <v/>
      </c>
      <c r="BG32" s="39">
        <f>IFERROR(AS32*$BD32,0)</f>
        <v/>
      </c>
      <c r="BH32" s="39">
        <f>IFERROR(AT32*$BD32,0)</f>
        <v/>
      </c>
      <c r="BI32" s="39">
        <f>BH32*1.03</f>
        <v/>
      </c>
      <c r="BJ32" s="39">
        <f>BI32*1.03</f>
        <v/>
      </c>
      <c r="BK32" s="39">
        <f>BJ32*1.03</f>
        <v/>
      </c>
      <c r="BL32" s="39">
        <f>BK32*1.03</f>
        <v/>
      </c>
      <c r="BM32" s="39">
        <f>IFERROR(AY32*$BD32,0)</f>
        <v/>
      </c>
      <c r="BN32" s="39">
        <f>IFERROR(AZ32*$BD32,0)</f>
        <v/>
      </c>
      <c r="BO32" s="39">
        <f>IFERROR(BA32*$BD32,0)</f>
        <v/>
      </c>
      <c r="BP32" s="40" t="n"/>
      <c r="BQ32" s="40">
        <f>IF(VALUE(MID(BQ$5,6,1))&lt;=$D$2,((1+$BD$3)^1-1)*BG32,0)</f>
        <v/>
      </c>
      <c r="BR32" s="40">
        <f>IF(VALUE(MID(BR$5,6,1))&lt;=$D$2,((1+$BD$3)^2-1)*BH32,0)</f>
        <v/>
      </c>
      <c r="BS32" s="40">
        <f>IF(VALUE(MID(BS$5,6,1))&lt;=$D$2,((1+$BD$3)^3-1)*BI32,0)</f>
        <v/>
      </c>
      <c r="BT32" s="40">
        <f>IF(VALUE(MID(BT$5,6,1))&lt;=$D$2,((1+$BD$3)^4-1)*BJ32,0)</f>
        <v/>
      </c>
      <c r="BU32" s="40">
        <f>IF(VALUE(MID(BU$5,6,1))&lt;=$D$2,((1+$BD$3)^5-1)*BK32,0)</f>
        <v/>
      </c>
      <c r="BV32" s="40">
        <f>IF(VALUE(MID(BV$5,6,1))&lt;=$D$2,((1+$BD$3)^6-1)*BL32,0)</f>
        <v/>
      </c>
      <c r="BW32" s="40">
        <f>IF(VALUE(MID(BW$5,6,1))&lt;=$D$2,((1+$BD$3)^7-1)*BM32,0)</f>
        <v/>
      </c>
      <c r="BX32" s="40">
        <f>IF(VALUE(MID(BX$5,6,1))&lt;=$D$2,((1+$BD$3)^8-1)*BN32,0)</f>
        <v/>
      </c>
      <c r="BY32" s="40">
        <f>IF(VALUE(MID(BY$5,6,2))&lt;=$D$2,((1+$BD$3)^9-1)*BO32,0)</f>
        <v/>
      </c>
      <c r="BZ32" s="40">
        <f>SUM(BP32:BY32)</f>
        <v/>
      </c>
      <c r="CA32" s="37">
        <f>SUM(BZ32,BF32:BO32)</f>
        <v/>
      </c>
      <c r="CC32" s="102" t="n"/>
      <c r="CD32" s="12" t="n"/>
      <c r="CE32" s="14">
        <f>IF($CC32="Annual",1,IF($CC32="Monthly F",12,IF($CC32="Monthly V",CD32*12,IF($CC32="One-Time",1,CD32*12))))</f>
        <v/>
      </c>
      <c r="CF32" s="14">
        <f t="array" ref="CF32">IFERROR(_xlfn.IFS(VALUE(MID(CF$5,6,1))&gt;$D$2,0,$CC32="Annual",1,CE32=12,12,$CC32="Monthly V",CE32*(1+$D$3),$CC32="Monthly F",12,$CC32="One-Time",0),CE32*(1+$D$3))</f>
        <v/>
      </c>
      <c r="CG32" s="14">
        <f t="array" ref="CG32">IFERROR(_xlfn.IFS(VALUE(MID(CG$5,6,1))&gt;$D$2,0,$CC32="Annual",1,CF32=12,12,$CC32="Monthly V",CF32*(1+$D$3),$CC32="Monthly F",12,$CC32="One-Time",0),CF32*(1+$D$3))</f>
        <v/>
      </c>
      <c r="CH32" s="14">
        <f t="array" ref="CH32">IFERROR(_xlfn.IFS(VALUE(MID(CH$5,6,1))&gt;$D$2,0,$CC32="Annual",1,CG32=12,12,$CC32="Monthly V",CG32*(1+$D$3),$CC32="Monthly F",12,$CC32="One-Time",0),CG32*(1+$D$3))</f>
        <v/>
      </c>
      <c r="CI32" s="14">
        <f t="array" ref="CI32">IFERROR(_xlfn.IFS(VALUE(MID(CI$5,6,1))&gt;$D$2,0,$CC32="Annual",1,CH32=12,12,$CC32="Monthly V",CH32*(1+$D$3),$CC32="Monthly F",12,$CC32="One-Time",0),CH32*(1+$D$3))</f>
        <v/>
      </c>
      <c r="CJ32" s="14">
        <f t="array" ref="CJ32">IFERROR(_xlfn.IFS(VALUE(MID(CJ$5,6,1))&gt;$D$2,0,$CC32="Annual",1,CI32=12,12,$CC32="Monthly V",CI32*(1+$D$3),$CC32="Monthly F",12,$CC32="One-Time",0),CI32*(1+$D$3))</f>
        <v/>
      </c>
      <c r="CK32" s="14">
        <f t="array" ref="CK32">IFERROR(_xlfn.IFS(VALUE(MID(CK$5,6,1))&gt;$D$2,0,$CC32="Annual",1,CJ32=12,12,$CC32="Monthly V",CJ32*(1+$D$3),$CC32="Monthly F",12,$CC32="One-Time",0),CJ32*(1+$D$3))</f>
        <v/>
      </c>
      <c r="CL32" s="14">
        <f t="array" ref="CL32">IFERROR(_xlfn.IFS(VALUE(MID(CL$5,6,1))&gt;$D$2,0,$CC32="Annual",1,CK32=12,12,$CC32="Monthly V",CK32*(1+$D$3),$CC32="Monthly F",12,$CC32="One-Time",0),CK32*(1+$D$3))</f>
        <v/>
      </c>
      <c r="CM32" s="14">
        <f t="array" ref="CM32">IFERROR(_xlfn.IFS(VALUE(MID(CM$5,6,1))&gt;$D$2,0,$CC32="Annual",1,CL32=12,12,$CC32="Monthly V",CL32*(1+$D$3),$CC32="Monthly F",12,$CC32="One-Time",0),CL32*(1+$D$3))</f>
        <v/>
      </c>
      <c r="CN32" s="24">
        <f t="array" ref="CN32">IFERROR(_xlfn.IFS(VALUE(MID(CN$5,6,2))&gt;$D$2,0,$CC32="Annual",1,CM32=12,12,$CC32="Monthly V",CM32*(1+$D$3),$CC32="Monthly F",12,$CC32="One-Time",0),CM32*(1+$D$3))</f>
        <v/>
      </c>
      <c r="CO32" s="63" t="n"/>
      <c r="CP32" s="53" t="n"/>
      <c r="CQ32" s="21">
        <f>CR32/12</f>
        <v/>
      </c>
      <c r="CR32" s="55">
        <f>IFERROR(CE32*$CP32,0)</f>
        <v/>
      </c>
      <c r="CS32" s="55">
        <f>IFERROR(CF32*$CP32,0)</f>
        <v/>
      </c>
      <c r="CT32" s="55">
        <f>IFERROR(CG32*$CP32,0)</f>
        <v/>
      </c>
      <c r="CU32" s="55">
        <f>IFERROR(CH32*$CP32,0)</f>
        <v/>
      </c>
      <c r="CV32" s="55">
        <f>IFERROR(CI32*$CP32,0)</f>
        <v/>
      </c>
      <c r="CW32" s="55">
        <f>IFERROR(CJ32*$CP32,0)</f>
        <v/>
      </c>
      <c r="CX32" s="55">
        <f>IFERROR(CK32*$CP32,0)</f>
        <v/>
      </c>
      <c r="CY32" s="55">
        <f>IFERROR(CL32*$CP32,0)</f>
        <v/>
      </c>
      <c r="CZ32" s="55">
        <f>IFERROR(CM32*$CP32,0)</f>
        <v/>
      </c>
      <c r="DA32" s="55">
        <f>IFERROR(CN32*$CP32,0)</f>
        <v/>
      </c>
      <c r="DB32" s="56" t="n"/>
      <c r="DC32" s="56">
        <f>IF(VALUE(MID(DC$5,6,1))&lt;=$D$2,((1+$CP$3)^1-1)*CS32,0)</f>
        <v/>
      </c>
      <c r="DD32" s="56">
        <f>IF(VALUE(MID(DD$5,6,1))&lt;=$D$2,((1+$CP$3)^2-1)*CT32,0)</f>
        <v/>
      </c>
      <c r="DE32" s="56">
        <f>IF(VALUE(MID(DE$5,6,1))&lt;=$D$2,((1+$CP$3)^3-1)*CU32,0)</f>
        <v/>
      </c>
      <c r="DF32" s="56">
        <f>IF(VALUE(MID(DF$5,6,1))&lt;=$D$2,((1+$CP$3)^4-1)*CV32,0)</f>
        <v/>
      </c>
      <c r="DG32" s="56">
        <f>IF(VALUE(MID(DG$5,6,1))&lt;=$D$2,((1+$CP$3)^5-1)*CW32,0)</f>
        <v/>
      </c>
      <c r="DH32" s="56">
        <f>IF(VALUE(MID(DH$5,6,1))&lt;=$D$2,((1+$CP$3)^6-1)*CX32,0)</f>
        <v/>
      </c>
      <c r="DI32" s="56">
        <f>IF(VALUE(MID(DI$5,6,1))&lt;=$D$2,((1+$CP$3)^7-1)*CY32,0)</f>
        <v/>
      </c>
      <c r="DJ32" s="56">
        <f>IF(VALUE(MID(DJ$5,6,1))&lt;=$D$2,((1+$CP$3)^8-1)*CZ32,0)</f>
        <v/>
      </c>
      <c r="DK32" s="56">
        <f>IF(VALUE(MID(DK$5,6,2))&lt;=$D$2,((1+$CP$3)^9-1)*DA32,0)</f>
        <v/>
      </c>
      <c r="DL32" s="57">
        <f>SUM(DB32:DK32)</f>
        <v/>
      </c>
      <c r="DM32" s="54">
        <f>SUM(DL32,CR32:DA32)</f>
        <v/>
      </c>
      <c r="DO32" s="106" t="n"/>
    </row>
    <row r="33">
      <c r="B33" s="141" t="inlineStr">
        <is>
          <t>Monthly V</t>
        </is>
      </c>
      <c r="C33" s="24" t="n">
        <v>189</v>
      </c>
      <c r="D33" s="147">
        <f>IFERROR(AVERAGE(C33:C33),0)</f>
        <v/>
      </c>
      <c r="E33" s="142">
        <f>IF($B33="Annual",1,IF($B33="Monthly F",12,IF($B33="Monthly V",D33*12,IF($B33="One-Time",1,D33*12))))</f>
        <v/>
      </c>
      <c r="F33" s="14">
        <f t="array" ref="F33">IFERROR(_xlfn.IFS(VALUE(MID(F$5,6,1))&gt;$D$2,0,$B33="Annual",1,E33=12,12,$B33="Monthly V",E33*(1+$D$3),$B33="Monthly F",12,$B33="One-Time",0),E33*(1+$D$3))</f>
        <v/>
      </c>
      <c r="G33" s="14">
        <f t="array" ref="G33">IFERROR(_xlfn.IFS(VALUE(MID(G$5,6,1))&gt;$D$2,0,$B33="Annual",1,F33=12,12,$B33="Monthly V",F33*(1+$D$3),$B33="Monthly F",12,$B33="One-Time",0),F33*(1+$D$3))</f>
        <v/>
      </c>
      <c r="H33" s="14">
        <f t="array" ref="H33">IFERROR(_xlfn.IFS(VALUE(MID(H$5,6,1))&gt;$D$2,0,$B33="Annual",1,G33=12,12,$B33="Monthly V",G33*(1+$D$3),$B33="Monthly F",12,$B33="One-Time",0),G33*(1+$D$3))</f>
        <v/>
      </c>
      <c r="I33" s="14">
        <f t="array" ref="I33">IFERROR(_xlfn.IFS(VALUE(MID(I$5,6,1))&gt;$D$2,0,$B33="Annual",1,H33=12,12,$B33="Monthly V",H33*(1+$D$3),$B33="Monthly F",12,$B33="One-Time",0),H33*(1+$D$3))</f>
        <v/>
      </c>
      <c r="J33" s="14">
        <f t="array" ref="J33">IFERROR(_xlfn.IFS(VALUE(MID(J$5,6,1))&gt;$D$2,0,$B33="Annual",1,I33=12,12,$B33="Monthly V",I33*(1+$D$3),$B33="Monthly F",12,$B33="One-Time",0),I33*(1+$D$3))</f>
        <v/>
      </c>
      <c r="K33" s="14">
        <f t="array" ref="K33">IFERROR(_xlfn.IFS(VALUE(MID(K$5,6,1))&gt;$D$2,0,$B33="Annual",1,J33=12,12,$B33="Monthly V",J33*(1+$D$3),$B33="Monthly F",12,$B33="One-Time",0),J33*(1+$D$3))</f>
        <v/>
      </c>
      <c r="L33" s="14">
        <f t="array" ref="L33">IFERROR(_xlfn.IFS(VALUE(MID(L$5,6,1))&gt;$D$2,0,$B33="Annual",1,K33=12,12,$B33="Monthly V",K33*(1+$D$3),$B33="Monthly F",12,$B33="One-Time",0),K33*(1+$D$3))</f>
        <v/>
      </c>
      <c r="M33" s="14">
        <f t="array" ref="M33">IFERROR(_xlfn.IFS(VALUE(MID(M$5,6,1))&gt;$D$2,0,$B33="Annual",1,L33=12,12,$B33="Monthly V",L33*(1+$D$3),$B33="Monthly F",12,$B33="One-Time",0),L33*(1+$D$3))</f>
        <v/>
      </c>
      <c r="N33" s="24">
        <f t="array" ref="N33">IFERROR(_xlfn.IFS(VALUE(MID(N$5,6,2))&gt;$D$2,0,$B33="Annual",1,M33=12,12,$B33="Monthly V",M33*(1+$D$3),$B33="Monthly F",12,$B33="One-Time",0),M33*(1+$D$3))</f>
        <v/>
      </c>
      <c r="O33" s="127" t="inlineStr">
        <is>
          <t>Active Users</t>
        </is>
      </c>
      <c r="P33" s="13" t="inlineStr">
        <is>
          <t>Card</t>
        </is>
      </c>
      <c r="Q33" s="20" t="n">
        <v>1.24</v>
      </c>
      <c r="R33" s="21">
        <f>S33/12</f>
        <v/>
      </c>
      <c r="S33" s="6">
        <f>IFERROR($Q33*E33,0)</f>
        <v/>
      </c>
      <c r="T33" s="6">
        <f>IFERROR($Q33*F33,0)</f>
        <v/>
      </c>
      <c r="U33" s="6">
        <f>IFERROR($Q33*G33,0)</f>
        <v/>
      </c>
      <c r="V33" s="6">
        <f>IFERROR($Q33*H33,0)</f>
        <v/>
      </c>
      <c r="W33" s="6">
        <f>IFERROR($Q33*I33,0)</f>
        <v/>
      </c>
      <c r="X33" s="6">
        <f>IFERROR($Q33*J33,0)</f>
        <v/>
      </c>
      <c r="Y33" s="6">
        <f>IFERROR($Q33*K33,0)</f>
        <v/>
      </c>
      <c r="Z33" s="6">
        <f>IFERROR($Q33*L33,0)</f>
        <v/>
      </c>
      <c r="AA33" s="6">
        <f>IFERROR($Q33*M33,0)</f>
        <v/>
      </c>
      <c r="AB33" s="6">
        <f>IFERROR($Q33*N33,0)</f>
        <v/>
      </c>
      <c r="AC33" s="7" t="n"/>
      <c r="AD33" s="152">
        <f>IF(VALUE(MID(AD$5,6,1))&lt;=$D$2,((1+$Q$3)^1-1)*T33,0)</f>
        <v/>
      </c>
      <c r="AE33" s="152">
        <f>IF(VALUE(MID(AE$5,6,1))&lt;=$D$2,((1+$Q$3)^2-1)*U33,0)</f>
        <v/>
      </c>
      <c r="AF33" s="152">
        <f>IF(VALUE(MID(AF$5,6,1))&lt;=$D$2,((1+$Q$3)^3-1)*V33,0)</f>
        <v/>
      </c>
      <c r="AG33" s="152">
        <f>IF(VALUE(MID(AG$5,6,1))&lt;=$D$2,((1+$Q$3)^4-1)*W33,0)</f>
        <v/>
      </c>
      <c r="AH33" s="152">
        <f>IF(VALUE(MID(AH$5,6,1))&lt;=$D$2,((1+$Q$3)^5-1)*X33,0)</f>
        <v/>
      </c>
      <c r="AI33" s="152">
        <f>IF(VALUE(MID(AI$5,6,1))&lt;=$D$2,((1+$Q$3)^6-1)*Y33,0)</f>
        <v/>
      </c>
      <c r="AJ33" s="152">
        <f>IF(VALUE(MID(AJ$5,6,1))&lt;=$D$2,((1+$Q$3)^7-1)*Z33,0)</f>
        <v/>
      </c>
      <c r="AK33" s="152">
        <f>IF(VALUE(MID(AK$5,6,1))&lt;=$D$2,((1+$Q$3)^8-1)*AA33,0)</f>
        <v/>
      </c>
      <c r="AL33" s="152">
        <f>IF(VALUE(MID(AL$5,6,2))&lt;=$D$2,((1+$Q$3)^9-1)*AB33,0)</f>
        <v/>
      </c>
      <c r="AM33" s="9">
        <f>SUM(AC33:AL33)</f>
        <v/>
      </c>
      <c r="AN33" s="80">
        <f>SUM(AM33,S33:AB33)</f>
        <v/>
      </c>
      <c r="AP33" s="102" t="inlineStr">
        <is>
          <t>Monthly F</t>
        </is>
      </c>
      <c r="AQ33" s="12" t="n">
        <v>1</v>
      </c>
      <c r="AR33" s="14">
        <f>IF($AP33="Annual",1,IF($AP33="Monthly F",12,IF($AP33="Monthly V",AQ33*12,IF($AP33="One-Time",1,AQ33*12))))</f>
        <v/>
      </c>
      <c r="AS33" s="14">
        <f t="array" ref="AS33">IFERROR(_xlfn.IFS(VALUE(MID(AS$5,6,1))&gt;$D$2,0,$AP33="Annual",1,AR33=12,12,$AP33="Monthly V",AR33*(1+$BD$2),$AP33="Monthly F",12,$AP33="One-Time",0),AR33*(1+$BD$2))</f>
        <v/>
      </c>
      <c r="AT33" s="14">
        <f t="array" ref="AT33">IFERROR(_xlfn.IFS(VALUE(MID(AT$5,6,1))&gt;$D$2,0,$AP33="Annual",1,AS33=12,12,$AP33="Monthly V",AS33*(1+$BD$2),$AP33="Monthly F",12,$AP33="One-Time",0),AS33*(1+$BD$2))</f>
        <v/>
      </c>
      <c r="AU33" s="14">
        <f t="array" ref="AU33">IFERROR(_xlfn.IFS(VALUE(MID(AU$5,6,1))&gt;$D$2,0,$AP33="Annual",1,AT33=12,12,$AP33="Monthly V",AT33*(1+$BD$2),$AP33="Monthly F",12,$AP33="One-Time",0),AT33*(1+$BD$2))</f>
        <v/>
      </c>
      <c r="AV33" s="14">
        <f t="array" ref="AV33">IFERROR(_xlfn.IFS(VALUE(MID(AV$5,6,1))&gt;$D$2,0,$AP33="Annual",1,AU33=12,12,$AP33="Monthly V",AU33*(1+$BD$2),$AP33="Monthly F",12,$AP33="One-Time",0),AU33*(1+$BD$2))</f>
        <v/>
      </c>
      <c r="AW33" s="14">
        <f t="array" ref="AW33">IFERROR(_xlfn.IFS(VALUE(MID(AW$5,6,1))&gt;$D$2,0,$AP33="Annual",1,AV33=12,12,$AP33="Monthly V",AV33*(1+$BD$2),$AP33="Monthly F",12,$AP33="One-Time",0),AV33*(1+$BD$2))</f>
        <v/>
      </c>
      <c r="AX33" s="14">
        <f t="array" ref="AX33">IFERROR(_xlfn.IFS(VALUE(MID(AX$5,6,1))&gt;$D$2,0,$AP33="Annual",1,AW33=12,12,$AP33="Monthly V",AW33*(1+$BD$2),$AP33="Monthly F",12,$AP33="One-Time",0),AW33*(1+$BD$2))</f>
        <v/>
      </c>
      <c r="AY33" s="14">
        <f t="array" ref="AY33">IFERROR(_xlfn.IFS(VALUE(MID(AY$5,6,1))&gt;$D$2,0,$AP33="Annual",1,AX33=12,12,$AP33="Monthly V",AX33*(1+$D$3),$AP33="Monthly F",12,$AP33="One-Time",0),AX33*(1+$D$3))</f>
        <v/>
      </c>
      <c r="AZ33" s="14">
        <f t="array" ref="AZ33">IFERROR(_xlfn.IFS(VALUE(MID(AZ$5,6,1))&gt;$D$2,0,$AP33="Annual",1,AY33=12,12,$AP33="Monthly V",AY33*(1+$D$3),$AP33="Monthly F",12,$AP33="One-Time",0),AY33*(1+$D$3))</f>
        <v/>
      </c>
      <c r="BA33" s="125">
        <f t="array" ref="BA33">IFERROR(_xlfn.IFS(VALUE(MID(BA$5,6,2))&gt;$D$2,0,$AP33="Annual",1,AZ33=12,12,$AP33="Monthly V",AZ33*(1+$D$3),$AP33="Monthly F",12,$AP33="One-Time",0),AZ33*(1+$D$3))</f>
        <v/>
      </c>
      <c r="BB33" s="148" t="inlineStr">
        <is>
          <t>JHA SmartPay Remote Deposit Anywhere (RDA)</t>
        </is>
      </c>
      <c r="BC33" s="38" t="inlineStr">
        <is>
          <t>Enterprise Payment Solutions (EPS)</t>
        </is>
      </c>
      <c r="BD33" s="36" t="n">
        <v>500</v>
      </c>
      <c r="BE33" s="21">
        <f>BF33/12</f>
        <v/>
      </c>
      <c r="BF33" s="39">
        <f>IFERROR(AR33*$BD33,0)</f>
        <v/>
      </c>
      <c r="BG33" s="39">
        <f>IFERROR(AS33*$BD33,0)</f>
        <v/>
      </c>
      <c r="BH33" s="39">
        <f>IFERROR(AT33*$BD33,0)</f>
        <v/>
      </c>
      <c r="BI33" s="39">
        <f>BH33*1.03</f>
        <v/>
      </c>
      <c r="BJ33" s="39">
        <f>BI33*1.03</f>
        <v/>
      </c>
      <c r="BK33" s="39">
        <f>BJ33*1.03</f>
        <v/>
      </c>
      <c r="BL33" s="39">
        <f>BK33*1.03</f>
        <v/>
      </c>
      <c r="BM33" s="39">
        <f>IFERROR(AY33*$BD33,0)</f>
        <v/>
      </c>
      <c r="BN33" s="39">
        <f>IFERROR(AZ33*$BD33,0)</f>
        <v/>
      </c>
      <c r="BO33" s="39">
        <f>IFERROR(BA33*$BD33,0)</f>
        <v/>
      </c>
      <c r="BP33" s="40" t="n"/>
      <c r="BQ33" s="40">
        <f>IF(VALUE(MID(BQ$5,6,1))&lt;=$D$2,((1+$BD$3)^1-1)*BG33,0)</f>
        <v/>
      </c>
      <c r="BR33" s="40">
        <f>IF(VALUE(MID(BR$5,6,1))&lt;=$D$2,((1+$BD$3)^2-1)*BH33,0)</f>
        <v/>
      </c>
      <c r="BS33" s="40">
        <f>IF(VALUE(MID(BS$5,6,1))&lt;=$D$2,((1+$BD$3)^3-1)*BI33,0)</f>
        <v/>
      </c>
      <c r="BT33" s="40">
        <f>IF(VALUE(MID(BT$5,6,1))&lt;=$D$2,((1+$BD$3)^4-1)*BJ33,0)</f>
        <v/>
      </c>
      <c r="BU33" s="40">
        <f>IF(VALUE(MID(BU$5,6,1))&lt;=$D$2,((1+$BD$3)^5-1)*BK33,0)</f>
        <v/>
      </c>
      <c r="BV33" s="40">
        <f>IF(VALUE(MID(BV$5,6,1))&lt;=$D$2,((1+$BD$3)^6-1)*BL33,0)</f>
        <v/>
      </c>
      <c r="BW33" s="40">
        <f>IF(VALUE(MID(BW$5,6,1))&lt;=$D$2,((1+$BD$3)^7-1)*BM33,0)</f>
        <v/>
      </c>
      <c r="BX33" s="40">
        <f>IF(VALUE(MID(BX$5,6,1))&lt;=$D$2,((1+$BD$3)^8-1)*BN33,0)</f>
        <v/>
      </c>
      <c r="BY33" s="40">
        <f>IF(VALUE(MID(BY$5,6,2))&lt;=$D$2,((1+$BD$3)^9-1)*BO33,0)</f>
        <v/>
      </c>
      <c r="BZ33" s="40">
        <f>SUM(BP33:BY33)</f>
        <v/>
      </c>
      <c r="CA33" s="37">
        <f>SUM(BZ33,BF33:BO33)</f>
        <v/>
      </c>
      <c r="CC33" s="102" t="n"/>
      <c r="CD33" s="12" t="n"/>
      <c r="CE33" s="14">
        <f>IF($CC33="Annual",1,IF($CC33="Monthly F",12,IF($CC33="Monthly V",CD33*12,IF($CC33="One-Time",1,CD33*12))))</f>
        <v/>
      </c>
      <c r="CF33" s="14">
        <f t="array" ref="CF33">IFERROR(_xlfn.IFS(VALUE(MID(CF$5,6,1))&gt;$D$2,0,$CC33="Annual",1,CE33=12,12,$CC33="Monthly V",CE33*(1+$D$3),$CC33="Monthly F",12,$CC33="One-Time",0),CE33*(1+$D$3))</f>
        <v/>
      </c>
      <c r="CG33" s="14">
        <f t="array" ref="CG33">IFERROR(_xlfn.IFS(VALUE(MID(CG$5,6,1))&gt;$D$2,0,$CC33="Annual",1,CF33=12,12,$CC33="Monthly V",CF33*(1+$D$3),$CC33="Monthly F",12,$CC33="One-Time",0),CF33*(1+$D$3))</f>
        <v/>
      </c>
      <c r="CH33" s="14">
        <f t="array" ref="CH33">IFERROR(_xlfn.IFS(VALUE(MID(CH$5,6,1))&gt;$D$2,0,$CC33="Annual",1,CG33=12,12,$CC33="Monthly V",CG33*(1+$D$3),$CC33="Monthly F",12,$CC33="One-Time",0),CG33*(1+$D$3))</f>
        <v/>
      </c>
      <c r="CI33" s="14">
        <f t="array" ref="CI33">IFERROR(_xlfn.IFS(VALUE(MID(CI$5,6,1))&gt;$D$2,0,$CC33="Annual",1,CH33=12,12,$CC33="Monthly V",CH33*(1+$D$3),$CC33="Monthly F",12,$CC33="One-Time",0),CH33*(1+$D$3))</f>
        <v/>
      </c>
      <c r="CJ33" s="14">
        <f t="array" ref="CJ33">IFERROR(_xlfn.IFS(VALUE(MID(CJ$5,6,1))&gt;$D$2,0,$CC33="Annual",1,CI33=12,12,$CC33="Monthly V",CI33*(1+$D$3),$CC33="Monthly F",12,$CC33="One-Time",0),CI33*(1+$D$3))</f>
        <v/>
      </c>
      <c r="CK33" s="14">
        <f t="array" ref="CK33">IFERROR(_xlfn.IFS(VALUE(MID(CK$5,6,1))&gt;$D$2,0,$CC33="Annual",1,CJ33=12,12,$CC33="Monthly V",CJ33*(1+$D$3),$CC33="Monthly F",12,$CC33="One-Time",0),CJ33*(1+$D$3))</f>
        <v/>
      </c>
      <c r="CL33" s="14">
        <f t="array" ref="CL33">IFERROR(_xlfn.IFS(VALUE(MID(CL$5,6,1))&gt;$D$2,0,$CC33="Annual",1,CK33=12,12,$CC33="Monthly V",CK33*(1+$D$3),$CC33="Monthly F",12,$CC33="One-Time",0),CK33*(1+$D$3))</f>
        <v/>
      </c>
      <c r="CM33" s="14">
        <f t="array" ref="CM33">IFERROR(_xlfn.IFS(VALUE(MID(CM$5,6,1))&gt;$D$2,0,$CC33="Annual",1,CL33=12,12,$CC33="Monthly V",CL33*(1+$D$3),$CC33="Monthly F",12,$CC33="One-Time",0),CL33*(1+$D$3))</f>
        <v/>
      </c>
      <c r="CN33" s="24">
        <f t="array" ref="CN33">IFERROR(_xlfn.IFS(VALUE(MID(CN$5,6,2))&gt;$D$2,0,$CC33="Annual",1,CM33=12,12,$CC33="Monthly V",CM33*(1+$D$3),$CC33="Monthly F",12,$CC33="One-Time",0),CM33*(1+$D$3))</f>
        <v/>
      </c>
      <c r="CO33" s="63" t="n"/>
      <c r="CP33" s="53" t="n"/>
      <c r="CQ33" s="21">
        <f>CR33/12</f>
        <v/>
      </c>
      <c r="CR33" s="55">
        <f>IFERROR(CE33*$CP33,0)</f>
        <v/>
      </c>
      <c r="CS33" s="55">
        <f>IFERROR(CF33*$CP33,0)</f>
        <v/>
      </c>
      <c r="CT33" s="55">
        <f>IFERROR(CG33*$CP33,0)</f>
        <v/>
      </c>
      <c r="CU33" s="55">
        <f>IFERROR(CH33*$CP33,0)</f>
        <v/>
      </c>
      <c r="CV33" s="55">
        <f>IFERROR(CI33*$CP33,0)</f>
        <v/>
      </c>
      <c r="CW33" s="55">
        <f>IFERROR(CJ33*$CP33,0)</f>
        <v/>
      </c>
      <c r="CX33" s="55">
        <f>IFERROR(CK33*$CP33,0)</f>
        <v/>
      </c>
      <c r="CY33" s="55">
        <f>IFERROR(CL33*$CP33,0)</f>
        <v/>
      </c>
      <c r="CZ33" s="55">
        <f>IFERROR(CM33*$CP33,0)</f>
        <v/>
      </c>
      <c r="DA33" s="55">
        <f>IFERROR(CN33*$CP33,0)</f>
        <v/>
      </c>
      <c r="DB33" s="56" t="n"/>
      <c r="DC33" s="56">
        <f>IF(VALUE(MID(DC$5,6,1))&lt;=$D$2,((1+$CP$3)^1-1)*CS33,0)</f>
        <v/>
      </c>
      <c r="DD33" s="56">
        <f>IF(VALUE(MID(DD$5,6,1))&lt;=$D$2,((1+$CP$3)^2-1)*CT33,0)</f>
        <v/>
      </c>
      <c r="DE33" s="56">
        <f>IF(VALUE(MID(DE$5,6,1))&lt;=$D$2,((1+$CP$3)^3-1)*CU33,0)</f>
        <v/>
      </c>
      <c r="DF33" s="56">
        <f>IF(VALUE(MID(DF$5,6,1))&lt;=$D$2,((1+$CP$3)^4-1)*CV33,0)</f>
        <v/>
      </c>
      <c r="DG33" s="56">
        <f>IF(VALUE(MID(DG$5,6,1))&lt;=$D$2,((1+$CP$3)^5-1)*CW33,0)</f>
        <v/>
      </c>
      <c r="DH33" s="56">
        <f>IF(VALUE(MID(DH$5,6,1))&lt;=$D$2,((1+$CP$3)^6-1)*CX33,0)</f>
        <v/>
      </c>
      <c r="DI33" s="56">
        <f>IF(VALUE(MID(DI$5,6,1))&lt;=$D$2,((1+$CP$3)^7-1)*CY33,0)</f>
        <v/>
      </c>
      <c r="DJ33" s="56">
        <f>IF(VALUE(MID(DJ$5,6,1))&lt;=$D$2,((1+$CP$3)^8-1)*CZ33,0)</f>
        <v/>
      </c>
      <c r="DK33" s="56">
        <f>IF(VALUE(MID(DK$5,6,2))&lt;=$D$2,((1+$CP$3)^9-1)*DA33,0)</f>
        <v/>
      </c>
      <c r="DL33" s="57">
        <f>SUM(DB33:DK33)</f>
        <v/>
      </c>
      <c r="DM33" s="54">
        <f>SUM(DL33,CR33:DA33)</f>
        <v/>
      </c>
      <c r="DO33" s="106" t="n"/>
    </row>
    <row r="34">
      <c r="B34" s="141" t="inlineStr">
        <is>
          <t>Monthly F</t>
        </is>
      </c>
      <c r="C34" s="24" t="n"/>
      <c r="D34" s="147" t="n"/>
      <c r="E34" s="142">
        <f>IF($B34="Annual",1,IF($B34="Monthly F",12,IF($B34="Monthly V",D34*12,IF($B34="One-Time",1,D34*12))))</f>
        <v/>
      </c>
      <c r="F34" s="14">
        <f t="array" ref="F34">IFERROR(_xlfn.IFS(VALUE(MID(F$5,6,1))&gt;$D$2,0,$B34="Annual",1,E34=12,12,$B34="Monthly V",E34*(1+$D$3),$B34="Monthly F",12,$B34="One-Time",0),E34*(1+$D$3))</f>
        <v/>
      </c>
      <c r="G34" s="14">
        <f t="array" ref="G34">IFERROR(_xlfn.IFS(VALUE(MID(G$5,6,1))&gt;$D$2,0,$B34="Annual",1,F34=12,12,$B34="Monthly V",F34*(1+$D$3),$B34="Monthly F",12,$B34="One-Time",0),F34*(1+$D$3))</f>
        <v/>
      </c>
      <c r="H34" s="14">
        <f t="array" ref="H34">IFERROR(_xlfn.IFS(VALUE(MID(H$5,6,1))&gt;$D$2,0,$B34="Annual",1,G34=12,12,$B34="Monthly V",G34*(1+$D$3),$B34="Monthly F",12,$B34="One-Time",0),G34*(1+$D$3))</f>
        <v/>
      </c>
      <c r="I34" s="14">
        <f t="array" ref="I34">IFERROR(_xlfn.IFS(VALUE(MID(I$5,6,1))&gt;$D$2,0,$B34="Annual",1,H34=12,12,$B34="Monthly V",H34*(1+$D$3),$B34="Monthly F",12,$B34="One-Time",0),H34*(1+$D$3))</f>
        <v/>
      </c>
      <c r="J34" s="14">
        <f t="array" ref="J34">IFERROR(_xlfn.IFS(VALUE(MID(J$5,6,1))&gt;$D$2,0,$B34="Annual",1,I34=12,12,$B34="Monthly V",I34*(1+$D$3),$B34="Monthly F",12,$B34="One-Time",0),I34*(1+$D$3))</f>
        <v/>
      </c>
      <c r="K34" s="14">
        <f t="array" ref="K34">IFERROR(_xlfn.IFS(VALUE(MID(K$5,6,1))&gt;$D$2,0,$B34="Annual",1,J34=12,12,$B34="Monthly V",J34*(1+$D$3),$B34="Monthly F",12,$B34="One-Time",0),J34*(1+$D$3))</f>
        <v/>
      </c>
      <c r="L34" s="14">
        <f t="array" ref="L34">IFERROR(_xlfn.IFS(VALUE(MID(L$5,6,1))&gt;$D$2,0,$B34="Annual",1,K34=12,12,$B34="Monthly V",K34*(1+$D$3),$B34="Monthly F",12,$B34="One-Time",0),K34*(1+$D$3))</f>
        <v/>
      </c>
      <c r="M34" s="14">
        <f t="array" ref="M34">IFERROR(_xlfn.IFS(VALUE(MID(M$5,6,1))&gt;$D$2,0,$B34="Annual",1,L34=12,12,$B34="Monthly V",L34*(1+$D$3),$B34="Monthly F",12,$B34="One-Time",0),L34*(1+$D$3))</f>
        <v/>
      </c>
      <c r="N34" s="24">
        <f t="array" ref="N34">IFERROR(_xlfn.IFS(VALUE(MID(N$5,6,2))&gt;$D$2,0,$B34="Annual",1,M34=12,12,$B34="Monthly V",M34*(1+$D$3),$B34="Monthly F",12,$B34="One-Time",0),M34*(1+$D$3))</f>
        <v/>
      </c>
      <c r="O34" s="127" t="inlineStr">
        <is>
          <t>Active Users (Monthly Minimum)</t>
        </is>
      </c>
      <c r="P34" s="13" t="inlineStr">
        <is>
          <t>Card</t>
        </is>
      </c>
      <c r="Q34" s="20" t="n">
        <v>375</v>
      </c>
      <c r="R34" s="21">
        <f>S34/12</f>
        <v/>
      </c>
      <c r="S34" s="6">
        <f>IF(S33&lt;$Q$34*12,($Q$34*12)-S33,0)</f>
        <v/>
      </c>
      <c r="T34" s="6">
        <f>IF(T33&lt;$Q$34*12,($Q$34*12)-T33,0)</f>
        <v/>
      </c>
      <c r="U34" s="6">
        <f>IF(U33&lt;$Q$34*12,($Q$34*12)-U33,0)</f>
        <v/>
      </c>
      <c r="V34" s="6">
        <f>IF(V33&lt;$Q$34*12,($Q$34*12)-V33,0)</f>
        <v/>
      </c>
      <c r="W34" s="6">
        <f>IF(W33&lt;$Q$34*12,($Q$34*12)-W33,0)</f>
        <v/>
      </c>
      <c r="X34" s="6">
        <f>IF(X33&lt;$Q$34*12,($Q$34*12)-X33,0)</f>
        <v/>
      </c>
      <c r="Y34" s="6">
        <f>IF(Y33&lt;$Q$34*12,($Q$34*12)-Y33,0)</f>
        <v/>
      </c>
      <c r="Z34" s="6">
        <f>IFERROR($Q34*L34,0)</f>
        <v/>
      </c>
      <c r="AA34" s="6">
        <f>IFERROR($Q34*M34,0)</f>
        <v/>
      </c>
      <c r="AB34" s="6">
        <f>IFERROR($Q34*N34,0)</f>
        <v/>
      </c>
      <c r="AC34" s="7" t="n"/>
      <c r="AD34" s="152">
        <f>IF(VALUE(MID(AD$5,6,1))&lt;=$D$2,((1+$Q$3)^1-1)*T34,0)</f>
        <v/>
      </c>
      <c r="AE34" s="152">
        <f>IF(VALUE(MID(AE$5,6,1))&lt;=$D$2,((1+$Q$3)^2-1)*U34,0)</f>
        <v/>
      </c>
      <c r="AF34" s="152">
        <f>IF(VALUE(MID(AF$5,6,1))&lt;=$D$2,((1+$Q$3)^3-1)*V34,0)</f>
        <v/>
      </c>
      <c r="AG34" s="152">
        <f>IF(VALUE(MID(AG$5,6,1))&lt;=$D$2,((1+$Q$3)^4-1)*W34,0)</f>
        <v/>
      </c>
      <c r="AH34" s="152">
        <f>IF(VALUE(MID(AH$5,6,1))&lt;=$D$2,((1+$Q$3)^5-1)*X34,0)</f>
        <v/>
      </c>
      <c r="AI34" s="152">
        <f>IF(VALUE(MID(AI$5,6,1))&lt;=$D$2,((1+$Q$3)^6-1)*Y34,0)</f>
        <v/>
      </c>
      <c r="AJ34" s="152">
        <f>IF(VALUE(MID(AJ$5,6,1))&lt;=$D$2,((1+$Q$3)^7-1)*Z34,0)</f>
        <v/>
      </c>
      <c r="AK34" s="152">
        <f>IF(VALUE(MID(AK$5,6,1))&lt;=$D$2,((1+$Q$3)^8-1)*AA34,0)</f>
        <v/>
      </c>
      <c r="AL34" s="152">
        <f>IF(VALUE(MID(AL$5,6,2))&lt;=$D$2,((1+$Q$3)^9-1)*AB34,0)</f>
        <v/>
      </c>
      <c r="AM34" s="9">
        <f>SUM(AC34:AL34)</f>
        <v/>
      </c>
      <c r="AN34" s="80">
        <f>SUM(AM34,S34:AB34)</f>
        <v/>
      </c>
      <c r="AP34" s="102" t="inlineStr">
        <is>
          <t>Monthly F</t>
        </is>
      </c>
      <c r="AQ34" s="12" t="n">
        <v>1</v>
      </c>
      <c r="AR34" s="14">
        <f>IF($AP34="Annual",1,IF($AP34="Monthly F",12,IF($AP34="Monthly V",AQ34*12,IF($AP34="One-Time",1,AQ34*12))))</f>
        <v/>
      </c>
      <c r="AS34" s="14">
        <f t="array" ref="AS34">IFERROR(_xlfn.IFS(VALUE(MID(AS$5,6,1))&gt;$D$2,0,$AP34="Annual",1,AR34=12,12,$AP34="Monthly V",AR34*(1+$BD$2),$AP34="Monthly F",12,$AP34="One-Time",0),AR34*(1+$BD$2))</f>
        <v/>
      </c>
      <c r="AT34" s="14">
        <f t="array" ref="AT34">IFERROR(_xlfn.IFS(VALUE(MID(AT$5,6,1))&gt;$D$2,0,$AP34="Annual",1,AS34=12,12,$AP34="Monthly V",AS34*(1+$BD$2),$AP34="Monthly F",12,$AP34="One-Time",0),AS34*(1+$BD$2))</f>
        <v/>
      </c>
      <c r="AU34" s="14">
        <f t="array" ref="AU34">IFERROR(_xlfn.IFS(VALUE(MID(AU$5,6,1))&gt;$D$2,0,$AP34="Annual",1,AT34=12,12,$AP34="Monthly V",AT34*(1+$BD$2),$AP34="Monthly F",12,$AP34="One-Time",0),AT34*(1+$BD$2))</f>
        <v/>
      </c>
      <c r="AV34" s="14">
        <f t="array" ref="AV34">IFERROR(_xlfn.IFS(VALUE(MID(AV$5,6,1))&gt;$D$2,0,$AP34="Annual",1,AU34=12,12,$AP34="Monthly V",AU34*(1+$BD$2),$AP34="Monthly F",12,$AP34="One-Time",0),AU34*(1+$BD$2))</f>
        <v/>
      </c>
      <c r="AW34" s="14">
        <f t="array" ref="AW34">IFERROR(_xlfn.IFS(VALUE(MID(AW$5,6,1))&gt;$D$2,0,$AP34="Annual",1,AV34=12,12,$AP34="Monthly V",AV34*(1+$BD$2),$AP34="Monthly F",12,$AP34="One-Time",0),AV34*(1+$BD$2))</f>
        <v/>
      </c>
      <c r="AX34" s="14">
        <f t="array" ref="AX34">IFERROR(_xlfn.IFS(VALUE(MID(AX$5,6,1))&gt;$D$2,0,$AP34="Annual",1,AW34=12,12,$AP34="Monthly V",AW34*(1+$BD$2),$AP34="Monthly F",12,$AP34="One-Time",0),AW34*(1+$BD$2))</f>
        <v/>
      </c>
      <c r="AY34" s="14">
        <f t="array" ref="AY34">IFERROR(_xlfn.IFS(VALUE(MID(AY$5,6,1))&gt;$D$2,0,$AP34="Annual",1,AX34=12,12,$AP34="Monthly V",AX34*(1+$D$3),$AP34="Monthly F",12,$AP34="One-Time",0),AX34*(1+$D$3))</f>
        <v/>
      </c>
      <c r="AZ34" s="14">
        <f t="array" ref="AZ34">IFERROR(_xlfn.IFS(VALUE(MID(AZ$5,6,1))&gt;$D$2,0,$AP34="Annual",1,AY34=12,12,$AP34="Monthly V",AY34*(1+$D$3),$AP34="Monthly F",12,$AP34="One-Time",0),AY34*(1+$D$3))</f>
        <v/>
      </c>
      <c r="BA34" s="125">
        <f t="array" ref="BA34">IFERROR(_xlfn.IFS(VALUE(MID(BA$5,6,2))&gt;$D$2,0,$AP34="Annual",1,AZ34=12,12,$AP34="Monthly V",AZ34*(1+$D$3),$AP34="Monthly F",12,$AP34="One-Time",0),AZ34*(1+$D$3))</f>
        <v/>
      </c>
      <c r="BB34" s="148" t="inlineStr">
        <is>
          <t>JHA SmartPay mRDC</t>
        </is>
      </c>
      <c r="BC34" s="38" t="inlineStr">
        <is>
          <t>Enterprise Payment Solutions (EPS)</t>
        </is>
      </c>
      <c r="BD34" s="36" t="n">
        <v>175</v>
      </c>
      <c r="BE34" s="21">
        <f>BF34/12</f>
        <v/>
      </c>
      <c r="BF34" s="39">
        <f>IFERROR(AR34*$BD34,0)</f>
        <v/>
      </c>
      <c r="BG34" s="39">
        <f>IFERROR(AS34*$BD34,0)</f>
        <v/>
      </c>
      <c r="BH34" s="39">
        <f>IFERROR(AT34*$BD34,0)</f>
        <v/>
      </c>
      <c r="BI34" s="39">
        <f>BH34*1.03</f>
        <v/>
      </c>
      <c r="BJ34" s="39">
        <f>BI34*1.03</f>
        <v/>
      </c>
      <c r="BK34" s="39">
        <f>BJ34*1.03</f>
        <v/>
      </c>
      <c r="BL34" s="39">
        <f>BK34*1.03</f>
        <v/>
      </c>
      <c r="BM34" s="39">
        <f>IFERROR(AY34*$BD34,0)</f>
        <v/>
      </c>
      <c r="BN34" s="39">
        <f>IFERROR(AZ34*$BD34,0)</f>
        <v/>
      </c>
      <c r="BO34" s="39">
        <f>IFERROR(BA34*$BD34,0)</f>
        <v/>
      </c>
      <c r="BP34" s="40" t="n"/>
      <c r="BQ34" s="40">
        <f>IF(VALUE(MID(BQ$5,6,1))&lt;=$D$2,((1+$BD$3)^1-1)*BG34,0)</f>
        <v/>
      </c>
      <c r="BR34" s="40">
        <f>IF(VALUE(MID(BR$5,6,1))&lt;=$D$2,((1+$BD$3)^2-1)*BH34,0)</f>
        <v/>
      </c>
      <c r="BS34" s="40">
        <f>IF(VALUE(MID(BS$5,6,1))&lt;=$D$2,((1+$BD$3)^3-1)*BI34,0)</f>
        <v/>
      </c>
      <c r="BT34" s="40">
        <f>IF(VALUE(MID(BT$5,6,1))&lt;=$D$2,((1+$BD$3)^4-1)*BJ34,0)</f>
        <v/>
      </c>
      <c r="BU34" s="40">
        <f>IF(VALUE(MID(BU$5,6,1))&lt;=$D$2,((1+$BD$3)^5-1)*BK34,0)</f>
        <v/>
      </c>
      <c r="BV34" s="40">
        <f>IF(VALUE(MID(BV$5,6,1))&lt;=$D$2,((1+$BD$3)^6-1)*BL34,0)</f>
        <v/>
      </c>
      <c r="BW34" s="40">
        <f>IF(VALUE(MID(BW$5,6,1))&lt;=$D$2,((1+$BD$3)^7-1)*BM34,0)</f>
        <v/>
      </c>
      <c r="BX34" s="40">
        <f>IF(VALUE(MID(BX$5,6,1))&lt;=$D$2,((1+$BD$3)^8-1)*BN34,0)</f>
        <v/>
      </c>
      <c r="BY34" s="40">
        <f>IF(VALUE(MID(BY$5,6,2))&lt;=$D$2,((1+$BD$3)^9-1)*BO34,0)</f>
        <v/>
      </c>
      <c r="BZ34" s="40">
        <f>SUM(BP34:BY34)</f>
        <v/>
      </c>
      <c r="CA34" s="37">
        <f>SUM(BZ34,BF34:BO34)</f>
        <v/>
      </c>
      <c r="CC34" s="102" t="n"/>
      <c r="CD34" s="12" t="n"/>
      <c r="CE34" s="14" t="n"/>
      <c r="CF34" s="14" t="n"/>
      <c r="CG34" s="14" t="n"/>
      <c r="CH34" s="14" t="n"/>
      <c r="CI34" s="14" t="n"/>
      <c r="CJ34" s="14" t="n"/>
      <c r="CK34" s="14" t="n"/>
      <c r="CL34" s="14" t="n"/>
      <c r="CM34" s="14" t="n"/>
      <c r="CN34" s="24" t="n"/>
      <c r="CO34" s="63" t="n"/>
      <c r="CP34" s="53" t="n"/>
      <c r="CQ34" s="21" t="n"/>
      <c r="CR34" s="55" t="n"/>
      <c r="CS34" s="55" t="n"/>
      <c r="CT34" s="55" t="n"/>
      <c r="CU34" s="55" t="n"/>
      <c r="CV34" s="55" t="n"/>
      <c r="CW34" s="55" t="n"/>
      <c r="CX34" s="55" t="n"/>
      <c r="CY34" s="55" t="n"/>
      <c r="CZ34" s="55" t="n"/>
      <c r="DA34" s="55" t="n"/>
      <c r="DB34" s="56" t="n"/>
      <c r="DC34" s="56" t="n"/>
      <c r="DD34" s="56" t="n"/>
      <c r="DE34" s="56" t="n"/>
      <c r="DF34" s="56" t="n"/>
      <c r="DG34" s="56" t="n"/>
      <c r="DH34" s="56" t="n"/>
      <c r="DI34" s="56" t="n"/>
      <c r="DJ34" s="56" t="n"/>
      <c r="DK34" s="56" t="n"/>
      <c r="DL34" s="57" t="n"/>
      <c r="DM34" s="54" t="n"/>
      <c r="DO34" s="106" t="n"/>
    </row>
    <row r="35">
      <c r="B35" s="141" t="inlineStr">
        <is>
          <t>Monthly F</t>
        </is>
      </c>
      <c r="C35" s="24" t="n">
        <v>1</v>
      </c>
      <c r="D35" s="147">
        <f>IFERROR(AVERAGE(C35:C35),0)</f>
        <v/>
      </c>
      <c r="E35" s="142">
        <f>IF($B35="Annual",1,IF($B35="Monthly F",12,IF($B35="Monthly V",D35*12,IF($B35="One-Time",1,D35*12))))</f>
        <v/>
      </c>
      <c r="F35" s="14">
        <f t="array" ref="F35">IFERROR(_xlfn.IFS(VALUE(MID(F$5,6,1))&gt;$D$2,0,$B35="Annual",1,E35=12,12,$B35="Monthly V",E35*(1+$D$3),$B35="Monthly F",12,$B35="One-Time",0),E35*(1+$D$3))</f>
        <v/>
      </c>
      <c r="G35" s="14">
        <f t="array" ref="G35">IFERROR(_xlfn.IFS(VALUE(MID(G$5,6,1))&gt;$D$2,0,$B35="Annual",1,F35=12,12,$B35="Monthly V",F35*(1+$D$3),$B35="Monthly F",12,$B35="One-Time",0),F35*(1+$D$3))</f>
        <v/>
      </c>
      <c r="H35" s="14">
        <f t="array" ref="H35">IFERROR(_xlfn.IFS(VALUE(MID(H$5,6,1))&gt;$D$2,0,$B35="Annual",1,G35=12,12,$B35="Monthly V",G35*(1+$D$3),$B35="Monthly F",12,$B35="One-Time",0),G35*(1+$D$3))</f>
        <v/>
      </c>
      <c r="I35" s="14">
        <f t="array" ref="I35">IFERROR(_xlfn.IFS(VALUE(MID(I$5,6,1))&gt;$D$2,0,$B35="Annual",1,H35=12,12,$B35="Monthly V",H35*(1+$D$3),$B35="Monthly F",12,$B35="One-Time",0),H35*(1+$D$3))</f>
        <v/>
      </c>
      <c r="J35" s="14">
        <f t="array" ref="J35">IFERROR(_xlfn.IFS(VALUE(MID(J$5,6,1))&gt;$D$2,0,$B35="Annual",1,I35=12,12,$B35="Monthly V",I35*(1+$D$3),$B35="Monthly F",12,$B35="One-Time",0),I35*(1+$D$3))</f>
        <v/>
      </c>
      <c r="K35" s="14">
        <f t="array" ref="K35">IFERROR(_xlfn.IFS(VALUE(MID(K$5,6,1))&gt;$D$2,0,$B35="Annual",1,J35=12,12,$B35="Monthly V",J35*(1+$D$3),$B35="Monthly F",12,$B35="One-Time",0),J35*(1+$D$3))</f>
        <v/>
      </c>
      <c r="L35" s="14">
        <f t="array" ref="L35">IFERROR(_xlfn.IFS(VALUE(MID(L$5,6,1))&gt;$D$2,0,$B35="Annual",1,K35=12,12,$B35="Monthly V",K35*(1+$D$3),$B35="Monthly F",12,$B35="One-Time",0),K35*(1+$D$3))</f>
        <v/>
      </c>
      <c r="M35" s="14">
        <f t="array" ref="M35">IFERROR(_xlfn.IFS(VALUE(MID(M$5,6,1))&gt;$D$2,0,$B35="Annual",1,L35=12,12,$B35="Monthly V",L35*(1+$D$3),$B35="Monthly F",12,$B35="One-Time",0),L35*(1+$D$3))</f>
        <v/>
      </c>
      <c r="N35" s="24">
        <f t="array" ref="N35">IFERROR(_xlfn.IFS(VALUE(MID(N$5,6,2))&gt;$D$2,0,$B35="Annual",1,M35=12,12,$B35="Monthly V",M35*(1+$D$3),$B35="Monthly F",12,$B35="One-Time",0),M35*(1+$D$3))</f>
        <v/>
      </c>
      <c r="O35" s="127" t="inlineStr">
        <is>
          <t>Monthly Minimum, Call Center Assistance $1.50/minute</t>
        </is>
      </c>
      <c r="P35" s="13" t="inlineStr">
        <is>
          <t>Card</t>
        </is>
      </c>
      <c r="Q35" s="20" t="n">
        <v>50</v>
      </c>
      <c r="R35" s="21">
        <f>S35/12</f>
        <v/>
      </c>
      <c r="S35" s="6">
        <f>IFERROR($Q35*E35,0)</f>
        <v/>
      </c>
      <c r="T35" s="6">
        <f>IFERROR($Q35*F35,0)</f>
        <v/>
      </c>
      <c r="U35" s="6">
        <f>IFERROR($Q35*G35,0)</f>
        <v/>
      </c>
      <c r="V35" s="6">
        <f>IFERROR($Q35*H35,0)</f>
        <v/>
      </c>
      <c r="W35" s="6">
        <f>IFERROR($Q35*I35,0)</f>
        <v/>
      </c>
      <c r="X35" s="6">
        <f>IFERROR($Q35*J35,0)</f>
        <v/>
      </c>
      <c r="Y35" s="6">
        <f>IFERROR($Q35*K35,0)</f>
        <v/>
      </c>
      <c r="Z35" s="6">
        <f>IFERROR($Q35*L35,0)</f>
        <v/>
      </c>
      <c r="AA35" s="6">
        <f>IFERROR($Q35*M35,0)</f>
        <v/>
      </c>
      <c r="AB35" s="6">
        <f>IFERROR($Q35*N35,0)</f>
        <v/>
      </c>
      <c r="AC35" s="7" t="n"/>
      <c r="AD35" s="152">
        <f>IF(VALUE(MID(AD$5,6,1))&lt;=$D$2,((1+$Q$3)^1-1)*T35,0)</f>
        <v/>
      </c>
      <c r="AE35" s="152">
        <f>IF(VALUE(MID(AE$5,6,1))&lt;=$D$2,((1+$Q$3)^2-1)*U35,0)</f>
        <v/>
      </c>
      <c r="AF35" s="152">
        <f>IF(VALUE(MID(AF$5,6,1))&lt;=$D$2,((1+$Q$3)^3-1)*V35,0)</f>
        <v/>
      </c>
      <c r="AG35" s="152">
        <f>IF(VALUE(MID(AG$5,6,1))&lt;=$D$2,((1+$Q$3)^4-1)*W35,0)</f>
        <v/>
      </c>
      <c r="AH35" s="152">
        <f>IF(VALUE(MID(AH$5,6,1))&lt;=$D$2,((1+$Q$3)^5-1)*X35,0)</f>
        <v/>
      </c>
      <c r="AI35" s="152">
        <f>IF(VALUE(MID(AI$5,6,1))&lt;=$D$2,((1+$Q$3)^6-1)*Y35,0)</f>
        <v/>
      </c>
      <c r="AJ35" s="152">
        <f>IF(VALUE(MID(AJ$5,6,1))&lt;=$D$2,((1+$Q$3)^7-1)*Z35,0)</f>
        <v/>
      </c>
      <c r="AK35" s="152">
        <f>IF(VALUE(MID(AK$5,6,1))&lt;=$D$2,((1+$Q$3)^8-1)*AA35,0)</f>
        <v/>
      </c>
      <c r="AL35" s="152">
        <f>IF(VALUE(MID(AL$5,6,2))&lt;=$D$2,((1+$Q$3)^9-1)*AB35,0)</f>
        <v/>
      </c>
      <c r="AM35" s="9">
        <f>SUM(AC35:AL35)</f>
        <v/>
      </c>
      <c r="AN35" s="80">
        <f>SUM(AM35,S35:AB35)</f>
        <v/>
      </c>
      <c r="AP35" s="102" t="inlineStr">
        <is>
          <t>Monthly F</t>
        </is>
      </c>
      <c r="AQ35" s="12" t="n">
        <v>1</v>
      </c>
      <c r="AR35" s="14">
        <f>IF($AP35="Annual",1,IF($AP35="Monthly F",12,IF($AP35="Monthly V",AQ35*12,IF($AP35="One-Time",1,AQ35*12))))</f>
        <v/>
      </c>
      <c r="AS35" s="14">
        <f t="array" ref="AS35">IFERROR(_xlfn.IFS(VALUE(MID(AS$5,6,1))&gt;$D$2,0,$AP35="Annual",1,AR35=12,12,$AP35="Monthly V",AR35*(1+$BD$2),$AP35="Monthly F",12,$AP35="One-Time",0),AR35*(1+$BD$2))</f>
        <v/>
      </c>
      <c r="AT35" s="14">
        <f t="array" ref="AT35">IFERROR(_xlfn.IFS(VALUE(MID(AT$5,6,1))&gt;$D$2,0,$AP35="Annual",1,AS35=12,12,$AP35="Monthly V",AS35*(1+$BD$2),$AP35="Monthly F",12,$AP35="One-Time",0),AS35*(1+$BD$2))</f>
        <v/>
      </c>
      <c r="AU35" s="14">
        <f t="array" ref="AU35">IFERROR(_xlfn.IFS(VALUE(MID(AU$5,6,1))&gt;$D$2,0,$AP35="Annual",1,AT35=12,12,$AP35="Monthly V",AT35*(1+$BD$2),$AP35="Monthly F",12,$AP35="One-Time",0),AT35*(1+$BD$2))</f>
        <v/>
      </c>
      <c r="AV35" s="14">
        <f t="array" ref="AV35">IFERROR(_xlfn.IFS(VALUE(MID(AV$5,6,1))&gt;$D$2,0,$AP35="Annual",1,AU35=12,12,$AP35="Monthly V",AU35*(1+$BD$2),$AP35="Monthly F",12,$AP35="One-Time",0),AU35*(1+$BD$2))</f>
        <v/>
      </c>
      <c r="AW35" s="14">
        <f t="array" ref="AW35">IFERROR(_xlfn.IFS(VALUE(MID(AW$5,6,1))&gt;$D$2,0,$AP35="Annual",1,AV35=12,12,$AP35="Monthly V",AV35*(1+$BD$2),$AP35="Monthly F",12,$AP35="One-Time",0),AV35*(1+$BD$2))</f>
        <v/>
      </c>
      <c r="AX35" s="14">
        <f t="array" ref="AX35">IFERROR(_xlfn.IFS(VALUE(MID(AX$5,6,1))&gt;$D$2,0,$AP35="Annual",1,AW35=12,12,$AP35="Monthly V",AW35*(1+$BD$2),$AP35="Monthly F",12,$AP35="One-Time",0),AW35*(1+$BD$2))</f>
        <v/>
      </c>
      <c r="AY35" s="14">
        <f t="array" ref="AY35">IFERROR(_xlfn.IFS(VALUE(MID(AY$5,6,1))&gt;$D$2,0,$AP35="Annual",1,AX35=12,12,$AP35="Monthly V",AX35*(1+$D$3),$AP35="Monthly F",12,$AP35="One-Time",0),AX35*(1+$D$3))</f>
        <v/>
      </c>
      <c r="AZ35" s="14">
        <f t="array" ref="AZ35">IFERROR(_xlfn.IFS(VALUE(MID(AZ$5,6,1))&gt;$D$2,0,$AP35="Annual",1,AY35=12,12,$AP35="Monthly V",AY35*(1+$D$3),$AP35="Monthly F",12,$AP35="One-Time",0),AY35*(1+$D$3))</f>
        <v/>
      </c>
      <c r="BA35" s="125">
        <f t="array" ref="BA35">IFERROR(_xlfn.IFS(VALUE(MID(BA$5,6,2))&gt;$D$2,0,$AP35="Annual",1,AZ35=12,12,$AP35="Monthly V",AZ35*(1+$D$3),$AP35="Monthly F",12,$AP35="One-Time",0),AZ35*(1+$D$3))</f>
        <v/>
      </c>
      <c r="BB35" s="148" t="inlineStr">
        <is>
          <t>EPS SmartSight Setup Fee and Monthly Subscription Fee</t>
        </is>
      </c>
      <c r="BC35" s="38" t="inlineStr">
        <is>
          <t>Enterprise Payment Solutions (EPS)</t>
        </is>
      </c>
      <c r="BD35" s="36" t="n">
        <v>300</v>
      </c>
      <c r="BE35" s="21">
        <f>BF35/12</f>
        <v/>
      </c>
      <c r="BF35" s="39">
        <f>IFERROR(AR35*$BD35,0)</f>
        <v/>
      </c>
      <c r="BG35" s="39">
        <f>IFERROR(AS35*$BD35,0)</f>
        <v/>
      </c>
      <c r="BH35" s="39">
        <f>IFERROR(AT35*$BD35,0)</f>
        <v/>
      </c>
      <c r="BI35" s="39">
        <f>BH35*1.03</f>
        <v/>
      </c>
      <c r="BJ35" s="39">
        <f>BI35*1.03</f>
        <v/>
      </c>
      <c r="BK35" s="39">
        <f>BJ35*1.03</f>
        <v/>
      </c>
      <c r="BL35" s="39">
        <f>BK35*1.03</f>
        <v/>
      </c>
      <c r="BM35" s="39">
        <f>IFERROR(AY35*$BD35,0)</f>
        <v/>
      </c>
      <c r="BN35" s="39">
        <f>IFERROR(AZ35*$BD35,0)</f>
        <v/>
      </c>
      <c r="BO35" s="39">
        <f>IFERROR(BA35*$BD35,0)</f>
        <v/>
      </c>
      <c r="BP35" s="40" t="n"/>
      <c r="BQ35" s="40">
        <f>IF(VALUE(MID(BQ$5,6,1))&lt;=$D$2,((1+$BD$3)^1-1)*BG35,0)</f>
        <v/>
      </c>
      <c r="BR35" s="40">
        <f>IF(VALUE(MID(BR$5,6,1))&lt;=$D$2,((1+$BD$3)^2-1)*BH35,0)</f>
        <v/>
      </c>
      <c r="BS35" s="40">
        <f>IF(VALUE(MID(BS$5,6,1))&lt;=$D$2,((1+$BD$3)^3-1)*BI35,0)</f>
        <v/>
      </c>
      <c r="BT35" s="40">
        <f>IF(VALUE(MID(BT$5,6,1))&lt;=$D$2,((1+$BD$3)^4-1)*BJ35,0)</f>
        <v/>
      </c>
      <c r="BU35" s="40">
        <f>IF(VALUE(MID(BU$5,6,1))&lt;=$D$2,((1+$BD$3)^5-1)*BK35,0)</f>
        <v/>
      </c>
      <c r="BV35" s="40">
        <f>IF(VALUE(MID(BV$5,6,1))&lt;=$D$2,((1+$BD$3)^6-1)*BL35,0)</f>
        <v/>
      </c>
      <c r="BW35" s="40">
        <f>IF(VALUE(MID(BW$5,6,1))&lt;=$D$2,((1+$BD$3)^7-1)*BM35,0)</f>
        <v/>
      </c>
      <c r="BX35" s="40">
        <f>IF(VALUE(MID(BX$5,6,1))&lt;=$D$2,((1+$BD$3)^8-1)*BN35,0)</f>
        <v/>
      </c>
      <c r="BY35" s="40">
        <f>IF(VALUE(MID(BY$5,6,2))&lt;=$D$2,((1+$BD$3)^9-1)*BO35,0)</f>
        <v/>
      </c>
      <c r="BZ35" s="40">
        <f>SUM(BP35:BY35)</f>
        <v/>
      </c>
      <c r="CA35" s="37">
        <f>SUM(BZ35,BF35:BO35)</f>
        <v/>
      </c>
      <c r="CC35" s="102" t="n"/>
      <c r="CD35" s="12" t="n"/>
      <c r="CE35" s="14">
        <f>IF($CC35="Annual",1,IF($CC35="Monthly F",12,IF($CC35="Monthly V",CD35*12,IF($CC35="One-Time",1,CD35*12))))</f>
        <v/>
      </c>
      <c r="CF35" s="14">
        <f t="array" ref="CF35">IFERROR(_xlfn.IFS(VALUE(MID(CF$5,6,1))&gt;$D$2,0,$CC35="Annual",1,CE35=12,12,$CC35="Monthly V",CE35*(1+$D$3),$CC35="Monthly F",12,$CC35="One-Time",0),CE35*(1+$D$3))</f>
        <v/>
      </c>
      <c r="CG35" s="14">
        <f t="array" ref="CG35">IFERROR(_xlfn.IFS(VALUE(MID(CG$5,6,1))&gt;$D$2,0,$CC35="Annual",1,CF35=12,12,$CC35="Monthly V",CF35*(1+$D$3),$CC35="Monthly F",12,$CC35="One-Time",0),CF35*(1+$D$3))</f>
        <v/>
      </c>
      <c r="CH35" s="14">
        <f t="array" ref="CH35">IFERROR(_xlfn.IFS(VALUE(MID(CH$5,6,1))&gt;$D$2,0,$CC35="Annual",1,CG35=12,12,$CC35="Monthly V",CG35*(1+$D$3),$CC35="Monthly F",12,$CC35="One-Time",0),CG35*(1+$D$3))</f>
        <v/>
      </c>
      <c r="CI35" s="14">
        <f t="array" ref="CI35">IFERROR(_xlfn.IFS(VALUE(MID(CI$5,6,1))&gt;$D$2,0,$CC35="Annual",1,CH35=12,12,$CC35="Monthly V",CH35*(1+$D$3),$CC35="Monthly F",12,$CC35="One-Time",0),CH35*(1+$D$3))</f>
        <v/>
      </c>
      <c r="CJ35" s="14">
        <f t="array" ref="CJ35">IFERROR(_xlfn.IFS(VALUE(MID(CJ$5,6,1))&gt;$D$2,0,$CC35="Annual",1,CI35=12,12,$CC35="Monthly V",CI35*(1+$D$3),$CC35="Monthly F",12,$CC35="One-Time",0),CI35*(1+$D$3))</f>
        <v/>
      </c>
      <c r="CK35" s="14">
        <f t="array" ref="CK35">IFERROR(_xlfn.IFS(VALUE(MID(CK$5,6,1))&gt;$D$2,0,$CC35="Annual",1,CJ35=12,12,$CC35="Monthly V",CJ35*(1+$D$3),$CC35="Monthly F",12,$CC35="One-Time",0),CJ35*(1+$D$3))</f>
        <v/>
      </c>
      <c r="CL35" s="14">
        <f t="array" ref="CL35">IFERROR(_xlfn.IFS(VALUE(MID(CL$5,6,1))&gt;$D$2,0,$CC35="Annual",1,CK35=12,12,$CC35="Monthly V",CK35*(1+$D$3),$CC35="Monthly F",12,$CC35="One-Time",0),CK35*(1+$D$3))</f>
        <v/>
      </c>
      <c r="CM35" s="14">
        <f t="array" ref="CM35">IFERROR(_xlfn.IFS(VALUE(MID(CM$5,6,1))&gt;$D$2,0,$CC35="Annual",1,CL35=12,12,$CC35="Monthly V",CL35*(1+$D$3),$CC35="Monthly F",12,$CC35="One-Time",0),CL35*(1+$D$3))</f>
        <v/>
      </c>
      <c r="CN35" s="24">
        <f t="array" ref="CN35">IFERROR(_xlfn.IFS(VALUE(MID(CN$5,6,2))&gt;$D$2,0,$CC35="Annual",1,CM35=12,12,$CC35="Monthly V",CM35*(1+$D$3),$CC35="Monthly F",12,$CC35="One-Time",0),CM35*(1+$D$3))</f>
        <v/>
      </c>
      <c r="CO35" s="63" t="n"/>
      <c r="CP35" s="53" t="n"/>
      <c r="CQ35" s="21">
        <f>CR35/12</f>
        <v/>
      </c>
      <c r="CR35" s="55">
        <f>IFERROR(CE35*$CP35,0)</f>
        <v/>
      </c>
      <c r="CS35" s="55">
        <f>IFERROR(CF35*$CP35,0)</f>
        <v/>
      </c>
      <c r="CT35" s="55">
        <f>IFERROR(CG35*$CP35,0)</f>
        <v/>
      </c>
      <c r="CU35" s="55">
        <f>IFERROR(CH35*$CP35,0)</f>
        <v/>
      </c>
      <c r="CV35" s="55">
        <f>IFERROR(CI35*$CP35,0)</f>
        <v/>
      </c>
      <c r="CW35" s="55">
        <f>IFERROR(CJ35*$CP35,0)</f>
        <v/>
      </c>
      <c r="CX35" s="55">
        <f>IFERROR(CK35*$CP35,0)</f>
        <v/>
      </c>
      <c r="CY35" s="55">
        <f>IFERROR(CL35*$CP35,0)</f>
        <v/>
      </c>
      <c r="CZ35" s="55">
        <f>IFERROR(CM35*$CP35,0)</f>
        <v/>
      </c>
      <c r="DA35" s="55">
        <f>IFERROR(CN35*$CP35,0)</f>
        <v/>
      </c>
      <c r="DB35" s="56" t="n"/>
      <c r="DC35" s="56">
        <f>IF(VALUE(MID(DC$5,6,1))&lt;=$D$2,((1+$CP$3)^1-1)*CS35,0)</f>
        <v/>
      </c>
      <c r="DD35" s="56">
        <f>IF(VALUE(MID(DD$5,6,1))&lt;=$D$2,((1+$CP$3)^2-1)*CT35,0)</f>
        <v/>
      </c>
      <c r="DE35" s="56">
        <f>IF(VALUE(MID(DE$5,6,1))&lt;=$D$2,((1+$CP$3)^3-1)*CU35,0)</f>
        <v/>
      </c>
      <c r="DF35" s="56">
        <f>IF(VALUE(MID(DF$5,6,1))&lt;=$D$2,((1+$CP$3)^4-1)*CV35,0)</f>
        <v/>
      </c>
      <c r="DG35" s="56">
        <f>IF(VALUE(MID(DG$5,6,1))&lt;=$D$2,((1+$CP$3)^5-1)*CW35,0)</f>
        <v/>
      </c>
      <c r="DH35" s="56">
        <f>IF(VALUE(MID(DH$5,6,1))&lt;=$D$2,((1+$CP$3)^6-1)*CX35,0)</f>
        <v/>
      </c>
      <c r="DI35" s="56">
        <f>IF(VALUE(MID(DI$5,6,1))&lt;=$D$2,((1+$CP$3)^7-1)*CY35,0)</f>
        <v/>
      </c>
      <c r="DJ35" s="56">
        <f>IF(VALUE(MID(DJ$5,6,1))&lt;=$D$2,((1+$CP$3)^8-1)*CZ35,0)</f>
        <v/>
      </c>
      <c r="DK35" s="56">
        <f>IF(VALUE(MID(DK$5,6,2))&lt;=$D$2,((1+$CP$3)^9-1)*DA35,0)</f>
        <v/>
      </c>
      <c r="DL35" s="57">
        <f>SUM(DB35:DK35)</f>
        <v/>
      </c>
      <c r="DM35" s="54">
        <f>SUM(DL35,CR35:DA35)</f>
        <v/>
      </c>
      <c r="DO35" s="106" t="n"/>
    </row>
    <row r="36">
      <c r="B36" s="141" t="n"/>
      <c r="C36" s="24" t="n"/>
      <c r="D36" s="147">
        <f>IFERROR(AVERAGE(C36:C36),0)</f>
        <v/>
      </c>
      <c r="E36" s="142">
        <f>IF($B36="Annual",1,IF($B36="Monthly F",12,IF($B36="Monthly V",D36*12,IF($B36="One-Time",1,D36*12))))</f>
        <v/>
      </c>
      <c r="F36" s="14">
        <f t="array" ref="F36">IFERROR(_xlfn.IFS(VALUE(MID(F$5,6,1))&gt;$D$2,0,$B36="Annual",1,E36=12,12,$B36="Monthly V",E36*(1+$D$3),$B36="Monthly F",12,$B36="One-Time",0),E36*(1+$D$3))</f>
        <v/>
      </c>
      <c r="G36" s="14">
        <f t="array" ref="G36">IFERROR(_xlfn.IFS(VALUE(MID(G$5,6,1))&gt;$D$2,0,$B36="Annual",1,F36=12,12,$B36="Monthly V",F36*(1+$D$3),$B36="Monthly F",12,$B36="One-Time",0),F36*(1+$D$3))</f>
        <v/>
      </c>
      <c r="H36" s="14">
        <f t="array" ref="H36">IFERROR(_xlfn.IFS(VALUE(MID(H$5,6,1))&gt;$D$2,0,$B36="Annual",1,G36=12,12,$B36="Monthly V",G36*(1+$D$3),$B36="Monthly F",12,$B36="One-Time",0),G36*(1+$D$3))</f>
        <v/>
      </c>
      <c r="I36" s="14">
        <f t="array" ref="I36">IFERROR(_xlfn.IFS(VALUE(MID(I$5,6,1))&gt;$D$2,0,$B36="Annual",1,H36=12,12,$B36="Monthly V",H36*(1+$D$3),$B36="Monthly F",12,$B36="One-Time",0),H36*(1+$D$3))</f>
        <v/>
      </c>
      <c r="J36" s="14">
        <f>J33-5000</f>
        <v/>
      </c>
      <c r="K36" s="14">
        <f>K33-5000</f>
        <v/>
      </c>
      <c r="L36" s="14">
        <f t="array" ref="L36">IFERROR(_xlfn.IFS(VALUE(MID(L$5,6,1))&gt;$D$2,0,$B36="Annual",1,K36=12,12,$B36="Monthly V",K36*(1+$D$3),$B36="Monthly F",12,$B36="One-Time",0),K36*(1+$D$3))</f>
        <v/>
      </c>
      <c r="M36" s="14">
        <f t="array" ref="M36">IFERROR(_xlfn.IFS(VALUE(MID(M$5,6,1))&gt;$D$2,0,$B36="Annual",1,L36=12,12,$B36="Monthly V",L36*(1+$D$3),$B36="Monthly F",12,$B36="One-Time",0),L36*(1+$D$3))</f>
        <v/>
      </c>
      <c r="N36" s="24">
        <f t="array" ref="N36">IFERROR(_xlfn.IFS(VALUE(MID(N$5,6,2))&gt;$D$2,0,$B36="Annual",1,M36=12,12,$B36="Monthly V",M36*(1+$D$3),$B36="Monthly F",12,$B36="One-Time",0),M36*(1+$D$3))</f>
        <v/>
      </c>
      <c r="O36" s="127" t="inlineStr">
        <is>
          <t>Over 5,000, $1.20 per active user</t>
        </is>
      </c>
      <c r="P36" s="13" t="inlineStr">
        <is>
          <t>Card</t>
        </is>
      </c>
      <c r="Q36" s="20" t="n">
        <v>1.2</v>
      </c>
      <c r="R36" s="21">
        <f>S36/12</f>
        <v/>
      </c>
      <c r="S36" s="6">
        <f>IFERROR($Q36*E36,0)</f>
        <v/>
      </c>
      <c r="T36" s="6">
        <f>IFERROR($Q36*F36,0)</f>
        <v/>
      </c>
      <c r="U36" s="6">
        <f>IFERROR($Q36*G36,0)</f>
        <v/>
      </c>
      <c r="V36" s="6">
        <f>IFERROR($Q36*H36,0)</f>
        <v/>
      </c>
      <c r="W36" s="6">
        <f>IFERROR($Q36*I36,0)</f>
        <v/>
      </c>
      <c r="X36" s="6">
        <f>IFERROR($Q36*J36,0)</f>
        <v/>
      </c>
      <c r="Y36" s="6">
        <f>IFERROR($Q36*K36,0)</f>
        <v/>
      </c>
      <c r="Z36" s="6">
        <f>IFERROR($Q36*L36,0)</f>
        <v/>
      </c>
      <c r="AA36" s="6">
        <f>IFERROR($Q36*M36,0)</f>
        <v/>
      </c>
      <c r="AB36" s="6">
        <f>IFERROR($Q36*N36,0)</f>
        <v/>
      </c>
      <c r="AC36" s="7" t="n"/>
      <c r="AD36" s="152">
        <f>IF(VALUE(MID(AD$5,6,1))&lt;=$D$2,((1+$Q$3)^1-1)*T36,0)</f>
        <v/>
      </c>
      <c r="AE36" s="152">
        <f>IF(VALUE(MID(AE$5,6,1))&lt;=$D$2,((1+$Q$3)^2-1)*U36,0)</f>
        <v/>
      </c>
      <c r="AF36" s="152">
        <f>IF(VALUE(MID(AF$5,6,1))&lt;=$D$2,((1+$Q$3)^3-1)*V36,0)</f>
        <v/>
      </c>
      <c r="AG36" s="152">
        <f>IF(VALUE(MID(AG$5,6,1))&lt;=$D$2,((1+$Q$3)^4-1)*W36,0)</f>
        <v/>
      </c>
      <c r="AH36" s="152">
        <f>IF(VALUE(MID(AH$5,6,1))&lt;=$D$2,((1+$Q$3)^5-1)*X36,0)</f>
        <v/>
      </c>
      <c r="AI36" s="152">
        <f>IF(VALUE(MID(AI$5,6,1))&lt;=$D$2,((1+$Q$3)^6-1)*Y36,0)</f>
        <v/>
      </c>
      <c r="AJ36" s="152">
        <f>IF(VALUE(MID(AJ$5,6,1))&lt;=$D$2,((1+$Q$3)^7-1)*Z36,0)</f>
        <v/>
      </c>
      <c r="AK36" s="152">
        <f>IF(VALUE(MID(AK$5,6,1))&lt;=$D$2,((1+$Q$3)^8-1)*AA36,0)</f>
        <v/>
      </c>
      <c r="AL36" s="152">
        <f>IF(VALUE(MID(AL$5,6,2))&lt;=$D$2,((1+$Q$3)^9-1)*AB36,0)</f>
        <v/>
      </c>
      <c r="AM36" s="9">
        <f>SUM(AC36:AL36)</f>
        <v/>
      </c>
      <c r="AN36" s="80">
        <f>SUM(AM36,S36:AB36)</f>
        <v/>
      </c>
      <c r="AP36" s="102" t="inlineStr">
        <is>
          <t>Monthly F</t>
        </is>
      </c>
      <c r="AQ36" s="12" t="n">
        <v>1</v>
      </c>
      <c r="AR36" s="14">
        <f>IF($AP36="Annual",1,IF($AP36="Monthly F",12,IF($AP36="Monthly V",AQ36*12,IF($AP36="One-Time",1,AQ36*12))))</f>
        <v/>
      </c>
      <c r="AS36" s="14">
        <f t="array" ref="AS36">IFERROR(_xlfn.IFS(VALUE(MID(AS$5,6,1))&gt;$D$2,0,$AP36="Annual",1,AR36=12,12,$AP36="Monthly V",AR36*(1+$BD$2),$AP36="Monthly F",12,$AP36="One-Time",0),AR36*(1+$BD$2))</f>
        <v/>
      </c>
      <c r="AT36" s="14">
        <f t="array" ref="AT36">IFERROR(_xlfn.IFS(VALUE(MID(AT$5,6,1))&gt;$D$2,0,$AP36="Annual",1,AS36=12,12,$AP36="Monthly V",AS36*(1+$BD$2),$AP36="Monthly F",12,$AP36="One-Time",0),AS36*(1+$BD$2))</f>
        <v/>
      </c>
      <c r="AU36" s="14">
        <f t="array" ref="AU36">IFERROR(_xlfn.IFS(VALUE(MID(AU$5,6,1))&gt;$D$2,0,$AP36="Annual",1,AT36=12,12,$AP36="Monthly V",AT36*(1+$BD$2),$AP36="Monthly F",12,$AP36="One-Time",0),AT36*(1+$BD$2))</f>
        <v/>
      </c>
      <c r="AV36" s="14">
        <f t="array" ref="AV36">IFERROR(_xlfn.IFS(VALUE(MID(AV$5,6,1))&gt;$D$2,0,$AP36="Annual",1,AU36=12,12,$AP36="Monthly V",AU36*(1+$BD$2),$AP36="Monthly F",12,$AP36="One-Time",0),AU36*(1+$BD$2))</f>
        <v/>
      </c>
      <c r="AW36" s="14">
        <f t="array" ref="AW36">IFERROR(_xlfn.IFS(VALUE(MID(AW$5,6,1))&gt;$D$2,0,$AP36="Annual",1,AV36=12,12,$AP36="Monthly V",AV36*(1+$BD$2),$AP36="Monthly F",12,$AP36="One-Time",0),AV36*(1+$BD$2))</f>
        <v/>
      </c>
      <c r="AX36" s="14">
        <f t="array" ref="AX36">IFERROR(_xlfn.IFS(VALUE(MID(AX$5,6,1))&gt;$D$2,0,$AP36="Annual",1,AW36=12,12,$AP36="Monthly V",AW36*(1+$BD$2),$AP36="Monthly F",12,$AP36="One-Time",0),AW36*(1+$BD$2))</f>
        <v/>
      </c>
      <c r="AY36" s="14">
        <f t="array" ref="AY36">IFERROR(_xlfn.IFS(VALUE(MID(AY$5,6,1))&gt;$D$2,0,$AP36="Annual",1,AX36=12,12,$AP36="Monthly V",AX36*(1+$D$3),$AP36="Monthly F",12,$AP36="One-Time",0),AX36*(1+$D$3))</f>
        <v/>
      </c>
      <c r="AZ36" s="14">
        <f t="array" ref="AZ36">IFERROR(_xlfn.IFS(VALUE(MID(AZ$5,6,1))&gt;$D$2,0,$AP36="Annual",1,AY36=12,12,$AP36="Monthly V",AY36*(1+$D$3),$AP36="Monthly F",12,$AP36="One-Time",0),AY36*(1+$D$3))</f>
        <v/>
      </c>
      <c r="BA36" s="125">
        <f t="array" ref="BA36">IFERROR(_xlfn.IFS(VALUE(MID(BA$5,6,2))&gt;$D$2,0,$AP36="Annual",1,AZ36=12,12,$AP36="Monthly V",AZ36*(1+$D$3),$AP36="Monthly F",12,$AP36="One-Time",0),AZ36*(1+$D$3))</f>
        <v/>
      </c>
      <c r="BB36" s="148" t="inlineStr">
        <is>
          <t>Parascript CAR/LAR</t>
        </is>
      </c>
      <c r="BC36" s="38" t="inlineStr">
        <is>
          <t>Enterprise Payment Solutions (EPS)</t>
        </is>
      </c>
      <c r="BD36" s="36" t="n">
        <v>100</v>
      </c>
      <c r="BE36" s="21">
        <f>BF36/12</f>
        <v/>
      </c>
      <c r="BF36" s="39">
        <f>IFERROR(AR36*$BD36,0)</f>
        <v/>
      </c>
      <c r="BG36" s="39">
        <f>IFERROR(AS36*$BD36,0)</f>
        <v/>
      </c>
      <c r="BH36" s="39">
        <f>IFERROR(AT36*$BD36,0)</f>
        <v/>
      </c>
      <c r="BI36" s="39">
        <f>BH36*1.03</f>
        <v/>
      </c>
      <c r="BJ36" s="39">
        <f>BI36*1.03</f>
        <v/>
      </c>
      <c r="BK36" s="39">
        <f>BJ36*1.03</f>
        <v/>
      </c>
      <c r="BL36" s="39">
        <f>BK36*1.03</f>
        <v/>
      </c>
      <c r="BM36" s="39">
        <f>IFERROR(AY36*$BD36,0)</f>
        <v/>
      </c>
      <c r="BN36" s="39">
        <f>IFERROR(AZ36*$BD36,0)</f>
        <v/>
      </c>
      <c r="BO36" s="39">
        <f>IFERROR(BA36*$BD36,0)</f>
        <v/>
      </c>
      <c r="BP36" s="40" t="n"/>
      <c r="BQ36" s="40">
        <f>IF(VALUE(MID(BQ$5,6,1))&lt;=$D$2,((1+$BD$3)^1-1)*BG36,0)</f>
        <v/>
      </c>
      <c r="BR36" s="40">
        <f>IF(VALUE(MID(BR$5,6,1))&lt;=$D$2,((1+$BD$3)^2-1)*BH36,0)</f>
        <v/>
      </c>
      <c r="BS36" s="40">
        <f>IF(VALUE(MID(BS$5,6,1))&lt;=$D$2,((1+$BD$3)^3-1)*BI36,0)</f>
        <v/>
      </c>
      <c r="BT36" s="40">
        <f>IF(VALUE(MID(BT$5,6,1))&lt;=$D$2,((1+$BD$3)^4-1)*BJ36,0)</f>
        <v/>
      </c>
      <c r="BU36" s="40">
        <f>IF(VALUE(MID(BU$5,6,1))&lt;=$D$2,((1+$BD$3)^5-1)*BK36,0)</f>
        <v/>
      </c>
      <c r="BV36" s="40">
        <f>IF(VALUE(MID(BV$5,6,1))&lt;=$D$2,((1+$BD$3)^6-1)*BL36,0)</f>
        <v/>
      </c>
      <c r="BW36" s="40">
        <f>IF(VALUE(MID(BW$5,6,1))&lt;=$D$2,((1+$BD$3)^7-1)*BM36,0)</f>
        <v/>
      </c>
      <c r="BX36" s="40">
        <f>IF(VALUE(MID(BX$5,6,1))&lt;=$D$2,((1+$BD$3)^8-1)*BN36,0)</f>
        <v/>
      </c>
      <c r="BY36" s="40">
        <f>IF(VALUE(MID(BY$5,6,2))&lt;=$D$2,((1+$BD$3)^9-1)*BO36,0)</f>
        <v/>
      </c>
      <c r="BZ36" s="40">
        <f>SUM(BP36:BY36)</f>
        <v/>
      </c>
      <c r="CA36" s="37">
        <f>SUM(BZ36,BF36:BO36)</f>
        <v/>
      </c>
      <c r="CC36" s="102" t="n"/>
      <c r="CD36" s="12" t="n"/>
      <c r="CE36" s="14">
        <f>IF($CC36="Annual",1,IF($CC36="Monthly F",12,IF($CC36="Monthly V",CD36*12,IF($CC36="One-Time",1,CD36*12))))</f>
        <v/>
      </c>
      <c r="CF36" s="14">
        <f t="array" ref="CF36">IFERROR(_xlfn.IFS(VALUE(MID(CF$5,6,1))&gt;$D$2,0,$CC36="Annual",1,CE36=12,12,$CC36="Monthly V",CE36*(1+$D$3),$CC36="Monthly F",12,$CC36="One-Time",0),CE36*(1+$D$3))</f>
        <v/>
      </c>
      <c r="CG36" s="14">
        <f t="array" ref="CG36">IFERROR(_xlfn.IFS(VALUE(MID(CG$5,6,1))&gt;$D$2,0,$CC36="Annual",1,CF36=12,12,$CC36="Monthly V",CF36*(1+$D$3),$CC36="Monthly F",12,$CC36="One-Time",0),CF36*(1+$D$3))</f>
        <v/>
      </c>
      <c r="CH36" s="14">
        <f t="array" ref="CH36">IFERROR(_xlfn.IFS(VALUE(MID(CH$5,6,1))&gt;$D$2,0,$CC36="Annual",1,CG36=12,12,$CC36="Monthly V",CG36*(1+$D$3),$CC36="Monthly F",12,$CC36="One-Time",0),CG36*(1+$D$3))</f>
        <v/>
      </c>
      <c r="CI36" s="14">
        <f t="array" ref="CI36">IFERROR(_xlfn.IFS(VALUE(MID(CI$5,6,1))&gt;$D$2,0,$CC36="Annual",1,CH36=12,12,$CC36="Monthly V",CH36*(1+$D$3),$CC36="Monthly F",12,$CC36="One-Time",0),CH36*(1+$D$3))</f>
        <v/>
      </c>
      <c r="CJ36" s="14">
        <f t="array" ref="CJ36">IFERROR(_xlfn.IFS(VALUE(MID(CJ$5,6,1))&gt;$D$2,0,$CC36="Annual",1,CI36=12,12,$CC36="Monthly V",CI36*(1+$D$3),$CC36="Monthly F",12,$CC36="One-Time",0),CI36*(1+$D$3))</f>
        <v/>
      </c>
      <c r="CK36" s="14">
        <f t="array" ref="CK36">IFERROR(_xlfn.IFS(VALUE(MID(CK$5,6,1))&gt;$D$2,0,$CC36="Annual",1,CJ36=12,12,$CC36="Monthly V",CJ36*(1+$D$3),$CC36="Monthly F",12,$CC36="One-Time",0),CJ36*(1+$D$3))</f>
        <v/>
      </c>
      <c r="CL36" s="14">
        <f t="array" ref="CL36">IFERROR(_xlfn.IFS(VALUE(MID(CL$5,6,1))&gt;$D$2,0,$CC36="Annual",1,CK36=12,12,$CC36="Monthly V",CK36*(1+$D$3),$CC36="Monthly F",12,$CC36="One-Time",0),CK36*(1+$D$3))</f>
        <v/>
      </c>
      <c r="CM36" s="14">
        <f t="array" ref="CM36">IFERROR(_xlfn.IFS(VALUE(MID(CM$5,6,1))&gt;$D$2,0,$CC36="Annual",1,CL36=12,12,$CC36="Monthly V",CL36*(1+$D$3),$CC36="Monthly F",12,$CC36="One-Time",0),CL36*(1+$D$3))</f>
        <v/>
      </c>
      <c r="CN36" s="24">
        <f t="array" ref="CN36">IFERROR(_xlfn.IFS(VALUE(MID(CN$5,6,2))&gt;$D$2,0,$CC36="Annual",1,CM36=12,12,$CC36="Monthly V",CM36*(1+$D$3),$CC36="Monthly F",12,$CC36="One-Time",0),CM36*(1+$D$3))</f>
        <v/>
      </c>
      <c r="CO36" s="63" t="n"/>
      <c r="CP36" s="53" t="n"/>
      <c r="CQ36" s="21">
        <f>CR36/12</f>
        <v/>
      </c>
      <c r="CR36" s="55">
        <f>IFERROR(CE36*$CP36,0)</f>
        <v/>
      </c>
      <c r="CS36" s="55">
        <f>IFERROR(CF36*$CP36,0)</f>
        <v/>
      </c>
      <c r="CT36" s="55">
        <f>IFERROR(CG36*$CP36,0)</f>
        <v/>
      </c>
      <c r="CU36" s="55">
        <f>IFERROR(CH36*$CP36,0)</f>
        <v/>
      </c>
      <c r="CV36" s="55">
        <f>IFERROR(CI36*$CP36,0)</f>
        <v/>
      </c>
      <c r="CW36" s="55">
        <f>IFERROR(CJ36*$CP36,0)</f>
        <v/>
      </c>
      <c r="CX36" s="55">
        <f>IFERROR(CK36*$CP36,0)</f>
        <v/>
      </c>
      <c r="CY36" s="55">
        <f>IFERROR(CL36*$CP36,0)</f>
        <v/>
      </c>
      <c r="CZ36" s="55">
        <f>IFERROR(CM36*$CP36,0)</f>
        <v/>
      </c>
      <c r="DA36" s="55">
        <f>IFERROR(CN36*$CP36,0)</f>
        <v/>
      </c>
      <c r="DB36" s="56" t="n"/>
      <c r="DC36" s="56">
        <f>IF(VALUE(MID(DC$5,6,1))&lt;=$D$2,((1+$CP$3)^1-1)*CS36,0)</f>
        <v/>
      </c>
      <c r="DD36" s="56">
        <f>IF(VALUE(MID(DD$5,6,1))&lt;=$D$2,((1+$CP$3)^2-1)*CT36,0)</f>
        <v/>
      </c>
      <c r="DE36" s="56">
        <f>IF(VALUE(MID(DE$5,6,1))&lt;=$D$2,((1+$CP$3)^3-1)*CU36,0)</f>
        <v/>
      </c>
      <c r="DF36" s="56">
        <f>IF(VALUE(MID(DF$5,6,1))&lt;=$D$2,((1+$CP$3)^4-1)*CV36,0)</f>
        <v/>
      </c>
      <c r="DG36" s="56">
        <f>IF(VALUE(MID(DG$5,6,1))&lt;=$D$2,((1+$CP$3)^5-1)*CW36,0)</f>
        <v/>
      </c>
      <c r="DH36" s="56">
        <f>IF(VALUE(MID(DH$5,6,1))&lt;=$D$2,((1+$CP$3)^6-1)*CX36,0)</f>
        <v/>
      </c>
      <c r="DI36" s="56">
        <f>IF(VALUE(MID(DI$5,6,1))&lt;=$D$2,((1+$CP$3)^7-1)*CY36,0)</f>
        <v/>
      </c>
      <c r="DJ36" s="56">
        <f>IF(VALUE(MID(DJ$5,6,1))&lt;=$D$2,((1+$CP$3)^8-1)*CZ36,0)</f>
        <v/>
      </c>
      <c r="DK36" s="56">
        <f>IF(VALUE(MID(DK$5,6,2))&lt;=$D$2,((1+$CP$3)^9-1)*DA36,0)</f>
        <v/>
      </c>
      <c r="DL36" s="57">
        <f>SUM(DB36:DK36)</f>
        <v/>
      </c>
      <c r="DM36" s="54">
        <f>SUM(DL36,CR36:DA36)</f>
        <v/>
      </c>
      <c r="DO36" s="106" t="n"/>
    </row>
    <row r="37">
      <c r="B37" s="141" t="n"/>
      <c r="C37" s="24" t="n"/>
      <c r="D37" s="147" t="n"/>
      <c r="E37" s="142" t="n"/>
      <c r="F37" s="14" t="n"/>
      <c r="G37" s="14" t="n"/>
      <c r="H37" s="14" t="n"/>
      <c r="I37" s="14" t="n"/>
      <c r="J37" s="14" t="n"/>
      <c r="K37" s="14" t="n"/>
      <c r="L37" s="14" t="n"/>
      <c r="M37" s="14" t="n"/>
      <c r="N37" s="24" t="n"/>
      <c r="O37" s="157" t="inlineStr">
        <is>
          <t>PaymentsOne Debit Card Fraud Case Investigation Sheets</t>
        </is>
      </c>
      <c r="P37" s="13" t="n"/>
      <c r="Q37" s="20" t="n"/>
      <c r="R37" s="21">
        <f>S37/12</f>
        <v/>
      </c>
      <c r="S37" s="6">
        <f>IFERROR($Q37*E37,0)</f>
        <v/>
      </c>
      <c r="T37" s="6">
        <f>IFERROR($Q37*F37,0)</f>
        <v/>
      </c>
      <c r="U37" s="6">
        <f>IFERROR($Q37*G37,0)</f>
        <v/>
      </c>
      <c r="V37" s="6">
        <f>IFERROR($Q37*H37,0)</f>
        <v/>
      </c>
      <c r="W37" s="6">
        <f>IFERROR($Q37*I37,0)</f>
        <v/>
      </c>
      <c r="X37" s="6">
        <f>IFERROR($Q37*J37,0)</f>
        <v/>
      </c>
      <c r="Y37" s="6">
        <f>IFERROR($Q37*K37,0)</f>
        <v/>
      </c>
      <c r="Z37" s="6">
        <f>IFERROR($Q37*L37,0)</f>
        <v/>
      </c>
      <c r="AA37" s="6">
        <f>IFERROR($Q37*M37,0)</f>
        <v/>
      </c>
      <c r="AB37" s="6">
        <f>IFERROR($Q37*N37,0)</f>
        <v/>
      </c>
      <c r="AC37" s="7" t="n"/>
      <c r="AD37" s="152">
        <f>IF(VALUE(MID(AD$5,6,1))&lt;=$D$2,((1+$Q$3)^1-1)*T37,0)</f>
        <v/>
      </c>
      <c r="AE37" s="152">
        <f>IF(VALUE(MID(AE$5,6,1))&lt;=$D$2,((1+$Q$3)^2-1)*U37,0)</f>
        <v/>
      </c>
      <c r="AF37" s="152">
        <f>IF(VALUE(MID(AF$5,6,1))&lt;=$D$2,((1+$Q$3)^3-1)*V37,0)</f>
        <v/>
      </c>
      <c r="AG37" s="152">
        <f>IF(VALUE(MID(AG$5,6,1))&lt;=$D$2,((1+$Q$3)^4-1)*W37,0)</f>
        <v/>
      </c>
      <c r="AH37" s="152">
        <f>IF(VALUE(MID(AH$5,6,1))&lt;=$D$2,((1+$Q$3)^5-1)*X37,0)</f>
        <v/>
      </c>
      <c r="AI37" s="152">
        <f>IF(VALUE(MID(AI$5,6,1))&lt;=$D$2,((1+$Q$3)^6-1)*Y37,0)</f>
        <v/>
      </c>
      <c r="AJ37" s="152">
        <f>IF(VALUE(MID(AJ$5,6,1))&lt;=$D$2,((1+$Q$3)^7-1)*Z37,0)</f>
        <v/>
      </c>
      <c r="AK37" s="152">
        <f>IF(VALUE(MID(AK$5,6,1))&lt;=$D$2,((1+$Q$3)^8-1)*AA37,0)</f>
        <v/>
      </c>
      <c r="AL37" s="152">
        <f>IF(VALUE(MID(AL$5,6,2))&lt;=$D$2,((1+$Q$3)^9-1)*AB37,0)</f>
        <v/>
      </c>
      <c r="AM37" s="9">
        <f>SUM(AC37:AL37)</f>
        <v/>
      </c>
      <c r="AN37" s="80">
        <f>SUM(AM37,S37:AB37)</f>
        <v/>
      </c>
      <c r="AP37" s="102" t="inlineStr">
        <is>
          <t>Monthly F</t>
        </is>
      </c>
      <c r="AQ37" s="12" t="n">
        <v>1</v>
      </c>
      <c r="AR37" s="14">
        <f>IF($AP37="Annual",1,IF($AP37="Monthly F",12,IF($AP37="Monthly V",AQ37*12,IF($AP37="One-Time",1,AQ37*12))))</f>
        <v/>
      </c>
      <c r="AS37" s="14">
        <f t="array" ref="AS37">IFERROR(_xlfn.IFS(VALUE(MID(AS$5,6,1))&gt;$D$2,0,$AP37="Annual",1,AR37=12,12,$AP37="Monthly V",AR37*(1+$BD$2),$AP37="Monthly F",12,$AP37="One-Time",0),AR37*(1+$BD$2))</f>
        <v/>
      </c>
      <c r="AT37" s="14">
        <f t="array" ref="AT37">IFERROR(_xlfn.IFS(VALUE(MID(AT$5,6,1))&gt;$D$2,0,$AP37="Annual",1,AS37=12,12,$AP37="Monthly V",AS37*(1+$BD$2),$AP37="Monthly F",12,$AP37="One-Time",0),AS37*(1+$BD$2))</f>
        <v/>
      </c>
      <c r="AU37" s="14">
        <f t="array" ref="AU37">IFERROR(_xlfn.IFS(VALUE(MID(AU$5,6,1))&gt;$D$2,0,$AP37="Annual",1,AT37=12,12,$AP37="Monthly V",AT37*(1+$BD$2),$AP37="Monthly F",12,$AP37="One-Time",0),AT37*(1+$BD$2))</f>
        <v/>
      </c>
      <c r="AV37" s="14">
        <f t="array" ref="AV37">IFERROR(_xlfn.IFS(VALUE(MID(AV$5,6,1))&gt;$D$2,0,$AP37="Annual",1,AU37=12,12,$AP37="Monthly V",AU37*(1+$BD$2),$AP37="Monthly F",12,$AP37="One-Time",0),AU37*(1+$BD$2))</f>
        <v/>
      </c>
      <c r="AW37" s="14">
        <f t="array" ref="AW37">IFERROR(_xlfn.IFS(VALUE(MID(AW$5,6,1))&gt;$D$2,0,$AP37="Annual",1,AV37=12,12,$AP37="Monthly V",AV37*(1+$BD$2),$AP37="Monthly F",12,$AP37="One-Time",0),AV37*(1+$BD$2))</f>
        <v/>
      </c>
      <c r="AX37" s="14">
        <f t="array" ref="AX37">IFERROR(_xlfn.IFS(VALUE(MID(AX$5,6,1))&gt;$D$2,0,$AP37="Annual",1,AW37=12,12,$AP37="Monthly V",AW37*(1+$BD$2),$AP37="Monthly F",12,$AP37="One-Time",0),AW37*(1+$BD$2))</f>
        <v/>
      </c>
      <c r="AY37" s="14">
        <f t="array" ref="AY37">IFERROR(_xlfn.IFS(VALUE(MID(AY$5,6,1))&gt;$D$2,0,$AP37="Annual",1,AX37=12,12,$AP37="Monthly V",AX37*(1+$D$3),$AP37="Monthly F",12,$AP37="One-Time",0),AX37*(1+$D$3))</f>
        <v/>
      </c>
      <c r="AZ37" s="14">
        <f t="array" ref="AZ37">IFERROR(_xlfn.IFS(VALUE(MID(AZ$5,6,1))&gt;$D$2,0,$AP37="Annual",1,AY37=12,12,$AP37="Monthly V",AY37*(1+$D$3),$AP37="Monthly F",12,$AP37="One-Time",0),AY37*(1+$D$3))</f>
        <v/>
      </c>
      <c r="BA37" s="125">
        <f t="array" ref="BA37">IFERROR(_xlfn.IFS(VALUE(MID(BA$5,6,2))&gt;$D$2,0,$AP37="Annual",1,AZ37=12,12,$AP37="Monthly V",AZ37*(1+$D$3),$AP37="Monthly F",12,$AP37="One-Time",0),AZ37*(1+$D$3))</f>
        <v/>
      </c>
      <c r="BB37" s="148" t="inlineStr">
        <is>
          <t>JHA Debit Processing</t>
        </is>
      </c>
      <c r="BC37" s="38" t="inlineStr">
        <is>
          <t>Card Processing Solutions (CPS)</t>
        </is>
      </c>
      <c r="BD37" s="36" t="n">
        <v>650</v>
      </c>
      <c r="BE37" s="21">
        <f>BF37/12</f>
        <v/>
      </c>
      <c r="BF37" s="39">
        <f>IFERROR(AR37*$BD37,0)</f>
        <v/>
      </c>
      <c r="BG37" s="39">
        <f>IFERROR(AS37*$BD37,0)</f>
        <v/>
      </c>
      <c r="BH37" s="39">
        <f>IFERROR(AT37*$BD37,0)</f>
        <v/>
      </c>
      <c r="BI37" s="39">
        <f>BH37*1.03</f>
        <v/>
      </c>
      <c r="BJ37" s="39">
        <f>BI37*1.03</f>
        <v/>
      </c>
      <c r="BK37" s="39">
        <f>BJ37*1.03</f>
        <v/>
      </c>
      <c r="BL37" s="39">
        <f>BK37*1.03</f>
        <v/>
      </c>
      <c r="BM37" s="39">
        <f>IFERROR(AY37*$BD37,0)</f>
        <v/>
      </c>
      <c r="BN37" s="39">
        <f>IFERROR(AZ37*$BD37,0)</f>
        <v/>
      </c>
      <c r="BO37" s="39">
        <f>IFERROR(BA37*$BD37,0)</f>
        <v/>
      </c>
      <c r="BP37" s="40" t="n"/>
      <c r="BQ37" s="40">
        <f>IF(VALUE(MID(BQ$5,6,1))&lt;=$D$2,((1+$BD$3)^1-1)*BG37,0)</f>
        <v/>
      </c>
      <c r="BR37" s="40">
        <f>IF(VALUE(MID(BR$5,6,1))&lt;=$D$2,((1+$BD$3)^2-1)*BH37,0)</f>
        <v/>
      </c>
      <c r="BS37" s="40">
        <f>IF(VALUE(MID(BS$5,6,1))&lt;=$D$2,((1+$BD$3)^3-1)*BI37,0)</f>
        <v/>
      </c>
      <c r="BT37" s="40">
        <f>IF(VALUE(MID(BT$5,6,1))&lt;=$D$2,((1+$BD$3)^4-1)*BJ37,0)</f>
        <v/>
      </c>
      <c r="BU37" s="40">
        <f>IF(VALUE(MID(BU$5,6,1))&lt;=$D$2,((1+$BD$3)^5-1)*BK37,0)</f>
        <v/>
      </c>
      <c r="BV37" s="40">
        <f>IF(VALUE(MID(BV$5,6,1))&lt;=$D$2,((1+$BD$3)^6-1)*BL37,0)</f>
        <v/>
      </c>
      <c r="BW37" s="40">
        <f>IF(VALUE(MID(BW$5,6,1))&lt;=$D$2,((1+$BD$3)^7-1)*BM37,0)</f>
        <v/>
      </c>
      <c r="BX37" s="40">
        <f>IF(VALUE(MID(BX$5,6,1))&lt;=$D$2,((1+$BD$3)^8-1)*BN37,0)</f>
        <v/>
      </c>
      <c r="BY37" s="40">
        <f>IF(VALUE(MID(BY$5,6,2))&lt;=$D$2,((1+$BD$3)^9-1)*BO37,0)</f>
        <v/>
      </c>
      <c r="BZ37" s="40">
        <f>SUM(BP37:BY37)</f>
        <v/>
      </c>
      <c r="CA37" s="37">
        <f>SUM(BZ37,BF37:BO37)</f>
        <v/>
      </c>
      <c r="CC37" s="102" t="n"/>
      <c r="CD37" s="12" t="n"/>
      <c r="CE37" s="14">
        <f>IF($CC37="Annual",1,IF($CC37="Monthly F",12,IF($CC37="Monthly V",CD37*12,IF($CC37="One-Time",1,CD37*12))))</f>
        <v/>
      </c>
      <c r="CF37" s="14">
        <f t="array" ref="CF37">IFERROR(_xlfn.IFS(VALUE(MID(CF$5,6,1))&gt;$D$2,0,$CC37="Annual",1,CE37=12,12,$CC37="Monthly V",CE37*(1+$D$3),$CC37="Monthly F",12,$CC37="One-Time",0),CE37*(1+$D$3))</f>
        <v/>
      </c>
      <c r="CG37" s="14">
        <f t="array" ref="CG37">IFERROR(_xlfn.IFS(VALUE(MID(CG$5,6,1))&gt;$D$2,0,$CC37="Annual",1,CF37=12,12,$CC37="Monthly V",CF37*(1+$D$3),$CC37="Monthly F",12,$CC37="One-Time",0),CF37*(1+$D$3))</f>
        <v/>
      </c>
      <c r="CH37" s="14">
        <f t="array" ref="CH37">IFERROR(_xlfn.IFS(VALUE(MID(CH$5,6,1))&gt;$D$2,0,$CC37="Annual",1,CG37=12,12,$CC37="Monthly V",CG37*(1+$D$3),$CC37="Monthly F",12,$CC37="One-Time",0),CG37*(1+$D$3))</f>
        <v/>
      </c>
      <c r="CI37" s="14">
        <f t="array" ref="CI37">IFERROR(_xlfn.IFS(VALUE(MID(CI$5,6,1))&gt;$D$2,0,$CC37="Annual",1,CH37=12,12,$CC37="Monthly V",CH37*(1+$D$3),$CC37="Monthly F",12,$CC37="One-Time",0),CH37*(1+$D$3))</f>
        <v/>
      </c>
      <c r="CJ37" s="14">
        <f t="array" ref="CJ37">IFERROR(_xlfn.IFS(VALUE(MID(CJ$5,6,1))&gt;$D$2,0,$CC37="Annual",1,CI37=12,12,$CC37="Monthly V",CI37*(1+$D$3),$CC37="Monthly F",12,$CC37="One-Time",0),CI37*(1+$D$3))</f>
        <v/>
      </c>
      <c r="CK37" s="14">
        <f t="array" ref="CK37">IFERROR(_xlfn.IFS(VALUE(MID(CK$5,6,1))&gt;$D$2,0,$CC37="Annual",1,CJ37=12,12,$CC37="Monthly V",CJ37*(1+$D$3),$CC37="Monthly F",12,$CC37="One-Time",0),CJ37*(1+$D$3))</f>
        <v/>
      </c>
      <c r="CL37" s="14">
        <f t="array" ref="CL37">IFERROR(_xlfn.IFS(VALUE(MID(CL$5,6,1))&gt;$D$2,0,$CC37="Annual",1,CK37=12,12,$CC37="Monthly V",CK37*(1+$D$3),$CC37="Monthly F",12,$CC37="One-Time",0),CK37*(1+$D$3))</f>
        <v/>
      </c>
      <c r="CM37" s="14">
        <f t="array" ref="CM37">IFERROR(_xlfn.IFS(VALUE(MID(CM$5,6,1))&gt;$D$2,0,$CC37="Annual",1,CL37=12,12,$CC37="Monthly V",CL37*(1+$D$3),$CC37="Monthly F",12,$CC37="One-Time",0),CL37*(1+$D$3))</f>
        <v/>
      </c>
      <c r="CN37" s="24">
        <f t="array" ref="CN37">IFERROR(_xlfn.IFS(VALUE(MID(CN$5,6,2))&gt;$D$2,0,$CC37="Annual",1,CM37=12,12,$CC37="Monthly V",CM37*(1+$D$3),$CC37="Monthly F",12,$CC37="One-Time",0),CM37*(1+$D$3))</f>
        <v/>
      </c>
      <c r="CO37" s="63" t="n"/>
      <c r="CP37" s="53" t="n"/>
      <c r="CQ37" s="21">
        <f>CR37/12</f>
        <v/>
      </c>
      <c r="CR37" s="55">
        <f>IFERROR(CE37*$CP37,0)</f>
        <v/>
      </c>
      <c r="CS37" s="55">
        <f>IFERROR(CF37*$CP37,0)</f>
        <v/>
      </c>
      <c r="CT37" s="55">
        <f>IFERROR(CG37*$CP37,0)</f>
        <v/>
      </c>
      <c r="CU37" s="55">
        <f>IFERROR(CH37*$CP37,0)</f>
        <v/>
      </c>
      <c r="CV37" s="55">
        <f>IFERROR(CI37*$CP37,0)</f>
        <v/>
      </c>
      <c r="CW37" s="55">
        <f>IFERROR(CJ37*$CP37,0)</f>
        <v/>
      </c>
      <c r="CX37" s="55">
        <f>IFERROR(CK37*$CP37,0)</f>
        <v/>
      </c>
      <c r="CY37" s="55">
        <f>IFERROR(CL37*$CP37,0)</f>
        <v/>
      </c>
      <c r="CZ37" s="55">
        <f>IFERROR(CM37*$CP37,0)</f>
        <v/>
      </c>
      <c r="DA37" s="55">
        <f>IFERROR(CN37*$CP37,0)</f>
        <v/>
      </c>
      <c r="DB37" s="56" t="n"/>
      <c r="DC37" s="56">
        <f>IF(VALUE(MID(DC$5,6,1))&lt;=$D$2,((1+$CP$3)^1-1)*CS37,0)</f>
        <v/>
      </c>
      <c r="DD37" s="56">
        <f>IF(VALUE(MID(DD$5,6,1))&lt;=$D$2,((1+$CP$3)^2-1)*CT37,0)</f>
        <v/>
      </c>
      <c r="DE37" s="56">
        <f>IF(VALUE(MID(DE$5,6,1))&lt;=$D$2,((1+$CP$3)^3-1)*CU37,0)</f>
        <v/>
      </c>
      <c r="DF37" s="56">
        <f>IF(VALUE(MID(DF$5,6,1))&lt;=$D$2,((1+$CP$3)^4-1)*CV37,0)</f>
        <v/>
      </c>
      <c r="DG37" s="56">
        <f>IF(VALUE(MID(DG$5,6,1))&lt;=$D$2,((1+$CP$3)^5-1)*CW37,0)</f>
        <v/>
      </c>
      <c r="DH37" s="56">
        <f>IF(VALUE(MID(DH$5,6,1))&lt;=$D$2,((1+$CP$3)^6-1)*CX37,0)</f>
        <v/>
      </c>
      <c r="DI37" s="56">
        <f>IF(VALUE(MID(DI$5,6,1))&lt;=$D$2,((1+$CP$3)^7-1)*CY37,0)</f>
        <v/>
      </c>
      <c r="DJ37" s="56">
        <f>IF(VALUE(MID(DJ$5,6,1))&lt;=$D$2,((1+$CP$3)^8-1)*CZ37,0)</f>
        <v/>
      </c>
      <c r="DK37" s="56">
        <f>IF(VALUE(MID(DK$5,6,2))&lt;=$D$2,((1+$CP$3)^9-1)*DA37,0)</f>
        <v/>
      </c>
      <c r="DL37" s="57">
        <f>SUM(DB37:DK37)</f>
        <v/>
      </c>
      <c r="DM37" s="54">
        <f>SUM(DL37,CR37:DA37)</f>
        <v/>
      </c>
      <c r="DO37" s="106" t="n"/>
    </row>
    <row r="38">
      <c r="B38" s="141" t="inlineStr">
        <is>
          <t>Monthly F</t>
        </is>
      </c>
      <c r="C38" s="24" t="n"/>
      <c r="D38" s="147">
        <f>IFERROR(AVERAGE(C38:C38),0)</f>
        <v/>
      </c>
      <c r="E38" s="142">
        <f>IF($B38="Annual",1,IF($B38="Monthly F",12,IF($B38="Monthly V",D38*12,IF($B38="One-Time",1,D38*12))))</f>
        <v/>
      </c>
      <c r="F38" s="14">
        <f t="array" ref="F38">IFERROR(_xlfn.IFS(VALUE(MID(F$5,6,1))&gt;$D$2,0,$B38="Annual",1,E38=12,12,$B38="Monthly V",E38*(1+$D$3),$B38="Monthly F",12,$B38="One-Time",0),E38*(1+$D$3))</f>
        <v/>
      </c>
      <c r="G38" s="14">
        <f t="array" ref="G38">IFERROR(_xlfn.IFS(VALUE(MID(G$5,6,1))&gt;$D$2,0,$B38="Annual",1,F38=12,12,$B38="Monthly V",F38*(1+$D$3),$B38="Monthly F",12,$B38="One-Time",0),F38*(1+$D$3))</f>
        <v/>
      </c>
      <c r="H38" s="14">
        <f t="array" ref="H38">IFERROR(_xlfn.IFS(VALUE(MID(H$5,6,1))&gt;$D$2,0,$B38="Annual",1,G38=12,12,$B38="Monthly V",G38*(1+$D$3),$B38="Monthly F",12,$B38="One-Time",0),G38*(1+$D$3))</f>
        <v/>
      </c>
      <c r="I38" s="14">
        <f t="array" ref="I38">IFERROR(_xlfn.IFS(VALUE(MID(I$5,6,1))&gt;$D$2,0,$B38="Annual",1,H38=12,12,$B38="Monthly V",H38*(1+$D$3),$B38="Monthly F",12,$B38="One-Time",0),H38*(1+$D$3))</f>
        <v/>
      </c>
      <c r="J38" s="14">
        <f t="array" ref="J38">IFERROR(_xlfn.IFS(VALUE(MID(J$5,6,1))&gt;$D$2,0,$B38="Annual",1,I38=12,12,$B38="Monthly V",I38*(1+$D$3),$B38="Monthly F",12,$B38="One-Time",0),I38*(1+$D$3))</f>
        <v/>
      </c>
      <c r="K38" s="14">
        <f t="array" ref="K38">IFERROR(_xlfn.IFS(VALUE(MID(K$5,6,1))&gt;$D$2,0,$B38="Annual",1,J38=12,12,$B38="Monthly V",J38*(1+$D$3),$B38="Monthly F",12,$B38="One-Time",0),J38*(1+$D$3))</f>
        <v/>
      </c>
      <c r="L38" s="14">
        <f t="array" ref="L38">IFERROR(_xlfn.IFS(VALUE(MID(L$5,6,1))&gt;$D$2,0,$B38="Annual",1,K38=12,12,$B38="Monthly V",K38*(1+$D$3),$B38="Monthly F",12,$B38="One-Time",0),K38*(1+$D$3))</f>
        <v/>
      </c>
      <c r="M38" s="14">
        <f t="array" ref="M38">IFERROR(_xlfn.IFS(VALUE(MID(M$5,6,1))&gt;$D$2,0,$B38="Annual",1,L38=12,12,$B38="Monthly V",L38*(1+$D$3),$B38="Monthly F",12,$B38="One-Time",0),L38*(1+$D$3))</f>
        <v/>
      </c>
      <c r="N38" s="24">
        <f t="array" ref="N38">IFERROR(_xlfn.IFS(VALUE(MID(N$5,6,2))&gt;$D$2,0,$B38="Annual",1,M38=12,12,$B38="Monthly V",M38*(1+$D$3),$B38="Monthly F",12,$B38="One-Time",0),M38*(1+$D$3))</f>
        <v/>
      </c>
      <c r="O38" s="127" t="inlineStr">
        <is>
          <t>Monthly Minimum</t>
        </is>
      </c>
      <c r="P38" s="13" t="inlineStr">
        <is>
          <t>Payments One</t>
        </is>
      </c>
      <c r="Q38" s="20" t="n">
        <v>500</v>
      </c>
      <c r="R38" s="21">
        <f>S38/12</f>
        <v/>
      </c>
      <c r="S38" s="6">
        <f>IF(S39&lt;$Q$38*12,($Q$38*12)-S39,0)</f>
        <v/>
      </c>
      <c r="T38" s="6">
        <f>IF(T39&lt;$Q$38*12,($Q$38*12)-T39,0)</f>
        <v/>
      </c>
      <c r="U38" s="6">
        <f>IF(U39&lt;$Q$38*12,($Q$38*12)-U39,0)</f>
        <v/>
      </c>
      <c r="V38" s="6">
        <f>IF(V39&lt;$Q$38*12,($Q$38*12)-V39,0)</f>
        <v/>
      </c>
      <c r="W38" s="6">
        <f>IF(W39&lt;$Q$38*12,($Q$38*12)-W39,0)</f>
        <v/>
      </c>
      <c r="X38" s="6">
        <f>IF(X39&lt;$Q$38*12,($Q$38*12)-X39,0)</f>
        <v/>
      </c>
      <c r="Y38" s="6">
        <f>IF(Y39&lt;$Q$38*12,($Q$38*12)-Y39,0)</f>
        <v/>
      </c>
      <c r="Z38" s="6">
        <f>IFERROR($Q38*L38,0)</f>
        <v/>
      </c>
      <c r="AA38" s="6">
        <f>IFERROR($Q38*M38,0)</f>
        <v/>
      </c>
      <c r="AB38" s="6">
        <f>IFERROR($Q38*N38,0)</f>
        <v/>
      </c>
      <c r="AC38" s="7" t="n"/>
      <c r="AD38" s="152">
        <f>IF(VALUE(MID(AD$5,6,1))&lt;=$D$2,((1+$Q$3)^1-1)*T38,0)</f>
        <v/>
      </c>
      <c r="AE38" s="152">
        <f>IF(VALUE(MID(AE$5,6,1))&lt;=$D$2,((1+$Q$3)^2-1)*U38,0)</f>
        <v/>
      </c>
      <c r="AF38" s="152">
        <f>IF(VALUE(MID(AF$5,6,1))&lt;=$D$2,((1+$Q$3)^3-1)*V38,0)</f>
        <v/>
      </c>
      <c r="AG38" s="152">
        <f>IF(VALUE(MID(AG$5,6,1))&lt;=$D$2,((1+$Q$3)^4-1)*W38,0)</f>
        <v/>
      </c>
      <c r="AH38" s="152">
        <f>IF(VALUE(MID(AH$5,6,1))&lt;=$D$2,((1+$Q$3)^5-1)*X38,0)</f>
        <v/>
      </c>
      <c r="AI38" s="152">
        <f>IF(VALUE(MID(AI$5,6,1))&lt;=$D$2,((1+$Q$3)^6-1)*Y38,0)</f>
        <v/>
      </c>
      <c r="AJ38" s="152">
        <f>IF(VALUE(MID(AJ$5,6,1))&lt;=$D$2,((1+$Q$3)^7-1)*Z38,0)</f>
        <v/>
      </c>
      <c r="AK38" s="152">
        <f>IF(VALUE(MID(AK$5,6,1))&lt;=$D$2,((1+$Q$3)^8-1)*AA38,0)</f>
        <v/>
      </c>
      <c r="AL38" s="152">
        <f>IF(VALUE(MID(AL$5,6,2))&lt;=$D$2,((1+$Q$3)^9-1)*AB38,0)</f>
        <v/>
      </c>
      <c r="AM38" s="9">
        <f>SUM(AC38:AL38)</f>
        <v/>
      </c>
      <c r="AN38" s="80">
        <f>SUM(AM38,S38:AB38)</f>
        <v/>
      </c>
      <c r="AP38" s="102" t="inlineStr">
        <is>
          <t>Monthly F</t>
        </is>
      </c>
      <c r="AQ38" s="12" t="n">
        <v>1</v>
      </c>
      <c r="AR38" s="14">
        <f>IF($AP38="Annual",1,IF($AP38="Monthly F",12,IF($AP38="Monthly V",AQ38*12,IF($AP38="One-Time",1,AQ38*12))))</f>
        <v/>
      </c>
      <c r="AS38" s="14">
        <f t="array" ref="AS38">IFERROR(_xlfn.IFS(VALUE(MID(AS$5,6,1))&gt;$D$2,0,$AP38="Annual",1,AR38=12,12,$AP38="Monthly V",AR38*(1+$BD$2),$AP38="Monthly F",12,$AP38="One-Time",0),AR38*(1+$BD$2))</f>
        <v/>
      </c>
      <c r="AT38" s="14">
        <f t="array" ref="AT38">IFERROR(_xlfn.IFS(VALUE(MID(AT$5,6,1))&gt;$D$2,0,$AP38="Annual",1,AS38=12,12,$AP38="Monthly V",AS38*(1+$BD$2),$AP38="Monthly F",12,$AP38="One-Time",0),AS38*(1+$BD$2))</f>
        <v/>
      </c>
      <c r="AU38" s="14">
        <f t="array" ref="AU38">IFERROR(_xlfn.IFS(VALUE(MID(AU$5,6,1))&gt;$D$2,0,$AP38="Annual",1,AT38=12,12,$AP38="Monthly V",AT38*(1+$BD$2),$AP38="Monthly F",12,$AP38="One-Time",0),AT38*(1+$BD$2))</f>
        <v/>
      </c>
      <c r="AV38" s="14">
        <f t="array" ref="AV38">IFERROR(_xlfn.IFS(VALUE(MID(AV$5,6,1))&gt;$D$2,0,$AP38="Annual",1,AU38=12,12,$AP38="Monthly V",AU38*(1+$BD$2),$AP38="Monthly F",12,$AP38="One-Time",0),AU38*(1+$BD$2))</f>
        <v/>
      </c>
      <c r="AW38" s="14">
        <f t="array" ref="AW38">IFERROR(_xlfn.IFS(VALUE(MID(AW$5,6,1))&gt;$D$2,0,$AP38="Annual",1,AV38=12,12,$AP38="Monthly V",AV38*(1+$BD$2),$AP38="Monthly F",12,$AP38="One-Time",0),AV38*(1+$BD$2))</f>
        <v/>
      </c>
      <c r="AX38" s="14">
        <f t="array" ref="AX38">IFERROR(_xlfn.IFS(VALUE(MID(AX$5,6,1))&gt;$D$2,0,$AP38="Annual",1,AW38=12,12,$AP38="Monthly V",AW38*(1+$BD$2),$AP38="Monthly F",12,$AP38="One-Time",0),AW38*(1+$BD$2))</f>
        <v/>
      </c>
      <c r="AY38" s="14">
        <f t="array" ref="AY38">IFERROR(_xlfn.IFS(VALUE(MID(AY$5,6,1))&gt;$D$2,0,$AP38="Annual",1,AX38=12,12,$AP38="Monthly V",AX38*(1+$D$3),$AP38="Monthly F",12,$AP38="One-Time",0),AX38*(1+$D$3))</f>
        <v/>
      </c>
      <c r="AZ38" s="14">
        <f t="array" ref="AZ38">IFERROR(_xlfn.IFS(VALUE(MID(AZ$5,6,1))&gt;$D$2,0,$AP38="Annual",1,AY38=12,12,$AP38="Monthly V",AY38*(1+$D$3),$AP38="Monthly F",12,$AP38="One-Time",0),AY38*(1+$D$3))</f>
        <v/>
      </c>
      <c r="BA38" s="125">
        <f t="array" ref="BA38">IFERROR(_xlfn.IFS(VALUE(MID(BA$5,6,2))&gt;$D$2,0,$AP38="Annual",1,AZ38=12,12,$AP38="Monthly V",AZ38*(1+$D$3),$AP38="Monthly F",12,$AP38="One-Time",0),AZ38*(1+$D$3))</f>
        <v/>
      </c>
      <c r="BB38" s="148" t="inlineStr">
        <is>
          <t>Debit Card Authorization subject to {$}250 minimum monthly</t>
        </is>
      </c>
      <c r="BC38" s="38" t="inlineStr">
        <is>
          <t>Card Processing Solutions (CPS)</t>
        </is>
      </c>
      <c r="BD38" s="36" t="n">
        <v>250</v>
      </c>
      <c r="BE38" s="21">
        <f>BF38/12</f>
        <v/>
      </c>
      <c r="BF38" s="39">
        <f>IFERROR(AR38*$BD38,0)</f>
        <v/>
      </c>
      <c r="BG38" s="39">
        <f>IFERROR(AS38*$BD38,0)</f>
        <v/>
      </c>
      <c r="BH38" s="39">
        <f>IFERROR(AT38*$BD38,0)</f>
        <v/>
      </c>
      <c r="BI38" s="39">
        <f>BH38*1.03</f>
        <v/>
      </c>
      <c r="BJ38" s="39">
        <f>BI38*1.03</f>
        <v/>
      </c>
      <c r="BK38" s="39">
        <f>BJ38*1.03</f>
        <v/>
      </c>
      <c r="BL38" s="39">
        <f>BK38*1.03</f>
        <v/>
      </c>
      <c r="BM38" s="39">
        <f>IFERROR(AY38*$BD38,0)</f>
        <v/>
      </c>
      <c r="BN38" s="39">
        <f>IFERROR(AZ38*$BD38,0)</f>
        <v/>
      </c>
      <c r="BO38" s="39">
        <f>IFERROR(BA38*$BD38,0)</f>
        <v/>
      </c>
      <c r="BP38" s="40" t="n"/>
      <c r="BQ38" s="40">
        <f>IF(VALUE(MID(BQ$5,6,1))&lt;=$D$2,((1+$BD$3)^1-1)*BG38,0)</f>
        <v/>
      </c>
      <c r="BR38" s="40">
        <f>IF(VALUE(MID(BR$5,6,1))&lt;=$D$2,((1+$BD$3)^2-1)*BH38,0)</f>
        <v/>
      </c>
      <c r="BS38" s="40">
        <f>IF(VALUE(MID(BS$5,6,1))&lt;=$D$2,((1+$BD$3)^3-1)*BI38,0)</f>
        <v/>
      </c>
      <c r="BT38" s="40">
        <f>IF(VALUE(MID(BT$5,6,1))&lt;=$D$2,((1+$BD$3)^4-1)*BJ38,0)</f>
        <v/>
      </c>
      <c r="BU38" s="40">
        <f>IF(VALUE(MID(BU$5,6,1))&lt;=$D$2,((1+$BD$3)^5-1)*BK38,0)</f>
        <v/>
      </c>
      <c r="BV38" s="40">
        <f>IF(VALUE(MID(BV$5,6,1))&lt;=$D$2,((1+$BD$3)^6-1)*BL38,0)</f>
        <v/>
      </c>
      <c r="BW38" s="40">
        <f>IF(VALUE(MID(BW$5,6,1))&lt;=$D$2,((1+$BD$3)^7-1)*BM38,0)</f>
        <v/>
      </c>
      <c r="BX38" s="40">
        <f>IF(VALUE(MID(BX$5,6,1))&lt;=$D$2,((1+$BD$3)^8-1)*BN38,0)</f>
        <v/>
      </c>
      <c r="BY38" s="40">
        <f>IF(VALUE(MID(BY$5,6,2))&lt;=$D$2,((1+$BD$3)^9-1)*BO38,0)</f>
        <v/>
      </c>
      <c r="BZ38" s="40">
        <f>SUM(BP38:BY38)</f>
        <v/>
      </c>
      <c r="CA38" s="37">
        <f>SUM(BZ38,BF38:BO38)</f>
        <v/>
      </c>
      <c r="CC38" s="102" t="n"/>
      <c r="CD38" s="12" t="n"/>
      <c r="CE38" s="14">
        <f>IF($CC38="Annual",1,IF($CC38="Monthly F",12,IF($CC38="Monthly V",CD38*12,IF($CC38="One-Time",1,CD38*12))))</f>
        <v/>
      </c>
      <c r="CF38" s="14">
        <f t="array" ref="CF38">IFERROR(_xlfn.IFS(VALUE(MID(CF$5,6,1))&gt;$D$2,0,$CC38="Annual",1,CE38=12,12,$CC38="Monthly V",CE38*(1+$D$3),$CC38="Monthly F",12,$CC38="One-Time",0),CE38*(1+$D$3))</f>
        <v/>
      </c>
      <c r="CG38" s="14">
        <f t="array" ref="CG38">IFERROR(_xlfn.IFS(VALUE(MID(CG$5,6,1))&gt;$D$2,0,$CC38="Annual",1,CF38=12,12,$CC38="Monthly V",CF38*(1+$D$3),$CC38="Monthly F",12,$CC38="One-Time",0),CF38*(1+$D$3))</f>
        <v/>
      </c>
      <c r="CH38" s="14">
        <f t="array" ref="CH38">IFERROR(_xlfn.IFS(VALUE(MID(CH$5,6,1))&gt;$D$2,0,$CC38="Annual",1,CG38=12,12,$CC38="Monthly V",CG38*(1+$D$3),$CC38="Monthly F",12,$CC38="One-Time",0),CG38*(1+$D$3))</f>
        <v/>
      </c>
      <c r="CI38" s="14">
        <f t="array" ref="CI38">IFERROR(_xlfn.IFS(VALUE(MID(CI$5,6,1))&gt;$D$2,0,$CC38="Annual",1,CH38=12,12,$CC38="Monthly V",CH38*(1+$D$3),$CC38="Monthly F",12,$CC38="One-Time",0),CH38*(1+$D$3))</f>
        <v/>
      </c>
      <c r="CJ38" s="14">
        <f t="array" ref="CJ38">IFERROR(_xlfn.IFS(VALUE(MID(CJ$5,6,1))&gt;$D$2,0,$CC38="Annual",1,CI38=12,12,$CC38="Monthly V",CI38*(1+$D$3),$CC38="Monthly F",12,$CC38="One-Time",0),CI38*(1+$D$3))</f>
        <v/>
      </c>
      <c r="CK38" s="14">
        <f t="array" ref="CK38">IFERROR(_xlfn.IFS(VALUE(MID(CK$5,6,1))&gt;$D$2,0,$CC38="Annual",1,CJ38=12,12,$CC38="Monthly V",CJ38*(1+$D$3),$CC38="Monthly F",12,$CC38="One-Time",0),CJ38*(1+$D$3))</f>
        <v/>
      </c>
      <c r="CL38" s="14">
        <f t="array" ref="CL38">IFERROR(_xlfn.IFS(VALUE(MID(CL$5,6,1))&gt;$D$2,0,$CC38="Annual",1,CK38=12,12,$CC38="Monthly V",CK38*(1+$D$3),$CC38="Monthly F",12,$CC38="One-Time",0),CK38*(1+$D$3))</f>
        <v/>
      </c>
      <c r="CM38" s="14">
        <f t="array" ref="CM38">IFERROR(_xlfn.IFS(VALUE(MID(CM$5,6,1))&gt;$D$2,0,$CC38="Annual",1,CL38=12,12,$CC38="Monthly V",CL38*(1+$D$3),$CC38="Monthly F",12,$CC38="One-Time",0),CL38*(1+$D$3))</f>
        <v/>
      </c>
      <c r="CN38" s="24">
        <f t="array" ref="CN38">IFERROR(_xlfn.IFS(VALUE(MID(CN$5,6,2))&gt;$D$2,0,$CC38="Annual",1,CM38=12,12,$CC38="Monthly V",CM38*(1+$D$3),$CC38="Monthly F",12,$CC38="One-Time",0),CM38*(1+$D$3))</f>
        <v/>
      </c>
      <c r="CO38" s="63" t="n"/>
      <c r="CP38" s="53" t="n"/>
      <c r="CQ38" s="21">
        <f>CR38/12</f>
        <v/>
      </c>
      <c r="CR38" s="55">
        <f>IFERROR(CE38*$CP38,0)</f>
        <v/>
      </c>
      <c r="CS38" s="55">
        <f>IFERROR(CF38*$CP38,0)</f>
        <v/>
      </c>
      <c r="CT38" s="55">
        <f>IFERROR(CG38*$CP38,0)</f>
        <v/>
      </c>
      <c r="CU38" s="55">
        <f>IFERROR(CH38*$CP38,0)</f>
        <v/>
      </c>
      <c r="CV38" s="55">
        <f>IFERROR(CI38*$CP38,0)</f>
        <v/>
      </c>
      <c r="CW38" s="55">
        <f>IFERROR(CJ38*$CP38,0)</f>
        <v/>
      </c>
      <c r="CX38" s="55">
        <f>IFERROR(CK38*$CP38,0)</f>
        <v/>
      </c>
      <c r="CY38" s="55">
        <f>IFERROR(CL38*$CP38,0)</f>
        <v/>
      </c>
      <c r="CZ38" s="55">
        <f>IFERROR(CM38*$CP38,0)</f>
        <v/>
      </c>
      <c r="DA38" s="55">
        <f>IFERROR(CN38*$CP38,0)</f>
        <v/>
      </c>
      <c r="DB38" s="56" t="n"/>
      <c r="DC38" s="56">
        <f>IF(VALUE(MID(DC$5,6,1))&lt;=$D$2,((1+$CP$3)^1-1)*CS38,0)</f>
        <v/>
      </c>
      <c r="DD38" s="56">
        <f>IF(VALUE(MID(DD$5,6,1))&lt;=$D$2,((1+$CP$3)^2-1)*CT38,0)</f>
        <v/>
      </c>
      <c r="DE38" s="56">
        <f>IF(VALUE(MID(DE$5,6,1))&lt;=$D$2,((1+$CP$3)^3-1)*CU38,0)</f>
        <v/>
      </c>
      <c r="DF38" s="56">
        <f>IF(VALUE(MID(DF$5,6,1))&lt;=$D$2,((1+$CP$3)^4-1)*CV38,0)</f>
        <v/>
      </c>
      <c r="DG38" s="56">
        <f>IF(VALUE(MID(DG$5,6,1))&lt;=$D$2,((1+$CP$3)^5-1)*CW38,0)</f>
        <v/>
      </c>
      <c r="DH38" s="56">
        <f>IF(VALUE(MID(DH$5,6,1))&lt;=$D$2,((1+$CP$3)^6-1)*CX38,0)</f>
        <v/>
      </c>
      <c r="DI38" s="56">
        <f>IF(VALUE(MID(DI$5,6,1))&lt;=$D$2,((1+$CP$3)^7-1)*CY38,0)</f>
        <v/>
      </c>
      <c r="DJ38" s="56">
        <f>IF(VALUE(MID(DJ$5,6,1))&lt;=$D$2,((1+$CP$3)^8-1)*CZ38,0)</f>
        <v/>
      </c>
      <c r="DK38" s="56">
        <f>IF(VALUE(MID(DK$5,6,2))&lt;=$D$2,((1+$CP$3)^9-1)*DA38,0)</f>
        <v/>
      </c>
      <c r="DL38" s="57">
        <f>SUM(DB38:DK38)</f>
        <v/>
      </c>
      <c r="DM38" s="54">
        <f>SUM(DL38,CR38:DA38)</f>
        <v/>
      </c>
      <c r="DO38" s="106" t="n"/>
    </row>
    <row r="39">
      <c r="B39" s="141" t="n"/>
      <c r="C39" s="24" t="n"/>
      <c r="D39" s="147" t="n"/>
      <c r="E39" s="142" t="n"/>
      <c r="F39" s="14" t="n"/>
      <c r="G39" s="14" t="n"/>
      <c r="H39" s="14" t="n"/>
      <c r="I39" s="14" t="n"/>
      <c r="J39" s="14" t="n"/>
      <c r="K39" s="14" t="n"/>
      <c r="L39" s="14" t="n"/>
      <c r="M39" s="14" t="n"/>
      <c r="N39" s="24" t="n"/>
      <c r="O39" s="127" t="n"/>
      <c r="P39" s="13" t="n"/>
      <c r="Q39" s="20" t="n"/>
      <c r="R39" s="21" t="n"/>
      <c r="S39" s="6" t="n"/>
      <c r="T39" s="6" t="n"/>
      <c r="U39" s="6" t="n"/>
      <c r="V39" s="6" t="n"/>
      <c r="W39" s="6" t="n"/>
      <c r="X39" s="6" t="n"/>
      <c r="Y39" s="6" t="n"/>
      <c r="Z39" s="6" t="n"/>
      <c r="AA39" s="6" t="n"/>
      <c r="AB39" s="6" t="n"/>
      <c r="AC39" s="7" t="n"/>
      <c r="AD39" s="152" t="n"/>
      <c r="AE39" s="152" t="n"/>
      <c r="AF39" s="152" t="n"/>
      <c r="AG39" s="152" t="n"/>
      <c r="AH39" s="152" t="n"/>
      <c r="AI39" s="152" t="n"/>
      <c r="AJ39" s="152" t="n"/>
      <c r="AK39" s="152" t="n"/>
      <c r="AL39" s="152" t="n"/>
      <c r="AM39" s="9" t="n"/>
      <c r="AN39" s="80" t="n"/>
      <c r="AP39" s="102" t="inlineStr">
        <is>
          <t>Monthly F</t>
        </is>
      </c>
      <c r="AQ39" s="12" t="n">
        <v>1</v>
      </c>
      <c r="AR39" s="14">
        <f>IF($AP39="Annual",1,IF($AP39="Monthly F",12,IF($AP39="Monthly V",AQ39*12,IF($AP39="One-Time",1,AQ39*12))))</f>
        <v/>
      </c>
      <c r="AS39" s="14">
        <f t="array" ref="AS39">IFERROR(_xlfn.IFS(VALUE(MID(AS$5,6,1))&gt;$D$2,0,$AP39="Annual",1,AR39=12,12,$AP39="Monthly V",AR39*(1+$BD$2),$AP39="Monthly F",12,$AP39="One-Time",0),AR39*(1+$BD$2))</f>
        <v/>
      </c>
      <c r="AT39" s="14">
        <f t="array" ref="AT39">IFERROR(_xlfn.IFS(VALUE(MID(AT$5,6,1))&gt;$D$2,0,$AP39="Annual",1,AS39=12,12,$AP39="Monthly V",AS39*(1+$BD$2),$AP39="Monthly F",12,$AP39="One-Time",0),AS39*(1+$BD$2))</f>
        <v/>
      </c>
      <c r="AU39" s="14">
        <f t="array" ref="AU39">IFERROR(_xlfn.IFS(VALUE(MID(AU$5,6,1))&gt;$D$2,0,$AP39="Annual",1,AT39=12,12,$AP39="Monthly V",AT39*(1+$BD$2),$AP39="Monthly F",12,$AP39="One-Time",0),AT39*(1+$BD$2))</f>
        <v/>
      </c>
      <c r="AV39" s="14">
        <f t="array" ref="AV39">IFERROR(_xlfn.IFS(VALUE(MID(AV$5,6,1))&gt;$D$2,0,$AP39="Annual",1,AU39=12,12,$AP39="Monthly V",AU39*(1+$BD$2),$AP39="Monthly F",12,$AP39="One-Time",0),AU39*(1+$BD$2))</f>
        <v/>
      </c>
      <c r="AW39" s="14">
        <f t="array" ref="AW39">IFERROR(_xlfn.IFS(VALUE(MID(AW$5,6,1))&gt;$D$2,0,$AP39="Annual",1,AV39=12,12,$AP39="Monthly V",AV39*(1+$BD$2),$AP39="Monthly F",12,$AP39="One-Time",0),AV39*(1+$BD$2))</f>
        <v/>
      </c>
      <c r="AX39" s="14">
        <f t="array" ref="AX39">IFERROR(_xlfn.IFS(VALUE(MID(AX$5,6,1))&gt;$D$2,0,$AP39="Annual",1,AW39=12,12,$AP39="Monthly V",AW39*(1+$BD$2),$AP39="Monthly F",12,$AP39="One-Time",0),AW39*(1+$BD$2))</f>
        <v/>
      </c>
      <c r="AY39" s="14">
        <f t="array" ref="AY39">IFERROR(_xlfn.IFS(VALUE(MID(AY$5,6,1))&gt;$D$2,0,$AP39="Annual",1,AX39=12,12,$AP39="Monthly V",AX39*(1+$D$3),$AP39="Monthly F",12,$AP39="One-Time",0),AX39*(1+$D$3))</f>
        <v/>
      </c>
      <c r="AZ39" s="14">
        <f t="array" ref="AZ39">IFERROR(_xlfn.IFS(VALUE(MID(AZ$5,6,1))&gt;$D$2,0,$AP39="Annual",1,AY39=12,12,$AP39="Monthly V",AY39*(1+$D$3),$AP39="Monthly F",12,$AP39="One-Time",0),AY39*(1+$D$3))</f>
        <v/>
      </c>
      <c r="BA39" s="125">
        <f t="array" ref="BA39">IFERROR(_xlfn.IFS(VALUE(MID(BA$5,6,2))&gt;$D$2,0,$AP39="Annual",1,AZ39=12,12,$AP39="Monthly V",AZ39*(1+$D$3),$AP39="Monthly F",12,$AP39="One-Time",0),AZ39*(1+$D$3))</f>
        <v/>
      </c>
      <c r="BB39" s="148" t="inlineStr">
        <is>
          <t>JHA ATM/POS Processing</t>
        </is>
      </c>
      <c r="BC39" s="38" t="inlineStr">
        <is>
          <t>Card Processing Solutions (CPS)</t>
        </is>
      </c>
      <c r="BD39" s="36" t="n">
        <v>500</v>
      </c>
      <c r="BE39" s="21">
        <f>BF39/12</f>
        <v/>
      </c>
      <c r="BF39" s="39">
        <f>IFERROR(AR39*$BD39,0)</f>
        <v/>
      </c>
      <c r="BG39" s="39">
        <f>IFERROR(AS39*$BD39,0)</f>
        <v/>
      </c>
      <c r="BH39" s="39">
        <f>IFERROR(AT39*$BD39,0)</f>
        <v/>
      </c>
      <c r="BI39" s="39">
        <f>BH39*1.03</f>
        <v/>
      </c>
      <c r="BJ39" s="39">
        <f>BI39*1.03</f>
        <v/>
      </c>
      <c r="BK39" s="39">
        <f>BJ39*1.03</f>
        <v/>
      </c>
      <c r="BL39" s="39">
        <f>BK39*1.03</f>
        <v/>
      </c>
      <c r="BM39" s="39">
        <f>IFERROR(AY39*$BD39,0)</f>
        <v/>
      </c>
      <c r="BN39" s="39">
        <f>IFERROR(AZ39*$BD39,0)</f>
        <v/>
      </c>
      <c r="BO39" s="39">
        <f>IFERROR(BA39*$BD39,0)</f>
        <v/>
      </c>
      <c r="BP39" s="40" t="n"/>
      <c r="BQ39" s="40">
        <f>IF(VALUE(MID(BQ$5,6,1))&lt;=$D$2,((1+$BD$3)^1-1)*BG39,0)</f>
        <v/>
      </c>
      <c r="BR39" s="40">
        <f>IF(VALUE(MID(BR$5,6,1))&lt;=$D$2,((1+$BD$3)^2-1)*BH39,0)</f>
        <v/>
      </c>
      <c r="BS39" s="40">
        <f>IF(VALUE(MID(BS$5,6,1))&lt;=$D$2,((1+$BD$3)^3-1)*BI39,0)</f>
        <v/>
      </c>
      <c r="BT39" s="40">
        <f>IF(VALUE(MID(BT$5,6,1))&lt;=$D$2,((1+$BD$3)^4-1)*BJ39,0)</f>
        <v/>
      </c>
      <c r="BU39" s="40">
        <f>IF(VALUE(MID(BU$5,6,1))&lt;=$D$2,((1+$BD$3)^5-1)*BK39,0)</f>
        <v/>
      </c>
      <c r="BV39" s="40">
        <f>IF(VALUE(MID(BV$5,6,1))&lt;=$D$2,((1+$BD$3)^6-1)*BL39,0)</f>
        <v/>
      </c>
      <c r="BW39" s="40">
        <f>IF(VALUE(MID(BW$5,6,1))&lt;=$D$2,((1+$BD$3)^7-1)*BM39,0)</f>
        <v/>
      </c>
      <c r="BX39" s="40">
        <f>IF(VALUE(MID(BX$5,6,1))&lt;=$D$2,((1+$BD$3)^8-1)*BN39,0)</f>
        <v/>
      </c>
      <c r="BY39" s="40">
        <f>IF(VALUE(MID(BY$5,6,2))&lt;=$D$2,((1+$BD$3)^9-1)*BO39,0)</f>
        <v/>
      </c>
      <c r="BZ39" s="40">
        <f>SUM(BP39:BY39)</f>
        <v/>
      </c>
      <c r="CA39" s="37">
        <f>SUM(BZ39,BF39:BO39)</f>
        <v/>
      </c>
      <c r="CC39" s="102" t="n"/>
      <c r="CD39" s="12" t="n"/>
      <c r="CE39" s="14" t="n"/>
      <c r="CF39" s="14" t="n"/>
      <c r="CG39" s="14" t="n"/>
      <c r="CH39" s="14" t="n"/>
      <c r="CI39" s="14" t="n"/>
      <c r="CJ39" s="14" t="n"/>
      <c r="CK39" s="14" t="n"/>
      <c r="CL39" s="14" t="n"/>
      <c r="CM39" s="14" t="n"/>
      <c r="CN39" s="24" t="n"/>
      <c r="CO39" s="63" t="n"/>
      <c r="CP39" s="53" t="n"/>
      <c r="CQ39" s="21" t="n"/>
      <c r="CR39" s="55" t="n"/>
      <c r="CS39" s="55" t="n"/>
      <c r="CT39" s="55" t="n"/>
      <c r="CU39" s="55" t="n"/>
      <c r="CV39" s="55" t="n"/>
      <c r="CW39" s="55" t="n"/>
      <c r="CX39" s="55" t="n"/>
      <c r="CY39" s="55" t="n"/>
      <c r="CZ39" s="55" t="n"/>
      <c r="DA39" s="55" t="n"/>
      <c r="DB39" s="56" t="n"/>
      <c r="DC39" s="56" t="n"/>
      <c r="DD39" s="56" t="n"/>
      <c r="DE39" s="56" t="n"/>
      <c r="DF39" s="56" t="n"/>
      <c r="DG39" s="56" t="n"/>
      <c r="DH39" s="56" t="n"/>
      <c r="DI39" s="56" t="n"/>
      <c r="DJ39" s="56" t="n"/>
      <c r="DK39" s="56" t="n"/>
      <c r="DL39" s="57" t="n"/>
      <c r="DM39" s="54" t="n"/>
      <c r="DO39" s="106" t="n"/>
    </row>
    <row r="40">
      <c r="B40" s="141" t="n"/>
      <c r="C40" s="24" t="n"/>
      <c r="D40" s="147" t="n"/>
      <c r="E40" s="142" t="n"/>
      <c r="F40" s="14" t="n"/>
      <c r="G40" s="14" t="n"/>
      <c r="H40" s="14" t="n"/>
      <c r="I40" s="14" t="n"/>
      <c r="J40" s="14" t="n"/>
      <c r="K40" s="14" t="n"/>
      <c r="L40" s="14" t="n"/>
      <c r="M40" s="14" t="n"/>
      <c r="N40" s="24" t="n"/>
      <c r="O40" s="157" t="inlineStr">
        <is>
          <t>PaymentsOne Full-Service Debit Card Fraud Disputes</t>
        </is>
      </c>
      <c r="P40" s="13" t="n"/>
      <c r="Q40" s="20" t="n"/>
      <c r="R40" s="21">
        <f>S40/12</f>
        <v/>
      </c>
      <c r="S40" s="6">
        <f>IFERROR($Q40*E40,0)</f>
        <v/>
      </c>
      <c r="T40" s="6">
        <f>IFERROR($Q40*F40,0)</f>
        <v/>
      </c>
      <c r="U40" s="6">
        <f>IFERROR($Q40*G40,0)</f>
        <v/>
      </c>
      <c r="V40" s="6">
        <f>IFERROR($Q40*H40,0)</f>
        <v/>
      </c>
      <c r="W40" s="6">
        <f>IFERROR($Q40*I40,0)</f>
        <v/>
      </c>
      <c r="X40" s="6">
        <f>IFERROR($Q40*J40,0)</f>
        <v/>
      </c>
      <c r="Y40" s="6">
        <f>IFERROR($Q40*K40,0)</f>
        <v/>
      </c>
      <c r="Z40" s="6">
        <f>IFERROR($Q40*L40,0)</f>
        <v/>
      </c>
      <c r="AA40" s="6">
        <f>IFERROR($Q40*M40,0)</f>
        <v/>
      </c>
      <c r="AB40" s="6">
        <f>IFERROR($Q40*N40,0)</f>
        <v/>
      </c>
      <c r="AC40" s="7" t="n"/>
      <c r="AD40" s="152">
        <f>IF(VALUE(MID(AD$5,6,1))&lt;=$D$2,((1+$Q$3)^1-1)*T40,0)</f>
        <v/>
      </c>
      <c r="AE40" s="152">
        <f>IF(VALUE(MID(AE$5,6,1))&lt;=$D$2,((1+$Q$3)^2-1)*U40,0)</f>
        <v/>
      </c>
      <c r="AF40" s="152">
        <f>IF(VALUE(MID(AF$5,6,1))&lt;=$D$2,((1+$Q$3)^3-1)*V40,0)</f>
        <v/>
      </c>
      <c r="AG40" s="152">
        <f>IF(VALUE(MID(AG$5,6,1))&lt;=$D$2,((1+$Q$3)^4-1)*W40,0)</f>
        <v/>
      </c>
      <c r="AH40" s="152">
        <f>IF(VALUE(MID(AH$5,6,1))&lt;=$D$2,((1+$Q$3)^5-1)*X40,0)</f>
        <v/>
      </c>
      <c r="AI40" s="152">
        <f>IF(VALUE(MID(AI$5,6,1))&lt;=$D$2,((1+$Q$3)^6-1)*Y40,0)</f>
        <v/>
      </c>
      <c r="AJ40" s="152">
        <f>IF(VALUE(MID(AJ$5,6,1))&lt;=$D$2,((1+$Q$3)^7-1)*Z40,0)</f>
        <v/>
      </c>
      <c r="AK40" s="152">
        <f>IF(VALUE(MID(AK$5,6,1))&lt;=$D$2,((1+$Q$3)^8-1)*AA40,0)</f>
        <v/>
      </c>
      <c r="AL40" s="152">
        <f>IF(VALUE(MID(AL$5,6,2))&lt;=$D$2,((1+$Q$3)^9-1)*AB40,0)</f>
        <v/>
      </c>
      <c r="AM40" s="9">
        <f>SUM(AC40:AL40)</f>
        <v/>
      </c>
      <c r="AN40" s="80">
        <f>SUM(AM40,S40:AB40)</f>
        <v/>
      </c>
      <c r="AP40" s="102" t="inlineStr">
        <is>
          <t>Monthly F</t>
        </is>
      </c>
      <c r="AQ40" s="12" t="n">
        <v>1</v>
      </c>
      <c r="AR40" s="14">
        <f>IF($AP40="Annual",1,IF($AP40="Monthly F",12,IF($AP40="Monthly V",AQ40*12,IF($AP40="One-Time",1,AQ40*12))))</f>
        <v/>
      </c>
      <c r="AS40" s="14">
        <f t="array" ref="AS40">IFERROR(_xlfn.IFS(VALUE(MID(AS$5,6,1))&gt;$D$2,0,$AP40="Annual",1,AR40=12,12,$AP40="Monthly V",AR40*(1+$BD$2),$AP40="Monthly F",12,$AP40="One-Time",0),AR40*(1+$BD$2))</f>
        <v/>
      </c>
      <c r="AT40" s="14">
        <f t="array" ref="AT40">IFERROR(_xlfn.IFS(VALUE(MID(AT$5,6,1))&gt;$D$2,0,$AP40="Annual",1,AS40=12,12,$AP40="Monthly V",AS40*(1+$BD$2),$AP40="Monthly F",12,$AP40="One-Time",0),AS40*(1+$BD$2))</f>
        <v/>
      </c>
      <c r="AU40" s="14">
        <f t="array" ref="AU40">IFERROR(_xlfn.IFS(VALUE(MID(AU$5,6,1))&gt;$D$2,0,$AP40="Annual",1,AT40=12,12,$AP40="Monthly V",AT40*(1+$BD$2),$AP40="Monthly F",12,$AP40="One-Time",0),AT40*(1+$BD$2))</f>
        <v/>
      </c>
      <c r="AV40" s="14">
        <f t="array" ref="AV40">IFERROR(_xlfn.IFS(VALUE(MID(AV$5,6,1))&gt;$D$2,0,$AP40="Annual",1,AU40=12,12,$AP40="Monthly V",AU40*(1+$BD$2),$AP40="Monthly F",12,$AP40="One-Time",0),AU40*(1+$BD$2))</f>
        <v/>
      </c>
      <c r="AW40" s="14">
        <f t="array" ref="AW40">IFERROR(_xlfn.IFS(VALUE(MID(AW$5,6,1))&gt;$D$2,0,$AP40="Annual",1,AV40=12,12,$AP40="Monthly V",AV40*(1+$BD$2),$AP40="Monthly F",12,$AP40="One-Time",0),AV40*(1+$BD$2))</f>
        <v/>
      </c>
      <c r="AX40" s="14">
        <f t="array" ref="AX40">IFERROR(_xlfn.IFS(VALUE(MID(AX$5,6,1))&gt;$D$2,0,$AP40="Annual",1,AW40=12,12,$AP40="Monthly V",AW40*(1+$BD$2),$AP40="Monthly F",12,$AP40="One-Time",0),AW40*(1+$BD$2))</f>
        <v/>
      </c>
      <c r="AY40" s="14">
        <f t="array" ref="AY40">IFERROR(_xlfn.IFS(VALUE(MID(AY$5,6,1))&gt;$D$2,0,$AP40="Annual",1,AX40=12,12,$AP40="Monthly V",AX40*(1+$D$3),$AP40="Monthly F",12,$AP40="One-Time",0),AX40*(1+$D$3))</f>
        <v/>
      </c>
      <c r="AZ40" s="14">
        <f t="array" ref="AZ40">IFERROR(_xlfn.IFS(VALUE(MID(AZ$5,6,1))&gt;$D$2,0,$AP40="Annual",1,AY40=12,12,$AP40="Monthly V",AY40*(1+$D$3),$AP40="Monthly F",12,$AP40="One-Time",0),AY40*(1+$D$3))</f>
        <v/>
      </c>
      <c r="BA40" s="125">
        <f t="array" ref="BA40">IFERROR(_xlfn.IFS(VALUE(MID(BA$5,6,2))&gt;$D$2,0,$AP40="Annual",1,AZ40=12,12,$AP40="Monthly V",AZ40*(1+$D$3),$AP40="Monthly F",12,$AP40="One-Time",0),AZ40*(1+$D$3))</f>
        <v/>
      </c>
      <c r="BB40" s="148" t="inlineStr">
        <is>
          <t>ATM/POS Transactions subject to {$}250 minimum monthly</t>
        </is>
      </c>
      <c r="BC40" s="38" t="inlineStr">
        <is>
          <t>Card Processing Solutions (CPS)</t>
        </is>
      </c>
      <c r="BD40" s="36" t="n">
        <v>250</v>
      </c>
      <c r="BE40" s="21">
        <f>BF40/12</f>
        <v/>
      </c>
      <c r="BF40" s="39">
        <f>IFERROR(AR40*$BD40,0)</f>
        <v/>
      </c>
      <c r="BG40" s="39">
        <f>IFERROR(AS40*$BD40,0)</f>
        <v/>
      </c>
      <c r="BH40" s="39">
        <f>IFERROR(AT40*$BD40,0)</f>
        <v/>
      </c>
      <c r="BI40" s="39">
        <f>BH40*1.03</f>
        <v/>
      </c>
      <c r="BJ40" s="39">
        <f>BI40*1.03</f>
        <v/>
      </c>
      <c r="BK40" s="39">
        <f>BJ40*1.03</f>
        <v/>
      </c>
      <c r="BL40" s="39">
        <f>BK40*1.03</f>
        <v/>
      </c>
      <c r="BM40" s="39">
        <f>IFERROR(AY40*$BD40,0)</f>
        <v/>
      </c>
      <c r="BN40" s="39">
        <f>IFERROR(AZ40*$BD40,0)</f>
        <v/>
      </c>
      <c r="BO40" s="39">
        <f>IFERROR(BA40*$BD40,0)</f>
        <v/>
      </c>
      <c r="BP40" s="40" t="n"/>
      <c r="BQ40" s="40">
        <f>IF(VALUE(MID(BQ$5,6,1))&lt;=$D$2,((1+$BD$3)^1-1)*BG40,0)</f>
        <v/>
      </c>
      <c r="BR40" s="40">
        <f>IF(VALUE(MID(BR$5,6,1))&lt;=$D$2,((1+$BD$3)^2-1)*BH40,0)</f>
        <v/>
      </c>
      <c r="BS40" s="40">
        <f>IF(VALUE(MID(BS$5,6,1))&lt;=$D$2,((1+$BD$3)^3-1)*BI40,0)</f>
        <v/>
      </c>
      <c r="BT40" s="40">
        <f>IF(VALUE(MID(BT$5,6,1))&lt;=$D$2,((1+$BD$3)^4-1)*BJ40,0)</f>
        <v/>
      </c>
      <c r="BU40" s="40">
        <f>IF(VALUE(MID(BU$5,6,1))&lt;=$D$2,((1+$BD$3)^5-1)*BK40,0)</f>
        <v/>
      </c>
      <c r="BV40" s="40">
        <f>IF(VALUE(MID(BV$5,6,1))&lt;=$D$2,((1+$BD$3)^6-1)*BL40,0)</f>
        <v/>
      </c>
      <c r="BW40" s="40">
        <f>IF(VALUE(MID(BW$5,6,1))&lt;=$D$2,((1+$BD$3)^7-1)*BM40,0)</f>
        <v/>
      </c>
      <c r="BX40" s="40">
        <f>IF(VALUE(MID(BX$5,6,1))&lt;=$D$2,((1+$BD$3)^8-1)*BN40,0)</f>
        <v/>
      </c>
      <c r="BY40" s="40">
        <f>IF(VALUE(MID(BY$5,6,2))&lt;=$D$2,((1+$BD$3)^9-1)*BO40,0)</f>
        <v/>
      </c>
      <c r="BZ40" s="40">
        <f>SUM(BP40:BY40)</f>
        <v/>
      </c>
      <c r="CA40" s="37">
        <f>SUM(BZ40,BF40:BO40)</f>
        <v/>
      </c>
      <c r="CC40" s="102" t="n"/>
      <c r="CD40" s="12" t="n"/>
      <c r="CE40" s="14">
        <f>IF($CC40="Annual",1,IF($CC40="Monthly F",12,IF($CC40="Monthly V",CD40*12,IF($CC40="One-Time",1,CD40*12))))</f>
        <v/>
      </c>
      <c r="CF40" s="14">
        <f t="array" ref="CF40">IFERROR(_xlfn.IFS(VALUE(MID(CF$5,6,1))&gt;$D$2,0,$CC40="Annual",1,CE40=12,12,$CC40="Monthly V",CE40*(1+$D$3),$CC40="Monthly F",12,$CC40="One-Time",0),CE40*(1+$D$3))</f>
        <v/>
      </c>
      <c r="CG40" s="14">
        <f t="array" ref="CG40">IFERROR(_xlfn.IFS(VALUE(MID(CG$5,6,1))&gt;$D$2,0,$CC40="Annual",1,CF40=12,12,$CC40="Monthly V",CF40*(1+$D$3),$CC40="Monthly F",12,$CC40="One-Time",0),CF40*(1+$D$3))</f>
        <v/>
      </c>
      <c r="CH40" s="14">
        <f t="array" ref="CH40">IFERROR(_xlfn.IFS(VALUE(MID(CH$5,6,1))&gt;$D$2,0,$CC40="Annual",1,CG40=12,12,$CC40="Monthly V",CG40*(1+$D$3),$CC40="Monthly F",12,$CC40="One-Time",0),CG40*(1+$D$3))</f>
        <v/>
      </c>
      <c r="CI40" s="14">
        <f t="array" ref="CI40">IFERROR(_xlfn.IFS(VALUE(MID(CI$5,6,1))&gt;$D$2,0,$CC40="Annual",1,CH40=12,12,$CC40="Monthly V",CH40*(1+$D$3),$CC40="Monthly F",12,$CC40="One-Time",0),CH40*(1+$D$3))</f>
        <v/>
      </c>
      <c r="CJ40" s="14">
        <f t="array" ref="CJ40">IFERROR(_xlfn.IFS(VALUE(MID(CJ$5,6,1))&gt;$D$2,0,$CC40="Annual",1,CI40=12,12,$CC40="Monthly V",CI40*(1+$D$3),$CC40="Monthly F",12,$CC40="One-Time",0),CI40*(1+$D$3))</f>
        <v/>
      </c>
      <c r="CK40" s="14">
        <f t="array" ref="CK40">IFERROR(_xlfn.IFS(VALUE(MID(CK$5,6,1))&gt;$D$2,0,$CC40="Annual",1,CJ40=12,12,$CC40="Monthly V",CJ40*(1+$D$3),$CC40="Monthly F",12,$CC40="One-Time",0),CJ40*(1+$D$3))</f>
        <v/>
      </c>
      <c r="CL40" s="14">
        <f t="array" ref="CL40">IFERROR(_xlfn.IFS(VALUE(MID(CL$5,6,1))&gt;$D$2,0,$CC40="Annual",1,CK40=12,12,$CC40="Monthly V",CK40*(1+$D$3),$CC40="Monthly F",12,$CC40="One-Time",0),CK40*(1+$D$3))</f>
        <v/>
      </c>
      <c r="CM40" s="14">
        <f t="array" ref="CM40">IFERROR(_xlfn.IFS(VALUE(MID(CM$5,6,1))&gt;$D$2,0,$CC40="Annual",1,CL40=12,12,$CC40="Monthly V",CL40*(1+$D$3),$CC40="Monthly F",12,$CC40="One-Time",0),CL40*(1+$D$3))</f>
        <v/>
      </c>
      <c r="CN40" s="24">
        <f t="array" ref="CN40">IFERROR(_xlfn.IFS(VALUE(MID(CN$5,6,2))&gt;$D$2,0,$CC40="Annual",1,CM40=12,12,$CC40="Monthly V",CM40*(1+$D$3),$CC40="Monthly F",12,$CC40="One-Time",0),CM40*(1+$D$3))</f>
        <v/>
      </c>
      <c r="CO40" s="63" t="n"/>
      <c r="CP40" s="53" t="n"/>
      <c r="CQ40" s="21">
        <f>CR40/12</f>
        <v/>
      </c>
      <c r="CR40" s="55">
        <f>IFERROR(CE40*$CP40,0)</f>
        <v/>
      </c>
      <c r="CS40" s="55">
        <f>IFERROR(CF40*$CP40,0)</f>
        <v/>
      </c>
      <c r="CT40" s="55">
        <f>IFERROR(CG40*$CP40,0)</f>
        <v/>
      </c>
      <c r="CU40" s="55">
        <f>IFERROR(CH40*$CP40,0)</f>
        <v/>
      </c>
      <c r="CV40" s="55">
        <f>IFERROR(CI40*$CP40,0)</f>
        <v/>
      </c>
      <c r="CW40" s="55">
        <f>IFERROR(CJ40*$CP40,0)</f>
        <v/>
      </c>
      <c r="CX40" s="55">
        <f>IFERROR(CK40*$CP40,0)</f>
        <v/>
      </c>
      <c r="CY40" s="55">
        <f>IFERROR(CL40*$CP40,0)</f>
        <v/>
      </c>
      <c r="CZ40" s="55">
        <f>IFERROR(CM40*$CP40,0)</f>
        <v/>
      </c>
      <c r="DA40" s="55">
        <f>IFERROR(CN40*$CP40,0)</f>
        <v/>
      </c>
      <c r="DB40" s="56" t="n"/>
      <c r="DC40" s="56">
        <f>IF(VALUE(MID(DC$5,6,1))&lt;=$D$2,((1+$CP$3)^1-1)*CS40,0)</f>
        <v/>
      </c>
      <c r="DD40" s="56">
        <f>IF(VALUE(MID(DD$5,6,1))&lt;=$D$2,((1+$CP$3)^2-1)*CT40,0)</f>
        <v/>
      </c>
      <c r="DE40" s="56">
        <f>IF(VALUE(MID(DE$5,6,1))&lt;=$D$2,((1+$CP$3)^3-1)*CU40,0)</f>
        <v/>
      </c>
      <c r="DF40" s="56">
        <f>IF(VALUE(MID(DF$5,6,1))&lt;=$D$2,((1+$CP$3)^4-1)*CV40,0)</f>
        <v/>
      </c>
      <c r="DG40" s="56">
        <f>IF(VALUE(MID(DG$5,6,1))&lt;=$D$2,((1+$CP$3)^5-1)*CW40,0)</f>
        <v/>
      </c>
      <c r="DH40" s="56">
        <f>IF(VALUE(MID(DH$5,6,1))&lt;=$D$2,((1+$CP$3)^6-1)*CX40,0)</f>
        <v/>
      </c>
      <c r="DI40" s="56">
        <f>IF(VALUE(MID(DI$5,6,1))&lt;=$D$2,((1+$CP$3)^7-1)*CY40,0)</f>
        <v/>
      </c>
      <c r="DJ40" s="56">
        <f>IF(VALUE(MID(DJ$5,6,1))&lt;=$D$2,((1+$CP$3)^8-1)*CZ40,0)</f>
        <v/>
      </c>
      <c r="DK40" s="56">
        <f>IF(VALUE(MID(DK$5,6,2))&lt;=$D$2,((1+$CP$3)^9-1)*DA40,0)</f>
        <v/>
      </c>
      <c r="DL40" s="57">
        <f>SUM(DB40:DK40)</f>
        <v/>
      </c>
      <c r="DM40" s="54">
        <f>SUM(DL40,CR40:DA40)</f>
        <v/>
      </c>
      <c r="DO40" s="106" t="n"/>
    </row>
    <row r="41">
      <c r="B41" s="141" t="inlineStr">
        <is>
          <t>Monthly F</t>
        </is>
      </c>
      <c r="C41" s="24" t="n"/>
      <c r="D41" s="147">
        <f>IFERROR(AVERAGE(C41:C41),0)</f>
        <v/>
      </c>
      <c r="E41" s="142">
        <f>IF($B41="Annual",1,IF($B41="Monthly F",12,IF($B41="Monthly V",D41*12,IF($B41="One-Time",1,D41*12))))</f>
        <v/>
      </c>
      <c r="F41" s="14">
        <f t="array" ref="F41">IFERROR(_xlfn.IFS(VALUE(MID(F$5,6,1))&gt;$D$2,0,$B41="Annual",1,E41=12,12,$B41="Monthly V",E41*(1+$D$3),$B41="Monthly F",12,$B41="One-Time",0),E41*(1+$D$3))</f>
        <v/>
      </c>
      <c r="G41" s="14">
        <f t="array" ref="G41">IFERROR(_xlfn.IFS(VALUE(MID(G$5,6,1))&gt;$D$2,0,$B41="Annual",1,F41=12,12,$B41="Monthly V",F41*(1+$D$3),$B41="Monthly F",12,$B41="One-Time",0),F41*(1+$D$3))</f>
        <v/>
      </c>
      <c r="H41" s="14">
        <f t="array" ref="H41">IFERROR(_xlfn.IFS(VALUE(MID(H$5,6,1))&gt;$D$2,0,$B41="Annual",1,G41=12,12,$B41="Monthly V",G41*(1+$D$3),$B41="Monthly F",12,$B41="One-Time",0),G41*(1+$D$3))</f>
        <v/>
      </c>
      <c r="I41" s="14">
        <f t="array" ref="I41">IFERROR(_xlfn.IFS(VALUE(MID(I$5,6,1))&gt;$D$2,0,$B41="Annual",1,H41=12,12,$B41="Monthly V",H41*(1+$D$3),$B41="Monthly F",12,$B41="One-Time",0),H41*(1+$D$3))</f>
        <v/>
      </c>
      <c r="J41" s="14">
        <f t="array" ref="J41">IFERROR(_xlfn.IFS(VALUE(MID(J$5,6,1))&gt;$D$2,0,$B41="Annual",1,I41=12,12,$B41="Monthly V",I41*(1+$D$3),$B41="Monthly F",12,$B41="One-Time",0),I41*(1+$D$3))</f>
        <v/>
      </c>
      <c r="K41" s="14">
        <f t="array" ref="K41">IFERROR(_xlfn.IFS(VALUE(MID(K$5,6,1))&gt;$D$2,0,$B41="Annual",1,J41=12,12,$B41="Monthly V",J41*(1+$D$3),$B41="Monthly F",12,$B41="One-Time",0),J41*(1+$D$3))</f>
        <v/>
      </c>
      <c r="L41" s="14">
        <f t="array" ref="L41">IFERROR(_xlfn.IFS(VALUE(MID(L$5,6,1))&gt;$D$2,0,$B41="Annual",1,K41=12,12,$B41="Monthly V",K41*(1+$D$3),$B41="Monthly F",12,$B41="One-Time",0),K41*(1+$D$3))</f>
        <v/>
      </c>
      <c r="M41" s="14">
        <f t="array" ref="M41">IFERROR(_xlfn.IFS(VALUE(MID(M$5,6,1))&gt;$D$2,0,$B41="Annual",1,L41=12,12,$B41="Monthly V",L41*(1+$D$3),$B41="Monthly F",12,$B41="One-Time",0),L41*(1+$D$3))</f>
        <v/>
      </c>
      <c r="N41" s="24">
        <f t="array" ref="N41">IFERROR(_xlfn.IFS(VALUE(MID(N$5,6,2))&gt;$D$2,0,$B41="Annual",1,M41=12,12,$B41="Monthly V",M41*(1+$D$3),$B41="Monthly F",12,$B41="One-Time",0),M41*(1+$D$3))</f>
        <v/>
      </c>
      <c r="O41" s="127" t="inlineStr">
        <is>
          <t>Monthly Minimum</t>
        </is>
      </c>
      <c r="P41" s="13" t="inlineStr">
        <is>
          <t>Payments One</t>
        </is>
      </c>
      <c r="Q41" s="20" t="n">
        <v>500</v>
      </c>
      <c r="R41" s="21">
        <f>S41/12</f>
        <v/>
      </c>
      <c r="S41" s="6">
        <f>IF(S42&lt;$Q$41*12,($Q$41*12)-S42,0)</f>
        <v/>
      </c>
      <c r="T41" s="6">
        <f>IF(T42&lt;$Q$41*12,($Q$41*12)-T42,0)</f>
        <v/>
      </c>
      <c r="U41" s="6">
        <f>IF(U42&lt;$Q$41*12,($Q$41*12)-U42,0)</f>
        <v/>
      </c>
      <c r="V41" s="6">
        <f>IF(V42&lt;$Q$41*12,($Q$41*12)-V42,0)</f>
        <v/>
      </c>
      <c r="W41" s="6">
        <f>IF(W42&lt;$Q$41*12,($Q$41*12)-W42,0)</f>
        <v/>
      </c>
      <c r="X41" s="6">
        <f>IF(X42&lt;$Q$41*12,($Q$41*12)-X42,0)</f>
        <v/>
      </c>
      <c r="Y41" s="6">
        <f>IF(Y42&lt;$Q$41*12,($Q$41*12)-Y42,0)</f>
        <v/>
      </c>
      <c r="Z41" s="6">
        <f>IFERROR($Q41*L41,0)</f>
        <v/>
      </c>
      <c r="AA41" s="6">
        <f>IFERROR($Q41*M41,0)</f>
        <v/>
      </c>
      <c r="AB41" s="6">
        <f>IFERROR($Q41*N41,0)</f>
        <v/>
      </c>
      <c r="AC41" s="7" t="n"/>
      <c r="AD41" s="152">
        <f>IF(VALUE(MID(AD$5,6,1))&lt;=$D$2,((1+$Q$3)^1-1)*T41,0)</f>
        <v/>
      </c>
      <c r="AE41" s="152">
        <f>IF(VALUE(MID(AE$5,6,1))&lt;=$D$2,((1+$Q$3)^2-1)*U41,0)</f>
        <v/>
      </c>
      <c r="AF41" s="152">
        <f>IF(VALUE(MID(AF$5,6,1))&lt;=$D$2,((1+$Q$3)^3-1)*V41,0)</f>
        <v/>
      </c>
      <c r="AG41" s="152">
        <f>IF(VALUE(MID(AG$5,6,1))&lt;=$D$2,((1+$Q$3)^4-1)*W41,0)</f>
        <v/>
      </c>
      <c r="AH41" s="152">
        <f>IF(VALUE(MID(AH$5,6,1))&lt;=$D$2,((1+$Q$3)^5-1)*X41,0)</f>
        <v/>
      </c>
      <c r="AI41" s="152">
        <f>IF(VALUE(MID(AI$5,6,1))&lt;=$D$2,((1+$Q$3)^6-1)*Y41,0)</f>
        <v/>
      </c>
      <c r="AJ41" s="152">
        <f>IF(VALUE(MID(AJ$5,6,1))&lt;=$D$2,((1+$Q$3)^7-1)*Z41,0)</f>
        <v/>
      </c>
      <c r="AK41" s="152">
        <f>IF(VALUE(MID(AK$5,6,1))&lt;=$D$2,((1+$Q$3)^8-1)*AA41,0)</f>
        <v/>
      </c>
      <c r="AL41" s="152">
        <f>IF(VALUE(MID(AL$5,6,2))&lt;=$D$2,((1+$Q$3)^9-1)*AB41,0)</f>
        <v/>
      </c>
      <c r="AM41" s="9">
        <f>SUM(AC41:AL41)</f>
        <v/>
      </c>
      <c r="AN41" s="80">
        <f>SUM(AM41,S41:AB41)</f>
        <v/>
      </c>
      <c r="AP41" s="102" t="inlineStr">
        <is>
          <t>Monthly F</t>
        </is>
      </c>
      <c r="AQ41" s="12" t="n">
        <v>1</v>
      </c>
      <c r="AR41" s="14">
        <f>IF($AP41="Annual",1,IF($AP41="Monthly F",12,IF($AP41="Monthly V",AQ41*12,IF($AP41="One-Time",1,AQ41*12))))</f>
        <v/>
      </c>
      <c r="AS41" s="14">
        <f t="array" ref="AS41">IFERROR(_xlfn.IFS(VALUE(MID(AS$5,6,1))&gt;$D$2,0,$AP41="Annual",1,AR41=12,12,$AP41="Monthly V",AR41*(1+$BD$2),$AP41="Monthly F",12,$AP41="One-Time",0),AR41*(1+$BD$2))</f>
        <v/>
      </c>
      <c r="AT41" s="14">
        <f t="array" ref="AT41">IFERROR(_xlfn.IFS(VALUE(MID(AT$5,6,1))&gt;$D$2,0,$AP41="Annual",1,AS41=12,12,$AP41="Monthly V",AS41*(1+$BD$2),$AP41="Monthly F",12,$AP41="One-Time",0),AS41*(1+$BD$2))</f>
        <v/>
      </c>
      <c r="AU41" s="14">
        <f t="array" ref="AU41">IFERROR(_xlfn.IFS(VALUE(MID(AU$5,6,1))&gt;$D$2,0,$AP41="Annual",1,AT41=12,12,$AP41="Monthly V",AT41*(1+$BD$2),$AP41="Monthly F",12,$AP41="One-Time",0),AT41*(1+$BD$2))</f>
        <v/>
      </c>
      <c r="AV41" s="14">
        <f t="array" ref="AV41">IFERROR(_xlfn.IFS(VALUE(MID(AV$5,6,1))&gt;$D$2,0,$AP41="Annual",1,AU41=12,12,$AP41="Monthly V",AU41*(1+$BD$2),$AP41="Monthly F",12,$AP41="One-Time",0),AU41*(1+$BD$2))</f>
        <v/>
      </c>
      <c r="AW41" s="14">
        <f t="array" ref="AW41">IFERROR(_xlfn.IFS(VALUE(MID(AW$5,6,1))&gt;$D$2,0,$AP41="Annual",1,AV41=12,12,$AP41="Monthly V",AV41*(1+$BD$2),$AP41="Monthly F",12,$AP41="One-Time",0),AV41*(1+$BD$2))</f>
        <v/>
      </c>
      <c r="AX41" s="14">
        <f t="array" ref="AX41">IFERROR(_xlfn.IFS(VALUE(MID(AX$5,6,1))&gt;$D$2,0,$AP41="Annual",1,AW41=12,12,$AP41="Monthly V",AW41*(1+$BD$2),$AP41="Monthly F",12,$AP41="One-Time",0),AW41*(1+$BD$2))</f>
        <v/>
      </c>
      <c r="AY41" s="14">
        <f t="array" ref="AY41">IFERROR(_xlfn.IFS(VALUE(MID(AY$5,6,1))&gt;$D$2,0,$AP41="Annual",1,AX41=12,12,$AP41="Monthly V",AX41*(1+$D$3),$AP41="Monthly F",12,$AP41="One-Time",0),AX41*(1+$D$3))</f>
        <v/>
      </c>
      <c r="AZ41" s="14">
        <f t="array" ref="AZ41">IFERROR(_xlfn.IFS(VALUE(MID(AZ$5,6,1))&gt;$D$2,0,$AP41="Annual",1,AY41=12,12,$AP41="Monthly V",AY41*(1+$D$3),$AP41="Monthly F",12,$AP41="One-Time",0),AY41*(1+$D$3))</f>
        <v/>
      </c>
      <c r="BA41" s="125">
        <f t="array" ref="BA41">IFERROR(_xlfn.IFS(VALUE(MID(BA$5,6,2))&gt;$D$2,0,$AP41="Annual",1,AZ41=12,12,$AP41="Monthly V",AZ41*(1+$D$3),$AP41="Monthly F",12,$AP41="One-Time",0),AZ41*(1+$D$3))</f>
        <v/>
      </c>
      <c r="BB41" s="186" t="inlineStr">
        <is>
          <t>ATM Driving VPN</t>
        </is>
      </c>
      <c r="BC41" s="38" t="inlineStr">
        <is>
          <t>Card Processing Solutions (CPS)</t>
        </is>
      </c>
      <c r="BD41" s="36" t="n">
        <v>100</v>
      </c>
      <c r="BE41" s="21">
        <f>BF41/12</f>
        <v/>
      </c>
      <c r="BF41" s="39">
        <f>IFERROR(AR41*$BD41,0)</f>
        <v/>
      </c>
      <c r="BG41" s="39">
        <f>IFERROR(AS41*$BD41,0)</f>
        <v/>
      </c>
      <c r="BH41" s="39">
        <f>IFERROR(AT41*$BD41,0)</f>
        <v/>
      </c>
      <c r="BI41" s="39">
        <f>BH41*1.03</f>
        <v/>
      </c>
      <c r="BJ41" s="39">
        <f>BI41*1.03</f>
        <v/>
      </c>
      <c r="BK41" s="39">
        <f>BJ41*1.03</f>
        <v/>
      </c>
      <c r="BL41" s="39">
        <f>BK41*1.03</f>
        <v/>
      </c>
      <c r="BM41" s="39">
        <f>IFERROR(AY41*$BD41,0)</f>
        <v/>
      </c>
      <c r="BN41" s="39">
        <f>IFERROR(AZ41*$BD41,0)</f>
        <v/>
      </c>
      <c r="BO41" s="39">
        <f>IFERROR(BA41*$BD41,0)</f>
        <v/>
      </c>
      <c r="BP41" s="40" t="n"/>
      <c r="BQ41" s="40">
        <f>IF(VALUE(MID(BQ$5,6,1))&lt;=$D$2,((1+$BD$3)^1-1)*BG41,0)</f>
        <v/>
      </c>
      <c r="BR41" s="40">
        <f>IF(VALUE(MID(BR$5,6,1))&lt;=$D$2,((1+$BD$3)^2-1)*BH41,0)</f>
        <v/>
      </c>
      <c r="BS41" s="40">
        <f>IF(VALUE(MID(BS$5,6,1))&lt;=$D$2,((1+$BD$3)^3-1)*BI41,0)</f>
        <v/>
      </c>
      <c r="BT41" s="40">
        <f>IF(VALUE(MID(BT$5,6,1))&lt;=$D$2,((1+$BD$3)^4-1)*BJ41,0)</f>
        <v/>
      </c>
      <c r="BU41" s="40">
        <f>IF(VALUE(MID(BU$5,6,1))&lt;=$D$2,((1+$BD$3)^5-1)*BK41,0)</f>
        <v/>
      </c>
      <c r="BV41" s="40">
        <f>IF(VALUE(MID(BV$5,6,1))&lt;=$D$2,((1+$BD$3)^6-1)*BL41,0)</f>
        <v/>
      </c>
      <c r="BW41" s="40">
        <f>IF(VALUE(MID(BW$5,6,1))&lt;=$D$2,((1+$BD$3)^7-1)*BM41,0)</f>
        <v/>
      </c>
      <c r="BX41" s="40">
        <f>IF(VALUE(MID(BX$5,6,1))&lt;=$D$2,((1+$BD$3)^8-1)*BN41,0)</f>
        <v/>
      </c>
      <c r="BY41" s="40">
        <f>IF(VALUE(MID(BY$5,6,2))&lt;=$D$2,((1+$BD$3)^9-1)*BO41,0)</f>
        <v/>
      </c>
      <c r="BZ41" s="40">
        <f>SUM(BP41:BY41)</f>
        <v/>
      </c>
      <c r="CA41" s="37">
        <f>SUM(BZ41,BF41:BO41)</f>
        <v/>
      </c>
      <c r="CC41" s="102" t="n"/>
      <c r="CD41" s="12" t="n"/>
      <c r="CE41" s="14">
        <f>IF($CC41="Annual",1,IF($CC41="Monthly F",12,IF($CC41="Monthly V",CD41*12,IF($CC41="One-Time",1,CD41*12))))</f>
        <v/>
      </c>
      <c r="CF41" s="14">
        <f t="array" ref="CF41">IFERROR(_xlfn.IFS(VALUE(MID(CF$5,6,1))&gt;$D$2,0,$CC41="Annual",1,CE41=12,12,$CC41="Monthly V",CE41*(1+$D$3),$CC41="Monthly F",12,$CC41="One-Time",0),CE41*(1+$D$3))</f>
        <v/>
      </c>
      <c r="CG41" s="14">
        <f t="array" ref="CG41">IFERROR(_xlfn.IFS(VALUE(MID(CG$5,6,1))&gt;$D$2,0,$CC41="Annual",1,CF41=12,12,$CC41="Monthly V",CF41*(1+$D$3),$CC41="Monthly F",12,$CC41="One-Time",0),CF41*(1+$D$3))</f>
        <v/>
      </c>
      <c r="CH41" s="14">
        <f t="array" ref="CH41">IFERROR(_xlfn.IFS(VALUE(MID(CH$5,6,1))&gt;$D$2,0,$CC41="Annual",1,CG41=12,12,$CC41="Monthly V",CG41*(1+$D$3),$CC41="Monthly F",12,$CC41="One-Time",0),CG41*(1+$D$3))</f>
        <v/>
      </c>
      <c r="CI41" s="14">
        <f t="array" ref="CI41">IFERROR(_xlfn.IFS(VALUE(MID(CI$5,6,1))&gt;$D$2,0,$CC41="Annual",1,CH41=12,12,$CC41="Monthly V",CH41*(1+$D$3),$CC41="Monthly F",12,$CC41="One-Time",0),CH41*(1+$D$3))</f>
        <v/>
      </c>
      <c r="CJ41" s="14">
        <f t="array" ref="CJ41">IFERROR(_xlfn.IFS(VALUE(MID(CJ$5,6,1))&gt;$D$2,0,$CC41="Annual",1,CI41=12,12,$CC41="Monthly V",CI41*(1+$D$3),$CC41="Monthly F",12,$CC41="One-Time",0),CI41*(1+$D$3))</f>
        <v/>
      </c>
      <c r="CK41" s="14">
        <f t="array" ref="CK41">IFERROR(_xlfn.IFS(VALUE(MID(CK$5,6,1))&gt;$D$2,0,$CC41="Annual",1,CJ41=12,12,$CC41="Monthly V",CJ41*(1+$D$3),$CC41="Monthly F",12,$CC41="One-Time",0),CJ41*(1+$D$3))</f>
        <v/>
      </c>
      <c r="CL41" s="14">
        <f t="array" ref="CL41">IFERROR(_xlfn.IFS(VALUE(MID(CL$5,6,1))&gt;$D$2,0,$CC41="Annual",1,CK41=12,12,$CC41="Monthly V",CK41*(1+$D$3),$CC41="Monthly F",12,$CC41="One-Time",0),CK41*(1+$D$3))</f>
        <v/>
      </c>
      <c r="CM41" s="14">
        <f t="array" ref="CM41">IFERROR(_xlfn.IFS(VALUE(MID(CM$5,6,1))&gt;$D$2,0,$CC41="Annual",1,CL41=12,12,$CC41="Monthly V",CL41*(1+$D$3),$CC41="Monthly F",12,$CC41="One-Time",0),CL41*(1+$D$3))</f>
        <v/>
      </c>
      <c r="CN41" s="24">
        <f t="array" ref="CN41">IFERROR(_xlfn.IFS(VALUE(MID(CN$5,6,2))&gt;$D$2,0,$CC41="Annual",1,CM41=12,12,$CC41="Monthly V",CM41*(1+$D$3),$CC41="Monthly F",12,$CC41="One-Time",0),CM41*(1+$D$3))</f>
        <v/>
      </c>
      <c r="CO41" s="63" t="n"/>
      <c r="CP41" s="53" t="n"/>
      <c r="CQ41" s="21">
        <f>CR41/12</f>
        <v/>
      </c>
      <c r="CR41" s="55">
        <f>IFERROR(CE41*$CP41,0)</f>
        <v/>
      </c>
      <c r="CS41" s="55">
        <f>IFERROR(CF41*$CP41,0)</f>
        <v/>
      </c>
      <c r="CT41" s="55">
        <f>IFERROR(CG41*$CP41,0)</f>
        <v/>
      </c>
      <c r="CU41" s="55">
        <f>IFERROR(CH41*$CP41,0)</f>
        <v/>
      </c>
      <c r="CV41" s="55">
        <f>IFERROR(CI41*$CP41,0)</f>
        <v/>
      </c>
      <c r="CW41" s="55">
        <f>IFERROR(CJ41*$CP41,0)</f>
        <v/>
      </c>
      <c r="CX41" s="55">
        <f>IFERROR(CK41*$CP41,0)</f>
        <v/>
      </c>
      <c r="CY41" s="55">
        <f>IFERROR(CL41*$CP41,0)</f>
        <v/>
      </c>
      <c r="CZ41" s="55">
        <f>IFERROR(CM41*$CP41,0)</f>
        <v/>
      </c>
      <c r="DA41" s="55">
        <f>IFERROR(CN41*$CP41,0)</f>
        <v/>
      </c>
      <c r="DB41" s="56" t="n"/>
      <c r="DC41" s="56">
        <f>IF(VALUE(MID(DC$5,6,1))&lt;=$D$2,((1+$CP$3)^1-1)*CS41,0)</f>
        <v/>
      </c>
      <c r="DD41" s="56">
        <f>IF(VALUE(MID(DD$5,6,1))&lt;=$D$2,((1+$CP$3)^2-1)*CT41,0)</f>
        <v/>
      </c>
      <c r="DE41" s="56">
        <f>IF(VALUE(MID(DE$5,6,1))&lt;=$D$2,((1+$CP$3)^3-1)*CU41,0)</f>
        <v/>
      </c>
      <c r="DF41" s="56">
        <f>IF(VALUE(MID(DF$5,6,1))&lt;=$D$2,((1+$CP$3)^4-1)*CV41,0)</f>
        <v/>
      </c>
      <c r="DG41" s="56">
        <f>IF(VALUE(MID(DG$5,6,1))&lt;=$D$2,((1+$CP$3)^5-1)*CW41,0)</f>
        <v/>
      </c>
      <c r="DH41" s="56">
        <f>IF(VALUE(MID(DH$5,6,1))&lt;=$D$2,((1+$CP$3)^6-1)*CX41,0)</f>
        <v/>
      </c>
      <c r="DI41" s="56">
        <f>IF(VALUE(MID(DI$5,6,1))&lt;=$D$2,((1+$CP$3)^7-1)*CY41,0)</f>
        <v/>
      </c>
      <c r="DJ41" s="56">
        <f>IF(VALUE(MID(DJ$5,6,1))&lt;=$D$2,((1+$CP$3)^8-1)*CZ41,0)</f>
        <v/>
      </c>
      <c r="DK41" s="56">
        <f>IF(VALUE(MID(DK$5,6,2))&lt;=$D$2,((1+$CP$3)^9-1)*DA41,0)</f>
        <v/>
      </c>
      <c r="DL41" s="57">
        <f>SUM(DB41:DK41)</f>
        <v/>
      </c>
      <c r="DM41" s="54">
        <f>SUM(DL41,CR41:DA41)</f>
        <v/>
      </c>
      <c r="DO41" s="106" t="n"/>
    </row>
    <row r="42">
      <c r="B42" s="141" t="n"/>
      <c r="C42" s="24" t="n"/>
      <c r="D42" s="147" t="n"/>
      <c r="E42" s="142" t="n"/>
      <c r="F42" s="14" t="n"/>
      <c r="G42" s="14" t="n"/>
      <c r="H42" s="14" t="n"/>
      <c r="I42" s="14" t="n"/>
      <c r="J42" s="14" t="n"/>
      <c r="K42" s="14" t="n"/>
      <c r="L42" s="14" t="n"/>
      <c r="M42" s="14" t="n"/>
      <c r="N42" s="24" t="n"/>
      <c r="O42" s="127" t="n"/>
      <c r="P42" s="13" t="n"/>
      <c r="Q42" s="20" t="n"/>
      <c r="R42" s="21" t="n"/>
      <c r="S42" s="6" t="n"/>
      <c r="T42" s="6" t="n"/>
      <c r="U42" s="6" t="n"/>
      <c r="V42" s="6" t="n"/>
      <c r="W42" s="6" t="n"/>
      <c r="X42" s="6" t="n"/>
      <c r="Y42" s="6" t="n"/>
      <c r="Z42" s="6" t="n"/>
      <c r="AA42" s="6" t="n"/>
      <c r="AB42" s="6" t="n"/>
      <c r="AC42" s="7" t="n"/>
      <c r="AD42" s="152" t="n"/>
      <c r="AE42" s="152" t="n"/>
      <c r="AF42" s="152" t="n"/>
      <c r="AG42" s="152" t="n"/>
      <c r="AH42" s="152" t="n"/>
      <c r="AI42" s="152" t="n"/>
      <c r="AJ42" s="152" t="n"/>
      <c r="AK42" s="152" t="n"/>
      <c r="AL42" s="152" t="n"/>
      <c r="AM42" s="9" t="n"/>
      <c r="AN42" s="80" t="n"/>
      <c r="AP42" s="102" t="inlineStr">
        <is>
          <t>Monthly F</t>
        </is>
      </c>
      <c r="AQ42" s="12" t="n">
        <v>1</v>
      </c>
      <c r="AR42" s="14">
        <f>IF($AP42="Annual",1,IF($AP42="Monthly F",12,IF($AP42="Monthly V",AQ42*12,IF($AP42="One-Time",1,AQ42*12))))</f>
        <v/>
      </c>
      <c r="AS42" s="14">
        <f t="array" ref="AS42">IFERROR(_xlfn.IFS(VALUE(MID(AS$5,6,1))&gt;$D$2,0,$AP42="Annual",1,AR42=12,12,$AP42="Monthly V",AR42*(1+$BD$2),$AP42="Monthly F",12,$AP42="One-Time",0),AR42*(1+$BD$2))</f>
        <v/>
      </c>
      <c r="AT42" s="14">
        <f t="array" ref="AT42">IFERROR(_xlfn.IFS(VALUE(MID(AT$5,6,1))&gt;$D$2,0,$AP42="Annual",1,AS42=12,12,$AP42="Monthly V",AS42*(1+$BD$2),$AP42="Monthly F",12,$AP42="One-Time",0),AS42*(1+$BD$2))</f>
        <v/>
      </c>
      <c r="AU42" s="14">
        <f t="array" ref="AU42">IFERROR(_xlfn.IFS(VALUE(MID(AU$5,6,1))&gt;$D$2,0,$AP42="Annual",1,AT42=12,12,$AP42="Monthly V",AT42*(1+$BD$2),$AP42="Monthly F",12,$AP42="One-Time",0),AT42*(1+$BD$2))</f>
        <v/>
      </c>
      <c r="AV42" s="14">
        <f t="array" ref="AV42">IFERROR(_xlfn.IFS(VALUE(MID(AV$5,6,1))&gt;$D$2,0,$AP42="Annual",1,AU42=12,12,$AP42="Monthly V",AU42*(1+$BD$2),$AP42="Monthly F",12,$AP42="One-Time",0),AU42*(1+$BD$2))</f>
        <v/>
      </c>
      <c r="AW42" s="14">
        <f t="array" ref="AW42">IFERROR(_xlfn.IFS(VALUE(MID(AW$5,6,1))&gt;$D$2,0,$AP42="Annual",1,AV42=12,12,$AP42="Monthly V",AV42*(1+$BD$2),$AP42="Monthly F",12,$AP42="One-Time",0),AV42*(1+$BD$2))</f>
        <v/>
      </c>
      <c r="AX42" s="14">
        <f t="array" ref="AX42">IFERROR(_xlfn.IFS(VALUE(MID(AX$5,6,1))&gt;$D$2,0,$AP42="Annual",1,AW42=12,12,$AP42="Monthly V",AW42*(1+$BD$2),$AP42="Monthly F",12,$AP42="One-Time",0),AW42*(1+$BD$2))</f>
        <v/>
      </c>
      <c r="AY42" s="14">
        <f t="array" ref="AY42">IFERROR(_xlfn.IFS(VALUE(MID(AY$5,6,1))&gt;$D$2,0,$AP42="Annual",1,AX42=12,12,$AP42="Monthly V",AX42*(1+$D$3),$AP42="Monthly F",12,$AP42="One-Time",0),AX42*(1+$D$3))</f>
        <v/>
      </c>
      <c r="AZ42" s="14">
        <f t="array" ref="AZ42">IFERROR(_xlfn.IFS(VALUE(MID(AZ$5,6,1))&gt;$D$2,0,$AP42="Annual",1,AY42=12,12,$AP42="Monthly V",AY42*(1+$D$3),$AP42="Monthly F",12,$AP42="One-Time",0),AY42*(1+$D$3))</f>
        <v/>
      </c>
      <c r="BA42" s="125">
        <f t="array" ref="BA42">IFERROR(_xlfn.IFS(VALUE(MID(BA$5,6,2))&gt;$D$2,0,$AP42="Annual",1,AZ42=12,12,$AP42="Monthly V",AZ42*(1+$D$3),$AP42="Monthly F",12,$AP42="One-Time",0),AZ42*(1+$D$3))</f>
        <v/>
      </c>
      <c r="BB42" s="186" t="inlineStr">
        <is>
          <t>Regional ATM/Debit Network</t>
        </is>
      </c>
      <c r="BC42" s="38" t="inlineStr">
        <is>
          <t>Card Processing Solutions (CPS)</t>
        </is>
      </c>
      <c r="BD42" s="36" t="n">
        <v>75</v>
      </c>
      <c r="BE42" s="21">
        <f>BF42/12</f>
        <v/>
      </c>
      <c r="BF42" s="39">
        <f>IFERROR(AR42*$BD42,0)</f>
        <v/>
      </c>
      <c r="BG42" s="39">
        <f>IFERROR(AS42*$BD42,0)</f>
        <v/>
      </c>
      <c r="BH42" s="39">
        <f>IFERROR(AT42*$BD42,0)</f>
        <v/>
      </c>
      <c r="BI42" s="39">
        <f>BH42*1.03</f>
        <v/>
      </c>
      <c r="BJ42" s="39">
        <f>BI42*1.03</f>
        <v/>
      </c>
      <c r="BK42" s="39">
        <f>BJ42*1.03</f>
        <v/>
      </c>
      <c r="BL42" s="39">
        <f>BK42*1.03</f>
        <v/>
      </c>
      <c r="BM42" s="39">
        <f>IFERROR(AY42*$BD42,0)</f>
        <v/>
      </c>
      <c r="BN42" s="39">
        <f>IFERROR(AZ42*$BD42,0)</f>
        <v/>
      </c>
      <c r="BO42" s="39">
        <f>IFERROR(BA42*$BD42,0)</f>
        <v/>
      </c>
      <c r="BP42" s="40" t="n"/>
      <c r="BQ42" s="40">
        <f>IF(VALUE(MID(BQ$5,6,1))&lt;=$D$2,((1+$BD$3)^1-1)*BG42,0)</f>
        <v/>
      </c>
      <c r="BR42" s="40">
        <f>IF(VALUE(MID(BR$5,6,1))&lt;=$D$2,((1+$BD$3)^2-1)*BH42,0)</f>
        <v/>
      </c>
      <c r="BS42" s="40">
        <f>IF(VALUE(MID(BS$5,6,1))&lt;=$D$2,((1+$BD$3)^3-1)*BI42,0)</f>
        <v/>
      </c>
      <c r="BT42" s="40">
        <f>IF(VALUE(MID(BT$5,6,1))&lt;=$D$2,((1+$BD$3)^4-1)*BJ42,0)</f>
        <v/>
      </c>
      <c r="BU42" s="40">
        <f>IF(VALUE(MID(BU$5,6,1))&lt;=$D$2,((1+$BD$3)^5-1)*BK42,0)</f>
        <v/>
      </c>
      <c r="BV42" s="40">
        <f>IF(VALUE(MID(BV$5,6,1))&lt;=$D$2,((1+$BD$3)^6-1)*BL42,0)</f>
        <v/>
      </c>
      <c r="BW42" s="40">
        <f>IF(VALUE(MID(BW$5,6,1))&lt;=$D$2,((1+$BD$3)^7-1)*BM42,0)</f>
        <v/>
      </c>
      <c r="BX42" s="40">
        <f>IF(VALUE(MID(BX$5,6,1))&lt;=$D$2,((1+$BD$3)^8-1)*BN42,0)</f>
        <v/>
      </c>
      <c r="BY42" s="40">
        <f>IF(VALUE(MID(BY$5,6,2))&lt;=$D$2,((1+$BD$3)^9-1)*BO42,0)</f>
        <v/>
      </c>
      <c r="BZ42" s="40">
        <f>SUM(BP42:BY42)</f>
        <v/>
      </c>
      <c r="CA42" s="37">
        <f>SUM(BZ42,BF42:BO42)</f>
        <v/>
      </c>
      <c r="CC42" s="102" t="n"/>
      <c r="CD42" s="12" t="n"/>
      <c r="CE42" s="14" t="n"/>
      <c r="CF42" s="14" t="n"/>
      <c r="CG42" s="14" t="n"/>
      <c r="CH42" s="14" t="n"/>
      <c r="CI42" s="14" t="n"/>
      <c r="CJ42" s="14" t="n"/>
      <c r="CK42" s="14" t="n"/>
      <c r="CL42" s="14" t="n"/>
      <c r="CM42" s="14" t="n"/>
      <c r="CN42" s="24" t="n"/>
      <c r="CO42" s="63" t="n"/>
      <c r="CP42" s="53" t="n"/>
      <c r="CQ42" s="21" t="n"/>
      <c r="CR42" s="55" t="n"/>
      <c r="CS42" s="55" t="n"/>
      <c r="CT42" s="55" t="n"/>
      <c r="CU42" s="55" t="n"/>
      <c r="CV42" s="55" t="n"/>
      <c r="CW42" s="55" t="n"/>
      <c r="CX42" s="55" t="n"/>
      <c r="CY42" s="55" t="n"/>
      <c r="CZ42" s="55" t="n"/>
      <c r="DA42" s="55" t="n"/>
      <c r="DB42" s="56" t="n"/>
      <c r="DC42" s="56" t="n"/>
      <c r="DD42" s="56" t="n"/>
      <c r="DE42" s="56" t="n"/>
      <c r="DF42" s="56" t="n"/>
      <c r="DG42" s="56" t="n"/>
      <c r="DH42" s="56" t="n"/>
      <c r="DI42" s="56" t="n"/>
      <c r="DJ42" s="56" t="n"/>
      <c r="DK42" s="56" t="n"/>
      <c r="DL42" s="57" t="n"/>
      <c r="DM42" s="54" t="n"/>
      <c r="DO42" s="106" t="n"/>
    </row>
    <row r="43">
      <c r="B43" s="141" t="n"/>
      <c r="C43" s="24" t="n"/>
      <c r="D43" s="147" t="n"/>
      <c r="E43" s="142" t="n"/>
      <c r="F43" s="14" t="n"/>
      <c r="G43" s="14" t="n"/>
      <c r="H43" s="14" t="n"/>
      <c r="I43" s="14" t="n"/>
      <c r="J43" s="14" t="n"/>
      <c r="K43" s="14" t="n"/>
      <c r="L43" s="14" t="n"/>
      <c r="M43" s="14" t="n"/>
      <c r="N43" s="24" t="n"/>
      <c r="O43" s="157" t="inlineStr">
        <is>
          <t>Tokenization (Apple Pay, Additional Pays)</t>
        </is>
      </c>
      <c r="P43" s="13" t="n"/>
      <c r="Q43" s="20" t="n"/>
      <c r="R43" s="21">
        <f>S43/12</f>
        <v/>
      </c>
      <c r="S43" s="6">
        <f>IFERROR($Q43*E43,0)</f>
        <v/>
      </c>
      <c r="T43" s="6">
        <f>IFERROR($Q43*F43,0)</f>
        <v/>
      </c>
      <c r="U43" s="6">
        <f>IFERROR($Q43*G43,0)</f>
        <v/>
      </c>
      <c r="V43" s="6">
        <f>IFERROR($Q43*H43,0)</f>
        <v/>
      </c>
      <c r="W43" s="6">
        <f>IFERROR($Q43*I43,0)</f>
        <v/>
      </c>
      <c r="X43" s="6">
        <f>IFERROR($Q43*J43,0)</f>
        <v/>
      </c>
      <c r="Y43" s="6">
        <f>IFERROR($Q43*K43,0)</f>
        <v/>
      </c>
      <c r="Z43" s="6">
        <f>IFERROR($Q43*L43,0)</f>
        <v/>
      </c>
      <c r="AA43" s="6">
        <f>IFERROR($Q43*M43,0)</f>
        <v/>
      </c>
      <c r="AB43" s="6">
        <f>IFERROR($Q43*N43,0)</f>
        <v/>
      </c>
      <c r="AC43" s="7" t="n"/>
      <c r="AD43" s="152">
        <f>IF(VALUE(MID(AD$5,6,1))&lt;=$D$2,((1+$Q$3)^1-1)*T43,0)</f>
        <v/>
      </c>
      <c r="AE43" s="152">
        <f>IF(VALUE(MID(AE$5,6,1))&lt;=$D$2,((1+$Q$3)^2-1)*U43,0)</f>
        <v/>
      </c>
      <c r="AF43" s="152">
        <f>IF(VALUE(MID(AF$5,6,1))&lt;=$D$2,((1+$Q$3)^3-1)*V43,0)</f>
        <v/>
      </c>
      <c r="AG43" s="152">
        <f>IF(VALUE(MID(AG$5,6,1))&lt;=$D$2,((1+$Q$3)^4-1)*W43,0)</f>
        <v/>
      </c>
      <c r="AH43" s="152">
        <f>IF(VALUE(MID(AH$5,6,1))&lt;=$D$2,((1+$Q$3)^5-1)*X43,0)</f>
        <v/>
      </c>
      <c r="AI43" s="152">
        <f>IF(VALUE(MID(AI$5,6,1))&lt;=$D$2,((1+$Q$3)^6-1)*Y43,0)</f>
        <v/>
      </c>
      <c r="AJ43" s="152">
        <f>IF(VALUE(MID(AJ$5,6,1))&lt;=$D$2,((1+$Q$3)^7-1)*Z43,0)</f>
        <v/>
      </c>
      <c r="AK43" s="152">
        <f>IF(VALUE(MID(AK$5,6,1))&lt;=$D$2,((1+$Q$3)^8-1)*AA43,0)</f>
        <v/>
      </c>
      <c r="AL43" s="152">
        <f>IF(VALUE(MID(AL$5,6,2))&lt;=$D$2,((1+$Q$3)^9-1)*AB43,0)</f>
        <v/>
      </c>
      <c r="AM43" s="9">
        <f>SUM(AC43:AL43)</f>
        <v/>
      </c>
      <c r="AN43" s="80">
        <f>SUM(AM43,S43:AB43)</f>
        <v/>
      </c>
      <c r="AP43" s="102" t="inlineStr">
        <is>
          <t>Monthly V</t>
        </is>
      </c>
      <c r="AQ43" s="12" t="n">
        <v>3</v>
      </c>
      <c r="AR43" s="14">
        <f>IF($AP43="Annual",1,IF($AP43="Monthly F",12,IF($AP43="Monthly V",AQ43*12,IF($AP43="One-Time",1,AQ43*12))))</f>
        <v/>
      </c>
      <c r="AS43" s="14">
        <f t="array" ref="AS43">IFERROR(_xlfn.IFS(VALUE(MID(AS$5,6,1))&gt;$D$2,0,$AP43="Annual",1,AR43=12,12,$AP43="Monthly V",AR43*(1+$BD$2),$AP43="Monthly F",12,$AP43="One-Time",0),AR43*(1+$BD$2))</f>
        <v/>
      </c>
      <c r="AT43" s="14">
        <f t="array" ref="AT43">IFERROR(_xlfn.IFS(VALUE(MID(AT$5,6,1))&gt;$D$2,0,$AP43="Annual",1,AS43=12,12,$AP43="Monthly V",AS43*(1+$BD$2),$AP43="Monthly F",12,$AP43="One-Time",0),AS43*(1+$BD$2))</f>
        <v/>
      </c>
      <c r="AU43" s="14">
        <f t="array" ref="AU43">IFERROR(_xlfn.IFS(VALUE(MID(AU$5,6,1))&gt;$D$2,0,$AP43="Annual",1,AT43=12,12,$AP43="Monthly V",AT43*(1+$BD$2),$AP43="Monthly F",12,$AP43="One-Time",0),AT43*(1+$BD$2))</f>
        <v/>
      </c>
      <c r="AV43" s="14">
        <f t="array" ref="AV43">IFERROR(_xlfn.IFS(VALUE(MID(AV$5,6,1))&gt;$D$2,0,$AP43="Annual",1,AU43=12,12,$AP43="Monthly V",AU43*(1+$BD$2),$AP43="Monthly F",12,$AP43="One-Time",0),AU43*(1+$BD$2))</f>
        <v/>
      </c>
      <c r="AW43" s="14">
        <f t="array" ref="AW43">IFERROR(_xlfn.IFS(VALUE(MID(AW$5,6,1))&gt;$D$2,0,$AP43="Annual",1,AV43=12,12,$AP43="Monthly V",AV43*(1+$BD$2),$AP43="Monthly F",12,$AP43="One-Time",0),AV43*(1+$BD$2))</f>
        <v/>
      </c>
      <c r="AX43" s="14">
        <f t="array" ref="AX43">IFERROR(_xlfn.IFS(VALUE(MID(AX$5,6,1))&gt;$D$2,0,$AP43="Annual",1,AW43=12,12,$AP43="Monthly V",AW43*(1+$BD$2),$AP43="Monthly F",12,$AP43="One-Time",0),AW43*(1+$BD$2))</f>
        <v/>
      </c>
      <c r="AY43" s="14">
        <f t="array" ref="AY43">IFERROR(_xlfn.IFS(VALUE(MID(AY$5,6,1))&gt;$D$2,0,$AP43="Annual",1,AX43=12,12,$AP43="Monthly V",AX43*(1+$D$3),$AP43="Monthly F",12,$AP43="One-Time",0),AX43*(1+$D$3))</f>
        <v/>
      </c>
      <c r="AZ43" s="14">
        <f t="array" ref="AZ43">IFERROR(_xlfn.IFS(VALUE(MID(AZ$5,6,1))&gt;$D$2,0,$AP43="Annual",1,AY43=12,12,$AP43="Monthly V",AY43*(1+$D$3),$AP43="Monthly F",12,$AP43="One-Time",0),AY43*(1+$D$3))</f>
        <v/>
      </c>
      <c r="BA43" s="125">
        <f t="array" ref="BA43">IFERROR(_xlfn.IFS(VALUE(MID(BA$5,6,2))&gt;$D$2,0,$AP43="Annual",1,AZ43=12,12,$AP43="Monthly V",AZ43*(1+$D$3),$AP43="Monthly F",12,$AP43="One-Time",0),AZ43*(1+$D$3))</f>
        <v/>
      </c>
      <c r="BB43" s="148" t="inlineStr">
        <is>
          <t>National ATM/Debit Network</t>
        </is>
      </c>
      <c r="BC43" s="38" t="inlineStr">
        <is>
          <t>Card Processing Solutions (CPS)</t>
        </is>
      </c>
      <c r="BD43" s="36" t="n">
        <v>75</v>
      </c>
      <c r="BE43" s="21">
        <f>BF43/12</f>
        <v/>
      </c>
      <c r="BF43" s="39">
        <f>IFERROR(AR43*$BD43,0)</f>
        <v/>
      </c>
      <c r="BG43" s="39">
        <f>IFERROR(AS43*$BD43,0)</f>
        <v/>
      </c>
      <c r="BH43" s="39">
        <f>IFERROR(AT43*$BD43,0)</f>
        <v/>
      </c>
      <c r="BI43" s="39">
        <f>BH43*1.03</f>
        <v/>
      </c>
      <c r="BJ43" s="39">
        <f>BI43*1.03</f>
        <v/>
      </c>
      <c r="BK43" s="39">
        <f>BJ43*1.03</f>
        <v/>
      </c>
      <c r="BL43" s="39">
        <f>BK43*1.03</f>
        <v/>
      </c>
      <c r="BM43" s="39">
        <f>IFERROR(AY43*$BD43,0)</f>
        <v/>
      </c>
      <c r="BN43" s="39">
        <f>IFERROR(AZ43*$BD43,0)</f>
        <v/>
      </c>
      <c r="BO43" s="39">
        <f>IFERROR(BA43*$BD43,0)</f>
        <v/>
      </c>
      <c r="BP43" s="40" t="n"/>
      <c r="BQ43" s="40">
        <f>IF(VALUE(MID(BQ$5,6,1))&lt;=$D$2,((1+$BD$3)^1-1)*BG43,0)</f>
        <v/>
      </c>
      <c r="BR43" s="40">
        <f>IF(VALUE(MID(BR$5,6,1))&lt;=$D$2,((1+$BD$3)^2-1)*BH43,0)</f>
        <v/>
      </c>
      <c r="BS43" s="40">
        <f>IF(VALUE(MID(BS$5,6,1))&lt;=$D$2,((1+$BD$3)^3-1)*BI43,0)</f>
        <v/>
      </c>
      <c r="BT43" s="40">
        <f>IF(VALUE(MID(BT$5,6,1))&lt;=$D$2,((1+$BD$3)^4-1)*BJ43,0)</f>
        <v/>
      </c>
      <c r="BU43" s="40">
        <f>IF(VALUE(MID(BU$5,6,1))&lt;=$D$2,((1+$BD$3)^5-1)*BK43,0)</f>
        <v/>
      </c>
      <c r="BV43" s="40">
        <f>IF(VALUE(MID(BV$5,6,1))&lt;=$D$2,((1+$BD$3)^6-1)*BL43,0)</f>
        <v/>
      </c>
      <c r="BW43" s="40">
        <f>IF(VALUE(MID(BW$5,6,1))&lt;=$D$2,((1+$BD$3)^7-1)*BM43,0)</f>
        <v/>
      </c>
      <c r="BX43" s="40">
        <f>IF(VALUE(MID(BX$5,6,1))&lt;=$D$2,((1+$BD$3)^8-1)*BN43,0)</f>
        <v/>
      </c>
      <c r="BY43" s="40">
        <f>IF(VALUE(MID(BY$5,6,2))&lt;=$D$2,((1+$BD$3)^9-1)*BO43,0)</f>
        <v/>
      </c>
      <c r="BZ43" s="40">
        <f>SUM(BP43:BY43)</f>
        <v/>
      </c>
      <c r="CA43" s="37">
        <f>SUM(BZ43,BF43:BO43)</f>
        <v/>
      </c>
      <c r="CC43" s="102" t="n"/>
      <c r="CD43" s="12" t="n"/>
      <c r="CE43" s="14">
        <f>IF($CC43="Annual",1,IF($CC43="Monthly F",12,IF($CC43="Monthly V",CD43*12,IF($CC43="One-Time",1,CD43*12))))</f>
        <v/>
      </c>
      <c r="CF43" s="14">
        <f t="array" ref="CF43">IFERROR(_xlfn.IFS(VALUE(MID(CF$5,6,1))&gt;$D$2,0,$CC43="Annual",1,CE43=12,12,$CC43="Monthly V",CE43*(1+$D$3),$CC43="Monthly F",12,$CC43="One-Time",0),CE43*(1+$D$3))</f>
        <v/>
      </c>
      <c r="CG43" s="14">
        <f t="array" ref="CG43">IFERROR(_xlfn.IFS(VALUE(MID(CG$5,6,1))&gt;$D$2,0,$CC43="Annual",1,CF43=12,12,$CC43="Monthly V",CF43*(1+$D$3),$CC43="Monthly F",12,$CC43="One-Time",0),CF43*(1+$D$3))</f>
        <v/>
      </c>
      <c r="CH43" s="14">
        <f t="array" ref="CH43">IFERROR(_xlfn.IFS(VALUE(MID(CH$5,6,1))&gt;$D$2,0,$CC43="Annual",1,CG43=12,12,$CC43="Monthly V",CG43*(1+$D$3),$CC43="Monthly F",12,$CC43="One-Time",0),CG43*(1+$D$3))</f>
        <v/>
      </c>
      <c r="CI43" s="14">
        <f t="array" ref="CI43">IFERROR(_xlfn.IFS(VALUE(MID(CI$5,6,1))&gt;$D$2,0,$CC43="Annual",1,CH43=12,12,$CC43="Monthly V",CH43*(1+$D$3),$CC43="Monthly F",12,$CC43="One-Time",0),CH43*(1+$D$3))</f>
        <v/>
      </c>
      <c r="CJ43" s="14">
        <f t="array" ref="CJ43">IFERROR(_xlfn.IFS(VALUE(MID(CJ$5,6,1))&gt;$D$2,0,$CC43="Annual",1,CI43=12,12,$CC43="Monthly V",CI43*(1+$D$3),$CC43="Monthly F",12,$CC43="One-Time",0),CI43*(1+$D$3))</f>
        <v/>
      </c>
      <c r="CK43" s="14">
        <f t="array" ref="CK43">IFERROR(_xlfn.IFS(VALUE(MID(CK$5,6,1))&gt;$D$2,0,$CC43="Annual",1,CJ43=12,12,$CC43="Monthly V",CJ43*(1+$D$3),$CC43="Monthly F",12,$CC43="One-Time",0),CJ43*(1+$D$3))</f>
        <v/>
      </c>
      <c r="CL43" s="14">
        <f t="array" ref="CL43">IFERROR(_xlfn.IFS(VALUE(MID(CL$5,6,1))&gt;$D$2,0,$CC43="Annual",1,CK43=12,12,$CC43="Monthly V",CK43*(1+$D$3),$CC43="Monthly F",12,$CC43="One-Time",0),CK43*(1+$D$3))</f>
        <v/>
      </c>
      <c r="CM43" s="14">
        <f t="array" ref="CM43">IFERROR(_xlfn.IFS(VALUE(MID(CM$5,6,1))&gt;$D$2,0,$CC43="Annual",1,CL43=12,12,$CC43="Monthly V",CL43*(1+$D$3),$CC43="Monthly F",12,$CC43="One-Time",0),CL43*(1+$D$3))</f>
        <v/>
      </c>
      <c r="CN43" s="24">
        <f t="array" ref="CN43">IFERROR(_xlfn.IFS(VALUE(MID(CN$5,6,2))&gt;$D$2,0,$CC43="Annual",1,CM43=12,12,$CC43="Monthly V",CM43*(1+$D$3),$CC43="Monthly F",12,$CC43="One-Time",0),CM43*(1+$D$3))</f>
        <v/>
      </c>
      <c r="CO43" s="63" t="n"/>
      <c r="CP43" s="53" t="n"/>
      <c r="CQ43" s="21">
        <f>CR43/12</f>
        <v/>
      </c>
      <c r="CR43" s="55">
        <f>IFERROR(CE43*$CP43,0)</f>
        <v/>
      </c>
      <c r="CS43" s="55">
        <f>IFERROR(CF43*$CP43,0)</f>
        <v/>
      </c>
      <c r="CT43" s="55">
        <f>IFERROR(CG43*$CP43,0)</f>
        <v/>
      </c>
      <c r="CU43" s="55">
        <f>IFERROR(CH43*$CP43,0)</f>
        <v/>
      </c>
      <c r="CV43" s="55">
        <f>IFERROR(CI43*$CP43,0)</f>
        <v/>
      </c>
      <c r="CW43" s="55">
        <f>IFERROR(CJ43*$CP43,0)</f>
        <v/>
      </c>
      <c r="CX43" s="55">
        <f>IFERROR(CK43*$CP43,0)</f>
        <v/>
      </c>
      <c r="CY43" s="55">
        <f>IFERROR(CL43*$CP43,0)</f>
        <v/>
      </c>
      <c r="CZ43" s="55">
        <f>IFERROR(CM43*$CP43,0)</f>
        <v/>
      </c>
      <c r="DA43" s="55">
        <f>IFERROR(CN43*$CP43,0)</f>
        <v/>
      </c>
      <c r="DB43" s="56" t="n"/>
      <c r="DC43" s="56">
        <f>IF(VALUE(MID(DC$5,6,1))&lt;=$D$2,((1+$CP$3)^1-1)*CS43,0)</f>
        <v/>
      </c>
      <c r="DD43" s="56">
        <f>IF(VALUE(MID(DD$5,6,1))&lt;=$D$2,((1+$CP$3)^2-1)*CT43,0)</f>
        <v/>
      </c>
      <c r="DE43" s="56">
        <f>IF(VALUE(MID(DE$5,6,1))&lt;=$D$2,((1+$CP$3)^3-1)*CU43,0)</f>
        <v/>
      </c>
      <c r="DF43" s="56">
        <f>IF(VALUE(MID(DF$5,6,1))&lt;=$D$2,((1+$CP$3)^4-1)*CV43,0)</f>
        <v/>
      </c>
      <c r="DG43" s="56">
        <f>IF(VALUE(MID(DG$5,6,1))&lt;=$D$2,((1+$CP$3)^5-1)*CW43,0)</f>
        <v/>
      </c>
      <c r="DH43" s="56">
        <f>IF(VALUE(MID(DH$5,6,1))&lt;=$D$2,((1+$CP$3)^6-1)*CX43,0)</f>
        <v/>
      </c>
      <c r="DI43" s="56">
        <f>IF(VALUE(MID(DI$5,6,1))&lt;=$D$2,((1+$CP$3)^7-1)*CY43,0)</f>
        <v/>
      </c>
      <c r="DJ43" s="56">
        <f>IF(VALUE(MID(DJ$5,6,1))&lt;=$D$2,((1+$CP$3)^8-1)*CZ43,0)</f>
        <v/>
      </c>
      <c r="DK43" s="56">
        <f>IF(VALUE(MID(DK$5,6,2))&lt;=$D$2,((1+$CP$3)^9-1)*DA43,0)</f>
        <v/>
      </c>
      <c r="DL43" s="57">
        <f>SUM(DB43:DK43)</f>
        <v/>
      </c>
      <c r="DM43" s="54">
        <f>SUM(DL43,CR43:DA43)</f>
        <v/>
      </c>
      <c r="DO43" s="106" t="n"/>
    </row>
    <row r="44">
      <c r="B44" s="141" t="inlineStr">
        <is>
          <t>Monthly V</t>
        </is>
      </c>
      <c r="C44" s="24" t="n">
        <v>16</v>
      </c>
      <c r="D44" s="147">
        <f>IFERROR(AVERAGE(C44:C44),0)</f>
        <v/>
      </c>
      <c r="E44" s="142">
        <f>IF($B44="Annual",1,IF($B44="Monthly F",12,IF($B44="Monthly V",D44*12,IF($B44="One-Time",1,D44*12))))</f>
        <v/>
      </c>
      <c r="F44" s="14">
        <f t="array" ref="F44">IFERROR(_xlfn.IFS(VALUE(MID(F$5,6,1))&gt;$D$2,0,$B44="Annual",1,E44=12,12,$B44="Monthly V",E44*(1+$D$3),$B44="Monthly F",12,$B44="One-Time",0),E44*(1+$D$3))</f>
        <v/>
      </c>
      <c r="G44" s="14">
        <f t="array" ref="G44">IFERROR(_xlfn.IFS(VALUE(MID(G$5,6,1))&gt;$D$2,0,$B44="Annual",1,F44=12,12,$B44="Monthly V",F44*(1+$D$3),$B44="Monthly F",12,$B44="One-Time",0),F44*(1+$D$3))</f>
        <v/>
      </c>
      <c r="H44" s="14">
        <f t="array" ref="H44">IFERROR(_xlfn.IFS(VALUE(MID(H$5,6,1))&gt;$D$2,0,$B44="Annual",1,G44=12,12,$B44="Monthly V",G44*(1+$D$3),$B44="Monthly F",12,$B44="One-Time",0),G44*(1+$D$3))</f>
        <v/>
      </c>
      <c r="I44" s="14">
        <f t="array" ref="I44">IFERROR(_xlfn.IFS(VALUE(MID(I$5,6,1))&gt;$D$2,0,$B44="Annual",1,H44=12,12,$B44="Monthly V",H44*(1+$D$3),$B44="Monthly F",12,$B44="One-Time",0),H44*(1+$D$3))</f>
        <v/>
      </c>
      <c r="J44" s="14">
        <f t="array" ref="J44">IFERROR(_xlfn.IFS(VALUE(MID(J$5,6,1))&gt;$D$2,0,$B44="Annual",1,I44=12,12,$B44="Monthly V",I44*(1+$D$3),$B44="Monthly F",12,$B44="One-Time",0),I44*(1+$D$3))</f>
        <v/>
      </c>
      <c r="K44" s="14">
        <f t="array" ref="K44">IFERROR(_xlfn.IFS(VALUE(MID(K$5,6,1))&gt;$D$2,0,$B44="Annual",1,J44=12,12,$B44="Monthly V",J44*(1+$D$3),$B44="Monthly F",12,$B44="One-Time",0),J44*(1+$D$3))</f>
        <v/>
      </c>
      <c r="L44" s="14">
        <f t="array" ref="L44">IFERROR(_xlfn.IFS(VALUE(MID(L$5,6,1))&gt;$D$2,0,$B44="Annual",1,K44=12,12,$B44="Monthly V",K44*(1+$D$3),$B44="Monthly F",12,$B44="One-Time",0),K44*(1+$D$3))</f>
        <v/>
      </c>
      <c r="M44" s="14">
        <f t="array" ref="M44">IFERROR(_xlfn.IFS(VALUE(MID(M$5,6,1))&gt;$D$2,0,$B44="Annual",1,L44=12,12,$B44="Monthly V",L44*(1+$D$3),$B44="Monthly F",12,$B44="One-Time",0),L44*(1+$D$3))</f>
        <v/>
      </c>
      <c r="N44" s="24">
        <f t="array" ref="N44">IFERROR(_xlfn.IFS(VALUE(MID(N$5,6,2))&gt;$D$2,0,$B44="Annual",1,M44=12,12,$B44="Monthly V",M44*(1+$D$3),$B44="Monthly F",12,$B44="One-Time",0),M44*(1+$D$3))</f>
        <v/>
      </c>
      <c r="O44" s="127" t="inlineStr">
        <is>
          <t>Token Provisioning</t>
        </is>
      </c>
      <c r="P44" s="13" t="inlineStr">
        <is>
          <t>ATM/EFT</t>
        </is>
      </c>
      <c r="Q44" s="20" t="n">
        <v>1</v>
      </c>
      <c r="R44" s="21">
        <f>S44/12</f>
        <v/>
      </c>
      <c r="S44" s="6">
        <f>IFERROR($Q44*E44,0)</f>
        <v/>
      </c>
      <c r="T44" s="6">
        <f>IFERROR($Q44*F44,0)</f>
        <v/>
      </c>
      <c r="U44" s="6">
        <f>IFERROR($Q44*G44,0)</f>
        <v/>
      </c>
      <c r="V44" s="6">
        <f>IFERROR($Q44*H44,0)</f>
        <v/>
      </c>
      <c r="W44" s="6">
        <f>IFERROR($Q44*I44,0)</f>
        <v/>
      </c>
      <c r="X44" s="6">
        <f>IFERROR($Q44*J44,0)</f>
        <v/>
      </c>
      <c r="Y44" s="6">
        <f>IFERROR($Q44*K44,0)</f>
        <v/>
      </c>
      <c r="Z44" s="6">
        <f>IFERROR($Q44*L44,0)</f>
        <v/>
      </c>
      <c r="AA44" s="6">
        <f>IFERROR($Q44*M44,0)</f>
        <v/>
      </c>
      <c r="AB44" s="6">
        <f>IFERROR($Q44*N44,0)</f>
        <v/>
      </c>
      <c r="AC44" s="7" t="n"/>
      <c r="AD44" s="152">
        <f>IF(VALUE(MID(AD$5,6,1))&lt;=$D$2,((1+$Q$3)^1-1)*T44,0)</f>
        <v/>
      </c>
      <c r="AE44" s="152">
        <f>IF(VALUE(MID(AE$5,6,1))&lt;=$D$2,((1+$Q$3)^2-1)*U44,0)</f>
        <v/>
      </c>
      <c r="AF44" s="152">
        <f>IF(VALUE(MID(AF$5,6,1))&lt;=$D$2,((1+$Q$3)^3-1)*V44,0)</f>
        <v/>
      </c>
      <c r="AG44" s="152">
        <f>IF(VALUE(MID(AG$5,6,1))&lt;=$D$2,((1+$Q$3)^4-1)*W44,0)</f>
        <v/>
      </c>
      <c r="AH44" s="152">
        <f>IF(VALUE(MID(AH$5,6,1))&lt;=$D$2,((1+$Q$3)^5-1)*X44,0)</f>
        <v/>
      </c>
      <c r="AI44" s="152">
        <f>IF(VALUE(MID(AI$5,6,1))&lt;=$D$2,((1+$Q$3)^6-1)*Y44,0)</f>
        <v/>
      </c>
      <c r="AJ44" s="152">
        <f>IF(VALUE(MID(AJ$5,6,1))&lt;=$D$2,((1+$Q$3)^7-1)*Z44,0)</f>
        <v/>
      </c>
      <c r="AK44" s="152">
        <f>IF(VALUE(MID(AK$5,6,1))&lt;=$D$2,((1+$Q$3)^8-1)*AA44,0)</f>
        <v/>
      </c>
      <c r="AL44" s="152">
        <f>IF(VALUE(MID(AL$5,6,2))&lt;=$D$2,((1+$Q$3)^9-1)*AB44,0)</f>
        <v/>
      </c>
      <c r="AM44" s="9">
        <f>SUM(AC44:AL44)</f>
        <v/>
      </c>
      <c r="AN44" s="80">
        <f>SUM(AM44,S44:AB44)</f>
        <v/>
      </c>
      <c r="AP44" s="102" t="inlineStr">
        <is>
          <t>Monthly F</t>
        </is>
      </c>
      <c r="AQ44" s="12" t="n">
        <v>1</v>
      </c>
      <c r="AR44" s="14">
        <f>IF($AP44="Annual",1,IF($AP44="Monthly F",12,IF($AP44="Monthly V",AQ44*12,IF($AP44="One-Time",1,AQ44*12))))</f>
        <v/>
      </c>
      <c r="AS44" s="14">
        <f t="array" ref="AS44">IFERROR(_xlfn.IFS(VALUE(MID(AS$5,6,1))&gt;$D$2,0,$AP44="Annual",1,AR44=12,12,$AP44="Monthly V",AR44*(1+$BD$2),$AP44="Monthly F",12,$AP44="One-Time",0),AR44*(1+$BD$2))</f>
        <v/>
      </c>
      <c r="AT44" s="14">
        <f t="array" ref="AT44">IFERROR(_xlfn.IFS(VALUE(MID(AT$5,6,1))&gt;$D$2,0,$AP44="Annual",1,AS44=12,12,$AP44="Monthly V",AS44*(1+$BD$2),$AP44="Monthly F",12,$AP44="One-Time",0),AS44*(1+$BD$2))</f>
        <v/>
      </c>
      <c r="AU44" s="14">
        <f t="array" ref="AU44">IFERROR(_xlfn.IFS(VALUE(MID(AU$5,6,1))&gt;$D$2,0,$AP44="Annual",1,AT44=12,12,$AP44="Monthly V",AT44*(1+$BD$2),$AP44="Monthly F",12,$AP44="One-Time",0),AT44*(1+$BD$2))</f>
        <v/>
      </c>
      <c r="AV44" s="14">
        <f t="array" ref="AV44">IFERROR(_xlfn.IFS(VALUE(MID(AV$5,6,1))&gt;$D$2,0,$AP44="Annual",1,AU44=12,12,$AP44="Monthly V",AU44*(1+$BD$2),$AP44="Monthly F",12,$AP44="One-Time",0),AU44*(1+$BD$2))</f>
        <v/>
      </c>
      <c r="AW44" s="14">
        <f t="array" ref="AW44">IFERROR(_xlfn.IFS(VALUE(MID(AW$5,6,1))&gt;$D$2,0,$AP44="Annual",1,AV44=12,12,$AP44="Monthly V",AV44*(1+$BD$2),$AP44="Monthly F",12,$AP44="One-Time",0),AV44*(1+$BD$2))</f>
        <v/>
      </c>
      <c r="AX44" s="14">
        <f t="array" ref="AX44">IFERROR(_xlfn.IFS(VALUE(MID(AX$5,6,1))&gt;$D$2,0,$AP44="Annual",1,AW44=12,12,$AP44="Monthly V",AW44*(1+$BD$2),$AP44="Monthly F",12,$AP44="One-Time",0),AW44*(1+$BD$2))</f>
        <v/>
      </c>
      <c r="AY44" s="14">
        <f t="array" ref="AY44">IFERROR(_xlfn.IFS(VALUE(MID(AY$5,6,1))&gt;$D$2,0,$AP44="Annual",1,AX44=12,12,$AP44="Monthly V",AX44*(1+$D$3),$AP44="Monthly F",12,$AP44="One-Time",0),AX44*(1+$D$3))</f>
        <v/>
      </c>
      <c r="AZ44" s="14">
        <f t="array" ref="AZ44">IFERROR(_xlfn.IFS(VALUE(MID(AZ$5,6,1))&gt;$D$2,0,$AP44="Annual",1,AY44=12,12,$AP44="Monthly V",AY44*(1+$D$3),$AP44="Monthly F",12,$AP44="One-Time",0),AY44*(1+$D$3))</f>
        <v/>
      </c>
      <c r="BA44" s="125">
        <f t="array" ref="BA44">IFERROR(_xlfn.IFS(VALUE(MID(BA$5,6,2))&gt;$D$2,0,$AP44="Annual",1,AZ44=12,12,$AP44="Monthly V",AZ44*(1+$D$3),$AP44="Monthly F",12,$AP44="One-Time",0),AZ44*(1+$D$3))</f>
        <v/>
      </c>
      <c r="BB44" s="148" t="inlineStr">
        <is>
          <t>JHA Card Analytics JHA Debit Processing</t>
        </is>
      </c>
      <c r="BC44" s="38" t="inlineStr">
        <is>
          <t>Card Processing Solutions (CPS)</t>
        </is>
      </c>
      <c r="BD44" s="36" t="n">
        <v>350</v>
      </c>
      <c r="BE44" s="21">
        <f>BF44/12</f>
        <v/>
      </c>
      <c r="BF44" s="39">
        <f>IFERROR(AR44*$BD44,0)</f>
        <v/>
      </c>
      <c r="BG44" s="39">
        <f>IFERROR(AS44*$BD44,0)</f>
        <v/>
      </c>
      <c r="BH44" s="39">
        <f>IFERROR(AT44*$BD44,0)</f>
        <v/>
      </c>
      <c r="BI44" s="39">
        <f>BH44*1.03</f>
        <v/>
      </c>
      <c r="BJ44" s="39">
        <f>BI44*1.03</f>
        <v/>
      </c>
      <c r="BK44" s="39">
        <f>BJ44*1.03</f>
        <v/>
      </c>
      <c r="BL44" s="39">
        <f>BK44*1.03</f>
        <v/>
      </c>
      <c r="BM44" s="39">
        <f>IFERROR(AY44*$BD44,0)</f>
        <v/>
      </c>
      <c r="BN44" s="39">
        <f>IFERROR(AZ44*$BD44,0)</f>
        <v/>
      </c>
      <c r="BO44" s="39">
        <f>IFERROR(BA44*$BD44,0)</f>
        <v/>
      </c>
      <c r="BP44" s="40" t="n"/>
      <c r="BQ44" s="40">
        <f>IF(VALUE(MID(BQ$5,6,1))&lt;=$D$2,((1+$BD$3)^1-1)*BG44,0)</f>
        <v/>
      </c>
      <c r="BR44" s="40">
        <f>IF(VALUE(MID(BR$5,6,1))&lt;=$D$2,((1+$BD$3)^2-1)*BH44,0)</f>
        <v/>
      </c>
      <c r="BS44" s="40">
        <f>IF(VALUE(MID(BS$5,6,1))&lt;=$D$2,((1+$BD$3)^3-1)*BI44,0)</f>
        <v/>
      </c>
      <c r="BT44" s="40">
        <f>IF(VALUE(MID(BT$5,6,1))&lt;=$D$2,((1+$BD$3)^4-1)*BJ44,0)</f>
        <v/>
      </c>
      <c r="BU44" s="40">
        <f>IF(VALUE(MID(BU$5,6,1))&lt;=$D$2,((1+$BD$3)^5-1)*BK44,0)</f>
        <v/>
      </c>
      <c r="BV44" s="40">
        <f>IF(VALUE(MID(BV$5,6,1))&lt;=$D$2,((1+$BD$3)^6-1)*BL44,0)</f>
        <v/>
      </c>
      <c r="BW44" s="40">
        <f>IF(VALUE(MID(BW$5,6,1))&lt;=$D$2,((1+$BD$3)^7-1)*BM44,0)</f>
        <v/>
      </c>
      <c r="BX44" s="40">
        <f>IF(VALUE(MID(BX$5,6,1))&lt;=$D$2,((1+$BD$3)^8-1)*BN44,0)</f>
        <v/>
      </c>
      <c r="BY44" s="40">
        <f>IF(VALUE(MID(BY$5,6,2))&lt;=$D$2,((1+$BD$3)^9-1)*BO44,0)</f>
        <v/>
      </c>
      <c r="BZ44" s="40">
        <f>SUM(BP44:BY44)</f>
        <v/>
      </c>
      <c r="CA44" s="37">
        <f>SUM(BZ44,BF44:BO44)</f>
        <v/>
      </c>
      <c r="CC44" s="102" t="n"/>
      <c r="CD44" s="12" t="n"/>
      <c r="CE44" s="14">
        <f>IF($CC44="Annual",1,IF($CC44="Monthly F",12,IF($CC44="Monthly V",CD44*12,IF($CC44="One-Time",1,CD44*12))))</f>
        <v/>
      </c>
      <c r="CF44" s="14">
        <f t="array" ref="CF44">IFERROR(_xlfn.IFS(VALUE(MID(CF$5,6,1))&gt;$D$2,0,$CC44="Annual",1,CE44=12,12,$CC44="Monthly V",CE44*(1+$D$3),$CC44="Monthly F",12,$CC44="One-Time",0),CE44*(1+$D$3))</f>
        <v/>
      </c>
      <c r="CG44" s="14">
        <f t="array" ref="CG44">IFERROR(_xlfn.IFS(VALUE(MID(CG$5,6,1))&gt;$D$2,0,$CC44="Annual",1,CF44=12,12,$CC44="Monthly V",CF44*(1+$D$3),$CC44="Monthly F",12,$CC44="One-Time",0),CF44*(1+$D$3))</f>
        <v/>
      </c>
      <c r="CH44" s="14">
        <f t="array" ref="CH44">IFERROR(_xlfn.IFS(VALUE(MID(CH$5,6,1))&gt;$D$2,0,$CC44="Annual",1,CG44=12,12,$CC44="Monthly V",CG44*(1+$D$3),$CC44="Monthly F",12,$CC44="One-Time",0),CG44*(1+$D$3))</f>
        <v/>
      </c>
      <c r="CI44" s="14">
        <f t="array" ref="CI44">IFERROR(_xlfn.IFS(VALUE(MID(CI$5,6,1))&gt;$D$2,0,$CC44="Annual",1,CH44=12,12,$CC44="Monthly V",CH44*(1+$D$3),$CC44="Monthly F",12,$CC44="One-Time",0),CH44*(1+$D$3))</f>
        <v/>
      </c>
      <c r="CJ44" s="14">
        <f t="array" ref="CJ44">IFERROR(_xlfn.IFS(VALUE(MID(CJ$5,6,1))&gt;$D$2,0,$CC44="Annual",1,CI44=12,12,$CC44="Monthly V",CI44*(1+$D$3),$CC44="Monthly F",12,$CC44="One-Time",0),CI44*(1+$D$3))</f>
        <v/>
      </c>
      <c r="CK44" s="14">
        <f t="array" ref="CK44">IFERROR(_xlfn.IFS(VALUE(MID(CK$5,6,1))&gt;$D$2,0,$CC44="Annual",1,CJ44=12,12,$CC44="Monthly V",CJ44*(1+$D$3),$CC44="Monthly F",12,$CC44="One-Time",0),CJ44*(1+$D$3))</f>
        <v/>
      </c>
      <c r="CL44" s="14">
        <f t="array" ref="CL44">IFERROR(_xlfn.IFS(VALUE(MID(CL$5,6,1))&gt;$D$2,0,$CC44="Annual",1,CK44=12,12,$CC44="Monthly V",CK44*(1+$D$3),$CC44="Monthly F",12,$CC44="One-Time",0),CK44*(1+$D$3))</f>
        <v/>
      </c>
      <c r="CM44" s="14">
        <f t="array" ref="CM44">IFERROR(_xlfn.IFS(VALUE(MID(CM$5,6,1))&gt;$D$2,0,$CC44="Annual",1,CL44=12,12,$CC44="Monthly V",CL44*(1+$D$3),$CC44="Monthly F",12,$CC44="One-Time",0),CL44*(1+$D$3))</f>
        <v/>
      </c>
      <c r="CN44" s="24">
        <f t="array" ref="CN44">IFERROR(_xlfn.IFS(VALUE(MID(CN$5,6,2))&gt;$D$2,0,$CC44="Annual",1,CM44=12,12,$CC44="Monthly V",CM44*(1+$D$3),$CC44="Monthly F",12,$CC44="One-Time",0),CM44*(1+$D$3))</f>
        <v/>
      </c>
      <c r="CO44" s="63" t="n"/>
      <c r="CP44" s="53" t="n"/>
      <c r="CQ44" s="21">
        <f>CR44/12</f>
        <v/>
      </c>
      <c r="CR44" s="55">
        <f>IFERROR(CE44*$CP44,0)</f>
        <v/>
      </c>
      <c r="CS44" s="55">
        <f>IFERROR(CF44*$CP44,0)</f>
        <v/>
      </c>
      <c r="CT44" s="55">
        <f>IFERROR(CG44*$CP44,0)</f>
        <v/>
      </c>
      <c r="CU44" s="55">
        <f>IFERROR(CH44*$CP44,0)</f>
        <v/>
      </c>
      <c r="CV44" s="55">
        <f>IFERROR(CI44*$CP44,0)</f>
        <v/>
      </c>
      <c r="CW44" s="55">
        <f>IFERROR(CJ44*$CP44,0)</f>
        <v/>
      </c>
      <c r="CX44" s="55">
        <f>IFERROR(CK44*$CP44,0)</f>
        <v/>
      </c>
      <c r="CY44" s="55">
        <f>IFERROR(CL44*$CP44,0)</f>
        <v/>
      </c>
      <c r="CZ44" s="55">
        <f>IFERROR(CM44*$CP44,0)</f>
        <v/>
      </c>
      <c r="DA44" s="55">
        <f>IFERROR(CN44*$CP44,0)</f>
        <v/>
      </c>
      <c r="DB44" s="56" t="n"/>
      <c r="DC44" s="56">
        <f>IF(VALUE(MID(DC$5,6,1))&lt;=$D$2,((1+$CP$3)^1-1)*CS44,0)</f>
        <v/>
      </c>
      <c r="DD44" s="56">
        <f>IF(VALUE(MID(DD$5,6,1))&lt;=$D$2,((1+$CP$3)^2-1)*CT44,0)</f>
        <v/>
      </c>
      <c r="DE44" s="56">
        <f>IF(VALUE(MID(DE$5,6,1))&lt;=$D$2,((1+$CP$3)^3-1)*CU44,0)</f>
        <v/>
      </c>
      <c r="DF44" s="56">
        <f>IF(VALUE(MID(DF$5,6,1))&lt;=$D$2,((1+$CP$3)^4-1)*CV44,0)</f>
        <v/>
      </c>
      <c r="DG44" s="56">
        <f>IF(VALUE(MID(DG$5,6,1))&lt;=$D$2,((1+$CP$3)^5-1)*CW44,0)</f>
        <v/>
      </c>
      <c r="DH44" s="56">
        <f>IF(VALUE(MID(DH$5,6,1))&lt;=$D$2,((1+$CP$3)^6-1)*CX44,0)</f>
        <v/>
      </c>
      <c r="DI44" s="56">
        <f>IF(VALUE(MID(DI$5,6,1))&lt;=$D$2,((1+$CP$3)^7-1)*CY44,0)</f>
        <v/>
      </c>
      <c r="DJ44" s="56">
        <f>IF(VALUE(MID(DJ$5,6,1))&lt;=$D$2,((1+$CP$3)^8-1)*CZ44,0)</f>
        <v/>
      </c>
      <c r="DK44" s="56">
        <f>IF(VALUE(MID(DK$5,6,2))&lt;=$D$2,((1+$CP$3)^9-1)*DA44,0)</f>
        <v/>
      </c>
      <c r="DL44" s="57">
        <f>SUM(DB44:DK44)</f>
        <v/>
      </c>
      <c r="DM44" s="54">
        <f>SUM(DL44,CR44:DA44)</f>
        <v/>
      </c>
      <c r="DO44" s="106" t="n"/>
    </row>
    <row r="45">
      <c r="B45" s="141" t="inlineStr">
        <is>
          <t>Monthly F</t>
        </is>
      </c>
      <c r="C45" s="24" t="n">
        <v>1</v>
      </c>
      <c r="D45" s="147">
        <f>IFERROR(AVERAGE(C45:C45),0)</f>
        <v/>
      </c>
      <c r="E45" s="142">
        <f>IF($B45="Annual",1,IF($B45="Monthly F",12,IF($B45="Monthly V",D45*12,IF($B45="One-Time",1,D45*12))))</f>
        <v/>
      </c>
      <c r="F45" s="14">
        <f t="array" ref="F45">IFERROR(_xlfn.IFS(VALUE(MID(F$5,6,1))&gt;$D$2,0,$B45="Annual",1,E45=12,12,$B45="Monthly V",E45*(1+$D$3),$B45="Monthly F",12,$B45="One-Time",0),E45*(1+$D$3))</f>
        <v/>
      </c>
      <c r="G45" s="14">
        <f t="array" ref="G45">IFERROR(_xlfn.IFS(VALUE(MID(G$5,6,1))&gt;$D$2,0,$B45="Annual",1,F45=12,12,$B45="Monthly V",F45*(1+$D$3),$B45="Monthly F",12,$B45="One-Time",0),F45*(1+$D$3))</f>
        <v/>
      </c>
      <c r="H45" s="14">
        <f t="array" ref="H45">IFERROR(_xlfn.IFS(VALUE(MID(H$5,6,1))&gt;$D$2,0,$B45="Annual",1,G45=12,12,$B45="Monthly V",G45*(1+$D$3),$B45="Monthly F",12,$B45="One-Time",0),G45*(1+$D$3))</f>
        <v/>
      </c>
      <c r="I45" s="14">
        <f t="array" ref="I45">IFERROR(_xlfn.IFS(VALUE(MID(I$5,6,1))&gt;$D$2,0,$B45="Annual",1,H45=12,12,$B45="Monthly V",H45*(1+$D$3),$B45="Monthly F",12,$B45="One-Time",0),H45*(1+$D$3))</f>
        <v/>
      </c>
      <c r="J45" s="14">
        <f t="array" ref="J45">IFERROR(_xlfn.IFS(VALUE(MID(J$5,6,1))&gt;$D$2,0,$B45="Annual",1,I45=12,12,$B45="Monthly V",I45*(1+$D$3),$B45="Monthly F",12,$B45="One-Time",0),I45*(1+$D$3))</f>
        <v/>
      </c>
      <c r="K45" s="14">
        <f t="array" ref="K45">IFERROR(_xlfn.IFS(VALUE(MID(K$5,6,1))&gt;$D$2,0,$B45="Annual",1,J45=12,12,$B45="Monthly V",J45*(1+$D$3),$B45="Monthly F",12,$B45="One-Time",0),J45*(1+$D$3))</f>
        <v/>
      </c>
      <c r="L45" s="14">
        <f t="array" ref="L45">IFERROR(_xlfn.IFS(VALUE(MID(L$5,6,1))&gt;$D$2,0,$B45="Annual",1,K45=12,12,$B45="Monthly V",K45*(1+$D$3),$B45="Monthly F",12,$B45="One-Time",0),K45*(1+$D$3))</f>
        <v/>
      </c>
      <c r="M45" s="14">
        <f t="array" ref="M45">IFERROR(_xlfn.IFS(VALUE(MID(M$5,6,1))&gt;$D$2,0,$B45="Annual",1,L45=12,12,$B45="Monthly V",L45*(1+$D$3),$B45="Monthly F",12,$B45="One-Time",0),L45*(1+$D$3))</f>
        <v/>
      </c>
      <c r="N45" s="24">
        <f t="array" ref="N45">IFERROR(_xlfn.IFS(VALUE(MID(N$5,6,2))&gt;$D$2,0,$B45="Annual",1,M45=12,12,$B45="Monthly V",M45*(1+$D$3),$B45="Monthly F",12,$B45="One-Time",0),M45*(1+$D$3))</f>
        <v/>
      </c>
      <c r="O45" s="127" t="inlineStr">
        <is>
          <t>Step Up Authentication</t>
        </is>
      </c>
      <c r="P45" s="13" t="inlineStr">
        <is>
          <t>ATM/EFT</t>
        </is>
      </c>
      <c r="Q45" s="20" t="n">
        <v>100</v>
      </c>
      <c r="R45" s="21">
        <f>S45/12</f>
        <v/>
      </c>
      <c r="S45" s="6">
        <f>IFERROR($Q45*E45,0)</f>
        <v/>
      </c>
      <c r="T45" s="6">
        <f>IFERROR($Q45*F45,0)</f>
        <v/>
      </c>
      <c r="U45" s="6">
        <f>IFERROR($Q45*G45,0)</f>
        <v/>
      </c>
      <c r="V45" s="6">
        <f>IFERROR($Q45*H45,0)</f>
        <v/>
      </c>
      <c r="W45" s="6">
        <f>IFERROR($Q45*I45,0)</f>
        <v/>
      </c>
      <c r="X45" s="6">
        <f>IFERROR($Q45*J45,0)</f>
        <v/>
      </c>
      <c r="Y45" s="6">
        <f>IFERROR($Q45*K45,0)</f>
        <v/>
      </c>
      <c r="Z45" s="6">
        <f>IFERROR($Q45*L45,0)</f>
        <v/>
      </c>
      <c r="AA45" s="6">
        <f>IFERROR($Q45*M45,0)</f>
        <v/>
      </c>
      <c r="AB45" s="6">
        <f>IFERROR($Q45*N45,0)</f>
        <v/>
      </c>
      <c r="AC45" s="7" t="n"/>
      <c r="AD45" s="152">
        <f>IF(VALUE(MID(AD$5,6,1))&lt;=$D$2,((1+$Q$3)^1-1)*T45,0)</f>
        <v/>
      </c>
      <c r="AE45" s="152">
        <f>IF(VALUE(MID(AE$5,6,1))&lt;=$D$2,((1+$Q$3)^2-1)*U45,0)</f>
        <v/>
      </c>
      <c r="AF45" s="152">
        <f>IF(VALUE(MID(AF$5,6,1))&lt;=$D$2,((1+$Q$3)^3-1)*V45,0)</f>
        <v/>
      </c>
      <c r="AG45" s="152">
        <f>IF(VALUE(MID(AG$5,6,1))&lt;=$D$2,((1+$Q$3)^4-1)*W45,0)</f>
        <v/>
      </c>
      <c r="AH45" s="152">
        <f>IF(VALUE(MID(AH$5,6,1))&lt;=$D$2,((1+$Q$3)^5-1)*X45,0)</f>
        <v/>
      </c>
      <c r="AI45" s="152">
        <f>IF(VALUE(MID(AI$5,6,1))&lt;=$D$2,((1+$Q$3)^6-1)*Y45,0)</f>
        <v/>
      </c>
      <c r="AJ45" s="152">
        <f>IF(VALUE(MID(AJ$5,6,1))&lt;=$D$2,((1+$Q$3)^7-1)*Z45,0)</f>
        <v/>
      </c>
      <c r="AK45" s="152">
        <f>IF(VALUE(MID(AK$5,6,1))&lt;=$D$2,((1+$Q$3)^8-1)*AA45,0)</f>
        <v/>
      </c>
      <c r="AL45" s="152">
        <f>IF(VALUE(MID(AL$5,6,2))&lt;=$D$2,((1+$Q$3)^9-1)*AB45,0)</f>
        <v/>
      </c>
      <c r="AM45" s="9">
        <f>SUM(AC45:AL45)</f>
        <v/>
      </c>
      <c r="AN45" s="80">
        <f>SUM(AM45,S45:AB45)</f>
        <v/>
      </c>
      <c r="AP45" s="102" t="inlineStr">
        <is>
          <t>Monthly F</t>
        </is>
      </c>
      <c r="AQ45" s="12" t="n">
        <v>1</v>
      </c>
      <c r="AR45" s="14">
        <f>IF($AP45="Annual",1,IF($AP45="Monthly F",12,IF($AP45="Monthly V",AQ45*12,IF($AP45="One-Time",1,AQ45*12))))</f>
        <v/>
      </c>
      <c r="AS45" s="14">
        <f t="array" ref="AS45">IFERROR(_xlfn.IFS(VALUE(MID(AS$5,6,1))&gt;$D$2,0,$AP45="Annual",1,AR45=12,12,$AP45="Monthly V",AR45*(1+$BD$2),$AP45="Monthly F",12,$AP45="One-Time",0),AR45*(1+$BD$2))</f>
        <v/>
      </c>
      <c r="AT45" s="14">
        <f t="array" ref="AT45">IFERROR(_xlfn.IFS(VALUE(MID(AT$5,6,1))&gt;$D$2,0,$AP45="Annual",1,AS45=12,12,$AP45="Monthly V",AS45*(1+$BD$2),$AP45="Monthly F",12,$AP45="One-Time",0),AS45*(1+$BD$2))</f>
        <v/>
      </c>
      <c r="AU45" s="14">
        <f t="array" ref="AU45">IFERROR(_xlfn.IFS(VALUE(MID(AU$5,6,1))&gt;$D$2,0,$AP45="Annual",1,AT45=12,12,$AP45="Monthly V",AT45*(1+$BD$2),$AP45="Monthly F",12,$AP45="One-Time",0),AT45*(1+$BD$2))</f>
        <v/>
      </c>
      <c r="AV45" s="14">
        <f t="array" ref="AV45">IFERROR(_xlfn.IFS(VALUE(MID(AV$5,6,1))&gt;$D$2,0,$AP45="Annual",1,AU45=12,12,$AP45="Monthly V",AU45*(1+$BD$2),$AP45="Monthly F",12,$AP45="One-Time",0),AU45*(1+$BD$2))</f>
        <v/>
      </c>
      <c r="AW45" s="14">
        <f t="array" ref="AW45">IFERROR(_xlfn.IFS(VALUE(MID(AW$5,6,1))&gt;$D$2,0,$AP45="Annual",1,AV45=12,12,$AP45="Monthly V",AV45*(1+$BD$2),$AP45="Monthly F",12,$AP45="One-Time",0),AV45*(1+$BD$2))</f>
        <v/>
      </c>
      <c r="AX45" s="14">
        <f t="array" ref="AX45">IFERROR(_xlfn.IFS(VALUE(MID(AX$5,6,1))&gt;$D$2,0,$AP45="Annual",1,AW45=12,12,$AP45="Monthly V",AW45*(1+$BD$2),$AP45="Monthly F",12,$AP45="One-Time",0),AW45*(1+$BD$2))</f>
        <v/>
      </c>
      <c r="AY45" s="14">
        <f t="array" ref="AY45">IFERROR(_xlfn.IFS(VALUE(MID(AY$5,6,1))&gt;$D$2,0,$AP45="Annual",1,AX45=12,12,$AP45="Monthly V",AX45*(1+$D$3),$AP45="Monthly F",12,$AP45="One-Time",0),AX45*(1+$D$3))</f>
        <v/>
      </c>
      <c r="AZ45" s="14">
        <f t="array" ref="AZ45">IFERROR(_xlfn.IFS(VALUE(MID(AZ$5,6,1))&gt;$D$2,0,$AP45="Annual",1,AY45=12,12,$AP45="Monthly V",AY45*(1+$D$3),$AP45="Monthly F",12,$AP45="One-Time",0),AY45*(1+$D$3))</f>
        <v/>
      </c>
      <c r="BA45" s="125">
        <f t="array" ref="BA45">IFERROR(_xlfn.IFS(VALUE(MID(BA$5,6,2))&gt;$D$2,0,$AP45="Annual",1,AZ45=12,12,$AP45="Monthly V",AZ45*(1+$D$3),$AP45="Monthly F",12,$AP45="One-Time",0),AZ45*(1+$D$3))</f>
        <v/>
      </c>
      <c r="BB45" s="148" t="inlineStr">
        <is>
          <t>JHA Card Connect JHA Debit Processing</t>
        </is>
      </c>
      <c r="BC45" s="38" t="inlineStr">
        <is>
          <t>Card Processing Solutions (CPS)</t>
        </is>
      </c>
      <c r="BD45" s="36" t="n">
        <v>350</v>
      </c>
      <c r="BE45" s="21">
        <f>BF45/12</f>
        <v/>
      </c>
      <c r="BF45" s="39">
        <f>IFERROR(AR45*$BD45,0)</f>
        <v/>
      </c>
      <c r="BG45" s="39">
        <f>IFERROR(AS45*$BD45,0)</f>
        <v/>
      </c>
      <c r="BH45" s="39">
        <f>IFERROR(AT45*$BD45,0)</f>
        <v/>
      </c>
      <c r="BI45" s="39">
        <f>BH45*1.03</f>
        <v/>
      </c>
      <c r="BJ45" s="39">
        <f>BI45*1.03</f>
        <v/>
      </c>
      <c r="BK45" s="39">
        <f>BJ45*1.03</f>
        <v/>
      </c>
      <c r="BL45" s="39">
        <f>BK45*1.03</f>
        <v/>
      </c>
      <c r="BM45" s="39">
        <f>IFERROR(AY45*$BD45,0)</f>
        <v/>
      </c>
      <c r="BN45" s="39">
        <f>IFERROR(AZ45*$BD45,0)</f>
        <v/>
      </c>
      <c r="BO45" s="39">
        <f>IFERROR(BA45*$BD45,0)</f>
        <v/>
      </c>
      <c r="BP45" s="40" t="n"/>
      <c r="BQ45" s="40">
        <f>IF(VALUE(MID(BQ$5,6,1))&lt;=$D$2,((1+$BD$3)^1-1)*BG45,0)</f>
        <v/>
      </c>
      <c r="BR45" s="40">
        <f>IF(VALUE(MID(BR$5,6,1))&lt;=$D$2,((1+$BD$3)^2-1)*BH45,0)</f>
        <v/>
      </c>
      <c r="BS45" s="40">
        <f>IF(VALUE(MID(BS$5,6,1))&lt;=$D$2,((1+$BD$3)^3-1)*BI45,0)</f>
        <v/>
      </c>
      <c r="BT45" s="40">
        <f>IF(VALUE(MID(BT$5,6,1))&lt;=$D$2,((1+$BD$3)^4-1)*BJ45,0)</f>
        <v/>
      </c>
      <c r="BU45" s="40">
        <f>IF(VALUE(MID(BU$5,6,1))&lt;=$D$2,((1+$BD$3)^5-1)*BK45,0)</f>
        <v/>
      </c>
      <c r="BV45" s="40">
        <f>IF(VALUE(MID(BV$5,6,1))&lt;=$D$2,((1+$BD$3)^6-1)*BL45,0)</f>
        <v/>
      </c>
      <c r="BW45" s="40">
        <f>IF(VALUE(MID(BW$5,6,1))&lt;=$D$2,((1+$BD$3)^7-1)*BM45,0)</f>
        <v/>
      </c>
      <c r="BX45" s="40">
        <f>IF(VALUE(MID(BX$5,6,1))&lt;=$D$2,((1+$BD$3)^8-1)*BN45,0)</f>
        <v/>
      </c>
      <c r="BY45" s="40">
        <f>IF(VALUE(MID(BY$5,6,2))&lt;=$D$2,((1+$BD$3)^9-1)*BO45,0)</f>
        <v/>
      </c>
      <c r="BZ45" s="40">
        <f>SUM(BP45:BY45)</f>
        <v/>
      </c>
      <c r="CA45" s="37">
        <f>SUM(BZ45,BF45:BO45)</f>
        <v/>
      </c>
      <c r="CC45" s="102" t="n"/>
      <c r="CD45" s="12" t="n"/>
      <c r="CE45" s="14">
        <f>IF($CC45="Annual",1,IF($CC45="Monthly F",12,IF($CC45="Monthly V",CD45*12,IF($CC45="One-Time",1,CD45*12))))</f>
        <v/>
      </c>
      <c r="CF45" s="14">
        <f t="array" ref="CF45">IFERROR(_xlfn.IFS(VALUE(MID(CF$5,6,1))&gt;$D$2,0,$CC45="Annual",1,CE45=12,12,$CC45="Monthly V",CE45*(1+$D$3),$CC45="Monthly F",12,$CC45="One-Time",0),CE45*(1+$D$3))</f>
        <v/>
      </c>
      <c r="CG45" s="14">
        <f t="array" ref="CG45">IFERROR(_xlfn.IFS(VALUE(MID(CG$5,6,1))&gt;$D$2,0,$CC45="Annual",1,CF45=12,12,$CC45="Monthly V",CF45*(1+$D$3),$CC45="Monthly F",12,$CC45="One-Time",0),CF45*(1+$D$3))</f>
        <v/>
      </c>
      <c r="CH45" s="14">
        <f t="array" ref="CH45">IFERROR(_xlfn.IFS(VALUE(MID(CH$5,6,1))&gt;$D$2,0,$CC45="Annual",1,CG45=12,12,$CC45="Monthly V",CG45*(1+$D$3),$CC45="Monthly F",12,$CC45="One-Time",0),CG45*(1+$D$3))</f>
        <v/>
      </c>
      <c r="CI45" s="14">
        <f t="array" ref="CI45">IFERROR(_xlfn.IFS(VALUE(MID(CI$5,6,1))&gt;$D$2,0,$CC45="Annual",1,CH45=12,12,$CC45="Monthly V",CH45*(1+$D$3),$CC45="Monthly F",12,$CC45="One-Time",0),CH45*(1+$D$3))</f>
        <v/>
      </c>
      <c r="CJ45" s="14">
        <f t="array" ref="CJ45">IFERROR(_xlfn.IFS(VALUE(MID(CJ$5,6,1))&gt;$D$2,0,$CC45="Annual",1,CI45=12,12,$CC45="Monthly V",CI45*(1+$D$3),$CC45="Monthly F",12,$CC45="One-Time",0),CI45*(1+$D$3))</f>
        <v/>
      </c>
      <c r="CK45" s="14">
        <f t="array" ref="CK45">IFERROR(_xlfn.IFS(VALUE(MID(CK$5,6,1))&gt;$D$2,0,$CC45="Annual",1,CJ45=12,12,$CC45="Monthly V",CJ45*(1+$D$3),$CC45="Monthly F",12,$CC45="One-Time",0),CJ45*(1+$D$3))</f>
        <v/>
      </c>
      <c r="CL45" s="14">
        <f t="array" ref="CL45">IFERROR(_xlfn.IFS(VALUE(MID(CL$5,6,1))&gt;$D$2,0,$CC45="Annual",1,CK45=12,12,$CC45="Monthly V",CK45*(1+$D$3),$CC45="Monthly F",12,$CC45="One-Time",0),CK45*(1+$D$3))</f>
        <v/>
      </c>
      <c r="CM45" s="14">
        <f t="array" ref="CM45">IFERROR(_xlfn.IFS(VALUE(MID(CM$5,6,1))&gt;$D$2,0,$CC45="Annual",1,CL45=12,12,$CC45="Monthly V",CL45*(1+$D$3),$CC45="Monthly F",12,$CC45="One-Time",0),CL45*(1+$D$3))</f>
        <v/>
      </c>
      <c r="CN45" s="24">
        <f t="array" ref="CN45">IFERROR(_xlfn.IFS(VALUE(MID(CN$5,6,2))&gt;$D$2,0,$CC45="Annual",1,CM45=12,12,$CC45="Monthly V",CM45*(1+$D$3),$CC45="Monthly F",12,$CC45="One-Time",0),CM45*(1+$D$3))</f>
        <v/>
      </c>
      <c r="CO45" s="63" t="n"/>
      <c r="CP45" s="53" t="n"/>
      <c r="CQ45" s="21">
        <f>CR45/12</f>
        <v/>
      </c>
      <c r="CR45" s="55">
        <f>IFERROR(CE45*$CP45,0)</f>
        <v/>
      </c>
      <c r="CS45" s="55">
        <f>IFERROR(CF45*$CP45,0)</f>
        <v/>
      </c>
      <c r="CT45" s="55">
        <f>IFERROR(CG45*$CP45,0)</f>
        <v/>
      </c>
      <c r="CU45" s="55">
        <f>IFERROR(CH45*$CP45,0)</f>
        <v/>
      </c>
      <c r="CV45" s="55">
        <f>IFERROR(CI45*$CP45,0)</f>
        <v/>
      </c>
      <c r="CW45" s="55">
        <f>IFERROR(CJ45*$CP45,0)</f>
        <v/>
      </c>
      <c r="CX45" s="55">
        <f>IFERROR(CK45*$CP45,0)</f>
        <v/>
      </c>
      <c r="CY45" s="55">
        <f>IFERROR(CL45*$CP45,0)</f>
        <v/>
      </c>
      <c r="CZ45" s="55">
        <f>IFERROR(CM45*$CP45,0)</f>
        <v/>
      </c>
      <c r="DA45" s="55">
        <f>IFERROR(CN45*$CP45,0)</f>
        <v/>
      </c>
      <c r="DB45" s="56" t="n"/>
      <c r="DC45" s="56">
        <f>IF(VALUE(MID(DC$5,6,1))&lt;=$D$2,((1+$CP$3)^1-1)*CS45,0)</f>
        <v/>
      </c>
      <c r="DD45" s="56">
        <f>IF(VALUE(MID(DD$5,6,1))&lt;=$D$2,((1+$CP$3)^2-1)*CT45,0)</f>
        <v/>
      </c>
      <c r="DE45" s="56">
        <f>IF(VALUE(MID(DE$5,6,1))&lt;=$D$2,((1+$CP$3)^3-1)*CU45,0)</f>
        <v/>
      </c>
      <c r="DF45" s="56">
        <f>IF(VALUE(MID(DF$5,6,1))&lt;=$D$2,((1+$CP$3)^4-1)*CV45,0)</f>
        <v/>
      </c>
      <c r="DG45" s="56">
        <f>IF(VALUE(MID(DG$5,6,1))&lt;=$D$2,((1+$CP$3)^5-1)*CW45,0)</f>
        <v/>
      </c>
      <c r="DH45" s="56">
        <f>IF(VALUE(MID(DH$5,6,1))&lt;=$D$2,((1+$CP$3)^6-1)*CX45,0)</f>
        <v/>
      </c>
      <c r="DI45" s="56">
        <f>IF(VALUE(MID(DI$5,6,1))&lt;=$D$2,((1+$CP$3)^7-1)*CY45,0)</f>
        <v/>
      </c>
      <c r="DJ45" s="56">
        <f>IF(VALUE(MID(DJ$5,6,1))&lt;=$D$2,((1+$CP$3)^8-1)*CZ45,0)</f>
        <v/>
      </c>
      <c r="DK45" s="56">
        <f>IF(VALUE(MID(DK$5,6,2))&lt;=$D$2,((1+$CP$3)^9-1)*DA45,0)</f>
        <v/>
      </c>
      <c r="DL45" s="57">
        <f>SUM(DB45:DK45)</f>
        <v/>
      </c>
      <c r="DM45" s="54">
        <f>SUM(DL45,CR45:DA45)</f>
        <v/>
      </c>
      <c r="DO45" s="106" t="n"/>
    </row>
    <row r="46">
      <c r="B46" s="141" t="inlineStr">
        <is>
          <t>Monthly F</t>
        </is>
      </c>
      <c r="C46" s="24" t="n">
        <v>1</v>
      </c>
      <c r="D46" s="147">
        <f>IFERROR(AVERAGE(C46:C46),0)</f>
        <v/>
      </c>
      <c r="E46" s="142">
        <f>IF($B46="Annual",1,IF($B46="Monthly F",12,IF($B46="Monthly V",D46*12,IF($B46="One-Time",1,D46*12))))</f>
        <v/>
      </c>
      <c r="F46" s="14">
        <f t="array" ref="F46">IFERROR(_xlfn.IFS(VALUE(MID(F$5,6,1))&gt;$D$2,0,$B46="Annual",1,E46=12,12,$B46="Monthly V",E46*(1+$D$3),$B46="Monthly F",12,$B46="One-Time",0),E46*(1+$D$3))</f>
        <v/>
      </c>
      <c r="G46" s="14">
        <f t="array" ref="G46">IFERROR(_xlfn.IFS(VALUE(MID(G$5,6,1))&gt;$D$2,0,$B46="Annual",1,F46=12,12,$B46="Monthly V",F46*(1+$D$3),$B46="Monthly F",12,$B46="One-Time",0),F46*(1+$D$3))</f>
        <v/>
      </c>
      <c r="H46" s="14">
        <f t="array" ref="H46">IFERROR(_xlfn.IFS(VALUE(MID(H$5,6,1))&gt;$D$2,0,$B46="Annual",1,G46=12,12,$B46="Monthly V",G46*(1+$D$3),$B46="Monthly F",12,$B46="One-Time",0),G46*(1+$D$3))</f>
        <v/>
      </c>
      <c r="I46" s="14">
        <f t="array" ref="I46">IFERROR(_xlfn.IFS(VALUE(MID(I$5,6,1))&gt;$D$2,0,$B46="Annual",1,H46=12,12,$B46="Monthly V",H46*(1+$D$3),$B46="Monthly F",12,$B46="One-Time",0),H46*(1+$D$3))</f>
        <v/>
      </c>
      <c r="J46" s="14">
        <f t="array" ref="J46">IFERROR(_xlfn.IFS(VALUE(MID(J$5,6,1))&gt;$D$2,0,$B46="Annual",1,I46=12,12,$B46="Monthly V",I46*(1+$D$3),$B46="Monthly F",12,$B46="One-Time",0),I46*(1+$D$3))</f>
        <v/>
      </c>
      <c r="K46" s="14">
        <f t="array" ref="K46">IFERROR(_xlfn.IFS(VALUE(MID(K$5,6,1))&gt;$D$2,0,$B46="Annual",1,J46=12,12,$B46="Monthly V",J46*(1+$D$3),$B46="Monthly F",12,$B46="One-Time",0),J46*(1+$D$3))</f>
        <v/>
      </c>
      <c r="L46" s="14">
        <f t="array" ref="L46">IFERROR(_xlfn.IFS(VALUE(MID(L$5,6,1))&gt;$D$2,0,$B46="Annual",1,K46=12,12,$B46="Monthly V",K46*(1+$D$3),$B46="Monthly F",12,$B46="One-Time",0),K46*(1+$D$3))</f>
        <v/>
      </c>
      <c r="M46" s="14">
        <f t="array" ref="M46">IFERROR(_xlfn.IFS(VALUE(MID(M$5,6,1))&gt;$D$2,0,$B46="Annual",1,L46=12,12,$B46="Monthly V",L46*(1+$D$3),$B46="Monthly F",12,$B46="One-Time",0),L46*(1+$D$3))</f>
        <v/>
      </c>
      <c r="N46" s="24">
        <f t="array" ref="N46">IFERROR(_xlfn.IFS(VALUE(MID(N$5,6,2))&gt;$D$2,0,$B46="Annual",1,M46=12,12,$B46="Monthly V",M46*(1+$D$3),$B46="Monthly F",12,$B46="One-Time",0),M46*(1+$D$3))</f>
        <v/>
      </c>
      <c r="O46" s="127" t="inlineStr">
        <is>
          <t>Call Center Support</t>
        </is>
      </c>
      <c r="P46" s="13" t="inlineStr">
        <is>
          <t>ATM/EFT</t>
        </is>
      </c>
      <c r="Q46" s="20" t="n">
        <v>65</v>
      </c>
      <c r="R46" s="21">
        <f>S46/12</f>
        <v/>
      </c>
      <c r="S46" s="6">
        <f>IFERROR($Q46*E46,0)</f>
        <v/>
      </c>
      <c r="T46" s="6">
        <f>IFERROR($Q46*F46,0)</f>
        <v/>
      </c>
      <c r="U46" s="6">
        <f>IFERROR($Q46*G46,0)</f>
        <v/>
      </c>
      <c r="V46" s="6">
        <f>IFERROR($Q46*H46,0)</f>
        <v/>
      </c>
      <c r="W46" s="6">
        <f>IFERROR($Q46*I46,0)</f>
        <v/>
      </c>
      <c r="X46" s="6">
        <f>IFERROR($Q46*J46,0)</f>
        <v/>
      </c>
      <c r="Y46" s="6">
        <f>IFERROR($Q46*K46,0)</f>
        <v/>
      </c>
      <c r="Z46" s="6">
        <f>IFERROR($Q46*L46,0)</f>
        <v/>
      </c>
      <c r="AA46" s="6">
        <f>IFERROR($Q46*M46,0)</f>
        <v/>
      </c>
      <c r="AB46" s="6">
        <f>IFERROR($Q46*N46,0)</f>
        <v/>
      </c>
      <c r="AC46" s="7" t="n"/>
      <c r="AD46" s="152">
        <f>IF(VALUE(MID(AD$5,6,1))&lt;=$D$2,((1+$Q$3)^1-1)*T46,0)</f>
        <v/>
      </c>
      <c r="AE46" s="152">
        <f>IF(VALUE(MID(AE$5,6,1))&lt;=$D$2,((1+$Q$3)^2-1)*U46,0)</f>
        <v/>
      </c>
      <c r="AF46" s="152">
        <f>IF(VALUE(MID(AF$5,6,1))&lt;=$D$2,((1+$Q$3)^3-1)*V46,0)</f>
        <v/>
      </c>
      <c r="AG46" s="152">
        <f>IF(VALUE(MID(AG$5,6,1))&lt;=$D$2,((1+$Q$3)^4-1)*W46,0)</f>
        <v/>
      </c>
      <c r="AH46" s="152">
        <f>IF(VALUE(MID(AH$5,6,1))&lt;=$D$2,((1+$Q$3)^5-1)*X46,0)</f>
        <v/>
      </c>
      <c r="AI46" s="152">
        <f>IF(VALUE(MID(AI$5,6,1))&lt;=$D$2,((1+$Q$3)^6-1)*Y46,0)</f>
        <v/>
      </c>
      <c r="AJ46" s="152">
        <f>IF(VALUE(MID(AJ$5,6,1))&lt;=$D$2,((1+$Q$3)^7-1)*Z46,0)</f>
        <v/>
      </c>
      <c r="AK46" s="152">
        <f>IF(VALUE(MID(AK$5,6,1))&lt;=$D$2,((1+$Q$3)^8-1)*AA46,0)</f>
        <v/>
      </c>
      <c r="AL46" s="152">
        <f>IF(VALUE(MID(AL$5,6,2))&lt;=$D$2,((1+$Q$3)^9-1)*AB46,0)</f>
        <v/>
      </c>
      <c r="AM46" s="9">
        <f>SUM(AC46:AL46)</f>
        <v/>
      </c>
      <c r="AN46" s="80">
        <f>SUM(AM46,S46:AB46)</f>
        <v/>
      </c>
      <c r="AP46" s="102" t="inlineStr">
        <is>
          <t>Monthly F</t>
        </is>
      </c>
      <c r="AQ46" s="12" t="n">
        <v>1</v>
      </c>
      <c r="AR46" s="14">
        <f>IF($AP46="Annual",1,IF($AP46="Monthly F",12,IF($AP46="Monthly V",AQ46*12,IF($AP46="One-Time",1,AQ46*12))))</f>
        <v/>
      </c>
      <c r="AS46" s="14">
        <f t="array" ref="AS46">IFERROR(_xlfn.IFS(VALUE(MID(AS$5,6,1))&gt;$D$2,0,$AP46="Annual",1,AR46=12,12,$AP46="Monthly V",AR46*(1+$BD$2),$AP46="Monthly F",12,$AP46="One-Time",0),AR46*(1+$BD$2))</f>
        <v/>
      </c>
      <c r="AT46" s="14">
        <f t="array" ref="AT46">IFERROR(_xlfn.IFS(VALUE(MID(AT$5,6,1))&gt;$D$2,0,$AP46="Annual",1,AS46=12,12,$AP46="Monthly V",AS46*(1+$BD$2),$AP46="Monthly F",12,$AP46="One-Time",0),AS46*(1+$BD$2))</f>
        <v/>
      </c>
      <c r="AU46" s="14">
        <f t="array" ref="AU46">IFERROR(_xlfn.IFS(VALUE(MID(AU$5,6,1))&gt;$D$2,0,$AP46="Annual",1,AT46=12,12,$AP46="Monthly V",AT46*(1+$BD$2),$AP46="Monthly F",12,$AP46="One-Time",0),AT46*(1+$BD$2))</f>
        <v/>
      </c>
      <c r="AV46" s="14">
        <f t="array" ref="AV46">IFERROR(_xlfn.IFS(VALUE(MID(AV$5,6,1))&gt;$D$2,0,$AP46="Annual",1,AU46=12,12,$AP46="Monthly V",AU46*(1+$BD$2),$AP46="Monthly F",12,$AP46="One-Time",0),AU46*(1+$BD$2))</f>
        <v/>
      </c>
      <c r="AW46" s="14">
        <f t="array" ref="AW46">IFERROR(_xlfn.IFS(VALUE(MID(AW$5,6,1))&gt;$D$2,0,$AP46="Annual",1,AV46=12,12,$AP46="Monthly V",AV46*(1+$BD$2),$AP46="Monthly F",12,$AP46="One-Time",0),AV46*(1+$BD$2))</f>
        <v/>
      </c>
      <c r="AX46" s="14">
        <f t="array" ref="AX46">IFERROR(_xlfn.IFS(VALUE(MID(AX$5,6,1))&gt;$D$2,0,$AP46="Annual",1,AW46=12,12,$AP46="Monthly V",AW46*(1+$BD$2),$AP46="Monthly F",12,$AP46="One-Time",0),AW46*(1+$BD$2))</f>
        <v/>
      </c>
      <c r="AY46" s="14">
        <f t="array" ref="AY46">IFERROR(_xlfn.IFS(VALUE(MID(AY$5,6,1))&gt;$D$2,0,$AP46="Annual",1,AX46=12,12,$AP46="Monthly V",AX46*(1+$D$3),$AP46="Monthly F",12,$AP46="One-Time",0),AX46*(1+$D$3))</f>
        <v/>
      </c>
      <c r="AZ46" s="14">
        <f t="array" ref="AZ46">IFERROR(_xlfn.IFS(VALUE(MID(AZ$5,6,1))&gt;$D$2,0,$AP46="Annual",1,AY46=12,12,$AP46="Monthly V",AY46*(1+$D$3),$AP46="Monthly F",12,$AP46="One-Time",0),AY46*(1+$D$3))</f>
        <v/>
      </c>
      <c r="BA46" s="125">
        <f t="array" ref="BA46">IFERROR(_xlfn.IFS(VALUE(MID(BA$5,6,2))&gt;$D$2,0,$AP46="Annual",1,AZ46=12,12,$AP46="Monthly V",AZ46*(1+$D$3),$AP46="Monthly F",12,$AP46="One-Time",0),AZ46*(1+$D$3))</f>
        <v/>
      </c>
      <c r="BB46" s="148" t="inlineStr">
        <is>
          <t>Footprints Data Storage JHA Debit Processing</t>
        </is>
      </c>
      <c r="BC46" s="38" t="inlineStr">
        <is>
          <t>Card Processing Solutions (CPS)</t>
        </is>
      </c>
      <c r="BD46" s="36" t="n">
        <v>150</v>
      </c>
      <c r="BE46" s="21">
        <f>BF46/12</f>
        <v/>
      </c>
      <c r="BF46" s="39">
        <f>IFERROR(AR46*$BD46,0)</f>
        <v/>
      </c>
      <c r="BG46" s="39">
        <f>IFERROR(AS46*$BD46,0)</f>
        <v/>
      </c>
      <c r="BH46" s="39">
        <f>IFERROR(AT46*$BD46,0)</f>
        <v/>
      </c>
      <c r="BI46" s="39">
        <f>BH46*1.03</f>
        <v/>
      </c>
      <c r="BJ46" s="39">
        <f>BI46*1.03</f>
        <v/>
      </c>
      <c r="BK46" s="39">
        <f>BJ46*1.03</f>
        <v/>
      </c>
      <c r="BL46" s="39">
        <f>BK46*1.03</f>
        <v/>
      </c>
      <c r="BM46" s="39">
        <f>IFERROR(AY46*$BD46,0)</f>
        <v/>
      </c>
      <c r="BN46" s="39">
        <f>IFERROR(AZ46*$BD46,0)</f>
        <v/>
      </c>
      <c r="BO46" s="39">
        <f>IFERROR(BA46*$BD46,0)</f>
        <v/>
      </c>
      <c r="BP46" s="40" t="n"/>
      <c r="BQ46" s="40">
        <f>IF(VALUE(MID(BQ$5,6,1))&lt;=$D$2,((1+$BD$3)^1-1)*BG46,0)</f>
        <v/>
      </c>
      <c r="BR46" s="40">
        <f>IF(VALUE(MID(BR$5,6,1))&lt;=$D$2,((1+$BD$3)^2-1)*BH46,0)</f>
        <v/>
      </c>
      <c r="BS46" s="40">
        <f>IF(VALUE(MID(BS$5,6,1))&lt;=$D$2,((1+$BD$3)^3-1)*BI46,0)</f>
        <v/>
      </c>
      <c r="BT46" s="40">
        <f>IF(VALUE(MID(BT$5,6,1))&lt;=$D$2,((1+$BD$3)^4-1)*BJ46,0)</f>
        <v/>
      </c>
      <c r="BU46" s="40">
        <f>IF(VALUE(MID(BU$5,6,1))&lt;=$D$2,((1+$BD$3)^5-1)*BK46,0)</f>
        <v/>
      </c>
      <c r="BV46" s="40">
        <f>IF(VALUE(MID(BV$5,6,1))&lt;=$D$2,((1+$BD$3)^6-1)*BL46,0)</f>
        <v/>
      </c>
      <c r="BW46" s="40">
        <f>IF(VALUE(MID(BW$5,6,1))&lt;=$D$2,((1+$BD$3)^7-1)*BM46,0)</f>
        <v/>
      </c>
      <c r="BX46" s="40">
        <f>IF(VALUE(MID(BX$5,6,1))&lt;=$D$2,((1+$BD$3)^8-1)*BN46,0)</f>
        <v/>
      </c>
      <c r="BY46" s="40">
        <f>IF(VALUE(MID(BY$5,6,2))&lt;=$D$2,((1+$BD$3)^9-1)*BO46,0)</f>
        <v/>
      </c>
      <c r="BZ46" s="40">
        <f>SUM(BP46:BY46)</f>
        <v/>
      </c>
      <c r="CA46" s="37">
        <f>SUM(BZ46,BF46:BO46)</f>
        <v/>
      </c>
      <c r="CC46" s="102" t="n"/>
      <c r="CD46" s="12" t="n"/>
      <c r="CE46" s="14">
        <f>IF($CC46="Annual",1,IF($CC46="Monthly F",12,IF($CC46="Monthly V",CD46*12,IF($CC46="One-Time",1,CD46*12))))</f>
        <v/>
      </c>
      <c r="CF46" s="14">
        <f t="array" ref="CF46">IFERROR(_xlfn.IFS(VALUE(MID(CF$5,6,1))&gt;$D$2,0,$CC46="Annual",1,CE46=12,12,$CC46="Monthly V",CE46*(1+$D$3),$CC46="Monthly F",12,$CC46="One-Time",0),CE46*(1+$D$3))</f>
        <v/>
      </c>
      <c r="CG46" s="14">
        <f t="array" ref="CG46">IFERROR(_xlfn.IFS(VALUE(MID(CG$5,6,1))&gt;$D$2,0,$CC46="Annual",1,CF46=12,12,$CC46="Monthly V",CF46*(1+$D$3),$CC46="Monthly F",12,$CC46="One-Time",0),CF46*(1+$D$3))</f>
        <v/>
      </c>
      <c r="CH46" s="14">
        <f t="array" ref="CH46">IFERROR(_xlfn.IFS(VALUE(MID(CH$5,6,1))&gt;$D$2,0,$CC46="Annual",1,CG46=12,12,$CC46="Monthly V",CG46*(1+$D$3),$CC46="Monthly F",12,$CC46="One-Time",0),CG46*(1+$D$3))</f>
        <v/>
      </c>
      <c r="CI46" s="14">
        <f t="array" ref="CI46">IFERROR(_xlfn.IFS(VALUE(MID(CI$5,6,1))&gt;$D$2,0,$CC46="Annual",1,CH46=12,12,$CC46="Monthly V",CH46*(1+$D$3),$CC46="Monthly F",12,$CC46="One-Time",0),CH46*(1+$D$3))</f>
        <v/>
      </c>
      <c r="CJ46" s="14">
        <f t="array" ref="CJ46">IFERROR(_xlfn.IFS(VALUE(MID(CJ$5,6,1))&gt;$D$2,0,$CC46="Annual",1,CI46=12,12,$CC46="Monthly V",CI46*(1+$D$3),$CC46="Monthly F",12,$CC46="One-Time",0),CI46*(1+$D$3))</f>
        <v/>
      </c>
      <c r="CK46" s="14">
        <f t="array" ref="CK46">IFERROR(_xlfn.IFS(VALUE(MID(CK$5,6,1))&gt;$D$2,0,$CC46="Annual",1,CJ46=12,12,$CC46="Monthly V",CJ46*(1+$D$3),$CC46="Monthly F",12,$CC46="One-Time",0),CJ46*(1+$D$3))</f>
        <v/>
      </c>
      <c r="CL46" s="14">
        <f t="array" ref="CL46">IFERROR(_xlfn.IFS(VALUE(MID(CL$5,6,1))&gt;$D$2,0,$CC46="Annual",1,CK46=12,12,$CC46="Monthly V",CK46*(1+$D$3),$CC46="Monthly F",12,$CC46="One-Time",0),CK46*(1+$D$3))</f>
        <v/>
      </c>
      <c r="CM46" s="14">
        <f t="array" ref="CM46">IFERROR(_xlfn.IFS(VALUE(MID(CM$5,6,1))&gt;$D$2,0,$CC46="Annual",1,CL46=12,12,$CC46="Monthly V",CL46*(1+$D$3),$CC46="Monthly F",12,$CC46="One-Time",0),CL46*(1+$D$3))</f>
        <v/>
      </c>
      <c r="CN46" s="24">
        <f t="array" ref="CN46">IFERROR(_xlfn.IFS(VALUE(MID(CN$5,6,2))&gt;$D$2,0,$CC46="Annual",1,CM46=12,12,$CC46="Monthly V",CM46*(1+$D$3),$CC46="Monthly F",12,$CC46="One-Time",0),CM46*(1+$D$3))</f>
        <v/>
      </c>
      <c r="CO46" s="63" t="n"/>
      <c r="CP46" s="53" t="n"/>
      <c r="CQ46" s="21">
        <f>CR46/12</f>
        <v/>
      </c>
      <c r="CR46" s="55">
        <f>IFERROR(CE46*$CP46,0)</f>
        <v/>
      </c>
      <c r="CS46" s="55">
        <f>IFERROR(CF46*$CP46,0)</f>
        <v/>
      </c>
      <c r="CT46" s="55">
        <f>IFERROR(CG46*$CP46,0)</f>
        <v/>
      </c>
      <c r="CU46" s="55">
        <f>IFERROR(CH46*$CP46,0)</f>
        <v/>
      </c>
      <c r="CV46" s="55">
        <f>IFERROR(CI46*$CP46,0)</f>
        <v/>
      </c>
      <c r="CW46" s="55">
        <f>IFERROR(CJ46*$CP46,0)</f>
        <v/>
      </c>
      <c r="CX46" s="55">
        <f>IFERROR(CK46*$CP46,0)</f>
        <v/>
      </c>
      <c r="CY46" s="55">
        <f>IFERROR(CL46*$CP46,0)</f>
        <v/>
      </c>
      <c r="CZ46" s="55">
        <f>IFERROR(CM46*$CP46,0)</f>
        <v/>
      </c>
      <c r="DA46" s="55">
        <f>IFERROR(CN46*$CP46,0)</f>
        <v/>
      </c>
      <c r="DB46" s="56" t="n"/>
      <c r="DC46" s="56">
        <f>IF(VALUE(MID(DC$5,6,1))&lt;=$D$2,((1+$CP$3)^1-1)*CS46,0)</f>
        <v/>
      </c>
      <c r="DD46" s="56">
        <f>IF(VALUE(MID(DD$5,6,1))&lt;=$D$2,((1+$CP$3)^2-1)*CT46,0)</f>
        <v/>
      </c>
      <c r="DE46" s="56">
        <f>IF(VALUE(MID(DE$5,6,1))&lt;=$D$2,((1+$CP$3)^3-1)*CU46,0)</f>
        <v/>
      </c>
      <c r="DF46" s="56">
        <f>IF(VALUE(MID(DF$5,6,1))&lt;=$D$2,((1+$CP$3)^4-1)*CV46,0)</f>
        <v/>
      </c>
      <c r="DG46" s="56">
        <f>IF(VALUE(MID(DG$5,6,1))&lt;=$D$2,((1+$CP$3)^5-1)*CW46,0)</f>
        <v/>
      </c>
      <c r="DH46" s="56">
        <f>IF(VALUE(MID(DH$5,6,1))&lt;=$D$2,((1+$CP$3)^6-1)*CX46,0)</f>
        <v/>
      </c>
      <c r="DI46" s="56">
        <f>IF(VALUE(MID(DI$5,6,1))&lt;=$D$2,((1+$CP$3)^7-1)*CY46,0)</f>
        <v/>
      </c>
      <c r="DJ46" s="56">
        <f>IF(VALUE(MID(DJ$5,6,1))&lt;=$D$2,((1+$CP$3)^8-1)*CZ46,0)</f>
        <v/>
      </c>
      <c r="DK46" s="56">
        <f>IF(VALUE(MID(DK$5,6,2))&lt;=$D$2,((1+$CP$3)^9-1)*DA46,0)</f>
        <v/>
      </c>
      <c r="DL46" s="57">
        <f>SUM(DB46:DK46)</f>
        <v/>
      </c>
      <c r="DM46" s="54">
        <f>SUM(DL46,CR46:DA46)</f>
        <v/>
      </c>
      <c r="DO46" s="106" t="n"/>
    </row>
    <row r="47">
      <c r="B47" s="141" t="inlineStr">
        <is>
          <t>Monthly V</t>
        </is>
      </c>
      <c r="C47" s="24" t="n">
        <v>45</v>
      </c>
      <c r="D47" s="147">
        <f>IFERROR(AVERAGE(C47:C47),0)</f>
        <v/>
      </c>
      <c r="E47" s="142">
        <f>IF($B47="Annual",1,IF($B47="Monthly F",12,IF($B47="Monthly V",D47*12,IF($B47="One-Time",1,D47*12))))</f>
        <v/>
      </c>
      <c r="F47" s="14">
        <f t="array" ref="F47">IFERROR(_xlfn.IFS(VALUE(MID(F$5,6,1))&gt;$D$2,0,$B47="Annual",1,E47=12,12,$B47="Monthly V",E47*(1+$D$3),$B47="Monthly F",12,$B47="One-Time",0),E47*(1+$D$3))</f>
        <v/>
      </c>
      <c r="G47" s="14">
        <f t="array" ref="G47">IFERROR(_xlfn.IFS(VALUE(MID(G$5,6,1))&gt;$D$2,0,$B47="Annual",1,F47=12,12,$B47="Monthly V",F47*(1+$D$3),$B47="Monthly F",12,$B47="One-Time",0),F47*(1+$D$3))</f>
        <v/>
      </c>
      <c r="H47" s="14">
        <f t="array" ref="H47">IFERROR(_xlfn.IFS(VALUE(MID(H$5,6,1))&gt;$D$2,0,$B47="Annual",1,G47=12,12,$B47="Monthly V",G47*(1+$D$3),$B47="Monthly F",12,$B47="One-Time",0),G47*(1+$D$3))</f>
        <v/>
      </c>
      <c r="I47" s="14">
        <f t="array" ref="I47">IFERROR(_xlfn.IFS(VALUE(MID(I$5,6,1))&gt;$D$2,0,$B47="Annual",1,H47=12,12,$B47="Monthly V",H47*(1+$D$3),$B47="Monthly F",12,$B47="One-Time",0),H47*(1+$D$3))</f>
        <v/>
      </c>
      <c r="J47" s="14">
        <f t="array" ref="J47">IFERROR(_xlfn.IFS(VALUE(MID(J$5,6,1))&gt;$D$2,0,$B47="Annual",1,I47=12,12,$B47="Monthly V",I47*(1+$D$3),$B47="Monthly F",12,$B47="One-Time",0),I47*(1+$D$3))</f>
        <v/>
      </c>
      <c r="K47" s="14">
        <f t="array" ref="K47">IFERROR(_xlfn.IFS(VALUE(MID(K$5,6,1))&gt;$D$2,0,$B47="Annual",1,J47=12,12,$B47="Monthly V",J47*(1+$D$3),$B47="Monthly F",12,$B47="One-Time",0),J47*(1+$D$3))</f>
        <v/>
      </c>
      <c r="L47" s="14">
        <f t="array" ref="L47">IFERROR(_xlfn.IFS(VALUE(MID(L$5,6,1))&gt;$D$2,0,$B47="Annual",1,K47=12,12,$B47="Monthly V",K47*(1+$D$3),$B47="Monthly F",12,$B47="One-Time",0),K47*(1+$D$3))</f>
        <v/>
      </c>
      <c r="M47" s="14">
        <f t="array" ref="M47">IFERROR(_xlfn.IFS(VALUE(MID(M$5,6,1))&gt;$D$2,0,$B47="Annual",1,L47=12,12,$B47="Monthly V",L47*(1+$D$3),$B47="Monthly F",12,$B47="One-Time",0),L47*(1+$D$3))</f>
        <v/>
      </c>
      <c r="N47" s="24">
        <f t="array" ref="N47">IFERROR(_xlfn.IFS(VALUE(MID(N$5,6,2))&gt;$D$2,0,$B47="Annual",1,M47=12,12,$B47="Monthly V",M47*(1+$D$3),$B47="Monthly F",12,$B47="One-Time",0),M47*(1+$D$3))</f>
        <v/>
      </c>
      <c r="O47" s="127" t="inlineStr">
        <is>
          <t>Call Center Support per minute</t>
        </is>
      </c>
      <c r="P47" s="13" t="inlineStr">
        <is>
          <t>ATM/EFT</t>
        </is>
      </c>
      <c r="Q47" s="20" t="n">
        <v>1.5</v>
      </c>
      <c r="R47" s="21">
        <f>S47/12</f>
        <v/>
      </c>
      <c r="S47" s="6">
        <f>IFERROR($Q47*E47,0)</f>
        <v/>
      </c>
      <c r="T47" s="6">
        <f>IFERROR($Q47*F47,0)</f>
        <v/>
      </c>
      <c r="U47" s="6">
        <f>IFERROR($Q47*G47,0)</f>
        <v/>
      </c>
      <c r="V47" s="6">
        <f>IFERROR($Q47*H47,0)</f>
        <v/>
      </c>
      <c r="W47" s="6">
        <f>IFERROR($Q47*I47,0)</f>
        <v/>
      </c>
      <c r="X47" s="6">
        <f>IFERROR($Q47*J47,0)</f>
        <v/>
      </c>
      <c r="Y47" s="6">
        <f>IFERROR($Q47*K47,0)</f>
        <v/>
      </c>
      <c r="Z47" s="6">
        <f>IFERROR($Q47*L47,0)</f>
        <v/>
      </c>
      <c r="AA47" s="6">
        <f>IFERROR($Q47*M47,0)</f>
        <v/>
      </c>
      <c r="AB47" s="6">
        <f>IFERROR($Q47*N47,0)</f>
        <v/>
      </c>
      <c r="AC47" s="7" t="n"/>
      <c r="AD47" s="152">
        <f>IF(VALUE(MID(AD$5,6,1))&lt;=$D$2,((1+$Q$3)^1-1)*T47,0)</f>
        <v/>
      </c>
      <c r="AE47" s="152">
        <f>IF(VALUE(MID(AE$5,6,1))&lt;=$D$2,((1+$Q$3)^2-1)*U47,0)</f>
        <v/>
      </c>
      <c r="AF47" s="152">
        <f>IF(VALUE(MID(AF$5,6,1))&lt;=$D$2,((1+$Q$3)^3-1)*V47,0)</f>
        <v/>
      </c>
      <c r="AG47" s="152">
        <f>IF(VALUE(MID(AG$5,6,1))&lt;=$D$2,((1+$Q$3)^4-1)*W47,0)</f>
        <v/>
      </c>
      <c r="AH47" s="152">
        <f>IF(VALUE(MID(AH$5,6,1))&lt;=$D$2,((1+$Q$3)^5-1)*X47,0)</f>
        <v/>
      </c>
      <c r="AI47" s="152">
        <f>IF(VALUE(MID(AI$5,6,1))&lt;=$D$2,((1+$Q$3)^6-1)*Y47,0)</f>
        <v/>
      </c>
      <c r="AJ47" s="152">
        <f>IF(VALUE(MID(AJ$5,6,1))&lt;=$D$2,((1+$Q$3)^7-1)*Z47,0)</f>
        <v/>
      </c>
      <c r="AK47" s="152">
        <f>IF(VALUE(MID(AK$5,6,1))&lt;=$D$2,((1+$Q$3)^8-1)*AA47,0)</f>
        <v/>
      </c>
      <c r="AL47" s="152">
        <f>IF(VALUE(MID(AL$5,6,2))&lt;=$D$2,((1+$Q$3)^9-1)*AB47,0)</f>
        <v/>
      </c>
      <c r="AM47" s="9">
        <f>SUM(AC47:AL47)</f>
        <v/>
      </c>
      <c r="AN47" s="80">
        <f>SUM(AM47,S47:AB47)</f>
        <v/>
      </c>
      <c r="AP47" s="102" t="inlineStr">
        <is>
          <t>Monthly F</t>
        </is>
      </c>
      <c r="AQ47" s="12" t="n">
        <v>1</v>
      </c>
      <c r="AR47" s="14">
        <f>IF($AP47="Annual",1,IF($AP47="Monthly F",12,IF($AP47="Monthly V",AQ47*12,IF($AP47="One-Time",1,AQ47*12))))</f>
        <v/>
      </c>
      <c r="AS47" s="14">
        <f t="array" ref="AS47">IFERROR(_xlfn.IFS(VALUE(MID(AS$5,6,1))&gt;$D$2,0,$AP47="Annual",1,AR47=12,12,$AP47="Monthly V",AR47*(1+$BD$2),$AP47="Monthly F",12,$AP47="One-Time",0),AR47*(1+$BD$2))</f>
        <v/>
      </c>
      <c r="AT47" s="14">
        <f t="array" ref="AT47">IFERROR(_xlfn.IFS(VALUE(MID(AT$5,6,1))&gt;$D$2,0,$AP47="Annual",1,AS47=12,12,$AP47="Monthly V",AS47*(1+$BD$2),$AP47="Monthly F",12,$AP47="One-Time",0),AS47*(1+$BD$2))</f>
        <v/>
      </c>
      <c r="AU47" s="14">
        <f t="array" ref="AU47">IFERROR(_xlfn.IFS(VALUE(MID(AU$5,6,1))&gt;$D$2,0,$AP47="Annual",1,AT47=12,12,$AP47="Monthly V",AT47*(1+$BD$2),$AP47="Monthly F",12,$AP47="One-Time",0),AT47*(1+$BD$2))</f>
        <v/>
      </c>
      <c r="AV47" s="14">
        <f t="array" ref="AV47">IFERROR(_xlfn.IFS(VALUE(MID(AV$5,6,1))&gt;$D$2,0,$AP47="Annual",1,AU47=12,12,$AP47="Monthly V",AU47*(1+$BD$2),$AP47="Monthly F",12,$AP47="One-Time",0),AU47*(1+$BD$2))</f>
        <v/>
      </c>
      <c r="AW47" s="14">
        <f t="array" ref="AW47">IFERROR(_xlfn.IFS(VALUE(MID(AW$5,6,1))&gt;$D$2,0,$AP47="Annual",1,AV47=12,12,$AP47="Monthly V",AV47*(1+$BD$2),$AP47="Monthly F",12,$AP47="One-Time",0),AV47*(1+$BD$2))</f>
        <v/>
      </c>
      <c r="AX47" s="14">
        <f t="array" ref="AX47">IFERROR(_xlfn.IFS(VALUE(MID(AX$5,6,1))&gt;$D$2,0,$AP47="Annual",1,AW47=12,12,$AP47="Monthly V",AW47*(1+$BD$2),$AP47="Monthly F",12,$AP47="One-Time",0),AW47*(1+$BD$2))</f>
        <v/>
      </c>
      <c r="AY47" s="14">
        <f t="array" ref="AY47">IFERROR(_xlfn.IFS(VALUE(MID(AY$5,6,1))&gt;$D$2,0,$AP47="Annual",1,AX47=12,12,$AP47="Monthly V",AX47*(1+$D$3),$AP47="Monthly F",12,$AP47="One-Time",0),AX47*(1+$D$3))</f>
        <v/>
      </c>
      <c r="AZ47" s="14">
        <f t="array" ref="AZ47">IFERROR(_xlfn.IFS(VALUE(MID(AZ$5,6,1))&gt;$D$2,0,$AP47="Annual",1,AY47=12,12,$AP47="Monthly V",AY47*(1+$D$3),$AP47="Monthly F",12,$AP47="One-Time",0),AY47*(1+$D$3))</f>
        <v/>
      </c>
      <c r="BA47" s="125">
        <f t="array" ref="BA47">IFERROR(_xlfn.IFS(VALUE(MID(BA$5,6,2))&gt;$D$2,0,$AP47="Annual",1,AZ47=12,12,$AP47="Monthly V",AZ47*(1+$D$3),$AP47="Monthly F",12,$AP47="One-Time",0),AZ47*(1+$D$3))</f>
        <v/>
      </c>
      <c r="BB47" s="148" t="inlineStr">
        <is>
          <t>Host Based PIN Authorization JHA Debit Processing</t>
        </is>
      </c>
      <c r="BC47" s="38" t="inlineStr">
        <is>
          <t>Card Processing Solutions (CPS)</t>
        </is>
      </c>
      <c r="BD47" s="36" t="n">
        <v>250</v>
      </c>
      <c r="BE47" s="21">
        <f>BF47/12</f>
        <v/>
      </c>
      <c r="BF47" s="39">
        <f>IFERROR(AR47*$BD47,0)</f>
        <v/>
      </c>
      <c r="BG47" s="39">
        <f>IFERROR(AS47*$BD47,0)</f>
        <v/>
      </c>
      <c r="BH47" s="39">
        <f>IFERROR(AT47*$BD47,0)</f>
        <v/>
      </c>
      <c r="BI47" s="39">
        <f>BH47*1.03</f>
        <v/>
      </c>
      <c r="BJ47" s="39">
        <f>BI47*1.03</f>
        <v/>
      </c>
      <c r="BK47" s="39">
        <f>BJ47*1.03</f>
        <v/>
      </c>
      <c r="BL47" s="39">
        <f>BK47*1.03</f>
        <v/>
      </c>
      <c r="BM47" s="39">
        <f>IFERROR(AY47*$BD47,0)</f>
        <v/>
      </c>
      <c r="BN47" s="39">
        <f>IFERROR(AZ47*$BD47,0)</f>
        <v/>
      </c>
      <c r="BO47" s="39">
        <f>IFERROR(BA47*$BD47,0)</f>
        <v/>
      </c>
      <c r="BP47" s="40" t="n"/>
      <c r="BQ47" s="40">
        <f>IF(VALUE(MID(BQ$5,6,1))&lt;=$D$2,((1+$BD$3)^1-1)*BG47,0)</f>
        <v/>
      </c>
      <c r="BR47" s="40">
        <f>IF(VALUE(MID(BR$5,6,1))&lt;=$D$2,((1+$BD$3)^2-1)*BH47,0)</f>
        <v/>
      </c>
      <c r="BS47" s="40">
        <f>IF(VALUE(MID(BS$5,6,1))&lt;=$D$2,((1+$BD$3)^3-1)*BI47,0)</f>
        <v/>
      </c>
      <c r="BT47" s="40">
        <f>IF(VALUE(MID(BT$5,6,1))&lt;=$D$2,((1+$BD$3)^4-1)*BJ47,0)</f>
        <v/>
      </c>
      <c r="BU47" s="40">
        <f>IF(VALUE(MID(BU$5,6,1))&lt;=$D$2,((1+$BD$3)^5-1)*BK47,0)</f>
        <v/>
      </c>
      <c r="BV47" s="40">
        <f>IF(VALUE(MID(BV$5,6,1))&lt;=$D$2,((1+$BD$3)^6-1)*BL47,0)</f>
        <v/>
      </c>
      <c r="BW47" s="40">
        <f>IF(VALUE(MID(BW$5,6,1))&lt;=$D$2,((1+$BD$3)^7-1)*BM47,0)</f>
        <v/>
      </c>
      <c r="BX47" s="40">
        <f>IF(VALUE(MID(BX$5,6,1))&lt;=$D$2,((1+$BD$3)^8-1)*BN47,0)</f>
        <v/>
      </c>
      <c r="BY47" s="40">
        <f>IF(VALUE(MID(BY$5,6,2))&lt;=$D$2,((1+$BD$3)^9-1)*BO47,0)</f>
        <v/>
      </c>
      <c r="BZ47" s="40">
        <f>SUM(BP47:BY47)</f>
        <v/>
      </c>
      <c r="CA47" s="37">
        <f>SUM(BZ47,BF47:BO47)</f>
        <v/>
      </c>
      <c r="CC47" s="102" t="n"/>
      <c r="CD47" s="12" t="n"/>
      <c r="CE47" s="14">
        <f>IF($CC47="Annual",1,IF($CC47="Monthly F",12,IF($CC47="Monthly V",CD47*12,IF($CC47="One-Time",1,CD47*12))))</f>
        <v/>
      </c>
      <c r="CF47" s="14">
        <f t="array" ref="CF47">IFERROR(_xlfn.IFS(VALUE(MID(CF$5,6,1))&gt;$D$2,0,$CC47="Annual",1,CE47=12,12,$CC47="Monthly V",CE47*(1+$D$3),$CC47="Monthly F",12,$CC47="One-Time",0),CE47*(1+$D$3))</f>
        <v/>
      </c>
      <c r="CG47" s="14">
        <f t="array" ref="CG47">IFERROR(_xlfn.IFS(VALUE(MID(CG$5,6,1))&gt;$D$2,0,$CC47="Annual",1,CF47=12,12,$CC47="Monthly V",CF47*(1+$D$3),$CC47="Monthly F",12,$CC47="One-Time",0),CF47*(1+$D$3))</f>
        <v/>
      </c>
      <c r="CH47" s="14">
        <f t="array" ref="CH47">IFERROR(_xlfn.IFS(VALUE(MID(CH$5,6,1))&gt;$D$2,0,$CC47="Annual",1,CG47=12,12,$CC47="Monthly V",CG47*(1+$D$3),$CC47="Monthly F",12,$CC47="One-Time",0),CG47*(1+$D$3))</f>
        <v/>
      </c>
      <c r="CI47" s="14">
        <f t="array" ref="CI47">IFERROR(_xlfn.IFS(VALUE(MID(CI$5,6,1))&gt;$D$2,0,$CC47="Annual",1,CH47=12,12,$CC47="Monthly V",CH47*(1+$D$3),$CC47="Monthly F",12,$CC47="One-Time",0),CH47*(1+$D$3))</f>
        <v/>
      </c>
      <c r="CJ47" s="14">
        <f t="array" ref="CJ47">IFERROR(_xlfn.IFS(VALUE(MID(CJ$5,6,1))&gt;$D$2,0,$CC47="Annual",1,CI47=12,12,$CC47="Monthly V",CI47*(1+$D$3),$CC47="Monthly F",12,$CC47="One-Time",0),CI47*(1+$D$3))</f>
        <v/>
      </c>
      <c r="CK47" s="14">
        <f t="array" ref="CK47">IFERROR(_xlfn.IFS(VALUE(MID(CK$5,6,1))&gt;$D$2,0,$CC47="Annual",1,CJ47=12,12,$CC47="Monthly V",CJ47*(1+$D$3),$CC47="Monthly F",12,$CC47="One-Time",0),CJ47*(1+$D$3))</f>
        <v/>
      </c>
      <c r="CL47" s="14">
        <f t="array" ref="CL47">IFERROR(_xlfn.IFS(VALUE(MID(CL$5,6,1))&gt;$D$2,0,$CC47="Annual",1,CK47=12,12,$CC47="Monthly V",CK47*(1+$D$3),$CC47="Monthly F",12,$CC47="One-Time",0),CK47*(1+$D$3))</f>
        <v/>
      </c>
      <c r="CM47" s="14">
        <f t="array" ref="CM47">IFERROR(_xlfn.IFS(VALUE(MID(CM$5,6,1))&gt;$D$2,0,$CC47="Annual",1,CL47=12,12,$CC47="Monthly V",CL47*(1+$D$3),$CC47="Monthly F",12,$CC47="One-Time",0),CL47*(1+$D$3))</f>
        <v/>
      </c>
      <c r="CN47" s="24">
        <f t="array" ref="CN47">IFERROR(_xlfn.IFS(VALUE(MID(CN$5,6,2))&gt;$D$2,0,$CC47="Annual",1,CM47=12,12,$CC47="Monthly V",CM47*(1+$D$3),$CC47="Monthly F",12,$CC47="One-Time",0),CM47*(1+$D$3))</f>
        <v/>
      </c>
      <c r="CO47" s="63" t="n"/>
      <c r="CP47" s="53" t="n"/>
      <c r="CQ47" s="21">
        <f>CR47/12</f>
        <v/>
      </c>
      <c r="CR47" s="55">
        <f>IFERROR(CE47*$CP47,0)</f>
        <v/>
      </c>
      <c r="CS47" s="55">
        <f>IFERROR(CF47*$CP47,0)</f>
        <v/>
      </c>
      <c r="CT47" s="55">
        <f>IFERROR(CG47*$CP47,0)</f>
        <v/>
      </c>
      <c r="CU47" s="55">
        <f>IFERROR(CH47*$CP47,0)</f>
        <v/>
      </c>
      <c r="CV47" s="55">
        <f>IFERROR(CI47*$CP47,0)</f>
        <v/>
      </c>
      <c r="CW47" s="55">
        <f>IFERROR(CJ47*$CP47,0)</f>
        <v/>
      </c>
      <c r="CX47" s="55">
        <f>IFERROR(CK47*$CP47,0)</f>
        <v/>
      </c>
      <c r="CY47" s="55">
        <f>IFERROR(CL47*$CP47,0)</f>
        <v/>
      </c>
      <c r="CZ47" s="55">
        <f>IFERROR(CM47*$CP47,0)</f>
        <v/>
      </c>
      <c r="DA47" s="55">
        <f>IFERROR(CN47*$CP47,0)</f>
        <v/>
      </c>
      <c r="DB47" s="56" t="n"/>
      <c r="DC47" s="56">
        <f>IF(VALUE(MID(DC$5,6,1))&lt;=$D$2,((1+$CP$3)^1-1)*CS47,0)</f>
        <v/>
      </c>
      <c r="DD47" s="56">
        <f>IF(VALUE(MID(DD$5,6,1))&lt;=$D$2,((1+$CP$3)^2-1)*CT47,0)</f>
        <v/>
      </c>
      <c r="DE47" s="56">
        <f>IF(VALUE(MID(DE$5,6,1))&lt;=$D$2,((1+$CP$3)^3-1)*CU47,0)</f>
        <v/>
      </c>
      <c r="DF47" s="56">
        <f>IF(VALUE(MID(DF$5,6,1))&lt;=$D$2,((1+$CP$3)^4-1)*CV47,0)</f>
        <v/>
      </c>
      <c r="DG47" s="56">
        <f>IF(VALUE(MID(DG$5,6,1))&lt;=$D$2,((1+$CP$3)^5-1)*CW47,0)</f>
        <v/>
      </c>
      <c r="DH47" s="56">
        <f>IF(VALUE(MID(DH$5,6,1))&lt;=$D$2,((1+$CP$3)^6-1)*CX47,0)</f>
        <v/>
      </c>
      <c r="DI47" s="56">
        <f>IF(VALUE(MID(DI$5,6,1))&lt;=$D$2,((1+$CP$3)^7-1)*CY47,0)</f>
        <v/>
      </c>
      <c r="DJ47" s="56">
        <f>IF(VALUE(MID(DJ$5,6,1))&lt;=$D$2,((1+$CP$3)^8-1)*CZ47,0)</f>
        <v/>
      </c>
      <c r="DK47" s="56">
        <f>IF(VALUE(MID(DK$5,6,2))&lt;=$D$2,((1+$CP$3)^9-1)*DA47,0)</f>
        <v/>
      </c>
      <c r="DL47" s="57">
        <f>SUM(DB47:DK47)</f>
        <v/>
      </c>
      <c r="DM47" s="54">
        <f>SUM(DL47,CR47:DA47)</f>
        <v/>
      </c>
      <c r="DO47" s="106" t="n"/>
    </row>
    <row r="48">
      <c r="B48" s="141" t="inlineStr">
        <is>
          <t>Monthly F</t>
        </is>
      </c>
      <c r="C48" s="24" t="n">
        <v>1</v>
      </c>
      <c r="D48" s="147">
        <f>IFERROR(AVERAGE(C48:C48),0)</f>
        <v/>
      </c>
      <c r="E48" s="142">
        <f>IF($B48="Annual",1,IF($B48="Monthly F",12,IF($B48="Monthly V",D48*12,IF($B48="One-Time",1,D48*12))))</f>
        <v/>
      </c>
      <c r="F48" s="14">
        <f t="array" ref="F48">IFERROR(_xlfn.IFS(VALUE(MID(F$5,6,1))&gt;$D$2,0,$B48="Annual",1,E48=12,12,$B48="Monthly V",E48*(1+$D$3),$B48="Monthly F",12,$B48="One-Time",0),E48*(1+$D$3))</f>
        <v/>
      </c>
      <c r="G48" s="14">
        <f t="array" ref="G48">IFERROR(_xlfn.IFS(VALUE(MID(G$5,6,1))&gt;$D$2,0,$B48="Annual",1,F48=12,12,$B48="Monthly V",F48*(1+$D$3),$B48="Monthly F",12,$B48="One-Time",0),F48*(1+$D$3))</f>
        <v/>
      </c>
      <c r="H48" s="14">
        <f t="array" ref="H48">IFERROR(_xlfn.IFS(VALUE(MID(H$5,6,1))&gt;$D$2,0,$B48="Annual",1,G48=12,12,$B48="Monthly V",G48*(1+$D$3),$B48="Monthly F",12,$B48="One-Time",0),G48*(1+$D$3))</f>
        <v/>
      </c>
      <c r="I48" s="14">
        <f t="array" ref="I48">IFERROR(_xlfn.IFS(VALUE(MID(I$5,6,1))&gt;$D$2,0,$B48="Annual",1,H48=12,12,$B48="Monthly V",H48*(1+$D$3),$B48="Monthly F",12,$B48="One-Time",0),H48*(1+$D$3))</f>
        <v/>
      </c>
      <c r="J48" s="14">
        <f t="array" ref="J48">IFERROR(_xlfn.IFS(VALUE(MID(J$5,6,1))&gt;$D$2,0,$B48="Annual",1,I48=12,12,$B48="Monthly V",I48*(1+$D$3),$B48="Monthly F",12,$B48="One-Time",0),I48*(1+$D$3))</f>
        <v/>
      </c>
      <c r="K48" s="14">
        <f t="array" ref="K48">IFERROR(_xlfn.IFS(VALUE(MID(K$5,6,1))&gt;$D$2,0,$B48="Annual",1,J48=12,12,$B48="Monthly V",J48*(1+$D$3),$B48="Monthly F",12,$B48="One-Time",0),J48*(1+$D$3))</f>
        <v/>
      </c>
      <c r="L48" s="14">
        <f t="array" ref="L48">IFERROR(_xlfn.IFS(VALUE(MID(L$5,6,1))&gt;$D$2,0,$B48="Annual",1,K48=12,12,$B48="Monthly V",K48*(1+$D$3),$B48="Monthly F",12,$B48="One-Time",0),K48*(1+$D$3))</f>
        <v/>
      </c>
      <c r="M48" s="14">
        <f t="array" ref="M48">IFERROR(_xlfn.IFS(VALUE(MID(M$5,6,1))&gt;$D$2,0,$B48="Annual",1,L48=12,12,$B48="Monthly V",L48*(1+$D$3),$B48="Monthly F",12,$B48="One-Time",0),L48*(1+$D$3))</f>
        <v/>
      </c>
      <c r="N48" s="24">
        <f t="array" ref="N48">IFERROR(_xlfn.IFS(VALUE(MID(N$5,6,2))&gt;$D$2,0,$B48="Annual",1,M48=12,12,$B48="Monthly V",M48*(1+$D$3),$B48="Monthly F",12,$B48="One-Time",0),M48*(1+$D$3))</f>
        <v/>
      </c>
      <c r="O48" s="127" t="inlineStr">
        <is>
          <t>Automated Customer Notification</t>
        </is>
      </c>
      <c r="P48" s="13" t="inlineStr">
        <is>
          <t>ATM/EFT</t>
        </is>
      </c>
      <c r="Q48" s="20" t="n">
        <v>100</v>
      </c>
      <c r="R48" s="21">
        <f>S48/12</f>
        <v/>
      </c>
      <c r="S48" s="6">
        <f>IFERROR($Q48*E48,0)</f>
        <v/>
      </c>
      <c r="T48" s="6">
        <f>IFERROR($Q48*F48,0)</f>
        <v/>
      </c>
      <c r="U48" s="6">
        <f>IFERROR($Q48*G48,0)</f>
        <v/>
      </c>
      <c r="V48" s="6">
        <f>IFERROR($Q48*H48,0)</f>
        <v/>
      </c>
      <c r="W48" s="6">
        <f>IFERROR($Q48*I48,0)</f>
        <v/>
      </c>
      <c r="X48" s="6">
        <f>IFERROR($Q48*J48,0)</f>
        <v/>
      </c>
      <c r="Y48" s="6">
        <f>IFERROR($Q48*K48,0)</f>
        <v/>
      </c>
      <c r="Z48" s="6">
        <f>IFERROR($Q48*L48,0)</f>
        <v/>
      </c>
      <c r="AA48" s="6">
        <f>IFERROR($Q48*M48,0)</f>
        <v/>
      </c>
      <c r="AB48" s="6">
        <f>IFERROR($Q48*N48,0)</f>
        <v/>
      </c>
      <c r="AC48" s="7" t="n"/>
      <c r="AD48" s="152">
        <f>IF(VALUE(MID(AD$5,6,1))&lt;=$D$2,((1+$Q$3)^1-1)*T48,0)</f>
        <v/>
      </c>
      <c r="AE48" s="152">
        <f>IF(VALUE(MID(AE$5,6,1))&lt;=$D$2,((1+$Q$3)^2-1)*U48,0)</f>
        <v/>
      </c>
      <c r="AF48" s="152">
        <f>IF(VALUE(MID(AF$5,6,1))&lt;=$D$2,((1+$Q$3)^3-1)*V48,0)</f>
        <v/>
      </c>
      <c r="AG48" s="152">
        <f>IF(VALUE(MID(AG$5,6,1))&lt;=$D$2,((1+$Q$3)^4-1)*W48,0)</f>
        <v/>
      </c>
      <c r="AH48" s="152">
        <f>IF(VALUE(MID(AH$5,6,1))&lt;=$D$2,((1+$Q$3)^5-1)*X48,0)</f>
        <v/>
      </c>
      <c r="AI48" s="152">
        <f>IF(VALUE(MID(AI$5,6,1))&lt;=$D$2,((1+$Q$3)^6-1)*Y48,0)</f>
        <v/>
      </c>
      <c r="AJ48" s="152">
        <f>IF(VALUE(MID(AJ$5,6,1))&lt;=$D$2,((1+$Q$3)^7-1)*Z48,0)</f>
        <v/>
      </c>
      <c r="AK48" s="152">
        <f>IF(VALUE(MID(AK$5,6,1))&lt;=$D$2,((1+$Q$3)^8-1)*AA48,0)</f>
        <v/>
      </c>
      <c r="AL48" s="152">
        <f>IF(VALUE(MID(AL$5,6,2))&lt;=$D$2,((1+$Q$3)^9-1)*AB48,0)</f>
        <v/>
      </c>
      <c r="AM48" s="9">
        <f>SUM(AC48:AL48)</f>
        <v/>
      </c>
      <c r="AN48" s="80">
        <f>SUM(AM48,S48:AB48)</f>
        <v/>
      </c>
      <c r="AP48" s="102" t="inlineStr">
        <is>
          <t>Monthly F</t>
        </is>
      </c>
      <c r="AQ48" s="12" t="n">
        <v>1</v>
      </c>
      <c r="AR48" s="14">
        <f>IF($AP48="Annual",1,IF($AP48="Monthly F",12,IF($AP48="Monthly V",AQ48*12,IF($AP48="One-Time",1,AQ48*12))))</f>
        <v/>
      </c>
      <c r="AS48" s="14">
        <f t="array" ref="AS48">IFERROR(_xlfn.IFS(VALUE(MID(AS$5,6,1))&gt;$D$2,0,$AP48="Annual",1,AR48=12,12,$AP48="Monthly V",AR48*(1+$BD$2),$AP48="Monthly F",12,$AP48="One-Time",0),AR48*(1+$BD$2))</f>
        <v/>
      </c>
      <c r="AT48" s="14">
        <f t="array" ref="AT48">IFERROR(_xlfn.IFS(VALUE(MID(AT$5,6,1))&gt;$D$2,0,$AP48="Annual",1,AS48=12,12,$AP48="Monthly V",AS48*(1+$BD$2),$AP48="Monthly F",12,$AP48="One-Time",0),AS48*(1+$BD$2))</f>
        <v/>
      </c>
      <c r="AU48" s="14">
        <f t="array" ref="AU48">IFERROR(_xlfn.IFS(VALUE(MID(AU$5,6,1))&gt;$D$2,0,$AP48="Annual",1,AT48=12,12,$AP48="Monthly V",AT48*(1+$BD$2),$AP48="Monthly F",12,$AP48="One-Time",0),AT48*(1+$BD$2))</f>
        <v/>
      </c>
      <c r="AV48" s="14">
        <f t="array" ref="AV48">IFERROR(_xlfn.IFS(VALUE(MID(AV$5,6,1))&gt;$D$2,0,$AP48="Annual",1,AU48=12,12,$AP48="Monthly V",AU48*(1+$BD$2),$AP48="Monthly F",12,$AP48="One-Time",0),AU48*(1+$BD$2))</f>
        <v/>
      </c>
      <c r="AW48" s="14">
        <f t="array" ref="AW48">IFERROR(_xlfn.IFS(VALUE(MID(AW$5,6,1))&gt;$D$2,0,$AP48="Annual",1,AV48=12,12,$AP48="Monthly V",AV48*(1+$BD$2),$AP48="Monthly F",12,$AP48="One-Time",0),AV48*(1+$BD$2))</f>
        <v/>
      </c>
      <c r="AX48" s="14">
        <f t="array" ref="AX48">IFERROR(_xlfn.IFS(VALUE(MID(AX$5,6,1))&gt;$D$2,0,$AP48="Annual",1,AW48=12,12,$AP48="Monthly V",AW48*(1+$BD$2),$AP48="Monthly F",12,$AP48="One-Time",0),AW48*(1+$BD$2))</f>
        <v/>
      </c>
      <c r="AY48" s="14">
        <f t="array" ref="AY48">IFERROR(_xlfn.IFS(VALUE(MID(AY$5,6,1))&gt;$D$2,0,$AP48="Annual",1,AX48=12,12,$AP48="Monthly V",AX48*(1+$D$3),$AP48="Monthly F",12,$AP48="One-Time",0),AX48*(1+$D$3))</f>
        <v/>
      </c>
      <c r="AZ48" s="14">
        <f t="array" ref="AZ48">IFERROR(_xlfn.IFS(VALUE(MID(AZ$5,6,1))&gt;$D$2,0,$AP48="Annual",1,AY48=12,12,$AP48="Monthly V",AY48*(1+$D$3),$AP48="Monthly F",12,$AP48="One-Time",0),AY48*(1+$D$3))</f>
        <v/>
      </c>
      <c r="BA48" s="125">
        <f t="array" ref="BA48">IFERROR(_xlfn.IFS(VALUE(MID(BA$5,6,2))&gt;$D$2,0,$AP48="Annual",1,AZ48=12,12,$AP48="Monthly V",AZ48*(1+$D$3),$AP48="Monthly F",12,$AP48="One-Time",0),AZ48*(1+$D$3))</f>
        <v/>
      </c>
      <c r="BB48" s="148" t="inlineStr">
        <is>
          <t>Instant Issue JHA Debit Processing</t>
        </is>
      </c>
      <c r="BC48" s="38" t="inlineStr">
        <is>
          <t>Card Processing Solutions (CPS)</t>
        </is>
      </c>
      <c r="BD48" s="36" t="n">
        <v>75</v>
      </c>
      <c r="BE48" s="21">
        <f>BF48/12</f>
        <v/>
      </c>
      <c r="BF48" s="39">
        <f>IFERROR(AR48*$BD48,0)</f>
        <v/>
      </c>
      <c r="BG48" s="39">
        <f>IFERROR(AS48*$BD48,0)</f>
        <v/>
      </c>
      <c r="BH48" s="39">
        <f>IFERROR(AT48*$BD48,0)</f>
        <v/>
      </c>
      <c r="BI48" s="39">
        <f>BH48*1.03</f>
        <v/>
      </c>
      <c r="BJ48" s="39">
        <f>BI48*1.03</f>
        <v/>
      </c>
      <c r="BK48" s="39">
        <f>BJ48*1.03</f>
        <v/>
      </c>
      <c r="BL48" s="39">
        <f>BK48*1.03</f>
        <v/>
      </c>
      <c r="BM48" s="39">
        <f>IFERROR(AY48*$BD48,0)</f>
        <v/>
      </c>
      <c r="BN48" s="39">
        <f>IFERROR(AZ48*$BD48,0)</f>
        <v/>
      </c>
      <c r="BO48" s="39">
        <f>IFERROR(BA48*$BD48,0)</f>
        <v/>
      </c>
      <c r="BP48" s="40" t="n"/>
      <c r="BQ48" s="40">
        <f>IF(VALUE(MID(BQ$5,6,1))&lt;=$D$2,((1+$BD$3)^1-1)*BG48,0)</f>
        <v/>
      </c>
      <c r="BR48" s="40">
        <f>IF(VALUE(MID(BR$5,6,1))&lt;=$D$2,((1+$BD$3)^2-1)*BH48,0)</f>
        <v/>
      </c>
      <c r="BS48" s="40">
        <f>IF(VALUE(MID(BS$5,6,1))&lt;=$D$2,((1+$BD$3)^3-1)*BI48,0)</f>
        <v/>
      </c>
      <c r="BT48" s="40">
        <f>IF(VALUE(MID(BT$5,6,1))&lt;=$D$2,((1+$BD$3)^4-1)*BJ48,0)</f>
        <v/>
      </c>
      <c r="BU48" s="40">
        <f>IF(VALUE(MID(BU$5,6,1))&lt;=$D$2,((1+$BD$3)^5-1)*BK48,0)</f>
        <v/>
      </c>
      <c r="BV48" s="40">
        <f>IF(VALUE(MID(BV$5,6,1))&lt;=$D$2,((1+$BD$3)^6-1)*BL48,0)</f>
        <v/>
      </c>
      <c r="BW48" s="40">
        <f>IF(VALUE(MID(BW$5,6,1))&lt;=$D$2,((1+$BD$3)^7-1)*BM48,0)</f>
        <v/>
      </c>
      <c r="BX48" s="40">
        <f>IF(VALUE(MID(BX$5,6,1))&lt;=$D$2,((1+$BD$3)^8-1)*BN48,0)</f>
        <v/>
      </c>
      <c r="BY48" s="40">
        <f>IF(VALUE(MID(BY$5,6,2))&lt;=$D$2,((1+$BD$3)^9-1)*BO48,0)</f>
        <v/>
      </c>
      <c r="BZ48" s="40">
        <f>SUM(BP48:BY48)</f>
        <v/>
      </c>
      <c r="CA48" s="37">
        <f>SUM(BZ48,BF48:BO48)</f>
        <v/>
      </c>
      <c r="CC48" s="102" t="n"/>
      <c r="CD48" s="12" t="n"/>
      <c r="CE48" s="14">
        <f>IF($CC48="Annual",1,IF($CC48="Monthly F",12,IF($CC48="Monthly V",CD48*12,IF($CC48="One-Time",1,CD48*12))))</f>
        <v/>
      </c>
      <c r="CF48" s="14">
        <f t="array" ref="CF48">IFERROR(_xlfn.IFS(VALUE(MID(CF$5,6,1))&gt;$D$2,0,$CC48="Annual",1,CE48=12,12,$CC48="Monthly V",CE48*(1+$D$3),$CC48="Monthly F",12,$CC48="One-Time",0),CE48*(1+$D$3))</f>
        <v/>
      </c>
      <c r="CG48" s="14">
        <f t="array" ref="CG48">IFERROR(_xlfn.IFS(VALUE(MID(CG$5,6,1))&gt;$D$2,0,$CC48="Annual",1,CF48=12,12,$CC48="Monthly V",CF48*(1+$D$3),$CC48="Monthly F",12,$CC48="One-Time",0),CF48*(1+$D$3))</f>
        <v/>
      </c>
      <c r="CH48" s="14">
        <f t="array" ref="CH48">IFERROR(_xlfn.IFS(VALUE(MID(CH$5,6,1))&gt;$D$2,0,$CC48="Annual",1,CG48=12,12,$CC48="Monthly V",CG48*(1+$D$3),$CC48="Monthly F",12,$CC48="One-Time",0),CG48*(1+$D$3))</f>
        <v/>
      </c>
      <c r="CI48" s="14">
        <f t="array" ref="CI48">IFERROR(_xlfn.IFS(VALUE(MID(CI$5,6,1))&gt;$D$2,0,$CC48="Annual",1,CH48=12,12,$CC48="Monthly V",CH48*(1+$D$3),$CC48="Monthly F",12,$CC48="One-Time",0),CH48*(1+$D$3))</f>
        <v/>
      </c>
      <c r="CJ48" s="14">
        <f t="array" ref="CJ48">IFERROR(_xlfn.IFS(VALUE(MID(CJ$5,6,1))&gt;$D$2,0,$CC48="Annual",1,CI48=12,12,$CC48="Monthly V",CI48*(1+$D$3),$CC48="Monthly F",12,$CC48="One-Time",0),CI48*(1+$D$3))</f>
        <v/>
      </c>
      <c r="CK48" s="14">
        <f t="array" ref="CK48">IFERROR(_xlfn.IFS(VALUE(MID(CK$5,6,1))&gt;$D$2,0,$CC48="Annual",1,CJ48=12,12,$CC48="Monthly V",CJ48*(1+$D$3),$CC48="Monthly F",12,$CC48="One-Time",0),CJ48*(1+$D$3))</f>
        <v/>
      </c>
      <c r="CL48" s="14">
        <f t="array" ref="CL48">IFERROR(_xlfn.IFS(VALUE(MID(CL$5,6,1))&gt;$D$2,0,$CC48="Annual",1,CK48=12,12,$CC48="Monthly V",CK48*(1+$D$3),$CC48="Monthly F",12,$CC48="One-Time",0),CK48*(1+$D$3))</f>
        <v/>
      </c>
      <c r="CM48" s="14">
        <f t="array" ref="CM48">IFERROR(_xlfn.IFS(VALUE(MID(CM$5,6,1))&gt;$D$2,0,$CC48="Annual",1,CL48=12,12,$CC48="Monthly V",CL48*(1+$D$3),$CC48="Monthly F",12,$CC48="One-Time",0),CL48*(1+$D$3))</f>
        <v/>
      </c>
      <c r="CN48" s="24">
        <f t="array" ref="CN48">IFERROR(_xlfn.IFS(VALUE(MID(CN$5,6,2))&gt;$D$2,0,$CC48="Annual",1,CM48=12,12,$CC48="Monthly V",CM48*(1+$D$3),$CC48="Monthly F",12,$CC48="One-Time",0),CM48*(1+$D$3))</f>
        <v/>
      </c>
      <c r="CO48" s="63" t="n"/>
      <c r="CP48" s="53" t="n"/>
      <c r="CQ48" s="21">
        <f>CR48/12</f>
        <v/>
      </c>
      <c r="CR48" s="55">
        <f>IFERROR(CE48*$CP48,0)</f>
        <v/>
      </c>
      <c r="CS48" s="55">
        <f>IFERROR(CF48*$CP48,0)</f>
        <v/>
      </c>
      <c r="CT48" s="55">
        <f>IFERROR(CG48*$CP48,0)</f>
        <v/>
      </c>
      <c r="CU48" s="55">
        <f>IFERROR(CH48*$CP48,0)</f>
        <v/>
      </c>
      <c r="CV48" s="55">
        <f>IFERROR(CI48*$CP48,0)</f>
        <v/>
      </c>
      <c r="CW48" s="55">
        <f>IFERROR(CJ48*$CP48,0)</f>
        <v/>
      </c>
      <c r="CX48" s="55">
        <f>IFERROR(CK48*$CP48,0)</f>
        <v/>
      </c>
      <c r="CY48" s="55">
        <f>IFERROR(CL48*$CP48,0)</f>
        <v/>
      </c>
      <c r="CZ48" s="55">
        <f>IFERROR(CM48*$CP48,0)</f>
        <v/>
      </c>
      <c r="DA48" s="55">
        <f>IFERROR(CN48*$CP48,0)</f>
        <v/>
      </c>
      <c r="DB48" s="56" t="n"/>
      <c r="DC48" s="56">
        <f>IF(VALUE(MID(DC$5,6,1))&lt;=$D$2,((1+$CP$3)^1-1)*CS48,0)</f>
        <v/>
      </c>
      <c r="DD48" s="56">
        <f>IF(VALUE(MID(DD$5,6,1))&lt;=$D$2,((1+$CP$3)^2-1)*CT48,0)</f>
        <v/>
      </c>
      <c r="DE48" s="56">
        <f>IF(VALUE(MID(DE$5,6,1))&lt;=$D$2,((1+$CP$3)^3-1)*CU48,0)</f>
        <v/>
      </c>
      <c r="DF48" s="56">
        <f>IF(VALUE(MID(DF$5,6,1))&lt;=$D$2,((1+$CP$3)^4-1)*CV48,0)</f>
        <v/>
      </c>
      <c r="DG48" s="56">
        <f>IF(VALUE(MID(DG$5,6,1))&lt;=$D$2,((1+$CP$3)^5-1)*CW48,0)</f>
        <v/>
      </c>
      <c r="DH48" s="56">
        <f>IF(VALUE(MID(DH$5,6,1))&lt;=$D$2,((1+$CP$3)^6-1)*CX48,0)</f>
        <v/>
      </c>
      <c r="DI48" s="56">
        <f>IF(VALUE(MID(DI$5,6,1))&lt;=$D$2,((1+$CP$3)^7-1)*CY48,0)</f>
        <v/>
      </c>
      <c r="DJ48" s="56">
        <f>IF(VALUE(MID(DJ$5,6,1))&lt;=$D$2,((1+$CP$3)^8-1)*CZ48,0)</f>
        <v/>
      </c>
      <c r="DK48" s="56">
        <f>IF(VALUE(MID(DK$5,6,2))&lt;=$D$2,((1+$CP$3)^9-1)*DA48,0)</f>
        <v/>
      </c>
      <c r="DL48" s="57">
        <f>SUM(DB48:DK48)</f>
        <v/>
      </c>
      <c r="DM48" s="54">
        <f>SUM(DL48,CR48:DA48)</f>
        <v/>
      </c>
      <c r="DO48" s="106" t="n"/>
    </row>
    <row r="49">
      <c r="B49" s="141" t="inlineStr">
        <is>
          <t>Monthly V</t>
        </is>
      </c>
      <c r="C49" s="24" t="n">
        <v>50</v>
      </c>
      <c r="D49" s="147">
        <f>IFERROR(AVERAGE(C49:C49),0)</f>
        <v/>
      </c>
      <c r="E49" s="142">
        <f>IF($B49="Annual",1,IF($B49="Monthly F",12,IF($B49="Monthly V",D49*12,IF($B49="One-Time",1,D49*12))))</f>
        <v/>
      </c>
      <c r="F49" s="14">
        <f t="array" ref="F49">IFERROR(_xlfn.IFS(VALUE(MID(F$5,6,1))&gt;$D$2,0,$B49="Annual",1,E49=12,12,$B49="Monthly V",E49*(1+$D$3),$B49="Monthly F",12,$B49="One-Time",0),E49*(1+$D$3))</f>
        <v/>
      </c>
      <c r="G49" s="14">
        <f t="array" ref="G49">IFERROR(_xlfn.IFS(VALUE(MID(G$5,6,1))&gt;$D$2,0,$B49="Annual",1,F49=12,12,$B49="Monthly V",F49*(1+$D$3),$B49="Monthly F",12,$B49="One-Time",0),F49*(1+$D$3))</f>
        <v/>
      </c>
      <c r="H49" s="14">
        <f t="array" ref="H49">IFERROR(_xlfn.IFS(VALUE(MID(H$5,6,1))&gt;$D$2,0,$B49="Annual",1,G49=12,12,$B49="Monthly V",G49*(1+$D$3),$B49="Monthly F",12,$B49="One-Time",0),G49*(1+$D$3))</f>
        <v/>
      </c>
      <c r="I49" s="14">
        <f t="array" ref="I49">IFERROR(_xlfn.IFS(VALUE(MID(I$5,6,1))&gt;$D$2,0,$B49="Annual",1,H49=12,12,$B49="Monthly V",H49*(1+$D$3),$B49="Monthly F",12,$B49="One-Time",0),H49*(1+$D$3))</f>
        <v/>
      </c>
      <c r="J49" s="14">
        <f t="array" ref="J49">IFERROR(_xlfn.IFS(VALUE(MID(J$5,6,1))&gt;$D$2,0,$B49="Annual",1,I49=12,12,$B49="Monthly V",I49*(1+$D$3),$B49="Monthly F",12,$B49="One-Time",0),I49*(1+$D$3))</f>
        <v/>
      </c>
      <c r="K49" s="14">
        <f t="array" ref="K49">IFERROR(_xlfn.IFS(VALUE(MID(K$5,6,1))&gt;$D$2,0,$B49="Annual",1,J49=12,12,$B49="Monthly V",J49*(1+$D$3),$B49="Monthly F",12,$B49="One-Time",0),J49*(1+$D$3))</f>
        <v/>
      </c>
      <c r="L49" s="14">
        <f t="array" ref="L49">IFERROR(_xlfn.IFS(VALUE(MID(L$5,6,1))&gt;$D$2,0,$B49="Annual",1,K49=12,12,$B49="Monthly V",K49*(1+$D$3),$B49="Monthly F",12,$B49="One-Time",0),K49*(1+$D$3))</f>
        <v/>
      </c>
      <c r="M49" s="14">
        <f t="array" ref="M49">IFERROR(_xlfn.IFS(VALUE(MID(M$5,6,1))&gt;$D$2,0,$B49="Annual",1,L49=12,12,$B49="Monthly V",L49*(1+$D$3),$B49="Monthly F",12,$B49="One-Time",0),L49*(1+$D$3))</f>
        <v/>
      </c>
      <c r="N49" s="24">
        <f t="array" ref="N49">IFERROR(_xlfn.IFS(VALUE(MID(N$5,6,2))&gt;$D$2,0,$B49="Annual",1,M49=12,12,$B49="Monthly V",M49*(1+$D$3),$B49="Monthly F",12,$B49="One-Time",0),M49*(1+$D$3))</f>
        <v/>
      </c>
      <c r="O49" s="127" t="inlineStr">
        <is>
          <t>Email Notices</t>
        </is>
      </c>
      <c r="P49" s="13" t="inlineStr">
        <is>
          <t>ATM/EFT</t>
        </is>
      </c>
      <c r="Q49" s="20" t="n">
        <v>1</v>
      </c>
      <c r="R49" s="21">
        <f>S49/12</f>
        <v/>
      </c>
      <c r="S49" s="6">
        <f>IFERROR($Q49*E49,0)</f>
        <v/>
      </c>
      <c r="T49" s="6">
        <f>IFERROR($Q49*F49,0)</f>
        <v/>
      </c>
      <c r="U49" s="6">
        <f>IFERROR($Q49*G49,0)</f>
        <v/>
      </c>
      <c r="V49" s="6">
        <f>IFERROR($Q49*H49,0)</f>
        <v/>
      </c>
      <c r="W49" s="6">
        <f>IFERROR($Q49*I49,0)</f>
        <v/>
      </c>
      <c r="X49" s="6">
        <f>IFERROR($Q49*J49,0)</f>
        <v/>
      </c>
      <c r="Y49" s="6">
        <f>IFERROR($Q49*K49,0)</f>
        <v/>
      </c>
      <c r="Z49" s="6">
        <f>IFERROR($Q49*L49,0)</f>
        <v/>
      </c>
      <c r="AA49" s="6">
        <f>IFERROR($Q49*M49,0)</f>
        <v/>
      </c>
      <c r="AB49" s="6">
        <f>IFERROR($Q49*N49,0)</f>
        <v/>
      </c>
      <c r="AC49" s="7" t="n"/>
      <c r="AD49" s="152">
        <f>IF(VALUE(MID(AD$5,6,1))&lt;=$D$2,((1+$Q$3)^1-1)*T49,0)</f>
        <v/>
      </c>
      <c r="AE49" s="152">
        <f>IF(VALUE(MID(AE$5,6,1))&lt;=$D$2,((1+$Q$3)^2-1)*U49,0)</f>
        <v/>
      </c>
      <c r="AF49" s="152">
        <f>IF(VALUE(MID(AF$5,6,1))&lt;=$D$2,((1+$Q$3)^3-1)*V49,0)</f>
        <v/>
      </c>
      <c r="AG49" s="152">
        <f>IF(VALUE(MID(AG$5,6,1))&lt;=$D$2,((1+$Q$3)^4-1)*W49,0)</f>
        <v/>
      </c>
      <c r="AH49" s="152">
        <f>IF(VALUE(MID(AH$5,6,1))&lt;=$D$2,((1+$Q$3)^5-1)*X49,0)</f>
        <v/>
      </c>
      <c r="AI49" s="152">
        <f>IF(VALUE(MID(AI$5,6,1))&lt;=$D$2,((1+$Q$3)^6-1)*Y49,0)</f>
        <v/>
      </c>
      <c r="AJ49" s="152">
        <f>IF(VALUE(MID(AJ$5,6,1))&lt;=$D$2,((1+$Q$3)^7-1)*Z49,0)</f>
        <v/>
      </c>
      <c r="AK49" s="152">
        <f>IF(VALUE(MID(AK$5,6,1))&lt;=$D$2,((1+$Q$3)^8-1)*AA49,0)</f>
        <v/>
      </c>
      <c r="AL49" s="152">
        <f>IF(VALUE(MID(AL$5,6,2))&lt;=$D$2,((1+$Q$3)^9-1)*AB49,0)</f>
        <v/>
      </c>
      <c r="AM49" s="9">
        <f>SUM(AC49:AL49)</f>
        <v/>
      </c>
      <c r="AN49" s="80">
        <f>SUM(AM49,S49:AB49)</f>
        <v/>
      </c>
      <c r="AP49" s="102" t="inlineStr">
        <is>
          <t>Monthly F</t>
        </is>
      </c>
      <c r="AQ49" s="12" t="n">
        <v>1</v>
      </c>
      <c r="AR49" s="14">
        <f>IF($AP49="Annual",1,IF($AP49="Monthly F",12,IF($AP49="Monthly V",AQ49*12,IF($AP49="One-Time",1,AQ49*12))))</f>
        <v/>
      </c>
      <c r="AS49" s="14">
        <f t="array" ref="AS49">IFERROR(_xlfn.IFS(VALUE(MID(AS$5,6,1))&gt;$D$2,0,$AP49="Annual",1,AR49=12,12,$AP49="Monthly V",AR49*(1+$BD$2),$AP49="Monthly F",12,$AP49="One-Time",0),AR49*(1+$BD$2))</f>
        <v/>
      </c>
      <c r="AT49" s="14">
        <f t="array" ref="AT49">IFERROR(_xlfn.IFS(VALUE(MID(AT$5,6,1))&gt;$D$2,0,$AP49="Annual",1,AS49=12,12,$AP49="Monthly V",AS49*(1+$BD$2),$AP49="Monthly F",12,$AP49="One-Time",0),AS49*(1+$BD$2))</f>
        <v/>
      </c>
      <c r="AU49" s="14">
        <f t="array" ref="AU49">IFERROR(_xlfn.IFS(VALUE(MID(AU$5,6,1))&gt;$D$2,0,$AP49="Annual",1,AT49=12,12,$AP49="Monthly V",AT49*(1+$BD$2),$AP49="Monthly F",12,$AP49="One-Time",0),AT49*(1+$BD$2))</f>
        <v/>
      </c>
      <c r="AV49" s="14">
        <f t="array" ref="AV49">IFERROR(_xlfn.IFS(VALUE(MID(AV$5,6,1))&gt;$D$2,0,$AP49="Annual",1,AU49=12,12,$AP49="Monthly V",AU49*(1+$BD$2),$AP49="Monthly F",12,$AP49="One-Time",0),AU49*(1+$BD$2))</f>
        <v/>
      </c>
      <c r="AW49" s="14">
        <f t="array" ref="AW49">IFERROR(_xlfn.IFS(VALUE(MID(AW$5,6,1))&gt;$D$2,0,$AP49="Annual",1,AV49=12,12,$AP49="Monthly V",AV49*(1+$BD$2),$AP49="Monthly F",12,$AP49="One-Time",0),AV49*(1+$BD$2))</f>
        <v/>
      </c>
      <c r="AX49" s="14">
        <f t="array" ref="AX49">IFERROR(_xlfn.IFS(VALUE(MID(AX$5,6,1))&gt;$D$2,0,$AP49="Annual",1,AW49=12,12,$AP49="Monthly V",AW49*(1+$BD$2),$AP49="Monthly F",12,$AP49="One-Time",0),AW49*(1+$BD$2))</f>
        <v/>
      </c>
      <c r="AY49" s="14">
        <f t="array" ref="AY49">IFERROR(_xlfn.IFS(VALUE(MID(AY$5,6,1))&gt;$D$2,0,$AP49="Annual",1,AX49=12,12,$AP49="Monthly V",AX49*(1+$D$3),$AP49="Monthly F",12,$AP49="One-Time",0),AX49*(1+$D$3))</f>
        <v/>
      </c>
      <c r="AZ49" s="14">
        <f t="array" ref="AZ49">IFERROR(_xlfn.IFS(VALUE(MID(AZ$5,6,1))&gt;$D$2,0,$AP49="Annual",1,AY49=12,12,$AP49="Monthly V",AY49*(1+$D$3),$AP49="Monthly F",12,$AP49="One-Time",0),AY49*(1+$D$3))</f>
        <v/>
      </c>
      <c r="BA49" s="125">
        <f t="array" ref="BA49">IFERROR(_xlfn.IFS(VALUE(MID(BA$5,6,2))&gt;$D$2,0,$AP49="Annual",1,AZ49=12,12,$AP49="Monthly V",AZ49*(1+$D$3),$AP49="Monthly F",12,$AP49="One-Time",0),AZ49*(1+$D$3))</f>
        <v/>
      </c>
      <c r="BB49" s="148" t="inlineStr">
        <is>
          <t>Online ATM &amp; Debit Authorization to CPS Switch Includes 7,000 ATM Transactions per month &amp; 2,50</t>
        </is>
      </c>
      <c r="BC49" s="38" t="inlineStr">
        <is>
          <t>Card Processing Solutions (CPS)</t>
        </is>
      </c>
      <c r="BD49" s="36" t="n">
        <v>405</v>
      </c>
      <c r="BE49" s="21">
        <f>BF49/12</f>
        <v/>
      </c>
      <c r="BF49" s="39">
        <f>IFERROR(AR49*$BD49,0)</f>
        <v/>
      </c>
      <c r="BG49" s="39">
        <f>IFERROR(AS49*$BD49,0)</f>
        <v/>
      </c>
      <c r="BH49" s="39">
        <f>IFERROR(AT49*$BD49,0)</f>
        <v/>
      </c>
      <c r="BI49" s="39">
        <f>BH49*1.03</f>
        <v/>
      </c>
      <c r="BJ49" s="39">
        <f>BI49*1.03</f>
        <v/>
      </c>
      <c r="BK49" s="39">
        <f>BJ49*1.03</f>
        <v/>
      </c>
      <c r="BL49" s="39">
        <f>BK49*1.03</f>
        <v/>
      </c>
      <c r="BM49" s="39">
        <f>IFERROR(AY49*$BD49,0)</f>
        <v/>
      </c>
      <c r="BN49" s="39">
        <f>IFERROR(AZ49*$BD49,0)</f>
        <v/>
      </c>
      <c r="BO49" s="39">
        <f>IFERROR(BA49*$BD49,0)</f>
        <v/>
      </c>
      <c r="BP49" s="40" t="n"/>
      <c r="BQ49" s="40">
        <f>IF(VALUE(MID(BQ$5,6,1))&lt;=$D$2,((1+$BD$3)^1-1)*BG49,0)</f>
        <v/>
      </c>
      <c r="BR49" s="40">
        <f>IF(VALUE(MID(BR$5,6,1))&lt;=$D$2,((1+$BD$3)^2-1)*BH49,0)</f>
        <v/>
      </c>
      <c r="BS49" s="40">
        <f>IF(VALUE(MID(BS$5,6,1))&lt;=$D$2,((1+$BD$3)^3-1)*BI49,0)</f>
        <v/>
      </c>
      <c r="BT49" s="40">
        <f>IF(VALUE(MID(BT$5,6,1))&lt;=$D$2,((1+$BD$3)^4-1)*BJ49,0)</f>
        <v/>
      </c>
      <c r="BU49" s="40">
        <f>IF(VALUE(MID(BU$5,6,1))&lt;=$D$2,((1+$BD$3)^5-1)*BK49,0)</f>
        <v/>
      </c>
      <c r="BV49" s="40">
        <f>IF(VALUE(MID(BV$5,6,1))&lt;=$D$2,((1+$BD$3)^6-1)*BL49,0)</f>
        <v/>
      </c>
      <c r="BW49" s="40">
        <f>IF(VALUE(MID(BW$5,6,1))&lt;=$D$2,((1+$BD$3)^7-1)*BM49,0)</f>
        <v/>
      </c>
      <c r="BX49" s="40">
        <f>IF(VALUE(MID(BX$5,6,1))&lt;=$D$2,((1+$BD$3)^8-1)*BN49,0)</f>
        <v/>
      </c>
      <c r="BY49" s="40">
        <f>IF(VALUE(MID(BY$5,6,2))&lt;=$D$2,((1+$BD$3)^9-1)*BO49,0)</f>
        <v/>
      </c>
      <c r="BZ49" s="40">
        <f>SUM(BP49:BY49)</f>
        <v/>
      </c>
      <c r="CA49" s="37">
        <f>SUM(BZ49,BF49:BO49)</f>
        <v/>
      </c>
      <c r="CC49" s="102" t="n"/>
      <c r="CD49" s="12" t="n"/>
      <c r="CE49" s="14">
        <f>IF($CC49="Annual",1,IF($CC49="Monthly F",12,IF($CC49="Monthly V",CD49*12,IF($CC49="One-Time",1,CD49*12))))</f>
        <v/>
      </c>
      <c r="CF49" s="14">
        <f t="array" ref="CF49">IFERROR(_xlfn.IFS(VALUE(MID(CF$5,6,1))&gt;$D$2,0,$CC49="Annual",1,CE49=12,12,$CC49="Monthly V",CE49*(1+$D$3),$CC49="Monthly F",12,$CC49="One-Time",0),CE49*(1+$D$3))</f>
        <v/>
      </c>
      <c r="CG49" s="14">
        <f t="array" ref="CG49">IFERROR(_xlfn.IFS(VALUE(MID(CG$5,6,1))&gt;$D$2,0,$CC49="Annual",1,CF49=12,12,$CC49="Monthly V",CF49*(1+$D$3),$CC49="Monthly F",12,$CC49="One-Time",0),CF49*(1+$D$3))</f>
        <v/>
      </c>
      <c r="CH49" s="14">
        <f t="array" ref="CH49">IFERROR(_xlfn.IFS(VALUE(MID(CH$5,6,1))&gt;$D$2,0,$CC49="Annual",1,CG49=12,12,$CC49="Monthly V",CG49*(1+$D$3),$CC49="Monthly F",12,$CC49="One-Time",0),CG49*(1+$D$3))</f>
        <v/>
      </c>
      <c r="CI49" s="14">
        <f t="array" ref="CI49">IFERROR(_xlfn.IFS(VALUE(MID(CI$5,6,1))&gt;$D$2,0,$CC49="Annual",1,CH49=12,12,$CC49="Monthly V",CH49*(1+$D$3),$CC49="Monthly F",12,$CC49="One-Time",0),CH49*(1+$D$3))</f>
        <v/>
      </c>
      <c r="CJ49" s="14">
        <f t="array" ref="CJ49">IFERROR(_xlfn.IFS(VALUE(MID(CJ$5,6,1))&gt;$D$2,0,$CC49="Annual",1,CI49=12,12,$CC49="Monthly V",CI49*(1+$D$3),$CC49="Monthly F",12,$CC49="One-Time",0),CI49*(1+$D$3))</f>
        <v/>
      </c>
      <c r="CK49" s="14">
        <f t="array" ref="CK49">IFERROR(_xlfn.IFS(VALUE(MID(CK$5,6,1))&gt;$D$2,0,$CC49="Annual",1,CJ49=12,12,$CC49="Monthly V",CJ49*(1+$D$3),$CC49="Monthly F",12,$CC49="One-Time",0),CJ49*(1+$D$3))</f>
        <v/>
      </c>
      <c r="CL49" s="14">
        <f t="array" ref="CL49">IFERROR(_xlfn.IFS(VALUE(MID(CL$5,6,1))&gt;$D$2,0,$CC49="Annual",1,CK49=12,12,$CC49="Monthly V",CK49*(1+$D$3),$CC49="Monthly F",12,$CC49="One-Time",0),CK49*(1+$D$3))</f>
        <v/>
      </c>
      <c r="CM49" s="14">
        <f t="array" ref="CM49">IFERROR(_xlfn.IFS(VALUE(MID(CM$5,6,1))&gt;$D$2,0,$CC49="Annual",1,CL49=12,12,$CC49="Monthly V",CL49*(1+$D$3),$CC49="Monthly F",12,$CC49="One-Time",0),CL49*(1+$D$3))</f>
        <v/>
      </c>
      <c r="CN49" s="24">
        <f t="array" ref="CN49">IFERROR(_xlfn.IFS(VALUE(MID(CN$5,6,2))&gt;$D$2,0,$CC49="Annual",1,CM49=12,12,$CC49="Monthly V",CM49*(1+$D$3),$CC49="Monthly F",12,$CC49="One-Time",0),CM49*(1+$D$3))</f>
        <v/>
      </c>
      <c r="CO49" s="63" t="n"/>
      <c r="CP49" s="53" t="n"/>
      <c r="CQ49" s="21">
        <f>CR49/12</f>
        <v/>
      </c>
      <c r="CR49" s="55">
        <f>IFERROR(CE49*$CP49,0)</f>
        <v/>
      </c>
      <c r="CS49" s="55">
        <f>IFERROR(CF49*$CP49,0)</f>
        <v/>
      </c>
      <c r="CT49" s="55">
        <f>IFERROR(CG49*$CP49,0)</f>
        <v/>
      </c>
      <c r="CU49" s="55">
        <f>IFERROR(CH49*$CP49,0)</f>
        <v/>
      </c>
      <c r="CV49" s="55">
        <f>IFERROR(CI49*$CP49,0)</f>
        <v/>
      </c>
      <c r="CW49" s="55">
        <f>IFERROR(CJ49*$CP49,0)</f>
        <v/>
      </c>
      <c r="CX49" s="55">
        <f>IFERROR(CK49*$CP49,0)</f>
        <v/>
      </c>
      <c r="CY49" s="55">
        <f>IFERROR(CL49*$CP49,0)</f>
        <v/>
      </c>
      <c r="CZ49" s="55">
        <f>IFERROR(CM49*$CP49,0)</f>
        <v/>
      </c>
      <c r="DA49" s="55">
        <f>IFERROR(CN49*$CP49,0)</f>
        <v/>
      </c>
      <c r="DB49" s="56" t="n"/>
      <c r="DC49" s="56">
        <f>IF(VALUE(MID(DC$5,6,1))&lt;=$D$2,((1+$CP$3)^1-1)*CS49,0)</f>
        <v/>
      </c>
      <c r="DD49" s="56">
        <f>IF(VALUE(MID(DD$5,6,1))&lt;=$D$2,((1+$CP$3)^2-1)*CT49,0)</f>
        <v/>
      </c>
      <c r="DE49" s="56">
        <f>IF(VALUE(MID(DE$5,6,1))&lt;=$D$2,((1+$CP$3)^3-1)*CU49,0)</f>
        <v/>
      </c>
      <c r="DF49" s="56">
        <f>IF(VALUE(MID(DF$5,6,1))&lt;=$D$2,((1+$CP$3)^4-1)*CV49,0)</f>
        <v/>
      </c>
      <c r="DG49" s="56">
        <f>IF(VALUE(MID(DG$5,6,1))&lt;=$D$2,((1+$CP$3)^5-1)*CW49,0)</f>
        <v/>
      </c>
      <c r="DH49" s="56">
        <f>IF(VALUE(MID(DH$5,6,1))&lt;=$D$2,((1+$CP$3)^6-1)*CX49,0)</f>
        <v/>
      </c>
      <c r="DI49" s="56">
        <f>IF(VALUE(MID(DI$5,6,1))&lt;=$D$2,((1+$CP$3)^7-1)*CY49,0)</f>
        <v/>
      </c>
      <c r="DJ49" s="56">
        <f>IF(VALUE(MID(DJ$5,6,1))&lt;=$D$2,((1+$CP$3)^8-1)*CZ49,0)</f>
        <v/>
      </c>
      <c r="DK49" s="56">
        <f>IF(VALUE(MID(DK$5,6,2))&lt;=$D$2,((1+$CP$3)^9-1)*DA49,0)</f>
        <v/>
      </c>
      <c r="DL49" s="57">
        <f>SUM(DB49:DK49)</f>
        <v/>
      </c>
      <c r="DM49" s="54">
        <f>SUM(DL49,CR49:DA49)</f>
        <v/>
      </c>
      <c r="DO49" s="106" t="n"/>
    </row>
    <row r="50">
      <c r="B50" s="141" t="inlineStr">
        <is>
          <t>Monthly V</t>
        </is>
      </c>
      <c r="C50" s="24" t="n">
        <v>50</v>
      </c>
      <c r="D50" s="147">
        <f>IFERROR(AVERAGE(C50:C50),0)</f>
        <v/>
      </c>
      <c r="E50" s="142">
        <f>IF($B50="Annual",1,IF($B50="Monthly F",12,IF($B50="Monthly V",D50*12,IF($B50="One-Time",1,D50*12))))</f>
        <v/>
      </c>
      <c r="F50" s="14">
        <f t="array" ref="F50">IFERROR(_xlfn.IFS(VALUE(MID(F$5,6,1))&gt;$D$2,0,$B50="Annual",1,E50=12,12,$B50="Monthly V",E50*(1+$D$3),$B50="Monthly F",12,$B50="One-Time",0),E50*(1+$D$3))</f>
        <v/>
      </c>
      <c r="G50" s="14">
        <f t="array" ref="G50">IFERROR(_xlfn.IFS(VALUE(MID(G$5,6,1))&gt;$D$2,0,$B50="Annual",1,F50=12,12,$B50="Monthly V",F50*(1+$D$3),$B50="Monthly F",12,$B50="One-Time",0),F50*(1+$D$3))</f>
        <v/>
      </c>
      <c r="H50" s="14">
        <f t="array" ref="H50">IFERROR(_xlfn.IFS(VALUE(MID(H$5,6,1))&gt;$D$2,0,$B50="Annual",1,G50=12,12,$B50="Monthly V",G50*(1+$D$3),$B50="Monthly F",12,$B50="One-Time",0),G50*(1+$D$3))</f>
        <v/>
      </c>
      <c r="I50" s="14">
        <f t="array" ref="I50">IFERROR(_xlfn.IFS(VALUE(MID(I$5,6,1))&gt;$D$2,0,$B50="Annual",1,H50=12,12,$B50="Monthly V",H50*(1+$D$3),$B50="Monthly F",12,$B50="One-Time",0),H50*(1+$D$3))</f>
        <v/>
      </c>
      <c r="J50" s="14">
        <f t="array" ref="J50">IFERROR(_xlfn.IFS(VALUE(MID(J$5,6,1))&gt;$D$2,0,$B50="Annual",1,I50=12,12,$B50="Monthly V",I50*(1+$D$3),$B50="Monthly F",12,$B50="One-Time",0),I50*(1+$D$3))</f>
        <v/>
      </c>
      <c r="K50" s="14">
        <f t="array" ref="K50">IFERROR(_xlfn.IFS(VALUE(MID(K$5,6,1))&gt;$D$2,0,$B50="Annual",1,J50=12,12,$B50="Monthly V",J50*(1+$D$3),$B50="Monthly F",12,$B50="One-Time",0),J50*(1+$D$3))</f>
        <v/>
      </c>
      <c r="L50" s="14">
        <f t="array" ref="L50">IFERROR(_xlfn.IFS(VALUE(MID(L$5,6,1))&gt;$D$2,0,$B50="Annual",1,K50=12,12,$B50="Monthly V",K50*(1+$D$3),$B50="Monthly F",12,$B50="One-Time",0),K50*(1+$D$3))</f>
        <v/>
      </c>
      <c r="M50" s="14">
        <f t="array" ref="M50">IFERROR(_xlfn.IFS(VALUE(MID(M$5,6,1))&gt;$D$2,0,$B50="Annual",1,L50=12,12,$B50="Monthly V",L50*(1+$D$3),$B50="Monthly F",12,$B50="One-Time",0),L50*(1+$D$3))</f>
        <v/>
      </c>
      <c r="N50" s="24">
        <f t="array" ref="N50">IFERROR(_xlfn.IFS(VALUE(MID(N$5,6,2))&gt;$D$2,0,$B50="Annual",1,M50=12,12,$B50="Monthly V",M50*(1+$D$3),$B50="Monthly F",12,$B50="One-Time",0),M50*(1+$D$3))</f>
        <v/>
      </c>
      <c r="O50" s="127" t="inlineStr">
        <is>
          <t>SMS Notices</t>
        </is>
      </c>
      <c r="P50" s="13" t="inlineStr">
        <is>
          <t>ATM/EFT</t>
        </is>
      </c>
      <c r="Q50" s="20" t="n">
        <v>3</v>
      </c>
      <c r="R50" s="21">
        <f>S50/12</f>
        <v/>
      </c>
      <c r="S50" s="6">
        <f>IFERROR($Q50*E50,0)</f>
        <v/>
      </c>
      <c r="T50" s="6">
        <f>IFERROR($Q50*F50,0)</f>
        <v/>
      </c>
      <c r="U50" s="6">
        <f>IFERROR($Q50*G50,0)</f>
        <v/>
      </c>
      <c r="V50" s="6">
        <f>IFERROR($Q50*H50,0)</f>
        <v/>
      </c>
      <c r="W50" s="6">
        <f>IFERROR($Q50*I50,0)</f>
        <v/>
      </c>
      <c r="X50" s="6">
        <f>IFERROR($Q50*J50,0)</f>
        <v/>
      </c>
      <c r="Y50" s="6">
        <f>IFERROR($Q50*K50,0)</f>
        <v/>
      </c>
      <c r="Z50" s="6">
        <f>IFERROR($Q50*L50,0)</f>
        <v/>
      </c>
      <c r="AA50" s="6">
        <f>IFERROR($Q50*M50,0)</f>
        <v/>
      </c>
      <c r="AB50" s="6">
        <f>IFERROR($Q50*N50,0)</f>
        <v/>
      </c>
      <c r="AC50" s="7" t="n"/>
      <c r="AD50" s="152">
        <f>IF(VALUE(MID(AD$5,6,1))&lt;=$D$2,((1+$Q$3)^1-1)*T50,0)</f>
        <v/>
      </c>
      <c r="AE50" s="152">
        <f>IF(VALUE(MID(AE$5,6,1))&lt;=$D$2,((1+$Q$3)^2-1)*U50,0)</f>
        <v/>
      </c>
      <c r="AF50" s="152">
        <f>IF(VALUE(MID(AF$5,6,1))&lt;=$D$2,((1+$Q$3)^3-1)*V50,0)</f>
        <v/>
      </c>
      <c r="AG50" s="152">
        <f>IF(VALUE(MID(AG$5,6,1))&lt;=$D$2,((1+$Q$3)^4-1)*W50,0)</f>
        <v/>
      </c>
      <c r="AH50" s="152">
        <f>IF(VALUE(MID(AH$5,6,1))&lt;=$D$2,((1+$Q$3)^5-1)*X50,0)</f>
        <v/>
      </c>
      <c r="AI50" s="152">
        <f>IF(VALUE(MID(AI$5,6,1))&lt;=$D$2,((1+$Q$3)^6-1)*Y50,0)</f>
        <v/>
      </c>
      <c r="AJ50" s="152">
        <f>IF(VALUE(MID(AJ$5,6,1))&lt;=$D$2,((1+$Q$3)^7-1)*Z50,0)</f>
        <v/>
      </c>
      <c r="AK50" s="152">
        <f>IF(VALUE(MID(AK$5,6,1))&lt;=$D$2,((1+$Q$3)^8-1)*AA50,0)</f>
        <v/>
      </c>
      <c r="AL50" s="152">
        <f>IF(VALUE(MID(AL$5,6,2))&lt;=$D$2,((1+$Q$3)^9-1)*AB50,0)</f>
        <v/>
      </c>
      <c r="AM50" s="9">
        <f>SUM(AC50:AL50)</f>
        <v/>
      </c>
      <c r="AN50" s="80">
        <f>SUM(AM50,S50:AB50)</f>
        <v/>
      </c>
      <c r="AP50" s="102" t="inlineStr">
        <is>
          <t>Monthly F</t>
        </is>
      </c>
      <c r="AQ50" s="12" t="n">
        <v>1</v>
      </c>
      <c r="AR50" s="14">
        <f>IF($AP50="Annual",1,IF($AP50="Monthly F",12,IF($AP50="Monthly V",AQ50*12,IF($AP50="One-Time",1,AQ50*12))))</f>
        <v/>
      </c>
      <c r="AS50" s="14">
        <f t="array" ref="AS50">IFERROR(_xlfn.IFS(VALUE(MID(AS$5,6,1))&gt;$D$2,0,$AP50="Annual",1,AR50=12,12,$AP50="Monthly V",AR50*(1+$BD$2),$AP50="Monthly F",12,$AP50="One-Time",0),AR50*(1+$BD$2))</f>
        <v/>
      </c>
      <c r="AT50" s="14">
        <f t="array" ref="AT50">IFERROR(_xlfn.IFS(VALUE(MID(AT$5,6,1))&gt;$D$2,0,$AP50="Annual",1,AS50=12,12,$AP50="Monthly V",AS50*(1+$BD$2),$AP50="Monthly F",12,$AP50="One-Time",0),AS50*(1+$BD$2))</f>
        <v/>
      </c>
      <c r="AU50" s="14">
        <f t="array" ref="AU50">IFERROR(_xlfn.IFS(VALUE(MID(AU$5,6,1))&gt;$D$2,0,$AP50="Annual",1,AT50=12,12,$AP50="Monthly V",AT50*(1+$BD$2),$AP50="Monthly F",12,$AP50="One-Time",0),AT50*(1+$BD$2))</f>
        <v/>
      </c>
      <c r="AV50" s="14">
        <f t="array" ref="AV50">IFERROR(_xlfn.IFS(VALUE(MID(AV$5,6,1))&gt;$D$2,0,$AP50="Annual",1,AU50=12,12,$AP50="Monthly V",AU50*(1+$BD$2),$AP50="Monthly F",12,$AP50="One-Time",0),AU50*(1+$BD$2))</f>
        <v/>
      </c>
      <c r="AW50" s="14">
        <f t="array" ref="AW50">IFERROR(_xlfn.IFS(VALUE(MID(AW$5,6,1))&gt;$D$2,0,$AP50="Annual",1,AV50=12,12,$AP50="Monthly V",AV50*(1+$BD$2),$AP50="Monthly F",12,$AP50="One-Time",0),AV50*(1+$BD$2))</f>
        <v/>
      </c>
      <c r="AX50" s="14">
        <f t="array" ref="AX50">IFERROR(_xlfn.IFS(VALUE(MID(AX$5,6,1))&gt;$D$2,0,$AP50="Annual",1,AW50=12,12,$AP50="Monthly V",AW50*(1+$BD$2),$AP50="Monthly F",12,$AP50="One-Time",0),AW50*(1+$BD$2))</f>
        <v/>
      </c>
      <c r="AY50" s="14">
        <f t="array" ref="AY50">IFERROR(_xlfn.IFS(VALUE(MID(AY$5,6,1))&gt;$D$2,0,$AP50="Annual",1,AX50=12,12,$AP50="Monthly V",AX50*(1+$D$3),$AP50="Monthly F",12,$AP50="One-Time",0),AX50*(1+$D$3))</f>
        <v/>
      </c>
      <c r="AZ50" s="14">
        <f t="array" ref="AZ50">IFERROR(_xlfn.IFS(VALUE(MID(AZ$5,6,1))&gt;$D$2,0,$AP50="Annual",1,AY50=12,12,$AP50="Monthly V",AY50*(1+$D$3),$AP50="Monthly F",12,$AP50="One-Time",0),AY50*(1+$D$3))</f>
        <v/>
      </c>
      <c r="BA50" s="125">
        <f t="array" ref="BA50">IFERROR(_xlfn.IFS(VALUE(MID(BA$5,6,2))&gt;$D$2,0,$AP50="Annual",1,AZ50=12,12,$AP50="Monthly V",AZ50*(1+$D$3),$AP50="Monthly F",12,$AP50="One-Time",0),AZ50*(1+$D$3))</f>
        <v/>
      </c>
      <c r="BB50" s="148" t="inlineStr">
        <is>
          <t>JHA PIN Management JHA Debit Processing</t>
        </is>
      </c>
      <c r="BC50" s="38" t="inlineStr">
        <is>
          <t>Card Processing Solutions (CPS)</t>
        </is>
      </c>
      <c r="BD50" s="36" t="n">
        <v>150</v>
      </c>
      <c r="BE50" s="21">
        <f>BF50/12</f>
        <v/>
      </c>
      <c r="BF50" s="39">
        <f>IFERROR(AR50*$BD50,0)</f>
        <v/>
      </c>
      <c r="BG50" s="39">
        <f>IFERROR(AS50*$BD50,0)</f>
        <v/>
      </c>
      <c r="BH50" s="39">
        <f>IFERROR(AT50*$BD50,0)</f>
        <v/>
      </c>
      <c r="BI50" s="39">
        <f>BH50*1.03</f>
        <v/>
      </c>
      <c r="BJ50" s="39">
        <f>BI50*1.03</f>
        <v/>
      </c>
      <c r="BK50" s="39">
        <f>BJ50*1.03</f>
        <v/>
      </c>
      <c r="BL50" s="39">
        <f>BK50*1.03</f>
        <v/>
      </c>
      <c r="BM50" s="39">
        <f>IFERROR(AY50*$BD50,0)</f>
        <v/>
      </c>
      <c r="BN50" s="39">
        <f>IFERROR(AZ50*$BD50,0)</f>
        <v/>
      </c>
      <c r="BO50" s="39">
        <f>IFERROR(BA50*$BD50,0)</f>
        <v/>
      </c>
      <c r="BP50" s="40" t="n"/>
      <c r="BQ50" s="40">
        <f>IF(VALUE(MID(BQ$5,6,1))&lt;=$D$2,((1+$BD$3)^1-1)*BG50,0)</f>
        <v/>
      </c>
      <c r="BR50" s="40">
        <f>IF(VALUE(MID(BR$5,6,1))&lt;=$D$2,((1+$BD$3)^2-1)*BH50,0)</f>
        <v/>
      </c>
      <c r="BS50" s="40">
        <f>IF(VALUE(MID(BS$5,6,1))&lt;=$D$2,((1+$BD$3)^3-1)*BI50,0)</f>
        <v/>
      </c>
      <c r="BT50" s="40">
        <f>IF(VALUE(MID(BT$5,6,1))&lt;=$D$2,((1+$BD$3)^4-1)*BJ50,0)</f>
        <v/>
      </c>
      <c r="BU50" s="40">
        <f>IF(VALUE(MID(BU$5,6,1))&lt;=$D$2,((1+$BD$3)^5-1)*BK50,0)</f>
        <v/>
      </c>
      <c r="BV50" s="40">
        <f>IF(VALUE(MID(BV$5,6,1))&lt;=$D$2,((1+$BD$3)^6-1)*BL50,0)</f>
        <v/>
      </c>
      <c r="BW50" s="40">
        <f>IF(VALUE(MID(BW$5,6,1))&lt;=$D$2,((1+$BD$3)^7-1)*BM50,0)</f>
        <v/>
      </c>
      <c r="BX50" s="40">
        <f>IF(VALUE(MID(BX$5,6,1))&lt;=$D$2,((1+$BD$3)^8-1)*BN50,0)</f>
        <v/>
      </c>
      <c r="BY50" s="40">
        <f>IF(VALUE(MID(BY$5,6,2))&lt;=$D$2,((1+$BD$3)^9-1)*BO50,0)</f>
        <v/>
      </c>
      <c r="BZ50" s="40">
        <f>SUM(BP50:BY50)</f>
        <v/>
      </c>
      <c r="CA50" s="37">
        <f>SUM(BZ50,BF50:BO50)</f>
        <v/>
      </c>
      <c r="CC50" s="102" t="n"/>
      <c r="CD50" s="12" t="n"/>
      <c r="CE50" s="14">
        <f>IF($CC50="Annual",1,IF($CC50="Monthly F",12,IF($CC50="Monthly V",CD50*12,IF($CC50="One-Time",1,CD50*12))))</f>
        <v/>
      </c>
      <c r="CF50" s="14">
        <f t="array" ref="CF50">IFERROR(_xlfn.IFS(VALUE(MID(CF$5,6,1))&gt;$D$2,0,$CC50="Annual",1,CE50=12,12,$CC50="Monthly V",CE50*(1+$D$3),$CC50="Monthly F",12,$CC50="One-Time",0),CE50*(1+$D$3))</f>
        <v/>
      </c>
      <c r="CG50" s="14">
        <f t="array" ref="CG50">IFERROR(_xlfn.IFS(VALUE(MID(CG$5,6,1))&gt;$D$2,0,$CC50="Annual",1,CF50=12,12,$CC50="Monthly V",CF50*(1+$D$3),$CC50="Monthly F",12,$CC50="One-Time",0),CF50*(1+$D$3))</f>
        <v/>
      </c>
      <c r="CH50" s="14">
        <f t="array" ref="CH50">IFERROR(_xlfn.IFS(VALUE(MID(CH$5,6,1))&gt;$D$2,0,$CC50="Annual",1,CG50=12,12,$CC50="Monthly V",CG50*(1+$D$3),$CC50="Monthly F",12,$CC50="One-Time",0),CG50*(1+$D$3))</f>
        <v/>
      </c>
      <c r="CI50" s="14">
        <f t="array" ref="CI50">IFERROR(_xlfn.IFS(VALUE(MID(CI$5,6,1))&gt;$D$2,0,$CC50="Annual",1,CH50=12,12,$CC50="Monthly V",CH50*(1+$D$3),$CC50="Monthly F",12,$CC50="One-Time",0),CH50*(1+$D$3))</f>
        <v/>
      </c>
      <c r="CJ50" s="14">
        <f t="array" ref="CJ50">IFERROR(_xlfn.IFS(VALUE(MID(CJ$5,6,1))&gt;$D$2,0,$CC50="Annual",1,CI50=12,12,$CC50="Monthly V",CI50*(1+$D$3),$CC50="Monthly F",12,$CC50="One-Time",0),CI50*(1+$D$3))</f>
        <v/>
      </c>
      <c r="CK50" s="14">
        <f t="array" ref="CK50">IFERROR(_xlfn.IFS(VALUE(MID(CK$5,6,1))&gt;$D$2,0,$CC50="Annual",1,CJ50=12,12,$CC50="Monthly V",CJ50*(1+$D$3),$CC50="Monthly F",12,$CC50="One-Time",0),CJ50*(1+$D$3))</f>
        <v/>
      </c>
      <c r="CL50" s="14">
        <f t="array" ref="CL50">IFERROR(_xlfn.IFS(VALUE(MID(CL$5,6,1))&gt;$D$2,0,$CC50="Annual",1,CK50=12,12,$CC50="Monthly V",CK50*(1+$D$3),$CC50="Monthly F",12,$CC50="One-Time",0),CK50*(1+$D$3))</f>
        <v/>
      </c>
      <c r="CM50" s="14">
        <f t="array" ref="CM50">IFERROR(_xlfn.IFS(VALUE(MID(CM$5,6,1))&gt;$D$2,0,$CC50="Annual",1,CL50=12,12,$CC50="Monthly V",CL50*(1+$D$3),$CC50="Monthly F",12,$CC50="One-Time",0),CL50*(1+$D$3))</f>
        <v/>
      </c>
      <c r="CN50" s="24">
        <f t="array" ref="CN50">IFERROR(_xlfn.IFS(VALUE(MID(CN$5,6,2))&gt;$D$2,0,$CC50="Annual",1,CM50=12,12,$CC50="Monthly V",CM50*(1+$D$3),$CC50="Monthly F",12,$CC50="One-Time",0),CM50*(1+$D$3))</f>
        <v/>
      </c>
      <c r="CO50" s="63" t="n"/>
      <c r="CP50" s="53" t="n"/>
      <c r="CQ50" s="21">
        <f>CR50/12</f>
        <v/>
      </c>
      <c r="CR50" s="55">
        <f>IFERROR(CE50*$CP50,0)</f>
        <v/>
      </c>
      <c r="CS50" s="55">
        <f>IFERROR(CF50*$CP50,0)</f>
        <v/>
      </c>
      <c r="CT50" s="55">
        <f>IFERROR(CG50*$CP50,0)</f>
        <v/>
      </c>
      <c r="CU50" s="55">
        <f>IFERROR(CH50*$CP50,0)</f>
        <v/>
      </c>
      <c r="CV50" s="55">
        <f>IFERROR(CI50*$CP50,0)</f>
        <v/>
      </c>
      <c r="CW50" s="55">
        <f>IFERROR(CJ50*$CP50,0)</f>
        <v/>
      </c>
      <c r="CX50" s="55">
        <f>IFERROR(CK50*$CP50,0)</f>
        <v/>
      </c>
      <c r="CY50" s="55">
        <f>IFERROR(CL50*$CP50,0)</f>
        <v/>
      </c>
      <c r="CZ50" s="55">
        <f>IFERROR(CM50*$CP50,0)</f>
        <v/>
      </c>
      <c r="DA50" s="55">
        <f>IFERROR(CN50*$CP50,0)</f>
        <v/>
      </c>
      <c r="DB50" s="56" t="n"/>
      <c r="DC50" s="56">
        <f>IF(VALUE(MID(DC$5,6,1))&lt;=$D$2,((1+$CP$3)^1-1)*CS50,0)</f>
        <v/>
      </c>
      <c r="DD50" s="56">
        <f>IF(VALUE(MID(DD$5,6,1))&lt;=$D$2,((1+$CP$3)^2-1)*CT50,0)</f>
        <v/>
      </c>
      <c r="DE50" s="56">
        <f>IF(VALUE(MID(DE$5,6,1))&lt;=$D$2,((1+$CP$3)^3-1)*CU50,0)</f>
        <v/>
      </c>
      <c r="DF50" s="56">
        <f>IF(VALUE(MID(DF$5,6,1))&lt;=$D$2,((1+$CP$3)^4-1)*CV50,0)</f>
        <v/>
      </c>
      <c r="DG50" s="56">
        <f>IF(VALUE(MID(DG$5,6,1))&lt;=$D$2,((1+$CP$3)^5-1)*CW50,0)</f>
        <v/>
      </c>
      <c r="DH50" s="56">
        <f>IF(VALUE(MID(DH$5,6,1))&lt;=$D$2,((1+$CP$3)^6-1)*CX50,0)</f>
        <v/>
      </c>
      <c r="DI50" s="56">
        <f>IF(VALUE(MID(DI$5,6,1))&lt;=$D$2,((1+$CP$3)^7-1)*CY50,0)</f>
        <v/>
      </c>
      <c r="DJ50" s="56">
        <f>IF(VALUE(MID(DJ$5,6,1))&lt;=$D$2,((1+$CP$3)^8-1)*CZ50,0)</f>
        <v/>
      </c>
      <c r="DK50" s="56">
        <f>IF(VALUE(MID(DK$5,6,2))&lt;=$D$2,((1+$CP$3)^9-1)*DA50,0)</f>
        <v/>
      </c>
      <c r="DL50" s="57">
        <f>SUM(DB50:DK50)</f>
        <v/>
      </c>
      <c r="DM50" s="54">
        <f>SUM(DL50,CR50:DA50)</f>
        <v/>
      </c>
      <c r="DO50" s="106" t="n"/>
    </row>
    <row r="51">
      <c r="B51" s="141" t="n"/>
      <c r="C51" s="24" t="n"/>
      <c r="D51" s="147" t="n"/>
      <c r="E51" s="142" t="n"/>
      <c r="F51" s="14" t="n"/>
      <c r="G51" s="14" t="n"/>
      <c r="H51" s="14" t="n"/>
      <c r="I51" s="14" t="n"/>
      <c r="J51" s="14" t="n"/>
      <c r="K51" s="14" t="n"/>
      <c r="L51" s="14" t="n"/>
      <c r="M51" s="14" t="n"/>
      <c r="N51" s="24" t="n"/>
      <c r="O51" s="157" t="inlineStr">
        <is>
          <t>NYCE Preferred Debit Card Network</t>
        </is>
      </c>
      <c r="P51" s="13" t="n"/>
      <c r="Q51" s="20" t="n"/>
      <c r="R51" s="21">
        <f>S51/12</f>
        <v/>
      </c>
      <c r="S51" s="6">
        <f>IFERROR($Q51*E51,0)</f>
        <v/>
      </c>
      <c r="T51" s="6">
        <f>IFERROR($Q51*F51,0)</f>
        <v/>
      </c>
      <c r="U51" s="6">
        <f>IFERROR($Q51*G51,0)</f>
        <v/>
      </c>
      <c r="V51" s="6">
        <f>IFERROR($Q51*H51,0)</f>
        <v/>
      </c>
      <c r="W51" s="6">
        <f>IFERROR($Q51*I51,0)</f>
        <v/>
      </c>
      <c r="X51" s="6">
        <f>IFERROR($Q51*J51,0)</f>
        <v/>
      </c>
      <c r="Y51" s="6">
        <f>IFERROR($Q51*K51,0)</f>
        <v/>
      </c>
      <c r="Z51" s="6">
        <f>IFERROR($Q51*L51,0)</f>
        <v/>
      </c>
      <c r="AA51" s="6">
        <f>IFERROR($Q51*M51,0)</f>
        <v/>
      </c>
      <c r="AB51" s="6">
        <f>IFERROR($Q51*N51,0)</f>
        <v/>
      </c>
      <c r="AC51" s="7" t="n"/>
      <c r="AD51" s="152">
        <f>IF(VALUE(MID(AD$5,6,1))&lt;=$D$2,((1+$Q$3)^1-1)*T51,0)</f>
        <v/>
      </c>
      <c r="AE51" s="152">
        <f>IF(VALUE(MID(AE$5,6,1))&lt;=$D$2,((1+$Q$3)^2-1)*U51,0)</f>
        <v/>
      </c>
      <c r="AF51" s="152">
        <f>IF(VALUE(MID(AF$5,6,1))&lt;=$D$2,((1+$Q$3)^3-1)*V51,0)</f>
        <v/>
      </c>
      <c r="AG51" s="152">
        <f>IF(VALUE(MID(AG$5,6,1))&lt;=$D$2,((1+$Q$3)^4-1)*W51,0)</f>
        <v/>
      </c>
      <c r="AH51" s="152">
        <f>IF(VALUE(MID(AH$5,6,1))&lt;=$D$2,((1+$Q$3)^5-1)*X51,0)</f>
        <v/>
      </c>
      <c r="AI51" s="152">
        <f>IF(VALUE(MID(AI$5,6,1))&lt;=$D$2,((1+$Q$3)^6-1)*Y51,0)</f>
        <v/>
      </c>
      <c r="AJ51" s="152">
        <f>IF(VALUE(MID(AJ$5,6,1))&lt;=$D$2,((1+$Q$3)^7-1)*Z51,0)</f>
        <v/>
      </c>
      <c r="AK51" s="152">
        <f>IF(VALUE(MID(AK$5,6,1))&lt;=$D$2,((1+$Q$3)^8-1)*AA51,0)</f>
        <v/>
      </c>
      <c r="AL51" s="152">
        <f>IF(VALUE(MID(AL$5,6,2))&lt;=$D$2,((1+$Q$3)^9-1)*AB51,0)</f>
        <v/>
      </c>
      <c r="AM51" s="9">
        <f>SUM(AC51:AL51)</f>
        <v/>
      </c>
      <c r="AN51" s="80">
        <f>SUM(AM51,S51:AB51)</f>
        <v/>
      </c>
      <c r="AP51" s="102" t="inlineStr">
        <is>
          <t>Monthly F</t>
        </is>
      </c>
      <c r="AQ51" s="12" t="n">
        <v>1</v>
      </c>
      <c r="AR51" s="14">
        <f>IF($AP51="Annual",1,IF($AP51="Monthly F",12,IF($AP51="Monthly V",AQ51*12,IF($AP51="One-Time",1,AQ51*12))))</f>
        <v/>
      </c>
      <c r="AS51" s="14">
        <f t="array" ref="AS51">IFERROR(_xlfn.IFS(VALUE(MID(AS$5,6,1))&gt;$D$2,0,$AP51="Annual",1,AR51=12,12,$AP51="Monthly V",AR51*(1+$BD$2),$AP51="Monthly F",12,$AP51="One-Time",0),AR51*(1+$BD$2))</f>
        <v/>
      </c>
      <c r="AT51" s="14">
        <f t="array" ref="AT51">IFERROR(_xlfn.IFS(VALUE(MID(AT$5,6,1))&gt;$D$2,0,$AP51="Annual",1,AS51=12,12,$AP51="Monthly V",AS51*(1+$BD$2),$AP51="Monthly F",12,$AP51="One-Time",0),AS51*(1+$BD$2))</f>
        <v/>
      </c>
      <c r="AU51" s="14">
        <f t="array" ref="AU51">IFERROR(_xlfn.IFS(VALUE(MID(AU$5,6,1))&gt;$D$2,0,$AP51="Annual",1,AT51=12,12,$AP51="Monthly V",AT51*(1+$BD$2),$AP51="Monthly F",12,$AP51="One-Time",0),AT51*(1+$BD$2))</f>
        <v/>
      </c>
      <c r="AV51" s="14">
        <f t="array" ref="AV51">IFERROR(_xlfn.IFS(VALUE(MID(AV$5,6,1))&gt;$D$2,0,$AP51="Annual",1,AU51=12,12,$AP51="Monthly V",AU51*(1+$BD$2),$AP51="Monthly F",12,$AP51="One-Time",0),AU51*(1+$BD$2))</f>
        <v/>
      </c>
      <c r="AW51" s="14">
        <f t="array" ref="AW51">IFERROR(_xlfn.IFS(VALUE(MID(AW$5,6,1))&gt;$D$2,0,$AP51="Annual",1,AV51=12,12,$AP51="Monthly V",AV51*(1+$BD$2),$AP51="Monthly F",12,$AP51="One-Time",0),AV51*(1+$BD$2))</f>
        <v/>
      </c>
      <c r="AX51" s="14">
        <f t="array" ref="AX51">IFERROR(_xlfn.IFS(VALUE(MID(AX$5,6,1))&gt;$D$2,0,$AP51="Annual",1,AW51=12,12,$AP51="Monthly V",AW51*(1+$BD$2),$AP51="Monthly F",12,$AP51="One-Time",0),AW51*(1+$BD$2))</f>
        <v/>
      </c>
      <c r="AY51" s="14">
        <f t="array" ref="AY51">IFERROR(_xlfn.IFS(VALUE(MID(AY$5,6,1))&gt;$D$2,0,$AP51="Annual",1,AX51=12,12,$AP51="Monthly V",AX51*(1+$D$3),$AP51="Monthly F",12,$AP51="One-Time",0),AX51*(1+$D$3))</f>
        <v/>
      </c>
      <c r="AZ51" s="14">
        <f t="array" ref="AZ51">IFERROR(_xlfn.IFS(VALUE(MID(AZ$5,6,1))&gt;$D$2,0,$AP51="Annual",1,AY51=12,12,$AP51="Monthly V",AY51*(1+$D$3),$AP51="Monthly F",12,$AP51="One-Time",0),AY51*(1+$D$3))</f>
        <v/>
      </c>
      <c r="BA51" s="125">
        <f t="array" ref="BA51">IFERROR(_xlfn.IFS(VALUE(MID(BA$5,6,2))&gt;$D$2,0,$AP51="Annual",1,AZ51=12,12,$AP51="Monthly V",AZ51*(1+$D$3),$AP51="Monthly F",12,$AP51="One-Time",0),AZ51*(1+$D$3))</f>
        <v/>
      </c>
      <c r="BB51" s="148" t="inlineStr">
        <is>
          <t>Two-Way Connect Cardholder Alerts JHA Debit Processing</t>
        </is>
      </c>
      <c r="BC51" s="38" t="inlineStr">
        <is>
          <t>Card Processing Solutions (CPS)</t>
        </is>
      </c>
      <c r="BD51" s="36" t="n">
        <v>50</v>
      </c>
      <c r="BE51" s="21">
        <f>BF51/12</f>
        <v/>
      </c>
      <c r="BF51" s="39">
        <f>IFERROR(AR51*$BD51,0)</f>
        <v/>
      </c>
      <c r="BG51" s="39">
        <f>IFERROR(AS51*$BD51,0)</f>
        <v/>
      </c>
      <c r="BH51" s="39">
        <f>IFERROR(AT51*$BD51,0)</f>
        <v/>
      </c>
      <c r="BI51" s="39">
        <f>BH51*1.03</f>
        <v/>
      </c>
      <c r="BJ51" s="39">
        <f>BI51*1.03</f>
        <v/>
      </c>
      <c r="BK51" s="39">
        <f>BJ51*1.03</f>
        <v/>
      </c>
      <c r="BL51" s="39">
        <f>BK51*1.03</f>
        <v/>
      </c>
      <c r="BM51" s="39">
        <f>IFERROR(AY51*$BD51,0)</f>
        <v/>
      </c>
      <c r="BN51" s="39">
        <f>IFERROR(AZ51*$BD51,0)</f>
        <v/>
      </c>
      <c r="BO51" s="39">
        <f>IFERROR(BA51*$BD51,0)</f>
        <v/>
      </c>
      <c r="BP51" s="40" t="n"/>
      <c r="BQ51" s="40">
        <f>IF(VALUE(MID(BQ$5,6,1))&lt;=$D$2,((1+$BD$3)^1-1)*BG51,0)</f>
        <v/>
      </c>
      <c r="BR51" s="40">
        <f>IF(VALUE(MID(BR$5,6,1))&lt;=$D$2,((1+$BD$3)^2-1)*BH51,0)</f>
        <v/>
      </c>
      <c r="BS51" s="40">
        <f>IF(VALUE(MID(BS$5,6,1))&lt;=$D$2,((1+$BD$3)^3-1)*BI51,0)</f>
        <v/>
      </c>
      <c r="BT51" s="40">
        <f>IF(VALUE(MID(BT$5,6,1))&lt;=$D$2,((1+$BD$3)^4-1)*BJ51,0)</f>
        <v/>
      </c>
      <c r="BU51" s="40">
        <f>IF(VALUE(MID(BU$5,6,1))&lt;=$D$2,((1+$BD$3)^5-1)*BK51,0)</f>
        <v/>
      </c>
      <c r="BV51" s="40">
        <f>IF(VALUE(MID(BV$5,6,1))&lt;=$D$2,((1+$BD$3)^6-1)*BL51,0)</f>
        <v/>
      </c>
      <c r="BW51" s="40">
        <f>IF(VALUE(MID(BW$5,6,1))&lt;=$D$2,((1+$BD$3)^7-1)*BM51,0)</f>
        <v/>
      </c>
      <c r="BX51" s="40">
        <f>IF(VALUE(MID(BX$5,6,1))&lt;=$D$2,((1+$BD$3)^8-1)*BN51,0)</f>
        <v/>
      </c>
      <c r="BY51" s="40">
        <f>IF(VALUE(MID(BY$5,6,2))&lt;=$D$2,((1+$BD$3)^9-1)*BO51,0)</f>
        <v/>
      </c>
      <c r="BZ51" s="40">
        <f>SUM(BP51:BY51)</f>
        <v/>
      </c>
      <c r="CA51" s="37">
        <f>SUM(BZ51,BF51:BO51)</f>
        <v/>
      </c>
      <c r="CC51" s="102" t="n"/>
      <c r="CD51" s="12" t="n"/>
      <c r="CE51" s="14">
        <f>IF($CC51="Annual",1,IF($CC51="Monthly F",12,IF($CC51="Monthly V",CD51*12,IF($CC51="One-Time",1,CD51*12))))</f>
        <v/>
      </c>
      <c r="CF51" s="14">
        <f t="array" ref="CF51">IFERROR(_xlfn.IFS(VALUE(MID(CF$5,6,1))&gt;$D$2,0,$CC51="Annual",1,CE51=12,12,$CC51="Monthly V",CE51*(1+$D$3),$CC51="Monthly F",12,$CC51="One-Time",0),CE51*(1+$D$3))</f>
        <v/>
      </c>
      <c r="CG51" s="14">
        <f t="array" ref="CG51">IFERROR(_xlfn.IFS(VALUE(MID(CG$5,6,1))&gt;$D$2,0,$CC51="Annual",1,CF51=12,12,$CC51="Monthly V",CF51*(1+$D$3),$CC51="Monthly F",12,$CC51="One-Time",0),CF51*(1+$D$3))</f>
        <v/>
      </c>
      <c r="CH51" s="14">
        <f t="array" ref="CH51">IFERROR(_xlfn.IFS(VALUE(MID(CH$5,6,1))&gt;$D$2,0,$CC51="Annual",1,CG51=12,12,$CC51="Monthly V",CG51*(1+$D$3),$CC51="Monthly F",12,$CC51="One-Time",0),CG51*(1+$D$3))</f>
        <v/>
      </c>
      <c r="CI51" s="14">
        <f t="array" ref="CI51">IFERROR(_xlfn.IFS(VALUE(MID(CI$5,6,1))&gt;$D$2,0,$CC51="Annual",1,CH51=12,12,$CC51="Monthly V",CH51*(1+$D$3),$CC51="Monthly F",12,$CC51="One-Time",0),CH51*(1+$D$3))</f>
        <v/>
      </c>
      <c r="CJ51" s="14">
        <f t="array" ref="CJ51">IFERROR(_xlfn.IFS(VALUE(MID(CJ$5,6,1))&gt;$D$2,0,$CC51="Annual",1,CI51=12,12,$CC51="Monthly V",CI51*(1+$D$3),$CC51="Monthly F",12,$CC51="One-Time",0),CI51*(1+$D$3))</f>
        <v/>
      </c>
      <c r="CK51" s="14">
        <f t="array" ref="CK51">IFERROR(_xlfn.IFS(VALUE(MID(CK$5,6,1))&gt;$D$2,0,$CC51="Annual",1,CJ51=12,12,$CC51="Monthly V",CJ51*(1+$D$3),$CC51="Monthly F",12,$CC51="One-Time",0),CJ51*(1+$D$3))</f>
        <v/>
      </c>
      <c r="CL51" s="14">
        <f t="array" ref="CL51">IFERROR(_xlfn.IFS(VALUE(MID(CL$5,6,1))&gt;$D$2,0,$CC51="Annual",1,CK51=12,12,$CC51="Monthly V",CK51*(1+$D$3),$CC51="Monthly F",12,$CC51="One-Time",0),CK51*(1+$D$3))</f>
        <v/>
      </c>
      <c r="CM51" s="14">
        <f t="array" ref="CM51">IFERROR(_xlfn.IFS(VALUE(MID(CM$5,6,1))&gt;$D$2,0,$CC51="Annual",1,CL51=12,12,$CC51="Monthly V",CL51*(1+$D$3),$CC51="Monthly F",12,$CC51="One-Time",0),CL51*(1+$D$3))</f>
        <v/>
      </c>
      <c r="CN51" s="24">
        <f t="array" ref="CN51">IFERROR(_xlfn.IFS(VALUE(MID(CN$5,6,2))&gt;$D$2,0,$CC51="Annual",1,CM51=12,12,$CC51="Monthly V",CM51*(1+$D$3),$CC51="Monthly F",12,$CC51="One-Time",0),CM51*(1+$D$3))</f>
        <v/>
      </c>
      <c r="CO51" s="63" t="n"/>
      <c r="CP51" s="53" t="n"/>
      <c r="CQ51" s="21">
        <f>CR51/12</f>
        <v/>
      </c>
      <c r="CR51" s="55">
        <f>IFERROR(CE51*$CP51,0)</f>
        <v/>
      </c>
      <c r="CS51" s="55">
        <f>IFERROR(CF51*$CP51,0)</f>
        <v/>
      </c>
      <c r="CT51" s="55">
        <f>IFERROR(CG51*$CP51,0)</f>
        <v/>
      </c>
      <c r="CU51" s="55">
        <f>IFERROR(CH51*$CP51,0)</f>
        <v/>
      </c>
      <c r="CV51" s="55">
        <f>IFERROR(CI51*$CP51,0)</f>
        <v/>
      </c>
      <c r="CW51" s="55">
        <f>IFERROR(CJ51*$CP51,0)</f>
        <v/>
      </c>
      <c r="CX51" s="55">
        <f>IFERROR(CK51*$CP51,0)</f>
        <v/>
      </c>
      <c r="CY51" s="55">
        <f>IFERROR(CL51*$CP51,0)</f>
        <v/>
      </c>
      <c r="CZ51" s="55">
        <f>IFERROR(CM51*$CP51,0)</f>
        <v/>
      </c>
      <c r="DA51" s="55">
        <f>IFERROR(CN51*$CP51,0)</f>
        <v/>
      </c>
      <c r="DB51" s="56" t="n"/>
      <c r="DC51" s="56">
        <f>IF(VALUE(MID(DC$5,6,1))&lt;=$D$2,((1+$CP$3)^1-1)*CS51,0)</f>
        <v/>
      </c>
      <c r="DD51" s="56">
        <f>IF(VALUE(MID(DD$5,6,1))&lt;=$D$2,((1+$CP$3)^2-1)*CT51,0)</f>
        <v/>
      </c>
      <c r="DE51" s="56">
        <f>IF(VALUE(MID(DE$5,6,1))&lt;=$D$2,((1+$CP$3)^3-1)*CU51,0)</f>
        <v/>
      </c>
      <c r="DF51" s="56">
        <f>IF(VALUE(MID(DF$5,6,1))&lt;=$D$2,((1+$CP$3)^4-1)*CV51,0)</f>
        <v/>
      </c>
      <c r="DG51" s="56">
        <f>IF(VALUE(MID(DG$5,6,1))&lt;=$D$2,((1+$CP$3)^5-1)*CW51,0)</f>
        <v/>
      </c>
      <c r="DH51" s="56">
        <f>IF(VALUE(MID(DH$5,6,1))&lt;=$D$2,((1+$CP$3)^6-1)*CX51,0)</f>
        <v/>
      </c>
      <c r="DI51" s="56">
        <f>IF(VALUE(MID(DI$5,6,1))&lt;=$D$2,((1+$CP$3)^7-1)*CY51,0)</f>
        <v/>
      </c>
      <c r="DJ51" s="56">
        <f>IF(VALUE(MID(DJ$5,6,1))&lt;=$D$2,((1+$CP$3)^8-1)*CZ51,0)</f>
        <v/>
      </c>
      <c r="DK51" s="56">
        <f>IF(VALUE(MID(DK$5,6,2))&lt;=$D$2,((1+$CP$3)^9-1)*DA51,0)</f>
        <v/>
      </c>
      <c r="DL51" s="57">
        <f>SUM(DB51:DK51)</f>
        <v/>
      </c>
      <c r="DM51" s="54">
        <f>SUM(DL51,CR51:DA51)</f>
        <v/>
      </c>
      <c r="DO51" s="106" t="n"/>
    </row>
    <row r="52">
      <c r="B52" s="141" t="inlineStr">
        <is>
          <t>Monthly V</t>
        </is>
      </c>
      <c r="C52" s="24" t="n">
        <v>1500</v>
      </c>
      <c r="D52" s="147">
        <f>IFERROR(AVERAGE(C52:C52),0)</f>
        <v/>
      </c>
      <c r="E52" s="142">
        <f>IF($B52="Annual",1,IF($B52="Monthly F",12,IF($B52="Monthly V",D52*12,IF($B52="One-Time",1,D52*12))))</f>
        <v/>
      </c>
      <c r="F52" s="14">
        <f t="array" ref="F52">IFERROR(_xlfn.IFS(VALUE(MID(F$5,6,1))&gt;$D$2,0,$B52="Annual",1,E52=12,12,$B52="Monthly V",E52*(1+$D$3),$B52="Monthly F",12,$B52="One-Time",0),E52*(1+$D$3))</f>
        <v/>
      </c>
      <c r="G52" s="14">
        <f t="array" ref="G52">IFERROR(_xlfn.IFS(VALUE(MID(G$5,6,1))&gt;$D$2,0,$B52="Annual",1,F52=12,12,$B52="Monthly V",F52*(1+$D$3),$B52="Monthly F",12,$B52="One-Time",0),F52*(1+$D$3))</f>
        <v/>
      </c>
      <c r="H52" s="14">
        <f t="array" ref="H52">IFERROR(_xlfn.IFS(VALUE(MID(H$5,6,1))&gt;$D$2,0,$B52="Annual",1,G52=12,12,$B52="Monthly V",G52*(1+$D$3),$B52="Monthly F",12,$B52="One-Time",0),G52*(1+$D$3))</f>
        <v/>
      </c>
      <c r="I52" s="14">
        <f t="array" ref="I52">IFERROR(_xlfn.IFS(VALUE(MID(I$5,6,1))&gt;$D$2,0,$B52="Annual",1,H52=12,12,$B52="Monthly V",H52*(1+$D$3),$B52="Monthly F",12,$B52="One-Time",0),H52*(1+$D$3))</f>
        <v/>
      </c>
      <c r="J52" s="14">
        <f t="array" ref="J52">IFERROR(_xlfn.IFS(VALUE(MID(J$5,6,1))&gt;$D$2,0,$B52="Annual",1,I52=12,12,$B52="Monthly V",I52*(1+$D$3),$B52="Monthly F",12,$B52="One-Time",0),I52*(1+$D$3))</f>
        <v/>
      </c>
      <c r="K52" s="14">
        <f t="array" ref="K52">IFERROR(_xlfn.IFS(VALUE(MID(K$5,6,1))&gt;$D$2,0,$B52="Annual",1,J52=12,12,$B52="Monthly V",J52*(1+$D$3),$B52="Monthly F",12,$B52="One-Time",0),J52*(1+$D$3))</f>
        <v/>
      </c>
      <c r="L52" s="14">
        <f t="array" ref="L52">IFERROR(_xlfn.IFS(VALUE(MID(L$5,6,1))&gt;$D$2,0,$B52="Annual",1,K52=12,12,$B52="Monthly V",K52*(1+$D$3),$B52="Monthly F",12,$B52="One-Time",0),K52*(1+$D$3))</f>
        <v/>
      </c>
      <c r="M52" s="14">
        <f t="array" ref="M52">IFERROR(_xlfn.IFS(VALUE(MID(M$5,6,1))&gt;$D$2,0,$B52="Annual",1,L52=12,12,$B52="Monthly V",L52*(1+$D$3),$B52="Monthly F",12,$B52="One-Time",0),L52*(1+$D$3))</f>
        <v/>
      </c>
      <c r="N52" s="24">
        <f t="array" ref="N52">IFERROR(_xlfn.IFS(VALUE(MID(N$5,6,2))&gt;$D$2,0,$B52="Annual",1,M52=12,12,$B52="Monthly V",M52*(1+$D$3),$B52="Monthly F",12,$B52="One-Time",0),M52*(1+$D$3))</f>
        <v/>
      </c>
      <c r="O52" s="127" t="inlineStr">
        <is>
          <t>Transactions</t>
        </is>
      </c>
      <c r="P52" s="13" t="inlineStr">
        <is>
          <t>ATM/EFT</t>
        </is>
      </c>
      <c r="Q52" s="20" t="n">
        <v>0.035</v>
      </c>
      <c r="R52" s="21">
        <f>S52/12</f>
        <v/>
      </c>
      <c r="S52" s="6">
        <f>IFERROR($Q52*E52,0)</f>
        <v/>
      </c>
      <c r="T52" s="6">
        <f>IFERROR($Q52*F52,0)</f>
        <v/>
      </c>
      <c r="U52" s="6">
        <f>IFERROR($Q52*G52,0)</f>
        <v/>
      </c>
      <c r="V52" s="6">
        <f>IFERROR($Q52*H52,0)</f>
        <v/>
      </c>
      <c r="W52" s="6">
        <f>IFERROR($Q52*I52,0)</f>
        <v/>
      </c>
      <c r="X52" s="6">
        <f>IFERROR($Q52*J52,0)</f>
        <v/>
      </c>
      <c r="Y52" s="6">
        <f>IFERROR($Q52*K52,0)</f>
        <v/>
      </c>
      <c r="Z52" s="6">
        <f>IFERROR($Q52*L52,0)</f>
        <v/>
      </c>
      <c r="AA52" s="6">
        <f>IFERROR($Q52*M52,0)</f>
        <v/>
      </c>
      <c r="AB52" s="6">
        <f>IFERROR($Q52*N52,0)</f>
        <v/>
      </c>
      <c r="AC52" s="7" t="n"/>
      <c r="AD52" s="152">
        <f>IF(VALUE(MID(AD$5,6,1))&lt;=$D$2,((1+$Q$3)^1-1)*T52,0)</f>
        <v/>
      </c>
      <c r="AE52" s="152">
        <f>IF(VALUE(MID(AE$5,6,1))&lt;=$D$2,((1+$Q$3)^2-1)*U52,0)</f>
        <v/>
      </c>
      <c r="AF52" s="152">
        <f>IF(VALUE(MID(AF$5,6,1))&lt;=$D$2,((1+$Q$3)^3-1)*V52,0)</f>
        <v/>
      </c>
      <c r="AG52" s="152">
        <f>IF(VALUE(MID(AG$5,6,1))&lt;=$D$2,((1+$Q$3)^4-1)*W52,0)</f>
        <v/>
      </c>
      <c r="AH52" s="152">
        <f>IF(VALUE(MID(AH$5,6,1))&lt;=$D$2,((1+$Q$3)^5-1)*X52,0)</f>
        <v/>
      </c>
      <c r="AI52" s="152">
        <f>IF(VALUE(MID(AI$5,6,1))&lt;=$D$2,((1+$Q$3)^6-1)*Y52,0)</f>
        <v/>
      </c>
      <c r="AJ52" s="152">
        <f>IF(VALUE(MID(AJ$5,6,1))&lt;=$D$2,((1+$Q$3)^7-1)*Z52,0)</f>
        <v/>
      </c>
      <c r="AK52" s="152">
        <f>IF(VALUE(MID(AK$5,6,1))&lt;=$D$2,((1+$Q$3)^8-1)*AA52,0)</f>
        <v/>
      </c>
      <c r="AL52" s="152">
        <f>IF(VALUE(MID(AL$5,6,2))&lt;=$D$2,((1+$Q$3)^9-1)*AB52,0)</f>
        <v/>
      </c>
      <c r="AM52" s="9">
        <f>SUM(AC52:AL52)</f>
        <v/>
      </c>
      <c r="AN52" s="80">
        <f>SUM(AM52,S52:AB52)</f>
        <v/>
      </c>
      <c r="AP52" s="102" t="inlineStr">
        <is>
          <t>Monthly F</t>
        </is>
      </c>
      <c r="AQ52" s="12" t="n">
        <v>1</v>
      </c>
      <c r="AR52" s="14">
        <f>IF($AP52="Annual",1,IF($AP52="Monthly F",12,IF($AP52="Monthly V",AQ52*12,IF($AP52="One-Time",1,AQ52*12))))</f>
        <v/>
      </c>
      <c r="AS52" s="14">
        <f t="array" ref="AS52">IFERROR(_xlfn.IFS(VALUE(MID(AS$5,6,1))&gt;$D$2,0,$AP52="Annual",1,AR52=12,12,$AP52="Monthly V",AR52*(1+$BD$2),$AP52="Monthly F",12,$AP52="One-Time",0),AR52*(1+$BD$2))</f>
        <v/>
      </c>
      <c r="AT52" s="14">
        <f t="array" ref="AT52">IFERROR(_xlfn.IFS(VALUE(MID(AT$5,6,1))&gt;$D$2,0,$AP52="Annual",1,AS52=12,12,$AP52="Monthly V",AS52*(1+$BD$2),$AP52="Monthly F",12,$AP52="One-Time",0),AS52*(1+$BD$2))</f>
        <v/>
      </c>
      <c r="AU52" s="14">
        <f t="array" ref="AU52">IFERROR(_xlfn.IFS(VALUE(MID(AU$5,6,1))&gt;$D$2,0,$AP52="Annual",1,AT52=12,12,$AP52="Monthly V",AT52*(1+$BD$2),$AP52="Monthly F",12,$AP52="One-Time",0),AT52*(1+$BD$2))</f>
        <v/>
      </c>
      <c r="AV52" s="14">
        <f t="array" ref="AV52">IFERROR(_xlfn.IFS(VALUE(MID(AV$5,6,1))&gt;$D$2,0,$AP52="Annual",1,AU52=12,12,$AP52="Monthly V",AU52*(1+$BD$2),$AP52="Monthly F",12,$AP52="One-Time",0),AU52*(1+$BD$2))</f>
        <v/>
      </c>
      <c r="AW52" s="14">
        <f t="array" ref="AW52">IFERROR(_xlfn.IFS(VALUE(MID(AW$5,6,1))&gt;$D$2,0,$AP52="Annual",1,AV52=12,12,$AP52="Monthly V",AV52*(1+$BD$2),$AP52="Monthly F",12,$AP52="One-Time",0),AV52*(1+$BD$2))</f>
        <v/>
      </c>
      <c r="AX52" s="14">
        <f t="array" ref="AX52">IFERROR(_xlfn.IFS(VALUE(MID(AX$5,6,1))&gt;$D$2,0,$AP52="Annual",1,AW52=12,12,$AP52="Monthly V",AW52*(1+$BD$2),$AP52="Monthly F",12,$AP52="One-Time",0),AW52*(1+$BD$2))</f>
        <v/>
      </c>
      <c r="AY52" s="14">
        <f t="array" ref="AY52">IFERROR(_xlfn.IFS(VALUE(MID(AY$5,6,1))&gt;$D$2,0,$AP52="Annual",1,AX52=12,12,$AP52="Monthly V",AX52*(1+$D$3),$AP52="Monthly F",12,$AP52="One-Time",0),AX52*(1+$D$3))</f>
        <v/>
      </c>
      <c r="AZ52" s="14">
        <f t="array" ref="AZ52">IFERROR(_xlfn.IFS(VALUE(MID(AZ$5,6,1))&gt;$D$2,0,$AP52="Annual",1,AY52=12,12,$AP52="Monthly V",AY52*(1+$D$3),$AP52="Monthly F",12,$AP52="One-Time",0),AY52*(1+$D$3))</f>
        <v/>
      </c>
      <c r="BA52" s="125">
        <f t="array" ref="BA52">IFERROR(_xlfn.IFS(VALUE(MID(BA$5,6,2))&gt;$D$2,0,$AP52="Annual",1,AZ52=12,12,$AP52="Monthly V",AZ52*(1+$D$3),$AP52="Monthly F",12,$AP52="One-Time",0),AZ52*(1+$D$3))</f>
        <v/>
      </c>
      <c r="BB52" s="148" t="inlineStr">
        <is>
          <t>Full-Service Chargeback Dispute Processing JHA Debit Processing</t>
        </is>
      </c>
      <c r="BC52" s="38" t="inlineStr">
        <is>
          <t>Card Processing Solutions (CPS)</t>
        </is>
      </c>
      <c r="BD52" s="36" t="n">
        <v>150</v>
      </c>
      <c r="BE52" s="21">
        <f>BF52/12</f>
        <v/>
      </c>
      <c r="BF52" s="39">
        <f>IFERROR(AR52*$BD52,0)</f>
        <v/>
      </c>
      <c r="BG52" s="39">
        <f>IFERROR(AS52*$BD52,0)</f>
        <v/>
      </c>
      <c r="BH52" s="39">
        <f>IFERROR(AT52*$BD52,0)</f>
        <v/>
      </c>
      <c r="BI52" s="39">
        <f>BH52*1.03</f>
        <v/>
      </c>
      <c r="BJ52" s="39">
        <f>BI52*1.03</f>
        <v/>
      </c>
      <c r="BK52" s="39">
        <f>BJ52*1.03</f>
        <v/>
      </c>
      <c r="BL52" s="39">
        <f>BK52*1.03</f>
        <v/>
      </c>
      <c r="BM52" s="39">
        <f>IFERROR(AY52*$BD52,0)</f>
        <v/>
      </c>
      <c r="BN52" s="39">
        <f>IFERROR(AZ52*$BD52,0)</f>
        <v/>
      </c>
      <c r="BO52" s="39">
        <f>IFERROR(BA52*$BD52,0)</f>
        <v/>
      </c>
      <c r="BP52" s="40" t="n"/>
      <c r="BQ52" s="40">
        <f>IF(VALUE(MID(BQ$5,6,1))&lt;=$D$2,((1+$BD$3)^1-1)*BG52,0)</f>
        <v/>
      </c>
      <c r="BR52" s="40">
        <f>IF(VALUE(MID(BR$5,6,1))&lt;=$D$2,((1+$BD$3)^2-1)*BH52,0)</f>
        <v/>
      </c>
      <c r="BS52" s="40">
        <f>IF(VALUE(MID(BS$5,6,1))&lt;=$D$2,((1+$BD$3)^3-1)*BI52,0)</f>
        <v/>
      </c>
      <c r="BT52" s="40">
        <f>IF(VALUE(MID(BT$5,6,1))&lt;=$D$2,((1+$BD$3)^4-1)*BJ52,0)</f>
        <v/>
      </c>
      <c r="BU52" s="40">
        <f>IF(VALUE(MID(BU$5,6,1))&lt;=$D$2,((1+$BD$3)^5-1)*BK52,0)</f>
        <v/>
      </c>
      <c r="BV52" s="40">
        <f>IF(VALUE(MID(BV$5,6,1))&lt;=$D$2,((1+$BD$3)^6-1)*BL52,0)</f>
        <v/>
      </c>
      <c r="BW52" s="40">
        <f>IF(VALUE(MID(BW$5,6,1))&lt;=$D$2,((1+$BD$3)^7-1)*BM52,0)</f>
        <v/>
      </c>
      <c r="BX52" s="40">
        <f>IF(VALUE(MID(BX$5,6,1))&lt;=$D$2,((1+$BD$3)^8-1)*BN52,0)</f>
        <v/>
      </c>
      <c r="BY52" s="40">
        <f>IF(VALUE(MID(BY$5,6,2))&lt;=$D$2,((1+$BD$3)^9-1)*BO52,0)</f>
        <v/>
      </c>
      <c r="BZ52" s="40">
        <f>SUM(BP52:BY52)</f>
        <v/>
      </c>
      <c r="CA52" s="37">
        <f>SUM(BZ52,BF52:BO52)</f>
        <v/>
      </c>
      <c r="CC52" s="102" t="n"/>
      <c r="CD52" s="12" t="n"/>
      <c r="CE52" s="14">
        <f>IF($CC52="Annual",1,IF($CC52="Monthly F",12,IF($CC52="Monthly V",CD52*12,IF($CC52="One-Time",1,CD52*12))))</f>
        <v/>
      </c>
      <c r="CF52" s="14">
        <f t="array" ref="CF52">IFERROR(_xlfn.IFS(VALUE(MID(CF$5,6,1))&gt;$D$2,0,$CC52="Annual",1,CE52=12,12,$CC52="Monthly V",CE52*(1+$D$3),$CC52="Monthly F",12,$CC52="One-Time",0),CE52*(1+$D$3))</f>
        <v/>
      </c>
      <c r="CG52" s="14">
        <f t="array" ref="CG52">IFERROR(_xlfn.IFS(VALUE(MID(CG$5,6,1))&gt;$D$2,0,$CC52="Annual",1,CF52=12,12,$CC52="Monthly V",CF52*(1+$D$3),$CC52="Monthly F",12,$CC52="One-Time",0),CF52*(1+$D$3))</f>
        <v/>
      </c>
      <c r="CH52" s="14">
        <f t="array" ref="CH52">IFERROR(_xlfn.IFS(VALUE(MID(CH$5,6,1))&gt;$D$2,0,$CC52="Annual",1,CG52=12,12,$CC52="Monthly V",CG52*(1+$D$3),$CC52="Monthly F",12,$CC52="One-Time",0),CG52*(1+$D$3))</f>
        <v/>
      </c>
      <c r="CI52" s="14">
        <f t="array" ref="CI52">IFERROR(_xlfn.IFS(VALUE(MID(CI$5,6,1))&gt;$D$2,0,$CC52="Annual",1,CH52=12,12,$CC52="Monthly V",CH52*(1+$D$3),$CC52="Monthly F",12,$CC52="One-Time",0),CH52*(1+$D$3))</f>
        <v/>
      </c>
      <c r="CJ52" s="14">
        <f t="array" ref="CJ52">IFERROR(_xlfn.IFS(VALUE(MID(CJ$5,6,1))&gt;$D$2,0,$CC52="Annual",1,CI52=12,12,$CC52="Monthly V",CI52*(1+$D$3),$CC52="Monthly F",12,$CC52="One-Time",0),CI52*(1+$D$3))</f>
        <v/>
      </c>
      <c r="CK52" s="14">
        <f t="array" ref="CK52">IFERROR(_xlfn.IFS(VALUE(MID(CK$5,6,1))&gt;$D$2,0,$CC52="Annual",1,CJ52=12,12,$CC52="Monthly V",CJ52*(1+$D$3),$CC52="Monthly F",12,$CC52="One-Time",0),CJ52*(1+$D$3))</f>
        <v/>
      </c>
      <c r="CL52" s="14">
        <f t="array" ref="CL52">IFERROR(_xlfn.IFS(VALUE(MID(CL$5,6,1))&gt;$D$2,0,$CC52="Annual",1,CK52=12,12,$CC52="Monthly V",CK52*(1+$D$3),$CC52="Monthly F",12,$CC52="One-Time",0),CK52*(1+$D$3))</f>
        <v/>
      </c>
      <c r="CM52" s="14">
        <f t="array" ref="CM52">IFERROR(_xlfn.IFS(VALUE(MID(CM$5,6,1))&gt;$D$2,0,$CC52="Annual",1,CL52=12,12,$CC52="Monthly V",CL52*(1+$D$3),$CC52="Monthly F",12,$CC52="One-Time",0),CL52*(1+$D$3))</f>
        <v/>
      </c>
      <c r="CN52" s="24">
        <f t="array" ref="CN52">IFERROR(_xlfn.IFS(VALUE(MID(CN$5,6,2))&gt;$D$2,0,$CC52="Annual",1,CM52=12,12,$CC52="Monthly V",CM52*(1+$D$3),$CC52="Monthly F",12,$CC52="One-Time",0),CM52*(1+$D$3))</f>
        <v/>
      </c>
      <c r="CO52" s="63" t="n"/>
      <c r="CP52" s="53" t="n"/>
      <c r="CQ52" s="21">
        <f>CR52/12</f>
        <v/>
      </c>
      <c r="CR52" s="55">
        <f>IFERROR(CE52*$CP52,0)</f>
        <v/>
      </c>
      <c r="CS52" s="55">
        <f>IFERROR(CF52*$CP52,0)</f>
        <v/>
      </c>
      <c r="CT52" s="55">
        <f>IFERROR(CG52*$CP52,0)</f>
        <v/>
      </c>
      <c r="CU52" s="55">
        <f>IFERROR(CH52*$CP52,0)</f>
        <v/>
      </c>
      <c r="CV52" s="55">
        <f>IFERROR(CI52*$CP52,0)</f>
        <v/>
      </c>
      <c r="CW52" s="55">
        <f>IFERROR(CJ52*$CP52,0)</f>
        <v/>
      </c>
      <c r="CX52" s="55">
        <f>IFERROR(CK52*$CP52,0)</f>
        <v/>
      </c>
      <c r="CY52" s="55">
        <f>IFERROR(CL52*$CP52,0)</f>
        <v/>
      </c>
      <c r="CZ52" s="55">
        <f>IFERROR(CM52*$CP52,0)</f>
        <v/>
      </c>
      <c r="DA52" s="55">
        <f>IFERROR(CN52*$CP52,0)</f>
        <v/>
      </c>
      <c r="DB52" s="56" t="n"/>
      <c r="DC52" s="56">
        <f>IF(VALUE(MID(DC$5,6,1))&lt;=$D$2,((1+$CP$3)^1-1)*CS52,0)</f>
        <v/>
      </c>
      <c r="DD52" s="56">
        <f>IF(VALUE(MID(DD$5,6,1))&lt;=$D$2,((1+$CP$3)^2-1)*CT52,0)</f>
        <v/>
      </c>
      <c r="DE52" s="56">
        <f>IF(VALUE(MID(DE$5,6,1))&lt;=$D$2,((1+$CP$3)^3-1)*CU52,0)</f>
        <v/>
      </c>
      <c r="DF52" s="56">
        <f>IF(VALUE(MID(DF$5,6,1))&lt;=$D$2,((1+$CP$3)^4-1)*CV52,0)</f>
        <v/>
      </c>
      <c r="DG52" s="56">
        <f>IF(VALUE(MID(DG$5,6,1))&lt;=$D$2,((1+$CP$3)^5-1)*CW52,0)</f>
        <v/>
      </c>
      <c r="DH52" s="56">
        <f>IF(VALUE(MID(DH$5,6,1))&lt;=$D$2,((1+$CP$3)^6-1)*CX52,0)</f>
        <v/>
      </c>
      <c r="DI52" s="56">
        <f>IF(VALUE(MID(DI$5,6,1))&lt;=$D$2,((1+$CP$3)^7-1)*CY52,0)</f>
        <v/>
      </c>
      <c r="DJ52" s="56">
        <f>IF(VALUE(MID(DJ$5,6,1))&lt;=$D$2,((1+$CP$3)^8-1)*CZ52,0)</f>
        <v/>
      </c>
      <c r="DK52" s="56">
        <f>IF(VALUE(MID(DK$5,6,2))&lt;=$D$2,((1+$CP$3)^9-1)*DA52,0)</f>
        <v/>
      </c>
      <c r="DL52" s="57">
        <f>SUM(DB52:DK52)</f>
        <v/>
      </c>
      <c r="DM52" s="54">
        <f>SUM(DL52,CR52:DA52)</f>
        <v/>
      </c>
      <c r="DO52" s="106" t="n"/>
    </row>
    <row r="53">
      <c r="B53" s="141" t="inlineStr">
        <is>
          <t>Monthly F</t>
        </is>
      </c>
      <c r="C53" s="24" t="n">
        <v>1</v>
      </c>
      <c r="D53" s="147">
        <f>IFERROR(AVERAGE(C53:C53),0)</f>
        <v/>
      </c>
      <c r="E53" s="142">
        <f>IF($B53="Annual",1,IF($B53="Monthly F",12,IF($B53="Monthly V",D53*12,IF($B53="One-Time",1,D53*12))))</f>
        <v/>
      </c>
      <c r="F53" s="14">
        <f t="array" ref="F53">IFERROR(_xlfn.IFS(VALUE(MID(F$5,6,1))&gt;$D$2,0,$B53="Annual",1,E53=12,12,$B53="Monthly V",E53*(1+$D$3),$B53="Monthly F",12,$B53="One-Time",0),E53*(1+$D$3))</f>
        <v/>
      </c>
      <c r="G53" s="14">
        <f t="array" ref="G53">IFERROR(_xlfn.IFS(VALUE(MID(G$5,6,1))&gt;$D$2,0,$B53="Annual",1,F53=12,12,$B53="Monthly V",F53*(1+$D$3),$B53="Monthly F",12,$B53="One-Time",0),F53*(1+$D$3))</f>
        <v/>
      </c>
      <c r="H53" s="14">
        <f t="array" ref="H53">IFERROR(_xlfn.IFS(VALUE(MID(H$5,6,1))&gt;$D$2,0,$B53="Annual",1,G53=12,12,$B53="Monthly V",G53*(1+$D$3),$B53="Monthly F",12,$B53="One-Time",0),G53*(1+$D$3))</f>
        <v/>
      </c>
      <c r="I53" s="14">
        <f t="array" ref="I53">IFERROR(_xlfn.IFS(VALUE(MID(I$5,6,1))&gt;$D$2,0,$B53="Annual",1,H53=12,12,$B53="Monthly V",H53*(1+$D$3),$B53="Monthly F",12,$B53="One-Time",0),H53*(1+$D$3))</f>
        <v/>
      </c>
      <c r="J53" s="14">
        <f t="array" ref="J53">IFERROR(_xlfn.IFS(VALUE(MID(J$5,6,1))&gt;$D$2,0,$B53="Annual",1,I53=12,12,$B53="Monthly V",I53*(1+$D$3),$B53="Monthly F",12,$B53="One-Time",0),I53*(1+$D$3))</f>
        <v/>
      </c>
      <c r="K53" s="14">
        <f t="array" ref="K53">IFERROR(_xlfn.IFS(VALUE(MID(K$5,6,1))&gt;$D$2,0,$B53="Annual",1,J53=12,12,$B53="Monthly V",J53*(1+$D$3),$B53="Monthly F",12,$B53="One-Time",0),J53*(1+$D$3))</f>
        <v/>
      </c>
      <c r="L53" s="14">
        <f t="array" ref="L53">IFERROR(_xlfn.IFS(VALUE(MID(L$5,6,1))&gt;$D$2,0,$B53="Annual",1,K53=12,12,$B53="Monthly V",K53*(1+$D$3),$B53="Monthly F",12,$B53="One-Time",0),K53*(1+$D$3))</f>
        <v/>
      </c>
      <c r="M53" s="14">
        <f t="array" ref="M53">IFERROR(_xlfn.IFS(VALUE(MID(M$5,6,1))&gt;$D$2,0,$B53="Annual",1,L53=12,12,$B53="Monthly V",L53*(1+$D$3),$B53="Monthly F",12,$B53="One-Time",0),L53*(1+$D$3))</f>
        <v/>
      </c>
      <c r="N53" s="24">
        <f t="array" ref="N53">IFERROR(_xlfn.IFS(VALUE(MID(N$5,6,2))&gt;$D$2,0,$B53="Annual",1,M53=12,12,$B53="Monthly V",M53*(1+$D$3),$B53="Monthly F",12,$B53="One-Time",0),M53*(1+$D$3))</f>
        <v/>
      </c>
      <c r="O53" s="127" t="inlineStr">
        <is>
          <t>Participation Fee</t>
        </is>
      </c>
      <c r="P53" s="13" t="inlineStr">
        <is>
          <t>ATM/EFT</t>
        </is>
      </c>
      <c r="Q53" s="20" t="n">
        <v>100</v>
      </c>
      <c r="R53" s="21">
        <f>S53/12</f>
        <v/>
      </c>
      <c r="S53" s="6">
        <f>IFERROR($Q53*E53,0)</f>
        <v/>
      </c>
      <c r="T53" s="6">
        <f>IFERROR($Q53*F53,0)</f>
        <v/>
      </c>
      <c r="U53" s="6">
        <f>IFERROR($Q53*G53,0)</f>
        <v/>
      </c>
      <c r="V53" s="6">
        <f>IFERROR($Q53*H53,0)</f>
        <v/>
      </c>
      <c r="W53" s="6">
        <f>IFERROR($Q53*I53,0)</f>
        <v/>
      </c>
      <c r="X53" s="6">
        <f>IFERROR($Q53*J53,0)</f>
        <v/>
      </c>
      <c r="Y53" s="6">
        <f>IFERROR($Q53*K53,0)</f>
        <v/>
      </c>
      <c r="Z53" s="6">
        <f>IFERROR($Q53*L53,0)</f>
        <v/>
      </c>
      <c r="AA53" s="6">
        <f>IFERROR($Q53*M53,0)</f>
        <v/>
      </c>
      <c r="AB53" s="6">
        <f>IFERROR($Q53*N53,0)</f>
        <v/>
      </c>
      <c r="AC53" s="7" t="n"/>
      <c r="AD53" s="152">
        <f>IF(VALUE(MID(AD$5,6,1))&lt;=$D$2,((1+$Q$3)^1-1)*T53,0)</f>
        <v/>
      </c>
      <c r="AE53" s="152">
        <f>IF(VALUE(MID(AE$5,6,1))&lt;=$D$2,((1+$Q$3)^2-1)*U53,0)</f>
        <v/>
      </c>
      <c r="AF53" s="152">
        <f>IF(VALUE(MID(AF$5,6,1))&lt;=$D$2,((1+$Q$3)^3-1)*V53,0)</f>
        <v/>
      </c>
      <c r="AG53" s="152">
        <f>IF(VALUE(MID(AG$5,6,1))&lt;=$D$2,((1+$Q$3)^4-1)*W53,0)</f>
        <v/>
      </c>
      <c r="AH53" s="152">
        <f>IF(VALUE(MID(AH$5,6,1))&lt;=$D$2,((1+$Q$3)^5-1)*X53,0)</f>
        <v/>
      </c>
      <c r="AI53" s="152">
        <f>IF(VALUE(MID(AI$5,6,1))&lt;=$D$2,((1+$Q$3)^6-1)*Y53,0)</f>
        <v/>
      </c>
      <c r="AJ53" s="152">
        <f>IF(VALUE(MID(AJ$5,6,1))&lt;=$D$2,((1+$Q$3)^7-1)*Z53,0)</f>
        <v/>
      </c>
      <c r="AK53" s="152">
        <f>IF(VALUE(MID(AK$5,6,1))&lt;=$D$2,((1+$Q$3)^8-1)*AA53,0)</f>
        <v/>
      </c>
      <c r="AL53" s="152">
        <f>IF(VALUE(MID(AL$5,6,2))&lt;=$D$2,((1+$Q$3)^9-1)*AB53,0)</f>
        <v/>
      </c>
      <c r="AM53" s="9">
        <f>SUM(AC53:AL53)</f>
        <v/>
      </c>
      <c r="AN53" s="80">
        <f>SUM(AM53,S53:AB53)</f>
        <v/>
      </c>
      <c r="AP53" s="102" t="inlineStr">
        <is>
          <t>Monthly F</t>
        </is>
      </c>
      <c r="AQ53" s="12" t="n">
        <v>0</v>
      </c>
      <c r="AR53" s="14">
        <f>IF($AP53="Annual",1,IF($AP53="Monthly F",12,IF($AP53="Monthly V",AQ53*12,IF($AP53="One-Time",1,AQ53*12))))</f>
        <v/>
      </c>
      <c r="AS53" s="14">
        <f t="array" ref="AS53">IFERROR(_xlfn.IFS(VALUE(MID(AS$5,6,1))&gt;$D$2,0,$AP53="Annual",1,AR53=12,12,$AP53="Monthly V",AR53*(1+$BD$2),$AP53="Monthly F",12,$AP53="One-Time",0),AR53*(1+$BD$2))</f>
        <v/>
      </c>
      <c r="AT53" s="14">
        <f t="array" ref="AT53">IFERROR(_xlfn.IFS(VALUE(MID(AT$5,6,1))&gt;$D$2,0,$AP53="Annual",1,AS53=12,12,$AP53="Monthly V",AS53*(1+$BD$2),$AP53="Monthly F",12,$AP53="One-Time",0),AS53*(1+$BD$2))</f>
        <v/>
      </c>
      <c r="AU53" s="14">
        <f t="array" ref="AU53">IFERROR(_xlfn.IFS(VALUE(MID(AU$5,6,1))&gt;$D$2,0,$AP53="Annual",1,AT53=12,12,$AP53="Monthly V",AT53*(1+$BD$2),$AP53="Monthly F",12,$AP53="One-Time",0),AT53*(1+$BD$2))</f>
        <v/>
      </c>
      <c r="AV53" s="14">
        <f t="array" ref="AV53">IFERROR(_xlfn.IFS(VALUE(MID(AV$5,6,1))&gt;$D$2,0,$AP53="Annual",1,AU53=12,12,$AP53="Monthly V",AU53*(1+$BD$2),$AP53="Monthly F",12,$AP53="One-Time",0),AU53*(1+$BD$2))</f>
        <v/>
      </c>
      <c r="AW53" s="14">
        <f t="array" ref="AW53">IFERROR(_xlfn.IFS(VALUE(MID(AW$5,6,1))&gt;$D$2,0,$AP53="Annual",1,AV53=12,12,$AP53="Monthly V",AV53*(1+$BD$2),$AP53="Monthly F",12,$AP53="One-Time",0),AV53*(1+$BD$2))</f>
        <v/>
      </c>
      <c r="AX53" s="14">
        <f t="array" ref="AX53">IFERROR(_xlfn.IFS(VALUE(MID(AX$5,6,1))&gt;$D$2,0,$AP53="Annual",1,AW53=12,12,$AP53="Monthly V",AW53*(1+$BD$2),$AP53="Monthly F",12,$AP53="One-Time",0),AW53*(1+$BD$2))</f>
        <v/>
      </c>
      <c r="AY53" s="14">
        <f t="array" ref="AY53">IFERROR(_xlfn.IFS(VALUE(MID(AY$5,6,1))&gt;$D$2,0,$AP53="Annual",1,AX53=12,12,$AP53="Monthly V",AX53*(1+$D$3),$AP53="Monthly F",12,$AP53="One-Time",0),AX53*(1+$D$3))</f>
        <v/>
      </c>
      <c r="AZ53" s="14">
        <f t="array" ref="AZ53">IFERROR(_xlfn.IFS(VALUE(MID(AZ$5,6,1))&gt;$D$2,0,$AP53="Annual",1,AY53=12,12,$AP53="Monthly V",AY53*(1+$D$3),$AP53="Monthly F",12,$AP53="One-Time",0),AY53*(1+$D$3))</f>
        <v/>
      </c>
      <c r="BA53" s="125">
        <f t="array" ref="BA53">IFERROR(_xlfn.IFS(VALUE(MID(BA$5,6,2))&gt;$D$2,0,$AP53="Annual",1,AZ53=12,12,$AP53="Monthly V",AZ53*(1+$D$3),$AP53="Monthly F",12,$AP53="One-Time",0),AZ53*(1+$D$3))</f>
        <v/>
      </c>
      <c r="BB53" s="148" t="inlineStr">
        <is>
          <t>Full-Service Disputes Digital SSO Support JHA Debit Processing</t>
        </is>
      </c>
      <c r="BC53" s="38" t="inlineStr">
        <is>
          <t>Card Processing Solutions (CPS)</t>
        </is>
      </c>
      <c r="BD53" s="36" t="n">
        <v>100</v>
      </c>
      <c r="BE53" s="21">
        <f>BF53/12</f>
        <v/>
      </c>
      <c r="BF53" s="39">
        <f>IFERROR(AR53*$BD53,0)</f>
        <v/>
      </c>
      <c r="BG53" s="39">
        <f>IFERROR(AS53*$BD53,0)</f>
        <v/>
      </c>
      <c r="BH53" s="39">
        <f>IFERROR(AT53*$BD53,0)</f>
        <v/>
      </c>
      <c r="BI53" s="39">
        <f>BH53*1.03</f>
        <v/>
      </c>
      <c r="BJ53" s="39">
        <f>BI53*1.03</f>
        <v/>
      </c>
      <c r="BK53" s="39">
        <f>BJ53*1.03</f>
        <v/>
      </c>
      <c r="BL53" s="39">
        <f>BK53*1.03</f>
        <v/>
      </c>
      <c r="BM53" s="39">
        <f>IFERROR(AY53*$BD53,0)</f>
        <v/>
      </c>
      <c r="BN53" s="39">
        <f>IFERROR(AZ53*$BD53,0)</f>
        <v/>
      </c>
      <c r="BO53" s="39">
        <f>IFERROR(BA53*$BD53,0)</f>
        <v/>
      </c>
      <c r="BP53" s="40" t="n"/>
      <c r="BQ53" s="40">
        <f>IF(VALUE(MID(BQ$5,6,1))&lt;=$D$2,((1+$BD$3)^1-1)*BG53,0)</f>
        <v/>
      </c>
      <c r="BR53" s="40">
        <f>IF(VALUE(MID(BR$5,6,1))&lt;=$D$2,((1+$BD$3)^2-1)*BH53,0)</f>
        <v/>
      </c>
      <c r="BS53" s="40">
        <f>IF(VALUE(MID(BS$5,6,1))&lt;=$D$2,((1+$BD$3)^3-1)*BI53,0)</f>
        <v/>
      </c>
      <c r="BT53" s="40">
        <f>IF(VALUE(MID(BT$5,6,1))&lt;=$D$2,((1+$BD$3)^4-1)*BJ53,0)</f>
        <v/>
      </c>
      <c r="BU53" s="40">
        <f>IF(VALUE(MID(BU$5,6,1))&lt;=$D$2,((1+$BD$3)^5-1)*BK53,0)</f>
        <v/>
      </c>
      <c r="BV53" s="40">
        <f>IF(VALUE(MID(BV$5,6,1))&lt;=$D$2,((1+$BD$3)^6-1)*BL53,0)</f>
        <v/>
      </c>
      <c r="BW53" s="40">
        <f>IF(VALUE(MID(BW$5,6,1))&lt;=$D$2,((1+$BD$3)^7-1)*BM53,0)</f>
        <v/>
      </c>
      <c r="BX53" s="40">
        <f>IF(VALUE(MID(BX$5,6,1))&lt;=$D$2,((1+$BD$3)^8-1)*BN53,0)</f>
        <v/>
      </c>
      <c r="BY53" s="40">
        <f>IF(VALUE(MID(BY$5,6,2))&lt;=$D$2,((1+$BD$3)^9-1)*BO53,0)</f>
        <v/>
      </c>
      <c r="BZ53" s="40">
        <f>SUM(BP53:BY53)</f>
        <v/>
      </c>
      <c r="CA53" s="37">
        <f>SUM(BZ53,BF53:BO53)</f>
        <v/>
      </c>
      <c r="CC53" s="102" t="n"/>
      <c r="CD53" s="12" t="n"/>
      <c r="CE53" s="14">
        <f>IF($CC53="Annual",1,IF($CC53="Monthly F",12,IF($CC53="Monthly V",CD53*12,IF($CC53="One-Time",1,CD53*12))))</f>
        <v/>
      </c>
      <c r="CF53" s="14">
        <f t="array" ref="CF53">IFERROR(_xlfn.IFS(VALUE(MID(CF$5,6,1))&gt;$D$2,0,$CC53="Annual",1,CE53=12,12,$CC53="Monthly V",CE53*(1+$D$3),$CC53="Monthly F",12,$CC53="One-Time",0),CE53*(1+$D$3))</f>
        <v/>
      </c>
      <c r="CG53" s="14">
        <f t="array" ref="CG53">IFERROR(_xlfn.IFS(VALUE(MID(CG$5,6,1))&gt;$D$2,0,$CC53="Annual",1,CF53=12,12,$CC53="Monthly V",CF53*(1+$D$3),$CC53="Monthly F",12,$CC53="One-Time",0),CF53*(1+$D$3))</f>
        <v/>
      </c>
      <c r="CH53" s="14">
        <f t="array" ref="CH53">IFERROR(_xlfn.IFS(VALUE(MID(CH$5,6,1))&gt;$D$2,0,$CC53="Annual",1,CG53=12,12,$CC53="Monthly V",CG53*(1+$D$3),$CC53="Monthly F",12,$CC53="One-Time",0),CG53*(1+$D$3))</f>
        <v/>
      </c>
      <c r="CI53" s="14">
        <f t="array" ref="CI53">IFERROR(_xlfn.IFS(VALUE(MID(CI$5,6,1))&gt;$D$2,0,$CC53="Annual",1,CH53=12,12,$CC53="Monthly V",CH53*(1+$D$3),$CC53="Monthly F",12,$CC53="One-Time",0),CH53*(1+$D$3))</f>
        <v/>
      </c>
      <c r="CJ53" s="14">
        <f t="array" ref="CJ53">IFERROR(_xlfn.IFS(VALUE(MID(CJ$5,6,1))&gt;$D$2,0,$CC53="Annual",1,CI53=12,12,$CC53="Monthly V",CI53*(1+$D$3),$CC53="Monthly F",12,$CC53="One-Time",0),CI53*(1+$D$3))</f>
        <v/>
      </c>
      <c r="CK53" s="14">
        <f t="array" ref="CK53">IFERROR(_xlfn.IFS(VALUE(MID(CK$5,6,1))&gt;$D$2,0,$CC53="Annual",1,CJ53=12,12,$CC53="Monthly V",CJ53*(1+$D$3),$CC53="Monthly F",12,$CC53="One-Time",0),CJ53*(1+$D$3))</f>
        <v/>
      </c>
      <c r="CL53" s="14">
        <f t="array" ref="CL53">IFERROR(_xlfn.IFS(VALUE(MID(CL$5,6,1))&gt;$D$2,0,$CC53="Annual",1,CK53=12,12,$CC53="Monthly V",CK53*(1+$D$3),$CC53="Monthly F",12,$CC53="One-Time",0),CK53*(1+$D$3))</f>
        <v/>
      </c>
      <c r="CM53" s="14">
        <f t="array" ref="CM53">IFERROR(_xlfn.IFS(VALUE(MID(CM$5,6,1))&gt;$D$2,0,$CC53="Annual",1,CL53=12,12,$CC53="Monthly V",CL53*(1+$D$3),$CC53="Monthly F",12,$CC53="One-Time",0),CL53*(1+$D$3))</f>
        <v/>
      </c>
      <c r="CN53" s="24">
        <f t="array" ref="CN53">IFERROR(_xlfn.IFS(VALUE(MID(CN$5,6,2))&gt;$D$2,0,$CC53="Annual",1,CM53=12,12,$CC53="Monthly V",CM53*(1+$D$3),$CC53="Monthly F",12,$CC53="One-Time",0),CM53*(1+$D$3))</f>
        <v/>
      </c>
      <c r="CO53" s="63" t="n"/>
      <c r="CP53" s="53" t="n"/>
      <c r="CQ53" s="21">
        <f>CR53/12</f>
        <v/>
      </c>
      <c r="CR53" s="55">
        <f>IFERROR(CE53*$CP53,0)</f>
        <v/>
      </c>
      <c r="CS53" s="55">
        <f>IFERROR(CF53*$CP53,0)</f>
        <v/>
      </c>
      <c r="CT53" s="55">
        <f>IFERROR(CG53*$CP53,0)</f>
        <v/>
      </c>
      <c r="CU53" s="55">
        <f>IFERROR(CH53*$CP53,0)</f>
        <v/>
      </c>
      <c r="CV53" s="55">
        <f>IFERROR(CI53*$CP53,0)</f>
        <v/>
      </c>
      <c r="CW53" s="55">
        <f>IFERROR(CJ53*$CP53,0)</f>
        <v/>
      </c>
      <c r="CX53" s="55">
        <f>IFERROR(CK53*$CP53,0)</f>
        <v/>
      </c>
      <c r="CY53" s="55">
        <f>IFERROR(CL53*$CP53,0)</f>
        <v/>
      </c>
      <c r="CZ53" s="55">
        <f>IFERROR(CM53*$CP53,0)</f>
        <v/>
      </c>
      <c r="DA53" s="55">
        <f>IFERROR(CN53*$CP53,0)</f>
        <v/>
      </c>
      <c r="DB53" s="56" t="n"/>
      <c r="DC53" s="56">
        <f>IF(VALUE(MID(DC$5,6,1))&lt;=$D$2,((1+$CP$3)^1-1)*CS53,0)</f>
        <v/>
      </c>
      <c r="DD53" s="56">
        <f>IF(VALUE(MID(DD$5,6,1))&lt;=$D$2,((1+$CP$3)^2-1)*CT53,0)</f>
        <v/>
      </c>
      <c r="DE53" s="56">
        <f>IF(VALUE(MID(DE$5,6,1))&lt;=$D$2,((1+$CP$3)^3-1)*CU53,0)</f>
        <v/>
      </c>
      <c r="DF53" s="56">
        <f>IF(VALUE(MID(DF$5,6,1))&lt;=$D$2,((1+$CP$3)^4-1)*CV53,0)</f>
        <v/>
      </c>
      <c r="DG53" s="56">
        <f>IF(VALUE(MID(DG$5,6,1))&lt;=$D$2,((1+$CP$3)^5-1)*CW53,0)</f>
        <v/>
      </c>
      <c r="DH53" s="56">
        <f>IF(VALUE(MID(DH$5,6,1))&lt;=$D$2,((1+$CP$3)^6-1)*CX53,0)</f>
        <v/>
      </c>
      <c r="DI53" s="56">
        <f>IF(VALUE(MID(DI$5,6,1))&lt;=$D$2,((1+$CP$3)^7-1)*CY53,0)</f>
        <v/>
      </c>
      <c r="DJ53" s="56">
        <f>IF(VALUE(MID(DJ$5,6,1))&lt;=$D$2,((1+$CP$3)^8-1)*CZ53,0)</f>
        <v/>
      </c>
      <c r="DK53" s="56">
        <f>IF(VALUE(MID(DK$5,6,2))&lt;=$D$2,((1+$CP$3)^9-1)*DA53,0)</f>
        <v/>
      </c>
      <c r="DL53" s="57">
        <f>SUM(DB53:DK53)</f>
        <v/>
      </c>
      <c r="DM53" s="54">
        <f>SUM(DL53,CR53:DA53)</f>
        <v/>
      </c>
      <c r="DO53" s="106" t="n"/>
    </row>
    <row r="54" ht="15.75" customHeight="1" thickBot="1">
      <c r="B54" s="141" t="n"/>
      <c r="C54" s="24" t="n"/>
      <c r="D54" s="147" t="n"/>
      <c r="E54" s="142" t="n"/>
      <c r="F54" s="14" t="n"/>
      <c r="G54" s="14" t="n"/>
      <c r="H54" s="14" t="n"/>
      <c r="I54" s="14" t="n"/>
      <c r="J54" s="14" t="n"/>
      <c r="K54" s="14" t="n"/>
      <c r="L54" s="14" t="n"/>
      <c r="M54" s="14" t="n"/>
      <c r="N54" s="24" t="n"/>
      <c r="O54" s="127" t="n"/>
      <c r="P54" s="13" t="n"/>
      <c r="Q54" s="20" t="n"/>
      <c r="R54" s="21" t="n"/>
      <c r="S54" s="6" t="n"/>
      <c r="T54" s="6" t="n"/>
      <c r="U54" s="6" t="n"/>
      <c r="V54" s="6" t="n"/>
      <c r="W54" s="6" t="n"/>
      <c r="X54" s="6" t="n"/>
      <c r="Y54" s="6" t="n"/>
      <c r="Z54" s="6" t="n"/>
      <c r="AA54" s="6" t="n"/>
      <c r="AB54" s="6" t="n"/>
      <c r="AC54" s="7" t="n"/>
      <c r="AD54" s="152" t="n"/>
      <c r="AE54" s="152" t="n"/>
      <c r="AF54" s="152" t="n"/>
      <c r="AG54" s="152" t="n"/>
      <c r="AH54" s="152" t="n"/>
      <c r="AI54" s="152" t="n"/>
      <c r="AJ54" s="152" t="n"/>
      <c r="AK54" s="152" t="n"/>
      <c r="AL54" s="152" t="n"/>
      <c r="AM54" s="9" t="n"/>
      <c r="AN54" s="80" t="n"/>
      <c r="AP54" s="102" t="n"/>
      <c r="AQ54" s="12" t="n"/>
      <c r="AR54" s="14" t="n"/>
      <c r="AS54" s="14" t="n"/>
      <c r="AT54" s="14" t="n"/>
      <c r="AU54" s="14" t="n"/>
      <c r="AV54" s="14" t="n"/>
      <c r="AW54" s="14" t="n"/>
      <c r="AX54" s="14" t="n"/>
      <c r="AY54" s="14" t="n"/>
      <c r="AZ54" s="14" t="n"/>
      <c r="BA54" s="125" t="n"/>
      <c r="BB54" s="148" t="n"/>
      <c r="BC54" s="38" t="n"/>
      <c r="BD54" s="36" t="n"/>
      <c r="BE54" s="21" t="n"/>
      <c r="BF54" s="39" t="n"/>
      <c r="BG54" s="39" t="n"/>
      <c r="BH54" s="39" t="n"/>
      <c r="BI54" s="39">
        <f>BH54*1.03</f>
        <v/>
      </c>
      <c r="BJ54" s="39">
        <f>BI54*1.03</f>
        <v/>
      </c>
      <c r="BK54" s="39">
        <f>BJ54*1.03</f>
        <v/>
      </c>
      <c r="BL54" s="39">
        <f>BK54*1.03</f>
        <v/>
      </c>
      <c r="BM54" s="39" t="n"/>
      <c r="BN54" s="39" t="n"/>
      <c r="BO54" s="39" t="n"/>
      <c r="BP54" s="40" t="n"/>
      <c r="BQ54" s="40" t="n"/>
      <c r="BR54" s="40" t="n"/>
      <c r="BS54" s="40" t="n"/>
      <c r="BT54" s="40" t="n"/>
      <c r="BU54" s="40" t="n"/>
      <c r="BV54" s="40" t="n"/>
      <c r="BW54" s="40" t="n"/>
      <c r="BX54" s="40" t="n"/>
      <c r="BY54" s="40" t="n"/>
      <c r="BZ54" s="40" t="n"/>
      <c r="CA54" s="37" t="n"/>
      <c r="CC54" s="102" t="n"/>
      <c r="CD54" s="12" t="n"/>
      <c r="CE54" s="14" t="n"/>
      <c r="CF54" s="14" t="n"/>
      <c r="CG54" s="14" t="n"/>
      <c r="CH54" s="14" t="n"/>
      <c r="CI54" s="14" t="n"/>
      <c r="CJ54" s="14" t="n"/>
      <c r="CK54" s="14" t="n"/>
      <c r="CL54" s="14" t="n"/>
      <c r="CM54" s="14" t="n"/>
      <c r="CN54" s="24" t="n"/>
      <c r="CO54" s="63" t="n"/>
      <c r="CP54" s="53" t="n"/>
      <c r="CQ54" s="21" t="n"/>
      <c r="CR54" s="55" t="n"/>
      <c r="CS54" s="55" t="n"/>
      <c r="CT54" s="55" t="n"/>
      <c r="CU54" s="55" t="n"/>
      <c r="CV54" s="55" t="n"/>
      <c r="CW54" s="55" t="n"/>
      <c r="CX54" s="55" t="n"/>
      <c r="CY54" s="55" t="n"/>
      <c r="CZ54" s="55" t="n"/>
      <c r="DA54" s="55" t="n"/>
      <c r="DB54" s="56" t="n"/>
      <c r="DC54" s="56" t="n"/>
      <c r="DD54" s="56" t="n"/>
      <c r="DE54" s="56" t="n"/>
      <c r="DF54" s="56" t="n"/>
      <c r="DG54" s="56" t="n"/>
      <c r="DH54" s="56" t="n"/>
      <c r="DI54" s="56" t="n"/>
      <c r="DJ54" s="56" t="n"/>
      <c r="DK54" s="56" t="n"/>
      <c r="DL54" s="57" t="n"/>
      <c r="DM54" s="54" t="n"/>
      <c r="DO54" s="106" t="n"/>
    </row>
    <row r="55" ht="15.75" customHeight="1" thickBot="1">
      <c r="B55" s="280" t="inlineStr">
        <is>
          <t>Recurring Monthly and Annual Fees - Non-Bundle REQUIRED Third Parties</t>
        </is>
      </c>
      <c r="C55" s="267" t="n"/>
      <c r="D55" s="267" t="n"/>
      <c r="E55" s="267" t="n"/>
      <c r="F55" s="267" t="n"/>
      <c r="G55" s="267" t="n"/>
      <c r="H55" s="267" t="n"/>
      <c r="I55" s="267" t="n"/>
      <c r="J55" s="267" t="n"/>
      <c r="K55" s="267" t="n"/>
      <c r="L55" s="267" t="n"/>
      <c r="M55" s="267" t="n"/>
      <c r="N55" s="267" t="n"/>
      <c r="O55" s="267" t="n"/>
      <c r="P55" s="267" t="n"/>
      <c r="Q55" s="267" t="n"/>
      <c r="R55" s="267" t="n"/>
      <c r="S55" s="267" t="n"/>
      <c r="T55" s="267" t="n"/>
      <c r="U55" s="267" t="n"/>
      <c r="V55" s="267" t="n"/>
      <c r="W55" s="267" t="n"/>
      <c r="X55" s="267" t="n"/>
      <c r="Y55" s="267" t="n"/>
      <c r="Z55" s="267" t="n"/>
      <c r="AA55" s="267" t="n"/>
      <c r="AB55" s="267" t="n"/>
      <c r="AC55" s="267" t="n"/>
      <c r="AD55" s="267" t="n"/>
      <c r="AE55" s="267" t="n"/>
      <c r="AF55" s="267" t="n"/>
      <c r="AG55" s="267" t="n"/>
      <c r="AH55" s="267" t="n"/>
      <c r="AI55" s="267" t="n"/>
      <c r="AJ55" s="267" t="n"/>
      <c r="AK55" s="267" t="n"/>
      <c r="AL55" s="267" t="n"/>
      <c r="AM55" s="267" t="n"/>
      <c r="AN55" s="281" t="n"/>
      <c r="AP55" s="102" t="inlineStr">
        <is>
          <t>Monthly F</t>
        </is>
      </c>
      <c r="AQ55" s="12" t="n">
        <v>0</v>
      </c>
      <c r="AR55" s="14">
        <f>IF($AP55="Annual",1,IF($AP55="Monthly F",12,IF($AP55="Monthly V",AQ55*12,IF($AP55="One-Time",1,AQ55*12))))</f>
        <v/>
      </c>
      <c r="AS55" s="14">
        <f t="array" ref="AS55">IFERROR(_xlfn.IFS(VALUE(MID(AS$5,6,1))&gt;$D$2,0,$AP55="Annual",1,AR55=12,12,$AP55="Monthly V",AR55*(1+$BD$2),$AP55="Monthly F",12,$AP55="One-Time",0),AR55*(1+$BD$2))</f>
        <v/>
      </c>
      <c r="AT55" s="14">
        <f t="array" ref="AT55">IFERROR(_xlfn.IFS(VALUE(MID(AT$5,6,1))&gt;$D$2,0,$AP55="Annual",1,AS55=12,12,$AP55="Monthly V",AS55*(1+$BD$2),$AP55="Monthly F",12,$AP55="One-Time",0),AS55*(1+$BD$2))</f>
        <v/>
      </c>
      <c r="AU55" s="14">
        <f t="array" ref="AU55">IFERROR(_xlfn.IFS(VALUE(MID(AU$5,6,1))&gt;$D$2,0,$AP55="Annual",1,AT55=12,12,$AP55="Monthly V",AT55*(1+$BD$2),$AP55="Monthly F",12,$AP55="One-Time",0),AT55*(1+$BD$2))</f>
        <v/>
      </c>
      <c r="AV55" s="14">
        <f t="array" ref="AV55">IFERROR(_xlfn.IFS(VALUE(MID(AV$5,6,1))&gt;$D$2,0,$AP55="Annual",1,AU55=12,12,$AP55="Monthly V",AU55*(1+$BD$2),$AP55="Monthly F",12,$AP55="One-Time",0),AU55*(1+$BD$2))</f>
        <v/>
      </c>
      <c r="AW55" s="14">
        <f t="array" ref="AW55">IFERROR(_xlfn.IFS(VALUE(MID(AW$5,6,1))&gt;$D$2,0,$AP55="Annual",1,AV55=12,12,$AP55="Monthly V",AV55*(1+$BD$2),$AP55="Monthly F",12,$AP55="One-Time",0),AV55*(1+$BD$2))</f>
        <v/>
      </c>
      <c r="AX55" s="14">
        <f t="array" ref="AX55">IFERROR(_xlfn.IFS(VALUE(MID(AX$5,6,1))&gt;$D$2,0,$AP55="Annual",1,AW55=12,12,$AP55="Monthly V",AW55*(1+$BD$2),$AP55="Monthly F",12,$AP55="One-Time",0),AW55*(1+$BD$2))</f>
        <v/>
      </c>
      <c r="AY55" s="14">
        <f t="array" ref="AY55">IFERROR(_xlfn.IFS(VALUE(MID(AY$5,6,1))&gt;$D$2,0,$AP55="Annual",1,AX55=12,12,$AP55="Monthly V",AX55*(1+$D$3),$AP55="Monthly F",12,$AP55="One-Time",0),AX55*(1+$D$3))</f>
        <v/>
      </c>
      <c r="AZ55" s="14">
        <f t="array" ref="AZ55">IFERROR(_xlfn.IFS(VALUE(MID(AZ$5,6,1))&gt;$D$2,0,$AP55="Annual",1,AY55=12,12,$AP55="Monthly V",AY55*(1+$D$3),$AP55="Monthly F",12,$AP55="One-Time",0),AY55*(1+$D$3))</f>
        <v/>
      </c>
      <c r="BA55" s="125">
        <f t="array" ref="BA55">IFERROR(_xlfn.IFS(VALUE(MID(BA$5,6,2))&gt;$D$2,0,$AP55="Annual",1,AZ55=12,12,$AP55="Monthly V",AZ55*(1+$D$3),$AP55="Monthly F",12,$AP55="One-Time",0),AZ55*(1+$D$3))</f>
        <v/>
      </c>
      <c r="BB55" s="148" t="inlineStr">
        <is>
          <t>MyCardRules JHA Debit Processing</t>
        </is>
      </c>
      <c r="BC55" s="38" t="inlineStr">
        <is>
          <t>Card Processing Solutions (CPS)</t>
        </is>
      </c>
      <c r="BD55" s="36" t="n">
        <v>250</v>
      </c>
      <c r="BE55" s="21">
        <f>BF55/12</f>
        <v/>
      </c>
      <c r="BF55" s="39">
        <f>IFERROR(AR55*$BD55,0)</f>
        <v/>
      </c>
      <c r="BG55" s="39">
        <f>IFERROR(AS55*$BD55,0)</f>
        <v/>
      </c>
      <c r="BH55" s="39">
        <f>IFERROR(AT55*$BD55,0)</f>
        <v/>
      </c>
      <c r="BI55" s="39">
        <f>BH55*1.03</f>
        <v/>
      </c>
      <c r="BJ55" s="39">
        <f>BI55*1.03</f>
        <v/>
      </c>
      <c r="BK55" s="39">
        <f>BJ55*1.03</f>
        <v/>
      </c>
      <c r="BL55" s="39">
        <f>BK55*1.03</f>
        <v/>
      </c>
      <c r="BM55" s="39">
        <f>IFERROR(AY55*$BD55,0)</f>
        <v/>
      </c>
      <c r="BN55" s="39">
        <f>IFERROR(AZ55*$BD55,0)</f>
        <v/>
      </c>
      <c r="BO55" s="39">
        <f>IFERROR(BA55*$BD55,0)</f>
        <v/>
      </c>
      <c r="BP55" s="40" t="n"/>
      <c r="BQ55" s="40">
        <f>IF(VALUE(MID(BQ$5,6,1))&lt;=$D$2,((1+$BD$3)^1-1)*BG55,0)</f>
        <v/>
      </c>
      <c r="BR55" s="40">
        <f>IF(VALUE(MID(BR$5,6,1))&lt;=$D$2,((1+$BD$3)^2-1)*BH55,0)</f>
        <v/>
      </c>
      <c r="BS55" s="40">
        <f>IF(VALUE(MID(BS$5,6,1))&lt;=$D$2,((1+$BD$3)^3-1)*BI55,0)</f>
        <v/>
      </c>
      <c r="BT55" s="40">
        <f>IF(VALUE(MID(BT$5,6,1))&lt;=$D$2,((1+$BD$3)^4-1)*BJ55,0)</f>
        <v/>
      </c>
      <c r="BU55" s="40">
        <f>IF(VALUE(MID(BU$5,6,1))&lt;=$D$2,((1+$BD$3)^5-1)*BK55,0)</f>
        <v/>
      </c>
      <c r="BV55" s="40">
        <f>IF(VALUE(MID(BV$5,6,1))&lt;=$D$2,((1+$BD$3)^6-1)*BL55,0)</f>
        <v/>
      </c>
      <c r="BW55" s="40">
        <f>IF(VALUE(MID(BW$5,6,1))&lt;=$D$2,((1+$BD$3)^7-1)*BM55,0)</f>
        <v/>
      </c>
      <c r="BX55" s="40">
        <f>IF(VALUE(MID(BX$5,6,1))&lt;=$D$2,((1+$BD$3)^8-1)*BN55,0)</f>
        <v/>
      </c>
      <c r="BY55" s="40">
        <f>IF(VALUE(MID(BY$5,6,2))&lt;=$D$2,((1+$BD$3)^9-1)*BO55,0)</f>
        <v/>
      </c>
      <c r="BZ55" s="40">
        <f>SUM(BP55:BY55)</f>
        <v/>
      </c>
      <c r="CA55" s="37">
        <f>SUM(BZ55,BF55:BO55)</f>
        <v/>
      </c>
      <c r="CC55" s="102" t="n"/>
      <c r="CD55" s="12" t="n"/>
      <c r="CE55" s="14">
        <f>IF($CC55="Annual",1,IF($CC55="Monthly F",12,IF($CC55="Monthly V",CD55*12,IF($CC55="One-Time",1,CD55*12))))</f>
        <v/>
      </c>
      <c r="CF55" s="14">
        <f t="array" ref="CF55">IFERROR(_xlfn.IFS(VALUE(MID(CF$5,6,1))&gt;$D$2,0,$CC55="Annual",1,CE55=12,12,$CC55="Monthly V",CE55*(1+$D$3),$CC55="Monthly F",12,$CC55="One-Time",0),CE55*(1+$D$3))</f>
        <v/>
      </c>
      <c r="CG55" s="14">
        <f t="array" ref="CG55">IFERROR(_xlfn.IFS(VALUE(MID(CG$5,6,1))&gt;$D$2,0,$CC55="Annual",1,CF55=12,12,$CC55="Monthly V",CF55*(1+$D$3),$CC55="Monthly F",12,$CC55="One-Time",0),CF55*(1+$D$3))</f>
        <v/>
      </c>
      <c r="CH55" s="14">
        <f t="array" ref="CH55">IFERROR(_xlfn.IFS(VALUE(MID(CH$5,6,1))&gt;$D$2,0,$CC55="Annual",1,CG55=12,12,$CC55="Monthly V",CG55*(1+$D$3),$CC55="Monthly F",12,$CC55="One-Time",0),CG55*(1+$D$3))</f>
        <v/>
      </c>
      <c r="CI55" s="14">
        <f t="array" ref="CI55">IFERROR(_xlfn.IFS(VALUE(MID(CI$5,6,1))&gt;$D$2,0,$CC55="Annual",1,CH55=12,12,$CC55="Monthly V",CH55*(1+$D$3),$CC55="Monthly F",12,$CC55="One-Time",0),CH55*(1+$D$3))</f>
        <v/>
      </c>
      <c r="CJ55" s="14">
        <f t="array" ref="CJ55">IFERROR(_xlfn.IFS(VALUE(MID(CJ$5,6,1))&gt;$D$2,0,$CC55="Annual",1,CI55=12,12,$CC55="Monthly V",CI55*(1+$D$3),$CC55="Monthly F",12,$CC55="One-Time",0),CI55*(1+$D$3))</f>
        <v/>
      </c>
      <c r="CK55" s="14">
        <f t="array" ref="CK55">IFERROR(_xlfn.IFS(VALUE(MID(CK$5,6,1))&gt;$D$2,0,$CC55="Annual",1,CJ55=12,12,$CC55="Monthly V",CJ55*(1+$D$3),$CC55="Monthly F",12,$CC55="One-Time",0),CJ55*(1+$D$3))</f>
        <v/>
      </c>
      <c r="CL55" s="14">
        <f t="array" ref="CL55">IFERROR(_xlfn.IFS(VALUE(MID(CL$5,6,1))&gt;$D$2,0,$CC55="Annual",1,CK55=12,12,$CC55="Monthly V",CK55*(1+$D$3),$CC55="Monthly F",12,$CC55="One-Time",0),CK55*(1+$D$3))</f>
        <v/>
      </c>
      <c r="CM55" s="14">
        <f t="array" ref="CM55">IFERROR(_xlfn.IFS(VALUE(MID(CM$5,6,1))&gt;$D$2,0,$CC55="Annual",1,CL55=12,12,$CC55="Monthly V",CL55*(1+$D$3),$CC55="Monthly F",12,$CC55="One-Time",0),CL55*(1+$D$3))</f>
        <v/>
      </c>
      <c r="CN55" s="24">
        <f t="array" ref="CN55">IFERROR(_xlfn.IFS(VALUE(MID(CN$5,6,2))&gt;$D$2,0,$CC55="Annual",1,CM55=12,12,$CC55="Monthly V",CM55*(1+$D$3),$CC55="Monthly F",12,$CC55="One-Time",0),CM55*(1+$D$3))</f>
        <v/>
      </c>
      <c r="CO55" s="63" t="n"/>
      <c r="CP55" s="53" t="n"/>
      <c r="CQ55" s="21">
        <f>CR55/12</f>
        <v/>
      </c>
      <c r="CR55" s="55">
        <f>IFERROR(CE55*$CP55,0)</f>
        <v/>
      </c>
      <c r="CS55" s="55">
        <f>IFERROR(CF55*$CP55,0)</f>
        <v/>
      </c>
      <c r="CT55" s="55">
        <f>IFERROR(CG55*$CP55,0)</f>
        <v/>
      </c>
      <c r="CU55" s="55">
        <f>IFERROR(CH55*$CP55,0)</f>
        <v/>
      </c>
      <c r="CV55" s="55">
        <f>IFERROR(CI55*$CP55,0)</f>
        <v/>
      </c>
      <c r="CW55" s="55">
        <f>IFERROR(CJ55*$CP55,0)</f>
        <v/>
      </c>
      <c r="CX55" s="55">
        <f>IFERROR(CK55*$CP55,0)</f>
        <v/>
      </c>
      <c r="CY55" s="55">
        <f>IFERROR(CL55*$CP55,0)</f>
        <v/>
      </c>
      <c r="CZ55" s="55">
        <f>IFERROR(CM55*$CP55,0)</f>
        <v/>
      </c>
      <c r="DA55" s="55">
        <f>IFERROR(CN55*$CP55,0)</f>
        <v/>
      </c>
      <c r="DB55" s="56" t="n"/>
      <c r="DC55" s="56">
        <f>IF(VALUE(MID(DC$5,6,1))&lt;=$D$2,((1+$CP$3)^1-1)*CS55,0)</f>
        <v/>
      </c>
      <c r="DD55" s="56">
        <f>IF(VALUE(MID(DD$5,6,1))&lt;=$D$2,((1+$CP$3)^2-1)*CT55,0)</f>
        <v/>
      </c>
      <c r="DE55" s="56">
        <f>IF(VALUE(MID(DE$5,6,1))&lt;=$D$2,((1+$CP$3)^3-1)*CU55,0)</f>
        <v/>
      </c>
      <c r="DF55" s="56">
        <f>IF(VALUE(MID(DF$5,6,1))&lt;=$D$2,((1+$CP$3)^4-1)*CV55,0)</f>
        <v/>
      </c>
      <c r="DG55" s="56">
        <f>IF(VALUE(MID(DG$5,6,1))&lt;=$D$2,((1+$CP$3)^5-1)*CW55,0)</f>
        <v/>
      </c>
      <c r="DH55" s="56">
        <f>IF(VALUE(MID(DH$5,6,1))&lt;=$D$2,((1+$CP$3)^6-1)*CX55,0)</f>
        <v/>
      </c>
      <c r="DI55" s="56">
        <f>IF(VALUE(MID(DI$5,6,1))&lt;=$D$2,((1+$CP$3)^7-1)*CY55,0)</f>
        <v/>
      </c>
      <c r="DJ55" s="56">
        <f>IF(VALUE(MID(DJ$5,6,1))&lt;=$D$2,((1+$CP$3)^8-1)*CZ55,0)</f>
        <v/>
      </c>
      <c r="DK55" s="56">
        <f>IF(VALUE(MID(DK$5,6,2))&lt;=$D$2,((1+$CP$3)^9-1)*DA55,0)</f>
        <v/>
      </c>
      <c r="DL55" s="57">
        <f>SUM(DB55:DK55)</f>
        <v/>
      </c>
      <c r="DM55" s="54">
        <f>SUM(DL55,CR55:DA55)</f>
        <v/>
      </c>
      <c r="DO55" s="106" t="n"/>
    </row>
    <row r="56">
      <c r="B56" s="188" t="n"/>
      <c r="C56" s="189" t="n"/>
      <c r="D56" s="189" t="n"/>
      <c r="E56" s="189" t="n"/>
      <c r="F56" s="189" t="n"/>
      <c r="G56" s="189" t="n"/>
      <c r="H56" s="189" t="n"/>
      <c r="I56" s="189" t="n"/>
      <c r="J56" s="189" t="n"/>
      <c r="K56" s="189" t="n"/>
      <c r="L56" s="189" t="n"/>
      <c r="M56" s="189"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90" t="n"/>
      <c r="AP56" s="102" t="inlineStr">
        <is>
          <t>Monthly F</t>
        </is>
      </c>
      <c r="AQ56" s="12" t="n">
        <v>1</v>
      </c>
      <c r="AR56" s="14">
        <f>IF($AP56="Annual",1,IF($AP56="Monthly F",12,IF($AP56="Monthly V",AQ56*12,IF($AP56="One-Time",1,AQ56*12))))</f>
        <v/>
      </c>
      <c r="AS56" s="14">
        <f t="array" ref="AS56">IFERROR(_xlfn.IFS(VALUE(MID(AS$5,6,1))&gt;$D$2,0,$AP56="Annual",1,AR56=12,12,$AP56="Monthly V",AR56*(1+$BD$2),$AP56="Monthly F",12,$AP56="One-Time",0),AR56*(1+$BD$2))</f>
        <v/>
      </c>
      <c r="AT56" s="14">
        <f t="array" ref="AT56">IFERROR(_xlfn.IFS(VALUE(MID(AT$5,6,1))&gt;$D$2,0,$AP56="Annual",1,AS56=12,12,$AP56="Monthly V",AS56*(1+$BD$2),$AP56="Monthly F",12,$AP56="One-Time",0),AS56*(1+$BD$2))</f>
        <v/>
      </c>
      <c r="AU56" s="14">
        <f t="array" ref="AU56">IFERROR(_xlfn.IFS(VALUE(MID(AU$5,6,1))&gt;$D$2,0,$AP56="Annual",1,AT56=12,12,$AP56="Monthly V",AT56*(1+$BD$2),$AP56="Monthly F",12,$AP56="One-Time",0),AT56*(1+$BD$2))</f>
        <v/>
      </c>
      <c r="AV56" s="14">
        <f t="array" ref="AV56">IFERROR(_xlfn.IFS(VALUE(MID(AV$5,6,1))&gt;$D$2,0,$AP56="Annual",1,AU56=12,12,$AP56="Monthly V",AU56*(1+$BD$2),$AP56="Monthly F",12,$AP56="One-Time",0),AU56*(1+$BD$2))</f>
        <v/>
      </c>
      <c r="AW56" s="14">
        <f t="array" ref="AW56">IFERROR(_xlfn.IFS(VALUE(MID(AW$5,6,1))&gt;$D$2,0,$AP56="Annual",1,AV56=12,12,$AP56="Monthly V",AV56*(1+$BD$2),$AP56="Monthly F",12,$AP56="One-Time",0),AV56*(1+$BD$2))</f>
        <v/>
      </c>
      <c r="AX56" s="14">
        <f t="array" ref="AX56">IFERROR(_xlfn.IFS(VALUE(MID(AX$5,6,1))&gt;$D$2,0,$AP56="Annual",1,AW56=12,12,$AP56="Monthly V",AW56*(1+$BD$2),$AP56="Monthly F",12,$AP56="One-Time",0),AW56*(1+$BD$2))</f>
        <v/>
      </c>
      <c r="AY56" s="14">
        <f t="array" ref="AY56">IFERROR(_xlfn.IFS(VALUE(MID(AY$5,6,1))&gt;$D$2,0,$AP56="Annual",1,AX56=12,12,$AP56="Monthly V",AX56*(1+$D$3),$AP56="Monthly F",12,$AP56="One-Time",0),AX56*(1+$D$3))</f>
        <v/>
      </c>
      <c r="AZ56" s="14">
        <f t="array" ref="AZ56">IFERROR(_xlfn.IFS(VALUE(MID(AZ$5,6,1))&gt;$D$2,0,$AP56="Annual",1,AY56=12,12,$AP56="Monthly V",AY56*(1+$D$3),$AP56="Monthly F",12,$AP56="One-Time",0),AY56*(1+$D$3))</f>
        <v/>
      </c>
      <c r="BA56" s="125">
        <f t="array" ref="BA56">IFERROR(_xlfn.IFS(VALUE(MID(BA$5,6,2))&gt;$D$2,0,$AP56="Annual",1,AZ56=12,12,$AP56="Monthly V",AZ56*(1+$D$3),$AP56="Monthly F",12,$AP56="One-Time",0),AZ56*(1+$D$3))</f>
        <v/>
      </c>
      <c r="BB56" s="148" t="inlineStr">
        <is>
          <t>JHA Hot Card Center JHA Debit Processing</t>
        </is>
      </c>
      <c r="BC56" s="38" t="inlineStr">
        <is>
          <t>Card Processing Solutions (CPS)</t>
        </is>
      </c>
      <c r="BD56" s="36" t="n">
        <v>100</v>
      </c>
      <c r="BE56" s="21">
        <f>BF56/12</f>
        <v/>
      </c>
      <c r="BF56" s="39">
        <f>IFERROR(AR56*$BD56,0)</f>
        <v/>
      </c>
      <c r="BG56" s="39">
        <f>IFERROR(AS56*$BD56,0)</f>
        <v/>
      </c>
      <c r="BH56" s="39">
        <f>IFERROR(AT56*$BD56,0)</f>
        <v/>
      </c>
      <c r="BI56" s="39">
        <f>BH56*1.03</f>
        <v/>
      </c>
      <c r="BJ56" s="39">
        <f>BI56*1.03</f>
        <v/>
      </c>
      <c r="BK56" s="39">
        <f>BJ56*1.03</f>
        <v/>
      </c>
      <c r="BL56" s="39">
        <f>BK56*1.03</f>
        <v/>
      </c>
      <c r="BM56" s="39">
        <f>IFERROR(AY56*$BD56,0)</f>
        <v/>
      </c>
      <c r="BN56" s="39">
        <f>IFERROR(AZ56*$BD56,0)</f>
        <v/>
      </c>
      <c r="BO56" s="39">
        <f>IFERROR(BA56*$BD56,0)</f>
        <v/>
      </c>
      <c r="BP56" s="40" t="n"/>
      <c r="BQ56" s="40">
        <f>IF(VALUE(MID(BQ$5,6,1))&lt;=$D$2,((1+$BD$3)^1-1)*BG56,0)</f>
        <v/>
      </c>
      <c r="BR56" s="40">
        <f>IF(VALUE(MID(BR$5,6,1))&lt;=$D$2,((1+$BD$3)^2-1)*BH56,0)</f>
        <v/>
      </c>
      <c r="BS56" s="40">
        <f>IF(VALUE(MID(BS$5,6,1))&lt;=$D$2,((1+$BD$3)^3-1)*BI56,0)</f>
        <v/>
      </c>
      <c r="BT56" s="40">
        <f>IF(VALUE(MID(BT$5,6,1))&lt;=$D$2,((1+$BD$3)^4-1)*BJ56,0)</f>
        <v/>
      </c>
      <c r="BU56" s="40">
        <f>IF(VALUE(MID(BU$5,6,1))&lt;=$D$2,((1+$BD$3)^5-1)*BK56,0)</f>
        <v/>
      </c>
      <c r="BV56" s="40">
        <f>IF(VALUE(MID(BV$5,6,1))&lt;=$D$2,((1+$BD$3)^6-1)*BL56,0)</f>
        <v/>
      </c>
      <c r="BW56" s="40">
        <f>IF(VALUE(MID(BW$5,6,1))&lt;=$D$2,((1+$BD$3)^7-1)*BM56,0)</f>
        <v/>
      </c>
      <c r="BX56" s="40">
        <f>IF(VALUE(MID(BX$5,6,1))&lt;=$D$2,((1+$BD$3)^8-1)*BN56,0)</f>
        <v/>
      </c>
      <c r="BY56" s="40">
        <f>IF(VALUE(MID(BY$5,6,2))&lt;=$D$2,((1+$BD$3)^9-1)*BO56,0)</f>
        <v/>
      </c>
      <c r="BZ56" s="40">
        <f>SUM(BP56:BY56)</f>
        <v/>
      </c>
      <c r="CA56" s="37">
        <f>SUM(BZ56,BF56:BO56)</f>
        <v/>
      </c>
      <c r="CC56" s="102" t="n"/>
      <c r="CD56" s="12" t="n"/>
      <c r="CE56" s="14" t="n"/>
      <c r="CF56" s="14" t="n"/>
      <c r="CG56" s="14" t="n"/>
      <c r="CH56" s="14" t="n"/>
      <c r="CI56" s="14" t="n"/>
      <c r="CJ56" s="14" t="n"/>
      <c r="CK56" s="14" t="n"/>
      <c r="CL56" s="14" t="n"/>
      <c r="CM56" s="14" t="n"/>
      <c r="CN56" s="24" t="n"/>
      <c r="CO56" s="63" t="n"/>
      <c r="CP56" s="53" t="n"/>
      <c r="CQ56" s="21" t="n"/>
      <c r="CR56" s="55" t="n"/>
      <c r="CS56" s="55" t="n"/>
      <c r="CT56" s="55" t="n"/>
      <c r="CU56" s="55" t="n"/>
      <c r="CV56" s="55" t="n"/>
      <c r="CW56" s="55" t="n"/>
      <c r="CX56" s="55" t="n"/>
      <c r="CY56" s="55" t="n"/>
      <c r="CZ56" s="55" t="n"/>
      <c r="DA56" s="55" t="n"/>
      <c r="DB56" s="56" t="n"/>
      <c r="DC56" s="56" t="n"/>
      <c r="DD56" s="56" t="n"/>
      <c r="DE56" s="56" t="n"/>
      <c r="DF56" s="56" t="n"/>
      <c r="DG56" s="56" t="n"/>
      <c r="DH56" s="56" t="n"/>
      <c r="DI56" s="56" t="n"/>
      <c r="DJ56" s="56" t="n"/>
      <c r="DK56" s="56" t="n"/>
      <c r="DL56" s="57" t="n"/>
      <c r="DM56" s="54" t="n"/>
      <c r="DO56" s="106" t="n"/>
    </row>
    <row r="57">
      <c r="B57" s="188" t="n"/>
      <c r="C57" s="189" t="n"/>
      <c r="D57" s="189" t="n"/>
      <c r="E57" s="189" t="n"/>
      <c r="F57" s="189" t="n"/>
      <c r="G57" s="189" t="n"/>
      <c r="H57" s="189" t="n"/>
      <c r="I57" s="189" t="n"/>
      <c r="J57" s="189" t="n"/>
      <c r="K57" s="189" t="n"/>
      <c r="L57" s="189" t="n"/>
      <c r="M57" s="189"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90" t="n"/>
      <c r="AP57" s="102" t="n"/>
      <c r="AQ57" s="12" t="n"/>
      <c r="AR57" s="14" t="n"/>
      <c r="AS57" s="14" t="n"/>
      <c r="AT57" s="14" t="n"/>
      <c r="AU57" s="14" t="n"/>
      <c r="AV57" s="14" t="n"/>
      <c r="AW57" s="14" t="n"/>
      <c r="AX57" s="14" t="n"/>
      <c r="AY57" s="14" t="n"/>
      <c r="AZ57" s="14" t="n"/>
      <c r="BA57" s="125" t="n"/>
      <c r="BB57" s="148" t="n"/>
      <c r="BC57" s="38" t="n"/>
      <c r="BD57" s="36" t="n"/>
      <c r="BE57" s="21" t="n"/>
      <c r="BF57" s="39" t="n"/>
      <c r="BG57" s="39" t="n"/>
      <c r="BH57" s="39" t="n"/>
      <c r="BI57" s="39">
        <f>BH57*1.03</f>
        <v/>
      </c>
      <c r="BJ57" s="39">
        <f>BI57*1.03</f>
        <v/>
      </c>
      <c r="BK57" s="39">
        <f>BJ57*1.03</f>
        <v/>
      </c>
      <c r="BL57" s="39">
        <f>BK57*1.03</f>
        <v/>
      </c>
      <c r="BM57" s="39" t="n"/>
      <c r="BN57" s="39" t="n"/>
      <c r="BO57" s="39" t="n"/>
      <c r="BP57" s="40" t="n"/>
      <c r="BQ57" s="40" t="n"/>
      <c r="BR57" s="40" t="n"/>
      <c r="BS57" s="40" t="n"/>
      <c r="BT57" s="40" t="n"/>
      <c r="BU57" s="40" t="n"/>
      <c r="BV57" s="40" t="n"/>
      <c r="BW57" s="40" t="n"/>
      <c r="BX57" s="40" t="n"/>
      <c r="BY57" s="40" t="n"/>
      <c r="BZ57" s="40" t="n"/>
      <c r="CA57" s="37" t="n"/>
      <c r="CC57" s="102" t="n"/>
      <c r="CD57" s="12" t="n"/>
      <c r="CE57" s="14" t="n"/>
      <c r="CF57" s="14" t="n"/>
      <c r="CG57" s="14" t="n"/>
      <c r="CH57" s="14" t="n"/>
      <c r="CI57" s="14" t="n"/>
      <c r="CJ57" s="14" t="n"/>
      <c r="CK57" s="14" t="n"/>
      <c r="CL57" s="14" t="n"/>
      <c r="CM57" s="14" t="n"/>
      <c r="CN57" s="24" t="n"/>
      <c r="CO57" s="63" t="n"/>
      <c r="CP57" s="53" t="n"/>
      <c r="CQ57" s="21" t="n"/>
      <c r="CR57" s="55" t="n"/>
      <c r="CS57" s="55" t="n"/>
      <c r="CT57" s="55" t="n"/>
      <c r="CU57" s="55" t="n"/>
      <c r="CV57" s="55" t="n"/>
      <c r="CW57" s="55" t="n"/>
      <c r="CX57" s="55" t="n"/>
      <c r="CY57" s="55" t="n"/>
      <c r="CZ57" s="55" t="n"/>
      <c r="DA57" s="55" t="n"/>
      <c r="DB57" s="56" t="n"/>
      <c r="DC57" s="56" t="n"/>
      <c r="DD57" s="56" t="n"/>
      <c r="DE57" s="56" t="n"/>
      <c r="DF57" s="56" t="n"/>
      <c r="DG57" s="56" t="n"/>
      <c r="DH57" s="56" t="n"/>
      <c r="DI57" s="56" t="n"/>
      <c r="DJ57" s="56" t="n"/>
      <c r="DK57" s="56" t="n"/>
      <c r="DL57" s="57" t="n"/>
      <c r="DM57" s="54" t="n"/>
      <c r="DO57" s="106" t="n"/>
    </row>
    <row r="58">
      <c r="B58" s="141" t="inlineStr">
        <is>
          <t>Monthly F</t>
        </is>
      </c>
      <c r="C58" s="24" t="n">
        <v>1</v>
      </c>
      <c r="D58" s="147">
        <f>IFERROR(AVERAGE(C58:C58),0)</f>
        <v/>
      </c>
      <c r="E58" s="142">
        <f>IF($B58="Annual",1,IF($B58="Monthly F",12,IF($B58="Monthly V",D58*12,IF($B58="One-Time",1,D58*12))))</f>
        <v/>
      </c>
      <c r="F58" s="14">
        <f t="array" ref="F58">IFERROR(_xlfn.IFS(VALUE(MID(F$5,6,1))&gt;$D$2,0,$B58="Annual",1,E58=12,12,$B58="Monthly V",E58*(1+$D$3),$B58="Monthly F",12,$B58="One-Time",0),E58*(1+$D$3))</f>
        <v/>
      </c>
      <c r="G58" s="14">
        <f t="array" ref="G58">IFERROR(_xlfn.IFS(VALUE(MID(G$5,6,1))&gt;$D$2,0,$B58="Annual",1,F58=12,12,$B58="Monthly V",F58*(1+$D$3),$B58="Monthly F",12,$B58="One-Time",0),F58*(1+$D$3))</f>
        <v/>
      </c>
      <c r="H58" s="14">
        <f t="array" ref="H58">IFERROR(_xlfn.IFS(VALUE(MID(H$5,6,1))&gt;$D$2,0,$B58="Annual",1,G58=12,12,$B58="Monthly V",G58*(1+$D$3),$B58="Monthly F",12,$B58="One-Time",0),G58*(1+$D$3))</f>
        <v/>
      </c>
      <c r="I58" s="14">
        <f t="array" ref="I58">IFERROR(_xlfn.IFS(VALUE(MID(I$5,6,1))&gt;$D$2,0,$B58="Annual",1,H58=12,12,$B58="Monthly V",H58*(1+$D$3),$B58="Monthly F",12,$B58="One-Time",0),H58*(1+$D$3))</f>
        <v/>
      </c>
      <c r="J58" s="14">
        <f t="array" ref="J58">IFERROR(_xlfn.IFS(VALUE(MID(J$5,6,1))&gt;$D$2,0,$B58="Annual",1,I58=12,12,$B58="Monthly V",I58*(1+$D$3),$B58="Monthly F",12,$B58="One-Time",0),I58*(1+$D$3))</f>
        <v/>
      </c>
      <c r="K58" s="14">
        <f t="array" ref="K58">IFERROR(_xlfn.IFS(VALUE(MID(K$5,6,1))&gt;$D$2,0,$B58="Annual",1,J58=12,12,$B58="Monthly V",J58*(1+$D$3),$B58="Monthly F",12,$B58="One-Time",0),J58*(1+$D$3))</f>
        <v/>
      </c>
      <c r="L58" s="14">
        <f t="array" ref="L58">IFERROR(_xlfn.IFS(VALUE(MID(L$5,6,1))&gt;$D$2,0,$B58="Annual",1,K58=12,12,$B58="Monthly V",K58*(1+$D$3),$B58="Monthly F",12,$B58="One-Time",0),K58*(1+$D$3))</f>
        <v/>
      </c>
      <c r="M58" s="14">
        <f t="array" ref="M58">IFERROR(_xlfn.IFS(VALUE(MID(M$5,6,1))&gt;$D$2,0,$B58="Annual",1,L58=12,12,$B58="Monthly V",L58*(1+$D$3),$B58="Monthly F",12,$B58="One-Time",0),L58*(1+$D$3))</f>
        <v/>
      </c>
      <c r="N58" s="24">
        <f t="array" ref="N58">IFERROR(_xlfn.IFS(VALUE(MID(N$5,6,2))&gt;$D$2,0,$B58="Annual",1,M58=12,12,$B58="Monthly V",M58*(1+$D$3),$B58="Monthly F",12,$B58="One-Time",0),M58*(1+$D$3))</f>
        <v/>
      </c>
      <c r="O58" s="127" t="inlineStr">
        <is>
          <t>IBM Cognos (HORIZON 360)</t>
        </is>
      </c>
      <c r="P58" s="13" t="inlineStr">
        <is>
          <t>Reporting</t>
        </is>
      </c>
      <c r="Q58" s="20" t="n">
        <v>1172</v>
      </c>
      <c r="R58" s="21">
        <f>S58/12</f>
        <v/>
      </c>
      <c r="S58" s="6">
        <f>IFERROR($Q58*E58,0)</f>
        <v/>
      </c>
      <c r="T58" s="6">
        <f>IFERROR($Q58*F58,0)</f>
        <v/>
      </c>
      <c r="U58" s="6">
        <f>IFERROR($Q58*G58,0)</f>
        <v/>
      </c>
      <c r="V58" s="6">
        <f>IFERROR($Q58*H58,0)</f>
        <v/>
      </c>
      <c r="W58" s="6">
        <f>IFERROR($Q58*I58,0)</f>
        <v/>
      </c>
      <c r="X58" s="6">
        <f>IFERROR($Q58*J58,0)</f>
        <v/>
      </c>
      <c r="Y58" s="6">
        <f>IFERROR($Q58*K58,0)</f>
        <v/>
      </c>
      <c r="Z58" s="6">
        <f>IFERROR($Q58*L58,0)</f>
        <v/>
      </c>
      <c r="AA58" s="6">
        <f>IFERROR($Q58*M58,0)</f>
        <v/>
      </c>
      <c r="AB58" s="6">
        <f>IFERROR($Q58*N58,0)</f>
        <v/>
      </c>
      <c r="AC58" s="7" t="n"/>
      <c r="AD58" s="152">
        <f>IF(VALUE(MID(AD$5,6,1))&lt;=$D$2,((1+$Q$3)^1-1)*T58,0)</f>
        <v/>
      </c>
      <c r="AE58" s="152">
        <f>IF(VALUE(MID(AE$5,6,1))&lt;=$D$2,((1+$Q$3)^2-1)*U58,0)</f>
        <v/>
      </c>
      <c r="AF58" s="152">
        <f>IF(VALUE(MID(AF$5,6,1))&lt;=$D$2,((1+$Q$3)^3-1)*V58,0)</f>
        <v/>
      </c>
      <c r="AG58" s="152">
        <f>IF(VALUE(MID(AG$5,6,1))&lt;=$D$2,((1+$Q$3)^4-1)*W58,0)</f>
        <v/>
      </c>
      <c r="AH58" s="152">
        <f>IF(VALUE(MID(AH$5,6,1))&lt;=$D$2,((1+$Q$3)^5-1)*X58,0)</f>
        <v/>
      </c>
      <c r="AI58" s="152">
        <f>IF(VALUE(MID(AI$5,6,1))&lt;=$D$2,((1+$Q$3)^6-1)*Y58,0)</f>
        <v/>
      </c>
      <c r="AJ58" s="152">
        <f>IF(VALUE(MID(AJ$5,6,1))&lt;=$D$2,((1+$Q$3)^7-1)*Z58,0)</f>
        <v/>
      </c>
      <c r="AK58" s="152">
        <f>IF(VALUE(MID(AK$5,6,1))&lt;=$D$2,((1+$Q$3)^8-1)*AA58,0)</f>
        <v/>
      </c>
      <c r="AL58" s="152">
        <f>IF(VALUE(MID(AL$5,6,2))&lt;=$D$2,((1+$Q$3)^9-1)*AB58,0)</f>
        <v/>
      </c>
      <c r="AM58" s="9">
        <f>SUM(AC58:AL58)</f>
        <v/>
      </c>
      <c r="AN58" s="80">
        <f>SUM(AM58,S58:AB58)</f>
        <v/>
      </c>
      <c r="AP58" s="102" t="inlineStr">
        <is>
          <t>Monthly F</t>
        </is>
      </c>
      <c r="AQ58" s="12" t="n">
        <v>1</v>
      </c>
      <c r="AR58" s="14">
        <f>IF($AP58="Annual",1,IF($AP58="Monthly F",12,IF($AP58="Monthly V",AQ58*12,IF($AP58="One-Time",1,AQ58*12))))</f>
        <v/>
      </c>
      <c r="AS58" s="14">
        <f t="array" ref="AS58">IFERROR(_xlfn.IFS(VALUE(MID(AS$5,6,1))&gt;$D$2,0,$AP58="Annual",1,AR58=12,12,$AP58="Monthly V",AR58*(1+$BD$2),$AP58="Monthly F",12,$AP58="One-Time",0),AR58*(1+$BD$2))</f>
        <v/>
      </c>
      <c r="AT58" s="14">
        <f t="array" ref="AT58">IFERROR(_xlfn.IFS(VALUE(MID(AT$5,6,1))&gt;$D$2,0,$AP58="Annual",1,AS58=12,12,$AP58="Monthly V",AS58*(1+$BD$2),$AP58="Monthly F",12,$AP58="One-Time",0),AS58*(1+$BD$2))</f>
        <v/>
      </c>
      <c r="AU58" s="14">
        <f t="array" ref="AU58">IFERROR(_xlfn.IFS(VALUE(MID(AU$5,6,1))&gt;$D$2,0,$AP58="Annual",1,AT58=12,12,$AP58="Monthly V",AT58*(1+$BD$2),$AP58="Monthly F",12,$AP58="One-Time",0),AT58*(1+$BD$2))</f>
        <v/>
      </c>
      <c r="AV58" s="14">
        <f t="array" ref="AV58">IFERROR(_xlfn.IFS(VALUE(MID(AV$5,6,1))&gt;$D$2,0,$AP58="Annual",1,AU58=12,12,$AP58="Monthly V",AU58*(1+$BD$2),$AP58="Monthly F",12,$AP58="One-Time",0),AU58*(1+$BD$2))</f>
        <v/>
      </c>
      <c r="AW58" s="14">
        <f t="array" ref="AW58">IFERROR(_xlfn.IFS(VALUE(MID(AW$5,6,1))&gt;$D$2,0,$AP58="Annual",1,AV58=12,12,$AP58="Monthly V",AV58*(1+$BD$2),$AP58="Monthly F",12,$AP58="One-Time",0),AV58*(1+$BD$2))</f>
        <v/>
      </c>
      <c r="AX58" s="14">
        <f t="array" ref="AX58">IFERROR(_xlfn.IFS(VALUE(MID(AX$5,6,1))&gt;$D$2,0,$AP58="Annual",1,AW58=12,12,$AP58="Monthly V",AW58*(1+$BD$2),$AP58="Monthly F",12,$AP58="One-Time",0),AW58*(1+$BD$2))</f>
        <v/>
      </c>
      <c r="AY58" s="14">
        <f t="array" ref="AY58">IFERROR(_xlfn.IFS(VALUE(MID(AY$5,6,1))&gt;$D$2,0,$AP58="Annual",1,AX58=12,12,$AP58="Monthly V",AX58*(1+$D$3),$AP58="Monthly F",12,$AP58="One-Time",0),AX58*(1+$D$3))</f>
        <v/>
      </c>
      <c r="AZ58" s="14">
        <f t="array" ref="AZ58">IFERROR(_xlfn.IFS(VALUE(MID(AZ$5,6,1))&gt;$D$2,0,$AP58="Annual",1,AY58=12,12,$AP58="Monthly V",AY58*(1+$D$3),$AP58="Monthly F",12,$AP58="One-Time",0),AY58*(1+$D$3))</f>
        <v/>
      </c>
      <c r="BA58" s="125">
        <f t="array" ref="BA58">IFERROR(_xlfn.IFS(VALUE(MID(BA$5,6,2))&gt;$D$2,0,$AP58="Annual",1,AZ58=12,12,$AP58="Monthly V",AZ58*(1+$D$3),$AP58="Monthly F",12,$AP58="One-Time",0),AZ58*(1+$D$3))</f>
        <v/>
      </c>
      <c r="BB58" s="148" t="inlineStr">
        <is>
          <t>Payrailz Bundle</t>
        </is>
      </c>
      <c r="BC58" s="38" t="inlineStr">
        <is>
          <t>Payrailz</t>
        </is>
      </c>
      <c r="BD58" s="36" t="n">
        <v>350</v>
      </c>
      <c r="BE58" s="21">
        <f>BF58/12</f>
        <v/>
      </c>
      <c r="BF58" s="39">
        <f>IFERROR(AR58*$BD58,0)</f>
        <v/>
      </c>
      <c r="BG58" s="39">
        <f>IFERROR(AS58*$BD58,0)</f>
        <v/>
      </c>
      <c r="BH58" s="39">
        <f>IFERROR(AT58*$BD58,0)</f>
        <v/>
      </c>
      <c r="BI58" s="39">
        <f>BH58*1.03</f>
        <v/>
      </c>
      <c r="BJ58" s="39">
        <f>BI58*1.03</f>
        <v/>
      </c>
      <c r="BK58" s="39">
        <f>BJ58*1.03</f>
        <v/>
      </c>
      <c r="BL58" s="39">
        <f>BK58*1.03</f>
        <v/>
      </c>
      <c r="BM58" s="39">
        <f>IFERROR(AY58*$BD58,0)</f>
        <v/>
      </c>
      <c r="BN58" s="39">
        <f>IFERROR(AZ58*$BD58,0)</f>
        <v/>
      </c>
      <c r="BO58" s="39">
        <f>IFERROR(BA58*$BD58,0)</f>
        <v/>
      </c>
      <c r="BP58" s="40" t="n"/>
      <c r="BQ58" s="40">
        <f>IF(VALUE(MID(BQ$5,6,1))&lt;=$D$2,((1+$BD$3)^1-1)*BG58,0)</f>
        <v/>
      </c>
      <c r="BR58" s="40">
        <f>IF(VALUE(MID(BR$5,6,1))&lt;=$D$2,((1+$BD$3)^2-1)*BH58,0)</f>
        <v/>
      </c>
      <c r="BS58" s="40">
        <f>IF(VALUE(MID(BS$5,6,1))&lt;=$D$2,((1+$BD$3)^3-1)*BI58,0)</f>
        <v/>
      </c>
      <c r="BT58" s="40">
        <f>IF(VALUE(MID(BT$5,6,1))&lt;=$D$2,((1+$BD$3)^4-1)*BJ58,0)</f>
        <v/>
      </c>
      <c r="BU58" s="40">
        <f>IF(VALUE(MID(BU$5,6,1))&lt;=$D$2,((1+$BD$3)^5-1)*BK58,0)</f>
        <v/>
      </c>
      <c r="BV58" s="40">
        <f>IF(VALUE(MID(BV$5,6,1))&lt;=$D$2,((1+$BD$3)^6-1)*BL58,0)</f>
        <v/>
      </c>
      <c r="BW58" s="40">
        <f>IF(VALUE(MID(BW$5,6,1))&lt;=$D$2,((1+$BD$3)^7-1)*BM58,0)</f>
        <v/>
      </c>
      <c r="BX58" s="40">
        <f>IF(VALUE(MID(BX$5,6,1))&lt;=$D$2,((1+$BD$3)^8-1)*BN58,0)</f>
        <v/>
      </c>
      <c r="BY58" s="40">
        <f>IF(VALUE(MID(BY$5,6,2))&lt;=$D$2,((1+$BD$3)^9-1)*BO58,0)</f>
        <v/>
      </c>
      <c r="BZ58" s="40">
        <f>SUM(BP58:BY58)</f>
        <v/>
      </c>
      <c r="CA58" s="37">
        <f>SUM(BZ58,BF58:BO58)</f>
        <v/>
      </c>
      <c r="CC58" s="102" t="n"/>
      <c r="CD58" s="12" t="n"/>
      <c r="CE58" s="14">
        <f>IF($CC58="Annual",1,IF($CC58="Monthly F",12,IF($CC58="Monthly V",CD58*12,IF($CC58="One-Time",1,CD58*12))))</f>
        <v/>
      </c>
      <c r="CF58" s="14">
        <f t="array" ref="CF58">IFERROR(_xlfn.IFS(VALUE(MID(CF$5,6,1))&gt;$D$2,0,$CC58="Annual",1,CE58=12,12,$CC58="Monthly V",CE58*(1+$D$3),$CC58="Monthly F",12,$CC58="One-Time",0),CE58*(1+$D$3))</f>
        <v/>
      </c>
      <c r="CG58" s="14">
        <f t="array" ref="CG58">IFERROR(_xlfn.IFS(VALUE(MID(CG$5,6,1))&gt;$D$2,0,$CC58="Annual",1,CF58=12,12,$CC58="Monthly V",CF58*(1+$D$3),$CC58="Monthly F",12,$CC58="One-Time",0),CF58*(1+$D$3))</f>
        <v/>
      </c>
      <c r="CH58" s="14">
        <f t="array" ref="CH58">IFERROR(_xlfn.IFS(VALUE(MID(CH$5,6,1))&gt;$D$2,0,$CC58="Annual",1,CG58=12,12,$CC58="Monthly V",CG58*(1+$D$3),$CC58="Monthly F",12,$CC58="One-Time",0),CG58*(1+$D$3))</f>
        <v/>
      </c>
      <c r="CI58" s="14">
        <f t="array" ref="CI58">IFERROR(_xlfn.IFS(VALUE(MID(CI$5,6,1))&gt;$D$2,0,$CC58="Annual",1,CH58=12,12,$CC58="Monthly V",CH58*(1+$D$3),$CC58="Monthly F",12,$CC58="One-Time",0),CH58*(1+$D$3))</f>
        <v/>
      </c>
      <c r="CJ58" s="14">
        <f t="array" ref="CJ58">IFERROR(_xlfn.IFS(VALUE(MID(CJ$5,6,1))&gt;$D$2,0,$CC58="Annual",1,CI58=12,12,$CC58="Monthly V",CI58*(1+$D$3),$CC58="Monthly F",12,$CC58="One-Time",0),CI58*(1+$D$3))</f>
        <v/>
      </c>
      <c r="CK58" s="14">
        <f t="array" ref="CK58">IFERROR(_xlfn.IFS(VALUE(MID(CK$5,6,1))&gt;$D$2,0,$CC58="Annual",1,CJ58=12,12,$CC58="Monthly V",CJ58*(1+$D$3),$CC58="Monthly F",12,$CC58="One-Time",0),CJ58*(1+$D$3))</f>
        <v/>
      </c>
      <c r="CL58" s="14">
        <f t="array" ref="CL58">IFERROR(_xlfn.IFS(VALUE(MID(CL$5,6,1))&gt;$D$2,0,$CC58="Annual",1,CK58=12,12,$CC58="Monthly V",CK58*(1+$D$3),$CC58="Monthly F",12,$CC58="One-Time",0),CK58*(1+$D$3))</f>
        <v/>
      </c>
      <c r="CM58" s="14">
        <f t="array" ref="CM58">IFERROR(_xlfn.IFS(VALUE(MID(CM$5,6,1))&gt;$D$2,0,$CC58="Annual",1,CL58=12,12,$CC58="Monthly V",CL58*(1+$D$3),$CC58="Monthly F",12,$CC58="One-Time",0),CL58*(1+$D$3))</f>
        <v/>
      </c>
      <c r="CN58" s="24">
        <f t="array" ref="CN58">IFERROR(_xlfn.IFS(VALUE(MID(CN$5,6,2))&gt;$D$2,0,$CC58="Annual",1,CM58=12,12,$CC58="Monthly V",CM58*(1+$D$3),$CC58="Monthly F",12,$CC58="One-Time",0),CM58*(1+$D$3))</f>
        <v/>
      </c>
      <c r="CO58" s="63" t="n"/>
      <c r="CP58" s="53" t="n"/>
      <c r="CQ58" s="21">
        <f>CR58/12</f>
        <v/>
      </c>
      <c r="CR58" s="55">
        <f>IFERROR(CE58*$CP58,0)</f>
        <v/>
      </c>
      <c r="CS58" s="55">
        <f>IFERROR(CF58*$CP58,0)</f>
        <v/>
      </c>
      <c r="CT58" s="55">
        <f>IFERROR(CG58*$CP58,0)</f>
        <v/>
      </c>
      <c r="CU58" s="55">
        <f>IFERROR(CH58*$CP58,0)</f>
        <v/>
      </c>
      <c r="CV58" s="55">
        <f>IFERROR(CI58*$CP58,0)</f>
        <v/>
      </c>
      <c r="CW58" s="55">
        <f>IFERROR(CJ58*$CP58,0)</f>
        <v/>
      </c>
      <c r="CX58" s="55">
        <f>IFERROR(CK58*$CP58,0)</f>
        <v/>
      </c>
      <c r="CY58" s="55">
        <f>IFERROR(CL58*$CP58,0)</f>
        <v/>
      </c>
      <c r="CZ58" s="55">
        <f>IFERROR(CM58*$CP58,0)</f>
        <v/>
      </c>
      <c r="DA58" s="55">
        <f>IFERROR(CN58*$CP58,0)</f>
        <v/>
      </c>
      <c r="DB58" s="56" t="n"/>
      <c r="DC58" s="56">
        <f>IF(VALUE(MID(DC$5,6,1))&lt;=$D$2,((1+$CP$3)^1-1)*CS58,0)</f>
        <v/>
      </c>
      <c r="DD58" s="56">
        <f>IF(VALUE(MID(DD$5,6,1))&lt;=$D$2,((1+$CP$3)^2-1)*CT58,0)</f>
        <v/>
      </c>
      <c r="DE58" s="56">
        <f>IF(VALUE(MID(DE$5,6,1))&lt;=$D$2,((1+$CP$3)^3-1)*CU58,0)</f>
        <v/>
      </c>
      <c r="DF58" s="56">
        <f>IF(VALUE(MID(DF$5,6,1))&lt;=$D$2,((1+$CP$3)^4-1)*CV58,0)</f>
        <v/>
      </c>
      <c r="DG58" s="56">
        <f>IF(VALUE(MID(DG$5,6,1))&lt;=$D$2,((1+$CP$3)^5-1)*CW58,0)</f>
        <v/>
      </c>
      <c r="DH58" s="56">
        <f>IF(VALUE(MID(DH$5,6,1))&lt;=$D$2,((1+$CP$3)^6-1)*CX58,0)</f>
        <v/>
      </c>
      <c r="DI58" s="56">
        <f>IF(VALUE(MID(DI$5,6,1))&lt;=$D$2,((1+$CP$3)^7-1)*CY58,0)</f>
        <v/>
      </c>
      <c r="DJ58" s="56">
        <f>IF(VALUE(MID(DJ$5,6,1))&lt;=$D$2,((1+$CP$3)^8-1)*CZ58,0)</f>
        <v/>
      </c>
      <c r="DK58" s="56">
        <f>IF(VALUE(MID(DK$5,6,2))&lt;=$D$2,((1+$CP$3)^9-1)*DA58,0)</f>
        <v/>
      </c>
      <c r="DL58" s="57">
        <f>SUM(DB58:DK58)</f>
        <v/>
      </c>
      <c r="DM58" s="54">
        <f>SUM(DL58,CR58:DA58)</f>
        <v/>
      </c>
      <c r="DO58" s="106" t="n"/>
    </row>
    <row r="59">
      <c r="B59" s="141" t="inlineStr">
        <is>
          <t>Monthly V</t>
        </is>
      </c>
      <c r="C59" s="24" t="n">
        <v>1</v>
      </c>
      <c r="D59" s="147">
        <f>IFERROR(AVERAGE(C59:C59),0)</f>
        <v/>
      </c>
      <c r="E59" s="142">
        <f>IF($B59="Annual",1,IF($B59="Monthly F",12,IF($B59="Monthly V",D59*12,IF($B59="One-Time",1,D59*12))))</f>
        <v/>
      </c>
      <c r="F59" s="14">
        <f t="array" ref="F59">IFERROR(_xlfn.IFS(VALUE(MID(F$5,6,1))&gt;$D$2,0,$B59="Annual",1,E59=12,12,$B59="Monthly V",E59*(1+$D$3),$B59="Monthly F",12,$B59="One-Time",0),E59*(1+$D$3))</f>
        <v/>
      </c>
      <c r="G59" s="14">
        <f t="array" ref="G59">IFERROR(_xlfn.IFS(VALUE(MID(G$5,6,1))&gt;$D$2,0,$B59="Annual",1,F59=12,12,$B59="Monthly V",F59*(1+$D$3),$B59="Monthly F",12,$B59="One-Time",0),F59*(1+$D$3))</f>
        <v/>
      </c>
      <c r="H59" s="14">
        <f t="array" ref="H59">IFERROR(_xlfn.IFS(VALUE(MID(H$5,6,1))&gt;$D$2,0,$B59="Annual",1,G59=12,12,$B59="Monthly V",G59*(1+$D$3),$B59="Monthly F",12,$B59="One-Time",0),G59*(1+$D$3))</f>
        <v/>
      </c>
      <c r="I59" s="14">
        <f t="array" ref="I59">IFERROR(_xlfn.IFS(VALUE(MID(I$5,6,1))&gt;$D$2,0,$B59="Annual",1,H59=12,12,$B59="Monthly V",H59*(1+$D$3),$B59="Monthly F",12,$B59="One-Time",0),H59*(1+$D$3))</f>
        <v/>
      </c>
      <c r="J59" s="14">
        <f t="array" ref="J59">IFERROR(_xlfn.IFS(VALUE(MID(J$5,6,1))&gt;$D$2,0,$B59="Annual",1,I59=12,12,$B59="Monthly V",I59*(1+$D$3),$B59="Monthly F",12,$B59="One-Time",0),I59*(1+$D$3))</f>
        <v/>
      </c>
      <c r="K59" s="14">
        <f t="array" ref="K59">IFERROR(_xlfn.IFS(VALUE(MID(K$5,6,1))&gt;$D$2,0,$B59="Annual",1,J59=12,12,$B59="Monthly V",J59*(1+$D$3),$B59="Monthly F",12,$B59="One-Time",0),J59*(1+$D$3))</f>
        <v/>
      </c>
      <c r="L59" s="14">
        <f t="array" ref="L59">IFERROR(_xlfn.IFS(VALUE(MID(L$5,6,1))&gt;$D$2,0,$B59="Annual",1,K59=12,12,$B59="Monthly V",K59*(1+$D$3),$B59="Monthly F",12,$B59="One-Time",0),K59*(1+$D$3))</f>
        <v/>
      </c>
      <c r="M59" s="14">
        <f t="array" ref="M59">IFERROR(_xlfn.IFS(VALUE(MID(M$5,6,1))&gt;$D$2,0,$B59="Annual",1,L59=12,12,$B59="Monthly V",L59*(1+$D$3),$B59="Monthly F",12,$B59="One-Time",0),L59*(1+$D$3))</f>
        <v/>
      </c>
      <c r="N59" s="24">
        <f t="array" ref="N59">IFERROR(_xlfn.IFS(VALUE(MID(N$5,6,2))&gt;$D$2,0,$B59="Annual",1,M59=12,12,$B59="Monthly V",M59*(1+$D$3),$B59="Monthly F",12,$B59="One-Time",0),M59*(1+$D$3))</f>
        <v/>
      </c>
      <c r="O59" s="127" t="inlineStr">
        <is>
          <t>SmartSign (eSignature) (UP to $99M in Assets)</t>
        </is>
      </c>
      <c r="P59" s="13" t="n"/>
      <c r="Q59" s="20" t="n">
        <v>478</v>
      </c>
      <c r="R59" s="21">
        <f>S59/12</f>
        <v/>
      </c>
      <c r="S59" s="6">
        <f>IFERROR($Q59*E59,0)</f>
        <v/>
      </c>
      <c r="T59" s="6">
        <f>IFERROR($Q59*F59,0)</f>
        <v/>
      </c>
      <c r="U59" s="6">
        <f>IFERROR($Q59*G59,0)</f>
        <v/>
      </c>
      <c r="V59" s="6">
        <f>IFERROR($Q59*H59,0)</f>
        <v/>
      </c>
      <c r="W59" s="6">
        <f>IFERROR($Q59*I59,0)</f>
        <v/>
      </c>
      <c r="X59" s="6">
        <f>IFERROR($Q59*J59,0)</f>
        <v/>
      </c>
      <c r="Y59" s="6">
        <f>IFERROR($Q59*K59,0)</f>
        <v/>
      </c>
      <c r="Z59" s="6">
        <f>IFERROR($Q59*L59,0)</f>
        <v/>
      </c>
      <c r="AA59" s="6">
        <f>IFERROR($Q59*M59,0)</f>
        <v/>
      </c>
      <c r="AB59" s="6">
        <f>IFERROR($Q59*N59,0)</f>
        <v/>
      </c>
      <c r="AC59" s="7" t="n"/>
      <c r="AD59" s="152">
        <f>IF(VALUE(MID(AD$5,6,1))&lt;=$D$2,((1+$Q$3)^1-1)*T59,0)</f>
        <v/>
      </c>
      <c r="AE59" s="152">
        <f>IF(VALUE(MID(AE$5,6,1))&lt;=$D$2,((1+$Q$3)^2-1)*U59,0)</f>
        <v/>
      </c>
      <c r="AF59" s="152">
        <f>IF(VALUE(MID(AF$5,6,1))&lt;=$D$2,((1+$Q$3)^3-1)*V59,0)</f>
        <v/>
      </c>
      <c r="AG59" s="152">
        <f>IF(VALUE(MID(AG$5,6,1))&lt;=$D$2,((1+$Q$3)^4-1)*W59,0)</f>
        <v/>
      </c>
      <c r="AH59" s="152">
        <f>IF(VALUE(MID(AH$5,6,1))&lt;=$D$2,((1+$Q$3)^5-1)*X59,0)</f>
        <v/>
      </c>
      <c r="AI59" s="152">
        <f>IF(VALUE(MID(AI$5,6,1))&lt;=$D$2,((1+$Q$3)^6-1)*Y59,0)</f>
        <v/>
      </c>
      <c r="AJ59" s="152">
        <f>IF(VALUE(MID(AJ$5,6,1))&lt;=$D$2,((1+$Q$3)^7-1)*Z59,0)</f>
        <v/>
      </c>
      <c r="AK59" s="152">
        <f>IF(VALUE(MID(AK$5,6,1))&lt;=$D$2,((1+$Q$3)^8-1)*AA59,0)</f>
        <v/>
      </c>
      <c r="AL59" s="152">
        <f>IF(VALUE(MID(AL$5,6,2))&lt;=$D$2,((1+$Q$3)^9-1)*AB59,0)</f>
        <v/>
      </c>
      <c r="AM59" s="9">
        <f>SUM(AC59:AL59)</f>
        <v/>
      </c>
      <c r="AN59" s="80">
        <f>SUM(AM59,S59:AB59)</f>
        <v/>
      </c>
      <c r="AP59" s="102" t="inlineStr">
        <is>
          <t>Monthly V</t>
        </is>
      </c>
      <c r="AQ59" s="12" t="n">
        <v>500</v>
      </c>
      <c r="AR59" s="14">
        <f>IF($AP59="Annual",1,IF($AP59="Monthly F",12,IF($AP59="Monthly V",AQ59*12,IF($AP59="One-Time",1,AQ59*12))))</f>
        <v/>
      </c>
      <c r="AS59" s="14">
        <f t="array" ref="AS59">IFERROR(_xlfn.IFS(VALUE(MID(AS$5,6,1))&gt;$D$2,0,$AP59="Annual",1,AR59=12,12,$AP59="Monthly V",AR59*(1+$BD$2),$AP59="Monthly F",12,$AP59="One-Time",0),AR59*(1+$BD$2))</f>
        <v/>
      </c>
      <c r="AT59" s="14">
        <f t="array" ref="AT59">IFERROR(_xlfn.IFS(VALUE(MID(AT$5,6,1))&gt;$D$2,0,$AP59="Annual",1,AS59=12,12,$AP59="Monthly V",AS59*(1+$BD$2),$AP59="Monthly F",12,$AP59="One-Time",0),AS59*(1+$BD$2))</f>
        <v/>
      </c>
      <c r="AU59" s="14">
        <f t="array" ref="AU59">IFERROR(_xlfn.IFS(VALUE(MID(AU$5,6,1))&gt;$D$2,0,$AP59="Annual",1,AT59=12,12,$AP59="Monthly V",AT59*(1+$BD$2),$AP59="Monthly F",12,$AP59="One-Time",0),AT59*(1+$BD$2))</f>
        <v/>
      </c>
      <c r="AV59" s="14">
        <f t="array" ref="AV59">IFERROR(_xlfn.IFS(VALUE(MID(AV$5,6,1))&gt;$D$2,0,$AP59="Annual",1,AU59=12,12,$AP59="Monthly V",AU59*(1+$BD$2),$AP59="Monthly F",12,$AP59="One-Time",0),AU59*(1+$BD$2))</f>
        <v/>
      </c>
      <c r="AW59" s="14">
        <f t="array" ref="AW59">IFERROR(_xlfn.IFS(VALUE(MID(AW$5,6,1))&gt;$D$2,0,$AP59="Annual",1,AV59=12,12,$AP59="Monthly V",AV59*(1+$BD$2),$AP59="Monthly F",12,$AP59="One-Time",0),AV59*(1+$BD$2))</f>
        <v/>
      </c>
      <c r="AX59" s="14">
        <f t="array" ref="AX59">IFERROR(_xlfn.IFS(VALUE(MID(AX$5,6,1))&gt;$D$2,0,$AP59="Annual",1,AW59=12,12,$AP59="Monthly V",AW59*(1+$BD$2),$AP59="Monthly F",12,$AP59="One-Time",0),AW59*(1+$BD$2))</f>
        <v/>
      </c>
      <c r="AY59" s="14">
        <f t="array" ref="AY59">IFERROR(_xlfn.IFS(VALUE(MID(AY$5,6,1))&gt;$D$2,0,$AP59="Annual",1,AX59=12,12,$AP59="Monthly V",AX59*(1+$D$3),$AP59="Monthly F",12,$AP59="One-Time",0),AX59*(1+$D$3))</f>
        <v/>
      </c>
      <c r="AZ59" s="14">
        <f t="array" ref="AZ59">IFERROR(_xlfn.IFS(VALUE(MID(AZ$5,6,1))&gt;$D$2,0,$AP59="Annual",1,AY59=12,12,$AP59="Monthly V",AY59*(1+$D$3),$AP59="Monthly F",12,$AP59="One-Time",0),AY59*(1+$D$3))</f>
        <v/>
      </c>
      <c r="BA59" s="125">
        <f t="array" ref="BA59">IFERROR(_xlfn.IFS(VALUE(MID(BA$5,6,2))&gt;$D$2,0,$AP59="Annual",1,AZ59=12,12,$AP59="Monthly V",AZ59*(1+$D$3),$AP59="Monthly F",12,$AP59="One-Time",0),AZ59*(1+$D$3))</f>
        <v/>
      </c>
      <c r="BB59" s="148" t="inlineStr">
        <is>
          <t>Payrailz Bundle Transactions</t>
        </is>
      </c>
      <c r="BC59" s="38" t="inlineStr">
        <is>
          <t>Payrailz</t>
        </is>
      </c>
      <c r="BD59" s="36" t="n">
        <v>0.62</v>
      </c>
      <c r="BE59" s="21">
        <f>BF59/12</f>
        <v/>
      </c>
      <c r="BF59" s="39">
        <f>IFERROR(AR59*$BD59,0)</f>
        <v/>
      </c>
      <c r="BG59" s="39">
        <f>IFERROR(AS59*$BD59,0)</f>
        <v/>
      </c>
      <c r="BH59" s="39">
        <f>IFERROR(AT59*$BD59,0)</f>
        <v/>
      </c>
      <c r="BI59" s="39">
        <f>BH59*1.03</f>
        <v/>
      </c>
      <c r="BJ59" s="39">
        <f>BI59*1.03</f>
        <v/>
      </c>
      <c r="BK59" s="39">
        <f>BJ59*1.03</f>
        <v/>
      </c>
      <c r="BL59" s="39">
        <f>BK59*1.03</f>
        <v/>
      </c>
      <c r="BM59" s="39">
        <f>IFERROR(AY59*$BD59,0)</f>
        <v/>
      </c>
      <c r="BN59" s="39">
        <f>IFERROR(AZ59*$BD59,0)</f>
        <v/>
      </c>
      <c r="BO59" s="39">
        <f>IFERROR(BA59*$BD59,0)</f>
        <v/>
      </c>
      <c r="BP59" s="40" t="n"/>
      <c r="BQ59" s="40">
        <f>IF(VALUE(MID(BQ$5,6,1))&lt;=$D$2,((1+$BD$3)^1-1)*BG59,0)</f>
        <v/>
      </c>
      <c r="BR59" s="40">
        <f>IF(VALUE(MID(BR$5,6,1))&lt;=$D$2,((1+$BD$3)^2-1)*BH59,0)</f>
        <v/>
      </c>
      <c r="BS59" s="40">
        <f>IF(VALUE(MID(BS$5,6,1))&lt;=$D$2,((1+$BD$3)^3-1)*BI59,0)</f>
        <v/>
      </c>
      <c r="BT59" s="40">
        <f>IF(VALUE(MID(BT$5,6,1))&lt;=$D$2,((1+$BD$3)^4-1)*BJ59,0)</f>
        <v/>
      </c>
      <c r="BU59" s="40">
        <f>IF(VALUE(MID(BU$5,6,1))&lt;=$D$2,((1+$BD$3)^5-1)*BK59,0)</f>
        <v/>
      </c>
      <c r="BV59" s="40">
        <f>IF(VALUE(MID(BV$5,6,1))&lt;=$D$2,((1+$BD$3)^6-1)*BL59,0)</f>
        <v/>
      </c>
      <c r="BW59" s="40">
        <f>IF(VALUE(MID(BW$5,6,1))&lt;=$D$2,((1+$BD$3)^7-1)*BM59,0)</f>
        <v/>
      </c>
      <c r="BX59" s="40">
        <f>IF(VALUE(MID(BX$5,6,1))&lt;=$D$2,((1+$BD$3)^8-1)*BN59,0)</f>
        <v/>
      </c>
      <c r="BY59" s="40">
        <f>IF(VALUE(MID(BY$5,6,2))&lt;=$D$2,((1+$BD$3)^9-1)*BO59,0)</f>
        <v/>
      </c>
      <c r="BZ59" s="40">
        <f>SUM(BP59:BY59)</f>
        <v/>
      </c>
      <c r="CA59" s="37">
        <f>SUM(BZ59,BF59:BO59)</f>
        <v/>
      </c>
      <c r="CC59" s="102" t="n"/>
      <c r="CD59" s="12" t="n"/>
      <c r="CE59" s="14">
        <f>IF($CC59="Annual",1,IF($CC59="Monthly F",12,IF($CC59="Monthly V",CD59*12,IF($CC59="One-Time",1,CD59*12))))</f>
        <v/>
      </c>
      <c r="CF59" s="14">
        <f t="array" ref="CF59">IFERROR(_xlfn.IFS(VALUE(MID(CF$5,6,1))&gt;$D$2,0,$CC59="Annual",1,CE59=12,12,$CC59="Monthly V",CE59*(1+$D$3),$CC59="Monthly F",12,$CC59="One-Time",0),CE59*(1+$D$3))</f>
        <v/>
      </c>
      <c r="CG59" s="14">
        <f t="array" ref="CG59">IFERROR(_xlfn.IFS(VALUE(MID(CG$5,6,1))&gt;$D$2,0,$CC59="Annual",1,CF59=12,12,$CC59="Monthly V",CF59*(1+$D$3),$CC59="Monthly F",12,$CC59="One-Time",0),CF59*(1+$D$3))</f>
        <v/>
      </c>
      <c r="CH59" s="14">
        <f t="array" ref="CH59">IFERROR(_xlfn.IFS(VALUE(MID(CH$5,6,1))&gt;$D$2,0,$CC59="Annual",1,CG59=12,12,$CC59="Monthly V",CG59*(1+$D$3),$CC59="Monthly F",12,$CC59="One-Time",0),CG59*(1+$D$3))</f>
        <v/>
      </c>
      <c r="CI59" s="14">
        <f t="array" ref="CI59">IFERROR(_xlfn.IFS(VALUE(MID(CI$5,6,1))&gt;$D$2,0,$CC59="Annual",1,CH59=12,12,$CC59="Monthly V",CH59*(1+$D$3),$CC59="Monthly F",12,$CC59="One-Time",0),CH59*(1+$D$3))</f>
        <v/>
      </c>
      <c r="CJ59" s="14">
        <f t="array" ref="CJ59">IFERROR(_xlfn.IFS(VALUE(MID(CJ$5,6,1))&gt;$D$2,0,$CC59="Annual",1,CI59=12,12,$CC59="Monthly V",CI59*(1+$D$3),$CC59="Monthly F",12,$CC59="One-Time",0),CI59*(1+$D$3))</f>
        <v/>
      </c>
      <c r="CK59" s="14">
        <f t="array" ref="CK59">IFERROR(_xlfn.IFS(VALUE(MID(CK$5,6,1))&gt;$D$2,0,$CC59="Annual",1,CJ59=12,12,$CC59="Monthly V",CJ59*(1+$D$3),$CC59="Monthly F",12,$CC59="One-Time",0),CJ59*(1+$D$3))</f>
        <v/>
      </c>
      <c r="CL59" s="14">
        <f t="array" ref="CL59">IFERROR(_xlfn.IFS(VALUE(MID(CL$5,6,1))&gt;$D$2,0,$CC59="Annual",1,CK59=12,12,$CC59="Monthly V",CK59*(1+$D$3),$CC59="Monthly F",12,$CC59="One-Time",0),CK59*(1+$D$3))</f>
        <v/>
      </c>
      <c r="CM59" s="14">
        <f t="array" ref="CM59">IFERROR(_xlfn.IFS(VALUE(MID(CM$5,6,1))&gt;$D$2,0,$CC59="Annual",1,CL59=12,12,$CC59="Monthly V",CL59*(1+$D$3),$CC59="Monthly F",12,$CC59="One-Time",0),CL59*(1+$D$3))</f>
        <v/>
      </c>
      <c r="CN59" s="24">
        <f t="array" ref="CN59">IFERROR(_xlfn.IFS(VALUE(MID(CN$5,6,2))&gt;$D$2,0,$CC59="Annual",1,CM59=12,12,$CC59="Monthly V",CM59*(1+$D$3),$CC59="Monthly F",12,$CC59="One-Time",0),CM59*(1+$D$3))</f>
        <v/>
      </c>
      <c r="CO59" s="63" t="n"/>
      <c r="CP59" s="53" t="n"/>
      <c r="CQ59" s="21">
        <f>CR59/12</f>
        <v/>
      </c>
      <c r="CR59" s="55">
        <f>IFERROR(CE59*$CP59,0)</f>
        <v/>
      </c>
      <c r="CS59" s="55">
        <f>IFERROR(CF59*$CP59,0)</f>
        <v/>
      </c>
      <c r="CT59" s="55">
        <f>IFERROR(CG59*$CP59,0)</f>
        <v/>
      </c>
      <c r="CU59" s="55">
        <f>IFERROR(CH59*$CP59,0)</f>
        <v/>
      </c>
      <c r="CV59" s="55">
        <f>IFERROR(CI59*$CP59,0)</f>
        <v/>
      </c>
      <c r="CW59" s="55">
        <f>IFERROR(CJ59*$CP59,0)</f>
        <v/>
      </c>
      <c r="CX59" s="55">
        <f>IFERROR(CK59*$CP59,0)</f>
        <v/>
      </c>
      <c r="CY59" s="55">
        <f>IFERROR(CL59*$CP59,0)</f>
        <v/>
      </c>
      <c r="CZ59" s="55">
        <f>IFERROR(CM59*$CP59,0)</f>
        <v/>
      </c>
      <c r="DA59" s="55">
        <f>IFERROR(CN59*$CP59,0)</f>
        <v/>
      </c>
      <c r="DB59" s="56" t="n"/>
      <c r="DC59" s="56">
        <f>IF(VALUE(MID(DC$5,6,1))&lt;=$D$2,((1+$CP$3)^1-1)*CS59,0)</f>
        <v/>
      </c>
      <c r="DD59" s="56">
        <f>IF(VALUE(MID(DD$5,6,1))&lt;=$D$2,((1+$CP$3)^2-1)*CT59,0)</f>
        <v/>
      </c>
      <c r="DE59" s="56">
        <f>IF(VALUE(MID(DE$5,6,1))&lt;=$D$2,((1+$CP$3)^3-1)*CU59,0)</f>
        <v/>
      </c>
      <c r="DF59" s="56">
        <f>IF(VALUE(MID(DF$5,6,1))&lt;=$D$2,((1+$CP$3)^4-1)*CV59,0)</f>
        <v/>
      </c>
      <c r="DG59" s="56">
        <f>IF(VALUE(MID(DG$5,6,1))&lt;=$D$2,((1+$CP$3)^5-1)*CW59,0)</f>
        <v/>
      </c>
      <c r="DH59" s="56">
        <f>IF(VALUE(MID(DH$5,6,1))&lt;=$D$2,((1+$CP$3)^6-1)*CX59,0)</f>
        <v/>
      </c>
      <c r="DI59" s="56">
        <f>IF(VALUE(MID(DI$5,6,1))&lt;=$D$2,((1+$CP$3)^7-1)*CY59,0)</f>
        <v/>
      </c>
      <c r="DJ59" s="56">
        <f>IF(VALUE(MID(DJ$5,6,1))&lt;=$D$2,((1+$CP$3)^8-1)*CZ59,0)</f>
        <v/>
      </c>
      <c r="DK59" s="56">
        <f>IF(VALUE(MID(DK$5,6,2))&lt;=$D$2,((1+$CP$3)^9-1)*DA59,0)</f>
        <v/>
      </c>
      <c r="DL59" s="57">
        <f>SUM(DB59:DK59)</f>
        <v/>
      </c>
      <c r="DM59" s="54">
        <f>SUM(DL59,CR59:DA59)</f>
        <v/>
      </c>
      <c r="DO59" s="106" t="n"/>
    </row>
    <row r="60">
      <c r="B60" s="141" t="inlineStr">
        <is>
          <t>Annual</t>
        </is>
      </c>
      <c r="C60" s="24" t="n">
        <v>1</v>
      </c>
      <c r="D60" s="147">
        <f>IFERROR(AVERAGE(C60:C60),0)</f>
        <v/>
      </c>
      <c r="E60" s="142">
        <f>IF($B60="Annual",1,IF($B60="Monthly F",12,IF($B60="Monthly V",D60*12,IF($B60="One-Time",1,D60*12))))</f>
        <v/>
      </c>
      <c r="F60" s="14">
        <f t="array" ref="F60">IFERROR(_xlfn.IFS(VALUE(MID(F$5,6,1))&gt;$D$2,0,$B60="Annual",1,E60=12,12,$B60="Monthly V",E60*(1+$D$3),$B60="Monthly F",12,$B60="One-Time",0),E60*(1+$D$3))</f>
        <v/>
      </c>
      <c r="G60" s="14">
        <f t="array" ref="G60">IFERROR(_xlfn.IFS(VALUE(MID(G$5,6,1))&gt;$D$2,0,$B60="Annual",1,F60=12,12,$B60="Monthly V",F60*(1+$D$3),$B60="Monthly F",12,$B60="One-Time",0),F60*(1+$D$3))</f>
        <v/>
      </c>
      <c r="H60" s="14">
        <f t="array" ref="H60">IFERROR(_xlfn.IFS(VALUE(MID(H$5,6,1))&gt;$D$2,0,$B60="Annual",1,G60=12,12,$B60="Monthly V",G60*(1+$D$3),$B60="Monthly F",12,$B60="One-Time",0),G60*(1+$D$3))</f>
        <v/>
      </c>
      <c r="I60" s="14">
        <f t="array" ref="I60">IFERROR(_xlfn.IFS(VALUE(MID(I$5,6,1))&gt;$D$2,0,$B60="Annual",1,H60=12,12,$B60="Monthly V",H60*(1+$D$3),$B60="Monthly F",12,$B60="One-Time",0),H60*(1+$D$3))</f>
        <v/>
      </c>
      <c r="J60" s="14">
        <f t="array" ref="J60">IFERROR(_xlfn.IFS(VALUE(MID(J$5,6,1))&gt;$D$2,0,$B60="Annual",1,I60=12,12,$B60="Monthly V",I60*(1+$D$3),$B60="Monthly F",12,$B60="One-Time",0),I60*(1+$D$3))</f>
        <v/>
      </c>
      <c r="K60" s="14">
        <f t="array" ref="K60">IFERROR(_xlfn.IFS(VALUE(MID(K$5,6,1))&gt;$D$2,0,$B60="Annual",1,J60=12,12,$B60="Monthly V",J60*(1+$D$3),$B60="Monthly F",12,$B60="One-Time",0),J60*(1+$D$3))</f>
        <v/>
      </c>
      <c r="L60" s="14">
        <f t="array" ref="L60">IFERROR(_xlfn.IFS(VALUE(MID(L$5,6,1))&gt;$D$2,0,$B60="Annual",1,K60=12,12,$B60="Monthly V",K60*(1+$D$3),$B60="Monthly F",12,$B60="One-Time",0),K60*(1+$D$3))</f>
        <v/>
      </c>
      <c r="M60" s="14">
        <f t="array" ref="M60">IFERROR(_xlfn.IFS(VALUE(MID(M$5,6,1))&gt;$D$2,0,$B60="Annual",1,L60=12,12,$B60="Monthly V",L60*(1+$D$3),$B60="Monthly F",12,$B60="One-Time",0),L60*(1+$D$3))</f>
        <v/>
      </c>
      <c r="N60" s="24">
        <f t="array" ref="N60">IFERROR(_xlfn.IFS(VALUE(MID(N$5,6,2))&gt;$D$2,0,$B60="Annual",1,M60=12,12,$B60="Monthly V",M60*(1+$D$3),$B60="Monthly F",12,$B60="One-Time",0),M60*(1+$D$3))</f>
        <v/>
      </c>
      <c r="O60" s="127" t="inlineStr">
        <is>
          <t>TruStage (new deposit account documents)</t>
        </is>
      </c>
      <c r="P60" s="13" t="n"/>
      <c r="Q60" s="20" t="n">
        <v>13895</v>
      </c>
      <c r="R60" s="21">
        <f>S60/12</f>
        <v/>
      </c>
      <c r="S60" s="6">
        <f>IFERROR($Q60*E60,0)</f>
        <v/>
      </c>
      <c r="T60" s="6">
        <f>IFERROR($Q60*F60,0)</f>
        <v/>
      </c>
      <c r="U60" s="6">
        <f>IFERROR($Q60*G60,0)</f>
        <v/>
      </c>
      <c r="V60" s="6">
        <f>IFERROR($Q60*H60,0)</f>
        <v/>
      </c>
      <c r="W60" s="6">
        <f>IFERROR($Q60*I60,0)</f>
        <v/>
      </c>
      <c r="X60" s="6">
        <f>IFERROR($Q60*J60,0)</f>
        <v/>
      </c>
      <c r="Y60" s="6">
        <f>IFERROR($Q60*K60,0)</f>
        <v/>
      </c>
      <c r="Z60" s="6">
        <f>IFERROR($Q60*L60,0)</f>
        <v/>
      </c>
      <c r="AA60" s="6">
        <f>IFERROR($Q60*M60,0)</f>
        <v/>
      </c>
      <c r="AB60" s="6">
        <f>IFERROR($Q60*N60,0)</f>
        <v/>
      </c>
      <c r="AC60" s="7" t="n"/>
      <c r="AD60" s="152">
        <f>IF(VALUE(MID(AD$5,6,1))&lt;=$D$2,((1+$Q$3)^1-1)*T60,0)</f>
        <v/>
      </c>
      <c r="AE60" s="152">
        <f>IF(VALUE(MID(AE$5,6,1))&lt;=$D$2,((1+$Q$3)^2-1)*U60,0)</f>
        <v/>
      </c>
      <c r="AF60" s="152">
        <f>IF(VALUE(MID(AF$5,6,1))&lt;=$D$2,((1+$Q$3)^3-1)*V60,0)</f>
        <v/>
      </c>
      <c r="AG60" s="152">
        <f>IF(VALUE(MID(AG$5,6,1))&lt;=$D$2,((1+$Q$3)^4-1)*W60,0)</f>
        <v/>
      </c>
      <c r="AH60" s="152">
        <f>IF(VALUE(MID(AH$5,6,1))&lt;=$D$2,((1+$Q$3)^5-1)*X60,0)</f>
        <v/>
      </c>
      <c r="AI60" s="152">
        <f>IF(VALUE(MID(AI$5,6,1))&lt;=$D$2,((1+$Q$3)^6-1)*Y60,0)</f>
        <v/>
      </c>
      <c r="AJ60" s="152">
        <f>IF(VALUE(MID(AJ$5,6,1))&lt;=$D$2,((1+$Q$3)^7-1)*Z60,0)</f>
        <v/>
      </c>
      <c r="AK60" s="152">
        <f>IF(VALUE(MID(AK$5,6,1))&lt;=$D$2,((1+$Q$3)^8-1)*AA60,0)</f>
        <v/>
      </c>
      <c r="AL60" s="152">
        <f>IF(VALUE(MID(AL$5,6,2))&lt;=$D$2,((1+$Q$3)^9-1)*AB60,0)</f>
        <v/>
      </c>
      <c r="AM60" s="9">
        <f>SUM(AC60:AL60)</f>
        <v/>
      </c>
      <c r="AN60" s="80">
        <f>SUM(AM60,S60:AB60)</f>
        <v/>
      </c>
      <c r="AP60" s="102" t="inlineStr">
        <is>
          <t>Monthly F</t>
        </is>
      </c>
      <c r="AQ60" s="12" t="n">
        <v>1</v>
      </c>
      <c r="AR60" s="14">
        <f>IF($AP60="Annual",1,IF($AP60="Monthly F",12,IF($AP60="Monthly V",AQ60*12,IF($AP60="One-Time",1,AQ60*12))))</f>
        <v/>
      </c>
      <c r="AS60" s="14">
        <f t="array" ref="AS60">IFERROR(_xlfn.IFS(VALUE(MID(AS$5,6,1))&gt;$D$2,0,$AP60="Annual",1,AR60=12,12,$AP60="Monthly V",AR60*(1+$BD$2),$AP60="Monthly F",12,$AP60="One-Time",0),AR60*(1+$BD$2))</f>
        <v/>
      </c>
      <c r="AT60" s="14">
        <f t="array" ref="AT60">IFERROR(_xlfn.IFS(VALUE(MID(AT$5,6,1))&gt;$D$2,0,$AP60="Annual",1,AS60=12,12,$AP60="Monthly V",AS60*(1+$BD$2),$AP60="Monthly F",12,$AP60="One-Time",0),AS60*(1+$BD$2))</f>
        <v/>
      </c>
      <c r="AU60" s="14">
        <f t="array" ref="AU60">IFERROR(_xlfn.IFS(VALUE(MID(AU$5,6,1))&gt;$D$2,0,$AP60="Annual",1,AT60=12,12,$AP60="Monthly V",AT60*(1+$BD$2),$AP60="Monthly F",12,$AP60="One-Time",0),AT60*(1+$BD$2))</f>
        <v/>
      </c>
      <c r="AV60" s="14">
        <f t="array" ref="AV60">IFERROR(_xlfn.IFS(VALUE(MID(AV$5,6,1))&gt;$D$2,0,$AP60="Annual",1,AU60=12,12,$AP60="Monthly V",AU60*(1+$BD$2),$AP60="Monthly F",12,$AP60="One-Time",0),AU60*(1+$BD$2))</f>
        <v/>
      </c>
      <c r="AW60" s="14">
        <f t="array" ref="AW60">IFERROR(_xlfn.IFS(VALUE(MID(AW$5,6,1))&gt;$D$2,0,$AP60="Annual",1,AV60=12,12,$AP60="Monthly V",AV60*(1+$BD$2),$AP60="Monthly F",12,$AP60="One-Time",0),AV60*(1+$BD$2))</f>
        <v/>
      </c>
      <c r="AX60" s="14">
        <f t="array" ref="AX60">IFERROR(_xlfn.IFS(VALUE(MID(AX$5,6,1))&gt;$D$2,0,$AP60="Annual",1,AW60=12,12,$AP60="Monthly V",AW60*(1+$BD$2),$AP60="Monthly F",12,$AP60="One-Time",0),AW60*(1+$BD$2))</f>
        <v/>
      </c>
      <c r="AY60" s="14">
        <f t="array" ref="AY60">IFERROR(_xlfn.IFS(VALUE(MID(AY$5,6,1))&gt;$D$2,0,$AP60="Annual",1,AX60=12,12,$AP60="Monthly V",AX60*(1+$D$3),$AP60="Monthly F",12,$AP60="One-Time",0),AX60*(1+$D$3))</f>
        <v/>
      </c>
      <c r="AZ60" s="14">
        <f t="array" ref="AZ60">IFERROR(_xlfn.IFS(VALUE(MID(AZ$5,6,1))&gt;$D$2,0,$AP60="Annual",1,AY60=12,12,$AP60="Monthly V",AY60*(1+$D$3),$AP60="Monthly F",12,$AP60="One-Time",0),AY60*(1+$D$3))</f>
        <v/>
      </c>
      <c r="BA60" s="125">
        <f t="array" ref="BA60">IFERROR(_xlfn.IFS(VALUE(MID(BA$5,6,2))&gt;$D$2,0,$AP60="Annual",1,AZ60=12,12,$AP60="Monthly V",AZ60*(1+$D$3),$AP60="Monthly F",12,$AP60="One-Time",0),AZ60*(1+$D$3))</f>
        <v/>
      </c>
      <c r="BB60" s="148" t="inlineStr">
        <is>
          <t>Centurion Connectivity for Jack Henry Hosted Services</t>
        </is>
      </c>
      <c r="BC60" s="38" t="inlineStr">
        <is>
          <t>Centurion</t>
        </is>
      </c>
      <c r="BD60" s="36" t="n">
        <v>200</v>
      </c>
      <c r="BE60" s="21">
        <f>BF60/12</f>
        <v/>
      </c>
      <c r="BF60" s="39">
        <f>IFERROR(AR60*$BD60,0)</f>
        <v/>
      </c>
      <c r="BG60" s="39">
        <f>IFERROR(AS60*$BD60,0)</f>
        <v/>
      </c>
      <c r="BH60" s="39">
        <f>IFERROR(AT60*$BD60,0)</f>
        <v/>
      </c>
      <c r="BI60" s="39">
        <f>BH60*1.03</f>
        <v/>
      </c>
      <c r="BJ60" s="39">
        <f>BI60*1.03</f>
        <v/>
      </c>
      <c r="BK60" s="39">
        <f>BJ60*1.03</f>
        <v/>
      </c>
      <c r="BL60" s="39">
        <f>BK60*1.03</f>
        <v/>
      </c>
      <c r="BM60" s="39">
        <f>IFERROR(AY60*$BD60,0)</f>
        <v/>
      </c>
      <c r="BN60" s="39">
        <f>IFERROR(AZ60*$BD60,0)</f>
        <v/>
      </c>
      <c r="BO60" s="39">
        <f>IFERROR(BA60*$BD60,0)</f>
        <v/>
      </c>
      <c r="BP60" s="40" t="n"/>
      <c r="BQ60" s="40">
        <f>IF(VALUE(MID(BQ$5,6,1))&lt;=$D$2,((1+$BD$3)^1-1)*BG60,0)</f>
        <v/>
      </c>
      <c r="BR60" s="40">
        <f>IF(VALUE(MID(BR$5,6,1))&lt;=$D$2,((1+$BD$3)^2-1)*BH60,0)</f>
        <v/>
      </c>
      <c r="BS60" s="40">
        <f>IF(VALUE(MID(BS$5,6,1))&lt;=$D$2,((1+$BD$3)^3-1)*BI60,0)</f>
        <v/>
      </c>
      <c r="BT60" s="40">
        <f>IF(VALUE(MID(BT$5,6,1))&lt;=$D$2,((1+$BD$3)^4-1)*BJ60,0)</f>
        <v/>
      </c>
      <c r="BU60" s="40">
        <f>IF(VALUE(MID(BU$5,6,1))&lt;=$D$2,((1+$BD$3)^5-1)*BK60,0)</f>
        <v/>
      </c>
      <c r="BV60" s="40">
        <f>IF(VALUE(MID(BV$5,6,1))&lt;=$D$2,((1+$BD$3)^6-1)*BL60,0)</f>
        <v/>
      </c>
      <c r="BW60" s="40">
        <f>IF(VALUE(MID(BW$5,6,1))&lt;=$D$2,((1+$BD$3)^7-1)*BM60,0)</f>
        <v/>
      </c>
      <c r="BX60" s="40">
        <f>IF(VALUE(MID(BX$5,6,1))&lt;=$D$2,((1+$BD$3)^8-1)*BN60,0)</f>
        <v/>
      </c>
      <c r="BY60" s="40">
        <f>IF(VALUE(MID(BY$5,6,2))&lt;=$D$2,((1+$BD$3)^9-1)*BO60,0)</f>
        <v/>
      </c>
      <c r="BZ60" s="40">
        <f>SUM(BP60:BY60)</f>
        <v/>
      </c>
      <c r="CA60" s="37">
        <f>SUM(BZ60,BF60:BO60)</f>
        <v/>
      </c>
      <c r="CC60" s="102" t="n"/>
      <c r="CD60" s="12" t="n"/>
      <c r="CE60" s="14">
        <f>IF($CC60="Annual",1,IF($CC60="Monthly F",12,IF($CC60="Monthly V",CD60*12,IF($CC60="One-Time",1,CD60*12))))</f>
        <v/>
      </c>
      <c r="CF60" s="14">
        <f t="array" ref="CF60">IFERROR(_xlfn.IFS(VALUE(MID(CF$5,6,1))&gt;$D$2,0,$CC60="Annual",1,CE60=12,12,$CC60="Monthly V",CE60*(1+$D$3),$CC60="Monthly F",12,$CC60="One-Time",0),CE60*(1+$D$3))</f>
        <v/>
      </c>
      <c r="CG60" s="14">
        <f t="array" ref="CG60">IFERROR(_xlfn.IFS(VALUE(MID(CG$5,6,1))&gt;$D$2,0,$CC60="Annual",1,CF60=12,12,$CC60="Monthly V",CF60*(1+$D$3),$CC60="Monthly F",12,$CC60="One-Time",0),CF60*(1+$D$3))</f>
        <v/>
      </c>
      <c r="CH60" s="14">
        <f t="array" ref="CH60">IFERROR(_xlfn.IFS(VALUE(MID(CH$5,6,1))&gt;$D$2,0,$CC60="Annual",1,CG60=12,12,$CC60="Monthly V",CG60*(1+$D$3),$CC60="Monthly F",12,$CC60="One-Time",0),CG60*(1+$D$3))</f>
        <v/>
      </c>
      <c r="CI60" s="14">
        <f t="array" ref="CI60">IFERROR(_xlfn.IFS(VALUE(MID(CI$5,6,1))&gt;$D$2,0,$CC60="Annual",1,CH60=12,12,$CC60="Monthly V",CH60*(1+$D$3),$CC60="Monthly F",12,$CC60="One-Time",0),CH60*(1+$D$3))</f>
        <v/>
      </c>
      <c r="CJ60" s="14">
        <f t="array" ref="CJ60">IFERROR(_xlfn.IFS(VALUE(MID(CJ$5,6,1))&gt;$D$2,0,$CC60="Annual",1,CI60=12,12,$CC60="Monthly V",CI60*(1+$D$3),$CC60="Monthly F",12,$CC60="One-Time",0),CI60*(1+$D$3))</f>
        <v/>
      </c>
      <c r="CK60" s="14">
        <f t="array" ref="CK60">IFERROR(_xlfn.IFS(VALUE(MID(CK$5,6,1))&gt;$D$2,0,$CC60="Annual",1,CJ60=12,12,$CC60="Monthly V",CJ60*(1+$D$3),$CC60="Monthly F",12,$CC60="One-Time",0),CJ60*(1+$D$3))</f>
        <v/>
      </c>
      <c r="CL60" s="14">
        <f t="array" ref="CL60">IFERROR(_xlfn.IFS(VALUE(MID(CL$5,6,1))&gt;$D$2,0,$CC60="Annual",1,CK60=12,12,$CC60="Monthly V",CK60*(1+$D$3),$CC60="Monthly F",12,$CC60="One-Time",0),CK60*(1+$D$3))</f>
        <v/>
      </c>
      <c r="CM60" s="14">
        <f t="array" ref="CM60">IFERROR(_xlfn.IFS(VALUE(MID(CM$5,6,1))&gt;$D$2,0,$CC60="Annual",1,CL60=12,12,$CC60="Monthly V",CL60*(1+$D$3),$CC60="Monthly F",12,$CC60="One-Time",0),CL60*(1+$D$3))</f>
        <v/>
      </c>
      <c r="CN60" s="24">
        <f t="array" ref="CN60">IFERROR(_xlfn.IFS(VALUE(MID(CN$5,6,2))&gt;$D$2,0,$CC60="Annual",1,CM60=12,12,$CC60="Monthly V",CM60*(1+$D$3),$CC60="Monthly F",12,$CC60="One-Time",0),CM60*(1+$D$3))</f>
        <v/>
      </c>
      <c r="CO60" s="63" t="n"/>
      <c r="CP60" s="53" t="n"/>
      <c r="CQ60" s="21">
        <f>CR60/12</f>
        <v/>
      </c>
      <c r="CR60" s="55">
        <f>IFERROR(CE60*$CP60,0)</f>
        <v/>
      </c>
      <c r="CS60" s="55">
        <f>IFERROR(CF60*$CP60,0)</f>
        <v/>
      </c>
      <c r="CT60" s="55">
        <f>IFERROR(CG60*$CP60,0)</f>
        <v/>
      </c>
      <c r="CU60" s="55">
        <f>IFERROR(CH60*$CP60,0)</f>
        <v/>
      </c>
      <c r="CV60" s="55">
        <f>IFERROR(CI60*$CP60,0)</f>
        <v/>
      </c>
      <c r="CW60" s="55">
        <f>IFERROR(CJ60*$CP60,0)</f>
        <v/>
      </c>
      <c r="CX60" s="55">
        <f>IFERROR(CK60*$CP60,0)</f>
        <v/>
      </c>
      <c r="CY60" s="55">
        <f>IFERROR(CL60*$CP60,0)</f>
        <v/>
      </c>
      <c r="CZ60" s="55">
        <f>IFERROR(CM60*$CP60,0)</f>
        <v/>
      </c>
      <c r="DA60" s="55">
        <f>IFERROR(CN60*$CP60,0)</f>
        <v/>
      </c>
      <c r="DB60" s="56" t="n"/>
      <c r="DC60" s="56">
        <f>IF(VALUE(MID(DC$5,6,1))&lt;=$D$2,((1+$CP$3)^1-1)*CS60,0)</f>
        <v/>
      </c>
      <c r="DD60" s="56">
        <f>IF(VALUE(MID(DD$5,6,1))&lt;=$D$2,((1+$CP$3)^2-1)*CT60,0)</f>
        <v/>
      </c>
      <c r="DE60" s="56">
        <f>IF(VALUE(MID(DE$5,6,1))&lt;=$D$2,((1+$CP$3)^3-1)*CU60,0)</f>
        <v/>
      </c>
      <c r="DF60" s="56">
        <f>IF(VALUE(MID(DF$5,6,1))&lt;=$D$2,((1+$CP$3)^4-1)*CV60,0)</f>
        <v/>
      </c>
      <c r="DG60" s="56">
        <f>IF(VALUE(MID(DG$5,6,1))&lt;=$D$2,((1+$CP$3)^5-1)*CW60,0)</f>
        <v/>
      </c>
      <c r="DH60" s="56">
        <f>IF(VALUE(MID(DH$5,6,1))&lt;=$D$2,((1+$CP$3)^6-1)*CX60,0)</f>
        <v/>
      </c>
      <c r="DI60" s="56">
        <f>IF(VALUE(MID(DI$5,6,1))&lt;=$D$2,((1+$CP$3)^7-1)*CY60,0)</f>
        <v/>
      </c>
      <c r="DJ60" s="56">
        <f>IF(VALUE(MID(DJ$5,6,1))&lt;=$D$2,((1+$CP$3)^8-1)*CZ60,0)</f>
        <v/>
      </c>
      <c r="DK60" s="56">
        <f>IF(VALUE(MID(DK$5,6,2))&lt;=$D$2,((1+$CP$3)^9-1)*DA60,0)</f>
        <v/>
      </c>
      <c r="DL60" s="57">
        <f>SUM(DB60:DK60)</f>
        <v/>
      </c>
      <c r="DM60" s="54">
        <f>SUM(DL60,CR60:DA60)</f>
        <v/>
      </c>
      <c r="DO60" s="106" t="n"/>
    </row>
    <row r="61">
      <c r="B61" s="141" t="n"/>
      <c r="C61" s="24" t="n"/>
      <c r="D61" s="147" t="n"/>
      <c r="E61" s="142" t="n"/>
      <c r="F61" s="14" t="n"/>
      <c r="G61" s="14" t="n"/>
      <c r="H61" s="14" t="n"/>
      <c r="I61" s="14" t="n"/>
      <c r="J61" s="14" t="n"/>
      <c r="K61" s="14" t="n"/>
      <c r="L61" s="14" t="n"/>
      <c r="M61" s="14" t="n"/>
      <c r="N61" s="24" t="n"/>
      <c r="O61" s="157" t="inlineStr">
        <is>
          <t>IBM Cognos (HORIZON 360)</t>
        </is>
      </c>
      <c r="P61" s="13" t="n"/>
      <c r="Q61" s="20" t="n"/>
      <c r="R61" s="21">
        <f>S61/12</f>
        <v/>
      </c>
      <c r="S61" s="6">
        <f>IFERROR($Q61*E61,0)</f>
        <v/>
      </c>
      <c r="T61" s="6">
        <f>IFERROR($Q61*F61,0)</f>
        <v/>
      </c>
      <c r="U61" s="6">
        <f>IFERROR($Q61*G61,0)</f>
        <v/>
      </c>
      <c r="V61" s="6">
        <f>IFERROR($Q61*H61,0)</f>
        <v/>
      </c>
      <c r="W61" s="6">
        <f>IFERROR($Q61*I61,0)</f>
        <v/>
      </c>
      <c r="X61" s="6">
        <f>IFERROR($Q61*J61,0)</f>
        <v/>
      </c>
      <c r="Y61" s="6">
        <f>IFERROR($Q61*K61,0)</f>
        <v/>
      </c>
      <c r="Z61" s="6">
        <f>IFERROR($Q61*L61,0)</f>
        <v/>
      </c>
      <c r="AA61" s="6">
        <f>IFERROR($Q61*M61,0)</f>
        <v/>
      </c>
      <c r="AB61" s="6">
        <f>IFERROR($Q61*N61,0)</f>
        <v/>
      </c>
      <c r="AC61" s="7" t="n"/>
      <c r="AD61" s="152">
        <f>IF(VALUE(MID(AD$5,6,1))&lt;=$D$2,((1+$Q$3)^1-1)*T61,0)</f>
        <v/>
      </c>
      <c r="AE61" s="152">
        <f>IF(VALUE(MID(AE$5,6,1))&lt;=$D$2,((1+$Q$3)^2-1)*U61,0)</f>
        <v/>
      </c>
      <c r="AF61" s="152">
        <f>IF(VALUE(MID(AF$5,6,1))&lt;=$D$2,((1+$Q$3)^3-1)*V61,0)</f>
        <v/>
      </c>
      <c r="AG61" s="152">
        <f>IF(VALUE(MID(AG$5,6,1))&lt;=$D$2,((1+$Q$3)^4-1)*W61,0)</f>
        <v/>
      </c>
      <c r="AH61" s="152">
        <f>IF(VALUE(MID(AH$5,6,1))&lt;=$D$2,((1+$Q$3)^5-1)*X61,0)</f>
        <v/>
      </c>
      <c r="AI61" s="152">
        <f>IF(VALUE(MID(AI$5,6,1))&lt;=$D$2,((1+$Q$3)^6-1)*Y61,0)</f>
        <v/>
      </c>
      <c r="AJ61" s="152">
        <f>IF(VALUE(MID(AJ$5,6,1))&lt;=$D$2,((1+$Q$3)^7-1)*Z61,0)</f>
        <v/>
      </c>
      <c r="AK61" s="152">
        <f>IF(VALUE(MID(AK$5,6,1))&lt;=$D$2,((1+$Q$3)^8-1)*AA61,0)</f>
        <v/>
      </c>
      <c r="AL61" s="152">
        <f>IF(VALUE(MID(AL$5,6,2))&lt;=$D$2,((1+$Q$3)^9-1)*AB61,0)</f>
        <v/>
      </c>
      <c r="AM61" s="9">
        <f>SUM(AC61:AL61)</f>
        <v/>
      </c>
      <c r="AN61" s="80">
        <f>SUM(AM61,S61:AB61)</f>
        <v/>
      </c>
      <c r="AP61" s="102" t="inlineStr">
        <is>
          <t>Monthly V</t>
        </is>
      </c>
      <c r="AQ61" s="12" t="n">
        <v>5000</v>
      </c>
      <c r="AR61" s="14">
        <f>IF($AP61="Annual",1,IF($AP61="Monthly F",12,IF($AP61="Monthly V",AQ61*12,IF($AP61="One-Time",1,AQ61*12))))</f>
        <v/>
      </c>
      <c r="AS61" s="14">
        <f t="array" ref="AS61">IFERROR(_xlfn.IFS(VALUE(MID(AS$5,6,1))&gt;$D$2,0,$AP61="Annual",1,AR61=12,12,$AP61="Monthly V",AR61*(1+$BD$2),$AP61="Monthly F",12,$AP61="One-Time",0),AR61*(1+$BD$2))</f>
        <v/>
      </c>
      <c r="AT61" s="14">
        <f t="array" ref="AT61">IFERROR(_xlfn.IFS(VALUE(MID(AT$5,6,1))&gt;$D$2,0,$AP61="Annual",1,AS61=12,12,$AP61="Monthly V",AS61*(1+$BD$2),$AP61="Monthly F",12,$AP61="One-Time",0),AS61*(1+$BD$2))</f>
        <v/>
      </c>
      <c r="AU61" s="14">
        <f t="array" ref="AU61">IFERROR(_xlfn.IFS(VALUE(MID(AU$5,6,1))&gt;$D$2,0,$AP61="Annual",1,AT61=12,12,$AP61="Monthly V",AT61*(1+$BD$2),$AP61="Monthly F",12,$AP61="One-Time",0),AT61*(1+$BD$2))</f>
        <v/>
      </c>
      <c r="AV61" s="14">
        <f t="array" ref="AV61">IFERROR(_xlfn.IFS(VALUE(MID(AV$5,6,1))&gt;$D$2,0,$AP61="Annual",1,AU61=12,12,$AP61="Monthly V",AU61*(1+$BD$2),$AP61="Monthly F",12,$AP61="One-Time",0),AU61*(1+$BD$2))</f>
        <v/>
      </c>
      <c r="AW61" s="14">
        <f t="array" ref="AW61">IFERROR(_xlfn.IFS(VALUE(MID(AW$5,6,1))&gt;$D$2,0,$AP61="Annual",1,AV61=12,12,$AP61="Monthly V",AV61*(1+$BD$2),$AP61="Monthly F",12,$AP61="One-Time",0),AV61*(1+$BD$2))</f>
        <v/>
      </c>
      <c r="AX61" s="14">
        <f t="array" ref="AX61">IFERROR(_xlfn.IFS(VALUE(MID(AX$5,6,1))&gt;$D$2,0,$AP61="Annual",1,AW61=12,12,$AP61="Monthly V",AW61*(1+$BD$2),$AP61="Monthly F",12,$AP61="One-Time",0),AW61*(1+$BD$2))</f>
        <v/>
      </c>
      <c r="AY61" s="14">
        <f t="array" ref="AY61">IFERROR(_xlfn.IFS(VALUE(MID(AY$5,6,1))&gt;$D$2,0,$AP61="Annual",1,AX61=12,12,$AP61="Monthly V",AX61*(1+$D$3),$AP61="Monthly F",12,$AP61="One-Time",0),AX61*(1+$D$3))</f>
        <v/>
      </c>
      <c r="AZ61" s="14">
        <f t="array" ref="AZ61">IFERROR(_xlfn.IFS(VALUE(MID(AZ$5,6,1))&gt;$D$2,0,$AP61="Annual",1,AY61=12,12,$AP61="Monthly V",AY61*(1+$D$3),$AP61="Monthly F",12,$AP61="One-Time",0),AY61*(1+$D$3))</f>
        <v/>
      </c>
      <c r="BA61" s="125">
        <f t="array" ref="BA61">IFERROR(_xlfn.IFS(VALUE(MID(BA$5,6,2))&gt;$D$2,0,$AP61="Annual",1,AZ61=12,12,$AP61="Monthly V",AZ61*(1+$D$3),$AP61="Monthly F",12,$AP61="One-Time",0),AZ61*(1+$D$3))</f>
        <v/>
      </c>
      <c r="BB61" s="148" t="inlineStr">
        <is>
          <t>Jack Henry Financial Crimes Defender Enterprise</t>
        </is>
      </c>
      <c r="BC61" s="38" t="inlineStr">
        <is>
          <t>Fraud</t>
        </is>
      </c>
      <c r="BD61" s="36" t="n">
        <v>0.7164</v>
      </c>
      <c r="BE61" s="21">
        <f>BF61/12</f>
        <v/>
      </c>
      <c r="BF61" s="39">
        <f>IFERROR(AR61*$BD61,0)</f>
        <v/>
      </c>
      <c r="BG61" s="39">
        <f>IFERROR(AS61*$BD61,0)</f>
        <v/>
      </c>
      <c r="BH61" s="39">
        <f>IFERROR(AT61*$BD61,0)</f>
        <v/>
      </c>
      <c r="BI61" s="39">
        <f>BH61*1.03</f>
        <v/>
      </c>
      <c r="BJ61" s="39">
        <f>BI61*1.03</f>
        <v/>
      </c>
      <c r="BK61" s="39">
        <f>BJ61*1.03</f>
        <v/>
      </c>
      <c r="BL61" s="39">
        <f>BK61*1.03</f>
        <v/>
      </c>
      <c r="BM61" s="39">
        <f>IFERROR(AY61*$BD61,0)</f>
        <v/>
      </c>
      <c r="BN61" s="39">
        <f>IFERROR(AZ61*$BD61,0)</f>
        <v/>
      </c>
      <c r="BO61" s="39">
        <f>IFERROR(BA61*$BD61,0)</f>
        <v/>
      </c>
      <c r="BP61" s="40" t="n"/>
      <c r="BQ61" s="40">
        <f>IF(VALUE(MID(BQ$5,6,1))&lt;=$D$2,((1+$BD$3)^1-1)*BG61,0)</f>
        <v/>
      </c>
      <c r="BR61" s="40">
        <f>IF(VALUE(MID(BR$5,6,1))&lt;=$D$2,((1+$BD$3)^2-1)*BH61,0)</f>
        <v/>
      </c>
      <c r="BS61" s="40">
        <f>IF(VALUE(MID(BS$5,6,1))&lt;=$D$2,((1+$BD$3)^3-1)*BI61,0)</f>
        <v/>
      </c>
      <c r="BT61" s="40">
        <f>IF(VALUE(MID(BT$5,6,1))&lt;=$D$2,((1+$BD$3)^4-1)*BJ61,0)</f>
        <v/>
      </c>
      <c r="BU61" s="40">
        <f>IF(VALUE(MID(BU$5,6,1))&lt;=$D$2,((1+$BD$3)^5-1)*BK61,0)</f>
        <v/>
      </c>
      <c r="BV61" s="40">
        <f>IF(VALUE(MID(BV$5,6,1))&lt;=$D$2,((1+$BD$3)^6-1)*BL61,0)</f>
        <v/>
      </c>
      <c r="BW61" s="40">
        <f>IF(VALUE(MID(BW$5,6,1))&lt;=$D$2,((1+$BD$3)^7-1)*BM61,0)</f>
        <v/>
      </c>
      <c r="BX61" s="40">
        <f>IF(VALUE(MID(BX$5,6,1))&lt;=$D$2,((1+$BD$3)^8-1)*BN61,0)</f>
        <v/>
      </c>
      <c r="BY61" s="40">
        <f>IF(VALUE(MID(BY$5,6,2))&lt;=$D$2,((1+$BD$3)^9-1)*BO61,0)</f>
        <v/>
      </c>
      <c r="BZ61" s="40">
        <f>SUM(BP61:BY61)</f>
        <v/>
      </c>
      <c r="CA61" s="37">
        <f>SUM(BZ61,BF61:BO61)</f>
        <v/>
      </c>
      <c r="CC61" s="102" t="n"/>
      <c r="CD61" s="12" t="n"/>
      <c r="CE61" s="14">
        <f>IF($CC61="Annual",1,IF($CC61="Monthly F",12,IF($CC61="Monthly V",CD61*12,IF($CC61="One-Time",1,CD61*12))))</f>
        <v/>
      </c>
      <c r="CF61" s="14">
        <f t="array" ref="CF61">IFERROR(_xlfn.IFS(VALUE(MID(CF$5,6,1))&gt;$D$2,0,$CC61="Annual",1,CE61=12,12,$CC61="Monthly V",CE61*(1+$D$3),$CC61="Monthly F",12,$CC61="One-Time",0),CE61*(1+$D$3))</f>
        <v/>
      </c>
      <c r="CG61" s="14">
        <f t="array" ref="CG61">IFERROR(_xlfn.IFS(VALUE(MID(CG$5,6,1))&gt;$D$2,0,$CC61="Annual",1,CF61=12,12,$CC61="Monthly V",CF61*(1+$D$3),$CC61="Monthly F",12,$CC61="One-Time",0),CF61*(1+$D$3))</f>
        <v/>
      </c>
      <c r="CH61" s="14">
        <f t="array" ref="CH61">IFERROR(_xlfn.IFS(VALUE(MID(CH$5,6,1))&gt;$D$2,0,$CC61="Annual",1,CG61=12,12,$CC61="Monthly V",CG61*(1+$D$3),$CC61="Monthly F",12,$CC61="One-Time",0),CG61*(1+$D$3))</f>
        <v/>
      </c>
      <c r="CI61" s="14">
        <f t="array" ref="CI61">IFERROR(_xlfn.IFS(VALUE(MID(CI$5,6,1))&gt;$D$2,0,$CC61="Annual",1,CH61=12,12,$CC61="Monthly V",CH61*(1+$D$3),$CC61="Monthly F",12,$CC61="One-Time",0),CH61*(1+$D$3))</f>
        <v/>
      </c>
      <c r="CJ61" s="14">
        <f t="array" ref="CJ61">IFERROR(_xlfn.IFS(VALUE(MID(CJ$5,6,1))&gt;$D$2,0,$CC61="Annual",1,CI61=12,12,$CC61="Monthly V",CI61*(1+$D$3),$CC61="Monthly F",12,$CC61="One-Time",0),CI61*(1+$D$3))</f>
        <v/>
      </c>
      <c r="CK61" s="14">
        <f t="array" ref="CK61">IFERROR(_xlfn.IFS(VALUE(MID(CK$5,6,1))&gt;$D$2,0,$CC61="Annual",1,CJ61=12,12,$CC61="Monthly V",CJ61*(1+$D$3),$CC61="Monthly F",12,$CC61="One-Time",0),CJ61*(1+$D$3))</f>
        <v/>
      </c>
      <c r="CL61" s="14">
        <f t="array" ref="CL61">IFERROR(_xlfn.IFS(VALUE(MID(CL$5,6,1))&gt;$D$2,0,$CC61="Annual",1,CK61=12,12,$CC61="Monthly V",CK61*(1+$D$3),$CC61="Monthly F",12,$CC61="One-Time",0),CK61*(1+$D$3))</f>
        <v/>
      </c>
      <c r="CM61" s="14">
        <f t="array" ref="CM61">IFERROR(_xlfn.IFS(VALUE(MID(CM$5,6,1))&gt;$D$2,0,$CC61="Annual",1,CL61=12,12,$CC61="Monthly V",CL61*(1+$D$3),$CC61="Monthly F",12,$CC61="One-Time",0),CL61*(1+$D$3))</f>
        <v/>
      </c>
      <c r="CN61" s="24">
        <f t="array" ref="CN61">IFERROR(_xlfn.IFS(VALUE(MID(CN$5,6,2))&gt;$D$2,0,$CC61="Annual",1,CM61=12,12,$CC61="Monthly V",CM61*(1+$D$3),$CC61="Monthly F",12,$CC61="One-Time",0),CM61*(1+$D$3))</f>
        <v/>
      </c>
      <c r="CO61" s="63" t="n"/>
      <c r="CP61" s="53" t="n"/>
      <c r="CQ61" s="21">
        <f>CR61/12</f>
        <v/>
      </c>
      <c r="CR61" s="55">
        <f>IFERROR(CE61*$CP61,0)</f>
        <v/>
      </c>
      <c r="CS61" s="55">
        <f>IFERROR(CF61*$CP61,0)</f>
        <v/>
      </c>
      <c r="CT61" s="55">
        <f>IFERROR(CG61*$CP61,0)</f>
        <v/>
      </c>
      <c r="CU61" s="55">
        <f>IFERROR(CH61*$CP61,0)</f>
        <v/>
      </c>
      <c r="CV61" s="55">
        <f>IFERROR(CI61*$CP61,0)</f>
        <v/>
      </c>
      <c r="CW61" s="55">
        <f>IFERROR(CJ61*$CP61,0)</f>
        <v/>
      </c>
      <c r="CX61" s="55">
        <f>IFERROR(CK61*$CP61,0)</f>
        <v/>
      </c>
      <c r="CY61" s="55">
        <f>IFERROR(CL61*$CP61,0)</f>
        <v/>
      </c>
      <c r="CZ61" s="55">
        <f>IFERROR(CM61*$CP61,0)</f>
        <v/>
      </c>
      <c r="DA61" s="55">
        <f>IFERROR(CN61*$CP61,0)</f>
        <v/>
      </c>
      <c r="DB61" s="56" t="n"/>
      <c r="DC61" s="56">
        <f>IF(VALUE(MID(DC$5,6,1))&lt;=$D$2,((1+$CP$3)^1-1)*CS61,0)</f>
        <v/>
      </c>
      <c r="DD61" s="56">
        <f>IF(VALUE(MID(DD$5,6,1))&lt;=$D$2,((1+$CP$3)^2-1)*CT61,0)</f>
        <v/>
      </c>
      <c r="DE61" s="56">
        <f>IF(VALUE(MID(DE$5,6,1))&lt;=$D$2,((1+$CP$3)^3-1)*CU61,0)</f>
        <v/>
      </c>
      <c r="DF61" s="56">
        <f>IF(VALUE(MID(DF$5,6,1))&lt;=$D$2,((1+$CP$3)^4-1)*CV61,0)</f>
        <v/>
      </c>
      <c r="DG61" s="56">
        <f>IF(VALUE(MID(DG$5,6,1))&lt;=$D$2,((1+$CP$3)^5-1)*CW61,0)</f>
        <v/>
      </c>
      <c r="DH61" s="56">
        <f>IF(VALUE(MID(DH$5,6,1))&lt;=$D$2,((1+$CP$3)^6-1)*CX61,0)</f>
        <v/>
      </c>
      <c r="DI61" s="56">
        <f>IF(VALUE(MID(DI$5,6,1))&lt;=$D$2,((1+$CP$3)^7-1)*CY61,0)</f>
        <v/>
      </c>
      <c r="DJ61" s="56">
        <f>IF(VALUE(MID(DJ$5,6,1))&lt;=$D$2,((1+$CP$3)^8-1)*CZ61,0)</f>
        <v/>
      </c>
      <c r="DK61" s="56">
        <f>IF(VALUE(MID(DK$5,6,2))&lt;=$D$2,((1+$CP$3)^9-1)*DA61,0)</f>
        <v/>
      </c>
      <c r="DL61" s="57">
        <f>SUM(DB61:DK61)</f>
        <v/>
      </c>
      <c r="DM61" s="54">
        <f>SUM(DL61,CR61:DA61)</f>
        <v/>
      </c>
      <c r="DO61" s="106" t="n"/>
    </row>
    <row r="62">
      <c r="B62" s="141" t="inlineStr">
        <is>
          <t>Monthly V</t>
        </is>
      </c>
      <c r="C62" s="24" t="n">
        <v>1</v>
      </c>
      <c r="D62" s="147">
        <f>IFERROR(AVERAGE(C62:C62),0)</f>
        <v/>
      </c>
      <c r="E62" s="142">
        <f>IF($B62="Annual",1,IF($B62="Monthly F",12,IF($B62="Monthly V",D62*12,IF($B62="One-Time",1,D62*12))))</f>
        <v/>
      </c>
      <c r="F62" s="14">
        <f t="array" ref="F62">IFERROR(_xlfn.IFS(VALUE(MID(F$5,6,1))&gt;$D$2,0,$B62="Annual",1,E62=12,12,$B62="Monthly V",E62*(1+$D$3),$B62="Monthly F",12,$B62="One-Time",0),E62*(1+$D$3))</f>
        <v/>
      </c>
      <c r="G62" s="14">
        <f t="array" ref="G62">IFERROR(_xlfn.IFS(VALUE(MID(G$5,6,1))&gt;$D$2,0,$B62="Annual",1,F62=12,12,$B62="Monthly V",F62*(1+$D$3),$B62="Monthly F",12,$B62="One-Time",0),F62*(1+$D$3))</f>
        <v/>
      </c>
      <c r="H62" s="14">
        <f t="array" ref="H62">IFERROR(_xlfn.IFS(VALUE(MID(H$5,6,1))&gt;$D$2,0,$B62="Annual",1,G62=12,12,$B62="Monthly V",G62*(1+$D$3),$B62="Monthly F",12,$B62="One-Time",0),G62*(1+$D$3))</f>
        <v/>
      </c>
      <c r="I62" s="14">
        <f t="array" ref="I62">IFERROR(_xlfn.IFS(VALUE(MID(I$5,6,1))&gt;$D$2,0,$B62="Annual",1,H62=12,12,$B62="Monthly V",H62*(1+$D$3),$B62="Monthly F",12,$B62="One-Time",0),H62*(1+$D$3))</f>
        <v/>
      </c>
      <c r="J62" s="14">
        <f t="array" ref="J62">IFERROR(_xlfn.IFS(VALUE(MID(J$5,6,1))&gt;$D$2,0,$B62="Annual",1,I62=12,12,$B62="Monthly V",I62*(1+$D$3),$B62="Monthly F",12,$B62="One-Time",0),I62*(1+$D$3))</f>
        <v/>
      </c>
      <c r="K62" s="14">
        <f t="array" ref="K62">IFERROR(_xlfn.IFS(VALUE(MID(K$5,6,1))&gt;$D$2,0,$B62="Annual",1,J62=12,12,$B62="Monthly V",J62*(1+$D$3),$B62="Monthly F",12,$B62="One-Time",0),J62*(1+$D$3))</f>
        <v/>
      </c>
      <c r="L62" s="14">
        <f t="array" ref="L62">IFERROR(_xlfn.IFS(VALUE(MID(L$5,6,1))&gt;$D$2,0,$B62="Annual",1,K62=12,12,$B62="Monthly V",K62*(1+$D$3),$B62="Monthly F",12,$B62="One-Time",0),K62*(1+$D$3))</f>
        <v/>
      </c>
      <c r="M62" s="14">
        <f t="array" ref="M62">IFERROR(_xlfn.IFS(VALUE(MID(M$5,6,1))&gt;$D$2,0,$B62="Annual",1,L62=12,12,$B62="Monthly V",L62*(1+$D$3),$B62="Monthly F",12,$B62="One-Time",0),L62*(1+$D$3))</f>
        <v/>
      </c>
      <c r="N62" s="24">
        <f t="array" ref="N62">IFERROR(_xlfn.IFS(VALUE(MID(N$5,6,2))&gt;$D$2,0,$B62="Annual",1,M62=12,12,$B62="Monthly V",M62*(1+$D$3),$B62="Monthly F",12,$B62="One-Time",0),M62*(1+$D$3))</f>
        <v/>
      </c>
      <c r="O62" s="127" t="inlineStr">
        <is>
          <t>Web Admin</t>
        </is>
      </c>
      <c r="P62" s="13" t="n"/>
      <c r="Q62" s="20" t="n">
        <v>563</v>
      </c>
      <c r="R62" s="21">
        <f>S62/12</f>
        <v/>
      </c>
      <c r="S62" s="6">
        <f>IFERROR($Q62*E62,0)</f>
        <v/>
      </c>
      <c r="T62" s="6">
        <f>IFERROR($Q62*F62,0)</f>
        <v/>
      </c>
      <c r="U62" s="6">
        <f>IFERROR($Q62*G62,0)</f>
        <v/>
      </c>
      <c r="V62" s="6">
        <f>IFERROR($Q62*H62,0)</f>
        <v/>
      </c>
      <c r="W62" s="6">
        <f>IFERROR($Q62*I62,0)</f>
        <v/>
      </c>
      <c r="X62" s="6">
        <f>IFERROR($Q62*J62,0)</f>
        <v/>
      </c>
      <c r="Y62" s="6">
        <f>IFERROR($Q62*K62,0)</f>
        <v/>
      </c>
      <c r="Z62" s="6">
        <f>IFERROR($Q62*L62,0)</f>
        <v/>
      </c>
      <c r="AA62" s="6">
        <f>IFERROR($Q62*M62,0)</f>
        <v/>
      </c>
      <c r="AB62" s="6">
        <f>IFERROR($Q62*N62,0)</f>
        <v/>
      </c>
      <c r="AC62" s="7" t="n"/>
      <c r="AD62" s="152">
        <f>IF(VALUE(MID(AD$5,6,1))&lt;=$D$2,((1+$Q$3)^1-1)*T62,0)</f>
        <v/>
      </c>
      <c r="AE62" s="152">
        <f>IF(VALUE(MID(AE$5,6,1))&lt;=$D$2,((1+$Q$3)^2-1)*U62,0)</f>
        <v/>
      </c>
      <c r="AF62" s="152">
        <f>IF(VALUE(MID(AF$5,6,1))&lt;=$D$2,((1+$Q$3)^3-1)*V62,0)</f>
        <v/>
      </c>
      <c r="AG62" s="152">
        <f>IF(VALUE(MID(AG$5,6,1))&lt;=$D$2,((1+$Q$3)^4-1)*W62,0)</f>
        <v/>
      </c>
      <c r="AH62" s="152">
        <f>IF(VALUE(MID(AH$5,6,1))&lt;=$D$2,((1+$Q$3)^5-1)*X62,0)</f>
        <v/>
      </c>
      <c r="AI62" s="152">
        <f>IF(VALUE(MID(AI$5,6,1))&lt;=$D$2,((1+$Q$3)^6-1)*Y62,0)</f>
        <v/>
      </c>
      <c r="AJ62" s="152">
        <f>IF(VALUE(MID(AJ$5,6,1))&lt;=$D$2,((1+$Q$3)^7-1)*Z62,0)</f>
        <v/>
      </c>
      <c r="AK62" s="152">
        <f>IF(VALUE(MID(AK$5,6,1))&lt;=$D$2,((1+$Q$3)^8-1)*AA62,0)</f>
        <v/>
      </c>
      <c r="AL62" s="152">
        <f>IF(VALUE(MID(AL$5,6,2))&lt;=$D$2,((1+$Q$3)^9-1)*AB62,0)</f>
        <v/>
      </c>
      <c r="AM62" s="9">
        <f>SUM(AC62:AL62)</f>
        <v/>
      </c>
      <c r="AN62" s="80">
        <f>SUM(AM62,S62:AB62)</f>
        <v/>
      </c>
      <c r="AP62" s="102" t="inlineStr">
        <is>
          <t>Monthly F</t>
        </is>
      </c>
      <c r="AQ62" s="12" t="n">
        <v>1</v>
      </c>
      <c r="AR62" s="14">
        <f>IF($AP62="Annual",1,IF($AP62="Monthly F",12,IF($AP62="Monthly V",AQ62*12,IF($AP62="One-Time",1,AQ62*12))))</f>
        <v/>
      </c>
      <c r="AS62" s="14">
        <f t="array" ref="AS62">IFERROR(_xlfn.IFS(VALUE(MID(AS$5,6,1))&gt;$D$2,0,$AP62="Annual",1,AR62=12,12,$AP62="Monthly V",AR62*(1+$BD$2),$AP62="Monthly F",12,$AP62="One-Time",0),AR62*(1+$BD$2))</f>
        <v/>
      </c>
      <c r="AT62" s="14">
        <f t="array" ref="AT62">IFERROR(_xlfn.IFS(VALUE(MID(AT$5,6,1))&gt;$D$2,0,$AP62="Annual",1,AS62=12,12,$AP62="Monthly V",AS62*(1+$BD$2),$AP62="Monthly F",12,$AP62="One-Time",0),AS62*(1+$BD$2))</f>
        <v/>
      </c>
      <c r="AU62" s="14">
        <f t="array" ref="AU62">IFERROR(_xlfn.IFS(VALUE(MID(AU$5,6,1))&gt;$D$2,0,$AP62="Annual",1,AT62=12,12,$AP62="Monthly V",AT62*(1+$BD$2),$AP62="Monthly F",12,$AP62="One-Time",0),AT62*(1+$BD$2))</f>
        <v/>
      </c>
      <c r="AV62" s="14">
        <f t="array" ref="AV62">IFERROR(_xlfn.IFS(VALUE(MID(AV$5,6,1))&gt;$D$2,0,$AP62="Annual",1,AU62=12,12,$AP62="Monthly V",AU62*(1+$BD$2),$AP62="Monthly F",12,$AP62="One-Time",0),AU62*(1+$BD$2))</f>
        <v/>
      </c>
      <c r="AW62" s="14">
        <f t="array" ref="AW62">IFERROR(_xlfn.IFS(VALUE(MID(AW$5,6,1))&gt;$D$2,0,$AP62="Annual",1,AV62=12,12,$AP62="Monthly V",AV62*(1+$BD$2),$AP62="Monthly F",12,$AP62="One-Time",0),AV62*(1+$BD$2))</f>
        <v/>
      </c>
      <c r="AX62" s="14">
        <f t="array" ref="AX62">IFERROR(_xlfn.IFS(VALUE(MID(AX$5,6,1))&gt;$D$2,0,$AP62="Annual",1,AW62=12,12,$AP62="Monthly V",AW62*(1+$BD$2),$AP62="Monthly F",12,$AP62="One-Time",0),AW62*(1+$BD$2))</f>
        <v/>
      </c>
      <c r="AY62" s="14">
        <f t="array" ref="AY62">IFERROR(_xlfn.IFS(VALUE(MID(AY$5,6,1))&gt;$D$2,0,$AP62="Annual",1,AX62=12,12,$AP62="Monthly V",AX62*(1+$D$3),$AP62="Monthly F",12,$AP62="One-Time",0),AX62*(1+$D$3))</f>
        <v/>
      </c>
      <c r="AZ62" s="14">
        <f t="array" ref="AZ62">IFERROR(_xlfn.IFS(VALUE(MID(AZ$5,6,1))&gt;$D$2,0,$AP62="Annual",1,AY62=12,12,$AP62="Monthly V",AY62*(1+$D$3),$AP62="Monthly F",12,$AP62="One-Time",0),AY62*(1+$D$3))</f>
        <v/>
      </c>
      <c r="BA62" s="125">
        <f t="array" ref="BA62">IFERROR(_xlfn.IFS(VALUE(MID(BA$5,6,2))&gt;$D$2,0,$AP62="Annual",1,AZ62=12,12,$AP62="Monthly V",AZ62*(1+$D$3),$AP62="Monthly F",12,$AP62="One-Time",0),AZ62*(1+$D$3))</f>
        <v/>
      </c>
      <c r="BB62" s="148" t="inlineStr">
        <is>
          <t>Jack Henry Financial Crimes Defender Real-time Payments Zelle Initial</t>
        </is>
      </c>
      <c r="BC62" s="38" t="inlineStr">
        <is>
          <t>Fraud</t>
        </is>
      </c>
      <c r="BD62" s="36" t="n">
        <v>2000</v>
      </c>
      <c r="BE62" s="21">
        <f>BF62/12</f>
        <v/>
      </c>
      <c r="BF62" s="39">
        <f>IFERROR(AR62*$BD62,0)</f>
        <v/>
      </c>
      <c r="BG62" s="39">
        <f>IFERROR(AS62*$BD62,0)</f>
        <v/>
      </c>
      <c r="BH62" s="39">
        <f>IFERROR(AT62*$BD62,0)</f>
        <v/>
      </c>
      <c r="BI62" s="39">
        <f>BH62*1.03</f>
        <v/>
      </c>
      <c r="BJ62" s="39">
        <f>BI62*1.03</f>
        <v/>
      </c>
      <c r="BK62" s="39">
        <f>BJ62*1.03</f>
        <v/>
      </c>
      <c r="BL62" s="39">
        <f>BK62*1.03</f>
        <v/>
      </c>
      <c r="BM62" s="39">
        <f>IFERROR(AY62*$BD62,0)</f>
        <v/>
      </c>
      <c r="BN62" s="39">
        <f>IFERROR(AZ62*$BD62,0)</f>
        <v/>
      </c>
      <c r="BO62" s="39">
        <f>IFERROR(BA62*$BD62,0)</f>
        <v/>
      </c>
      <c r="BP62" s="40" t="n"/>
      <c r="BQ62" s="40">
        <f>IF(VALUE(MID(BQ$5,6,1))&lt;=$D$2,((1+$BD$3)^1-1)*BG62,0)</f>
        <v/>
      </c>
      <c r="BR62" s="40">
        <f>IF(VALUE(MID(BR$5,6,1))&lt;=$D$2,((1+$BD$3)^2-1)*BH62,0)</f>
        <v/>
      </c>
      <c r="BS62" s="40">
        <f>IF(VALUE(MID(BS$5,6,1))&lt;=$D$2,((1+$BD$3)^3-1)*BI62,0)</f>
        <v/>
      </c>
      <c r="BT62" s="40">
        <f>IF(VALUE(MID(BT$5,6,1))&lt;=$D$2,((1+$BD$3)^4-1)*BJ62,0)</f>
        <v/>
      </c>
      <c r="BU62" s="40">
        <f>IF(VALUE(MID(BU$5,6,1))&lt;=$D$2,((1+$BD$3)^5-1)*BK62,0)</f>
        <v/>
      </c>
      <c r="BV62" s="40">
        <f>IF(VALUE(MID(BV$5,6,1))&lt;=$D$2,((1+$BD$3)^6-1)*BL62,0)</f>
        <v/>
      </c>
      <c r="BW62" s="40">
        <f>IF(VALUE(MID(BW$5,6,1))&lt;=$D$2,((1+$BD$3)^7-1)*BM62,0)</f>
        <v/>
      </c>
      <c r="BX62" s="40">
        <f>IF(VALUE(MID(BX$5,6,1))&lt;=$D$2,((1+$BD$3)^8-1)*BN62,0)</f>
        <v/>
      </c>
      <c r="BY62" s="40">
        <f>IF(VALUE(MID(BY$5,6,2))&lt;=$D$2,((1+$BD$3)^9-1)*BO62,0)</f>
        <v/>
      </c>
      <c r="BZ62" s="40">
        <f>SUM(BP62:BY62)</f>
        <v/>
      </c>
      <c r="CA62" s="37">
        <f>SUM(BZ62,BF62:BO62)</f>
        <v/>
      </c>
      <c r="CC62" s="102" t="n"/>
      <c r="CD62" s="12" t="n"/>
      <c r="CE62" s="14">
        <f>IF($CC62="Annual",1,IF($CC62="Monthly F",12,IF($CC62="Monthly V",CD62*12,IF($CC62="One-Time",1,CD62*12))))</f>
        <v/>
      </c>
      <c r="CF62" s="14">
        <f t="array" ref="CF62">IFERROR(_xlfn.IFS(VALUE(MID(CF$5,6,1))&gt;$D$2,0,$CC62="Annual",1,CE62=12,12,$CC62="Monthly V",CE62*(1+$D$3),$CC62="Monthly F",12,$CC62="One-Time",0),CE62*(1+$D$3))</f>
        <v/>
      </c>
      <c r="CG62" s="14">
        <f t="array" ref="CG62">IFERROR(_xlfn.IFS(VALUE(MID(CG$5,6,1))&gt;$D$2,0,$CC62="Annual",1,CF62=12,12,$CC62="Monthly V",CF62*(1+$D$3),$CC62="Monthly F",12,$CC62="One-Time",0),CF62*(1+$D$3))</f>
        <v/>
      </c>
      <c r="CH62" s="14">
        <f t="array" ref="CH62">IFERROR(_xlfn.IFS(VALUE(MID(CH$5,6,1))&gt;$D$2,0,$CC62="Annual",1,CG62=12,12,$CC62="Monthly V",CG62*(1+$D$3),$CC62="Monthly F",12,$CC62="One-Time",0),CG62*(1+$D$3))</f>
        <v/>
      </c>
      <c r="CI62" s="14">
        <f t="array" ref="CI62">IFERROR(_xlfn.IFS(VALUE(MID(CI$5,6,1))&gt;$D$2,0,$CC62="Annual",1,CH62=12,12,$CC62="Monthly V",CH62*(1+$D$3),$CC62="Monthly F",12,$CC62="One-Time",0),CH62*(1+$D$3))</f>
        <v/>
      </c>
      <c r="CJ62" s="14">
        <f t="array" ref="CJ62">IFERROR(_xlfn.IFS(VALUE(MID(CJ$5,6,1))&gt;$D$2,0,$CC62="Annual",1,CI62=12,12,$CC62="Monthly V",CI62*(1+$D$3),$CC62="Monthly F",12,$CC62="One-Time",0),CI62*(1+$D$3))</f>
        <v/>
      </c>
      <c r="CK62" s="14">
        <f t="array" ref="CK62">IFERROR(_xlfn.IFS(VALUE(MID(CK$5,6,1))&gt;$D$2,0,$CC62="Annual",1,CJ62=12,12,$CC62="Monthly V",CJ62*(1+$D$3),$CC62="Monthly F",12,$CC62="One-Time",0),CJ62*(1+$D$3))</f>
        <v/>
      </c>
      <c r="CL62" s="14">
        <f t="array" ref="CL62">IFERROR(_xlfn.IFS(VALUE(MID(CL$5,6,1))&gt;$D$2,0,$CC62="Annual",1,CK62=12,12,$CC62="Monthly V",CK62*(1+$D$3),$CC62="Monthly F",12,$CC62="One-Time",0),CK62*(1+$D$3))</f>
        <v/>
      </c>
      <c r="CM62" s="14">
        <f t="array" ref="CM62">IFERROR(_xlfn.IFS(VALUE(MID(CM$5,6,1))&gt;$D$2,0,$CC62="Annual",1,CL62=12,12,$CC62="Monthly V",CL62*(1+$D$3),$CC62="Monthly F",12,$CC62="One-Time",0),CL62*(1+$D$3))</f>
        <v/>
      </c>
      <c r="CN62" s="24">
        <f t="array" ref="CN62">IFERROR(_xlfn.IFS(VALUE(MID(CN$5,6,2))&gt;$D$2,0,$CC62="Annual",1,CM62=12,12,$CC62="Monthly V",CM62*(1+$D$3),$CC62="Monthly F",12,$CC62="One-Time",0),CM62*(1+$D$3))</f>
        <v/>
      </c>
      <c r="CO62" s="63" t="n"/>
      <c r="CP62" s="53" t="n"/>
      <c r="CQ62" s="21">
        <f>CR62/12</f>
        <v/>
      </c>
      <c r="CR62" s="55">
        <f>IFERROR(CE62*$CP62,0)</f>
        <v/>
      </c>
      <c r="CS62" s="55">
        <f>IFERROR(CF62*$CP62,0)</f>
        <v/>
      </c>
      <c r="CT62" s="55">
        <f>IFERROR(CG62*$CP62,0)</f>
        <v/>
      </c>
      <c r="CU62" s="55">
        <f>IFERROR(CH62*$CP62,0)</f>
        <v/>
      </c>
      <c r="CV62" s="55">
        <f>IFERROR(CI62*$CP62,0)</f>
        <v/>
      </c>
      <c r="CW62" s="55">
        <f>IFERROR(CJ62*$CP62,0)</f>
        <v/>
      </c>
      <c r="CX62" s="55">
        <f>IFERROR(CK62*$CP62,0)</f>
        <v/>
      </c>
      <c r="CY62" s="55">
        <f>IFERROR(CL62*$CP62,0)</f>
        <v/>
      </c>
      <c r="CZ62" s="55">
        <f>IFERROR(CM62*$CP62,0)</f>
        <v/>
      </c>
      <c r="DA62" s="55">
        <f>IFERROR(CN62*$CP62,0)</f>
        <v/>
      </c>
      <c r="DB62" s="56" t="n"/>
      <c r="DC62" s="56">
        <f>IF(VALUE(MID(DC$5,6,1))&lt;=$D$2,((1+$CP$3)^1-1)*CS62,0)</f>
        <v/>
      </c>
      <c r="DD62" s="56">
        <f>IF(VALUE(MID(DD$5,6,1))&lt;=$D$2,((1+$CP$3)^2-1)*CT62,0)</f>
        <v/>
      </c>
      <c r="DE62" s="56">
        <f>IF(VALUE(MID(DE$5,6,1))&lt;=$D$2,((1+$CP$3)^3-1)*CU62,0)</f>
        <v/>
      </c>
      <c r="DF62" s="56">
        <f>IF(VALUE(MID(DF$5,6,1))&lt;=$D$2,((1+$CP$3)^4-1)*CV62,0)</f>
        <v/>
      </c>
      <c r="DG62" s="56">
        <f>IF(VALUE(MID(DG$5,6,1))&lt;=$D$2,((1+$CP$3)^5-1)*CW62,0)</f>
        <v/>
      </c>
      <c r="DH62" s="56">
        <f>IF(VALUE(MID(DH$5,6,1))&lt;=$D$2,((1+$CP$3)^6-1)*CX62,0)</f>
        <v/>
      </c>
      <c r="DI62" s="56">
        <f>IF(VALUE(MID(DI$5,6,1))&lt;=$D$2,((1+$CP$3)^7-1)*CY62,0)</f>
        <v/>
      </c>
      <c r="DJ62" s="56">
        <f>IF(VALUE(MID(DJ$5,6,1))&lt;=$D$2,((1+$CP$3)^8-1)*CZ62,0)</f>
        <v/>
      </c>
      <c r="DK62" s="56">
        <f>IF(VALUE(MID(DK$5,6,2))&lt;=$D$2,((1+$CP$3)^9-1)*DA62,0)</f>
        <v/>
      </c>
      <c r="DL62" s="57">
        <f>SUM(DB62:DK62)</f>
        <v/>
      </c>
      <c r="DM62" s="54">
        <f>SUM(DL62,CR62:DA62)</f>
        <v/>
      </c>
      <c r="DO62" s="106" t="n"/>
    </row>
    <row r="63">
      <c r="B63" s="141" t="inlineStr">
        <is>
          <t>Monthly V</t>
        </is>
      </c>
      <c r="C63" s="24" t="n">
        <v>1</v>
      </c>
      <c r="D63" s="147">
        <f>IFERROR(AVERAGE(C63:C63),0)</f>
        <v/>
      </c>
      <c r="E63" s="142">
        <f>IF($B63="Annual",1,IF($B63="Monthly F",12,IF($B63="Monthly V",D63*12,IF($B63="One-Time",1,D63*12))))</f>
        <v/>
      </c>
      <c r="F63" s="14">
        <f t="array" ref="F63">IFERROR(_xlfn.IFS(VALUE(MID(F$5,6,1))&gt;$D$2,0,$B63="Annual",1,E63=12,12,$B63="Monthly V",E63*(1+$D$3),$B63="Monthly F",12,$B63="One-Time",0),E63*(1+$D$3))</f>
        <v/>
      </c>
      <c r="G63" s="14">
        <f t="array" ref="G63">IFERROR(_xlfn.IFS(VALUE(MID(G$5,6,1))&gt;$D$2,0,$B63="Annual",1,F63=12,12,$B63="Monthly V",F63*(1+$D$3),$B63="Monthly F",12,$B63="One-Time",0),F63*(1+$D$3))</f>
        <v/>
      </c>
      <c r="H63" s="14">
        <f t="array" ref="H63">IFERROR(_xlfn.IFS(VALUE(MID(H$5,6,1))&gt;$D$2,0,$B63="Annual",1,G63=12,12,$B63="Monthly V",G63*(1+$D$3),$B63="Monthly F",12,$B63="One-Time",0),G63*(1+$D$3))</f>
        <v/>
      </c>
      <c r="I63" s="14">
        <f t="array" ref="I63">IFERROR(_xlfn.IFS(VALUE(MID(I$5,6,1))&gt;$D$2,0,$B63="Annual",1,H63=12,12,$B63="Monthly V",H63*(1+$D$3),$B63="Monthly F",12,$B63="One-Time",0),H63*(1+$D$3))</f>
        <v/>
      </c>
      <c r="J63" s="14">
        <f t="array" ref="J63">IFERROR(_xlfn.IFS(VALUE(MID(J$5,6,1))&gt;$D$2,0,$B63="Annual",1,I63=12,12,$B63="Monthly V",I63*(1+$D$3),$B63="Monthly F",12,$B63="One-Time",0),I63*(1+$D$3))</f>
        <v/>
      </c>
      <c r="K63" s="14">
        <f t="array" ref="K63">IFERROR(_xlfn.IFS(VALUE(MID(K$5,6,1))&gt;$D$2,0,$B63="Annual",1,J63=12,12,$B63="Monthly V",J63*(1+$D$3),$B63="Monthly F",12,$B63="One-Time",0),J63*(1+$D$3))</f>
        <v/>
      </c>
      <c r="L63" s="14">
        <f t="array" ref="L63">IFERROR(_xlfn.IFS(VALUE(MID(L$5,6,1))&gt;$D$2,0,$B63="Annual",1,K63=12,12,$B63="Monthly V",K63*(1+$D$3),$B63="Monthly F",12,$B63="One-Time",0),K63*(1+$D$3))</f>
        <v/>
      </c>
      <c r="M63" s="14">
        <f t="array" ref="M63">IFERROR(_xlfn.IFS(VALUE(MID(M$5,6,1))&gt;$D$2,0,$B63="Annual",1,L63=12,12,$B63="Monthly V",L63*(1+$D$3),$B63="Monthly F",12,$B63="One-Time",0),L63*(1+$D$3))</f>
        <v/>
      </c>
      <c r="N63" s="24">
        <f t="array" ref="N63">IFERROR(_xlfn.IFS(VALUE(MID(N$5,6,2))&gt;$D$2,0,$B63="Annual",1,M63=12,12,$B63="Monthly V",M63*(1+$D$3),$B63="Monthly F",12,$B63="One-Time",0),M63*(1+$D$3))</f>
        <v/>
      </c>
      <c r="O63" s="127" t="inlineStr">
        <is>
          <t>Enterprice License (Up to $250M in assets)</t>
        </is>
      </c>
      <c r="P63" s="13" t="n"/>
      <c r="Q63" s="20" t="n">
        <v>609</v>
      </c>
      <c r="R63" s="21">
        <f>S63/12</f>
        <v/>
      </c>
      <c r="S63" s="6">
        <f>IFERROR($Q63*E63,0)</f>
        <v/>
      </c>
      <c r="T63" s="6">
        <f>IFERROR($Q63*F63,0)</f>
        <v/>
      </c>
      <c r="U63" s="6">
        <f>IFERROR($Q63*G63,0)</f>
        <v/>
      </c>
      <c r="V63" s="6">
        <f>IFERROR($Q63*H63,0)</f>
        <v/>
      </c>
      <c r="W63" s="6">
        <f>IFERROR($Q63*I63,0)</f>
        <v/>
      </c>
      <c r="X63" s="6">
        <f>IFERROR($Q63*J63,0)</f>
        <v/>
      </c>
      <c r="Y63" s="6">
        <f>IFERROR($Q63*K63,0)</f>
        <v/>
      </c>
      <c r="Z63" s="6">
        <f>IFERROR($Q63*L63,0)</f>
        <v/>
      </c>
      <c r="AA63" s="6">
        <f>IFERROR($Q63*M63,0)</f>
        <v/>
      </c>
      <c r="AB63" s="6">
        <f>IFERROR($Q63*N63,0)</f>
        <v/>
      </c>
      <c r="AC63" s="7" t="n"/>
      <c r="AD63" s="152">
        <f>IF(VALUE(MID(AD$5,6,1))&lt;=$D$2,((1+$Q$3)^1-1)*T63,0)</f>
        <v/>
      </c>
      <c r="AE63" s="152">
        <f>IF(VALUE(MID(AE$5,6,1))&lt;=$D$2,((1+$Q$3)^2-1)*U63,0)</f>
        <v/>
      </c>
      <c r="AF63" s="152">
        <f>IF(VALUE(MID(AF$5,6,1))&lt;=$D$2,((1+$Q$3)^3-1)*V63,0)</f>
        <v/>
      </c>
      <c r="AG63" s="152">
        <f>IF(VALUE(MID(AG$5,6,1))&lt;=$D$2,((1+$Q$3)^4-1)*W63,0)</f>
        <v/>
      </c>
      <c r="AH63" s="152">
        <f>IF(VALUE(MID(AH$5,6,1))&lt;=$D$2,((1+$Q$3)^5-1)*X63,0)</f>
        <v/>
      </c>
      <c r="AI63" s="152">
        <f>IF(VALUE(MID(AI$5,6,1))&lt;=$D$2,((1+$Q$3)^6-1)*Y63,0)</f>
        <v/>
      </c>
      <c r="AJ63" s="152">
        <f>IF(VALUE(MID(AJ$5,6,1))&lt;=$D$2,((1+$Q$3)^7-1)*Z63,0)</f>
        <v/>
      </c>
      <c r="AK63" s="152">
        <f>IF(VALUE(MID(AK$5,6,1))&lt;=$D$2,((1+$Q$3)^8-1)*AA63,0)</f>
        <v/>
      </c>
      <c r="AL63" s="152">
        <f>IF(VALUE(MID(AL$5,6,2))&lt;=$D$2,((1+$Q$3)^9-1)*AB63,0)</f>
        <v/>
      </c>
      <c r="AM63" s="9">
        <f>SUM(AC63:AL63)</f>
        <v/>
      </c>
      <c r="AN63" s="80">
        <f>SUM(AM63,S63:AB63)</f>
        <v/>
      </c>
      <c r="AP63" s="102" t="inlineStr">
        <is>
          <t>Monthly V</t>
        </is>
      </c>
      <c r="AQ63" s="12" t="n">
        <v>5000</v>
      </c>
      <c r="AR63" s="14">
        <f>IF($AP63="Annual",1,IF($AP63="Monthly F",12,IF($AP63="Monthly V",AQ63*12,IF($AP63="One-Time",1,AQ63*12))))</f>
        <v/>
      </c>
      <c r="AS63" s="14">
        <f t="array" ref="AS63">IFERROR(_xlfn.IFS(VALUE(MID(AS$5,6,1))&gt;$D$2,0,$AP63="Annual",1,AR63=12,12,$AP63="Monthly V",AR63*(1+$BD$2),$AP63="Monthly F",12,$AP63="One-Time",0),AR63*(1+$BD$2))</f>
        <v/>
      </c>
      <c r="AT63" s="14">
        <f t="array" ref="AT63">IFERROR(_xlfn.IFS(VALUE(MID(AT$5,6,1))&gt;$D$2,0,$AP63="Annual",1,AS63=12,12,$AP63="Monthly V",AS63*(1+$BD$2),$AP63="Monthly F",12,$AP63="One-Time",0),AS63*(1+$BD$2))</f>
        <v/>
      </c>
      <c r="AU63" s="14">
        <f t="array" ref="AU63">IFERROR(_xlfn.IFS(VALUE(MID(AU$5,6,1))&gt;$D$2,0,$AP63="Annual",1,AT63=12,12,$AP63="Monthly V",AT63*(1+$BD$2),$AP63="Monthly F",12,$AP63="One-Time",0),AT63*(1+$BD$2))</f>
        <v/>
      </c>
      <c r="AV63" s="14">
        <f t="array" ref="AV63">IFERROR(_xlfn.IFS(VALUE(MID(AV$5,6,1))&gt;$D$2,0,$AP63="Annual",1,AU63=12,12,$AP63="Monthly V",AU63*(1+$BD$2),$AP63="Monthly F",12,$AP63="One-Time",0),AU63*(1+$BD$2))</f>
        <v/>
      </c>
      <c r="AW63" s="14">
        <f t="array" ref="AW63">IFERROR(_xlfn.IFS(VALUE(MID(AW$5,6,1))&gt;$D$2,0,$AP63="Annual",1,AV63=12,12,$AP63="Monthly V",AV63*(1+$BD$2),$AP63="Monthly F",12,$AP63="One-Time",0),AV63*(1+$BD$2))</f>
        <v/>
      </c>
      <c r="AX63" s="14">
        <f t="array" ref="AX63">IFERROR(_xlfn.IFS(VALUE(MID(AX$5,6,1))&gt;$D$2,0,$AP63="Annual",1,AW63=12,12,$AP63="Monthly V",AW63*(1+$BD$2),$AP63="Monthly F",12,$AP63="One-Time",0),AW63*(1+$BD$2))</f>
        <v/>
      </c>
      <c r="AY63" s="14">
        <f t="array" ref="AY63">IFERROR(_xlfn.IFS(VALUE(MID(AY$5,6,1))&gt;$D$2,0,$AP63="Annual",1,AX63=12,12,$AP63="Monthly V",AX63*(1+$D$3),$AP63="Monthly F",12,$AP63="One-Time",0),AX63*(1+$D$3))</f>
        <v/>
      </c>
      <c r="AZ63" s="14">
        <f t="array" ref="AZ63">IFERROR(_xlfn.IFS(VALUE(MID(AZ$5,6,1))&gt;$D$2,0,$AP63="Annual",1,AY63=12,12,$AP63="Monthly V",AY63*(1+$D$3),$AP63="Monthly F",12,$AP63="One-Time",0),AY63*(1+$D$3))</f>
        <v/>
      </c>
      <c r="BA63" s="125">
        <f t="array" ref="BA63">IFERROR(_xlfn.IFS(VALUE(MID(BA$5,6,2))&gt;$D$2,0,$AP63="Annual",1,AZ63=12,12,$AP63="Monthly V",AZ63*(1+$D$3),$AP63="Monthly F",12,$AP63="One-Time",0),AZ63*(1+$D$3))</f>
        <v/>
      </c>
      <c r="BB63" s="148" t="inlineStr">
        <is>
          <t>jhaEnterprise Workflow</t>
        </is>
      </c>
      <c r="BC63" s="38" t="inlineStr">
        <is>
          <t>jhaEnterprise Workflow</t>
        </is>
      </c>
      <c r="BD63" s="36" t="n">
        <v>0.1605</v>
      </c>
      <c r="BE63" s="21">
        <f>BF63/12</f>
        <v/>
      </c>
      <c r="BF63" s="39">
        <f>IFERROR(AR63*$BD63,0)</f>
        <v/>
      </c>
      <c r="BG63" s="39">
        <f>IFERROR(AS63*$BD63,0)</f>
        <v/>
      </c>
      <c r="BH63" s="39">
        <f>IFERROR(AT63*$BD63,0)</f>
        <v/>
      </c>
      <c r="BI63" s="39">
        <f>BH63*1.03</f>
        <v/>
      </c>
      <c r="BJ63" s="39">
        <f>BI63*1.03</f>
        <v/>
      </c>
      <c r="BK63" s="39">
        <f>BJ63*1.03</f>
        <v/>
      </c>
      <c r="BL63" s="39">
        <f>BK63*1.03</f>
        <v/>
      </c>
      <c r="BM63" s="39">
        <f>IFERROR(AY63*$BD63,0)</f>
        <v/>
      </c>
      <c r="BN63" s="39">
        <f>IFERROR(AZ63*$BD63,0)</f>
        <v/>
      </c>
      <c r="BO63" s="39">
        <f>IFERROR(BA63*$BD63,0)</f>
        <v/>
      </c>
      <c r="BP63" s="40" t="n"/>
      <c r="BQ63" s="40">
        <f>IF(VALUE(MID(BQ$5,6,1))&lt;=$D$2,((1+$BD$3)^1-1)*BG63,0)</f>
        <v/>
      </c>
      <c r="BR63" s="40">
        <f>IF(VALUE(MID(BR$5,6,1))&lt;=$D$2,((1+$BD$3)^2-1)*BH63,0)</f>
        <v/>
      </c>
      <c r="BS63" s="40">
        <f>IF(VALUE(MID(BS$5,6,1))&lt;=$D$2,((1+$BD$3)^3-1)*BI63,0)</f>
        <v/>
      </c>
      <c r="BT63" s="40">
        <f>IF(VALUE(MID(BT$5,6,1))&lt;=$D$2,((1+$BD$3)^4-1)*BJ63,0)</f>
        <v/>
      </c>
      <c r="BU63" s="40">
        <f>IF(VALUE(MID(BU$5,6,1))&lt;=$D$2,((1+$BD$3)^5-1)*BK63,0)</f>
        <v/>
      </c>
      <c r="BV63" s="40">
        <f>IF(VALUE(MID(BV$5,6,1))&lt;=$D$2,((1+$BD$3)^6-1)*BL63,0)</f>
        <v/>
      </c>
      <c r="BW63" s="40">
        <f>IF(VALUE(MID(BW$5,6,1))&lt;=$D$2,((1+$BD$3)^7-1)*BM63,0)</f>
        <v/>
      </c>
      <c r="BX63" s="40">
        <f>IF(VALUE(MID(BX$5,6,1))&lt;=$D$2,((1+$BD$3)^8-1)*BN63,0)</f>
        <v/>
      </c>
      <c r="BY63" s="40">
        <f>IF(VALUE(MID(BY$5,6,2))&lt;=$D$2,((1+$BD$3)^9-1)*BO63,0)</f>
        <v/>
      </c>
      <c r="BZ63" s="40">
        <f>SUM(BP63:BY63)</f>
        <v/>
      </c>
      <c r="CA63" s="37">
        <f>SUM(BZ63,BF63:BO63)</f>
        <v/>
      </c>
      <c r="CC63" s="102" t="n"/>
      <c r="CD63" s="12" t="n"/>
      <c r="CE63" s="14">
        <f>IF($CC63="Annual",1,IF($CC63="Monthly F",12,IF($CC63="Monthly V",CD63*12,IF($CC63="One-Time",1,CD63*12))))</f>
        <v/>
      </c>
      <c r="CF63" s="14">
        <f t="array" ref="CF63">IFERROR(_xlfn.IFS(VALUE(MID(CF$5,6,1))&gt;$D$2,0,$CC63="Annual",1,CE63=12,12,$CC63="Monthly V",CE63*(1+$D$3),$CC63="Monthly F",12,$CC63="One-Time",0),CE63*(1+$D$3))</f>
        <v/>
      </c>
      <c r="CG63" s="14">
        <f t="array" ref="CG63">IFERROR(_xlfn.IFS(VALUE(MID(CG$5,6,1))&gt;$D$2,0,$CC63="Annual",1,CF63=12,12,$CC63="Monthly V",CF63*(1+$D$3),$CC63="Monthly F",12,$CC63="One-Time",0),CF63*(1+$D$3))</f>
        <v/>
      </c>
      <c r="CH63" s="14">
        <f t="array" ref="CH63">IFERROR(_xlfn.IFS(VALUE(MID(CH$5,6,1))&gt;$D$2,0,$CC63="Annual",1,CG63=12,12,$CC63="Monthly V",CG63*(1+$D$3),$CC63="Monthly F",12,$CC63="One-Time",0),CG63*(1+$D$3))</f>
        <v/>
      </c>
      <c r="CI63" s="14">
        <f t="array" ref="CI63">IFERROR(_xlfn.IFS(VALUE(MID(CI$5,6,1))&gt;$D$2,0,$CC63="Annual",1,CH63=12,12,$CC63="Monthly V",CH63*(1+$D$3),$CC63="Monthly F",12,$CC63="One-Time",0),CH63*(1+$D$3))</f>
        <v/>
      </c>
      <c r="CJ63" s="14">
        <f t="array" ref="CJ63">IFERROR(_xlfn.IFS(VALUE(MID(CJ$5,6,1))&gt;$D$2,0,$CC63="Annual",1,CI63=12,12,$CC63="Monthly V",CI63*(1+$D$3),$CC63="Monthly F",12,$CC63="One-Time",0),CI63*(1+$D$3))</f>
        <v/>
      </c>
      <c r="CK63" s="14">
        <f t="array" ref="CK63">IFERROR(_xlfn.IFS(VALUE(MID(CK$5,6,1))&gt;$D$2,0,$CC63="Annual",1,CJ63=12,12,$CC63="Monthly V",CJ63*(1+$D$3),$CC63="Monthly F",12,$CC63="One-Time",0),CJ63*(1+$D$3))</f>
        <v/>
      </c>
      <c r="CL63" s="14">
        <f t="array" ref="CL63">IFERROR(_xlfn.IFS(VALUE(MID(CL$5,6,1))&gt;$D$2,0,$CC63="Annual",1,CK63=12,12,$CC63="Monthly V",CK63*(1+$D$3),$CC63="Monthly F",12,$CC63="One-Time",0),CK63*(1+$D$3))</f>
        <v/>
      </c>
      <c r="CM63" s="14">
        <f t="array" ref="CM63">IFERROR(_xlfn.IFS(VALUE(MID(CM$5,6,1))&gt;$D$2,0,$CC63="Annual",1,CL63=12,12,$CC63="Monthly V",CL63*(1+$D$3),$CC63="Monthly F",12,$CC63="One-Time",0),CL63*(1+$D$3))</f>
        <v/>
      </c>
      <c r="CN63" s="24">
        <f t="array" ref="CN63">IFERROR(_xlfn.IFS(VALUE(MID(CN$5,6,2))&gt;$D$2,0,$CC63="Annual",1,CM63=12,12,$CC63="Monthly V",CM63*(1+$D$3),$CC63="Monthly F",12,$CC63="One-Time",0),CM63*(1+$D$3))</f>
        <v/>
      </c>
      <c r="CO63" s="63" t="n"/>
      <c r="CP63" s="53" t="n"/>
      <c r="CQ63" s="21">
        <f>CR63/12</f>
        <v/>
      </c>
      <c r="CR63" s="55">
        <f>IFERROR(CE63*$CP63,0)</f>
        <v/>
      </c>
      <c r="CS63" s="55">
        <f>IFERROR(CF63*$CP63,0)</f>
        <v/>
      </c>
      <c r="CT63" s="55">
        <f>IFERROR(CG63*$CP63,0)</f>
        <v/>
      </c>
      <c r="CU63" s="55">
        <f>IFERROR(CH63*$CP63,0)</f>
        <v/>
      </c>
      <c r="CV63" s="55">
        <f>IFERROR(CI63*$CP63,0)</f>
        <v/>
      </c>
      <c r="CW63" s="55">
        <f>IFERROR(CJ63*$CP63,0)</f>
        <v/>
      </c>
      <c r="CX63" s="55">
        <f>IFERROR(CK63*$CP63,0)</f>
        <v/>
      </c>
      <c r="CY63" s="55">
        <f>IFERROR(CL63*$CP63,0)</f>
        <v/>
      </c>
      <c r="CZ63" s="55">
        <f>IFERROR(CM63*$CP63,0)</f>
        <v/>
      </c>
      <c r="DA63" s="55">
        <f>IFERROR(CN63*$CP63,0)</f>
        <v/>
      </c>
      <c r="DB63" s="56" t="n"/>
      <c r="DC63" s="56">
        <f>IF(VALUE(MID(DC$5,6,1))&lt;=$D$2,((1+$CP$3)^1-1)*CS63,0)</f>
        <v/>
      </c>
      <c r="DD63" s="56">
        <f>IF(VALUE(MID(DD$5,6,1))&lt;=$D$2,((1+$CP$3)^2-1)*CT63,0)</f>
        <v/>
      </c>
      <c r="DE63" s="56">
        <f>IF(VALUE(MID(DE$5,6,1))&lt;=$D$2,((1+$CP$3)^3-1)*CU63,0)</f>
        <v/>
      </c>
      <c r="DF63" s="56">
        <f>IF(VALUE(MID(DF$5,6,1))&lt;=$D$2,((1+$CP$3)^4-1)*CV63,0)</f>
        <v/>
      </c>
      <c r="DG63" s="56">
        <f>IF(VALUE(MID(DG$5,6,1))&lt;=$D$2,((1+$CP$3)^5-1)*CW63,0)</f>
        <v/>
      </c>
      <c r="DH63" s="56">
        <f>IF(VALUE(MID(DH$5,6,1))&lt;=$D$2,((1+$CP$3)^6-1)*CX63,0)</f>
        <v/>
      </c>
      <c r="DI63" s="56">
        <f>IF(VALUE(MID(DI$5,6,1))&lt;=$D$2,((1+$CP$3)^7-1)*CY63,0)</f>
        <v/>
      </c>
      <c r="DJ63" s="56">
        <f>IF(VALUE(MID(DJ$5,6,1))&lt;=$D$2,((1+$CP$3)^8-1)*CZ63,0)</f>
        <v/>
      </c>
      <c r="DK63" s="56">
        <f>IF(VALUE(MID(DK$5,6,2))&lt;=$D$2,((1+$CP$3)^9-1)*DA63,0)</f>
        <v/>
      </c>
      <c r="DL63" s="57">
        <f>SUM(DB63:DK63)</f>
        <v/>
      </c>
      <c r="DM63" s="54">
        <f>SUM(DL63,CR63:DA63)</f>
        <v/>
      </c>
      <c r="DO63" s="106" t="n"/>
    </row>
    <row r="64">
      <c r="B64" s="141" t="inlineStr">
        <is>
          <t>Monthly F</t>
        </is>
      </c>
      <c r="C64" s="24" t="n">
        <v>10000</v>
      </c>
      <c r="D64" s="147">
        <f>IFERROR(AVERAGE(C64:C64),0)</f>
        <v/>
      </c>
      <c r="E64" s="142">
        <f>IF($B64="Annual",1,IF($B64="Monthly F",12,IF($B64="Monthly V",D64*12,IF($B64="One-Time",1,D64*12))))</f>
        <v/>
      </c>
      <c r="F64" s="14">
        <f t="array" ref="F64">IFERROR(_xlfn.IFS(VALUE(MID(F$5,6,1))&gt;$D$2,0,$B64="Annual",1,E64=12,12,$B64="Monthly V",E64*(1+$D$3),$B64="Monthly F",12,$B64="One-Time",0),E64*(1+$D$3))</f>
        <v/>
      </c>
      <c r="G64" s="14">
        <f t="array" ref="G64">IFERROR(_xlfn.IFS(VALUE(MID(G$5,6,1))&gt;$D$2,0,$B64="Annual",1,F64=12,12,$B64="Monthly V",F64*(1+$D$3),$B64="Monthly F",12,$B64="One-Time",0),F64*(1+$D$3))</f>
        <v/>
      </c>
      <c r="H64" s="14">
        <f t="array" ref="H64">IFERROR(_xlfn.IFS(VALUE(MID(H$5,6,1))&gt;$D$2,0,$B64="Annual",1,G64=12,12,$B64="Monthly V",G64*(1+$D$3),$B64="Monthly F",12,$B64="One-Time",0),G64*(1+$D$3))</f>
        <v/>
      </c>
      <c r="I64" s="14">
        <f t="array" ref="I64">IFERROR(_xlfn.IFS(VALUE(MID(I$5,6,1))&gt;$D$2,0,$B64="Annual",1,H64=12,12,$B64="Monthly V",H64*(1+$D$3),$B64="Monthly F",12,$B64="One-Time",0),H64*(1+$D$3))</f>
        <v/>
      </c>
      <c r="J64" s="14">
        <f t="array" ref="J64">IFERROR(_xlfn.IFS(VALUE(MID(J$5,6,1))&gt;$D$2,0,$B64="Annual",1,I64=12,12,$B64="Monthly V",I64*(1+$D$3),$B64="Monthly F",12,$B64="One-Time",0),I64*(1+$D$3))</f>
        <v/>
      </c>
      <c r="K64" s="14">
        <f t="array" ref="K64">IFERROR(_xlfn.IFS(VALUE(MID(K$5,6,1))&gt;$D$2,0,$B64="Annual",1,J64=12,12,$B64="Monthly V",J64*(1+$D$3),$B64="Monthly F",12,$B64="One-Time",0),J64*(1+$D$3))</f>
        <v/>
      </c>
      <c r="L64" s="14">
        <f t="array" ref="L64">IFERROR(_xlfn.IFS(VALUE(MID(L$5,6,1))&gt;$D$2,0,$B64="Annual",1,K64=12,12,$B64="Monthly V",K64*(1+$D$3),$B64="Monthly F",12,$B64="One-Time",0),K64*(1+$D$3))</f>
        <v/>
      </c>
      <c r="M64" s="14">
        <f t="array" ref="M64">IFERROR(_xlfn.IFS(VALUE(MID(M$5,6,1))&gt;$D$2,0,$B64="Annual",1,L64=12,12,$B64="Monthly V",L64*(1+$D$3),$B64="Monthly F",12,$B64="One-Time",0),L64*(1+$D$3))</f>
        <v/>
      </c>
      <c r="N64" s="24">
        <f t="array" ref="N64">IFERROR(_xlfn.IFS(VALUE(MID(N$5,6,2))&gt;$D$2,0,$B64="Annual",1,M64=12,12,$B64="Monthly V",M64*(1+$D$3),$B64="Monthly F",12,$B64="One-Time",0),M64*(1+$D$3))</f>
        <v/>
      </c>
      <c r="O64" s="127" t="inlineStr">
        <is>
          <t>FedNOW (Receive Only) (Includes 10,000 Receive Trans)</t>
        </is>
      </c>
      <c r="P64" s="13" t="n"/>
      <c r="Q64" s="20" t="n">
        <v>1500</v>
      </c>
      <c r="R64" s="21">
        <f>S64/12</f>
        <v/>
      </c>
      <c r="S64" s="6">
        <f>IFERROR($Q64*E64,0)</f>
        <v/>
      </c>
      <c r="T64" s="6">
        <f>IFERROR($Q64*F64,0)</f>
        <v/>
      </c>
      <c r="U64" s="6">
        <f>IFERROR($Q64*G64,0)</f>
        <v/>
      </c>
      <c r="V64" s="6">
        <f>IFERROR($Q64*H64,0)</f>
        <v/>
      </c>
      <c r="W64" s="6">
        <f>IFERROR($Q64*I64,0)</f>
        <v/>
      </c>
      <c r="X64" s="6">
        <f>IFERROR($Q64*J64,0)</f>
        <v/>
      </c>
      <c r="Y64" s="6">
        <f>IFERROR($Q64*K64,0)</f>
        <v/>
      </c>
      <c r="Z64" s="6">
        <f>IFERROR($Q64*L64,0)</f>
        <v/>
      </c>
      <c r="AA64" s="6">
        <f>IFERROR($Q64*M64,0)</f>
        <v/>
      </c>
      <c r="AB64" s="6">
        <f>IFERROR($Q64*N64,0)</f>
        <v/>
      </c>
      <c r="AC64" s="7" t="n"/>
      <c r="AD64" s="152">
        <f>IF(VALUE(MID(AD$5,6,1))&lt;=$D$2,((1+$Q$3)^1-1)*T64,0)</f>
        <v/>
      </c>
      <c r="AE64" s="152">
        <f>IF(VALUE(MID(AE$5,6,1))&lt;=$D$2,((1+$Q$3)^2-1)*U64,0)</f>
        <v/>
      </c>
      <c r="AF64" s="152">
        <f>IF(VALUE(MID(AF$5,6,1))&lt;=$D$2,((1+$Q$3)^3-1)*V64,0)</f>
        <v/>
      </c>
      <c r="AG64" s="152">
        <f>IF(VALUE(MID(AG$5,6,1))&lt;=$D$2,((1+$Q$3)^4-1)*W64,0)</f>
        <v/>
      </c>
      <c r="AH64" s="152">
        <f>IF(VALUE(MID(AH$5,6,1))&lt;=$D$2,((1+$Q$3)^5-1)*X64,0)</f>
        <v/>
      </c>
      <c r="AI64" s="152">
        <f>IF(VALUE(MID(AI$5,6,1))&lt;=$D$2,((1+$Q$3)^6-1)*Y64,0)</f>
        <v/>
      </c>
      <c r="AJ64" s="152">
        <f>IF(VALUE(MID(AJ$5,6,1))&lt;=$D$2,((1+$Q$3)^7-1)*Z64,0)</f>
        <v/>
      </c>
      <c r="AK64" s="152">
        <f>IF(VALUE(MID(AK$5,6,1))&lt;=$D$2,((1+$Q$3)^8-1)*AA64,0)</f>
        <v/>
      </c>
      <c r="AL64" s="152">
        <f>IF(VALUE(MID(AL$5,6,2))&lt;=$D$2,((1+$Q$3)^9-1)*AB64,0)</f>
        <v/>
      </c>
      <c r="AM64" s="9">
        <f>SUM(AC64:AL64)</f>
        <v/>
      </c>
      <c r="AN64" s="80">
        <f>SUM(AM64,S64:AB64)</f>
        <v/>
      </c>
      <c r="AP64" s="102" t="inlineStr">
        <is>
          <t>Monthly V</t>
        </is>
      </c>
      <c r="AQ64" s="12" t="n">
        <v>5000</v>
      </c>
      <c r="AR64" s="14">
        <f>IF($AP64="Annual",1,IF($AP64="Monthly F",12,IF($AP64="Monthly V",AQ64*12,IF($AP64="One-Time",1,AQ64*12))))</f>
        <v/>
      </c>
      <c r="AS64" s="14">
        <f t="array" ref="AS64">IFERROR(_xlfn.IFS(VALUE(MID(AS$5,6,1))&gt;$D$2,0,$AP64="Annual",1,AR64=12,12,$AP64="Monthly V",AR64*(1+$BD$2),$AP64="Monthly F",12,$AP64="One-Time",0),AR64*(1+$BD$2))</f>
        <v/>
      </c>
      <c r="AT64" s="14">
        <f t="array" ref="AT64">IFERROR(_xlfn.IFS(VALUE(MID(AT$5,6,1))&gt;$D$2,0,$AP64="Annual",1,AS64=12,12,$AP64="Monthly V",AS64*(1+$BD$2),$AP64="Monthly F",12,$AP64="One-Time",0),AS64*(1+$BD$2))</f>
        <v/>
      </c>
      <c r="AU64" s="14">
        <f t="array" ref="AU64">IFERROR(_xlfn.IFS(VALUE(MID(AU$5,6,1))&gt;$D$2,0,$AP64="Annual",1,AT64=12,12,$AP64="Monthly V",AT64*(1+$BD$2),$AP64="Monthly F",12,$AP64="One-Time",0),AT64*(1+$BD$2))</f>
        <v/>
      </c>
      <c r="AV64" s="14">
        <f t="array" ref="AV64">IFERROR(_xlfn.IFS(VALUE(MID(AV$5,6,1))&gt;$D$2,0,$AP64="Annual",1,AU64=12,12,$AP64="Monthly V",AU64*(1+$BD$2),$AP64="Monthly F",12,$AP64="One-Time",0),AU64*(1+$BD$2))</f>
        <v/>
      </c>
      <c r="AW64" s="14">
        <f t="array" ref="AW64">IFERROR(_xlfn.IFS(VALUE(MID(AW$5,6,1))&gt;$D$2,0,$AP64="Annual",1,AV64=12,12,$AP64="Monthly V",AV64*(1+$BD$2),$AP64="Monthly F",12,$AP64="One-Time",0),AV64*(1+$BD$2))</f>
        <v/>
      </c>
      <c r="AX64" s="14">
        <f t="array" ref="AX64">IFERROR(_xlfn.IFS(VALUE(MID(AX$5,6,1))&gt;$D$2,0,$AP64="Annual",1,AW64=12,12,$AP64="Monthly V",AW64*(1+$BD$2),$AP64="Monthly F",12,$AP64="One-Time",0),AW64*(1+$BD$2))</f>
        <v/>
      </c>
      <c r="AY64" s="14">
        <f t="array" ref="AY64">IFERROR(_xlfn.IFS(VALUE(MID(AY$5,6,1))&gt;$D$2,0,$AP64="Annual",1,AX64=12,12,$AP64="Monthly V",AX64*(1+$D$3),$AP64="Monthly F",12,$AP64="One-Time",0),AX64*(1+$D$3))</f>
        <v/>
      </c>
      <c r="AZ64" s="14">
        <f t="array" ref="AZ64">IFERROR(_xlfn.IFS(VALUE(MID(AZ$5,6,1))&gt;$D$2,0,$AP64="Annual",1,AY64=12,12,$AP64="Monthly V",AY64*(1+$D$3),$AP64="Monthly F",12,$AP64="One-Time",0),AY64*(1+$D$3))</f>
        <v/>
      </c>
      <c r="BA64" s="125">
        <f t="array" ref="BA64">IFERROR(_xlfn.IFS(VALUE(MID(BA$5,6,2))&gt;$D$2,0,$AP64="Annual",1,AZ64=12,12,$AP64="Monthly V",AZ64*(1+$D$3),$AP64="Monthly F",12,$AP64="One-Time",0),AZ64*(1+$D$3))</f>
        <v/>
      </c>
      <c r="BB64" s="124" t="inlineStr">
        <is>
          <t>jhaEnterprise Workflow Synergy</t>
        </is>
      </c>
      <c r="BC64" s="38" t="inlineStr">
        <is>
          <t>jhaEnterprise Workflow</t>
        </is>
      </c>
      <c r="BD64" s="36" t="n">
        <v>0.1605</v>
      </c>
      <c r="BE64" s="21">
        <f>BF64/12</f>
        <v/>
      </c>
      <c r="BF64" s="39">
        <f>IFERROR(AR64*$BD64,0)</f>
        <v/>
      </c>
      <c r="BG64" s="39">
        <f>IFERROR(AS64*$BD64,0)</f>
        <v/>
      </c>
      <c r="BH64" s="39">
        <f>IFERROR(AT64*$BD64,0)</f>
        <v/>
      </c>
      <c r="BI64" s="39">
        <f>BH64*1.03</f>
        <v/>
      </c>
      <c r="BJ64" s="39">
        <f>BI64*1.03</f>
        <v/>
      </c>
      <c r="BK64" s="39">
        <f>BJ64*1.03</f>
        <v/>
      </c>
      <c r="BL64" s="39">
        <f>BK64*1.03</f>
        <v/>
      </c>
      <c r="BM64" s="39">
        <f>IFERROR(AY64*$BD64,0)</f>
        <v/>
      </c>
      <c r="BN64" s="39">
        <f>IFERROR(AZ64*$BD64,0)</f>
        <v/>
      </c>
      <c r="BO64" s="39">
        <f>IFERROR(BA64*$BD64,0)</f>
        <v/>
      </c>
      <c r="BP64" s="40" t="n"/>
      <c r="BQ64" s="40">
        <f>IF(VALUE(MID(BQ$5,6,1))&lt;=$D$2,((1+$BD$3)^1-1)*BG64,0)</f>
        <v/>
      </c>
      <c r="BR64" s="40">
        <f>IF(VALUE(MID(BR$5,6,1))&lt;=$D$2,((1+$BD$3)^2-1)*BH64,0)</f>
        <v/>
      </c>
      <c r="BS64" s="40">
        <f>IF(VALUE(MID(BS$5,6,1))&lt;=$D$2,((1+$BD$3)^3-1)*BI64,0)</f>
        <v/>
      </c>
      <c r="BT64" s="40">
        <f>IF(VALUE(MID(BT$5,6,1))&lt;=$D$2,((1+$BD$3)^4-1)*BJ64,0)</f>
        <v/>
      </c>
      <c r="BU64" s="40">
        <f>IF(VALUE(MID(BU$5,6,1))&lt;=$D$2,((1+$BD$3)^5-1)*BK64,0)</f>
        <v/>
      </c>
      <c r="BV64" s="40">
        <f>IF(VALUE(MID(BV$5,6,1))&lt;=$D$2,((1+$BD$3)^6-1)*BL64,0)</f>
        <v/>
      </c>
      <c r="BW64" s="40">
        <f>IF(VALUE(MID(BW$5,6,1))&lt;=$D$2,((1+$BD$3)^7-1)*BM64,0)</f>
        <v/>
      </c>
      <c r="BX64" s="40">
        <f>IF(VALUE(MID(BX$5,6,1))&lt;=$D$2,((1+$BD$3)^8-1)*BN64,0)</f>
        <v/>
      </c>
      <c r="BY64" s="40">
        <f>IF(VALUE(MID(BY$5,6,2))&lt;=$D$2,((1+$BD$3)^9-1)*BO64,0)</f>
        <v/>
      </c>
      <c r="BZ64" s="40">
        <f>SUM(BP64:BY64)</f>
        <v/>
      </c>
      <c r="CA64" s="37">
        <f>SUM(BZ64,BF64:BO64)</f>
        <v/>
      </c>
      <c r="CC64" s="102" t="n"/>
      <c r="CD64" s="12" t="n"/>
      <c r="CE64" s="14">
        <f>IF($CC64="Annual",1,IF($CC64="Monthly F",12,IF($CC64="Monthly V",CD64*12,IF($CC64="One-Time",1,CD64*12))))</f>
        <v/>
      </c>
      <c r="CF64" s="14">
        <f t="array" ref="CF64">IFERROR(_xlfn.IFS(VALUE(MID(CF$5,6,1))&gt;$D$2,0,$CC64="Annual",1,CE64=12,12,$CC64="Monthly V",CE64*(1+$D$3),$CC64="Monthly F",12,$CC64="One-Time",0),CE64*(1+$D$3))</f>
        <v/>
      </c>
      <c r="CG64" s="14">
        <f t="array" ref="CG64">IFERROR(_xlfn.IFS(VALUE(MID(CG$5,6,1))&gt;$D$2,0,$CC64="Annual",1,CF64=12,12,$CC64="Monthly V",CF64*(1+$D$3),$CC64="Monthly F",12,$CC64="One-Time",0),CF64*(1+$D$3))</f>
        <v/>
      </c>
      <c r="CH64" s="14">
        <f t="array" ref="CH64">IFERROR(_xlfn.IFS(VALUE(MID(CH$5,6,1))&gt;$D$2,0,$CC64="Annual",1,CG64=12,12,$CC64="Monthly V",CG64*(1+$D$3),$CC64="Monthly F",12,$CC64="One-Time",0),CG64*(1+$D$3))</f>
        <v/>
      </c>
      <c r="CI64" s="14">
        <f t="array" ref="CI64">IFERROR(_xlfn.IFS(VALUE(MID(CI$5,6,1))&gt;$D$2,0,$CC64="Annual",1,CH64=12,12,$CC64="Monthly V",CH64*(1+$D$3),$CC64="Monthly F",12,$CC64="One-Time",0),CH64*(1+$D$3))</f>
        <v/>
      </c>
      <c r="CJ64" s="14">
        <f t="array" ref="CJ64">IFERROR(_xlfn.IFS(VALUE(MID(CJ$5,6,1))&gt;$D$2,0,$CC64="Annual",1,CI64=12,12,$CC64="Monthly V",CI64*(1+$D$3),$CC64="Monthly F",12,$CC64="One-Time",0),CI64*(1+$D$3))</f>
        <v/>
      </c>
      <c r="CK64" s="14">
        <f t="array" ref="CK64">IFERROR(_xlfn.IFS(VALUE(MID(CK$5,6,1))&gt;$D$2,0,$CC64="Annual",1,CJ64=12,12,$CC64="Monthly V",CJ64*(1+$D$3),$CC64="Monthly F",12,$CC64="One-Time",0),CJ64*(1+$D$3))</f>
        <v/>
      </c>
      <c r="CL64" s="14">
        <f t="array" ref="CL64">IFERROR(_xlfn.IFS(VALUE(MID(CL$5,6,1))&gt;$D$2,0,$CC64="Annual",1,CK64=12,12,$CC64="Monthly V",CK64*(1+$D$3),$CC64="Monthly F",12,$CC64="One-Time",0),CK64*(1+$D$3))</f>
        <v/>
      </c>
      <c r="CM64" s="14">
        <f t="array" ref="CM64">IFERROR(_xlfn.IFS(VALUE(MID(CM$5,6,1))&gt;$D$2,0,$CC64="Annual",1,CL64=12,12,$CC64="Monthly V",CL64*(1+$D$3),$CC64="Monthly F",12,$CC64="One-Time",0),CL64*(1+$D$3))</f>
        <v/>
      </c>
      <c r="CN64" s="24">
        <f t="array" ref="CN64">IFERROR(_xlfn.IFS(VALUE(MID(CN$5,6,2))&gt;$D$2,0,$CC64="Annual",1,CM64=12,12,$CC64="Monthly V",CM64*(1+$D$3),$CC64="Monthly F",12,$CC64="One-Time",0),CM64*(1+$D$3))</f>
        <v/>
      </c>
      <c r="CO64" s="63" t="n"/>
      <c r="CP64" s="53" t="n"/>
      <c r="CQ64" s="21">
        <f>CR64/12</f>
        <v/>
      </c>
      <c r="CR64" s="55">
        <f>IFERROR(CE64*$CP64,0)</f>
        <v/>
      </c>
      <c r="CS64" s="55">
        <f>IFERROR(CF64*$CP64,0)</f>
        <v/>
      </c>
      <c r="CT64" s="55">
        <f>IFERROR(CG64*$CP64,0)</f>
        <v/>
      </c>
      <c r="CU64" s="55">
        <f>IFERROR(CH64*$CP64,0)</f>
        <v/>
      </c>
      <c r="CV64" s="55">
        <f>IFERROR(CI64*$CP64,0)</f>
        <v/>
      </c>
      <c r="CW64" s="55">
        <f>IFERROR(CJ64*$CP64,0)</f>
        <v/>
      </c>
      <c r="CX64" s="55">
        <f>IFERROR(CK64*$CP64,0)</f>
        <v/>
      </c>
      <c r="CY64" s="55">
        <f>IFERROR(CL64*$CP64,0)</f>
        <v/>
      </c>
      <c r="CZ64" s="55">
        <f>IFERROR(CM64*$CP64,0)</f>
        <v/>
      </c>
      <c r="DA64" s="55">
        <f>IFERROR(CN64*$CP64,0)</f>
        <v/>
      </c>
      <c r="DB64" s="56" t="n"/>
      <c r="DC64" s="56">
        <f>IF(VALUE(MID(DC$5,6,1))&lt;=$D$2,((1+$CP$3)^1-1)*CS64,0)</f>
        <v/>
      </c>
      <c r="DD64" s="56">
        <f>IF(VALUE(MID(DD$5,6,1))&lt;=$D$2,((1+$CP$3)^2-1)*CT64,0)</f>
        <v/>
      </c>
      <c r="DE64" s="56">
        <f>IF(VALUE(MID(DE$5,6,1))&lt;=$D$2,((1+$CP$3)^3-1)*CU64,0)</f>
        <v/>
      </c>
      <c r="DF64" s="56">
        <f>IF(VALUE(MID(DF$5,6,1))&lt;=$D$2,((1+$CP$3)^4-1)*CV64,0)</f>
        <v/>
      </c>
      <c r="DG64" s="56">
        <f>IF(VALUE(MID(DG$5,6,1))&lt;=$D$2,((1+$CP$3)^5-1)*CW64,0)</f>
        <v/>
      </c>
      <c r="DH64" s="56">
        <f>IF(VALUE(MID(DH$5,6,1))&lt;=$D$2,((1+$CP$3)^6-1)*CX64,0)</f>
        <v/>
      </c>
      <c r="DI64" s="56">
        <f>IF(VALUE(MID(DI$5,6,1))&lt;=$D$2,((1+$CP$3)^7-1)*CY64,0)</f>
        <v/>
      </c>
      <c r="DJ64" s="56">
        <f>IF(VALUE(MID(DJ$5,6,1))&lt;=$D$2,((1+$CP$3)^8-1)*CZ64,0)</f>
        <v/>
      </c>
      <c r="DK64" s="56">
        <f>IF(VALUE(MID(DK$5,6,2))&lt;=$D$2,((1+$CP$3)^9-1)*DA64,0)</f>
        <v/>
      </c>
      <c r="DL64" s="57">
        <f>SUM(DB64:DK64)</f>
        <v/>
      </c>
      <c r="DM64" s="54">
        <f>SUM(DL64,CR64:DA64)</f>
        <v/>
      </c>
      <c r="DO64" s="106" t="n"/>
    </row>
    <row r="65">
      <c r="B65" s="141" t="inlineStr">
        <is>
          <t>One-Time</t>
        </is>
      </c>
      <c r="C65" s="24" t="n">
        <v>1</v>
      </c>
      <c r="D65" s="147">
        <f>IFERROR(AVERAGE(C65:C65),0)</f>
        <v/>
      </c>
      <c r="E65" s="142">
        <f>IF($B65="Annual",1,IF($B65="Monthly F",12,IF($B65="Monthly V",D65*12,IF($B65="One-Time",1,D65*12))))</f>
        <v/>
      </c>
      <c r="F65" s="14">
        <f t="array" ref="F65">IFERROR(_xlfn.IFS(VALUE(MID(F$5,6,1))&gt;$D$2,0,$B65="Annual",1,E65=12,12,$B65="Monthly V",E65*(1+$D$3),$B65="Monthly F",12,$B65="One-Time",0),E65*(1+$D$3))</f>
        <v/>
      </c>
      <c r="G65" s="14">
        <f t="array" ref="G65">IFERROR(_xlfn.IFS(VALUE(MID(G$5,6,1))&gt;$D$2,0,$B65="Annual",1,F65=12,12,$B65="Monthly V",F65*(1+$D$3),$B65="Monthly F",12,$B65="One-Time",0),F65*(1+$D$3))</f>
        <v/>
      </c>
      <c r="H65" s="14">
        <f t="array" ref="H65">IFERROR(_xlfn.IFS(VALUE(MID(H$5,6,1))&gt;$D$2,0,$B65="Annual",1,G65=12,12,$B65="Monthly V",G65*(1+$D$3),$B65="Monthly F",12,$B65="One-Time",0),G65*(1+$D$3))</f>
        <v/>
      </c>
      <c r="I65" s="14">
        <f t="array" ref="I65">IFERROR(_xlfn.IFS(VALUE(MID(I$5,6,1))&gt;$D$2,0,$B65="Annual",1,H65=12,12,$B65="Monthly V",H65*(1+$D$3),$B65="Monthly F",12,$B65="One-Time",0),H65*(1+$D$3))</f>
        <v/>
      </c>
      <c r="J65" s="14">
        <f t="array" ref="J65">IFERROR(_xlfn.IFS(VALUE(MID(J$5,6,1))&gt;$D$2,0,$B65="Annual",1,I65=12,12,$B65="Monthly V",I65*(1+$D$3),$B65="Monthly F",12,$B65="One-Time",0),I65*(1+$D$3))</f>
        <v/>
      </c>
      <c r="K65" s="14">
        <f t="array" ref="K65">IFERROR(_xlfn.IFS(VALUE(MID(K$5,6,1))&gt;$D$2,0,$B65="Annual",1,J65=12,12,$B65="Monthly V",J65*(1+$D$3),$B65="Monthly F",12,$B65="One-Time",0),J65*(1+$D$3))</f>
        <v/>
      </c>
      <c r="L65" s="14">
        <f t="array" ref="L65">IFERROR(_xlfn.IFS(VALUE(MID(L$5,6,1))&gt;$D$2,0,$B65="Annual",1,K65=12,12,$B65="Monthly V",K65*(1+$D$3),$B65="Monthly F",12,$B65="One-Time",0),K65*(1+$D$3))</f>
        <v/>
      </c>
      <c r="M65" s="14">
        <f t="array" ref="M65">IFERROR(_xlfn.IFS(VALUE(MID(M$5,6,1))&gt;$D$2,0,$B65="Annual",1,L65=12,12,$B65="Monthly V",L65*(1+$D$3),$B65="Monthly F",12,$B65="One-Time",0),L65*(1+$D$3))</f>
        <v/>
      </c>
      <c r="N65" s="24">
        <f t="array" ref="N65">IFERROR(_xlfn.IFS(VALUE(MID(N$5,6,2))&gt;$D$2,0,$B65="Annual",1,M65=12,12,$B65="Monthly V",M65*(1+$D$3),$B65="Monthly F",12,$B65="One-Time",0),M65*(1+$D$3))</f>
        <v/>
      </c>
      <c r="O65" s="127" t="inlineStr">
        <is>
          <t>FedNOW (Receive Only) Implementation Fee</t>
        </is>
      </c>
      <c r="P65" s="13" t="n"/>
      <c r="Q65" s="20" t="n">
        <v>9000</v>
      </c>
      <c r="R65" s="21">
        <f>S65/12</f>
        <v/>
      </c>
      <c r="S65" s="6">
        <f>IFERROR($Q65*E65,0)</f>
        <v/>
      </c>
      <c r="T65" s="6">
        <f>IFERROR($Q65*F65,0)</f>
        <v/>
      </c>
      <c r="U65" s="6">
        <f>IFERROR($Q65*G65,0)</f>
        <v/>
      </c>
      <c r="V65" s="6">
        <f>IFERROR($Q65*H65,0)</f>
        <v/>
      </c>
      <c r="W65" s="6">
        <f>IFERROR($Q65*I65,0)</f>
        <v/>
      </c>
      <c r="X65" s="6">
        <f>IFERROR($Q65*J65,0)</f>
        <v/>
      </c>
      <c r="Y65" s="6">
        <f>IFERROR($Q65*K65,0)</f>
        <v/>
      </c>
      <c r="Z65" s="6">
        <f>IFERROR($Q65*L65,0)</f>
        <v/>
      </c>
      <c r="AA65" s="6">
        <f>IFERROR($Q65*M65,0)</f>
        <v/>
      </c>
      <c r="AB65" s="6">
        <f>IFERROR($Q65*N65,0)</f>
        <v/>
      </c>
      <c r="AC65" s="7" t="n"/>
      <c r="AD65" s="152">
        <f>IF(VALUE(MID(AD$5,6,1))&lt;=$D$2,((1+$Q$3)^1-1)*T65,0)</f>
        <v/>
      </c>
      <c r="AE65" s="152">
        <f>IF(VALUE(MID(AE$5,6,1))&lt;=$D$2,((1+$Q$3)^2-1)*U65,0)</f>
        <v/>
      </c>
      <c r="AF65" s="152">
        <f>IF(VALUE(MID(AF$5,6,1))&lt;=$D$2,((1+$Q$3)^3-1)*V65,0)</f>
        <v/>
      </c>
      <c r="AG65" s="152">
        <f>IF(VALUE(MID(AG$5,6,1))&lt;=$D$2,((1+$Q$3)^4-1)*W65,0)</f>
        <v/>
      </c>
      <c r="AH65" s="152">
        <f>IF(VALUE(MID(AH$5,6,1))&lt;=$D$2,((1+$Q$3)^5-1)*X65,0)</f>
        <v/>
      </c>
      <c r="AI65" s="152">
        <f>IF(VALUE(MID(AI$5,6,1))&lt;=$D$2,((1+$Q$3)^6-1)*Y65,0)</f>
        <v/>
      </c>
      <c r="AJ65" s="152">
        <f>IF(VALUE(MID(AJ$5,6,1))&lt;=$D$2,((1+$Q$3)^7-1)*Z65,0)</f>
        <v/>
      </c>
      <c r="AK65" s="152">
        <f>IF(VALUE(MID(AK$5,6,1))&lt;=$D$2,((1+$Q$3)^8-1)*AA65,0)</f>
        <v/>
      </c>
      <c r="AL65" s="152">
        <f>IF(VALUE(MID(AL$5,6,2))&lt;=$D$2,((1+$Q$3)^9-1)*AB65,0)</f>
        <v/>
      </c>
      <c r="AM65" s="9">
        <f>SUM(AC65:AL65)</f>
        <v/>
      </c>
      <c r="AN65" s="80">
        <f>SUM(AM65,S65:AB65)</f>
        <v/>
      </c>
      <c r="AP65" s="102" t="inlineStr">
        <is>
          <t>Monthly F</t>
        </is>
      </c>
      <c r="AQ65" s="12" t="n">
        <v>1</v>
      </c>
      <c r="AR65" s="14">
        <f>IF($AP65="Annual",1,IF($AP65="Monthly F",12,IF($AP65="Monthly V",AQ65*12,IF($AP65="One-Time",1,AQ65*12))))</f>
        <v/>
      </c>
      <c r="AS65" s="14">
        <f t="array" ref="AS65">IFERROR(_xlfn.IFS(VALUE(MID(AS$5,6,1))&gt;$D$2,0,$AP65="Annual",1,AR65=12,12,$AP65="Monthly V",AR65*(1+$BD$2),$AP65="Monthly F",12,$AP65="One-Time",0),AR65*(1+$BD$2))</f>
        <v/>
      </c>
      <c r="AT65" s="14">
        <f t="array" ref="AT65">IFERROR(_xlfn.IFS(VALUE(MID(AT$5,6,1))&gt;$D$2,0,$AP65="Annual",1,AS65=12,12,$AP65="Monthly V",AS65*(1+$BD$2),$AP65="Monthly F",12,$AP65="One-Time",0),AS65*(1+$BD$2))</f>
        <v/>
      </c>
      <c r="AU65" s="14">
        <f t="array" ref="AU65">IFERROR(_xlfn.IFS(VALUE(MID(AU$5,6,1))&gt;$D$2,0,$AP65="Annual",1,AT65=12,12,$AP65="Monthly V",AT65*(1+$BD$2),$AP65="Monthly F",12,$AP65="One-Time",0),AT65*(1+$BD$2))</f>
        <v/>
      </c>
      <c r="AV65" s="14">
        <f t="array" ref="AV65">IFERROR(_xlfn.IFS(VALUE(MID(AV$5,6,1))&gt;$D$2,0,$AP65="Annual",1,AU65=12,12,$AP65="Monthly V",AU65*(1+$BD$2),$AP65="Monthly F",12,$AP65="One-Time",0),AU65*(1+$BD$2))</f>
        <v/>
      </c>
      <c r="AW65" s="14">
        <f t="array" ref="AW65">IFERROR(_xlfn.IFS(VALUE(MID(AW$5,6,1))&gt;$D$2,0,$AP65="Annual",1,AV65=12,12,$AP65="Monthly V",AV65*(1+$BD$2),$AP65="Monthly F",12,$AP65="One-Time",0),AV65*(1+$BD$2))</f>
        <v/>
      </c>
      <c r="AX65" s="14">
        <f t="array" ref="AX65">IFERROR(_xlfn.IFS(VALUE(MID(AX$5,6,1))&gt;$D$2,0,$AP65="Annual",1,AW65=12,12,$AP65="Monthly V",AW65*(1+$BD$2),$AP65="Monthly F",12,$AP65="One-Time",0),AW65*(1+$BD$2))</f>
        <v/>
      </c>
      <c r="AY65" s="14">
        <f t="array" ref="AY65">IFERROR(_xlfn.IFS(VALUE(MID(AY$5,6,1))&gt;$D$2,0,$AP65="Annual",1,AX65=12,12,$AP65="Monthly V",AX65*(1+$D$3),$AP65="Monthly F",12,$AP65="One-Time",0),AX65*(1+$D$3))</f>
        <v/>
      </c>
      <c r="AZ65" s="14">
        <f t="array" ref="AZ65">IFERROR(_xlfn.IFS(VALUE(MID(AZ$5,6,1))&gt;$D$2,0,$AP65="Annual",1,AY65=12,12,$AP65="Monthly V",AY65*(1+$D$3),$AP65="Monthly F",12,$AP65="One-Time",0),AY65*(1+$D$3))</f>
        <v/>
      </c>
      <c r="BA65" s="125">
        <f t="array" ref="BA65">IFERROR(_xlfn.IFS(VALUE(MID(BA$5,6,2))&gt;$D$2,0,$AP65="Annual",1,AZ65=12,12,$AP65="Monthly V",AZ65*(1+$D$3),$AP65="Monthly F",12,$AP65="One-Time",0),AZ65*(1+$D$3))</f>
        <v/>
      </c>
      <c r="BB65" s="124" t="inlineStr">
        <is>
          <t>jConnect</t>
        </is>
      </c>
      <c r="BC65" s="38" t="inlineStr">
        <is>
          <t>jConnect</t>
        </is>
      </c>
      <c r="BD65" s="36" t="n">
        <v>1000</v>
      </c>
      <c r="BE65" s="21">
        <f>BF65/12</f>
        <v/>
      </c>
      <c r="BF65" s="39">
        <f>IFERROR(AR65*$BD65,0)</f>
        <v/>
      </c>
      <c r="BG65" s="39">
        <f>IFERROR(AS65*$BD65,0)</f>
        <v/>
      </c>
      <c r="BH65" s="39">
        <f>IFERROR(AT65*$BD65,0)</f>
        <v/>
      </c>
      <c r="BI65" s="39">
        <f>BH65*1.03</f>
        <v/>
      </c>
      <c r="BJ65" s="39">
        <f>BI65*1.03</f>
        <v/>
      </c>
      <c r="BK65" s="39">
        <f>BJ65*1.03</f>
        <v/>
      </c>
      <c r="BL65" s="39">
        <f>BK65*1.03</f>
        <v/>
      </c>
      <c r="BM65" s="39">
        <f>IFERROR(AY65*$BD65,0)</f>
        <v/>
      </c>
      <c r="BN65" s="39">
        <f>IFERROR(AZ65*$BD65,0)</f>
        <v/>
      </c>
      <c r="BO65" s="39">
        <f>IFERROR(BA65*$BD65,0)</f>
        <v/>
      </c>
      <c r="BP65" s="40" t="n"/>
      <c r="BQ65" s="40">
        <f>IF(VALUE(MID(BQ$5,6,1))&lt;=$D$2,((1+$BD$3)^1-1)*BG65,0)</f>
        <v/>
      </c>
      <c r="BR65" s="40">
        <f>IF(VALUE(MID(BR$5,6,1))&lt;=$D$2,((1+$BD$3)^2-1)*BH65,0)</f>
        <v/>
      </c>
      <c r="BS65" s="40">
        <f>IF(VALUE(MID(BS$5,6,1))&lt;=$D$2,((1+$BD$3)^3-1)*BI65,0)</f>
        <v/>
      </c>
      <c r="BT65" s="40">
        <f>IF(VALUE(MID(BT$5,6,1))&lt;=$D$2,((1+$BD$3)^4-1)*BJ65,0)</f>
        <v/>
      </c>
      <c r="BU65" s="40">
        <f>IF(VALUE(MID(BU$5,6,1))&lt;=$D$2,((1+$BD$3)^5-1)*BK65,0)</f>
        <v/>
      </c>
      <c r="BV65" s="40">
        <f>IF(VALUE(MID(BV$5,6,1))&lt;=$D$2,((1+$BD$3)^6-1)*BL65,0)</f>
        <v/>
      </c>
      <c r="BW65" s="40">
        <f>IF(VALUE(MID(BW$5,6,1))&lt;=$D$2,((1+$BD$3)^7-1)*BM65,0)</f>
        <v/>
      </c>
      <c r="BX65" s="40">
        <f>IF(VALUE(MID(BX$5,6,1))&lt;=$D$2,((1+$BD$3)^8-1)*BN65,0)</f>
        <v/>
      </c>
      <c r="BY65" s="40">
        <f>IF(VALUE(MID(BY$5,6,2))&lt;=$D$2,((1+$BD$3)^9-1)*BO65,0)</f>
        <v/>
      </c>
      <c r="BZ65" s="40">
        <f>SUM(BP65:BY65)</f>
        <v/>
      </c>
      <c r="CA65" s="37">
        <f>SUM(BZ65,BF65:BO65)</f>
        <v/>
      </c>
      <c r="CC65" s="102" t="n"/>
      <c r="CD65" s="12" t="n"/>
      <c r="CE65" s="14">
        <f>IF($CC65="Annual",1,IF($CC65="Monthly F",12,IF($CC65="Monthly V",CD65*12,IF($CC65="One-Time",1,CD65*12))))</f>
        <v/>
      </c>
      <c r="CF65" s="14">
        <f t="array" ref="CF65">IFERROR(_xlfn.IFS(VALUE(MID(CF$5,6,1))&gt;$D$2,0,$CC65="Annual",1,CE65=12,12,$CC65="Monthly V",CE65*(1+$D$3),$CC65="Monthly F",12,$CC65="One-Time",0),CE65*(1+$D$3))</f>
        <v/>
      </c>
      <c r="CG65" s="14">
        <f t="array" ref="CG65">IFERROR(_xlfn.IFS(VALUE(MID(CG$5,6,1))&gt;$D$2,0,$CC65="Annual",1,CF65=12,12,$CC65="Monthly V",CF65*(1+$D$3),$CC65="Monthly F",12,$CC65="One-Time",0),CF65*(1+$D$3))</f>
        <v/>
      </c>
      <c r="CH65" s="14">
        <f t="array" ref="CH65">IFERROR(_xlfn.IFS(VALUE(MID(CH$5,6,1))&gt;$D$2,0,$CC65="Annual",1,CG65=12,12,$CC65="Monthly V",CG65*(1+$D$3),$CC65="Monthly F",12,$CC65="One-Time",0),CG65*(1+$D$3))</f>
        <v/>
      </c>
      <c r="CI65" s="14">
        <f t="array" ref="CI65">IFERROR(_xlfn.IFS(VALUE(MID(CI$5,6,1))&gt;$D$2,0,$CC65="Annual",1,CH65=12,12,$CC65="Monthly V",CH65*(1+$D$3),$CC65="Monthly F",12,$CC65="One-Time",0),CH65*(1+$D$3))</f>
        <v/>
      </c>
      <c r="CJ65" s="14">
        <f t="array" ref="CJ65">IFERROR(_xlfn.IFS(VALUE(MID(CJ$5,6,1))&gt;$D$2,0,$CC65="Annual",1,CI65=12,12,$CC65="Monthly V",CI65*(1+$D$3),$CC65="Monthly F",12,$CC65="One-Time",0),CI65*(1+$D$3))</f>
        <v/>
      </c>
      <c r="CK65" s="14">
        <f t="array" ref="CK65">IFERROR(_xlfn.IFS(VALUE(MID(CK$5,6,1))&gt;$D$2,0,$CC65="Annual",1,CJ65=12,12,$CC65="Monthly V",CJ65*(1+$D$3),$CC65="Monthly F",12,$CC65="One-Time",0),CJ65*(1+$D$3))</f>
        <v/>
      </c>
      <c r="CL65" s="14">
        <f t="array" ref="CL65">IFERROR(_xlfn.IFS(VALUE(MID(CL$5,6,1))&gt;$D$2,0,$CC65="Annual",1,CK65=12,12,$CC65="Monthly V",CK65*(1+$D$3),$CC65="Monthly F",12,$CC65="One-Time",0),CK65*(1+$D$3))</f>
        <v/>
      </c>
      <c r="CM65" s="14">
        <f t="array" ref="CM65">IFERROR(_xlfn.IFS(VALUE(MID(CM$5,6,1))&gt;$D$2,0,$CC65="Annual",1,CL65=12,12,$CC65="Monthly V",CL65*(1+$D$3),$CC65="Monthly F",12,$CC65="One-Time",0),CL65*(1+$D$3))</f>
        <v/>
      </c>
      <c r="CN65" s="24">
        <f t="array" ref="CN65">IFERROR(_xlfn.IFS(VALUE(MID(CN$5,6,2))&gt;$D$2,0,$CC65="Annual",1,CM65=12,12,$CC65="Monthly V",CM65*(1+$D$3),$CC65="Monthly F",12,$CC65="One-Time",0),CM65*(1+$D$3))</f>
        <v/>
      </c>
      <c r="CO65" s="63" t="n"/>
      <c r="CP65" s="53" t="n"/>
      <c r="CQ65" s="21">
        <f>CR65/12</f>
        <v/>
      </c>
      <c r="CR65" s="55">
        <f>IFERROR(CE65*$CP65,0)</f>
        <v/>
      </c>
      <c r="CS65" s="55">
        <f>IFERROR(CF65*$CP65,0)</f>
        <v/>
      </c>
      <c r="CT65" s="55">
        <f>IFERROR(CG65*$CP65,0)</f>
        <v/>
      </c>
      <c r="CU65" s="55">
        <f>IFERROR(CH65*$CP65,0)</f>
        <v/>
      </c>
      <c r="CV65" s="55">
        <f>IFERROR(CI65*$CP65,0)</f>
        <v/>
      </c>
      <c r="CW65" s="55">
        <f>IFERROR(CJ65*$CP65,0)</f>
        <v/>
      </c>
      <c r="CX65" s="55">
        <f>IFERROR(CK65*$CP65,0)</f>
        <v/>
      </c>
      <c r="CY65" s="55">
        <f>IFERROR(CL65*$CP65,0)</f>
        <v/>
      </c>
      <c r="CZ65" s="55">
        <f>IFERROR(CM65*$CP65,0)</f>
        <v/>
      </c>
      <c r="DA65" s="55">
        <f>IFERROR(CN65*$CP65,0)</f>
        <v/>
      </c>
      <c r="DB65" s="56" t="n"/>
      <c r="DC65" s="56">
        <f>IF(VALUE(MID(DC$5,6,1))&lt;=$D$2,((1+$CP$3)^1-1)*CS65,0)</f>
        <v/>
      </c>
      <c r="DD65" s="56">
        <f>IF(VALUE(MID(DD$5,6,1))&lt;=$D$2,((1+$CP$3)^2-1)*CT65,0)</f>
        <v/>
      </c>
      <c r="DE65" s="56">
        <f>IF(VALUE(MID(DE$5,6,1))&lt;=$D$2,((1+$CP$3)^3-1)*CU65,0)</f>
        <v/>
      </c>
      <c r="DF65" s="56">
        <f>IF(VALUE(MID(DF$5,6,1))&lt;=$D$2,((1+$CP$3)^4-1)*CV65,0)</f>
        <v/>
      </c>
      <c r="DG65" s="56">
        <f>IF(VALUE(MID(DG$5,6,1))&lt;=$D$2,((1+$CP$3)^5-1)*CW65,0)</f>
        <v/>
      </c>
      <c r="DH65" s="56">
        <f>IF(VALUE(MID(DH$5,6,1))&lt;=$D$2,((1+$CP$3)^6-1)*CX65,0)</f>
        <v/>
      </c>
      <c r="DI65" s="56">
        <f>IF(VALUE(MID(DI$5,6,1))&lt;=$D$2,((1+$CP$3)^7-1)*CY65,0)</f>
        <v/>
      </c>
      <c r="DJ65" s="56">
        <f>IF(VALUE(MID(DJ$5,6,1))&lt;=$D$2,((1+$CP$3)^8-1)*CZ65,0)</f>
        <v/>
      </c>
      <c r="DK65" s="56">
        <f>IF(VALUE(MID(DK$5,6,2))&lt;=$D$2,((1+$CP$3)^9-1)*DA65,0)</f>
        <v/>
      </c>
      <c r="DL65" s="57">
        <f>SUM(DB65:DK65)</f>
        <v/>
      </c>
      <c r="DM65" s="54">
        <f>SUM(DL65,CR65:DA65)</f>
        <v/>
      </c>
      <c r="DO65" s="106" t="n"/>
    </row>
    <row r="66">
      <c r="B66" s="141" t="inlineStr">
        <is>
          <t>Monthly F</t>
        </is>
      </c>
      <c r="C66" s="24" t="n">
        <v>10000</v>
      </c>
      <c r="D66" s="147">
        <f>IFERROR(AVERAGE(C66:C66),0)</f>
        <v/>
      </c>
      <c r="E66" s="142">
        <f>IF($B66="Annual",1,IF($B66="Monthly F",12,IF($B66="Monthly V",D66*12,IF($B66="One-Time",1,D66*12))))</f>
        <v/>
      </c>
      <c r="F66" s="14">
        <f t="array" ref="F66">IFERROR(_xlfn.IFS(VALUE(MID(F$5,6,1))&gt;$D$2,0,$B66="Annual",1,E66=12,12,$B66="Monthly V",E66*(1+$D$3),$B66="Monthly F",12,$B66="One-Time",0),E66*(1+$D$3))</f>
        <v/>
      </c>
      <c r="G66" s="14">
        <f t="array" ref="G66">IFERROR(_xlfn.IFS(VALUE(MID(G$5,6,1))&gt;$D$2,0,$B66="Annual",1,F66=12,12,$B66="Monthly V",F66*(1+$D$3),$B66="Monthly F",12,$B66="One-Time",0),F66*(1+$D$3))</f>
        <v/>
      </c>
      <c r="H66" s="14">
        <f t="array" ref="H66">IFERROR(_xlfn.IFS(VALUE(MID(H$5,6,1))&gt;$D$2,0,$B66="Annual",1,G66=12,12,$B66="Monthly V",G66*(1+$D$3),$B66="Monthly F",12,$B66="One-Time",0),G66*(1+$D$3))</f>
        <v/>
      </c>
      <c r="I66" s="14">
        <f t="array" ref="I66">IFERROR(_xlfn.IFS(VALUE(MID(I$5,6,1))&gt;$D$2,0,$B66="Annual",1,H66=12,12,$B66="Monthly V",H66*(1+$D$3),$B66="Monthly F",12,$B66="One-Time",0),H66*(1+$D$3))</f>
        <v/>
      </c>
      <c r="J66" s="14">
        <f t="array" ref="J66">IFERROR(_xlfn.IFS(VALUE(MID(J$5,6,1))&gt;$D$2,0,$B66="Annual",1,I66=12,12,$B66="Monthly V",I66*(1+$D$3),$B66="Monthly F",12,$B66="One-Time",0),I66*(1+$D$3))</f>
        <v/>
      </c>
      <c r="K66" s="14">
        <f t="array" ref="K66">IFERROR(_xlfn.IFS(VALUE(MID(K$5,6,1))&gt;$D$2,0,$B66="Annual",1,J66=12,12,$B66="Monthly V",J66*(1+$D$3),$B66="Monthly F",12,$B66="One-Time",0),J66*(1+$D$3))</f>
        <v/>
      </c>
      <c r="L66" s="14">
        <f t="array" ref="L66">IFERROR(_xlfn.IFS(VALUE(MID(L$5,6,1))&gt;$D$2,0,$B66="Annual",1,K66=12,12,$B66="Monthly V",K66*(1+$D$3),$B66="Monthly F",12,$B66="One-Time",0),K66*(1+$D$3))</f>
        <v/>
      </c>
      <c r="M66" s="14">
        <f t="array" ref="M66">IFERROR(_xlfn.IFS(VALUE(MID(M$5,6,1))&gt;$D$2,0,$B66="Annual",1,L66=12,12,$B66="Monthly V",L66*(1+$D$3),$B66="Monthly F",12,$B66="One-Time",0),L66*(1+$D$3))</f>
        <v/>
      </c>
      <c r="N66" s="24">
        <f t="array" ref="N66">IFERROR(_xlfn.IFS(VALUE(MID(N$5,6,2))&gt;$D$2,0,$B66="Annual",1,M66=12,12,$B66="Monthly V",M66*(1+$D$3),$B66="Monthly F",12,$B66="One-Time",0),M66*(1+$D$3))</f>
        <v/>
      </c>
      <c r="O66" s="127" t="inlineStr">
        <is>
          <t>Real-Time Payments (Receive Only) (Includes 10,000 Receive Trans)</t>
        </is>
      </c>
      <c r="P66" s="13" t="n"/>
      <c r="Q66" s="20" t="n">
        <v>1500</v>
      </c>
      <c r="R66" s="21">
        <f>S66/12</f>
        <v/>
      </c>
      <c r="S66" s="6">
        <f>IFERROR($Q66*E66,0)</f>
        <v/>
      </c>
      <c r="T66" s="6">
        <f>IFERROR($Q66*F66,0)</f>
        <v/>
      </c>
      <c r="U66" s="6">
        <f>IFERROR($Q66*G66,0)</f>
        <v/>
      </c>
      <c r="V66" s="6">
        <f>IFERROR($Q66*H66,0)</f>
        <v/>
      </c>
      <c r="W66" s="6">
        <f>IFERROR($Q66*I66,0)</f>
        <v/>
      </c>
      <c r="X66" s="6">
        <f>IFERROR($Q66*J66,0)</f>
        <v/>
      </c>
      <c r="Y66" s="6">
        <f>IFERROR($Q66*K66,0)</f>
        <v/>
      </c>
      <c r="Z66" s="6">
        <f>IFERROR($Q66*L66,0)</f>
        <v/>
      </c>
      <c r="AA66" s="6">
        <f>IFERROR($Q66*M66,0)</f>
        <v/>
      </c>
      <c r="AB66" s="6">
        <f>IFERROR($Q66*N66,0)</f>
        <v/>
      </c>
      <c r="AC66" s="7" t="n"/>
      <c r="AD66" s="152">
        <f>IF(VALUE(MID(AD$5,6,1))&lt;=$D$2,((1+$Q$3)^1-1)*T66,0)</f>
        <v/>
      </c>
      <c r="AE66" s="152">
        <f>IF(VALUE(MID(AE$5,6,1))&lt;=$D$2,((1+$Q$3)^2-1)*U66,0)</f>
        <v/>
      </c>
      <c r="AF66" s="152">
        <f>IF(VALUE(MID(AF$5,6,1))&lt;=$D$2,((1+$Q$3)^3-1)*V66,0)</f>
        <v/>
      </c>
      <c r="AG66" s="152">
        <f>IF(VALUE(MID(AG$5,6,1))&lt;=$D$2,((1+$Q$3)^4-1)*W66,0)</f>
        <v/>
      </c>
      <c r="AH66" s="152">
        <f>IF(VALUE(MID(AH$5,6,1))&lt;=$D$2,((1+$Q$3)^5-1)*X66,0)</f>
        <v/>
      </c>
      <c r="AI66" s="152">
        <f>IF(VALUE(MID(AI$5,6,1))&lt;=$D$2,((1+$Q$3)^6-1)*Y66,0)</f>
        <v/>
      </c>
      <c r="AJ66" s="152">
        <f>IF(VALUE(MID(AJ$5,6,1))&lt;=$D$2,((1+$Q$3)^7-1)*Z66,0)</f>
        <v/>
      </c>
      <c r="AK66" s="152">
        <f>IF(VALUE(MID(AK$5,6,1))&lt;=$D$2,((1+$Q$3)^8-1)*AA66,0)</f>
        <v/>
      </c>
      <c r="AL66" s="152">
        <f>IF(VALUE(MID(AL$5,6,2))&lt;=$D$2,((1+$Q$3)^9-1)*AB66,0)</f>
        <v/>
      </c>
      <c r="AM66" s="9">
        <f>SUM(AC66:AL66)</f>
        <v/>
      </c>
      <c r="AN66" s="80">
        <f>SUM(AM66,S66:AB66)</f>
        <v/>
      </c>
      <c r="AP66" s="102" t="inlineStr">
        <is>
          <t>Monthly F</t>
        </is>
      </c>
      <c r="AQ66" s="12" t="n">
        <v>1</v>
      </c>
      <c r="AR66" s="14">
        <f>IF($AP66="Annual",1,IF($AP66="Monthly F",12,IF($AP66="Monthly V",AQ66*12,IF($AP66="One-Time",1,AQ66*12))))</f>
        <v/>
      </c>
      <c r="AS66" s="14">
        <f t="array" ref="AS66">IFERROR(_xlfn.IFS(VALUE(MID(AS$5,6,1))&gt;$D$2,0,$AP66="Annual",1,AR66=12,12,$AP66="Monthly V",AR66*(1+$BD$2),$AP66="Monthly F",12,$AP66="One-Time",0),AR66*(1+$BD$2))</f>
        <v/>
      </c>
      <c r="AT66" s="14">
        <f t="array" ref="AT66">IFERROR(_xlfn.IFS(VALUE(MID(AT$5,6,1))&gt;$D$2,0,$AP66="Annual",1,AS66=12,12,$AP66="Monthly V",AS66*(1+$BD$2),$AP66="Monthly F",12,$AP66="One-Time",0),AS66*(1+$BD$2))</f>
        <v/>
      </c>
      <c r="AU66" s="14">
        <f t="array" ref="AU66">IFERROR(_xlfn.IFS(VALUE(MID(AU$5,6,1))&gt;$D$2,0,$AP66="Annual",1,AT66=12,12,$AP66="Monthly V",AT66*(1+$BD$2),$AP66="Monthly F",12,$AP66="One-Time",0),AT66*(1+$BD$2))</f>
        <v/>
      </c>
      <c r="AV66" s="14">
        <f t="array" ref="AV66">IFERROR(_xlfn.IFS(VALUE(MID(AV$5,6,1))&gt;$D$2,0,$AP66="Annual",1,AU66=12,12,$AP66="Monthly V",AU66*(1+$BD$2),$AP66="Monthly F",12,$AP66="One-Time",0),AU66*(1+$BD$2))</f>
        <v/>
      </c>
      <c r="AW66" s="14">
        <f t="array" ref="AW66">IFERROR(_xlfn.IFS(VALUE(MID(AW$5,6,1))&gt;$D$2,0,$AP66="Annual",1,AV66=12,12,$AP66="Monthly V",AV66*(1+$BD$2),$AP66="Monthly F",12,$AP66="One-Time",0),AV66*(1+$BD$2))</f>
        <v/>
      </c>
      <c r="AX66" s="14">
        <f t="array" ref="AX66">IFERROR(_xlfn.IFS(VALUE(MID(AX$5,6,1))&gt;$D$2,0,$AP66="Annual",1,AW66=12,12,$AP66="Monthly V",AW66*(1+$BD$2),$AP66="Monthly F",12,$AP66="One-Time",0),AW66*(1+$BD$2))</f>
        <v/>
      </c>
      <c r="AY66" s="14">
        <f t="array" ref="AY66">IFERROR(_xlfn.IFS(VALUE(MID(AY$5,6,1))&gt;$D$2,0,$AP66="Annual",1,AX66=12,12,$AP66="Monthly V",AX66*(1+$D$3),$AP66="Monthly F",12,$AP66="One-Time",0),AX66*(1+$D$3))</f>
        <v/>
      </c>
      <c r="AZ66" s="14">
        <f t="array" ref="AZ66">IFERROR(_xlfn.IFS(VALUE(MID(AZ$5,6,1))&gt;$D$2,0,$AP66="Annual",1,AY66=12,12,$AP66="Monthly V",AY66*(1+$D$3),$AP66="Monthly F",12,$AP66="One-Time",0),AY66*(1+$D$3))</f>
        <v/>
      </c>
      <c r="BA66" s="125">
        <f t="array" ref="BA66">IFERROR(_xlfn.IFS(VALUE(MID(BA$5,6,2))&gt;$D$2,0,$AP66="Annual",1,AZ66=12,12,$AP66="Monthly V",AZ66*(1+$D$3),$AP66="Monthly F",12,$AP66="One-Time",0),AZ66*(1+$D$3))</f>
        <v/>
      </c>
      <c r="BB66" s="124" t="inlineStr">
        <is>
          <t>Jack Henry Loyalty and Rewards Support - Enterprise</t>
        </is>
      </c>
      <c r="BC66" s="38" t="inlineStr">
        <is>
          <t>Core</t>
        </is>
      </c>
      <c r="BD66" s="36" t="n">
        <v>500</v>
      </c>
      <c r="BE66" s="21">
        <f>BF66/12</f>
        <v/>
      </c>
      <c r="BF66" s="39">
        <f>IFERROR(AR66*$BD66,0)</f>
        <v/>
      </c>
      <c r="BG66" s="39">
        <f>IFERROR(AS66*$BD66,0)</f>
        <v/>
      </c>
      <c r="BH66" s="39">
        <f>IFERROR(AT66*$BD66,0)</f>
        <v/>
      </c>
      <c r="BI66" s="39">
        <f>BH66*1.03</f>
        <v/>
      </c>
      <c r="BJ66" s="39">
        <f>BI66*1.03</f>
        <v/>
      </c>
      <c r="BK66" s="39">
        <f>BJ66*1.03</f>
        <v/>
      </c>
      <c r="BL66" s="39">
        <f>BK66*1.03</f>
        <v/>
      </c>
      <c r="BM66" s="39">
        <f>IFERROR(AY66*$BD66,0)</f>
        <v/>
      </c>
      <c r="BN66" s="39">
        <f>IFERROR(AZ66*$BD66,0)</f>
        <v/>
      </c>
      <c r="BO66" s="39">
        <f>IFERROR(BA66*$BD66,0)</f>
        <v/>
      </c>
      <c r="BP66" s="40" t="n"/>
      <c r="BQ66" s="40">
        <f>IF(VALUE(MID(BQ$5,6,1))&lt;=$D$2,((1+$BD$3)^1-1)*BG66,0)</f>
        <v/>
      </c>
      <c r="BR66" s="40">
        <f>IF(VALUE(MID(BR$5,6,1))&lt;=$D$2,((1+$BD$3)^2-1)*BH66,0)</f>
        <v/>
      </c>
      <c r="BS66" s="40">
        <f>IF(VALUE(MID(BS$5,6,1))&lt;=$D$2,((1+$BD$3)^3-1)*BI66,0)</f>
        <v/>
      </c>
      <c r="BT66" s="40">
        <f>IF(VALUE(MID(BT$5,6,1))&lt;=$D$2,((1+$BD$3)^4-1)*BJ66,0)</f>
        <v/>
      </c>
      <c r="BU66" s="40">
        <f>IF(VALUE(MID(BU$5,6,1))&lt;=$D$2,((1+$BD$3)^5-1)*BK66,0)</f>
        <v/>
      </c>
      <c r="BV66" s="40">
        <f>IF(VALUE(MID(BV$5,6,1))&lt;=$D$2,((1+$BD$3)^6-1)*BL66,0)</f>
        <v/>
      </c>
      <c r="BW66" s="40">
        <f>IF(VALUE(MID(BW$5,6,1))&lt;=$D$2,((1+$BD$3)^7-1)*BM66,0)</f>
        <v/>
      </c>
      <c r="BX66" s="40">
        <f>IF(VALUE(MID(BX$5,6,1))&lt;=$D$2,((1+$BD$3)^8-1)*BN66,0)</f>
        <v/>
      </c>
      <c r="BY66" s="40">
        <f>IF(VALUE(MID(BY$5,6,2))&lt;=$D$2,((1+$BD$3)^9-1)*BO66,0)</f>
        <v/>
      </c>
      <c r="BZ66" s="40">
        <f>SUM(BP66:BY66)</f>
        <v/>
      </c>
      <c r="CA66" s="37">
        <f>SUM(BZ66,BF66:BO66)</f>
        <v/>
      </c>
      <c r="CC66" s="102" t="n"/>
      <c r="CD66" s="12" t="n"/>
      <c r="CE66" s="14">
        <f>IF($CC66="Annual",1,IF($CC66="Monthly F",12,IF($CC66="Monthly V",CD66*12,IF($CC66="One-Time",1,CD66*12))))</f>
        <v/>
      </c>
      <c r="CF66" s="14">
        <f t="array" ref="CF66">IFERROR(_xlfn.IFS(VALUE(MID(CF$5,6,1))&gt;$D$2,0,$CC66="Annual",1,CE66=12,12,$CC66="Monthly V",CE66*(1+$D$3),$CC66="Monthly F",12,$CC66="One-Time",0),CE66*(1+$D$3))</f>
        <v/>
      </c>
      <c r="CG66" s="14">
        <f t="array" ref="CG66">IFERROR(_xlfn.IFS(VALUE(MID(CG$5,6,1))&gt;$D$2,0,$CC66="Annual",1,CF66=12,12,$CC66="Monthly V",CF66*(1+$D$3),$CC66="Monthly F",12,$CC66="One-Time",0),CF66*(1+$D$3))</f>
        <v/>
      </c>
      <c r="CH66" s="14">
        <f t="array" ref="CH66">IFERROR(_xlfn.IFS(VALUE(MID(CH$5,6,1))&gt;$D$2,0,$CC66="Annual",1,CG66=12,12,$CC66="Monthly V",CG66*(1+$D$3),$CC66="Monthly F",12,$CC66="One-Time",0),CG66*(1+$D$3))</f>
        <v/>
      </c>
      <c r="CI66" s="14">
        <f t="array" ref="CI66">IFERROR(_xlfn.IFS(VALUE(MID(CI$5,6,1))&gt;$D$2,0,$CC66="Annual",1,CH66=12,12,$CC66="Monthly V",CH66*(1+$D$3),$CC66="Monthly F",12,$CC66="One-Time",0),CH66*(1+$D$3))</f>
        <v/>
      </c>
      <c r="CJ66" s="14">
        <f t="array" ref="CJ66">IFERROR(_xlfn.IFS(VALUE(MID(CJ$5,6,1))&gt;$D$2,0,$CC66="Annual",1,CI66=12,12,$CC66="Monthly V",CI66*(1+$D$3),$CC66="Monthly F",12,$CC66="One-Time",0),CI66*(1+$D$3))</f>
        <v/>
      </c>
      <c r="CK66" s="14">
        <f t="array" ref="CK66">IFERROR(_xlfn.IFS(VALUE(MID(CK$5,6,1))&gt;$D$2,0,$CC66="Annual",1,CJ66=12,12,$CC66="Monthly V",CJ66*(1+$D$3),$CC66="Monthly F",12,$CC66="One-Time",0),CJ66*(1+$D$3))</f>
        <v/>
      </c>
      <c r="CL66" s="14">
        <f t="array" ref="CL66">IFERROR(_xlfn.IFS(VALUE(MID(CL$5,6,1))&gt;$D$2,0,$CC66="Annual",1,CK66=12,12,$CC66="Monthly V",CK66*(1+$D$3),$CC66="Monthly F",12,$CC66="One-Time",0),CK66*(1+$D$3))</f>
        <v/>
      </c>
      <c r="CM66" s="14">
        <f t="array" ref="CM66">IFERROR(_xlfn.IFS(VALUE(MID(CM$5,6,1))&gt;$D$2,0,$CC66="Annual",1,CL66=12,12,$CC66="Monthly V",CL66*(1+$D$3),$CC66="Monthly F",12,$CC66="One-Time",0),CL66*(1+$D$3))</f>
        <v/>
      </c>
      <c r="CN66" s="24">
        <f t="array" ref="CN66">IFERROR(_xlfn.IFS(VALUE(MID(CN$5,6,2))&gt;$D$2,0,$CC66="Annual",1,CM66=12,12,$CC66="Monthly V",CM66*(1+$D$3),$CC66="Monthly F",12,$CC66="One-Time",0),CM66*(1+$D$3))</f>
        <v/>
      </c>
      <c r="CO66" s="63" t="n"/>
      <c r="CP66" s="53" t="n"/>
      <c r="CQ66" s="21">
        <f>CR66/12</f>
        <v/>
      </c>
      <c r="CR66" s="55">
        <f>IFERROR(CE66*$CP66,0)</f>
        <v/>
      </c>
      <c r="CS66" s="55">
        <f>IFERROR(CF66*$CP66,0)</f>
        <v/>
      </c>
      <c r="CT66" s="55">
        <f>IFERROR(CG66*$CP66,0)</f>
        <v/>
      </c>
      <c r="CU66" s="55">
        <f>IFERROR(CH66*$CP66,0)</f>
        <v/>
      </c>
      <c r="CV66" s="55">
        <f>IFERROR(CI66*$CP66,0)</f>
        <v/>
      </c>
      <c r="CW66" s="55">
        <f>IFERROR(CJ66*$CP66,0)</f>
        <v/>
      </c>
      <c r="CX66" s="55">
        <f>IFERROR(CK66*$CP66,0)</f>
        <v/>
      </c>
      <c r="CY66" s="55">
        <f>IFERROR(CL66*$CP66,0)</f>
        <v/>
      </c>
      <c r="CZ66" s="55">
        <f>IFERROR(CM66*$CP66,0)</f>
        <v/>
      </c>
      <c r="DA66" s="55">
        <f>IFERROR(CN66*$CP66,0)</f>
        <v/>
      </c>
      <c r="DB66" s="56" t="n"/>
      <c r="DC66" s="56">
        <f>IF(VALUE(MID(DC$5,6,1))&lt;=$D$2,((1+$CP$3)^1-1)*CS66,0)</f>
        <v/>
      </c>
      <c r="DD66" s="56">
        <f>IF(VALUE(MID(DD$5,6,1))&lt;=$D$2,((1+$CP$3)^2-1)*CT66,0)</f>
        <v/>
      </c>
      <c r="DE66" s="56">
        <f>IF(VALUE(MID(DE$5,6,1))&lt;=$D$2,((1+$CP$3)^3-1)*CU66,0)</f>
        <v/>
      </c>
      <c r="DF66" s="56">
        <f>IF(VALUE(MID(DF$5,6,1))&lt;=$D$2,((1+$CP$3)^4-1)*CV66,0)</f>
        <v/>
      </c>
      <c r="DG66" s="56">
        <f>IF(VALUE(MID(DG$5,6,1))&lt;=$D$2,((1+$CP$3)^5-1)*CW66,0)</f>
        <v/>
      </c>
      <c r="DH66" s="56">
        <f>IF(VALUE(MID(DH$5,6,1))&lt;=$D$2,((1+$CP$3)^6-1)*CX66,0)</f>
        <v/>
      </c>
      <c r="DI66" s="56">
        <f>IF(VALUE(MID(DI$5,6,1))&lt;=$D$2,((1+$CP$3)^7-1)*CY66,0)</f>
        <v/>
      </c>
      <c r="DJ66" s="56">
        <f>IF(VALUE(MID(DJ$5,6,1))&lt;=$D$2,((1+$CP$3)^8-1)*CZ66,0)</f>
        <v/>
      </c>
      <c r="DK66" s="56">
        <f>IF(VALUE(MID(DK$5,6,2))&lt;=$D$2,((1+$CP$3)^9-1)*DA66,0)</f>
        <v/>
      </c>
      <c r="DL66" s="57">
        <f>SUM(DB66:DK66)</f>
        <v/>
      </c>
      <c r="DM66" s="54">
        <f>SUM(DL66,CR66:DA66)</f>
        <v/>
      </c>
      <c r="DO66" s="106" t="n"/>
    </row>
    <row r="67">
      <c r="B67" s="141" t="inlineStr">
        <is>
          <t>One-Time</t>
        </is>
      </c>
      <c r="C67" s="24" t="n">
        <v>1</v>
      </c>
      <c r="D67" s="147">
        <f>IFERROR(AVERAGE(C67:C67),0)</f>
        <v/>
      </c>
      <c r="E67" s="142">
        <f>IF($B67="Annual",1,IF($B67="Monthly F",12,IF($B67="Monthly V",D67*12,IF($B67="One-Time",1,D67*12))))</f>
        <v/>
      </c>
      <c r="F67" s="14">
        <f t="array" ref="F67">IFERROR(_xlfn.IFS(VALUE(MID(F$5,6,1))&gt;$D$2,0,$B67="Annual",1,E67=12,12,$B67="Monthly V",E67*(1+$D$3),$B67="Monthly F",12,$B67="One-Time",0),E67*(1+$D$3))</f>
        <v/>
      </c>
      <c r="G67" s="14">
        <f t="array" ref="G67">IFERROR(_xlfn.IFS(VALUE(MID(G$5,6,1))&gt;$D$2,0,$B67="Annual",1,F67=12,12,$B67="Monthly V",F67*(1+$D$3),$B67="Monthly F",12,$B67="One-Time",0),F67*(1+$D$3))</f>
        <v/>
      </c>
      <c r="H67" s="14">
        <f t="array" ref="H67">IFERROR(_xlfn.IFS(VALUE(MID(H$5,6,1))&gt;$D$2,0,$B67="Annual",1,G67=12,12,$B67="Monthly V",G67*(1+$D$3),$B67="Monthly F",12,$B67="One-Time",0),G67*(1+$D$3))</f>
        <v/>
      </c>
      <c r="I67" s="14">
        <f t="array" ref="I67">IFERROR(_xlfn.IFS(VALUE(MID(I$5,6,1))&gt;$D$2,0,$B67="Annual",1,H67=12,12,$B67="Monthly V",H67*(1+$D$3),$B67="Monthly F",12,$B67="One-Time",0),H67*(1+$D$3))</f>
        <v/>
      </c>
      <c r="J67" s="14">
        <f t="array" ref="J67">IFERROR(_xlfn.IFS(VALUE(MID(J$5,6,1))&gt;$D$2,0,$B67="Annual",1,I67=12,12,$B67="Monthly V",I67*(1+$D$3),$B67="Monthly F",12,$B67="One-Time",0),I67*(1+$D$3))</f>
        <v/>
      </c>
      <c r="K67" s="14">
        <f t="array" ref="K67">IFERROR(_xlfn.IFS(VALUE(MID(K$5,6,1))&gt;$D$2,0,$B67="Annual",1,J67=12,12,$B67="Monthly V",J67*(1+$D$3),$B67="Monthly F",12,$B67="One-Time",0),J67*(1+$D$3))</f>
        <v/>
      </c>
      <c r="L67" s="14">
        <f t="array" ref="L67">IFERROR(_xlfn.IFS(VALUE(MID(L$5,6,1))&gt;$D$2,0,$B67="Annual",1,K67=12,12,$B67="Monthly V",K67*(1+$D$3),$B67="Monthly F",12,$B67="One-Time",0),K67*(1+$D$3))</f>
        <v/>
      </c>
      <c r="M67" s="14">
        <f t="array" ref="M67">IFERROR(_xlfn.IFS(VALUE(MID(M$5,6,1))&gt;$D$2,0,$B67="Annual",1,L67=12,12,$B67="Monthly V",L67*(1+$D$3),$B67="Monthly F",12,$B67="One-Time",0),L67*(1+$D$3))</f>
        <v/>
      </c>
      <c r="N67" s="24">
        <f t="array" ref="N67">IFERROR(_xlfn.IFS(VALUE(MID(N$5,6,2))&gt;$D$2,0,$B67="Annual",1,M67=12,12,$B67="Monthly V",M67*(1+$D$3),$B67="Monthly F",12,$B67="One-Time",0),M67*(1+$D$3))</f>
        <v/>
      </c>
      <c r="O67" s="127" t="inlineStr">
        <is>
          <t>Real Time Payments (Receive Only) Implementation Fee</t>
        </is>
      </c>
      <c r="P67" s="13" t="n"/>
      <c r="Q67" s="20" t="n">
        <v>9000</v>
      </c>
      <c r="R67" s="21">
        <f>S67/12</f>
        <v/>
      </c>
      <c r="S67" s="6">
        <f>IFERROR($Q67*E67,0)</f>
        <v/>
      </c>
      <c r="T67" s="6">
        <f>IFERROR($Q67*F67,0)</f>
        <v/>
      </c>
      <c r="U67" s="6">
        <f>IFERROR($Q67*G67,0)</f>
        <v/>
      </c>
      <c r="V67" s="6">
        <f>IFERROR($Q67*H67,0)</f>
        <v/>
      </c>
      <c r="W67" s="6">
        <f>IFERROR($Q67*I67,0)</f>
        <v/>
      </c>
      <c r="X67" s="6">
        <f>IFERROR($Q67*J67,0)</f>
        <v/>
      </c>
      <c r="Y67" s="6">
        <f>IFERROR($Q67*K67,0)</f>
        <v/>
      </c>
      <c r="Z67" s="6">
        <f>IFERROR($Q67*L67,0)</f>
        <v/>
      </c>
      <c r="AA67" s="6">
        <f>IFERROR($Q67*M67,0)</f>
        <v/>
      </c>
      <c r="AB67" s="6">
        <f>IFERROR($Q67*N67,0)</f>
        <v/>
      </c>
      <c r="AC67" s="7" t="n"/>
      <c r="AD67" s="152">
        <f>IF(VALUE(MID(AD$5,6,1))&lt;=$D$2,((1+$Q$3)^1-1)*T67,0)</f>
        <v/>
      </c>
      <c r="AE67" s="152">
        <f>IF(VALUE(MID(AE$5,6,1))&lt;=$D$2,((1+$Q$3)^2-1)*U67,0)</f>
        <v/>
      </c>
      <c r="AF67" s="152">
        <f>IF(VALUE(MID(AF$5,6,1))&lt;=$D$2,((1+$Q$3)^3-1)*V67,0)</f>
        <v/>
      </c>
      <c r="AG67" s="152">
        <f>IF(VALUE(MID(AG$5,6,1))&lt;=$D$2,((1+$Q$3)^4-1)*W67,0)</f>
        <v/>
      </c>
      <c r="AH67" s="152">
        <f>IF(VALUE(MID(AH$5,6,1))&lt;=$D$2,((1+$Q$3)^5-1)*X67,0)</f>
        <v/>
      </c>
      <c r="AI67" s="152">
        <f>IF(VALUE(MID(AI$5,6,1))&lt;=$D$2,((1+$Q$3)^6-1)*Y67,0)</f>
        <v/>
      </c>
      <c r="AJ67" s="152">
        <f>IF(VALUE(MID(AJ$5,6,1))&lt;=$D$2,((1+$Q$3)^7-1)*Z67,0)</f>
        <v/>
      </c>
      <c r="AK67" s="152">
        <f>IF(VALUE(MID(AK$5,6,1))&lt;=$D$2,((1+$Q$3)^8-1)*AA67,0)</f>
        <v/>
      </c>
      <c r="AL67" s="152">
        <f>IF(VALUE(MID(AL$5,6,2))&lt;=$D$2,((1+$Q$3)^9-1)*AB67,0)</f>
        <v/>
      </c>
      <c r="AM67" s="9">
        <f>SUM(AC67:AL67)</f>
        <v/>
      </c>
      <c r="AN67" s="80">
        <f>SUM(AM67,S67:AB67)</f>
        <v/>
      </c>
      <c r="AP67" s="102" t="inlineStr">
        <is>
          <t>Monthly F</t>
        </is>
      </c>
      <c r="AQ67" s="12" t="n">
        <v>1</v>
      </c>
      <c r="AR67" s="14">
        <f>IF($AP67="Annual",1,IF($AP67="Monthly F",12,IF($AP67="Monthly V",AQ67*12,IF($AP67="One-Time",1,AQ67*12))))</f>
        <v/>
      </c>
      <c r="AS67" s="14">
        <f t="array" ref="AS67">IFERROR(_xlfn.IFS(VALUE(MID(AS$5,6,1))&gt;$D$2,0,$AP67="Annual",1,AR67=12,12,$AP67="Monthly V",AR67*(1+$BD$2),$AP67="Monthly F",12,$AP67="One-Time",0),AR67*(1+$BD$2))</f>
        <v/>
      </c>
      <c r="AT67" s="14">
        <f t="array" ref="AT67">IFERROR(_xlfn.IFS(VALUE(MID(AT$5,6,1))&gt;$D$2,0,$AP67="Annual",1,AS67=12,12,$AP67="Monthly V",AS67*(1+$BD$2),$AP67="Monthly F",12,$AP67="One-Time",0),AS67*(1+$BD$2))</f>
        <v/>
      </c>
      <c r="AU67" s="14">
        <f t="array" ref="AU67">IFERROR(_xlfn.IFS(VALUE(MID(AU$5,6,1))&gt;$D$2,0,$AP67="Annual",1,AT67=12,12,$AP67="Monthly V",AT67*(1+$BD$2),$AP67="Monthly F",12,$AP67="One-Time",0),AT67*(1+$BD$2))</f>
        <v/>
      </c>
      <c r="AV67" s="14">
        <f t="array" ref="AV67">IFERROR(_xlfn.IFS(VALUE(MID(AV$5,6,1))&gt;$D$2,0,$AP67="Annual",1,AU67=12,12,$AP67="Monthly V",AU67*(1+$BD$2),$AP67="Monthly F",12,$AP67="One-Time",0),AU67*(1+$BD$2))</f>
        <v/>
      </c>
      <c r="AW67" s="14">
        <f t="array" ref="AW67">IFERROR(_xlfn.IFS(VALUE(MID(AW$5,6,1))&gt;$D$2,0,$AP67="Annual",1,AV67=12,12,$AP67="Monthly V",AV67*(1+$BD$2),$AP67="Monthly F",12,$AP67="One-Time",0),AV67*(1+$BD$2))</f>
        <v/>
      </c>
      <c r="AX67" s="14">
        <f t="array" ref="AX67">IFERROR(_xlfn.IFS(VALUE(MID(AX$5,6,1))&gt;$D$2,0,$AP67="Annual",1,AW67=12,12,$AP67="Monthly V",AW67*(1+$BD$2),$AP67="Monthly F",12,$AP67="One-Time",0),AW67*(1+$BD$2))</f>
        <v/>
      </c>
      <c r="AY67" s="14">
        <f t="array" ref="AY67">IFERROR(_xlfn.IFS(VALUE(MID(AY$5,6,1))&gt;$D$2,0,$AP67="Annual",1,AX67=12,12,$AP67="Monthly V",AX67*(1+$D$3),$AP67="Monthly F",12,$AP67="One-Time",0),AX67*(1+$D$3))</f>
        <v/>
      </c>
      <c r="AZ67" s="14">
        <f t="array" ref="AZ67">IFERROR(_xlfn.IFS(VALUE(MID(AZ$5,6,1))&gt;$D$2,0,$AP67="Annual",1,AY67=12,12,$AP67="Monthly V",AY67*(1+$D$3),$AP67="Monthly F",12,$AP67="One-Time",0),AY67*(1+$D$3))</f>
        <v/>
      </c>
      <c r="BA67" s="125">
        <f t="array" ref="BA67">IFERROR(_xlfn.IFS(VALUE(MID(BA$5,6,2))&gt;$D$2,0,$AP67="Annual",1,AZ67=12,12,$AP67="Monthly V",AZ67*(1+$D$3),$AP67="Monthly F",12,$AP67="One-Time",0),AZ67*(1+$D$3))</f>
        <v/>
      </c>
      <c r="BB67" s="124" t="inlineStr">
        <is>
          <t>Jack Henry Loyalty and Rewards - Enterprise</t>
        </is>
      </c>
      <c r="BC67" s="38" t="inlineStr">
        <is>
          <t>Core</t>
        </is>
      </c>
      <c r="BD67" s="36" t="n">
        <v>1000</v>
      </c>
      <c r="BE67" s="21">
        <f>BF67/12</f>
        <v/>
      </c>
      <c r="BF67" s="39">
        <f>IFERROR(AR67*$BD67,0)</f>
        <v/>
      </c>
      <c r="BG67" s="39">
        <f>IFERROR(AS67*$BD67,0)</f>
        <v/>
      </c>
      <c r="BH67" s="39">
        <f>IFERROR(AT67*$BD67,0)</f>
        <v/>
      </c>
      <c r="BI67" s="39">
        <f>BH67*1.03</f>
        <v/>
      </c>
      <c r="BJ67" s="39">
        <f>BI67*1.03</f>
        <v/>
      </c>
      <c r="BK67" s="39">
        <f>BJ67*1.03</f>
        <v/>
      </c>
      <c r="BL67" s="39">
        <f>BK67*1.03</f>
        <v/>
      </c>
      <c r="BM67" s="39">
        <f>IFERROR(AY67*$BD67,0)</f>
        <v/>
      </c>
      <c r="BN67" s="39">
        <f>IFERROR(AZ67*$BD67,0)</f>
        <v/>
      </c>
      <c r="BO67" s="39">
        <f>IFERROR(BA67*$BD67,0)</f>
        <v/>
      </c>
      <c r="BP67" s="40" t="n"/>
      <c r="BQ67" s="40">
        <f>IF(VALUE(MID(BQ$5,6,1))&lt;=$D$2,((1+$BD$3)^1-1)*BG67,0)</f>
        <v/>
      </c>
      <c r="BR67" s="40">
        <f>IF(VALUE(MID(BR$5,6,1))&lt;=$D$2,((1+$BD$3)^2-1)*BH67,0)</f>
        <v/>
      </c>
      <c r="BS67" s="40">
        <f>IF(VALUE(MID(BS$5,6,1))&lt;=$D$2,((1+$BD$3)^3-1)*BI67,0)</f>
        <v/>
      </c>
      <c r="BT67" s="40">
        <f>IF(VALUE(MID(BT$5,6,1))&lt;=$D$2,((1+$BD$3)^4-1)*BJ67,0)</f>
        <v/>
      </c>
      <c r="BU67" s="40">
        <f>IF(VALUE(MID(BU$5,6,1))&lt;=$D$2,((1+$BD$3)^5-1)*BK67,0)</f>
        <v/>
      </c>
      <c r="BV67" s="40">
        <f>IF(VALUE(MID(BV$5,6,1))&lt;=$D$2,((1+$BD$3)^6-1)*BL67,0)</f>
        <v/>
      </c>
      <c r="BW67" s="40">
        <f>IF(VALUE(MID(BW$5,6,1))&lt;=$D$2,((1+$BD$3)^7-1)*BM67,0)</f>
        <v/>
      </c>
      <c r="BX67" s="40">
        <f>IF(VALUE(MID(BX$5,6,1))&lt;=$D$2,((1+$BD$3)^8-1)*BN67,0)</f>
        <v/>
      </c>
      <c r="BY67" s="40">
        <f>IF(VALUE(MID(BY$5,6,2))&lt;=$D$2,((1+$BD$3)^9-1)*BO67,0)</f>
        <v/>
      </c>
      <c r="BZ67" s="40">
        <f>SUM(BP67:BY67)</f>
        <v/>
      </c>
      <c r="CA67" s="37">
        <f>SUM(BZ67,BF67:BO67)</f>
        <v/>
      </c>
      <c r="CC67" s="102" t="n"/>
      <c r="CD67" s="12" t="n"/>
      <c r="CE67" s="14">
        <f>IF($CC67="Annual",1,IF($CC67="Monthly F",12,IF($CC67="Monthly V",CD67*12,IF($CC67="One-Time",1,CD67*12))))</f>
        <v/>
      </c>
      <c r="CF67" s="14">
        <f t="array" ref="CF67">IFERROR(_xlfn.IFS(VALUE(MID(CF$5,6,1))&gt;$D$2,0,$CC67="Annual",1,CE67=12,12,$CC67="Monthly V",CE67*(1+$D$3),$CC67="Monthly F",12,$CC67="One-Time",0),CE67*(1+$D$3))</f>
        <v/>
      </c>
      <c r="CG67" s="14">
        <f t="array" ref="CG67">IFERROR(_xlfn.IFS(VALUE(MID(CG$5,6,1))&gt;$D$2,0,$CC67="Annual",1,CF67=12,12,$CC67="Monthly V",CF67*(1+$D$3),$CC67="Monthly F",12,$CC67="One-Time",0),CF67*(1+$D$3))</f>
        <v/>
      </c>
      <c r="CH67" s="14">
        <f t="array" ref="CH67">IFERROR(_xlfn.IFS(VALUE(MID(CH$5,6,1))&gt;$D$2,0,$CC67="Annual",1,CG67=12,12,$CC67="Monthly V",CG67*(1+$D$3),$CC67="Monthly F",12,$CC67="One-Time",0),CG67*(1+$D$3))</f>
        <v/>
      </c>
      <c r="CI67" s="14">
        <f t="array" ref="CI67">IFERROR(_xlfn.IFS(VALUE(MID(CI$5,6,1))&gt;$D$2,0,$CC67="Annual",1,CH67=12,12,$CC67="Monthly V",CH67*(1+$D$3),$CC67="Monthly F",12,$CC67="One-Time",0),CH67*(1+$D$3))</f>
        <v/>
      </c>
      <c r="CJ67" s="14">
        <f t="array" ref="CJ67">IFERROR(_xlfn.IFS(VALUE(MID(CJ$5,6,1))&gt;$D$2,0,$CC67="Annual",1,CI67=12,12,$CC67="Monthly V",CI67*(1+$D$3),$CC67="Monthly F",12,$CC67="One-Time",0),CI67*(1+$D$3))</f>
        <v/>
      </c>
      <c r="CK67" s="14">
        <f t="array" ref="CK67">IFERROR(_xlfn.IFS(VALUE(MID(CK$5,6,1))&gt;$D$2,0,$CC67="Annual",1,CJ67=12,12,$CC67="Monthly V",CJ67*(1+$D$3),$CC67="Monthly F",12,$CC67="One-Time",0),CJ67*(1+$D$3))</f>
        <v/>
      </c>
      <c r="CL67" s="14">
        <f t="array" ref="CL67">IFERROR(_xlfn.IFS(VALUE(MID(CL$5,6,1))&gt;$D$2,0,$CC67="Annual",1,CK67=12,12,$CC67="Monthly V",CK67*(1+$D$3),$CC67="Monthly F",12,$CC67="One-Time",0),CK67*(1+$D$3))</f>
        <v/>
      </c>
      <c r="CM67" s="14">
        <f t="array" ref="CM67">IFERROR(_xlfn.IFS(VALUE(MID(CM$5,6,1))&gt;$D$2,0,$CC67="Annual",1,CL67=12,12,$CC67="Monthly V",CL67*(1+$D$3),$CC67="Monthly F",12,$CC67="One-Time",0),CL67*(1+$D$3))</f>
        <v/>
      </c>
      <c r="CN67" s="24">
        <f t="array" ref="CN67">IFERROR(_xlfn.IFS(VALUE(MID(CN$5,6,2))&gt;$D$2,0,$CC67="Annual",1,CM67=12,12,$CC67="Monthly V",CM67*(1+$D$3),$CC67="Monthly F",12,$CC67="One-Time",0),CM67*(1+$D$3))</f>
        <v/>
      </c>
      <c r="CO67" s="63" t="n"/>
      <c r="CP67" s="53" t="n"/>
      <c r="CQ67" s="21">
        <f>CR67/12</f>
        <v/>
      </c>
      <c r="CR67" s="55">
        <f>IFERROR(CE67*$CP67,0)</f>
        <v/>
      </c>
      <c r="CS67" s="55">
        <f>IFERROR(CF67*$CP67,0)</f>
        <v/>
      </c>
      <c r="CT67" s="55">
        <f>IFERROR(CG67*$CP67,0)</f>
        <v/>
      </c>
      <c r="CU67" s="55">
        <f>IFERROR(CH67*$CP67,0)</f>
        <v/>
      </c>
      <c r="CV67" s="55">
        <f>IFERROR(CI67*$CP67,0)</f>
        <v/>
      </c>
      <c r="CW67" s="55">
        <f>IFERROR(CJ67*$CP67,0)</f>
        <v/>
      </c>
      <c r="CX67" s="55">
        <f>IFERROR(CK67*$CP67,0)</f>
        <v/>
      </c>
      <c r="CY67" s="55">
        <f>IFERROR(CL67*$CP67,0)</f>
        <v/>
      </c>
      <c r="CZ67" s="55">
        <f>IFERROR(CM67*$CP67,0)</f>
        <v/>
      </c>
      <c r="DA67" s="55">
        <f>IFERROR(CN67*$CP67,0)</f>
        <v/>
      </c>
      <c r="DB67" s="56" t="n"/>
      <c r="DC67" s="56">
        <f>IF(VALUE(MID(DC$5,6,1))&lt;=$D$2,((1+$CP$3)^1-1)*CS67,0)</f>
        <v/>
      </c>
      <c r="DD67" s="56">
        <f>IF(VALUE(MID(DD$5,6,1))&lt;=$D$2,((1+$CP$3)^2-1)*CT67,0)</f>
        <v/>
      </c>
      <c r="DE67" s="56">
        <f>IF(VALUE(MID(DE$5,6,1))&lt;=$D$2,((1+$CP$3)^3-1)*CU67,0)</f>
        <v/>
      </c>
      <c r="DF67" s="56">
        <f>IF(VALUE(MID(DF$5,6,1))&lt;=$D$2,((1+$CP$3)^4-1)*CV67,0)</f>
        <v/>
      </c>
      <c r="DG67" s="56">
        <f>IF(VALUE(MID(DG$5,6,1))&lt;=$D$2,((1+$CP$3)^5-1)*CW67,0)</f>
        <v/>
      </c>
      <c r="DH67" s="56">
        <f>IF(VALUE(MID(DH$5,6,1))&lt;=$D$2,((1+$CP$3)^6-1)*CX67,0)</f>
        <v/>
      </c>
      <c r="DI67" s="56">
        <f>IF(VALUE(MID(DI$5,6,1))&lt;=$D$2,((1+$CP$3)^7-1)*CY67,0)</f>
        <v/>
      </c>
      <c r="DJ67" s="56">
        <f>IF(VALUE(MID(DJ$5,6,1))&lt;=$D$2,((1+$CP$3)^8-1)*CZ67,0)</f>
        <v/>
      </c>
      <c r="DK67" s="56">
        <f>IF(VALUE(MID(DK$5,6,2))&lt;=$D$2,((1+$CP$3)^9-1)*DA67,0)</f>
        <v/>
      </c>
      <c r="DL67" s="57">
        <f>SUM(DB67:DK67)</f>
        <v/>
      </c>
      <c r="DM67" s="54">
        <f>SUM(DL67,CR67:DA67)</f>
        <v/>
      </c>
      <c r="DO67" s="106" t="n"/>
    </row>
    <row r="68">
      <c r="B68" s="141" t="inlineStr">
        <is>
          <t>Monthly V</t>
        </is>
      </c>
      <c r="C68" s="24" t="n">
        <v>1</v>
      </c>
      <c r="D68" s="147">
        <f>IFERROR(AVERAGE(C68:C68),0)</f>
        <v/>
      </c>
      <c r="E68" s="142">
        <f>IF($B68="Annual",1,IF($B68="Monthly F",12,IF($B68="Monthly V",D68*12,IF($B68="One-Time",1,D68*12))))</f>
        <v/>
      </c>
      <c r="F68" s="14">
        <f t="array" ref="F68">IFERROR(_xlfn.IFS(VALUE(MID(F$5,6,1))&gt;$D$2,0,$B68="Annual",1,E68=12,12,$B68="Monthly V",E68*(1+$D$3),$B68="Monthly F",12,$B68="One-Time",0),E68*(1+$D$3))</f>
        <v/>
      </c>
      <c r="G68" s="14">
        <f t="array" ref="G68">IFERROR(_xlfn.IFS(VALUE(MID(G$5,6,1))&gt;$D$2,0,$B68="Annual",1,F68=12,12,$B68="Monthly V",F68*(1+$D$3),$B68="Monthly F",12,$B68="One-Time",0),F68*(1+$D$3))</f>
        <v/>
      </c>
      <c r="H68" s="14">
        <f t="array" ref="H68">IFERROR(_xlfn.IFS(VALUE(MID(H$5,6,1))&gt;$D$2,0,$B68="Annual",1,G68=12,12,$B68="Monthly V",G68*(1+$D$3),$B68="Monthly F",12,$B68="One-Time",0),G68*(1+$D$3))</f>
        <v/>
      </c>
      <c r="I68" s="14">
        <f t="array" ref="I68">IFERROR(_xlfn.IFS(VALUE(MID(I$5,6,1))&gt;$D$2,0,$B68="Annual",1,H68=12,12,$B68="Monthly V",H68*(1+$D$3),$B68="Monthly F",12,$B68="One-Time",0),H68*(1+$D$3))</f>
        <v/>
      </c>
      <c r="J68" s="14">
        <f t="array" ref="J68">IFERROR(_xlfn.IFS(VALUE(MID(J$5,6,1))&gt;$D$2,0,$B68="Annual",1,I68=12,12,$B68="Monthly V",I68*(1+$D$3),$B68="Monthly F",12,$B68="One-Time",0),I68*(1+$D$3))</f>
        <v/>
      </c>
      <c r="K68" s="14">
        <f t="array" ref="K68">IFERROR(_xlfn.IFS(VALUE(MID(K$5,6,1))&gt;$D$2,0,$B68="Annual",1,J68=12,12,$B68="Monthly V",J68*(1+$D$3),$B68="Monthly F",12,$B68="One-Time",0),J68*(1+$D$3))</f>
        <v/>
      </c>
      <c r="L68" s="14">
        <f t="array" ref="L68">IFERROR(_xlfn.IFS(VALUE(MID(L$5,6,1))&gt;$D$2,0,$B68="Annual",1,K68=12,12,$B68="Monthly V",K68*(1+$D$3),$B68="Monthly F",12,$B68="One-Time",0),K68*(1+$D$3))</f>
        <v/>
      </c>
      <c r="M68" s="14">
        <f t="array" ref="M68">IFERROR(_xlfn.IFS(VALUE(MID(M$5,6,1))&gt;$D$2,0,$B68="Annual",1,L68=12,12,$B68="Monthly V",L68*(1+$D$3),$B68="Monthly F",12,$B68="One-Time",0),L68*(1+$D$3))</f>
        <v/>
      </c>
      <c r="N68" s="24">
        <f t="array" ref="N68">IFERROR(_xlfn.IFS(VALUE(MID(N$5,6,2))&gt;$D$2,0,$B68="Annual",1,M68=12,12,$B68="Monthly V",M68*(1+$D$3),$B68="Monthly F",12,$B68="One-Time",0),M68*(1+$D$3))</f>
        <v/>
      </c>
      <c r="O68" s="127" t="inlineStr">
        <is>
          <t>Collaboration Hub (Up to 10 Users) ($200 Per additional user)</t>
        </is>
      </c>
      <c r="P68" s="13" t="n"/>
      <c r="Q68" s="20" t="n">
        <v>900</v>
      </c>
      <c r="R68" s="21">
        <f>S68/12</f>
        <v/>
      </c>
      <c r="S68" s="6">
        <f>IFERROR($Q68*E68,0)</f>
        <v/>
      </c>
      <c r="T68" s="6">
        <f>IFERROR($Q68*F68,0)</f>
        <v/>
      </c>
      <c r="U68" s="6">
        <f>IFERROR($Q68*G68,0)</f>
        <v/>
      </c>
      <c r="V68" s="6">
        <f>IFERROR($Q68*H68,0)</f>
        <v/>
      </c>
      <c r="W68" s="6">
        <f>IFERROR($Q68*I68,0)</f>
        <v/>
      </c>
      <c r="X68" s="6">
        <f>IFERROR($Q68*J68,0)</f>
        <v/>
      </c>
      <c r="Y68" s="6">
        <f>IFERROR($Q68*K68,0)</f>
        <v/>
      </c>
      <c r="Z68" s="6">
        <f>IFERROR($Q68*L68,0)</f>
        <v/>
      </c>
      <c r="AA68" s="6">
        <f>IFERROR($Q68*M68,0)</f>
        <v/>
      </c>
      <c r="AB68" s="6">
        <f>IFERROR($Q68*N68,0)</f>
        <v/>
      </c>
      <c r="AC68" s="7" t="n"/>
      <c r="AD68" s="152">
        <f>IF(VALUE(MID(AD$5,6,1))&lt;=$D$2,((1+$Q$3)^1-1)*T68,0)</f>
        <v/>
      </c>
      <c r="AE68" s="152">
        <f>IF(VALUE(MID(AE$5,6,1))&lt;=$D$2,((1+$Q$3)^2-1)*U68,0)</f>
        <v/>
      </c>
      <c r="AF68" s="152">
        <f>IF(VALUE(MID(AF$5,6,1))&lt;=$D$2,((1+$Q$3)^3-1)*V68,0)</f>
        <v/>
      </c>
      <c r="AG68" s="152">
        <f>IF(VALUE(MID(AG$5,6,1))&lt;=$D$2,((1+$Q$3)^4-1)*W68,0)</f>
        <v/>
      </c>
      <c r="AH68" s="152">
        <f>IF(VALUE(MID(AH$5,6,1))&lt;=$D$2,((1+$Q$3)^5-1)*X68,0)</f>
        <v/>
      </c>
      <c r="AI68" s="152">
        <f>IF(VALUE(MID(AI$5,6,1))&lt;=$D$2,((1+$Q$3)^6-1)*Y68,0)</f>
        <v/>
      </c>
      <c r="AJ68" s="152">
        <f>IF(VALUE(MID(AJ$5,6,1))&lt;=$D$2,((1+$Q$3)^7-1)*Z68,0)</f>
        <v/>
      </c>
      <c r="AK68" s="152">
        <f>IF(VALUE(MID(AK$5,6,1))&lt;=$D$2,((1+$Q$3)^8-1)*AA68,0)</f>
        <v/>
      </c>
      <c r="AL68" s="152">
        <f>IF(VALUE(MID(AL$5,6,2))&lt;=$D$2,((1+$Q$3)^9-1)*AB68,0)</f>
        <v/>
      </c>
      <c r="AM68" s="9">
        <f>SUM(AC68:AL68)</f>
        <v/>
      </c>
      <c r="AN68" s="80">
        <f>SUM(AM68,S68:AB68)</f>
        <v/>
      </c>
      <c r="AP68" s="102" t="inlineStr">
        <is>
          <t>Monthly F</t>
        </is>
      </c>
      <c r="AQ68" s="12" t="n">
        <v>1</v>
      </c>
      <c r="AR68" s="14">
        <f>IF($AP68="Annual",1,IF($AP68="Monthly F",12,IF($AP68="Monthly V",AQ68*12,IF($AP68="One-Time",1,AQ68*12))))</f>
        <v/>
      </c>
      <c r="AS68" s="14">
        <f t="array" ref="AS68">IFERROR(_xlfn.IFS(VALUE(MID(AS$5,6,1))&gt;$D$2,0,$AP68="Annual",1,AR68=12,12,$AP68="Monthly V",AR68*(1+$BD$2),$AP68="Monthly F",12,$AP68="One-Time",0),AR68*(1+$BD$2))</f>
        <v/>
      </c>
      <c r="AT68" s="14">
        <f t="array" ref="AT68">IFERROR(_xlfn.IFS(VALUE(MID(AT$5,6,1))&gt;$D$2,0,$AP68="Annual",1,AS68=12,12,$AP68="Monthly V",AS68*(1+$BD$2),$AP68="Monthly F",12,$AP68="One-Time",0),AS68*(1+$BD$2))</f>
        <v/>
      </c>
      <c r="AU68" s="14">
        <f t="array" ref="AU68">IFERROR(_xlfn.IFS(VALUE(MID(AU$5,6,1))&gt;$D$2,0,$AP68="Annual",1,AT68=12,12,$AP68="Monthly V",AT68*(1+$BD$2),$AP68="Monthly F",12,$AP68="One-Time",0),AT68*(1+$BD$2))</f>
        <v/>
      </c>
      <c r="AV68" s="14">
        <f t="array" ref="AV68">IFERROR(_xlfn.IFS(VALUE(MID(AV$5,6,1))&gt;$D$2,0,$AP68="Annual",1,AU68=12,12,$AP68="Monthly V",AU68*(1+$BD$2),$AP68="Monthly F",12,$AP68="One-Time",0),AU68*(1+$BD$2))</f>
        <v/>
      </c>
      <c r="AW68" s="14">
        <f t="array" ref="AW68">IFERROR(_xlfn.IFS(VALUE(MID(AW$5,6,1))&gt;$D$2,0,$AP68="Annual",1,AV68=12,12,$AP68="Monthly V",AV68*(1+$BD$2),$AP68="Monthly F",12,$AP68="One-Time",0),AV68*(1+$BD$2))</f>
        <v/>
      </c>
      <c r="AX68" s="14">
        <f t="array" ref="AX68">IFERROR(_xlfn.IFS(VALUE(MID(AX$5,6,1))&gt;$D$2,0,$AP68="Annual",1,AW68=12,12,$AP68="Monthly V",AW68*(1+$BD$2),$AP68="Monthly F",12,$AP68="One-Time",0),AW68*(1+$BD$2))</f>
        <v/>
      </c>
      <c r="AY68" s="14">
        <f t="array" ref="AY68">IFERROR(_xlfn.IFS(VALUE(MID(AY$5,6,1))&gt;$D$2,0,$AP68="Annual",1,AX68=12,12,$AP68="Monthly V",AX68*(1+$D$3),$AP68="Monthly F",12,$AP68="One-Time",0),AX68*(1+$D$3))</f>
        <v/>
      </c>
      <c r="AZ68" s="14">
        <f t="array" ref="AZ68">IFERROR(_xlfn.IFS(VALUE(MID(AZ$5,6,1))&gt;$D$2,0,$AP68="Annual",1,AY68=12,12,$AP68="Monthly V",AY68*(1+$D$3),$AP68="Monthly F",12,$AP68="One-Time",0),AY68*(1+$D$3))</f>
        <v/>
      </c>
      <c r="BA68" s="125">
        <f t="array" ref="BA68">IFERROR(_xlfn.IFS(VALUE(MID(BA$5,6,2))&gt;$D$2,0,$AP68="Annual",1,AZ68=12,12,$AP68="Monthly V",AZ68*(1+$D$3),$AP68="Monthly F",12,$AP68="One-Time",0),AZ68*(1+$D$3))</f>
        <v/>
      </c>
      <c r="BB68" s="148" t="inlineStr">
        <is>
          <t>Cognos BI Bundles</t>
        </is>
      </c>
      <c r="BC68" s="38" t="inlineStr">
        <is>
          <t>Cognos</t>
        </is>
      </c>
      <c r="BD68" s="36" t="n">
        <v>665</v>
      </c>
      <c r="BE68" s="21">
        <f>BF68/12</f>
        <v/>
      </c>
      <c r="BF68" s="39">
        <f>IFERROR(AR68*$BD68,0)</f>
        <v/>
      </c>
      <c r="BG68" s="39">
        <f>IFERROR(AS68*$BD68,0)</f>
        <v/>
      </c>
      <c r="BH68" s="39">
        <f>IFERROR(AT68*$BD68,0)</f>
        <v/>
      </c>
      <c r="BI68" s="39">
        <f>BH68*1.03</f>
        <v/>
      </c>
      <c r="BJ68" s="39">
        <f>BI68*1.03</f>
        <v/>
      </c>
      <c r="BK68" s="39">
        <f>BJ68*1.03</f>
        <v/>
      </c>
      <c r="BL68" s="39">
        <f>BK68*1.03</f>
        <v/>
      </c>
      <c r="BM68" s="39">
        <f>IFERROR(AY68*$BD68,0)</f>
        <v/>
      </c>
      <c r="BN68" s="39">
        <f>IFERROR(AZ68*$BD68,0)</f>
        <v/>
      </c>
      <c r="BO68" s="39">
        <f>IFERROR(BA68*$BD68,0)</f>
        <v/>
      </c>
      <c r="BP68" s="40" t="n"/>
      <c r="BQ68" s="40">
        <f>IF(VALUE(MID(BQ$5,6,1))&lt;=$D$2,((1+$BD$3)^1-1)*BG68,0)</f>
        <v/>
      </c>
      <c r="BR68" s="40">
        <f>IF(VALUE(MID(BR$5,6,1))&lt;=$D$2,((1+$BD$3)^2-1)*BH68,0)</f>
        <v/>
      </c>
      <c r="BS68" s="40">
        <f>IF(VALUE(MID(BS$5,6,1))&lt;=$D$2,((1+$BD$3)^3-1)*BI68,0)</f>
        <v/>
      </c>
      <c r="BT68" s="40">
        <f>IF(VALUE(MID(BT$5,6,1))&lt;=$D$2,((1+$BD$3)^4-1)*BJ68,0)</f>
        <v/>
      </c>
      <c r="BU68" s="40">
        <f>IF(VALUE(MID(BU$5,6,1))&lt;=$D$2,((1+$BD$3)^5-1)*BK68,0)</f>
        <v/>
      </c>
      <c r="BV68" s="40">
        <f>IF(VALUE(MID(BV$5,6,1))&lt;=$D$2,((1+$BD$3)^6-1)*BL68,0)</f>
        <v/>
      </c>
      <c r="BW68" s="40">
        <f>IF(VALUE(MID(BW$5,6,1))&lt;=$D$2,((1+$BD$3)^7-1)*BM68,0)</f>
        <v/>
      </c>
      <c r="BX68" s="40">
        <f>IF(VALUE(MID(BX$5,6,1))&lt;=$D$2,((1+$BD$3)^8-1)*BN68,0)</f>
        <v/>
      </c>
      <c r="BY68" s="40">
        <f>IF(VALUE(MID(BY$5,6,2))&lt;=$D$2,((1+$BD$3)^9-1)*BO68,0)</f>
        <v/>
      </c>
      <c r="BZ68" s="40">
        <f>SUM(BP68:BY68)</f>
        <v/>
      </c>
      <c r="CA68" s="37">
        <f>SUM(BZ68,BF68:BO68)</f>
        <v/>
      </c>
      <c r="CC68" s="102" t="n"/>
      <c r="CD68" s="12" t="n"/>
      <c r="CE68" s="14">
        <f>IF($CC68="Annual",1,IF($CC68="Monthly F",12,IF($CC68="Monthly V",CD68*12,IF($CC68="One-Time",1,CD68*12))))</f>
        <v/>
      </c>
      <c r="CF68" s="14">
        <f t="array" ref="CF68">IFERROR(_xlfn.IFS(VALUE(MID(CF$5,6,1))&gt;$D$2,0,$CC68="Annual",1,CE68=12,12,$CC68="Monthly V",CE68*(1+$D$3),$CC68="Monthly F",12,$CC68="One-Time",0),CE68*(1+$D$3))</f>
        <v/>
      </c>
      <c r="CG68" s="14">
        <f t="array" ref="CG68">IFERROR(_xlfn.IFS(VALUE(MID(CG$5,6,1))&gt;$D$2,0,$CC68="Annual",1,CF68=12,12,$CC68="Monthly V",CF68*(1+$D$3),$CC68="Monthly F",12,$CC68="One-Time",0),CF68*(1+$D$3))</f>
        <v/>
      </c>
      <c r="CH68" s="14">
        <f t="array" ref="CH68">IFERROR(_xlfn.IFS(VALUE(MID(CH$5,6,1))&gt;$D$2,0,$CC68="Annual",1,CG68=12,12,$CC68="Monthly V",CG68*(1+$D$3),$CC68="Monthly F",12,$CC68="One-Time",0),CG68*(1+$D$3))</f>
        <v/>
      </c>
      <c r="CI68" s="14">
        <f t="array" ref="CI68">IFERROR(_xlfn.IFS(VALUE(MID(CI$5,6,1))&gt;$D$2,0,$CC68="Annual",1,CH68=12,12,$CC68="Monthly V",CH68*(1+$D$3),$CC68="Monthly F",12,$CC68="One-Time",0),CH68*(1+$D$3))</f>
        <v/>
      </c>
      <c r="CJ68" s="14">
        <f t="array" ref="CJ68">IFERROR(_xlfn.IFS(VALUE(MID(CJ$5,6,1))&gt;$D$2,0,$CC68="Annual",1,CI68=12,12,$CC68="Monthly V",CI68*(1+$D$3),$CC68="Monthly F",12,$CC68="One-Time",0),CI68*(1+$D$3))</f>
        <v/>
      </c>
      <c r="CK68" s="14">
        <f t="array" ref="CK68">IFERROR(_xlfn.IFS(VALUE(MID(CK$5,6,1))&gt;$D$2,0,$CC68="Annual",1,CJ68=12,12,$CC68="Monthly V",CJ68*(1+$D$3),$CC68="Monthly F",12,$CC68="One-Time",0),CJ68*(1+$D$3))</f>
        <v/>
      </c>
      <c r="CL68" s="14">
        <f t="array" ref="CL68">IFERROR(_xlfn.IFS(VALUE(MID(CL$5,6,1))&gt;$D$2,0,$CC68="Annual",1,CK68=12,12,$CC68="Monthly V",CK68*(1+$D$3),$CC68="Monthly F",12,$CC68="One-Time",0),CK68*(1+$D$3))</f>
        <v/>
      </c>
      <c r="CM68" s="14">
        <f t="array" ref="CM68">IFERROR(_xlfn.IFS(VALUE(MID(CM$5,6,1))&gt;$D$2,0,$CC68="Annual",1,CL68=12,12,$CC68="Monthly V",CL68*(1+$D$3),$CC68="Monthly F",12,$CC68="One-Time",0),CL68*(1+$D$3))</f>
        <v/>
      </c>
      <c r="CN68" s="24">
        <f t="array" ref="CN68">IFERROR(_xlfn.IFS(VALUE(MID(CN$5,6,2))&gt;$D$2,0,$CC68="Annual",1,CM68=12,12,$CC68="Monthly V",CM68*(1+$D$3),$CC68="Monthly F",12,$CC68="One-Time",0),CM68*(1+$D$3))</f>
        <v/>
      </c>
      <c r="CO68" s="63" t="n"/>
      <c r="CP68" s="53" t="n"/>
      <c r="CQ68" s="21">
        <f>CR68/12</f>
        <v/>
      </c>
      <c r="CR68" s="55">
        <f>IFERROR(CE68*$CP68,0)</f>
        <v/>
      </c>
      <c r="CS68" s="55">
        <f>IFERROR(CF68*$CP68,0)</f>
        <v/>
      </c>
      <c r="CT68" s="55">
        <f>IFERROR(CG68*$CP68,0)</f>
        <v/>
      </c>
      <c r="CU68" s="55">
        <f>IFERROR(CH68*$CP68,0)</f>
        <v/>
      </c>
      <c r="CV68" s="55">
        <f>IFERROR(CI68*$CP68,0)</f>
        <v/>
      </c>
      <c r="CW68" s="55">
        <f>IFERROR(CJ68*$CP68,0)</f>
        <v/>
      </c>
      <c r="CX68" s="55">
        <f>IFERROR(CK68*$CP68,0)</f>
        <v/>
      </c>
      <c r="CY68" s="55">
        <f>IFERROR(CL68*$CP68,0)</f>
        <v/>
      </c>
      <c r="CZ68" s="55">
        <f>IFERROR(CM68*$CP68,0)</f>
        <v/>
      </c>
      <c r="DA68" s="55">
        <f>IFERROR(CN68*$CP68,0)</f>
        <v/>
      </c>
      <c r="DB68" s="56" t="n"/>
      <c r="DC68" s="56">
        <f>IF(VALUE(MID(DC$5,6,1))&lt;=$D$2,((1+$CP$3)^1-1)*CS68,0)</f>
        <v/>
      </c>
      <c r="DD68" s="56">
        <f>IF(VALUE(MID(DD$5,6,1))&lt;=$D$2,((1+$CP$3)^2-1)*CT68,0)</f>
        <v/>
      </c>
      <c r="DE68" s="56">
        <f>IF(VALUE(MID(DE$5,6,1))&lt;=$D$2,((1+$CP$3)^3-1)*CU68,0)</f>
        <v/>
      </c>
      <c r="DF68" s="56">
        <f>IF(VALUE(MID(DF$5,6,1))&lt;=$D$2,((1+$CP$3)^4-1)*CV68,0)</f>
        <v/>
      </c>
      <c r="DG68" s="56">
        <f>IF(VALUE(MID(DG$5,6,1))&lt;=$D$2,((1+$CP$3)^5-1)*CW68,0)</f>
        <v/>
      </c>
      <c r="DH68" s="56">
        <f>IF(VALUE(MID(DH$5,6,1))&lt;=$D$2,((1+$CP$3)^6-1)*CX68,0)</f>
        <v/>
      </c>
      <c r="DI68" s="56">
        <f>IF(VALUE(MID(DI$5,6,1))&lt;=$D$2,((1+$CP$3)^7-1)*CY68,0)</f>
        <v/>
      </c>
      <c r="DJ68" s="56">
        <f>IF(VALUE(MID(DJ$5,6,1))&lt;=$D$2,((1+$CP$3)^8-1)*CZ68,0)</f>
        <v/>
      </c>
      <c r="DK68" s="56">
        <f>IF(VALUE(MID(DK$5,6,2))&lt;=$D$2,((1+$CP$3)^9-1)*DA68,0)</f>
        <v/>
      </c>
      <c r="DL68" s="57">
        <f>SUM(DB68:DK68)</f>
        <v/>
      </c>
      <c r="DM68" s="54">
        <f>SUM(DL68,CR68:DA68)</f>
        <v/>
      </c>
      <c r="DO68" s="106" t="n"/>
    </row>
    <row r="69">
      <c r="B69" s="141" t="n"/>
      <c r="C69" s="24" t="n"/>
      <c r="D69" s="147" t="n"/>
      <c r="E69" s="142" t="n"/>
      <c r="F69" s="14" t="n"/>
      <c r="G69" s="14" t="n"/>
      <c r="H69" s="14" t="n"/>
      <c r="I69" s="14" t="n"/>
      <c r="J69" s="14" t="n"/>
      <c r="K69" s="14" t="n"/>
      <c r="L69" s="14" t="n"/>
      <c r="M69" s="14" t="n"/>
      <c r="N69" s="24" t="n"/>
      <c r="O69" s="127" t="n"/>
      <c r="P69" s="13" t="n"/>
      <c r="Q69" s="20" t="n"/>
      <c r="R69" s="21" t="n"/>
      <c r="S69" s="6" t="n"/>
      <c r="T69" s="6" t="n"/>
      <c r="U69" s="6" t="n"/>
      <c r="V69" s="6" t="n"/>
      <c r="W69" s="6" t="n"/>
      <c r="X69" s="6" t="n"/>
      <c r="Y69" s="6" t="n"/>
      <c r="Z69" s="6" t="n"/>
      <c r="AA69" s="6" t="n"/>
      <c r="AB69" s="6" t="n"/>
      <c r="AC69" s="7" t="n"/>
      <c r="AD69" s="152" t="n"/>
      <c r="AE69" s="152" t="n"/>
      <c r="AF69" s="152" t="n"/>
      <c r="AG69" s="152" t="n"/>
      <c r="AH69" s="152" t="n"/>
      <c r="AI69" s="152" t="n"/>
      <c r="AJ69" s="152" t="n"/>
      <c r="AK69" s="152" t="n"/>
      <c r="AL69" s="152" t="n"/>
      <c r="AM69" s="9" t="n"/>
      <c r="AN69" s="80" t="n"/>
      <c r="AP69" s="102" t="inlineStr">
        <is>
          <t>Monthly V</t>
        </is>
      </c>
      <c r="AQ69" s="12" t="n">
        <v>5000</v>
      </c>
      <c r="AR69" s="14">
        <f>IF($AP69="Annual",1,IF($AP69="Monthly F",12,IF($AP69="Monthly V",AQ69*12,IF($AP69="One-Time",1,AQ69*12))))</f>
        <v/>
      </c>
      <c r="AS69" s="14">
        <f t="array" ref="AS69">IFERROR(_xlfn.IFS(VALUE(MID(AS$5,6,1))&gt;$D$2,0,$AP69="Annual",1,AR69=12,12,$AP69="Monthly V",AR69*(1+$BD$2),$AP69="Monthly F",12,$AP69="One-Time",0),AR69*(1+$BD$2))</f>
        <v/>
      </c>
      <c r="AT69" s="14">
        <f t="array" ref="AT69">IFERROR(_xlfn.IFS(VALUE(MID(AT$5,6,1))&gt;$D$2,0,$AP69="Annual",1,AS69=12,12,$AP69="Monthly V",AS69*(1+$BD$2),$AP69="Monthly F",12,$AP69="One-Time",0),AS69*(1+$BD$2))</f>
        <v/>
      </c>
      <c r="AU69" s="14">
        <f t="array" ref="AU69">IFERROR(_xlfn.IFS(VALUE(MID(AU$5,6,1))&gt;$D$2,0,$AP69="Annual",1,AT69=12,12,$AP69="Monthly V",AT69*(1+$BD$2),$AP69="Monthly F",12,$AP69="One-Time",0),AT69*(1+$BD$2))</f>
        <v/>
      </c>
      <c r="AV69" s="14">
        <f t="array" ref="AV69">IFERROR(_xlfn.IFS(VALUE(MID(AV$5,6,1))&gt;$D$2,0,$AP69="Annual",1,AU69=12,12,$AP69="Monthly V",AU69*(1+$BD$2),$AP69="Monthly F",12,$AP69="One-Time",0),AU69*(1+$BD$2))</f>
        <v/>
      </c>
      <c r="AW69" s="14">
        <f t="array" ref="AW69">IFERROR(_xlfn.IFS(VALUE(MID(AW$5,6,1))&gt;$D$2,0,$AP69="Annual",1,AV69=12,12,$AP69="Monthly V",AV69*(1+$BD$2),$AP69="Monthly F",12,$AP69="One-Time",0),AV69*(1+$BD$2))</f>
        <v/>
      </c>
      <c r="AX69" s="14">
        <f t="array" ref="AX69">IFERROR(_xlfn.IFS(VALUE(MID(AX$5,6,1))&gt;$D$2,0,$AP69="Annual",1,AW69=12,12,$AP69="Monthly V",AW69*(1+$BD$2),$AP69="Monthly F",12,$AP69="One-Time",0),AW69*(1+$BD$2))</f>
        <v/>
      </c>
      <c r="AY69" s="14">
        <f t="array" ref="AY69">IFERROR(_xlfn.IFS(VALUE(MID(AY$5,6,1))&gt;$D$2,0,$AP69="Annual",1,AX69=12,12,$AP69="Monthly V",AX69*(1+$D$3),$AP69="Monthly F",12,$AP69="One-Time",0),AX69*(1+$D$3))</f>
        <v/>
      </c>
      <c r="AZ69" s="14">
        <f t="array" ref="AZ69">IFERROR(_xlfn.IFS(VALUE(MID(AZ$5,6,1))&gt;$D$2,0,$AP69="Annual",1,AY69=12,12,$AP69="Monthly V",AY69*(1+$D$3),$AP69="Monthly F",12,$AP69="One-Time",0),AY69*(1+$D$3))</f>
        <v/>
      </c>
      <c r="BA69" s="125">
        <f t="array" ref="BA69">IFERROR(_xlfn.IFS(VALUE(MID(BA$5,6,2))&gt;$D$2,0,$AP69="Annual",1,AZ69=12,12,$AP69="Monthly V",AZ69*(1+$D$3),$AP69="Monthly F",12,$AP69="One-Time",0),AZ69*(1+$D$3))</f>
        <v/>
      </c>
      <c r="BB69" s="148" t="inlineStr">
        <is>
          <t>Cognos BI Data Dictionary jhaEnterprise Workflow</t>
        </is>
      </c>
      <c r="BC69" s="38" t="inlineStr">
        <is>
          <t>Cognos</t>
        </is>
      </c>
      <c r="BD69" s="36" t="n">
        <v>0.0158</v>
      </c>
      <c r="BE69" s="21">
        <f>BF69/12</f>
        <v/>
      </c>
      <c r="BF69" s="39">
        <f>IFERROR(AR69*$BD69,0)</f>
        <v/>
      </c>
      <c r="BG69" s="39">
        <f>IFERROR(AS69*$BD69,0)</f>
        <v/>
      </c>
      <c r="BH69" s="39">
        <f>IFERROR(AT69*$BD69,0)</f>
        <v/>
      </c>
      <c r="BI69" s="39">
        <f>BH69*1.03</f>
        <v/>
      </c>
      <c r="BJ69" s="39">
        <f>BI69*1.03</f>
        <v/>
      </c>
      <c r="BK69" s="39">
        <f>BJ69*1.03</f>
        <v/>
      </c>
      <c r="BL69" s="39">
        <f>BK69*1.03</f>
        <v/>
      </c>
      <c r="BM69" s="39">
        <f>IFERROR(AY69*$BD69,0)</f>
        <v/>
      </c>
      <c r="BN69" s="39">
        <f>IFERROR(AZ69*$BD69,0)</f>
        <v/>
      </c>
      <c r="BO69" s="39">
        <f>IFERROR(BA69*$BD69,0)</f>
        <v/>
      </c>
      <c r="BP69" s="40" t="n"/>
      <c r="BQ69" s="40">
        <f>IF(VALUE(MID(BQ$5,6,1))&lt;=$D$2,((1+$BD$3)^1-1)*BG69,0)</f>
        <v/>
      </c>
      <c r="BR69" s="40">
        <f>IF(VALUE(MID(BR$5,6,1))&lt;=$D$2,((1+$BD$3)^2-1)*BH69,0)</f>
        <v/>
      </c>
      <c r="BS69" s="40">
        <f>IF(VALUE(MID(BS$5,6,1))&lt;=$D$2,((1+$BD$3)^3-1)*BI69,0)</f>
        <v/>
      </c>
      <c r="BT69" s="40">
        <f>IF(VALUE(MID(BT$5,6,1))&lt;=$D$2,((1+$BD$3)^4-1)*BJ69,0)</f>
        <v/>
      </c>
      <c r="BU69" s="40">
        <f>IF(VALUE(MID(BU$5,6,1))&lt;=$D$2,((1+$BD$3)^5-1)*BK69,0)</f>
        <v/>
      </c>
      <c r="BV69" s="40">
        <f>IF(VALUE(MID(BV$5,6,1))&lt;=$D$2,((1+$BD$3)^6-1)*BL69,0)</f>
        <v/>
      </c>
      <c r="BW69" s="40">
        <f>IF(VALUE(MID(BW$5,6,1))&lt;=$D$2,((1+$BD$3)^7-1)*BM69,0)</f>
        <v/>
      </c>
      <c r="BX69" s="40">
        <f>IF(VALUE(MID(BX$5,6,1))&lt;=$D$2,((1+$BD$3)^8-1)*BN69,0)</f>
        <v/>
      </c>
      <c r="BY69" s="40">
        <f>IF(VALUE(MID(BY$5,6,2))&lt;=$D$2,((1+$BD$3)^9-1)*BO69,0)</f>
        <v/>
      </c>
      <c r="BZ69" s="40">
        <f>SUM(BP69:BY69)</f>
        <v/>
      </c>
      <c r="CA69" s="37">
        <f>SUM(BZ69,BF69:BO69)</f>
        <v/>
      </c>
      <c r="CC69" s="102" t="n"/>
      <c r="CD69" s="12" t="n"/>
      <c r="CE69" s="14" t="n"/>
      <c r="CF69" s="14" t="n"/>
      <c r="CG69" s="14" t="n"/>
      <c r="CH69" s="14" t="n"/>
      <c r="CI69" s="14" t="n"/>
      <c r="CJ69" s="14" t="n"/>
      <c r="CK69" s="14" t="n"/>
      <c r="CL69" s="14" t="n"/>
      <c r="CM69" s="14" t="n"/>
      <c r="CN69" s="24" t="n"/>
      <c r="CO69" s="63" t="n"/>
      <c r="CP69" s="53" t="n"/>
      <c r="CQ69" s="21" t="n"/>
      <c r="CR69" s="55" t="n"/>
      <c r="CS69" s="55" t="n"/>
      <c r="CT69" s="55" t="n"/>
      <c r="CU69" s="55" t="n"/>
      <c r="CV69" s="55" t="n"/>
      <c r="CW69" s="55" t="n"/>
      <c r="CX69" s="55" t="n"/>
      <c r="CY69" s="55" t="n"/>
      <c r="CZ69" s="55" t="n"/>
      <c r="DA69" s="55" t="n"/>
      <c r="DB69" s="56" t="n"/>
      <c r="DC69" s="56" t="n"/>
      <c r="DD69" s="56" t="n"/>
      <c r="DE69" s="56" t="n"/>
      <c r="DF69" s="56" t="n"/>
      <c r="DG69" s="56" t="n"/>
      <c r="DH69" s="56" t="n"/>
      <c r="DI69" s="56" t="n"/>
      <c r="DJ69" s="56" t="n"/>
      <c r="DK69" s="56" t="n"/>
      <c r="DL69" s="57" t="n"/>
      <c r="DM69" s="54" t="n"/>
      <c r="DO69" s="106" t="n"/>
    </row>
    <row r="70">
      <c r="B70" s="141" t="n"/>
      <c r="C70" s="24" t="n"/>
      <c r="D70" s="147">
        <f>IFERROR(AVERAGE(C70:C70),0)</f>
        <v/>
      </c>
      <c r="E70" s="142">
        <f>IF($B70="Annual",1,IF($B70="Monthly F",12,IF($B70="Monthly V",D70*12,IF($B70="One-Time",1,D70*12))))</f>
        <v/>
      </c>
      <c r="F70" s="14">
        <f t="array" ref="F70">IFERROR(_xlfn.IFS(VALUE(MID(F$5,6,1))&gt;$D$2,0,$B70="Annual",1,E70=12,12,$B70="Monthly V",E70*(1+$D$3),$B70="Monthly F",12,$B70="One-Time",0),E70*(1+$D$3))</f>
        <v/>
      </c>
      <c r="G70" s="14">
        <f t="array" ref="G70">IFERROR(_xlfn.IFS(VALUE(MID(G$5,6,1))&gt;$D$2,0,$B70="Annual",1,F70=12,12,$B70="Monthly V",F70*(1+$D$3),$B70="Monthly F",12,$B70="One-Time",0),F70*(1+$D$3))</f>
        <v/>
      </c>
      <c r="H70" s="14">
        <f t="array" ref="H70">IFERROR(_xlfn.IFS(VALUE(MID(H$5,6,1))&gt;$D$2,0,$B70="Annual",1,G70=12,12,$B70="Monthly V",G70*(1+$D$3),$B70="Monthly F",12,$B70="One-Time",0),G70*(1+$D$3))</f>
        <v/>
      </c>
      <c r="I70" s="14">
        <f t="array" ref="I70">IFERROR(_xlfn.IFS(VALUE(MID(I$5,6,1))&gt;$D$2,0,$B70="Annual",1,H70=12,12,$B70="Monthly V",H70*(1+$D$3),$B70="Monthly F",12,$B70="One-Time",0),H70*(1+$D$3))</f>
        <v/>
      </c>
      <c r="J70" s="14">
        <f t="array" ref="J70">IFERROR(_xlfn.IFS(VALUE(MID(J$5,6,1))&gt;$D$2,0,$B70="Annual",1,I70=12,12,$B70="Monthly V",I70*(1+$D$3),$B70="Monthly F",12,$B70="One-Time",0),I70*(1+$D$3))</f>
        <v/>
      </c>
      <c r="K70" s="14">
        <f t="array" ref="K70">IFERROR(_xlfn.IFS(VALUE(MID(K$5,6,1))&gt;$D$2,0,$B70="Annual",1,J70=12,12,$B70="Monthly V",J70*(1+$D$3),$B70="Monthly F",12,$B70="One-Time",0),J70*(1+$D$3))</f>
        <v/>
      </c>
      <c r="L70" s="14">
        <f t="array" ref="L70">IFERROR(_xlfn.IFS(VALUE(MID(L$5,6,1))&gt;$D$2,0,$B70="Annual",1,K70=12,12,$B70="Monthly V",K70*(1+$D$3),$B70="Monthly F",12,$B70="One-Time",0),K70*(1+$D$3))</f>
        <v/>
      </c>
      <c r="M70" s="14">
        <f t="array" ref="M70">IFERROR(_xlfn.IFS(VALUE(MID(M$5,6,1))&gt;$D$2,0,$B70="Annual",1,L70=12,12,$B70="Monthly V",L70*(1+$D$3),$B70="Monthly F",12,$B70="One-Time",0),L70*(1+$D$3))</f>
        <v/>
      </c>
      <c r="N70" s="24">
        <f t="array" ref="N70">IFERROR(_xlfn.IFS(VALUE(MID(N$5,6,2))&gt;$D$2,0,$B70="Annual",1,M70=12,12,$B70="Monthly V",M70*(1+$D$3),$B70="Monthly F",12,$B70="One-Time",0),M70*(1+$D$3))</f>
        <v/>
      </c>
      <c r="O70" s="157" t="inlineStr">
        <is>
          <t>Zelle (Consumer and Small Business)</t>
        </is>
      </c>
      <c r="P70" s="13" t="n"/>
      <c r="Q70" s="20" t="n"/>
      <c r="R70" s="21">
        <f>S70/12</f>
        <v/>
      </c>
      <c r="S70" s="6">
        <f>IFERROR($Q70*E70,0)</f>
        <v/>
      </c>
      <c r="T70" s="6">
        <f>IFERROR($Q70*F70,0)</f>
        <v/>
      </c>
      <c r="U70" s="6">
        <f>IFERROR($Q70*G70,0)</f>
        <v/>
      </c>
      <c r="V70" s="6">
        <f>IFERROR($Q70*H70,0)</f>
        <v/>
      </c>
      <c r="W70" s="6">
        <f>IFERROR($Q70*I70,0)</f>
        <v/>
      </c>
      <c r="X70" s="6">
        <f>IFERROR($Q70*J70,0)</f>
        <v/>
      </c>
      <c r="Y70" s="6">
        <f>IFERROR($Q70*K70,0)</f>
        <v/>
      </c>
      <c r="Z70" s="6">
        <f>IFERROR($Q70*L70,0)</f>
        <v/>
      </c>
      <c r="AA70" s="6">
        <f>IFERROR($Q70*M70,0)</f>
        <v/>
      </c>
      <c r="AB70" s="6">
        <f>IFERROR($Q70*N70,0)</f>
        <v/>
      </c>
      <c r="AC70" s="7" t="n"/>
      <c r="AD70" s="152">
        <f>IF(VALUE(MID(AD$5,6,1))&lt;=$D$2,((1+$Q$3)^1-1)*T70,0)</f>
        <v/>
      </c>
      <c r="AE70" s="152">
        <f>IF(VALUE(MID(AE$5,6,1))&lt;=$D$2,((1+$Q$3)^2-1)*U70,0)</f>
        <v/>
      </c>
      <c r="AF70" s="152">
        <f>IF(VALUE(MID(AF$5,6,1))&lt;=$D$2,((1+$Q$3)^3-1)*V70,0)</f>
        <v/>
      </c>
      <c r="AG70" s="152">
        <f>IF(VALUE(MID(AG$5,6,1))&lt;=$D$2,((1+$Q$3)^4-1)*W70,0)</f>
        <v/>
      </c>
      <c r="AH70" s="152">
        <f>IF(VALUE(MID(AH$5,6,1))&lt;=$D$2,((1+$Q$3)^5-1)*X70,0)</f>
        <v/>
      </c>
      <c r="AI70" s="152">
        <f>IF(VALUE(MID(AI$5,6,1))&lt;=$D$2,((1+$Q$3)^6-1)*Y70,0)</f>
        <v/>
      </c>
      <c r="AJ70" s="152">
        <f>IF(VALUE(MID(AJ$5,6,1))&lt;=$D$2,((1+$Q$3)^7-1)*Z70,0)</f>
        <v/>
      </c>
      <c r="AK70" s="152">
        <f>IF(VALUE(MID(AK$5,6,1))&lt;=$D$2,((1+$Q$3)^8-1)*AA70,0)</f>
        <v/>
      </c>
      <c r="AL70" s="152">
        <f>IF(VALUE(MID(AL$5,6,2))&lt;=$D$2,((1+$Q$3)^9-1)*AB70,0)</f>
        <v/>
      </c>
      <c r="AM70" s="9">
        <f>SUM(AC70:AL70)</f>
        <v/>
      </c>
      <c r="AN70" s="80">
        <f>SUM(AM70,S70:AB70)</f>
        <v/>
      </c>
      <c r="AP70" s="102" t="inlineStr">
        <is>
          <t>Monthly V</t>
        </is>
      </c>
      <c r="AQ70" s="12" t="n">
        <v>5000</v>
      </c>
      <c r="AR70" s="14">
        <f>IF($AP70="Annual",1,IF($AP70="Monthly F",12,IF($AP70="Monthly V",AQ70*12,IF($AP70="One-Time",1,AQ70*12))))</f>
        <v/>
      </c>
      <c r="AS70" s="14">
        <f t="array" ref="AS70">IFERROR(_xlfn.IFS(VALUE(MID(AS$5,6,1))&gt;$D$2,0,$AP70="Annual",1,AR70=12,12,$AP70="Monthly V",AR70*(1+$BD$2),$AP70="Monthly F",12,$AP70="One-Time",0),AR70*(1+$BD$2))</f>
        <v/>
      </c>
      <c r="AT70" s="14">
        <f t="array" ref="AT70">IFERROR(_xlfn.IFS(VALUE(MID(AT$5,6,1))&gt;$D$2,0,$AP70="Annual",1,AS70=12,12,$AP70="Monthly V",AS70*(1+$BD$2),$AP70="Monthly F",12,$AP70="One-Time",0),AS70*(1+$BD$2))</f>
        <v/>
      </c>
      <c r="AU70" s="14">
        <f t="array" ref="AU70">IFERROR(_xlfn.IFS(VALUE(MID(AU$5,6,1))&gt;$D$2,0,$AP70="Annual",1,AT70=12,12,$AP70="Monthly V",AT70*(1+$BD$2),$AP70="Monthly F",12,$AP70="One-Time",0),AT70*(1+$BD$2))</f>
        <v/>
      </c>
      <c r="AV70" s="14">
        <f t="array" ref="AV70">IFERROR(_xlfn.IFS(VALUE(MID(AV$5,6,1))&gt;$D$2,0,$AP70="Annual",1,AU70=12,12,$AP70="Monthly V",AU70*(1+$BD$2),$AP70="Monthly F",12,$AP70="One-Time",0),AU70*(1+$BD$2))</f>
        <v/>
      </c>
      <c r="AW70" s="14">
        <f t="array" ref="AW70">IFERROR(_xlfn.IFS(VALUE(MID(AW$5,6,1))&gt;$D$2,0,$AP70="Annual",1,AV70=12,12,$AP70="Monthly V",AV70*(1+$BD$2),$AP70="Monthly F",12,$AP70="One-Time",0),AV70*(1+$BD$2))</f>
        <v/>
      </c>
      <c r="AX70" s="14">
        <f t="array" ref="AX70">IFERROR(_xlfn.IFS(VALUE(MID(AX$5,6,1))&gt;$D$2,0,$AP70="Annual",1,AW70=12,12,$AP70="Monthly V",AW70*(1+$BD$2),$AP70="Monthly F",12,$AP70="One-Time",0),AW70*(1+$BD$2))</f>
        <v/>
      </c>
      <c r="AY70" s="14">
        <f t="array" ref="AY70">IFERROR(_xlfn.IFS(VALUE(MID(AY$5,6,1))&gt;$D$2,0,$AP70="Annual",1,AX70=12,12,$AP70="Monthly V",AX70*(1+$D$3),$AP70="Monthly F",12,$AP70="One-Time",0),AX70*(1+$D$3))</f>
        <v/>
      </c>
      <c r="AZ70" s="14">
        <f t="array" ref="AZ70">IFERROR(_xlfn.IFS(VALUE(MID(AZ$5,6,1))&gt;$D$2,0,$AP70="Annual",1,AY70=12,12,$AP70="Monthly V",AY70*(1+$D$3),$AP70="Monthly F",12,$AP70="One-Time",0),AY70*(1+$D$3))</f>
        <v/>
      </c>
      <c r="BA70" s="125">
        <f t="array" ref="BA70">IFERROR(_xlfn.IFS(VALUE(MID(BA$5,6,2))&gt;$D$2,0,$AP70="Annual",1,AZ70=12,12,$AP70="Monthly V",AZ70*(1+$D$3),$AP70="Monthly F",12,$AP70="One-Time",0),AZ70*(1+$D$3))</f>
        <v/>
      </c>
      <c r="BB70" s="148" t="inlineStr">
        <is>
          <t>Cognos BI Data Dictionary Synapsys</t>
        </is>
      </c>
      <c r="BC70" s="38" t="inlineStr">
        <is>
          <t>Cognos</t>
        </is>
      </c>
      <c r="BD70" s="36" t="n">
        <v>0.0158</v>
      </c>
      <c r="BE70" s="21">
        <f>BF70/12</f>
        <v/>
      </c>
      <c r="BF70" s="39">
        <f>IFERROR(AR70*$BD70,0)</f>
        <v/>
      </c>
      <c r="BG70" s="39">
        <f>IFERROR(AS70*$BD70,0)</f>
        <v/>
      </c>
      <c r="BH70" s="39">
        <f>IFERROR(AT70*$BD70,0)</f>
        <v/>
      </c>
      <c r="BI70" s="39">
        <f>BH70*1.03</f>
        <v/>
      </c>
      <c r="BJ70" s="39">
        <f>BI70*1.03</f>
        <v/>
      </c>
      <c r="BK70" s="39">
        <f>BJ70*1.03</f>
        <v/>
      </c>
      <c r="BL70" s="39">
        <f>BK70*1.03</f>
        <v/>
      </c>
      <c r="BM70" s="39">
        <f>IFERROR(AY70*$BD70,0)</f>
        <v/>
      </c>
      <c r="BN70" s="39">
        <f>IFERROR(AZ70*$BD70,0)</f>
        <v/>
      </c>
      <c r="BO70" s="39">
        <f>IFERROR(BA70*$BD70,0)</f>
        <v/>
      </c>
      <c r="BP70" s="40" t="n"/>
      <c r="BQ70" s="40">
        <f>IF(VALUE(MID(BQ$5,6,1))&lt;=$D$2,((1+$BD$3)^1-1)*BG70,0)</f>
        <v/>
      </c>
      <c r="BR70" s="40">
        <f>IF(VALUE(MID(BR$5,6,1))&lt;=$D$2,((1+$BD$3)^2-1)*BH70,0)</f>
        <v/>
      </c>
      <c r="BS70" s="40">
        <f>IF(VALUE(MID(BS$5,6,1))&lt;=$D$2,((1+$BD$3)^3-1)*BI70,0)</f>
        <v/>
      </c>
      <c r="BT70" s="40">
        <f>IF(VALUE(MID(BT$5,6,1))&lt;=$D$2,((1+$BD$3)^4-1)*BJ70,0)</f>
        <v/>
      </c>
      <c r="BU70" s="40">
        <f>IF(VALUE(MID(BU$5,6,1))&lt;=$D$2,((1+$BD$3)^5-1)*BK70,0)</f>
        <v/>
      </c>
      <c r="BV70" s="40">
        <f>IF(VALUE(MID(BV$5,6,1))&lt;=$D$2,((1+$BD$3)^6-1)*BL70,0)</f>
        <v/>
      </c>
      <c r="BW70" s="40">
        <f>IF(VALUE(MID(BW$5,6,1))&lt;=$D$2,((1+$BD$3)^7-1)*BM70,0)</f>
        <v/>
      </c>
      <c r="BX70" s="40">
        <f>IF(VALUE(MID(BX$5,6,1))&lt;=$D$2,((1+$BD$3)^8-1)*BN70,0)</f>
        <v/>
      </c>
      <c r="BY70" s="40">
        <f>IF(VALUE(MID(BY$5,6,2))&lt;=$D$2,((1+$BD$3)^9-1)*BO70,0)</f>
        <v/>
      </c>
      <c r="BZ70" s="40">
        <f>SUM(BP70:BY70)</f>
        <v/>
      </c>
      <c r="CA70" s="37">
        <f>SUM(BZ70,BF70:BO70)</f>
        <v/>
      </c>
      <c r="CC70" s="102" t="n"/>
      <c r="CD70" s="12" t="n"/>
      <c r="CE70" s="14" t="n"/>
      <c r="CF70" s="14" t="n"/>
      <c r="CG70" s="14" t="n"/>
      <c r="CH70" s="14" t="n"/>
      <c r="CI70" s="14" t="n"/>
      <c r="CJ70" s="14" t="n"/>
      <c r="CK70" s="14" t="n"/>
      <c r="CL70" s="14" t="n"/>
      <c r="CM70" s="14" t="n"/>
      <c r="CN70" s="24" t="n"/>
      <c r="CO70" s="63" t="n"/>
      <c r="CP70" s="53" t="n"/>
      <c r="CQ70" s="21" t="n"/>
      <c r="CR70" s="55" t="n"/>
      <c r="CS70" s="55" t="n"/>
      <c r="CT70" s="55" t="n"/>
      <c r="CU70" s="55" t="n"/>
      <c r="CV70" s="55" t="n"/>
      <c r="CW70" s="55" t="n"/>
      <c r="CX70" s="55" t="n"/>
      <c r="CY70" s="55" t="n"/>
      <c r="CZ70" s="55" t="n"/>
      <c r="DA70" s="55" t="n"/>
      <c r="DB70" s="56" t="n"/>
      <c r="DC70" s="56" t="n"/>
      <c r="DD70" s="56" t="n"/>
      <c r="DE70" s="56" t="n"/>
      <c r="DF70" s="56" t="n"/>
      <c r="DG70" s="56" t="n"/>
      <c r="DH70" s="56" t="n"/>
      <c r="DI70" s="56" t="n"/>
      <c r="DJ70" s="56" t="n"/>
      <c r="DK70" s="56" t="n"/>
      <c r="DL70" s="57" t="n"/>
      <c r="DM70" s="54" t="n"/>
      <c r="DO70" s="106" t="n"/>
    </row>
    <row r="71">
      <c r="B71" s="141" t="n"/>
      <c r="C71" s="24" t="n"/>
      <c r="D71" s="147" t="n"/>
      <c r="E71" s="142" t="n"/>
      <c r="F71" s="14" t="n"/>
      <c r="G71" s="14" t="n"/>
      <c r="H71" s="14" t="n"/>
      <c r="I71" s="14" t="n"/>
      <c r="J71" s="14" t="n"/>
      <c r="K71" s="14" t="n"/>
      <c r="L71" s="14" t="n"/>
      <c r="M71" s="14" t="n"/>
      <c r="N71" s="24" t="n"/>
      <c r="O71" s="157" t="n"/>
      <c r="P71" s="13" t="n"/>
      <c r="Q71" s="20" t="n"/>
      <c r="R71" s="21" t="n"/>
      <c r="S71" s="6" t="n"/>
      <c r="T71" s="6" t="n"/>
      <c r="U71" s="6" t="n"/>
      <c r="V71" s="6" t="n"/>
      <c r="W71" s="6" t="n"/>
      <c r="X71" s="6" t="n"/>
      <c r="Y71" s="6" t="n"/>
      <c r="Z71" s="6" t="n"/>
      <c r="AA71" s="6" t="n"/>
      <c r="AB71" s="6" t="n"/>
      <c r="AC71" s="7" t="n"/>
      <c r="AD71" s="152" t="n"/>
      <c r="AE71" s="152" t="n"/>
      <c r="AF71" s="152" t="n"/>
      <c r="AG71" s="152" t="n"/>
      <c r="AH71" s="152" t="n"/>
      <c r="AI71" s="152" t="n"/>
      <c r="AJ71" s="152" t="n"/>
      <c r="AK71" s="152" t="n"/>
      <c r="AL71" s="152" t="n"/>
      <c r="AM71" s="9" t="n"/>
      <c r="AN71" s="80" t="n"/>
      <c r="AP71" s="102" t="inlineStr">
        <is>
          <t>Monthly V</t>
        </is>
      </c>
      <c r="AQ71" s="12" t="n">
        <v>5000</v>
      </c>
      <c r="AR71" s="14">
        <f>IF($AP71="Annual",1,IF($AP71="Monthly F",12,IF($AP71="Monthly V",AQ71*12,IF($AP71="One-Time",1,AQ71*12))))</f>
        <v/>
      </c>
      <c r="AS71" s="14">
        <f t="array" ref="AS71">IFERROR(_xlfn.IFS(VALUE(MID(AS$5,6,1))&gt;$D$2,0,$AP71="Annual",1,AR71=12,12,$AP71="Monthly V",AR71*(1+$BD$2),$AP71="Monthly F",12,$AP71="One-Time",0),AR71*(1+$BD$2))</f>
        <v/>
      </c>
      <c r="AT71" s="14">
        <f t="array" ref="AT71">IFERROR(_xlfn.IFS(VALUE(MID(AT$5,6,1))&gt;$D$2,0,$AP71="Annual",1,AS71=12,12,$AP71="Monthly V",AS71*(1+$BD$2),$AP71="Monthly F",12,$AP71="One-Time",0),AS71*(1+$BD$2))</f>
        <v/>
      </c>
      <c r="AU71" s="14">
        <f t="array" ref="AU71">IFERROR(_xlfn.IFS(VALUE(MID(AU$5,6,1))&gt;$D$2,0,$AP71="Annual",1,AT71=12,12,$AP71="Monthly V",AT71*(1+$BD$2),$AP71="Monthly F",12,$AP71="One-Time",0),AT71*(1+$BD$2))</f>
        <v/>
      </c>
      <c r="AV71" s="14">
        <f t="array" ref="AV71">IFERROR(_xlfn.IFS(VALUE(MID(AV$5,6,1))&gt;$D$2,0,$AP71="Annual",1,AU71=12,12,$AP71="Monthly V",AU71*(1+$BD$2),$AP71="Monthly F",12,$AP71="One-Time",0),AU71*(1+$BD$2))</f>
        <v/>
      </c>
      <c r="AW71" s="14">
        <f t="array" ref="AW71">IFERROR(_xlfn.IFS(VALUE(MID(AW$5,6,1))&gt;$D$2,0,$AP71="Annual",1,AV71=12,12,$AP71="Monthly V",AV71*(1+$BD$2),$AP71="Monthly F",12,$AP71="One-Time",0),AV71*(1+$BD$2))</f>
        <v/>
      </c>
      <c r="AX71" s="14">
        <f t="array" ref="AX71">IFERROR(_xlfn.IFS(VALUE(MID(AX$5,6,1))&gt;$D$2,0,$AP71="Annual",1,AW71=12,12,$AP71="Monthly V",AW71*(1+$BD$2),$AP71="Monthly F",12,$AP71="One-Time",0),AW71*(1+$BD$2))</f>
        <v/>
      </c>
      <c r="AY71" s="14">
        <f t="array" ref="AY71">IFERROR(_xlfn.IFS(VALUE(MID(AY$5,6,1))&gt;$D$2,0,$AP71="Annual",1,AX71=12,12,$AP71="Monthly V",AX71*(1+$D$3),$AP71="Monthly F",12,$AP71="One-Time",0),AX71*(1+$D$3))</f>
        <v/>
      </c>
      <c r="AZ71" s="14">
        <f t="array" ref="AZ71">IFERROR(_xlfn.IFS(VALUE(MID(AZ$5,6,1))&gt;$D$2,0,$AP71="Annual",1,AY71=12,12,$AP71="Monthly V",AY71*(1+$D$3),$AP71="Monthly F",12,$AP71="One-Time",0),AY71*(1+$D$3))</f>
        <v/>
      </c>
      <c r="BA71" s="125">
        <f t="array" ref="BA71">IFERROR(_xlfn.IFS(VALUE(MID(BA$5,6,2))&gt;$D$2,0,$AP71="Annual",1,AZ71=12,12,$AP71="Monthly V",AZ71*(1+$D$3),$AP71="Monthly F",12,$AP71="One-Time",0),AZ71*(1+$D$3))</f>
        <v/>
      </c>
      <c r="BB71" s="148" t="inlineStr">
        <is>
          <t>Cognos BI Data Dictionary Synergy</t>
        </is>
      </c>
      <c r="BC71" s="38" t="inlineStr">
        <is>
          <t>Cognos</t>
        </is>
      </c>
      <c r="BD71" s="36" t="n">
        <v>0.0158</v>
      </c>
      <c r="BE71" s="21">
        <f>BF71/12</f>
        <v/>
      </c>
      <c r="BF71" s="39">
        <f>IFERROR(AR71*$BD71,0)</f>
        <v/>
      </c>
      <c r="BG71" s="39">
        <f>IFERROR(AS71*$BD71,0)</f>
        <v/>
      </c>
      <c r="BH71" s="39">
        <f>IFERROR(AT71*$BD71,0)</f>
        <v/>
      </c>
      <c r="BI71" s="39">
        <f>BH71*1.03</f>
        <v/>
      </c>
      <c r="BJ71" s="39">
        <f>BI71*1.03</f>
        <v/>
      </c>
      <c r="BK71" s="39">
        <f>BJ71*1.03</f>
        <v/>
      </c>
      <c r="BL71" s="39">
        <f>BK71*1.03</f>
        <v/>
      </c>
      <c r="BM71" s="39">
        <f>IFERROR(AY71*$BD71,0)</f>
        <v/>
      </c>
      <c r="BN71" s="39">
        <f>IFERROR(AZ71*$BD71,0)</f>
        <v/>
      </c>
      <c r="BO71" s="39">
        <f>IFERROR(BA71*$BD71,0)</f>
        <v/>
      </c>
      <c r="BP71" s="40" t="n"/>
      <c r="BQ71" s="40">
        <f>IF(VALUE(MID(BQ$5,6,1))&lt;=$D$2,((1+$BD$3)^1-1)*BG71,0)</f>
        <v/>
      </c>
      <c r="BR71" s="40">
        <f>IF(VALUE(MID(BR$5,6,1))&lt;=$D$2,((1+$BD$3)^2-1)*BH71,0)</f>
        <v/>
      </c>
      <c r="BS71" s="40">
        <f>IF(VALUE(MID(BS$5,6,1))&lt;=$D$2,((1+$BD$3)^3-1)*BI71,0)</f>
        <v/>
      </c>
      <c r="BT71" s="40">
        <f>IF(VALUE(MID(BT$5,6,1))&lt;=$D$2,((1+$BD$3)^4-1)*BJ71,0)</f>
        <v/>
      </c>
      <c r="BU71" s="40">
        <f>IF(VALUE(MID(BU$5,6,1))&lt;=$D$2,((1+$BD$3)^5-1)*BK71,0)</f>
        <v/>
      </c>
      <c r="BV71" s="40">
        <f>IF(VALUE(MID(BV$5,6,1))&lt;=$D$2,((1+$BD$3)^6-1)*BL71,0)</f>
        <v/>
      </c>
      <c r="BW71" s="40">
        <f>IF(VALUE(MID(BW$5,6,1))&lt;=$D$2,((1+$BD$3)^7-1)*BM71,0)</f>
        <v/>
      </c>
      <c r="BX71" s="40">
        <f>IF(VALUE(MID(BX$5,6,1))&lt;=$D$2,((1+$BD$3)^8-1)*BN71,0)</f>
        <v/>
      </c>
      <c r="BY71" s="40">
        <f>IF(VALUE(MID(BY$5,6,2))&lt;=$D$2,((1+$BD$3)^9-1)*BO71,0)</f>
        <v/>
      </c>
      <c r="BZ71" s="40">
        <f>SUM(BP71:BY71)</f>
        <v/>
      </c>
      <c r="CA71" s="37">
        <f>SUM(BZ71,BF71:BO71)</f>
        <v/>
      </c>
      <c r="CC71" s="102" t="n"/>
      <c r="CD71" s="12" t="n"/>
      <c r="CE71" s="14" t="n"/>
      <c r="CF71" s="14" t="n"/>
      <c r="CG71" s="14" t="n"/>
      <c r="CH71" s="14" t="n"/>
      <c r="CI71" s="14" t="n"/>
      <c r="CJ71" s="14" t="n"/>
      <c r="CK71" s="14" t="n"/>
      <c r="CL71" s="14" t="n"/>
      <c r="CM71" s="14" t="n"/>
      <c r="CN71" s="24" t="n"/>
      <c r="CO71" s="63" t="n"/>
      <c r="CP71" s="53" t="n"/>
      <c r="CQ71" s="21" t="n"/>
      <c r="CR71" s="55" t="n"/>
      <c r="CS71" s="55" t="n"/>
      <c r="CT71" s="55" t="n"/>
      <c r="CU71" s="55" t="n"/>
      <c r="CV71" s="55" t="n"/>
      <c r="CW71" s="55" t="n"/>
      <c r="CX71" s="55" t="n"/>
      <c r="CY71" s="55" t="n"/>
      <c r="CZ71" s="55" t="n"/>
      <c r="DA71" s="55" t="n"/>
      <c r="DB71" s="56" t="n"/>
      <c r="DC71" s="56" t="n"/>
      <c r="DD71" s="56" t="n"/>
      <c r="DE71" s="56" t="n"/>
      <c r="DF71" s="56" t="n"/>
      <c r="DG71" s="56" t="n"/>
      <c r="DH71" s="56" t="n"/>
      <c r="DI71" s="56" t="n"/>
      <c r="DJ71" s="56" t="n"/>
      <c r="DK71" s="56" t="n"/>
      <c r="DL71" s="57" t="n"/>
      <c r="DM71" s="54" t="n"/>
      <c r="DO71" s="106" t="n"/>
    </row>
    <row r="72">
      <c r="B72" s="141" t="inlineStr">
        <is>
          <t>Monthly F</t>
        </is>
      </c>
      <c r="C72" s="24" t="n">
        <v>1</v>
      </c>
      <c r="D72" s="147">
        <f>IFERROR(AVERAGE(C72:C72),0)</f>
        <v/>
      </c>
      <c r="E72" s="142">
        <f>IF($B72="Annual",1,IF($B72="Monthly F",12,IF($B72="Monthly V",D72*12,IF($B72="One-Time",1,D72*12))))</f>
        <v/>
      </c>
      <c r="F72" s="14">
        <f t="array" ref="F72">IFERROR(_xlfn.IFS(VALUE(MID(F$5,6,1))&gt;$D$2,0,$B72="Annual",1,E72=12,12,$B72="Monthly V",E72*(1+$D$3),$B72="Monthly F",12,$B72="One-Time",0),E72*(1+$D$3))</f>
        <v/>
      </c>
      <c r="G72" s="14">
        <f t="array" ref="G72">IFERROR(_xlfn.IFS(VALUE(MID(G$5,6,1))&gt;$D$2,0,$B72="Annual",1,F72=12,12,$B72="Monthly V",F72*(1+$D$3),$B72="Monthly F",12,$B72="One-Time",0),F72*(1+$D$3))</f>
        <v/>
      </c>
      <c r="H72" s="14">
        <f t="array" ref="H72">IFERROR(_xlfn.IFS(VALUE(MID(H$5,6,1))&gt;$D$2,0,$B72="Annual",1,G72=12,12,$B72="Monthly V",G72*(1+$D$3),$B72="Monthly F",12,$B72="One-Time",0),G72*(1+$D$3))</f>
        <v/>
      </c>
      <c r="I72" s="14">
        <f t="array" ref="I72">IFERROR(_xlfn.IFS(VALUE(MID(I$5,6,1))&gt;$D$2,0,$B72="Annual",1,H72=12,12,$B72="Monthly V",H72*(1+$D$3),$B72="Monthly F",12,$B72="One-Time",0),H72*(1+$D$3))</f>
        <v/>
      </c>
      <c r="J72" s="14">
        <f t="array" ref="J72">IFERROR(_xlfn.IFS(VALUE(MID(J$5,6,1))&gt;$D$2,0,$B72="Annual",1,I72=12,12,$B72="Monthly V",I72*(1+$D$3),$B72="Monthly F",12,$B72="One-Time",0),I72*(1+$D$3))</f>
        <v/>
      </c>
      <c r="K72" s="14">
        <f t="array" ref="K72">IFERROR(_xlfn.IFS(VALUE(MID(K$5,6,1))&gt;$D$2,0,$B72="Annual",1,J72=12,12,$B72="Monthly V",J72*(1+$D$3),$B72="Monthly F",12,$B72="One-Time",0),J72*(1+$D$3))</f>
        <v/>
      </c>
      <c r="L72" s="14">
        <f t="array" ref="L72">IFERROR(_xlfn.IFS(VALUE(MID(L$5,6,1))&gt;$D$2,0,$B72="Annual",1,K72=12,12,$B72="Monthly V",K72*(1+$D$3),$B72="Monthly F",12,$B72="One-Time",0),K72*(1+$D$3))</f>
        <v/>
      </c>
      <c r="M72" s="14">
        <f t="array" ref="M72">IFERROR(_xlfn.IFS(VALUE(MID(M$5,6,1))&gt;$D$2,0,$B72="Annual",1,L72=12,12,$B72="Monthly V",L72*(1+$D$3),$B72="Monthly F",12,$B72="One-Time",0),L72*(1+$D$3))</f>
        <v/>
      </c>
      <c r="N72" s="24">
        <f t="array" ref="N72">IFERROR(_xlfn.IFS(VALUE(MID(N$5,6,2))&gt;$D$2,0,$B72="Annual",1,M72=12,12,$B72="Monthly V",M72*(1+$D$3),$B72="Monthly F",12,$B72="One-Time",0),M72*(1+$D$3))</f>
        <v/>
      </c>
      <c r="O72" s="127" t="inlineStr">
        <is>
          <t>Monthly Participation Fee (Consumer)</t>
        </is>
      </c>
      <c r="P72" s="13" t="n"/>
      <c r="Q72" s="20" t="n">
        <v>1000</v>
      </c>
      <c r="R72" s="21">
        <f>S72/12</f>
        <v/>
      </c>
      <c r="S72" s="6">
        <f>IFERROR($Q72*E72,0)</f>
        <v/>
      </c>
      <c r="T72" s="6">
        <f>IFERROR($Q72*F72,0)</f>
        <v/>
      </c>
      <c r="U72" s="6">
        <f>IFERROR($Q72*G72,0)</f>
        <v/>
      </c>
      <c r="V72" s="6">
        <f>IFERROR($Q72*H72,0)</f>
        <v/>
      </c>
      <c r="W72" s="6">
        <f>IFERROR($Q72*I72,0)</f>
        <v/>
      </c>
      <c r="X72" s="6">
        <f>IFERROR($Q72*J72,0)</f>
        <v/>
      </c>
      <c r="Y72" s="6">
        <f>IFERROR($Q72*K72,0)</f>
        <v/>
      </c>
      <c r="Z72" s="6">
        <f>IFERROR($Q72*L72,0)</f>
        <v/>
      </c>
      <c r="AA72" s="6">
        <f>IFERROR($Q72*M72,0)</f>
        <v/>
      </c>
      <c r="AB72" s="6">
        <f>IFERROR($Q72*N72,0)</f>
        <v/>
      </c>
      <c r="AC72" s="7" t="n"/>
      <c r="AD72" s="152">
        <f>IF(VALUE(MID(AD$5,6,1))&lt;=$D$2,((1+$Q$3)^1-1)*T72,0)</f>
        <v/>
      </c>
      <c r="AE72" s="152">
        <f>IF(VALUE(MID(AE$5,6,1))&lt;=$D$2,((1+$Q$3)^2-1)*U72,0)</f>
        <v/>
      </c>
      <c r="AF72" s="152">
        <f>IF(VALUE(MID(AF$5,6,1))&lt;=$D$2,((1+$Q$3)^3-1)*V72,0)</f>
        <v/>
      </c>
      <c r="AG72" s="152">
        <f>IF(VALUE(MID(AG$5,6,1))&lt;=$D$2,((1+$Q$3)^4-1)*W72,0)</f>
        <v/>
      </c>
      <c r="AH72" s="152">
        <f>IF(VALUE(MID(AH$5,6,1))&lt;=$D$2,((1+$Q$3)^5-1)*X72,0)</f>
        <v/>
      </c>
      <c r="AI72" s="152">
        <f>IF(VALUE(MID(AI$5,6,1))&lt;=$D$2,((1+$Q$3)^6-1)*Y72,0)</f>
        <v/>
      </c>
      <c r="AJ72" s="152">
        <f>IF(VALUE(MID(AJ$5,6,1))&lt;=$D$2,((1+$Q$3)^7-1)*Z72,0)</f>
        <v/>
      </c>
      <c r="AK72" s="152">
        <f>IF(VALUE(MID(AK$5,6,1))&lt;=$D$2,((1+$Q$3)^8-1)*AA72,0)</f>
        <v/>
      </c>
      <c r="AL72" s="152">
        <f>IF(VALUE(MID(AL$5,6,2))&lt;=$D$2,((1+$Q$3)^9-1)*AB72,0)</f>
        <v/>
      </c>
      <c r="AM72" s="9">
        <f>SUM(AC72:AL72)</f>
        <v/>
      </c>
      <c r="AN72" s="80">
        <f>SUM(AM72,S72:AB72)</f>
        <v/>
      </c>
      <c r="AP72" s="102" t="inlineStr">
        <is>
          <t>Monthly V</t>
        </is>
      </c>
      <c r="AQ72" s="12" t="n">
        <v>5000</v>
      </c>
      <c r="AR72" s="14">
        <f>IF($AP72="Annual",1,IF($AP72="Monthly F",12,IF($AP72="Monthly V",AQ72*12,IF($AP72="One-Time",1,AQ72*12))))</f>
        <v/>
      </c>
      <c r="AS72" s="14">
        <f t="array" ref="AS72">IFERROR(_xlfn.IFS(VALUE(MID(AS$5,6,1))&gt;$D$2,0,$AP72="Annual",1,AR72=12,12,$AP72="Monthly V",AR72*(1+$BD$2),$AP72="Monthly F",12,$AP72="One-Time",0),AR72*(1+$BD$2))</f>
        <v/>
      </c>
      <c r="AT72" s="14">
        <f t="array" ref="AT72">IFERROR(_xlfn.IFS(VALUE(MID(AT$5,6,1))&gt;$D$2,0,$AP72="Annual",1,AS72=12,12,$AP72="Monthly V",AS72*(1+$BD$2),$AP72="Monthly F",12,$AP72="One-Time",0),AS72*(1+$BD$2))</f>
        <v/>
      </c>
      <c r="AU72" s="14">
        <f t="array" ref="AU72">IFERROR(_xlfn.IFS(VALUE(MID(AU$5,6,1))&gt;$D$2,0,$AP72="Annual",1,AT72=12,12,$AP72="Monthly V",AT72*(1+$BD$2),$AP72="Monthly F",12,$AP72="One-Time",0),AT72*(1+$BD$2))</f>
        <v/>
      </c>
      <c r="AV72" s="14">
        <f t="array" ref="AV72">IFERROR(_xlfn.IFS(VALUE(MID(AV$5,6,1))&gt;$D$2,0,$AP72="Annual",1,AU72=12,12,$AP72="Monthly V",AU72*(1+$BD$2),$AP72="Monthly F",12,$AP72="One-Time",0),AU72*(1+$BD$2))</f>
        <v/>
      </c>
      <c r="AW72" s="14">
        <f t="array" ref="AW72">IFERROR(_xlfn.IFS(VALUE(MID(AW$5,6,1))&gt;$D$2,0,$AP72="Annual",1,AV72=12,12,$AP72="Monthly V",AV72*(1+$BD$2),$AP72="Monthly F",12,$AP72="One-Time",0),AV72*(1+$BD$2))</f>
        <v/>
      </c>
      <c r="AX72" s="14">
        <f t="array" ref="AX72">IFERROR(_xlfn.IFS(VALUE(MID(AX$5,6,1))&gt;$D$2,0,$AP72="Annual",1,AW72=12,12,$AP72="Monthly V",AW72*(1+$BD$2),$AP72="Monthly F",12,$AP72="One-Time",0),AW72*(1+$BD$2))</f>
        <v/>
      </c>
      <c r="AY72" s="14">
        <f t="array" ref="AY72">IFERROR(_xlfn.IFS(VALUE(MID(AY$5,6,1))&gt;$D$2,0,$AP72="Annual",1,AX72=12,12,$AP72="Monthly V",AX72*(1+$D$3),$AP72="Monthly F",12,$AP72="One-Time",0),AX72*(1+$D$3))</f>
        <v/>
      </c>
      <c r="AZ72" s="14">
        <f t="array" ref="AZ72">IFERROR(_xlfn.IFS(VALUE(MID(AZ$5,6,1))&gt;$D$2,0,$AP72="Annual",1,AY72=12,12,$AP72="Monthly V",AY72*(1+$D$3),$AP72="Monthly F",12,$AP72="One-Time",0),AY72*(1+$D$3))</f>
        <v/>
      </c>
      <c r="BA72" s="125">
        <f t="array" ref="BA72">IFERROR(_xlfn.IFS(VALUE(MID(BA$5,6,2))&gt;$D$2,0,$AP72="Annual",1,AZ72=12,12,$AP72="Monthly V",AZ72*(1+$D$3),$AP72="Monthly F",12,$AP72="One-Time",0),AZ72*(1+$D$3))</f>
        <v/>
      </c>
      <c r="BB72" s="148" t="inlineStr">
        <is>
          <t>Cognos BI Data Dictionary Month-End(Silverlake)</t>
        </is>
      </c>
      <c r="BC72" s="38" t="inlineStr">
        <is>
          <t>Cognos</t>
        </is>
      </c>
      <c r="BD72" s="36" t="n">
        <v>0.0158</v>
      </c>
      <c r="BE72" s="21">
        <f>BF72/12</f>
        <v/>
      </c>
      <c r="BF72" s="39">
        <f>IFERROR(AR72*$BD72,0)</f>
        <v/>
      </c>
      <c r="BG72" s="39">
        <f>IFERROR(AS72*$BD72,0)</f>
        <v/>
      </c>
      <c r="BH72" s="39">
        <f>IFERROR(AT72*$BD72,0)</f>
        <v/>
      </c>
      <c r="BI72" s="39">
        <f>BH72*1.03</f>
        <v/>
      </c>
      <c r="BJ72" s="39">
        <f>BI72*1.03</f>
        <v/>
      </c>
      <c r="BK72" s="39">
        <f>BJ72*1.03</f>
        <v/>
      </c>
      <c r="BL72" s="39">
        <f>BK72*1.03</f>
        <v/>
      </c>
      <c r="BM72" s="39">
        <f>IFERROR(AY72*$BD72,0)</f>
        <v/>
      </c>
      <c r="BN72" s="39">
        <f>IFERROR(AZ72*$BD72,0)</f>
        <v/>
      </c>
      <c r="BO72" s="39">
        <f>IFERROR(BA72*$BD72,0)</f>
        <v/>
      </c>
      <c r="BP72" s="40" t="n"/>
      <c r="BQ72" s="40">
        <f>IF(VALUE(MID(BQ$5,6,1))&lt;=$D$2,((1+$BD$3)^1-1)*BG72,0)</f>
        <v/>
      </c>
      <c r="BR72" s="40">
        <f>IF(VALUE(MID(BR$5,6,1))&lt;=$D$2,((1+$BD$3)^2-1)*BH72,0)</f>
        <v/>
      </c>
      <c r="BS72" s="40">
        <f>IF(VALUE(MID(BS$5,6,1))&lt;=$D$2,((1+$BD$3)^3-1)*BI72,0)</f>
        <v/>
      </c>
      <c r="BT72" s="40">
        <f>IF(VALUE(MID(BT$5,6,1))&lt;=$D$2,((1+$BD$3)^4-1)*BJ72,0)</f>
        <v/>
      </c>
      <c r="BU72" s="40">
        <f>IF(VALUE(MID(BU$5,6,1))&lt;=$D$2,((1+$BD$3)^5-1)*BK72,0)</f>
        <v/>
      </c>
      <c r="BV72" s="40">
        <f>IF(VALUE(MID(BV$5,6,1))&lt;=$D$2,((1+$BD$3)^6-1)*BL72,0)</f>
        <v/>
      </c>
      <c r="BW72" s="40">
        <f>IF(VALUE(MID(BW$5,6,1))&lt;=$D$2,((1+$BD$3)^7-1)*BM72,0)</f>
        <v/>
      </c>
      <c r="BX72" s="40">
        <f>IF(VALUE(MID(BX$5,6,1))&lt;=$D$2,((1+$BD$3)^8-1)*BN72,0)</f>
        <v/>
      </c>
      <c r="BY72" s="40">
        <f>IF(VALUE(MID(BY$5,6,2))&lt;=$D$2,((1+$BD$3)^9-1)*BO72,0)</f>
        <v/>
      </c>
      <c r="BZ72" s="40">
        <f>SUM(BP72:BY72)</f>
        <v/>
      </c>
      <c r="CA72" s="37">
        <f>SUM(BZ72,BF72:BO72)</f>
        <v/>
      </c>
      <c r="CC72" s="102" t="n"/>
      <c r="CD72" s="12" t="n"/>
      <c r="CE72" s="14" t="n"/>
      <c r="CF72" s="14" t="n"/>
      <c r="CG72" s="14" t="n"/>
      <c r="CH72" s="14" t="n"/>
      <c r="CI72" s="14" t="n"/>
      <c r="CJ72" s="14" t="n"/>
      <c r="CK72" s="14" t="n"/>
      <c r="CL72" s="14" t="n"/>
      <c r="CM72" s="14" t="n"/>
      <c r="CN72" s="24" t="n"/>
      <c r="CO72" s="63" t="n"/>
      <c r="CP72" s="53" t="n"/>
      <c r="CQ72" s="21" t="n"/>
      <c r="CR72" s="55" t="n"/>
      <c r="CS72" s="55" t="n"/>
      <c r="CT72" s="55" t="n"/>
      <c r="CU72" s="55" t="n"/>
      <c r="CV72" s="55" t="n"/>
      <c r="CW72" s="55" t="n"/>
      <c r="CX72" s="55" t="n"/>
      <c r="CY72" s="55" t="n"/>
      <c r="CZ72" s="55" t="n"/>
      <c r="DA72" s="55" t="n"/>
      <c r="DB72" s="56" t="n"/>
      <c r="DC72" s="56" t="n"/>
      <c r="DD72" s="56" t="n"/>
      <c r="DE72" s="56" t="n"/>
      <c r="DF72" s="56" t="n"/>
      <c r="DG72" s="56" t="n"/>
      <c r="DH72" s="56" t="n"/>
      <c r="DI72" s="56" t="n"/>
      <c r="DJ72" s="56" t="n"/>
      <c r="DK72" s="56" t="n"/>
      <c r="DL72" s="57" t="n"/>
      <c r="DM72" s="54" t="n"/>
      <c r="DO72" s="106" t="n"/>
    </row>
    <row r="73">
      <c r="B73" s="141" t="n"/>
      <c r="C73" s="24" t="n"/>
      <c r="D73" s="147" t="n"/>
      <c r="E73" s="142" t="n"/>
      <c r="F73" s="14" t="n"/>
      <c r="G73" s="14" t="n"/>
      <c r="H73" s="14" t="n"/>
      <c r="I73" s="14" t="n"/>
      <c r="J73" s="14" t="n"/>
      <c r="K73" s="14" t="n"/>
      <c r="L73" s="14" t="n"/>
      <c r="M73" s="14" t="n"/>
      <c r="N73" s="24" t="n"/>
      <c r="O73" s="127" t="n"/>
      <c r="P73" s="13" t="n"/>
      <c r="Q73" s="20" t="n"/>
      <c r="R73" s="21" t="n"/>
      <c r="S73" s="6" t="n"/>
      <c r="T73" s="6" t="n"/>
      <c r="U73" s="6" t="n"/>
      <c r="V73" s="6" t="n"/>
      <c r="W73" s="6" t="n"/>
      <c r="X73" s="6" t="n"/>
      <c r="Y73" s="6" t="n"/>
      <c r="Z73" s="6" t="n"/>
      <c r="AA73" s="6" t="n"/>
      <c r="AB73" s="6" t="n"/>
      <c r="AC73" s="7" t="n"/>
      <c r="AD73" s="152" t="n"/>
      <c r="AE73" s="152" t="n"/>
      <c r="AF73" s="152" t="n"/>
      <c r="AG73" s="152" t="n"/>
      <c r="AH73" s="152" t="n"/>
      <c r="AI73" s="152" t="n"/>
      <c r="AJ73" s="152" t="n"/>
      <c r="AK73" s="152" t="n"/>
      <c r="AL73" s="152" t="n"/>
      <c r="AM73" s="9" t="n"/>
      <c r="AN73" s="80" t="n"/>
      <c r="AP73" s="102" t="inlineStr">
        <is>
          <t>Monthly V</t>
        </is>
      </c>
      <c r="AQ73" s="12" t="n">
        <v>5000</v>
      </c>
      <c r="AR73" s="14">
        <f>IF($AP73="Annual",1,IF($AP73="Monthly F",12,IF($AP73="Monthly V",AQ73*12,IF($AP73="One-Time",1,AQ73*12))))</f>
        <v/>
      </c>
      <c r="AS73" s="14">
        <f t="array" ref="AS73">IFERROR(_xlfn.IFS(VALUE(MID(AS$5,6,1))&gt;$D$2,0,$AP73="Annual",1,AR73=12,12,$AP73="Monthly V",AR73*(1+$BD$2),$AP73="Monthly F",12,$AP73="One-Time",0),AR73*(1+$BD$2))</f>
        <v/>
      </c>
      <c r="AT73" s="14">
        <f t="array" ref="AT73">IFERROR(_xlfn.IFS(VALUE(MID(AT$5,6,1))&gt;$D$2,0,$AP73="Annual",1,AS73=12,12,$AP73="Monthly V",AS73*(1+$BD$2),$AP73="Monthly F",12,$AP73="One-Time",0),AS73*(1+$BD$2))</f>
        <v/>
      </c>
      <c r="AU73" s="14">
        <f t="array" ref="AU73">IFERROR(_xlfn.IFS(VALUE(MID(AU$5,6,1))&gt;$D$2,0,$AP73="Annual",1,AT73=12,12,$AP73="Monthly V",AT73*(1+$BD$2),$AP73="Monthly F",12,$AP73="One-Time",0),AT73*(1+$BD$2))</f>
        <v/>
      </c>
      <c r="AV73" s="14">
        <f t="array" ref="AV73">IFERROR(_xlfn.IFS(VALUE(MID(AV$5,6,1))&gt;$D$2,0,$AP73="Annual",1,AU73=12,12,$AP73="Monthly V",AU73*(1+$BD$2),$AP73="Monthly F",12,$AP73="One-Time",0),AU73*(1+$BD$2))</f>
        <v/>
      </c>
      <c r="AW73" s="14">
        <f t="array" ref="AW73">IFERROR(_xlfn.IFS(VALUE(MID(AW$5,6,1))&gt;$D$2,0,$AP73="Annual",1,AV73=12,12,$AP73="Monthly V",AV73*(1+$BD$2),$AP73="Monthly F",12,$AP73="One-Time",0),AV73*(1+$BD$2))</f>
        <v/>
      </c>
      <c r="AX73" s="14">
        <f t="array" ref="AX73">IFERROR(_xlfn.IFS(VALUE(MID(AX$5,6,1))&gt;$D$2,0,$AP73="Annual",1,AW73=12,12,$AP73="Monthly V",AW73*(1+$BD$2),$AP73="Monthly F",12,$AP73="One-Time",0),AW73*(1+$BD$2))</f>
        <v/>
      </c>
      <c r="AY73" s="14">
        <f t="array" ref="AY73">IFERROR(_xlfn.IFS(VALUE(MID(AY$5,6,1))&gt;$D$2,0,$AP73="Annual",1,AX73=12,12,$AP73="Monthly V",AX73*(1+$D$3),$AP73="Monthly F",12,$AP73="One-Time",0),AX73*(1+$D$3))</f>
        <v/>
      </c>
      <c r="AZ73" s="14">
        <f t="array" ref="AZ73">IFERROR(_xlfn.IFS(VALUE(MID(AZ$5,6,1))&gt;$D$2,0,$AP73="Annual",1,AY73=12,12,$AP73="Monthly V",AY73*(1+$D$3),$AP73="Monthly F",12,$AP73="One-Time",0),AY73*(1+$D$3))</f>
        <v/>
      </c>
      <c r="BA73" s="125">
        <f t="array" ref="BA73">IFERROR(_xlfn.IFS(VALUE(MID(BA$5,6,2))&gt;$D$2,0,$AP73="Annual",1,AZ73=12,12,$AP73="Monthly V",AZ73*(1+$D$3),$AP73="Monthly F",12,$AP73="One-Time",0),AZ73*(1+$D$3))</f>
        <v/>
      </c>
      <c r="BB73" s="148" t="inlineStr">
        <is>
          <t>FPS Enterprise</t>
        </is>
      </c>
      <c r="BC73" s="38" t="inlineStr">
        <is>
          <t>ProfitStars Financial Performance</t>
        </is>
      </c>
      <c r="BD73" s="36" t="n">
        <v>0.0278</v>
      </c>
      <c r="BE73" s="21">
        <f>BF73/12</f>
        <v/>
      </c>
      <c r="BF73" s="39">
        <f>IFERROR(AR73*$BD73,0)</f>
        <v/>
      </c>
      <c r="BG73" s="39">
        <f>IFERROR(AS73*$BD73,0)</f>
        <v/>
      </c>
      <c r="BH73" s="39">
        <f>IFERROR(AT73*$BD73,0)</f>
        <v/>
      </c>
      <c r="BI73" s="39">
        <f>BH73*1.03</f>
        <v/>
      </c>
      <c r="BJ73" s="39">
        <f>BI73*1.03</f>
        <v/>
      </c>
      <c r="BK73" s="39">
        <f>BJ73*1.03</f>
        <v/>
      </c>
      <c r="BL73" s="39">
        <f>BK73*1.03</f>
        <v/>
      </c>
      <c r="BM73" s="39">
        <f>IFERROR(AY73*$BD73,0)</f>
        <v/>
      </c>
      <c r="BN73" s="39">
        <f>IFERROR(AZ73*$BD73,0)</f>
        <v/>
      </c>
      <c r="BO73" s="39">
        <f>IFERROR(BA73*$BD73,0)</f>
        <v/>
      </c>
      <c r="BP73" s="40" t="n"/>
      <c r="BQ73" s="40">
        <f>IF(VALUE(MID(BQ$5,6,1))&lt;=$D$2,((1+$BD$3)^1-1)*BG73,0)</f>
        <v/>
      </c>
      <c r="BR73" s="40">
        <f>IF(VALUE(MID(BR$5,6,1))&lt;=$D$2,((1+$BD$3)^2-1)*BH73,0)</f>
        <v/>
      </c>
      <c r="BS73" s="40">
        <f>IF(VALUE(MID(BS$5,6,1))&lt;=$D$2,((1+$BD$3)^3-1)*BI73,0)</f>
        <v/>
      </c>
      <c r="BT73" s="40">
        <f>IF(VALUE(MID(BT$5,6,1))&lt;=$D$2,((1+$BD$3)^4-1)*BJ73,0)</f>
        <v/>
      </c>
      <c r="BU73" s="40">
        <f>IF(VALUE(MID(BU$5,6,1))&lt;=$D$2,((1+$BD$3)^5-1)*BK73,0)</f>
        <v/>
      </c>
      <c r="BV73" s="40">
        <f>IF(VALUE(MID(BV$5,6,1))&lt;=$D$2,((1+$BD$3)^6-1)*BL73,0)</f>
        <v/>
      </c>
      <c r="BW73" s="40">
        <f>IF(VALUE(MID(BW$5,6,1))&lt;=$D$2,((1+$BD$3)^7-1)*BM73,0)</f>
        <v/>
      </c>
      <c r="BX73" s="40">
        <f>IF(VALUE(MID(BX$5,6,1))&lt;=$D$2,((1+$BD$3)^8-1)*BN73,0)</f>
        <v/>
      </c>
      <c r="BY73" s="40">
        <f>IF(VALUE(MID(BY$5,6,2))&lt;=$D$2,((1+$BD$3)^9-1)*BO73,0)</f>
        <v/>
      </c>
      <c r="BZ73" s="40">
        <f>SUM(BP73:BY73)</f>
        <v/>
      </c>
      <c r="CA73" s="37">
        <f>SUM(BZ73,BF73:BO73)</f>
        <v/>
      </c>
      <c r="CC73" s="102" t="n"/>
      <c r="CD73" s="12" t="n"/>
      <c r="CE73" s="14" t="n"/>
      <c r="CF73" s="14" t="n"/>
      <c r="CG73" s="14" t="n"/>
      <c r="CH73" s="14" t="n"/>
      <c r="CI73" s="14" t="n"/>
      <c r="CJ73" s="14" t="n"/>
      <c r="CK73" s="14" t="n"/>
      <c r="CL73" s="14" t="n"/>
      <c r="CM73" s="14" t="n"/>
      <c r="CN73" s="24" t="n"/>
      <c r="CO73" s="63" t="n"/>
      <c r="CP73" s="53" t="n"/>
      <c r="CQ73" s="21" t="n"/>
      <c r="CR73" s="55" t="n"/>
      <c r="CS73" s="55" t="n"/>
      <c r="CT73" s="55" t="n"/>
      <c r="CU73" s="55" t="n"/>
      <c r="CV73" s="55" t="n"/>
      <c r="CW73" s="55" t="n"/>
      <c r="CX73" s="55" t="n"/>
      <c r="CY73" s="55" t="n"/>
      <c r="CZ73" s="55" t="n"/>
      <c r="DA73" s="55" t="n"/>
      <c r="DB73" s="56" t="n"/>
      <c r="DC73" s="56" t="n"/>
      <c r="DD73" s="56" t="n"/>
      <c r="DE73" s="56" t="n"/>
      <c r="DF73" s="56" t="n"/>
      <c r="DG73" s="56" t="n"/>
      <c r="DH73" s="56" t="n"/>
      <c r="DI73" s="56" t="n"/>
      <c r="DJ73" s="56" t="n"/>
      <c r="DK73" s="56" t="n"/>
      <c r="DL73" s="57" t="n"/>
      <c r="DM73" s="54" t="n"/>
      <c r="DO73" s="106" t="n"/>
    </row>
    <row r="74">
      <c r="B74" s="141" t="n"/>
      <c r="C74" s="24" t="n"/>
      <c r="D74" s="147" t="n"/>
      <c r="E74" s="142" t="n"/>
      <c r="F74" s="14" t="n"/>
      <c r="G74" s="14" t="n"/>
      <c r="H74" s="14" t="n"/>
      <c r="I74" s="14" t="n"/>
      <c r="J74" s="14" t="n"/>
      <c r="K74" s="14" t="n"/>
      <c r="L74" s="14" t="n"/>
      <c r="M74" s="14" t="n"/>
      <c r="N74" s="24" t="n"/>
      <c r="O74" s="127" t="n"/>
      <c r="P74" s="13" t="n"/>
      <c r="Q74" s="20" t="n"/>
      <c r="R74" s="21" t="n"/>
      <c r="S74" s="6" t="n"/>
      <c r="T74" s="6" t="n"/>
      <c r="U74" s="6" t="n"/>
      <c r="V74" s="6" t="n"/>
      <c r="W74" s="6" t="n"/>
      <c r="X74" s="6" t="n"/>
      <c r="Y74" s="6" t="n"/>
      <c r="Z74" s="6" t="n"/>
      <c r="AA74" s="6" t="n"/>
      <c r="AB74" s="6" t="n"/>
      <c r="AC74" s="7" t="n"/>
      <c r="AD74" s="152" t="n"/>
      <c r="AE74" s="152" t="n"/>
      <c r="AF74" s="152" t="n"/>
      <c r="AG74" s="152" t="n"/>
      <c r="AH74" s="152" t="n"/>
      <c r="AI74" s="152" t="n"/>
      <c r="AJ74" s="152" t="n"/>
      <c r="AK74" s="152" t="n"/>
      <c r="AL74" s="152" t="n"/>
      <c r="AM74" s="9" t="n"/>
      <c r="AN74" s="80" t="n"/>
      <c r="AP74" s="102" t="inlineStr">
        <is>
          <t>Monthly V</t>
        </is>
      </c>
      <c r="AQ74" s="12" t="n">
        <v>5000</v>
      </c>
      <c r="AR74" s="14">
        <f>IF($AP74="Annual",1,IF($AP74="Monthly F",12,IF($AP74="Monthly V",AQ74*12,IF($AP74="One-Time",1,AQ74*12))))</f>
        <v/>
      </c>
      <c r="AS74" s="14">
        <f t="array" ref="AS74">IFERROR(_xlfn.IFS(VALUE(MID(AS$5,6,1))&gt;$D$2,0,$AP74="Annual",1,AR74=12,12,$AP74="Monthly V",AR74*(1+$BD$2),$AP74="Monthly F",12,$AP74="One-Time",0),AR74*(1+$BD$2))</f>
        <v/>
      </c>
      <c r="AT74" s="14">
        <f t="array" ref="AT74">IFERROR(_xlfn.IFS(VALUE(MID(AT$5,6,1))&gt;$D$2,0,$AP74="Annual",1,AS74=12,12,$AP74="Monthly V",AS74*(1+$BD$2),$AP74="Monthly F",12,$AP74="One-Time",0),AS74*(1+$BD$2))</f>
        <v/>
      </c>
      <c r="AU74" s="14">
        <f t="array" ref="AU74">IFERROR(_xlfn.IFS(VALUE(MID(AU$5,6,1))&gt;$D$2,0,$AP74="Annual",1,AT74=12,12,$AP74="Monthly V",AT74*(1+$BD$2),$AP74="Monthly F",12,$AP74="One-Time",0),AT74*(1+$BD$2))</f>
        <v/>
      </c>
      <c r="AV74" s="14">
        <f t="array" ref="AV74">IFERROR(_xlfn.IFS(VALUE(MID(AV$5,6,1))&gt;$D$2,0,$AP74="Annual",1,AU74=12,12,$AP74="Monthly V",AU74*(1+$BD$2),$AP74="Monthly F",12,$AP74="One-Time",0),AU74*(1+$BD$2))</f>
        <v/>
      </c>
      <c r="AW74" s="14">
        <f t="array" ref="AW74">IFERROR(_xlfn.IFS(VALUE(MID(AW$5,6,1))&gt;$D$2,0,$AP74="Annual",1,AV74=12,12,$AP74="Monthly V",AV74*(1+$BD$2),$AP74="Monthly F",12,$AP74="One-Time",0),AV74*(1+$BD$2))</f>
        <v/>
      </c>
      <c r="AX74" s="14">
        <f t="array" ref="AX74">IFERROR(_xlfn.IFS(VALUE(MID(AX$5,6,1))&gt;$D$2,0,$AP74="Annual",1,AW74=12,12,$AP74="Monthly V",AW74*(1+$BD$2),$AP74="Monthly F",12,$AP74="One-Time",0),AW74*(1+$BD$2))</f>
        <v/>
      </c>
      <c r="AY74" s="14">
        <f t="array" ref="AY74">IFERROR(_xlfn.IFS(VALUE(MID(AY$5,6,1))&gt;$D$2,0,$AP74="Annual",1,AX74=12,12,$AP74="Monthly V",AX74*(1+$D$3),$AP74="Monthly F",12,$AP74="One-Time",0),AX74*(1+$D$3))</f>
        <v/>
      </c>
      <c r="AZ74" s="14">
        <f t="array" ref="AZ74">IFERROR(_xlfn.IFS(VALUE(MID(AZ$5,6,1))&gt;$D$2,0,$AP74="Annual",1,AY74=12,12,$AP74="Monthly V",AY74*(1+$D$3),$AP74="Monthly F",12,$AP74="One-Time",0),AY74*(1+$D$3))</f>
        <v/>
      </c>
      <c r="BA74" s="125">
        <f t="array" ref="BA74">IFERROR(_xlfn.IFS(VALUE(MID(BA$5,6,2))&gt;$D$2,0,$AP74="Annual",1,AZ74=12,12,$AP74="Monthly V",AZ74*(1+$D$3),$AP74="Monthly F",12,$AP74="One-Time",0),AZ74*(1+$D$3))</f>
        <v/>
      </c>
      <c r="BB74" s="148" t="inlineStr">
        <is>
          <t>FPS Forecasting and Financial Reporting</t>
        </is>
      </c>
      <c r="BC74" s="38" t="inlineStr">
        <is>
          <t>ProfitStars Financial Performance</t>
        </is>
      </c>
      <c r="BD74" s="36" t="n">
        <v>0.0308</v>
      </c>
      <c r="BE74" s="21">
        <f>BF74/12</f>
        <v/>
      </c>
      <c r="BF74" s="39">
        <f>IFERROR(AR74*$BD74,0)</f>
        <v/>
      </c>
      <c r="BG74" s="39">
        <f>IFERROR(AS74*$BD74,0)</f>
        <v/>
      </c>
      <c r="BH74" s="39">
        <f>IFERROR(AT74*$BD74,0)</f>
        <v/>
      </c>
      <c r="BI74" s="39">
        <f>BH74*1.03</f>
        <v/>
      </c>
      <c r="BJ74" s="39">
        <f>BI74*1.03</f>
        <v/>
      </c>
      <c r="BK74" s="39">
        <f>BJ74*1.03</f>
        <v/>
      </c>
      <c r="BL74" s="39">
        <f>BK74*1.03</f>
        <v/>
      </c>
      <c r="BM74" s="39">
        <f>IFERROR(AY74*$BD74,0)</f>
        <v/>
      </c>
      <c r="BN74" s="39">
        <f>IFERROR(AZ74*$BD74,0)</f>
        <v/>
      </c>
      <c r="BO74" s="39">
        <f>IFERROR(BA74*$BD74,0)</f>
        <v/>
      </c>
      <c r="BP74" s="40" t="n"/>
      <c r="BQ74" s="40">
        <f>IF(VALUE(MID(BQ$5,6,1))&lt;=$D$2,((1+$BD$3)^1-1)*BG74,0)</f>
        <v/>
      </c>
      <c r="BR74" s="40">
        <f>IF(VALUE(MID(BR$5,6,1))&lt;=$D$2,((1+$BD$3)^2-1)*BH74,0)</f>
        <v/>
      </c>
      <c r="BS74" s="40">
        <f>IF(VALUE(MID(BS$5,6,1))&lt;=$D$2,((1+$BD$3)^3-1)*BI74,0)</f>
        <v/>
      </c>
      <c r="BT74" s="40">
        <f>IF(VALUE(MID(BT$5,6,1))&lt;=$D$2,((1+$BD$3)^4-1)*BJ74,0)</f>
        <v/>
      </c>
      <c r="BU74" s="40">
        <f>IF(VALUE(MID(BU$5,6,1))&lt;=$D$2,((1+$BD$3)^5-1)*BK74,0)</f>
        <v/>
      </c>
      <c r="BV74" s="40">
        <f>IF(VALUE(MID(BV$5,6,1))&lt;=$D$2,((1+$BD$3)^6-1)*BL74,0)</f>
        <v/>
      </c>
      <c r="BW74" s="40">
        <f>IF(VALUE(MID(BW$5,6,1))&lt;=$D$2,((1+$BD$3)^7-1)*BM74,0)</f>
        <v/>
      </c>
      <c r="BX74" s="40">
        <f>IF(VALUE(MID(BX$5,6,1))&lt;=$D$2,((1+$BD$3)^8-1)*BN74,0)</f>
        <v/>
      </c>
      <c r="BY74" s="40">
        <f>IF(VALUE(MID(BY$5,6,2))&lt;=$D$2,((1+$BD$3)^9-1)*BO74,0)</f>
        <v/>
      </c>
      <c r="BZ74" s="40">
        <f>SUM(BP74:BY74)</f>
        <v/>
      </c>
      <c r="CA74" s="37">
        <f>SUM(BZ74,BF74:BO74)</f>
        <v/>
      </c>
      <c r="CC74" s="102" t="n"/>
      <c r="CD74" s="12" t="n"/>
      <c r="CE74" s="14" t="n"/>
      <c r="CF74" s="14" t="n"/>
      <c r="CG74" s="14" t="n"/>
      <c r="CH74" s="14" t="n"/>
      <c r="CI74" s="14" t="n"/>
      <c r="CJ74" s="14" t="n"/>
      <c r="CK74" s="14" t="n"/>
      <c r="CL74" s="14" t="n"/>
      <c r="CM74" s="14" t="n"/>
      <c r="CN74" s="24" t="n"/>
      <c r="CO74" s="63" t="n"/>
      <c r="CP74" s="53" t="n"/>
      <c r="CQ74" s="21" t="n"/>
      <c r="CR74" s="55" t="n"/>
      <c r="CS74" s="55" t="n"/>
      <c r="CT74" s="55" t="n"/>
      <c r="CU74" s="55" t="n"/>
      <c r="CV74" s="55" t="n"/>
      <c r="CW74" s="55" t="n"/>
      <c r="CX74" s="55" t="n"/>
      <c r="CY74" s="55" t="n"/>
      <c r="CZ74" s="55" t="n"/>
      <c r="DA74" s="55" t="n"/>
      <c r="DB74" s="56" t="n"/>
      <c r="DC74" s="56" t="n"/>
      <c r="DD74" s="56" t="n"/>
      <c r="DE74" s="56" t="n"/>
      <c r="DF74" s="56" t="n"/>
      <c r="DG74" s="56" t="n"/>
      <c r="DH74" s="56" t="n"/>
      <c r="DI74" s="56" t="n"/>
      <c r="DJ74" s="56" t="n"/>
      <c r="DK74" s="56" t="n"/>
      <c r="DL74" s="57" t="n"/>
      <c r="DM74" s="54" t="n"/>
      <c r="DO74" s="106" t="n"/>
    </row>
    <row r="75">
      <c r="B75" s="141" t="inlineStr">
        <is>
          <t>Monthly F</t>
        </is>
      </c>
      <c r="C75" s="24" t="n">
        <v>1</v>
      </c>
      <c r="D75" s="147">
        <f>IFERROR(AVERAGE(C75:C75),0)</f>
        <v/>
      </c>
      <c r="E75" s="142">
        <f>IF($B75="Annual",1,IF($B75="Monthly F",12,IF($B75="Monthly V",D75*12,IF($B75="One-Time",1,D75*12))))</f>
        <v/>
      </c>
      <c r="F75" s="14">
        <f t="array" ref="F75">IFERROR(_xlfn.IFS(VALUE(MID(F$5,6,1))&gt;$D$2,0,$B75="Annual",1,E75=12,12,$B75="Monthly V",E75*(1+$D$3),$B75="Monthly F",12,$B75="One-Time",0),E75*(1+$D$3))</f>
        <v/>
      </c>
      <c r="G75" s="14">
        <f t="array" ref="G75">IFERROR(_xlfn.IFS(VALUE(MID(G$5,6,1))&gt;$D$2,0,$B75="Annual",1,F75=12,12,$B75="Monthly V",F75*(1+$D$3),$B75="Monthly F",12,$B75="One-Time",0),F75*(1+$D$3))</f>
        <v/>
      </c>
      <c r="H75" s="14">
        <f t="array" ref="H75">IFERROR(_xlfn.IFS(VALUE(MID(H$5,6,1))&gt;$D$2,0,$B75="Annual",1,G75=12,12,$B75="Monthly V",G75*(1+$D$3),$B75="Monthly F",12,$B75="One-Time",0),G75*(1+$D$3))</f>
        <v/>
      </c>
      <c r="I75" s="14">
        <f t="array" ref="I75">IFERROR(_xlfn.IFS(VALUE(MID(I$5,6,1))&gt;$D$2,0,$B75="Annual",1,H75=12,12,$B75="Monthly V",H75*(1+$D$3),$B75="Monthly F",12,$B75="One-Time",0),H75*(1+$D$3))</f>
        <v/>
      </c>
      <c r="J75" s="14">
        <f t="array" ref="J75">IFERROR(_xlfn.IFS(VALUE(MID(J$5,6,1))&gt;$D$2,0,$B75="Annual",1,I75=12,12,$B75="Monthly V",I75*(1+$D$3),$B75="Monthly F",12,$B75="One-Time",0),I75*(1+$D$3))</f>
        <v/>
      </c>
      <c r="K75" s="14">
        <f t="array" ref="K75">IFERROR(_xlfn.IFS(VALUE(MID(K$5,6,1))&gt;$D$2,0,$B75="Annual",1,J75=12,12,$B75="Monthly V",J75*(1+$D$3),$B75="Monthly F",12,$B75="One-Time",0),J75*(1+$D$3))</f>
        <v/>
      </c>
      <c r="L75" s="14">
        <f t="array" ref="L75">IFERROR(_xlfn.IFS(VALUE(MID(L$5,6,1))&gt;$D$2,0,$B75="Annual",1,K75=12,12,$B75="Monthly V",K75*(1+$D$3),$B75="Monthly F",12,$B75="One-Time",0),K75*(1+$D$3))</f>
        <v/>
      </c>
      <c r="M75" s="14">
        <f t="array" ref="M75">IFERROR(_xlfn.IFS(VALUE(MID(M$5,6,1))&gt;$D$2,0,$B75="Annual",1,L75=12,12,$B75="Monthly V",L75*(1+$D$3),$B75="Monthly F",12,$B75="One-Time",0),L75*(1+$D$3))</f>
        <v/>
      </c>
      <c r="N75" s="24">
        <f t="array" ref="N75">IFERROR(_xlfn.IFS(VALUE(MID(N$5,6,2))&gt;$D$2,0,$B75="Annual",1,M75=12,12,$B75="Monthly V",M75*(1+$D$3),$B75="Monthly F",12,$B75="One-Time",0),M75*(1+$D$3))</f>
        <v/>
      </c>
      <c r="O75" s="127" t="inlineStr">
        <is>
          <t>Monthly Participation Fee (Small Business)</t>
        </is>
      </c>
      <c r="P75" s="13" t="n"/>
      <c r="Q75" s="20" t="n">
        <v>250</v>
      </c>
      <c r="R75" s="21">
        <f>S75/12</f>
        <v/>
      </c>
      <c r="S75" s="6">
        <f>IFERROR($Q75*E75,0)</f>
        <v/>
      </c>
      <c r="T75" s="6">
        <f>IFERROR($Q75*F75,0)</f>
        <v/>
      </c>
      <c r="U75" s="6">
        <f>IFERROR($Q75*G75,0)</f>
        <v/>
      </c>
      <c r="V75" s="6">
        <f>IFERROR($Q75*H75,0)</f>
        <v/>
      </c>
      <c r="W75" s="6">
        <f>IFERROR($Q75*I75,0)</f>
        <v/>
      </c>
      <c r="X75" s="6">
        <f>IFERROR($Q75*J75,0)</f>
        <v/>
      </c>
      <c r="Y75" s="6">
        <f>IFERROR($Q75*K75,0)</f>
        <v/>
      </c>
      <c r="Z75" s="6">
        <f>IFERROR($Q75*L75,0)</f>
        <v/>
      </c>
      <c r="AA75" s="6">
        <f>IFERROR($Q75*M75,0)</f>
        <v/>
      </c>
      <c r="AB75" s="6">
        <f>IFERROR($Q75*N75,0)</f>
        <v/>
      </c>
      <c r="AC75" s="7" t="n"/>
      <c r="AD75" s="152">
        <f>IF(VALUE(MID(AD$5,6,1))&lt;=$D$2,((1+$Q$3)^1-1)*T75,0)</f>
        <v/>
      </c>
      <c r="AE75" s="152">
        <f>IF(VALUE(MID(AE$5,6,1))&lt;=$D$2,((1+$Q$3)^2-1)*U75,0)</f>
        <v/>
      </c>
      <c r="AF75" s="152">
        <f>IF(VALUE(MID(AF$5,6,1))&lt;=$D$2,((1+$Q$3)^3-1)*V75,0)</f>
        <v/>
      </c>
      <c r="AG75" s="152">
        <f>IF(VALUE(MID(AG$5,6,1))&lt;=$D$2,((1+$Q$3)^4-1)*W75,0)</f>
        <v/>
      </c>
      <c r="AH75" s="152">
        <f>IF(VALUE(MID(AH$5,6,1))&lt;=$D$2,((1+$Q$3)^5-1)*X75,0)</f>
        <v/>
      </c>
      <c r="AI75" s="152">
        <f>IF(VALUE(MID(AI$5,6,1))&lt;=$D$2,((1+$Q$3)^6-1)*Y75,0)</f>
        <v/>
      </c>
      <c r="AJ75" s="152">
        <f>IF(VALUE(MID(AJ$5,6,1))&lt;=$D$2,((1+$Q$3)^7-1)*Z75,0)</f>
        <v/>
      </c>
      <c r="AK75" s="152">
        <f>IF(VALUE(MID(AK$5,6,1))&lt;=$D$2,((1+$Q$3)^8-1)*AA75,0)</f>
        <v/>
      </c>
      <c r="AL75" s="152">
        <f>IF(VALUE(MID(AL$5,6,2))&lt;=$D$2,((1+$Q$3)^9-1)*AB75,0)</f>
        <v/>
      </c>
      <c r="AM75" s="9">
        <f>SUM(AC75:AL75)</f>
        <v/>
      </c>
      <c r="AN75" s="80">
        <f>SUM(AM75,S75:AB75)</f>
        <v/>
      </c>
      <c r="AP75" s="102" t="inlineStr">
        <is>
          <t>Monthly F</t>
        </is>
      </c>
      <c r="AQ75" s="12" t="n">
        <v>1</v>
      </c>
      <c r="AR75" s="14">
        <f>IF($AP75="Annual",1,IF($AP75="Monthly F",12,IF($AP75="Monthly V",AQ75*12,IF($AP75="One-Time",1,AQ75*12))))</f>
        <v/>
      </c>
      <c r="AS75" s="14">
        <f t="array" ref="AS75">IFERROR(_xlfn.IFS(VALUE(MID(AS$5,6,1))&gt;$D$2,0,$AP75="Annual",1,AR75=12,12,$AP75="Monthly V",AR75*(1+$BD$2),$AP75="Monthly F",12,$AP75="One-Time",0),AR75*(1+$BD$2))</f>
        <v/>
      </c>
      <c r="AT75" s="14">
        <f t="array" ref="AT75">IFERROR(_xlfn.IFS(VALUE(MID(AT$5,6,1))&gt;$D$2,0,$AP75="Annual",1,AS75=12,12,$AP75="Monthly V",AS75*(1+$BD$2),$AP75="Monthly F",12,$AP75="One-Time",0),AS75*(1+$BD$2))</f>
        <v/>
      </c>
      <c r="AU75" s="14">
        <f t="array" ref="AU75">IFERROR(_xlfn.IFS(VALUE(MID(AU$5,6,1))&gt;$D$2,0,$AP75="Annual",1,AT75=12,12,$AP75="Monthly V",AT75*(1+$BD$2),$AP75="Monthly F",12,$AP75="One-Time",0),AT75*(1+$BD$2))</f>
        <v/>
      </c>
      <c r="AV75" s="14">
        <f t="array" ref="AV75">IFERROR(_xlfn.IFS(VALUE(MID(AV$5,6,1))&gt;$D$2,0,$AP75="Annual",1,AU75=12,12,$AP75="Monthly V",AU75*(1+$BD$2),$AP75="Monthly F",12,$AP75="One-Time",0),AU75*(1+$BD$2))</f>
        <v/>
      </c>
      <c r="AW75" s="14">
        <f t="array" ref="AW75">IFERROR(_xlfn.IFS(VALUE(MID(AW$5,6,1))&gt;$D$2,0,$AP75="Annual",1,AV75=12,12,$AP75="Monthly V",AV75*(1+$BD$2),$AP75="Monthly F",12,$AP75="One-Time",0),AV75*(1+$BD$2))</f>
        <v/>
      </c>
      <c r="AX75" s="14">
        <f t="array" ref="AX75">IFERROR(_xlfn.IFS(VALUE(MID(AX$5,6,1))&gt;$D$2,0,$AP75="Annual",1,AW75=12,12,$AP75="Monthly V",AW75*(1+$BD$2),$AP75="Monthly F",12,$AP75="One-Time",0),AW75*(1+$BD$2))</f>
        <v/>
      </c>
      <c r="AY75" s="14">
        <f t="array" ref="AY75">IFERROR(_xlfn.IFS(VALUE(MID(AY$5,6,1))&gt;$D$2,0,$AP75="Annual",1,AX75=12,12,$AP75="Monthly V",AX75*(1+$D$3),$AP75="Monthly F",12,$AP75="One-Time",0),AX75*(1+$D$3))</f>
        <v/>
      </c>
      <c r="AZ75" s="14">
        <f t="array" ref="AZ75">IFERROR(_xlfn.IFS(VALUE(MID(AZ$5,6,1))&gt;$D$2,0,$AP75="Annual",1,AY75=12,12,$AP75="Monthly V",AY75*(1+$D$3),$AP75="Monthly F",12,$AP75="One-Time",0),AY75*(1+$D$3))</f>
        <v/>
      </c>
      <c r="BA75" s="125">
        <f t="array" ref="BA75">IFERROR(_xlfn.IFS(VALUE(MID(BA$5,6,2))&gt;$D$2,0,$AP75="Annual",1,AZ75=12,12,$AP75="Monthly V",AZ75*(1+$D$3),$AP75="Monthly F",12,$AP75="One-Time",0),AZ75*(1+$D$3))</f>
        <v/>
      </c>
      <c r="BB75" s="148" t="inlineStr">
        <is>
          <t>Web Hosting Showcase Plus</t>
        </is>
      </c>
      <c r="BC75" s="38" t="inlineStr">
        <is>
          <t>Web Hosting</t>
        </is>
      </c>
      <c r="BD75" s="36" t="n">
        <v>2200</v>
      </c>
      <c r="BE75" s="21">
        <f>BF75/12</f>
        <v/>
      </c>
      <c r="BF75" s="39">
        <f>IFERROR(AR75*$BD75,0)</f>
        <v/>
      </c>
      <c r="BG75" s="39">
        <f>IFERROR(AS75*$BD75,0)</f>
        <v/>
      </c>
      <c r="BH75" s="39">
        <f>IFERROR(AT75*$BD75,0)</f>
        <v/>
      </c>
      <c r="BI75" s="39">
        <f>BH75*1.03</f>
        <v/>
      </c>
      <c r="BJ75" s="39">
        <f>BI75*1.03</f>
        <v/>
      </c>
      <c r="BK75" s="39">
        <f>BJ75*1.03</f>
        <v/>
      </c>
      <c r="BL75" s="39">
        <f>BK75*1.03</f>
        <v/>
      </c>
      <c r="BM75" s="39">
        <f>IFERROR(AY75*$BD75,0)</f>
        <v/>
      </c>
      <c r="BN75" s="39">
        <f>IFERROR(AZ75*$BD75,0)</f>
        <v/>
      </c>
      <c r="BO75" s="39">
        <f>IFERROR(BA75*$BD75,0)</f>
        <v/>
      </c>
      <c r="BP75" s="40" t="n"/>
      <c r="BQ75" s="40">
        <f>IF(VALUE(MID(BQ$5,6,1))&lt;=$D$2,((1+$BD$3)^1-1)*BG75,0)</f>
        <v/>
      </c>
      <c r="BR75" s="40">
        <f>IF(VALUE(MID(BR$5,6,1))&lt;=$D$2,((1+$BD$3)^2-1)*BH75,0)</f>
        <v/>
      </c>
      <c r="BS75" s="40">
        <f>IF(VALUE(MID(BS$5,6,1))&lt;=$D$2,((1+$BD$3)^3-1)*BI75,0)</f>
        <v/>
      </c>
      <c r="BT75" s="40">
        <f>IF(VALUE(MID(BT$5,6,1))&lt;=$D$2,((1+$BD$3)^4-1)*BJ75,0)</f>
        <v/>
      </c>
      <c r="BU75" s="40">
        <f>IF(VALUE(MID(BU$5,6,1))&lt;=$D$2,((1+$BD$3)^5-1)*BK75,0)</f>
        <v/>
      </c>
      <c r="BV75" s="40">
        <f>IF(VALUE(MID(BV$5,6,1))&lt;=$D$2,((1+$BD$3)^6-1)*BL75,0)</f>
        <v/>
      </c>
      <c r="BW75" s="40">
        <f>IF(VALUE(MID(BW$5,6,1))&lt;=$D$2,((1+$BD$3)^7-1)*BM75,0)</f>
        <v/>
      </c>
      <c r="BX75" s="40">
        <f>IF(VALUE(MID(BX$5,6,1))&lt;=$D$2,((1+$BD$3)^8-1)*BN75,0)</f>
        <v/>
      </c>
      <c r="BY75" s="40">
        <f>IF(VALUE(MID(BY$5,6,2))&lt;=$D$2,((1+$BD$3)^9-1)*BO75,0)</f>
        <v/>
      </c>
      <c r="BZ75" s="40">
        <f>SUM(BP75:BY75)</f>
        <v/>
      </c>
      <c r="CA75" s="37">
        <f>SUM(BZ75,BF75:BO75)</f>
        <v/>
      </c>
      <c r="CC75" s="102" t="n"/>
      <c r="CD75" s="12" t="n"/>
      <c r="CE75" s="14" t="n"/>
      <c r="CF75" s="14" t="n"/>
      <c r="CG75" s="14" t="n"/>
      <c r="CH75" s="14" t="n"/>
      <c r="CI75" s="14" t="n"/>
      <c r="CJ75" s="14" t="n"/>
      <c r="CK75" s="14" t="n"/>
      <c r="CL75" s="14" t="n"/>
      <c r="CM75" s="14" t="n"/>
      <c r="CN75" s="24" t="n"/>
      <c r="CO75" s="63" t="n"/>
      <c r="CP75" s="53" t="n"/>
      <c r="CQ75" s="21" t="n"/>
      <c r="CR75" s="55" t="n"/>
      <c r="CS75" s="55" t="n"/>
      <c r="CT75" s="55" t="n"/>
      <c r="CU75" s="55" t="n"/>
      <c r="CV75" s="55" t="n"/>
      <c r="CW75" s="55" t="n"/>
      <c r="CX75" s="55" t="n"/>
      <c r="CY75" s="55" t="n"/>
      <c r="CZ75" s="55" t="n"/>
      <c r="DA75" s="55" t="n"/>
      <c r="DB75" s="56" t="n"/>
      <c r="DC75" s="56" t="n"/>
      <c r="DD75" s="56" t="n"/>
      <c r="DE75" s="56" t="n"/>
      <c r="DF75" s="56" t="n"/>
      <c r="DG75" s="56" t="n"/>
      <c r="DH75" s="56" t="n"/>
      <c r="DI75" s="56" t="n"/>
      <c r="DJ75" s="56" t="n"/>
      <c r="DK75" s="56" t="n"/>
      <c r="DL75" s="57" t="n"/>
      <c r="DM75" s="54" t="n"/>
      <c r="DO75" s="106" t="n"/>
    </row>
    <row r="76">
      <c r="B76" s="141" t="inlineStr">
        <is>
          <t>Monthly V</t>
        </is>
      </c>
      <c r="C76" s="24" t="n">
        <v>116</v>
      </c>
      <c r="D76" s="147">
        <f>IFERROR(AVERAGE(C76:C76),0)</f>
        <v/>
      </c>
      <c r="E76" s="142">
        <f>IF($B76="Annual",1,IF($B76="Monthly F",12,IF($B76="Monthly V",D76*12,IF($B76="One-Time",1,D76*12))))</f>
        <v/>
      </c>
      <c r="F76" s="14">
        <f t="array" ref="F76">IFERROR(_xlfn.IFS(VALUE(MID(F$5,6,1))&gt;$D$2,0,$B76="Annual",1,E76=12,12,$B76="Monthly V",E76*(1+$D$3),$B76="Monthly F",12,$B76="One-Time",0),E76*(1+$D$3))</f>
        <v/>
      </c>
      <c r="G76" s="14">
        <f t="array" ref="G76">IFERROR(_xlfn.IFS(VALUE(MID(G$5,6,1))&gt;$D$2,0,$B76="Annual",1,F76=12,12,$B76="Monthly V",F76*(1+$D$3),$B76="Monthly F",12,$B76="One-Time",0),F76*(1+$D$3))</f>
        <v/>
      </c>
      <c r="H76" s="14">
        <f t="array" ref="H76">IFERROR(_xlfn.IFS(VALUE(MID(H$5,6,1))&gt;$D$2,0,$B76="Annual",1,G76=12,12,$B76="Monthly V",G76*(1+$D$3),$B76="Monthly F",12,$B76="One-Time",0),G76*(1+$D$3))</f>
        <v/>
      </c>
      <c r="I76" s="14">
        <f t="array" ref="I76">IFERROR(_xlfn.IFS(VALUE(MID(I$5,6,1))&gt;$D$2,0,$B76="Annual",1,H76=12,12,$B76="Monthly V",H76*(1+$D$3),$B76="Monthly F",12,$B76="One-Time",0),H76*(1+$D$3))</f>
        <v/>
      </c>
      <c r="J76" s="14">
        <f t="array" ref="J76">IFERROR(_xlfn.IFS(VALUE(MID(J$5,6,1))&gt;$D$2,0,$B76="Annual",1,I76=12,12,$B76="Monthly V",I76*(1+$D$3),$B76="Monthly F",12,$B76="One-Time",0),I76*(1+$D$3))</f>
        <v/>
      </c>
      <c r="K76" s="14">
        <f t="array" ref="K76">IFERROR(_xlfn.IFS(VALUE(MID(K$5,6,1))&gt;$D$2,0,$B76="Annual",1,J76=12,12,$B76="Monthly V",J76*(1+$D$3),$B76="Monthly F",12,$B76="One-Time",0),J76*(1+$D$3))</f>
        <v/>
      </c>
      <c r="L76" s="14">
        <f t="array" ref="L76">IFERROR(_xlfn.IFS(VALUE(MID(L$5,6,1))&gt;$D$2,0,$B76="Annual",1,K76=12,12,$B76="Monthly V",K76*(1+$D$3),$B76="Monthly F",12,$B76="One-Time",0),K76*(1+$D$3))</f>
        <v/>
      </c>
      <c r="M76" s="14">
        <f t="array" ref="M76">IFERROR(_xlfn.IFS(VALUE(MID(M$5,6,1))&gt;$D$2,0,$B76="Annual",1,L76=12,12,$B76="Monthly V",L76*(1+$D$3),$B76="Monthly F",12,$B76="One-Time",0),L76*(1+$D$3))</f>
        <v/>
      </c>
      <c r="N76" s="24">
        <f t="array" ref="N76">IFERROR(_xlfn.IFS(VALUE(MID(N$5,6,2))&gt;$D$2,0,$B76="Annual",1,M76=12,12,$B76="Monthly V",M76*(1+$D$3),$B76="Monthly F",12,$B76="One-Time",0),M76*(1+$D$3))</f>
        <v/>
      </c>
      <c r="O76" s="127" t="inlineStr">
        <is>
          <t>Consumer and Small Business Transactions</t>
        </is>
      </c>
      <c r="P76" s="13" t="n"/>
      <c r="Q76" s="20" t="n">
        <v>0.65</v>
      </c>
      <c r="R76" s="21">
        <f>S76/12</f>
        <v/>
      </c>
      <c r="S76" s="6">
        <f>IFERROR($Q76*E76,0)</f>
        <v/>
      </c>
      <c r="T76" s="6">
        <f>IFERROR($Q76*F76,0)</f>
        <v/>
      </c>
      <c r="U76" s="6">
        <f>IFERROR($Q76*G76,0)</f>
        <v/>
      </c>
      <c r="V76" s="6">
        <f>IFERROR($Q76*H76,0)</f>
        <v/>
      </c>
      <c r="W76" s="6">
        <f>IFERROR($Q76*I76,0)</f>
        <v/>
      </c>
      <c r="X76" s="6">
        <f>IFERROR($Q76*J76,0)</f>
        <v/>
      </c>
      <c r="Y76" s="6">
        <f>IFERROR($Q76*K76,0)</f>
        <v/>
      </c>
      <c r="Z76" s="6">
        <f>IFERROR($Q76*L76,0)</f>
        <v/>
      </c>
      <c r="AA76" s="6">
        <f>IFERROR($Q76*M76,0)</f>
        <v/>
      </c>
      <c r="AB76" s="6">
        <f>IFERROR($Q76*N76,0)</f>
        <v/>
      </c>
      <c r="AC76" s="7" t="n"/>
      <c r="AD76" s="152">
        <f>IF(VALUE(MID(AD$5,6,1))&lt;=$D$2,((1+$Q$3)^1-1)*T76,0)</f>
        <v/>
      </c>
      <c r="AE76" s="152">
        <f>IF(VALUE(MID(AE$5,6,1))&lt;=$D$2,((1+$Q$3)^2-1)*U76,0)</f>
        <v/>
      </c>
      <c r="AF76" s="152">
        <f>IF(VALUE(MID(AF$5,6,1))&lt;=$D$2,((1+$Q$3)^3-1)*V76,0)</f>
        <v/>
      </c>
      <c r="AG76" s="152">
        <f>IF(VALUE(MID(AG$5,6,1))&lt;=$D$2,((1+$Q$3)^4-1)*W76,0)</f>
        <v/>
      </c>
      <c r="AH76" s="152">
        <f>IF(VALUE(MID(AH$5,6,1))&lt;=$D$2,((1+$Q$3)^5-1)*X76,0)</f>
        <v/>
      </c>
      <c r="AI76" s="152">
        <f>IF(VALUE(MID(AI$5,6,1))&lt;=$D$2,((1+$Q$3)^6-1)*Y76,0)</f>
        <v/>
      </c>
      <c r="AJ76" s="152">
        <f>IF(VALUE(MID(AJ$5,6,1))&lt;=$D$2,((1+$Q$3)^7-1)*Z76,0)</f>
        <v/>
      </c>
      <c r="AK76" s="152">
        <f>IF(VALUE(MID(AK$5,6,1))&lt;=$D$2,((1+$Q$3)^8-1)*AA76,0)</f>
        <v/>
      </c>
      <c r="AL76" s="152">
        <f>IF(VALUE(MID(AL$5,6,2))&lt;=$D$2,((1+$Q$3)^9-1)*AB76,0)</f>
        <v/>
      </c>
      <c r="AM76" s="9">
        <f>SUM(AC76:AL76)</f>
        <v/>
      </c>
      <c r="AN76" s="80">
        <f>SUM(AM76,S76:AB76)</f>
        <v/>
      </c>
      <c r="AP76" s="102" t="inlineStr">
        <is>
          <t>Monthly F</t>
        </is>
      </c>
      <c r="AQ76" s="12" t="n">
        <v>1</v>
      </c>
      <c r="AR76" s="14">
        <f>IF($AP76="Annual",1,IF($AP76="Monthly F",12,IF($AP76="Monthly V",AQ76*12,IF($AP76="One-Time",1,AQ76*12))))</f>
        <v/>
      </c>
      <c r="AS76" s="14">
        <f t="array" ref="AS76">IFERROR(_xlfn.IFS(VALUE(MID(AS$5,6,1))&gt;$D$2,0,$AP76="Annual",1,AR76=12,12,$AP76="Monthly V",AR76*(1+$BD$2),$AP76="Monthly F",12,$AP76="One-Time",0),AR76*(1+$BD$2))</f>
        <v/>
      </c>
      <c r="AT76" s="14">
        <f t="array" ref="AT76">IFERROR(_xlfn.IFS(VALUE(MID(AT$5,6,1))&gt;$D$2,0,$AP76="Annual",1,AS76=12,12,$AP76="Monthly V",AS76*(1+$BD$2),$AP76="Monthly F",12,$AP76="One-Time",0),AS76*(1+$BD$2))</f>
        <v/>
      </c>
      <c r="AU76" s="14">
        <f t="array" ref="AU76">IFERROR(_xlfn.IFS(VALUE(MID(AU$5,6,1))&gt;$D$2,0,$AP76="Annual",1,AT76=12,12,$AP76="Monthly V",AT76*(1+$BD$2),$AP76="Monthly F",12,$AP76="One-Time",0),AT76*(1+$BD$2))</f>
        <v/>
      </c>
      <c r="AV76" s="14">
        <f t="array" ref="AV76">IFERROR(_xlfn.IFS(VALUE(MID(AV$5,6,1))&gt;$D$2,0,$AP76="Annual",1,AU76=12,12,$AP76="Monthly V",AU76*(1+$BD$2),$AP76="Monthly F",12,$AP76="One-Time",0),AU76*(1+$BD$2))</f>
        <v/>
      </c>
      <c r="AW76" s="14">
        <f t="array" ref="AW76">IFERROR(_xlfn.IFS(VALUE(MID(AW$5,6,1))&gt;$D$2,0,$AP76="Annual",1,AV76=12,12,$AP76="Monthly V",AV76*(1+$BD$2),$AP76="Monthly F",12,$AP76="One-Time",0),AV76*(1+$BD$2))</f>
        <v/>
      </c>
      <c r="AX76" s="14">
        <f t="array" ref="AX76">IFERROR(_xlfn.IFS(VALUE(MID(AX$5,6,1))&gt;$D$2,0,$AP76="Annual",1,AW76=12,12,$AP76="Monthly V",AW76*(1+$BD$2),$AP76="Monthly F",12,$AP76="One-Time",0),AW76*(1+$BD$2))</f>
        <v/>
      </c>
      <c r="AY76" s="14">
        <f t="array" ref="AY76">IFERROR(_xlfn.IFS(VALUE(MID(AY$5,6,1))&gt;$D$2,0,$AP76="Annual",1,AX76=12,12,$AP76="Monthly V",AX76*(1+$D$3),$AP76="Monthly F",12,$AP76="One-Time",0),AX76*(1+$D$3))</f>
        <v/>
      </c>
      <c r="AZ76" s="14">
        <f t="array" ref="AZ76">IFERROR(_xlfn.IFS(VALUE(MID(AZ$5,6,1))&gt;$D$2,0,$AP76="Annual",1,AY76=12,12,$AP76="Monthly V",AY76*(1+$D$3),$AP76="Monthly F",12,$AP76="One-Time",0),AY76*(1+$D$3))</f>
        <v/>
      </c>
      <c r="BA76" s="125">
        <f t="array" ref="BA76">IFERROR(_xlfn.IFS(VALUE(MID(BA$5,6,2))&gt;$D$2,0,$AP76="Annual",1,AZ76=12,12,$AP76="Monthly V",AZ76*(1+$D$3),$AP76="Monthly F",12,$AP76="One-Time",0),AZ76*(1+$D$3))</f>
        <v/>
      </c>
      <c r="BB76" s="148" t="inlineStr">
        <is>
          <t>PNV</t>
        </is>
      </c>
      <c r="BC76" s="38" t="inlineStr">
        <is>
          <t>OutLink Item Processing</t>
        </is>
      </c>
      <c r="BD76" s="36" t="n">
        <v>114</v>
      </c>
      <c r="BE76" s="21">
        <f>BF76/12</f>
        <v/>
      </c>
      <c r="BF76" s="39">
        <f>IFERROR(AR76*$BD76,0)</f>
        <v/>
      </c>
      <c r="BG76" s="39">
        <f>IFERROR(AS76*$BD76,0)</f>
        <v/>
      </c>
      <c r="BH76" s="39">
        <f>IFERROR(AT76*$BD76,0)</f>
        <v/>
      </c>
      <c r="BI76" s="39">
        <f>BH76*1.03</f>
        <v/>
      </c>
      <c r="BJ76" s="39">
        <f>BI76*1.03</f>
        <v/>
      </c>
      <c r="BK76" s="39">
        <f>BJ76*1.03</f>
        <v/>
      </c>
      <c r="BL76" s="39">
        <f>BK76*1.03</f>
        <v/>
      </c>
      <c r="BM76" s="39">
        <f>IFERROR(AY76*$BD76,0)</f>
        <v/>
      </c>
      <c r="BN76" s="39">
        <f>IFERROR(AZ76*$BD76,0)</f>
        <v/>
      </c>
      <c r="BO76" s="39">
        <f>IFERROR(BA76*$BD76,0)</f>
        <v/>
      </c>
      <c r="BP76" s="40" t="n"/>
      <c r="BQ76" s="40">
        <f>IF(VALUE(MID(BQ$5,6,1))&lt;=$D$2,((1+$BD$3)^1-1)*BG76,0)</f>
        <v/>
      </c>
      <c r="BR76" s="40">
        <f>IF(VALUE(MID(BR$5,6,1))&lt;=$D$2,((1+$BD$3)^2-1)*BH76,0)</f>
        <v/>
      </c>
      <c r="BS76" s="40">
        <f>IF(VALUE(MID(BS$5,6,1))&lt;=$D$2,((1+$BD$3)^3-1)*BI76,0)</f>
        <v/>
      </c>
      <c r="BT76" s="40">
        <f>IF(VALUE(MID(BT$5,6,1))&lt;=$D$2,((1+$BD$3)^4-1)*BJ76,0)</f>
        <v/>
      </c>
      <c r="BU76" s="40">
        <f>IF(VALUE(MID(BU$5,6,1))&lt;=$D$2,((1+$BD$3)^5-1)*BK76,0)</f>
        <v/>
      </c>
      <c r="BV76" s="40">
        <f>IF(VALUE(MID(BV$5,6,1))&lt;=$D$2,((1+$BD$3)^6-1)*BL76,0)</f>
        <v/>
      </c>
      <c r="BW76" s="40">
        <f>IF(VALUE(MID(BW$5,6,1))&lt;=$D$2,((1+$BD$3)^7-1)*BM76,0)</f>
        <v/>
      </c>
      <c r="BX76" s="40">
        <f>IF(VALUE(MID(BX$5,6,1))&lt;=$D$2,((1+$BD$3)^8-1)*BN76,0)</f>
        <v/>
      </c>
      <c r="BY76" s="40">
        <f>IF(VALUE(MID(BY$5,6,2))&lt;=$D$2,((1+$BD$3)^9-1)*BO76,0)</f>
        <v/>
      </c>
      <c r="BZ76" s="40">
        <f>SUM(BP76:BY76)</f>
        <v/>
      </c>
      <c r="CA76" s="37">
        <f>SUM(BZ76,BF76:BO76)</f>
        <v/>
      </c>
      <c r="CC76" s="102" t="n"/>
      <c r="CD76" s="12" t="n"/>
      <c r="CE76" s="14" t="n"/>
      <c r="CF76" s="14" t="n"/>
      <c r="CG76" s="14" t="n"/>
      <c r="CH76" s="14" t="n"/>
      <c r="CI76" s="14" t="n"/>
      <c r="CJ76" s="14" t="n"/>
      <c r="CK76" s="14" t="n"/>
      <c r="CL76" s="14" t="n"/>
      <c r="CM76" s="14" t="n"/>
      <c r="CN76" s="24" t="n"/>
      <c r="CO76" s="63" t="n"/>
      <c r="CP76" s="53" t="n"/>
      <c r="CQ76" s="21" t="n"/>
      <c r="CR76" s="55" t="n"/>
      <c r="CS76" s="55" t="n"/>
      <c r="CT76" s="55" t="n"/>
      <c r="CU76" s="55" t="n"/>
      <c r="CV76" s="55" t="n"/>
      <c r="CW76" s="55" t="n"/>
      <c r="CX76" s="55" t="n"/>
      <c r="CY76" s="55" t="n"/>
      <c r="CZ76" s="55" t="n"/>
      <c r="DA76" s="55" t="n"/>
      <c r="DB76" s="56" t="n"/>
      <c r="DC76" s="56" t="n"/>
      <c r="DD76" s="56" t="n"/>
      <c r="DE76" s="56" t="n"/>
      <c r="DF76" s="56" t="n"/>
      <c r="DG76" s="56" t="n"/>
      <c r="DH76" s="56" t="n"/>
      <c r="DI76" s="56" t="n"/>
      <c r="DJ76" s="56" t="n"/>
      <c r="DK76" s="56" t="n"/>
      <c r="DL76" s="57" t="n"/>
      <c r="DM76" s="54" t="n"/>
      <c r="DO76" s="106" t="n"/>
    </row>
    <row r="77" ht="15.75" customHeight="1" thickBot="1">
      <c r="B77" s="141" t="inlineStr">
        <is>
          <t>One-Time</t>
        </is>
      </c>
      <c r="C77" s="24" t="n">
        <v>1</v>
      </c>
      <c r="D77" s="147">
        <f>IFERROR(AVERAGE(C77:C77),0)</f>
        <v/>
      </c>
      <c r="E77" s="142">
        <f>IF($B77="Annual",1,IF($B77="Monthly F",12,IF($B77="Monthly V",D77*12,IF($B77="One-Time",1,D77*12))))</f>
        <v/>
      </c>
      <c r="F77" s="14">
        <f t="array" ref="F77">IFERROR(_xlfn.IFS(VALUE(MID(F$5,6,1))&gt;$D$2,0,$B77="Annual",1,E77=12,12,$B77="Monthly V",E77*(1+$D$3),$B77="Monthly F",12,$B77="One-Time",0),E77*(1+$D$3))</f>
        <v/>
      </c>
      <c r="G77" s="14">
        <f t="array" ref="G77">IFERROR(_xlfn.IFS(VALUE(MID(G$5,6,1))&gt;$D$2,0,$B77="Annual",1,F77=12,12,$B77="Monthly V",F77*(1+$D$3),$B77="Monthly F",12,$B77="One-Time",0),F77*(1+$D$3))</f>
        <v/>
      </c>
      <c r="H77" s="14">
        <f t="array" ref="H77">IFERROR(_xlfn.IFS(VALUE(MID(H$5,6,1))&gt;$D$2,0,$B77="Annual",1,G77=12,12,$B77="Monthly V",G77*(1+$D$3),$B77="Monthly F",12,$B77="One-Time",0),G77*(1+$D$3))</f>
        <v/>
      </c>
      <c r="I77" s="14">
        <f t="array" ref="I77">IFERROR(_xlfn.IFS(VALUE(MID(I$5,6,1))&gt;$D$2,0,$B77="Annual",1,H77=12,12,$B77="Monthly V",H77*(1+$D$3),$B77="Monthly F",12,$B77="One-Time",0),H77*(1+$D$3))</f>
        <v/>
      </c>
      <c r="J77" s="14">
        <f t="array" ref="J77">IFERROR(_xlfn.IFS(VALUE(MID(J$5,6,1))&gt;$D$2,0,$B77="Annual",1,I77=12,12,$B77="Monthly V",I77*(1+$D$3),$B77="Monthly F",12,$B77="One-Time",0),I77*(1+$D$3))</f>
        <v/>
      </c>
      <c r="K77" s="14">
        <f t="array" ref="K77">IFERROR(_xlfn.IFS(VALUE(MID(K$5,6,1))&gt;$D$2,0,$B77="Annual",1,J77=12,12,$B77="Monthly V",J77*(1+$D$3),$B77="Monthly F",12,$B77="One-Time",0),J77*(1+$D$3))</f>
        <v/>
      </c>
      <c r="L77" s="14">
        <f t="array" ref="L77">IFERROR(_xlfn.IFS(VALUE(MID(L$5,6,1))&gt;$D$2,0,$B77="Annual",1,K77=12,12,$B77="Monthly V",K77*(1+$D$3),$B77="Monthly F",12,$B77="One-Time",0),K77*(1+$D$3))</f>
        <v/>
      </c>
      <c r="M77" s="14">
        <f t="array" ref="M77">IFERROR(_xlfn.IFS(VALUE(MID(M$5,6,1))&gt;$D$2,0,$B77="Annual",1,L77=12,12,$B77="Monthly V",L77*(1+$D$3),$B77="Monthly F",12,$B77="One-Time",0),L77*(1+$D$3))</f>
        <v/>
      </c>
      <c r="N77" s="24">
        <f t="array" ref="N77">IFERROR(_xlfn.IFS(VALUE(MID(N$5,6,2))&gt;$D$2,0,$B77="Annual",1,M77=12,12,$B77="Monthly V",M77*(1+$D$3),$B77="Monthly F",12,$B77="One-Time",0),M77*(1+$D$3))</f>
        <v/>
      </c>
      <c r="O77" s="127" t="inlineStr">
        <is>
          <t>Zelle (Consumer and Small Business) Implementation Fee</t>
        </is>
      </c>
      <c r="P77" s="13" t="n"/>
      <c r="Q77" s="20" t="n">
        <v>37500</v>
      </c>
      <c r="R77" s="21">
        <f>S77/12</f>
        <v/>
      </c>
      <c r="S77" s="6">
        <f>IFERROR($Q77*E77,0)</f>
        <v/>
      </c>
      <c r="T77" s="6">
        <f>IFERROR($Q77*F77,0)</f>
        <v/>
      </c>
      <c r="U77" s="6">
        <f>IFERROR($Q77*G77,0)</f>
        <v/>
      </c>
      <c r="V77" s="6">
        <f>IFERROR($Q77*H77,0)</f>
        <v/>
      </c>
      <c r="W77" s="6">
        <f>IFERROR($Q77*I77,0)</f>
        <v/>
      </c>
      <c r="X77" s="6">
        <f>IFERROR($Q77*J77,0)</f>
        <v/>
      </c>
      <c r="Y77" s="6">
        <f>IFERROR($Q77*K77,0)</f>
        <v/>
      </c>
      <c r="Z77" s="6">
        <f>IFERROR($Q77*L77,0)</f>
        <v/>
      </c>
      <c r="AA77" s="6">
        <f>IFERROR($Q77*M77,0)</f>
        <v/>
      </c>
      <c r="AB77" s="6">
        <f>IFERROR($Q77*N77,0)</f>
        <v/>
      </c>
      <c r="AC77" s="7" t="n"/>
      <c r="AD77" s="152">
        <f>IF(VALUE(MID(AD$5,6,1))&lt;=$D$2,((1+$Q$3)^1-1)*T77,0)</f>
        <v/>
      </c>
      <c r="AE77" s="152">
        <f>IF(VALUE(MID(AE$5,6,1))&lt;=$D$2,((1+$Q$3)^2-1)*U77,0)</f>
        <v/>
      </c>
      <c r="AF77" s="152">
        <f>IF(VALUE(MID(AF$5,6,1))&lt;=$D$2,((1+$Q$3)^3-1)*V77,0)</f>
        <v/>
      </c>
      <c r="AG77" s="152">
        <f>IF(VALUE(MID(AG$5,6,1))&lt;=$D$2,((1+$Q$3)^4-1)*W77,0)</f>
        <v/>
      </c>
      <c r="AH77" s="152">
        <f>IF(VALUE(MID(AH$5,6,1))&lt;=$D$2,((1+$Q$3)^5-1)*X77,0)</f>
        <v/>
      </c>
      <c r="AI77" s="152">
        <f>IF(VALUE(MID(AI$5,6,1))&lt;=$D$2,((1+$Q$3)^6-1)*Y77,0)</f>
        <v/>
      </c>
      <c r="AJ77" s="152">
        <f>IF(VALUE(MID(AJ$5,6,1))&lt;=$D$2,((1+$Q$3)^7-1)*Z77,0)</f>
        <v/>
      </c>
      <c r="AK77" s="152">
        <f>IF(VALUE(MID(AK$5,6,1))&lt;=$D$2,((1+$Q$3)^8-1)*AA77,0)</f>
        <v/>
      </c>
      <c r="AL77" s="152">
        <f>IF(VALUE(MID(AL$5,6,2))&lt;=$D$2,((1+$Q$3)^9-1)*AB77,0)</f>
        <v/>
      </c>
      <c r="AM77" s="9">
        <f>SUM(AC77:AL77)</f>
        <v/>
      </c>
      <c r="AN77" s="80">
        <f>SUM(AM77,S77:AB77)</f>
        <v/>
      </c>
      <c r="AP77" s="102" t="inlineStr">
        <is>
          <t>Monthly F</t>
        </is>
      </c>
      <c r="AQ77" s="12" t="n">
        <v>1</v>
      </c>
      <c r="AR77" s="14">
        <f>IF($AP77="Annual",1,IF($AP77="Monthly F",12,IF($AP77="Monthly V",AQ77*12,IF($AP77="One-Time",1,AQ77*12))))</f>
        <v/>
      </c>
      <c r="AS77" s="14">
        <f t="array" ref="AS77">IFERROR(_xlfn.IFS(VALUE(MID(AS$5,6,1))&gt;$D$2,0,$AP77="Annual",1,AR77=12,12,$AP77="Monthly V",AR77*(1+$BD$2),$AP77="Monthly F",12,$AP77="One-Time",0),AR77*(1+$BD$2))</f>
        <v/>
      </c>
      <c r="AT77" s="14">
        <f t="array" ref="AT77">IFERROR(_xlfn.IFS(VALUE(MID(AT$5,6,1))&gt;$D$2,0,$AP77="Annual",1,AS77=12,12,$AP77="Monthly V",AS77*(1+$BD$2),$AP77="Monthly F",12,$AP77="One-Time",0),AS77*(1+$BD$2))</f>
        <v/>
      </c>
      <c r="AU77" s="14">
        <f t="array" ref="AU77">IFERROR(_xlfn.IFS(VALUE(MID(AU$5,6,1))&gt;$D$2,0,$AP77="Annual",1,AT77=12,12,$AP77="Monthly V",AT77*(1+$BD$2),$AP77="Monthly F",12,$AP77="One-Time",0),AT77*(1+$BD$2))</f>
        <v/>
      </c>
      <c r="AV77" s="14">
        <f t="array" ref="AV77">IFERROR(_xlfn.IFS(VALUE(MID(AV$5,6,1))&gt;$D$2,0,$AP77="Annual",1,AU77=12,12,$AP77="Monthly V",AU77*(1+$BD$2),$AP77="Monthly F",12,$AP77="One-Time",0),AU77*(1+$BD$2))</f>
        <v/>
      </c>
      <c r="AW77" s="14">
        <f t="array" ref="AW77">IFERROR(_xlfn.IFS(VALUE(MID(AW$5,6,1))&gt;$D$2,0,$AP77="Annual",1,AV77=12,12,$AP77="Monthly V",AV77*(1+$BD$2),$AP77="Monthly F",12,$AP77="One-Time",0),AV77*(1+$BD$2))</f>
        <v/>
      </c>
      <c r="AX77" s="14">
        <f t="array" ref="AX77">IFERROR(_xlfn.IFS(VALUE(MID(AX$5,6,1))&gt;$D$2,0,$AP77="Annual",1,AW77=12,12,$AP77="Monthly V",AW77*(1+$BD$2),$AP77="Monthly F",12,$AP77="One-Time",0),AW77*(1+$BD$2))</f>
        <v/>
      </c>
      <c r="AY77" s="14">
        <f t="array" ref="AY77">IFERROR(_xlfn.IFS(VALUE(MID(AY$5,6,1))&gt;$D$2,0,$AP77="Annual",1,AX77=12,12,$AP77="Monthly V",AX77*(1+$D$3),$AP77="Monthly F",12,$AP77="One-Time",0),AX77*(1+$D$3))</f>
        <v/>
      </c>
      <c r="AZ77" s="14">
        <f t="array" ref="AZ77">IFERROR(_xlfn.IFS(VALUE(MID(AZ$5,6,1))&gt;$D$2,0,$AP77="Annual",1,AY77=12,12,$AP77="Monthly V",AY77*(1+$D$3),$AP77="Monthly F",12,$AP77="One-Time",0),AY77*(1+$D$3))</f>
        <v/>
      </c>
      <c r="BA77" s="125">
        <f t="array" ref="BA77">IFERROR(_xlfn.IFS(VALUE(MID(BA$5,6,2))&gt;$D$2,0,$AP77="Annual",1,AZ77=12,12,$AP77="Monthly V",AZ77*(1+$D$3),$AP77="Monthly F",12,$AP77="One-Time",0),AZ77*(1+$D$3))</f>
        <v/>
      </c>
      <c r="BB77" s="148" t="inlineStr">
        <is>
          <t>FPS Customer Profitability and Pricing</t>
        </is>
      </c>
      <c r="BC77" s="38" t="inlineStr">
        <is>
          <t>ProfitStars Financial Performance</t>
        </is>
      </c>
      <c r="BD77" s="36" t="n">
        <v>401.25</v>
      </c>
      <c r="BE77" s="21">
        <f>BF77/12</f>
        <v/>
      </c>
      <c r="BF77" s="39">
        <f>IFERROR(AR77*$BD77,0)</f>
        <v/>
      </c>
      <c r="BG77" s="39">
        <f>IFERROR(AS77*$BD77,0)</f>
        <v/>
      </c>
      <c r="BH77" s="39">
        <f>IFERROR(AT77*$BD77,0)</f>
        <v/>
      </c>
      <c r="BI77" s="39">
        <f>BH77*1.03</f>
        <v/>
      </c>
      <c r="BJ77" s="39">
        <f>BI77*1.03</f>
        <v/>
      </c>
      <c r="BK77" s="39">
        <f>BJ77*1.03</f>
        <v/>
      </c>
      <c r="BL77" s="39">
        <f>BK77*1.03</f>
        <v/>
      </c>
      <c r="BM77" s="39">
        <f>IFERROR(AY77*$BD77,0)</f>
        <v/>
      </c>
      <c r="BN77" s="39">
        <f>IFERROR(AZ77*$BD77,0)</f>
        <v/>
      </c>
      <c r="BO77" s="39">
        <f>IFERROR(BA77*$BD77,0)</f>
        <v/>
      </c>
      <c r="BP77" s="40" t="n"/>
      <c r="BQ77" s="40">
        <f>IF(VALUE(MID(BQ$5,6,1))&lt;=$D$2,((1+$BD$3)^1-1)*BG77,0)</f>
        <v/>
      </c>
      <c r="BR77" s="40">
        <f>IF(VALUE(MID(BR$5,6,1))&lt;=$D$2,((1+$BD$3)^2-1)*BH77,0)</f>
        <v/>
      </c>
      <c r="BS77" s="40">
        <f>IF(VALUE(MID(BS$5,6,1))&lt;=$D$2,((1+$BD$3)^3-1)*BI77,0)</f>
        <v/>
      </c>
      <c r="BT77" s="40">
        <f>IF(VALUE(MID(BT$5,6,1))&lt;=$D$2,((1+$BD$3)^4-1)*BJ77,0)</f>
        <v/>
      </c>
      <c r="BU77" s="40">
        <f>IF(VALUE(MID(BU$5,6,1))&lt;=$D$2,((1+$BD$3)^5-1)*BK77,0)</f>
        <v/>
      </c>
      <c r="BV77" s="40">
        <f>IF(VALUE(MID(BV$5,6,1))&lt;=$D$2,((1+$BD$3)^6-1)*BL77,0)</f>
        <v/>
      </c>
      <c r="BW77" s="40">
        <f>IF(VALUE(MID(BW$5,6,1))&lt;=$D$2,((1+$BD$3)^7-1)*BM77,0)</f>
        <v/>
      </c>
      <c r="BX77" s="40">
        <f>IF(VALUE(MID(BX$5,6,1))&lt;=$D$2,((1+$BD$3)^8-1)*BN77,0)</f>
        <v/>
      </c>
      <c r="BY77" s="40">
        <f>IF(VALUE(MID(BY$5,6,2))&lt;=$D$2,((1+$BD$3)^9-1)*BO77,0)</f>
        <v/>
      </c>
      <c r="BZ77" s="40">
        <f>SUM(BP77:BY77)</f>
        <v/>
      </c>
      <c r="CA77" s="37">
        <f>SUM(BZ77,BF77:BO77)</f>
        <v/>
      </c>
      <c r="CC77" s="102" t="n"/>
      <c r="CD77" s="12" t="n"/>
      <c r="CE77" s="14" t="n"/>
      <c r="CF77" s="14" t="n"/>
      <c r="CG77" s="14" t="n"/>
      <c r="CH77" s="14" t="n"/>
      <c r="CI77" s="14" t="n"/>
      <c r="CJ77" s="14" t="n"/>
      <c r="CK77" s="14" t="n"/>
      <c r="CL77" s="14" t="n"/>
      <c r="CM77" s="14" t="n"/>
      <c r="CN77" s="24" t="n"/>
      <c r="CO77" s="63" t="n"/>
      <c r="CP77" s="53" t="n"/>
      <c r="CQ77" s="21" t="n"/>
      <c r="CR77" s="55" t="n"/>
      <c r="CS77" s="55" t="n"/>
      <c r="CT77" s="55" t="n"/>
      <c r="CU77" s="55" t="n"/>
      <c r="CV77" s="55" t="n"/>
      <c r="CW77" s="55" t="n"/>
      <c r="CX77" s="55" t="n"/>
      <c r="CY77" s="55" t="n"/>
      <c r="CZ77" s="55" t="n"/>
      <c r="DA77" s="55" t="n"/>
      <c r="DB77" s="56" t="n"/>
      <c r="DC77" s="56" t="n"/>
      <c r="DD77" s="56" t="n"/>
      <c r="DE77" s="56" t="n"/>
      <c r="DF77" s="56" t="n"/>
      <c r="DG77" s="56" t="n"/>
      <c r="DH77" s="56" t="n"/>
      <c r="DI77" s="56" t="n"/>
      <c r="DJ77" s="56" t="n"/>
      <c r="DK77" s="56" t="n"/>
      <c r="DL77" s="57" t="n"/>
      <c r="DM77" s="54" t="n"/>
      <c r="DO77" s="106" t="n"/>
    </row>
    <row r="78" ht="15.75" customHeight="1" thickBot="1">
      <c r="B78" s="141" t="n"/>
      <c r="C78" s="24" t="n"/>
      <c r="D78" s="147" t="n"/>
      <c r="E78" s="142" t="n"/>
      <c r="F78" s="14" t="n"/>
      <c r="G78" s="14" t="n"/>
      <c r="H78" s="14" t="n"/>
      <c r="I78" s="14" t="n"/>
      <c r="J78" s="14" t="n"/>
      <c r="K78" s="14" t="n"/>
      <c r="L78" s="14" t="n"/>
      <c r="M78" s="14" t="n"/>
      <c r="N78" s="24" t="n"/>
      <c r="O78" s="127" t="n"/>
      <c r="P78" s="13" t="n"/>
      <c r="Q78" s="20" t="n"/>
      <c r="R78" s="21" t="n"/>
      <c r="S78" s="6" t="n"/>
      <c r="T78" s="6" t="n"/>
      <c r="U78" s="6" t="n"/>
      <c r="V78" s="6" t="n"/>
      <c r="W78" s="6" t="n"/>
      <c r="X78" s="6" t="n"/>
      <c r="Y78" s="6" t="n"/>
      <c r="Z78" s="6" t="n"/>
      <c r="AA78" s="6" t="n"/>
      <c r="AB78" s="6" t="n"/>
      <c r="AC78" s="7" t="n"/>
      <c r="AD78" s="152" t="n"/>
      <c r="AE78" s="152" t="n"/>
      <c r="AF78" s="152" t="n"/>
      <c r="AG78" s="152" t="n"/>
      <c r="AH78" s="152" t="n"/>
      <c r="AI78" s="152" t="n"/>
      <c r="AJ78" s="152" t="n"/>
      <c r="AK78" s="152" t="n"/>
      <c r="AL78" s="152" t="n"/>
      <c r="AM78" s="9" t="n"/>
      <c r="AN78" s="80" t="n"/>
      <c r="AP78" s="282" t="inlineStr">
        <is>
          <t>Recurring Monthly and Annual Fees Licensed Products</t>
        </is>
      </c>
      <c r="AQ78" s="267" t="n"/>
      <c r="AR78" s="267" t="n"/>
      <c r="AS78" s="267" t="n"/>
      <c r="AT78" s="267" t="n"/>
      <c r="AU78" s="267" t="n"/>
      <c r="AV78" s="267" t="n"/>
      <c r="AW78" s="267" t="n"/>
      <c r="AX78" s="267" t="n"/>
      <c r="AY78" s="267" t="n"/>
      <c r="AZ78" s="267" t="n"/>
      <c r="BA78" s="267" t="n"/>
      <c r="BB78" s="267" t="n"/>
      <c r="BC78" s="267" t="n"/>
      <c r="BD78" s="267" t="n"/>
      <c r="BE78" s="267" t="n"/>
      <c r="BF78" s="267" t="n"/>
      <c r="BG78" s="267" t="n"/>
      <c r="BH78" s="267" t="n"/>
      <c r="BI78" s="267" t="n"/>
      <c r="BJ78" s="267" t="n"/>
      <c r="BK78" s="267" t="n"/>
      <c r="BL78" s="267" t="n"/>
      <c r="BM78" s="267" t="n"/>
      <c r="BN78" s="267" t="n"/>
      <c r="BO78" s="267" t="n"/>
      <c r="BP78" s="267" t="n"/>
      <c r="BQ78" s="267" t="n"/>
      <c r="BR78" s="267" t="n"/>
      <c r="BS78" s="267" t="n"/>
      <c r="BT78" s="267" t="n"/>
      <c r="BU78" s="267" t="n"/>
      <c r="BV78" s="267" t="n"/>
      <c r="BW78" s="267" t="n"/>
      <c r="BX78" s="267" t="n"/>
      <c r="BY78" s="267" t="n"/>
      <c r="BZ78" s="267" t="n"/>
      <c r="CA78" s="268" t="n"/>
      <c r="CC78" s="102" t="n"/>
      <c r="CD78" s="12" t="n"/>
      <c r="CE78" s="14" t="n"/>
      <c r="CF78" s="14" t="n"/>
      <c r="CG78" s="14" t="n"/>
      <c r="CH78" s="14" t="n"/>
      <c r="CI78" s="14" t="n"/>
      <c r="CJ78" s="14" t="n"/>
      <c r="CK78" s="14" t="n"/>
      <c r="CL78" s="14" t="n"/>
      <c r="CM78" s="14" t="n"/>
      <c r="CN78" s="24" t="n"/>
      <c r="CO78" s="63" t="n"/>
      <c r="CP78" s="53" t="n"/>
      <c r="CQ78" s="21" t="n"/>
      <c r="CR78" s="55" t="n"/>
      <c r="CS78" s="55" t="n"/>
      <c r="CT78" s="55" t="n"/>
      <c r="CU78" s="55" t="n"/>
      <c r="CV78" s="55" t="n"/>
      <c r="CW78" s="55" t="n"/>
      <c r="CX78" s="55" t="n"/>
      <c r="CY78" s="55" t="n"/>
      <c r="CZ78" s="55" t="n"/>
      <c r="DA78" s="55" t="n"/>
      <c r="DB78" s="56" t="n"/>
      <c r="DC78" s="56" t="n"/>
      <c r="DD78" s="56" t="n"/>
      <c r="DE78" s="56" t="n"/>
      <c r="DF78" s="56" t="n"/>
      <c r="DG78" s="56" t="n"/>
      <c r="DH78" s="56" t="n"/>
      <c r="DI78" s="56" t="n"/>
      <c r="DJ78" s="56" t="n"/>
      <c r="DK78" s="56" t="n"/>
      <c r="DL78" s="57" t="n"/>
      <c r="DM78" s="54" t="n"/>
      <c r="DO78" s="106" t="n"/>
    </row>
    <row r="79" ht="14.25" customHeight="1">
      <c r="B79" s="141" t="n"/>
      <c r="C79" s="24" t="n"/>
      <c r="D79" s="147" t="n"/>
      <c r="E79" s="142" t="n"/>
      <c r="F79" s="14" t="n"/>
      <c r="G79" s="14" t="n"/>
      <c r="H79" s="14" t="n"/>
      <c r="I79" s="14" t="n"/>
      <c r="J79" s="14" t="n"/>
      <c r="K79" s="14" t="n"/>
      <c r="L79" s="14" t="n"/>
      <c r="M79" s="14" t="n"/>
      <c r="N79" s="24" t="n"/>
      <c r="O79" s="127" t="n"/>
      <c r="P79" s="13" t="n"/>
      <c r="Q79" s="20" t="n"/>
      <c r="R79" s="21" t="n"/>
      <c r="S79" s="6" t="n"/>
      <c r="T79" s="6" t="n"/>
      <c r="U79" s="6" t="n"/>
      <c r="V79" s="6" t="n"/>
      <c r="W79" s="6" t="n"/>
      <c r="X79" s="6" t="n"/>
      <c r="Y79" s="6" t="n"/>
      <c r="Z79" s="6" t="n"/>
      <c r="AA79" s="6" t="n"/>
      <c r="AB79" s="6" t="n"/>
      <c r="AC79" s="7" t="n"/>
      <c r="AD79" s="152" t="n"/>
      <c r="AE79" s="152" t="n"/>
      <c r="AF79" s="152" t="n"/>
      <c r="AG79" s="152" t="n"/>
      <c r="AH79" s="152" t="n"/>
      <c r="AI79" s="152" t="n"/>
      <c r="AJ79" s="152" t="n"/>
      <c r="AK79" s="152" t="n"/>
      <c r="AL79" s="152" t="n"/>
      <c r="AM79" s="9" t="n"/>
      <c r="AN79" s="80" t="n"/>
      <c r="AP79" s="102" t="inlineStr">
        <is>
          <t>Annual</t>
        </is>
      </c>
      <c r="AQ79" s="12" t="n">
        <v>1</v>
      </c>
      <c r="AR79" s="14">
        <f>IF($AP79="Annual",1,IF($AP79="Monthly F",12,IF($AP79="Monthly V",AQ79*12,IF($AP79="One-Time",1,AQ79*12))))</f>
        <v/>
      </c>
      <c r="AS79" s="14">
        <f t="array" ref="AS79">IFERROR(_xlfn.IFS(VALUE(MID(AS$5,6,1))&gt;$D$2,0,$AP79="Annual",1,AR79=12,12,$AP79="Monthly V",AR79*(1+$D$3),$AP79="Monthly F",12,$AP79="One-Time",0),AR79*(1+$D$3))</f>
        <v/>
      </c>
      <c r="AT79" s="14">
        <f t="array" ref="AT79">IFERROR(_xlfn.IFS(VALUE(MID(AT$5,6,1))&gt;$D$2,0,$AP79="Annual",1,AS79=12,12,$AP79="Monthly V",AS79*(1+$D$3),$AP79="Monthly F",12,$AP79="One-Time",0),AS79*(1+$D$3))</f>
        <v/>
      </c>
      <c r="AU79" s="14">
        <f t="array" ref="AU79">IFERROR(_xlfn.IFS(VALUE(MID(AU$5,6,1))&gt;$D$2,0,$AP79="Annual",1,AT79=12,12,$AP79="Monthly V",AT79*(1+$D$3),$AP79="Monthly F",12,$AP79="One-Time",0),AT79*(1+$D$3))</f>
        <v/>
      </c>
      <c r="AV79" s="14">
        <f t="array" ref="AV79">IFERROR(_xlfn.IFS(VALUE(MID(AV$5,6,1))&gt;$D$2,0,$AP79="Annual",1,AU79=12,12,$AP79="Monthly V",AU79*(1+$D$3),$AP79="Monthly F",12,$AP79="One-Time",0),AU79*(1+$D$3))</f>
        <v/>
      </c>
      <c r="AW79" s="14">
        <f t="array" ref="AW79">IFERROR(_xlfn.IFS(VALUE(MID(AW$5,6,1))&gt;$D$2,0,$AP79="Annual",1,AV79=12,12,$AP79="Monthly V",AV79*(1+$D$3),$AP79="Monthly F",12,$AP79="One-Time",0),AV79*(1+$D$3))</f>
        <v/>
      </c>
      <c r="AX79" s="14">
        <f t="array" ref="AX79">IFERROR(_xlfn.IFS(VALUE(MID(AX$5,6,1))&gt;$D$2,0,$AP79="Annual",1,AW79=12,12,$AP79="Monthly V",AW79*(1+$D$3),$AP79="Monthly F",12,$AP79="One-Time",0),AW79*(1+$D$3))</f>
        <v/>
      </c>
      <c r="AY79" s="14">
        <f t="array" ref="AY79">IFERROR(_xlfn.IFS(VALUE(MID(AY$5,6,1))&gt;$D$2,0,$AP79="Annual",1,AX79=12,12,$AP79="Monthly V",AX79*(1+$D$3),$AP79="Monthly F",12,$AP79="One-Time",0),AX79*(1+$D$3))</f>
        <v/>
      </c>
      <c r="AZ79" s="14">
        <f t="array" ref="AZ79">IFERROR(_xlfn.IFS(VALUE(MID(AZ$5,6,1))&gt;$D$2,0,$AP79="Annual",1,AY79=12,12,$AP79="Monthly V",AY79*(1+$D$3),$AP79="Monthly F",12,$AP79="One-Time",0),AY79*(1+$D$3))</f>
        <v/>
      </c>
      <c r="BA79" s="125">
        <f t="array" ref="BA79">IFERROR(_xlfn.IFS(VALUE(MID(BA$5,6,2))&gt;$D$2,0,$AP79="Annual",1,AZ79=12,12,$AP79="Monthly V",AZ79*(1+$D$3),$AP79="Monthly F",12,$AP79="One-Time",0),AZ79*(1+$D$3))</f>
        <v/>
      </c>
      <c r="BB79" s="124" t="inlineStr">
        <is>
          <t>iPay Electronic Bill Payment Annual Compliance Package Banno</t>
        </is>
      </c>
      <c r="BC79" s="38" t="inlineStr">
        <is>
          <t>iPay</t>
        </is>
      </c>
      <c r="BD79" s="36" t="n">
        <v>630</v>
      </c>
      <c r="BE79" s="21">
        <f>BF79/12</f>
        <v/>
      </c>
      <c r="BF79" s="39">
        <f>IFERROR(AR79*$BD79,0)</f>
        <v/>
      </c>
      <c r="BG79" s="39">
        <f>IFERROR(AS79*$BD79,0)</f>
        <v/>
      </c>
      <c r="BH79" s="39">
        <f>IFERROR(AT79*$BD79,0)</f>
        <v/>
      </c>
      <c r="BI79" s="39">
        <f>BH79*1.03</f>
        <v/>
      </c>
      <c r="BJ79" s="39">
        <f>BI79*1.03</f>
        <v/>
      </c>
      <c r="BK79" s="39">
        <f>BJ79*1.03</f>
        <v/>
      </c>
      <c r="BL79" s="39">
        <f>BK79*1.03</f>
        <v/>
      </c>
      <c r="BM79" s="39">
        <f>IFERROR(AY79*$BD79,0)</f>
        <v/>
      </c>
      <c r="BN79" s="39">
        <f>IFERROR(AZ79*$BD79,0)</f>
        <v/>
      </c>
      <c r="BO79" s="39">
        <f>IFERROR(BA79*$BD79,0)</f>
        <v/>
      </c>
      <c r="BP79" s="40" t="n"/>
      <c r="BQ79" s="40">
        <f>IF(VALUE(MID(BQ$5,6,1))&lt;=$D$2,((1+$BD$3)^1-1)*BG79,0)</f>
        <v/>
      </c>
      <c r="BR79" s="40">
        <f>IF(VALUE(MID(BR$5,6,1))&lt;=$D$2,((1+$BD$3)^2-1)*BH79,0)</f>
        <v/>
      </c>
      <c r="BS79" s="40">
        <f>IF(VALUE(MID(BS$5,6,1))&lt;=$D$2,((1+$BD$3)^3-1)*BI79,0)</f>
        <v/>
      </c>
      <c r="BT79" s="40">
        <f>IF(VALUE(MID(BT$5,6,1))&lt;=$D$2,((1+$BD$3)^4-1)*BJ79,0)</f>
        <v/>
      </c>
      <c r="BU79" s="40">
        <f>IF(VALUE(MID(BU$5,6,1))&lt;=$D$2,((1+$BD$3)^5-1)*BK79,0)</f>
        <v/>
      </c>
      <c r="BV79" s="40">
        <f>IF(VALUE(MID(BV$5,6,1))&lt;=$D$2,((1+$BD$3)^6-1)*BL79,0)</f>
        <v/>
      </c>
      <c r="BW79" s="40">
        <f>IF(VALUE(MID(BW$5,6,1))&lt;=$D$2,((1+$BD$3)^7-1)*BM79,0)</f>
        <v/>
      </c>
      <c r="BX79" s="40">
        <f>IF(VALUE(MID(BX$5,6,1))&lt;=$D$2,((1+$BD$3)^8-1)*BN79,0)</f>
        <v/>
      </c>
      <c r="BY79" s="40">
        <f>IF(VALUE(MID(BY$5,6,2))&lt;=$D$2,((1+$BD$3)^9-1)*BO79,0)</f>
        <v/>
      </c>
      <c r="BZ79" s="40">
        <f>SUM(BP79:BY79)</f>
        <v/>
      </c>
      <c r="CA79" s="37">
        <f>SUM(BZ79,BF79:BO79)</f>
        <v/>
      </c>
      <c r="CC79" s="102" t="n"/>
      <c r="CD79" s="12" t="n"/>
      <c r="CE79" s="14" t="n"/>
      <c r="CF79" s="14" t="n"/>
      <c r="CG79" s="14" t="n"/>
      <c r="CH79" s="14" t="n"/>
      <c r="CI79" s="14" t="n"/>
      <c r="CJ79" s="14" t="n"/>
      <c r="CK79" s="14" t="n"/>
      <c r="CL79" s="14" t="n"/>
      <c r="CM79" s="14" t="n"/>
      <c r="CN79" s="24" t="n"/>
      <c r="CO79" s="63" t="n"/>
      <c r="CP79" s="53" t="n"/>
      <c r="CQ79" s="21" t="n"/>
      <c r="CR79" s="55" t="n"/>
      <c r="CS79" s="55" t="n"/>
      <c r="CT79" s="55" t="n"/>
      <c r="CU79" s="55" t="n"/>
      <c r="CV79" s="55" t="n"/>
      <c r="CW79" s="55" t="n"/>
      <c r="CX79" s="55" t="n"/>
      <c r="CY79" s="55" t="n"/>
      <c r="CZ79" s="55" t="n"/>
      <c r="DA79" s="55" t="n"/>
      <c r="DB79" s="56" t="n"/>
      <c r="DC79" s="56" t="n"/>
      <c r="DD79" s="56" t="n"/>
      <c r="DE79" s="56" t="n"/>
      <c r="DF79" s="56" t="n"/>
      <c r="DG79" s="56" t="n"/>
      <c r="DH79" s="56" t="n"/>
      <c r="DI79" s="56" t="n"/>
      <c r="DJ79" s="56" t="n"/>
      <c r="DK79" s="56" t="n"/>
      <c r="DL79" s="57" t="n"/>
      <c r="DM79" s="54" t="n"/>
      <c r="DO79" s="106" t="n"/>
    </row>
    <row r="80">
      <c r="B80" s="141" t="n"/>
      <c r="C80" s="24" t="n"/>
      <c r="D80" s="147" t="n"/>
      <c r="E80" s="142" t="n"/>
      <c r="F80" s="14" t="n"/>
      <c r="G80" s="14" t="n"/>
      <c r="H80" s="14" t="n"/>
      <c r="I80" s="14" t="n"/>
      <c r="J80" s="14" t="n"/>
      <c r="K80" s="14" t="n"/>
      <c r="L80" s="14" t="n"/>
      <c r="M80" s="14" t="n"/>
      <c r="N80" s="24" t="n"/>
      <c r="O80" s="127" t="n"/>
      <c r="P80" s="13" t="n"/>
      <c r="Q80" s="20" t="n"/>
      <c r="R80" s="21" t="n"/>
      <c r="S80" s="6" t="n"/>
      <c r="T80" s="6" t="n"/>
      <c r="U80" s="6" t="n"/>
      <c r="V80" s="6" t="n"/>
      <c r="W80" s="6" t="n"/>
      <c r="X80" s="6" t="n"/>
      <c r="Y80" s="6" t="n"/>
      <c r="Z80" s="6" t="n"/>
      <c r="AA80" s="6" t="n"/>
      <c r="AB80" s="6" t="n"/>
      <c r="AC80" s="7" t="n"/>
      <c r="AD80" s="152" t="n"/>
      <c r="AE80" s="152" t="n"/>
      <c r="AF80" s="152" t="n"/>
      <c r="AG80" s="152" t="n"/>
      <c r="AH80" s="152" t="n"/>
      <c r="AI80" s="152" t="n"/>
      <c r="AJ80" s="152" t="n"/>
      <c r="AK80" s="152" t="n"/>
      <c r="AL80" s="152" t="n"/>
      <c r="AM80" s="9" t="n"/>
      <c r="AN80" s="80" t="n"/>
      <c r="AP80" s="102" t="inlineStr">
        <is>
          <t>Annual</t>
        </is>
      </c>
      <c r="AQ80" s="12" t="n">
        <v>1</v>
      </c>
      <c r="AR80" s="14">
        <f>IF($AP80="Annual",1,IF($AP80="Monthly F",12,IF($AP80="Monthly V",AQ80*12,IF($AP80="One-Time",1,AQ80*12))))</f>
        <v/>
      </c>
      <c r="AS80" s="14">
        <f t="array" ref="AS80">IFERROR(_xlfn.IFS(VALUE(MID(AS$5,6,1))&gt;$D$2,0,$AP80="Annual",1,AR80=12,12,$AP80="Monthly V",AR80*(1+$D$3),$AP80="Monthly F",12,$AP80="One-Time",0),AR80*(1+$D$3))</f>
        <v/>
      </c>
      <c r="AT80" s="14">
        <f t="array" ref="AT80">IFERROR(_xlfn.IFS(VALUE(MID(AT$5,6,1))&gt;$D$2,0,$AP80="Annual",1,AS80=12,12,$AP80="Monthly V",AS80*(1+$D$3),$AP80="Monthly F",12,$AP80="One-Time",0),AS80*(1+$D$3))</f>
        <v/>
      </c>
      <c r="AU80" s="14">
        <f t="array" ref="AU80">IFERROR(_xlfn.IFS(VALUE(MID(AU$5,6,1))&gt;$D$2,0,$AP80="Annual",1,AT80=12,12,$AP80="Monthly V",AT80*(1+$D$3),$AP80="Monthly F",12,$AP80="One-Time",0),AT80*(1+$D$3))</f>
        <v/>
      </c>
      <c r="AV80" s="14">
        <f t="array" ref="AV80">IFERROR(_xlfn.IFS(VALUE(MID(AV$5,6,1))&gt;$D$2,0,$AP80="Annual",1,AU80=12,12,$AP80="Monthly V",AU80*(1+$D$3),$AP80="Monthly F",12,$AP80="One-Time",0),AU80*(1+$D$3))</f>
        <v/>
      </c>
      <c r="AW80" s="14">
        <f t="array" ref="AW80">IFERROR(_xlfn.IFS(VALUE(MID(AW$5,6,1))&gt;$D$2,0,$AP80="Annual",1,AV80=12,12,$AP80="Monthly V",AV80*(1+$D$3),$AP80="Monthly F",12,$AP80="One-Time",0),AV80*(1+$D$3))</f>
        <v/>
      </c>
      <c r="AX80" s="14">
        <f t="array" ref="AX80">IFERROR(_xlfn.IFS(VALUE(MID(AX$5,6,1))&gt;$D$2,0,$AP80="Annual",1,AW80=12,12,$AP80="Monthly V",AW80*(1+$D$3),$AP80="Monthly F",12,$AP80="One-Time",0),AW80*(1+$D$3))</f>
        <v/>
      </c>
      <c r="AY80" s="14">
        <f t="array" ref="AY80">IFERROR(_xlfn.IFS(VALUE(MID(AY$5,6,1))&gt;$D$2,0,$AP80="Annual",1,AX80=12,12,$AP80="Monthly V",AX80*(1+$D$3),$AP80="Monthly F",12,$AP80="One-Time",0),AX80*(1+$D$3))</f>
        <v/>
      </c>
      <c r="AZ80" s="14">
        <f t="array" ref="AZ80">IFERROR(_xlfn.IFS(VALUE(MID(AZ$5,6,1))&gt;$D$2,0,$AP80="Annual",1,AY80=12,12,$AP80="Monthly V",AY80*(1+$D$3),$AP80="Monthly F",12,$AP80="One-Time",0),AY80*(1+$D$3))</f>
        <v/>
      </c>
      <c r="BA80" s="125">
        <f t="array" ref="BA80">IFERROR(_xlfn.IFS(VALUE(MID(BA$5,6,2))&gt;$D$2,0,$AP80="Annual",1,AZ80=12,12,$AP80="Monthly V",AZ80*(1+$D$3),$AP80="Monthly F",12,$AP80="One-Time",0),AZ80*(1+$D$3))</f>
        <v/>
      </c>
      <c r="BB80" s="124" t="inlineStr">
        <is>
          <t>Centurion Remote Data Entry</t>
        </is>
      </c>
      <c r="BC80" s="38" t="inlineStr">
        <is>
          <t>Centurion</t>
        </is>
      </c>
      <c r="BD80" s="36" t="n">
        <v>1880</v>
      </c>
      <c r="BE80" s="21">
        <f>BF80/12</f>
        <v/>
      </c>
      <c r="BF80" s="39">
        <f>IFERROR(AR80*$BD80,0)</f>
        <v/>
      </c>
      <c r="BG80" s="39">
        <f>IFERROR(AS80*$BD80,0)</f>
        <v/>
      </c>
      <c r="BH80" s="39">
        <f>IFERROR(AT80*$BD80,0)</f>
        <v/>
      </c>
      <c r="BI80" s="39">
        <f>BH80*1.03</f>
        <v/>
      </c>
      <c r="BJ80" s="39">
        <f>BI80*1.03</f>
        <v/>
      </c>
      <c r="BK80" s="39">
        <f>BJ80*1.03</f>
        <v/>
      </c>
      <c r="BL80" s="39">
        <f>BK80*1.03</f>
        <v/>
      </c>
      <c r="BM80" s="39">
        <f>IFERROR(AY80*$BD80,0)</f>
        <v/>
      </c>
      <c r="BN80" s="39">
        <f>IFERROR(AZ80*$BD80,0)</f>
        <v/>
      </c>
      <c r="BO80" s="39">
        <f>IFERROR(BA80*$BD80,0)</f>
        <v/>
      </c>
      <c r="BP80" s="40" t="n"/>
      <c r="BQ80" s="40">
        <f>IF(VALUE(MID(BQ$5,6,1))&lt;=$D$2,((1+$BD$3)^1-1)*BG80,0)</f>
        <v/>
      </c>
      <c r="BR80" s="40">
        <f>IF(VALUE(MID(BR$5,6,1))&lt;=$D$2,((1+$BD$3)^2-1)*BH80,0)</f>
        <v/>
      </c>
      <c r="BS80" s="40">
        <f>IF(VALUE(MID(BS$5,6,1))&lt;=$D$2,((1+$BD$3)^3-1)*BI80,0)</f>
        <v/>
      </c>
      <c r="BT80" s="40">
        <f>IF(VALUE(MID(BT$5,6,1))&lt;=$D$2,((1+$BD$3)^4-1)*BJ80,0)</f>
        <v/>
      </c>
      <c r="BU80" s="40">
        <f>IF(VALUE(MID(BU$5,6,1))&lt;=$D$2,((1+$BD$3)^5-1)*BK80,0)</f>
        <v/>
      </c>
      <c r="BV80" s="40">
        <f>IF(VALUE(MID(BV$5,6,1))&lt;=$D$2,((1+$BD$3)^6-1)*BL80,0)</f>
        <v/>
      </c>
      <c r="BW80" s="40">
        <f>IF(VALUE(MID(BW$5,6,1))&lt;=$D$2,((1+$BD$3)^7-1)*BM80,0)</f>
        <v/>
      </c>
      <c r="BX80" s="40">
        <f>IF(VALUE(MID(BX$5,6,1))&lt;=$D$2,((1+$BD$3)^8-1)*BN80,0)</f>
        <v/>
      </c>
      <c r="BY80" s="40">
        <f>IF(VALUE(MID(BY$5,6,2))&lt;=$D$2,((1+$BD$3)^9-1)*BO80,0)</f>
        <v/>
      </c>
      <c r="BZ80" s="40">
        <f>SUM(BP80:BY80)</f>
        <v/>
      </c>
      <c r="CA80" s="37">
        <f>SUM(BZ80,BF80:BO80)</f>
        <v/>
      </c>
      <c r="CC80" s="102" t="n"/>
      <c r="CD80" s="12" t="n"/>
      <c r="CE80" s="14" t="n"/>
      <c r="CF80" s="14" t="n"/>
      <c r="CG80" s="14" t="n"/>
      <c r="CH80" s="14" t="n"/>
      <c r="CI80" s="14" t="n"/>
      <c r="CJ80" s="14" t="n"/>
      <c r="CK80" s="14" t="n"/>
      <c r="CL80" s="14" t="n"/>
      <c r="CM80" s="14" t="n"/>
      <c r="CN80" s="24" t="n"/>
      <c r="CO80" s="63" t="n"/>
      <c r="CP80" s="53" t="n"/>
      <c r="CQ80" s="21" t="n"/>
      <c r="CR80" s="55" t="n"/>
      <c r="CS80" s="55" t="n"/>
      <c r="CT80" s="55" t="n"/>
      <c r="CU80" s="55" t="n"/>
      <c r="CV80" s="55" t="n"/>
      <c r="CW80" s="55" t="n"/>
      <c r="CX80" s="55" t="n"/>
      <c r="CY80" s="55" t="n"/>
      <c r="CZ80" s="55" t="n"/>
      <c r="DA80" s="55" t="n"/>
      <c r="DB80" s="56" t="n"/>
      <c r="DC80" s="56" t="n"/>
      <c r="DD80" s="56" t="n"/>
      <c r="DE80" s="56" t="n"/>
      <c r="DF80" s="56" t="n"/>
      <c r="DG80" s="56" t="n"/>
      <c r="DH80" s="56" t="n"/>
      <c r="DI80" s="56" t="n"/>
      <c r="DJ80" s="56" t="n"/>
      <c r="DK80" s="56" t="n"/>
      <c r="DL80" s="57" t="n"/>
      <c r="DM80" s="54" t="n"/>
      <c r="DO80" s="106" t="n"/>
    </row>
    <row r="81">
      <c r="B81" s="141" t="n"/>
      <c r="C81" s="24" t="n"/>
      <c r="D81" s="147" t="n"/>
      <c r="E81" s="142" t="n"/>
      <c r="F81" s="14" t="n"/>
      <c r="G81" s="14" t="n"/>
      <c r="H81" s="14" t="n"/>
      <c r="I81" s="14" t="n"/>
      <c r="J81" s="14" t="n"/>
      <c r="K81" s="14" t="n"/>
      <c r="L81" s="14" t="n"/>
      <c r="M81" s="14" t="n"/>
      <c r="N81" s="24" t="n"/>
      <c r="O81" s="127" t="n"/>
      <c r="P81" s="13" t="n"/>
      <c r="Q81" s="20" t="n"/>
      <c r="R81" s="21" t="n"/>
      <c r="S81" s="6" t="n"/>
      <c r="T81" s="6" t="n"/>
      <c r="U81" s="6" t="n"/>
      <c r="V81" s="6" t="n"/>
      <c r="W81" s="6" t="n"/>
      <c r="X81" s="6" t="n"/>
      <c r="Y81" s="6" t="n"/>
      <c r="Z81" s="6" t="n"/>
      <c r="AA81" s="6" t="n"/>
      <c r="AB81" s="6" t="n"/>
      <c r="AC81" s="7" t="n"/>
      <c r="AD81" s="152" t="n"/>
      <c r="AE81" s="152" t="n"/>
      <c r="AF81" s="152" t="n"/>
      <c r="AG81" s="152" t="n"/>
      <c r="AH81" s="152" t="n"/>
      <c r="AI81" s="152" t="n"/>
      <c r="AJ81" s="152" t="n"/>
      <c r="AK81" s="152" t="n"/>
      <c r="AL81" s="152" t="n"/>
      <c r="AM81" s="9" t="n"/>
      <c r="AN81" s="80" t="n"/>
      <c r="AP81" s="102" t="inlineStr">
        <is>
          <t>Annual</t>
        </is>
      </c>
      <c r="AQ81" s="12" t="n">
        <v>1</v>
      </c>
      <c r="AR81" s="14">
        <f>IF($AP81="Annual",1,IF($AP81="Monthly F",12,IF($AP81="Monthly V",AQ81*12,IF($AP81="One-Time",1,AQ81*12))))</f>
        <v/>
      </c>
      <c r="AS81" s="14">
        <f t="array" ref="AS81">IFERROR(_xlfn.IFS(VALUE(MID(AS$5,6,1))&gt;$D$2,0,$AP81="Annual",1,AR81=12,12,$AP81="Monthly V",AR81*(1+$D$3),$AP81="Monthly F",12,$AP81="One-Time",0),AR81*(1+$D$3))</f>
        <v/>
      </c>
      <c r="AT81" s="14">
        <f t="array" ref="AT81">IFERROR(_xlfn.IFS(VALUE(MID(AT$5,6,1))&gt;$D$2,0,$AP81="Annual",1,AS81=12,12,$AP81="Monthly V",AS81*(1+$D$3),$AP81="Monthly F",12,$AP81="One-Time",0),AS81*(1+$D$3))</f>
        <v/>
      </c>
      <c r="AU81" s="14">
        <f t="array" ref="AU81">IFERROR(_xlfn.IFS(VALUE(MID(AU$5,6,1))&gt;$D$2,0,$AP81="Annual",1,AT81=12,12,$AP81="Monthly V",AT81*(1+$D$3),$AP81="Monthly F",12,$AP81="One-Time",0),AT81*(1+$D$3))</f>
        <v/>
      </c>
      <c r="AV81" s="14">
        <f t="array" ref="AV81">IFERROR(_xlfn.IFS(VALUE(MID(AV$5,6,1))&gt;$D$2,0,$AP81="Annual",1,AU81=12,12,$AP81="Monthly V",AU81*(1+$D$3),$AP81="Monthly F",12,$AP81="One-Time",0),AU81*(1+$D$3))</f>
        <v/>
      </c>
      <c r="AW81" s="14">
        <f t="array" ref="AW81">IFERROR(_xlfn.IFS(VALUE(MID(AW$5,6,1))&gt;$D$2,0,$AP81="Annual",1,AV81=12,12,$AP81="Monthly V",AV81*(1+$D$3),$AP81="Monthly F",12,$AP81="One-Time",0),AV81*(1+$D$3))</f>
        <v/>
      </c>
      <c r="AX81" s="14">
        <f t="array" ref="AX81">IFERROR(_xlfn.IFS(VALUE(MID(AX$5,6,1))&gt;$D$2,0,$AP81="Annual",1,AW81=12,12,$AP81="Monthly V",AW81*(1+$D$3),$AP81="Monthly F",12,$AP81="One-Time",0),AW81*(1+$D$3))</f>
        <v/>
      </c>
      <c r="AY81" s="14">
        <f t="array" ref="AY81">IFERROR(_xlfn.IFS(VALUE(MID(AY$5,6,1))&gt;$D$2,0,$AP81="Annual",1,AX81=12,12,$AP81="Monthly V",AX81*(1+$D$3),$AP81="Monthly F",12,$AP81="One-Time",0),AX81*(1+$D$3))</f>
        <v/>
      </c>
      <c r="AZ81" s="14">
        <f t="array" ref="AZ81">IFERROR(_xlfn.IFS(VALUE(MID(AZ$5,6,1))&gt;$D$2,0,$AP81="Annual",1,AY81=12,12,$AP81="Monthly V",AY81*(1+$D$3),$AP81="Monthly F",12,$AP81="One-Time",0),AY81*(1+$D$3))</f>
        <v/>
      </c>
      <c r="BA81" s="125">
        <f t="array" ref="BA81">IFERROR(_xlfn.IFS(VALUE(MID(BA$5,6,2))&gt;$D$2,0,$AP81="Annual",1,AZ81=12,12,$AP81="Monthly V",AZ81*(1+$D$3),$AP81="Monthly F",12,$AP81="One-Time",0),AZ81*(1+$D$3))</f>
        <v/>
      </c>
      <c r="BB81" s="124" t="inlineStr">
        <is>
          <t>ProfitStars ALM Basic Reporting Service</t>
        </is>
      </c>
      <c r="BC81" s="38" t="inlineStr">
        <is>
          <t>ProfitStars Financial Performance</t>
        </is>
      </c>
      <c r="BD81" s="36" t="n">
        <v>4940</v>
      </c>
      <c r="BE81" s="21">
        <f>BF81/12</f>
        <v/>
      </c>
      <c r="BF81" s="39">
        <f>IFERROR(AR81*$BD81,0)</f>
        <v/>
      </c>
      <c r="BG81" s="39">
        <f>IFERROR(AS81*$BD81,0)</f>
        <v/>
      </c>
      <c r="BH81" s="39">
        <f>IFERROR(AT81*$BD81,0)</f>
        <v/>
      </c>
      <c r="BI81" s="39">
        <f>BH81*1.03</f>
        <v/>
      </c>
      <c r="BJ81" s="39">
        <f>BI81*1.03</f>
        <v/>
      </c>
      <c r="BK81" s="39">
        <f>BJ81*1.03</f>
        <v/>
      </c>
      <c r="BL81" s="39">
        <f>BK81*1.03</f>
        <v/>
      </c>
      <c r="BM81" s="39">
        <f>IFERROR(AY81*$BD81,0)</f>
        <v/>
      </c>
      <c r="BN81" s="39">
        <f>IFERROR(AZ81*$BD81,0)</f>
        <v/>
      </c>
      <c r="BO81" s="39">
        <f>IFERROR(BA81*$BD81,0)</f>
        <v/>
      </c>
      <c r="BP81" s="40" t="n"/>
      <c r="BQ81" s="40">
        <f>IF(VALUE(MID(BQ$5,6,1))&lt;=$D$2,((1+$BD$3)^1-1)*BG81,0)</f>
        <v/>
      </c>
      <c r="BR81" s="40">
        <f>IF(VALUE(MID(BR$5,6,1))&lt;=$D$2,((1+$BD$3)^2-1)*BH81,0)</f>
        <v/>
      </c>
      <c r="BS81" s="40">
        <f>IF(VALUE(MID(BS$5,6,1))&lt;=$D$2,((1+$BD$3)^3-1)*BI81,0)</f>
        <v/>
      </c>
      <c r="BT81" s="40">
        <f>IF(VALUE(MID(BT$5,6,1))&lt;=$D$2,((1+$BD$3)^4-1)*BJ81,0)</f>
        <v/>
      </c>
      <c r="BU81" s="40">
        <f>IF(VALUE(MID(BU$5,6,1))&lt;=$D$2,((1+$BD$3)^5-1)*BK81,0)</f>
        <v/>
      </c>
      <c r="BV81" s="40">
        <f>IF(VALUE(MID(BV$5,6,1))&lt;=$D$2,((1+$BD$3)^6-1)*BL81,0)</f>
        <v/>
      </c>
      <c r="BW81" s="40">
        <f>IF(VALUE(MID(BW$5,6,1))&lt;=$D$2,((1+$BD$3)^7-1)*BM81,0)</f>
        <v/>
      </c>
      <c r="BX81" s="40">
        <f>IF(VALUE(MID(BX$5,6,1))&lt;=$D$2,((1+$BD$3)^8-1)*BN81,0)</f>
        <v/>
      </c>
      <c r="BY81" s="40">
        <f>IF(VALUE(MID(BY$5,6,2))&lt;=$D$2,((1+$BD$3)^9-1)*BO81,0)</f>
        <v/>
      </c>
      <c r="BZ81" s="40">
        <f>SUM(BP81:BY81)</f>
        <v/>
      </c>
      <c r="CA81" s="37">
        <f>SUM(BZ81,BF81:BO81)</f>
        <v/>
      </c>
      <c r="CC81" s="102" t="n"/>
      <c r="CD81" s="12" t="n"/>
      <c r="CE81" s="14" t="n"/>
      <c r="CF81" s="14" t="n"/>
      <c r="CG81" s="14" t="n"/>
      <c r="CH81" s="14" t="n"/>
      <c r="CI81" s="14" t="n"/>
      <c r="CJ81" s="14" t="n"/>
      <c r="CK81" s="14" t="n"/>
      <c r="CL81" s="14" t="n"/>
      <c r="CM81" s="14" t="n"/>
      <c r="CN81" s="24" t="n"/>
      <c r="CO81" s="63" t="n"/>
      <c r="CP81" s="53" t="n"/>
      <c r="CQ81" s="21" t="n"/>
      <c r="CR81" s="55" t="n"/>
      <c r="CS81" s="55" t="n"/>
      <c r="CT81" s="55" t="n"/>
      <c r="CU81" s="55" t="n"/>
      <c r="CV81" s="55" t="n"/>
      <c r="CW81" s="55" t="n"/>
      <c r="CX81" s="55" t="n"/>
      <c r="CY81" s="55" t="n"/>
      <c r="CZ81" s="55" t="n"/>
      <c r="DA81" s="55" t="n"/>
      <c r="DB81" s="56" t="n"/>
      <c r="DC81" s="56" t="n"/>
      <c r="DD81" s="56" t="n"/>
      <c r="DE81" s="56" t="n"/>
      <c r="DF81" s="56" t="n"/>
      <c r="DG81" s="56" t="n"/>
      <c r="DH81" s="56" t="n"/>
      <c r="DI81" s="56" t="n"/>
      <c r="DJ81" s="56" t="n"/>
      <c r="DK81" s="56" t="n"/>
      <c r="DL81" s="57" t="n"/>
      <c r="DM81" s="54" t="n"/>
      <c r="DO81" s="106" t="n"/>
    </row>
    <row r="82">
      <c r="B82" s="141" t="n"/>
      <c r="C82" s="24" t="n"/>
      <c r="D82" s="147" t="n"/>
      <c r="E82" s="142" t="n"/>
      <c r="F82" s="14" t="n"/>
      <c r="G82" s="14" t="n"/>
      <c r="H82" s="14" t="n"/>
      <c r="I82" s="14" t="n"/>
      <c r="J82" s="14" t="n"/>
      <c r="K82" s="14" t="n"/>
      <c r="L82" s="14" t="n"/>
      <c r="M82" s="14" t="n"/>
      <c r="N82" s="24" t="n"/>
      <c r="O82" s="127" t="n"/>
      <c r="P82" s="13" t="n"/>
      <c r="Q82" s="20" t="n"/>
      <c r="R82" s="21" t="n"/>
      <c r="S82" s="6" t="n"/>
      <c r="T82" s="6" t="n"/>
      <c r="U82" s="6" t="n"/>
      <c r="V82" s="6" t="n"/>
      <c r="W82" s="6" t="n"/>
      <c r="X82" s="6" t="n"/>
      <c r="Y82" s="6" t="n"/>
      <c r="Z82" s="6" t="n"/>
      <c r="AA82" s="6" t="n"/>
      <c r="AB82" s="6" t="n"/>
      <c r="AC82" s="7" t="n"/>
      <c r="AD82" s="152" t="n"/>
      <c r="AE82" s="152" t="n"/>
      <c r="AF82" s="152" t="n"/>
      <c r="AG82" s="152" t="n"/>
      <c r="AH82" s="152" t="n"/>
      <c r="AI82" s="152" t="n"/>
      <c r="AJ82" s="152" t="n"/>
      <c r="AK82" s="152" t="n"/>
      <c r="AL82" s="152" t="n"/>
      <c r="AM82" s="9" t="n"/>
      <c r="AN82" s="80" t="n"/>
      <c r="AP82" s="102" t="inlineStr">
        <is>
          <t>Annual</t>
        </is>
      </c>
      <c r="AQ82" s="12" t="n">
        <v>1</v>
      </c>
      <c r="AR82" s="14">
        <f>IF($AP82="Annual",1,IF($AP82="Monthly F",12,IF($AP82="Monthly V",AQ82*12,IF($AP82="One-Time",1,AQ82*12))))</f>
        <v/>
      </c>
      <c r="AS82" s="14">
        <f t="array" ref="AS82">IFERROR(_xlfn.IFS(VALUE(MID(AS$5,6,1))&gt;$D$2,0,$AP82="Annual",1,AR82=12,12,$AP82="Monthly V",AR82*(1+$D$3),$AP82="Monthly F",12,$AP82="One-Time",0),AR82*(1+$D$3))</f>
        <v/>
      </c>
      <c r="AT82" s="14">
        <f t="array" ref="AT82">IFERROR(_xlfn.IFS(VALUE(MID(AT$5,6,1))&gt;$D$2,0,$AP82="Annual",1,AS82=12,12,$AP82="Monthly V",AS82*(1+$D$3),$AP82="Monthly F",12,$AP82="One-Time",0),AS82*(1+$D$3))</f>
        <v/>
      </c>
      <c r="AU82" s="14">
        <f t="array" ref="AU82">IFERROR(_xlfn.IFS(VALUE(MID(AU$5,6,1))&gt;$D$2,0,$AP82="Annual",1,AT82=12,12,$AP82="Monthly V",AT82*(1+$D$3),$AP82="Monthly F",12,$AP82="One-Time",0),AT82*(1+$D$3))</f>
        <v/>
      </c>
      <c r="AV82" s="14">
        <f t="array" ref="AV82">IFERROR(_xlfn.IFS(VALUE(MID(AV$5,6,1))&gt;$D$2,0,$AP82="Annual",1,AU82=12,12,$AP82="Monthly V",AU82*(1+$D$3),$AP82="Monthly F",12,$AP82="One-Time",0),AU82*(1+$D$3))</f>
        <v/>
      </c>
      <c r="AW82" s="14">
        <f t="array" ref="AW82">IFERROR(_xlfn.IFS(VALUE(MID(AW$5,6,1))&gt;$D$2,0,$AP82="Annual",1,AV82=12,12,$AP82="Monthly V",AV82*(1+$D$3),$AP82="Monthly F",12,$AP82="One-Time",0),AV82*(1+$D$3))</f>
        <v/>
      </c>
      <c r="AX82" s="14">
        <f t="array" ref="AX82">IFERROR(_xlfn.IFS(VALUE(MID(AX$5,6,1))&gt;$D$2,0,$AP82="Annual",1,AW82=12,12,$AP82="Monthly V",AW82*(1+$D$3),$AP82="Monthly F",12,$AP82="One-Time",0),AW82*(1+$D$3))</f>
        <v/>
      </c>
      <c r="AY82" s="14">
        <f t="array" ref="AY82">IFERROR(_xlfn.IFS(VALUE(MID(AY$5,6,1))&gt;$D$2,0,$AP82="Annual",1,AX82=12,12,$AP82="Monthly V",AX82*(1+$D$3),$AP82="Monthly F",12,$AP82="One-Time",0),AX82*(1+$D$3))</f>
        <v/>
      </c>
      <c r="AZ82" s="14">
        <f t="array" ref="AZ82">IFERROR(_xlfn.IFS(VALUE(MID(AZ$5,6,1))&gt;$D$2,0,$AP82="Annual",1,AY82=12,12,$AP82="Monthly V",AY82*(1+$D$3),$AP82="Monthly F",12,$AP82="One-Time",0),AY82*(1+$D$3))</f>
        <v/>
      </c>
      <c r="BA82" s="125">
        <f t="array" ref="BA82">IFERROR(_xlfn.IFS(VALUE(MID(BA$5,6,2))&gt;$D$2,0,$AP82="Annual",1,AZ82=12,12,$AP82="Monthly V",AZ82*(1+$D$3),$AP82="Monthly F",12,$AP82="One-Time",0),AZ82*(1+$D$3))</f>
        <v/>
      </c>
      <c r="BB82" s="124" t="inlineStr">
        <is>
          <t>Know-It-All Now eLearning</t>
        </is>
      </c>
      <c r="BC82" s="38" t="inlineStr">
        <is>
          <t>Know-It-All</t>
        </is>
      </c>
      <c r="BD82" s="36" t="n">
        <v>3500</v>
      </c>
      <c r="BE82" s="21">
        <f>BF82/12</f>
        <v/>
      </c>
      <c r="BF82" s="39">
        <f>IFERROR(AR82*$BD82,0)</f>
        <v/>
      </c>
      <c r="BG82" s="39">
        <f>IFERROR(AS82*$BD82,0)</f>
        <v/>
      </c>
      <c r="BH82" s="39">
        <f>IFERROR(AT82*$BD82,0)</f>
        <v/>
      </c>
      <c r="BI82" s="39">
        <f>BH82*1.03</f>
        <v/>
      </c>
      <c r="BJ82" s="39">
        <f>BI82*1.03</f>
        <v/>
      </c>
      <c r="BK82" s="39">
        <f>BJ82*1.03</f>
        <v/>
      </c>
      <c r="BL82" s="39">
        <f>BK82*1.03</f>
        <v/>
      </c>
      <c r="BM82" s="39">
        <f>IFERROR(AY82*$BD82,0)</f>
        <v/>
      </c>
      <c r="BN82" s="39">
        <f>IFERROR(AZ82*$BD82,0)</f>
        <v/>
      </c>
      <c r="BO82" s="39">
        <f>IFERROR(BA82*$BD82,0)</f>
        <v/>
      </c>
      <c r="BP82" s="40" t="n"/>
      <c r="BQ82" s="40">
        <f>IF(VALUE(MID(BQ$5,6,1))&lt;=$D$2,((1+$BD$3)^1-1)*BG82,0)</f>
        <v/>
      </c>
      <c r="BR82" s="40">
        <f>IF(VALUE(MID(BR$5,6,1))&lt;=$D$2,((1+$BD$3)^2-1)*BH82,0)</f>
        <v/>
      </c>
      <c r="BS82" s="40">
        <f>IF(VALUE(MID(BS$5,6,1))&lt;=$D$2,((1+$BD$3)^3-1)*BI82,0)</f>
        <v/>
      </c>
      <c r="BT82" s="40">
        <f>IF(VALUE(MID(BT$5,6,1))&lt;=$D$2,((1+$BD$3)^4-1)*BJ82,0)</f>
        <v/>
      </c>
      <c r="BU82" s="40">
        <f>IF(VALUE(MID(BU$5,6,1))&lt;=$D$2,((1+$BD$3)^5-1)*BK82,0)</f>
        <v/>
      </c>
      <c r="BV82" s="40">
        <f>IF(VALUE(MID(BV$5,6,1))&lt;=$D$2,((1+$BD$3)^6-1)*BL82,0)</f>
        <v/>
      </c>
      <c r="BW82" s="40">
        <f>IF(VALUE(MID(BW$5,6,1))&lt;=$D$2,((1+$BD$3)^7-1)*BM82,0)</f>
        <v/>
      </c>
      <c r="BX82" s="40">
        <f>IF(VALUE(MID(BX$5,6,1))&lt;=$D$2,((1+$BD$3)^8-1)*BN82,0)</f>
        <v/>
      </c>
      <c r="BY82" s="40">
        <f>IF(VALUE(MID(BY$5,6,2))&lt;=$D$2,((1+$BD$3)^9-1)*BO82,0)</f>
        <v/>
      </c>
      <c r="BZ82" s="40">
        <f>SUM(BP82:BY82)</f>
        <v/>
      </c>
      <c r="CA82" s="37">
        <f>SUM(BZ82,BF82:BO82)</f>
        <v/>
      </c>
      <c r="CC82" s="102" t="n"/>
      <c r="CD82" s="12" t="n"/>
      <c r="CE82" s="14" t="n"/>
      <c r="CF82" s="14" t="n"/>
      <c r="CG82" s="14" t="n"/>
      <c r="CH82" s="14" t="n"/>
      <c r="CI82" s="14" t="n"/>
      <c r="CJ82" s="14" t="n"/>
      <c r="CK82" s="14" t="n"/>
      <c r="CL82" s="14" t="n"/>
      <c r="CM82" s="14" t="n"/>
      <c r="CN82" s="24" t="n"/>
      <c r="CO82" s="63" t="n"/>
      <c r="CP82" s="53" t="n"/>
      <c r="CQ82" s="21" t="n"/>
      <c r="CR82" s="55" t="n"/>
      <c r="CS82" s="55" t="n"/>
      <c r="CT82" s="55" t="n"/>
      <c r="CU82" s="55" t="n"/>
      <c r="CV82" s="55" t="n"/>
      <c r="CW82" s="55" t="n"/>
      <c r="CX82" s="55" t="n"/>
      <c r="CY82" s="55" t="n"/>
      <c r="CZ82" s="55" t="n"/>
      <c r="DA82" s="55" t="n"/>
      <c r="DB82" s="56" t="n"/>
      <c r="DC82" s="56" t="n"/>
      <c r="DD82" s="56" t="n"/>
      <c r="DE82" s="56" t="n"/>
      <c r="DF82" s="56" t="n"/>
      <c r="DG82" s="56" t="n"/>
      <c r="DH82" s="56" t="n"/>
      <c r="DI82" s="56" t="n"/>
      <c r="DJ82" s="56" t="n"/>
      <c r="DK82" s="56" t="n"/>
      <c r="DL82" s="57" t="n"/>
      <c r="DM82" s="54" t="n"/>
      <c r="DO82" s="106" t="n"/>
    </row>
    <row r="83">
      <c r="B83" s="141" t="n"/>
      <c r="C83" s="24" t="n"/>
      <c r="D83" s="147" t="n"/>
      <c r="E83" s="142" t="n"/>
      <c r="F83" s="14" t="n"/>
      <c r="G83" s="14" t="n"/>
      <c r="H83" s="14" t="n"/>
      <c r="I83" s="14" t="n"/>
      <c r="J83" s="14" t="n"/>
      <c r="K83" s="14" t="n"/>
      <c r="L83" s="14" t="n"/>
      <c r="M83" s="14" t="n"/>
      <c r="N83" s="24" t="n"/>
      <c r="O83" s="127" t="n"/>
      <c r="P83" s="13" t="n"/>
      <c r="Q83" s="20" t="n"/>
      <c r="R83" s="21" t="n"/>
      <c r="S83" s="6" t="n"/>
      <c r="T83" s="6" t="n"/>
      <c r="U83" s="6" t="n"/>
      <c r="V83" s="6" t="n"/>
      <c r="W83" s="6" t="n"/>
      <c r="X83" s="6" t="n"/>
      <c r="Y83" s="6" t="n"/>
      <c r="Z83" s="6" t="n"/>
      <c r="AA83" s="6" t="n"/>
      <c r="AB83" s="6" t="n"/>
      <c r="AC83" s="7" t="n"/>
      <c r="AD83" s="152" t="n"/>
      <c r="AE83" s="152" t="n"/>
      <c r="AF83" s="152" t="n"/>
      <c r="AG83" s="152" t="n"/>
      <c r="AH83" s="152" t="n"/>
      <c r="AI83" s="152" t="n"/>
      <c r="AJ83" s="152" t="n"/>
      <c r="AK83" s="152" t="n"/>
      <c r="AL83" s="152" t="n"/>
      <c r="AM83" s="9" t="n"/>
      <c r="AN83" s="80" t="n"/>
      <c r="AP83" s="102" t="inlineStr">
        <is>
          <t>Annual</t>
        </is>
      </c>
      <c r="AQ83" s="12" t="n">
        <v>1</v>
      </c>
      <c r="AR83" s="14">
        <f>IF($AP83="Annual",1,IF($AP83="Monthly F",12,IF($AP83="Monthly V",AQ83*12,IF($AP83="One-Time",1,AQ83*12))))</f>
        <v/>
      </c>
      <c r="AS83" s="14">
        <f t="array" ref="AS83">IFERROR(_xlfn.IFS(VALUE(MID(AS$5,6,1))&gt;$D$2,0,$AP83="Annual",1,AR83=12,12,$AP83="Monthly V",AR83*(1+$D$3),$AP83="Monthly F",12,$AP83="One-Time",0),AR83*(1+$D$3))</f>
        <v/>
      </c>
      <c r="AT83" s="14">
        <f t="array" ref="AT83">IFERROR(_xlfn.IFS(VALUE(MID(AT$5,6,1))&gt;$D$2,0,$AP83="Annual",1,AS83=12,12,$AP83="Monthly V",AS83*(1+$D$3),$AP83="Monthly F",12,$AP83="One-Time",0),AS83*(1+$D$3))</f>
        <v/>
      </c>
      <c r="AU83" s="14">
        <f t="array" ref="AU83">IFERROR(_xlfn.IFS(VALUE(MID(AU$5,6,1))&gt;$D$2,0,$AP83="Annual",1,AT83=12,12,$AP83="Monthly V",AT83*(1+$D$3),$AP83="Monthly F",12,$AP83="One-Time",0),AT83*(1+$D$3))</f>
        <v/>
      </c>
      <c r="AV83" s="14">
        <f t="array" ref="AV83">IFERROR(_xlfn.IFS(VALUE(MID(AV$5,6,1))&gt;$D$2,0,$AP83="Annual",1,AU83=12,12,$AP83="Monthly V",AU83*(1+$D$3),$AP83="Monthly F",12,$AP83="One-Time",0),AU83*(1+$D$3))</f>
        <v/>
      </c>
      <c r="AW83" s="14">
        <f t="array" ref="AW83">IFERROR(_xlfn.IFS(VALUE(MID(AW$5,6,1))&gt;$D$2,0,$AP83="Annual",1,AV83=12,12,$AP83="Monthly V",AV83*(1+$D$3),$AP83="Monthly F",12,$AP83="One-Time",0),AV83*(1+$D$3))</f>
        <v/>
      </c>
      <c r="AX83" s="14">
        <f t="array" ref="AX83">IFERROR(_xlfn.IFS(VALUE(MID(AX$5,6,1))&gt;$D$2,0,$AP83="Annual",1,AW83=12,12,$AP83="Monthly V",AW83*(1+$D$3),$AP83="Monthly F",12,$AP83="One-Time",0),AW83*(1+$D$3))</f>
        <v/>
      </c>
      <c r="AY83" s="14">
        <f t="array" ref="AY83">IFERROR(_xlfn.IFS(VALUE(MID(AY$5,6,1))&gt;$D$2,0,$AP83="Annual",1,AX83=12,12,$AP83="Monthly V",AX83*(1+$D$3),$AP83="Monthly F",12,$AP83="One-Time",0),AX83*(1+$D$3))</f>
        <v/>
      </c>
      <c r="AZ83" s="14">
        <f t="array" ref="AZ83">IFERROR(_xlfn.IFS(VALUE(MID(AZ$5,6,1))&gt;$D$2,0,$AP83="Annual",1,AY83=12,12,$AP83="Monthly V",AY83*(1+$D$3),$AP83="Monthly F",12,$AP83="One-Time",0),AY83*(1+$D$3))</f>
        <v/>
      </c>
      <c r="BA83" s="125">
        <f t="array" ref="BA83">IFERROR(_xlfn.IFS(VALUE(MID(BA$5,6,2))&gt;$D$2,0,$AP83="Annual",1,AZ83=12,12,$AP83="Monthly V",AZ83*(1+$D$3),$AP83="Monthly F",12,$AP83="One-Time",0),AZ83*(1+$D$3))</f>
        <v/>
      </c>
      <c r="BB83" s="124" t="inlineStr">
        <is>
          <t>TruStage Forms-OnBoard Deposits-Includes Tax Favored Acct Svcs Bundle</t>
        </is>
      </c>
      <c r="BC83" s="38" t="inlineStr">
        <is>
          <t>Forms</t>
        </is>
      </c>
      <c r="BD83" s="36" t="n">
        <v>14590</v>
      </c>
      <c r="BE83" s="21">
        <f>BF83/12</f>
        <v/>
      </c>
      <c r="BF83" s="39">
        <f>IFERROR(AR83*$BD83,0)</f>
        <v/>
      </c>
      <c r="BG83" s="39">
        <f>IFERROR(AS83*$BD83,0)</f>
        <v/>
      </c>
      <c r="BH83" s="39">
        <f>IFERROR(AT83*$BD83,0)</f>
        <v/>
      </c>
      <c r="BI83" s="39">
        <f>BH83*1.03</f>
        <v/>
      </c>
      <c r="BJ83" s="39">
        <f>BI83*1.03</f>
        <v/>
      </c>
      <c r="BK83" s="39">
        <f>BJ83*1.03</f>
        <v/>
      </c>
      <c r="BL83" s="39">
        <f>BK83*1.03</f>
        <v/>
      </c>
      <c r="BM83" s="39">
        <f>IFERROR(AY83*$BD83,0)</f>
        <v/>
      </c>
      <c r="BN83" s="39">
        <f>IFERROR(AZ83*$BD83,0)</f>
        <v/>
      </c>
      <c r="BO83" s="39">
        <f>IFERROR(BA83*$BD83,0)</f>
        <v/>
      </c>
      <c r="BP83" s="40" t="n"/>
      <c r="BQ83" s="40">
        <f>IF(VALUE(MID(BQ$5,6,1))&lt;=$D$2,((1+$BD$3)^1-1)*BG83,0)</f>
        <v/>
      </c>
      <c r="BR83" s="40">
        <f>IF(VALUE(MID(BR$5,6,1))&lt;=$D$2,((1+$BD$3)^2-1)*BH83,0)</f>
        <v/>
      </c>
      <c r="BS83" s="40">
        <f>IF(VALUE(MID(BS$5,6,1))&lt;=$D$2,((1+$BD$3)^3-1)*BI83,0)</f>
        <v/>
      </c>
      <c r="BT83" s="40">
        <f>IF(VALUE(MID(BT$5,6,1))&lt;=$D$2,((1+$BD$3)^4-1)*BJ83,0)</f>
        <v/>
      </c>
      <c r="BU83" s="40">
        <f>IF(VALUE(MID(BU$5,6,1))&lt;=$D$2,((1+$BD$3)^5-1)*BK83,0)</f>
        <v/>
      </c>
      <c r="BV83" s="40">
        <f>IF(VALUE(MID(BV$5,6,1))&lt;=$D$2,((1+$BD$3)^6-1)*BL83,0)</f>
        <v/>
      </c>
      <c r="BW83" s="40">
        <f>IF(VALUE(MID(BW$5,6,1))&lt;=$D$2,((1+$BD$3)^7-1)*BM83,0)</f>
        <v/>
      </c>
      <c r="BX83" s="40">
        <f>IF(VALUE(MID(BX$5,6,1))&lt;=$D$2,((1+$BD$3)^8-1)*BN83,0)</f>
        <v/>
      </c>
      <c r="BY83" s="40">
        <f>IF(VALUE(MID(BY$5,6,2))&lt;=$D$2,((1+$BD$3)^9-1)*BO83,0)</f>
        <v/>
      </c>
      <c r="BZ83" s="40">
        <f>SUM(BP83:BY83)</f>
        <v/>
      </c>
      <c r="CA83" s="37">
        <f>SUM(BZ83,BF83:BO83)</f>
        <v/>
      </c>
      <c r="CC83" s="102" t="n"/>
      <c r="CD83" s="12" t="n"/>
      <c r="CE83" s="14" t="n"/>
      <c r="CF83" s="14" t="n"/>
      <c r="CG83" s="14" t="n"/>
      <c r="CH83" s="14" t="n"/>
      <c r="CI83" s="14" t="n"/>
      <c r="CJ83" s="14" t="n"/>
      <c r="CK83" s="14" t="n"/>
      <c r="CL83" s="14" t="n"/>
      <c r="CM83" s="14" t="n"/>
      <c r="CN83" s="24" t="n"/>
      <c r="CO83" s="63" t="n"/>
      <c r="CP83" s="53" t="n"/>
      <c r="CQ83" s="21" t="n"/>
      <c r="CR83" s="55" t="n"/>
      <c r="CS83" s="55" t="n"/>
      <c r="CT83" s="55" t="n"/>
      <c r="CU83" s="55" t="n"/>
      <c r="CV83" s="55" t="n"/>
      <c r="CW83" s="55" t="n"/>
      <c r="CX83" s="55" t="n"/>
      <c r="CY83" s="55" t="n"/>
      <c r="CZ83" s="55" t="n"/>
      <c r="DA83" s="55" t="n"/>
      <c r="DB83" s="56" t="n"/>
      <c r="DC83" s="56" t="n"/>
      <c r="DD83" s="56" t="n"/>
      <c r="DE83" s="56" t="n"/>
      <c r="DF83" s="56" t="n"/>
      <c r="DG83" s="56" t="n"/>
      <c r="DH83" s="56" t="n"/>
      <c r="DI83" s="56" t="n"/>
      <c r="DJ83" s="56" t="n"/>
      <c r="DK83" s="56" t="n"/>
      <c r="DL83" s="57" t="n"/>
      <c r="DM83" s="54" t="n"/>
      <c r="DO83" s="106" t="n"/>
    </row>
    <row r="84" ht="15.75" customHeight="1" thickBot="1">
      <c r="B84" s="141" t="n"/>
      <c r="C84" s="24" t="n"/>
      <c r="D84" s="147" t="n"/>
      <c r="E84" s="142" t="n"/>
      <c r="F84" s="14" t="n"/>
      <c r="G84" s="14" t="n"/>
      <c r="H84" s="14" t="n"/>
      <c r="I84" s="14" t="n"/>
      <c r="J84" s="14" t="n"/>
      <c r="K84" s="14" t="n"/>
      <c r="L84" s="14" t="n"/>
      <c r="M84" s="14" t="n"/>
      <c r="N84" s="24" t="n"/>
      <c r="O84" s="127" t="n"/>
      <c r="P84" s="13" t="n"/>
      <c r="Q84" s="20" t="n"/>
      <c r="R84" s="21" t="n"/>
      <c r="S84" s="6" t="n"/>
      <c r="T84" s="6" t="n"/>
      <c r="U84" s="6" t="n"/>
      <c r="V84" s="6" t="n"/>
      <c r="W84" s="6" t="n"/>
      <c r="X84" s="6" t="n"/>
      <c r="Y84" s="6" t="n"/>
      <c r="Z84" s="6" t="n"/>
      <c r="AA84" s="6" t="n"/>
      <c r="AB84" s="6" t="n"/>
      <c r="AC84" s="7" t="n"/>
      <c r="AD84" s="152" t="n"/>
      <c r="AE84" s="152" t="n"/>
      <c r="AF84" s="152" t="n"/>
      <c r="AG84" s="152" t="n"/>
      <c r="AH84" s="152" t="n"/>
      <c r="AI84" s="152" t="n"/>
      <c r="AJ84" s="152" t="n"/>
      <c r="AK84" s="152" t="n"/>
      <c r="AL84" s="152" t="n"/>
      <c r="AM84" s="9" t="n"/>
      <c r="AN84" s="80" t="n"/>
      <c r="AP84" s="102" t="inlineStr">
        <is>
          <t>Annual</t>
        </is>
      </c>
      <c r="AQ84" s="12" t="n">
        <v>1</v>
      </c>
      <c r="AR84" s="14">
        <f>IF($AP84="Annual",1,IF($AP84="Monthly F",12,IF($AP84="Monthly V",AQ84*12,IF($AP84="One-Time",1,AQ84*12))))</f>
        <v/>
      </c>
      <c r="AS84" s="14">
        <f t="array" ref="AS84">IFERROR(_xlfn.IFS(VALUE(MID(AS$5,6,1))&gt;$D$2,0,$AP84="Annual",1,AR84=12,12,$AP84="Monthly V",AR84*(1+$D$3),$AP84="Monthly F",12,$AP84="One-Time",0),AR84*(1+$D$3))</f>
        <v/>
      </c>
      <c r="AT84" s="14">
        <f t="array" ref="AT84">IFERROR(_xlfn.IFS(VALUE(MID(AT$5,6,1))&gt;$D$2,0,$AP84="Annual",1,AS84=12,12,$AP84="Monthly V",AS84*(1+$D$3),$AP84="Monthly F",12,$AP84="One-Time",0),AS84*(1+$D$3))</f>
        <v/>
      </c>
      <c r="AU84" s="14">
        <f t="array" ref="AU84">IFERROR(_xlfn.IFS(VALUE(MID(AU$5,6,1))&gt;$D$2,0,$AP84="Annual",1,AT84=12,12,$AP84="Monthly V",AT84*(1+$D$3),$AP84="Monthly F",12,$AP84="One-Time",0),AT84*(1+$D$3))</f>
        <v/>
      </c>
      <c r="AV84" s="14">
        <f t="array" ref="AV84">IFERROR(_xlfn.IFS(VALUE(MID(AV$5,6,1))&gt;$D$2,0,$AP84="Annual",1,AU84=12,12,$AP84="Monthly V",AU84*(1+$D$3),$AP84="Monthly F",12,$AP84="One-Time",0),AU84*(1+$D$3))</f>
        <v/>
      </c>
      <c r="AW84" s="14">
        <f t="array" ref="AW84">IFERROR(_xlfn.IFS(VALUE(MID(AW$5,6,1))&gt;$D$2,0,$AP84="Annual",1,AV84=12,12,$AP84="Monthly V",AV84*(1+$D$3),$AP84="Monthly F",12,$AP84="One-Time",0),AV84*(1+$D$3))</f>
        <v/>
      </c>
      <c r="AX84" s="14">
        <f t="array" ref="AX84">IFERROR(_xlfn.IFS(VALUE(MID(AX$5,6,1))&gt;$D$2,0,$AP84="Annual",1,AW84=12,12,$AP84="Monthly V",AW84*(1+$D$3),$AP84="Monthly F",12,$AP84="One-Time",0),AW84*(1+$D$3))</f>
        <v/>
      </c>
      <c r="AY84" s="14">
        <f t="array" ref="AY84">IFERROR(_xlfn.IFS(VALUE(MID(AY$5,6,1))&gt;$D$2,0,$AP84="Annual",1,AX84=12,12,$AP84="Monthly V",AX84*(1+$D$3),$AP84="Monthly F",12,$AP84="One-Time",0),AX84*(1+$D$3))</f>
        <v/>
      </c>
      <c r="AZ84" s="14">
        <f t="array" ref="AZ84">IFERROR(_xlfn.IFS(VALUE(MID(AZ$5,6,1))&gt;$D$2,0,$AP84="Annual",1,AY84=12,12,$AP84="Monthly V",AY84*(1+$D$3),$AP84="Monthly F",12,$AP84="One-Time",0),AY84*(1+$D$3))</f>
        <v/>
      </c>
      <c r="BA84" s="125">
        <f t="array" ref="BA84">IFERROR(_xlfn.IFS(VALUE(MID(BA$5,6,2))&gt;$D$2,0,$AP84="Annual",1,AZ84=12,12,$AP84="Monthly V",AZ84*(1+$D$3),$AP84="Monthly F",12,$AP84="One-Time",0),AZ84*(1+$D$3))</f>
        <v/>
      </c>
      <c r="BB84" s="124" t="inlineStr">
        <is>
          <t>TruStage Forms-OpenAnywhere</t>
        </is>
      </c>
      <c r="BC84" s="38" t="inlineStr">
        <is>
          <t>Forms</t>
        </is>
      </c>
      <c r="BD84" s="36" t="n">
        <v>2550</v>
      </c>
      <c r="BE84" s="21">
        <f>BF84/12</f>
        <v/>
      </c>
      <c r="BF84" s="39">
        <f>IFERROR(AR84*$BD84,0)</f>
        <v/>
      </c>
      <c r="BG84" s="39">
        <f>IFERROR(AS84*$BD84,0)</f>
        <v/>
      </c>
      <c r="BH84" s="39">
        <f>IFERROR(AT84*$BD84,0)</f>
        <v/>
      </c>
      <c r="BI84" s="39">
        <f>BH84*1.03</f>
        <v/>
      </c>
      <c r="BJ84" s="39">
        <f>BI84*1.03</f>
        <v/>
      </c>
      <c r="BK84" s="39">
        <f>BJ84*1.03</f>
        <v/>
      </c>
      <c r="BL84" s="39">
        <f>BK84*1.03</f>
        <v/>
      </c>
      <c r="BM84" s="39">
        <f>IFERROR(AY84*$BD84,0)</f>
        <v/>
      </c>
      <c r="BN84" s="39">
        <f>IFERROR(AZ84*$BD84,0)</f>
        <v/>
      </c>
      <c r="BO84" s="39">
        <f>IFERROR(BA84*$BD84,0)</f>
        <v/>
      </c>
      <c r="BP84" s="40" t="n"/>
      <c r="BQ84" s="40">
        <f>IF(VALUE(MID(BQ$5,6,1))&lt;=$D$2,((1+$BD$3)^1-1)*BG84,0)</f>
        <v/>
      </c>
      <c r="BR84" s="40">
        <f>IF(VALUE(MID(BR$5,6,1))&lt;=$D$2,((1+$BD$3)^2-1)*BH84,0)</f>
        <v/>
      </c>
      <c r="BS84" s="40">
        <f>IF(VALUE(MID(BS$5,6,1))&lt;=$D$2,((1+$BD$3)^3-1)*BI84,0)</f>
        <v/>
      </c>
      <c r="BT84" s="40">
        <f>IF(VALUE(MID(BT$5,6,1))&lt;=$D$2,((1+$BD$3)^4-1)*BJ84,0)</f>
        <v/>
      </c>
      <c r="BU84" s="40">
        <f>IF(VALUE(MID(BU$5,6,1))&lt;=$D$2,((1+$BD$3)^5-1)*BK84,0)</f>
        <v/>
      </c>
      <c r="BV84" s="40">
        <f>IF(VALUE(MID(BV$5,6,1))&lt;=$D$2,((1+$BD$3)^6-1)*BL84,0)</f>
        <v/>
      </c>
      <c r="BW84" s="40">
        <f>IF(VALUE(MID(BW$5,6,1))&lt;=$D$2,((1+$BD$3)^7-1)*BM84,0)</f>
        <v/>
      </c>
      <c r="BX84" s="40">
        <f>IF(VALUE(MID(BX$5,6,1))&lt;=$D$2,((1+$BD$3)^8-1)*BN84,0)</f>
        <v/>
      </c>
      <c r="BY84" s="40">
        <f>IF(VALUE(MID(BY$5,6,2))&lt;=$D$2,((1+$BD$3)^9-1)*BO84,0)</f>
        <v/>
      </c>
      <c r="BZ84" s="40">
        <f>SUM(BP84:BY84)</f>
        <v/>
      </c>
      <c r="CA84" s="37">
        <f>SUM(BZ84,BF84:BO84)</f>
        <v/>
      </c>
      <c r="CC84" s="102" t="n"/>
      <c r="CD84" s="12" t="n"/>
      <c r="CE84" s="14" t="n"/>
      <c r="CF84" s="14" t="n"/>
      <c r="CG84" s="14" t="n"/>
      <c r="CH84" s="14" t="n"/>
      <c r="CI84" s="14" t="n"/>
      <c r="CJ84" s="14" t="n"/>
      <c r="CK84" s="14" t="n"/>
      <c r="CL84" s="14" t="n"/>
      <c r="CM84" s="14" t="n"/>
      <c r="CN84" s="24" t="n"/>
      <c r="CO84" s="63" t="n"/>
      <c r="CP84" s="53" t="n"/>
      <c r="CQ84" s="21" t="n"/>
      <c r="CR84" s="55" t="n"/>
      <c r="CS84" s="55" t="n"/>
      <c r="CT84" s="55" t="n"/>
      <c r="CU84" s="55" t="n"/>
      <c r="CV84" s="55" t="n"/>
      <c r="CW84" s="55" t="n"/>
      <c r="CX84" s="55" t="n"/>
      <c r="CY84" s="55" t="n"/>
      <c r="CZ84" s="55" t="n"/>
      <c r="DA84" s="55" t="n"/>
      <c r="DB84" s="56" t="n"/>
      <c r="DC84" s="56" t="n"/>
      <c r="DD84" s="56" t="n"/>
      <c r="DE84" s="56" t="n"/>
      <c r="DF84" s="56" t="n"/>
      <c r="DG84" s="56" t="n"/>
      <c r="DH84" s="56" t="n"/>
      <c r="DI84" s="56" t="n"/>
      <c r="DJ84" s="56" t="n"/>
      <c r="DK84" s="56" t="n"/>
      <c r="DL84" s="57" t="n"/>
      <c r="DM84" s="54" t="n"/>
      <c r="DO84" s="106" t="n"/>
    </row>
    <row r="85" ht="15.75" customHeight="1" thickBot="1">
      <c r="B85" s="69" t="n"/>
      <c r="C85" s="29" t="n"/>
      <c r="D85" s="29" t="n"/>
      <c r="E85" s="100" t="n"/>
      <c r="F85" s="28" t="n"/>
      <c r="G85" s="28" t="n"/>
      <c r="H85" s="28" t="n"/>
      <c r="I85" s="28" t="n"/>
      <c r="J85" s="28" t="n"/>
      <c r="K85" s="28" t="n"/>
      <c r="L85" s="28" t="n"/>
      <c r="M85" s="28" t="n"/>
      <c r="N85" s="28" t="n"/>
      <c r="O85" s="30" t="inlineStr">
        <is>
          <t>Total Recurring Expenses</t>
        </is>
      </c>
      <c r="P85" s="30" t="n"/>
      <c r="Q85" s="31" t="n"/>
      <c r="R85" s="32">
        <f>SUM(R7:R84)</f>
        <v/>
      </c>
      <c r="S85" s="33">
        <f>SUM(S7:S84)</f>
        <v/>
      </c>
      <c r="T85" s="33">
        <f>SUM(T7:T84)</f>
        <v/>
      </c>
      <c r="U85" s="33">
        <f>SUM(U7:U84)</f>
        <v/>
      </c>
      <c r="V85" s="33">
        <f>SUM(V7:V84)</f>
        <v/>
      </c>
      <c r="W85" s="33">
        <f>SUM(W7:W84)</f>
        <v/>
      </c>
      <c r="X85" s="33">
        <f>SUM(X7:X84)</f>
        <v/>
      </c>
      <c r="Y85" s="33">
        <f>SUM(Y7:Y84)</f>
        <v/>
      </c>
      <c r="Z85" s="33">
        <f>SUM(Z7:Z84)</f>
        <v/>
      </c>
      <c r="AA85" s="33">
        <f>SUM(AA7:AA84)</f>
        <v/>
      </c>
      <c r="AB85" s="33">
        <f>SUM(AB7:AB84)</f>
        <v/>
      </c>
      <c r="AC85" s="34" t="n"/>
      <c r="AD85" s="33" t="n"/>
      <c r="AE85" s="33" t="n"/>
      <c r="AF85" s="33" t="n"/>
      <c r="AG85" s="33" t="n"/>
      <c r="AH85" s="33" t="n"/>
      <c r="AI85" s="33" t="n"/>
      <c r="AJ85" s="33" t="n"/>
      <c r="AK85" s="33" t="n"/>
      <c r="AL85" s="33" t="n"/>
      <c r="AM85" s="33">
        <f>SUM(AM7:AM84)</f>
        <v/>
      </c>
      <c r="AN85" s="81">
        <f>SUM(AN7:AN84)</f>
        <v/>
      </c>
      <c r="AP85" s="139" t="n"/>
      <c r="AQ85" s="140" t="n"/>
      <c r="AR85" s="140" t="n"/>
      <c r="AS85" s="140" t="n"/>
      <c r="AT85" s="140" t="n"/>
      <c r="AU85" s="140" t="n"/>
      <c r="AV85" s="140" t="n"/>
      <c r="AW85" s="140" t="n"/>
      <c r="AX85" s="140" t="n"/>
      <c r="AY85" s="140" t="n"/>
      <c r="AZ85" s="140" t="n"/>
      <c r="BA85" s="138" t="n"/>
      <c r="BB85" s="90" t="inlineStr">
        <is>
          <t>Total Recurring Expenses</t>
        </is>
      </c>
      <c r="BC85" s="90" t="n"/>
      <c r="BD85" s="91" t="n"/>
      <c r="BE85" s="92">
        <f>SUM(BE7:BE84)</f>
        <v/>
      </c>
      <c r="BF85" s="93">
        <f>SUM(BF7:BF84)</f>
        <v/>
      </c>
      <c r="BG85" s="93">
        <f>SUM(BG7:BG84)</f>
        <v/>
      </c>
      <c r="BH85" s="93">
        <f>SUM(BH7:BH84)</f>
        <v/>
      </c>
      <c r="BI85" s="93">
        <f>SUM(BI7:BI84)</f>
        <v/>
      </c>
      <c r="BJ85" s="93">
        <f>SUM(BJ7:BJ84)</f>
        <v/>
      </c>
      <c r="BK85" s="93">
        <f>SUM(BK7:BK84)</f>
        <v/>
      </c>
      <c r="BL85" s="93">
        <f>SUM(BL7:BL84)</f>
        <v/>
      </c>
      <c r="BM85" s="93">
        <f>SUM(BM7:BM84)</f>
        <v/>
      </c>
      <c r="BN85" s="93">
        <f>SUM(BN7:BN84)</f>
        <v/>
      </c>
      <c r="BO85" s="93">
        <f>SUM(BO7:BO84)</f>
        <v/>
      </c>
      <c r="BP85" s="94" t="n"/>
      <c r="BQ85" s="93" t="n"/>
      <c r="BR85" s="93" t="n"/>
      <c r="BS85" s="93" t="n"/>
      <c r="BT85" s="93" t="n"/>
      <c r="BU85" s="93" t="n"/>
      <c r="BV85" s="93" t="n"/>
      <c r="BW85" s="93" t="n"/>
      <c r="BX85" s="93" t="n"/>
      <c r="BY85" s="93" t="n"/>
      <c r="BZ85" s="93">
        <f>SUM(BZ7:BZ84)</f>
        <v/>
      </c>
      <c r="CA85" s="103">
        <f>SUM(CA7:CA84)</f>
        <v/>
      </c>
      <c r="CC85" s="108" t="n"/>
      <c r="CD85" s="107" t="n"/>
      <c r="CE85" s="107" t="n"/>
      <c r="CF85" s="107" t="n"/>
      <c r="CG85" s="107" t="n"/>
      <c r="CH85" s="107" t="n"/>
      <c r="CI85" s="107" t="n"/>
      <c r="CJ85" s="107" t="n"/>
      <c r="CK85" s="107" t="n"/>
      <c r="CL85" s="107" t="n"/>
      <c r="CM85" s="107" t="n"/>
      <c r="CN85" s="107" t="n"/>
      <c r="CO85" s="109" t="inlineStr">
        <is>
          <t>Total Recurring Expenses</t>
        </is>
      </c>
      <c r="CP85" s="110" t="n"/>
      <c r="CQ85" s="111">
        <f>SUM(CQ7:CQ84)</f>
        <v/>
      </c>
      <c r="CR85" s="112">
        <f>SUM(CR7:CR84)</f>
        <v/>
      </c>
      <c r="CS85" s="112">
        <f>SUM(CS7:CS84)</f>
        <v/>
      </c>
      <c r="CT85" s="112">
        <f>SUM(CT7:CT84)</f>
        <v/>
      </c>
      <c r="CU85" s="112">
        <f>SUM(CU7:CU84)</f>
        <v/>
      </c>
      <c r="CV85" s="112">
        <f>SUM(CV7:CV84)</f>
        <v/>
      </c>
      <c r="CW85" s="112">
        <f>SUM(CW7:CW84)</f>
        <v/>
      </c>
      <c r="CX85" s="112">
        <f>SUM(CX7:CX84)</f>
        <v/>
      </c>
      <c r="CY85" s="112">
        <f>SUM(CY7:CY84)</f>
        <v/>
      </c>
      <c r="CZ85" s="112">
        <f>SUM(CZ7:CZ84)</f>
        <v/>
      </c>
      <c r="DA85" s="112">
        <f>SUM(DA7:DA84)</f>
        <v/>
      </c>
      <c r="DB85" s="113" t="n"/>
      <c r="DC85" s="112" t="n"/>
      <c r="DD85" s="112" t="n"/>
      <c r="DE85" s="112" t="n"/>
      <c r="DF85" s="112" t="n"/>
      <c r="DG85" s="112" t="n"/>
      <c r="DH85" s="112" t="n"/>
      <c r="DI85" s="112" t="n"/>
      <c r="DJ85" s="112" t="n"/>
      <c r="DK85" s="112" t="n"/>
      <c r="DL85" s="112">
        <f>SUM(DL7:DL84)</f>
        <v/>
      </c>
      <c r="DM85" s="120">
        <f>SUM(DM7:DM84)</f>
        <v/>
      </c>
      <c r="DN85" s="106" t="n"/>
      <c r="DO85" s="106" t="n"/>
    </row>
    <row r="86" ht="15.75" customHeight="1" thickBot="1">
      <c r="B86" s="280" t="inlineStr">
        <is>
          <t>Implementation Credits and One time fees (FIS ONLY)</t>
        </is>
      </c>
      <c r="C86" s="267" t="n"/>
      <c r="D86" s="267" t="n"/>
      <c r="E86" s="267" t="n"/>
      <c r="F86" s="267" t="n"/>
      <c r="G86" s="267" t="n"/>
      <c r="H86" s="267" t="n"/>
      <c r="I86" s="267" t="n"/>
      <c r="J86" s="267" t="n"/>
      <c r="K86" s="267" t="n"/>
      <c r="L86" s="267" t="n"/>
      <c r="M86" s="267" t="n"/>
      <c r="N86" s="267" t="n"/>
      <c r="O86" s="267" t="n"/>
      <c r="P86" s="267" t="n"/>
      <c r="Q86" s="267" t="n"/>
      <c r="R86" s="267" t="n"/>
      <c r="S86" s="267" t="n"/>
      <c r="T86" s="267" t="n"/>
      <c r="U86" s="267" t="n"/>
      <c r="V86" s="267" t="n"/>
      <c r="W86" s="267" t="n"/>
      <c r="X86" s="267" t="n"/>
      <c r="Y86" s="267" t="n"/>
      <c r="Z86" s="267" t="n"/>
      <c r="AA86" s="267" t="n"/>
      <c r="AB86" s="267" t="n"/>
      <c r="AC86" s="267" t="n"/>
      <c r="AD86" s="267" t="n"/>
      <c r="AE86" s="267" t="n"/>
      <c r="AF86" s="267" t="n"/>
      <c r="AG86" s="267" t="n"/>
      <c r="AH86" s="267" t="n"/>
      <c r="AI86" s="267" t="n"/>
      <c r="AJ86" s="267" t="n"/>
      <c r="AK86" s="267" t="n"/>
      <c r="AL86" s="267" t="n"/>
      <c r="AM86" s="267" t="n"/>
      <c r="AN86" s="281" t="n"/>
      <c r="AP86" s="282" t="inlineStr">
        <is>
          <t>Implementation/Deconversion/Credits Jack Henry Products</t>
        </is>
      </c>
      <c r="AQ86" s="267" t="n"/>
      <c r="AR86" s="267" t="n"/>
      <c r="AS86" s="267" t="n"/>
      <c r="AT86" s="267" t="n"/>
      <c r="AU86" s="267" t="n"/>
      <c r="AV86" s="267" t="n"/>
      <c r="AW86" s="267" t="n"/>
      <c r="AX86" s="267" t="n"/>
      <c r="AY86" s="267" t="n"/>
      <c r="AZ86" s="267" t="n"/>
      <c r="BA86" s="267" t="n"/>
      <c r="BB86" s="267" t="n"/>
      <c r="BC86" s="267" t="n"/>
      <c r="BD86" s="267" t="n"/>
      <c r="BE86" s="267" t="n"/>
      <c r="BF86" s="267" t="n"/>
      <c r="BG86" s="267" t="n"/>
      <c r="BH86" s="267" t="n"/>
      <c r="BI86" s="267" t="n"/>
      <c r="BJ86" s="267" t="n"/>
      <c r="BK86" s="267" t="n"/>
      <c r="BL86" s="267" t="n"/>
      <c r="BM86" s="267" t="n"/>
      <c r="BN86" s="267" t="n"/>
      <c r="BO86" s="267" t="n"/>
      <c r="BP86" s="267" t="n"/>
      <c r="BQ86" s="267" t="n"/>
      <c r="BR86" s="267" t="n"/>
      <c r="BS86" s="267" t="n"/>
      <c r="BT86" s="267" t="n"/>
      <c r="BU86" s="267" t="n"/>
      <c r="BV86" s="267" t="n"/>
      <c r="BW86" s="267" t="n"/>
      <c r="BX86" s="267" t="n"/>
      <c r="BY86" s="267" t="n"/>
      <c r="BZ86" s="267" t="n"/>
      <c r="CA86" s="268" t="n"/>
      <c r="CC86" s="282" t="inlineStr">
        <is>
          <t>Implementation/Deconversion/Credits</t>
        </is>
      </c>
      <c r="CD86" s="267" t="n"/>
      <c r="CE86" s="267" t="n"/>
      <c r="CF86" s="267" t="n"/>
      <c r="CG86" s="267" t="n"/>
      <c r="CH86" s="267" t="n"/>
      <c r="CI86" s="267" t="n"/>
      <c r="CJ86" s="267" t="n"/>
      <c r="CK86" s="267" t="n"/>
      <c r="CL86" s="267" t="n"/>
      <c r="CM86" s="267" t="n"/>
      <c r="CN86" s="267" t="n"/>
      <c r="CO86" s="267" t="n"/>
      <c r="CP86" s="267" t="n"/>
      <c r="CQ86" s="267" t="n"/>
      <c r="CR86" s="267" t="n"/>
      <c r="CS86" s="267" t="n"/>
      <c r="CT86" s="267" t="n"/>
      <c r="CU86" s="267" t="n"/>
      <c r="CV86" s="267" t="n"/>
      <c r="CW86" s="267" t="n"/>
      <c r="CX86" s="267" t="n"/>
      <c r="CY86" s="267" t="n"/>
      <c r="CZ86" s="267" t="n"/>
      <c r="DA86" s="267" t="n"/>
      <c r="DB86" s="267" t="n"/>
      <c r="DC86" s="267" t="n"/>
      <c r="DD86" s="267" t="n"/>
      <c r="DE86" s="267" t="n"/>
      <c r="DF86" s="267" t="n"/>
      <c r="DG86" s="267" t="n"/>
      <c r="DH86" s="267" t="n"/>
      <c r="DI86" s="267" t="n"/>
      <c r="DJ86" s="267" t="n"/>
      <c r="DK86" s="267" t="n"/>
      <c r="DL86" s="267" t="n"/>
      <c r="DM86" s="268" t="n"/>
    </row>
    <row r="87">
      <c r="B87" s="141" t="inlineStr">
        <is>
          <t>One-Time</t>
        </is>
      </c>
      <c r="C87" s="24" t="n">
        <v>1</v>
      </c>
      <c r="D87" s="147">
        <f>IFERROR(AVERAGE(C87:C87),0)</f>
        <v/>
      </c>
      <c r="E87" s="142">
        <f>IF($B87="Annual",1,IF($B87="Monthly F",12,IF($B87="Monthly V",D87*12,IF($B87="One-Time",1,D87*12))))</f>
        <v/>
      </c>
      <c r="F87" s="14">
        <f t="array" ref="F87">IFERROR(_xlfn.IFS(VALUE(MID(F$5,6,1))&gt;$D$2,0,$B87="Annual",1,E87=12,12,$B87="Monthly V",E87*(1+$D$3),$B87="Monthly F",12,$B87="One-Time",0),E87*(1+$D$3))</f>
        <v/>
      </c>
      <c r="G87" s="14">
        <f t="array" ref="G87">IFERROR(_xlfn.IFS(VALUE(MID(G$5,6,1))&gt;$D$2,0,$B87="Annual",1,F87=12,12,$B87="Monthly V",F87*(1+$D$3),$B87="Monthly F",12,$B87="One-Time",0),F87*(1+$D$3))</f>
        <v/>
      </c>
      <c r="H87" s="14">
        <f t="array" ref="H87">IFERROR(_xlfn.IFS(VALUE(MID(H$5,6,1))&gt;$D$2,0,$B87="Annual",1,G87=12,12,$B87="Monthly V",G87*(1+$D$3),$B87="Monthly F",12,$B87="One-Time",0),G87*(1+$D$3))</f>
        <v/>
      </c>
      <c r="I87" s="14">
        <f t="array" ref="I87">IFERROR(_xlfn.IFS(VALUE(MID(I$5,6,1))&gt;$D$2,0,$B87="Annual",1,H87=12,12,$B87="Monthly V",H87*(1+$D$3),$B87="Monthly F",12,$B87="One-Time",0),H87*(1+$D$3))</f>
        <v/>
      </c>
      <c r="J87" s="14">
        <f t="array" ref="J87">IFERROR(_xlfn.IFS(VALUE(MID(J$5,6,1))&gt;$D$2,0,$B87="Annual",1,I87=12,12,$B87="Monthly V",I87*(1+$D$3),$B87="Monthly F",12,$B87="One-Time",0),I87*(1+$D$3))</f>
        <v/>
      </c>
      <c r="K87" s="14">
        <f t="array" ref="K87">IFERROR(_xlfn.IFS(VALUE(MID(K$5,6,1))&gt;$D$2,0,$B87="Annual",1,J87=12,12,$B87="Monthly V",J87*(1+$D$3),$B87="Monthly F",12,$B87="One-Time",0),J87*(1+$D$3))</f>
        <v/>
      </c>
      <c r="L87" s="14">
        <f t="array" ref="L87">IFERROR(_xlfn.IFS(VALUE(MID(L$5,6,1))&gt;$D$2,0,$B87="Annual",1,K87=12,12,$B87="Monthly V",K87*(1+$D$3),$B87="Monthly F",12,$B87="One-Time",0),K87*(1+$D$3))</f>
        <v/>
      </c>
      <c r="M87" s="14">
        <f t="array" ref="M87">IFERROR(_xlfn.IFS(VALUE(MID(M$5,6,1))&gt;$D$2,0,$B87="Annual",1,L87=12,12,$B87="Monthly V",L87*(1+$D$3),$B87="Monthly F",12,$B87="One-Time",0),L87*(1+$D$3))</f>
        <v/>
      </c>
      <c r="N87" s="24">
        <f t="array" ref="N87">IFERROR(_xlfn.IFS(VALUE(MID(N$5,6,2))&gt;$D$2,0,$B87="Annual",1,M87=12,12,$B87="Monthly V",M87*(1+$D$3),$B87="Monthly F",12,$B87="One-Time",0),M87*(1+$D$3))</f>
        <v/>
      </c>
      <c r="O87" s="127" t="inlineStr">
        <is>
          <t>Debit Card Production Implementation Fee</t>
        </is>
      </c>
      <c r="P87" s="13" t="inlineStr">
        <is>
          <t>Card Services</t>
        </is>
      </c>
      <c r="Q87" s="20" t="n">
        <v>1250</v>
      </c>
      <c r="R87" s="21">
        <f>S87/12</f>
        <v/>
      </c>
      <c r="S87" s="6">
        <f>IFERROR($Q87*E87,0)</f>
        <v/>
      </c>
      <c r="T87" s="6">
        <f>IFERROR($Q87*F87,0)</f>
        <v/>
      </c>
      <c r="U87" s="6">
        <f>IFERROR($Q87*G87,0)</f>
        <v/>
      </c>
      <c r="V87" s="6">
        <f>IFERROR($Q87*H87,0)</f>
        <v/>
      </c>
      <c r="W87" s="6">
        <f>IFERROR($Q87*I87,0)</f>
        <v/>
      </c>
      <c r="X87" s="6">
        <f>IFERROR($Q87*J87,0)</f>
        <v/>
      </c>
      <c r="Y87" s="6">
        <f>IFERROR($Q87*K87,0)</f>
        <v/>
      </c>
      <c r="Z87" s="6">
        <f>IFERROR($Q87*L87,0)</f>
        <v/>
      </c>
      <c r="AA87" s="6">
        <f>IFERROR($Q87*M87,0)</f>
        <v/>
      </c>
      <c r="AB87" s="6">
        <f>IFERROR($Q87*N87,0)</f>
        <v/>
      </c>
      <c r="AC87" s="7" t="n"/>
      <c r="AD87" s="152">
        <f>IF(VALUE(MID(AD$5,6,1))&lt;=$D$2,((1+$Q$3)^1-1)*T87,0)</f>
        <v/>
      </c>
      <c r="AE87" s="152">
        <f>IF(VALUE(MID(AE$5,6,1))&lt;=$D$2,((1+$Q$3)^2-1)*U87,0)</f>
        <v/>
      </c>
      <c r="AF87" s="152">
        <f>IF(VALUE(MID(AF$5,6,1))&lt;=$D$2,((1+$Q$3)^3-1)*V87,0)</f>
        <v/>
      </c>
      <c r="AG87" s="152">
        <f>IF(VALUE(MID(AG$5,6,1))&lt;=$D$2,((1+$Q$3)^4-1)*W87,0)</f>
        <v/>
      </c>
      <c r="AH87" s="152">
        <f>IF(VALUE(MID(AH$5,6,1))&lt;=$D$2,((1+$Q$3)^5-1)*X87,0)</f>
        <v/>
      </c>
      <c r="AI87" s="152">
        <f>IF(VALUE(MID(AI$5,6,1))&lt;=$D$2,((1+$Q$3)^6-1)*Y87,0)</f>
        <v/>
      </c>
      <c r="AJ87" s="152">
        <f>IF(VALUE(MID(AJ$5,6,1))&lt;=$D$2,((1+$Q$3)^7-1)*Z87,0)</f>
        <v/>
      </c>
      <c r="AK87" s="152">
        <f>IF(VALUE(MID(AK$5,6,1))&lt;=$D$2,((1+$Q$3)^8-1)*AA87,0)</f>
        <v/>
      </c>
      <c r="AL87" s="152">
        <f>IF(VALUE(MID(AL$5,6,2))&lt;=$D$2,((1+$Q$3)^9-1)*AB87,0)</f>
        <v/>
      </c>
      <c r="AM87" s="9">
        <f>SUM(AC87:AL87)</f>
        <v/>
      </c>
      <c r="AN87" s="80">
        <f>SUM(AM87,S87:AB87)</f>
        <v/>
      </c>
      <c r="AP87" s="114" t="inlineStr">
        <is>
          <t>One-Time</t>
        </is>
      </c>
      <c r="AQ87" s="143" t="n">
        <v>1</v>
      </c>
      <c r="AR87" s="14">
        <f>IF($AP87="Annual",1,IF($AP87="Monthly F",12,IF($AP87="Monthly V",AQ87*12,IF($AP87="One-Time",1,AQ87*12))))</f>
        <v/>
      </c>
      <c r="AS87" s="14">
        <f t="array" ref="AS87">IFERROR(_xlfn.IFS(VALUE(MID(AS$5,6,1))&gt;$D$2,0,$AP87="Annual",1,AR87=12,12,$AP87="Monthly V",AR87*(1+$D$3),$AP87="Monthly F",12,$AP87="One-Time",0),AR87*(1+$D$3))</f>
        <v/>
      </c>
      <c r="AT87" s="14">
        <f t="array" ref="AT87">IFERROR(_xlfn.IFS(VALUE(MID(AT$5,6,1))&gt;$D$2,0,$AP87="Annual",1,AS87=12,12,$AP87="Monthly V",AS87*(1+$D$3),$AP87="Monthly F",12,$AP87="One-Time",0),AS87*(1+$D$3))</f>
        <v/>
      </c>
      <c r="AU87" s="14">
        <f t="array" ref="AU87">IFERROR(_xlfn.IFS(VALUE(MID(AU$5,6,1))&gt;$D$2,0,$AP87="Annual",1,AT87=12,12,$AP87="Monthly V",AT87*(1+$D$3),$AP87="Monthly F",12,$AP87="One-Time",0),AT87*(1+$D$3))</f>
        <v/>
      </c>
      <c r="AV87" s="14">
        <f t="array" ref="AV87">IFERROR(_xlfn.IFS(VALUE(MID(AV$5,6,1))&gt;$D$2,0,$AP87="Annual",1,AU87=12,12,$AP87="Monthly V",AU87*(1+$D$3),$AP87="Monthly F",12,$AP87="One-Time",0),AU87*(1+$D$3))</f>
        <v/>
      </c>
      <c r="AW87" s="14">
        <f t="array" ref="AW87">IFERROR(_xlfn.IFS(VALUE(MID(AW$5,6,1))&gt;$D$2,0,$AP87="Annual",1,AV87=12,12,$AP87="Monthly V",AV87*(1+$D$3),$AP87="Monthly F",12,$AP87="One-Time",0),AV87*(1+$D$3))</f>
        <v/>
      </c>
      <c r="AX87" s="14">
        <f t="array" ref="AX87">IFERROR(_xlfn.IFS(VALUE(MID(AX$5,6,1))&gt;$D$2,0,$AP87="Annual",1,AW87=12,12,$AP87="Monthly V",AW87*(1+$D$3),$AP87="Monthly F",12,$AP87="One-Time",0),AW87*(1+$D$3))</f>
        <v/>
      </c>
      <c r="AY87" s="14">
        <f t="array" ref="AY87">IFERROR(_xlfn.IFS(VALUE(MID(AY$5,6,1))&gt;$D$2,0,$AP87="Annual",1,AX87=12,12,$AP87="Monthly V",AX87*(1+$D$3),$AP87="Monthly F",12,$AP87="One-Time",0),AX87*(1+$D$3))</f>
        <v/>
      </c>
      <c r="AZ87" s="14">
        <f t="array" ref="AZ87">IFERROR(_xlfn.IFS(VALUE(MID(AZ$5,6,1))&gt;$D$2,0,$AP87="Annual",1,AY87=12,12,$AP87="Monthly V",AY87*(1+$D$3),$AP87="Monthly F",12,$AP87="One-Time",0),AY87*(1+$D$3))</f>
        <v/>
      </c>
      <c r="BA87" s="125">
        <f t="array" ref="BA87">IFERROR(_xlfn.IFS(VALUE(MID(BA$5,6,2))&gt;$D$2,0,$AP87="Annual",1,AZ87=12,12,$AP87="Monthly V",AZ87*(1+$D$3),$AP87="Monthly F",12,$AP87="One-Time",0),AZ87*(1+$D$3))</f>
        <v/>
      </c>
      <c r="BB87" s="148" t="inlineStr">
        <is>
          <t>OutLink Item Processing Customer Training</t>
        </is>
      </c>
      <c r="BC87" s="144" t="inlineStr">
        <is>
          <t>OutLink Item Processing</t>
        </is>
      </c>
      <c r="BD87" s="145" t="n">
        <v>1125</v>
      </c>
      <c r="BE87" s="21">
        <f>BF87/12</f>
        <v/>
      </c>
      <c r="BF87" s="39">
        <f>IFERROR(AR87*$BD87,0)</f>
        <v/>
      </c>
      <c r="BG87" s="39">
        <f>IFERROR(AS87*$BD87,0)</f>
        <v/>
      </c>
      <c r="BH87" s="39">
        <f>IFERROR(AT87*$BD87,0)</f>
        <v/>
      </c>
      <c r="BI87" s="39">
        <f>IFERROR(AU87*$BD87,0)</f>
        <v/>
      </c>
      <c r="BJ87" s="39">
        <f>IFERROR(AV87*$BD87,0)</f>
        <v/>
      </c>
      <c r="BK87" s="39">
        <f>IFERROR(AW87*$BD87,0)</f>
        <v/>
      </c>
      <c r="BL87" s="39">
        <f>IFERROR(AX87*$BD87,0)</f>
        <v/>
      </c>
      <c r="BM87" s="39">
        <f>IFERROR(AY87*$BD87,0)</f>
        <v/>
      </c>
      <c r="BN87" s="39">
        <f>IFERROR(AZ87*$BD87,0)</f>
        <v/>
      </c>
      <c r="BO87" s="39">
        <f>IFERROR(BA87*$BD87,0)</f>
        <v/>
      </c>
      <c r="BP87" s="40" t="n"/>
      <c r="BQ87" s="40">
        <f>IF(VALUE(MID(BQ$5,6,1))&lt;=$D$2,((1+$BD$3)^1-1)*BG87,0)</f>
        <v/>
      </c>
      <c r="BR87" s="40">
        <f>IF(VALUE(MID(BR$5,6,1))&lt;=$D$2,((1+$BD$3)^2-1)*BH87,0)</f>
        <v/>
      </c>
      <c r="BS87" s="40">
        <f>IF(VALUE(MID(BS$5,6,1))&lt;=$D$2,((1+$BD$3)^3-1)*BI87,0)</f>
        <v/>
      </c>
      <c r="BT87" s="40">
        <f>IF(VALUE(MID(BT$5,6,1))&lt;=$D$2,((1+$BD$3)^4-1)*BJ87,0)</f>
        <v/>
      </c>
      <c r="BU87" s="40">
        <f>IF(VALUE(MID(BU$5,6,1))&lt;=$D$2,((1+$BD$3)^5-1)*BK87,0)</f>
        <v/>
      </c>
      <c r="BV87" s="40">
        <f>IF(VALUE(MID(BV$5,6,1))&lt;=$D$2,((1+$BD$3)^6-1)*BL87,0)</f>
        <v/>
      </c>
      <c r="BW87" s="40">
        <f>IF(VALUE(MID(BW$5,6,1))&lt;=$D$2,((1+$BD$3)^7-1)*BM87,0)</f>
        <v/>
      </c>
      <c r="BX87" s="40">
        <f>IF(VALUE(MID(BX$5,6,1))&lt;=$D$2,((1+$BD$3)^8-1)*BN87,0)</f>
        <v/>
      </c>
      <c r="BY87" s="40">
        <f>IF(VALUE(MID(BY$5,6,2))&lt;=$D$2,((1+$BD$3)^9-1)*BO87,0)</f>
        <v/>
      </c>
      <c r="BZ87" s="40">
        <f>SUM(BP87:BY87)</f>
        <v/>
      </c>
      <c r="CA87" s="37">
        <f>SUM(BZ87,BF87:BO87)</f>
        <v/>
      </c>
      <c r="CC87" s="102" t="n"/>
      <c r="CD87" s="12" t="n"/>
      <c r="CE87" s="14">
        <f>IF($CC87="Annual",1,IF($CC87="Monthly F",12,IF($CC87="Monthly V",CD87*12,IF($CC87="One-Time",1,CD87*12))))</f>
        <v/>
      </c>
      <c r="CF87" s="14">
        <f t="array" ref="CF87">IFERROR(_xlfn.IFS(VALUE(MID(CF$5,6,1))&gt;$D$2,0,$CC87="Annual",1,CE87=12,12,$CC87="Monthly V",CE87*(1+$D$3),$CC87="Monthly F",12,$CC87="One-Time",0),CE87*(1+$D$3))</f>
        <v/>
      </c>
      <c r="CG87" s="14">
        <f t="array" ref="CG87">IFERROR(_xlfn.IFS(VALUE(MID(CG$5,6,1))&gt;$D$2,0,$CC87="Annual",1,CF87=12,12,$CC87="Monthly V",CF87*(1+$D$3),$CC87="Monthly F",12,$CC87="One-Time",0),CF87*(1+$D$3))</f>
        <v/>
      </c>
      <c r="CH87" s="14">
        <f t="array" ref="CH87">IFERROR(_xlfn.IFS(VALUE(MID(CH$5,6,1))&gt;$D$2,0,$CC87="Annual",1,CG87=12,12,$CC87="Monthly V",CG87*(1+$D$3),$CC87="Monthly F",12,$CC87="One-Time",0),CG87*(1+$D$3))</f>
        <v/>
      </c>
      <c r="CI87" s="14">
        <f t="array" ref="CI87">IFERROR(_xlfn.IFS(VALUE(MID(CI$5,6,1))&gt;$D$2,0,$CC87="Annual",1,CH87=12,12,$CC87="Monthly V",CH87*(1+$D$3),$CC87="Monthly F",12,$CC87="One-Time",0),CH87*(1+$D$3))</f>
        <v/>
      </c>
      <c r="CJ87" s="14">
        <f t="array" ref="CJ87">IFERROR(_xlfn.IFS(VALUE(MID(CJ$5,6,1))&gt;$D$2,0,$CC87="Annual",1,CI87=12,12,$CC87="Monthly V",CI87*(1+$D$3),$CC87="Monthly F",12,$CC87="One-Time",0),CI87*(1+$D$3))</f>
        <v/>
      </c>
      <c r="CK87" s="14">
        <f t="array" ref="CK87">IFERROR(_xlfn.IFS(VALUE(MID(CK$5,6,1))&gt;$D$2,0,$CC87="Annual",1,CJ87=12,12,$CC87="Monthly V",CJ87*(1+$D$3),$CC87="Monthly F",12,$CC87="One-Time",0),CJ87*(1+$D$3))</f>
        <v/>
      </c>
      <c r="CL87" s="14">
        <f t="array" ref="CL87">IFERROR(_xlfn.IFS(VALUE(MID(CL$5,6,1))&gt;$D$2,0,$CC87="Annual",1,CK87=12,12,$CC87="Monthly V",CK87*(1+$D$3),$CC87="Monthly F",12,$CC87="One-Time",0),CK87*(1+$D$3))</f>
        <v/>
      </c>
      <c r="CM87" s="14">
        <f t="array" ref="CM87">IFERROR(_xlfn.IFS(VALUE(MID(CM$5,6,1))&gt;$D$2,0,$CC87="Annual",1,CL87=12,12,$CC87="Monthly V",CL87*(1+$D$3),$CC87="Monthly F",12,$CC87="One-Time",0),CL87*(1+$D$3))</f>
        <v/>
      </c>
      <c r="CN87" s="24">
        <f t="array" ref="CN87">IFERROR(_xlfn.IFS(VALUE(MID(CN$5,6,2))&gt;$D$2,0,$CC87="Annual",1,CM87=12,12,$CC87="Monthly V",CM87*(1+$D$3),$CC87="Monthly F",12,$CC87="One-Time",0),CM87*(1+$D$3))</f>
        <v/>
      </c>
      <c r="CO87" s="63" t="n"/>
      <c r="CP87" s="53" t="n"/>
      <c r="CQ87" s="21">
        <f>CR87/12</f>
        <v/>
      </c>
      <c r="CR87" s="55">
        <f>IFERROR(CE87*$CP87,0)</f>
        <v/>
      </c>
      <c r="CS87" s="55">
        <f>IFERROR(CF87*$CP87,0)</f>
        <v/>
      </c>
      <c r="CT87" s="55">
        <f>IFERROR(CG87*$CP87,0)</f>
        <v/>
      </c>
      <c r="CU87" s="55">
        <f>IFERROR(CH87*$CP87,0)</f>
        <v/>
      </c>
      <c r="CV87" s="55">
        <f>IFERROR(CI87*$CP87,0)</f>
        <v/>
      </c>
      <c r="CW87" s="55">
        <f>IFERROR(CJ87*$CP87,0)</f>
        <v/>
      </c>
      <c r="CX87" s="55">
        <f>IFERROR(CK87*$CP87,0)</f>
        <v/>
      </c>
      <c r="CY87" s="55">
        <f>IFERROR(CL87*$CP87,0)</f>
        <v/>
      </c>
      <c r="CZ87" s="55">
        <f>IFERROR(CM87*$CP87,0)</f>
        <v/>
      </c>
      <c r="DA87" s="55">
        <f>IFERROR(CN87*$CP87,0)</f>
        <v/>
      </c>
      <c r="DB87" s="56" t="n"/>
      <c r="DC87" s="56">
        <f>IF(VALUE(MID(DC$5,6,1))&lt;=$D$2,((1+$CP$3)^1-1)*CS87,0)</f>
        <v/>
      </c>
      <c r="DD87" s="56">
        <f>IF(VALUE(MID(DD$5,6,1))&lt;=$D$2,((1+$CP$3)^2-1)*CT87,0)</f>
        <v/>
      </c>
      <c r="DE87" s="56">
        <f>IF(VALUE(MID(DE$5,6,1))&lt;=$D$2,((1+$CP$3)^3-1)*CU87,0)</f>
        <v/>
      </c>
      <c r="DF87" s="56">
        <f>IF(VALUE(MID(DF$5,6,1))&lt;=$D$2,((1+$CP$3)^4-1)*CV87,0)</f>
        <v/>
      </c>
      <c r="DG87" s="56">
        <f>IF(VALUE(MID(DG$5,6,1))&lt;=$D$2,((1+$CP$3)^5-1)*CW87,0)</f>
        <v/>
      </c>
      <c r="DH87" s="56">
        <f>IF(VALUE(MID(DH$5,6,1))&lt;=$D$2,((1+$CP$3)^6-1)*CX87,0)</f>
        <v/>
      </c>
      <c r="DI87" s="56">
        <f>IF(VALUE(MID(DI$5,6,1))&lt;=$D$2,((1+$CP$3)^7-1)*CY87,0)</f>
        <v/>
      </c>
      <c r="DJ87" s="56">
        <f>IF(VALUE(MID(DJ$5,6,1))&lt;=$D$2,((1+$CP$3)^8-1)*CZ87,0)</f>
        <v/>
      </c>
      <c r="DK87" s="56">
        <f>IF(VALUE(MID(DK$5,6,2))&lt;=$D$2,((1+$CP$3)^9-1)*DA87,0)</f>
        <v/>
      </c>
      <c r="DL87" s="57">
        <f>SUM(DB87:DK87)</f>
        <v/>
      </c>
      <c r="DM87" s="54">
        <f>SUM(DL87,CR87:DA87)</f>
        <v/>
      </c>
      <c r="DO87" s="106" t="n"/>
    </row>
    <row r="88">
      <c r="B88" s="141" t="inlineStr">
        <is>
          <t>One-Time</t>
        </is>
      </c>
      <c r="C88" s="24" t="n">
        <v>1</v>
      </c>
      <c r="D88" s="147">
        <f>IFERROR(AVERAGE(C88:C88),0)</f>
        <v/>
      </c>
      <c r="E88" s="142">
        <f>IF($B88="Annual",1,IF($B88="Monthly F",12,IF($B88="Monthly V",D88*12,IF($B88="One-Time",1,D88*12))))</f>
        <v/>
      </c>
      <c r="F88" s="14">
        <f t="array" ref="F88">IFERROR(_xlfn.IFS(VALUE(MID(F$5,6,1))&gt;$D$2,0,$B88="Annual",1,E88=12,12,$B88="Monthly V",E88*(1+$D$3),$B88="Monthly F",12,$B88="One-Time",0),E88*(1+$D$3))</f>
        <v/>
      </c>
      <c r="G88" s="14">
        <f t="array" ref="G88">IFERROR(_xlfn.IFS(VALUE(MID(G$5,6,1))&gt;$D$2,0,$B88="Annual",1,F88=12,12,$B88="Monthly V",F88*(1+$D$3),$B88="Monthly F",12,$B88="One-Time",0),F88*(1+$D$3))</f>
        <v/>
      </c>
      <c r="H88" s="14">
        <f t="array" ref="H88">IFERROR(_xlfn.IFS(VALUE(MID(H$5,6,1))&gt;$D$2,0,$B88="Annual",1,G88=12,12,$B88="Monthly V",G88*(1+$D$3),$B88="Monthly F",12,$B88="One-Time",0),G88*(1+$D$3))</f>
        <v/>
      </c>
      <c r="I88" s="14">
        <f t="array" ref="I88">IFERROR(_xlfn.IFS(VALUE(MID(I$5,6,1))&gt;$D$2,0,$B88="Annual",1,H88=12,12,$B88="Monthly V",H88*(1+$D$3),$B88="Monthly F",12,$B88="One-Time",0),H88*(1+$D$3))</f>
        <v/>
      </c>
      <c r="J88" s="14">
        <f t="array" ref="J88">IFERROR(_xlfn.IFS(VALUE(MID(J$5,6,1))&gt;$D$2,0,$B88="Annual",1,I88=12,12,$B88="Monthly V",I88*(1+$D$3),$B88="Monthly F",12,$B88="One-Time",0),I88*(1+$D$3))</f>
        <v/>
      </c>
      <c r="K88" s="14">
        <f t="array" ref="K88">IFERROR(_xlfn.IFS(VALUE(MID(K$5,6,1))&gt;$D$2,0,$B88="Annual",1,J88=12,12,$B88="Monthly V",J88*(1+$D$3),$B88="Monthly F",12,$B88="One-Time",0),J88*(1+$D$3))</f>
        <v/>
      </c>
      <c r="L88" s="14">
        <f t="array" ref="L88">IFERROR(_xlfn.IFS(VALUE(MID(L$5,6,1))&gt;$D$2,0,$B88="Annual",1,K88=12,12,$B88="Monthly V",K88*(1+$D$3),$B88="Monthly F",12,$B88="One-Time",0),K88*(1+$D$3))</f>
        <v/>
      </c>
      <c r="M88" s="14">
        <f t="array" ref="M88">IFERROR(_xlfn.IFS(VALUE(MID(M$5,6,1))&gt;$D$2,0,$B88="Annual",1,L88=12,12,$B88="Monthly V",L88*(1+$D$3),$B88="Monthly F",12,$B88="One-Time",0),L88*(1+$D$3))</f>
        <v/>
      </c>
      <c r="N88" s="24">
        <f t="array" ref="N88">IFERROR(_xlfn.IFS(VALUE(MID(N$5,6,2))&gt;$D$2,0,$B88="Annual",1,M88=12,12,$B88="Monthly V",M88*(1+$D$3),$B88="Monthly F",12,$B88="One-Time",0),M88*(1+$D$3))</f>
        <v/>
      </c>
      <c r="O88" s="127" t="inlineStr">
        <is>
          <t>DirectLink Risk Review (DLRR) Implementation Fee</t>
        </is>
      </c>
      <c r="P88" s="13" t="inlineStr">
        <is>
          <t>Risk Management</t>
        </is>
      </c>
      <c r="Q88" s="20" t="n">
        <v>17015</v>
      </c>
      <c r="R88" s="21">
        <f>S88/12</f>
        <v/>
      </c>
      <c r="S88" s="6">
        <f>IFERROR($Q88*E88,0)</f>
        <v/>
      </c>
      <c r="T88" s="6">
        <f>IFERROR($Q88*F88,0)</f>
        <v/>
      </c>
      <c r="U88" s="6">
        <f>IFERROR($Q88*G88,0)</f>
        <v/>
      </c>
      <c r="V88" s="6">
        <f>IFERROR($Q88*H88,0)</f>
        <v/>
      </c>
      <c r="W88" s="6">
        <f>IFERROR($Q88*I88,0)</f>
        <v/>
      </c>
      <c r="X88" s="6">
        <f>IFERROR($Q88*J88,0)</f>
        <v/>
      </c>
      <c r="Y88" s="6">
        <f>IFERROR($Q88*K88,0)</f>
        <v/>
      </c>
      <c r="Z88" s="6">
        <f>IFERROR($Q88*L88,0)</f>
        <v/>
      </c>
      <c r="AA88" s="6">
        <f>IFERROR($Q88*M88,0)</f>
        <v/>
      </c>
      <c r="AB88" s="6">
        <f>IFERROR($Q88*N88,0)</f>
        <v/>
      </c>
      <c r="AC88" s="7" t="n"/>
      <c r="AD88" s="152">
        <f>IF(VALUE(MID(AD$5,6,1))&lt;=$D$2,((1+$Q$3)^1-1)*T88,0)</f>
        <v/>
      </c>
      <c r="AE88" s="152">
        <f>IF(VALUE(MID(AE$5,6,1))&lt;=$D$2,((1+$Q$3)^2-1)*U88,0)</f>
        <v/>
      </c>
      <c r="AF88" s="152">
        <f>IF(VALUE(MID(AF$5,6,1))&lt;=$D$2,((1+$Q$3)^3-1)*V88,0)</f>
        <v/>
      </c>
      <c r="AG88" s="152">
        <f>IF(VALUE(MID(AG$5,6,1))&lt;=$D$2,((1+$Q$3)^4-1)*W88,0)</f>
        <v/>
      </c>
      <c r="AH88" s="152">
        <f>IF(VALUE(MID(AH$5,6,1))&lt;=$D$2,((1+$Q$3)^5-1)*X88,0)</f>
        <v/>
      </c>
      <c r="AI88" s="152">
        <f>IF(VALUE(MID(AI$5,6,1))&lt;=$D$2,((1+$Q$3)^6-1)*Y88,0)</f>
        <v/>
      </c>
      <c r="AJ88" s="152">
        <f>IF(VALUE(MID(AJ$5,6,1))&lt;=$D$2,((1+$Q$3)^7-1)*Z88,0)</f>
        <v/>
      </c>
      <c r="AK88" s="152">
        <f>IF(VALUE(MID(AK$5,6,1))&lt;=$D$2,((1+$Q$3)^8-1)*AA88,0)</f>
        <v/>
      </c>
      <c r="AL88" s="152">
        <f>IF(VALUE(MID(AL$5,6,2))&lt;=$D$2,((1+$Q$3)^9-1)*AB88,0)</f>
        <v/>
      </c>
      <c r="AM88" s="9">
        <f>SUM(AC88:AL88)</f>
        <v/>
      </c>
      <c r="AN88" s="80">
        <f>SUM(AM88,S88:AB88)</f>
        <v/>
      </c>
      <c r="AP88" s="114" t="inlineStr">
        <is>
          <t>One-Time</t>
        </is>
      </c>
      <c r="AQ88" s="143" t="n">
        <v>1</v>
      </c>
      <c r="AR88" s="14">
        <f>IF($AP88="Annual",1,IF($AP88="Monthly F",12,IF($AP88="Monthly V",AQ88*12,IF($AP88="One-Time",1,AQ88*12))))</f>
        <v/>
      </c>
      <c r="AS88" s="14">
        <f t="array" ref="AS88">IFERROR(_xlfn.IFS(VALUE(MID(AS$5,6,1))&gt;$D$2,0,$AP88="Annual",1,AR88=12,12,$AP88="Monthly V",AR88*(1+$D$3),$AP88="Monthly F",12,$AP88="One-Time",0),AR88*(1+$D$3))</f>
        <v/>
      </c>
      <c r="AT88" s="14">
        <f t="array" ref="AT88">IFERROR(_xlfn.IFS(VALUE(MID(AT$5,6,1))&gt;$D$2,0,$AP88="Annual",1,AS88=12,12,$AP88="Monthly V",AS88*(1+$D$3),$AP88="Monthly F",12,$AP88="One-Time",0),AS88*(1+$D$3))</f>
        <v/>
      </c>
      <c r="AU88" s="14">
        <f t="array" ref="AU88">IFERROR(_xlfn.IFS(VALUE(MID(AU$5,6,1))&gt;$D$2,0,$AP88="Annual",1,AT88=12,12,$AP88="Monthly V",AT88*(1+$D$3),$AP88="Monthly F",12,$AP88="One-Time",0),AT88*(1+$D$3))</f>
        <v/>
      </c>
      <c r="AV88" s="14">
        <f t="array" ref="AV88">IFERROR(_xlfn.IFS(VALUE(MID(AV$5,6,1))&gt;$D$2,0,$AP88="Annual",1,AU88=12,12,$AP88="Monthly V",AU88*(1+$D$3),$AP88="Monthly F",12,$AP88="One-Time",0),AU88*(1+$D$3))</f>
        <v/>
      </c>
      <c r="AW88" s="14">
        <f t="array" ref="AW88">IFERROR(_xlfn.IFS(VALUE(MID(AW$5,6,1))&gt;$D$2,0,$AP88="Annual",1,AV88=12,12,$AP88="Monthly V",AV88*(1+$D$3),$AP88="Monthly F",12,$AP88="One-Time",0),AV88*(1+$D$3))</f>
        <v/>
      </c>
      <c r="AX88" s="14">
        <f t="array" ref="AX88">IFERROR(_xlfn.IFS(VALUE(MID(AX$5,6,1))&gt;$D$2,0,$AP88="Annual",1,AW88=12,12,$AP88="Monthly V",AW88*(1+$D$3),$AP88="Monthly F",12,$AP88="One-Time",0),AW88*(1+$D$3))</f>
        <v/>
      </c>
      <c r="AY88" s="14">
        <f t="array" ref="AY88">IFERROR(_xlfn.IFS(VALUE(MID(AY$5,6,1))&gt;$D$2,0,$AP88="Annual",1,AX88=12,12,$AP88="Monthly V",AX88*(1+$D$3),$AP88="Monthly F",12,$AP88="One-Time",0),AX88*(1+$D$3))</f>
        <v/>
      </c>
      <c r="AZ88" s="14">
        <f t="array" ref="AZ88">IFERROR(_xlfn.IFS(VALUE(MID(AZ$5,6,1))&gt;$D$2,0,$AP88="Annual",1,AY88=12,12,$AP88="Monthly V",AY88*(1+$D$3),$AP88="Monthly F",12,$AP88="One-Time",0),AY88*(1+$D$3))</f>
        <v/>
      </c>
      <c r="BA88" s="125">
        <f t="array" ref="BA88">IFERROR(_xlfn.IFS(VALUE(MID(BA$5,6,2))&gt;$D$2,0,$AP88="Annual",1,AZ88=12,12,$AP88="Monthly V",AZ88*(1+$D$3),$AP88="Monthly F",12,$AP88="One-Time",0),AZ88*(1+$D$3))</f>
        <v/>
      </c>
      <c r="BB88" s="148" t="inlineStr">
        <is>
          <t>Synergy eSign and eSignWeb Bundle</t>
        </is>
      </c>
      <c r="BC88" s="144" t="inlineStr">
        <is>
          <t>Synergy</t>
        </is>
      </c>
      <c r="BD88" s="145" t="n">
        <v>15750</v>
      </c>
      <c r="BE88" s="21">
        <f>BF88/12</f>
        <v/>
      </c>
      <c r="BF88" s="39">
        <f>IFERROR(AR88*$BD88,0)</f>
        <v/>
      </c>
      <c r="BG88" s="39">
        <f>IFERROR(AS88*$BD88,0)</f>
        <v/>
      </c>
      <c r="BH88" s="39">
        <f>IFERROR(AT88*$BD88,0)</f>
        <v/>
      </c>
      <c r="BI88" s="39">
        <f>IFERROR(AU88*$BD88,0)</f>
        <v/>
      </c>
      <c r="BJ88" s="39">
        <f>IFERROR(AV88*$BD88,0)</f>
        <v/>
      </c>
      <c r="BK88" s="39">
        <f>IFERROR(AW88*$BD88,0)</f>
        <v/>
      </c>
      <c r="BL88" s="39">
        <f>IFERROR(AX88*$BD88,0)</f>
        <v/>
      </c>
      <c r="BM88" s="39">
        <f>IFERROR(AY88*$BD88,0)</f>
        <v/>
      </c>
      <c r="BN88" s="39">
        <f>IFERROR(AZ88*$BD88,0)</f>
        <v/>
      </c>
      <c r="BO88" s="39">
        <f>IFERROR(BA88*$BD88,0)</f>
        <v/>
      </c>
      <c r="BP88" s="40" t="n"/>
      <c r="BQ88" s="40">
        <f>IF(VALUE(MID(BQ$5,6,1))&lt;=$D$2,((1+$BD$3)^1-1)*BG88,0)</f>
        <v/>
      </c>
      <c r="BR88" s="40">
        <f>IF(VALUE(MID(BR$5,6,1))&lt;=$D$2,((1+$BD$3)^2-1)*BH88,0)</f>
        <v/>
      </c>
      <c r="BS88" s="40">
        <f>IF(VALUE(MID(BS$5,6,1))&lt;=$D$2,((1+$BD$3)^3-1)*BI88,0)</f>
        <v/>
      </c>
      <c r="BT88" s="40">
        <f>IF(VALUE(MID(BT$5,6,1))&lt;=$D$2,((1+$BD$3)^4-1)*BJ88,0)</f>
        <v/>
      </c>
      <c r="BU88" s="40">
        <f>IF(VALUE(MID(BU$5,6,1))&lt;=$D$2,((1+$BD$3)^5-1)*BK88,0)</f>
        <v/>
      </c>
      <c r="BV88" s="40">
        <f>IF(VALUE(MID(BV$5,6,1))&lt;=$D$2,((1+$BD$3)^6-1)*BL88,0)</f>
        <v/>
      </c>
      <c r="BW88" s="40">
        <f>IF(VALUE(MID(BW$5,6,1))&lt;=$D$2,((1+$BD$3)^7-1)*BM88,0)</f>
        <v/>
      </c>
      <c r="BX88" s="40">
        <f>IF(VALUE(MID(BX$5,6,1))&lt;=$D$2,((1+$BD$3)^8-1)*BN88,0)</f>
        <v/>
      </c>
      <c r="BY88" s="40">
        <f>IF(VALUE(MID(BY$5,6,2))&lt;=$D$2,((1+$BD$3)^9-1)*BO88,0)</f>
        <v/>
      </c>
      <c r="BZ88" s="40">
        <f>SUM(BP88:BY88)</f>
        <v/>
      </c>
      <c r="CA88" s="37">
        <f>SUM(BZ88,BF88:BO88)</f>
        <v/>
      </c>
      <c r="CC88" s="102" t="n"/>
      <c r="CD88" s="12" t="n"/>
      <c r="CE88" s="14">
        <f>IF($CC88="Annual",1,IF($CC88="Monthly F",12,IF($CC88="Monthly V",CD88*12,IF($CC88="One-Time",1,CD88*12))))</f>
        <v/>
      </c>
      <c r="CF88" s="14">
        <f t="array" ref="CF88">IFERROR(_xlfn.IFS(VALUE(MID(CF$5,6,1))&gt;$D$2,0,$CC88="Annual",1,CE88=12,12,$CC88="Monthly V",CE88*(1+$D$3),$CC88="Monthly F",12,$CC88="One-Time",0),CE88*(1+$D$3))</f>
        <v/>
      </c>
      <c r="CG88" s="14">
        <f t="array" ref="CG88">IFERROR(_xlfn.IFS(VALUE(MID(CG$5,6,1))&gt;$D$2,0,$CC88="Annual",1,CF88=12,12,$CC88="Monthly V",CF88*(1+$D$3),$CC88="Monthly F",12,$CC88="One-Time",0),CF88*(1+$D$3))</f>
        <v/>
      </c>
      <c r="CH88" s="14">
        <f t="array" ref="CH88">IFERROR(_xlfn.IFS(VALUE(MID(CH$5,6,1))&gt;$D$2,0,$CC88="Annual",1,CG88=12,12,$CC88="Monthly V",CG88*(1+$D$3),$CC88="Monthly F",12,$CC88="One-Time",0),CG88*(1+$D$3))</f>
        <v/>
      </c>
      <c r="CI88" s="14">
        <f t="array" ref="CI88">IFERROR(_xlfn.IFS(VALUE(MID(CI$5,6,1))&gt;$D$2,0,$CC88="Annual",1,CH88=12,12,$CC88="Monthly V",CH88*(1+$D$3),$CC88="Monthly F",12,$CC88="One-Time",0),CH88*(1+$D$3))</f>
        <v/>
      </c>
      <c r="CJ88" s="14">
        <f t="array" ref="CJ88">IFERROR(_xlfn.IFS(VALUE(MID(CJ$5,6,1))&gt;$D$2,0,$CC88="Annual",1,CI88=12,12,$CC88="Monthly V",CI88*(1+$D$3),$CC88="Monthly F",12,$CC88="One-Time",0),CI88*(1+$D$3))</f>
        <v/>
      </c>
      <c r="CK88" s="14">
        <f t="array" ref="CK88">IFERROR(_xlfn.IFS(VALUE(MID(CK$5,6,1))&gt;$D$2,0,$CC88="Annual",1,CJ88=12,12,$CC88="Monthly V",CJ88*(1+$D$3),$CC88="Monthly F",12,$CC88="One-Time",0),CJ88*(1+$D$3))</f>
        <v/>
      </c>
      <c r="CL88" s="14">
        <f t="array" ref="CL88">IFERROR(_xlfn.IFS(VALUE(MID(CL$5,6,1))&gt;$D$2,0,$CC88="Annual",1,CK88=12,12,$CC88="Monthly V",CK88*(1+$D$3),$CC88="Monthly F",12,$CC88="One-Time",0),CK88*(1+$D$3))</f>
        <v/>
      </c>
      <c r="CM88" s="14">
        <f t="array" ref="CM88">IFERROR(_xlfn.IFS(VALUE(MID(CM$5,6,1))&gt;$D$2,0,$CC88="Annual",1,CL88=12,12,$CC88="Monthly V",CL88*(1+$D$3),$CC88="Monthly F",12,$CC88="One-Time",0),CL88*(1+$D$3))</f>
        <v/>
      </c>
      <c r="CN88" s="24">
        <f t="array" ref="CN88">IFERROR(_xlfn.IFS(VALUE(MID(CN$5,6,2))&gt;$D$2,0,$CC88="Annual",1,CM88=12,12,$CC88="Monthly V",CM88*(1+$D$3),$CC88="Monthly F",12,$CC88="One-Time",0),CM88*(1+$D$3))</f>
        <v/>
      </c>
      <c r="CO88" s="63" t="n"/>
      <c r="CP88" s="53" t="n"/>
      <c r="CQ88" s="21">
        <f>CR88/12</f>
        <v/>
      </c>
      <c r="CR88" s="55">
        <f>IFERROR(CE88*$CP88,0)</f>
        <v/>
      </c>
      <c r="CS88" s="55">
        <f>IFERROR(CF88*$CP88,0)</f>
        <v/>
      </c>
      <c r="CT88" s="55">
        <f>IFERROR(CG88*$CP88,0)</f>
        <v/>
      </c>
      <c r="CU88" s="55">
        <f>IFERROR(CH88*$CP88,0)</f>
        <v/>
      </c>
      <c r="CV88" s="55">
        <f>IFERROR(CI88*$CP88,0)</f>
        <v/>
      </c>
      <c r="CW88" s="55">
        <f>IFERROR(CJ88*$CP88,0)</f>
        <v/>
      </c>
      <c r="CX88" s="55">
        <f>IFERROR(CK88*$CP88,0)</f>
        <v/>
      </c>
      <c r="CY88" s="55">
        <f>IFERROR(CL88*$CP88,0)</f>
        <v/>
      </c>
      <c r="CZ88" s="55">
        <f>IFERROR(CM88*$CP88,0)</f>
        <v/>
      </c>
      <c r="DA88" s="55">
        <f>IFERROR(CN88*$CP88,0)</f>
        <v/>
      </c>
      <c r="DB88" s="56" t="n"/>
      <c r="DC88" s="56">
        <f>IF(VALUE(MID(DC$5,6,1))&lt;=$D$2,((1+$CP$3)^1-1)*CS88,0)</f>
        <v/>
      </c>
      <c r="DD88" s="56">
        <f>IF(VALUE(MID(DD$5,6,1))&lt;=$D$2,((1+$CP$3)^2-1)*CT88,0)</f>
        <v/>
      </c>
      <c r="DE88" s="56">
        <f>IF(VALUE(MID(DE$5,6,1))&lt;=$D$2,((1+$CP$3)^3-1)*CU88,0)</f>
        <v/>
      </c>
      <c r="DF88" s="56">
        <f>IF(VALUE(MID(DF$5,6,1))&lt;=$D$2,((1+$CP$3)^4-1)*CV88,0)</f>
        <v/>
      </c>
      <c r="DG88" s="56">
        <f>IF(VALUE(MID(DG$5,6,1))&lt;=$D$2,((1+$CP$3)^5-1)*CW88,0)</f>
        <v/>
      </c>
      <c r="DH88" s="56">
        <f>IF(VALUE(MID(DH$5,6,1))&lt;=$D$2,((1+$CP$3)^6-1)*CX88,0)</f>
        <v/>
      </c>
      <c r="DI88" s="56">
        <f>IF(VALUE(MID(DI$5,6,1))&lt;=$D$2,((1+$CP$3)^7-1)*CY88,0)</f>
        <v/>
      </c>
      <c r="DJ88" s="56">
        <f>IF(VALUE(MID(DJ$5,6,1))&lt;=$D$2,((1+$CP$3)^8-1)*CZ88,0)</f>
        <v/>
      </c>
      <c r="DK88" s="56">
        <f>IF(VALUE(MID(DK$5,6,2))&lt;=$D$2,((1+$CP$3)^9-1)*DA88,0)</f>
        <v/>
      </c>
      <c r="DL88" s="57">
        <f>SUM(DB88:DK88)</f>
        <v/>
      </c>
      <c r="DM88" s="54">
        <f>SUM(DL88,CR88:DA88)</f>
        <v/>
      </c>
      <c r="DO88" s="106" t="n"/>
    </row>
    <row r="89">
      <c r="B89" s="141" t="inlineStr">
        <is>
          <t>One-Time</t>
        </is>
      </c>
      <c r="C89" s="24" t="n">
        <v>1</v>
      </c>
      <c r="D89" s="147">
        <f>IFERROR(AVERAGE(C89:C89),0)</f>
        <v/>
      </c>
      <c r="E89" s="142">
        <f>IF($B89="Annual",1,IF($B89="Monthly F",12,IF($B89="Monthly V",D89*12,IF($B89="One-Time",1,D89*12))))</f>
        <v/>
      </c>
      <c r="F89" s="14">
        <f t="array" ref="F89">IFERROR(_xlfn.IFS(VALUE(MID(F$5,6,1))&gt;$D$2,0,$B89="Annual",1,E89=12,12,$B89="Monthly V",E89*(1+$D$3),$B89="Monthly F",12,$B89="One-Time",0),E89*(1+$D$3))</f>
        <v/>
      </c>
      <c r="G89" s="14">
        <f t="array" ref="G89">IFERROR(_xlfn.IFS(VALUE(MID(G$5,6,1))&gt;$D$2,0,$B89="Annual",1,F89=12,12,$B89="Monthly V",F89*(1+$D$3),$B89="Monthly F",12,$B89="One-Time",0),F89*(1+$D$3))</f>
        <v/>
      </c>
      <c r="H89" s="14">
        <f t="array" ref="H89">IFERROR(_xlfn.IFS(VALUE(MID(H$5,6,1))&gt;$D$2,0,$B89="Annual",1,G89=12,12,$B89="Monthly V",G89*(1+$D$3),$B89="Monthly F",12,$B89="One-Time",0),G89*(1+$D$3))</f>
        <v/>
      </c>
      <c r="I89" s="14">
        <f t="array" ref="I89">IFERROR(_xlfn.IFS(VALUE(MID(I$5,6,1))&gt;$D$2,0,$B89="Annual",1,H89=12,12,$B89="Monthly V",H89*(1+$D$3),$B89="Monthly F",12,$B89="One-Time",0),H89*(1+$D$3))</f>
        <v/>
      </c>
      <c r="J89" s="14">
        <f t="array" ref="J89">IFERROR(_xlfn.IFS(VALUE(MID(J$5,6,1))&gt;$D$2,0,$B89="Annual",1,I89=12,12,$B89="Monthly V",I89*(1+$D$3),$B89="Monthly F",12,$B89="One-Time",0),I89*(1+$D$3))</f>
        <v/>
      </c>
      <c r="K89" s="14">
        <f t="array" ref="K89">IFERROR(_xlfn.IFS(VALUE(MID(K$5,6,1))&gt;$D$2,0,$B89="Annual",1,J89=12,12,$B89="Monthly V",J89*(1+$D$3),$B89="Monthly F",12,$B89="One-Time",0),J89*(1+$D$3))</f>
        <v/>
      </c>
      <c r="L89" s="14">
        <f t="array" ref="L89">IFERROR(_xlfn.IFS(VALUE(MID(L$5,6,1))&gt;$D$2,0,$B89="Annual",1,K89=12,12,$B89="Monthly V",K89*(1+$D$3),$B89="Monthly F",12,$B89="One-Time",0),K89*(1+$D$3))</f>
        <v/>
      </c>
      <c r="M89" s="14">
        <f t="array" ref="M89">IFERROR(_xlfn.IFS(VALUE(MID(M$5,6,1))&gt;$D$2,0,$B89="Annual",1,L89=12,12,$B89="Monthly V",L89*(1+$D$3),$B89="Monthly F",12,$B89="One-Time",0),L89*(1+$D$3))</f>
        <v/>
      </c>
      <c r="N89" s="24">
        <f t="array" ref="N89">IFERROR(_xlfn.IFS(VALUE(MID(N$5,6,2))&gt;$D$2,0,$B89="Annual",1,M89=12,12,$B89="Monthly V",M89*(1+$D$3),$B89="Monthly F",12,$B89="One-Time",0),M89*(1+$D$3))</f>
        <v/>
      </c>
      <c r="O89" s="127" t="inlineStr">
        <is>
          <t>Card Suite Pro Implementation Fee</t>
        </is>
      </c>
      <c r="P89" s="13" t="inlineStr">
        <is>
          <t>Digital Banking</t>
        </is>
      </c>
      <c r="Q89" s="20" t="n">
        <v>4000</v>
      </c>
      <c r="R89" s="21">
        <f>S89/12</f>
        <v/>
      </c>
      <c r="S89" s="6">
        <f>IFERROR($Q89*E89,0)</f>
        <v/>
      </c>
      <c r="T89" s="6">
        <f>IFERROR($Q89*F89,0)</f>
        <v/>
      </c>
      <c r="U89" s="6">
        <f>IFERROR($Q89*G89,0)</f>
        <v/>
      </c>
      <c r="V89" s="6">
        <f>IFERROR($Q89*H89,0)</f>
        <v/>
      </c>
      <c r="W89" s="6">
        <f>IFERROR($Q89*I89,0)</f>
        <v/>
      </c>
      <c r="X89" s="6">
        <f>IFERROR($Q89*J89,0)</f>
        <v/>
      </c>
      <c r="Y89" s="6">
        <f>IFERROR($Q89*K89,0)</f>
        <v/>
      </c>
      <c r="Z89" s="6">
        <f>IFERROR($Q89*L89,0)</f>
        <v/>
      </c>
      <c r="AA89" s="6">
        <f>IFERROR($Q89*M89,0)</f>
        <v/>
      </c>
      <c r="AB89" s="6">
        <f>IFERROR($Q89*N89,0)</f>
        <v/>
      </c>
      <c r="AC89" s="7" t="n"/>
      <c r="AD89" s="152">
        <f>IF(VALUE(MID(AD$5,6,1))&lt;=$D$2,((1+$Q$3)^1-1)*T89,0)</f>
        <v/>
      </c>
      <c r="AE89" s="152">
        <f>IF(VALUE(MID(AE$5,6,1))&lt;=$D$2,((1+$Q$3)^2-1)*U89,0)</f>
        <v/>
      </c>
      <c r="AF89" s="152">
        <f>IF(VALUE(MID(AF$5,6,1))&lt;=$D$2,((1+$Q$3)^3-1)*V89,0)</f>
        <v/>
      </c>
      <c r="AG89" s="152">
        <f>IF(VALUE(MID(AG$5,6,1))&lt;=$D$2,((1+$Q$3)^4-1)*W89,0)</f>
        <v/>
      </c>
      <c r="AH89" s="152">
        <f>IF(VALUE(MID(AH$5,6,1))&lt;=$D$2,((1+$Q$3)^5-1)*X89,0)</f>
        <v/>
      </c>
      <c r="AI89" s="152">
        <f>IF(VALUE(MID(AI$5,6,1))&lt;=$D$2,((1+$Q$3)^6-1)*Y89,0)</f>
        <v/>
      </c>
      <c r="AJ89" s="152">
        <f>IF(VALUE(MID(AJ$5,6,1))&lt;=$D$2,((1+$Q$3)^7-1)*Z89,0)</f>
        <v/>
      </c>
      <c r="AK89" s="152">
        <f>IF(VALUE(MID(AK$5,6,1))&lt;=$D$2,((1+$Q$3)^8-1)*AA89,0)</f>
        <v/>
      </c>
      <c r="AL89" s="152">
        <f>IF(VALUE(MID(AL$5,6,2))&lt;=$D$2,((1+$Q$3)^9-1)*AB89,0)</f>
        <v/>
      </c>
      <c r="AM89" s="9">
        <f>SUM(AC89:AL89)</f>
        <v/>
      </c>
      <c r="AN89" s="80">
        <f>SUM(AM89,S89:AB89)</f>
        <v/>
      </c>
      <c r="AP89" s="114" t="inlineStr">
        <is>
          <t>One-Time</t>
        </is>
      </c>
      <c r="AQ89" s="143" t="n">
        <v>1</v>
      </c>
      <c r="AR89" s="14">
        <f>IF($AP89="Annual",1,IF($AP89="Monthly F",12,IF($AP89="Monthly V",AQ89*12,IF($AP89="One-Time",1,AQ89*12))))</f>
        <v/>
      </c>
      <c r="AS89" s="14">
        <f t="array" ref="AS89">IFERROR(_xlfn.IFS(VALUE(MID(AS$5,6,1))&gt;$D$2,0,$AP89="Annual",1,AR89=12,12,$AP89="Monthly V",AR89*(1+$D$3),$AP89="Monthly F",12,$AP89="One-Time",0),AR89*(1+$D$3))</f>
        <v/>
      </c>
      <c r="AT89" s="14">
        <f t="array" ref="AT89">IFERROR(_xlfn.IFS(VALUE(MID(AT$5,6,1))&gt;$D$2,0,$AP89="Annual",1,AS89=12,12,$AP89="Monthly V",AS89*(1+$D$3),$AP89="Monthly F",12,$AP89="One-Time",0),AS89*(1+$D$3))</f>
        <v/>
      </c>
      <c r="AU89" s="14">
        <f t="array" ref="AU89">IFERROR(_xlfn.IFS(VALUE(MID(AU$5,6,1))&gt;$D$2,0,$AP89="Annual",1,AT89=12,12,$AP89="Monthly V",AT89*(1+$D$3),$AP89="Monthly F",12,$AP89="One-Time",0),AT89*(1+$D$3))</f>
        <v/>
      </c>
      <c r="AV89" s="14">
        <f t="array" ref="AV89">IFERROR(_xlfn.IFS(VALUE(MID(AV$5,6,1))&gt;$D$2,0,$AP89="Annual",1,AU89=12,12,$AP89="Monthly V",AU89*(1+$D$3),$AP89="Monthly F",12,$AP89="One-Time",0),AU89*(1+$D$3))</f>
        <v/>
      </c>
      <c r="AW89" s="14">
        <f t="array" ref="AW89">IFERROR(_xlfn.IFS(VALUE(MID(AW$5,6,1))&gt;$D$2,0,$AP89="Annual",1,AV89=12,12,$AP89="Monthly V",AV89*(1+$D$3),$AP89="Monthly F",12,$AP89="One-Time",0),AV89*(1+$D$3))</f>
        <v/>
      </c>
      <c r="AX89" s="14">
        <f t="array" ref="AX89">IFERROR(_xlfn.IFS(VALUE(MID(AX$5,6,1))&gt;$D$2,0,$AP89="Annual",1,AW89=12,12,$AP89="Monthly V",AW89*(1+$D$3),$AP89="Monthly F",12,$AP89="One-Time",0),AW89*(1+$D$3))</f>
        <v/>
      </c>
      <c r="AY89" s="14">
        <f t="array" ref="AY89">IFERROR(_xlfn.IFS(VALUE(MID(AY$5,6,1))&gt;$D$2,0,$AP89="Annual",1,AX89=12,12,$AP89="Monthly V",AX89*(1+$D$3),$AP89="Monthly F",12,$AP89="One-Time",0),AX89*(1+$D$3))</f>
        <v/>
      </c>
      <c r="AZ89" s="14">
        <f t="array" ref="AZ89">IFERROR(_xlfn.IFS(VALUE(MID(AZ$5,6,1))&gt;$D$2,0,$AP89="Annual",1,AY89=12,12,$AP89="Monthly V",AY89*(1+$D$3),$AP89="Monthly F",12,$AP89="One-Time",0),AY89*(1+$D$3))</f>
        <v/>
      </c>
      <c r="BA89" s="125">
        <f t="array" ref="BA89">IFERROR(_xlfn.IFS(VALUE(MID(BA$5,6,2))&gt;$D$2,0,$AP89="Annual",1,AZ89=12,12,$AP89="Monthly V",AZ89*(1+$D$3),$AP89="Monthly F",12,$AP89="One-Time",0),AZ89*(1+$D$3))</f>
        <v/>
      </c>
      <c r="BB89" s="148" t="inlineStr">
        <is>
          <t>Synergy ECM Administrator Education Pack (Virtual, instructor-led training and eLearning)</t>
        </is>
      </c>
      <c r="BC89" s="144" t="inlineStr">
        <is>
          <t>Synergy</t>
        </is>
      </c>
      <c r="BD89" s="145" t="n">
        <v>2600</v>
      </c>
      <c r="BE89" s="21">
        <f>BF89/12</f>
        <v/>
      </c>
      <c r="BF89" s="39">
        <f>IFERROR(AR89*$BD89,0)</f>
        <v/>
      </c>
      <c r="BG89" s="39">
        <f>IFERROR(AS89*$BD89,0)</f>
        <v/>
      </c>
      <c r="BH89" s="39">
        <f>IFERROR(AT89*$BD89,0)</f>
        <v/>
      </c>
      <c r="BI89" s="39">
        <f>IFERROR(AU89*$BD89,0)</f>
        <v/>
      </c>
      <c r="BJ89" s="39">
        <f>IFERROR(AV89*$BD89,0)</f>
        <v/>
      </c>
      <c r="BK89" s="39">
        <f>IFERROR(AW89*$BD89,0)</f>
        <v/>
      </c>
      <c r="BL89" s="39">
        <f>IFERROR(AX89*$BD89,0)</f>
        <v/>
      </c>
      <c r="BM89" s="39">
        <f>IFERROR(AY89*$BD89,0)</f>
        <v/>
      </c>
      <c r="BN89" s="39">
        <f>IFERROR(AZ89*$BD89,0)</f>
        <v/>
      </c>
      <c r="BO89" s="39">
        <f>IFERROR(BA89*$BD89,0)</f>
        <v/>
      </c>
      <c r="BP89" s="40" t="n"/>
      <c r="BQ89" s="40">
        <f>IF(VALUE(MID(BQ$5,6,1))&lt;=$D$2,((1+$BD$3)^1-1)*BG89,0)</f>
        <v/>
      </c>
      <c r="BR89" s="40">
        <f>IF(VALUE(MID(BR$5,6,1))&lt;=$D$2,((1+$BD$3)^2-1)*BH89,0)</f>
        <v/>
      </c>
      <c r="BS89" s="40">
        <f>IF(VALUE(MID(BS$5,6,1))&lt;=$D$2,((1+$BD$3)^3-1)*BI89,0)</f>
        <v/>
      </c>
      <c r="BT89" s="40">
        <f>IF(VALUE(MID(BT$5,6,1))&lt;=$D$2,((1+$BD$3)^4-1)*BJ89,0)</f>
        <v/>
      </c>
      <c r="BU89" s="40">
        <f>IF(VALUE(MID(BU$5,6,1))&lt;=$D$2,((1+$BD$3)^5-1)*BK89,0)</f>
        <v/>
      </c>
      <c r="BV89" s="40">
        <f>IF(VALUE(MID(BV$5,6,1))&lt;=$D$2,((1+$BD$3)^6-1)*BL89,0)</f>
        <v/>
      </c>
      <c r="BW89" s="40">
        <f>IF(VALUE(MID(BW$5,6,1))&lt;=$D$2,((1+$BD$3)^7-1)*BM89,0)</f>
        <v/>
      </c>
      <c r="BX89" s="40">
        <f>IF(VALUE(MID(BX$5,6,1))&lt;=$D$2,((1+$BD$3)^8-1)*BN89,0)</f>
        <v/>
      </c>
      <c r="BY89" s="40">
        <f>IF(VALUE(MID(BY$5,6,2))&lt;=$D$2,((1+$BD$3)^9-1)*BO89,0)</f>
        <v/>
      </c>
      <c r="BZ89" s="40">
        <f>SUM(BP89:BY89)</f>
        <v/>
      </c>
      <c r="CA89" s="37">
        <f>SUM(BZ89,BF89:BO89)</f>
        <v/>
      </c>
      <c r="CC89" s="102" t="n"/>
      <c r="CD89" s="12" t="n"/>
      <c r="CE89" s="14">
        <f>IF($CC89="Annual",1,IF($CC89="Monthly F",12,IF($CC89="Monthly V",CD89*12,IF($CC89="One-Time",1,CD89*12))))</f>
        <v/>
      </c>
      <c r="CF89" s="14">
        <f t="array" ref="CF89">IFERROR(_xlfn.IFS(VALUE(MID(CF$5,6,1))&gt;$D$2,0,$CC89="Annual",1,CE89=12,12,$CC89="Monthly V",CE89*(1+$D$3),$CC89="Monthly F",12,$CC89="One-Time",0),CE89*(1+$D$3))</f>
        <v/>
      </c>
      <c r="CG89" s="14">
        <f t="array" ref="CG89">IFERROR(_xlfn.IFS(VALUE(MID(CG$5,6,1))&gt;$D$2,0,$CC89="Annual",1,CF89=12,12,$CC89="Monthly V",CF89*(1+$D$3),$CC89="Monthly F",12,$CC89="One-Time",0),CF89*(1+$D$3))</f>
        <v/>
      </c>
      <c r="CH89" s="14">
        <f t="array" ref="CH89">IFERROR(_xlfn.IFS(VALUE(MID(CH$5,6,1))&gt;$D$2,0,$CC89="Annual",1,CG89=12,12,$CC89="Monthly V",CG89*(1+$D$3),$CC89="Monthly F",12,$CC89="One-Time",0),CG89*(1+$D$3))</f>
        <v/>
      </c>
      <c r="CI89" s="14">
        <f t="array" ref="CI89">IFERROR(_xlfn.IFS(VALUE(MID(CI$5,6,1))&gt;$D$2,0,$CC89="Annual",1,CH89=12,12,$CC89="Monthly V",CH89*(1+$D$3),$CC89="Monthly F",12,$CC89="One-Time",0),CH89*(1+$D$3))</f>
        <v/>
      </c>
      <c r="CJ89" s="14">
        <f t="array" ref="CJ89">IFERROR(_xlfn.IFS(VALUE(MID(CJ$5,6,1))&gt;$D$2,0,$CC89="Annual",1,CI89=12,12,$CC89="Monthly V",CI89*(1+$D$3),$CC89="Monthly F",12,$CC89="One-Time",0),CI89*(1+$D$3))</f>
        <v/>
      </c>
      <c r="CK89" s="14">
        <f t="array" ref="CK89">IFERROR(_xlfn.IFS(VALUE(MID(CK$5,6,1))&gt;$D$2,0,$CC89="Annual",1,CJ89=12,12,$CC89="Monthly V",CJ89*(1+$D$3),$CC89="Monthly F",12,$CC89="One-Time",0),CJ89*(1+$D$3))</f>
        <v/>
      </c>
      <c r="CL89" s="14">
        <f t="array" ref="CL89">IFERROR(_xlfn.IFS(VALUE(MID(CL$5,6,1))&gt;$D$2,0,$CC89="Annual",1,CK89=12,12,$CC89="Monthly V",CK89*(1+$D$3),$CC89="Monthly F",12,$CC89="One-Time",0),CK89*(1+$D$3))</f>
        <v/>
      </c>
      <c r="CM89" s="14">
        <f t="array" ref="CM89">IFERROR(_xlfn.IFS(VALUE(MID(CM$5,6,1))&gt;$D$2,0,$CC89="Annual",1,CL89=12,12,$CC89="Monthly V",CL89*(1+$D$3),$CC89="Monthly F",12,$CC89="One-Time",0),CL89*(1+$D$3))</f>
        <v/>
      </c>
      <c r="CN89" s="24">
        <f t="array" ref="CN89">IFERROR(_xlfn.IFS(VALUE(MID(CN$5,6,2))&gt;$D$2,0,$CC89="Annual",1,CM89=12,12,$CC89="Monthly V",CM89*(1+$D$3),$CC89="Monthly F",12,$CC89="One-Time",0),CM89*(1+$D$3))</f>
        <v/>
      </c>
      <c r="CO89" s="63" t="n"/>
      <c r="CP89" s="53" t="n"/>
      <c r="CQ89" s="21">
        <f>CR89/12</f>
        <v/>
      </c>
      <c r="CR89" s="55">
        <f>IFERROR(CE89*$CP89,0)</f>
        <v/>
      </c>
      <c r="CS89" s="55">
        <f>IFERROR(CF89*$CP89,0)</f>
        <v/>
      </c>
      <c r="CT89" s="55">
        <f>IFERROR(CG89*$CP89,0)</f>
        <v/>
      </c>
      <c r="CU89" s="55">
        <f>IFERROR(CH89*$CP89,0)</f>
        <v/>
      </c>
      <c r="CV89" s="55">
        <f>IFERROR(CI89*$CP89,0)</f>
        <v/>
      </c>
      <c r="CW89" s="55">
        <f>IFERROR(CJ89*$CP89,0)</f>
        <v/>
      </c>
      <c r="CX89" s="55">
        <f>IFERROR(CK89*$CP89,0)</f>
        <v/>
      </c>
      <c r="CY89" s="55">
        <f>IFERROR(CL89*$CP89,0)</f>
        <v/>
      </c>
      <c r="CZ89" s="55">
        <f>IFERROR(CM89*$CP89,0)</f>
        <v/>
      </c>
      <c r="DA89" s="55">
        <f>IFERROR(CN89*$CP89,0)</f>
        <v/>
      </c>
      <c r="DB89" s="56" t="n"/>
      <c r="DC89" s="56">
        <f>IF(VALUE(MID(DC$5,6,1))&lt;=$D$2,((1+$CP$3)^1-1)*CS89,0)</f>
        <v/>
      </c>
      <c r="DD89" s="56">
        <f>IF(VALUE(MID(DD$5,6,1))&lt;=$D$2,((1+$CP$3)^2-1)*CT89,0)</f>
        <v/>
      </c>
      <c r="DE89" s="56">
        <f>IF(VALUE(MID(DE$5,6,1))&lt;=$D$2,((1+$CP$3)^3-1)*CU89,0)</f>
        <v/>
      </c>
      <c r="DF89" s="56">
        <f>IF(VALUE(MID(DF$5,6,1))&lt;=$D$2,((1+$CP$3)^4-1)*CV89,0)</f>
        <v/>
      </c>
      <c r="DG89" s="56">
        <f>IF(VALUE(MID(DG$5,6,1))&lt;=$D$2,((1+$CP$3)^5-1)*CW89,0)</f>
        <v/>
      </c>
      <c r="DH89" s="56">
        <f>IF(VALUE(MID(DH$5,6,1))&lt;=$D$2,((1+$CP$3)^6-1)*CX89,0)</f>
        <v/>
      </c>
      <c r="DI89" s="56">
        <f>IF(VALUE(MID(DI$5,6,1))&lt;=$D$2,((1+$CP$3)^7-1)*CY89,0)</f>
        <v/>
      </c>
      <c r="DJ89" s="56">
        <f>IF(VALUE(MID(DJ$5,6,1))&lt;=$D$2,((1+$CP$3)^8-1)*CZ89,0)</f>
        <v/>
      </c>
      <c r="DK89" s="56">
        <f>IF(VALUE(MID(DK$5,6,2))&lt;=$D$2,((1+$CP$3)^9-1)*DA89,0)</f>
        <v/>
      </c>
      <c r="DL89" s="57">
        <f>SUM(DB89:DK89)</f>
        <v/>
      </c>
      <c r="DM89" s="54">
        <f>SUM(DL89,CR89:DA89)</f>
        <v/>
      </c>
      <c r="DO89" s="106" t="n"/>
    </row>
    <row r="90">
      <c r="B90" s="141" t="inlineStr">
        <is>
          <t>One-Time</t>
        </is>
      </c>
      <c r="C90" s="24" t="n">
        <v>1</v>
      </c>
      <c r="D90" s="147">
        <f>IFERROR(AVERAGE(C90:C90),0)</f>
        <v/>
      </c>
      <c r="E90" s="142">
        <f>IF($B90="Annual",1,IF($B90="Monthly F",12,IF($B90="Monthly V",D90*12,IF($B90="One-Time",1,D90*12))))</f>
        <v/>
      </c>
      <c r="F90" s="14">
        <f t="array" ref="F90">IFERROR(_xlfn.IFS(VALUE(MID(F$5,6,1))&gt;$D$2,0,$B90="Annual",1,E90=12,12,$B90="Monthly V",E90*(1+$D$3),$B90="Monthly F",12,$B90="One-Time",0),E90*(1+$D$3))</f>
        <v/>
      </c>
      <c r="G90" s="14">
        <f t="array" ref="G90">IFERROR(_xlfn.IFS(VALUE(MID(G$5,6,1))&gt;$D$2,0,$B90="Annual",1,F90=12,12,$B90="Monthly V",F90*(1+$D$3),$B90="Monthly F",12,$B90="One-Time",0),F90*(1+$D$3))</f>
        <v/>
      </c>
      <c r="H90" s="14">
        <f t="array" ref="H90">IFERROR(_xlfn.IFS(VALUE(MID(H$5,6,1))&gt;$D$2,0,$B90="Annual",1,G90=12,12,$B90="Monthly V",G90*(1+$D$3),$B90="Monthly F",12,$B90="One-Time",0),G90*(1+$D$3))</f>
        <v/>
      </c>
      <c r="I90" s="14">
        <f t="array" ref="I90">IFERROR(_xlfn.IFS(VALUE(MID(I$5,6,1))&gt;$D$2,0,$B90="Annual",1,H90=12,12,$B90="Monthly V",H90*(1+$D$3),$B90="Monthly F",12,$B90="One-Time",0),H90*(1+$D$3))</f>
        <v/>
      </c>
      <c r="J90" s="14">
        <f t="array" ref="J90">IFERROR(_xlfn.IFS(VALUE(MID(J$5,6,1))&gt;$D$2,0,$B90="Annual",1,I90=12,12,$B90="Monthly V",I90*(1+$D$3),$B90="Monthly F",12,$B90="One-Time",0),I90*(1+$D$3))</f>
        <v/>
      </c>
      <c r="K90" s="14">
        <f t="array" ref="K90">IFERROR(_xlfn.IFS(VALUE(MID(K$5,6,1))&gt;$D$2,0,$B90="Annual",1,J90=12,12,$B90="Monthly V",J90*(1+$D$3),$B90="Monthly F",12,$B90="One-Time",0),J90*(1+$D$3))</f>
        <v/>
      </c>
      <c r="L90" s="14">
        <f t="array" ref="L90">IFERROR(_xlfn.IFS(VALUE(MID(L$5,6,1))&gt;$D$2,0,$B90="Annual",1,K90=12,12,$B90="Monthly V",K90*(1+$D$3),$B90="Monthly F",12,$B90="One-Time",0),K90*(1+$D$3))</f>
        <v/>
      </c>
      <c r="M90" s="14">
        <f t="array" ref="M90">IFERROR(_xlfn.IFS(VALUE(MID(M$5,6,1))&gt;$D$2,0,$B90="Annual",1,L90=12,12,$B90="Monthly V",L90*(1+$D$3),$B90="Monthly F",12,$B90="One-Time",0),L90*(1+$D$3))</f>
        <v/>
      </c>
      <c r="N90" s="24">
        <f t="array" ref="N90">IFERROR(_xlfn.IFS(VALUE(MID(N$5,6,2))&gt;$D$2,0,$B90="Annual",1,M90=12,12,$B90="Monthly V",M90*(1+$D$3),$B90="Monthly F",12,$B90="One-Time",0),M90*(1+$D$3))</f>
        <v/>
      </c>
      <c r="O90" s="127" t="inlineStr">
        <is>
          <t>Payments One Full-Service Debit Card Fraud Disputes Implementation Fee</t>
        </is>
      </c>
      <c r="P90" s="13" t="inlineStr">
        <is>
          <t>Fraud Prevention</t>
        </is>
      </c>
      <c r="Q90" s="20" t="n">
        <v>1500</v>
      </c>
      <c r="R90" s="21">
        <f>S90/12</f>
        <v/>
      </c>
      <c r="S90" s="6">
        <f>IFERROR($Q90*E90,0)</f>
        <v/>
      </c>
      <c r="T90" s="6">
        <f>IFERROR($Q90*F90,0)</f>
        <v/>
      </c>
      <c r="U90" s="6">
        <f>IFERROR($Q90*G90,0)</f>
        <v/>
      </c>
      <c r="V90" s="6">
        <f>IFERROR($Q90*H90,0)</f>
        <v/>
      </c>
      <c r="W90" s="6">
        <f>IFERROR($Q90*I90,0)</f>
        <v/>
      </c>
      <c r="X90" s="6">
        <f>IFERROR($Q90*J90,0)</f>
        <v/>
      </c>
      <c r="Y90" s="6">
        <f>IFERROR($Q90*K90,0)</f>
        <v/>
      </c>
      <c r="Z90" s="6">
        <f>IFERROR($Q90*L90,0)</f>
        <v/>
      </c>
      <c r="AA90" s="6">
        <f>IFERROR($Q90*M90,0)</f>
        <v/>
      </c>
      <c r="AB90" s="6">
        <f>IFERROR($Q90*N90,0)</f>
        <v/>
      </c>
      <c r="AC90" s="7" t="n"/>
      <c r="AD90" s="152">
        <f>IF(VALUE(MID(AD$5,6,1))&lt;=$D$2,((1+$Q$3)^1-1)*T90,0)</f>
        <v/>
      </c>
      <c r="AE90" s="152">
        <f>IF(VALUE(MID(AE$5,6,1))&lt;=$D$2,((1+$Q$3)^2-1)*U90,0)</f>
        <v/>
      </c>
      <c r="AF90" s="152">
        <f>IF(VALUE(MID(AF$5,6,1))&lt;=$D$2,((1+$Q$3)^3-1)*V90,0)</f>
        <v/>
      </c>
      <c r="AG90" s="152">
        <f>IF(VALUE(MID(AG$5,6,1))&lt;=$D$2,((1+$Q$3)^4-1)*W90,0)</f>
        <v/>
      </c>
      <c r="AH90" s="152">
        <f>IF(VALUE(MID(AH$5,6,1))&lt;=$D$2,((1+$Q$3)^5-1)*X90,0)</f>
        <v/>
      </c>
      <c r="AI90" s="152">
        <f>IF(VALUE(MID(AI$5,6,1))&lt;=$D$2,((1+$Q$3)^6-1)*Y90,0)</f>
        <v/>
      </c>
      <c r="AJ90" s="152">
        <f>IF(VALUE(MID(AJ$5,6,1))&lt;=$D$2,((1+$Q$3)^7-1)*Z90,0)</f>
        <v/>
      </c>
      <c r="AK90" s="152">
        <f>IF(VALUE(MID(AK$5,6,1))&lt;=$D$2,((1+$Q$3)^8-1)*AA90,0)</f>
        <v/>
      </c>
      <c r="AL90" s="152">
        <f>IF(VALUE(MID(AL$5,6,2))&lt;=$D$2,((1+$Q$3)^9-1)*AB90,0)</f>
        <v/>
      </c>
      <c r="AM90" s="9">
        <f>SUM(AC90:AL90)</f>
        <v/>
      </c>
      <c r="AN90" s="80">
        <f>SUM(AM90,S90:AB90)</f>
        <v/>
      </c>
      <c r="AP90" s="114" t="inlineStr">
        <is>
          <t>One-Time</t>
        </is>
      </c>
      <c r="AQ90" s="143" t="n">
        <v>1</v>
      </c>
      <c r="AR90" s="14">
        <f>IF($AP90="Annual",1,IF($AP90="Monthly F",12,IF($AP90="Monthly V",AQ90*12,IF($AP90="One-Time",1,AQ90*12))))</f>
        <v/>
      </c>
      <c r="AS90" s="14">
        <f t="array" ref="AS90">IFERROR(_xlfn.IFS(VALUE(MID(AS$5,6,1))&gt;$D$2,0,$AP90="Annual",1,AR90=12,12,$AP90="Monthly V",AR90*(1+$D$3),$AP90="Monthly F",12,$AP90="One-Time",0),AR90*(1+$D$3))</f>
        <v/>
      </c>
      <c r="AT90" s="14">
        <f t="array" ref="AT90">IFERROR(_xlfn.IFS(VALUE(MID(AT$5,6,1))&gt;$D$2,0,$AP90="Annual",1,AS90=12,12,$AP90="Monthly V",AS90*(1+$D$3),$AP90="Monthly F",12,$AP90="One-Time",0),AS90*(1+$D$3))</f>
        <v/>
      </c>
      <c r="AU90" s="14">
        <f t="array" ref="AU90">IFERROR(_xlfn.IFS(VALUE(MID(AU$5,6,1))&gt;$D$2,0,$AP90="Annual",1,AT90=12,12,$AP90="Monthly V",AT90*(1+$D$3),$AP90="Monthly F",12,$AP90="One-Time",0),AT90*(1+$D$3))</f>
        <v/>
      </c>
      <c r="AV90" s="14">
        <f t="array" ref="AV90">IFERROR(_xlfn.IFS(VALUE(MID(AV$5,6,1))&gt;$D$2,0,$AP90="Annual",1,AU90=12,12,$AP90="Monthly V",AU90*(1+$D$3),$AP90="Monthly F",12,$AP90="One-Time",0),AU90*(1+$D$3))</f>
        <v/>
      </c>
      <c r="AW90" s="14">
        <f t="array" ref="AW90">IFERROR(_xlfn.IFS(VALUE(MID(AW$5,6,1))&gt;$D$2,0,$AP90="Annual",1,AV90=12,12,$AP90="Monthly V",AV90*(1+$D$3),$AP90="Monthly F",12,$AP90="One-Time",0),AV90*(1+$D$3))</f>
        <v/>
      </c>
      <c r="AX90" s="14">
        <f t="array" ref="AX90">IFERROR(_xlfn.IFS(VALUE(MID(AX$5,6,1))&gt;$D$2,0,$AP90="Annual",1,AW90=12,12,$AP90="Monthly V",AW90*(1+$D$3),$AP90="Monthly F",12,$AP90="One-Time",0),AW90*(1+$D$3))</f>
        <v/>
      </c>
      <c r="AY90" s="14">
        <f t="array" ref="AY90">IFERROR(_xlfn.IFS(VALUE(MID(AY$5,6,1))&gt;$D$2,0,$AP90="Annual",1,AX90=12,12,$AP90="Monthly V",AX90*(1+$D$3),$AP90="Monthly F",12,$AP90="One-Time",0),AX90*(1+$D$3))</f>
        <v/>
      </c>
      <c r="AZ90" s="14">
        <f t="array" ref="AZ90">IFERROR(_xlfn.IFS(VALUE(MID(AZ$5,6,1))&gt;$D$2,0,$AP90="Annual",1,AY90=12,12,$AP90="Monthly V",AY90*(1+$D$3),$AP90="Monthly F",12,$AP90="One-Time",0),AY90*(1+$D$3))</f>
        <v/>
      </c>
      <c r="BA90" s="125">
        <f t="array" ref="BA90">IFERROR(_xlfn.IFS(VALUE(MID(BA$5,6,2))&gt;$D$2,0,$AP90="Annual",1,AZ90=12,12,$AP90="Monthly V",AZ90*(1+$D$3),$AP90="Monthly F",12,$AP90="One-Time",0),AZ90*(1+$D$3))</f>
        <v/>
      </c>
      <c r="BB90" s="148" t="inlineStr">
        <is>
          <t>Synergy ECM User/Operator Education Pack (eLearning)</t>
        </is>
      </c>
      <c r="BC90" s="144" t="inlineStr">
        <is>
          <t>Synergy</t>
        </is>
      </c>
      <c r="BD90" s="145" t="n">
        <v>3250</v>
      </c>
      <c r="BE90" s="21">
        <f>BF90/12</f>
        <v/>
      </c>
      <c r="BF90" s="39">
        <f>IFERROR(AR90*$BD90,0)</f>
        <v/>
      </c>
      <c r="BG90" s="39">
        <f>IFERROR(AS90*$BD90,0)</f>
        <v/>
      </c>
      <c r="BH90" s="39">
        <f>IFERROR(AT90*$BD90,0)</f>
        <v/>
      </c>
      <c r="BI90" s="39">
        <f>IFERROR(AU90*$BD90,0)</f>
        <v/>
      </c>
      <c r="BJ90" s="39">
        <f>IFERROR(AV90*$BD90,0)</f>
        <v/>
      </c>
      <c r="BK90" s="39">
        <f>IFERROR(AW90*$BD90,0)</f>
        <v/>
      </c>
      <c r="BL90" s="39">
        <f>IFERROR(AX90*$BD90,0)</f>
        <v/>
      </c>
      <c r="BM90" s="39">
        <f>IFERROR(AY90*$BD90,0)</f>
        <v/>
      </c>
      <c r="BN90" s="39">
        <f>IFERROR(AZ90*$BD90,0)</f>
        <v/>
      </c>
      <c r="BO90" s="39">
        <f>IFERROR(BA90*$BD90,0)</f>
        <v/>
      </c>
      <c r="BP90" s="40" t="n"/>
      <c r="BQ90" s="40">
        <f>IF(VALUE(MID(BQ$5,6,1))&lt;=$D$2,((1+$BD$3)^1-1)*BG90,0)</f>
        <v/>
      </c>
      <c r="BR90" s="40">
        <f>IF(VALUE(MID(BR$5,6,1))&lt;=$D$2,((1+$BD$3)^2-1)*BH90,0)</f>
        <v/>
      </c>
      <c r="BS90" s="40">
        <f>IF(VALUE(MID(BS$5,6,1))&lt;=$D$2,((1+$BD$3)^3-1)*BI90,0)</f>
        <v/>
      </c>
      <c r="BT90" s="40">
        <f>IF(VALUE(MID(BT$5,6,1))&lt;=$D$2,((1+$BD$3)^4-1)*BJ90,0)</f>
        <v/>
      </c>
      <c r="BU90" s="40">
        <f>IF(VALUE(MID(BU$5,6,1))&lt;=$D$2,((1+$BD$3)^5-1)*BK90,0)</f>
        <v/>
      </c>
      <c r="BV90" s="40">
        <f>IF(VALUE(MID(BV$5,6,1))&lt;=$D$2,((1+$BD$3)^6-1)*BL90,0)</f>
        <v/>
      </c>
      <c r="BW90" s="40">
        <f>IF(VALUE(MID(BW$5,6,1))&lt;=$D$2,((1+$BD$3)^7-1)*BM90,0)</f>
        <v/>
      </c>
      <c r="BX90" s="40">
        <f>IF(VALUE(MID(BX$5,6,1))&lt;=$D$2,((1+$BD$3)^8-1)*BN90,0)</f>
        <v/>
      </c>
      <c r="BY90" s="40">
        <f>IF(VALUE(MID(BY$5,6,2))&lt;=$D$2,((1+$BD$3)^9-1)*BO90,0)</f>
        <v/>
      </c>
      <c r="BZ90" s="40">
        <f>SUM(BP90:BY90)</f>
        <v/>
      </c>
      <c r="CA90" s="37">
        <f>SUM(BZ90,BF90:BO90)</f>
        <v/>
      </c>
      <c r="CC90" s="102" t="n"/>
      <c r="CD90" s="12" t="n"/>
      <c r="CE90" s="14">
        <f>IF($CC90="Annual",1,IF($CC90="Monthly F",12,IF($CC90="Monthly V",CD90*12,IF($CC90="One-Time",1,CD90*12))))</f>
        <v/>
      </c>
      <c r="CF90" s="14">
        <f t="array" ref="CF90">IFERROR(_xlfn.IFS(VALUE(MID(CF$5,6,1))&gt;$D$2,0,$CC90="Annual",1,CE90=12,12,$CC90="Monthly V",CE90*(1+$D$3),$CC90="Monthly F",12,$CC90="One-Time",0),CE90*(1+$D$3))</f>
        <v/>
      </c>
      <c r="CG90" s="14">
        <f t="array" ref="CG90">IFERROR(_xlfn.IFS(VALUE(MID(CG$5,6,1))&gt;$D$2,0,$CC90="Annual",1,CF90=12,12,$CC90="Monthly V",CF90*(1+$D$3),$CC90="Monthly F",12,$CC90="One-Time",0),CF90*(1+$D$3))</f>
        <v/>
      </c>
      <c r="CH90" s="14">
        <f t="array" ref="CH90">IFERROR(_xlfn.IFS(VALUE(MID(CH$5,6,1))&gt;$D$2,0,$CC90="Annual",1,CG90=12,12,$CC90="Monthly V",CG90*(1+$D$3),$CC90="Monthly F",12,$CC90="One-Time",0),CG90*(1+$D$3))</f>
        <v/>
      </c>
      <c r="CI90" s="14">
        <f t="array" ref="CI90">IFERROR(_xlfn.IFS(VALUE(MID(CI$5,6,1))&gt;$D$2,0,$CC90="Annual",1,CH90=12,12,$CC90="Monthly V",CH90*(1+$D$3),$CC90="Monthly F",12,$CC90="One-Time",0),CH90*(1+$D$3))</f>
        <v/>
      </c>
      <c r="CJ90" s="14">
        <f t="array" ref="CJ90">IFERROR(_xlfn.IFS(VALUE(MID(CJ$5,6,1))&gt;$D$2,0,$CC90="Annual",1,CI90=12,12,$CC90="Monthly V",CI90*(1+$D$3),$CC90="Monthly F",12,$CC90="One-Time",0),CI90*(1+$D$3))</f>
        <v/>
      </c>
      <c r="CK90" s="14">
        <f t="array" ref="CK90">IFERROR(_xlfn.IFS(VALUE(MID(CK$5,6,1))&gt;$D$2,0,$CC90="Annual",1,CJ90=12,12,$CC90="Monthly V",CJ90*(1+$D$3),$CC90="Monthly F",12,$CC90="One-Time",0),CJ90*(1+$D$3))</f>
        <v/>
      </c>
      <c r="CL90" s="14">
        <f t="array" ref="CL90">IFERROR(_xlfn.IFS(VALUE(MID(CL$5,6,1))&gt;$D$2,0,$CC90="Annual",1,CK90=12,12,$CC90="Monthly V",CK90*(1+$D$3),$CC90="Monthly F",12,$CC90="One-Time",0),CK90*(1+$D$3))</f>
        <v/>
      </c>
      <c r="CM90" s="14">
        <f t="array" ref="CM90">IFERROR(_xlfn.IFS(VALUE(MID(CM$5,6,1))&gt;$D$2,0,$CC90="Annual",1,CL90=12,12,$CC90="Monthly V",CL90*(1+$D$3),$CC90="Monthly F",12,$CC90="One-Time",0),CL90*(1+$D$3))</f>
        <v/>
      </c>
      <c r="CN90" s="24">
        <f t="array" ref="CN90">IFERROR(_xlfn.IFS(VALUE(MID(CN$5,6,2))&gt;$D$2,0,$CC90="Annual",1,CM90=12,12,$CC90="Monthly V",CM90*(1+$D$3),$CC90="Monthly F",12,$CC90="One-Time",0),CM90*(1+$D$3))</f>
        <v/>
      </c>
      <c r="CO90" s="63" t="n"/>
      <c r="CP90" s="53" t="n"/>
      <c r="CQ90" s="21">
        <f>CR90/12</f>
        <v/>
      </c>
      <c r="CR90" s="55">
        <f>IFERROR(CE90*$CP90,0)</f>
        <v/>
      </c>
      <c r="CS90" s="55">
        <f>IFERROR(CF90*$CP90,0)</f>
        <v/>
      </c>
      <c r="CT90" s="55">
        <f>IFERROR(CG90*$CP90,0)</f>
        <v/>
      </c>
      <c r="CU90" s="55">
        <f>IFERROR(CH90*$CP90,0)</f>
        <v/>
      </c>
      <c r="CV90" s="55">
        <f>IFERROR(CI90*$CP90,0)</f>
        <v/>
      </c>
      <c r="CW90" s="55">
        <f>IFERROR(CJ90*$CP90,0)</f>
        <v/>
      </c>
      <c r="CX90" s="55">
        <f>IFERROR(CK90*$CP90,0)</f>
        <v/>
      </c>
      <c r="CY90" s="55">
        <f>IFERROR(CL90*$CP90,0)</f>
        <v/>
      </c>
      <c r="CZ90" s="55">
        <f>IFERROR(CM90*$CP90,0)</f>
        <v/>
      </c>
      <c r="DA90" s="55">
        <f>IFERROR(CN90*$CP90,0)</f>
        <v/>
      </c>
      <c r="DB90" s="56" t="n"/>
      <c r="DC90" s="56">
        <f>IF(VALUE(MID(DC$5,6,1))&lt;=$D$2,((1+$CP$3)^1-1)*CS90,0)</f>
        <v/>
      </c>
      <c r="DD90" s="56">
        <f>IF(VALUE(MID(DD$5,6,1))&lt;=$D$2,((1+$CP$3)^2-1)*CT90,0)</f>
        <v/>
      </c>
      <c r="DE90" s="56">
        <f>IF(VALUE(MID(DE$5,6,1))&lt;=$D$2,((1+$CP$3)^3-1)*CU90,0)</f>
        <v/>
      </c>
      <c r="DF90" s="56">
        <f>IF(VALUE(MID(DF$5,6,1))&lt;=$D$2,((1+$CP$3)^4-1)*CV90,0)</f>
        <v/>
      </c>
      <c r="DG90" s="56">
        <f>IF(VALUE(MID(DG$5,6,1))&lt;=$D$2,((1+$CP$3)^5-1)*CW90,0)</f>
        <v/>
      </c>
      <c r="DH90" s="56">
        <f>IF(VALUE(MID(DH$5,6,1))&lt;=$D$2,((1+$CP$3)^6-1)*CX90,0)</f>
        <v/>
      </c>
      <c r="DI90" s="56">
        <f>IF(VALUE(MID(DI$5,6,1))&lt;=$D$2,((1+$CP$3)^7-1)*CY90,0)</f>
        <v/>
      </c>
      <c r="DJ90" s="56">
        <f>IF(VALUE(MID(DJ$5,6,1))&lt;=$D$2,((1+$CP$3)^8-1)*CZ90,0)</f>
        <v/>
      </c>
      <c r="DK90" s="56">
        <f>IF(VALUE(MID(DK$5,6,2))&lt;=$D$2,((1+$CP$3)^9-1)*DA90,0)</f>
        <v/>
      </c>
      <c r="DL90" s="57">
        <f>SUM(DB90:DK90)</f>
        <v/>
      </c>
      <c r="DM90" s="54">
        <f>SUM(DL90,CR90:DA90)</f>
        <v/>
      </c>
      <c r="DO90" s="106" t="n"/>
    </row>
    <row r="91">
      <c r="B91" s="141" t="inlineStr">
        <is>
          <t>One-Time</t>
        </is>
      </c>
      <c r="C91" s="24" t="n">
        <v>1</v>
      </c>
      <c r="D91" s="147">
        <f>IFERROR(AVERAGE(C91:C91),0)</f>
        <v/>
      </c>
      <c r="E91" s="142">
        <f>IF($B91="Annual",1,IF($B91="Monthly F",12,IF($B91="Monthly V",D91*12,IF($B91="One-Time",1,D91*12))))</f>
        <v/>
      </c>
      <c r="F91" s="14">
        <f t="array" ref="F91">IFERROR(_xlfn.IFS(VALUE(MID(F$5,6,1))&gt;$D$2,0,$B91="Annual",1,E91=12,12,$B91="Monthly V",E91*(1+$D$3),$B91="Monthly F",12,$B91="One-Time",0),E91*(1+$D$3))</f>
        <v/>
      </c>
      <c r="G91" s="14">
        <f t="array" ref="G91">IFERROR(_xlfn.IFS(VALUE(MID(G$5,6,1))&gt;$D$2,0,$B91="Annual",1,F91=12,12,$B91="Monthly V",F91*(1+$D$3),$B91="Monthly F",12,$B91="One-Time",0),F91*(1+$D$3))</f>
        <v/>
      </c>
      <c r="H91" s="14">
        <f t="array" ref="H91">IFERROR(_xlfn.IFS(VALUE(MID(H$5,6,1))&gt;$D$2,0,$B91="Annual",1,G91=12,12,$B91="Monthly V",G91*(1+$D$3),$B91="Monthly F",12,$B91="One-Time",0),G91*(1+$D$3))</f>
        <v/>
      </c>
      <c r="I91" s="14">
        <f t="array" ref="I91">IFERROR(_xlfn.IFS(VALUE(MID(I$5,6,1))&gt;$D$2,0,$B91="Annual",1,H91=12,12,$B91="Monthly V",H91*(1+$D$3),$B91="Monthly F",12,$B91="One-Time",0),H91*(1+$D$3))</f>
        <v/>
      </c>
      <c r="J91" s="14">
        <f t="array" ref="J91">IFERROR(_xlfn.IFS(VALUE(MID(J$5,6,1))&gt;$D$2,0,$B91="Annual",1,I91=12,12,$B91="Monthly V",I91*(1+$D$3),$B91="Monthly F",12,$B91="One-Time",0),I91*(1+$D$3))</f>
        <v/>
      </c>
      <c r="K91" s="14">
        <f t="array" ref="K91">IFERROR(_xlfn.IFS(VALUE(MID(K$5,6,1))&gt;$D$2,0,$B91="Annual",1,J91=12,12,$B91="Monthly V",J91*(1+$D$3),$B91="Monthly F",12,$B91="One-Time",0),J91*(1+$D$3))</f>
        <v/>
      </c>
      <c r="L91" s="14">
        <f t="array" ref="L91">IFERROR(_xlfn.IFS(VALUE(MID(L$5,6,1))&gt;$D$2,0,$B91="Annual",1,K91=12,12,$B91="Monthly V",K91*(1+$D$3),$B91="Monthly F",12,$B91="One-Time",0),K91*(1+$D$3))</f>
        <v/>
      </c>
      <c r="M91" s="14">
        <f t="array" ref="M91">IFERROR(_xlfn.IFS(VALUE(MID(M$5,6,1))&gt;$D$2,0,$B91="Annual",1,L91=12,12,$B91="Monthly V",L91*(1+$D$3),$B91="Monthly F",12,$B91="One-Time",0),L91*(1+$D$3))</f>
        <v/>
      </c>
      <c r="N91" s="24">
        <f t="array" ref="N91">IFERROR(_xlfn.IFS(VALUE(MID(N$5,6,2))&gt;$D$2,0,$B91="Annual",1,M91=12,12,$B91="Monthly V",M91*(1+$D$3),$B91="Monthly F",12,$B91="One-Time",0),M91*(1+$D$3))</f>
        <v/>
      </c>
      <c r="O91" s="127" t="inlineStr">
        <is>
          <t>Tokenization Implementation Fee</t>
        </is>
      </c>
      <c r="P91" s="13" t="inlineStr">
        <is>
          <t>Digital Payments</t>
        </is>
      </c>
      <c r="Q91" s="20" t="n">
        <v>13600</v>
      </c>
      <c r="R91" s="21">
        <f>S91/12</f>
        <v/>
      </c>
      <c r="S91" s="6">
        <f>IFERROR($Q91*E91,0)</f>
        <v/>
      </c>
      <c r="T91" s="6">
        <f>IFERROR($Q91*F91,0)</f>
        <v/>
      </c>
      <c r="U91" s="6">
        <f>IFERROR($Q91*G91,0)</f>
        <v/>
      </c>
      <c r="V91" s="6">
        <f>IFERROR($Q91*H91,0)</f>
        <v/>
      </c>
      <c r="W91" s="6">
        <f>IFERROR($Q91*I91,0)</f>
        <v/>
      </c>
      <c r="X91" s="6">
        <f>IFERROR($Q91*J91,0)</f>
        <v/>
      </c>
      <c r="Y91" s="6">
        <f>IFERROR($Q91*K91,0)</f>
        <v/>
      </c>
      <c r="Z91" s="6">
        <f>IFERROR($Q91*L91,0)</f>
        <v/>
      </c>
      <c r="AA91" s="6">
        <f>IFERROR($Q91*M91,0)</f>
        <v/>
      </c>
      <c r="AB91" s="6">
        <f>IFERROR($Q91*N91,0)</f>
        <v/>
      </c>
      <c r="AC91" s="7" t="n"/>
      <c r="AD91" s="152">
        <f>IF(VALUE(MID(AD$5,6,1))&lt;=$D$2,((1+$Q$3)^1-1)*T91,0)</f>
        <v/>
      </c>
      <c r="AE91" s="152">
        <f>IF(VALUE(MID(AE$5,6,1))&lt;=$D$2,((1+$Q$3)^2-1)*U91,0)</f>
        <v/>
      </c>
      <c r="AF91" s="152">
        <f>IF(VALUE(MID(AF$5,6,1))&lt;=$D$2,((1+$Q$3)^3-1)*V91,0)</f>
        <v/>
      </c>
      <c r="AG91" s="152">
        <f>IF(VALUE(MID(AG$5,6,1))&lt;=$D$2,((1+$Q$3)^4-1)*W91,0)</f>
        <v/>
      </c>
      <c r="AH91" s="152">
        <f>IF(VALUE(MID(AH$5,6,1))&lt;=$D$2,((1+$Q$3)^5-1)*X91,0)</f>
        <v/>
      </c>
      <c r="AI91" s="152">
        <f>IF(VALUE(MID(AI$5,6,1))&lt;=$D$2,((1+$Q$3)^6-1)*Y91,0)</f>
        <v/>
      </c>
      <c r="AJ91" s="152">
        <f>IF(VALUE(MID(AJ$5,6,1))&lt;=$D$2,((1+$Q$3)^7-1)*Z91,0)</f>
        <v/>
      </c>
      <c r="AK91" s="152">
        <f>IF(VALUE(MID(AK$5,6,1))&lt;=$D$2,((1+$Q$3)^8-1)*AA91,0)</f>
        <v/>
      </c>
      <c r="AL91" s="152">
        <f>IF(VALUE(MID(AL$5,6,2))&lt;=$D$2,((1+$Q$3)^9-1)*AB91,0)</f>
        <v/>
      </c>
      <c r="AM91" s="9">
        <f>SUM(AC91:AL91)</f>
        <v/>
      </c>
      <c r="AN91" s="80">
        <f>SUM(AM91,S91:AB91)</f>
        <v/>
      </c>
      <c r="AP91" s="114" t="inlineStr">
        <is>
          <t>One-Time</t>
        </is>
      </c>
      <c r="AQ91" s="143" t="n">
        <v>1</v>
      </c>
      <c r="AR91" s="14">
        <f>IF($AP91="Annual",1,IF($AP91="Monthly F",12,IF($AP91="Monthly V",AQ91*12,IF($AP91="One-Time",1,AQ91*12))))</f>
        <v/>
      </c>
      <c r="AS91" s="14">
        <f t="array" ref="AS91">IFERROR(_xlfn.IFS(VALUE(MID(AS$5,6,1))&gt;$D$2,0,$AP91="Annual",1,AR91=12,12,$AP91="Monthly V",AR91*(1+$D$3),$AP91="Monthly F",12,$AP91="One-Time",0),AR91*(1+$D$3))</f>
        <v/>
      </c>
      <c r="AT91" s="14">
        <f t="array" ref="AT91">IFERROR(_xlfn.IFS(VALUE(MID(AT$5,6,1))&gt;$D$2,0,$AP91="Annual",1,AS91=12,12,$AP91="Monthly V",AS91*(1+$D$3),$AP91="Monthly F",12,$AP91="One-Time",0),AS91*(1+$D$3))</f>
        <v/>
      </c>
      <c r="AU91" s="14">
        <f t="array" ref="AU91">IFERROR(_xlfn.IFS(VALUE(MID(AU$5,6,1))&gt;$D$2,0,$AP91="Annual",1,AT91=12,12,$AP91="Monthly V",AT91*(1+$D$3),$AP91="Monthly F",12,$AP91="One-Time",0),AT91*(1+$D$3))</f>
        <v/>
      </c>
      <c r="AV91" s="14">
        <f t="array" ref="AV91">IFERROR(_xlfn.IFS(VALUE(MID(AV$5,6,1))&gt;$D$2,0,$AP91="Annual",1,AU91=12,12,$AP91="Monthly V",AU91*(1+$D$3),$AP91="Monthly F",12,$AP91="One-Time",0),AU91*(1+$D$3))</f>
        <v/>
      </c>
      <c r="AW91" s="14">
        <f t="array" ref="AW91">IFERROR(_xlfn.IFS(VALUE(MID(AW$5,6,1))&gt;$D$2,0,$AP91="Annual",1,AV91=12,12,$AP91="Monthly V",AV91*(1+$D$3),$AP91="Monthly F",12,$AP91="One-Time",0),AV91*(1+$D$3))</f>
        <v/>
      </c>
      <c r="AX91" s="14">
        <f t="array" ref="AX91">IFERROR(_xlfn.IFS(VALUE(MID(AX$5,6,1))&gt;$D$2,0,$AP91="Annual",1,AW91=12,12,$AP91="Monthly V",AW91*(1+$D$3),$AP91="Monthly F",12,$AP91="One-Time",0),AW91*(1+$D$3))</f>
        <v/>
      </c>
      <c r="AY91" s="14">
        <f t="array" ref="AY91">IFERROR(_xlfn.IFS(VALUE(MID(AY$5,6,1))&gt;$D$2,0,$AP91="Annual",1,AX91=12,12,$AP91="Monthly V",AX91*(1+$D$3),$AP91="Monthly F",12,$AP91="One-Time",0),AX91*(1+$D$3))</f>
        <v/>
      </c>
      <c r="AZ91" s="14">
        <f t="array" ref="AZ91">IFERROR(_xlfn.IFS(VALUE(MID(AZ$5,6,1))&gt;$D$2,0,$AP91="Annual",1,AY91=12,12,$AP91="Monthly V",AY91*(1+$D$3),$AP91="Monthly F",12,$AP91="One-Time",0),AY91*(1+$D$3))</f>
        <v/>
      </c>
      <c r="BA91" s="125">
        <f t="array" ref="BA91">IFERROR(_xlfn.IFS(VALUE(MID(BA$5,6,2))&gt;$D$2,0,$AP91="Annual",1,AZ91=12,12,$AP91="Monthly V",AZ91*(1+$D$3),$AP91="Monthly F",12,$AP91="One-Time",0),AZ91*(1+$D$3))</f>
        <v/>
      </c>
      <c r="BB91" s="148" t="inlineStr">
        <is>
          <t>Synergy Productivity Education Pack (Virtual, instructor-led training and eLearning)</t>
        </is>
      </c>
      <c r="BC91" s="144" t="inlineStr">
        <is>
          <t>Synergy</t>
        </is>
      </c>
      <c r="BD91" s="145" t="n">
        <v>1150</v>
      </c>
      <c r="BE91" s="21">
        <f>BF91/12</f>
        <v/>
      </c>
      <c r="BF91" s="39">
        <f>IFERROR(AR91*$BD91,0)</f>
        <v/>
      </c>
      <c r="BG91" s="39">
        <f>IFERROR(AS91*$BD91,0)</f>
        <v/>
      </c>
      <c r="BH91" s="39">
        <f>IFERROR(AT91*$BD91,0)</f>
        <v/>
      </c>
      <c r="BI91" s="39">
        <f>IFERROR(AU91*$BD91,0)</f>
        <v/>
      </c>
      <c r="BJ91" s="39">
        <f>IFERROR(AV91*$BD91,0)</f>
        <v/>
      </c>
      <c r="BK91" s="39">
        <f>IFERROR(AW91*$BD91,0)</f>
        <v/>
      </c>
      <c r="BL91" s="39">
        <f>IFERROR(AX91*$BD91,0)</f>
        <v/>
      </c>
      <c r="BM91" s="39">
        <f>IFERROR(AY91*$BD91,0)</f>
        <v/>
      </c>
      <c r="BN91" s="39">
        <f>IFERROR(AZ91*$BD91,0)</f>
        <v/>
      </c>
      <c r="BO91" s="39">
        <f>IFERROR(BA91*$BD91,0)</f>
        <v/>
      </c>
      <c r="BP91" s="40" t="n"/>
      <c r="BQ91" s="40">
        <f>IF(VALUE(MID(BQ$5,6,1))&lt;=$D$2,((1+$BD$3)^1-1)*BG91,0)</f>
        <v/>
      </c>
      <c r="BR91" s="40">
        <f>IF(VALUE(MID(BR$5,6,1))&lt;=$D$2,((1+$BD$3)^2-1)*BH91,0)</f>
        <v/>
      </c>
      <c r="BS91" s="40">
        <f>IF(VALUE(MID(BS$5,6,1))&lt;=$D$2,((1+$BD$3)^3-1)*BI91,0)</f>
        <v/>
      </c>
      <c r="BT91" s="40">
        <f>IF(VALUE(MID(BT$5,6,1))&lt;=$D$2,((1+$BD$3)^4-1)*BJ91,0)</f>
        <v/>
      </c>
      <c r="BU91" s="40">
        <f>IF(VALUE(MID(BU$5,6,1))&lt;=$D$2,((1+$BD$3)^5-1)*BK91,0)</f>
        <v/>
      </c>
      <c r="BV91" s="40">
        <f>IF(VALUE(MID(BV$5,6,1))&lt;=$D$2,((1+$BD$3)^6-1)*BL91,0)</f>
        <v/>
      </c>
      <c r="BW91" s="40">
        <f>IF(VALUE(MID(BW$5,6,1))&lt;=$D$2,((1+$BD$3)^7-1)*BM91,0)</f>
        <v/>
      </c>
      <c r="BX91" s="40">
        <f>IF(VALUE(MID(BX$5,6,1))&lt;=$D$2,((1+$BD$3)^8-1)*BN91,0)</f>
        <v/>
      </c>
      <c r="BY91" s="40">
        <f>IF(VALUE(MID(BY$5,6,2))&lt;=$D$2,((1+$BD$3)^9-1)*BO91,0)</f>
        <v/>
      </c>
      <c r="BZ91" s="40">
        <f>SUM(BP91:BY91)</f>
        <v/>
      </c>
      <c r="CA91" s="37">
        <f>SUM(BZ91,BF91:BO91)</f>
        <v/>
      </c>
      <c r="CC91" s="102" t="n"/>
      <c r="CD91" s="12" t="n"/>
      <c r="CE91" s="14">
        <f>IF($CC91="Annual",1,IF($CC91="Monthly F",12,IF($CC91="Monthly V",CD91*12,IF($CC91="One-Time",1,CD91*12))))</f>
        <v/>
      </c>
      <c r="CF91" s="14">
        <f t="array" ref="CF91">IFERROR(_xlfn.IFS(VALUE(MID(CF$5,6,1))&gt;$D$2,0,$CC91="Annual",1,CE91=12,12,$CC91="Monthly V",CE91*(1+$D$3),$CC91="Monthly F",12,$CC91="One-Time",0),CE91*(1+$D$3))</f>
        <v/>
      </c>
      <c r="CG91" s="14">
        <f t="array" ref="CG91">IFERROR(_xlfn.IFS(VALUE(MID(CG$5,6,1))&gt;$D$2,0,$CC91="Annual",1,CF91=12,12,$CC91="Monthly V",CF91*(1+$D$3),$CC91="Monthly F",12,$CC91="One-Time",0),CF91*(1+$D$3))</f>
        <v/>
      </c>
      <c r="CH91" s="14">
        <f t="array" ref="CH91">IFERROR(_xlfn.IFS(VALUE(MID(CH$5,6,1))&gt;$D$2,0,$CC91="Annual",1,CG91=12,12,$CC91="Monthly V",CG91*(1+$D$3),$CC91="Monthly F",12,$CC91="One-Time",0),CG91*(1+$D$3))</f>
        <v/>
      </c>
      <c r="CI91" s="14">
        <f t="array" ref="CI91">IFERROR(_xlfn.IFS(VALUE(MID(CI$5,6,1))&gt;$D$2,0,$CC91="Annual",1,CH91=12,12,$CC91="Monthly V",CH91*(1+$D$3),$CC91="Monthly F",12,$CC91="One-Time",0),CH91*(1+$D$3))</f>
        <v/>
      </c>
      <c r="CJ91" s="14">
        <f t="array" ref="CJ91">IFERROR(_xlfn.IFS(VALUE(MID(CJ$5,6,1))&gt;$D$2,0,$CC91="Annual",1,CI91=12,12,$CC91="Monthly V",CI91*(1+$D$3),$CC91="Monthly F",12,$CC91="One-Time",0),CI91*(1+$D$3))</f>
        <v/>
      </c>
      <c r="CK91" s="14">
        <f t="array" ref="CK91">IFERROR(_xlfn.IFS(VALUE(MID(CK$5,6,1))&gt;$D$2,0,$CC91="Annual",1,CJ91=12,12,$CC91="Monthly V",CJ91*(1+$D$3),$CC91="Monthly F",12,$CC91="One-Time",0),CJ91*(1+$D$3))</f>
        <v/>
      </c>
      <c r="CL91" s="14">
        <f t="array" ref="CL91">IFERROR(_xlfn.IFS(VALUE(MID(CL$5,6,1))&gt;$D$2,0,$CC91="Annual",1,CK91=12,12,$CC91="Monthly V",CK91*(1+$D$3),$CC91="Monthly F",12,$CC91="One-Time",0),CK91*(1+$D$3))</f>
        <v/>
      </c>
      <c r="CM91" s="14">
        <f t="array" ref="CM91">IFERROR(_xlfn.IFS(VALUE(MID(CM$5,6,1))&gt;$D$2,0,$CC91="Annual",1,CL91=12,12,$CC91="Monthly V",CL91*(1+$D$3),$CC91="Monthly F",12,$CC91="One-Time",0),CL91*(1+$D$3))</f>
        <v/>
      </c>
      <c r="CN91" s="24">
        <f t="array" ref="CN91">IFERROR(_xlfn.IFS(VALUE(MID(CN$5,6,2))&gt;$D$2,0,$CC91="Annual",1,CM91=12,12,$CC91="Monthly V",CM91*(1+$D$3),$CC91="Monthly F",12,$CC91="One-Time",0),CM91*(1+$D$3))</f>
        <v/>
      </c>
      <c r="CO91" s="63" t="n"/>
      <c r="CP91" s="53" t="n"/>
      <c r="CQ91" s="21">
        <f>CR91/12</f>
        <v/>
      </c>
      <c r="CR91" s="55">
        <f>IFERROR(CE91*$CP91,0)</f>
        <v/>
      </c>
      <c r="CS91" s="55">
        <f>IFERROR(CF91*$CP91,0)</f>
        <v/>
      </c>
      <c r="CT91" s="55">
        <f>IFERROR(CG91*$CP91,0)</f>
        <v/>
      </c>
      <c r="CU91" s="55">
        <f>IFERROR(CH91*$CP91,0)</f>
        <v/>
      </c>
      <c r="CV91" s="55">
        <f>IFERROR(CI91*$CP91,0)</f>
        <v/>
      </c>
      <c r="CW91" s="55">
        <f>IFERROR(CJ91*$CP91,0)</f>
        <v/>
      </c>
      <c r="CX91" s="55">
        <f>IFERROR(CK91*$CP91,0)</f>
        <v/>
      </c>
      <c r="CY91" s="55">
        <f>IFERROR(CL91*$CP91,0)</f>
        <v/>
      </c>
      <c r="CZ91" s="55">
        <f>IFERROR(CM91*$CP91,0)</f>
        <v/>
      </c>
      <c r="DA91" s="55">
        <f>IFERROR(CN91*$CP91,0)</f>
        <v/>
      </c>
      <c r="DB91" s="56" t="n"/>
      <c r="DC91" s="56">
        <f>IF(VALUE(MID(DC$5,6,1))&lt;=$D$2,((1+$CP$3)^1-1)*CS91,0)</f>
        <v/>
      </c>
      <c r="DD91" s="56">
        <f>IF(VALUE(MID(DD$5,6,1))&lt;=$D$2,((1+$CP$3)^2-1)*CT91,0)</f>
        <v/>
      </c>
      <c r="DE91" s="56">
        <f>IF(VALUE(MID(DE$5,6,1))&lt;=$D$2,((1+$CP$3)^3-1)*CU91,0)</f>
        <v/>
      </c>
      <c r="DF91" s="56">
        <f>IF(VALUE(MID(DF$5,6,1))&lt;=$D$2,((1+$CP$3)^4-1)*CV91,0)</f>
        <v/>
      </c>
      <c r="DG91" s="56">
        <f>IF(VALUE(MID(DG$5,6,1))&lt;=$D$2,((1+$CP$3)^5-1)*CW91,0)</f>
        <v/>
      </c>
      <c r="DH91" s="56">
        <f>IF(VALUE(MID(DH$5,6,1))&lt;=$D$2,((1+$CP$3)^6-1)*CX91,0)</f>
        <v/>
      </c>
      <c r="DI91" s="56">
        <f>IF(VALUE(MID(DI$5,6,1))&lt;=$D$2,((1+$CP$3)^7-1)*CY91,0)</f>
        <v/>
      </c>
      <c r="DJ91" s="56">
        <f>IF(VALUE(MID(DJ$5,6,1))&lt;=$D$2,((1+$CP$3)^8-1)*CZ91,0)</f>
        <v/>
      </c>
      <c r="DK91" s="56">
        <f>IF(VALUE(MID(DK$5,6,2))&lt;=$D$2,((1+$CP$3)^9-1)*DA91,0)</f>
        <v/>
      </c>
      <c r="DL91" s="57">
        <f>SUM(DB91:DK91)</f>
        <v/>
      </c>
      <c r="DM91" s="54">
        <f>SUM(DL91,CR91:DA91)</f>
        <v/>
      </c>
      <c r="DO91" s="106" t="n"/>
    </row>
    <row r="92">
      <c r="B92" s="141" t="inlineStr">
        <is>
          <t>One-Time</t>
        </is>
      </c>
      <c r="C92" s="24" t="n">
        <v>1</v>
      </c>
      <c r="D92" s="147">
        <f>IFERROR(AVERAGE(C92:C92),0)</f>
        <v/>
      </c>
      <c r="E92" s="142">
        <f>IF($B92="Annual",1,IF($B92="Monthly F",12,IF($B92="Monthly V",D92*12,IF($B92="One-Time",1,D92*12))))</f>
        <v/>
      </c>
      <c r="F92" s="14">
        <f t="array" ref="F92">IFERROR(_xlfn.IFS(VALUE(MID(F$5,6,1))&gt;$D$2,0,$B92="Annual",1,E92=12,12,$B92="Monthly V",E92*(1+$D$3),$B92="Monthly F",12,$B92="One-Time",0),E92*(1+$D$3))</f>
        <v/>
      </c>
      <c r="G92" s="14">
        <f t="array" ref="G92">IFERROR(_xlfn.IFS(VALUE(MID(G$5,6,1))&gt;$D$2,0,$B92="Annual",1,F92=12,12,$B92="Monthly V",F92*(1+$D$3),$B92="Monthly F",12,$B92="One-Time",0),F92*(1+$D$3))</f>
        <v/>
      </c>
      <c r="H92" s="14">
        <f t="array" ref="H92">IFERROR(_xlfn.IFS(VALUE(MID(H$5,6,1))&gt;$D$2,0,$B92="Annual",1,G92=12,12,$B92="Monthly V",G92*(1+$D$3),$B92="Monthly F",12,$B92="One-Time",0),G92*(1+$D$3))</f>
        <v/>
      </c>
      <c r="I92" s="14">
        <f t="array" ref="I92">IFERROR(_xlfn.IFS(VALUE(MID(I$5,6,1))&gt;$D$2,0,$B92="Annual",1,H92=12,12,$B92="Monthly V",H92*(1+$D$3),$B92="Monthly F",12,$B92="One-Time",0),H92*(1+$D$3))</f>
        <v/>
      </c>
      <c r="J92" s="14">
        <f t="array" ref="J92">IFERROR(_xlfn.IFS(VALUE(MID(J$5,6,1))&gt;$D$2,0,$B92="Annual",1,I92=12,12,$B92="Monthly V",I92*(1+$D$3),$B92="Monthly F",12,$B92="One-Time",0),I92*(1+$D$3))</f>
        <v/>
      </c>
      <c r="K92" s="14">
        <f t="array" ref="K92">IFERROR(_xlfn.IFS(VALUE(MID(K$5,6,1))&gt;$D$2,0,$B92="Annual",1,J92=12,12,$B92="Monthly V",J92*(1+$D$3),$B92="Monthly F",12,$B92="One-Time",0),J92*(1+$D$3))</f>
        <v/>
      </c>
      <c r="L92" s="14">
        <f t="array" ref="L92">IFERROR(_xlfn.IFS(VALUE(MID(L$5,6,1))&gt;$D$2,0,$B92="Annual",1,K92=12,12,$B92="Monthly V",K92*(1+$D$3),$B92="Monthly F",12,$B92="One-Time",0),K92*(1+$D$3))</f>
        <v/>
      </c>
      <c r="M92" s="14">
        <f t="array" ref="M92">IFERROR(_xlfn.IFS(VALUE(MID(M$5,6,1))&gt;$D$2,0,$B92="Annual",1,L92=12,12,$B92="Monthly V",L92*(1+$D$3),$B92="Monthly F",12,$B92="One-Time",0),L92*(1+$D$3))</f>
        <v/>
      </c>
      <c r="N92" s="24">
        <f t="array" ref="N92">IFERROR(_xlfn.IFS(VALUE(MID(N$5,6,2))&gt;$D$2,0,$B92="Annual",1,M92=12,12,$B92="Monthly V",M92*(1+$D$3),$B92="Monthly F",12,$B92="One-Time",0),M92*(1+$D$3))</f>
        <v/>
      </c>
      <c r="O92" s="127" t="inlineStr">
        <is>
          <t>NYCE Preferred Debit Card Network Implementation Fee</t>
        </is>
      </c>
      <c r="P92" s="13" t="inlineStr">
        <is>
          <t>Card Networks</t>
        </is>
      </c>
      <c r="Q92" s="20" t="n">
        <v>1500</v>
      </c>
      <c r="R92" s="21">
        <f>S92/12</f>
        <v/>
      </c>
      <c r="S92" s="6">
        <f>IFERROR($Q92*E92,0)</f>
        <v/>
      </c>
      <c r="T92" s="6">
        <f>IFERROR($Q92*F92,0)</f>
        <v/>
      </c>
      <c r="U92" s="6">
        <f>IFERROR($Q92*G92,0)</f>
        <v/>
      </c>
      <c r="V92" s="6">
        <f>IFERROR($Q92*H92,0)</f>
        <v/>
      </c>
      <c r="W92" s="6">
        <f>IFERROR($Q92*I92,0)</f>
        <v/>
      </c>
      <c r="X92" s="6">
        <f>IFERROR($Q92*J92,0)</f>
        <v/>
      </c>
      <c r="Y92" s="6">
        <f>IFERROR($Q92*K92,0)</f>
        <v/>
      </c>
      <c r="Z92" s="6">
        <f>IFERROR($Q92*L92,0)</f>
        <v/>
      </c>
      <c r="AA92" s="6">
        <f>IFERROR($Q92*M92,0)</f>
        <v/>
      </c>
      <c r="AB92" s="6">
        <f>IFERROR($Q92*N92,0)</f>
        <v/>
      </c>
      <c r="AC92" s="7" t="n"/>
      <c r="AD92" s="152">
        <f>IF(VALUE(MID(AD$5,6,1))&lt;=$D$2,((1+$Q$3)^1-1)*T92,0)</f>
        <v/>
      </c>
      <c r="AE92" s="152">
        <f>IF(VALUE(MID(AE$5,6,1))&lt;=$D$2,((1+$Q$3)^2-1)*U92,0)</f>
        <v/>
      </c>
      <c r="AF92" s="152">
        <f>IF(VALUE(MID(AF$5,6,1))&lt;=$D$2,((1+$Q$3)^3-1)*V92,0)</f>
        <v/>
      </c>
      <c r="AG92" s="152">
        <f>IF(VALUE(MID(AG$5,6,1))&lt;=$D$2,((1+$Q$3)^4-1)*W92,0)</f>
        <v/>
      </c>
      <c r="AH92" s="152">
        <f>IF(VALUE(MID(AH$5,6,1))&lt;=$D$2,((1+$Q$3)^5-1)*X92,0)</f>
        <v/>
      </c>
      <c r="AI92" s="152">
        <f>IF(VALUE(MID(AI$5,6,1))&lt;=$D$2,((1+$Q$3)^6-1)*Y92,0)</f>
        <v/>
      </c>
      <c r="AJ92" s="152">
        <f>IF(VALUE(MID(AJ$5,6,1))&lt;=$D$2,((1+$Q$3)^7-1)*Z92,0)</f>
        <v/>
      </c>
      <c r="AK92" s="152">
        <f>IF(VALUE(MID(AK$5,6,1))&lt;=$D$2,((1+$Q$3)^8-1)*AA92,0)</f>
        <v/>
      </c>
      <c r="AL92" s="152">
        <f>IF(VALUE(MID(AL$5,6,2))&lt;=$D$2,((1+$Q$3)^9-1)*AB92,0)</f>
        <v/>
      </c>
      <c r="AM92" s="9">
        <f>SUM(AC92:AL92)</f>
        <v/>
      </c>
      <c r="AN92" s="80">
        <f>SUM(AM92,S92:AB92)</f>
        <v/>
      </c>
      <c r="AP92" s="114" t="inlineStr">
        <is>
          <t>One-Time</t>
        </is>
      </c>
      <c r="AQ92" s="143" t="n">
        <v>1</v>
      </c>
      <c r="AR92" s="14">
        <f>IF($AP92="Annual",1,IF($AP92="Monthly F",12,IF($AP92="Monthly V",AQ92*12,IF($AP92="One-Time",1,AQ92*12))))</f>
        <v/>
      </c>
      <c r="AS92" s="14">
        <f t="array" ref="AS92">IFERROR(_xlfn.IFS(VALUE(MID(AS$5,6,1))&gt;$D$2,0,$AP92="Annual",1,AR92=12,12,$AP92="Monthly V",AR92*(1+$D$3),$AP92="Monthly F",12,$AP92="One-Time",0),AR92*(1+$D$3))</f>
        <v/>
      </c>
      <c r="AT92" s="14">
        <f t="array" ref="AT92">IFERROR(_xlfn.IFS(VALUE(MID(AT$5,6,1))&gt;$D$2,0,$AP92="Annual",1,AS92=12,12,$AP92="Monthly V",AS92*(1+$D$3),$AP92="Monthly F",12,$AP92="One-Time",0),AS92*(1+$D$3))</f>
        <v/>
      </c>
      <c r="AU92" s="14">
        <f t="array" ref="AU92">IFERROR(_xlfn.IFS(VALUE(MID(AU$5,6,1))&gt;$D$2,0,$AP92="Annual",1,AT92=12,12,$AP92="Monthly V",AT92*(1+$D$3),$AP92="Monthly F",12,$AP92="One-Time",0),AT92*(1+$D$3))</f>
        <v/>
      </c>
      <c r="AV92" s="14">
        <f t="array" ref="AV92">IFERROR(_xlfn.IFS(VALUE(MID(AV$5,6,1))&gt;$D$2,0,$AP92="Annual",1,AU92=12,12,$AP92="Monthly V",AU92*(1+$D$3),$AP92="Monthly F",12,$AP92="One-Time",0),AU92*(1+$D$3))</f>
        <v/>
      </c>
      <c r="AW92" s="14">
        <f t="array" ref="AW92">IFERROR(_xlfn.IFS(VALUE(MID(AW$5,6,1))&gt;$D$2,0,$AP92="Annual",1,AV92=12,12,$AP92="Monthly V",AV92*(1+$D$3),$AP92="Monthly F",12,$AP92="One-Time",0),AV92*(1+$D$3))</f>
        <v/>
      </c>
      <c r="AX92" s="14">
        <f t="array" ref="AX92">IFERROR(_xlfn.IFS(VALUE(MID(AX$5,6,1))&gt;$D$2,0,$AP92="Annual",1,AW92=12,12,$AP92="Monthly V",AW92*(1+$D$3),$AP92="Monthly F",12,$AP92="One-Time",0),AW92*(1+$D$3))</f>
        <v/>
      </c>
      <c r="AY92" s="14">
        <f t="array" ref="AY92">IFERROR(_xlfn.IFS(VALUE(MID(AY$5,6,1))&gt;$D$2,0,$AP92="Annual",1,AX92=12,12,$AP92="Monthly V",AX92*(1+$D$3),$AP92="Monthly F",12,$AP92="One-Time",0),AX92*(1+$D$3))</f>
        <v/>
      </c>
      <c r="AZ92" s="14">
        <f t="array" ref="AZ92">IFERROR(_xlfn.IFS(VALUE(MID(AZ$5,6,1))&gt;$D$2,0,$AP92="Annual",1,AY92=12,12,$AP92="Monthly V",AY92*(1+$D$3),$AP92="Monthly F",12,$AP92="One-Time",0),AY92*(1+$D$3))</f>
        <v/>
      </c>
      <c r="BA92" s="125">
        <f t="array" ref="BA92">IFERROR(_xlfn.IFS(VALUE(MID(BA$5,6,2))&gt;$D$2,0,$AP92="Annual",1,AZ92=12,12,$AP92="Monthly V",AZ92*(1+$D$3),$AP92="Monthly F",12,$AP92="One-Time",0),AZ92*(1+$D$3))</f>
        <v/>
      </c>
      <c r="BB92" s="148" t="inlineStr">
        <is>
          <t>Synergy eSign &amp; eSignWeb Education Pack (Virtual, instructor-led training and eLearning)</t>
        </is>
      </c>
      <c r="BC92" s="144" t="inlineStr">
        <is>
          <t>Synergy</t>
        </is>
      </c>
      <c r="BD92" s="145" t="n">
        <v>1900</v>
      </c>
      <c r="BE92" s="21">
        <f>BF92/12</f>
        <v/>
      </c>
      <c r="BF92" s="39">
        <f>IFERROR(AR92*$BD92,0)</f>
        <v/>
      </c>
      <c r="BG92" s="39">
        <f>IFERROR(AS92*$BD92,0)</f>
        <v/>
      </c>
      <c r="BH92" s="39">
        <f>IFERROR(AT92*$BD92,0)</f>
        <v/>
      </c>
      <c r="BI92" s="39">
        <f>IFERROR(AU92*$BD92,0)</f>
        <v/>
      </c>
      <c r="BJ92" s="39">
        <f>IFERROR(AV92*$BD92,0)</f>
        <v/>
      </c>
      <c r="BK92" s="39">
        <f>IFERROR(AW92*$BD92,0)</f>
        <v/>
      </c>
      <c r="BL92" s="39">
        <f>IFERROR(AX92*$BD92,0)</f>
        <v/>
      </c>
      <c r="BM92" s="39">
        <f>IFERROR(AY92*$BD92,0)</f>
        <v/>
      </c>
      <c r="BN92" s="39">
        <f>IFERROR(AZ92*$BD92,0)</f>
        <v/>
      </c>
      <c r="BO92" s="39">
        <f>IFERROR(BA92*$BD92,0)</f>
        <v/>
      </c>
      <c r="BP92" s="40" t="n"/>
      <c r="BQ92" s="40">
        <f>IF(VALUE(MID(BQ$5,6,1))&lt;=$D$2,((1+$BD$3)^1-1)*BG92,0)</f>
        <v/>
      </c>
      <c r="BR92" s="40">
        <f>IF(VALUE(MID(BR$5,6,1))&lt;=$D$2,((1+$BD$3)^2-1)*BH92,0)</f>
        <v/>
      </c>
      <c r="BS92" s="40">
        <f>IF(VALUE(MID(BS$5,6,1))&lt;=$D$2,((1+$BD$3)^3-1)*BI92,0)</f>
        <v/>
      </c>
      <c r="BT92" s="40">
        <f>IF(VALUE(MID(BT$5,6,1))&lt;=$D$2,((1+$BD$3)^4-1)*BJ92,0)</f>
        <v/>
      </c>
      <c r="BU92" s="40">
        <f>IF(VALUE(MID(BU$5,6,1))&lt;=$D$2,((1+$BD$3)^5-1)*BK92,0)</f>
        <v/>
      </c>
      <c r="BV92" s="40">
        <f>IF(VALUE(MID(BV$5,6,1))&lt;=$D$2,((1+$BD$3)^6-1)*BL92,0)</f>
        <v/>
      </c>
      <c r="BW92" s="40">
        <f>IF(VALUE(MID(BW$5,6,1))&lt;=$D$2,((1+$BD$3)^7-1)*BM92,0)</f>
        <v/>
      </c>
      <c r="BX92" s="40">
        <f>IF(VALUE(MID(BX$5,6,1))&lt;=$D$2,((1+$BD$3)^8-1)*BN92,0)</f>
        <v/>
      </c>
      <c r="BY92" s="40">
        <f>IF(VALUE(MID(BY$5,6,2))&lt;=$D$2,((1+$BD$3)^9-1)*BO92,0)</f>
        <v/>
      </c>
      <c r="BZ92" s="40">
        <f>SUM(BP92:BY92)</f>
        <v/>
      </c>
      <c r="CA92" s="37">
        <f>SUM(BZ92,BF92:BO92)</f>
        <v/>
      </c>
      <c r="CC92" s="102" t="n"/>
      <c r="CD92" s="12" t="n"/>
      <c r="CE92" s="14">
        <f>IF($CC92="Annual",1,IF($CC92="Monthly F",12,IF($CC92="Monthly V",CD92*12,IF($CC92="One-Time",1,CD92*12))))</f>
        <v/>
      </c>
      <c r="CF92" s="14">
        <f t="array" ref="CF92">IFERROR(_xlfn.IFS(VALUE(MID(CF$5,6,1))&gt;$D$2,0,$CC92="Annual",1,CE92=12,12,$CC92="Monthly V",CE92*(1+$D$3),$CC92="Monthly F",12,$CC92="One-Time",0),CE92*(1+$D$3))</f>
        <v/>
      </c>
      <c r="CG92" s="14">
        <f t="array" ref="CG92">IFERROR(_xlfn.IFS(VALUE(MID(CG$5,6,1))&gt;$D$2,0,$CC92="Annual",1,CF92=12,12,$CC92="Monthly V",CF92*(1+$D$3),$CC92="Monthly F",12,$CC92="One-Time",0),CF92*(1+$D$3))</f>
        <v/>
      </c>
      <c r="CH92" s="14">
        <f t="array" ref="CH92">IFERROR(_xlfn.IFS(VALUE(MID(CH$5,6,1))&gt;$D$2,0,$CC92="Annual",1,CG92=12,12,$CC92="Monthly V",CG92*(1+$D$3),$CC92="Monthly F",12,$CC92="One-Time",0),CG92*(1+$D$3))</f>
        <v/>
      </c>
      <c r="CI92" s="14">
        <f t="array" ref="CI92">IFERROR(_xlfn.IFS(VALUE(MID(CI$5,6,1))&gt;$D$2,0,$CC92="Annual",1,CH92=12,12,$CC92="Monthly V",CH92*(1+$D$3),$CC92="Monthly F",12,$CC92="One-Time",0),CH92*(1+$D$3))</f>
        <v/>
      </c>
      <c r="CJ92" s="14">
        <f t="array" ref="CJ92">IFERROR(_xlfn.IFS(VALUE(MID(CJ$5,6,1))&gt;$D$2,0,$CC92="Annual",1,CI92=12,12,$CC92="Monthly V",CI92*(1+$D$3),$CC92="Monthly F",12,$CC92="One-Time",0),CI92*(1+$D$3))</f>
        <v/>
      </c>
      <c r="CK92" s="14">
        <f t="array" ref="CK92">IFERROR(_xlfn.IFS(VALUE(MID(CK$5,6,1))&gt;$D$2,0,$CC92="Annual",1,CJ92=12,12,$CC92="Monthly V",CJ92*(1+$D$3),$CC92="Monthly F",12,$CC92="One-Time",0),CJ92*(1+$D$3))</f>
        <v/>
      </c>
      <c r="CL92" s="14">
        <f t="array" ref="CL92">IFERROR(_xlfn.IFS(VALUE(MID(CL$5,6,1))&gt;$D$2,0,$CC92="Annual",1,CK92=12,12,$CC92="Monthly V",CK92*(1+$D$3),$CC92="Monthly F",12,$CC92="One-Time",0),CK92*(1+$D$3))</f>
        <v/>
      </c>
      <c r="CM92" s="14">
        <f t="array" ref="CM92">IFERROR(_xlfn.IFS(VALUE(MID(CM$5,6,1))&gt;$D$2,0,$CC92="Annual",1,CL92=12,12,$CC92="Monthly V",CL92*(1+$D$3),$CC92="Monthly F",12,$CC92="One-Time",0),CL92*(1+$D$3))</f>
        <v/>
      </c>
      <c r="CN92" s="24">
        <f t="array" ref="CN92">IFERROR(_xlfn.IFS(VALUE(MID(CN$5,6,2))&gt;$D$2,0,$CC92="Annual",1,CM92=12,12,$CC92="Monthly V",CM92*(1+$D$3),$CC92="Monthly F",12,$CC92="One-Time",0),CM92*(1+$D$3))</f>
        <v/>
      </c>
      <c r="CO92" s="63" t="n"/>
      <c r="CP92" s="53" t="n"/>
      <c r="CQ92" s="21">
        <f>CR92/12</f>
        <v/>
      </c>
      <c r="CR92" s="55">
        <f>IFERROR(CE92*$CP92,0)</f>
        <v/>
      </c>
      <c r="CS92" s="55">
        <f>IFERROR(CF92*$CP92,0)</f>
        <v/>
      </c>
      <c r="CT92" s="55">
        <f>IFERROR(CG92*$CP92,0)</f>
        <v/>
      </c>
      <c r="CU92" s="55">
        <f>IFERROR(CH92*$CP92,0)</f>
        <v/>
      </c>
      <c r="CV92" s="55">
        <f>IFERROR(CI92*$CP92,0)</f>
        <v/>
      </c>
      <c r="CW92" s="55">
        <f>IFERROR(CJ92*$CP92,0)</f>
        <v/>
      </c>
      <c r="CX92" s="55">
        <f>IFERROR(CK92*$CP92,0)</f>
        <v/>
      </c>
      <c r="CY92" s="55">
        <f>IFERROR(CL92*$CP92,0)</f>
        <v/>
      </c>
      <c r="CZ92" s="55">
        <f>IFERROR(CM92*$CP92,0)</f>
        <v/>
      </c>
      <c r="DA92" s="55">
        <f>IFERROR(CN92*$CP92,0)</f>
        <v/>
      </c>
      <c r="DB92" s="56" t="n"/>
      <c r="DC92" s="56">
        <f>IF(VALUE(MID(DC$5,6,1))&lt;=$D$2,((1+$CP$3)^1-1)*CS92,0)</f>
        <v/>
      </c>
      <c r="DD92" s="56">
        <f>IF(VALUE(MID(DD$5,6,1))&lt;=$D$2,((1+$CP$3)^2-1)*CT92,0)</f>
        <v/>
      </c>
      <c r="DE92" s="56">
        <f>IF(VALUE(MID(DE$5,6,1))&lt;=$D$2,((1+$CP$3)^3-1)*CU92,0)</f>
        <v/>
      </c>
      <c r="DF92" s="56">
        <f>IF(VALUE(MID(DF$5,6,1))&lt;=$D$2,((1+$CP$3)^4-1)*CV92,0)</f>
        <v/>
      </c>
      <c r="DG92" s="56">
        <f>IF(VALUE(MID(DG$5,6,1))&lt;=$D$2,((1+$CP$3)^5-1)*CW92,0)</f>
        <v/>
      </c>
      <c r="DH92" s="56">
        <f>IF(VALUE(MID(DH$5,6,1))&lt;=$D$2,((1+$CP$3)^6-1)*CX92,0)</f>
        <v/>
      </c>
      <c r="DI92" s="56">
        <f>IF(VALUE(MID(DI$5,6,1))&lt;=$D$2,((1+$CP$3)^7-1)*CY92,0)</f>
        <v/>
      </c>
      <c r="DJ92" s="56">
        <f>IF(VALUE(MID(DJ$5,6,1))&lt;=$D$2,((1+$CP$3)^8-1)*CZ92,0)</f>
        <v/>
      </c>
      <c r="DK92" s="56">
        <f>IF(VALUE(MID(DK$5,6,2))&lt;=$D$2,((1+$CP$3)^9-1)*DA92,0)</f>
        <v/>
      </c>
      <c r="DL92" s="57">
        <f>SUM(DB92:DK92)</f>
        <v/>
      </c>
      <c r="DM92" s="54">
        <f>SUM(DL92,CR92:DA92)</f>
        <v/>
      </c>
      <c r="DO92" s="106" t="n"/>
    </row>
    <row r="93">
      <c r="B93" s="141" t="inlineStr">
        <is>
          <t>One-Time</t>
        </is>
      </c>
      <c r="C93" s="24" t="n">
        <v>1</v>
      </c>
      <c r="D93" s="147">
        <f>IFERROR(AVERAGE(C93:C93),0)</f>
        <v/>
      </c>
      <c r="E93" s="142">
        <f>IF($B93="Annual",1,IF($B93="Monthly F",12,IF($B93="Monthly V",D93*12,IF($B93="One-Time",1,D93*12))))</f>
        <v/>
      </c>
      <c r="F93" s="14">
        <f t="array" ref="F93">IFERROR(_xlfn.IFS(VALUE(MID(F$5,6,1))&gt;$D$2,0,$B93="Annual",1,E93=12,12,$B93="Monthly V",E93*(1+$D$3),$B93="Monthly F",12,$B93="One-Time",0),E93*(1+$D$3))</f>
        <v/>
      </c>
      <c r="G93" s="14">
        <f t="array" ref="G93">IFERROR(_xlfn.IFS(VALUE(MID(G$5,6,1))&gt;$D$2,0,$B93="Annual",1,F93=12,12,$B93="Monthly V",F93*(1+$D$3),$B93="Monthly F",12,$B93="One-Time",0),F93*(1+$D$3))</f>
        <v/>
      </c>
      <c r="H93" s="14">
        <f t="array" ref="H93">IFERROR(_xlfn.IFS(VALUE(MID(H$5,6,1))&gt;$D$2,0,$B93="Annual",1,G93=12,12,$B93="Monthly V",G93*(1+$D$3),$B93="Monthly F",12,$B93="One-Time",0),G93*(1+$D$3))</f>
        <v/>
      </c>
      <c r="I93" s="14">
        <f t="array" ref="I93">IFERROR(_xlfn.IFS(VALUE(MID(I$5,6,1))&gt;$D$2,0,$B93="Annual",1,H93=12,12,$B93="Monthly V",H93*(1+$D$3),$B93="Monthly F",12,$B93="One-Time",0),H93*(1+$D$3))</f>
        <v/>
      </c>
      <c r="J93" s="14">
        <f t="array" ref="J93">IFERROR(_xlfn.IFS(VALUE(MID(J$5,6,1))&gt;$D$2,0,$B93="Annual",1,I93=12,12,$B93="Monthly V",I93*(1+$D$3),$B93="Monthly F",12,$B93="One-Time",0),I93*(1+$D$3))</f>
        <v/>
      </c>
      <c r="K93" s="14">
        <f t="array" ref="K93">IFERROR(_xlfn.IFS(VALUE(MID(K$5,6,1))&gt;$D$2,0,$B93="Annual",1,J93=12,12,$B93="Monthly V",J93*(1+$D$3),$B93="Monthly F",12,$B93="One-Time",0),J93*(1+$D$3))</f>
        <v/>
      </c>
      <c r="L93" s="14">
        <f t="array" ref="L93">IFERROR(_xlfn.IFS(VALUE(MID(L$5,6,1))&gt;$D$2,0,$B93="Annual",1,K93=12,12,$B93="Monthly V",K93*(1+$D$3),$B93="Monthly F",12,$B93="One-Time",0),K93*(1+$D$3))</f>
        <v/>
      </c>
      <c r="M93" s="14">
        <f t="array" ref="M93">IFERROR(_xlfn.IFS(VALUE(MID(M$5,6,1))&gt;$D$2,0,$B93="Annual",1,L93=12,12,$B93="Monthly V",L93*(1+$D$3),$B93="Monthly F",12,$B93="One-Time",0),L93*(1+$D$3))</f>
        <v/>
      </c>
      <c r="N93" s="24">
        <f t="array" ref="N93">IFERROR(_xlfn.IFS(VALUE(MID(N$5,6,2))&gt;$D$2,0,$B93="Annual",1,M93=12,12,$B93="Monthly V",M93*(1+$D$3),$B93="Monthly F",12,$B93="One-Time",0),M93*(1+$D$3))</f>
        <v/>
      </c>
      <c r="O93" s="127" t="inlineStr">
        <is>
          <t>FIS Implementation Credits</t>
        </is>
      </c>
      <c r="P93" s="13" t="inlineStr"/>
      <c r="Q93" s="20" t="n">
        <v>-844093</v>
      </c>
      <c r="R93" s="21">
        <f>S93/12</f>
        <v/>
      </c>
      <c r="S93" s="6">
        <f>IFERROR($Q93*E93,0)</f>
        <v/>
      </c>
      <c r="T93" s="6">
        <f>IFERROR($Q93*F93,0)</f>
        <v/>
      </c>
      <c r="U93" s="6">
        <f>IFERROR($Q93*G93,0)</f>
        <v/>
      </c>
      <c r="V93" s="6">
        <f>IFERROR($Q93*H93,0)</f>
        <v/>
      </c>
      <c r="W93" s="6">
        <f>IFERROR($Q93*I93,0)</f>
        <v/>
      </c>
      <c r="X93" s="6">
        <f>IFERROR($Q93*J93,0)</f>
        <v/>
      </c>
      <c r="Y93" s="6">
        <f>IFERROR($Q93*K93,0)</f>
        <v/>
      </c>
      <c r="Z93" s="6">
        <f>IFERROR($Q93*L93,0)</f>
        <v/>
      </c>
      <c r="AA93" s="6">
        <f>IFERROR($Q93*M93,0)</f>
        <v/>
      </c>
      <c r="AB93" s="6">
        <f>IFERROR($Q93*N93,0)</f>
        <v/>
      </c>
      <c r="AC93" s="7" t="n"/>
      <c r="AD93" s="152">
        <f>IF(VALUE(MID(AD$5,6,1))&lt;=$D$2,((1+$Q$3)^1-1)*T93,0)</f>
        <v/>
      </c>
      <c r="AE93" s="152">
        <f>IF(VALUE(MID(AE$5,6,1))&lt;=$D$2,((1+$Q$3)^2-1)*U93,0)</f>
        <v/>
      </c>
      <c r="AF93" s="152">
        <f>IF(VALUE(MID(AF$5,6,1))&lt;=$D$2,((1+$Q$3)^3-1)*V93,0)</f>
        <v/>
      </c>
      <c r="AG93" s="152">
        <f>IF(VALUE(MID(AG$5,6,1))&lt;=$D$2,((1+$Q$3)^4-1)*W93,0)</f>
        <v/>
      </c>
      <c r="AH93" s="152">
        <f>IF(VALUE(MID(AH$5,6,1))&lt;=$D$2,((1+$Q$3)^5-1)*X93,0)</f>
        <v/>
      </c>
      <c r="AI93" s="152">
        <f>IF(VALUE(MID(AI$5,6,1))&lt;=$D$2,((1+$Q$3)^6-1)*Y93,0)</f>
        <v/>
      </c>
      <c r="AJ93" s="152">
        <f>IF(VALUE(MID(AJ$5,6,1))&lt;=$D$2,((1+$Q$3)^7-1)*Z93,0)</f>
        <v/>
      </c>
      <c r="AK93" s="152">
        <f>IF(VALUE(MID(AK$5,6,1))&lt;=$D$2,((1+$Q$3)^8-1)*AA93,0)</f>
        <v/>
      </c>
      <c r="AL93" s="152">
        <f>IF(VALUE(MID(AL$5,6,2))&lt;=$D$2,((1+$Q$3)^9-1)*AB93,0)</f>
        <v/>
      </c>
      <c r="AM93" s="9">
        <f>SUM(AC93:AL93)</f>
        <v/>
      </c>
      <c r="AN93" s="80">
        <f>SUM(AM93,S93:AB93)</f>
        <v/>
      </c>
      <c r="AP93" s="114" t="inlineStr">
        <is>
          <t>One-Time</t>
        </is>
      </c>
      <c r="AQ93" s="143" t="n">
        <v>1</v>
      </c>
      <c r="AR93" s="14">
        <f>IF($AP93="Annual",1,IF($AP93="Monthly F",12,IF($AP93="Monthly V",AQ93*12,IF($AP93="One-Time",1,AQ93*12))))</f>
        <v/>
      </c>
      <c r="AS93" s="14">
        <f t="array" ref="AS93">IFERROR(_xlfn.IFS(VALUE(MID(AS$5,6,1))&gt;$D$2,0,$AP93="Annual",1,AR93=12,12,$AP93="Monthly V",AR93*(1+$D$3),$AP93="Monthly F",12,$AP93="One-Time",0),AR93*(1+$D$3))</f>
        <v/>
      </c>
      <c r="AT93" s="14">
        <f t="array" ref="AT93">IFERROR(_xlfn.IFS(VALUE(MID(AT$5,6,1))&gt;$D$2,0,$AP93="Annual",1,AS93=12,12,$AP93="Monthly V",AS93*(1+$D$3),$AP93="Monthly F",12,$AP93="One-Time",0),AS93*(1+$D$3))</f>
        <v/>
      </c>
      <c r="AU93" s="14">
        <f t="array" ref="AU93">IFERROR(_xlfn.IFS(VALUE(MID(AU$5,6,1))&gt;$D$2,0,$AP93="Annual",1,AT93=12,12,$AP93="Monthly V",AT93*(1+$D$3),$AP93="Monthly F",12,$AP93="One-Time",0),AT93*(1+$D$3))</f>
        <v/>
      </c>
      <c r="AV93" s="14">
        <f t="array" ref="AV93">IFERROR(_xlfn.IFS(VALUE(MID(AV$5,6,1))&gt;$D$2,0,$AP93="Annual",1,AU93=12,12,$AP93="Monthly V",AU93*(1+$D$3),$AP93="Monthly F",12,$AP93="One-Time",0),AU93*(1+$D$3))</f>
        <v/>
      </c>
      <c r="AW93" s="14">
        <f t="array" ref="AW93">IFERROR(_xlfn.IFS(VALUE(MID(AW$5,6,1))&gt;$D$2,0,$AP93="Annual",1,AV93=12,12,$AP93="Monthly V",AV93*(1+$D$3),$AP93="Monthly F",12,$AP93="One-Time",0),AV93*(1+$D$3))</f>
        <v/>
      </c>
      <c r="AX93" s="14">
        <f t="array" ref="AX93">IFERROR(_xlfn.IFS(VALUE(MID(AX$5,6,1))&gt;$D$2,0,$AP93="Annual",1,AW93=12,12,$AP93="Monthly V",AW93*(1+$D$3),$AP93="Monthly F",12,$AP93="One-Time",0),AW93*(1+$D$3))</f>
        <v/>
      </c>
      <c r="AY93" s="14">
        <f t="array" ref="AY93">IFERROR(_xlfn.IFS(VALUE(MID(AY$5,6,1))&gt;$D$2,0,$AP93="Annual",1,AX93=12,12,$AP93="Monthly V",AX93*(1+$D$3),$AP93="Monthly F",12,$AP93="One-Time",0),AX93*(1+$D$3))</f>
        <v/>
      </c>
      <c r="AZ93" s="14">
        <f t="array" ref="AZ93">IFERROR(_xlfn.IFS(VALUE(MID(AZ$5,6,1))&gt;$D$2,0,$AP93="Annual",1,AY93=12,12,$AP93="Monthly V",AY93*(1+$D$3),$AP93="Monthly F",12,$AP93="One-Time",0),AY93*(1+$D$3))</f>
        <v/>
      </c>
      <c r="BA93" s="125">
        <f t="array" ref="BA93">IFERROR(_xlfn.IFS(VALUE(MID(BA$5,6,2))&gt;$D$2,0,$AP93="Annual",1,AZ93=12,12,$AP93="Monthly V",AZ93*(1+$D$3),$AP93="Monthly F",12,$AP93="One-Time",0),AZ93*(1+$D$3))</f>
        <v/>
      </c>
      <c r="BB93" s="148" t="inlineStr">
        <is>
          <t>Synergy Implementation Consulting</t>
        </is>
      </c>
      <c r="BC93" s="144" t="inlineStr">
        <is>
          <t>Synergy</t>
        </is>
      </c>
      <c r="BD93" s="145" t="n">
        <v>5200</v>
      </c>
      <c r="BE93" s="21">
        <f>BF93/12</f>
        <v/>
      </c>
      <c r="BF93" s="39">
        <f>IFERROR(AR93*$BD93,0)</f>
        <v/>
      </c>
      <c r="BG93" s="39">
        <f>IFERROR(AS93*$BD93,0)</f>
        <v/>
      </c>
      <c r="BH93" s="39">
        <f>IFERROR(AT93*$BD93,0)</f>
        <v/>
      </c>
      <c r="BI93" s="39">
        <f>IFERROR(AU93*$BD93,0)</f>
        <v/>
      </c>
      <c r="BJ93" s="39">
        <f>IFERROR(AV93*$BD93,0)</f>
        <v/>
      </c>
      <c r="BK93" s="39">
        <f>IFERROR(AW93*$BD93,0)</f>
        <v/>
      </c>
      <c r="BL93" s="39">
        <f>IFERROR(AX93*$BD93,0)</f>
        <v/>
      </c>
      <c r="BM93" s="39">
        <f>IFERROR(AY93*$BD93,0)</f>
        <v/>
      </c>
      <c r="BN93" s="39">
        <f>IFERROR(AZ93*$BD93,0)</f>
        <v/>
      </c>
      <c r="BO93" s="39">
        <f>IFERROR(BA93*$BD93,0)</f>
        <v/>
      </c>
      <c r="BP93" s="40" t="n"/>
      <c r="BQ93" s="40">
        <f>IF(VALUE(MID(BQ$5,6,1))&lt;=$D$2,((1+$BD$3)^1-1)*BG93,0)</f>
        <v/>
      </c>
      <c r="BR93" s="40">
        <f>IF(VALUE(MID(BR$5,6,1))&lt;=$D$2,((1+$BD$3)^2-1)*BH93,0)</f>
        <v/>
      </c>
      <c r="BS93" s="40">
        <f>IF(VALUE(MID(BS$5,6,1))&lt;=$D$2,((1+$BD$3)^3-1)*BI93,0)</f>
        <v/>
      </c>
      <c r="BT93" s="40">
        <f>IF(VALUE(MID(BT$5,6,1))&lt;=$D$2,((1+$BD$3)^4-1)*BJ93,0)</f>
        <v/>
      </c>
      <c r="BU93" s="40">
        <f>IF(VALUE(MID(BU$5,6,1))&lt;=$D$2,((1+$BD$3)^5-1)*BK93,0)</f>
        <v/>
      </c>
      <c r="BV93" s="40">
        <f>IF(VALUE(MID(BV$5,6,1))&lt;=$D$2,((1+$BD$3)^6-1)*BL93,0)</f>
        <v/>
      </c>
      <c r="BW93" s="40">
        <f>IF(VALUE(MID(BW$5,6,1))&lt;=$D$2,((1+$BD$3)^7-1)*BM93,0)</f>
        <v/>
      </c>
      <c r="BX93" s="40">
        <f>IF(VALUE(MID(BX$5,6,1))&lt;=$D$2,((1+$BD$3)^8-1)*BN93,0)</f>
        <v/>
      </c>
      <c r="BY93" s="40">
        <f>IF(VALUE(MID(BY$5,6,2))&lt;=$D$2,((1+$BD$3)^9-1)*BO93,0)</f>
        <v/>
      </c>
      <c r="BZ93" s="40">
        <f>SUM(BP93:BY93)</f>
        <v/>
      </c>
      <c r="CA93" s="37">
        <f>SUM(BZ93,BF93:BO93)</f>
        <v/>
      </c>
      <c r="CC93" s="102" t="n"/>
      <c r="CD93" s="12" t="n"/>
      <c r="CE93" s="14" t="n"/>
      <c r="CF93" s="14" t="n"/>
      <c r="CG93" s="14" t="n"/>
      <c r="CH93" s="14" t="n"/>
      <c r="CI93" s="14" t="n"/>
      <c r="CJ93" s="14" t="n"/>
      <c r="CK93" s="14" t="n"/>
      <c r="CL93" s="14" t="n"/>
      <c r="CM93" s="14" t="n"/>
      <c r="CN93" s="24" t="n"/>
      <c r="CO93" s="63" t="n"/>
      <c r="CP93" s="53" t="n"/>
      <c r="CQ93" s="21" t="n"/>
      <c r="CR93" s="55" t="n"/>
      <c r="CS93" s="55" t="n"/>
      <c r="CT93" s="55" t="n"/>
      <c r="CU93" s="55" t="n"/>
      <c r="CV93" s="55" t="n"/>
      <c r="CW93" s="55" t="n"/>
      <c r="CX93" s="55" t="n"/>
      <c r="CY93" s="55" t="n"/>
      <c r="CZ93" s="55" t="n"/>
      <c r="DA93" s="55" t="n"/>
      <c r="DB93" s="56" t="n"/>
      <c r="DC93" s="56" t="n"/>
      <c r="DD93" s="56" t="n"/>
      <c r="DE93" s="56" t="n"/>
      <c r="DF93" s="56" t="n"/>
      <c r="DG93" s="56" t="n"/>
      <c r="DH93" s="56" t="n"/>
      <c r="DI93" s="56" t="n"/>
      <c r="DJ93" s="56" t="n"/>
      <c r="DK93" s="56" t="n"/>
      <c r="DL93" s="57" t="n"/>
      <c r="DM93" s="54" t="n"/>
      <c r="DO93" s="106" t="n"/>
    </row>
    <row r="94">
      <c r="B94" s="141" t="inlineStr">
        <is>
          <t>One-Time</t>
        </is>
      </c>
      <c r="C94" s="24" t="n">
        <v>1</v>
      </c>
      <c r="D94" s="147">
        <f>IFERROR(AVERAGE(C94:C94),0)</f>
        <v/>
      </c>
      <c r="E94" s="142">
        <f>IF($B94="Annual",1,IF($B94="Monthly F",12,IF($B94="Monthly V",D94*12,IF($B94="One-Time",1,D94*12))))</f>
        <v/>
      </c>
      <c r="F94" s="14">
        <f t="array" ref="F94">IFERROR(_xlfn.IFS(VALUE(MID(F$5,6,1))&gt;$D$2,0,$B94="Annual",1,E94=12,12,$B94="Monthly V",E94*(1+$D$3),$B94="Monthly F",12,$B94="One-Time",0),E94*(1+$D$3))</f>
        <v/>
      </c>
      <c r="G94" s="14">
        <f t="array" ref="G94">IFERROR(_xlfn.IFS(VALUE(MID(G$5,6,1))&gt;$D$2,0,$B94="Annual",1,F94=12,12,$B94="Monthly V",F94*(1+$D$3),$B94="Monthly F",12,$B94="One-Time",0),F94*(1+$D$3))</f>
        <v/>
      </c>
      <c r="H94" s="14">
        <f t="array" ref="H94">IFERROR(_xlfn.IFS(VALUE(MID(H$5,6,1))&gt;$D$2,0,$B94="Annual",1,G94=12,12,$B94="Monthly V",G94*(1+$D$3),$B94="Monthly F",12,$B94="One-Time",0),G94*(1+$D$3))</f>
        <v/>
      </c>
      <c r="I94" s="14">
        <f t="array" ref="I94">IFERROR(_xlfn.IFS(VALUE(MID(I$5,6,1))&gt;$D$2,0,$B94="Annual",1,H94=12,12,$B94="Monthly V",H94*(1+$D$3),$B94="Monthly F",12,$B94="One-Time",0),H94*(1+$D$3))</f>
        <v/>
      </c>
      <c r="J94" s="14">
        <f t="array" ref="J94">IFERROR(_xlfn.IFS(VALUE(MID(J$5,6,1))&gt;$D$2,0,$B94="Annual",1,I94=12,12,$B94="Monthly V",I94*(1+$D$3),$B94="Monthly F",12,$B94="One-Time",0),I94*(1+$D$3))</f>
        <v/>
      </c>
      <c r="K94" s="14">
        <f t="array" ref="K94">IFERROR(_xlfn.IFS(VALUE(MID(K$5,6,1))&gt;$D$2,0,$B94="Annual",1,J94=12,12,$B94="Monthly V",J94*(1+$D$3),$B94="Monthly F",12,$B94="One-Time",0),J94*(1+$D$3))</f>
        <v/>
      </c>
      <c r="L94" s="14">
        <f t="array" ref="L94">IFERROR(_xlfn.IFS(VALUE(MID(L$5,6,1))&gt;$D$2,0,$B94="Annual",1,K94=12,12,$B94="Monthly V",K94*(1+$D$3),$B94="Monthly F",12,$B94="One-Time",0),K94*(1+$D$3))</f>
        <v/>
      </c>
      <c r="M94" s="14">
        <f t="array" ref="M94">IFERROR(_xlfn.IFS(VALUE(MID(M$5,6,1))&gt;$D$2,0,$B94="Annual",1,L94=12,12,$B94="Monthly V",L94*(1+$D$3),$B94="Monthly F",12,$B94="One-Time",0),L94*(1+$D$3))</f>
        <v/>
      </c>
      <c r="N94" s="24">
        <f t="array" ref="N94">IFERROR(_xlfn.IFS(VALUE(MID(N$5,6,2))&gt;$D$2,0,$B94="Annual",1,M94=12,12,$B94="Monthly V",M94*(1+$D$3),$B94="Monthly F",12,$B94="One-Time",0),M94*(1+$D$3))</f>
        <v/>
      </c>
      <c r="O94" s="127" t="inlineStr">
        <is>
          <t>Third Party Implementation Credits</t>
        </is>
      </c>
      <c r="P94" s="13" t="inlineStr"/>
      <c r="Q94" s="20" t="n">
        <v>-137070</v>
      </c>
      <c r="R94" s="21">
        <f>S94/12</f>
        <v/>
      </c>
      <c r="S94" s="6">
        <f>IFERROR($Q94*E94,0)</f>
        <v/>
      </c>
      <c r="T94" s="6">
        <f>IFERROR($Q94*F94,0)</f>
        <v/>
      </c>
      <c r="U94" s="6">
        <f>IFERROR($Q94*G94,0)</f>
        <v/>
      </c>
      <c r="V94" s="6">
        <f>IFERROR($Q94*H94,0)</f>
        <v/>
      </c>
      <c r="W94" s="6">
        <f>IFERROR($Q94*I94,0)</f>
        <v/>
      </c>
      <c r="X94" s="6">
        <f>IFERROR($Q94*J94,0)</f>
        <v/>
      </c>
      <c r="Y94" s="6">
        <f>IFERROR($Q94*K94,0)</f>
        <v/>
      </c>
      <c r="Z94" s="6">
        <f>IFERROR($Q94*L94,0)</f>
        <v/>
      </c>
      <c r="AA94" s="6">
        <f>IFERROR($Q94*M94,0)</f>
        <v/>
      </c>
      <c r="AB94" s="6">
        <f>IFERROR($Q94*N94,0)</f>
        <v/>
      </c>
      <c r="AC94" s="7" t="n"/>
      <c r="AD94" s="152">
        <f>IF(VALUE(MID(AD$5,6,1))&lt;=$D$2,((1+$Q$3)^1-1)*T94,0)</f>
        <v/>
      </c>
      <c r="AE94" s="152">
        <f>IF(VALUE(MID(AE$5,6,1))&lt;=$D$2,((1+$Q$3)^2-1)*U94,0)</f>
        <v/>
      </c>
      <c r="AF94" s="152">
        <f>IF(VALUE(MID(AF$5,6,1))&lt;=$D$2,((1+$Q$3)^3-1)*V94,0)</f>
        <v/>
      </c>
      <c r="AG94" s="152">
        <f>IF(VALUE(MID(AG$5,6,1))&lt;=$D$2,((1+$Q$3)^4-1)*W94,0)</f>
        <v/>
      </c>
      <c r="AH94" s="152">
        <f>IF(VALUE(MID(AH$5,6,1))&lt;=$D$2,((1+$Q$3)^5-1)*X94,0)</f>
        <v/>
      </c>
      <c r="AI94" s="152">
        <f>IF(VALUE(MID(AI$5,6,1))&lt;=$D$2,((1+$Q$3)^6-1)*Y94,0)</f>
        <v/>
      </c>
      <c r="AJ94" s="152">
        <f>IF(VALUE(MID(AJ$5,6,1))&lt;=$D$2,((1+$Q$3)^7-1)*Z94,0)</f>
        <v/>
      </c>
      <c r="AK94" s="152">
        <f>IF(VALUE(MID(AK$5,6,1))&lt;=$D$2,((1+$Q$3)^8-1)*AA94,0)</f>
        <v/>
      </c>
      <c r="AL94" s="152">
        <f>IF(VALUE(MID(AL$5,6,2))&lt;=$D$2,((1+$Q$3)^9-1)*AB94,0)</f>
        <v/>
      </c>
      <c r="AM94" s="9">
        <f>SUM(AC94:AL94)</f>
        <v/>
      </c>
      <c r="AN94" s="80">
        <f>SUM(AM94,S94:AB94)</f>
        <v/>
      </c>
      <c r="AP94" s="114" t="inlineStr">
        <is>
          <t>One-Time</t>
        </is>
      </c>
      <c r="AQ94" s="143" t="n">
        <v>1</v>
      </c>
      <c r="AR94" s="14">
        <f>IF($AP94="Annual",1,IF($AP94="Monthly F",12,IF($AP94="Monthly V",AQ94*12,IF($AP94="One-Time",1,AQ94*12))))</f>
        <v/>
      </c>
      <c r="AS94" s="14">
        <f t="array" ref="AS94">IFERROR(_xlfn.IFS(VALUE(MID(AS$5,6,1))&gt;$D$2,0,$AP94="Annual",1,AR94=12,12,$AP94="Monthly V",AR94*(1+$D$3),$AP94="Monthly F",12,$AP94="One-Time",0),AR94*(1+$D$3))</f>
        <v/>
      </c>
      <c r="AT94" s="14">
        <f t="array" ref="AT94">IFERROR(_xlfn.IFS(VALUE(MID(AT$5,6,1))&gt;$D$2,0,$AP94="Annual",1,AS94=12,12,$AP94="Monthly V",AS94*(1+$D$3),$AP94="Monthly F",12,$AP94="One-Time",0),AS94*(1+$D$3))</f>
        <v/>
      </c>
      <c r="AU94" s="14">
        <f t="array" ref="AU94">IFERROR(_xlfn.IFS(VALUE(MID(AU$5,6,1))&gt;$D$2,0,$AP94="Annual",1,AT94=12,12,$AP94="Monthly V",AT94*(1+$D$3),$AP94="Monthly F",12,$AP94="One-Time",0),AT94*(1+$D$3))</f>
        <v/>
      </c>
      <c r="AV94" s="14">
        <f t="array" ref="AV94">IFERROR(_xlfn.IFS(VALUE(MID(AV$5,6,1))&gt;$D$2,0,$AP94="Annual",1,AU94=12,12,$AP94="Monthly V",AU94*(1+$D$3),$AP94="Monthly F",12,$AP94="One-Time",0),AU94*(1+$D$3))</f>
        <v/>
      </c>
      <c r="AW94" s="14">
        <f t="array" ref="AW94">IFERROR(_xlfn.IFS(VALUE(MID(AW$5,6,1))&gt;$D$2,0,$AP94="Annual",1,AV94=12,12,$AP94="Monthly V",AV94*(1+$D$3),$AP94="Monthly F",12,$AP94="One-Time",0),AV94*(1+$D$3))</f>
        <v/>
      </c>
      <c r="AX94" s="14">
        <f t="array" ref="AX94">IFERROR(_xlfn.IFS(VALUE(MID(AX$5,6,1))&gt;$D$2,0,$AP94="Annual",1,AW94=12,12,$AP94="Monthly V",AW94*(1+$D$3),$AP94="Monthly F",12,$AP94="One-Time",0),AW94*(1+$D$3))</f>
        <v/>
      </c>
      <c r="AY94" s="14">
        <f t="array" ref="AY94">IFERROR(_xlfn.IFS(VALUE(MID(AY$5,6,1))&gt;$D$2,0,$AP94="Annual",1,AX94=12,12,$AP94="Monthly V",AX94*(1+$D$3),$AP94="Monthly F",12,$AP94="One-Time",0),AX94*(1+$D$3))</f>
        <v/>
      </c>
      <c r="AZ94" s="14">
        <f t="array" ref="AZ94">IFERROR(_xlfn.IFS(VALUE(MID(AZ$5,6,1))&gt;$D$2,0,$AP94="Annual",1,AY94=12,12,$AP94="Monthly V",AY94*(1+$D$3),$AP94="Monthly F",12,$AP94="One-Time",0),AY94*(1+$D$3))</f>
        <v/>
      </c>
      <c r="BA94" s="125">
        <f t="array" ref="BA94">IFERROR(_xlfn.IFS(VALUE(MID(BA$5,6,2))&gt;$D$2,0,$AP94="Annual",1,AZ94=12,12,$AP94="Monthly V",AZ94*(1+$D$3),$AP94="Monthly F",12,$AP94="One-Time",0),AZ94*(1+$D$3))</f>
        <v/>
      </c>
      <c r="BB94" s="148" t="inlineStr">
        <is>
          <t>CorPay Integration</t>
        </is>
      </c>
      <c r="BC94" s="144" t="inlineStr">
        <is>
          <t>DirectLine</t>
        </is>
      </c>
      <c r="BD94" s="145" t="n">
        <v>2500</v>
      </c>
      <c r="BE94" s="21">
        <f>BF94/12</f>
        <v/>
      </c>
      <c r="BF94" s="39">
        <f>IFERROR(AR94*$BD94,0)</f>
        <v/>
      </c>
      <c r="BG94" s="39">
        <f>IFERROR(AS94*$BD94,0)</f>
        <v/>
      </c>
      <c r="BH94" s="39">
        <f>IFERROR(AT94*$BD94,0)</f>
        <v/>
      </c>
      <c r="BI94" s="39">
        <f>IFERROR(AU94*$BD94,0)</f>
        <v/>
      </c>
      <c r="BJ94" s="39">
        <f>IFERROR(AV94*$BD94,0)</f>
        <v/>
      </c>
      <c r="BK94" s="39">
        <f>IFERROR(AW94*$BD94,0)</f>
        <v/>
      </c>
      <c r="BL94" s="39">
        <f>IFERROR(AX94*$BD94,0)</f>
        <v/>
      </c>
      <c r="BM94" s="39">
        <f>IFERROR(AY94*$BD94,0)</f>
        <v/>
      </c>
      <c r="BN94" s="39">
        <f>IFERROR(AZ94*$BD94,0)</f>
        <v/>
      </c>
      <c r="BO94" s="39">
        <f>IFERROR(BA94*$BD94,0)</f>
        <v/>
      </c>
      <c r="BP94" s="40" t="n"/>
      <c r="BQ94" s="40">
        <f>IF(VALUE(MID(BQ$5,6,1))&lt;=$D$2,((1+$BD$3)^1-1)*BG94,0)</f>
        <v/>
      </c>
      <c r="BR94" s="40">
        <f>IF(VALUE(MID(BR$5,6,1))&lt;=$D$2,((1+$BD$3)^2-1)*BH94,0)</f>
        <v/>
      </c>
      <c r="BS94" s="40">
        <f>IF(VALUE(MID(BS$5,6,1))&lt;=$D$2,((1+$BD$3)^3-1)*BI94,0)</f>
        <v/>
      </c>
      <c r="BT94" s="40">
        <f>IF(VALUE(MID(BT$5,6,1))&lt;=$D$2,((1+$BD$3)^4-1)*BJ94,0)</f>
        <v/>
      </c>
      <c r="BU94" s="40">
        <f>IF(VALUE(MID(BU$5,6,1))&lt;=$D$2,((1+$BD$3)^5-1)*BK94,0)</f>
        <v/>
      </c>
      <c r="BV94" s="40">
        <f>IF(VALUE(MID(BV$5,6,1))&lt;=$D$2,((1+$BD$3)^6-1)*BL94,0)</f>
        <v/>
      </c>
      <c r="BW94" s="40">
        <f>IF(VALUE(MID(BW$5,6,1))&lt;=$D$2,((1+$BD$3)^7-1)*BM94,0)</f>
        <v/>
      </c>
      <c r="BX94" s="40">
        <f>IF(VALUE(MID(BX$5,6,1))&lt;=$D$2,((1+$BD$3)^8-1)*BN94,0)</f>
        <v/>
      </c>
      <c r="BY94" s="40">
        <f>IF(VALUE(MID(BY$5,6,2))&lt;=$D$2,((1+$BD$3)^9-1)*BO94,0)</f>
        <v/>
      </c>
      <c r="BZ94" s="40">
        <f>SUM(BP94:BY94)</f>
        <v/>
      </c>
      <c r="CA94" s="37">
        <f>SUM(BZ94,BF94:BO94)</f>
        <v/>
      </c>
      <c r="CC94" s="102" t="n"/>
      <c r="CD94" s="12" t="n"/>
      <c r="CE94" s="14" t="n"/>
      <c r="CF94" s="14" t="n"/>
      <c r="CG94" s="14" t="n"/>
      <c r="CH94" s="14" t="n"/>
      <c r="CI94" s="14" t="n"/>
      <c r="CJ94" s="14" t="n"/>
      <c r="CK94" s="14" t="n"/>
      <c r="CL94" s="14" t="n"/>
      <c r="CM94" s="14" t="n"/>
      <c r="CN94" s="24" t="n"/>
      <c r="CO94" s="63" t="n"/>
      <c r="CP94" s="53" t="n"/>
      <c r="CQ94" s="21" t="n"/>
      <c r="CR94" s="55" t="n"/>
      <c r="CS94" s="55" t="n"/>
      <c r="CT94" s="55" t="n"/>
      <c r="CU94" s="55" t="n"/>
      <c r="CV94" s="55" t="n"/>
      <c r="CW94" s="55" t="n"/>
      <c r="CX94" s="55" t="n"/>
      <c r="CY94" s="55" t="n"/>
      <c r="CZ94" s="55" t="n"/>
      <c r="DA94" s="55" t="n"/>
      <c r="DB94" s="56" t="n"/>
      <c r="DC94" s="56" t="n"/>
      <c r="DD94" s="56" t="n"/>
      <c r="DE94" s="56" t="n"/>
      <c r="DF94" s="56" t="n"/>
      <c r="DG94" s="56" t="n"/>
      <c r="DH94" s="56" t="n"/>
      <c r="DI94" s="56" t="n"/>
      <c r="DJ94" s="56" t="n"/>
      <c r="DK94" s="56" t="n"/>
      <c r="DL94" s="57" t="n"/>
      <c r="DM94" s="54" t="n"/>
      <c r="DO94" s="106" t="n"/>
    </row>
    <row r="95">
      <c r="B95" s="141" t="inlineStr">
        <is>
          <t>One-Time</t>
        </is>
      </c>
      <c r="C95" s="24" t="n">
        <v>1</v>
      </c>
      <c r="D95" s="147">
        <f>IFERROR(AVERAGE(C95:C95),0)</f>
        <v/>
      </c>
      <c r="E95" s="142">
        <f>IF($B95="Annual",1,IF($B95="Monthly F",12,IF($B95="Monthly V",D95*12,IF($B95="One-Time",1,D95*12))))</f>
        <v/>
      </c>
      <c r="F95" s="14">
        <f t="array" ref="F95">IFERROR(_xlfn.IFS(VALUE(MID(F$5,6,1))&gt;$D$2,0,$B95="Annual",1,E95=12,12,$B95="Monthly V",E95*(1+$D$3),$B95="Monthly F",12,$B95="One-Time",0),E95*(1+$D$3))</f>
        <v/>
      </c>
      <c r="G95" s="14">
        <f t="array" ref="G95">IFERROR(_xlfn.IFS(VALUE(MID(G$5,6,1))&gt;$D$2,0,$B95="Annual",1,F95=12,12,$B95="Monthly V",F95*(1+$D$3),$B95="Monthly F",12,$B95="One-Time",0),F95*(1+$D$3))</f>
        <v/>
      </c>
      <c r="H95" s="14">
        <f t="array" ref="H95">IFERROR(_xlfn.IFS(VALUE(MID(H$5,6,1))&gt;$D$2,0,$B95="Annual",1,G95=12,12,$B95="Monthly V",G95*(1+$D$3),$B95="Monthly F",12,$B95="One-Time",0),G95*(1+$D$3))</f>
        <v/>
      </c>
      <c r="I95" s="14">
        <f t="array" ref="I95">IFERROR(_xlfn.IFS(VALUE(MID(I$5,6,1))&gt;$D$2,0,$B95="Annual",1,H95=12,12,$B95="Monthly V",H95*(1+$D$3),$B95="Monthly F",12,$B95="One-Time",0),H95*(1+$D$3))</f>
        <v/>
      </c>
      <c r="J95" s="14">
        <f t="array" ref="J95">IFERROR(_xlfn.IFS(VALUE(MID(J$5,6,1))&gt;$D$2,0,$B95="Annual",1,I95=12,12,$B95="Monthly V",I95*(1+$D$3),$B95="Monthly F",12,$B95="One-Time",0),I95*(1+$D$3))</f>
        <v/>
      </c>
      <c r="K95" s="14">
        <f t="array" ref="K95">IFERROR(_xlfn.IFS(VALUE(MID(K$5,6,1))&gt;$D$2,0,$B95="Annual",1,J95=12,12,$B95="Monthly V",J95*(1+$D$3),$B95="Monthly F",12,$B95="One-Time",0),J95*(1+$D$3))</f>
        <v/>
      </c>
      <c r="L95" s="14">
        <f t="array" ref="L95">IFERROR(_xlfn.IFS(VALUE(MID(L$5,6,1))&gt;$D$2,0,$B95="Annual",1,K95=12,12,$B95="Monthly V",K95*(1+$D$3),$B95="Monthly F",12,$B95="One-Time",0),K95*(1+$D$3))</f>
        <v/>
      </c>
      <c r="M95" s="14">
        <f t="array" ref="M95">IFERROR(_xlfn.IFS(VALUE(MID(M$5,6,1))&gt;$D$2,0,$B95="Annual",1,L95=12,12,$B95="Monthly V",L95*(1+$D$3),$B95="Monthly F",12,$B95="One-Time",0),L95*(1+$D$3))</f>
        <v/>
      </c>
      <c r="N95" s="24">
        <f t="array" ref="N95">IFERROR(_xlfn.IFS(VALUE(MID(N$5,6,2))&gt;$D$2,0,$B95="Annual",1,M95=12,12,$B95="Monthly V",M95*(1+$D$3),$B95="Monthly F",12,$B95="One-Time",0),M95*(1+$D$3))</f>
        <v/>
      </c>
      <c r="O95" s="127" t="inlineStr">
        <is>
          <t>Signing Bonus</t>
        </is>
      </c>
      <c r="P95" s="13" t="inlineStr"/>
      <c r="Q95" s="20" t="n">
        <v>-50000</v>
      </c>
      <c r="R95" s="21">
        <f>S95/12</f>
        <v/>
      </c>
      <c r="S95" s="6">
        <f>IFERROR($Q95*E95,0)</f>
        <v/>
      </c>
      <c r="T95" s="6">
        <f>IFERROR($Q95*F95,0)</f>
        <v/>
      </c>
      <c r="U95" s="6">
        <f>IFERROR($Q95*G95,0)</f>
        <v/>
      </c>
      <c r="V95" s="6">
        <f>IFERROR($Q95*H95,0)</f>
        <v/>
      </c>
      <c r="W95" s="6">
        <f>IFERROR($Q95*I95,0)</f>
        <v/>
      </c>
      <c r="X95" s="6">
        <f>IFERROR($Q95*J95,0)</f>
        <v/>
      </c>
      <c r="Y95" s="6">
        <f>IFERROR($Q95*K95,0)</f>
        <v/>
      </c>
      <c r="Z95" s="6">
        <f>IFERROR($Q95*L95,0)</f>
        <v/>
      </c>
      <c r="AA95" s="6">
        <f>IFERROR($Q95*M95,0)</f>
        <v/>
      </c>
      <c r="AB95" s="6">
        <f>IFERROR($Q95*N95,0)</f>
        <v/>
      </c>
      <c r="AC95" s="7" t="n"/>
      <c r="AD95" s="152">
        <f>IF(VALUE(MID(AD$5,6,1))&lt;=$D$2,((1+$Q$3)^1-1)*T95,0)</f>
        <v/>
      </c>
      <c r="AE95" s="152">
        <f>IF(VALUE(MID(AE$5,6,1))&lt;=$D$2,((1+$Q$3)^2-1)*U95,0)</f>
        <v/>
      </c>
      <c r="AF95" s="152">
        <f>IF(VALUE(MID(AF$5,6,1))&lt;=$D$2,((1+$Q$3)^3-1)*V95,0)</f>
        <v/>
      </c>
      <c r="AG95" s="152">
        <f>IF(VALUE(MID(AG$5,6,1))&lt;=$D$2,((1+$Q$3)^4-1)*W95,0)</f>
        <v/>
      </c>
      <c r="AH95" s="152">
        <f>IF(VALUE(MID(AH$5,6,1))&lt;=$D$2,((1+$Q$3)^5-1)*X95,0)</f>
        <v/>
      </c>
      <c r="AI95" s="152">
        <f>IF(VALUE(MID(AI$5,6,1))&lt;=$D$2,((1+$Q$3)^6-1)*Y95,0)</f>
        <v/>
      </c>
      <c r="AJ95" s="152">
        <f>IF(VALUE(MID(AJ$5,6,1))&lt;=$D$2,((1+$Q$3)^7-1)*Z95,0)</f>
        <v/>
      </c>
      <c r="AK95" s="152">
        <f>IF(VALUE(MID(AK$5,6,1))&lt;=$D$2,((1+$Q$3)^8-1)*AA95,0)</f>
        <v/>
      </c>
      <c r="AL95" s="152">
        <f>IF(VALUE(MID(AL$5,6,2))&lt;=$D$2,((1+$Q$3)^9-1)*AB95,0)</f>
        <v/>
      </c>
      <c r="AM95" s="9">
        <f>SUM(AC95:AL95)</f>
        <v/>
      </c>
      <c r="AN95" s="80">
        <f>SUM(AM95,S95:AB95)</f>
        <v/>
      </c>
      <c r="AP95" s="114" t="inlineStr">
        <is>
          <t>One-Time</t>
        </is>
      </c>
      <c r="AQ95" s="143" t="n">
        <v>1</v>
      </c>
      <c r="AR95" s="14">
        <f>IF($AP95="Annual",1,IF($AP95="Monthly F",12,IF($AP95="Monthly V",AQ95*12,IF($AP95="One-Time",1,AQ95*12))))</f>
        <v/>
      </c>
      <c r="AS95" s="14">
        <f t="array" ref="AS95">IFERROR(_xlfn.IFS(VALUE(MID(AS$5,6,1))&gt;$D$2,0,$AP95="Annual",1,AR95=12,12,$AP95="Monthly V",AR95*(1+$D$3),$AP95="Monthly F",12,$AP95="One-Time",0),AR95*(1+$D$3))</f>
        <v/>
      </c>
      <c r="AT95" s="14">
        <f t="array" ref="AT95">IFERROR(_xlfn.IFS(VALUE(MID(AT$5,6,1))&gt;$D$2,0,$AP95="Annual",1,AS95=12,12,$AP95="Monthly V",AS95*(1+$D$3),$AP95="Monthly F",12,$AP95="One-Time",0),AS95*(1+$D$3))</f>
        <v/>
      </c>
      <c r="AU95" s="14">
        <f t="array" ref="AU95">IFERROR(_xlfn.IFS(VALUE(MID(AU$5,6,1))&gt;$D$2,0,$AP95="Annual",1,AT95=12,12,$AP95="Monthly V",AT95*(1+$D$3),$AP95="Monthly F",12,$AP95="One-Time",0),AT95*(1+$D$3))</f>
        <v/>
      </c>
      <c r="AV95" s="14">
        <f t="array" ref="AV95">IFERROR(_xlfn.IFS(VALUE(MID(AV$5,6,1))&gt;$D$2,0,$AP95="Annual",1,AU95=12,12,$AP95="Monthly V",AU95*(1+$D$3),$AP95="Monthly F",12,$AP95="One-Time",0),AU95*(1+$D$3))</f>
        <v/>
      </c>
      <c r="AW95" s="14">
        <f t="array" ref="AW95">IFERROR(_xlfn.IFS(VALUE(MID(AW$5,6,1))&gt;$D$2,0,$AP95="Annual",1,AV95=12,12,$AP95="Monthly V",AV95*(1+$D$3),$AP95="Monthly F",12,$AP95="One-Time",0),AV95*(1+$D$3))</f>
        <v/>
      </c>
      <c r="AX95" s="14">
        <f t="array" ref="AX95">IFERROR(_xlfn.IFS(VALUE(MID(AX$5,6,1))&gt;$D$2,0,$AP95="Annual",1,AW95=12,12,$AP95="Monthly V",AW95*(1+$D$3),$AP95="Monthly F",12,$AP95="One-Time",0),AW95*(1+$D$3))</f>
        <v/>
      </c>
      <c r="AY95" s="14">
        <f t="array" ref="AY95">IFERROR(_xlfn.IFS(VALUE(MID(AY$5,6,1))&gt;$D$2,0,$AP95="Annual",1,AX95=12,12,$AP95="Monthly V",AX95*(1+$D$3),$AP95="Monthly F",12,$AP95="One-Time",0),AX95*(1+$D$3))</f>
        <v/>
      </c>
      <c r="AZ95" s="14">
        <f t="array" ref="AZ95">IFERROR(_xlfn.IFS(VALUE(MID(AZ$5,6,1))&gt;$D$2,0,$AP95="Annual",1,AY95=12,12,$AP95="Monthly V",AY95*(1+$D$3),$AP95="Monthly F",12,$AP95="One-Time",0),AY95*(1+$D$3))</f>
        <v/>
      </c>
      <c r="BA95" s="125">
        <f t="array" ref="BA95">IFERROR(_xlfn.IFS(VALUE(MID(BA$5,6,2))&gt;$D$2,0,$AP95="Annual",1,AZ95=12,12,$AP95="Monthly V",AZ95*(1+$D$3),$AP95="Monthly F",12,$AP95="One-Time",0),AZ95*(1+$D$3))</f>
        <v/>
      </c>
      <c r="BB95" s="148" t="inlineStr">
        <is>
          <t>Jack Henry Financial Crimes Defender Enterprise</t>
        </is>
      </c>
      <c r="BC95" s="144" t="inlineStr">
        <is>
          <t>Fraud</t>
        </is>
      </c>
      <c r="BD95" s="145" t="n">
        <v>14167.5</v>
      </c>
      <c r="BE95" s="21">
        <f>BF95/12</f>
        <v/>
      </c>
      <c r="BF95" s="39">
        <f>IFERROR(AR95*$BD95,0)</f>
        <v/>
      </c>
      <c r="BG95" s="39">
        <f>IFERROR(AS95*$BD95,0)</f>
        <v/>
      </c>
      <c r="BH95" s="39">
        <f>IFERROR(AT95*$BD95,0)</f>
        <v/>
      </c>
      <c r="BI95" s="39">
        <f>IFERROR(AU95*$BD95,0)</f>
        <v/>
      </c>
      <c r="BJ95" s="39">
        <f>IFERROR(AV95*$BD95,0)</f>
        <v/>
      </c>
      <c r="BK95" s="39">
        <f>IFERROR(AW95*$BD95,0)</f>
        <v/>
      </c>
      <c r="BL95" s="39">
        <f>IFERROR(AX95*$BD95,0)</f>
        <v/>
      </c>
      <c r="BM95" s="39">
        <f>IFERROR(AY95*$BD95,0)</f>
        <v/>
      </c>
      <c r="BN95" s="39">
        <f>IFERROR(AZ95*$BD95,0)</f>
        <v/>
      </c>
      <c r="BO95" s="39">
        <f>IFERROR(BA95*$BD95,0)</f>
        <v/>
      </c>
      <c r="BP95" s="40" t="n"/>
      <c r="BQ95" s="40">
        <f>IF(VALUE(MID(BQ$5,6,1))&lt;=$D$2,((1+$BD$3)^1-1)*BG95,0)</f>
        <v/>
      </c>
      <c r="BR95" s="40">
        <f>IF(VALUE(MID(BR$5,6,1))&lt;=$D$2,((1+$BD$3)^2-1)*BH95,0)</f>
        <v/>
      </c>
      <c r="BS95" s="40">
        <f>IF(VALUE(MID(BS$5,6,1))&lt;=$D$2,((1+$BD$3)^3-1)*BI95,0)</f>
        <v/>
      </c>
      <c r="BT95" s="40">
        <f>IF(VALUE(MID(BT$5,6,1))&lt;=$D$2,((1+$BD$3)^4-1)*BJ95,0)</f>
        <v/>
      </c>
      <c r="BU95" s="40">
        <f>IF(VALUE(MID(BU$5,6,1))&lt;=$D$2,((1+$BD$3)^5-1)*BK95,0)</f>
        <v/>
      </c>
      <c r="BV95" s="40">
        <f>IF(VALUE(MID(BV$5,6,1))&lt;=$D$2,((1+$BD$3)^6-1)*BL95,0)</f>
        <v/>
      </c>
      <c r="BW95" s="40">
        <f>IF(VALUE(MID(BW$5,6,1))&lt;=$D$2,((1+$BD$3)^7-1)*BM95,0)</f>
        <v/>
      </c>
      <c r="BX95" s="40">
        <f>IF(VALUE(MID(BX$5,6,1))&lt;=$D$2,((1+$BD$3)^8-1)*BN95,0)</f>
        <v/>
      </c>
      <c r="BY95" s="40">
        <f>IF(VALUE(MID(BY$5,6,2))&lt;=$D$2,((1+$BD$3)^9-1)*BO95,0)</f>
        <v/>
      </c>
      <c r="BZ95" s="40">
        <f>SUM(BP95:BY95)</f>
        <v/>
      </c>
      <c r="CA95" s="37">
        <f>SUM(BZ95,BF95:BO95)</f>
        <v/>
      </c>
      <c r="CC95" s="102" t="n"/>
      <c r="CD95" s="12" t="n"/>
      <c r="CE95" s="14" t="n"/>
      <c r="CF95" s="14" t="n"/>
      <c r="CG95" s="14" t="n"/>
      <c r="CH95" s="14" t="n"/>
      <c r="CI95" s="14" t="n"/>
      <c r="CJ95" s="14" t="n"/>
      <c r="CK95" s="14" t="n"/>
      <c r="CL95" s="14" t="n"/>
      <c r="CM95" s="14" t="n"/>
      <c r="CN95" s="24" t="n"/>
      <c r="CO95" s="63" t="n"/>
      <c r="CP95" s="53" t="n"/>
      <c r="CQ95" s="21" t="n"/>
      <c r="CR95" s="55" t="n"/>
      <c r="CS95" s="55" t="n"/>
      <c r="CT95" s="55" t="n"/>
      <c r="CU95" s="55" t="n"/>
      <c r="CV95" s="55" t="n"/>
      <c r="CW95" s="55" t="n"/>
      <c r="CX95" s="55" t="n"/>
      <c r="CY95" s="55" t="n"/>
      <c r="CZ95" s="55" t="n"/>
      <c r="DA95" s="55" t="n"/>
      <c r="DB95" s="56" t="n"/>
      <c r="DC95" s="56" t="n"/>
      <c r="DD95" s="56" t="n"/>
      <c r="DE95" s="56" t="n"/>
      <c r="DF95" s="56" t="n"/>
      <c r="DG95" s="56" t="n"/>
      <c r="DH95" s="56" t="n"/>
      <c r="DI95" s="56" t="n"/>
      <c r="DJ95" s="56" t="n"/>
      <c r="DK95" s="56" t="n"/>
      <c r="DL95" s="57" t="n"/>
      <c r="DM95" s="54" t="n"/>
      <c r="DO95" s="106" t="n"/>
    </row>
    <row r="96">
      <c r="B96" s="141" t="inlineStr">
        <is>
          <t>One-Time</t>
        </is>
      </c>
      <c r="C96" s="24" t="n">
        <v>1</v>
      </c>
      <c r="D96" s="147">
        <f>IFERROR(AVERAGE(C96:C96),0)</f>
        <v/>
      </c>
      <c r="E96" s="142">
        <f>IF($B96="Annual",1,IF($B96="Monthly F",12,IF($B96="Monthly V",D96*12,IF($B96="One-Time",1,D96*12))))</f>
        <v/>
      </c>
      <c r="F96" s="14">
        <f t="array" ref="F96">IFERROR(_xlfn.IFS(VALUE(MID(F$5,6,1))&gt;$D$2,0,$B96="Annual",1,E96=12,12,$B96="Monthly V",E96*(1+$D$3),$B96="Monthly F",12,$B96="One-Time",0),E96*(1+$D$3))</f>
        <v/>
      </c>
      <c r="G96" s="14">
        <f t="array" ref="G96">IFERROR(_xlfn.IFS(VALUE(MID(G$5,6,1))&gt;$D$2,0,$B96="Annual",1,F96=12,12,$B96="Monthly V",F96*(1+$D$3),$B96="Monthly F",12,$B96="One-Time",0),F96*(1+$D$3))</f>
        <v/>
      </c>
      <c r="H96" s="14">
        <f t="array" ref="H96">IFERROR(_xlfn.IFS(VALUE(MID(H$5,6,1))&gt;$D$2,0,$B96="Annual",1,G96=12,12,$B96="Monthly V",G96*(1+$D$3),$B96="Monthly F",12,$B96="One-Time",0),G96*(1+$D$3))</f>
        <v/>
      </c>
      <c r="I96" s="14">
        <f t="array" ref="I96">IFERROR(_xlfn.IFS(VALUE(MID(I$5,6,1))&gt;$D$2,0,$B96="Annual",1,H96=12,12,$B96="Monthly V",H96*(1+$D$3),$B96="Monthly F",12,$B96="One-Time",0),H96*(1+$D$3))</f>
        <v/>
      </c>
      <c r="J96" s="14">
        <f t="array" ref="J96">IFERROR(_xlfn.IFS(VALUE(MID(J$5,6,1))&gt;$D$2,0,$B96="Annual",1,I96=12,12,$B96="Monthly V",I96*(1+$D$3),$B96="Monthly F",12,$B96="One-Time",0),I96*(1+$D$3))</f>
        <v/>
      </c>
      <c r="K96" s="14">
        <f t="array" ref="K96">IFERROR(_xlfn.IFS(VALUE(MID(K$5,6,1))&gt;$D$2,0,$B96="Annual",1,J96=12,12,$B96="Monthly V",J96*(1+$D$3),$B96="Monthly F",12,$B96="One-Time",0),J96*(1+$D$3))</f>
        <v/>
      </c>
      <c r="L96" s="14">
        <f t="array" ref="L96">IFERROR(_xlfn.IFS(VALUE(MID(L$5,6,1))&gt;$D$2,0,$B96="Annual",1,K96=12,12,$B96="Monthly V",K96*(1+$D$3),$B96="Monthly F",12,$B96="One-Time",0),K96*(1+$D$3))</f>
        <v/>
      </c>
      <c r="M96" s="14">
        <f t="array" ref="M96">IFERROR(_xlfn.IFS(VALUE(MID(M$5,6,1))&gt;$D$2,0,$B96="Annual",1,L96=12,12,$B96="Monthly V",L96*(1+$D$3),$B96="Monthly F",12,$B96="One-Time",0),L96*(1+$D$3))</f>
        <v/>
      </c>
      <c r="N96" s="24">
        <f t="array" ref="N96">IFERROR(_xlfn.IFS(VALUE(MID(N$5,6,2))&gt;$D$2,0,$B96="Annual",1,M96=12,12,$B96="Monthly V",M96*(1+$D$3),$B96="Monthly F",12,$B96="One-Time",0),M96*(1+$D$3))</f>
        <v/>
      </c>
      <c r="O96" s="127" t="inlineStr">
        <is>
          <t>IBM Cognos (HORIZON 360) Implementation Fee</t>
        </is>
      </c>
      <c r="P96" s="13" t="inlineStr">
        <is>
          <t>Reporting</t>
        </is>
      </c>
      <c r="Q96" s="20" t="n">
        <v>36698</v>
      </c>
      <c r="R96" s="21">
        <f>S96/12</f>
        <v/>
      </c>
      <c r="S96" s="6">
        <f>IFERROR($Q96*E96,0)</f>
        <v/>
      </c>
      <c r="T96" s="6">
        <f>IFERROR($Q96*F96,0)</f>
        <v/>
      </c>
      <c r="U96" s="6">
        <f>IFERROR($Q96*G96,0)</f>
        <v/>
      </c>
      <c r="V96" s="6">
        <f>IFERROR($Q96*H96,0)</f>
        <v/>
      </c>
      <c r="W96" s="6">
        <f>IFERROR($Q96*I96,0)</f>
        <v/>
      </c>
      <c r="X96" s="6">
        <f>IFERROR($Q96*J96,0)</f>
        <v/>
      </c>
      <c r="Y96" s="6">
        <f>IFERROR($Q96*K96,0)</f>
        <v/>
      </c>
      <c r="Z96" s="6">
        <f>IFERROR($Q96*L96,0)</f>
        <v/>
      </c>
      <c r="AA96" s="6">
        <f>IFERROR($Q96*M96,0)</f>
        <v/>
      </c>
      <c r="AB96" s="6">
        <f>IFERROR($Q96*N96,0)</f>
        <v/>
      </c>
      <c r="AC96" s="7" t="n"/>
      <c r="AD96" s="152">
        <f>IF(VALUE(MID(AD$5,6,1))&lt;=$D$2,((1+$Q$3)^1-1)*T96,0)</f>
        <v/>
      </c>
      <c r="AE96" s="152">
        <f>IF(VALUE(MID(AE$5,6,1))&lt;=$D$2,((1+$Q$3)^2-1)*U96,0)</f>
        <v/>
      </c>
      <c r="AF96" s="152">
        <f>IF(VALUE(MID(AF$5,6,1))&lt;=$D$2,((1+$Q$3)^3-1)*V96,0)</f>
        <v/>
      </c>
      <c r="AG96" s="152">
        <f>IF(VALUE(MID(AG$5,6,1))&lt;=$D$2,((1+$Q$3)^4-1)*W96,0)</f>
        <v/>
      </c>
      <c r="AH96" s="152">
        <f>IF(VALUE(MID(AH$5,6,1))&lt;=$D$2,((1+$Q$3)^5-1)*X96,0)</f>
        <v/>
      </c>
      <c r="AI96" s="152">
        <f>IF(VALUE(MID(AI$5,6,1))&lt;=$D$2,((1+$Q$3)^6-1)*Y96,0)</f>
        <v/>
      </c>
      <c r="AJ96" s="152">
        <f>IF(VALUE(MID(AJ$5,6,1))&lt;=$D$2,((1+$Q$3)^7-1)*Z96,0)</f>
        <v/>
      </c>
      <c r="AK96" s="152">
        <f>IF(VALUE(MID(AK$5,6,1))&lt;=$D$2,((1+$Q$3)^8-1)*AA96,0)</f>
        <v/>
      </c>
      <c r="AL96" s="152">
        <f>IF(VALUE(MID(AL$5,6,2))&lt;=$D$2,((1+$Q$3)^9-1)*AB96,0)</f>
        <v/>
      </c>
      <c r="AM96" s="9">
        <f>SUM(AC96:AL96)</f>
        <v/>
      </c>
      <c r="AN96" s="80">
        <f>SUM(AM96,S96:AB96)</f>
        <v/>
      </c>
      <c r="AP96" s="114" t="inlineStr">
        <is>
          <t>One-Time</t>
        </is>
      </c>
      <c r="AQ96" s="143" t="n">
        <v>1</v>
      </c>
      <c r="AR96" s="14">
        <f>IF($AP96="Annual",1,IF($AP96="Monthly F",12,IF($AP96="Monthly V",AQ96*12,IF($AP96="One-Time",1,AQ96*12))))</f>
        <v/>
      </c>
      <c r="AS96" s="14">
        <f t="array" ref="AS96">IFERROR(_xlfn.IFS(VALUE(MID(AS$5,6,1))&gt;$D$2,0,$AP96="Annual",1,AR96=12,12,$AP96="Monthly V",AR96*(1+$D$3),$AP96="Monthly F",12,$AP96="One-Time",0),AR96*(1+$D$3))</f>
        <v/>
      </c>
      <c r="AT96" s="14">
        <f t="array" ref="AT96">IFERROR(_xlfn.IFS(VALUE(MID(AT$5,6,1))&gt;$D$2,0,$AP96="Annual",1,AS96=12,12,$AP96="Monthly V",AS96*(1+$D$3),$AP96="Monthly F",12,$AP96="One-Time",0),AS96*(1+$D$3))</f>
        <v/>
      </c>
      <c r="AU96" s="14">
        <f t="array" ref="AU96">IFERROR(_xlfn.IFS(VALUE(MID(AU$5,6,1))&gt;$D$2,0,$AP96="Annual",1,AT96=12,12,$AP96="Monthly V",AT96*(1+$D$3),$AP96="Monthly F",12,$AP96="One-Time",0),AT96*(1+$D$3))</f>
        <v/>
      </c>
      <c r="AV96" s="14">
        <f t="array" ref="AV96">IFERROR(_xlfn.IFS(VALUE(MID(AV$5,6,1))&gt;$D$2,0,$AP96="Annual",1,AU96=12,12,$AP96="Monthly V",AU96*(1+$D$3),$AP96="Monthly F",12,$AP96="One-Time",0),AU96*(1+$D$3))</f>
        <v/>
      </c>
      <c r="AW96" s="14">
        <f t="array" ref="AW96">IFERROR(_xlfn.IFS(VALUE(MID(AW$5,6,1))&gt;$D$2,0,$AP96="Annual",1,AV96=12,12,$AP96="Monthly V",AV96*(1+$D$3),$AP96="Monthly F",12,$AP96="One-Time",0),AV96*(1+$D$3))</f>
        <v/>
      </c>
      <c r="AX96" s="14">
        <f t="array" ref="AX96">IFERROR(_xlfn.IFS(VALUE(MID(AX$5,6,1))&gt;$D$2,0,$AP96="Annual",1,AW96=12,12,$AP96="Monthly V",AW96*(1+$D$3),$AP96="Monthly F",12,$AP96="One-Time",0),AW96*(1+$D$3))</f>
        <v/>
      </c>
      <c r="AY96" s="14">
        <f t="array" ref="AY96">IFERROR(_xlfn.IFS(VALUE(MID(AY$5,6,1))&gt;$D$2,0,$AP96="Annual",1,AX96=12,12,$AP96="Monthly V",AX96*(1+$D$3),$AP96="Monthly F",12,$AP96="One-Time",0),AX96*(1+$D$3))</f>
        <v/>
      </c>
      <c r="AZ96" s="14">
        <f t="array" ref="AZ96">IFERROR(_xlfn.IFS(VALUE(MID(AZ$5,6,1))&gt;$D$2,0,$AP96="Annual",1,AY96=12,12,$AP96="Monthly V",AY96*(1+$D$3),$AP96="Monthly F",12,$AP96="One-Time",0),AY96*(1+$D$3))</f>
        <v/>
      </c>
      <c r="BA96" s="125">
        <f t="array" ref="BA96">IFERROR(_xlfn.IFS(VALUE(MID(BA$5,6,2))&gt;$D$2,0,$AP96="Annual",1,AZ96=12,12,$AP96="Monthly V",AZ96*(1+$D$3),$AP96="Monthly F",12,$AP96="One-Time",0),AZ96*(1+$D$3))</f>
        <v/>
      </c>
      <c r="BB96" s="148" t="inlineStr">
        <is>
          <t>Jack Henry Financial Crimes Defender Real-time Payments Zelle Initial</t>
        </is>
      </c>
      <c r="BC96" s="144" t="inlineStr">
        <is>
          <t>Fraud</t>
        </is>
      </c>
      <c r="BD96" s="145" t="n">
        <v>6000</v>
      </c>
      <c r="BE96" s="21">
        <f>BF96/12</f>
        <v/>
      </c>
      <c r="BF96" s="39">
        <f>IFERROR(AR96*$BD96,0)</f>
        <v/>
      </c>
      <c r="BG96" s="39">
        <f>IFERROR(AS96*$BD96,0)</f>
        <v/>
      </c>
      <c r="BH96" s="39">
        <f>IFERROR(AT96*$BD96,0)</f>
        <v/>
      </c>
      <c r="BI96" s="39">
        <f>IFERROR(AU96*$BD96,0)</f>
        <v/>
      </c>
      <c r="BJ96" s="39">
        <f>IFERROR(AV96*$BD96,0)</f>
        <v/>
      </c>
      <c r="BK96" s="39">
        <f>IFERROR(AW96*$BD96,0)</f>
        <v/>
      </c>
      <c r="BL96" s="39">
        <f>IFERROR(AX96*$BD96,0)</f>
        <v/>
      </c>
      <c r="BM96" s="39">
        <f>IFERROR(AY96*$BD96,0)</f>
        <v/>
      </c>
      <c r="BN96" s="39">
        <f>IFERROR(AZ96*$BD96,0)</f>
        <v/>
      </c>
      <c r="BO96" s="39">
        <f>IFERROR(BA96*$BD96,0)</f>
        <v/>
      </c>
      <c r="BP96" s="40" t="n"/>
      <c r="BQ96" s="40">
        <f>IF(VALUE(MID(BQ$5,6,1))&lt;=$D$2,((1+$BD$3)^1-1)*BG96,0)</f>
        <v/>
      </c>
      <c r="BR96" s="40">
        <f>IF(VALUE(MID(BR$5,6,1))&lt;=$D$2,((1+$BD$3)^2-1)*BH96,0)</f>
        <v/>
      </c>
      <c r="BS96" s="40">
        <f>IF(VALUE(MID(BS$5,6,1))&lt;=$D$2,((1+$BD$3)^3-1)*BI96,0)</f>
        <v/>
      </c>
      <c r="BT96" s="40">
        <f>IF(VALUE(MID(BT$5,6,1))&lt;=$D$2,((1+$BD$3)^4-1)*BJ96,0)</f>
        <v/>
      </c>
      <c r="BU96" s="40">
        <f>IF(VALUE(MID(BU$5,6,1))&lt;=$D$2,((1+$BD$3)^5-1)*BK96,0)</f>
        <v/>
      </c>
      <c r="BV96" s="40">
        <f>IF(VALUE(MID(BV$5,6,1))&lt;=$D$2,((1+$BD$3)^6-1)*BL96,0)</f>
        <v/>
      </c>
      <c r="BW96" s="40">
        <f>IF(VALUE(MID(BW$5,6,1))&lt;=$D$2,((1+$BD$3)^7-1)*BM96,0)</f>
        <v/>
      </c>
      <c r="BX96" s="40">
        <f>IF(VALUE(MID(BX$5,6,1))&lt;=$D$2,((1+$BD$3)^8-1)*BN96,0)</f>
        <v/>
      </c>
      <c r="BY96" s="40">
        <f>IF(VALUE(MID(BY$5,6,2))&lt;=$D$2,((1+$BD$3)^9-1)*BO96,0)</f>
        <v/>
      </c>
      <c r="BZ96" s="40">
        <f>SUM(BP96:BY96)</f>
        <v/>
      </c>
      <c r="CA96" s="37">
        <f>SUM(BZ96,BF96:BO96)</f>
        <v/>
      </c>
      <c r="CC96" s="102" t="n"/>
      <c r="CD96" s="12" t="n"/>
      <c r="CE96" s="14" t="n"/>
      <c r="CF96" s="14" t="n"/>
      <c r="CG96" s="14" t="n"/>
      <c r="CH96" s="14" t="n"/>
      <c r="CI96" s="14" t="n"/>
      <c r="CJ96" s="14" t="n"/>
      <c r="CK96" s="14" t="n"/>
      <c r="CL96" s="14" t="n"/>
      <c r="CM96" s="14" t="n"/>
      <c r="CN96" s="24" t="n"/>
      <c r="CO96" s="63" t="n"/>
      <c r="CP96" s="53" t="n"/>
      <c r="CQ96" s="21" t="n"/>
      <c r="CR96" s="55" t="n"/>
      <c r="CS96" s="55" t="n"/>
      <c r="CT96" s="55" t="n"/>
      <c r="CU96" s="55" t="n"/>
      <c r="CV96" s="55" t="n"/>
      <c r="CW96" s="55" t="n"/>
      <c r="CX96" s="55" t="n"/>
      <c r="CY96" s="55" t="n"/>
      <c r="CZ96" s="55" t="n"/>
      <c r="DA96" s="55" t="n"/>
      <c r="DB96" s="56" t="n"/>
      <c r="DC96" s="56" t="n"/>
      <c r="DD96" s="56" t="n"/>
      <c r="DE96" s="56" t="n"/>
      <c r="DF96" s="56" t="n"/>
      <c r="DG96" s="56" t="n"/>
      <c r="DH96" s="56" t="n"/>
      <c r="DI96" s="56" t="n"/>
      <c r="DJ96" s="56" t="n"/>
      <c r="DK96" s="56" t="n"/>
      <c r="DL96" s="57" t="n"/>
      <c r="DM96" s="54" t="n"/>
      <c r="DO96" s="106" t="n"/>
    </row>
    <row r="97">
      <c r="B97" s="141" t="inlineStr">
        <is>
          <t>One-Time</t>
        </is>
      </c>
      <c r="C97" s="24" t="n">
        <v>1</v>
      </c>
      <c r="D97" s="147">
        <f>IFERROR(AVERAGE(C97:C97),0)</f>
        <v/>
      </c>
      <c r="E97" s="142">
        <f>IF($B97="Annual",1,IF($B97="Monthly F",12,IF($B97="Monthly V",D97*12,IF($B97="One-Time",1,D97*12))))</f>
        <v/>
      </c>
      <c r="F97" s="14">
        <f t="array" ref="F97">IFERROR(_xlfn.IFS(VALUE(MID(F$5,6,1))&gt;$D$2,0,$B97="Annual",1,E97=12,12,$B97="Monthly V",E97*(1+$D$3),$B97="Monthly F",12,$B97="One-Time",0),E97*(1+$D$3))</f>
        <v/>
      </c>
      <c r="G97" s="14">
        <f t="array" ref="G97">IFERROR(_xlfn.IFS(VALUE(MID(G$5,6,1))&gt;$D$2,0,$B97="Annual",1,F97=12,12,$B97="Monthly V",F97*(1+$D$3),$B97="Monthly F",12,$B97="One-Time",0),F97*(1+$D$3))</f>
        <v/>
      </c>
      <c r="H97" s="14">
        <f t="array" ref="H97">IFERROR(_xlfn.IFS(VALUE(MID(H$5,6,1))&gt;$D$2,0,$B97="Annual",1,G97=12,12,$B97="Monthly V",G97*(1+$D$3),$B97="Monthly F",12,$B97="One-Time",0),G97*(1+$D$3))</f>
        <v/>
      </c>
      <c r="I97" s="14">
        <f t="array" ref="I97">IFERROR(_xlfn.IFS(VALUE(MID(I$5,6,1))&gt;$D$2,0,$B97="Annual",1,H97=12,12,$B97="Monthly V",H97*(1+$D$3),$B97="Monthly F",12,$B97="One-Time",0),H97*(1+$D$3))</f>
        <v/>
      </c>
      <c r="J97" s="14">
        <f t="array" ref="J97">IFERROR(_xlfn.IFS(VALUE(MID(J$5,6,1))&gt;$D$2,0,$B97="Annual",1,I97=12,12,$B97="Monthly V",I97*(1+$D$3),$B97="Monthly F",12,$B97="One-Time",0),I97*(1+$D$3))</f>
        <v/>
      </c>
      <c r="K97" s="14">
        <f t="array" ref="K97">IFERROR(_xlfn.IFS(VALUE(MID(K$5,6,1))&gt;$D$2,0,$B97="Annual",1,J97=12,12,$B97="Monthly V",J97*(1+$D$3),$B97="Monthly F",12,$B97="One-Time",0),J97*(1+$D$3))</f>
        <v/>
      </c>
      <c r="L97" s="14">
        <f t="array" ref="L97">IFERROR(_xlfn.IFS(VALUE(MID(L$5,6,1))&gt;$D$2,0,$B97="Annual",1,K97=12,12,$B97="Monthly V",K97*(1+$D$3),$B97="Monthly F",12,$B97="One-Time",0),K97*(1+$D$3))</f>
        <v/>
      </c>
      <c r="M97" s="14">
        <f t="array" ref="M97">IFERROR(_xlfn.IFS(VALUE(MID(M$5,6,1))&gt;$D$2,0,$B97="Annual",1,L97=12,12,$B97="Monthly V",L97*(1+$D$3),$B97="Monthly F",12,$B97="One-Time",0),L97*(1+$D$3))</f>
        <v/>
      </c>
      <c r="N97" s="24">
        <f t="array" ref="N97">IFERROR(_xlfn.IFS(VALUE(MID(N$5,6,2))&gt;$D$2,0,$B97="Annual",1,M97=12,12,$B97="Monthly V",M97*(1+$D$3),$B97="Monthly F",12,$B97="One-Time",0),M97*(1+$D$3))</f>
        <v/>
      </c>
      <c r="O97" s="127" t="inlineStr">
        <is>
          <t>Subpoena Centre Implementation Fee</t>
        </is>
      </c>
      <c r="P97" s="13" t="inlineStr">
        <is>
          <t>Compliance</t>
        </is>
      </c>
      <c r="Q97" s="20" t="n">
        <v>3399</v>
      </c>
      <c r="R97" s="21">
        <f>S97/12</f>
        <v/>
      </c>
      <c r="S97" s="6">
        <f>IFERROR($Q97*E97,0)</f>
        <v/>
      </c>
      <c r="T97" s="6">
        <f>IFERROR($Q97*F97,0)</f>
        <v/>
      </c>
      <c r="U97" s="6">
        <f>IFERROR($Q97*G97,0)</f>
        <v/>
      </c>
      <c r="V97" s="6">
        <f>IFERROR($Q97*H97,0)</f>
        <v/>
      </c>
      <c r="W97" s="6">
        <f>IFERROR($Q97*I97,0)</f>
        <v/>
      </c>
      <c r="X97" s="6">
        <f>IFERROR($Q97*J97,0)</f>
        <v/>
      </c>
      <c r="Y97" s="6">
        <f>IFERROR($Q97*K97,0)</f>
        <v/>
      </c>
      <c r="Z97" s="6">
        <f>IFERROR($Q97*L97,0)</f>
        <v/>
      </c>
      <c r="AA97" s="6">
        <f>IFERROR($Q97*M97,0)</f>
        <v/>
      </c>
      <c r="AB97" s="6">
        <f>IFERROR($Q97*N97,0)</f>
        <v/>
      </c>
      <c r="AC97" s="7" t="n"/>
      <c r="AD97" s="152">
        <f>IF(VALUE(MID(AD$5,6,1))&lt;=$D$2,((1+$Q$3)^1-1)*T97,0)</f>
        <v/>
      </c>
      <c r="AE97" s="152">
        <f>IF(VALUE(MID(AE$5,6,1))&lt;=$D$2,((1+$Q$3)^2-1)*U97,0)</f>
        <v/>
      </c>
      <c r="AF97" s="152">
        <f>IF(VALUE(MID(AF$5,6,1))&lt;=$D$2,((1+$Q$3)^3-1)*V97,0)</f>
        <v/>
      </c>
      <c r="AG97" s="152">
        <f>IF(VALUE(MID(AG$5,6,1))&lt;=$D$2,((1+$Q$3)^4-1)*W97,0)</f>
        <v/>
      </c>
      <c r="AH97" s="152">
        <f>IF(VALUE(MID(AH$5,6,1))&lt;=$D$2,((1+$Q$3)^5-1)*X97,0)</f>
        <v/>
      </c>
      <c r="AI97" s="152">
        <f>IF(VALUE(MID(AI$5,6,1))&lt;=$D$2,((1+$Q$3)^6-1)*Y97,0)</f>
        <v/>
      </c>
      <c r="AJ97" s="152">
        <f>IF(VALUE(MID(AJ$5,6,1))&lt;=$D$2,((1+$Q$3)^7-1)*Z97,0)</f>
        <v/>
      </c>
      <c r="AK97" s="152">
        <f>IF(VALUE(MID(AK$5,6,1))&lt;=$D$2,((1+$Q$3)^8-1)*AA97,0)</f>
        <v/>
      </c>
      <c r="AL97" s="152">
        <f>IF(VALUE(MID(AL$5,6,2))&lt;=$D$2,((1+$Q$3)^9-1)*AB97,0)</f>
        <v/>
      </c>
      <c r="AM97" s="9">
        <f>SUM(AC97:AL97)</f>
        <v/>
      </c>
      <c r="AN97" s="80">
        <f>SUM(AM97,S97:AB97)</f>
        <v/>
      </c>
      <c r="AP97" s="114" t="inlineStr">
        <is>
          <t>One-Time</t>
        </is>
      </c>
      <c r="AQ97" s="143" t="n">
        <v>1</v>
      </c>
      <c r="AR97" s="14">
        <f>IF($AP97="Annual",1,IF($AP97="Monthly F",12,IF($AP97="Monthly V",AQ97*12,IF($AP97="One-Time",1,AQ97*12))))</f>
        <v/>
      </c>
      <c r="AS97" s="14">
        <f t="array" ref="AS97">IFERROR(_xlfn.IFS(VALUE(MID(AS$5,6,1))&gt;$D$2,0,$AP97="Annual",1,AR97=12,12,$AP97="Monthly V",AR97*(1+$D$3),$AP97="Monthly F",12,$AP97="One-Time",0),AR97*(1+$D$3))</f>
        <v/>
      </c>
      <c r="AT97" s="14">
        <f t="array" ref="AT97">IFERROR(_xlfn.IFS(VALUE(MID(AT$5,6,1))&gt;$D$2,0,$AP97="Annual",1,AS97=12,12,$AP97="Monthly V",AS97*(1+$D$3),$AP97="Monthly F",12,$AP97="One-Time",0),AS97*(1+$D$3))</f>
        <v/>
      </c>
      <c r="AU97" s="14">
        <f t="array" ref="AU97">IFERROR(_xlfn.IFS(VALUE(MID(AU$5,6,1))&gt;$D$2,0,$AP97="Annual",1,AT97=12,12,$AP97="Monthly V",AT97*(1+$D$3),$AP97="Monthly F",12,$AP97="One-Time",0),AT97*(1+$D$3))</f>
        <v/>
      </c>
      <c r="AV97" s="14">
        <f t="array" ref="AV97">IFERROR(_xlfn.IFS(VALUE(MID(AV$5,6,1))&gt;$D$2,0,$AP97="Annual",1,AU97=12,12,$AP97="Monthly V",AU97*(1+$D$3),$AP97="Monthly F",12,$AP97="One-Time",0),AU97*(1+$D$3))</f>
        <v/>
      </c>
      <c r="AW97" s="14">
        <f t="array" ref="AW97">IFERROR(_xlfn.IFS(VALUE(MID(AW$5,6,1))&gt;$D$2,0,$AP97="Annual",1,AV97=12,12,$AP97="Monthly V",AV97*(1+$D$3),$AP97="Monthly F",12,$AP97="One-Time",0),AV97*(1+$D$3))</f>
        <v/>
      </c>
      <c r="AX97" s="14">
        <f t="array" ref="AX97">IFERROR(_xlfn.IFS(VALUE(MID(AX$5,6,1))&gt;$D$2,0,$AP97="Annual",1,AW97=12,12,$AP97="Monthly V",AW97*(1+$D$3),$AP97="Monthly F",12,$AP97="One-Time",0),AW97*(1+$D$3))</f>
        <v/>
      </c>
      <c r="AY97" s="14">
        <f t="array" ref="AY97">IFERROR(_xlfn.IFS(VALUE(MID(AY$5,6,1))&gt;$D$2,0,$AP97="Annual",1,AX97=12,12,$AP97="Monthly V",AX97*(1+$D$3),$AP97="Monthly F",12,$AP97="One-Time",0),AX97*(1+$D$3))</f>
        <v/>
      </c>
      <c r="AZ97" s="14">
        <f t="array" ref="AZ97">IFERROR(_xlfn.IFS(VALUE(MID(AZ$5,6,1))&gt;$D$2,0,$AP97="Annual",1,AY97=12,12,$AP97="Monthly V",AY97*(1+$D$3),$AP97="Monthly F",12,$AP97="One-Time",0),AY97*(1+$D$3))</f>
        <v/>
      </c>
      <c r="BA97" s="125">
        <f t="array" ref="BA97">IFERROR(_xlfn.IFS(VALUE(MID(BA$5,6,2))&gt;$D$2,0,$AP97="Annual",1,AZ97=12,12,$AP97="Monthly V",AZ97*(1+$D$3),$AP97="Monthly F",12,$AP97="One-Time",0),AZ97*(1+$D$3))</f>
        <v/>
      </c>
      <c r="BB97" s="148" t="inlineStr">
        <is>
          <t>Jack Henry Financial Crimes Defender Consulting</t>
        </is>
      </c>
      <c r="BC97" s="144" t="inlineStr">
        <is>
          <t>Fraud</t>
        </is>
      </c>
      <c r="BD97" s="145" t="n">
        <v>28500</v>
      </c>
      <c r="BE97" s="21">
        <f>BF97/12</f>
        <v/>
      </c>
      <c r="BF97" s="39">
        <f>IFERROR(AR97*$BD97,0)</f>
        <v/>
      </c>
      <c r="BG97" s="39">
        <f>IFERROR(AS97*$BD97,0)</f>
        <v/>
      </c>
      <c r="BH97" s="39">
        <f>IFERROR(AT97*$BD97,0)</f>
        <v/>
      </c>
      <c r="BI97" s="39">
        <f>IFERROR(AU97*$BD97,0)</f>
        <v/>
      </c>
      <c r="BJ97" s="39">
        <f>IFERROR(AV97*$BD97,0)</f>
        <v/>
      </c>
      <c r="BK97" s="39">
        <f>IFERROR(AW97*$BD97,0)</f>
        <v/>
      </c>
      <c r="BL97" s="39">
        <f>IFERROR(AX97*$BD97,0)</f>
        <v/>
      </c>
      <c r="BM97" s="39">
        <f>IFERROR(AY97*$BD97,0)</f>
        <v/>
      </c>
      <c r="BN97" s="39">
        <f>IFERROR(AZ97*$BD97,0)</f>
        <v/>
      </c>
      <c r="BO97" s="39">
        <f>IFERROR(BA97*$BD97,0)</f>
        <v/>
      </c>
      <c r="BP97" s="40" t="n"/>
      <c r="BQ97" s="40">
        <f>IF(VALUE(MID(BQ$5,6,1))&lt;=$D$2,((1+$BD$3)^1-1)*BG97,0)</f>
        <v/>
      </c>
      <c r="BR97" s="40">
        <f>IF(VALUE(MID(BR$5,6,1))&lt;=$D$2,((1+$BD$3)^2-1)*BH97,0)</f>
        <v/>
      </c>
      <c r="BS97" s="40">
        <f>IF(VALUE(MID(BS$5,6,1))&lt;=$D$2,((1+$BD$3)^3-1)*BI97,0)</f>
        <v/>
      </c>
      <c r="BT97" s="40">
        <f>IF(VALUE(MID(BT$5,6,1))&lt;=$D$2,((1+$BD$3)^4-1)*BJ97,0)</f>
        <v/>
      </c>
      <c r="BU97" s="40">
        <f>IF(VALUE(MID(BU$5,6,1))&lt;=$D$2,((1+$BD$3)^5-1)*BK97,0)</f>
        <v/>
      </c>
      <c r="BV97" s="40">
        <f>IF(VALUE(MID(BV$5,6,1))&lt;=$D$2,((1+$BD$3)^6-1)*BL97,0)</f>
        <v/>
      </c>
      <c r="BW97" s="40">
        <f>IF(VALUE(MID(BW$5,6,1))&lt;=$D$2,((1+$BD$3)^7-1)*BM97,0)</f>
        <v/>
      </c>
      <c r="BX97" s="40">
        <f>IF(VALUE(MID(BX$5,6,1))&lt;=$D$2,((1+$BD$3)^8-1)*BN97,0)</f>
        <v/>
      </c>
      <c r="BY97" s="40">
        <f>IF(VALUE(MID(BY$5,6,2))&lt;=$D$2,((1+$BD$3)^9-1)*BO97,0)</f>
        <v/>
      </c>
      <c r="BZ97" s="40">
        <f>SUM(BP97:BY97)</f>
        <v/>
      </c>
      <c r="CA97" s="37">
        <f>SUM(BZ97,BF97:BO97)</f>
        <v/>
      </c>
      <c r="CC97" s="102" t="n"/>
      <c r="CD97" s="12" t="n"/>
      <c r="CE97" s="14" t="n"/>
      <c r="CF97" s="14" t="n"/>
      <c r="CG97" s="14" t="n"/>
      <c r="CH97" s="14" t="n"/>
      <c r="CI97" s="14" t="n"/>
      <c r="CJ97" s="14" t="n"/>
      <c r="CK97" s="14" t="n"/>
      <c r="CL97" s="14" t="n"/>
      <c r="CM97" s="14" t="n"/>
      <c r="CN97" s="24" t="n"/>
      <c r="CO97" s="63" t="n"/>
      <c r="CP97" s="53" t="n"/>
      <c r="CQ97" s="21" t="n"/>
      <c r="CR97" s="55" t="n"/>
      <c r="CS97" s="55" t="n"/>
      <c r="CT97" s="55" t="n"/>
      <c r="CU97" s="55" t="n"/>
      <c r="CV97" s="55" t="n"/>
      <c r="CW97" s="55" t="n"/>
      <c r="CX97" s="55" t="n"/>
      <c r="CY97" s="55" t="n"/>
      <c r="CZ97" s="55" t="n"/>
      <c r="DA97" s="55" t="n"/>
      <c r="DB97" s="56" t="n"/>
      <c r="DC97" s="56" t="n"/>
      <c r="DD97" s="56" t="n"/>
      <c r="DE97" s="56" t="n"/>
      <c r="DF97" s="56" t="n"/>
      <c r="DG97" s="56" t="n"/>
      <c r="DH97" s="56" t="n"/>
      <c r="DI97" s="56" t="n"/>
      <c r="DJ97" s="56" t="n"/>
      <c r="DK97" s="56" t="n"/>
      <c r="DL97" s="57" t="n"/>
      <c r="DM97" s="54" t="n"/>
      <c r="DO97" s="106" t="n"/>
    </row>
    <row r="98">
      <c r="B98" s="141" t="inlineStr">
        <is>
          <t>One-Time</t>
        </is>
      </c>
      <c r="C98" s="24" t="n">
        <v>1</v>
      </c>
      <c r="D98" s="147" t="n"/>
      <c r="E98" s="142" t="n"/>
      <c r="F98" s="14" t="n"/>
      <c r="G98" s="14" t="n"/>
      <c r="H98" s="14" t="n"/>
      <c r="I98" s="14" t="n"/>
      <c r="J98" s="14" t="n"/>
      <c r="K98" s="14" t="n"/>
      <c r="L98" s="14" t="n"/>
      <c r="M98" s="14" t="n"/>
      <c r="N98" s="24" t="n"/>
      <c r="O98" s="157" t="inlineStr">
        <is>
          <t>Start Card Implementation Fee</t>
        </is>
      </c>
      <c r="P98" s="13" t="inlineStr">
        <is>
          <t>Card Services</t>
        </is>
      </c>
      <c r="Q98" s="20" t="n">
        <v>2000</v>
      </c>
      <c r="R98" s="21" t="n"/>
      <c r="S98" s="6" t="n"/>
      <c r="T98" s="6" t="n"/>
      <c r="U98" s="6" t="n"/>
      <c r="V98" s="6" t="n"/>
      <c r="W98" s="6" t="n"/>
      <c r="X98" s="6" t="n"/>
      <c r="Y98" s="6" t="n"/>
      <c r="Z98" s="6" t="n"/>
      <c r="AA98" s="6" t="n"/>
      <c r="AB98" s="6" t="n"/>
      <c r="AC98" s="7" t="n"/>
      <c r="AD98" s="152" t="n"/>
      <c r="AE98" s="152" t="n"/>
      <c r="AF98" s="152" t="n"/>
      <c r="AG98" s="152" t="n"/>
      <c r="AH98" s="152" t="n"/>
      <c r="AI98" s="152" t="n"/>
      <c r="AJ98" s="152" t="n"/>
      <c r="AK98" s="152" t="n"/>
      <c r="AL98" s="152" t="n"/>
      <c r="AM98" s="9" t="n"/>
      <c r="AN98" s="80" t="n"/>
      <c r="AP98" s="114" t="inlineStr">
        <is>
          <t>One-Time</t>
        </is>
      </c>
      <c r="AQ98" s="143" t="n">
        <v>1</v>
      </c>
      <c r="AR98" s="14">
        <f>IF($AP98="Annual",1,IF($AP98="Monthly F",12,IF($AP98="Monthly V",AQ98*12,IF($AP98="One-Time",1,AQ98*12))))</f>
        <v/>
      </c>
      <c r="AS98" s="14">
        <f t="array" ref="AS98">IFERROR(_xlfn.IFS(VALUE(MID(AS$5,6,1))&gt;$D$2,0,$AP98="Annual",1,AR98=12,12,$AP98="Monthly V",AR98*(1+$D$3),$AP98="Monthly F",12,$AP98="One-Time",0),AR98*(1+$D$3))</f>
        <v/>
      </c>
      <c r="AT98" s="14">
        <f t="array" ref="AT98">IFERROR(_xlfn.IFS(VALUE(MID(AT$5,6,1))&gt;$D$2,0,$AP98="Annual",1,AS98=12,12,$AP98="Monthly V",AS98*(1+$D$3),$AP98="Monthly F",12,$AP98="One-Time",0),AS98*(1+$D$3))</f>
        <v/>
      </c>
      <c r="AU98" s="14">
        <f t="array" ref="AU98">IFERROR(_xlfn.IFS(VALUE(MID(AU$5,6,1))&gt;$D$2,0,$AP98="Annual",1,AT98=12,12,$AP98="Monthly V",AT98*(1+$D$3),$AP98="Monthly F",12,$AP98="One-Time",0),AT98*(1+$D$3))</f>
        <v/>
      </c>
      <c r="AV98" s="14">
        <f t="array" ref="AV98">IFERROR(_xlfn.IFS(VALUE(MID(AV$5,6,1))&gt;$D$2,0,$AP98="Annual",1,AU98=12,12,$AP98="Monthly V",AU98*(1+$D$3),$AP98="Monthly F",12,$AP98="One-Time",0),AU98*(1+$D$3))</f>
        <v/>
      </c>
      <c r="AW98" s="14">
        <f t="array" ref="AW98">IFERROR(_xlfn.IFS(VALUE(MID(AW$5,6,1))&gt;$D$2,0,$AP98="Annual",1,AV98=12,12,$AP98="Monthly V",AV98*(1+$D$3),$AP98="Monthly F",12,$AP98="One-Time",0),AV98*(1+$D$3))</f>
        <v/>
      </c>
      <c r="AX98" s="14">
        <f t="array" ref="AX98">IFERROR(_xlfn.IFS(VALUE(MID(AX$5,6,1))&gt;$D$2,0,$AP98="Annual",1,AW98=12,12,$AP98="Monthly V",AW98*(1+$D$3),$AP98="Monthly F",12,$AP98="One-Time",0),AW98*(1+$D$3))</f>
        <v/>
      </c>
      <c r="AY98" s="14">
        <f t="array" ref="AY98">IFERROR(_xlfn.IFS(VALUE(MID(AY$5,6,1))&gt;$D$2,0,$AP98="Annual",1,AX98=12,12,$AP98="Monthly V",AX98*(1+$D$3),$AP98="Monthly F",12,$AP98="One-Time",0),AX98*(1+$D$3))</f>
        <v/>
      </c>
      <c r="AZ98" s="14">
        <f t="array" ref="AZ98">IFERROR(_xlfn.IFS(VALUE(MID(AZ$5,6,1))&gt;$D$2,0,$AP98="Annual",1,AY98=12,12,$AP98="Monthly V",AY98*(1+$D$3),$AP98="Monthly F",12,$AP98="One-Time",0),AY98*(1+$D$3))</f>
        <v/>
      </c>
      <c r="BA98" s="125">
        <f t="array" ref="BA98">IFERROR(_xlfn.IFS(VALUE(MID(BA$5,6,2))&gt;$D$2,0,$AP98="Annual",1,AZ98=12,12,$AP98="Monthly V",AZ98*(1+$D$3),$AP98="Monthly F",12,$AP98="One-Time",0),AZ98*(1+$D$3))</f>
        <v/>
      </c>
      <c r="BB98" s="148" t="inlineStr">
        <is>
          <t>jhaEnterprise Workflow Consulting</t>
        </is>
      </c>
      <c r="BC98" s="144" t="inlineStr">
        <is>
          <t>jhaEnterprise Workflow</t>
        </is>
      </c>
      <c r="BD98" s="145" t="n">
        <v>12500</v>
      </c>
      <c r="BE98" s="21">
        <f>BF98/12</f>
        <v/>
      </c>
      <c r="BF98" s="39">
        <f>IFERROR(AR98*$BD98,0)</f>
        <v/>
      </c>
      <c r="BG98" s="39">
        <f>IFERROR(AS98*$BD98,0)</f>
        <v/>
      </c>
      <c r="BH98" s="39">
        <f>IFERROR(AT98*$BD98,0)</f>
        <v/>
      </c>
      <c r="BI98" s="39">
        <f>IFERROR(AU98*$BD98,0)</f>
        <v/>
      </c>
      <c r="BJ98" s="39">
        <f>IFERROR(AV98*$BD98,0)</f>
        <v/>
      </c>
      <c r="BK98" s="39">
        <f>IFERROR(AW98*$BD98,0)</f>
        <v/>
      </c>
      <c r="BL98" s="39">
        <f>IFERROR(AX98*$BD98,0)</f>
        <v/>
      </c>
      <c r="BM98" s="39">
        <f>IFERROR(AY98*$BD98,0)</f>
        <v/>
      </c>
      <c r="BN98" s="39">
        <f>IFERROR(AZ98*$BD98,0)</f>
        <v/>
      </c>
      <c r="BO98" s="39">
        <f>IFERROR(BA98*$BD98,0)</f>
        <v/>
      </c>
      <c r="BP98" s="40" t="n"/>
      <c r="BQ98" s="40">
        <f>IF(VALUE(MID(BQ$5,6,1))&lt;=$D$2,((1+$BD$3)^1-1)*BG98,0)</f>
        <v/>
      </c>
      <c r="BR98" s="40">
        <f>IF(VALUE(MID(BR$5,6,1))&lt;=$D$2,((1+$BD$3)^2-1)*BH98,0)</f>
        <v/>
      </c>
      <c r="BS98" s="40">
        <f>IF(VALUE(MID(BS$5,6,1))&lt;=$D$2,((1+$BD$3)^3-1)*BI98,0)</f>
        <v/>
      </c>
      <c r="BT98" s="40">
        <f>IF(VALUE(MID(BT$5,6,1))&lt;=$D$2,((1+$BD$3)^4-1)*BJ98,0)</f>
        <v/>
      </c>
      <c r="BU98" s="40">
        <f>IF(VALUE(MID(BU$5,6,1))&lt;=$D$2,((1+$BD$3)^5-1)*BK98,0)</f>
        <v/>
      </c>
      <c r="BV98" s="40">
        <f>IF(VALUE(MID(BV$5,6,1))&lt;=$D$2,((1+$BD$3)^6-1)*BL98,0)</f>
        <v/>
      </c>
      <c r="BW98" s="40">
        <f>IF(VALUE(MID(BW$5,6,1))&lt;=$D$2,((1+$BD$3)^7-1)*BM98,0)</f>
        <v/>
      </c>
      <c r="BX98" s="40">
        <f>IF(VALUE(MID(BX$5,6,1))&lt;=$D$2,((1+$BD$3)^8-1)*BN98,0)</f>
        <v/>
      </c>
      <c r="BY98" s="40">
        <f>IF(VALUE(MID(BY$5,6,2))&lt;=$D$2,((1+$BD$3)^9-1)*BO98,0)</f>
        <v/>
      </c>
      <c r="BZ98" s="40">
        <f>SUM(BP98:BY98)</f>
        <v/>
      </c>
      <c r="CA98" s="37">
        <f>SUM(BZ98,BF98:BO98)</f>
        <v/>
      </c>
      <c r="CC98" s="102" t="n"/>
      <c r="CD98" s="12" t="n"/>
      <c r="CE98" s="14" t="n"/>
      <c r="CF98" s="14" t="n"/>
      <c r="CG98" s="14" t="n"/>
      <c r="CH98" s="14" t="n"/>
      <c r="CI98" s="14" t="n"/>
      <c r="CJ98" s="14" t="n"/>
      <c r="CK98" s="14" t="n"/>
      <c r="CL98" s="14" t="n"/>
      <c r="CM98" s="14" t="n"/>
      <c r="CN98" s="24" t="n"/>
      <c r="CO98" s="63" t="n"/>
      <c r="CP98" s="53" t="n"/>
      <c r="CQ98" s="21" t="n"/>
      <c r="CR98" s="55" t="n"/>
      <c r="CS98" s="55" t="n"/>
      <c r="CT98" s="55" t="n"/>
      <c r="CU98" s="55" t="n"/>
      <c r="CV98" s="55" t="n"/>
      <c r="CW98" s="55" t="n"/>
      <c r="CX98" s="55" t="n"/>
      <c r="CY98" s="55" t="n"/>
      <c r="CZ98" s="55" t="n"/>
      <c r="DA98" s="55" t="n"/>
      <c r="DB98" s="56" t="n"/>
      <c r="DC98" s="56" t="n"/>
      <c r="DD98" s="56" t="n"/>
      <c r="DE98" s="56" t="n"/>
      <c r="DF98" s="56" t="n"/>
      <c r="DG98" s="56" t="n"/>
      <c r="DH98" s="56" t="n"/>
      <c r="DI98" s="56" t="n"/>
      <c r="DJ98" s="56" t="n"/>
      <c r="DK98" s="56" t="n"/>
      <c r="DL98" s="57" t="n"/>
      <c r="DM98" s="54" t="n"/>
      <c r="DO98" s="106" t="n"/>
    </row>
    <row r="99">
      <c r="B99" s="141" t="inlineStr">
        <is>
          <t>One-Time</t>
        </is>
      </c>
      <c r="C99" s="24" t="n">
        <v>1</v>
      </c>
      <c r="D99" s="147" t="n"/>
      <c r="E99" s="142" t="n"/>
      <c r="F99" s="14" t="n"/>
      <c r="G99" s="14" t="n"/>
      <c r="H99" s="14" t="n"/>
      <c r="I99" s="14" t="n"/>
      <c r="J99" s="14" t="n"/>
      <c r="K99" s="14" t="n"/>
      <c r="L99" s="14" t="n"/>
      <c r="M99" s="14" t="n"/>
      <c r="N99" s="24" t="n"/>
      <c r="O99" s="157" t="inlineStr">
        <is>
          <t>FedNOW (Receive Only) Implementation Fee</t>
        </is>
      </c>
      <c r="P99" s="13" t="inlineStr">
        <is>
          <t>Payment Processing</t>
        </is>
      </c>
      <c r="Q99" s="20" t="n">
        <v>9000</v>
      </c>
      <c r="R99" s="21" t="n"/>
      <c r="S99" s="6" t="n"/>
      <c r="T99" s="6" t="n"/>
      <c r="U99" s="6" t="n"/>
      <c r="V99" s="6" t="n"/>
      <c r="W99" s="6" t="n"/>
      <c r="X99" s="6" t="n"/>
      <c r="Y99" s="6" t="n"/>
      <c r="Z99" s="6" t="n"/>
      <c r="AA99" s="6" t="n"/>
      <c r="AB99" s="6" t="n"/>
      <c r="AC99" s="7" t="n"/>
      <c r="AD99" s="152" t="n"/>
      <c r="AE99" s="152" t="n"/>
      <c r="AF99" s="152" t="n"/>
      <c r="AG99" s="152" t="n"/>
      <c r="AH99" s="152" t="n"/>
      <c r="AI99" s="152" t="n"/>
      <c r="AJ99" s="152" t="n"/>
      <c r="AK99" s="152" t="n"/>
      <c r="AL99" s="152" t="n"/>
      <c r="AM99" s="9" t="n"/>
      <c r="AN99" s="80" t="n"/>
      <c r="AP99" s="114" t="inlineStr">
        <is>
          <t>One-Time</t>
        </is>
      </c>
      <c r="AQ99" s="143" t="n">
        <v>1</v>
      </c>
      <c r="AR99" s="14">
        <f>IF($AP99="Annual",1,IF($AP99="Monthly F",12,IF($AP99="Monthly V",AQ99*12,IF($AP99="One-Time",1,AQ99*12))))</f>
        <v/>
      </c>
      <c r="AS99" s="14">
        <f t="array" ref="AS99">IFERROR(_xlfn.IFS(VALUE(MID(AS$5,6,1))&gt;$D$2,0,$AP99="Annual",1,AR99=12,12,$AP99="Monthly V",AR99*(1+$D$3),$AP99="Monthly F",12,$AP99="One-Time",0),AR99*(1+$D$3))</f>
        <v/>
      </c>
      <c r="AT99" s="14">
        <f t="array" ref="AT99">IFERROR(_xlfn.IFS(VALUE(MID(AT$5,6,1))&gt;$D$2,0,$AP99="Annual",1,AS99=12,12,$AP99="Monthly V",AS99*(1+$D$3),$AP99="Monthly F",12,$AP99="One-Time",0),AS99*(1+$D$3))</f>
        <v/>
      </c>
      <c r="AU99" s="14">
        <f t="array" ref="AU99">IFERROR(_xlfn.IFS(VALUE(MID(AU$5,6,1))&gt;$D$2,0,$AP99="Annual",1,AT99=12,12,$AP99="Monthly V",AT99*(1+$D$3),$AP99="Monthly F",12,$AP99="One-Time",0),AT99*(1+$D$3))</f>
        <v/>
      </c>
      <c r="AV99" s="14">
        <f t="array" ref="AV99">IFERROR(_xlfn.IFS(VALUE(MID(AV$5,6,1))&gt;$D$2,0,$AP99="Annual",1,AU99=12,12,$AP99="Monthly V",AU99*(1+$D$3),$AP99="Monthly F",12,$AP99="One-Time",0),AU99*(1+$D$3))</f>
        <v/>
      </c>
      <c r="AW99" s="14">
        <f t="array" ref="AW99">IFERROR(_xlfn.IFS(VALUE(MID(AW$5,6,1))&gt;$D$2,0,$AP99="Annual",1,AV99=12,12,$AP99="Monthly V",AV99*(1+$D$3),$AP99="Monthly F",12,$AP99="One-Time",0),AV99*(1+$D$3))</f>
        <v/>
      </c>
      <c r="AX99" s="14">
        <f t="array" ref="AX99">IFERROR(_xlfn.IFS(VALUE(MID(AX$5,6,1))&gt;$D$2,0,$AP99="Annual",1,AW99=12,12,$AP99="Monthly V",AW99*(1+$D$3),$AP99="Monthly F",12,$AP99="One-Time",0),AW99*(1+$D$3))</f>
        <v/>
      </c>
      <c r="AY99" s="14">
        <f t="array" ref="AY99">IFERROR(_xlfn.IFS(VALUE(MID(AY$5,6,1))&gt;$D$2,0,$AP99="Annual",1,AX99=12,12,$AP99="Monthly V",AX99*(1+$D$3),$AP99="Monthly F",12,$AP99="One-Time",0),AX99*(1+$D$3))</f>
        <v/>
      </c>
      <c r="AZ99" s="14">
        <f t="array" ref="AZ99">IFERROR(_xlfn.IFS(VALUE(MID(AZ$5,6,1))&gt;$D$2,0,$AP99="Annual",1,AY99=12,12,$AP99="Monthly V",AY99*(1+$D$3),$AP99="Monthly F",12,$AP99="One-Time",0),AY99*(1+$D$3))</f>
        <v/>
      </c>
      <c r="BA99" s="125">
        <f t="array" ref="BA99">IFERROR(_xlfn.IFS(VALUE(MID(BA$5,6,2))&gt;$D$2,0,$AP99="Annual",1,AZ99=12,12,$AP99="Monthly V",AZ99*(1+$D$3),$AP99="Monthly F",12,$AP99="One-Time",0),AZ99*(1+$D$3))</f>
        <v/>
      </c>
      <c r="BB99" s="148" t="inlineStr">
        <is>
          <t>jhaEnterprise Workflow Training Shared</t>
        </is>
      </c>
      <c r="BC99" s="144" t="inlineStr">
        <is>
          <t>jhaEnterprise Workflow</t>
        </is>
      </c>
      <c r="BD99" s="145" t="n">
        <v>3600</v>
      </c>
      <c r="BE99" s="21">
        <f>BF99/12</f>
        <v/>
      </c>
      <c r="BF99" s="39">
        <f>IFERROR(AR99*$BD99,0)</f>
        <v/>
      </c>
      <c r="BG99" s="39">
        <f>IFERROR(AS99*$BD99,0)</f>
        <v/>
      </c>
      <c r="BH99" s="39">
        <f>IFERROR(AT99*$BD99,0)</f>
        <v/>
      </c>
      <c r="BI99" s="39">
        <f>IFERROR(AU99*$BD99,0)</f>
        <v/>
      </c>
      <c r="BJ99" s="39">
        <f>IFERROR(AV99*$BD99,0)</f>
        <v/>
      </c>
      <c r="BK99" s="39">
        <f>IFERROR(AW99*$BD99,0)</f>
        <v/>
      </c>
      <c r="BL99" s="39">
        <f>IFERROR(AX99*$BD99,0)</f>
        <v/>
      </c>
      <c r="BM99" s="39">
        <f>IFERROR(AY99*$BD99,0)</f>
        <v/>
      </c>
      <c r="BN99" s="39">
        <f>IFERROR(AZ99*$BD99,0)</f>
        <v/>
      </c>
      <c r="BO99" s="39">
        <f>IFERROR(BA99*$BD99,0)</f>
        <v/>
      </c>
      <c r="BP99" s="40" t="n"/>
      <c r="BQ99" s="40">
        <f>IF(VALUE(MID(BQ$5,6,1))&lt;=$D$2,((1+$BD$3)^1-1)*BG99,0)</f>
        <v/>
      </c>
      <c r="BR99" s="40">
        <f>IF(VALUE(MID(BR$5,6,1))&lt;=$D$2,((1+$BD$3)^2-1)*BH99,0)</f>
        <v/>
      </c>
      <c r="BS99" s="40">
        <f>IF(VALUE(MID(BS$5,6,1))&lt;=$D$2,((1+$BD$3)^3-1)*BI99,0)</f>
        <v/>
      </c>
      <c r="BT99" s="40">
        <f>IF(VALUE(MID(BT$5,6,1))&lt;=$D$2,((1+$BD$3)^4-1)*BJ99,0)</f>
        <v/>
      </c>
      <c r="BU99" s="40">
        <f>IF(VALUE(MID(BU$5,6,1))&lt;=$D$2,((1+$BD$3)^5-1)*BK99,0)</f>
        <v/>
      </c>
      <c r="BV99" s="40">
        <f>IF(VALUE(MID(BV$5,6,1))&lt;=$D$2,((1+$BD$3)^6-1)*BL99,0)</f>
        <v/>
      </c>
      <c r="BW99" s="40">
        <f>IF(VALUE(MID(BW$5,6,1))&lt;=$D$2,((1+$BD$3)^7-1)*BM99,0)</f>
        <v/>
      </c>
      <c r="BX99" s="40">
        <f>IF(VALUE(MID(BX$5,6,1))&lt;=$D$2,((1+$BD$3)^8-1)*BN99,0)</f>
        <v/>
      </c>
      <c r="BY99" s="40">
        <f>IF(VALUE(MID(BY$5,6,2))&lt;=$D$2,((1+$BD$3)^9-1)*BO99,0)</f>
        <v/>
      </c>
      <c r="BZ99" s="40">
        <f>SUM(BP99:BY99)</f>
        <v/>
      </c>
      <c r="CA99" s="37">
        <f>SUM(BZ99,BF99:BO99)</f>
        <v/>
      </c>
      <c r="CC99" s="102" t="n"/>
      <c r="CD99" s="12" t="n"/>
      <c r="CE99" s="14" t="n"/>
      <c r="CF99" s="14" t="n"/>
      <c r="CG99" s="14" t="n"/>
      <c r="CH99" s="14" t="n"/>
      <c r="CI99" s="14" t="n"/>
      <c r="CJ99" s="14" t="n"/>
      <c r="CK99" s="14" t="n"/>
      <c r="CL99" s="14" t="n"/>
      <c r="CM99" s="14" t="n"/>
      <c r="CN99" s="24" t="n"/>
      <c r="CO99" s="63" t="n"/>
      <c r="CP99" s="53" t="n"/>
      <c r="CQ99" s="21" t="n"/>
      <c r="CR99" s="55" t="n"/>
      <c r="CS99" s="55" t="n"/>
      <c r="CT99" s="55" t="n"/>
      <c r="CU99" s="55" t="n"/>
      <c r="CV99" s="55" t="n"/>
      <c r="CW99" s="55" t="n"/>
      <c r="CX99" s="55" t="n"/>
      <c r="CY99" s="55" t="n"/>
      <c r="CZ99" s="55" t="n"/>
      <c r="DA99" s="55" t="n"/>
      <c r="DB99" s="56" t="n"/>
      <c r="DC99" s="56" t="n"/>
      <c r="DD99" s="56" t="n"/>
      <c r="DE99" s="56" t="n"/>
      <c r="DF99" s="56" t="n"/>
      <c r="DG99" s="56" t="n"/>
      <c r="DH99" s="56" t="n"/>
      <c r="DI99" s="56" t="n"/>
      <c r="DJ99" s="56" t="n"/>
      <c r="DK99" s="56" t="n"/>
      <c r="DL99" s="57" t="n"/>
      <c r="DM99" s="54" t="n"/>
      <c r="DO99" s="106" t="n"/>
    </row>
    <row r="100">
      <c r="B100" s="141" t="inlineStr">
        <is>
          <t>One-Time</t>
        </is>
      </c>
      <c r="C100" s="24" t="n">
        <v>1</v>
      </c>
      <c r="D100" s="147" t="n"/>
      <c r="E100" s="142" t="n"/>
      <c r="F100" s="14" t="n"/>
      <c r="G100" s="14" t="n"/>
      <c r="H100" s="14" t="n"/>
      <c r="I100" s="14" t="n"/>
      <c r="J100" s="14" t="n"/>
      <c r="K100" s="14" t="n"/>
      <c r="L100" s="14" t="n"/>
      <c r="M100" s="14" t="n"/>
      <c r="N100" s="24" t="n"/>
      <c r="O100" s="127" t="inlineStr">
        <is>
          <t>Real-Time Payments (RTP) Implementation Fee</t>
        </is>
      </c>
      <c r="P100" s="13" t="inlineStr">
        <is>
          <t>Payment Processing</t>
        </is>
      </c>
      <c r="Q100" s="20" t="n">
        <v>9000</v>
      </c>
      <c r="R100" s="21" t="n"/>
      <c r="S100" s="6" t="n"/>
      <c r="T100" s="6" t="n"/>
      <c r="U100" s="6" t="n"/>
      <c r="V100" s="6" t="n"/>
      <c r="W100" s="6" t="n"/>
      <c r="X100" s="6" t="n"/>
      <c r="Y100" s="6" t="n"/>
      <c r="Z100" s="6" t="n"/>
      <c r="AA100" s="6" t="n"/>
      <c r="AB100" s="6" t="n"/>
      <c r="AC100" s="7" t="n"/>
      <c r="AD100" s="152" t="n"/>
      <c r="AE100" s="152" t="n"/>
      <c r="AF100" s="152" t="n"/>
      <c r="AG100" s="152" t="n"/>
      <c r="AH100" s="152" t="n"/>
      <c r="AI100" s="152" t="n"/>
      <c r="AJ100" s="152" t="n"/>
      <c r="AK100" s="152" t="n"/>
      <c r="AL100" s="152" t="n"/>
      <c r="AM100" s="9" t="n"/>
      <c r="AN100" s="80" t="n"/>
      <c r="AP100" s="114" t="inlineStr">
        <is>
          <t>One-Time</t>
        </is>
      </c>
      <c r="AQ100" s="143" t="n">
        <v>1</v>
      </c>
      <c r="AR100" s="14">
        <f>IF($AP100="Annual",1,IF($AP100="Monthly F",12,IF($AP100="Monthly V",AQ100*12,IF($AP100="One-Time",1,AQ100*12))))</f>
        <v/>
      </c>
      <c r="AS100" s="14">
        <f t="array" ref="AS100">IFERROR(_xlfn.IFS(VALUE(MID(AS$5,6,1))&gt;$D$2,0,$AP100="Annual",1,AR100=12,12,$AP100="Monthly V",AR100*(1+$D$3),$AP100="Monthly F",12,$AP100="One-Time",0),AR100*(1+$D$3))</f>
        <v/>
      </c>
      <c r="AT100" s="14">
        <f t="array" ref="AT100">IFERROR(_xlfn.IFS(VALUE(MID(AT$5,6,1))&gt;$D$2,0,$AP100="Annual",1,AS100=12,12,$AP100="Monthly V",AS100*(1+$D$3),$AP100="Monthly F",12,$AP100="One-Time",0),AS100*(1+$D$3))</f>
        <v/>
      </c>
      <c r="AU100" s="14">
        <f t="array" ref="AU100">IFERROR(_xlfn.IFS(VALUE(MID(AU$5,6,1))&gt;$D$2,0,$AP100="Annual",1,AT100=12,12,$AP100="Monthly V",AT100*(1+$D$3),$AP100="Monthly F",12,$AP100="One-Time",0),AT100*(1+$D$3))</f>
        <v/>
      </c>
      <c r="AV100" s="14">
        <f t="array" ref="AV100">IFERROR(_xlfn.IFS(VALUE(MID(AV$5,6,1))&gt;$D$2,0,$AP100="Annual",1,AU100=12,12,$AP100="Monthly V",AU100*(1+$D$3),$AP100="Monthly F",12,$AP100="One-Time",0),AU100*(1+$D$3))</f>
        <v/>
      </c>
      <c r="AW100" s="14">
        <f t="array" ref="AW100">IFERROR(_xlfn.IFS(VALUE(MID(AW$5,6,1))&gt;$D$2,0,$AP100="Annual",1,AV100=12,12,$AP100="Monthly V",AV100*(1+$D$3),$AP100="Monthly F",12,$AP100="One-Time",0),AV100*(1+$D$3))</f>
        <v/>
      </c>
      <c r="AX100" s="14">
        <f t="array" ref="AX100">IFERROR(_xlfn.IFS(VALUE(MID(AX$5,6,1))&gt;$D$2,0,$AP100="Annual",1,AW100=12,12,$AP100="Monthly V",AW100*(1+$D$3),$AP100="Monthly F",12,$AP100="One-Time",0),AW100*(1+$D$3))</f>
        <v/>
      </c>
      <c r="AY100" s="14">
        <f t="array" ref="AY100">IFERROR(_xlfn.IFS(VALUE(MID(AY$5,6,1))&gt;$D$2,0,$AP100="Annual",1,AX100=12,12,$AP100="Monthly V",AX100*(1+$D$3),$AP100="Monthly F",12,$AP100="One-Time",0),AX100*(1+$D$3))</f>
        <v/>
      </c>
      <c r="AZ100" s="14">
        <f t="array" ref="AZ100">IFERROR(_xlfn.IFS(VALUE(MID(AZ$5,6,1))&gt;$D$2,0,$AP100="Annual",1,AY100=12,12,$AP100="Monthly V",AY100*(1+$D$3),$AP100="Monthly F",12,$AP100="One-Time",0),AY100*(1+$D$3))</f>
        <v/>
      </c>
      <c r="BA100" s="125">
        <f t="array" ref="BA100">IFERROR(_xlfn.IFS(VALUE(MID(BA$5,6,2))&gt;$D$2,0,$AP100="Annual",1,AZ100=12,12,$AP100="Monthly V",AZ100*(1+$D$3),$AP100="Monthly F",12,$AP100="One-Time",0),AZ100*(1+$D$3))</f>
        <v/>
      </c>
      <c r="BB100" s="148" t="inlineStr">
        <is>
          <t>Cognos BI Bundles</t>
        </is>
      </c>
      <c r="BC100" s="144" t="inlineStr">
        <is>
          <t>Cognos</t>
        </is>
      </c>
      <c r="BD100" s="145" t="n">
        <v>5500</v>
      </c>
      <c r="BE100" s="21">
        <f>BF100/12</f>
        <v/>
      </c>
      <c r="BF100" s="39">
        <f>IFERROR(AR100*$BD100,0)</f>
        <v/>
      </c>
      <c r="BG100" s="39">
        <f>IFERROR(AS100*$BD100,0)</f>
        <v/>
      </c>
      <c r="BH100" s="39">
        <f>IFERROR(AT100*$BD100,0)</f>
        <v/>
      </c>
      <c r="BI100" s="39">
        <f>IFERROR(AU100*$BD100,0)</f>
        <v/>
      </c>
      <c r="BJ100" s="39">
        <f>IFERROR(AV100*$BD100,0)</f>
        <v/>
      </c>
      <c r="BK100" s="39">
        <f>IFERROR(AW100*$BD100,0)</f>
        <v/>
      </c>
      <c r="BL100" s="39">
        <f>IFERROR(AX100*$BD100,0)</f>
        <v/>
      </c>
      <c r="BM100" s="39">
        <f>IFERROR(AY100*$BD100,0)</f>
        <v/>
      </c>
      <c r="BN100" s="39">
        <f>IFERROR(AZ100*$BD100,0)</f>
        <v/>
      </c>
      <c r="BO100" s="39">
        <f>IFERROR(BA100*$BD100,0)</f>
        <v/>
      </c>
      <c r="BP100" s="40" t="n"/>
      <c r="BQ100" s="40">
        <f>IF(VALUE(MID(BQ$5,6,1))&lt;=$D$2,((1+$BD$3)^1-1)*BG100,0)</f>
        <v/>
      </c>
      <c r="BR100" s="40">
        <f>IF(VALUE(MID(BR$5,6,1))&lt;=$D$2,((1+$BD$3)^2-1)*BH100,0)</f>
        <v/>
      </c>
      <c r="BS100" s="40">
        <f>IF(VALUE(MID(BS$5,6,1))&lt;=$D$2,((1+$BD$3)^3-1)*BI100,0)</f>
        <v/>
      </c>
      <c r="BT100" s="40">
        <f>IF(VALUE(MID(BT$5,6,1))&lt;=$D$2,((1+$BD$3)^4-1)*BJ100,0)</f>
        <v/>
      </c>
      <c r="BU100" s="40">
        <f>IF(VALUE(MID(BU$5,6,1))&lt;=$D$2,((1+$BD$3)^5-1)*BK100,0)</f>
        <v/>
      </c>
      <c r="BV100" s="40">
        <f>IF(VALUE(MID(BV$5,6,1))&lt;=$D$2,((1+$BD$3)^6-1)*BL100,0)</f>
        <v/>
      </c>
      <c r="BW100" s="40">
        <f>IF(VALUE(MID(BW$5,6,1))&lt;=$D$2,((1+$BD$3)^7-1)*BM100,0)</f>
        <v/>
      </c>
      <c r="BX100" s="40">
        <f>IF(VALUE(MID(BX$5,6,1))&lt;=$D$2,((1+$BD$3)^8-1)*BN100,0)</f>
        <v/>
      </c>
      <c r="BY100" s="40">
        <f>IF(VALUE(MID(BY$5,6,2))&lt;=$D$2,((1+$BD$3)^9-1)*BO100,0)</f>
        <v/>
      </c>
      <c r="BZ100" s="40">
        <f>SUM(BP100:BY100)</f>
        <v/>
      </c>
      <c r="CA100" s="37">
        <f>SUM(BZ100,BF100:BO100)</f>
        <v/>
      </c>
      <c r="CC100" s="102" t="n"/>
      <c r="CD100" s="12" t="n"/>
      <c r="CE100" s="14" t="n"/>
      <c r="CF100" s="14" t="n"/>
      <c r="CG100" s="14" t="n"/>
      <c r="CH100" s="14" t="n"/>
      <c r="CI100" s="14" t="n"/>
      <c r="CJ100" s="14" t="n"/>
      <c r="CK100" s="14" t="n"/>
      <c r="CL100" s="14" t="n"/>
      <c r="CM100" s="14" t="n"/>
      <c r="CN100" s="24" t="n"/>
      <c r="CO100" s="63" t="n"/>
      <c r="CP100" s="53" t="n"/>
      <c r="CQ100" s="21" t="n"/>
      <c r="CR100" s="55" t="n"/>
      <c r="CS100" s="55" t="n"/>
      <c r="CT100" s="55" t="n"/>
      <c r="CU100" s="55" t="n"/>
      <c r="CV100" s="55" t="n"/>
      <c r="CW100" s="55" t="n"/>
      <c r="CX100" s="55" t="n"/>
      <c r="CY100" s="55" t="n"/>
      <c r="CZ100" s="55" t="n"/>
      <c r="DA100" s="55" t="n"/>
      <c r="DB100" s="56" t="n"/>
      <c r="DC100" s="56" t="n"/>
      <c r="DD100" s="56" t="n"/>
      <c r="DE100" s="56" t="n"/>
      <c r="DF100" s="56" t="n"/>
      <c r="DG100" s="56" t="n"/>
      <c r="DH100" s="56" t="n"/>
      <c r="DI100" s="56" t="n"/>
      <c r="DJ100" s="56" t="n"/>
      <c r="DK100" s="56" t="n"/>
      <c r="DL100" s="57" t="n"/>
      <c r="DM100" s="54" t="n"/>
      <c r="DO100" s="106" t="n"/>
    </row>
    <row r="101">
      <c r="B101" s="141" t="inlineStr">
        <is>
          <t>One-Time</t>
        </is>
      </c>
      <c r="C101" s="24" t="n">
        <v>1</v>
      </c>
      <c r="D101" s="147" t="n"/>
      <c r="E101" s="142" t="n"/>
      <c r="F101" s="14" t="n"/>
      <c r="G101" s="14" t="n"/>
      <c r="H101" s="14" t="n"/>
      <c r="I101" s="14" t="n"/>
      <c r="J101" s="14" t="n"/>
      <c r="K101" s="14" t="n"/>
      <c r="L101" s="14" t="n"/>
      <c r="M101" s="14" t="n"/>
      <c r="N101" s="24" t="n"/>
      <c r="O101" s="127" t="inlineStr">
        <is>
          <t>Zelle Implementation Fee</t>
        </is>
      </c>
      <c r="P101" s="13" t="inlineStr">
        <is>
          <t>Digital Payments</t>
        </is>
      </c>
      <c r="Q101" s="20" t="n">
        <v>37500</v>
      </c>
      <c r="R101" s="21" t="n"/>
      <c r="S101" s="6" t="n"/>
      <c r="T101" s="6" t="n"/>
      <c r="U101" s="6" t="n"/>
      <c r="V101" s="6" t="n"/>
      <c r="W101" s="6" t="n"/>
      <c r="X101" s="6" t="n"/>
      <c r="Y101" s="6" t="n"/>
      <c r="Z101" s="6" t="n"/>
      <c r="AA101" s="6" t="n"/>
      <c r="AB101" s="6" t="n"/>
      <c r="AC101" s="7" t="n"/>
      <c r="AD101" s="152" t="n"/>
      <c r="AE101" s="152" t="n"/>
      <c r="AF101" s="152" t="n"/>
      <c r="AG101" s="152" t="n"/>
      <c r="AH101" s="152" t="n"/>
      <c r="AI101" s="152" t="n"/>
      <c r="AJ101" s="152" t="n"/>
      <c r="AK101" s="152" t="n"/>
      <c r="AL101" s="152" t="n"/>
      <c r="AM101" s="9" t="n"/>
      <c r="AN101" s="80" t="n"/>
      <c r="AP101" s="114" t="inlineStr">
        <is>
          <t>One-Time</t>
        </is>
      </c>
      <c r="AQ101" s="143" t="n">
        <v>1</v>
      </c>
      <c r="AR101" s="14">
        <f>IF($AP101="Annual",1,IF($AP101="Monthly F",12,IF($AP101="Monthly V",AQ101*12,IF($AP101="One-Time",1,AQ101*12))))</f>
        <v/>
      </c>
      <c r="AS101" s="14">
        <f t="array" ref="AS101">IFERROR(_xlfn.IFS(VALUE(MID(AS$5,6,1))&gt;$D$2,0,$AP101="Annual",1,AR101=12,12,$AP101="Monthly V",AR101*(1+$D$3),$AP101="Monthly F",12,$AP101="One-Time",0),AR101*(1+$D$3))</f>
        <v/>
      </c>
      <c r="AT101" s="14">
        <f t="array" ref="AT101">IFERROR(_xlfn.IFS(VALUE(MID(AT$5,6,1))&gt;$D$2,0,$AP101="Annual",1,AS101=12,12,$AP101="Monthly V",AS101*(1+$D$3),$AP101="Monthly F",12,$AP101="One-Time",0),AS101*(1+$D$3))</f>
        <v/>
      </c>
      <c r="AU101" s="14">
        <f t="array" ref="AU101">IFERROR(_xlfn.IFS(VALUE(MID(AU$5,6,1))&gt;$D$2,0,$AP101="Annual",1,AT101=12,12,$AP101="Monthly V",AT101*(1+$D$3),$AP101="Monthly F",12,$AP101="One-Time",0),AT101*(1+$D$3))</f>
        <v/>
      </c>
      <c r="AV101" s="14">
        <f t="array" ref="AV101">IFERROR(_xlfn.IFS(VALUE(MID(AV$5,6,1))&gt;$D$2,0,$AP101="Annual",1,AU101=12,12,$AP101="Monthly V",AU101*(1+$D$3),$AP101="Monthly F",12,$AP101="One-Time",0),AU101*(1+$D$3))</f>
        <v/>
      </c>
      <c r="AW101" s="14">
        <f t="array" ref="AW101">IFERROR(_xlfn.IFS(VALUE(MID(AW$5,6,1))&gt;$D$2,0,$AP101="Annual",1,AV101=12,12,$AP101="Monthly V",AV101*(1+$D$3),$AP101="Monthly F",12,$AP101="One-Time",0),AV101*(1+$D$3))</f>
        <v/>
      </c>
      <c r="AX101" s="14">
        <f t="array" ref="AX101">IFERROR(_xlfn.IFS(VALUE(MID(AX$5,6,1))&gt;$D$2,0,$AP101="Annual",1,AW101=12,12,$AP101="Monthly V",AW101*(1+$D$3),$AP101="Monthly F",12,$AP101="One-Time",0),AW101*(1+$D$3))</f>
        <v/>
      </c>
      <c r="AY101" s="14">
        <f t="array" ref="AY101">IFERROR(_xlfn.IFS(VALUE(MID(AY$5,6,1))&gt;$D$2,0,$AP101="Annual",1,AX101=12,12,$AP101="Monthly V",AX101*(1+$D$3),$AP101="Monthly F",12,$AP101="One-Time",0),AX101*(1+$D$3))</f>
        <v/>
      </c>
      <c r="AZ101" s="14">
        <f t="array" ref="AZ101">IFERROR(_xlfn.IFS(VALUE(MID(AZ$5,6,1))&gt;$D$2,0,$AP101="Annual",1,AY101=12,12,$AP101="Monthly V",AY101*(1+$D$3),$AP101="Monthly F",12,$AP101="One-Time",0),AY101*(1+$D$3))</f>
        <v/>
      </c>
      <c r="BA101" s="125">
        <f t="array" ref="BA101">IFERROR(_xlfn.IFS(VALUE(MID(BA$5,6,2))&gt;$D$2,0,$AP101="Annual",1,AZ101=12,12,$AP101="Monthly V",AZ101*(1+$D$3),$AP101="Monthly F",12,$AP101="One-Time",0),AZ101*(1+$D$3))</f>
        <v/>
      </c>
      <c r="BB101" s="148" t="inlineStr">
        <is>
          <t>Core Implementation Training</t>
        </is>
      </c>
      <c r="BC101" s="144" t="inlineStr">
        <is>
          <t>SilverLake</t>
        </is>
      </c>
      <c r="BD101" s="145" t="n">
        <v>30000</v>
      </c>
      <c r="BE101" s="21">
        <f>BF101/12</f>
        <v/>
      </c>
      <c r="BF101" s="39">
        <f>IFERROR(AR101*$BD101,0)</f>
        <v/>
      </c>
      <c r="BG101" s="39">
        <f>IFERROR(AS101*$BD101,0)</f>
        <v/>
      </c>
      <c r="BH101" s="39">
        <f>IFERROR(AT101*$BD101,0)</f>
        <v/>
      </c>
      <c r="BI101" s="39">
        <f>IFERROR(AU101*$BD101,0)</f>
        <v/>
      </c>
      <c r="BJ101" s="39">
        <f>IFERROR(AV101*$BD101,0)</f>
        <v/>
      </c>
      <c r="BK101" s="39">
        <f>IFERROR(AW101*$BD101,0)</f>
        <v/>
      </c>
      <c r="BL101" s="39">
        <f>IFERROR(AX101*$BD101,0)</f>
        <v/>
      </c>
      <c r="BM101" s="39">
        <f>IFERROR(AY101*$BD101,0)</f>
        <v/>
      </c>
      <c r="BN101" s="39">
        <f>IFERROR(AZ101*$BD101,0)</f>
        <v/>
      </c>
      <c r="BO101" s="39">
        <f>IFERROR(BA101*$BD101,0)</f>
        <v/>
      </c>
      <c r="BP101" s="40" t="n"/>
      <c r="BQ101" s="40">
        <f>IF(VALUE(MID(BQ$5,6,1))&lt;=$D$2,((1+$BD$3)^1-1)*BG101,0)</f>
        <v/>
      </c>
      <c r="BR101" s="40">
        <f>IF(VALUE(MID(BR$5,6,1))&lt;=$D$2,((1+$BD$3)^2-1)*BH101,0)</f>
        <v/>
      </c>
      <c r="BS101" s="40">
        <f>IF(VALUE(MID(BS$5,6,1))&lt;=$D$2,((1+$BD$3)^3-1)*BI101,0)</f>
        <v/>
      </c>
      <c r="BT101" s="40">
        <f>IF(VALUE(MID(BT$5,6,1))&lt;=$D$2,((1+$BD$3)^4-1)*BJ101,0)</f>
        <v/>
      </c>
      <c r="BU101" s="40">
        <f>IF(VALUE(MID(BU$5,6,1))&lt;=$D$2,((1+$BD$3)^5-1)*BK101,0)</f>
        <v/>
      </c>
      <c r="BV101" s="40">
        <f>IF(VALUE(MID(BV$5,6,1))&lt;=$D$2,((1+$BD$3)^6-1)*BL101,0)</f>
        <v/>
      </c>
      <c r="BW101" s="40">
        <f>IF(VALUE(MID(BW$5,6,1))&lt;=$D$2,((1+$BD$3)^7-1)*BM101,0)</f>
        <v/>
      </c>
      <c r="BX101" s="40">
        <f>IF(VALUE(MID(BX$5,6,1))&lt;=$D$2,((1+$BD$3)^8-1)*BN101,0)</f>
        <v/>
      </c>
      <c r="BY101" s="40">
        <f>IF(VALUE(MID(BY$5,6,2))&lt;=$D$2,((1+$BD$3)^9-1)*BO101,0)</f>
        <v/>
      </c>
      <c r="BZ101" s="40">
        <f>SUM(BP101:BY101)</f>
        <v/>
      </c>
      <c r="CA101" s="37">
        <f>SUM(BZ101,BF101:BO101)</f>
        <v/>
      </c>
      <c r="CC101" s="102" t="n"/>
      <c r="CD101" s="12" t="n"/>
      <c r="CE101" s="14" t="n"/>
      <c r="CF101" s="14" t="n"/>
      <c r="CG101" s="14" t="n"/>
      <c r="CH101" s="14" t="n"/>
      <c r="CI101" s="14" t="n"/>
      <c r="CJ101" s="14" t="n"/>
      <c r="CK101" s="14" t="n"/>
      <c r="CL101" s="14" t="n"/>
      <c r="CM101" s="14" t="n"/>
      <c r="CN101" s="24" t="n"/>
      <c r="CO101" s="63" t="n"/>
      <c r="CP101" s="53" t="n"/>
      <c r="CQ101" s="21" t="n"/>
      <c r="CR101" s="55" t="n"/>
      <c r="CS101" s="55" t="n"/>
      <c r="CT101" s="55" t="n"/>
      <c r="CU101" s="55" t="n"/>
      <c r="CV101" s="55" t="n"/>
      <c r="CW101" s="55" t="n"/>
      <c r="CX101" s="55" t="n"/>
      <c r="CY101" s="55" t="n"/>
      <c r="CZ101" s="55" t="n"/>
      <c r="DA101" s="55" t="n"/>
      <c r="DB101" s="56" t="n"/>
      <c r="DC101" s="56" t="n"/>
      <c r="DD101" s="56" t="n"/>
      <c r="DE101" s="56" t="n"/>
      <c r="DF101" s="56" t="n"/>
      <c r="DG101" s="56" t="n"/>
      <c r="DH101" s="56" t="n"/>
      <c r="DI101" s="56" t="n"/>
      <c r="DJ101" s="56" t="n"/>
      <c r="DK101" s="56" t="n"/>
      <c r="DL101" s="57" t="n"/>
      <c r="DM101" s="54" t="n"/>
      <c r="DO101" s="106" t="n"/>
    </row>
    <row r="102">
      <c r="B102" s="141" t="inlineStr">
        <is>
          <t>One-Time</t>
        </is>
      </c>
      <c r="C102" s="24" t="n">
        <v>1</v>
      </c>
      <c r="D102" s="147" t="n"/>
      <c r="E102" s="142" t="n"/>
      <c r="F102" s="14" t="n"/>
      <c r="G102" s="14" t="n"/>
      <c r="H102" s="14" t="n"/>
      <c r="I102" s="14" t="n"/>
      <c r="J102" s="14" t="n"/>
      <c r="K102" s="14" t="n"/>
      <c r="L102" s="14" t="n"/>
      <c r="M102" s="14" t="n"/>
      <c r="N102" s="24" t="n"/>
      <c r="O102" s="127" t="inlineStr">
        <is>
          <t>WebConnect and DirectConnect Implementation Fee</t>
        </is>
      </c>
      <c r="P102" s="13" t="inlineStr">
        <is>
          <t>Digital Banking</t>
        </is>
      </c>
      <c r="Q102" s="20" t="n">
        <v>6099</v>
      </c>
      <c r="R102" s="21" t="n"/>
      <c r="S102" s="6" t="n"/>
      <c r="T102" s="6" t="n"/>
      <c r="U102" s="6" t="n"/>
      <c r="V102" s="6" t="n"/>
      <c r="W102" s="6" t="n"/>
      <c r="X102" s="6" t="n"/>
      <c r="Y102" s="6" t="n"/>
      <c r="Z102" s="6" t="n"/>
      <c r="AA102" s="6" t="n"/>
      <c r="AB102" s="6" t="n"/>
      <c r="AC102" s="7" t="n"/>
      <c r="AD102" s="152" t="n"/>
      <c r="AE102" s="152" t="n"/>
      <c r="AF102" s="152" t="n"/>
      <c r="AG102" s="152" t="n"/>
      <c r="AH102" s="152" t="n"/>
      <c r="AI102" s="152" t="n"/>
      <c r="AJ102" s="152" t="n"/>
      <c r="AK102" s="152" t="n"/>
      <c r="AL102" s="152" t="n"/>
      <c r="AM102" s="9" t="n"/>
      <c r="AN102" s="80" t="n"/>
      <c r="AP102" s="114" t="inlineStr">
        <is>
          <t>One-Time</t>
        </is>
      </c>
      <c r="AQ102" s="143" t="n">
        <v>1</v>
      </c>
      <c r="AR102" s="14">
        <f>IF($AP102="Annual",1,IF($AP102="Monthly F",12,IF($AP102="Monthly V",AQ102*12,IF($AP102="One-Time",1,AQ102*12))))</f>
        <v/>
      </c>
      <c r="AS102" s="14">
        <f t="array" ref="AS102">IFERROR(_xlfn.IFS(VALUE(MID(AS$5,6,1))&gt;$D$2,0,$AP102="Annual",1,AR102=12,12,$AP102="Monthly V",AR102*(1+$D$3),$AP102="Monthly F",12,$AP102="One-Time",0),AR102*(1+$D$3))</f>
        <v/>
      </c>
      <c r="AT102" s="14">
        <f t="array" ref="AT102">IFERROR(_xlfn.IFS(VALUE(MID(AT$5,6,1))&gt;$D$2,0,$AP102="Annual",1,AS102=12,12,$AP102="Monthly V",AS102*(1+$D$3),$AP102="Monthly F",12,$AP102="One-Time",0),AS102*(1+$D$3))</f>
        <v/>
      </c>
      <c r="AU102" s="14">
        <f t="array" ref="AU102">IFERROR(_xlfn.IFS(VALUE(MID(AU$5,6,1))&gt;$D$2,0,$AP102="Annual",1,AT102=12,12,$AP102="Monthly V",AT102*(1+$D$3),$AP102="Monthly F",12,$AP102="One-Time",0),AT102*(1+$D$3))</f>
        <v/>
      </c>
      <c r="AV102" s="14">
        <f t="array" ref="AV102">IFERROR(_xlfn.IFS(VALUE(MID(AV$5,6,1))&gt;$D$2,0,$AP102="Annual",1,AU102=12,12,$AP102="Monthly V",AU102*(1+$D$3),$AP102="Monthly F",12,$AP102="One-Time",0),AU102*(1+$D$3))</f>
        <v/>
      </c>
      <c r="AW102" s="14">
        <f t="array" ref="AW102">IFERROR(_xlfn.IFS(VALUE(MID(AW$5,6,1))&gt;$D$2,0,$AP102="Annual",1,AV102=12,12,$AP102="Monthly V",AV102*(1+$D$3),$AP102="Monthly F",12,$AP102="One-Time",0),AV102*(1+$D$3))</f>
        <v/>
      </c>
      <c r="AX102" s="14">
        <f t="array" ref="AX102">IFERROR(_xlfn.IFS(VALUE(MID(AX$5,6,1))&gt;$D$2,0,$AP102="Annual",1,AW102=12,12,$AP102="Monthly V",AW102*(1+$D$3),$AP102="Monthly F",12,$AP102="One-Time",0),AW102*(1+$D$3))</f>
        <v/>
      </c>
      <c r="AY102" s="14">
        <f t="array" ref="AY102">IFERROR(_xlfn.IFS(VALUE(MID(AY$5,6,1))&gt;$D$2,0,$AP102="Annual",1,AX102=12,12,$AP102="Monthly V",AX102*(1+$D$3),$AP102="Monthly F",12,$AP102="One-Time",0),AX102*(1+$D$3))</f>
        <v/>
      </c>
      <c r="AZ102" s="14">
        <f t="array" ref="AZ102">IFERROR(_xlfn.IFS(VALUE(MID(AZ$5,6,1))&gt;$D$2,0,$AP102="Annual",1,AY102=12,12,$AP102="Monthly V",AY102*(1+$D$3),$AP102="Monthly F",12,$AP102="One-Time",0),AY102*(1+$D$3))</f>
        <v/>
      </c>
      <c r="BA102" s="125">
        <f t="array" ref="BA102">IFERROR(_xlfn.IFS(VALUE(MID(BA$5,6,2))&gt;$D$2,0,$AP102="Annual",1,AZ102=12,12,$AP102="Monthly V",AZ102*(1+$D$3),$AP102="Monthly F",12,$AP102="One-Time",0),AZ102*(1+$D$3))</f>
        <v/>
      </c>
      <c r="BB102" s="148" t="inlineStr">
        <is>
          <t>User and Device Administration Training</t>
        </is>
      </c>
      <c r="BC102" s="144" t="inlineStr">
        <is>
          <t>SilverLake</t>
        </is>
      </c>
      <c r="BD102" s="145" t="n">
        <v>5000</v>
      </c>
      <c r="BE102" s="21">
        <f>BF102/12</f>
        <v/>
      </c>
      <c r="BF102" s="39">
        <f>IFERROR(AR102*$BD102,0)</f>
        <v/>
      </c>
      <c r="BG102" s="39">
        <f>IFERROR(AS102*$BD102,0)</f>
        <v/>
      </c>
      <c r="BH102" s="39">
        <f>IFERROR(AT102*$BD102,0)</f>
        <v/>
      </c>
      <c r="BI102" s="39">
        <f>IFERROR(AU102*$BD102,0)</f>
        <v/>
      </c>
      <c r="BJ102" s="39">
        <f>IFERROR(AV102*$BD102,0)</f>
        <v/>
      </c>
      <c r="BK102" s="39">
        <f>IFERROR(AW102*$BD102,0)</f>
        <v/>
      </c>
      <c r="BL102" s="39">
        <f>IFERROR(AX102*$BD102,0)</f>
        <v/>
      </c>
      <c r="BM102" s="39">
        <f>IFERROR(AY102*$BD102,0)</f>
        <v/>
      </c>
      <c r="BN102" s="39">
        <f>IFERROR(AZ102*$BD102,0)</f>
        <v/>
      </c>
      <c r="BO102" s="39">
        <f>IFERROR(BA102*$BD102,0)</f>
        <v/>
      </c>
      <c r="BP102" s="40" t="n"/>
      <c r="BQ102" s="40">
        <f>IF(VALUE(MID(BQ$5,6,1))&lt;=$D$2,((1+$BD$3)^1-1)*BG102,0)</f>
        <v/>
      </c>
      <c r="BR102" s="40">
        <f>IF(VALUE(MID(BR$5,6,1))&lt;=$D$2,((1+$BD$3)^2-1)*BH102,0)</f>
        <v/>
      </c>
      <c r="BS102" s="40">
        <f>IF(VALUE(MID(BS$5,6,1))&lt;=$D$2,((1+$BD$3)^3-1)*BI102,0)</f>
        <v/>
      </c>
      <c r="BT102" s="40">
        <f>IF(VALUE(MID(BT$5,6,1))&lt;=$D$2,((1+$BD$3)^4-1)*BJ102,0)</f>
        <v/>
      </c>
      <c r="BU102" s="40">
        <f>IF(VALUE(MID(BU$5,6,1))&lt;=$D$2,((1+$BD$3)^5-1)*BK102,0)</f>
        <v/>
      </c>
      <c r="BV102" s="40">
        <f>IF(VALUE(MID(BV$5,6,1))&lt;=$D$2,((1+$BD$3)^6-1)*BL102,0)</f>
        <v/>
      </c>
      <c r="BW102" s="40">
        <f>IF(VALUE(MID(BW$5,6,1))&lt;=$D$2,((1+$BD$3)^7-1)*BM102,0)</f>
        <v/>
      </c>
      <c r="BX102" s="40">
        <f>IF(VALUE(MID(BX$5,6,1))&lt;=$D$2,((1+$BD$3)^8-1)*BN102,0)</f>
        <v/>
      </c>
      <c r="BY102" s="40">
        <f>IF(VALUE(MID(BY$5,6,2))&lt;=$D$2,((1+$BD$3)^9-1)*BO102,0)</f>
        <v/>
      </c>
      <c r="BZ102" s="40">
        <f>SUM(BP102:BY102)</f>
        <v/>
      </c>
      <c r="CA102" s="37">
        <f>SUM(BZ102,BF102:BO102)</f>
        <v/>
      </c>
      <c r="CC102" s="102" t="n"/>
      <c r="CD102" s="12" t="n"/>
      <c r="CE102" s="14" t="n"/>
      <c r="CF102" s="14" t="n"/>
      <c r="CG102" s="14" t="n"/>
      <c r="CH102" s="14" t="n"/>
      <c r="CI102" s="14" t="n"/>
      <c r="CJ102" s="14" t="n"/>
      <c r="CK102" s="14" t="n"/>
      <c r="CL102" s="14" t="n"/>
      <c r="CM102" s="14" t="n"/>
      <c r="CN102" s="24" t="n"/>
      <c r="CO102" s="63" t="n"/>
      <c r="CP102" s="53" t="n"/>
      <c r="CQ102" s="21" t="n"/>
      <c r="CR102" s="55" t="n"/>
      <c r="CS102" s="55" t="n"/>
      <c r="CT102" s="55" t="n"/>
      <c r="CU102" s="55" t="n"/>
      <c r="CV102" s="55" t="n"/>
      <c r="CW102" s="55" t="n"/>
      <c r="CX102" s="55" t="n"/>
      <c r="CY102" s="55" t="n"/>
      <c r="CZ102" s="55" t="n"/>
      <c r="DA102" s="55" t="n"/>
      <c r="DB102" s="56" t="n"/>
      <c r="DC102" s="56" t="n"/>
      <c r="DD102" s="56" t="n"/>
      <c r="DE102" s="56" t="n"/>
      <c r="DF102" s="56" t="n"/>
      <c r="DG102" s="56" t="n"/>
      <c r="DH102" s="56" t="n"/>
      <c r="DI102" s="56" t="n"/>
      <c r="DJ102" s="56" t="n"/>
      <c r="DK102" s="56" t="n"/>
      <c r="DL102" s="57" t="n"/>
      <c r="DM102" s="54" t="n"/>
      <c r="DO102" s="106" t="n"/>
    </row>
    <row r="103">
      <c r="B103" s="141" t="inlineStr">
        <is>
          <t>One-Time</t>
        </is>
      </c>
      <c r="C103" s="24" t="n">
        <v>1</v>
      </c>
      <c r="D103" s="147" t="n"/>
      <c r="E103" s="142" t="n"/>
      <c r="F103" s="14" t="n"/>
      <c r="G103" s="14" t="n"/>
      <c r="H103" s="14" t="n"/>
      <c r="I103" s="14" t="n"/>
      <c r="J103" s="14" t="n"/>
      <c r="K103" s="14" t="n"/>
      <c r="L103" s="14" t="n"/>
      <c r="M103" s="14" t="n"/>
      <c r="N103" s="24" t="n"/>
      <c r="O103" s="127" t="inlineStr">
        <is>
          <t>Credit Insights Implementation Fee</t>
        </is>
      </c>
      <c r="P103" s="13" t="inlineStr">
        <is>
          <t>Analytics</t>
        </is>
      </c>
      <c r="Q103" s="20" t="n">
        <v>5000</v>
      </c>
      <c r="R103" s="21" t="n"/>
      <c r="S103" s="6" t="n"/>
      <c r="T103" s="6" t="n"/>
      <c r="U103" s="6" t="n"/>
      <c r="V103" s="6" t="n"/>
      <c r="W103" s="6" t="n"/>
      <c r="X103" s="6" t="n"/>
      <c r="Y103" s="6" t="n"/>
      <c r="Z103" s="6" t="n"/>
      <c r="AA103" s="6" t="n"/>
      <c r="AB103" s="6" t="n"/>
      <c r="AC103" s="7" t="n"/>
      <c r="AD103" s="152" t="n"/>
      <c r="AE103" s="152" t="n"/>
      <c r="AF103" s="152" t="n"/>
      <c r="AG103" s="152" t="n"/>
      <c r="AH103" s="152" t="n"/>
      <c r="AI103" s="152" t="n"/>
      <c r="AJ103" s="152" t="n"/>
      <c r="AK103" s="152" t="n"/>
      <c r="AL103" s="152" t="n"/>
      <c r="AM103" s="9" t="n"/>
      <c r="AN103" s="80" t="n"/>
      <c r="AP103" s="114" t="inlineStr">
        <is>
          <t>One-Time</t>
        </is>
      </c>
      <c r="AQ103" s="143" t="n">
        <v>1</v>
      </c>
      <c r="AR103" s="14">
        <f>IF($AP103="Annual",1,IF($AP103="Monthly F",12,IF($AP103="Monthly V",AQ103*12,IF($AP103="One-Time",1,AQ103*12))))</f>
        <v/>
      </c>
      <c r="AS103" s="14">
        <f t="array" ref="AS103">IFERROR(_xlfn.IFS(VALUE(MID(AS$5,6,1))&gt;$D$2,0,$AP103="Annual",1,AR103=12,12,$AP103="Monthly V",AR103*(1+$D$3),$AP103="Monthly F",12,$AP103="One-Time",0),AR103*(1+$D$3))</f>
        <v/>
      </c>
      <c r="AT103" s="14">
        <f t="array" ref="AT103">IFERROR(_xlfn.IFS(VALUE(MID(AT$5,6,1))&gt;$D$2,0,$AP103="Annual",1,AS103=12,12,$AP103="Monthly V",AS103*(1+$D$3),$AP103="Monthly F",12,$AP103="One-Time",0),AS103*(1+$D$3))</f>
        <v/>
      </c>
      <c r="AU103" s="14">
        <f t="array" ref="AU103">IFERROR(_xlfn.IFS(VALUE(MID(AU$5,6,1))&gt;$D$2,0,$AP103="Annual",1,AT103=12,12,$AP103="Monthly V",AT103*(1+$D$3),$AP103="Monthly F",12,$AP103="One-Time",0),AT103*(1+$D$3))</f>
        <v/>
      </c>
      <c r="AV103" s="14">
        <f t="array" ref="AV103">IFERROR(_xlfn.IFS(VALUE(MID(AV$5,6,1))&gt;$D$2,0,$AP103="Annual",1,AU103=12,12,$AP103="Monthly V",AU103*(1+$D$3),$AP103="Monthly F",12,$AP103="One-Time",0),AU103*(1+$D$3))</f>
        <v/>
      </c>
      <c r="AW103" s="14">
        <f t="array" ref="AW103">IFERROR(_xlfn.IFS(VALUE(MID(AW$5,6,1))&gt;$D$2,0,$AP103="Annual",1,AV103=12,12,$AP103="Monthly V",AV103*(1+$D$3),$AP103="Monthly F",12,$AP103="One-Time",0),AV103*(1+$D$3))</f>
        <v/>
      </c>
      <c r="AX103" s="14">
        <f t="array" ref="AX103">IFERROR(_xlfn.IFS(VALUE(MID(AX$5,6,1))&gt;$D$2,0,$AP103="Annual",1,AW103=12,12,$AP103="Monthly V",AW103*(1+$D$3),$AP103="Monthly F",12,$AP103="One-Time",0),AW103*(1+$D$3))</f>
        <v/>
      </c>
      <c r="AY103" s="14">
        <f t="array" ref="AY103">IFERROR(_xlfn.IFS(VALUE(MID(AY$5,6,1))&gt;$D$2,0,$AP103="Annual",1,AX103=12,12,$AP103="Monthly V",AX103*(1+$D$3),$AP103="Monthly F",12,$AP103="One-Time",0),AX103*(1+$D$3))</f>
        <v/>
      </c>
      <c r="AZ103" s="14">
        <f t="array" ref="AZ103">IFERROR(_xlfn.IFS(VALUE(MID(AZ$5,6,1))&gt;$D$2,0,$AP103="Annual",1,AY103=12,12,$AP103="Monthly V",AY103*(1+$D$3),$AP103="Monthly F",12,$AP103="One-Time",0),AY103*(1+$D$3))</f>
        <v/>
      </c>
      <c r="BA103" s="125">
        <f t="array" ref="BA103">IFERROR(_xlfn.IFS(VALUE(MID(BA$5,6,2))&gt;$D$2,0,$AP103="Annual",1,AZ103=12,12,$AP103="Monthly V",AZ103*(1+$D$3),$AP103="Monthly F",12,$AP103="One-Time",0),AZ103*(1+$D$3))</f>
        <v/>
      </c>
      <c r="BB103" s="148" t="inlineStr">
        <is>
          <t>Day 2 Project Management - 45 Days engagement</t>
        </is>
      </c>
      <c r="BC103" s="144" t="inlineStr">
        <is>
          <t>SilverLake</t>
        </is>
      </c>
      <c r="BD103" s="145" t="n">
        <v>10000</v>
      </c>
      <c r="BE103" s="21">
        <f>BF103/12</f>
        <v/>
      </c>
      <c r="BF103" s="39">
        <f>IFERROR(AR103*$BD103,0)</f>
        <v/>
      </c>
      <c r="BG103" s="39">
        <f>IFERROR(AS103*$BD103,0)</f>
        <v/>
      </c>
      <c r="BH103" s="39">
        <f>IFERROR(AT103*$BD103,0)</f>
        <v/>
      </c>
      <c r="BI103" s="39">
        <f>IFERROR(AU103*$BD103,0)</f>
        <v/>
      </c>
      <c r="BJ103" s="39">
        <f>IFERROR(AV103*$BD103,0)</f>
        <v/>
      </c>
      <c r="BK103" s="39">
        <f>IFERROR(AW103*$BD103,0)</f>
        <v/>
      </c>
      <c r="BL103" s="39">
        <f>IFERROR(AX103*$BD103,0)</f>
        <v/>
      </c>
      <c r="BM103" s="39">
        <f>IFERROR(AY103*$BD103,0)</f>
        <v/>
      </c>
      <c r="BN103" s="39">
        <f>IFERROR(AZ103*$BD103,0)</f>
        <v/>
      </c>
      <c r="BO103" s="39">
        <f>IFERROR(BA103*$BD103,0)</f>
        <v/>
      </c>
      <c r="BP103" s="40" t="n"/>
      <c r="BQ103" s="40">
        <f>IF(VALUE(MID(BQ$5,6,1))&lt;=$D$2,((1+$BD$3)^1-1)*BG103,0)</f>
        <v/>
      </c>
      <c r="BR103" s="40">
        <f>IF(VALUE(MID(BR$5,6,1))&lt;=$D$2,((1+$BD$3)^2-1)*BH103,0)</f>
        <v/>
      </c>
      <c r="BS103" s="40">
        <f>IF(VALUE(MID(BS$5,6,1))&lt;=$D$2,((1+$BD$3)^3-1)*BI103,0)</f>
        <v/>
      </c>
      <c r="BT103" s="40">
        <f>IF(VALUE(MID(BT$5,6,1))&lt;=$D$2,((1+$BD$3)^4-1)*BJ103,0)</f>
        <v/>
      </c>
      <c r="BU103" s="40">
        <f>IF(VALUE(MID(BU$5,6,1))&lt;=$D$2,((1+$BD$3)^5-1)*BK103,0)</f>
        <v/>
      </c>
      <c r="BV103" s="40">
        <f>IF(VALUE(MID(BV$5,6,1))&lt;=$D$2,((1+$BD$3)^6-1)*BL103,0)</f>
        <v/>
      </c>
      <c r="BW103" s="40">
        <f>IF(VALUE(MID(BW$5,6,1))&lt;=$D$2,((1+$BD$3)^7-1)*BM103,0)</f>
        <v/>
      </c>
      <c r="BX103" s="40">
        <f>IF(VALUE(MID(BX$5,6,1))&lt;=$D$2,((1+$BD$3)^8-1)*BN103,0)</f>
        <v/>
      </c>
      <c r="BY103" s="40">
        <f>IF(VALUE(MID(BY$5,6,2))&lt;=$D$2,((1+$BD$3)^9-1)*BO103,0)</f>
        <v/>
      </c>
      <c r="BZ103" s="40">
        <f>SUM(BP103:BY103)</f>
        <v/>
      </c>
      <c r="CA103" s="37">
        <f>SUM(BZ103,BF103:BO103)</f>
        <v/>
      </c>
      <c r="CC103" s="102" t="n"/>
      <c r="CD103" s="12" t="n"/>
      <c r="CE103" s="14" t="n"/>
      <c r="CF103" s="14" t="n"/>
      <c r="CG103" s="14" t="n"/>
      <c r="CH103" s="14" t="n"/>
      <c r="CI103" s="14" t="n"/>
      <c r="CJ103" s="14" t="n"/>
      <c r="CK103" s="14" t="n"/>
      <c r="CL103" s="14" t="n"/>
      <c r="CM103" s="14" t="n"/>
      <c r="CN103" s="24" t="n"/>
      <c r="CO103" s="63" t="n"/>
      <c r="CP103" s="53" t="n"/>
      <c r="CQ103" s="21" t="n"/>
      <c r="CR103" s="55" t="n"/>
      <c r="CS103" s="55" t="n"/>
      <c r="CT103" s="55" t="n"/>
      <c r="CU103" s="55" t="n"/>
      <c r="CV103" s="55" t="n"/>
      <c r="CW103" s="55" t="n"/>
      <c r="CX103" s="55" t="n"/>
      <c r="CY103" s="55" t="n"/>
      <c r="CZ103" s="55" t="n"/>
      <c r="DA103" s="55" t="n"/>
      <c r="DB103" s="56" t="n"/>
      <c r="DC103" s="56" t="n"/>
      <c r="DD103" s="56" t="n"/>
      <c r="DE103" s="56" t="n"/>
      <c r="DF103" s="56" t="n"/>
      <c r="DG103" s="56" t="n"/>
      <c r="DH103" s="56" t="n"/>
      <c r="DI103" s="56" t="n"/>
      <c r="DJ103" s="56" t="n"/>
      <c r="DK103" s="56" t="n"/>
      <c r="DL103" s="57" t="n"/>
      <c r="DM103" s="54" t="n"/>
      <c r="DO103" s="106" t="n"/>
    </row>
    <row r="104">
      <c r="B104" s="141" t="inlineStr">
        <is>
          <t>One-Time</t>
        </is>
      </c>
      <c r="C104" s="24" t="n">
        <v>1</v>
      </c>
      <c r="D104" s="147" t="n"/>
      <c r="E104" s="142" t="n"/>
      <c r="F104" s="14" t="n"/>
      <c r="G104" s="14" t="n"/>
      <c r="H104" s="14" t="n"/>
      <c r="I104" s="14" t="n"/>
      <c r="J104" s="14" t="n"/>
      <c r="K104" s="14" t="n"/>
      <c r="L104" s="14" t="n"/>
      <c r="M104" s="14" t="n"/>
      <c r="N104" s="24" t="n"/>
      <c r="O104" s="127" t="inlineStr">
        <is>
          <t>Collaboration Hub Implementation Fee</t>
        </is>
      </c>
      <c r="P104" s="13" t="inlineStr">
        <is>
          <t>Collaboration</t>
        </is>
      </c>
      <c r="Q104" s="20" t="n">
        <v>16134</v>
      </c>
      <c r="R104" s="21" t="n"/>
      <c r="S104" s="6" t="n"/>
      <c r="T104" s="6" t="n"/>
      <c r="U104" s="6" t="n"/>
      <c r="V104" s="6" t="n"/>
      <c r="W104" s="6" t="n"/>
      <c r="X104" s="6" t="n"/>
      <c r="Y104" s="6" t="n"/>
      <c r="Z104" s="6" t="n"/>
      <c r="AA104" s="6" t="n"/>
      <c r="AB104" s="6" t="n"/>
      <c r="AC104" s="7" t="n"/>
      <c r="AD104" s="152" t="n"/>
      <c r="AE104" s="152" t="n"/>
      <c r="AF104" s="152" t="n"/>
      <c r="AG104" s="152" t="n"/>
      <c r="AH104" s="152" t="n"/>
      <c r="AI104" s="152" t="n"/>
      <c r="AJ104" s="152" t="n"/>
      <c r="AK104" s="152" t="n"/>
      <c r="AL104" s="152" t="n"/>
      <c r="AM104" s="9" t="n"/>
      <c r="AN104" s="80" t="n"/>
      <c r="AP104" s="114" t="inlineStr">
        <is>
          <t>One-Time</t>
        </is>
      </c>
      <c r="AQ104" s="143" t="n">
        <v>1</v>
      </c>
      <c r="AR104" s="14">
        <f>IF($AP104="Annual",1,IF($AP104="Monthly F",12,IF($AP104="Monthly V",AQ104*12,IF($AP104="One-Time",1,AQ104*12))))</f>
        <v/>
      </c>
      <c r="AS104" s="14">
        <f t="array" ref="AS104">IFERROR(_xlfn.IFS(VALUE(MID(AS$5,6,1))&gt;$D$2,0,$AP104="Annual",1,AR104=12,12,$AP104="Monthly V",AR104*(1+$D$3),$AP104="Monthly F",12,$AP104="One-Time",0),AR104*(1+$D$3))</f>
        <v/>
      </c>
      <c r="AT104" s="14">
        <f t="array" ref="AT104">IFERROR(_xlfn.IFS(VALUE(MID(AT$5,6,1))&gt;$D$2,0,$AP104="Annual",1,AS104=12,12,$AP104="Monthly V",AS104*(1+$D$3),$AP104="Monthly F",12,$AP104="One-Time",0),AS104*(1+$D$3))</f>
        <v/>
      </c>
      <c r="AU104" s="14">
        <f t="array" ref="AU104">IFERROR(_xlfn.IFS(VALUE(MID(AU$5,6,1))&gt;$D$2,0,$AP104="Annual",1,AT104=12,12,$AP104="Monthly V",AT104*(1+$D$3),$AP104="Monthly F",12,$AP104="One-Time",0),AT104*(1+$D$3))</f>
        <v/>
      </c>
      <c r="AV104" s="14">
        <f t="array" ref="AV104">IFERROR(_xlfn.IFS(VALUE(MID(AV$5,6,1))&gt;$D$2,0,$AP104="Annual",1,AU104=12,12,$AP104="Monthly V",AU104*(1+$D$3),$AP104="Monthly F",12,$AP104="One-Time",0),AU104*(1+$D$3))</f>
        <v/>
      </c>
      <c r="AW104" s="14">
        <f t="array" ref="AW104">IFERROR(_xlfn.IFS(VALUE(MID(AW$5,6,1))&gt;$D$2,0,$AP104="Annual",1,AV104=12,12,$AP104="Monthly V",AV104*(1+$D$3),$AP104="Monthly F",12,$AP104="One-Time",0),AV104*(1+$D$3))</f>
        <v/>
      </c>
      <c r="AX104" s="14">
        <f t="array" ref="AX104">IFERROR(_xlfn.IFS(VALUE(MID(AX$5,6,1))&gt;$D$2,0,$AP104="Annual",1,AW104=12,12,$AP104="Monthly V",AW104*(1+$D$3),$AP104="Monthly F",12,$AP104="One-Time",0),AW104*(1+$D$3))</f>
        <v/>
      </c>
      <c r="AY104" s="14">
        <f t="array" ref="AY104">IFERROR(_xlfn.IFS(VALUE(MID(AY$5,6,1))&gt;$D$2,0,$AP104="Annual",1,AX104=12,12,$AP104="Monthly V",AX104*(1+$D$3),$AP104="Monthly F",12,$AP104="One-Time",0),AX104*(1+$D$3))</f>
        <v/>
      </c>
      <c r="AZ104" s="14">
        <f t="array" ref="AZ104">IFERROR(_xlfn.IFS(VALUE(MID(AZ$5,6,1))&gt;$D$2,0,$AP104="Annual",1,AY104=12,12,$AP104="Monthly V",AY104*(1+$D$3),$AP104="Monthly F",12,$AP104="One-Time",0),AY104*(1+$D$3))</f>
        <v/>
      </c>
      <c r="BA104" s="125">
        <f t="array" ref="BA104">IFERROR(_xlfn.IFS(VALUE(MID(BA$5,6,2))&gt;$D$2,0,$AP104="Annual",1,AZ104=12,12,$AP104="Monthly V",AZ104*(1+$D$3),$AP104="Monthly F",12,$AP104="One-Time",0),AZ104*(1+$D$3))</f>
        <v/>
      </c>
      <c r="BB104" s="148" t="inlineStr">
        <is>
          <t>Web Hosting Showcase Plus</t>
        </is>
      </c>
      <c r="BC104" s="144" t="inlineStr">
        <is>
          <t>Web Hosting</t>
        </is>
      </c>
      <c r="BD104" s="145" t="n">
        <v>54000</v>
      </c>
      <c r="BE104" s="21">
        <f>BF104/12</f>
        <v/>
      </c>
      <c r="BF104" s="39">
        <f>IFERROR(AR104*$BD104,0)</f>
        <v/>
      </c>
      <c r="BG104" s="39">
        <f>IFERROR(AS104*$BD104,0)</f>
        <v/>
      </c>
      <c r="BH104" s="39">
        <f>IFERROR(AT104*$BD104,0)</f>
        <v/>
      </c>
      <c r="BI104" s="39">
        <f>IFERROR(AU104*$BD104,0)</f>
        <v/>
      </c>
      <c r="BJ104" s="39">
        <f>IFERROR(AV104*$BD104,0)</f>
        <v/>
      </c>
      <c r="BK104" s="39">
        <f>IFERROR(AW104*$BD104,0)</f>
        <v/>
      </c>
      <c r="BL104" s="39">
        <f>IFERROR(AX104*$BD104,0)</f>
        <v/>
      </c>
      <c r="BM104" s="39">
        <f>IFERROR(AY104*$BD104,0)</f>
        <v/>
      </c>
      <c r="BN104" s="39">
        <f>IFERROR(AZ104*$BD104,0)</f>
        <v/>
      </c>
      <c r="BO104" s="39">
        <f>IFERROR(BA104*$BD104,0)</f>
        <v/>
      </c>
      <c r="BP104" s="40" t="n"/>
      <c r="BQ104" s="40">
        <f>IF(VALUE(MID(BQ$5,6,1))&lt;=$D$2,((1+$BD$3)^1-1)*BG104,0)</f>
        <v/>
      </c>
      <c r="BR104" s="40">
        <f>IF(VALUE(MID(BR$5,6,1))&lt;=$D$2,((1+$BD$3)^2-1)*BH104,0)</f>
        <v/>
      </c>
      <c r="BS104" s="40">
        <f>IF(VALUE(MID(BS$5,6,1))&lt;=$D$2,((1+$BD$3)^3-1)*BI104,0)</f>
        <v/>
      </c>
      <c r="BT104" s="40">
        <f>IF(VALUE(MID(BT$5,6,1))&lt;=$D$2,((1+$BD$3)^4-1)*BJ104,0)</f>
        <v/>
      </c>
      <c r="BU104" s="40">
        <f>IF(VALUE(MID(BU$5,6,1))&lt;=$D$2,((1+$BD$3)^5-1)*BK104,0)</f>
        <v/>
      </c>
      <c r="BV104" s="40">
        <f>IF(VALUE(MID(BV$5,6,1))&lt;=$D$2,((1+$BD$3)^6-1)*BL104,0)</f>
        <v/>
      </c>
      <c r="BW104" s="40">
        <f>IF(VALUE(MID(BW$5,6,1))&lt;=$D$2,((1+$BD$3)^7-1)*BM104,0)</f>
        <v/>
      </c>
      <c r="BX104" s="40">
        <f>IF(VALUE(MID(BX$5,6,1))&lt;=$D$2,((1+$BD$3)^8-1)*BN104,0)</f>
        <v/>
      </c>
      <c r="BY104" s="40">
        <f>IF(VALUE(MID(BY$5,6,2))&lt;=$D$2,((1+$BD$3)^9-1)*BO104,0)</f>
        <v/>
      </c>
      <c r="BZ104" s="40">
        <f>SUM(BP104:BY104)</f>
        <v/>
      </c>
      <c r="CA104" s="37">
        <f>SUM(BZ104,BF104:BO104)</f>
        <v/>
      </c>
      <c r="CC104" s="102" t="n"/>
      <c r="CD104" s="12" t="n"/>
      <c r="CE104" s="14" t="n"/>
      <c r="CF104" s="14" t="n"/>
      <c r="CG104" s="14" t="n"/>
      <c r="CH104" s="14" t="n"/>
      <c r="CI104" s="14" t="n"/>
      <c r="CJ104" s="14" t="n"/>
      <c r="CK104" s="14" t="n"/>
      <c r="CL104" s="14" t="n"/>
      <c r="CM104" s="14" t="n"/>
      <c r="CN104" s="24" t="n"/>
      <c r="CO104" s="63" t="n"/>
      <c r="CP104" s="53" t="n"/>
      <c r="CQ104" s="21" t="n"/>
      <c r="CR104" s="55" t="n"/>
      <c r="CS104" s="55" t="n"/>
      <c r="CT104" s="55" t="n"/>
      <c r="CU104" s="55" t="n"/>
      <c r="CV104" s="55" t="n"/>
      <c r="CW104" s="55" t="n"/>
      <c r="CX104" s="55" t="n"/>
      <c r="CY104" s="55" t="n"/>
      <c r="CZ104" s="55" t="n"/>
      <c r="DA104" s="55" t="n"/>
      <c r="DB104" s="56" t="n"/>
      <c r="DC104" s="56" t="n"/>
      <c r="DD104" s="56" t="n"/>
      <c r="DE104" s="56" t="n"/>
      <c r="DF104" s="56" t="n"/>
      <c r="DG104" s="56" t="n"/>
      <c r="DH104" s="56" t="n"/>
      <c r="DI104" s="56" t="n"/>
      <c r="DJ104" s="56" t="n"/>
      <c r="DK104" s="56" t="n"/>
      <c r="DL104" s="57" t="n"/>
      <c r="DM104" s="54" t="n"/>
      <c r="DO104" s="106" t="n"/>
    </row>
    <row r="105">
      <c r="B105" s="141" t="inlineStr">
        <is>
          <t>One-Time</t>
        </is>
      </c>
      <c r="C105" s="24" t="n">
        <v>1</v>
      </c>
      <c r="D105" s="147" t="n"/>
      <c r="E105" s="142" t="n"/>
      <c r="F105" s="14" t="n"/>
      <c r="G105" s="14" t="n"/>
      <c r="H105" s="14" t="n"/>
      <c r="I105" s="14" t="n"/>
      <c r="J105" s="14" t="n"/>
      <c r="K105" s="14" t="n"/>
      <c r="L105" s="14" t="n"/>
      <c r="M105" s="14" t="n"/>
      <c r="N105" s="24" t="n"/>
      <c r="O105" s="127" t="inlineStr">
        <is>
          <t>AvidAscend Implementation Fee</t>
        </is>
      </c>
      <c r="P105" s="13" t="inlineStr">
        <is>
          <t>Financial Management</t>
        </is>
      </c>
      <c r="Q105" s="20" t="n">
        <v>5044</v>
      </c>
      <c r="R105" s="21" t="n"/>
      <c r="S105" s="6" t="n"/>
      <c r="T105" s="6" t="n"/>
      <c r="U105" s="6" t="n"/>
      <c r="V105" s="6" t="n"/>
      <c r="W105" s="6" t="n"/>
      <c r="X105" s="6" t="n"/>
      <c r="Y105" s="6" t="n"/>
      <c r="Z105" s="6" t="n"/>
      <c r="AA105" s="6" t="n"/>
      <c r="AB105" s="6" t="n"/>
      <c r="AC105" s="7" t="n"/>
      <c r="AD105" s="152" t="n"/>
      <c r="AE105" s="152" t="n"/>
      <c r="AF105" s="152" t="n"/>
      <c r="AG105" s="152" t="n"/>
      <c r="AH105" s="152" t="n"/>
      <c r="AI105" s="152" t="n"/>
      <c r="AJ105" s="152" t="n"/>
      <c r="AK105" s="152" t="n"/>
      <c r="AL105" s="152" t="n"/>
      <c r="AM105" s="9" t="n"/>
      <c r="AN105" s="80" t="n"/>
      <c r="AP105" s="114" t="inlineStr">
        <is>
          <t>One-Time</t>
        </is>
      </c>
      <c r="AQ105" s="143" t="n">
        <v>1</v>
      </c>
      <c r="AR105" s="14">
        <f>IF($AP105="Annual",1,IF($AP105="Monthly F",12,IF($AP105="Monthly V",AQ105*12,IF($AP105="One-Time",1,AQ105*12))))</f>
        <v/>
      </c>
      <c r="AS105" s="14">
        <f t="array" ref="AS105">IFERROR(_xlfn.IFS(VALUE(MID(AS$5,6,1))&gt;$D$2,0,$AP105="Annual",1,AR105=12,12,$AP105="Monthly V",AR105*(1+$D$3),$AP105="Monthly F",12,$AP105="One-Time",0),AR105*(1+$D$3))</f>
        <v/>
      </c>
      <c r="AT105" s="14">
        <f t="array" ref="AT105">IFERROR(_xlfn.IFS(VALUE(MID(AT$5,6,1))&gt;$D$2,0,$AP105="Annual",1,AS105=12,12,$AP105="Monthly V",AS105*(1+$D$3),$AP105="Monthly F",12,$AP105="One-Time",0),AS105*(1+$D$3))</f>
        <v/>
      </c>
      <c r="AU105" s="14">
        <f t="array" ref="AU105">IFERROR(_xlfn.IFS(VALUE(MID(AU$5,6,1))&gt;$D$2,0,$AP105="Annual",1,AT105=12,12,$AP105="Monthly V",AT105*(1+$D$3),$AP105="Monthly F",12,$AP105="One-Time",0),AT105*(1+$D$3))</f>
        <v/>
      </c>
      <c r="AV105" s="14">
        <f t="array" ref="AV105">IFERROR(_xlfn.IFS(VALUE(MID(AV$5,6,1))&gt;$D$2,0,$AP105="Annual",1,AU105=12,12,$AP105="Monthly V",AU105*(1+$D$3),$AP105="Monthly F",12,$AP105="One-Time",0),AU105*(1+$D$3))</f>
        <v/>
      </c>
      <c r="AW105" s="14">
        <f t="array" ref="AW105">IFERROR(_xlfn.IFS(VALUE(MID(AW$5,6,1))&gt;$D$2,0,$AP105="Annual",1,AV105=12,12,$AP105="Monthly V",AV105*(1+$D$3),$AP105="Monthly F",12,$AP105="One-Time",0),AV105*(1+$D$3))</f>
        <v/>
      </c>
      <c r="AX105" s="14">
        <f t="array" ref="AX105">IFERROR(_xlfn.IFS(VALUE(MID(AX$5,6,1))&gt;$D$2,0,$AP105="Annual",1,AW105=12,12,$AP105="Monthly V",AW105*(1+$D$3),$AP105="Monthly F",12,$AP105="One-Time",0),AW105*(1+$D$3))</f>
        <v/>
      </c>
      <c r="AY105" s="14">
        <f t="array" ref="AY105">IFERROR(_xlfn.IFS(VALUE(MID(AY$5,6,1))&gt;$D$2,0,$AP105="Annual",1,AX105=12,12,$AP105="Monthly V",AX105*(1+$D$3),$AP105="Monthly F",12,$AP105="One-Time",0),AX105*(1+$D$3))</f>
        <v/>
      </c>
      <c r="AZ105" s="14">
        <f t="array" ref="AZ105">IFERROR(_xlfn.IFS(VALUE(MID(AZ$5,6,1))&gt;$D$2,0,$AP105="Annual",1,AY105=12,12,$AP105="Monthly V",AY105*(1+$D$3),$AP105="Monthly F",12,$AP105="One-Time",0),AY105*(1+$D$3))</f>
        <v/>
      </c>
      <c r="BA105" s="125">
        <f t="array" ref="BA105">IFERROR(_xlfn.IFS(VALUE(MID(BA$5,6,2))&gt;$D$2,0,$AP105="Annual",1,AZ105=12,12,$AP105="Monthly V",AZ105*(1+$D$3),$AP105="Monthly F",12,$AP105="One-Time",0),AZ105*(1+$D$3))</f>
        <v/>
      </c>
      <c r="BB105" s="148" t="inlineStr">
        <is>
          <t>TruStage Forms-OnBoard Deposits-Includes Tax Favored Acct Svcs Bundle</t>
        </is>
      </c>
      <c r="BC105" s="144" t="inlineStr">
        <is>
          <t>Forms</t>
        </is>
      </c>
      <c r="BD105" s="145" t="n">
        <v>7650</v>
      </c>
      <c r="BE105" s="21">
        <f>BF105/12</f>
        <v/>
      </c>
      <c r="BF105" s="39">
        <f>IFERROR(AR105*$BD105,0)</f>
        <v/>
      </c>
      <c r="BG105" s="39">
        <f>IFERROR(AS105*$BD105,0)</f>
        <v/>
      </c>
      <c r="BH105" s="39">
        <f>IFERROR(AT105*$BD105,0)</f>
        <v/>
      </c>
      <c r="BI105" s="39">
        <f>IFERROR(AU105*$BD105,0)</f>
        <v/>
      </c>
      <c r="BJ105" s="39">
        <f>IFERROR(AV105*$BD105,0)</f>
        <v/>
      </c>
      <c r="BK105" s="39">
        <f>IFERROR(AW105*$BD105,0)</f>
        <v/>
      </c>
      <c r="BL105" s="39">
        <f>IFERROR(AX105*$BD105,0)</f>
        <v/>
      </c>
      <c r="BM105" s="39">
        <f>IFERROR(AY105*$BD105,0)</f>
        <v/>
      </c>
      <c r="BN105" s="39">
        <f>IFERROR(AZ105*$BD105,0)</f>
        <v/>
      </c>
      <c r="BO105" s="39">
        <f>IFERROR(BA105*$BD105,0)</f>
        <v/>
      </c>
      <c r="BP105" s="40" t="n"/>
      <c r="BQ105" s="40">
        <f>IF(VALUE(MID(BQ$5,6,1))&lt;=$D$2,((1+$BD$3)^1-1)*BG105,0)</f>
        <v/>
      </c>
      <c r="BR105" s="40">
        <f>IF(VALUE(MID(BR$5,6,1))&lt;=$D$2,((1+$BD$3)^2-1)*BH105,0)</f>
        <v/>
      </c>
      <c r="BS105" s="40">
        <f>IF(VALUE(MID(BS$5,6,1))&lt;=$D$2,((1+$BD$3)^3-1)*BI105,0)</f>
        <v/>
      </c>
      <c r="BT105" s="40">
        <f>IF(VALUE(MID(BT$5,6,1))&lt;=$D$2,((1+$BD$3)^4-1)*BJ105,0)</f>
        <v/>
      </c>
      <c r="BU105" s="40">
        <f>IF(VALUE(MID(BU$5,6,1))&lt;=$D$2,((1+$BD$3)^5-1)*BK105,0)</f>
        <v/>
      </c>
      <c r="BV105" s="40">
        <f>IF(VALUE(MID(BV$5,6,1))&lt;=$D$2,((1+$BD$3)^6-1)*BL105,0)</f>
        <v/>
      </c>
      <c r="BW105" s="40">
        <f>IF(VALUE(MID(BW$5,6,1))&lt;=$D$2,((1+$BD$3)^7-1)*BM105,0)</f>
        <v/>
      </c>
      <c r="BX105" s="40">
        <f>IF(VALUE(MID(BX$5,6,1))&lt;=$D$2,((1+$BD$3)^8-1)*BN105,0)</f>
        <v/>
      </c>
      <c r="BY105" s="40">
        <f>IF(VALUE(MID(BY$5,6,2))&lt;=$D$2,((1+$BD$3)^9-1)*BO105,0)</f>
        <v/>
      </c>
      <c r="BZ105" s="40">
        <f>SUM(BP105:BY105)</f>
        <v/>
      </c>
      <c r="CA105" s="37">
        <f>SUM(BZ105,BF105:BO105)</f>
        <v/>
      </c>
      <c r="CC105" s="102" t="n"/>
      <c r="CD105" s="12" t="n"/>
      <c r="CE105" s="14" t="n"/>
      <c r="CF105" s="14" t="n"/>
      <c r="CG105" s="14" t="n"/>
      <c r="CH105" s="14" t="n"/>
      <c r="CI105" s="14" t="n"/>
      <c r="CJ105" s="14" t="n"/>
      <c r="CK105" s="14" t="n"/>
      <c r="CL105" s="14" t="n"/>
      <c r="CM105" s="14" t="n"/>
      <c r="CN105" s="24" t="n"/>
      <c r="CO105" s="63" t="n"/>
      <c r="CP105" s="53" t="n"/>
      <c r="CQ105" s="21" t="n"/>
      <c r="CR105" s="55" t="n"/>
      <c r="CS105" s="55" t="n"/>
      <c r="CT105" s="55" t="n"/>
      <c r="CU105" s="55" t="n"/>
      <c r="CV105" s="55" t="n"/>
      <c r="CW105" s="55" t="n"/>
      <c r="CX105" s="55" t="n"/>
      <c r="CY105" s="55" t="n"/>
      <c r="CZ105" s="55" t="n"/>
      <c r="DA105" s="55" t="n"/>
      <c r="DB105" s="56" t="n"/>
      <c r="DC105" s="56" t="n"/>
      <c r="DD105" s="56" t="n"/>
      <c r="DE105" s="56" t="n"/>
      <c r="DF105" s="56" t="n"/>
      <c r="DG105" s="56" t="n"/>
      <c r="DH105" s="56" t="n"/>
      <c r="DI105" s="56" t="n"/>
      <c r="DJ105" s="56" t="n"/>
      <c r="DK105" s="56" t="n"/>
      <c r="DL105" s="57" t="n"/>
      <c r="DM105" s="54" t="n"/>
      <c r="DO105" s="106" t="n"/>
    </row>
    <row r="106">
      <c r="B106" s="141" t="n"/>
      <c r="C106" s="24" t="n"/>
      <c r="D106" s="147">
        <f>IFERROR(AVERAGE(C106:C106),0)</f>
        <v/>
      </c>
      <c r="E106" s="142">
        <f>IF($B106="Annual",1,IF($B106="Monthly F",12,IF($B106="Monthly V",D106*12,IF($B106="One-Time",1,D106*12))))</f>
        <v/>
      </c>
      <c r="F106" s="14">
        <f t="array" ref="F106">IFERROR(_xlfn.IFS(VALUE(MID(F$5,6,1))&gt;$D$2,0,$B106="Annual",1,E106=12,12,$B106="Monthly V",E106*(1+$D$3),$B106="Monthly F",12,$B106="One-Time",0),E106*(1+$D$3))</f>
        <v/>
      </c>
      <c r="G106" s="14">
        <f t="array" ref="G106">IFERROR(_xlfn.IFS(VALUE(MID(G$5,6,1))&gt;$D$2,0,$B106="Annual",1,F106=12,12,$B106="Monthly V",F106*(1+$D$3),$B106="Monthly F",12,$B106="One-Time",0),F106*(1+$D$3))</f>
        <v/>
      </c>
      <c r="H106" s="14">
        <f t="array" ref="H106">IFERROR(_xlfn.IFS(VALUE(MID(H$5,6,1))&gt;$D$2,0,$B106="Annual",1,G106=12,12,$B106="Monthly V",G106*(1+$D$3),$B106="Monthly F",12,$B106="One-Time",0),G106*(1+$D$3))</f>
        <v/>
      </c>
      <c r="I106" s="14">
        <f t="array" ref="I106">IFERROR(_xlfn.IFS(VALUE(MID(I$5,6,1))&gt;$D$2,0,$B106="Annual",1,H106=12,12,$B106="Monthly V",H106*(1+$D$3),$B106="Monthly F",12,$B106="One-Time",0),H106*(1+$D$3))</f>
        <v/>
      </c>
      <c r="J106" s="14">
        <f t="array" ref="J106">IFERROR(_xlfn.IFS(VALUE(MID(J$5,6,1))&gt;$D$2,0,$B106="Annual",1,I106=12,12,$B106="Monthly V",I106*(1+$D$3),$B106="Monthly F",12,$B106="One-Time",0),I106*(1+$D$3))</f>
        <v/>
      </c>
      <c r="K106" s="14">
        <f t="array" ref="K106">IFERROR(_xlfn.IFS(VALUE(MID(K$5,6,1))&gt;$D$2,0,$B106="Annual",1,J106=12,12,$B106="Monthly V",J106*(1+$D$3),$B106="Monthly F",12,$B106="One-Time",0),J106*(1+$D$3))</f>
        <v/>
      </c>
      <c r="L106" s="14">
        <f t="array" ref="L106">IFERROR(_xlfn.IFS(VALUE(MID(L$5,6,1))&gt;$D$2,0,$B106="Annual",1,K106=12,12,$B106="Monthly V",K106*(1+$D$3),$B106="Monthly F",12,$B106="One-Time",0),K106*(1+$D$3))</f>
        <v/>
      </c>
      <c r="M106" s="14">
        <f t="array" ref="M106">IFERROR(_xlfn.IFS(VALUE(MID(M$5,6,1))&gt;$D$2,0,$B106="Annual",1,L106=12,12,$B106="Monthly V",L106*(1+$D$3),$B106="Monthly F",12,$B106="One-Time",0),L106*(1+$D$3))</f>
        <v/>
      </c>
      <c r="N106" s="24">
        <f t="array" ref="N106">IFERROR(_xlfn.IFS(VALUE(MID(N$5,6,2))&gt;$D$2,0,$B106="Annual",1,M106=12,12,$B106="Monthly V",M106*(1+$D$3),$B106="Monthly F",12,$B106="One-Time",0),M106*(1+$D$3))</f>
        <v/>
      </c>
      <c r="O106" s="127" t="n"/>
      <c r="P106" s="13" t="n"/>
      <c r="Q106" s="20" t="n"/>
      <c r="R106" s="21" t="n"/>
      <c r="S106" s="6">
        <f>IFERROR($Q106*E106,0)</f>
        <v/>
      </c>
      <c r="T106" s="6">
        <f>IFERROR($Q106*F106,0)</f>
        <v/>
      </c>
      <c r="U106" s="6">
        <f>IFERROR($Q106*G106,0)</f>
        <v/>
      </c>
      <c r="V106" s="6">
        <f>IFERROR($Q106*H106,0)</f>
        <v/>
      </c>
      <c r="W106" s="6">
        <f>IFERROR($Q106*I106,0)</f>
        <v/>
      </c>
      <c r="X106" s="6">
        <f>IFERROR($Q106*J106,0)</f>
        <v/>
      </c>
      <c r="Y106" s="6">
        <f>IFERROR($Q106*K106,0)</f>
        <v/>
      </c>
      <c r="Z106" s="6">
        <f>IFERROR($Q106*L106,0)</f>
        <v/>
      </c>
      <c r="AA106" s="6">
        <f>IFERROR($Q106*M106,0)</f>
        <v/>
      </c>
      <c r="AB106" s="6">
        <f>IFERROR($Q106*N106,0)</f>
        <v/>
      </c>
      <c r="AC106" s="7" t="n"/>
      <c r="AD106" s="152">
        <f>IF(VALUE(MID(AD$5,6,1))&lt;=$D$2,((1+$Q$3)^1-1)*T106,0)</f>
        <v/>
      </c>
      <c r="AE106" s="152">
        <f>IF(VALUE(MID(AE$5,6,1))&lt;=$D$2,((1+$Q$3)^2-1)*U106,0)</f>
        <v/>
      </c>
      <c r="AF106" s="152">
        <f>IF(VALUE(MID(AF$5,6,1))&lt;=$D$2,((1+$Q$3)^3-1)*V106,0)</f>
        <v/>
      </c>
      <c r="AG106" s="152">
        <f>IF(VALUE(MID(AG$5,6,1))&lt;=$D$2,((1+$Q$3)^4-1)*W106,0)</f>
        <v/>
      </c>
      <c r="AH106" s="152">
        <f>IF(VALUE(MID(AH$5,6,1))&lt;=$D$2,((1+$Q$3)^5-1)*X106,0)</f>
        <v/>
      </c>
      <c r="AI106" s="152">
        <f>IF(VALUE(MID(AI$5,6,1))&lt;=$D$2,((1+$Q$3)^6-1)*Y106,0)</f>
        <v/>
      </c>
      <c r="AJ106" s="152">
        <f>IF(VALUE(MID(AJ$5,6,1))&lt;=$D$2,((1+$Q$3)^7-1)*Z106,0)</f>
        <v/>
      </c>
      <c r="AK106" s="152">
        <f>IF(VALUE(MID(AK$5,6,1))&lt;=$D$2,((1+$Q$3)^8-1)*AA106,0)</f>
        <v/>
      </c>
      <c r="AL106" s="152">
        <f>IF(VALUE(MID(AL$5,6,2))&lt;=$D$2,((1+$Q$3)^9-1)*AB106,0)</f>
        <v/>
      </c>
      <c r="AM106" s="9">
        <f>SUM(AC106:AL106)</f>
        <v/>
      </c>
      <c r="AN106" s="80">
        <f>SUM(AM106,S106:AB106)</f>
        <v/>
      </c>
      <c r="AP106" s="114" t="inlineStr">
        <is>
          <t>One-Time</t>
        </is>
      </c>
      <c r="AQ106" s="143" t="n">
        <v>1</v>
      </c>
      <c r="AR106" s="14">
        <f>IF($AP106="Annual",1,IF($AP106="Monthly F",12,IF($AP106="Monthly V",AQ106*12,IF($AP106="One-Time",1,AQ106*12))))</f>
        <v/>
      </c>
      <c r="AS106" s="14">
        <f t="array" ref="AS106">IFERROR(_xlfn.IFS(VALUE(MID(AS$5,6,1))&gt;$D$2,0,$AP106="Annual",1,AR106=12,12,$AP106="Monthly V",AR106*(1+$D$3),$AP106="Monthly F",12,$AP106="One-Time",0),AR106*(1+$D$3))</f>
        <v/>
      </c>
      <c r="AT106" s="14">
        <f t="array" ref="AT106">IFERROR(_xlfn.IFS(VALUE(MID(AT$5,6,1))&gt;$D$2,0,$AP106="Annual",1,AS106=12,12,$AP106="Monthly V",AS106*(1+$D$3),$AP106="Monthly F",12,$AP106="One-Time",0),AS106*(1+$D$3))</f>
        <v/>
      </c>
      <c r="AU106" s="14">
        <f t="array" ref="AU106">IFERROR(_xlfn.IFS(VALUE(MID(AU$5,6,1))&gt;$D$2,0,$AP106="Annual",1,AT106=12,12,$AP106="Monthly V",AT106*(1+$D$3),$AP106="Monthly F",12,$AP106="One-Time",0),AT106*(1+$D$3))</f>
        <v/>
      </c>
      <c r="AV106" s="14">
        <f t="array" ref="AV106">IFERROR(_xlfn.IFS(VALUE(MID(AV$5,6,1))&gt;$D$2,0,$AP106="Annual",1,AU106=12,12,$AP106="Monthly V",AU106*(1+$D$3),$AP106="Monthly F",12,$AP106="One-Time",0),AU106*(1+$D$3))</f>
        <v/>
      </c>
      <c r="AW106" s="14">
        <f t="array" ref="AW106">IFERROR(_xlfn.IFS(VALUE(MID(AW$5,6,1))&gt;$D$2,0,$AP106="Annual",1,AV106=12,12,$AP106="Monthly V",AV106*(1+$D$3),$AP106="Monthly F",12,$AP106="One-Time",0),AV106*(1+$D$3))</f>
        <v/>
      </c>
      <c r="AX106" s="14">
        <f t="array" ref="AX106">IFERROR(_xlfn.IFS(VALUE(MID(AX$5,6,1))&gt;$D$2,0,$AP106="Annual",1,AW106=12,12,$AP106="Monthly V",AW106*(1+$D$3),$AP106="Monthly F",12,$AP106="One-Time",0),AW106*(1+$D$3))</f>
        <v/>
      </c>
      <c r="AY106" s="14">
        <f t="array" ref="AY106">IFERROR(_xlfn.IFS(VALUE(MID(AY$5,6,1))&gt;$D$2,0,$AP106="Annual",1,AX106=12,12,$AP106="Monthly V",AX106*(1+$D$3),$AP106="Monthly F",12,$AP106="One-Time",0),AX106*(1+$D$3))</f>
        <v/>
      </c>
      <c r="AZ106" s="14">
        <f t="array" ref="AZ106">IFERROR(_xlfn.IFS(VALUE(MID(AZ$5,6,1))&gt;$D$2,0,$AP106="Annual",1,AY106=12,12,$AP106="Monthly V",AY106*(1+$D$3),$AP106="Monthly F",12,$AP106="One-Time",0),AY106*(1+$D$3))</f>
        <v/>
      </c>
      <c r="BA106" s="125">
        <f t="array" ref="BA106">IFERROR(_xlfn.IFS(VALUE(MID(BA$5,6,2))&gt;$D$2,0,$AP106="Annual",1,AZ106=12,12,$AP106="Monthly V",AZ106*(1+$D$3),$AP106="Monthly F",12,$AP106="One-Time",0),AZ106*(1+$D$3))</f>
        <v/>
      </c>
      <c r="BB106" s="148" t="inlineStr">
        <is>
          <t>PrePaid Consulting</t>
        </is>
      </c>
      <c r="BC106" s="144" t="inlineStr">
        <is>
          <t>Op Assessment</t>
        </is>
      </c>
      <c r="BD106" s="145" t="n">
        <v>30000</v>
      </c>
      <c r="BE106" s="21">
        <f>BF106/12</f>
        <v/>
      </c>
      <c r="BF106" s="39">
        <f>IFERROR(AR106*$BD106,0)</f>
        <v/>
      </c>
      <c r="BG106" s="39">
        <f>IFERROR(AS106*$BD106,0)</f>
        <v/>
      </c>
      <c r="BH106" s="39">
        <f>IFERROR(AT106*$BD106,0)</f>
        <v/>
      </c>
      <c r="BI106" s="39">
        <f>IFERROR(AU106*$BD106,0)</f>
        <v/>
      </c>
      <c r="BJ106" s="39">
        <f>IFERROR(AV106*$BD106,0)</f>
        <v/>
      </c>
      <c r="BK106" s="39">
        <f>IFERROR(AW106*$BD106,0)</f>
        <v/>
      </c>
      <c r="BL106" s="39">
        <f>IFERROR(AX106*$BD106,0)</f>
        <v/>
      </c>
      <c r="BM106" s="39">
        <f>IFERROR(AY106*$BD106,0)</f>
        <v/>
      </c>
      <c r="BN106" s="39">
        <f>IFERROR(AZ106*$BD106,0)</f>
        <v/>
      </c>
      <c r="BO106" s="39">
        <f>IFERROR(BA106*$BD106,0)</f>
        <v/>
      </c>
      <c r="BP106" s="40" t="n"/>
      <c r="BQ106" s="40">
        <f>IF(VALUE(MID(BQ$5,6,1))&lt;=$D$2,((1+$BD$3)^1-1)*BG106,0)</f>
        <v/>
      </c>
      <c r="BR106" s="40">
        <f>IF(VALUE(MID(BR$5,6,1))&lt;=$D$2,((1+$BD$3)^2-1)*BH106,0)</f>
        <v/>
      </c>
      <c r="BS106" s="40">
        <f>IF(VALUE(MID(BS$5,6,1))&lt;=$D$2,((1+$BD$3)^3-1)*BI106,0)</f>
        <v/>
      </c>
      <c r="BT106" s="40">
        <f>IF(VALUE(MID(BT$5,6,1))&lt;=$D$2,((1+$BD$3)^4-1)*BJ106,0)</f>
        <v/>
      </c>
      <c r="BU106" s="40">
        <f>IF(VALUE(MID(BU$5,6,1))&lt;=$D$2,((1+$BD$3)^5-1)*BK106,0)</f>
        <v/>
      </c>
      <c r="BV106" s="40">
        <f>IF(VALUE(MID(BV$5,6,1))&lt;=$D$2,((1+$BD$3)^6-1)*BL106,0)</f>
        <v/>
      </c>
      <c r="BW106" s="40">
        <f>IF(VALUE(MID(BW$5,6,1))&lt;=$D$2,((1+$BD$3)^7-1)*BM106,0)</f>
        <v/>
      </c>
      <c r="BX106" s="40">
        <f>IF(VALUE(MID(BX$5,6,1))&lt;=$D$2,((1+$BD$3)^8-1)*BN106,0)</f>
        <v/>
      </c>
      <c r="BY106" s="40">
        <f>IF(VALUE(MID(BY$5,6,2))&lt;=$D$2,((1+$BD$3)^9-1)*BO106,0)</f>
        <v/>
      </c>
      <c r="BZ106" s="40">
        <f>SUM(BP106:BY106)</f>
        <v/>
      </c>
      <c r="CA106" s="37">
        <f>SUM(BZ106,BF106:BO106)</f>
        <v/>
      </c>
      <c r="CC106" s="102" t="n"/>
      <c r="CD106" s="12" t="n"/>
      <c r="CE106" s="14" t="n"/>
      <c r="CF106" s="14" t="n"/>
      <c r="CG106" s="14" t="n"/>
      <c r="CH106" s="14" t="n"/>
      <c r="CI106" s="14" t="n"/>
      <c r="CJ106" s="14" t="n"/>
      <c r="CK106" s="14" t="n"/>
      <c r="CL106" s="14" t="n"/>
      <c r="CM106" s="14" t="n"/>
      <c r="CN106" s="24" t="n"/>
      <c r="CO106" s="63" t="n"/>
      <c r="CP106" s="53" t="n"/>
      <c r="CQ106" s="21" t="n"/>
      <c r="CR106" s="55" t="n"/>
      <c r="CS106" s="55" t="n"/>
      <c r="CT106" s="55" t="n"/>
      <c r="CU106" s="55" t="n"/>
      <c r="CV106" s="55" t="n"/>
      <c r="CW106" s="55" t="n"/>
      <c r="CX106" s="55" t="n"/>
      <c r="CY106" s="55" t="n"/>
      <c r="CZ106" s="55" t="n"/>
      <c r="DA106" s="55" t="n"/>
      <c r="DB106" s="56" t="n"/>
      <c r="DC106" s="56" t="n"/>
      <c r="DD106" s="56" t="n"/>
      <c r="DE106" s="56" t="n"/>
      <c r="DF106" s="56" t="n"/>
      <c r="DG106" s="56" t="n"/>
      <c r="DH106" s="56" t="n"/>
      <c r="DI106" s="56" t="n"/>
      <c r="DJ106" s="56" t="n"/>
      <c r="DK106" s="56" t="n"/>
      <c r="DL106" s="57" t="n"/>
      <c r="DM106" s="54" t="n"/>
      <c r="DO106" s="106" t="n"/>
    </row>
    <row r="107" ht="15.75" customHeight="1" thickBot="1">
      <c r="B107" s="141" t="n"/>
      <c r="C107" s="24" t="n"/>
      <c r="D107" s="147">
        <f>IFERROR(AVERAGE(C107:C107),0)</f>
        <v/>
      </c>
      <c r="E107" s="142">
        <f>IF($B107="Annual",1,IF($B107="Monthly F",12,IF($B107="Monthly V",D107*12,IF($B107="One-Time",1,D107*12))))</f>
        <v/>
      </c>
      <c r="F107" s="14">
        <f t="array" ref="F107">IFERROR(_xlfn.IFS(VALUE(MID(F$5,6,1))&gt;$D$2,0,$B107="Annual",1,E107=12,12,$B107="Monthly V",E107*(1+$D$3),$B107="Monthly F",12,$B107="One-Time",0),E107*(1+$D$3))</f>
        <v/>
      </c>
      <c r="G107" s="14">
        <f t="array" ref="G107">IFERROR(_xlfn.IFS(VALUE(MID(G$5,6,1))&gt;$D$2,0,$B107="Annual",1,F107=12,12,$B107="Monthly V",F107*(1+$D$3),$B107="Monthly F",12,$B107="One-Time",0),F107*(1+$D$3))</f>
        <v/>
      </c>
      <c r="H107" s="14">
        <f t="array" ref="H107">IFERROR(_xlfn.IFS(VALUE(MID(H$5,6,1))&gt;$D$2,0,$B107="Annual",1,G107=12,12,$B107="Monthly V",G107*(1+$D$3),$B107="Monthly F",12,$B107="One-Time",0),G107*(1+$D$3))</f>
        <v/>
      </c>
      <c r="I107" s="14">
        <f t="array" ref="I107">IFERROR(_xlfn.IFS(VALUE(MID(I$5,6,1))&gt;$D$2,0,$B107="Annual",1,H107=12,12,$B107="Monthly V",H107*(1+$D$3),$B107="Monthly F",12,$B107="One-Time",0),H107*(1+$D$3))</f>
        <v/>
      </c>
      <c r="J107" s="14">
        <f t="array" ref="J107">IFERROR(_xlfn.IFS(VALUE(MID(J$5,6,1))&gt;$D$2,0,$B107="Annual",1,I107=12,12,$B107="Monthly V",I107*(1+$D$3),$B107="Monthly F",12,$B107="One-Time",0),I107*(1+$D$3))</f>
        <v/>
      </c>
      <c r="K107" s="14">
        <f t="array" ref="K107">IFERROR(_xlfn.IFS(VALUE(MID(K$5,6,1))&gt;$D$2,0,$B107="Annual",1,J107=12,12,$B107="Monthly V",J107*(1+$D$3),$B107="Monthly F",12,$B107="One-Time",0),J107*(1+$D$3))</f>
        <v/>
      </c>
      <c r="L107" s="14">
        <f t="array" ref="L107">IFERROR(_xlfn.IFS(VALUE(MID(L$5,6,1))&gt;$D$2,0,$B107="Annual",1,K107=12,12,$B107="Monthly V",K107*(1+$D$3),$B107="Monthly F",12,$B107="One-Time",0),K107*(1+$D$3))</f>
        <v/>
      </c>
      <c r="M107" s="14">
        <f t="array" ref="M107">IFERROR(_xlfn.IFS(VALUE(MID(M$5,6,1))&gt;$D$2,0,$B107="Annual",1,L107=12,12,$B107="Monthly V",L107*(1+$D$3),$B107="Monthly F",12,$B107="One-Time",0),L107*(1+$D$3))</f>
        <v/>
      </c>
      <c r="N107" s="24">
        <f t="array" ref="N107">IFERROR(_xlfn.IFS(VALUE(MID(N$5,6,2))&gt;$D$2,0,$B107="Annual",1,M107=12,12,$B107="Monthly V",M107*(1+$D$3),$B107="Monthly F",12,$B107="One-Time",0),M107*(1+$D$3))</f>
        <v/>
      </c>
      <c r="O107" s="127" t="n"/>
      <c r="P107" s="13" t="n"/>
      <c r="Q107" s="20" t="n"/>
      <c r="R107" s="21" t="n"/>
      <c r="S107" s="6">
        <f>IFERROR($Q107*E107,0)</f>
        <v/>
      </c>
      <c r="T107" s="6">
        <f>IFERROR($Q107*F107,0)</f>
        <v/>
      </c>
      <c r="U107" s="6">
        <f>IFERROR($Q107*G107,0)</f>
        <v/>
      </c>
      <c r="V107" s="6">
        <f>IFERROR($Q107*H107,0)</f>
        <v/>
      </c>
      <c r="W107" s="6">
        <f>IFERROR($Q107*I107,0)</f>
        <v/>
      </c>
      <c r="X107" s="6">
        <f>IFERROR($Q107*J107,0)</f>
        <v/>
      </c>
      <c r="Y107" s="6">
        <f>IFERROR($Q107*K107,0)</f>
        <v/>
      </c>
      <c r="Z107" s="6">
        <f>IFERROR($Q107*L107,0)</f>
        <v/>
      </c>
      <c r="AA107" s="6">
        <f>IFERROR($Q107*M107,0)</f>
        <v/>
      </c>
      <c r="AB107" s="6">
        <f>IFERROR($Q107*N107,0)</f>
        <v/>
      </c>
      <c r="AC107" s="7" t="n"/>
      <c r="AD107" s="152">
        <f>IF(VALUE(MID(AD$5,6,1))&lt;=$D$2,((1+$Q$3)^1-1)*T107,0)</f>
        <v/>
      </c>
      <c r="AE107" s="152">
        <f>IF(VALUE(MID(AE$5,6,1))&lt;=$D$2,((1+$Q$3)^2-1)*U107,0)</f>
        <v/>
      </c>
      <c r="AF107" s="152">
        <f>IF(VALUE(MID(AF$5,6,1))&lt;=$D$2,((1+$Q$3)^3-1)*V107,0)</f>
        <v/>
      </c>
      <c r="AG107" s="152">
        <f>IF(VALUE(MID(AG$5,6,1))&lt;=$D$2,((1+$Q$3)^4-1)*W107,0)</f>
        <v/>
      </c>
      <c r="AH107" s="152">
        <f>IF(VALUE(MID(AH$5,6,1))&lt;=$D$2,((1+$Q$3)^5-1)*X107,0)</f>
        <v/>
      </c>
      <c r="AI107" s="152">
        <f>IF(VALUE(MID(AI$5,6,1))&lt;=$D$2,((1+$Q$3)^6-1)*Y107,0)</f>
        <v/>
      </c>
      <c r="AJ107" s="152">
        <f>IF(VALUE(MID(AJ$5,6,1))&lt;=$D$2,((1+$Q$3)^7-1)*Z107,0)</f>
        <v/>
      </c>
      <c r="AK107" s="152">
        <f>IF(VALUE(MID(AK$5,6,1))&lt;=$D$2,((1+$Q$3)^8-1)*AA107,0)</f>
        <v/>
      </c>
      <c r="AL107" s="152">
        <f>IF(VALUE(MID(AL$5,6,2))&lt;=$D$2,((1+$Q$3)^9-1)*AB107,0)</f>
        <v/>
      </c>
      <c r="AM107" s="9">
        <f>SUM(AC107:AL107)</f>
        <v/>
      </c>
      <c r="AN107" s="80">
        <f>SUM(AM107,S107:AB107)</f>
        <v/>
      </c>
      <c r="AP107" s="114" t="inlineStr">
        <is>
          <t>One-Time</t>
        </is>
      </c>
      <c r="AQ107" s="143" t="n">
        <v>1</v>
      </c>
      <c r="AR107" s="14">
        <f>IF($AP107="Annual",1,IF($AP107="Monthly F",12,IF($AP107="Monthly V",AQ107*12,IF($AP107="One-Time",1,AQ107*12))))</f>
        <v/>
      </c>
      <c r="AS107" s="14">
        <f t="array" ref="AS107">IFERROR(_xlfn.IFS(VALUE(MID(AS$5,6,1))&gt;$D$2,0,$AP107="Annual",1,AR107=12,12,$AP107="Monthly V",AR107*(1+$D$3),$AP107="Monthly F",12,$AP107="One-Time",0),AR107*(1+$D$3))</f>
        <v/>
      </c>
      <c r="AT107" s="14">
        <f t="array" ref="AT107">IFERROR(_xlfn.IFS(VALUE(MID(AT$5,6,1))&gt;$D$2,0,$AP107="Annual",1,AS107=12,12,$AP107="Monthly V",AS107*(1+$D$3),$AP107="Monthly F",12,$AP107="One-Time",0),AS107*(1+$D$3))</f>
        <v/>
      </c>
      <c r="AU107" s="14">
        <f t="array" ref="AU107">IFERROR(_xlfn.IFS(VALUE(MID(AU$5,6,1))&gt;$D$2,0,$AP107="Annual",1,AT107=12,12,$AP107="Monthly V",AT107*(1+$D$3),$AP107="Monthly F",12,$AP107="One-Time",0),AT107*(1+$D$3))</f>
        <v/>
      </c>
      <c r="AV107" s="14">
        <f t="array" ref="AV107">IFERROR(_xlfn.IFS(VALUE(MID(AV$5,6,1))&gt;$D$2,0,$AP107="Annual",1,AU107=12,12,$AP107="Monthly V",AU107*(1+$D$3),$AP107="Monthly F",12,$AP107="One-Time",0),AU107*(1+$D$3))</f>
        <v/>
      </c>
      <c r="AW107" s="14">
        <f t="array" ref="AW107">IFERROR(_xlfn.IFS(VALUE(MID(AW$5,6,1))&gt;$D$2,0,$AP107="Annual",1,AV107=12,12,$AP107="Monthly V",AV107*(1+$D$3),$AP107="Monthly F",12,$AP107="One-Time",0),AV107*(1+$D$3))</f>
        <v/>
      </c>
      <c r="AX107" s="14">
        <f t="array" ref="AX107">IFERROR(_xlfn.IFS(VALUE(MID(AX$5,6,1))&gt;$D$2,0,$AP107="Annual",1,AW107=12,12,$AP107="Monthly V",AW107*(1+$D$3),$AP107="Monthly F",12,$AP107="One-Time",0),AW107*(1+$D$3))</f>
        <v/>
      </c>
      <c r="AY107" s="14">
        <f t="array" ref="AY107">IFERROR(_xlfn.IFS(VALUE(MID(AY$5,6,1))&gt;$D$2,0,$AP107="Annual",1,AX107=12,12,$AP107="Monthly V",AX107*(1+$D$3),$AP107="Monthly F",12,$AP107="One-Time",0),AX107*(1+$D$3))</f>
        <v/>
      </c>
      <c r="AZ107" s="14">
        <f t="array" ref="AZ107">IFERROR(_xlfn.IFS(VALUE(MID(AZ$5,6,1))&gt;$D$2,0,$AP107="Annual",1,AY107=12,12,$AP107="Monthly V",AY107*(1+$D$3),$AP107="Monthly F",12,$AP107="One-Time",0),AY107*(1+$D$3))</f>
        <v/>
      </c>
      <c r="BA107" s="125">
        <f t="array" ref="BA107">IFERROR(_xlfn.IFS(VALUE(MID(BA$5,6,2))&gt;$D$2,0,$AP107="Annual",1,AZ107=12,12,$AP107="Monthly V",AZ107*(1+$D$3),$AP107="Monthly F",12,$AP107="One-Time",0),AZ107*(1+$D$3))</f>
        <v/>
      </c>
      <c r="BB107" s="148" t="inlineStr">
        <is>
          <t>PNV</t>
        </is>
      </c>
      <c r="BC107" s="144" t="inlineStr">
        <is>
          <t>OutLink Item Processing</t>
        </is>
      </c>
      <c r="BD107" s="145" t="n">
        <v>10500</v>
      </c>
      <c r="BE107" s="21">
        <f>BF107/12</f>
        <v/>
      </c>
      <c r="BF107" s="39">
        <f>IFERROR(AR107*$BD107,0)</f>
        <v/>
      </c>
      <c r="BG107" s="39">
        <f>IFERROR(AS107*$BD107,0)</f>
        <v/>
      </c>
      <c r="BH107" s="39">
        <f>IFERROR(AT107*$BD107,0)</f>
        <v/>
      </c>
      <c r="BI107" s="39">
        <f>IFERROR(AU107*$BD107,0)</f>
        <v/>
      </c>
      <c r="BJ107" s="39">
        <f>IFERROR(AV107*$BD107,0)</f>
        <v/>
      </c>
      <c r="BK107" s="39">
        <f>IFERROR(AW107*$BD107,0)</f>
        <v/>
      </c>
      <c r="BL107" s="39">
        <f>IFERROR(AX107*$BD107,0)</f>
        <v/>
      </c>
      <c r="BM107" s="39">
        <f>IFERROR(AY107*$BD107,0)</f>
        <v/>
      </c>
      <c r="BN107" s="39">
        <f>IFERROR(AZ107*$BD107,0)</f>
        <v/>
      </c>
      <c r="BO107" s="39">
        <f>IFERROR(BA107*$BD107,0)</f>
        <v/>
      </c>
      <c r="BP107" s="40" t="n"/>
      <c r="BQ107" s="40">
        <f>IF(VALUE(MID(BQ$5,6,1))&lt;=$D$2,((1+$BD$3)^1-1)*BG107,0)</f>
        <v/>
      </c>
      <c r="BR107" s="40">
        <f>IF(VALUE(MID(BR$5,6,1))&lt;=$D$2,((1+$BD$3)^2-1)*BH107,0)</f>
        <v/>
      </c>
      <c r="BS107" s="40">
        <f>IF(VALUE(MID(BS$5,6,1))&lt;=$D$2,((1+$BD$3)^3-1)*BI107,0)</f>
        <v/>
      </c>
      <c r="BT107" s="40">
        <f>IF(VALUE(MID(BT$5,6,1))&lt;=$D$2,((1+$BD$3)^4-1)*BJ107,0)</f>
        <v/>
      </c>
      <c r="BU107" s="40">
        <f>IF(VALUE(MID(BU$5,6,1))&lt;=$D$2,((1+$BD$3)^5-1)*BK107,0)</f>
        <v/>
      </c>
      <c r="BV107" s="40">
        <f>IF(VALUE(MID(BV$5,6,1))&lt;=$D$2,((1+$BD$3)^6-1)*BL107,0)</f>
        <v/>
      </c>
      <c r="BW107" s="40">
        <f>IF(VALUE(MID(BW$5,6,1))&lt;=$D$2,((1+$BD$3)^7-1)*BM107,0)</f>
        <v/>
      </c>
      <c r="BX107" s="40">
        <f>IF(VALUE(MID(BX$5,6,1))&lt;=$D$2,((1+$BD$3)^8-1)*BN107,0)</f>
        <v/>
      </c>
      <c r="BY107" s="40">
        <f>IF(VALUE(MID(BY$5,6,2))&lt;=$D$2,((1+$BD$3)^9-1)*BO107,0)</f>
        <v/>
      </c>
      <c r="BZ107" s="40">
        <f>SUM(BP107:BY107)</f>
        <v/>
      </c>
      <c r="CA107" s="37">
        <f>SUM(BZ107,BF107:BO107)</f>
        <v/>
      </c>
      <c r="CC107" s="102" t="n"/>
      <c r="CD107" s="12" t="n"/>
      <c r="CE107" s="14" t="n"/>
      <c r="CF107" s="14" t="n"/>
      <c r="CG107" s="14" t="n"/>
      <c r="CH107" s="14" t="n"/>
      <c r="CI107" s="14" t="n"/>
      <c r="CJ107" s="14" t="n"/>
      <c r="CK107" s="14" t="n"/>
      <c r="CL107" s="14" t="n"/>
      <c r="CM107" s="14" t="n"/>
      <c r="CN107" s="24" t="n"/>
      <c r="CO107" s="63" t="n"/>
      <c r="CP107" s="53" t="n"/>
      <c r="CQ107" s="21" t="n"/>
      <c r="CR107" s="55" t="n"/>
      <c r="CS107" s="55" t="n"/>
      <c r="CT107" s="55" t="n"/>
      <c r="CU107" s="55" t="n"/>
      <c r="CV107" s="55" t="n"/>
      <c r="CW107" s="55" t="n"/>
      <c r="CX107" s="55" t="n"/>
      <c r="CY107" s="55" t="n"/>
      <c r="CZ107" s="55" t="n"/>
      <c r="DA107" s="55" t="n"/>
      <c r="DB107" s="56" t="n"/>
      <c r="DC107" s="56" t="n"/>
      <c r="DD107" s="56" t="n"/>
      <c r="DE107" s="56" t="n"/>
      <c r="DF107" s="56" t="n"/>
      <c r="DG107" s="56" t="n"/>
      <c r="DH107" s="56" t="n"/>
      <c r="DI107" s="56" t="n"/>
      <c r="DJ107" s="56" t="n"/>
      <c r="DK107" s="56" t="n"/>
      <c r="DL107" s="57" t="n"/>
      <c r="DM107" s="54" t="n"/>
      <c r="DO107" s="106" t="n"/>
    </row>
    <row r="108" ht="15.75" customHeight="1" thickBot="1">
      <c r="B108" s="141" t="n"/>
      <c r="C108" s="24" t="n"/>
      <c r="D108" s="147">
        <f>IFERROR(AVERAGE(C108:C108),0)</f>
        <v/>
      </c>
      <c r="E108" s="142">
        <f>IF($B108="Annual",1,IF($B108="Monthly F",12,IF($B108="Monthly V",D108*12,IF($B108="One-Time",1,D108*12))))</f>
        <v/>
      </c>
      <c r="F108" s="14">
        <f t="array" ref="F108">IFERROR(_xlfn.IFS(VALUE(MID(F$5,6,1))&gt;$D$2,0,$B108="Annual",1,E108=12,12,$B108="Monthly V",E108*(1+$D$3),$B108="Monthly F",12,$B108="One-Time",0),E108*(1+$D$3))</f>
        <v/>
      </c>
      <c r="G108" s="14">
        <f t="array" ref="G108">IFERROR(_xlfn.IFS(VALUE(MID(G$5,6,1))&gt;$D$2,0,$B108="Annual",1,F108=12,12,$B108="Monthly V",F108*(1+$D$3),$B108="Monthly F",12,$B108="One-Time",0),F108*(1+$D$3))</f>
        <v/>
      </c>
      <c r="H108" s="14">
        <f t="array" ref="H108">IFERROR(_xlfn.IFS(VALUE(MID(H$5,6,1))&gt;$D$2,0,$B108="Annual",1,G108=12,12,$B108="Monthly V",G108*(1+$D$3),$B108="Monthly F",12,$B108="One-Time",0),G108*(1+$D$3))</f>
        <v/>
      </c>
      <c r="I108" s="14">
        <f t="array" ref="I108">IFERROR(_xlfn.IFS(VALUE(MID(I$5,6,1))&gt;$D$2,0,$B108="Annual",1,H108=12,12,$B108="Monthly V",H108*(1+$D$3),$B108="Monthly F",12,$B108="One-Time",0),H108*(1+$D$3))</f>
        <v/>
      </c>
      <c r="J108" s="14">
        <f t="array" ref="J108">IFERROR(_xlfn.IFS(VALUE(MID(J$5,6,1))&gt;$D$2,0,$B108="Annual",1,I108=12,12,$B108="Monthly V",I108*(1+$D$3),$B108="Monthly F",12,$B108="One-Time",0),I108*(1+$D$3))</f>
        <v/>
      </c>
      <c r="K108" s="14">
        <f t="array" ref="K108">IFERROR(_xlfn.IFS(VALUE(MID(K$5,6,1))&gt;$D$2,0,$B108="Annual",1,J108=12,12,$B108="Monthly V",J108*(1+$D$3),$B108="Monthly F",12,$B108="One-Time",0),J108*(1+$D$3))</f>
        <v/>
      </c>
      <c r="L108" s="14">
        <f t="array" ref="L108">IFERROR(_xlfn.IFS(VALUE(MID(L$5,6,1))&gt;$D$2,0,$B108="Annual",1,K108=12,12,$B108="Monthly V",K108*(1+$D$3),$B108="Monthly F",12,$B108="One-Time",0),K108*(1+$D$3))</f>
        <v/>
      </c>
      <c r="M108" s="14">
        <f t="array" ref="M108">IFERROR(_xlfn.IFS(VALUE(MID(M$5,6,1))&gt;$D$2,0,$B108="Annual",1,L108=12,12,$B108="Monthly V",L108*(1+$D$3),$B108="Monthly F",12,$B108="One-Time",0),L108*(1+$D$3))</f>
        <v/>
      </c>
      <c r="N108" s="24">
        <f t="array" ref="N108">IFERROR(_xlfn.IFS(VALUE(MID(N$5,6,2))&gt;$D$2,0,$B108="Annual",1,M108=12,12,$B108="Monthly V",M108*(1+$D$3),$B108="Monthly F",12,$B108="One-Time",0),M108*(1+$D$3))</f>
        <v/>
      </c>
      <c r="O108" s="127" t="n"/>
      <c r="P108" s="13" t="n"/>
      <c r="Q108" s="20" t="n"/>
      <c r="R108" s="21">
        <f>S108/12</f>
        <v/>
      </c>
      <c r="S108" s="6">
        <f>IFERROR($Q108*E108,0)</f>
        <v/>
      </c>
      <c r="T108" s="6">
        <f>IFERROR($Q108*F108,0)</f>
        <v/>
      </c>
      <c r="U108" s="6">
        <f>IFERROR($Q108*G108,0)</f>
        <v/>
      </c>
      <c r="V108" s="6">
        <f>IFERROR($Q108*H108,0)</f>
        <v/>
      </c>
      <c r="W108" s="6">
        <f>IFERROR($Q108*I108,0)</f>
        <v/>
      </c>
      <c r="X108" s="6">
        <f>IFERROR($Q108*J108,0)</f>
        <v/>
      </c>
      <c r="Y108" s="6">
        <f>IFERROR($Q108*K108,0)</f>
        <v/>
      </c>
      <c r="Z108" s="6">
        <f>IFERROR($Q108*L108,0)</f>
        <v/>
      </c>
      <c r="AA108" s="6">
        <f>IFERROR($Q108*M108,0)</f>
        <v/>
      </c>
      <c r="AB108" s="6">
        <f>IFERROR($Q108*N108,0)</f>
        <v/>
      </c>
      <c r="AC108" s="7" t="n"/>
      <c r="AD108" s="152">
        <f>IF(VALUE(MID(AD$5,6,1))&lt;=$D$2,((1+$Q$3)^1-1)*T108,0)</f>
        <v/>
      </c>
      <c r="AE108" s="152">
        <f>IF(VALUE(MID(AE$5,6,1))&lt;=$D$2,((1+$Q$3)^2-1)*U108,0)</f>
        <v/>
      </c>
      <c r="AF108" s="152">
        <f>IF(VALUE(MID(AF$5,6,1))&lt;=$D$2,((1+$Q$3)^3-1)*V108,0)</f>
        <v/>
      </c>
      <c r="AG108" s="152">
        <f>IF(VALUE(MID(AG$5,6,1))&lt;=$D$2,((1+$Q$3)^4-1)*W108,0)</f>
        <v/>
      </c>
      <c r="AH108" s="152">
        <f>IF(VALUE(MID(AH$5,6,1))&lt;=$D$2,((1+$Q$3)^5-1)*X108,0)</f>
        <v/>
      </c>
      <c r="AI108" s="152">
        <f>IF(VALUE(MID(AI$5,6,1))&lt;=$D$2,((1+$Q$3)^6-1)*Y108,0)</f>
        <v/>
      </c>
      <c r="AJ108" s="152">
        <f>IF(VALUE(MID(AJ$5,6,1))&lt;=$D$2,((1+$Q$3)^7-1)*Z108,0)</f>
        <v/>
      </c>
      <c r="AK108" s="152">
        <f>IF(VALUE(MID(AK$5,6,1))&lt;=$D$2,((1+$Q$3)^8-1)*AA108,0)</f>
        <v/>
      </c>
      <c r="AL108" s="152">
        <f>IF(VALUE(MID(AL$5,6,2))&lt;=$D$2,((1+$Q$3)^9-1)*AB108,0)</f>
        <v/>
      </c>
      <c r="AM108" s="9">
        <f>SUM(AC108:AL108)</f>
        <v/>
      </c>
      <c r="AN108" s="80">
        <f>SUM(AM108,S108:AB108)</f>
        <v/>
      </c>
      <c r="AP108" s="282" t="inlineStr">
        <is>
          <t>Implementation/Deconversion/Credits Licensed Products</t>
        </is>
      </c>
      <c r="AQ108" s="267" t="n"/>
      <c r="AR108" s="267" t="n"/>
      <c r="AS108" s="267" t="n"/>
      <c r="AT108" s="267" t="n"/>
      <c r="AU108" s="267" t="n"/>
      <c r="AV108" s="267" t="n"/>
      <c r="AW108" s="267" t="n"/>
      <c r="AX108" s="267" t="n"/>
      <c r="AY108" s="267" t="n"/>
      <c r="AZ108" s="267" t="n"/>
      <c r="BA108" s="267" t="n"/>
      <c r="BB108" s="267" t="n"/>
      <c r="BC108" s="267" t="n"/>
      <c r="BD108" s="267" t="n"/>
      <c r="BE108" s="267" t="n"/>
      <c r="BF108" s="267" t="n"/>
      <c r="BG108" s="267" t="n"/>
      <c r="BH108" s="267" t="n"/>
      <c r="BI108" s="267" t="n"/>
      <c r="BJ108" s="267" t="n"/>
      <c r="BK108" s="267" t="n"/>
      <c r="BL108" s="267" t="n"/>
      <c r="BM108" s="267" t="n"/>
      <c r="BN108" s="267" t="n"/>
      <c r="BO108" s="267" t="n"/>
      <c r="BP108" s="267" t="n"/>
      <c r="BQ108" s="267" t="n"/>
      <c r="BR108" s="267" t="n"/>
      <c r="BS108" s="267" t="n"/>
      <c r="BT108" s="267" t="n"/>
      <c r="BU108" s="267" t="n"/>
      <c r="BV108" s="267" t="n"/>
      <c r="BW108" s="267" t="n"/>
      <c r="BX108" s="267" t="n"/>
      <c r="BY108" s="267" t="n"/>
      <c r="BZ108" s="267" t="n"/>
      <c r="CA108" s="268" t="n"/>
      <c r="CC108" s="102" t="n"/>
      <c r="CD108" s="12" t="n"/>
      <c r="CE108" s="14" t="n"/>
      <c r="CF108" s="14" t="n"/>
      <c r="CG108" s="14" t="n"/>
      <c r="CH108" s="14" t="n"/>
      <c r="CI108" s="14" t="n"/>
      <c r="CJ108" s="14" t="n"/>
      <c r="CK108" s="14" t="n"/>
      <c r="CL108" s="14" t="n"/>
      <c r="CM108" s="14" t="n"/>
      <c r="CN108" s="24" t="n"/>
      <c r="CO108" s="63" t="n"/>
      <c r="CP108" s="53" t="n"/>
      <c r="CQ108" s="21" t="n"/>
      <c r="CR108" s="55" t="n"/>
      <c r="CS108" s="55" t="n"/>
      <c r="CT108" s="55" t="n"/>
      <c r="CU108" s="55" t="n"/>
      <c r="CV108" s="55" t="n"/>
      <c r="CW108" s="55" t="n"/>
      <c r="CX108" s="55" t="n"/>
      <c r="CY108" s="55" t="n"/>
      <c r="CZ108" s="55" t="n"/>
      <c r="DA108" s="55" t="n"/>
      <c r="DB108" s="56" t="n"/>
      <c r="DC108" s="56" t="n"/>
      <c r="DD108" s="56" t="n"/>
      <c r="DE108" s="56" t="n"/>
      <c r="DF108" s="56" t="n"/>
      <c r="DG108" s="56" t="n"/>
      <c r="DH108" s="56" t="n"/>
      <c r="DI108" s="56" t="n"/>
      <c r="DJ108" s="56" t="n"/>
      <c r="DK108" s="56" t="n"/>
      <c r="DL108" s="57" t="n"/>
      <c r="DM108" s="54" t="n"/>
      <c r="DO108" s="106" t="n"/>
    </row>
    <row r="109" ht="15.75" customHeight="1" thickBot="1">
      <c r="B109" s="70" t="n"/>
      <c r="C109" s="83" t="n"/>
      <c r="D109" s="83" t="n"/>
      <c r="E109" s="99" t="n"/>
      <c r="F109" s="82" t="n"/>
      <c r="G109" s="82" t="n"/>
      <c r="H109" s="82" t="n"/>
      <c r="I109" s="82" t="n"/>
      <c r="J109" s="82" t="n"/>
      <c r="K109" s="82" t="n"/>
      <c r="L109" s="82" t="n"/>
      <c r="M109" s="82" t="n"/>
      <c r="N109" s="98" t="n"/>
      <c r="O109" s="84" t="n"/>
      <c r="P109" s="84" t="n"/>
      <c r="Q109" s="85" t="n"/>
      <c r="R109" s="86" t="n"/>
      <c r="S109" s="86" t="n"/>
      <c r="T109" s="86" t="n"/>
      <c r="U109" s="86" t="n"/>
      <c r="V109" s="86" t="n"/>
      <c r="W109" s="86" t="n"/>
      <c r="X109" s="86" t="n"/>
      <c r="Y109" s="86" t="n"/>
      <c r="Z109" s="86" t="n"/>
      <c r="AA109" s="86" t="n"/>
      <c r="AB109" s="86" t="n"/>
      <c r="AC109" s="86" t="n"/>
      <c r="AD109" s="86" t="n"/>
      <c r="AE109" s="86" t="n"/>
      <c r="AF109" s="86" t="n"/>
      <c r="AG109" s="86" t="n"/>
      <c r="AH109" s="86" t="n"/>
      <c r="AI109" s="86" t="n"/>
      <c r="AJ109" s="86" t="n"/>
      <c r="AK109" s="86" t="n"/>
      <c r="AL109" s="86" t="n"/>
      <c r="AM109" s="86" t="n"/>
      <c r="AN109" s="86" t="n"/>
      <c r="AP109" s="102" t="inlineStr">
        <is>
          <t>One-Time</t>
        </is>
      </c>
      <c r="AQ109" s="12" t="n">
        <v>1</v>
      </c>
      <c r="AR109" s="14">
        <f>IF($AP109="Annual",1,IF($AP109="Monthly F",12,IF($AP109="Monthly V",AQ109*12,IF($AP109="One-Time",1,AQ109*12))))</f>
        <v/>
      </c>
      <c r="AS109" s="14">
        <f t="array" ref="AS109">IFERROR(_xlfn.IFS(VALUE(MID(AS$5,6,1))&gt;$D$2,0,$AP109="Annual",1,AR109=12,12,$AP109="Monthly V",AR109*(1+$D$3),$AP109="Monthly F",12,$AP109="One-Time",0),AR109*(1+$D$3))</f>
        <v/>
      </c>
      <c r="AT109" s="14">
        <f t="array" ref="AT109">IFERROR(_xlfn.IFS(VALUE(MID(AT$5,6,1))&gt;$D$2,0,$AP109="Annual",1,AS109=12,12,$AP109="Monthly V",AS109*(1+$D$3),$AP109="Monthly F",12,$AP109="One-Time",0),AS109*(1+$D$3))</f>
        <v/>
      </c>
      <c r="AU109" s="14">
        <f t="array" ref="AU109">IFERROR(_xlfn.IFS(VALUE(MID(AU$5,6,1))&gt;$D$2,0,$AP109="Annual",1,AT109=12,12,$AP109="Monthly V",AT109*(1+$D$3),$AP109="Monthly F",12,$AP109="One-Time",0),AT109*(1+$D$3))</f>
        <v/>
      </c>
      <c r="AV109" s="14">
        <f t="array" ref="AV109">IFERROR(_xlfn.IFS(VALUE(MID(AV$5,6,1))&gt;$D$2,0,$AP109="Annual",1,AU109=12,12,$AP109="Monthly V",AU109*(1+$D$3),$AP109="Monthly F",12,$AP109="One-Time",0),AU109*(1+$D$3))</f>
        <v/>
      </c>
      <c r="AW109" s="14">
        <f t="array" ref="AW109">IFERROR(_xlfn.IFS(VALUE(MID(AW$5,6,1))&gt;$D$2,0,$AP109="Annual",1,AV109=12,12,$AP109="Monthly V",AV109*(1+$D$3),$AP109="Monthly F",12,$AP109="One-Time",0),AV109*(1+$D$3))</f>
        <v/>
      </c>
      <c r="AX109" s="14">
        <f t="array" ref="AX109">IFERROR(_xlfn.IFS(VALUE(MID(AX$5,6,1))&gt;$D$2,0,$AP109="Annual",1,AW109=12,12,$AP109="Monthly V",AW109*(1+$D$3),$AP109="Monthly F",12,$AP109="One-Time",0),AW109*(1+$D$3))</f>
        <v/>
      </c>
      <c r="AY109" s="14">
        <f t="array" ref="AY109">IFERROR(_xlfn.IFS(VALUE(MID(AY$5,6,1))&gt;$D$2,0,$AP109="Annual",1,AX109=12,12,$AP109="Monthly V",AX109*(1+$D$3),$AP109="Monthly F",12,$AP109="One-Time",0),AX109*(1+$D$3))</f>
        <v/>
      </c>
      <c r="AZ109" s="14">
        <f t="array" ref="AZ109">IFERROR(_xlfn.IFS(VALUE(MID(AZ$5,6,1))&gt;$D$2,0,$AP109="Annual",1,AY109=12,12,$AP109="Monthly V",AY109*(1+$D$3),$AP109="Monthly F",12,$AP109="One-Time",0),AY109*(1+$D$3))</f>
        <v/>
      </c>
      <c r="BA109" s="125">
        <f t="array" ref="BA109">IFERROR(_xlfn.IFS(VALUE(MID(BA$5,6,2))&gt;$D$2,0,$AP109="Annual",1,AZ109=12,12,$AP109="Monthly V",AZ109*(1+$D$3),$AP109="Monthly F",12,$AP109="One-Time",0),AZ109*(1+$D$3))</f>
        <v/>
      </c>
      <c r="BB109" s="124" t="inlineStr">
        <is>
          <t>JHMenu Express</t>
        </is>
      </c>
      <c r="BC109" s="38" t="inlineStr">
        <is>
          <t>SilverLake</t>
        </is>
      </c>
      <c r="BD109" s="36" t="n">
        <v>9000</v>
      </c>
      <c r="BE109" s="21">
        <f>BF109/12</f>
        <v/>
      </c>
      <c r="BF109" s="39">
        <f>IFERROR(AR109*$BD109,0)</f>
        <v/>
      </c>
      <c r="BG109" s="39">
        <f>IFERROR(AS109*$BD109,0)</f>
        <v/>
      </c>
      <c r="BH109" s="39">
        <f>IFERROR(AT109*$BD109,0)</f>
        <v/>
      </c>
      <c r="BI109" s="39">
        <f>IFERROR(AU109*$BD109,0)</f>
        <v/>
      </c>
      <c r="BJ109" s="39">
        <f>IFERROR(AV109*$BD109,0)</f>
        <v/>
      </c>
      <c r="BK109" s="39">
        <f>IFERROR(AW109*$BD109,0)</f>
        <v/>
      </c>
      <c r="BL109" s="39">
        <f>IFERROR(AX109*$BD109,0)</f>
        <v/>
      </c>
      <c r="BM109" s="39">
        <f>IFERROR(AY109*$BD109,0)</f>
        <v/>
      </c>
      <c r="BN109" s="39">
        <f>IFERROR(AZ109*$BD109,0)</f>
        <v/>
      </c>
      <c r="BO109" s="39">
        <f>IFERROR(BA109*$BD109,0)</f>
        <v/>
      </c>
      <c r="BP109" s="40" t="n"/>
      <c r="BQ109" s="40">
        <f>IF(VALUE(MID(BQ$5,6,1))&lt;=$D$2,((1+$BD$3)^1-1)*BG109,0)</f>
        <v/>
      </c>
      <c r="BR109" s="40">
        <f>IF(VALUE(MID(BR$5,6,1))&lt;=$D$2,((1+$BD$3)^2-1)*BH109,0)</f>
        <v/>
      </c>
      <c r="BS109" s="40">
        <f>IF(VALUE(MID(BS$5,6,1))&lt;=$D$2,((1+$BD$3)^3-1)*BI109,0)</f>
        <v/>
      </c>
      <c r="BT109" s="40">
        <f>IF(VALUE(MID(BT$5,6,1))&lt;=$D$2,((1+$BD$3)^4-1)*BJ109,0)</f>
        <v/>
      </c>
      <c r="BU109" s="40">
        <f>IF(VALUE(MID(BU$5,6,1))&lt;=$D$2,((1+$BD$3)^5-1)*BK109,0)</f>
        <v/>
      </c>
      <c r="BV109" s="40">
        <f>IF(VALUE(MID(BV$5,6,1))&lt;=$D$2,((1+$BD$3)^6-1)*BL109,0)</f>
        <v/>
      </c>
      <c r="BW109" s="40">
        <f>IF(VALUE(MID(BW$5,6,1))&lt;=$D$2,((1+$BD$3)^7-1)*BM109,0)</f>
        <v/>
      </c>
      <c r="BX109" s="40">
        <f>IF(VALUE(MID(BX$5,6,1))&lt;=$D$2,((1+$BD$3)^8-1)*BN109,0)</f>
        <v/>
      </c>
      <c r="BY109" s="40">
        <f>IF(VALUE(MID(BY$5,6,2))&lt;=$D$2,((1+$BD$3)^9-1)*BO109,0)</f>
        <v/>
      </c>
      <c r="BZ109" s="40">
        <f>SUM(BP109:BY109)</f>
        <v/>
      </c>
      <c r="CA109" s="37">
        <f>SUM(BZ109,BF109:BO109)</f>
        <v/>
      </c>
      <c r="CC109" s="102" t="n"/>
      <c r="CD109" s="12" t="n"/>
      <c r="CE109" s="14" t="n"/>
      <c r="CF109" s="14" t="n"/>
      <c r="CG109" s="14" t="n"/>
      <c r="CH109" s="14" t="n"/>
      <c r="CI109" s="14" t="n"/>
      <c r="CJ109" s="14" t="n"/>
      <c r="CK109" s="14" t="n"/>
      <c r="CL109" s="14" t="n"/>
      <c r="CM109" s="14" t="n"/>
      <c r="CN109" s="24" t="n"/>
      <c r="CO109" s="63" t="n"/>
      <c r="CP109" s="53" t="n"/>
      <c r="CQ109" s="21" t="n"/>
      <c r="CR109" s="55" t="n"/>
      <c r="CS109" s="55" t="n"/>
      <c r="CT109" s="55" t="n"/>
      <c r="CU109" s="55" t="n"/>
      <c r="CV109" s="55" t="n"/>
      <c r="CW109" s="55" t="n"/>
      <c r="CX109" s="55" t="n"/>
      <c r="CY109" s="55" t="n"/>
      <c r="CZ109" s="55" t="n"/>
      <c r="DA109" s="55" t="n"/>
      <c r="DB109" s="56" t="n"/>
      <c r="DC109" s="56" t="n"/>
      <c r="DD109" s="56" t="n"/>
      <c r="DE109" s="56" t="n"/>
      <c r="DF109" s="56" t="n"/>
      <c r="DG109" s="56" t="n"/>
      <c r="DH109" s="56" t="n"/>
      <c r="DI109" s="56" t="n"/>
      <c r="DJ109" s="56" t="n"/>
      <c r="DK109" s="56" t="n"/>
      <c r="DL109" s="57" t="n"/>
      <c r="DM109" s="54" t="n"/>
      <c r="DO109" s="106" t="n"/>
    </row>
    <row r="110" ht="15.75" customHeight="1" thickBot="1">
      <c r="B110" s="280" t="inlineStr">
        <is>
          <t>Implementation/Deconversion/Credits (Third Party)</t>
        </is>
      </c>
      <c r="C110" s="267" t="n"/>
      <c r="D110" s="267" t="n"/>
      <c r="E110" s="267" t="n"/>
      <c r="F110" s="267" t="n"/>
      <c r="G110" s="267" t="n"/>
      <c r="H110" s="267" t="n"/>
      <c r="I110" s="267" t="n"/>
      <c r="J110" s="267" t="n"/>
      <c r="K110" s="267" t="n"/>
      <c r="L110" s="267" t="n"/>
      <c r="M110" s="267" t="n"/>
      <c r="N110" s="267" t="n"/>
      <c r="O110" s="267" t="n"/>
      <c r="P110" s="267" t="n"/>
      <c r="Q110" s="267" t="n"/>
      <c r="R110" s="267" t="n"/>
      <c r="S110" s="267" t="n"/>
      <c r="T110" s="267" t="n"/>
      <c r="U110" s="267" t="n"/>
      <c r="V110" s="267" t="n"/>
      <c r="W110" s="267" t="n"/>
      <c r="X110" s="267" t="n"/>
      <c r="Y110" s="267" t="n"/>
      <c r="Z110" s="267" t="n"/>
      <c r="AA110" s="267" t="n"/>
      <c r="AB110" s="267" t="n"/>
      <c r="AC110" s="267" t="n"/>
      <c r="AD110" s="267" t="n"/>
      <c r="AE110" s="267" t="n"/>
      <c r="AF110" s="267" t="n"/>
      <c r="AG110" s="267" t="n"/>
      <c r="AH110" s="267" t="n"/>
      <c r="AI110" s="267" t="n"/>
      <c r="AJ110" s="267" t="n"/>
      <c r="AK110" s="267" t="n"/>
      <c r="AL110" s="267" t="n"/>
      <c r="AM110" s="267" t="n"/>
      <c r="AN110" s="281" t="n"/>
      <c r="AP110" s="102" t="inlineStr">
        <is>
          <t>One-Time</t>
        </is>
      </c>
      <c r="AQ110" s="12" t="n">
        <v>1</v>
      </c>
      <c r="AR110" s="14">
        <f>IF($AP110="Annual",1,IF($AP110="Monthly F",12,IF($AP110="Monthly V",AQ110*12,IF($AP110="One-Time",1,AQ110*12))))</f>
        <v/>
      </c>
      <c r="AS110" s="14">
        <f t="array" ref="AS110">IFERROR(_xlfn.IFS(VALUE(MID(AS$5,6,1))&gt;$D$2,0,$AP110="Annual",1,AR110=12,12,$AP110="Monthly V",AR110*(1+$D$3),$AP110="Monthly F",12,$AP110="One-Time",0),AR110*(1+$D$3))</f>
        <v/>
      </c>
      <c r="AT110" s="14">
        <f t="array" ref="AT110">IFERROR(_xlfn.IFS(VALUE(MID(AT$5,6,1))&gt;$D$2,0,$AP110="Annual",1,AS110=12,12,$AP110="Monthly V",AS110*(1+$D$3),$AP110="Monthly F",12,$AP110="One-Time",0),AS110*(1+$D$3))</f>
        <v/>
      </c>
      <c r="AU110" s="14">
        <f t="array" ref="AU110">IFERROR(_xlfn.IFS(VALUE(MID(AU$5,6,1))&gt;$D$2,0,$AP110="Annual",1,AT110=12,12,$AP110="Monthly V",AT110*(1+$D$3),$AP110="Monthly F",12,$AP110="One-Time",0),AT110*(1+$D$3))</f>
        <v/>
      </c>
      <c r="AV110" s="14">
        <f t="array" ref="AV110">IFERROR(_xlfn.IFS(VALUE(MID(AV$5,6,1))&gt;$D$2,0,$AP110="Annual",1,AU110=12,12,$AP110="Monthly V",AU110*(1+$D$3),$AP110="Monthly F",12,$AP110="One-Time",0),AU110*(1+$D$3))</f>
        <v/>
      </c>
      <c r="AW110" s="14">
        <f t="array" ref="AW110">IFERROR(_xlfn.IFS(VALUE(MID(AW$5,6,1))&gt;$D$2,0,$AP110="Annual",1,AV110=12,12,$AP110="Monthly V",AV110*(1+$D$3),$AP110="Monthly F",12,$AP110="One-Time",0),AV110*(1+$D$3))</f>
        <v/>
      </c>
      <c r="AX110" s="14">
        <f t="array" ref="AX110">IFERROR(_xlfn.IFS(VALUE(MID(AX$5,6,1))&gt;$D$2,0,$AP110="Annual",1,AW110=12,12,$AP110="Monthly V",AW110*(1+$D$3),$AP110="Monthly F",12,$AP110="One-Time",0),AW110*(1+$D$3))</f>
        <v/>
      </c>
      <c r="AY110" s="14">
        <f t="array" ref="AY110">IFERROR(_xlfn.IFS(VALUE(MID(AY$5,6,1))&gt;$D$2,0,$AP110="Annual",1,AX110=12,12,$AP110="Monthly V",AX110*(1+$D$3),$AP110="Monthly F",12,$AP110="One-Time",0),AX110*(1+$D$3))</f>
        <v/>
      </c>
      <c r="AZ110" s="14">
        <f t="array" ref="AZ110">IFERROR(_xlfn.IFS(VALUE(MID(AZ$5,6,1))&gt;$D$2,0,$AP110="Annual",1,AY110=12,12,$AP110="Monthly V",AY110*(1+$D$3),$AP110="Monthly F",12,$AP110="One-Time",0),AY110*(1+$D$3))</f>
        <v/>
      </c>
      <c r="BA110" s="125">
        <f t="array" ref="BA110">IFERROR(_xlfn.IFS(VALUE(MID(BA$5,6,2))&gt;$D$2,0,$AP110="Annual",1,AZ110=12,12,$AP110="Monthly V",AZ110*(1+$D$3),$AP110="Monthly F",12,$AP110="One-Time",0),AZ110*(1+$D$3))</f>
        <v/>
      </c>
      <c r="BB110" s="124" t="inlineStr">
        <is>
          <t>Teller OrboAnywhere AI Recognition</t>
        </is>
      </c>
      <c r="BC110" s="38" t="inlineStr">
        <is>
          <t>Teller</t>
        </is>
      </c>
      <c r="BD110" s="36" t="n">
        <v>4909</v>
      </c>
      <c r="BE110" s="21">
        <f>BF110/12</f>
        <v/>
      </c>
      <c r="BF110" s="39">
        <f>IFERROR(AR110*$BD110,0)</f>
        <v/>
      </c>
      <c r="BG110" s="39">
        <f>IFERROR(AS110*$BD110,0)</f>
        <v/>
      </c>
      <c r="BH110" s="39">
        <f>IFERROR(AT110*$BD110,0)</f>
        <v/>
      </c>
      <c r="BI110" s="39">
        <f>IFERROR(AU110*$BD110,0)</f>
        <v/>
      </c>
      <c r="BJ110" s="39">
        <f>IFERROR(AV110*$BD110,0)</f>
        <v/>
      </c>
      <c r="BK110" s="39">
        <f>IFERROR(AW110*$BD110,0)</f>
        <v/>
      </c>
      <c r="BL110" s="39">
        <f>IFERROR(AX110*$BD110,0)</f>
        <v/>
      </c>
      <c r="BM110" s="39">
        <f>IFERROR(AY110*$BD110,0)</f>
        <v/>
      </c>
      <c r="BN110" s="39">
        <f>IFERROR(AZ110*$BD110,0)</f>
        <v/>
      </c>
      <c r="BO110" s="39">
        <f>IFERROR(BA110*$BD110,0)</f>
        <v/>
      </c>
      <c r="BP110" s="40" t="n"/>
      <c r="BQ110" s="40">
        <f>IF(VALUE(MID(BQ$5,6,1))&lt;=$D$2,((1+$BD$3)^1-1)*BG110,0)</f>
        <v/>
      </c>
      <c r="BR110" s="40">
        <f>IF(VALUE(MID(BR$5,6,1))&lt;=$D$2,((1+$BD$3)^2-1)*BH110,0)</f>
        <v/>
      </c>
      <c r="BS110" s="40">
        <f>IF(VALUE(MID(BS$5,6,1))&lt;=$D$2,((1+$BD$3)^3-1)*BI110,0)</f>
        <v/>
      </c>
      <c r="BT110" s="40">
        <f>IF(VALUE(MID(BT$5,6,1))&lt;=$D$2,((1+$BD$3)^4-1)*BJ110,0)</f>
        <v/>
      </c>
      <c r="BU110" s="40">
        <f>IF(VALUE(MID(BU$5,6,1))&lt;=$D$2,((1+$BD$3)^5-1)*BK110,0)</f>
        <v/>
      </c>
      <c r="BV110" s="40">
        <f>IF(VALUE(MID(BV$5,6,1))&lt;=$D$2,((1+$BD$3)^6-1)*BL110,0)</f>
        <v/>
      </c>
      <c r="BW110" s="40">
        <f>IF(VALUE(MID(BW$5,6,1))&lt;=$D$2,((1+$BD$3)^7-1)*BM110,0)</f>
        <v/>
      </c>
      <c r="BX110" s="40">
        <f>IF(VALUE(MID(BX$5,6,1))&lt;=$D$2,((1+$BD$3)^8-1)*BN110,0)</f>
        <v/>
      </c>
      <c r="BY110" s="40">
        <f>IF(VALUE(MID(BY$5,6,2))&lt;=$D$2,((1+$BD$3)^9-1)*BO110,0)</f>
        <v/>
      </c>
      <c r="BZ110" s="40">
        <f>SUM(BP110:BY110)</f>
        <v/>
      </c>
      <c r="CA110" s="37">
        <f>SUM(BZ110,BF110:BO110)</f>
        <v/>
      </c>
      <c r="CC110" s="102" t="n"/>
      <c r="CD110" s="12" t="n"/>
      <c r="CE110" s="14" t="n"/>
      <c r="CF110" s="14" t="n"/>
      <c r="CG110" s="14" t="n"/>
      <c r="CH110" s="14" t="n"/>
      <c r="CI110" s="14" t="n"/>
      <c r="CJ110" s="14" t="n"/>
      <c r="CK110" s="14" t="n"/>
      <c r="CL110" s="14" t="n"/>
      <c r="CM110" s="14" t="n"/>
      <c r="CN110" s="24" t="n"/>
      <c r="CO110" s="63" t="n"/>
      <c r="CP110" s="53" t="n"/>
      <c r="CQ110" s="21" t="n"/>
      <c r="CR110" s="55" t="n"/>
      <c r="CS110" s="55" t="n"/>
      <c r="CT110" s="55" t="n"/>
      <c r="CU110" s="55" t="n"/>
      <c r="CV110" s="55" t="n"/>
      <c r="CW110" s="55" t="n"/>
      <c r="CX110" s="55" t="n"/>
      <c r="CY110" s="55" t="n"/>
      <c r="CZ110" s="55" t="n"/>
      <c r="DA110" s="55" t="n"/>
      <c r="DB110" s="56" t="n"/>
      <c r="DC110" s="56" t="n"/>
      <c r="DD110" s="56" t="n"/>
      <c r="DE110" s="56" t="n"/>
      <c r="DF110" s="56" t="n"/>
      <c r="DG110" s="56" t="n"/>
      <c r="DH110" s="56" t="n"/>
      <c r="DI110" s="56" t="n"/>
      <c r="DJ110" s="56" t="n"/>
      <c r="DK110" s="56" t="n"/>
      <c r="DL110" s="57" t="n"/>
      <c r="DM110" s="54" t="n"/>
      <c r="DO110" s="106" t="n"/>
    </row>
    <row r="111">
      <c r="B111" s="141" t="inlineStr">
        <is>
          <t>One-Time</t>
        </is>
      </c>
      <c r="C111" s="24" t="n"/>
      <c r="D111" s="147">
        <f>IFERROR(AVERAGE(C111:C111),0)</f>
        <v/>
      </c>
      <c r="E111" s="142">
        <f>IF($B111="Annual",1,IF($B111="Monthly F",12,IF($B111="Monthly V",D111*12,IF($B111="One-Time",1,D111*12))))</f>
        <v/>
      </c>
      <c r="F111" s="14">
        <f t="array" ref="F111">IFERROR(_xlfn.IFS(VALUE(MID(F$5,6,1))&gt;$D$2,0,$B111="Annual",1,E111=12,12,$B111="Monthly V",E111*(1+$D$3),$B111="Monthly F",12,$B111="One-Time",0),E111*(1+$D$3))</f>
        <v/>
      </c>
      <c r="G111" s="14">
        <f t="array" ref="G111">IFERROR(_xlfn.IFS(VALUE(MID(G$5,6,1))&gt;$D$2,0,$B111="Annual",1,F111=12,12,$B111="Monthly V",F111*(1+$D$3),$B111="Monthly F",12,$B111="One-Time",0),F111*(1+$D$3))</f>
        <v/>
      </c>
      <c r="H111" s="14">
        <f t="array" ref="H111">IFERROR(_xlfn.IFS(VALUE(MID(H$5,6,1))&gt;$D$2,0,$B111="Annual",1,G111=12,12,$B111="Monthly V",G111*(1+$D$3),$B111="Monthly F",12,$B111="One-Time",0),G111*(1+$D$3))</f>
        <v/>
      </c>
      <c r="I111" s="14">
        <f t="array" ref="I111">IFERROR(_xlfn.IFS(VALUE(MID(I$5,6,1))&gt;$D$2,0,$B111="Annual",1,H111=12,12,$B111="Monthly V",H111*(1+$D$3),$B111="Monthly F",12,$B111="One-Time",0),H111*(1+$D$3))</f>
        <v/>
      </c>
      <c r="J111" s="14">
        <f t="array" ref="J111">IFERROR(_xlfn.IFS(VALUE(MID(J$5,6,1))&gt;$D$2,0,$B111="Annual",1,I111=12,12,$B111="Monthly V",I111*(1+$D$3),$B111="Monthly F",12,$B111="One-Time",0),I111*(1+$D$3))</f>
        <v/>
      </c>
      <c r="K111" s="14">
        <f t="array" ref="K111">IFERROR(_xlfn.IFS(VALUE(MID(K$5,6,1))&gt;$D$2,0,$B111="Annual",1,J111=12,12,$B111="Monthly V",J111*(1+$D$3),$B111="Monthly F",12,$B111="One-Time",0),J111*(1+$D$3))</f>
        <v/>
      </c>
      <c r="L111" s="14">
        <f t="array" ref="L111">IFERROR(_xlfn.IFS(VALUE(MID(L$5,6,1))&gt;$D$2,0,$B111="Annual",1,K111=12,12,$B111="Monthly V",K111*(1+$D$3),$B111="Monthly F",12,$B111="One-Time",0),K111*(1+$D$3))</f>
        <v/>
      </c>
      <c r="M111" s="14">
        <f t="array" ref="M111">IFERROR(_xlfn.IFS(VALUE(MID(M$5,6,1))&gt;$D$2,0,$B111="Annual",1,L111=12,12,$B111="Monthly V",L111*(1+$D$3),$B111="Monthly F",12,$B111="One-Time",0),L111*(1+$D$3))</f>
        <v/>
      </c>
      <c r="N111" s="24">
        <f t="array" ref="N111">IFERROR(_xlfn.IFS(VALUE(MID(N$5,6,2))&gt;$D$2,0,$B111="Annual",1,M111=12,12,$B111="Monthly V",M111*(1+$D$3),$B111="Monthly F",12,$B111="One-Time",0),M111*(1+$D$3))</f>
        <v/>
      </c>
      <c r="O111" s="127" t="inlineStr">
        <is>
          <t>Network Services (connectivity to data center)</t>
        </is>
      </c>
      <c r="P111" s="13" t="n"/>
      <c r="Q111" s="20" t="n">
        <v>2088</v>
      </c>
      <c r="R111" s="21">
        <f>S111/12</f>
        <v/>
      </c>
      <c r="S111" s="6">
        <f>IFERROR($Q111*E111,0)</f>
        <v/>
      </c>
      <c r="T111" s="6">
        <f>IFERROR($Q111*F111,0)</f>
        <v/>
      </c>
      <c r="U111" s="6">
        <f>IFERROR($Q111*G111,0)</f>
        <v/>
      </c>
      <c r="V111" s="6">
        <f>IFERROR($Q111*H111,0)</f>
        <v/>
      </c>
      <c r="W111" s="6">
        <f>IFERROR($Q111*I111,0)</f>
        <v/>
      </c>
      <c r="X111" s="6">
        <f>IFERROR($Q111*J111,0)</f>
        <v/>
      </c>
      <c r="Y111" s="6">
        <f>IFERROR($Q111*K111,0)</f>
        <v/>
      </c>
      <c r="Z111" s="6">
        <f>IFERROR($Q111*L111,0)</f>
        <v/>
      </c>
      <c r="AA111" s="6">
        <f>IFERROR($Q111*M111,0)</f>
        <v/>
      </c>
      <c r="AB111" s="6">
        <f>IFERROR($Q111*N111,0)</f>
        <v/>
      </c>
      <c r="AC111" s="7" t="n"/>
      <c r="AD111" s="152">
        <f>IF(VALUE(MID(AD$5,6,1))&lt;=$D$2,((1+$Q$3)^1-1)*T111,0)</f>
        <v/>
      </c>
      <c r="AE111" s="152">
        <f>IF(VALUE(MID(AE$5,6,1))&lt;=$D$2,((1+$Q$3)^2-1)*U111,0)</f>
        <v/>
      </c>
      <c r="AF111" s="152">
        <f>IF(VALUE(MID(AF$5,6,1))&lt;=$D$2,((1+$Q$3)^3-1)*V111,0)</f>
        <v/>
      </c>
      <c r="AG111" s="152">
        <f>IF(VALUE(MID(AG$5,6,1))&lt;=$D$2,((1+$Q$3)^4-1)*W111,0)</f>
        <v/>
      </c>
      <c r="AH111" s="152">
        <f>IF(VALUE(MID(AH$5,6,1))&lt;=$D$2,((1+$Q$3)^5-1)*X111,0)</f>
        <v/>
      </c>
      <c r="AI111" s="152">
        <f>IF(VALUE(MID(AI$5,6,1))&lt;=$D$2,((1+$Q$3)^6-1)*Y111,0)</f>
        <v/>
      </c>
      <c r="AJ111" s="152">
        <f>IF(VALUE(MID(AJ$5,6,1))&lt;=$D$2,((1+$Q$3)^7-1)*Z111,0)</f>
        <v/>
      </c>
      <c r="AK111" s="152">
        <f>IF(VALUE(MID(AK$5,6,1))&lt;=$D$2,((1+$Q$3)^8-1)*AA111,0)</f>
        <v/>
      </c>
      <c r="AL111" s="152">
        <f>IF(VALUE(MID(AL$5,6,2))&lt;=$D$2,((1+$Q$3)^9-1)*AB111,0)</f>
        <v/>
      </c>
      <c r="AM111" s="9">
        <f>SUM(AC111:AL111)</f>
        <v/>
      </c>
      <c r="AN111" s="80">
        <f>SUM(AM111,S111:AB111)</f>
        <v/>
      </c>
      <c r="AP111" s="102" t="inlineStr">
        <is>
          <t>One-Time</t>
        </is>
      </c>
      <c r="AQ111" s="12" t="n">
        <v>1</v>
      </c>
      <c r="AR111" s="14">
        <f>IF($AP111="Annual",1,IF($AP111="Monthly F",12,IF($AP111="Monthly V",AQ111*12,IF($AP111="One-Time",1,AQ111*12))))</f>
        <v/>
      </c>
      <c r="AS111" s="14">
        <f t="array" ref="AS111">IFERROR(_xlfn.IFS(VALUE(MID(AS$5,6,1))&gt;$D$2,0,$AP111="Annual",1,AR111=12,12,$AP111="Monthly V",AR111*(1+$D$3),$AP111="Monthly F",12,$AP111="One-Time",0),AR111*(1+$D$3))</f>
        <v/>
      </c>
      <c r="AT111" s="14">
        <f t="array" ref="AT111">IFERROR(_xlfn.IFS(VALUE(MID(AT$5,6,1))&gt;$D$2,0,$AP111="Annual",1,AS111=12,12,$AP111="Monthly V",AS111*(1+$D$3),$AP111="Monthly F",12,$AP111="One-Time",0),AS111*(1+$D$3))</f>
        <v/>
      </c>
      <c r="AU111" s="14">
        <f t="array" ref="AU111">IFERROR(_xlfn.IFS(VALUE(MID(AU$5,6,1))&gt;$D$2,0,$AP111="Annual",1,AT111=12,12,$AP111="Monthly V",AT111*(1+$D$3),$AP111="Monthly F",12,$AP111="One-Time",0),AT111*(1+$D$3))</f>
        <v/>
      </c>
      <c r="AV111" s="14">
        <f t="array" ref="AV111">IFERROR(_xlfn.IFS(VALUE(MID(AV$5,6,1))&gt;$D$2,0,$AP111="Annual",1,AU111=12,12,$AP111="Monthly V",AU111*(1+$D$3),$AP111="Monthly F",12,$AP111="One-Time",0),AU111*(1+$D$3))</f>
        <v/>
      </c>
      <c r="AW111" s="14">
        <f t="array" ref="AW111">IFERROR(_xlfn.IFS(VALUE(MID(AW$5,6,1))&gt;$D$2,0,$AP111="Annual",1,AV111=12,12,$AP111="Monthly V",AV111*(1+$D$3),$AP111="Monthly F",12,$AP111="One-Time",0),AV111*(1+$D$3))</f>
        <v/>
      </c>
      <c r="AX111" s="14">
        <f t="array" ref="AX111">IFERROR(_xlfn.IFS(VALUE(MID(AX$5,6,1))&gt;$D$2,0,$AP111="Annual",1,AW111=12,12,$AP111="Monthly V",AW111*(1+$D$3),$AP111="Monthly F",12,$AP111="One-Time",0),AW111*(1+$D$3))</f>
        <v/>
      </c>
      <c r="AY111" s="14">
        <f t="array" ref="AY111">IFERROR(_xlfn.IFS(VALUE(MID(AY$5,6,1))&gt;$D$2,0,$AP111="Annual",1,AX111=12,12,$AP111="Monthly V",AX111*(1+$D$3),$AP111="Monthly F",12,$AP111="One-Time",0),AX111*(1+$D$3))</f>
        <v/>
      </c>
      <c r="AZ111" s="14">
        <f t="array" ref="AZ111">IFERROR(_xlfn.IFS(VALUE(MID(AZ$5,6,1))&gt;$D$2,0,$AP111="Annual",1,AY111=12,12,$AP111="Monthly V",AY111*(1+$D$3),$AP111="Monthly F",12,$AP111="One-Time",0),AY111*(1+$D$3))</f>
        <v/>
      </c>
      <c r="BA111" s="125">
        <f t="array" ref="BA111">IFERROR(_xlfn.IFS(VALUE(MID(BA$5,6,2))&gt;$D$2,0,$AP111="Annual",1,AZ111=12,12,$AP111="Monthly V",AZ111*(1+$D$3),$AP111="Monthly F",12,$AP111="One-Time",0),AZ111*(1+$D$3))</f>
        <v/>
      </c>
      <c r="BB111" s="124" t="inlineStr">
        <is>
          <t>Teller OrboAnywhere AI Validate</t>
        </is>
      </c>
      <c r="BC111" s="38" t="inlineStr">
        <is>
          <t>Teller</t>
        </is>
      </c>
      <c r="BD111" s="36" t="n">
        <v>1636</v>
      </c>
      <c r="BE111" s="21">
        <f>BF111/12</f>
        <v/>
      </c>
      <c r="BF111" s="39">
        <f>IFERROR(AR111*$BD111,0)</f>
        <v/>
      </c>
      <c r="BG111" s="39">
        <f>IFERROR(AS111*$BD111,0)</f>
        <v/>
      </c>
      <c r="BH111" s="39">
        <f>IFERROR(AT111*$BD111,0)</f>
        <v/>
      </c>
      <c r="BI111" s="39">
        <f>IFERROR(AU111*$BD111,0)</f>
        <v/>
      </c>
      <c r="BJ111" s="39">
        <f>IFERROR(AV111*$BD111,0)</f>
        <v/>
      </c>
      <c r="BK111" s="39">
        <f>IFERROR(AW111*$BD111,0)</f>
        <v/>
      </c>
      <c r="BL111" s="39">
        <f>IFERROR(AX111*$BD111,0)</f>
        <v/>
      </c>
      <c r="BM111" s="39">
        <f>IFERROR(AY111*$BD111,0)</f>
        <v/>
      </c>
      <c r="BN111" s="39">
        <f>IFERROR(AZ111*$BD111,0)</f>
        <v/>
      </c>
      <c r="BO111" s="39">
        <f>IFERROR(BA111*$BD111,0)</f>
        <v/>
      </c>
      <c r="BP111" s="40" t="n"/>
      <c r="BQ111" s="40">
        <f>IF(VALUE(MID(BQ$5,6,1))&lt;=$D$2,((1+$BD$3)^1-1)*BG111,0)</f>
        <v/>
      </c>
      <c r="BR111" s="40">
        <f>IF(VALUE(MID(BR$5,6,1))&lt;=$D$2,((1+$BD$3)^2-1)*BH111,0)</f>
        <v/>
      </c>
      <c r="BS111" s="40">
        <f>IF(VALUE(MID(BS$5,6,1))&lt;=$D$2,((1+$BD$3)^3-1)*BI111,0)</f>
        <v/>
      </c>
      <c r="BT111" s="40">
        <f>IF(VALUE(MID(BT$5,6,1))&lt;=$D$2,((1+$BD$3)^4-1)*BJ111,0)</f>
        <v/>
      </c>
      <c r="BU111" s="40">
        <f>IF(VALUE(MID(BU$5,6,1))&lt;=$D$2,((1+$BD$3)^5-1)*BK111,0)</f>
        <v/>
      </c>
      <c r="BV111" s="40">
        <f>IF(VALUE(MID(BV$5,6,1))&lt;=$D$2,((1+$BD$3)^6-1)*BL111,0)</f>
        <v/>
      </c>
      <c r="BW111" s="40">
        <f>IF(VALUE(MID(BW$5,6,1))&lt;=$D$2,((1+$BD$3)^7-1)*BM111,0)</f>
        <v/>
      </c>
      <c r="BX111" s="40">
        <f>IF(VALUE(MID(BX$5,6,1))&lt;=$D$2,((1+$BD$3)^8-1)*BN111,0)</f>
        <v/>
      </c>
      <c r="BY111" s="40">
        <f>IF(VALUE(MID(BY$5,6,2))&lt;=$D$2,((1+$BD$3)^9-1)*BO111,0)</f>
        <v/>
      </c>
      <c r="BZ111" s="40">
        <f>SUM(BP111:BY111)</f>
        <v/>
      </c>
      <c r="CA111" s="37">
        <f>SUM(BZ111,BF111:BO111)</f>
        <v/>
      </c>
      <c r="CC111" s="102" t="n"/>
      <c r="CD111" s="12" t="n"/>
      <c r="CE111" s="14">
        <f>IF($CC111="Annual",1,IF($CC111="Monthly F",12,IF($CC111="Monthly V",CD111*12,IF($CC111="One-Time",1,CD111*12))))</f>
        <v/>
      </c>
      <c r="CF111" s="14">
        <f t="array" ref="CF111">IFERROR(_xlfn.IFS(VALUE(MID(CF$5,6,1))&gt;$D$2,0,$CC111="Annual",1,CE111=12,12,$CC111="Monthly V",CE111*(1+$D$3),$CC111="Monthly F",12,$CC111="One-Time",0),CE111*(1+$D$3))</f>
        <v/>
      </c>
      <c r="CG111" s="14">
        <f t="array" ref="CG111">IFERROR(_xlfn.IFS(VALUE(MID(CG$5,6,1))&gt;$D$2,0,$CC111="Annual",1,CF111=12,12,$CC111="Monthly V",CF111*(1+$D$3),$CC111="Monthly F",12,$CC111="One-Time",0),CF111*(1+$D$3))</f>
        <v/>
      </c>
      <c r="CH111" s="14">
        <f t="array" ref="CH111">IFERROR(_xlfn.IFS(VALUE(MID(CH$5,6,1))&gt;$D$2,0,$CC111="Annual",1,CG111=12,12,$CC111="Monthly V",CG111*(1+$D$3),$CC111="Monthly F",12,$CC111="One-Time",0),CG111*(1+$D$3))</f>
        <v/>
      </c>
      <c r="CI111" s="14">
        <f t="array" ref="CI111">IFERROR(_xlfn.IFS(VALUE(MID(CI$5,6,1))&gt;$D$2,0,$CC111="Annual",1,CH111=12,12,$CC111="Monthly V",CH111*(1+$D$3),$CC111="Monthly F",12,$CC111="One-Time",0),CH111*(1+$D$3))</f>
        <v/>
      </c>
      <c r="CJ111" s="14">
        <f t="array" ref="CJ111">IFERROR(_xlfn.IFS(VALUE(MID(CJ$5,6,1))&gt;$D$2,0,$CC111="Annual",1,CI111=12,12,$CC111="Monthly V",CI111*(1+$D$3),$CC111="Monthly F",12,$CC111="One-Time",0),CI111*(1+$D$3))</f>
        <v/>
      </c>
      <c r="CK111" s="14">
        <f t="array" ref="CK111">IFERROR(_xlfn.IFS(VALUE(MID(CK$5,6,1))&gt;$D$2,0,$CC111="Annual",1,CJ111=12,12,$CC111="Monthly V",CJ111*(1+$D$3),$CC111="Monthly F",12,$CC111="One-Time",0),CJ111*(1+$D$3))</f>
        <v/>
      </c>
      <c r="CL111" s="14">
        <f t="array" ref="CL111">IFERROR(_xlfn.IFS(VALUE(MID(CL$5,6,1))&gt;$D$2,0,$CC111="Annual",1,CK111=12,12,$CC111="Monthly V",CK111*(1+$D$3),$CC111="Monthly F",12,$CC111="One-Time",0),CK111*(1+$D$3))</f>
        <v/>
      </c>
      <c r="CM111" s="14">
        <f t="array" ref="CM111">IFERROR(_xlfn.IFS(VALUE(MID(CM$5,6,1))&gt;$D$2,0,$CC111="Annual",1,CL111=12,12,$CC111="Monthly V",CL111*(1+$D$3),$CC111="Monthly F",12,$CC111="One-Time",0),CL111*(1+$D$3))</f>
        <v/>
      </c>
      <c r="CN111" s="24">
        <f t="array" ref="CN111">IFERROR(_xlfn.IFS(VALUE(MID(CN$5,6,2))&gt;$D$2,0,$CC111="Annual",1,CM111=12,12,$CC111="Monthly V",CM111*(1+$D$3),$CC111="Monthly F",12,$CC111="One-Time",0),CM111*(1+$D$3))</f>
        <v/>
      </c>
      <c r="CO111" s="63" t="n"/>
      <c r="CP111" s="53" t="n"/>
      <c r="CQ111" s="21">
        <f>CR111/12</f>
        <v/>
      </c>
      <c r="CR111" s="55">
        <f>IFERROR(CE111*$CP111,0)</f>
        <v/>
      </c>
      <c r="CS111" s="55">
        <f>IFERROR(CF111*$CP111,0)</f>
        <v/>
      </c>
      <c r="CT111" s="55">
        <f>IFERROR(CG111*$CP111,0)</f>
        <v/>
      </c>
      <c r="CU111" s="55">
        <f>IFERROR(CH111*$CP111,0)</f>
        <v/>
      </c>
      <c r="CV111" s="55">
        <f>IFERROR(CI111*$CP111,0)</f>
        <v/>
      </c>
      <c r="CW111" s="55">
        <f>IFERROR(CJ111*$CP111,0)</f>
        <v/>
      </c>
      <c r="CX111" s="55">
        <f>IFERROR(CK111*$CP111,0)</f>
        <v/>
      </c>
      <c r="CY111" s="55">
        <f>IFERROR(CL111*$CP111,0)</f>
        <v/>
      </c>
      <c r="CZ111" s="55">
        <f>IFERROR(CM111*$CP111,0)</f>
        <v/>
      </c>
      <c r="DA111" s="55">
        <f>IFERROR(CN111*$CP111,0)</f>
        <v/>
      </c>
      <c r="DB111" s="56" t="n"/>
      <c r="DC111" s="56">
        <f>IF(VALUE(MID(DC$5,6,1))&lt;=$D$2,((1+$CP$3)^1-1)*CS111,0)</f>
        <v/>
      </c>
      <c r="DD111" s="56">
        <f>IF(VALUE(MID(DD$5,6,1))&lt;=$D$2,((1+$CP$3)^2-1)*CT111,0)</f>
        <v/>
      </c>
      <c r="DE111" s="56">
        <f>IF(VALUE(MID(DE$5,6,1))&lt;=$D$2,((1+$CP$3)^3-1)*CU111,0)</f>
        <v/>
      </c>
      <c r="DF111" s="56">
        <f>IF(VALUE(MID(DF$5,6,1))&lt;=$D$2,((1+$CP$3)^4-1)*CV111,0)</f>
        <v/>
      </c>
      <c r="DG111" s="56">
        <f>IF(VALUE(MID(DG$5,6,1))&lt;=$D$2,((1+$CP$3)^5-1)*CW111,0)</f>
        <v/>
      </c>
      <c r="DH111" s="56">
        <f>IF(VALUE(MID(DH$5,6,1))&lt;=$D$2,((1+$CP$3)^6-1)*CX111,0)</f>
        <v/>
      </c>
      <c r="DI111" s="56">
        <f>IF(VALUE(MID(DI$5,6,1))&lt;=$D$2,((1+$CP$3)^7-1)*CY111,0)</f>
        <v/>
      </c>
      <c r="DJ111" s="56">
        <f>IF(VALUE(MID(DJ$5,6,1))&lt;=$D$2,((1+$CP$3)^8-1)*CZ111,0)</f>
        <v/>
      </c>
      <c r="DK111" s="56">
        <f>IF(VALUE(MID(DK$5,6,2))&lt;=$D$2,((1+$CP$3)^9-1)*DA111,0)</f>
        <v/>
      </c>
      <c r="DL111" s="57">
        <f>SUM(DB111:DK111)</f>
        <v/>
      </c>
      <c r="DM111" s="54">
        <f>SUM(DL111,CR111:DA111)</f>
        <v/>
      </c>
      <c r="DO111" s="106" t="n"/>
    </row>
    <row r="112">
      <c r="B112" s="141" t="inlineStr">
        <is>
          <t>One-Time</t>
        </is>
      </c>
      <c r="C112" s="24" t="n"/>
      <c r="D112" s="147">
        <f>IFERROR(AVERAGE(C112:C112),0)</f>
        <v/>
      </c>
      <c r="E112" s="142">
        <f>IF($B112="Annual",1,IF($B112="Monthly F",12,IF($B112="Monthly V",D112*12,IF($B112="One-Time",1,D112*12))))</f>
        <v/>
      </c>
      <c r="F112" s="14">
        <f t="array" ref="F112">IFERROR(_xlfn.IFS(VALUE(MID(F$5,6,1))&gt;$D$2,0,$B112="Annual",1,E112=12,12,$B112="Monthly V",E112*(1+$D$3),$B112="Monthly F",12,$B112="One-Time",0),E112*(1+$D$3))</f>
        <v/>
      </c>
      <c r="G112" s="14">
        <f t="array" ref="G112">IFERROR(_xlfn.IFS(VALUE(MID(G$5,6,1))&gt;$D$2,0,$B112="Annual",1,F112=12,12,$B112="Monthly V",F112*(1+$D$3),$B112="Monthly F",12,$B112="One-Time",0),F112*(1+$D$3))</f>
        <v/>
      </c>
      <c r="H112" s="14">
        <f t="array" ref="H112">IFERROR(_xlfn.IFS(VALUE(MID(H$5,6,1))&gt;$D$2,0,$B112="Annual",1,G112=12,12,$B112="Monthly V",G112*(1+$D$3),$B112="Monthly F",12,$B112="One-Time",0),G112*(1+$D$3))</f>
        <v/>
      </c>
      <c r="I112" s="14">
        <f t="array" ref="I112">IFERROR(_xlfn.IFS(VALUE(MID(I$5,6,1))&gt;$D$2,0,$B112="Annual",1,H112=12,12,$B112="Monthly V",H112*(1+$D$3),$B112="Monthly F",12,$B112="One-Time",0),H112*(1+$D$3))</f>
        <v/>
      </c>
      <c r="J112" s="14">
        <f t="array" ref="J112">IFERROR(_xlfn.IFS(VALUE(MID(J$5,6,1))&gt;$D$2,0,$B112="Annual",1,I112=12,12,$B112="Monthly V",I112*(1+$D$3),$B112="Monthly F",12,$B112="One-Time",0),I112*(1+$D$3))</f>
        <v/>
      </c>
      <c r="K112" s="14">
        <f t="array" ref="K112">IFERROR(_xlfn.IFS(VALUE(MID(K$5,6,1))&gt;$D$2,0,$B112="Annual",1,J112=12,12,$B112="Monthly V",J112*(1+$D$3),$B112="Monthly F",12,$B112="One-Time",0),J112*(1+$D$3))</f>
        <v/>
      </c>
      <c r="L112" s="14">
        <f t="array" ref="L112">IFERROR(_xlfn.IFS(VALUE(MID(L$5,6,1))&gt;$D$2,0,$B112="Annual",1,K112=12,12,$B112="Monthly V",K112*(1+$D$3),$B112="Monthly F",12,$B112="One-Time",0),K112*(1+$D$3))</f>
        <v/>
      </c>
      <c r="M112" s="14">
        <f t="array" ref="M112">IFERROR(_xlfn.IFS(VALUE(MID(M$5,6,1))&gt;$D$2,0,$B112="Annual",1,L112=12,12,$B112="Monthly V",L112*(1+$D$3),$B112="Monthly F",12,$B112="One-Time",0),L112*(1+$D$3))</f>
        <v/>
      </c>
      <c r="N112" s="24">
        <f t="array" ref="N112">IFERROR(_xlfn.IFS(VALUE(MID(N$5,6,2))&gt;$D$2,0,$B112="Annual",1,M112=12,12,$B112="Monthly V",M112*(1+$D$3),$B112="Monthly F",12,$B112="One-Time",0),M112*(1+$D$3))</f>
        <v/>
      </c>
      <c r="O112" s="127" t="inlineStr">
        <is>
          <t>SmartSign (eSignature) (UP to $99M in Assets)</t>
        </is>
      </c>
      <c r="P112" s="13" t="n"/>
      <c r="Q112" s="20" t="n">
        <v>478</v>
      </c>
      <c r="R112" s="21">
        <f>S112/12</f>
        <v/>
      </c>
      <c r="S112" s="6">
        <f>IFERROR($Q112*E112,0)</f>
        <v/>
      </c>
      <c r="T112" s="6">
        <f>IFERROR($Q112*F112,0)</f>
        <v/>
      </c>
      <c r="U112" s="6">
        <f>IFERROR($Q112*G112,0)</f>
        <v/>
      </c>
      <c r="V112" s="6">
        <f>IFERROR($Q112*H112,0)</f>
        <v/>
      </c>
      <c r="W112" s="6">
        <f>IFERROR($Q112*I112,0)</f>
        <v/>
      </c>
      <c r="X112" s="6">
        <f>IFERROR($Q112*J112,0)</f>
        <v/>
      </c>
      <c r="Y112" s="6">
        <f>IFERROR($Q112*K112,0)</f>
        <v/>
      </c>
      <c r="Z112" s="6">
        <f>IFERROR($Q112*L112,0)</f>
        <v/>
      </c>
      <c r="AA112" s="6">
        <f>IFERROR($Q112*M112,0)</f>
        <v/>
      </c>
      <c r="AB112" s="6">
        <f>IFERROR($Q112*N112,0)</f>
        <v/>
      </c>
      <c r="AC112" s="7" t="n"/>
      <c r="AD112" s="152">
        <f>IF(VALUE(MID(AD$5,6,1))&lt;=$D$2,((1+$Q$3)^1-1)*T112,0)</f>
        <v/>
      </c>
      <c r="AE112" s="152">
        <f>IF(VALUE(MID(AE$5,6,1))&lt;=$D$2,((1+$Q$3)^2-1)*U112,0)</f>
        <v/>
      </c>
      <c r="AF112" s="152">
        <f>IF(VALUE(MID(AF$5,6,1))&lt;=$D$2,((1+$Q$3)^3-1)*V112,0)</f>
        <v/>
      </c>
      <c r="AG112" s="152">
        <f>IF(VALUE(MID(AG$5,6,1))&lt;=$D$2,((1+$Q$3)^4-1)*W112,0)</f>
        <v/>
      </c>
      <c r="AH112" s="152">
        <f>IF(VALUE(MID(AH$5,6,1))&lt;=$D$2,((1+$Q$3)^5-1)*X112,0)</f>
        <v/>
      </c>
      <c r="AI112" s="152">
        <f>IF(VALUE(MID(AI$5,6,1))&lt;=$D$2,((1+$Q$3)^6-1)*Y112,0)</f>
        <v/>
      </c>
      <c r="AJ112" s="152">
        <f>IF(VALUE(MID(AJ$5,6,1))&lt;=$D$2,((1+$Q$3)^7-1)*Z112,0)</f>
        <v/>
      </c>
      <c r="AK112" s="152">
        <f>IF(VALUE(MID(AK$5,6,1))&lt;=$D$2,((1+$Q$3)^8-1)*AA112,0)</f>
        <v/>
      </c>
      <c r="AL112" s="152">
        <f>IF(VALUE(MID(AL$5,6,2))&lt;=$D$2,((1+$Q$3)^9-1)*AB112,0)</f>
        <v/>
      </c>
      <c r="AM112" s="9">
        <f>SUM(AC112:AL112)</f>
        <v/>
      </c>
      <c r="AN112" s="80">
        <f>SUM(AM112,S112:AB112)</f>
        <v/>
      </c>
      <c r="AP112" s="102" t="inlineStr">
        <is>
          <t>One-Time</t>
        </is>
      </c>
      <c r="AQ112" s="12" t="n">
        <v>1</v>
      </c>
      <c r="AR112" s="14">
        <f>IF($AP112="Annual",1,IF($AP112="Monthly F",12,IF($AP112="Monthly V",AQ112*12,IF($AP112="One-Time",1,AQ112*12))))</f>
        <v/>
      </c>
      <c r="AS112" s="14">
        <f t="array" ref="AS112">IFERROR(_xlfn.IFS(VALUE(MID(AS$5,6,1))&gt;$D$2,0,$AP112="Annual",1,AR112=12,12,$AP112="Monthly V",AR112*(1+$D$3),$AP112="Monthly F",12,$AP112="One-Time",0),AR112*(1+$D$3))</f>
        <v/>
      </c>
      <c r="AT112" s="14">
        <f t="array" ref="AT112">IFERROR(_xlfn.IFS(VALUE(MID(AT$5,6,1))&gt;$D$2,0,$AP112="Annual",1,AS112=12,12,$AP112="Monthly V",AS112*(1+$D$3),$AP112="Monthly F",12,$AP112="One-Time",0),AS112*(1+$D$3))</f>
        <v/>
      </c>
      <c r="AU112" s="14">
        <f t="array" ref="AU112">IFERROR(_xlfn.IFS(VALUE(MID(AU$5,6,1))&gt;$D$2,0,$AP112="Annual",1,AT112=12,12,$AP112="Monthly V",AT112*(1+$D$3),$AP112="Monthly F",12,$AP112="One-Time",0),AT112*(1+$D$3))</f>
        <v/>
      </c>
      <c r="AV112" s="14">
        <f t="array" ref="AV112">IFERROR(_xlfn.IFS(VALUE(MID(AV$5,6,1))&gt;$D$2,0,$AP112="Annual",1,AU112=12,12,$AP112="Monthly V",AU112*(1+$D$3),$AP112="Monthly F",12,$AP112="One-Time",0),AU112*(1+$D$3))</f>
        <v/>
      </c>
      <c r="AW112" s="14">
        <f t="array" ref="AW112">IFERROR(_xlfn.IFS(VALUE(MID(AW$5,6,1))&gt;$D$2,0,$AP112="Annual",1,AV112=12,12,$AP112="Monthly V",AV112*(1+$D$3),$AP112="Monthly F",12,$AP112="One-Time",0),AV112*(1+$D$3))</f>
        <v/>
      </c>
      <c r="AX112" s="14">
        <f t="array" ref="AX112">IFERROR(_xlfn.IFS(VALUE(MID(AX$5,6,1))&gt;$D$2,0,$AP112="Annual",1,AW112=12,12,$AP112="Monthly V",AW112*(1+$D$3),$AP112="Monthly F",12,$AP112="One-Time",0),AW112*(1+$D$3))</f>
        <v/>
      </c>
      <c r="AY112" s="14">
        <f t="array" ref="AY112">IFERROR(_xlfn.IFS(VALUE(MID(AY$5,6,1))&gt;$D$2,0,$AP112="Annual",1,AX112=12,12,$AP112="Monthly V",AX112*(1+$D$3),$AP112="Monthly F",12,$AP112="One-Time",0),AX112*(1+$D$3))</f>
        <v/>
      </c>
      <c r="AZ112" s="14">
        <f t="array" ref="AZ112">IFERROR(_xlfn.IFS(VALUE(MID(AZ$5,6,1))&gt;$D$2,0,$AP112="Annual",1,AY112=12,12,$AP112="Monthly V",AY112*(1+$D$3),$AP112="Monthly F",12,$AP112="One-Time",0),AY112*(1+$D$3))</f>
        <v/>
      </c>
      <c r="BA112" s="125">
        <f t="array" ref="BA112">IFERROR(_xlfn.IFS(VALUE(MID(BA$5,6,2))&gt;$D$2,0,$AP112="Annual",1,AZ112=12,12,$AP112="Monthly V",AZ112*(1+$D$3),$AP112="Monthly F",12,$AP112="One-Time",0),AZ112*(1+$D$3))</f>
        <v/>
      </c>
      <c r="BB112" s="124" t="inlineStr">
        <is>
          <t>DSIS Scanner Interface</t>
        </is>
      </c>
      <c r="BC112" s="38" t="inlineStr">
        <is>
          <t>Synergy</t>
        </is>
      </c>
      <c r="BD112" s="36" t="n">
        <v>1000</v>
      </c>
      <c r="BE112" s="21">
        <f>BF112/12</f>
        <v/>
      </c>
      <c r="BF112" s="39">
        <f>IFERROR(AR112*$BD112,0)</f>
        <v/>
      </c>
      <c r="BG112" s="39">
        <f>IFERROR(AS112*$BD112,0)</f>
        <v/>
      </c>
      <c r="BH112" s="39">
        <f>IFERROR(AT112*$BD112,0)</f>
        <v/>
      </c>
      <c r="BI112" s="39">
        <f>IFERROR(AU112*$BD112,0)</f>
        <v/>
      </c>
      <c r="BJ112" s="39">
        <f>IFERROR(AV112*$BD112,0)</f>
        <v/>
      </c>
      <c r="BK112" s="39">
        <f>IFERROR(AW112*$BD112,0)</f>
        <v/>
      </c>
      <c r="BL112" s="39">
        <f>IFERROR(AX112*$BD112,0)</f>
        <v/>
      </c>
      <c r="BM112" s="39">
        <f>IFERROR(AY112*$BD112,0)</f>
        <v/>
      </c>
      <c r="BN112" s="39">
        <f>IFERROR(AZ112*$BD112,0)</f>
        <v/>
      </c>
      <c r="BO112" s="39">
        <f>IFERROR(BA112*$BD112,0)</f>
        <v/>
      </c>
      <c r="BP112" s="40" t="n"/>
      <c r="BQ112" s="40">
        <f>IF(VALUE(MID(BQ$5,6,1))&lt;=$D$2,((1+$BD$3)^1-1)*BG112,0)</f>
        <v/>
      </c>
      <c r="BR112" s="40">
        <f>IF(VALUE(MID(BR$5,6,1))&lt;=$D$2,((1+$BD$3)^2-1)*BH112,0)</f>
        <v/>
      </c>
      <c r="BS112" s="40">
        <f>IF(VALUE(MID(BS$5,6,1))&lt;=$D$2,((1+$BD$3)^3-1)*BI112,0)</f>
        <v/>
      </c>
      <c r="BT112" s="40">
        <f>IF(VALUE(MID(BT$5,6,1))&lt;=$D$2,((1+$BD$3)^4-1)*BJ112,0)</f>
        <v/>
      </c>
      <c r="BU112" s="40">
        <f>IF(VALUE(MID(BU$5,6,1))&lt;=$D$2,((1+$BD$3)^5-1)*BK112,0)</f>
        <v/>
      </c>
      <c r="BV112" s="40">
        <f>IF(VALUE(MID(BV$5,6,1))&lt;=$D$2,((1+$BD$3)^6-1)*BL112,0)</f>
        <v/>
      </c>
      <c r="BW112" s="40">
        <f>IF(VALUE(MID(BW$5,6,1))&lt;=$D$2,((1+$BD$3)^7-1)*BM112,0)</f>
        <v/>
      </c>
      <c r="BX112" s="40">
        <f>IF(VALUE(MID(BX$5,6,1))&lt;=$D$2,((1+$BD$3)^8-1)*BN112,0)</f>
        <v/>
      </c>
      <c r="BY112" s="40">
        <f>IF(VALUE(MID(BY$5,6,2))&lt;=$D$2,((1+$BD$3)^9-1)*BO112,0)</f>
        <v/>
      </c>
      <c r="BZ112" s="40">
        <f>SUM(BP112:BY112)</f>
        <v/>
      </c>
      <c r="CA112" s="37">
        <f>SUM(BZ112,BF112:BO112)</f>
        <v/>
      </c>
      <c r="CC112" s="102" t="n"/>
      <c r="CD112" s="12" t="n"/>
      <c r="CE112" s="14">
        <f>IF($CC112="Annual",1,IF($CC112="Monthly F",12,IF($CC112="Monthly V",CD112*12,IF($CC112="One-Time",1,CD112*12))))</f>
        <v/>
      </c>
      <c r="CF112" s="14">
        <f t="array" ref="CF112">IFERROR(_xlfn.IFS(VALUE(MID(CF$5,6,1))&gt;$D$2,0,$CC112="Annual",1,CE112=12,12,$CC112="Monthly V",CE112*(1+$D$3),$CC112="Monthly F",12,$CC112="One-Time",0),CE112*(1+$D$3))</f>
        <v/>
      </c>
      <c r="CG112" s="14">
        <f t="array" ref="CG112">IFERROR(_xlfn.IFS(VALUE(MID(CG$5,6,1))&gt;$D$2,0,$CC112="Annual",1,CF112=12,12,$CC112="Monthly V",CF112*(1+$D$3),$CC112="Monthly F",12,$CC112="One-Time",0),CF112*(1+$D$3))</f>
        <v/>
      </c>
      <c r="CH112" s="14">
        <f t="array" ref="CH112">IFERROR(_xlfn.IFS(VALUE(MID(CH$5,6,1))&gt;$D$2,0,$CC112="Annual",1,CG112=12,12,$CC112="Monthly V",CG112*(1+$D$3),$CC112="Monthly F",12,$CC112="One-Time",0),CG112*(1+$D$3))</f>
        <v/>
      </c>
      <c r="CI112" s="14">
        <f t="array" ref="CI112">IFERROR(_xlfn.IFS(VALUE(MID(CI$5,6,1))&gt;$D$2,0,$CC112="Annual",1,CH112=12,12,$CC112="Monthly V",CH112*(1+$D$3),$CC112="Monthly F",12,$CC112="One-Time",0),CH112*(1+$D$3))</f>
        <v/>
      </c>
      <c r="CJ112" s="14">
        <f t="array" ref="CJ112">IFERROR(_xlfn.IFS(VALUE(MID(CJ$5,6,1))&gt;$D$2,0,$CC112="Annual",1,CI112=12,12,$CC112="Monthly V",CI112*(1+$D$3),$CC112="Monthly F",12,$CC112="One-Time",0),CI112*(1+$D$3))</f>
        <v/>
      </c>
      <c r="CK112" s="14">
        <f t="array" ref="CK112">IFERROR(_xlfn.IFS(VALUE(MID(CK$5,6,1))&gt;$D$2,0,$CC112="Annual",1,CJ112=12,12,$CC112="Monthly V",CJ112*(1+$D$3),$CC112="Monthly F",12,$CC112="One-Time",0),CJ112*(1+$D$3))</f>
        <v/>
      </c>
      <c r="CL112" s="14">
        <f t="array" ref="CL112">IFERROR(_xlfn.IFS(VALUE(MID(CL$5,6,1))&gt;$D$2,0,$CC112="Annual",1,CK112=12,12,$CC112="Monthly V",CK112*(1+$D$3),$CC112="Monthly F",12,$CC112="One-Time",0),CK112*(1+$D$3))</f>
        <v/>
      </c>
      <c r="CM112" s="14">
        <f t="array" ref="CM112">IFERROR(_xlfn.IFS(VALUE(MID(CM$5,6,1))&gt;$D$2,0,$CC112="Annual",1,CL112=12,12,$CC112="Monthly V",CL112*(1+$D$3),$CC112="Monthly F",12,$CC112="One-Time",0),CL112*(1+$D$3))</f>
        <v/>
      </c>
      <c r="CN112" s="24">
        <f t="array" ref="CN112">IFERROR(_xlfn.IFS(VALUE(MID(CN$5,6,2))&gt;$D$2,0,$CC112="Annual",1,CM112=12,12,$CC112="Monthly V",CM112*(1+$D$3),$CC112="Monthly F",12,$CC112="One-Time",0),CM112*(1+$D$3))</f>
        <v/>
      </c>
      <c r="CO112" s="63" t="n"/>
      <c r="CP112" s="53" t="n"/>
      <c r="CQ112" s="21">
        <f>CR112/12</f>
        <v/>
      </c>
      <c r="CR112" s="55">
        <f>IFERROR(CE112*$CP112,0)</f>
        <v/>
      </c>
      <c r="CS112" s="55">
        <f>IFERROR(CF112*$CP112,0)</f>
        <v/>
      </c>
      <c r="CT112" s="55">
        <f>IFERROR(CG112*$CP112,0)</f>
        <v/>
      </c>
      <c r="CU112" s="55">
        <f>IFERROR(CH112*$CP112,0)</f>
        <v/>
      </c>
      <c r="CV112" s="55">
        <f>IFERROR(CI112*$CP112,0)</f>
        <v/>
      </c>
      <c r="CW112" s="55">
        <f>IFERROR(CJ112*$CP112,0)</f>
        <v/>
      </c>
      <c r="CX112" s="55">
        <f>IFERROR(CK112*$CP112,0)</f>
        <v/>
      </c>
      <c r="CY112" s="55">
        <f>IFERROR(CL112*$CP112,0)</f>
        <v/>
      </c>
      <c r="CZ112" s="55">
        <f>IFERROR(CM112*$CP112,0)</f>
        <v/>
      </c>
      <c r="DA112" s="55">
        <f>IFERROR(CN112*$CP112,0)</f>
        <v/>
      </c>
      <c r="DB112" s="56" t="n"/>
      <c r="DC112" s="56">
        <f>IF(VALUE(MID(DC$5,6,1))&lt;=$D$2,((1+$CP$3)^1-1)*CS112,0)</f>
        <v/>
      </c>
      <c r="DD112" s="56">
        <f>IF(VALUE(MID(DD$5,6,1))&lt;=$D$2,((1+$CP$3)^2-1)*CT112,0)</f>
        <v/>
      </c>
      <c r="DE112" s="56">
        <f>IF(VALUE(MID(DE$5,6,1))&lt;=$D$2,((1+$CP$3)^3-1)*CU112,0)</f>
        <v/>
      </c>
      <c r="DF112" s="56">
        <f>IF(VALUE(MID(DF$5,6,1))&lt;=$D$2,((1+$CP$3)^4-1)*CV112,0)</f>
        <v/>
      </c>
      <c r="DG112" s="56">
        <f>IF(VALUE(MID(DG$5,6,1))&lt;=$D$2,((1+$CP$3)^5-1)*CW112,0)</f>
        <v/>
      </c>
      <c r="DH112" s="56">
        <f>IF(VALUE(MID(DH$5,6,1))&lt;=$D$2,((1+$CP$3)^6-1)*CX112,0)</f>
        <v/>
      </c>
      <c r="DI112" s="56">
        <f>IF(VALUE(MID(DI$5,6,1))&lt;=$D$2,((1+$CP$3)^7-1)*CY112,0)</f>
        <v/>
      </c>
      <c r="DJ112" s="56">
        <f>IF(VALUE(MID(DJ$5,6,1))&lt;=$D$2,((1+$CP$3)^8-1)*CZ112,0)</f>
        <v/>
      </c>
      <c r="DK112" s="56">
        <f>IF(VALUE(MID(DK$5,6,2))&lt;=$D$2,((1+$CP$3)^9-1)*DA112,0)</f>
        <v/>
      </c>
      <c r="DL112" s="57">
        <f>SUM(DB112:DK112)</f>
        <v/>
      </c>
      <c r="DM112" s="54">
        <f>SUM(DL112,CR112:DA112)</f>
        <v/>
      </c>
      <c r="DO112" s="106" t="n"/>
    </row>
    <row r="113">
      <c r="B113" s="141" t="inlineStr">
        <is>
          <t>One-Time</t>
        </is>
      </c>
      <c r="C113" s="24" t="n"/>
      <c r="D113" s="147">
        <f>IFERROR(AVERAGE(C113:C113),0)</f>
        <v/>
      </c>
      <c r="E113" s="142">
        <f>IF($B113="Annual",1,IF($B113="Monthly F",12,IF($B113="Monthly V",D113*12,IF($B113="One-Time",1,D113*12))))</f>
        <v/>
      </c>
      <c r="F113" s="14">
        <f t="array" ref="F113">IFERROR(_xlfn.IFS(VALUE(MID(F$5,6,1))&gt;$D$2,0,$B113="Annual",1,E113=12,12,$B113="Monthly V",E113*(1+$D$3),$B113="Monthly F",12,$B113="One-Time",0),E113*(1+$D$3))</f>
        <v/>
      </c>
      <c r="G113" s="14">
        <f t="array" ref="G113">IFERROR(_xlfn.IFS(VALUE(MID(G$5,6,1))&gt;$D$2,0,$B113="Annual",1,F113=12,12,$B113="Monthly V",F113*(1+$D$3),$B113="Monthly F",12,$B113="One-Time",0),F113*(1+$D$3))</f>
        <v/>
      </c>
      <c r="H113" s="14">
        <f t="array" ref="H113">IFERROR(_xlfn.IFS(VALUE(MID(H$5,6,1))&gt;$D$2,0,$B113="Annual",1,G113=12,12,$B113="Monthly V",G113*(1+$D$3),$B113="Monthly F",12,$B113="One-Time",0),G113*(1+$D$3))</f>
        <v/>
      </c>
      <c r="I113" s="14">
        <f t="array" ref="I113">IFERROR(_xlfn.IFS(VALUE(MID(I$5,6,1))&gt;$D$2,0,$B113="Annual",1,H113=12,12,$B113="Monthly V",H113*(1+$D$3),$B113="Monthly F",12,$B113="One-Time",0),H113*(1+$D$3))</f>
        <v/>
      </c>
      <c r="J113" s="14">
        <f t="array" ref="J113">IFERROR(_xlfn.IFS(VALUE(MID(J$5,6,1))&gt;$D$2,0,$B113="Annual",1,I113=12,12,$B113="Monthly V",I113*(1+$D$3),$B113="Monthly F",12,$B113="One-Time",0),I113*(1+$D$3))</f>
        <v/>
      </c>
      <c r="K113" s="14">
        <f t="array" ref="K113">IFERROR(_xlfn.IFS(VALUE(MID(K$5,6,1))&gt;$D$2,0,$B113="Annual",1,J113=12,12,$B113="Monthly V",J113*(1+$D$3),$B113="Monthly F",12,$B113="One-Time",0),J113*(1+$D$3))</f>
        <v/>
      </c>
      <c r="L113" s="14">
        <f t="array" ref="L113">IFERROR(_xlfn.IFS(VALUE(MID(L$5,6,1))&gt;$D$2,0,$B113="Annual",1,K113=12,12,$B113="Monthly V",K113*(1+$D$3),$B113="Monthly F",12,$B113="One-Time",0),K113*(1+$D$3))</f>
        <v/>
      </c>
      <c r="M113" s="14">
        <f t="array" ref="M113">IFERROR(_xlfn.IFS(VALUE(MID(M$5,6,1))&gt;$D$2,0,$B113="Annual",1,L113=12,12,$B113="Monthly V",L113*(1+$D$3),$B113="Monthly F",12,$B113="One-Time",0),L113*(1+$D$3))</f>
        <v/>
      </c>
      <c r="N113" s="24">
        <f t="array" ref="N113">IFERROR(_xlfn.IFS(VALUE(MID(N$5,6,2))&gt;$D$2,0,$B113="Annual",1,M113=12,12,$B113="Monthly V",M113*(1+$D$3),$B113="Monthly F",12,$B113="One-Time",0),M113*(1+$D$3))</f>
        <v/>
      </c>
      <c r="O113" s="127" t="inlineStr">
        <is>
          <t>TruStage (new deposit account documents)</t>
        </is>
      </c>
      <c r="P113" s="13" t="n"/>
      <c r="Q113" s="20" t="n">
        <v>1158</v>
      </c>
      <c r="R113" s="21">
        <f>S113/12</f>
        <v/>
      </c>
      <c r="S113" s="6">
        <f>IFERROR($Q113*E113,0)</f>
        <v/>
      </c>
      <c r="T113" s="6">
        <f>IFERROR($Q113*F113,0)</f>
        <v/>
      </c>
      <c r="U113" s="6">
        <f>IFERROR($Q113*G113,0)</f>
        <v/>
      </c>
      <c r="V113" s="6">
        <f>IFERROR($Q113*H113,0)</f>
        <v/>
      </c>
      <c r="W113" s="6">
        <f>IFERROR($Q113*I113,0)</f>
        <v/>
      </c>
      <c r="X113" s="6">
        <f>IFERROR($Q113*J113,0)</f>
        <v/>
      </c>
      <c r="Y113" s="6">
        <f>IFERROR($Q113*K113,0)</f>
        <v/>
      </c>
      <c r="Z113" s="6">
        <f>IFERROR($Q113*L113,0)</f>
        <v/>
      </c>
      <c r="AA113" s="6">
        <f>IFERROR($Q113*M113,0)</f>
        <v/>
      </c>
      <c r="AB113" s="6">
        <f>IFERROR($Q113*N113,0)</f>
        <v/>
      </c>
      <c r="AC113" s="7" t="n"/>
      <c r="AD113" s="152">
        <f>IF(VALUE(MID(AD$5,6,1))&lt;=$D$2,((1+$Q$3)^1-1)*T113,0)</f>
        <v/>
      </c>
      <c r="AE113" s="152">
        <f>IF(VALUE(MID(AE$5,6,1))&lt;=$D$2,((1+$Q$3)^2-1)*U113,0)</f>
        <v/>
      </c>
      <c r="AF113" s="152">
        <f>IF(VALUE(MID(AF$5,6,1))&lt;=$D$2,((1+$Q$3)^3-1)*V113,0)</f>
        <v/>
      </c>
      <c r="AG113" s="152">
        <f>IF(VALUE(MID(AG$5,6,1))&lt;=$D$2,((1+$Q$3)^4-1)*W113,0)</f>
        <v/>
      </c>
      <c r="AH113" s="152">
        <f>IF(VALUE(MID(AH$5,6,1))&lt;=$D$2,((1+$Q$3)^5-1)*X113,0)</f>
        <v/>
      </c>
      <c r="AI113" s="152">
        <f>IF(VALUE(MID(AI$5,6,1))&lt;=$D$2,((1+$Q$3)^6-1)*Y113,0)</f>
        <v/>
      </c>
      <c r="AJ113" s="152">
        <f>IF(VALUE(MID(AJ$5,6,1))&lt;=$D$2,((1+$Q$3)^7-1)*Z113,0)</f>
        <v/>
      </c>
      <c r="AK113" s="152">
        <f>IF(VALUE(MID(AK$5,6,1))&lt;=$D$2,((1+$Q$3)^8-1)*AA113,0)</f>
        <v/>
      </c>
      <c r="AL113" s="152">
        <f>IF(VALUE(MID(AL$5,6,2))&lt;=$D$2,((1+$Q$3)^9-1)*AB113,0)</f>
        <v/>
      </c>
      <c r="AM113" s="9">
        <f>SUM(AC113:AL113)</f>
        <v/>
      </c>
      <c r="AN113" s="80">
        <f>SUM(AM113,S113:AB113)</f>
        <v/>
      </c>
      <c r="AP113" s="102" t="n"/>
      <c r="AQ113" s="12" t="n"/>
      <c r="AR113" s="14">
        <f>IF($AP113="Annual",1,IF($AP113="Monthly F",12,IF($AP113="Monthly V",AQ113*12,IF($AP113="One-Time",1,AQ113*12))))</f>
        <v/>
      </c>
      <c r="AS113" s="14">
        <f t="array" ref="AS113">IFERROR(_xlfn.IFS(VALUE(MID(AS$5,6,1))&gt;$D$2,0,$AP113="Annual",1,AR113=12,12,$AP113="Monthly V",AR113*(1+$D$3),$AP113="Monthly F",12,$AP113="One-Time",0),AR113*(1+$D$3))</f>
        <v/>
      </c>
      <c r="AT113" s="14">
        <f t="array" ref="AT113">IFERROR(_xlfn.IFS(VALUE(MID(AT$5,6,1))&gt;$D$2,0,$AP113="Annual",1,AS113=12,12,$AP113="Monthly V",AS113*(1+$D$3),$AP113="Monthly F",12,$AP113="One-Time",0),AS113*(1+$D$3))</f>
        <v/>
      </c>
      <c r="AU113" s="14">
        <f t="array" ref="AU113">IFERROR(_xlfn.IFS(VALUE(MID(AU$5,6,1))&gt;$D$2,0,$AP113="Annual",1,AT113=12,12,$AP113="Monthly V",AT113*(1+$D$3),$AP113="Monthly F",12,$AP113="One-Time",0),AT113*(1+$D$3))</f>
        <v/>
      </c>
      <c r="AV113" s="14">
        <f t="array" ref="AV113">IFERROR(_xlfn.IFS(VALUE(MID(AV$5,6,1))&gt;$D$2,0,$AP113="Annual",1,AU113=12,12,$AP113="Monthly V",AU113*(1+$D$3),$AP113="Monthly F",12,$AP113="One-Time",0),AU113*(1+$D$3))</f>
        <v/>
      </c>
      <c r="AW113" s="14">
        <f t="array" ref="AW113">IFERROR(_xlfn.IFS(VALUE(MID(AW$5,6,1))&gt;$D$2,0,$AP113="Annual",1,AV113=12,12,$AP113="Monthly V",AV113*(1+$D$3),$AP113="Monthly F",12,$AP113="One-Time",0),AV113*(1+$D$3))</f>
        <v/>
      </c>
      <c r="AX113" s="14">
        <f t="array" ref="AX113">IFERROR(_xlfn.IFS(VALUE(MID(AX$5,6,1))&gt;$D$2,0,$AP113="Annual",1,AW113=12,12,$AP113="Monthly V",AW113*(1+$D$3),$AP113="Monthly F",12,$AP113="One-Time",0),AW113*(1+$D$3))</f>
        <v/>
      </c>
      <c r="AY113" s="14">
        <f t="array" ref="AY113">IFERROR(_xlfn.IFS(VALUE(MID(AY$5,6,1))&gt;$D$2,0,$AP113="Annual",1,AX113=12,12,$AP113="Monthly V",AX113*(1+$D$3),$AP113="Monthly F",12,$AP113="One-Time",0),AX113*(1+$D$3))</f>
        <v/>
      </c>
      <c r="AZ113" s="14">
        <f t="array" ref="AZ113">IFERROR(_xlfn.IFS(VALUE(MID(AZ$5,6,1))&gt;$D$2,0,$AP113="Annual",1,AY113=12,12,$AP113="Monthly V",AY113*(1+$D$3),$AP113="Monthly F",12,$AP113="One-Time",0),AY113*(1+$D$3))</f>
        <v/>
      </c>
      <c r="BA113" s="125">
        <f t="array" ref="BA113">IFERROR(_xlfn.IFS(VALUE(MID(BA$5,6,2))&gt;$D$2,0,$AP113="Annual",1,AZ113=12,12,$AP113="Monthly V",AZ113*(1+$D$3),$AP113="Monthly F",12,$AP113="One-Time",0),AZ113*(1+$D$3))</f>
        <v/>
      </c>
      <c r="BB113" s="124" t="n"/>
      <c r="BC113" s="38" t="n"/>
      <c r="BD113" s="36" t="n"/>
      <c r="BE113" s="21">
        <f>BF113/12</f>
        <v/>
      </c>
      <c r="BF113" s="39">
        <f>IFERROR(AR113*$BD113,0)</f>
        <v/>
      </c>
      <c r="BG113" s="39">
        <f>IFERROR(AS113*$BD113,0)</f>
        <v/>
      </c>
      <c r="BH113" s="39">
        <f>IFERROR(AT113*$BD113,0)</f>
        <v/>
      </c>
      <c r="BI113" s="39">
        <f>IFERROR(AU113*$BD113,0)</f>
        <v/>
      </c>
      <c r="BJ113" s="39">
        <f>IFERROR(AV113*$BD113,0)</f>
        <v/>
      </c>
      <c r="BK113" s="39">
        <f>IFERROR(AW113*$BD113,0)</f>
        <v/>
      </c>
      <c r="BL113" s="39">
        <f>IFERROR(AX113*$BD113,0)</f>
        <v/>
      </c>
      <c r="BM113" s="39">
        <f>IFERROR(AY113*$BD113,0)</f>
        <v/>
      </c>
      <c r="BN113" s="39">
        <f>IFERROR(AZ113*$BD113,0)</f>
        <v/>
      </c>
      <c r="BO113" s="39">
        <f>IFERROR(BA113*$BD113,0)</f>
        <v/>
      </c>
      <c r="BP113" s="40" t="n"/>
      <c r="BQ113" s="40">
        <f>IF(VALUE(MID(BQ$5,6,1))&lt;=$D$2,((1+$BD$3)^1-1)*BG113,0)</f>
        <v/>
      </c>
      <c r="BR113" s="40">
        <f>IF(VALUE(MID(BR$5,6,1))&lt;=$D$2,((1+$BD$3)^2-1)*BH113,0)</f>
        <v/>
      </c>
      <c r="BS113" s="40">
        <f>IF(VALUE(MID(BS$5,6,1))&lt;=$D$2,((1+$BD$3)^3-1)*BI113,0)</f>
        <v/>
      </c>
      <c r="BT113" s="40">
        <f>IF(VALUE(MID(BT$5,6,1))&lt;=$D$2,((1+$BD$3)^4-1)*BJ113,0)</f>
        <v/>
      </c>
      <c r="BU113" s="40">
        <f>IF(VALUE(MID(BU$5,6,1))&lt;=$D$2,((1+$BD$3)^5-1)*BK113,0)</f>
        <v/>
      </c>
      <c r="BV113" s="40">
        <f>IF(VALUE(MID(BV$5,6,1))&lt;=$D$2,((1+$BD$3)^6-1)*BL113,0)</f>
        <v/>
      </c>
      <c r="BW113" s="40">
        <f>IF(VALUE(MID(BW$5,6,1))&lt;=$D$2,((1+$BD$3)^7-1)*BM113,0)</f>
        <v/>
      </c>
      <c r="BX113" s="40">
        <f>IF(VALUE(MID(BX$5,6,1))&lt;=$D$2,((1+$BD$3)^8-1)*BN113,0)</f>
        <v/>
      </c>
      <c r="BY113" s="40">
        <f>IF(VALUE(MID(BY$5,6,2))&lt;=$D$2,((1+$BD$3)^9-1)*BO113,0)</f>
        <v/>
      </c>
      <c r="BZ113" s="40">
        <f>SUM(BP113:BY113)</f>
        <v/>
      </c>
      <c r="CA113" s="37">
        <f>SUM(BZ113,BF113:BO113)</f>
        <v/>
      </c>
      <c r="CC113" s="102" t="n"/>
      <c r="CD113" s="12" t="n"/>
      <c r="CE113" s="14">
        <f>IF($CC113="Annual",1,IF($CC113="Monthly F",12,IF($CC113="Monthly V",CD113*12,IF($CC113="One-Time",1,CD113*12))))</f>
        <v/>
      </c>
      <c r="CF113" s="14">
        <f t="array" ref="CF113">IFERROR(_xlfn.IFS(VALUE(MID(CF$5,6,1))&gt;$D$2,0,$CC113="Annual",1,CE113=12,12,$CC113="Monthly V",CE113*(1+$D$3),$CC113="Monthly F",12,$CC113="One-Time",0),CE113*(1+$D$3))</f>
        <v/>
      </c>
      <c r="CG113" s="14">
        <f t="array" ref="CG113">IFERROR(_xlfn.IFS(VALUE(MID(CG$5,6,1))&gt;$D$2,0,$CC113="Annual",1,CF113=12,12,$CC113="Monthly V",CF113*(1+$D$3),$CC113="Monthly F",12,$CC113="One-Time",0),CF113*(1+$D$3))</f>
        <v/>
      </c>
      <c r="CH113" s="14">
        <f t="array" ref="CH113">IFERROR(_xlfn.IFS(VALUE(MID(CH$5,6,1))&gt;$D$2,0,$CC113="Annual",1,CG113=12,12,$CC113="Monthly V",CG113*(1+$D$3),$CC113="Monthly F",12,$CC113="One-Time",0),CG113*(1+$D$3))</f>
        <v/>
      </c>
      <c r="CI113" s="14">
        <f t="array" ref="CI113">IFERROR(_xlfn.IFS(VALUE(MID(CI$5,6,1))&gt;$D$2,0,$CC113="Annual",1,CH113=12,12,$CC113="Monthly V",CH113*(1+$D$3),$CC113="Monthly F",12,$CC113="One-Time",0),CH113*(1+$D$3))</f>
        <v/>
      </c>
      <c r="CJ113" s="14">
        <f t="array" ref="CJ113">IFERROR(_xlfn.IFS(VALUE(MID(CJ$5,6,1))&gt;$D$2,0,$CC113="Annual",1,CI113=12,12,$CC113="Monthly V",CI113*(1+$D$3),$CC113="Monthly F",12,$CC113="One-Time",0),CI113*(1+$D$3))</f>
        <v/>
      </c>
      <c r="CK113" s="14">
        <f t="array" ref="CK113">IFERROR(_xlfn.IFS(VALUE(MID(CK$5,6,1))&gt;$D$2,0,$CC113="Annual",1,CJ113=12,12,$CC113="Monthly V",CJ113*(1+$D$3),$CC113="Monthly F",12,$CC113="One-Time",0),CJ113*(1+$D$3))</f>
        <v/>
      </c>
      <c r="CL113" s="14">
        <f t="array" ref="CL113">IFERROR(_xlfn.IFS(VALUE(MID(CL$5,6,1))&gt;$D$2,0,$CC113="Annual",1,CK113=12,12,$CC113="Monthly V",CK113*(1+$D$3),$CC113="Monthly F",12,$CC113="One-Time",0),CK113*(1+$D$3))</f>
        <v/>
      </c>
      <c r="CM113" s="14">
        <f t="array" ref="CM113">IFERROR(_xlfn.IFS(VALUE(MID(CM$5,6,1))&gt;$D$2,0,$CC113="Annual",1,CL113=12,12,$CC113="Monthly V",CL113*(1+$D$3),$CC113="Monthly F",12,$CC113="One-Time",0),CL113*(1+$D$3))</f>
        <v/>
      </c>
      <c r="CN113" s="24">
        <f t="array" ref="CN113">IFERROR(_xlfn.IFS(VALUE(MID(CN$5,6,2))&gt;$D$2,0,$CC113="Annual",1,CM113=12,12,$CC113="Monthly V",CM113*(1+$D$3),$CC113="Monthly F",12,$CC113="One-Time",0),CM113*(1+$D$3))</f>
        <v/>
      </c>
      <c r="CO113" s="63" t="n"/>
      <c r="CP113" s="53" t="n"/>
      <c r="CQ113" s="21">
        <f>CR113/12</f>
        <v/>
      </c>
      <c r="CR113" s="55">
        <f>IFERROR(CE113*$CP113,0)</f>
        <v/>
      </c>
      <c r="CS113" s="55">
        <f>IFERROR(CF113*$CP113,0)</f>
        <v/>
      </c>
      <c r="CT113" s="55">
        <f>IFERROR(CG113*$CP113,0)</f>
        <v/>
      </c>
      <c r="CU113" s="55">
        <f>IFERROR(CH113*$CP113,0)</f>
        <v/>
      </c>
      <c r="CV113" s="55">
        <f>IFERROR(CI113*$CP113,0)</f>
        <v/>
      </c>
      <c r="CW113" s="55">
        <f>IFERROR(CJ113*$CP113,0)</f>
        <v/>
      </c>
      <c r="CX113" s="55">
        <f>IFERROR(CK113*$CP113,0)</f>
        <v/>
      </c>
      <c r="CY113" s="55">
        <f>IFERROR(CL113*$CP113,0)</f>
        <v/>
      </c>
      <c r="CZ113" s="55">
        <f>IFERROR(CM113*$CP113,0)</f>
        <v/>
      </c>
      <c r="DA113" s="55">
        <f>IFERROR(CN113*$CP113,0)</f>
        <v/>
      </c>
      <c r="DB113" s="56" t="n"/>
      <c r="DC113" s="56">
        <f>IF(VALUE(MID(DC$5,6,1))&lt;=$D$2,((1+$CP$3)^1-1)*CS113,0)</f>
        <v/>
      </c>
      <c r="DD113" s="56">
        <f>IF(VALUE(MID(DD$5,6,1))&lt;=$D$2,((1+$CP$3)^2-1)*CT113,0)</f>
        <v/>
      </c>
      <c r="DE113" s="56">
        <f>IF(VALUE(MID(DE$5,6,1))&lt;=$D$2,((1+$CP$3)^3-1)*CU113,0)</f>
        <v/>
      </c>
      <c r="DF113" s="56">
        <f>IF(VALUE(MID(DF$5,6,1))&lt;=$D$2,((1+$CP$3)^4-1)*CV113,0)</f>
        <v/>
      </c>
      <c r="DG113" s="56">
        <f>IF(VALUE(MID(DG$5,6,1))&lt;=$D$2,((1+$CP$3)^5-1)*CW113,0)</f>
        <v/>
      </c>
      <c r="DH113" s="56">
        <f>IF(VALUE(MID(DH$5,6,1))&lt;=$D$2,((1+$CP$3)^6-1)*CX113,0)</f>
        <v/>
      </c>
      <c r="DI113" s="56">
        <f>IF(VALUE(MID(DI$5,6,1))&lt;=$D$2,((1+$CP$3)^7-1)*CY113,0)</f>
        <v/>
      </c>
      <c r="DJ113" s="56">
        <f>IF(VALUE(MID(DJ$5,6,1))&lt;=$D$2,((1+$CP$3)^8-1)*CZ113,0)</f>
        <v/>
      </c>
      <c r="DK113" s="56">
        <f>IF(VALUE(MID(DK$5,6,2))&lt;=$D$2,((1+$CP$3)^9-1)*DA113,0)</f>
        <v/>
      </c>
      <c r="DL113" s="57">
        <f>SUM(DB113:DK113)</f>
        <v/>
      </c>
      <c r="DM113" s="54">
        <f>SUM(DL113,CR113:DA113)</f>
        <v/>
      </c>
      <c r="DO113" s="106" t="n"/>
    </row>
    <row r="114" ht="15.75" customHeight="1" thickBot="1">
      <c r="B114" s="141" t="inlineStr">
        <is>
          <t>One-Time</t>
        </is>
      </c>
      <c r="C114" s="24" t="n"/>
      <c r="D114" s="147">
        <f>IFERROR(AVERAGE(C114:C114),0)</f>
        <v/>
      </c>
      <c r="E114" s="142">
        <f>IF($B114="Annual",1,IF($B114="Monthly F",12,IF($B114="Monthly V",D114*12,IF($B114="One-Time",1,D114*12))))</f>
        <v/>
      </c>
      <c r="F114" s="14">
        <f t="array" ref="F114">IFERROR(_xlfn.IFS(VALUE(MID(F$5,6,1))&gt;$D$2,0,$B114="Annual",1,E114=12,12,$B114="Monthly V",E114*(1+$D$3),$B114="Monthly F",12,$B114="One-Time",0),E114*(1+$D$3))</f>
        <v/>
      </c>
      <c r="G114" s="14">
        <f t="array" ref="G114">IFERROR(_xlfn.IFS(VALUE(MID(G$5,6,1))&gt;$D$2,0,$B114="Annual",1,F114=12,12,$B114="Monthly V",F114*(1+$D$3),$B114="Monthly F",12,$B114="One-Time",0),F114*(1+$D$3))</f>
        <v/>
      </c>
      <c r="H114" s="14">
        <f t="array" ref="H114">IFERROR(_xlfn.IFS(VALUE(MID(H$5,6,1))&gt;$D$2,0,$B114="Annual",1,G114=12,12,$B114="Monthly V",G114*(1+$D$3),$B114="Monthly F",12,$B114="One-Time",0),G114*(1+$D$3))</f>
        <v/>
      </c>
      <c r="I114" s="14">
        <f t="array" ref="I114">IFERROR(_xlfn.IFS(VALUE(MID(I$5,6,1))&gt;$D$2,0,$B114="Annual",1,H114=12,12,$B114="Monthly V",H114*(1+$D$3),$B114="Monthly F",12,$B114="One-Time",0),H114*(1+$D$3))</f>
        <v/>
      </c>
      <c r="J114" s="14">
        <f t="array" ref="J114">IFERROR(_xlfn.IFS(VALUE(MID(J$5,6,1))&gt;$D$2,0,$B114="Annual",1,I114=12,12,$B114="Monthly V",I114*(1+$D$3),$B114="Monthly F",12,$B114="One-Time",0),I114*(1+$D$3))</f>
        <v/>
      </c>
      <c r="K114" s="14">
        <f t="array" ref="K114">IFERROR(_xlfn.IFS(VALUE(MID(K$5,6,1))&gt;$D$2,0,$B114="Annual",1,J114=12,12,$B114="Monthly V",J114*(1+$D$3),$B114="Monthly F",12,$B114="One-Time",0),J114*(1+$D$3))</f>
        <v/>
      </c>
      <c r="L114" s="14">
        <f t="array" ref="L114">IFERROR(_xlfn.IFS(VALUE(MID(L$5,6,1))&gt;$D$2,0,$B114="Annual",1,K114=12,12,$B114="Monthly V",K114*(1+$D$3),$B114="Monthly F",12,$B114="One-Time",0),K114*(1+$D$3))</f>
        <v/>
      </c>
      <c r="M114" s="14">
        <f t="array" ref="M114">IFERROR(_xlfn.IFS(VALUE(MID(M$5,6,1))&gt;$D$2,0,$B114="Annual",1,L114=12,12,$B114="Monthly V",L114*(1+$D$3),$B114="Monthly F",12,$B114="One-Time",0),L114*(1+$D$3))</f>
        <v/>
      </c>
      <c r="N114" s="24">
        <f t="array" ref="N114">IFERROR(_xlfn.IFS(VALUE(MID(N$5,6,2))&gt;$D$2,0,$B114="Annual",1,M114=12,12,$B114="Monthly V",M114*(1+$D$3),$B114="Monthly F",12,$B114="One-Time",0),M114*(1+$D$3))</f>
        <v/>
      </c>
      <c r="O114" s="127" t="inlineStr">
        <is>
          <t>IBM Cognos (HORIZON 360)</t>
        </is>
      </c>
      <c r="P114" s="13" t="n"/>
      <c r="Q114" s="20" t="n">
        <v>1172</v>
      </c>
      <c r="R114" s="21">
        <f>S114/12</f>
        <v/>
      </c>
      <c r="S114" s="6">
        <f>IFERROR($Q114*E114,0)</f>
        <v/>
      </c>
      <c r="T114" s="6">
        <f>IFERROR($Q114*F114,0)</f>
        <v/>
      </c>
      <c r="U114" s="6">
        <f>IFERROR($Q114*G114,0)</f>
        <v/>
      </c>
      <c r="V114" s="6">
        <f>IFERROR($Q114*H114,0)</f>
        <v/>
      </c>
      <c r="W114" s="6">
        <f>IFERROR($Q114*I114,0)</f>
        <v/>
      </c>
      <c r="X114" s="6">
        <f>IFERROR($Q114*J114,0)</f>
        <v/>
      </c>
      <c r="Y114" s="6">
        <f>IFERROR($Q114*K114,0)</f>
        <v/>
      </c>
      <c r="Z114" s="6">
        <f>IFERROR($Q114*L114,0)</f>
        <v/>
      </c>
      <c r="AA114" s="6">
        <f>IFERROR($Q114*M114,0)</f>
        <v/>
      </c>
      <c r="AB114" s="6">
        <f>IFERROR($Q114*N114,0)</f>
        <v/>
      </c>
      <c r="AC114" s="7" t="n"/>
      <c r="AD114" s="152">
        <f>IF(VALUE(MID(AD$5,6,1))&lt;=$D$2,((1+$Q$3)^1-1)*T114,0)</f>
        <v/>
      </c>
      <c r="AE114" s="152">
        <f>IF(VALUE(MID(AE$5,6,1))&lt;=$D$2,((1+$Q$3)^2-1)*U114,0)</f>
        <v/>
      </c>
      <c r="AF114" s="152">
        <f>IF(VALUE(MID(AF$5,6,1))&lt;=$D$2,((1+$Q$3)^3-1)*V114,0)</f>
        <v/>
      </c>
      <c r="AG114" s="152">
        <f>IF(VALUE(MID(AG$5,6,1))&lt;=$D$2,((1+$Q$3)^4-1)*W114,0)</f>
        <v/>
      </c>
      <c r="AH114" s="152">
        <f>IF(VALUE(MID(AH$5,6,1))&lt;=$D$2,((1+$Q$3)^5-1)*X114,0)</f>
        <v/>
      </c>
      <c r="AI114" s="152">
        <f>IF(VALUE(MID(AI$5,6,1))&lt;=$D$2,((1+$Q$3)^6-1)*Y114,0)</f>
        <v/>
      </c>
      <c r="AJ114" s="152">
        <f>IF(VALUE(MID(AJ$5,6,1))&lt;=$D$2,((1+$Q$3)^7-1)*Z114,0)</f>
        <v/>
      </c>
      <c r="AK114" s="152">
        <f>IF(VALUE(MID(AK$5,6,1))&lt;=$D$2,((1+$Q$3)^8-1)*AA114,0)</f>
        <v/>
      </c>
      <c r="AL114" s="152">
        <f>IF(VALUE(MID(AL$5,6,2))&lt;=$D$2,((1+$Q$3)^9-1)*AB114,0)</f>
        <v/>
      </c>
      <c r="AM114" s="9">
        <f>SUM(AC114:AL114)</f>
        <v/>
      </c>
      <c r="AN114" s="80">
        <f>SUM(AM114,S114:AB114)</f>
        <v/>
      </c>
      <c r="AP114" s="102" t="n"/>
      <c r="AQ114" s="12" t="n"/>
      <c r="AR114" s="14">
        <f>IF($AP114="Annual",1,IF($AP114="Monthly F",12,IF($AP114="Monthly V",AQ114*12,IF($AP114="One-Time",1,AQ114*12))))</f>
        <v/>
      </c>
      <c r="AS114" s="14">
        <f t="array" ref="AS114">IFERROR(_xlfn.IFS(VALUE(MID(AS$5,6,1))&gt;$D$2,0,$AP114="Annual",1,AR114=12,12,$AP114="Monthly V",AR114*(1+$D$3),$AP114="Monthly F",12,$AP114="One-Time",0),AR114*(1+$D$3))</f>
        <v/>
      </c>
      <c r="AT114" s="14">
        <f t="array" ref="AT114">IFERROR(_xlfn.IFS(VALUE(MID(AT$5,6,1))&gt;$D$2,0,$AP114="Annual",1,AS114=12,12,$AP114="Monthly V",AS114*(1+$D$3),$AP114="Monthly F",12,$AP114="One-Time",0),AS114*(1+$D$3))</f>
        <v/>
      </c>
      <c r="AU114" s="14">
        <f t="array" ref="AU114">IFERROR(_xlfn.IFS(VALUE(MID(AU$5,6,1))&gt;$D$2,0,$AP114="Annual",1,AT114=12,12,$AP114="Monthly V",AT114*(1+$D$3),$AP114="Monthly F",12,$AP114="One-Time",0),AT114*(1+$D$3))</f>
        <v/>
      </c>
      <c r="AV114" s="14">
        <f t="array" ref="AV114">IFERROR(_xlfn.IFS(VALUE(MID(AV$5,6,1))&gt;$D$2,0,$AP114="Annual",1,AU114=12,12,$AP114="Monthly V",AU114*(1+$D$3),$AP114="Monthly F",12,$AP114="One-Time",0),AU114*(1+$D$3))</f>
        <v/>
      </c>
      <c r="AW114" s="14">
        <f t="array" ref="AW114">IFERROR(_xlfn.IFS(VALUE(MID(AW$5,6,1))&gt;$D$2,0,$AP114="Annual",1,AV114=12,12,$AP114="Monthly V",AV114*(1+$D$3),$AP114="Monthly F",12,$AP114="One-Time",0),AV114*(1+$D$3))</f>
        <v/>
      </c>
      <c r="AX114" s="14">
        <f t="array" ref="AX114">IFERROR(_xlfn.IFS(VALUE(MID(AX$5,6,1))&gt;$D$2,0,$AP114="Annual",1,AW114=12,12,$AP114="Monthly V",AW114*(1+$D$3),$AP114="Monthly F",12,$AP114="One-Time",0),AW114*(1+$D$3))</f>
        <v/>
      </c>
      <c r="AY114" s="14">
        <f t="array" ref="AY114">IFERROR(_xlfn.IFS(VALUE(MID(AY$5,6,1))&gt;$D$2,0,$AP114="Annual",1,AX114=12,12,$AP114="Monthly V",AX114*(1+$D$3),$AP114="Monthly F",12,$AP114="One-Time",0),AX114*(1+$D$3))</f>
        <v/>
      </c>
      <c r="AZ114" s="14">
        <f t="array" ref="AZ114">IFERROR(_xlfn.IFS(VALUE(MID(AZ$5,6,1))&gt;$D$2,0,$AP114="Annual",1,AY114=12,12,$AP114="Monthly V",AY114*(1+$D$3),$AP114="Monthly F",12,$AP114="One-Time",0),AY114*(1+$D$3))</f>
        <v/>
      </c>
      <c r="BA114" s="125">
        <f t="array" ref="BA114">IFERROR(_xlfn.IFS(VALUE(MID(BA$5,6,2))&gt;$D$2,0,$AP114="Annual",1,AZ114=12,12,$AP114="Monthly V",AZ114*(1+$D$3),$AP114="Monthly F",12,$AP114="One-Time",0),AZ114*(1+$D$3))</f>
        <v/>
      </c>
      <c r="BB114" s="124" t="n"/>
      <c r="BC114" s="38" t="n"/>
      <c r="BD114" s="36" t="n"/>
      <c r="BE114" s="21">
        <f>BF114/12</f>
        <v/>
      </c>
      <c r="BF114" s="39">
        <f>IFERROR(AR114*$BD114,0)</f>
        <v/>
      </c>
      <c r="BG114" s="39">
        <f>IFERROR(AS114*$BD114,0)</f>
        <v/>
      </c>
      <c r="BH114" s="39">
        <f>IFERROR(AT114*$BD114,0)</f>
        <v/>
      </c>
      <c r="BI114" s="39">
        <f>IFERROR(AU114*$BD114,0)</f>
        <v/>
      </c>
      <c r="BJ114" s="39">
        <f>IFERROR(AV114*$BD114,0)</f>
        <v/>
      </c>
      <c r="BK114" s="39">
        <f>IFERROR(AW114*$BD114,0)</f>
        <v/>
      </c>
      <c r="BL114" s="39">
        <f>IFERROR(AX114*$BD114,0)</f>
        <v/>
      </c>
      <c r="BM114" s="39">
        <f>IFERROR(AY114*$BD114,0)</f>
        <v/>
      </c>
      <c r="BN114" s="39">
        <f>IFERROR(AZ114*$BD114,0)</f>
        <v/>
      </c>
      <c r="BO114" s="39">
        <f>IFERROR(BA114*$BD114,0)</f>
        <v/>
      </c>
      <c r="BP114" s="40" t="n"/>
      <c r="BQ114" s="40">
        <f>IF(VALUE(MID(BQ$5,6,1))&lt;=$D$2,((1+$BD$3)^1-1)*BG114,0)</f>
        <v/>
      </c>
      <c r="BR114" s="40">
        <f>IF(VALUE(MID(BR$5,6,1))&lt;=$D$2,((1+$BD$3)^2-1)*BH114,0)</f>
        <v/>
      </c>
      <c r="BS114" s="40">
        <f>IF(VALUE(MID(BS$5,6,1))&lt;=$D$2,((1+$BD$3)^3-1)*BI114,0)</f>
        <v/>
      </c>
      <c r="BT114" s="40">
        <f>IF(VALUE(MID(BT$5,6,1))&lt;=$D$2,((1+$BD$3)^4-1)*BJ114,0)</f>
        <v/>
      </c>
      <c r="BU114" s="40">
        <f>IF(VALUE(MID(BU$5,6,1))&lt;=$D$2,((1+$BD$3)^5-1)*BK114,0)</f>
        <v/>
      </c>
      <c r="BV114" s="40">
        <f>IF(VALUE(MID(BV$5,6,1))&lt;=$D$2,((1+$BD$3)^6-1)*BL114,0)</f>
        <v/>
      </c>
      <c r="BW114" s="40">
        <f>IF(VALUE(MID(BW$5,6,1))&lt;=$D$2,((1+$BD$3)^7-1)*BM114,0)</f>
        <v/>
      </c>
      <c r="BX114" s="40">
        <f>IF(VALUE(MID(BX$5,6,1))&lt;=$D$2,((1+$BD$3)^8-1)*BN114,0)</f>
        <v/>
      </c>
      <c r="BY114" s="40">
        <f>IF(VALUE(MID(BY$5,6,2))&lt;=$D$2,((1+$BD$3)^9-1)*BO114,0)</f>
        <v/>
      </c>
      <c r="BZ114" s="40">
        <f>SUM(BP114:BY114)</f>
        <v/>
      </c>
      <c r="CA114" s="37">
        <f>SUM(BZ114,BF114:BO114)</f>
        <v/>
      </c>
      <c r="CC114" s="102" t="n"/>
      <c r="CD114" s="12" t="n"/>
      <c r="CE114" s="14" t="n"/>
      <c r="CF114" s="14" t="n"/>
      <c r="CG114" s="14" t="n"/>
      <c r="CH114" s="14" t="n"/>
      <c r="CI114" s="14" t="n"/>
      <c r="CJ114" s="14" t="n"/>
      <c r="CK114" s="14" t="n"/>
      <c r="CL114" s="14" t="n"/>
      <c r="CM114" s="14" t="n"/>
      <c r="CN114" s="24" t="n"/>
      <c r="CO114" s="63" t="n"/>
      <c r="CP114" s="53" t="n"/>
      <c r="CQ114" s="21" t="n"/>
      <c r="CR114" s="55" t="n"/>
      <c r="CS114" s="55" t="n"/>
      <c r="CT114" s="55" t="n"/>
      <c r="CU114" s="55" t="n"/>
      <c r="CV114" s="55" t="n"/>
      <c r="CW114" s="55" t="n"/>
      <c r="CX114" s="55" t="n"/>
      <c r="CY114" s="55" t="n"/>
      <c r="CZ114" s="55" t="n"/>
      <c r="DA114" s="55" t="n"/>
      <c r="DB114" s="56" t="n"/>
      <c r="DC114" s="56" t="n"/>
      <c r="DD114" s="56" t="n"/>
      <c r="DE114" s="56" t="n"/>
      <c r="DF114" s="56" t="n"/>
      <c r="DG114" s="56" t="n"/>
      <c r="DH114" s="56" t="n"/>
      <c r="DI114" s="56" t="n"/>
      <c r="DJ114" s="56" t="n"/>
      <c r="DK114" s="56" t="n"/>
      <c r="DL114" s="57" t="n"/>
      <c r="DM114" s="54" t="n"/>
      <c r="DO114" s="106" t="n"/>
    </row>
    <row r="115" ht="15.75" customHeight="1" thickBot="1">
      <c r="B115" s="70" t="n"/>
      <c r="C115" s="83" t="n"/>
      <c r="D115" s="83" t="n"/>
      <c r="E115" s="99" t="n"/>
      <c r="F115" s="82" t="n"/>
      <c r="G115" s="82" t="n"/>
      <c r="H115" s="82" t="n"/>
      <c r="I115" s="82" t="n"/>
      <c r="J115" s="82" t="n"/>
      <c r="K115" s="82" t="n"/>
      <c r="L115" s="82" t="n"/>
      <c r="M115" s="82" t="n"/>
      <c r="N115" s="98" t="n"/>
      <c r="O115" s="84" t="inlineStr">
        <is>
          <t>Total Implementation Credits</t>
        </is>
      </c>
      <c r="P115" s="84" t="n"/>
      <c r="Q115" s="85" t="n"/>
      <c r="R115" s="86">
        <f>SUM(R87:R114)</f>
        <v/>
      </c>
      <c r="S115" s="86">
        <f>SUM(S93:S95)</f>
        <v/>
      </c>
      <c r="T115" s="87">
        <f>SUM(T87:T114)</f>
        <v/>
      </c>
      <c r="U115" s="87">
        <f>SUM(U87:U114)</f>
        <v/>
      </c>
      <c r="V115" s="87">
        <f>SUM(V87:V114)</f>
        <v/>
      </c>
      <c r="W115" s="87">
        <f>SUM(W87:W114)</f>
        <v/>
      </c>
      <c r="X115" s="87">
        <f>SUM(X87:X114)</f>
        <v/>
      </c>
      <c r="Y115" s="87">
        <f>SUM(Y87:Y114)</f>
        <v/>
      </c>
      <c r="Z115" s="87">
        <f>SUM(Z87:Z114)</f>
        <v/>
      </c>
      <c r="AA115" s="87">
        <f>SUM(AA87:AA114)</f>
        <v/>
      </c>
      <c r="AB115" s="87">
        <f>SUM(AB87:AB114)</f>
        <v/>
      </c>
      <c r="AC115" s="88" t="n"/>
      <c r="AD115" s="87" t="n"/>
      <c r="AE115" s="87" t="n"/>
      <c r="AF115" s="87" t="n"/>
      <c r="AG115" s="87" t="n"/>
      <c r="AH115" s="87" t="n"/>
      <c r="AI115" s="87" t="n"/>
      <c r="AJ115" s="87" t="n"/>
      <c r="AK115" s="87" t="n"/>
      <c r="AL115" s="87" t="n"/>
      <c r="AM115" s="87">
        <f>SUM(AM87:AM114)</f>
        <v/>
      </c>
      <c r="AN115" s="89">
        <f>SUM(AN87:AN114)</f>
        <v/>
      </c>
      <c r="AP115" s="95" t="n"/>
      <c r="AQ115" s="96" t="n"/>
      <c r="AR115" s="97" t="n"/>
      <c r="AS115" s="97" t="n"/>
      <c r="AT115" s="97" t="n"/>
      <c r="AU115" s="97" t="n"/>
      <c r="AV115" s="97" t="n"/>
      <c r="AW115" s="97" t="n"/>
      <c r="AX115" s="97" t="n"/>
      <c r="AY115" s="97" t="n"/>
      <c r="AZ115" s="97" t="n"/>
      <c r="BA115" s="126" t="n"/>
      <c r="BB115" s="41" t="inlineStr">
        <is>
          <t>Total Implementation/Deconversion/Credits</t>
        </is>
      </c>
      <c r="BC115" s="41" t="n"/>
      <c r="BD115" s="42" t="n"/>
      <c r="BE115" s="43">
        <f>SUM(BE87:BE114)</f>
        <v/>
      </c>
      <c r="BF115" s="44">
        <f>SUM(BF87:BF114)</f>
        <v/>
      </c>
      <c r="BG115" s="44">
        <f>SUM(BG87:BG114)</f>
        <v/>
      </c>
      <c r="BH115" s="44">
        <f>SUM(BH87:BH114)</f>
        <v/>
      </c>
      <c r="BI115" s="44">
        <f>SUM(BI87:BI114)</f>
        <v/>
      </c>
      <c r="BJ115" s="44">
        <f>SUM(BJ87:BJ114)</f>
        <v/>
      </c>
      <c r="BK115" s="44">
        <f>SUM(BK87:BK114)</f>
        <v/>
      </c>
      <c r="BL115" s="44">
        <f>SUM(BL87:BL114)</f>
        <v/>
      </c>
      <c r="BM115" s="44">
        <f>SUM(BM87:BM114)</f>
        <v/>
      </c>
      <c r="BN115" s="44">
        <f>SUM(BN87:BN114)</f>
        <v/>
      </c>
      <c r="BO115" s="44">
        <f>SUM(BO87:BO114)</f>
        <v/>
      </c>
      <c r="BP115" s="45" t="n"/>
      <c r="BQ115" s="44" t="n"/>
      <c r="BR115" s="44" t="n"/>
      <c r="BS115" s="44" t="n"/>
      <c r="BT115" s="44" t="n"/>
      <c r="BU115" s="44" t="n"/>
      <c r="BV115" s="44" t="n"/>
      <c r="BW115" s="44" t="n"/>
      <c r="BX115" s="44" t="n"/>
      <c r="BY115" s="44" t="n"/>
      <c r="BZ115" s="44">
        <f>SUM(BZ87:BZ114)</f>
        <v/>
      </c>
      <c r="CA115" s="46">
        <f>SUM(CA87:CA114)</f>
        <v/>
      </c>
      <c r="CC115" s="121" t="n"/>
      <c r="CD115" s="122" t="n"/>
      <c r="CE115" s="122" t="n"/>
      <c r="CF115" s="122" t="n"/>
      <c r="CG115" s="122" t="n"/>
      <c r="CH115" s="122" t="n"/>
      <c r="CI115" s="122" t="n"/>
      <c r="CJ115" s="122" t="n"/>
      <c r="CK115" s="122" t="n"/>
      <c r="CL115" s="122" t="n"/>
      <c r="CM115" s="122" t="n"/>
      <c r="CN115" s="123" t="n"/>
      <c r="CO115" s="64" t="inlineStr">
        <is>
          <t>Total Implementation/Deconversion/Credits</t>
        </is>
      </c>
      <c r="CP115" s="58" t="n"/>
      <c r="CQ115" s="59">
        <f>SUM(CQ87:CQ114)</f>
        <v/>
      </c>
      <c r="CR115" s="60">
        <f>SUM(CR87:CR114)</f>
        <v/>
      </c>
      <c r="CS115" s="60">
        <f>SUM(CS87:CS114)</f>
        <v/>
      </c>
      <c r="CT115" s="60">
        <f>SUM(CT87:CT114)</f>
        <v/>
      </c>
      <c r="CU115" s="60">
        <f>SUM(CU87:CU114)</f>
        <v/>
      </c>
      <c r="CV115" s="60">
        <f>SUM(CV87:CV114)</f>
        <v/>
      </c>
      <c r="CW115" s="60">
        <f>SUM(CW87:CW114)</f>
        <v/>
      </c>
      <c r="CX115" s="60">
        <f>SUM(CX87:CX114)</f>
        <v/>
      </c>
      <c r="CY115" s="60">
        <f>SUM(CY87:CY114)</f>
        <v/>
      </c>
      <c r="CZ115" s="60">
        <f>SUM(CZ87:CZ114)</f>
        <v/>
      </c>
      <c r="DA115" s="60">
        <f>SUM(DA87:DA114)</f>
        <v/>
      </c>
      <c r="DB115" s="61" t="n"/>
      <c r="DC115" s="60" t="n"/>
      <c r="DD115" s="60" t="n"/>
      <c r="DE115" s="60" t="n"/>
      <c r="DF115" s="60" t="n"/>
      <c r="DG115" s="60" t="n"/>
      <c r="DH115" s="60" t="n"/>
      <c r="DI115" s="60" t="n"/>
      <c r="DJ115" s="60" t="n"/>
      <c r="DK115" s="60" t="n"/>
      <c r="DL115" s="60">
        <f>SUM(DL87:DL114)</f>
        <v/>
      </c>
      <c r="DM115" s="62">
        <f>SUM(DM87:DM114)</f>
        <v/>
      </c>
    </row>
    <row r="116" ht="3.6" customHeight="1" thickBot="1"/>
    <row r="117" ht="15.75" customHeight="1" thickBot="1">
      <c r="B117" s="70" t="n"/>
      <c r="C117" s="83" t="n"/>
      <c r="D117" s="83" t="n"/>
      <c r="E117" s="99" t="n"/>
      <c r="F117" s="82" t="n"/>
      <c r="G117" s="82" t="n"/>
      <c r="H117" s="82" t="n"/>
      <c r="I117" s="82" t="n"/>
      <c r="J117" s="82" t="n"/>
      <c r="K117" s="82" t="n"/>
      <c r="L117" s="82" t="n"/>
      <c r="M117" s="82" t="n"/>
      <c r="N117" s="98" t="n"/>
      <c r="O117" s="84" t="inlineStr">
        <is>
          <t>Total Required Solutions</t>
        </is>
      </c>
      <c r="P117" s="84" t="n"/>
      <c r="Q117" s="85" t="n"/>
      <c r="R117" s="86" t="n"/>
      <c r="S117" s="87">
        <f>(SUM(S7:S83)+S115)</f>
        <v/>
      </c>
      <c r="T117" s="87">
        <f>T115+T85</f>
        <v/>
      </c>
      <c r="U117" s="87">
        <f>U115+U85</f>
        <v/>
      </c>
      <c r="V117" s="87">
        <f>V115+V85</f>
        <v/>
      </c>
      <c r="W117" s="87">
        <f>W115+W85</f>
        <v/>
      </c>
      <c r="X117" s="87">
        <f>X115+X85</f>
        <v/>
      </c>
      <c r="Y117" s="87">
        <f>Y115+Y85</f>
        <v/>
      </c>
      <c r="Z117" s="87">
        <f>Z115+Z85</f>
        <v/>
      </c>
      <c r="AA117" s="87">
        <f>AA115+AA85</f>
        <v/>
      </c>
      <c r="AB117" s="87">
        <f>AB115+AB85</f>
        <v/>
      </c>
      <c r="AC117" s="88" t="n"/>
      <c r="AD117" s="87" t="n"/>
      <c r="AE117" s="87" t="n"/>
      <c r="AF117" s="87" t="n"/>
      <c r="AG117" s="87" t="n"/>
      <c r="AH117" s="87" t="n"/>
      <c r="AI117" s="87" t="n"/>
      <c r="AJ117" s="87" t="n"/>
      <c r="AK117" s="87" t="n"/>
      <c r="AL117" s="87" t="n"/>
      <c r="AM117" s="87">
        <f>AM115+AM85</f>
        <v/>
      </c>
      <c r="AN117" s="89">
        <f>AN115+AN85</f>
        <v/>
      </c>
      <c r="AP117" s="95" t="n"/>
      <c r="AQ117" s="96" t="n"/>
      <c r="AR117" s="97" t="n"/>
      <c r="AS117" s="97" t="n"/>
      <c r="AT117" s="97" t="n"/>
      <c r="AU117" s="97" t="n"/>
      <c r="AV117" s="97" t="n"/>
      <c r="AW117" s="97" t="n"/>
      <c r="AX117" s="97" t="n"/>
      <c r="AY117" s="97" t="n"/>
      <c r="AZ117" s="97" t="n"/>
      <c r="BA117" s="97" t="n"/>
      <c r="BB117" s="41" t="inlineStr">
        <is>
          <t>Total Existing Solutions</t>
        </is>
      </c>
      <c r="BC117" s="41" t="n"/>
      <c r="BD117" s="42" t="n"/>
      <c r="BE117" s="43" t="n"/>
      <c r="BF117" s="44">
        <f>BF115+BF85</f>
        <v/>
      </c>
      <c r="BG117" s="44">
        <f>BG115+BG85</f>
        <v/>
      </c>
      <c r="BH117" s="44">
        <f>BH115+BH85</f>
        <v/>
      </c>
      <c r="BI117" s="44">
        <f>BI115+BI85</f>
        <v/>
      </c>
      <c r="BJ117" s="44">
        <f>BJ115+BJ85</f>
        <v/>
      </c>
      <c r="BK117" s="44">
        <f>BK115+BK85</f>
        <v/>
      </c>
      <c r="BL117" s="44">
        <f>BL115+BL85</f>
        <v/>
      </c>
      <c r="BM117" s="44">
        <f>BM115+BM85</f>
        <v/>
      </c>
      <c r="BN117" s="44">
        <f>BN115+BN85</f>
        <v/>
      </c>
      <c r="BO117" s="44">
        <f>BO115+BO85</f>
        <v/>
      </c>
      <c r="BP117" s="45" t="n"/>
      <c r="BQ117" s="44" t="n"/>
      <c r="BR117" s="44" t="n"/>
      <c r="BS117" s="44" t="n"/>
      <c r="BT117" s="44" t="n"/>
      <c r="BU117" s="44" t="n"/>
      <c r="BV117" s="44" t="n"/>
      <c r="BW117" s="44" t="n"/>
      <c r="BX117" s="44" t="n"/>
      <c r="BY117" s="44" t="n"/>
      <c r="BZ117" s="44">
        <f>BZ115+BZ85</f>
        <v/>
      </c>
      <c r="CA117" s="46">
        <f>CA115+CA85</f>
        <v/>
      </c>
      <c r="CC117" s="121" t="n"/>
      <c r="CD117" s="122" t="n"/>
      <c r="CE117" s="122" t="n"/>
      <c r="CF117" s="122" t="n"/>
      <c r="CG117" s="122" t="n"/>
      <c r="CH117" s="122" t="n"/>
      <c r="CI117" s="122" t="n"/>
      <c r="CJ117" s="122" t="n"/>
      <c r="CK117" s="122" t="n"/>
      <c r="CL117" s="122" t="n"/>
      <c r="CM117" s="122" t="n"/>
      <c r="CN117" s="123" t="n"/>
      <c r="CO117" s="64" t="inlineStr">
        <is>
          <t>Total Existing Solutions</t>
        </is>
      </c>
      <c r="CP117" s="58" t="n"/>
      <c r="CQ117" s="59" t="n"/>
      <c r="CR117" s="60">
        <f>CR115+CR85</f>
        <v/>
      </c>
      <c r="CS117" s="60">
        <f>CS115+CS85</f>
        <v/>
      </c>
      <c r="CT117" s="60">
        <f>CT115+CT85</f>
        <v/>
      </c>
      <c r="CU117" s="60">
        <f>CU115+CU85</f>
        <v/>
      </c>
      <c r="CV117" s="60">
        <f>CV115+CV85</f>
        <v/>
      </c>
      <c r="CW117" s="60">
        <f>CW115+CW85</f>
        <v/>
      </c>
      <c r="CX117" s="60">
        <f>CX115+CX85</f>
        <v/>
      </c>
      <c r="CY117" s="60">
        <f>CY115+CY85</f>
        <v/>
      </c>
      <c r="CZ117" s="60">
        <f>CZ115+CZ85</f>
        <v/>
      </c>
      <c r="DA117" s="60">
        <f>DA115+DA85</f>
        <v/>
      </c>
      <c r="DB117" s="61" t="n"/>
      <c r="DC117" s="60" t="n"/>
      <c r="DD117" s="60" t="n"/>
      <c r="DE117" s="60" t="n"/>
      <c r="DF117" s="60" t="n"/>
      <c r="DG117" s="60" t="n"/>
      <c r="DH117" s="60" t="n"/>
      <c r="DI117" s="60" t="n"/>
      <c r="DJ117" s="60" t="n"/>
      <c r="DK117" s="60" t="n"/>
      <c r="DL117" s="60">
        <f>DL115+DL85</f>
        <v/>
      </c>
      <c r="DM117" s="62">
        <f>DM115+DM85</f>
        <v/>
      </c>
    </row>
    <row r="118" ht="15.75" customHeight="1" thickBot="1"/>
    <row r="119" ht="15" customHeight="1" thickBot="1">
      <c r="B119" s="269" t="inlineStr">
        <is>
          <t>Type (Monthly/Annual)</t>
        </is>
      </c>
      <c r="C119" s="153" t="n"/>
      <c r="D119" s="270" t="inlineStr">
        <is>
          <t>Average Monthly QTY</t>
        </is>
      </c>
      <c r="E119" s="271" t="inlineStr">
        <is>
          <t>Quantity Per Year with Growth</t>
        </is>
      </c>
      <c r="F119" s="272" t="n"/>
      <c r="G119" s="272" t="n"/>
      <c r="H119" s="272" t="n"/>
      <c r="I119" s="272" t="n"/>
      <c r="J119" s="272" t="n"/>
      <c r="K119" s="272" t="n"/>
      <c r="L119" s="272" t="n"/>
      <c r="M119" s="272" t="n"/>
      <c r="N119" s="273" t="n"/>
      <c r="O119" s="274">
        <f>_xlfn.CONCAT(O4," Optional Solutions")</f>
        <v/>
      </c>
      <c r="P119" s="264" t="n"/>
      <c r="Q119" s="264" t="n"/>
      <c r="R119" s="264" t="n"/>
      <c r="S119" s="264" t="n"/>
      <c r="T119" s="264" t="n"/>
      <c r="U119" s="264" t="n"/>
      <c r="V119" s="264" t="n"/>
      <c r="W119" s="264" t="n"/>
      <c r="X119" s="264" t="n"/>
      <c r="Y119" s="264" t="n"/>
      <c r="Z119" s="264" t="n"/>
      <c r="AA119" s="264" t="n"/>
      <c r="AB119" s="264" t="n"/>
      <c r="AC119" s="264" t="n"/>
      <c r="AD119" s="264" t="n"/>
      <c r="AE119" s="264" t="n"/>
      <c r="AF119" s="264" t="n"/>
      <c r="AG119" s="264" t="n"/>
      <c r="AH119" s="264" t="n"/>
      <c r="AI119" s="264" t="n"/>
      <c r="AJ119" s="264" t="n"/>
      <c r="AK119" s="264" t="n"/>
      <c r="AL119" s="264" t="n"/>
      <c r="AM119" s="264" t="n"/>
      <c r="AN119" s="265" t="n"/>
      <c r="AP119" s="227" t="inlineStr">
        <is>
          <t>Type (Monthly/Annual)</t>
        </is>
      </c>
      <c r="AQ119" s="219" t="inlineStr">
        <is>
          <t>Average Monthly QTY</t>
        </is>
      </c>
      <c r="AR119" s="275" t="inlineStr">
        <is>
          <t>Quantity Per Year with Growth</t>
        </is>
      </c>
      <c r="AS119" s="257" t="n"/>
      <c r="AT119" s="257" t="n"/>
      <c r="AU119" s="257" t="n"/>
      <c r="AV119" s="257" t="n"/>
      <c r="AW119" s="257" t="n"/>
      <c r="AX119" s="257" t="n"/>
      <c r="AY119" s="257" t="n"/>
      <c r="AZ119" s="257" t="n"/>
      <c r="BA119" s="258" t="n"/>
      <c r="BB119" s="276">
        <f>_xlfn.CONCAT(BB4,"  Optional Solutions")</f>
        <v/>
      </c>
      <c r="BC119" s="267" t="n"/>
      <c r="BD119" s="267" t="n"/>
      <c r="BE119" s="267" t="n"/>
      <c r="BF119" s="267" t="n"/>
      <c r="BG119" s="267" t="n"/>
      <c r="BH119" s="267" t="n"/>
      <c r="BI119" s="267" t="n"/>
      <c r="BJ119" s="267" t="n"/>
      <c r="BK119" s="267" t="n"/>
      <c r="BL119" s="267" t="n"/>
      <c r="BM119" s="267" t="n"/>
      <c r="BN119" s="267" t="n"/>
      <c r="BO119" s="267" t="n"/>
      <c r="BP119" s="267" t="n"/>
      <c r="BQ119" s="267" t="n"/>
      <c r="BR119" s="267" t="n"/>
      <c r="BS119" s="267" t="n"/>
      <c r="BT119" s="267" t="n"/>
      <c r="BU119" s="267" t="n"/>
      <c r="BV119" s="267" t="n"/>
      <c r="BW119" s="267" t="n"/>
      <c r="BX119" s="267" t="n"/>
      <c r="BY119" s="267" t="n"/>
      <c r="BZ119" s="267" t="n"/>
      <c r="CA119" s="268" t="n"/>
      <c r="CC119" s="227" t="inlineStr">
        <is>
          <t>Type (Monthly/Annual)</t>
        </is>
      </c>
      <c r="CD119" s="219" t="inlineStr">
        <is>
          <t>Average Monthly QTY</t>
        </is>
      </c>
      <c r="CE119" s="275" t="inlineStr">
        <is>
          <t>Quantity Per Year with Growth</t>
        </is>
      </c>
      <c r="CF119" s="257" t="n"/>
      <c r="CG119" s="257" t="n"/>
      <c r="CH119" s="257" t="n"/>
      <c r="CI119" s="257" t="n"/>
      <c r="CJ119" s="257" t="n"/>
      <c r="CK119" s="257" t="n"/>
      <c r="CL119" s="257" t="n"/>
      <c r="CM119" s="257" t="n"/>
      <c r="CN119" s="258" t="n"/>
      <c r="CO119" s="277">
        <f>_xlfn.CONCAT(CO4," New Optional Solutions")</f>
        <v/>
      </c>
      <c r="CP119" s="267" t="n"/>
      <c r="CQ119" s="267" t="n"/>
      <c r="CR119" s="267" t="n"/>
      <c r="CS119" s="267" t="n"/>
      <c r="CT119" s="267" t="n"/>
      <c r="CU119" s="267" t="n"/>
      <c r="CV119" s="267" t="n"/>
      <c r="CW119" s="267" t="n"/>
      <c r="CX119" s="267" t="n"/>
      <c r="CY119" s="267" t="n"/>
      <c r="CZ119" s="267" t="n"/>
      <c r="DA119" s="267" t="n"/>
      <c r="DB119" s="267" t="n"/>
      <c r="DC119" s="267" t="n"/>
      <c r="DD119" s="267" t="n"/>
      <c r="DE119" s="267" t="n"/>
      <c r="DF119" s="267" t="n"/>
      <c r="DG119" s="267" t="n"/>
      <c r="DH119" s="267" t="n"/>
      <c r="DI119" s="267" t="n"/>
      <c r="DJ119" s="267" t="n"/>
      <c r="DK119" s="267" t="n"/>
      <c r="DL119" s="267" t="n"/>
      <c r="DM119" s="268" t="n"/>
    </row>
    <row r="120" ht="45.75" customHeight="1" thickBot="1">
      <c r="B120" s="278" t="n"/>
      <c r="C120" s="10" t="inlineStr">
        <is>
          <t>Proposal
(11/2025)</t>
        </is>
      </c>
      <c r="D120" s="183" t="n"/>
      <c r="E120" s="10" t="inlineStr">
        <is>
          <t>Year 1 Quantity</t>
        </is>
      </c>
      <c r="F120" s="10" t="inlineStr">
        <is>
          <t>Year 2 Quantity</t>
        </is>
      </c>
      <c r="G120" s="10" t="inlineStr">
        <is>
          <t>Year 3 Quantity</t>
        </is>
      </c>
      <c r="H120" s="10" t="inlineStr">
        <is>
          <t>Year 4 Quantity</t>
        </is>
      </c>
      <c r="I120" s="10" t="inlineStr">
        <is>
          <t>Year 5 Quantity</t>
        </is>
      </c>
      <c r="J120" s="10" t="inlineStr">
        <is>
          <t>Year 6 Quantity</t>
        </is>
      </c>
      <c r="K120" s="10" t="inlineStr">
        <is>
          <t>Year 7 Quantity</t>
        </is>
      </c>
      <c r="L120" s="10" t="inlineStr">
        <is>
          <t>Year 8 Quantity</t>
        </is>
      </c>
      <c r="M120" s="10" t="inlineStr">
        <is>
          <t>Year 9 Quantity</t>
        </is>
      </c>
      <c r="N120" s="11" t="inlineStr">
        <is>
          <t>Year 10 Quantity</t>
        </is>
      </c>
      <c r="O120" s="4" t="inlineStr">
        <is>
          <t>Solution Name/Description</t>
        </is>
      </c>
      <c r="P120" s="19" t="inlineStr">
        <is>
          <t>Category</t>
        </is>
      </c>
      <c r="Q120" s="17" t="inlineStr">
        <is>
          <t>Per Unit Rate</t>
        </is>
      </c>
      <c r="R120" s="22" t="inlineStr">
        <is>
          <t>Year 1 Monthly Cost</t>
        </is>
      </c>
      <c r="S120" s="18" t="inlineStr">
        <is>
          <t>Year 1 Cost</t>
        </is>
      </c>
      <c r="T120" s="18" t="inlineStr">
        <is>
          <t>Year 2 Cost</t>
        </is>
      </c>
      <c r="U120" s="18" t="inlineStr">
        <is>
          <t>Year 3 Cost</t>
        </is>
      </c>
      <c r="V120" s="18" t="inlineStr">
        <is>
          <t>Year 4 Cost</t>
        </is>
      </c>
      <c r="W120" s="18" t="inlineStr">
        <is>
          <t>Year 5 Cost</t>
        </is>
      </c>
      <c r="X120" s="5" t="inlineStr">
        <is>
          <t>Year 6 Cost</t>
        </is>
      </c>
      <c r="Y120" s="17" t="inlineStr">
        <is>
          <t>Year 7 Cost</t>
        </is>
      </c>
      <c r="Z120" s="17" t="inlineStr">
        <is>
          <t>Year 8 Cost</t>
        </is>
      </c>
      <c r="AA120" s="17" t="inlineStr">
        <is>
          <t>Year 9 Cost</t>
        </is>
      </c>
      <c r="AB120" s="18" t="inlineStr">
        <is>
          <t>Year 10 Cost</t>
        </is>
      </c>
      <c r="AC120" s="8" t="inlineStr">
        <is>
          <t>Year 1 CPI</t>
        </is>
      </c>
      <c r="AD120" s="8" t="inlineStr">
        <is>
          <t>Year 2 CPI</t>
        </is>
      </c>
      <c r="AE120" s="8" t="inlineStr">
        <is>
          <t>Year 3 CPI</t>
        </is>
      </c>
      <c r="AF120" s="8" t="inlineStr">
        <is>
          <t>Year 4 CPI</t>
        </is>
      </c>
      <c r="AG120" s="8" t="inlineStr">
        <is>
          <t>Year 5 CPI</t>
        </is>
      </c>
      <c r="AH120" s="8" t="inlineStr">
        <is>
          <t>Year 6 CPI</t>
        </is>
      </c>
      <c r="AI120" s="8" t="inlineStr">
        <is>
          <t>Year 7 CPI</t>
        </is>
      </c>
      <c r="AJ120" s="8" t="inlineStr">
        <is>
          <t>Year 8 CPI</t>
        </is>
      </c>
      <c r="AK120" s="8" t="inlineStr">
        <is>
          <t>Year 9 CPI</t>
        </is>
      </c>
      <c r="AL120" s="8" t="inlineStr">
        <is>
          <t>Year 10 CPI</t>
        </is>
      </c>
      <c r="AM120" s="5" t="inlineStr">
        <is>
          <t>CPI</t>
        </is>
      </c>
      <c r="AN120" s="79" t="inlineStr">
        <is>
          <t>Total Term Cost</t>
        </is>
      </c>
      <c r="AP120" s="259" t="n"/>
      <c r="AQ120" s="279" t="n"/>
      <c r="AR120" s="71" t="inlineStr">
        <is>
          <t>Year 1 Quantity</t>
        </is>
      </c>
      <c r="AS120" s="71" t="inlineStr">
        <is>
          <t>Year 2 Quantity</t>
        </is>
      </c>
      <c r="AT120" s="71" t="inlineStr">
        <is>
          <t>Year 3 Quantity</t>
        </is>
      </c>
      <c r="AU120" s="71" t="inlineStr">
        <is>
          <t>Year 4 Quantity</t>
        </is>
      </c>
      <c r="AV120" s="71" t="inlineStr">
        <is>
          <t>Year 5 Quantity</t>
        </is>
      </c>
      <c r="AW120" s="71" t="inlineStr">
        <is>
          <t>Year 6 Quantity</t>
        </is>
      </c>
      <c r="AX120" s="71" t="inlineStr">
        <is>
          <t>Year 7 Quantity</t>
        </is>
      </c>
      <c r="AY120" s="71" t="inlineStr">
        <is>
          <t>Year 8 Quantity</t>
        </is>
      </c>
      <c r="AZ120" s="71" t="inlineStr">
        <is>
          <t>Year 9 Quantity</t>
        </is>
      </c>
      <c r="BA120" s="72" t="inlineStr">
        <is>
          <t>Year 10 Quantity</t>
        </is>
      </c>
      <c r="BB120" s="73" t="inlineStr">
        <is>
          <t>Solution Name/Description</t>
        </is>
      </c>
      <c r="BC120" s="74" t="inlineStr">
        <is>
          <t>Category</t>
        </is>
      </c>
      <c r="BD120" s="75" t="inlineStr">
        <is>
          <t>Per Unit Rate</t>
        </is>
      </c>
      <c r="BE120" s="68" t="inlineStr">
        <is>
          <t>Year 1 Monthly Cost</t>
        </is>
      </c>
      <c r="BF120" s="76" t="inlineStr">
        <is>
          <t>Year 1 Cost</t>
        </is>
      </c>
      <c r="BG120" s="76" t="inlineStr">
        <is>
          <t>Year 2 Cost</t>
        </is>
      </c>
      <c r="BH120" s="76" t="inlineStr">
        <is>
          <t>Year 3 Cost</t>
        </is>
      </c>
      <c r="BI120" s="76" t="inlineStr">
        <is>
          <t>Year 4 Cost</t>
        </is>
      </c>
      <c r="BJ120" s="76" t="inlineStr">
        <is>
          <t>Year 5 Cost</t>
        </is>
      </c>
      <c r="BK120" s="77" t="inlineStr">
        <is>
          <t>Year 6 Cost</t>
        </is>
      </c>
      <c r="BL120" s="75" t="inlineStr">
        <is>
          <t>Year 7 Cost</t>
        </is>
      </c>
      <c r="BM120" s="75" t="inlineStr">
        <is>
          <t>Year 8 Cost</t>
        </is>
      </c>
      <c r="BN120" s="75" t="inlineStr">
        <is>
          <t>Year 9 Cost</t>
        </is>
      </c>
      <c r="BO120" s="76" t="inlineStr">
        <is>
          <t>Year 10 Cost</t>
        </is>
      </c>
      <c r="BP120" s="78" t="inlineStr">
        <is>
          <t>Year 1 CPI</t>
        </is>
      </c>
      <c r="BQ120" s="78" t="inlineStr">
        <is>
          <t>Year 2 CPI</t>
        </is>
      </c>
      <c r="BR120" s="78" t="inlineStr">
        <is>
          <t>Year 3 CPI</t>
        </is>
      </c>
      <c r="BS120" s="78" t="inlineStr">
        <is>
          <t>Year 4 CPI</t>
        </is>
      </c>
      <c r="BT120" s="78" t="inlineStr">
        <is>
          <t>Year 5 CPI</t>
        </is>
      </c>
      <c r="BU120" s="78" t="inlineStr">
        <is>
          <t>Year 6 CPI</t>
        </is>
      </c>
      <c r="BV120" s="78" t="inlineStr">
        <is>
          <t>Year 7 CPI</t>
        </is>
      </c>
      <c r="BW120" s="78" t="inlineStr">
        <is>
          <t>Year 8 CPI</t>
        </is>
      </c>
      <c r="BX120" s="78" t="inlineStr">
        <is>
          <t>Year 9 CPI</t>
        </is>
      </c>
      <c r="BY120" s="78" t="inlineStr">
        <is>
          <t>Year 10 CPI</t>
        </is>
      </c>
      <c r="BZ120" s="77" t="inlineStr">
        <is>
          <t>CPI</t>
        </is>
      </c>
      <c r="CA120" s="101" t="inlineStr">
        <is>
          <t>Total Term Cost</t>
        </is>
      </c>
      <c r="CC120" s="259" t="n"/>
      <c r="CD120" s="279" t="n"/>
      <c r="CE120" s="71" t="inlineStr">
        <is>
          <t>Year 1 Quantity</t>
        </is>
      </c>
      <c r="CF120" s="71" t="inlineStr">
        <is>
          <t>Year 2 Quantity</t>
        </is>
      </c>
      <c r="CG120" s="71" t="inlineStr">
        <is>
          <t>Year 3 Quantity</t>
        </is>
      </c>
      <c r="CH120" s="71" t="inlineStr">
        <is>
          <t>Year 4 Quantity</t>
        </is>
      </c>
      <c r="CI120" s="71" t="inlineStr">
        <is>
          <t>Year 5 Quantity</t>
        </is>
      </c>
      <c r="CJ120" s="71" t="inlineStr">
        <is>
          <t>Year 6 Quantity</t>
        </is>
      </c>
      <c r="CK120" s="71" t="inlineStr">
        <is>
          <t>Year 7 Quantity</t>
        </is>
      </c>
      <c r="CL120" s="71" t="inlineStr">
        <is>
          <t>Year 8 Quantity</t>
        </is>
      </c>
      <c r="CM120" s="71" t="inlineStr">
        <is>
          <t>Year 9 Quantity</t>
        </is>
      </c>
      <c r="CN120" s="72" t="inlineStr">
        <is>
          <t>Year 10 Quantity</t>
        </is>
      </c>
      <c r="CO120" s="115" t="inlineStr">
        <is>
          <t>Solution Name/Description</t>
        </is>
      </c>
      <c r="CP120" s="116" t="inlineStr">
        <is>
          <t>Per Unit Rate</t>
        </is>
      </c>
      <c r="CQ120" s="68" t="inlineStr">
        <is>
          <t>Year 1 Monthly Cost</t>
        </is>
      </c>
      <c r="CR120" s="117" t="inlineStr">
        <is>
          <t>Year 1 Cost</t>
        </is>
      </c>
      <c r="CS120" s="117" t="inlineStr">
        <is>
          <t>Year 2 Cost</t>
        </is>
      </c>
      <c r="CT120" s="117" t="inlineStr">
        <is>
          <t>Year 3 Cost</t>
        </is>
      </c>
      <c r="CU120" s="117" t="inlineStr">
        <is>
          <t>Year 4 Cost</t>
        </is>
      </c>
      <c r="CV120" s="117" t="inlineStr">
        <is>
          <t>Year 5 Cost</t>
        </is>
      </c>
      <c r="CW120" s="118" t="inlineStr">
        <is>
          <t>Year 6 Cost</t>
        </is>
      </c>
      <c r="CX120" s="116" t="inlineStr">
        <is>
          <t>Year 7 Cost</t>
        </is>
      </c>
      <c r="CY120" s="116" t="inlineStr">
        <is>
          <t>Year 8 Cost</t>
        </is>
      </c>
      <c r="CZ120" s="116" t="inlineStr">
        <is>
          <t>Year 9 Cost</t>
        </is>
      </c>
      <c r="DA120" s="117" t="inlineStr">
        <is>
          <t>Year 10 Cost</t>
        </is>
      </c>
      <c r="DB120" s="78" t="inlineStr">
        <is>
          <t>Year 1 CPI</t>
        </is>
      </c>
      <c r="DC120" s="78" t="inlineStr">
        <is>
          <t>Year 2 CPI</t>
        </is>
      </c>
      <c r="DD120" s="78" t="inlineStr">
        <is>
          <t>Year 3 CPI</t>
        </is>
      </c>
      <c r="DE120" s="78" t="inlineStr">
        <is>
          <t>Year 4 CPI</t>
        </is>
      </c>
      <c r="DF120" s="78" t="inlineStr">
        <is>
          <t>Year 5 CPI</t>
        </is>
      </c>
      <c r="DG120" s="78" t="inlineStr">
        <is>
          <t>Year 6 CPI</t>
        </is>
      </c>
      <c r="DH120" s="78" t="inlineStr">
        <is>
          <t>Year 7 CPI</t>
        </is>
      </c>
      <c r="DI120" s="78" t="inlineStr">
        <is>
          <t>Year 8 CPI</t>
        </is>
      </c>
      <c r="DJ120" s="78" t="inlineStr">
        <is>
          <t>Year 9 CPI</t>
        </is>
      </c>
      <c r="DK120" s="78" t="inlineStr">
        <is>
          <t>Year 10 CPI</t>
        </is>
      </c>
      <c r="DL120" s="118" t="inlineStr">
        <is>
          <t>CPI</t>
        </is>
      </c>
      <c r="DM120" s="119" t="inlineStr">
        <is>
          <t>Total Term Cost</t>
        </is>
      </c>
    </row>
    <row r="121" ht="15.75" customHeight="1" thickBot="1">
      <c r="B121" s="280" t="inlineStr">
        <is>
          <t>Recurring Monthly and Annual Fees - Non-Bundle Optional FIS Solutions</t>
        </is>
      </c>
      <c r="C121" s="267" t="n"/>
      <c r="D121" s="267" t="n"/>
      <c r="E121" s="267" t="n"/>
      <c r="F121" s="267" t="n"/>
      <c r="G121" s="267" t="n"/>
      <c r="H121" s="267" t="n"/>
      <c r="I121" s="267" t="n"/>
      <c r="J121" s="267" t="n"/>
      <c r="K121" s="267" t="n"/>
      <c r="L121" s="267" t="n"/>
      <c r="M121" s="267" t="n"/>
      <c r="N121" s="267" t="n"/>
      <c r="O121" s="267" t="n"/>
      <c r="P121" s="267" t="n"/>
      <c r="Q121" s="267" t="n"/>
      <c r="R121" s="267" t="n"/>
      <c r="S121" s="267" t="n"/>
      <c r="T121" s="267" t="n"/>
      <c r="U121" s="267" t="n"/>
      <c r="V121" s="267" t="n"/>
      <c r="W121" s="267" t="n"/>
      <c r="X121" s="267" t="n"/>
      <c r="Y121" s="267" t="n"/>
      <c r="Z121" s="267" t="n"/>
      <c r="AA121" s="267" t="n"/>
      <c r="AB121" s="267" t="n"/>
      <c r="AC121" s="267" t="n"/>
      <c r="AD121" s="267" t="n"/>
      <c r="AE121" s="267" t="n"/>
      <c r="AF121" s="267" t="n"/>
      <c r="AG121" s="267" t="n"/>
      <c r="AH121" s="267" t="n"/>
      <c r="AI121" s="267" t="n"/>
      <c r="AJ121" s="267" t="n"/>
      <c r="AK121" s="267" t="n"/>
      <c r="AL121" s="267" t="n"/>
      <c r="AM121" s="267" t="n"/>
      <c r="AN121" s="281" t="n"/>
      <c r="AP121" s="228" t="n"/>
      <c r="AQ121" s="159" t="n"/>
      <c r="AR121" s="71" t="n"/>
      <c r="AS121" s="71" t="n"/>
      <c r="AT121" s="71" t="n"/>
      <c r="AU121" s="71" t="n"/>
      <c r="AV121" s="71" t="n"/>
      <c r="AW121" s="71" t="n"/>
      <c r="AX121" s="71" t="n"/>
      <c r="AY121" s="71" t="n"/>
      <c r="AZ121" s="71" t="n"/>
      <c r="BA121" s="72" t="n"/>
      <c r="BB121" s="160" t="n"/>
      <c r="BC121" s="160" t="n"/>
      <c r="BD121" s="161" t="n"/>
      <c r="BE121" s="159" t="n"/>
      <c r="BF121" s="161" t="n"/>
      <c r="BG121" s="161" t="n"/>
      <c r="BH121" s="161" t="n"/>
      <c r="BI121" s="161" t="n"/>
      <c r="BJ121" s="161" t="n"/>
      <c r="BK121" s="161" t="n"/>
      <c r="BL121" s="161" t="n"/>
      <c r="BM121" s="161" t="n"/>
      <c r="BN121" s="161" t="n"/>
      <c r="BO121" s="161" t="n"/>
      <c r="BP121" s="71" t="n"/>
      <c r="BQ121" s="71" t="n"/>
      <c r="BR121" s="71" t="n"/>
      <c r="BS121" s="71" t="n"/>
      <c r="BT121" s="71" t="n"/>
      <c r="BU121" s="71" t="n"/>
      <c r="BV121" s="71" t="n"/>
      <c r="BW121" s="71" t="n"/>
      <c r="BX121" s="71" t="n"/>
      <c r="BY121" s="71" t="n"/>
      <c r="BZ121" s="161" t="n"/>
      <c r="CA121" s="162" t="n"/>
      <c r="CC121" s="228" t="n"/>
      <c r="CD121" s="159" t="n"/>
      <c r="CE121" s="71" t="n"/>
      <c r="CF121" s="71" t="n"/>
      <c r="CG121" s="71" t="n"/>
      <c r="CH121" s="71" t="n"/>
      <c r="CI121" s="71" t="n"/>
      <c r="CJ121" s="71" t="n"/>
      <c r="CK121" s="71" t="n"/>
      <c r="CL121" s="71" t="n"/>
      <c r="CM121" s="71" t="n"/>
      <c r="CN121" s="71" t="n"/>
      <c r="CO121" s="163" t="n"/>
      <c r="CP121" s="164" t="n"/>
      <c r="CQ121" s="159" t="n"/>
      <c r="CR121" s="164" t="n"/>
      <c r="CS121" s="164" t="n"/>
      <c r="CT121" s="164" t="n"/>
      <c r="CU121" s="164" t="n"/>
      <c r="CV121" s="164" t="n"/>
      <c r="CW121" s="164" t="n"/>
      <c r="CX121" s="164" t="n"/>
      <c r="CY121" s="164" t="n"/>
      <c r="CZ121" s="164" t="n"/>
      <c r="DA121" s="164" t="n"/>
      <c r="DB121" s="71" t="n"/>
      <c r="DC121" s="71" t="n"/>
      <c r="DD121" s="71" t="n"/>
      <c r="DE121" s="71" t="n"/>
      <c r="DF121" s="71" t="n"/>
      <c r="DG121" s="71" t="n"/>
      <c r="DH121" s="71" t="n"/>
      <c r="DI121" s="71" t="n"/>
      <c r="DJ121" s="71" t="n"/>
      <c r="DK121" s="71" t="n"/>
      <c r="DL121" s="164" t="n"/>
      <c r="DM121" s="165" t="n"/>
    </row>
    <row r="122">
      <c r="B122" s="141" t="inlineStr">
        <is>
          <t>Monthly V</t>
        </is>
      </c>
      <c r="C122" s="24" t="n">
        <v>1</v>
      </c>
      <c r="D122" s="147">
        <f>IFERROR(AVERAGE(C122:C122),0)</f>
        <v/>
      </c>
      <c r="E122" s="142">
        <f>IF($B122="Annual",1,IF($B122="Monthly F",12,IF($B122="Monthly V",D122*12,IF($B122="One-Time",1,D122*12))))</f>
        <v/>
      </c>
      <c r="F122" s="14">
        <f t="array" ref="F122">IFERROR(_xlfn.IFS(VALUE(MID(F$5,6,1))&gt;$D$2,0,$B122="Annual",1,E122=12,12,$B122="Monthly V",E122*(1+$D$3),$B122="Monthly F",12,$B122="One-Time",0),E122*(1+$D$3))</f>
        <v/>
      </c>
      <c r="G122" s="14">
        <f t="array" ref="G122">IFERROR(_xlfn.IFS(VALUE(MID(G$5,6,1))&gt;$D$2,0,$B122="Annual",1,F122=12,12,$B122="Monthly V",F122*(1+$D$3),$B122="Monthly F",12,$B122="One-Time",0),F122*(1+$D$3))</f>
        <v/>
      </c>
      <c r="H122" s="14">
        <f t="array" ref="H122">IFERROR(_xlfn.IFS(VALUE(MID(H$5,6,1))&gt;$D$2,0,$B122="Annual",1,G122=12,12,$B122="Monthly V",G122*(1+$D$3),$B122="Monthly F",12,$B122="One-Time",0),G122*(1+$D$3))</f>
        <v/>
      </c>
      <c r="I122" s="14">
        <f t="array" ref="I122">IFERROR(_xlfn.IFS(VALUE(MID(I$5,6,1))&gt;$D$2,0,$B122="Annual",1,H122=12,12,$B122="Monthly V",H122*(1+$D$3),$B122="Monthly F",12,$B122="One-Time",0),H122*(1+$D$3))</f>
        <v/>
      </c>
      <c r="J122" s="14">
        <f t="array" ref="J122">IFERROR(_xlfn.IFS(VALUE(MID(J$5,6,1))&gt;$D$2,0,$B122="Annual",1,I122=12,12,$B122="Monthly V",I122*(1+$D$3),$B122="Monthly F",12,$B122="One-Time",0),I122*(1+$D$3))</f>
        <v/>
      </c>
      <c r="K122" s="14">
        <f t="array" ref="K122">IFERROR(_xlfn.IFS(VALUE(MID(K$5,6,1))&gt;$D$2,0,$B122="Annual",1,J122=12,12,$B122="Monthly V",J122*(1+$D$3),$B122="Monthly F",12,$B122="One-Time",0),J122*(1+$D$3))</f>
        <v/>
      </c>
      <c r="L122" s="14">
        <f t="array" ref="L122">IFERROR(_xlfn.IFS(VALUE(MID(L$5,6,1))&gt;$D$2,0,$B122="Annual",1,K122=12,12,$B122="Monthly V",K122*(1+$D$3),$B122="Monthly F",12,$B122="One-Time",0),K122*(1+$D$3))</f>
        <v/>
      </c>
      <c r="M122" s="14">
        <f t="array" ref="M122">IFERROR(_xlfn.IFS(VALUE(MID(M$5,6,1))&gt;$D$2,0,$B122="Annual",1,L122=12,12,$B122="Monthly V",L122*(1+$D$3),$B122="Monthly F",12,$B122="One-Time",0),L122*(1+$D$3))</f>
        <v/>
      </c>
      <c r="N122" s="24">
        <f t="array" ref="N122">IFERROR(_xlfn.IFS(VALUE(MID(N$5,6,2))&gt;$D$2,0,$B122="Annual",1,M122=12,12,$B122="Monthly V",M122*(1+$D$3),$B122="Monthly F",12,$B122="One-Time",0),M122*(1+$D$3))</f>
        <v/>
      </c>
      <c r="O122" s="127" t="inlineStr">
        <is>
          <t>Real-Time Payments (RTP)</t>
        </is>
      </c>
      <c r="P122" s="13" t="inlineStr">
        <is>
          <t>Payment Processing</t>
        </is>
      </c>
      <c r="Q122" s="20" t="n">
        <v>0.02</v>
      </c>
      <c r="R122" s="21">
        <f>S122/12</f>
        <v/>
      </c>
      <c r="S122" s="6">
        <f>IFERROR($Q122*E122,0)</f>
        <v/>
      </c>
      <c r="T122" s="6">
        <f>IFERROR($Q122*F122,0)</f>
        <v/>
      </c>
      <c r="U122" s="6">
        <f>IFERROR($Q122*G122,0)</f>
        <v/>
      </c>
      <c r="V122" s="6">
        <f>IFERROR($Q122*H122,0)</f>
        <v/>
      </c>
      <c r="W122" s="6">
        <f>IFERROR($Q122*I122,0)</f>
        <v/>
      </c>
      <c r="X122" s="6">
        <f>IFERROR($Q122*J122,0)</f>
        <v/>
      </c>
      <c r="Y122" s="6">
        <f>IFERROR($Q122*K122,0)</f>
        <v/>
      </c>
      <c r="Z122" s="6">
        <f>IFERROR($Q122*L122,0)</f>
        <v/>
      </c>
      <c r="AA122" s="6">
        <f>IFERROR($Q122*M122,0)</f>
        <v/>
      </c>
      <c r="AB122" s="6">
        <f>IFERROR($Q122*N122,0)</f>
        <v/>
      </c>
      <c r="AC122" s="7" t="n"/>
      <c r="AD122" s="152">
        <f>IF(VALUE(MID(AD$5,6,1))&lt;=$D$2,((1+$Q$3)^1-1)*T122,0)</f>
        <v/>
      </c>
      <c r="AE122" s="152">
        <f>IF(VALUE(MID(AE$5,6,1))&lt;=$D$2,((1+$Q$3)^2-1)*U122,0)</f>
        <v/>
      </c>
      <c r="AF122" s="152">
        <f>IF(VALUE(MID(AF$5,6,1))&lt;=$D$2,((1+$Q$3)^3-1)*V122,0)</f>
        <v/>
      </c>
      <c r="AG122" s="152">
        <f>IF(VALUE(MID(AG$5,6,1))&lt;=$D$2,((1+$Q$3)^4-1)*W122,0)</f>
        <v/>
      </c>
      <c r="AH122" s="152">
        <f>IF(VALUE(MID(AH$5,6,1))&lt;=$D$2,((1+$Q$3)^5-1)*X122,0)</f>
        <v/>
      </c>
      <c r="AI122" s="152">
        <f>IF(VALUE(MID(AI$5,6,1))&lt;=$D$2,((1+$Q$3)^6-1)*Y122,0)</f>
        <v/>
      </c>
      <c r="AJ122" s="152">
        <f>IF(VALUE(MID(AJ$5,6,1))&lt;=$D$2,((1+$Q$3)^7-1)*Z122,0)</f>
        <v/>
      </c>
      <c r="AK122" s="152">
        <f>IF(VALUE(MID(AK$5,6,1))&lt;=$D$2,((1+$Q$3)^8-1)*AA122,0)</f>
        <v/>
      </c>
      <c r="AL122" s="152">
        <f>IF(VALUE(MID(AL$5,6,2))&lt;=$D$2,((1+$Q$3)^9-1)*AB122,0)</f>
        <v/>
      </c>
      <c r="AM122" s="9">
        <f>SUM(AC122:AL122)</f>
        <v/>
      </c>
      <c r="AN122" s="80">
        <f>SUM(AM122,S122:AB122)</f>
        <v/>
      </c>
      <c r="AP122" s="102" t="inlineStr">
        <is>
          <t>Monthly F</t>
        </is>
      </c>
      <c r="AQ122" s="12" t="n">
        <v>1</v>
      </c>
      <c r="AR122" s="14">
        <f>IF($AP122="Annual",1,IF($AP122="Monthly F",12,IF($AP122="Monthly V",AQ122*12,IF($AP122="One-Time",1,AQ122*12))))</f>
        <v/>
      </c>
      <c r="AS122" s="14">
        <f t="array" ref="AS122">IFERROR(_xlfn.IFS(VALUE(MID(AS$5,6,1))&gt;$D$2,0,$AP122="Annual",1,AR122=12,12,$AP122="Monthly V",AR122*(1+$BD$2),$AP122="Monthly F",12,$AP122="One-Time",0),AR122*(1+$BD$2))</f>
        <v/>
      </c>
      <c r="AT122" s="14">
        <f t="array" ref="AT122">IFERROR(_xlfn.IFS(VALUE(MID(AT$5,6,1))&gt;$D$2,0,$AP122="Annual",1,AS122=12,12,$AP122="Monthly V",AS122*(1+$BD$2),$AP122="Monthly F",12,$AP122="One-Time",0),AS122*(1+$BD$2))</f>
        <v/>
      </c>
      <c r="AU122" s="14">
        <f t="array" ref="AU122">IFERROR(_xlfn.IFS(VALUE(MID(AU$5,6,1))&gt;$D$2,0,$AP122="Annual",1,AT122=12,12,$AP122="Monthly V",AT122*(1+$BD$2),$AP122="Monthly F",12,$AP122="One-Time",0),AT122*(1+$BD$2))</f>
        <v/>
      </c>
      <c r="AV122" s="14">
        <f t="array" ref="AV122">IFERROR(_xlfn.IFS(VALUE(MID(AV$5,6,1))&gt;$D$2,0,$AP122="Annual",1,AU122=12,12,$AP122="Monthly V",AU122*(1+$BD$2),$AP122="Monthly F",12,$AP122="One-Time",0),AU122*(1+$BD$2))</f>
        <v/>
      </c>
      <c r="AW122" s="14">
        <f t="array" ref="AW122">IFERROR(_xlfn.IFS(VALUE(MID(AW$5,6,1))&gt;$D$2,0,$AP122="Annual",1,AV122=12,12,$AP122="Monthly V",AV122*(1+$BD$2),$AP122="Monthly F",12,$AP122="One-Time",0),AV122*(1+$BD$2))</f>
        <v/>
      </c>
      <c r="AX122" s="14">
        <f t="array" ref="AX122">IFERROR(_xlfn.IFS(VALUE(MID(AX$5,6,1))&gt;$D$2,0,$AP122="Annual",1,AW122=12,12,$AP122="Monthly V",AW122*(1+$BD$2),$AP122="Monthly F",12,$AP122="One-Time",0),AW122*(1+$BD$2))</f>
        <v/>
      </c>
      <c r="AY122" s="14">
        <f t="array" ref="AY122">IFERROR(_xlfn.IFS(VALUE(MID(AY$5,6,1))&gt;$D$2,0,$AP122="Annual",1,AX122=12,12,$AP122="Monthly V",AX122*(1+$D$3),$AP122="Monthly F",12,$AP122="One-Time",0),AX122*(1+$D$3))</f>
        <v/>
      </c>
      <c r="AZ122" s="14">
        <f t="array" ref="AZ122">IFERROR(_xlfn.IFS(VALUE(MID(AZ$5,6,1))&gt;$D$2,0,$AP122="Annual",1,AY122=12,12,$AP122="Monthly V",AY122*(1+$D$3),$AP122="Monthly F",12,$AP122="One-Time",0),AY122*(1+$D$3))</f>
        <v/>
      </c>
      <c r="BA122" s="125">
        <f t="array" ref="BA122">IFERROR(_xlfn.IFS(VALUE(MID(BA$5,6,2))&gt;$D$2,0,$AP122="Annual",1,AZ122=12,12,$AP122="Monthly V",AZ122*(1+$D$3),$AP122="Monthly F",12,$AP122="One-Time",0),AZ122*(1+$D$3))</f>
        <v/>
      </c>
      <c r="BB122" s="124" t="inlineStr">
        <is>
          <t>SilverLake Static Training Bank</t>
        </is>
      </c>
      <c r="BC122" s="38" t="inlineStr">
        <is>
          <t>SilverLake</t>
        </is>
      </c>
      <c r="BD122" s="36" t="n">
        <v>397.5</v>
      </c>
      <c r="BE122" s="21">
        <f>BF122/12</f>
        <v/>
      </c>
      <c r="BF122" s="39">
        <f>IFERROR(AR122*$BD122,0)</f>
        <v/>
      </c>
      <c r="BG122" s="39">
        <f>IFERROR(AS122*$BD122,0)</f>
        <v/>
      </c>
      <c r="BH122" s="39">
        <f>IFERROR(AT122*$BD122,0)</f>
        <v/>
      </c>
      <c r="BI122" s="39">
        <f>BH122*1.03</f>
        <v/>
      </c>
      <c r="BJ122" s="39">
        <f>BI122*1.03</f>
        <v/>
      </c>
      <c r="BK122" s="39">
        <f>BJ122*1.03</f>
        <v/>
      </c>
      <c r="BL122" s="39">
        <f>BK122*1.03</f>
        <v/>
      </c>
      <c r="BM122" s="39">
        <f>IFERROR(AY122*$BD122,0)</f>
        <v/>
      </c>
      <c r="BN122" s="39">
        <f>IFERROR(AZ122*$BD122,0)</f>
        <v/>
      </c>
      <c r="BO122" s="39">
        <f>IFERROR(BA122*$BD122,0)</f>
        <v/>
      </c>
      <c r="BP122" s="40" t="n"/>
      <c r="BQ122" s="40">
        <f>IF(VALUE(MID(BQ$5,6,1))&lt;=$D$2,((1+$BD$3)^1-1)*BG122,0)</f>
        <v/>
      </c>
      <c r="BR122" s="40">
        <f>IF(VALUE(MID(BR$5,6,1))&lt;=$D$2,((1+$BD$3)^2-1)*BH122,0)</f>
        <v/>
      </c>
      <c r="BS122" s="40">
        <f>IF(VALUE(MID(BS$5,6,1))&lt;=$D$2,((1+$BD$3)^3-1)*BI122,0)</f>
        <v/>
      </c>
      <c r="BT122" s="40">
        <f>IF(VALUE(MID(BT$5,6,1))&lt;=$D$2,((1+$BD$3)^4-1)*BJ122,0)</f>
        <v/>
      </c>
      <c r="BU122" s="40">
        <f>IF(VALUE(MID(BU$5,6,1))&lt;=$D$2,((1+$BD$3)^5-1)*BK122,0)</f>
        <v/>
      </c>
      <c r="BV122" s="40">
        <f>IF(VALUE(MID(BV$5,6,1))&lt;=$D$2,((1+$BD$3)^6-1)*BL122,0)</f>
        <v/>
      </c>
      <c r="BW122" s="40">
        <f>IF(VALUE(MID(BW$5,6,1))&lt;=$D$2,((1+$BD$3)^7-1)*BM122,0)</f>
        <v/>
      </c>
      <c r="BX122" s="40">
        <f>IF(VALUE(MID(BX$5,6,1))&lt;=$D$2,((1+$BD$3)^8-1)*BN122,0)</f>
        <v/>
      </c>
      <c r="BY122" s="40">
        <f>IF(VALUE(MID(BY$5,6,2))&lt;=$D$2,((1+$BD$3)^9-1)*BO122,0)</f>
        <v/>
      </c>
      <c r="BZ122" s="40">
        <f>SUM(BP122:BY122)</f>
        <v/>
      </c>
      <c r="CA122" s="37">
        <f>SUM(BZ122,BF122:BO122)</f>
        <v/>
      </c>
      <c r="CC122" s="102" t="n"/>
      <c r="CD122" s="12" t="n"/>
      <c r="CE122" s="14">
        <f>IF($CC122="Annual",1,IF($CC122="Monthly F",12,IF($CC122="Monthly V",CD122*12,IF($CC122="One-Time",1,CD122*12))))</f>
        <v/>
      </c>
      <c r="CF122" s="14">
        <f t="array" ref="CF122">IFERROR(_xlfn.IFS(VALUE(MID(CF$5,6,1))&gt;$D$2,0,$CC122="Annual",1,CE122=12,12,$CC122="Monthly V",CE122*(1+$D$3),$CC122="Monthly F",12,$CC122="One-Time",0),CE122*(1+$D$3))</f>
        <v/>
      </c>
      <c r="CG122" s="14">
        <f t="array" ref="CG122">IFERROR(_xlfn.IFS(VALUE(MID(CG$5,6,1))&gt;$D$2,0,$CC122="Annual",1,CF122=12,12,$CC122="Monthly V",CF122*(1+$D$3),$CC122="Monthly F",12,$CC122="One-Time",0),CF122*(1+$D$3))</f>
        <v/>
      </c>
      <c r="CH122" s="14">
        <f t="array" ref="CH122">IFERROR(_xlfn.IFS(VALUE(MID(CH$5,6,1))&gt;$D$2,0,$CC122="Annual",1,CG122=12,12,$CC122="Monthly V",CG122*(1+$D$3),$CC122="Monthly F",12,$CC122="One-Time",0),CG122*(1+$D$3))</f>
        <v/>
      </c>
      <c r="CI122" s="14">
        <f t="array" ref="CI122">IFERROR(_xlfn.IFS(VALUE(MID(CI$5,6,1))&gt;$D$2,0,$CC122="Annual",1,CH122=12,12,$CC122="Monthly V",CH122*(1+$D$3),$CC122="Monthly F",12,$CC122="One-Time",0),CH122*(1+$D$3))</f>
        <v/>
      </c>
      <c r="CJ122" s="14">
        <f t="array" ref="CJ122">IFERROR(_xlfn.IFS(VALUE(MID(CJ$5,6,1))&gt;$D$2,0,$CC122="Annual",1,CI122=12,12,$CC122="Monthly V",CI122*(1+$D$3),$CC122="Monthly F",12,$CC122="One-Time",0),CI122*(1+$D$3))</f>
        <v/>
      </c>
      <c r="CK122" s="14">
        <f t="array" ref="CK122">IFERROR(_xlfn.IFS(VALUE(MID(CK$5,6,1))&gt;$D$2,0,$CC122="Annual",1,CJ122=12,12,$CC122="Monthly V",CJ122*(1+$D$3),$CC122="Monthly F",12,$CC122="One-Time",0),CJ122*(1+$D$3))</f>
        <v/>
      </c>
      <c r="CL122" s="14">
        <f t="array" ref="CL122">IFERROR(_xlfn.IFS(VALUE(MID(CL$5,6,1))&gt;$D$2,0,$CC122="Annual",1,CK122=12,12,$CC122="Monthly V",CK122*(1+$D$3),$CC122="Monthly F",12,$CC122="One-Time",0),CK122*(1+$D$3))</f>
        <v/>
      </c>
      <c r="CM122" s="14">
        <f t="array" ref="CM122">IFERROR(_xlfn.IFS(VALUE(MID(CM$5,6,1))&gt;$D$2,0,$CC122="Annual",1,CL122=12,12,$CC122="Monthly V",CL122*(1+$D$3),$CC122="Monthly F",12,$CC122="One-Time",0),CL122*(1+$D$3))</f>
        <v/>
      </c>
      <c r="CN122" s="24">
        <f t="array" ref="CN122">IFERROR(_xlfn.IFS(VALUE(MID(CN$5,6,2))&gt;$D$2,0,$CC122="Annual",1,CM122=12,12,$CC122="Monthly V",CM122*(1+$D$3),$CC122="Monthly F",12,$CC122="One-Time",0),CM122*(1+$D$3))</f>
        <v/>
      </c>
      <c r="CO122" s="63" t="n"/>
      <c r="CP122" s="53" t="n"/>
      <c r="CQ122" s="21">
        <f>CR122/12</f>
        <v/>
      </c>
      <c r="CR122" s="55">
        <f>IFERROR(CE122*$CP122,0)</f>
        <v/>
      </c>
      <c r="CS122" s="55">
        <f>IFERROR(CF122*$CP122,0)</f>
        <v/>
      </c>
      <c r="CT122" s="55">
        <f>IFERROR(CG122*$CP122,0)</f>
        <v/>
      </c>
      <c r="CU122" s="55">
        <f>IFERROR(CH122*$CP122,0)</f>
        <v/>
      </c>
      <c r="CV122" s="55">
        <f>IFERROR(CI122*$CP122,0)</f>
        <v/>
      </c>
      <c r="CW122" s="55">
        <f>IFERROR(CJ122*$CP122,0)</f>
        <v/>
      </c>
      <c r="CX122" s="55">
        <f>IFERROR(CK122*$CP122,0)</f>
        <v/>
      </c>
      <c r="CY122" s="55">
        <f>IFERROR(CL122*$CP122,0)</f>
        <v/>
      </c>
      <c r="CZ122" s="55">
        <f>IFERROR(CM122*$CP122,0)</f>
        <v/>
      </c>
      <c r="DA122" s="55">
        <f>IFERROR(CN122*$CP122,0)</f>
        <v/>
      </c>
      <c r="DB122" s="56" t="n"/>
      <c r="DC122" s="56">
        <f>IF(VALUE(MID(DC$5,6,1))&lt;=$D$2,((1+$CP$3)^1-1)*CS122,0)</f>
        <v/>
      </c>
      <c r="DD122" s="56">
        <f>IF(VALUE(MID(DD$5,6,1))&lt;=$D$2,((1+$CP$3)^2-1)*CT122,0)</f>
        <v/>
      </c>
      <c r="DE122" s="56">
        <f>IF(VALUE(MID(DE$5,6,1))&lt;=$D$2,((1+$CP$3)^3-1)*CU122,0)</f>
        <v/>
      </c>
      <c r="DF122" s="56">
        <f>IF(VALUE(MID(DF$5,6,1))&lt;=$D$2,((1+$CP$3)^4-1)*CV122,0)</f>
        <v/>
      </c>
      <c r="DG122" s="56">
        <f>IF(VALUE(MID(DG$5,6,1))&lt;=$D$2,((1+$CP$3)^5-1)*CW122,0)</f>
        <v/>
      </c>
      <c r="DH122" s="56">
        <f>IF(VALUE(MID(DH$5,6,1))&lt;=$D$2,((1+$CP$3)^6-1)*CX122,0)</f>
        <v/>
      </c>
      <c r="DI122" s="56">
        <f>IF(VALUE(MID(DI$5,6,1))&lt;=$D$2,((1+$CP$3)^7-1)*CY122,0)</f>
        <v/>
      </c>
      <c r="DJ122" s="56">
        <f>IF(VALUE(MID(DJ$5,6,1))&lt;=$D$2,((1+$CP$3)^8-1)*CZ122,0)</f>
        <v/>
      </c>
      <c r="DK122" s="56">
        <f>IF(VALUE(MID(DK$5,6,2))&lt;=$D$2,((1+$CP$3)^9-1)*DA122,0)</f>
        <v/>
      </c>
      <c r="DL122" s="57">
        <f>SUM(DB122:DK122)</f>
        <v/>
      </c>
      <c r="DM122" s="54">
        <f>SUM(DL122,CR122:DA122)</f>
        <v/>
      </c>
      <c r="DO122" s="106" t="n"/>
    </row>
    <row r="123">
      <c r="B123" s="141" t="inlineStr">
        <is>
          <t>One-Time</t>
        </is>
      </c>
      <c r="C123" s="24" t="n"/>
      <c r="D123" s="147">
        <f>IFERROR(AVERAGE(C123:C123),0)</f>
        <v/>
      </c>
      <c r="E123" s="142">
        <f>IF($B123="Annual",1,IF($B123="Monthly F",12,IF($B123="Monthly V",D123*12,IF($B123="One-Time",1,D123*12))))</f>
        <v/>
      </c>
      <c r="F123" s="14">
        <f t="array" ref="F123">IFERROR(_xlfn.IFS(VALUE(MID(F$5,6,1))&gt;$D$2,0,$B123="Annual",1,E123=12,12,$B123="Monthly V",E123*(1+$D$3),$B123="Monthly F",12,$B123="One-Time",0),E123*(1+$D$3))</f>
        <v/>
      </c>
      <c r="G123" s="14">
        <f t="array" ref="G123">IFERROR(_xlfn.IFS(VALUE(MID(G$5,6,1))&gt;$D$2,0,$B123="Annual",1,F123=12,12,$B123="Monthly V",F123*(1+$D$3),$B123="Monthly F",12,$B123="One-Time",0),F123*(1+$D$3))</f>
        <v/>
      </c>
      <c r="H123" s="14">
        <f t="array" ref="H123">IFERROR(_xlfn.IFS(VALUE(MID(H$5,6,1))&gt;$D$2,0,$B123="Annual",1,G123=12,12,$B123="Monthly V",G123*(1+$D$3),$B123="Monthly F",12,$B123="One-Time",0),G123*(1+$D$3))</f>
        <v/>
      </c>
      <c r="I123" s="14">
        <f t="array" ref="I123">IFERROR(_xlfn.IFS(VALUE(MID(I$5,6,1))&gt;$D$2,0,$B123="Annual",1,H123=12,12,$B123="Monthly V",H123*(1+$D$3),$B123="Monthly F",12,$B123="One-Time",0),H123*(1+$D$3))</f>
        <v/>
      </c>
      <c r="J123" s="14">
        <f t="array" ref="J123">IFERROR(_xlfn.IFS(VALUE(MID(J$5,6,1))&gt;$D$2,0,$B123="Annual",1,I123=12,12,$B123="Monthly V",I123*(1+$D$3),$B123="Monthly F",12,$B123="One-Time",0),I123*(1+$D$3))</f>
        <v/>
      </c>
      <c r="K123" s="14">
        <f t="array" ref="K123">IFERROR(_xlfn.IFS(VALUE(MID(K$5,6,1))&gt;$D$2,0,$B123="Annual",1,J123=12,12,$B123="Monthly V",J123*(1+$D$3),$B123="Monthly F",12,$B123="One-Time",0),J123*(1+$D$3))</f>
        <v/>
      </c>
      <c r="L123" s="14">
        <f t="array" ref="L123">IFERROR(_xlfn.IFS(VALUE(MID(L$5,6,1))&gt;$D$2,0,$B123="Annual",1,K123=12,12,$B123="Monthly V",K123*(1+$D$3),$B123="Monthly F",12,$B123="One-Time",0),K123*(1+$D$3))</f>
        <v/>
      </c>
      <c r="M123" s="14">
        <f t="array" ref="M123">IFERROR(_xlfn.IFS(VALUE(MID(M$5,6,1))&gt;$D$2,0,$B123="Annual",1,L123=12,12,$B123="Monthly V",L123*(1+$D$3),$B123="Monthly F",12,$B123="One-Time",0),L123*(1+$D$3))</f>
        <v/>
      </c>
      <c r="N123" s="24">
        <f t="array" ref="N123">IFERROR(_xlfn.IFS(VALUE(MID(N$5,6,2))&gt;$D$2,0,$B123="Annual",1,M123=12,12,$B123="Monthly V",M123*(1+$D$3),$B123="Monthly F",12,$B123="One-Time",0),M123*(1+$D$3))</f>
        <v/>
      </c>
      <c r="O123" s="127" t="inlineStr">
        <is>
          <t>Subpoena Centre Implementation Fee</t>
        </is>
      </c>
      <c r="P123" s="13" t="n"/>
      <c r="Q123" s="20" t="n">
        <v>3399</v>
      </c>
      <c r="R123" s="21">
        <f>S123/12</f>
        <v/>
      </c>
      <c r="S123" s="6">
        <f>IFERROR($Q123*E123,0)</f>
        <v/>
      </c>
      <c r="T123" s="6">
        <f>IFERROR($Q123*F123,0)</f>
        <v/>
      </c>
      <c r="U123" s="6">
        <f>IFERROR($Q123*G123,0)</f>
        <v/>
      </c>
      <c r="V123" s="6">
        <f>IFERROR($Q123*H123,0)</f>
        <v/>
      </c>
      <c r="W123" s="6">
        <f>IFERROR($Q123*I123,0)</f>
        <v/>
      </c>
      <c r="X123" s="6">
        <f>IFERROR($Q123*J123,0)</f>
        <v/>
      </c>
      <c r="Y123" s="6">
        <f>IFERROR($Q123*K123,0)</f>
        <v/>
      </c>
      <c r="Z123" s="6">
        <f>IFERROR($Q123*L123,0)</f>
        <v/>
      </c>
      <c r="AA123" s="6">
        <f>IFERROR($Q123*M123,0)</f>
        <v/>
      </c>
      <c r="AB123" s="6">
        <f>IFERROR($Q123*N123,0)</f>
        <v/>
      </c>
      <c r="AC123" s="7" t="n"/>
      <c r="AD123" s="152">
        <f>IF(VALUE(MID(AD$5,6,1))&lt;=$D$2,((1+$Q$3)^1-1)*T123,0)</f>
        <v/>
      </c>
      <c r="AE123" s="152">
        <f>IF(VALUE(MID(AE$5,6,1))&lt;=$D$2,((1+$Q$3)^2-1)*U123,0)</f>
        <v/>
      </c>
      <c r="AF123" s="152">
        <f>IF(VALUE(MID(AF$5,6,1))&lt;=$D$2,((1+$Q$3)^3-1)*V123,0)</f>
        <v/>
      </c>
      <c r="AG123" s="152">
        <f>IF(VALUE(MID(AG$5,6,1))&lt;=$D$2,((1+$Q$3)^4-1)*W123,0)</f>
        <v/>
      </c>
      <c r="AH123" s="152">
        <f>IF(VALUE(MID(AH$5,6,1))&lt;=$D$2,((1+$Q$3)^5-1)*X123,0)</f>
        <v/>
      </c>
      <c r="AI123" s="152">
        <f>IF(VALUE(MID(AI$5,6,1))&lt;=$D$2,((1+$Q$3)^6-1)*Y123,0)</f>
        <v/>
      </c>
      <c r="AJ123" s="152">
        <f>IF(VALUE(MID(AJ$5,6,1))&lt;=$D$2,((1+$Q$3)^7-1)*Z123,0)</f>
        <v/>
      </c>
      <c r="AK123" s="152">
        <f>IF(VALUE(MID(AK$5,6,1))&lt;=$D$2,((1+$Q$3)^8-1)*AA123,0)</f>
        <v/>
      </c>
      <c r="AL123" s="152">
        <f>IF(VALUE(MID(AL$5,6,2))&lt;=$D$2,((1+$Q$3)^9-1)*AB123,0)</f>
        <v/>
      </c>
      <c r="AM123" s="9">
        <f>SUM(AC123:AL123)</f>
        <v/>
      </c>
      <c r="AN123" s="80">
        <f>SUM(AM123,S123:AB123)</f>
        <v/>
      </c>
      <c r="AP123" s="102" t="inlineStr">
        <is>
          <t>Monthly F</t>
        </is>
      </c>
      <c r="AQ123" s="12" t="n">
        <v>1</v>
      </c>
      <c r="AR123" s="14">
        <f>IF($AP123="Annual",1,IF($AP123="Monthly F",12,IF($AP123="Monthly V",AQ123*12,IF($AP123="One-Time",1,AQ123*12))))</f>
        <v/>
      </c>
      <c r="AS123" s="14">
        <f t="array" ref="AS123">IFERROR(_xlfn.IFS(VALUE(MID(AS$5,6,1))&gt;$D$2,0,$AP123="Annual",1,AR123=12,12,$AP123="Monthly V",AR123*(1+$BD$2),$AP123="Monthly F",12,$AP123="One-Time",0),AR123*(1+$BD$2))</f>
        <v/>
      </c>
      <c r="AT123" s="14">
        <f t="array" ref="AT123">IFERROR(_xlfn.IFS(VALUE(MID(AT$5,6,1))&gt;$D$2,0,$AP123="Annual",1,AS123=12,12,$AP123="Monthly V",AS123*(1+$BD$2),$AP123="Monthly F",12,$AP123="One-Time",0),AS123*(1+$BD$2))</f>
        <v/>
      </c>
      <c r="AU123" s="14">
        <f t="array" ref="AU123">IFERROR(_xlfn.IFS(VALUE(MID(AU$5,6,1))&gt;$D$2,0,$AP123="Annual",1,AT123=12,12,$AP123="Monthly V",AT123*(1+$BD$2),$AP123="Monthly F",12,$AP123="One-Time",0),AT123*(1+$BD$2))</f>
        <v/>
      </c>
      <c r="AV123" s="14">
        <f t="array" ref="AV123">IFERROR(_xlfn.IFS(VALUE(MID(AV$5,6,1))&gt;$D$2,0,$AP123="Annual",1,AU123=12,12,$AP123="Monthly V",AU123*(1+$BD$2),$AP123="Monthly F",12,$AP123="One-Time",0),AU123*(1+$BD$2))</f>
        <v/>
      </c>
      <c r="AW123" s="14">
        <f t="array" ref="AW123">IFERROR(_xlfn.IFS(VALUE(MID(AW$5,6,1))&gt;$D$2,0,$AP123="Annual",1,AV123=12,12,$AP123="Monthly V",AV123*(1+$BD$2),$AP123="Monthly F",12,$AP123="One-Time",0),AV123*(1+$BD$2))</f>
        <v/>
      </c>
      <c r="AX123" s="14">
        <f t="array" ref="AX123">IFERROR(_xlfn.IFS(VALUE(MID(AX$5,6,1))&gt;$D$2,0,$AP123="Annual",1,AW123=12,12,$AP123="Monthly V",AW123*(1+$BD$2),$AP123="Monthly F",12,$AP123="One-Time",0),AW123*(1+$BD$2))</f>
        <v/>
      </c>
      <c r="AY123" s="14">
        <f t="array" ref="AY123">IFERROR(_xlfn.IFS(VALUE(MID(AY$5,6,1))&gt;$D$2,0,$AP123="Annual",1,AX123=12,12,$AP123="Monthly V",AX123*(1+$D$3),$AP123="Monthly F",12,$AP123="One-Time",0),AX123*(1+$D$3))</f>
        <v/>
      </c>
      <c r="AZ123" s="14">
        <f t="array" ref="AZ123">IFERROR(_xlfn.IFS(VALUE(MID(AZ$5,6,1))&gt;$D$2,0,$AP123="Annual",1,AY123=12,12,$AP123="Monthly V",AY123*(1+$D$3),$AP123="Monthly F",12,$AP123="One-Time",0),AY123*(1+$D$3))</f>
        <v/>
      </c>
      <c r="BA123" s="125">
        <f t="array" ref="BA123">IFERROR(_xlfn.IFS(VALUE(MID(BA$5,6,2))&gt;$D$2,0,$AP123="Annual",1,AZ123=12,12,$AP123="Monthly V",AZ123*(1+$D$3),$AP123="Monthly F",12,$AP123="One-Time",0),AZ123*(1+$D$3))</f>
        <v/>
      </c>
      <c r="BB123" s="124" t="inlineStr">
        <is>
          <t>SilverLake Teller Static Training Bank</t>
        </is>
      </c>
      <c r="BC123" s="38" t="inlineStr">
        <is>
          <t>SilverLake</t>
        </is>
      </c>
      <c r="BD123" s="36" t="n">
        <v>165</v>
      </c>
      <c r="BE123" s="21">
        <f>BF123/12</f>
        <v/>
      </c>
      <c r="BF123" s="39">
        <f>IFERROR(AR123*$BD123,0)</f>
        <v/>
      </c>
      <c r="BG123" s="39">
        <f>IFERROR(AS123*$BD123,0)</f>
        <v/>
      </c>
      <c r="BH123" s="39">
        <f>IFERROR(AT123*$BD123,0)</f>
        <v/>
      </c>
      <c r="BI123" s="39">
        <f>BH123*1.03</f>
        <v/>
      </c>
      <c r="BJ123" s="39">
        <f>BI123*1.03</f>
        <v/>
      </c>
      <c r="BK123" s="39">
        <f>BJ123*1.03</f>
        <v/>
      </c>
      <c r="BL123" s="39">
        <f>BK123*1.03</f>
        <v/>
      </c>
      <c r="BM123" s="39">
        <f>IFERROR(AY123*$BD123,0)</f>
        <v/>
      </c>
      <c r="BN123" s="39">
        <f>IFERROR(AZ123*$BD123,0)</f>
        <v/>
      </c>
      <c r="BO123" s="39">
        <f>IFERROR(BA123*$BD123,0)</f>
        <v/>
      </c>
      <c r="BP123" s="40" t="n"/>
      <c r="BQ123" s="40">
        <f>IF(VALUE(MID(BQ$5,6,1))&lt;=$D$2,((1+$BD$3)^1-1)*BG123,0)</f>
        <v/>
      </c>
      <c r="BR123" s="40">
        <f>IF(VALUE(MID(BR$5,6,1))&lt;=$D$2,((1+$BD$3)^2-1)*BH123,0)</f>
        <v/>
      </c>
      <c r="BS123" s="40">
        <f>IF(VALUE(MID(BS$5,6,1))&lt;=$D$2,((1+$BD$3)^3-1)*BI123,0)</f>
        <v/>
      </c>
      <c r="BT123" s="40">
        <f>IF(VALUE(MID(BT$5,6,1))&lt;=$D$2,((1+$BD$3)^4-1)*BJ123,0)</f>
        <v/>
      </c>
      <c r="BU123" s="40">
        <f>IF(VALUE(MID(BU$5,6,1))&lt;=$D$2,((1+$BD$3)^5-1)*BK123,0)</f>
        <v/>
      </c>
      <c r="BV123" s="40">
        <f>IF(VALUE(MID(BV$5,6,1))&lt;=$D$2,((1+$BD$3)^6-1)*BL123,0)</f>
        <v/>
      </c>
      <c r="BW123" s="40">
        <f>IF(VALUE(MID(BW$5,6,1))&lt;=$D$2,((1+$BD$3)^7-1)*BM123,0)</f>
        <v/>
      </c>
      <c r="BX123" s="40">
        <f>IF(VALUE(MID(BX$5,6,1))&lt;=$D$2,((1+$BD$3)^8-1)*BN123,0)</f>
        <v/>
      </c>
      <c r="BY123" s="40">
        <f>IF(VALUE(MID(BY$5,6,2))&lt;=$D$2,((1+$BD$3)^9-1)*BO123,0)</f>
        <v/>
      </c>
      <c r="BZ123" s="40">
        <f>SUM(BP123:BY123)</f>
        <v/>
      </c>
      <c r="CA123" s="37">
        <f>SUM(BZ123,BF123:BO123)</f>
        <v/>
      </c>
      <c r="CC123" s="102" t="n"/>
      <c r="CD123" s="12" t="n"/>
      <c r="CE123" s="14">
        <f>IF($CC123="Annual",1,IF($CC123="Monthly F",12,IF($CC123="Monthly V",CD123*12,IF($CC123="One-Time",1,CD123*12))))</f>
        <v/>
      </c>
      <c r="CF123" s="14">
        <f t="array" ref="CF123">IFERROR(_xlfn.IFS(VALUE(MID(CF$5,6,1))&gt;$D$2,0,$CC123="Annual",1,CE123=12,12,$CC123="Monthly V",CE123*(1+$D$3),$CC123="Monthly F",12,$CC123="One-Time",0),CE123*(1+$D$3))</f>
        <v/>
      </c>
      <c r="CG123" s="14">
        <f t="array" ref="CG123">IFERROR(_xlfn.IFS(VALUE(MID(CG$5,6,1))&gt;$D$2,0,$CC123="Annual",1,CF123=12,12,$CC123="Monthly V",CF123*(1+$D$3),$CC123="Monthly F",12,$CC123="One-Time",0),CF123*(1+$D$3))</f>
        <v/>
      </c>
      <c r="CH123" s="14">
        <f t="array" ref="CH123">IFERROR(_xlfn.IFS(VALUE(MID(CH$5,6,1))&gt;$D$2,0,$CC123="Annual",1,CG123=12,12,$CC123="Monthly V",CG123*(1+$D$3),$CC123="Monthly F",12,$CC123="One-Time",0),CG123*(1+$D$3))</f>
        <v/>
      </c>
      <c r="CI123" s="14">
        <f t="array" ref="CI123">IFERROR(_xlfn.IFS(VALUE(MID(CI$5,6,1))&gt;$D$2,0,$CC123="Annual",1,CH123=12,12,$CC123="Monthly V",CH123*(1+$D$3),$CC123="Monthly F",12,$CC123="One-Time",0),CH123*(1+$D$3))</f>
        <v/>
      </c>
      <c r="CJ123" s="14">
        <f t="array" ref="CJ123">IFERROR(_xlfn.IFS(VALUE(MID(CJ$5,6,1))&gt;$D$2,0,$CC123="Annual",1,CI123=12,12,$CC123="Monthly V",CI123*(1+$D$3),$CC123="Monthly F",12,$CC123="One-Time",0),CI123*(1+$D$3))</f>
        <v/>
      </c>
      <c r="CK123" s="14">
        <f t="array" ref="CK123">IFERROR(_xlfn.IFS(VALUE(MID(CK$5,6,1))&gt;$D$2,0,$CC123="Annual",1,CJ123=12,12,$CC123="Monthly V",CJ123*(1+$D$3),$CC123="Monthly F",12,$CC123="One-Time",0),CJ123*(1+$D$3))</f>
        <v/>
      </c>
      <c r="CL123" s="14">
        <f t="array" ref="CL123">IFERROR(_xlfn.IFS(VALUE(MID(CL$5,6,1))&gt;$D$2,0,$CC123="Annual",1,CK123=12,12,$CC123="Monthly V",CK123*(1+$D$3),$CC123="Monthly F",12,$CC123="One-Time",0),CK123*(1+$D$3))</f>
        <v/>
      </c>
      <c r="CM123" s="14">
        <f t="array" ref="CM123">IFERROR(_xlfn.IFS(VALUE(MID(CM$5,6,1))&gt;$D$2,0,$CC123="Annual",1,CL123=12,12,$CC123="Monthly V",CL123*(1+$D$3),$CC123="Monthly F",12,$CC123="One-Time",0),CL123*(1+$D$3))</f>
        <v/>
      </c>
      <c r="CN123" s="24">
        <f t="array" ref="CN123">IFERROR(_xlfn.IFS(VALUE(MID(CN$5,6,2))&gt;$D$2,0,$CC123="Annual",1,CM123=12,12,$CC123="Monthly V",CM123*(1+$D$3),$CC123="Monthly F",12,$CC123="One-Time",0),CM123*(1+$D$3))</f>
        <v/>
      </c>
      <c r="CO123" s="63" t="n"/>
      <c r="CP123" s="53" t="n"/>
      <c r="CQ123" s="21">
        <f>CR123/12</f>
        <v/>
      </c>
      <c r="CR123" s="55">
        <f>IFERROR(CE123*$CP123,0)</f>
        <v/>
      </c>
      <c r="CS123" s="55">
        <f>IFERROR(CF123*$CP123,0)</f>
        <v/>
      </c>
      <c r="CT123" s="55">
        <f>IFERROR(CG123*$CP123,0)</f>
        <v/>
      </c>
      <c r="CU123" s="55">
        <f>IFERROR(CH123*$CP123,0)</f>
        <v/>
      </c>
      <c r="CV123" s="55">
        <f>IFERROR(CI123*$CP123,0)</f>
        <v/>
      </c>
      <c r="CW123" s="55">
        <f>IFERROR(CJ123*$CP123,0)</f>
        <v/>
      </c>
      <c r="CX123" s="55">
        <f>IFERROR(CK123*$CP123,0)</f>
        <v/>
      </c>
      <c r="CY123" s="55">
        <f>IFERROR(CL123*$CP123,0)</f>
        <v/>
      </c>
      <c r="CZ123" s="55">
        <f>IFERROR(CM123*$CP123,0)</f>
        <v/>
      </c>
      <c r="DA123" s="55">
        <f>IFERROR(CN123*$CP123,0)</f>
        <v/>
      </c>
      <c r="DB123" s="56" t="n"/>
      <c r="DC123" s="56">
        <f>IF(VALUE(MID(DC$5,6,1))&lt;=$D$2,((1+$CP$3)^1-1)*CS123,0)</f>
        <v/>
      </c>
      <c r="DD123" s="56">
        <f>IF(VALUE(MID(DD$5,6,1))&lt;=$D$2,((1+$CP$3)^2-1)*CT123,0)</f>
        <v/>
      </c>
      <c r="DE123" s="56">
        <f>IF(VALUE(MID(DE$5,6,1))&lt;=$D$2,((1+$CP$3)^3-1)*CU123,0)</f>
        <v/>
      </c>
      <c r="DF123" s="56">
        <f>IF(VALUE(MID(DF$5,6,1))&lt;=$D$2,((1+$CP$3)^4-1)*CV123,0)</f>
        <v/>
      </c>
      <c r="DG123" s="56">
        <f>IF(VALUE(MID(DG$5,6,1))&lt;=$D$2,((1+$CP$3)^5-1)*CW123,0)</f>
        <v/>
      </c>
      <c r="DH123" s="56">
        <f>IF(VALUE(MID(DH$5,6,1))&lt;=$D$2,((1+$CP$3)^6-1)*CX123,0)</f>
        <v/>
      </c>
      <c r="DI123" s="56">
        <f>IF(VALUE(MID(DI$5,6,1))&lt;=$D$2,((1+$CP$3)^7-1)*CY123,0)</f>
        <v/>
      </c>
      <c r="DJ123" s="56">
        <f>IF(VALUE(MID(DJ$5,6,1))&lt;=$D$2,((1+$CP$3)^8-1)*CZ123,0)</f>
        <v/>
      </c>
      <c r="DK123" s="56">
        <f>IF(VALUE(MID(DK$5,6,2))&lt;=$D$2,((1+$CP$3)^9-1)*DA123,0)</f>
        <v/>
      </c>
      <c r="DL123" s="57">
        <f>SUM(DB123:DK123)</f>
        <v/>
      </c>
      <c r="DM123" s="54">
        <f>SUM(DL123,CR123:DA123)</f>
        <v/>
      </c>
      <c r="DO123" s="106" t="n"/>
    </row>
    <row r="124">
      <c r="B124" s="141" t="inlineStr">
        <is>
          <t>Monthly V</t>
        </is>
      </c>
      <c r="C124" s="24" t="n">
        <v>100</v>
      </c>
      <c r="D124" s="147">
        <f>IFERROR(AVERAGE(C124:C124),0)</f>
        <v/>
      </c>
      <c r="E124" s="142">
        <f>IF($B124="Annual",1,IF($B124="Monthly F",12,IF($B124="Monthly V",D124*12,IF($B124="One-Time",1,D124*12))))</f>
        <v/>
      </c>
      <c r="F124" s="14">
        <f t="array" ref="F124">IFERROR(_xlfn.IFS(VALUE(MID(F$5,6,1))&gt;$D$2,0,$B124="Annual",1,E124=12,12,$B124="Monthly V",E124*(1+$D$3),$B124="Monthly F",12,$B124="One-Time",0),E124*(1+$D$3))</f>
        <v/>
      </c>
      <c r="G124" s="14">
        <f t="array" ref="G124">IFERROR(_xlfn.IFS(VALUE(MID(G$5,6,1))&gt;$D$2,0,$B124="Annual",1,F124=12,12,$B124="Monthly V",F124*(1+$D$3),$B124="Monthly F",12,$B124="One-Time",0),F124*(1+$D$3))</f>
        <v/>
      </c>
      <c r="H124" s="14">
        <f t="array" ref="H124">IFERROR(_xlfn.IFS(VALUE(MID(H$5,6,1))&gt;$D$2,0,$B124="Annual",1,G124=12,12,$B124="Monthly V",G124*(1+$D$3),$B124="Monthly F",12,$B124="One-Time",0),G124*(1+$D$3))</f>
        <v/>
      </c>
      <c r="I124" s="14">
        <f t="array" ref="I124">IFERROR(_xlfn.IFS(VALUE(MID(I$5,6,1))&gt;$D$2,0,$B124="Annual",1,H124=12,12,$B124="Monthly V",H124*(1+$D$3),$B124="Monthly F",12,$B124="One-Time",0),H124*(1+$D$3))</f>
        <v/>
      </c>
      <c r="J124" s="14">
        <f t="array" ref="J124">IFERROR(_xlfn.IFS(VALUE(MID(J$5,6,1))&gt;$D$2,0,$B124="Annual",1,I124=12,12,$B124="Monthly V",I124*(1+$D$3),$B124="Monthly F",12,$B124="One-Time",0),I124*(1+$D$3))</f>
        <v/>
      </c>
      <c r="K124" s="14">
        <f t="array" ref="K124">IFERROR(_xlfn.IFS(VALUE(MID(K$5,6,1))&gt;$D$2,0,$B124="Annual",1,J124=12,12,$B124="Monthly V",J124*(1+$D$3),$B124="Monthly F",12,$B124="One-Time",0),J124*(1+$D$3))</f>
        <v/>
      </c>
      <c r="L124" s="14">
        <f t="array" ref="L124">IFERROR(_xlfn.IFS(VALUE(MID(L$5,6,1))&gt;$D$2,0,$B124="Annual",1,K124=12,12,$B124="Monthly V",K124*(1+$D$3),$B124="Monthly F",12,$B124="One-Time",0),K124*(1+$D$3))</f>
        <v/>
      </c>
      <c r="M124" s="14">
        <f t="array" ref="M124">IFERROR(_xlfn.IFS(VALUE(MID(M$5,6,1))&gt;$D$2,0,$B124="Annual",1,L124=12,12,$B124="Monthly V",L124*(1+$D$3),$B124="Monthly F",12,$B124="One-Time",0),L124*(1+$D$3))</f>
        <v/>
      </c>
      <c r="N124" s="24">
        <f t="array" ref="N124">IFERROR(_xlfn.IFS(VALUE(MID(N$5,6,2))&gt;$D$2,0,$B124="Annual",1,M124=12,12,$B124="Monthly V",M124*(1+$D$3),$B124="Monthly F",12,$B124="One-Time",0),M124*(1+$D$3))</f>
        <v/>
      </c>
      <c r="O124" s="127" t="inlineStr">
        <is>
          <t>Start Card (Temporary Debit Card)</t>
        </is>
      </c>
      <c r="P124" s="13" t="n"/>
      <c r="Q124" s="20" t="n">
        <v>150</v>
      </c>
      <c r="R124" s="21">
        <f>S124/12</f>
        <v/>
      </c>
      <c r="S124" s="6">
        <f>IFERROR($Q124*E124,0)</f>
        <v/>
      </c>
      <c r="T124" s="6">
        <f>IFERROR($Q124*F124,0)</f>
        <v/>
      </c>
      <c r="U124" s="6">
        <f>IFERROR($Q124*G124,0)</f>
        <v/>
      </c>
      <c r="V124" s="6">
        <f>IFERROR($Q124*H124,0)</f>
        <v/>
      </c>
      <c r="W124" s="6">
        <f>IFERROR($Q124*I124,0)</f>
        <v/>
      </c>
      <c r="X124" s="6">
        <f>IFERROR($Q124*J124,0)</f>
        <v/>
      </c>
      <c r="Y124" s="6">
        <f>IFERROR($Q124*K124,0)</f>
        <v/>
      </c>
      <c r="Z124" s="6">
        <f>IFERROR($Q124*L124,0)</f>
        <v/>
      </c>
      <c r="AA124" s="6">
        <f>IFERROR($Q124*M124,0)</f>
        <v/>
      </c>
      <c r="AB124" s="6">
        <f>IFERROR($Q124*N124,0)</f>
        <v/>
      </c>
      <c r="AC124" s="7" t="n"/>
      <c r="AD124" s="152">
        <f>IF(VALUE(MID(AD$5,6,1))&lt;=$D$2,((1+$Q$3)^1-1)*T124,0)</f>
        <v/>
      </c>
      <c r="AE124" s="152">
        <f>IF(VALUE(MID(AE$5,6,1))&lt;=$D$2,((1+$Q$3)^2-1)*U124,0)</f>
        <v/>
      </c>
      <c r="AF124" s="152">
        <f>IF(VALUE(MID(AF$5,6,1))&lt;=$D$2,((1+$Q$3)^3-1)*V124,0)</f>
        <v/>
      </c>
      <c r="AG124" s="152">
        <f>IF(VALUE(MID(AG$5,6,1))&lt;=$D$2,((1+$Q$3)^4-1)*W124,0)</f>
        <v/>
      </c>
      <c r="AH124" s="152">
        <f>IF(VALUE(MID(AH$5,6,1))&lt;=$D$2,((1+$Q$3)^5-1)*X124,0)</f>
        <v/>
      </c>
      <c r="AI124" s="152">
        <f>IF(VALUE(MID(AI$5,6,1))&lt;=$D$2,((1+$Q$3)^6-1)*Y124,0)</f>
        <v/>
      </c>
      <c r="AJ124" s="152">
        <f>IF(VALUE(MID(AJ$5,6,1))&lt;=$D$2,((1+$Q$3)^7-1)*Z124,0)</f>
        <v/>
      </c>
      <c r="AK124" s="152">
        <f>IF(VALUE(MID(AK$5,6,1))&lt;=$D$2,((1+$Q$3)^8-1)*AA124,0)</f>
        <v/>
      </c>
      <c r="AL124" s="152">
        <f>IF(VALUE(MID(AL$5,6,2))&lt;=$D$2,((1+$Q$3)^9-1)*AB124,0)</f>
        <v/>
      </c>
      <c r="AM124" s="9">
        <f>SUM(AC124:AL124)</f>
        <v/>
      </c>
      <c r="AN124" s="80">
        <f>SUM(AM124,S124:AB124)</f>
        <v/>
      </c>
      <c r="AP124" s="102" t="inlineStr">
        <is>
          <t>Monthly F</t>
        </is>
      </c>
      <c r="AQ124" s="12" t="n">
        <v>1</v>
      </c>
      <c r="AR124" s="14">
        <f>IF($AP124="Annual",1,IF($AP124="Monthly F",12,IF($AP124="Monthly V",AQ124*12,IF($AP124="One-Time",1,AQ124*12))))</f>
        <v/>
      </c>
      <c r="AS124" s="14">
        <f t="array" ref="AS124">IFERROR(_xlfn.IFS(VALUE(MID(AS$5,6,1))&gt;$D$2,0,$AP124="Annual",1,AR124=12,12,$AP124="Monthly V",AR124*(1+$BD$2),$AP124="Monthly F",12,$AP124="One-Time",0),AR124*(1+$BD$2))</f>
        <v/>
      </c>
      <c r="AT124" s="14">
        <f t="array" ref="AT124">IFERROR(_xlfn.IFS(VALUE(MID(AT$5,6,1))&gt;$D$2,0,$AP124="Annual",1,AS124=12,12,$AP124="Monthly V",AS124*(1+$BD$2),$AP124="Monthly F",12,$AP124="One-Time",0),AS124*(1+$BD$2))</f>
        <v/>
      </c>
      <c r="AU124" s="14">
        <f t="array" ref="AU124">IFERROR(_xlfn.IFS(VALUE(MID(AU$5,6,1))&gt;$D$2,0,$AP124="Annual",1,AT124=12,12,$AP124="Monthly V",AT124*(1+$BD$2),$AP124="Monthly F",12,$AP124="One-Time",0),AT124*(1+$BD$2))</f>
        <v/>
      </c>
      <c r="AV124" s="14">
        <f t="array" ref="AV124">IFERROR(_xlfn.IFS(VALUE(MID(AV$5,6,1))&gt;$D$2,0,$AP124="Annual",1,AU124=12,12,$AP124="Monthly V",AU124*(1+$BD$2),$AP124="Monthly F",12,$AP124="One-Time",0),AU124*(1+$BD$2))</f>
        <v/>
      </c>
      <c r="AW124" s="14">
        <f t="array" ref="AW124">IFERROR(_xlfn.IFS(VALUE(MID(AW$5,6,1))&gt;$D$2,0,$AP124="Annual",1,AV124=12,12,$AP124="Monthly V",AV124*(1+$BD$2),$AP124="Monthly F",12,$AP124="One-Time",0),AV124*(1+$BD$2))</f>
        <v/>
      </c>
      <c r="AX124" s="14">
        <f t="array" ref="AX124">IFERROR(_xlfn.IFS(VALUE(MID(AX$5,6,1))&gt;$D$2,0,$AP124="Annual",1,AW124=12,12,$AP124="Monthly V",AW124*(1+$BD$2),$AP124="Monthly F",12,$AP124="One-Time",0),AW124*(1+$BD$2))</f>
        <v/>
      </c>
      <c r="AY124" s="14">
        <f t="array" ref="AY124">IFERROR(_xlfn.IFS(VALUE(MID(AY$5,6,1))&gt;$D$2,0,$AP124="Annual",1,AX124=12,12,$AP124="Monthly V",AX124*(1+$D$3),$AP124="Monthly F",12,$AP124="One-Time",0),AX124*(1+$D$3))</f>
        <v/>
      </c>
      <c r="AZ124" s="14">
        <f t="array" ref="AZ124">IFERROR(_xlfn.IFS(VALUE(MID(AZ$5,6,1))&gt;$D$2,0,$AP124="Annual",1,AY124=12,12,$AP124="Monthly V",AY124*(1+$D$3),$AP124="Monthly F",12,$AP124="One-Time",0),AY124*(1+$D$3))</f>
        <v/>
      </c>
      <c r="BA124" s="125">
        <f t="array" ref="BA124">IFERROR(_xlfn.IFS(VALUE(MID(BA$5,6,2))&gt;$D$2,0,$AP124="Annual",1,AZ124=12,12,$AP124="Monthly V",AZ124*(1+$D$3),$AP124="Monthly F",12,$AP124="One-Time",0),AZ124*(1+$D$3))</f>
        <v/>
      </c>
      <c r="BB124" s="124" t="inlineStr">
        <is>
          <t>Platform Static Training Bank</t>
        </is>
      </c>
      <c r="BC124" s="38" t="inlineStr">
        <is>
          <t>SilverLake</t>
        </is>
      </c>
      <c r="BD124" s="36" t="n">
        <v>165</v>
      </c>
      <c r="BE124" s="21">
        <f>BF124/12</f>
        <v/>
      </c>
      <c r="BF124" s="39">
        <f>IFERROR(AR124*$BD124,0)</f>
        <v/>
      </c>
      <c r="BG124" s="39">
        <f>IFERROR(AS124*$BD124,0)</f>
        <v/>
      </c>
      <c r="BH124" s="39">
        <f>IFERROR(AT124*$BD124,0)</f>
        <v/>
      </c>
      <c r="BI124" s="39">
        <f>BH124*1.03</f>
        <v/>
      </c>
      <c r="BJ124" s="39">
        <f>BI124*1.03</f>
        <v/>
      </c>
      <c r="BK124" s="39">
        <f>BJ124*1.03</f>
        <v/>
      </c>
      <c r="BL124" s="39">
        <f>BK124*1.03</f>
        <v/>
      </c>
      <c r="BM124" s="39">
        <f>IFERROR(AY124*$BD124,0)</f>
        <v/>
      </c>
      <c r="BN124" s="39">
        <f>IFERROR(AZ124*$BD124,0)</f>
        <v/>
      </c>
      <c r="BO124" s="39">
        <f>IFERROR(BA124*$BD124,0)</f>
        <v/>
      </c>
      <c r="BP124" s="40" t="n"/>
      <c r="BQ124" s="40">
        <f>IF(VALUE(MID(BQ$5,6,1))&lt;=$D$2,((1+$BD$3)^1-1)*BG124,0)</f>
        <v/>
      </c>
      <c r="BR124" s="40">
        <f>IF(VALUE(MID(BR$5,6,1))&lt;=$D$2,((1+$BD$3)^2-1)*BH124,0)</f>
        <v/>
      </c>
      <c r="BS124" s="40">
        <f>IF(VALUE(MID(BS$5,6,1))&lt;=$D$2,((1+$BD$3)^3-1)*BI124,0)</f>
        <v/>
      </c>
      <c r="BT124" s="40">
        <f>IF(VALUE(MID(BT$5,6,1))&lt;=$D$2,((1+$BD$3)^4-1)*BJ124,0)</f>
        <v/>
      </c>
      <c r="BU124" s="40">
        <f>IF(VALUE(MID(BU$5,6,1))&lt;=$D$2,((1+$BD$3)^5-1)*BK124,0)</f>
        <v/>
      </c>
      <c r="BV124" s="40">
        <f>IF(VALUE(MID(BV$5,6,1))&lt;=$D$2,((1+$BD$3)^6-1)*BL124,0)</f>
        <v/>
      </c>
      <c r="BW124" s="40">
        <f>IF(VALUE(MID(BW$5,6,1))&lt;=$D$2,((1+$BD$3)^7-1)*BM124,0)</f>
        <v/>
      </c>
      <c r="BX124" s="40">
        <f>IF(VALUE(MID(BX$5,6,1))&lt;=$D$2,((1+$BD$3)^8-1)*BN124,0)</f>
        <v/>
      </c>
      <c r="BY124" s="40">
        <f>IF(VALUE(MID(BY$5,6,2))&lt;=$D$2,((1+$BD$3)^9-1)*BO124,0)</f>
        <v/>
      </c>
      <c r="BZ124" s="40">
        <f>SUM(BP124:BY124)</f>
        <v/>
      </c>
      <c r="CA124" s="37">
        <f>SUM(BZ124,BF124:BO124)</f>
        <v/>
      </c>
      <c r="CC124" s="102" t="n"/>
      <c r="CD124" s="12" t="n"/>
      <c r="CE124" s="14">
        <f>IF($CC124="Annual",1,IF($CC124="Monthly F",12,IF($CC124="Monthly V",CD124*12,IF($CC124="One-Time",1,CD124*12))))</f>
        <v/>
      </c>
      <c r="CF124" s="14">
        <f t="array" ref="CF124">IFERROR(_xlfn.IFS(VALUE(MID(CF$5,6,1))&gt;$D$2,0,$CC124="Annual",1,CE124=12,12,$CC124="Monthly V",CE124*(1+$D$3),$CC124="Monthly F",12,$CC124="One-Time",0),CE124*(1+$D$3))</f>
        <v/>
      </c>
      <c r="CG124" s="14">
        <f t="array" ref="CG124">IFERROR(_xlfn.IFS(VALUE(MID(CG$5,6,1))&gt;$D$2,0,$CC124="Annual",1,CF124=12,12,$CC124="Monthly V",CF124*(1+$D$3),$CC124="Monthly F",12,$CC124="One-Time",0),CF124*(1+$D$3))</f>
        <v/>
      </c>
      <c r="CH124" s="14">
        <f t="array" ref="CH124">IFERROR(_xlfn.IFS(VALUE(MID(CH$5,6,1))&gt;$D$2,0,$CC124="Annual",1,CG124=12,12,$CC124="Monthly V",CG124*(1+$D$3),$CC124="Monthly F",12,$CC124="One-Time",0),CG124*(1+$D$3))</f>
        <v/>
      </c>
      <c r="CI124" s="14">
        <f t="array" ref="CI124">IFERROR(_xlfn.IFS(VALUE(MID(CI$5,6,1))&gt;$D$2,0,$CC124="Annual",1,CH124=12,12,$CC124="Monthly V",CH124*(1+$D$3),$CC124="Monthly F",12,$CC124="One-Time",0),CH124*(1+$D$3))</f>
        <v/>
      </c>
      <c r="CJ124" s="14">
        <f t="array" ref="CJ124">IFERROR(_xlfn.IFS(VALUE(MID(CJ$5,6,1))&gt;$D$2,0,$CC124="Annual",1,CI124=12,12,$CC124="Monthly V",CI124*(1+$D$3),$CC124="Monthly F",12,$CC124="One-Time",0),CI124*(1+$D$3))</f>
        <v/>
      </c>
      <c r="CK124" s="14">
        <f t="array" ref="CK124">IFERROR(_xlfn.IFS(VALUE(MID(CK$5,6,1))&gt;$D$2,0,$CC124="Annual",1,CJ124=12,12,$CC124="Monthly V",CJ124*(1+$D$3),$CC124="Monthly F",12,$CC124="One-Time",0),CJ124*(1+$D$3))</f>
        <v/>
      </c>
      <c r="CL124" s="14">
        <f t="array" ref="CL124">IFERROR(_xlfn.IFS(VALUE(MID(CL$5,6,1))&gt;$D$2,0,$CC124="Annual",1,CK124=12,12,$CC124="Monthly V",CK124*(1+$D$3),$CC124="Monthly F",12,$CC124="One-Time",0),CK124*(1+$D$3))</f>
        <v/>
      </c>
      <c r="CM124" s="14">
        <f t="array" ref="CM124">IFERROR(_xlfn.IFS(VALUE(MID(CM$5,6,1))&gt;$D$2,0,$CC124="Annual",1,CL124=12,12,$CC124="Monthly V",CL124*(1+$D$3),$CC124="Monthly F",12,$CC124="One-Time",0),CL124*(1+$D$3))</f>
        <v/>
      </c>
      <c r="CN124" s="24">
        <f t="array" ref="CN124">IFERROR(_xlfn.IFS(VALUE(MID(CN$5,6,2))&gt;$D$2,0,$CC124="Annual",1,CM124=12,12,$CC124="Monthly V",CM124*(1+$D$3),$CC124="Monthly F",12,$CC124="One-Time",0),CM124*(1+$D$3))</f>
        <v/>
      </c>
      <c r="CO124" s="63" t="n"/>
      <c r="CP124" s="53" t="n"/>
      <c r="CQ124" s="21">
        <f>CR124/12</f>
        <v/>
      </c>
      <c r="CR124" s="55">
        <f>IFERROR(CE124*$CP124,0)</f>
        <v/>
      </c>
      <c r="CS124" s="55">
        <f>IFERROR(CF124*$CP124,0)</f>
        <v/>
      </c>
      <c r="CT124" s="55">
        <f>IFERROR(CG124*$CP124,0)</f>
        <v/>
      </c>
      <c r="CU124" s="55">
        <f>IFERROR(CH124*$CP124,0)</f>
        <v/>
      </c>
      <c r="CV124" s="55">
        <f>IFERROR(CI124*$CP124,0)</f>
        <v/>
      </c>
      <c r="CW124" s="55">
        <f>IFERROR(CJ124*$CP124,0)</f>
        <v/>
      </c>
      <c r="CX124" s="55">
        <f>IFERROR(CK124*$CP124,0)</f>
        <v/>
      </c>
      <c r="CY124" s="55">
        <f>IFERROR(CL124*$CP124,0)</f>
        <v/>
      </c>
      <c r="CZ124" s="55">
        <f>IFERROR(CM124*$CP124,0)</f>
        <v/>
      </c>
      <c r="DA124" s="55">
        <f>IFERROR(CN124*$CP124,0)</f>
        <v/>
      </c>
      <c r="DB124" s="56" t="n"/>
      <c r="DC124" s="56">
        <f>IF(VALUE(MID(DC$5,6,1))&lt;=$D$2,((1+$CP$3)^1-1)*CS124,0)</f>
        <v/>
      </c>
      <c r="DD124" s="56">
        <f>IF(VALUE(MID(DD$5,6,1))&lt;=$D$2,((1+$CP$3)^2-1)*CT124,0)</f>
        <v/>
      </c>
      <c r="DE124" s="56">
        <f>IF(VALUE(MID(DE$5,6,1))&lt;=$D$2,((1+$CP$3)^3-1)*CU124,0)</f>
        <v/>
      </c>
      <c r="DF124" s="56">
        <f>IF(VALUE(MID(DF$5,6,1))&lt;=$D$2,((1+$CP$3)^4-1)*CV124,0)</f>
        <v/>
      </c>
      <c r="DG124" s="56">
        <f>IF(VALUE(MID(DG$5,6,1))&lt;=$D$2,((1+$CP$3)^5-1)*CW124,0)</f>
        <v/>
      </c>
      <c r="DH124" s="56">
        <f>IF(VALUE(MID(DH$5,6,1))&lt;=$D$2,((1+$CP$3)^6-1)*CX124,0)</f>
        <v/>
      </c>
      <c r="DI124" s="56">
        <f>IF(VALUE(MID(DI$5,6,1))&lt;=$D$2,((1+$CP$3)^7-1)*CY124,0)</f>
        <v/>
      </c>
      <c r="DJ124" s="56">
        <f>IF(VALUE(MID(DJ$5,6,1))&lt;=$D$2,((1+$CP$3)^8-1)*CZ124,0)</f>
        <v/>
      </c>
      <c r="DK124" s="56">
        <f>IF(VALUE(MID(DK$5,6,2))&lt;=$D$2,((1+$CP$3)^9-1)*DA124,0)</f>
        <v/>
      </c>
      <c r="DL124" s="57">
        <f>SUM(DB124:DK124)</f>
        <v/>
      </c>
      <c r="DM124" s="54">
        <f>SUM(DL124,CR124:DA124)</f>
        <v/>
      </c>
      <c r="DO124" s="106" t="n"/>
    </row>
    <row r="125">
      <c r="B125" s="141" t="inlineStr">
        <is>
          <t>One-Time</t>
        </is>
      </c>
      <c r="C125" s="24" t="n"/>
      <c r="D125" s="147">
        <f>IFERROR(AVERAGE(C125:C125),0)</f>
        <v/>
      </c>
      <c r="E125" s="142">
        <f>IF($B125="Annual",1,IF($B125="Monthly F",12,IF($B125="Monthly V",D125*12,IF($B125="One-Time",1,D125*12))))</f>
        <v/>
      </c>
      <c r="F125" s="14">
        <f t="array" ref="F125">IFERROR(_xlfn.IFS(VALUE(MID(F$5,6,1))&gt;$D$2,0,$B125="Annual",1,E125=12,12,$B125="Monthly V",E125*(1+$D$3),$B125="Monthly F",12,$B125="One-Time",0),E125*(1+$D$3))</f>
        <v/>
      </c>
      <c r="G125" s="14">
        <f t="array" ref="G125">IFERROR(_xlfn.IFS(VALUE(MID(G$5,6,1))&gt;$D$2,0,$B125="Annual",1,F125=12,12,$B125="Monthly V",F125*(1+$D$3),$B125="Monthly F",12,$B125="One-Time",0),F125*(1+$D$3))</f>
        <v/>
      </c>
      <c r="H125" s="14">
        <f t="array" ref="H125">IFERROR(_xlfn.IFS(VALUE(MID(H$5,6,1))&gt;$D$2,0,$B125="Annual",1,G125=12,12,$B125="Monthly V",G125*(1+$D$3),$B125="Monthly F",12,$B125="One-Time",0),G125*(1+$D$3))</f>
        <v/>
      </c>
      <c r="I125" s="14">
        <f t="array" ref="I125">IFERROR(_xlfn.IFS(VALUE(MID(I$5,6,1))&gt;$D$2,0,$B125="Annual",1,H125=12,12,$B125="Monthly V",H125*(1+$D$3),$B125="Monthly F",12,$B125="One-Time",0),H125*(1+$D$3))</f>
        <v/>
      </c>
      <c r="J125" s="14">
        <f t="array" ref="J125">IFERROR(_xlfn.IFS(VALUE(MID(J$5,6,1))&gt;$D$2,0,$B125="Annual",1,I125=12,12,$B125="Monthly V",I125*(1+$D$3),$B125="Monthly F",12,$B125="One-Time",0),I125*(1+$D$3))</f>
        <v/>
      </c>
      <c r="K125" s="14">
        <f t="array" ref="K125">IFERROR(_xlfn.IFS(VALUE(MID(K$5,6,1))&gt;$D$2,0,$B125="Annual",1,J125=12,12,$B125="Monthly V",J125*(1+$D$3),$B125="Monthly F",12,$B125="One-Time",0),J125*(1+$D$3))</f>
        <v/>
      </c>
      <c r="L125" s="14">
        <f t="array" ref="L125">IFERROR(_xlfn.IFS(VALUE(MID(L$5,6,1))&gt;$D$2,0,$B125="Annual",1,K125=12,12,$B125="Monthly V",K125*(1+$D$3),$B125="Monthly F",12,$B125="One-Time",0),K125*(1+$D$3))</f>
        <v/>
      </c>
      <c r="M125" s="14">
        <f t="array" ref="M125">IFERROR(_xlfn.IFS(VALUE(MID(M$5,6,1))&gt;$D$2,0,$B125="Annual",1,L125=12,12,$B125="Monthly V",L125*(1+$D$3),$B125="Monthly F",12,$B125="One-Time",0),L125*(1+$D$3))</f>
        <v/>
      </c>
      <c r="N125" s="24">
        <f t="array" ref="N125">IFERROR(_xlfn.IFS(VALUE(MID(N$5,6,2))&gt;$D$2,0,$B125="Annual",1,M125=12,12,$B125="Monthly V",M125*(1+$D$3),$B125="Monthly F",12,$B125="One-Time",0),M125*(1+$D$3))</f>
        <v/>
      </c>
      <c r="O125" s="127" t="inlineStr">
        <is>
          <t>Start Card (Temporary Debit Card) Implementation Fee</t>
        </is>
      </c>
      <c r="P125" s="13" t="n"/>
      <c r="Q125" s="20" t="n">
        <v>2000</v>
      </c>
      <c r="R125" s="21">
        <f>S125/12</f>
        <v/>
      </c>
      <c r="S125" s="6">
        <f>IFERROR($Q125*E125,0)</f>
        <v/>
      </c>
      <c r="T125" s="6">
        <f>IFERROR($Q125*F125,0)</f>
        <v/>
      </c>
      <c r="U125" s="6">
        <f>IFERROR($Q125*G125,0)</f>
        <v/>
      </c>
      <c r="V125" s="6">
        <f>IFERROR($Q125*H125,0)</f>
        <v/>
      </c>
      <c r="W125" s="6">
        <f>IFERROR($Q125*I125,0)</f>
        <v/>
      </c>
      <c r="X125" s="6">
        <f>IFERROR($Q125*J125,0)</f>
        <v/>
      </c>
      <c r="Y125" s="6">
        <f>IFERROR($Q125*K125,0)</f>
        <v/>
      </c>
      <c r="Z125" s="6">
        <f>IFERROR($Q125*L125,0)</f>
        <v/>
      </c>
      <c r="AA125" s="6">
        <f>IFERROR($Q125*M125,0)</f>
        <v/>
      </c>
      <c r="AB125" s="6">
        <f>IFERROR($Q125*N125,0)</f>
        <v/>
      </c>
      <c r="AC125" s="7" t="n"/>
      <c r="AD125" s="152">
        <f>IF(VALUE(MID(AD$5,6,1))&lt;=$D$2,((1+$Q$3)^1-1)*T125,0)</f>
        <v/>
      </c>
      <c r="AE125" s="152">
        <f>IF(VALUE(MID(AE$5,6,1))&lt;=$D$2,((1+$Q$3)^2-1)*U125,0)</f>
        <v/>
      </c>
      <c r="AF125" s="152">
        <f>IF(VALUE(MID(AF$5,6,1))&lt;=$D$2,((1+$Q$3)^3-1)*V125,0)</f>
        <v/>
      </c>
      <c r="AG125" s="152">
        <f>IF(VALUE(MID(AG$5,6,1))&lt;=$D$2,((1+$Q$3)^4-1)*W125,0)</f>
        <v/>
      </c>
      <c r="AH125" s="152">
        <f>IF(VALUE(MID(AH$5,6,1))&lt;=$D$2,((1+$Q$3)^5-1)*X125,0)</f>
        <v/>
      </c>
      <c r="AI125" s="152">
        <f>IF(VALUE(MID(AI$5,6,1))&lt;=$D$2,((1+$Q$3)^6-1)*Y125,0)</f>
        <v/>
      </c>
      <c r="AJ125" s="152">
        <f>IF(VALUE(MID(AJ$5,6,1))&lt;=$D$2,((1+$Q$3)^7-1)*Z125,0)</f>
        <v/>
      </c>
      <c r="AK125" s="152">
        <f>IF(VALUE(MID(AK$5,6,1))&lt;=$D$2,((1+$Q$3)^8-1)*AA125,0)</f>
        <v/>
      </c>
      <c r="AL125" s="152">
        <f>IF(VALUE(MID(AL$5,6,2))&lt;=$D$2,((1+$Q$3)^9-1)*AB125,0)</f>
        <v/>
      </c>
      <c r="AM125" s="9">
        <f>SUM(AC125:AL125)</f>
        <v/>
      </c>
      <c r="AN125" s="80">
        <f>SUM(AM125,S125:AB125)</f>
        <v/>
      </c>
      <c r="AP125" s="102" t="inlineStr">
        <is>
          <t>Monthly V</t>
        </is>
      </c>
      <c r="AQ125" s="12" t="n">
        <v>5000</v>
      </c>
      <c r="AR125" s="14">
        <f>IF($AP125="Annual",1,IF($AP125="Monthly F",12,IF($AP125="Monthly V",AQ125*12,IF($AP125="One-Time",1,AQ125*12))))</f>
        <v/>
      </c>
      <c r="AS125" s="14">
        <f t="array" ref="AS125">IFERROR(_xlfn.IFS(VALUE(MID(AS$5,6,1))&gt;$D$2,0,$AP125="Annual",1,AR125=12,12,$AP125="Monthly V",AR125*(1+$BD$2),$AP125="Monthly F",12,$AP125="One-Time",0),AR125*(1+$BD$2))</f>
        <v/>
      </c>
      <c r="AT125" s="14">
        <f t="array" ref="AT125">IFERROR(_xlfn.IFS(VALUE(MID(AT$5,6,1))&gt;$D$2,0,$AP125="Annual",1,AS125=12,12,$AP125="Monthly V",AS125*(1+$BD$2),$AP125="Monthly F",12,$AP125="One-Time",0),AS125*(1+$BD$2))</f>
        <v/>
      </c>
      <c r="AU125" s="14">
        <f t="array" ref="AU125">IFERROR(_xlfn.IFS(VALUE(MID(AU$5,6,1))&gt;$D$2,0,$AP125="Annual",1,AT125=12,12,$AP125="Monthly V",AT125*(1+$BD$2),$AP125="Monthly F",12,$AP125="One-Time",0),AT125*(1+$BD$2))</f>
        <v/>
      </c>
      <c r="AV125" s="14">
        <f t="array" ref="AV125">IFERROR(_xlfn.IFS(VALUE(MID(AV$5,6,1))&gt;$D$2,0,$AP125="Annual",1,AU125=12,12,$AP125="Monthly V",AU125*(1+$BD$2),$AP125="Monthly F",12,$AP125="One-Time",0),AU125*(1+$BD$2))</f>
        <v/>
      </c>
      <c r="AW125" s="14">
        <f t="array" ref="AW125">IFERROR(_xlfn.IFS(VALUE(MID(AW$5,6,1))&gt;$D$2,0,$AP125="Annual",1,AV125=12,12,$AP125="Monthly V",AV125*(1+$BD$2),$AP125="Monthly F",12,$AP125="One-Time",0),AV125*(1+$BD$2))</f>
        <v/>
      </c>
      <c r="AX125" s="14">
        <f t="array" ref="AX125">IFERROR(_xlfn.IFS(VALUE(MID(AX$5,6,1))&gt;$D$2,0,$AP125="Annual",1,AW125=12,12,$AP125="Monthly V",AW125*(1+$BD$2),$AP125="Monthly F",12,$AP125="One-Time",0),AW125*(1+$BD$2))</f>
        <v/>
      </c>
      <c r="AY125" s="14">
        <f t="array" ref="AY125">IFERROR(_xlfn.IFS(VALUE(MID(AY$5,6,1))&gt;$D$2,0,$AP125="Annual",1,AX125=12,12,$AP125="Monthly V",AX125*(1+$D$3),$AP125="Monthly F",12,$AP125="One-Time",0),AX125*(1+$D$3))</f>
        <v/>
      </c>
      <c r="AZ125" s="14">
        <f t="array" ref="AZ125">IFERROR(_xlfn.IFS(VALUE(MID(AZ$5,6,1))&gt;$D$2,0,$AP125="Annual",1,AY125=12,12,$AP125="Monthly V",AY125*(1+$D$3),$AP125="Monthly F",12,$AP125="One-Time",0),AY125*(1+$D$3))</f>
        <v/>
      </c>
      <c r="BA125" s="125">
        <f t="array" ref="BA125">IFERROR(_xlfn.IFS(VALUE(MID(BA$5,6,2))&gt;$D$2,0,$AP125="Annual",1,AZ125=12,12,$AP125="Monthly V",AZ125*(1+$D$3),$AP125="Monthly F",12,$AP125="One-Time",0),AZ125*(1+$D$3))</f>
        <v/>
      </c>
      <c r="BB125" s="124" t="inlineStr">
        <is>
          <t>OnBoard Lending</t>
        </is>
      </c>
      <c r="BC125" s="38" t="inlineStr">
        <is>
          <t>OnBoard</t>
        </is>
      </c>
      <c r="BD125" s="36" t="n">
        <v>0.2273</v>
      </c>
      <c r="BE125" s="21">
        <f>BF125/12</f>
        <v/>
      </c>
      <c r="BF125" s="39">
        <f>IFERROR(AR125*$BD125,0)</f>
        <v/>
      </c>
      <c r="BG125" s="39">
        <f>IFERROR(AS125*$BD125,0)</f>
        <v/>
      </c>
      <c r="BH125" s="39">
        <f>IFERROR(AT125*$BD125,0)</f>
        <v/>
      </c>
      <c r="BI125" s="39">
        <f>BH125*1.03</f>
        <v/>
      </c>
      <c r="BJ125" s="39">
        <f>BI125*1.03</f>
        <v/>
      </c>
      <c r="BK125" s="39">
        <f>BJ125*1.03</f>
        <v/>
      </c>
      <c r="BL125" s="39">
        <f>BK125*1.03</f>
        <v/>
      </c>
      <c r="BM125" s="39">
        <f>IFERROR(AY125*$BD125,0)</f>
        <v/>
      </c>
      <c r="BN125" s="39">
        <f>IFERROR(AZ125*$BD125,0)</f>
        <v/>
      </c>
      <c r="BO125" s="39">
        <f>IFERROR(BA125*$BD125,0)</f>
        <v/>
      </c>
      <c r="BP125" s="40" t="n"/>
      <c r="BQ125" s="40">
        <f>IF(VALUE(MID(BQ$5,6,1))&lt;=$D$2,((1+$BD$3)^1-1)*BG125,0)</f>
        <v/>
      </c>
      <c r="BR125" s="40">
        <f>IF(VALUE(MID(BR$5,6,1))&lt;=$D$2,((1+$BD$3)^2-1)*BH125,0)</f>
        <v/>
      </c>
      <c r="BS125" s="40">
        <f>IF(VALUE(MID(BS$5,6,1))&lt;=$D$2,((1+$BD$3)^3-1)*BI125,0)</f>
        <v/>
      </c>
      <c r="BT125" s="40">
        <f>IF(VALUE(MID(BT$5,6,1))&lt;=$D$2,((1+$BD$3)^4-1)*BJ125,0)</f>
        <v/>
      </c>
      <c r="BU125" s="40">
        <f>IF(VALUE(MID(BU$5,6,1))&lt;=$D$2,((1+$BD$3)^5-1)*BK125,0)</f>
        <v/>
      </c>
      <c r="BV125" s="40">
        <f>IF(VALUE(MID(BV$5,6,1))&lt;=$D$2,((1+$BD$3)^6-1)*BL125,0)</f>
        <v/>
      </c>
      <c r="BW125" s="40">
        <f>IF(VALUE(MID(BW$5,6,1))&lt;=$D$2,((1+$BD$3)^7-1)*BM125,0)</f>
        <v/>
      </c>
      <c r="BX125" s="40">
        <f>IF(VALUE(MID(BX$5,6,1))&lt;=$D$2,((1+$BD$3)^8-1)*BN125,0)</f>
        <v/>
      </c>
      <c r="BY125" s="40">
        <f>IF(VALUE(MID(BY$5,6,2))&lt;=$D$2,((1+$BD$3)^9-1)*BO125,0)</f>
        <v/>
      </c>
      <c r="BZ125" s="40">
        <f>SUM(BP125:BY125)</f>
        <v/>
      </c>
      <c r="CA125" s="37">
        <f>SUM(BZ125,BF125:BO125)</f>
        <v/>
      </c>
      <c r="CC125" s="102" t="n"/>
      <c r="CD125" s="12" t="n"/>
      <c r="CE125" s="14">
        <f>IF($CC125="Annual",1,IF($CC125="Monthly F",12,IF($CC125="Monthly V",CD125*12,IF($CC125="One-Time",1,CD125*12))))</f>
        <v/>
      </c>
      <c r="CF125" s="14">
        <f t="array" ref="CF125">IFERROR(_xlfn.IFS(VALUE(MID(CF$5,6,1))&gt;$D$2,0,$CC125="Annual",1,CE125=12,12,$CC125="Monthly V",CE125*(1+$D$3),$CC125="Monthly F",12,$CC125="One-Time",0),CE125*(1+$D$3))</f>
        <v/>
      </c>
      <c r="CG125" s="14">
        <f t="array" ref="CG125">IFERROR(_xlfn.IFS(VALUE(MID(CG$5,6,1))&gt;$D$2,0,$CC125="Annual",1,CF125=12,12,$CC125="Monthly V",CF125*(1+$D$3),$CC125="Monthly F",12,$CC125="One-Time",0),CF125*(1+$D$3))</f>
        <v/>
      </c>
      <c r="CH125" s="14">
        <f t="array" ref="CH125">IFERROR(_xlfn.IFS(VALUE(MID(CH$5,6,1))&gt;$D$2,0,$CC125="Annual",1,CG125=12,12,$CC125="Monthly V",CG125*(1+$D$3),$CC125="Monthly F",12,$CC125="One-Time",0),CG125*(1+$D$3))</f>
        <v/>
      </c>
      <c r="CI125" s="14">
        <f t="array" ref="CI125">IFERROR(_xlfn.IFS(VALUE(MID(CI$5,6,1))&gt;$D$2,0,$CC125="Annual",1,CH125=12,12,$CC125="Monthly V",CH125*(1+$D$3),$CC125="Monthly F",12,$CC125="One-Time",0),CH125*(1+$D$3))</f>
        <v/>
      </c>
      <c r="CJ125" s="14">
        <f t="array" ref="CJ125">IFERROR(_xlfn.IFS(VALUE(MID(CJ$5,6,1))&gt;$D$2,0,$CC125="Annual",1,CI125=12,12,$CC125="Monthly V",CI125*(1+$D$3),$CC125="Monthly F",12,$CC125="One-Time",0),CI125*(1+$D$3))</f>
        <v/>
      </c>
      <c r="CK125" s="14">
        <f t="array" ref="CK125">IFERROR(_xlfn.IFS(VALUE(MID(CK$5,6,1))&gt;$D$2,0,$CC125="Annual",1,CJ125=12,12,$CC125="Monthly V",CJ125*(1+$D$3),$CC125="Monthly F",12,$CC125="One-Time",0),CJ125*(1+$D$3))</f>
        <v/>
      </c>
      <c r="CL125" s="14">
        <f t="array" ref="CL125">IFERROR(_xlfn.IFS(VALUE(MID(CL$5,6,1))&gt;$D$2,0,$CC125="Annual",1,CK125=12,12,$CC125="Monthly V",CK125*(1+$D$3),$CC125="Monthly F",12,$CC125="One-Time",0),CK125*(1+$D$3))</f>
        <v/>
      </c>
      <c r="CM125" s="14">
        <f t="array" ref="CM125">IFERROR(_xlfn.IFS(VALUE(MID(CM$5,6,1))&gt;$D$2,0,$CC125="Annual",1,CL125=12,12,$CC125="Monthly V",CL125*(1+$D$3),$CC125="Monthly F",12,$CC125="One-Time",0),CL125*(1+$D$3))</f>
        <v/>
      </c>
      <c r="CN125" s="24">
        <f t="array" ref="CN125">IFERROR(_xlfn.IFS(VALUE(MID(CN$5,6,2))&gt;$D$2,0,$CC125="Annual",1,CM125=12,12,$CC125="Monthly V",CM125*(1+$D$3),$CC125="Monthly F",12,$CC125="One-Time",0),CM125*(1+$D$3))</f>
        <v/>
      </c>
      <c r="CO125" s="63" t="n"/>
      <c r="CP125" s="53" t="n"/>
      <c r="CQ125" s="21">
        <f>CR125/12</f>
        <v/>
      </c>
      <c r="CR125" s="55">
        <f>IFERROR(CE125*$CP125,0)</f>
        <v/>
      </c>
      <c r="CS125" s="55">
        <f>IFERROR(CF125*$CP125,0)</f>
        <v/>
      </c>
      <c r="CT125" s="55">
        <f>IFERROR(CG125*$CP125,0)</f>
        <v/>
      </c>
      <c r="CU125" s="55">
        <f>IFERROR(CH125*$CP125,0)</f>
        <v/>
      </c>
      <c r="CV125" s="55">
        <f>IFERROR(CI125*$CP125,0)</f>
        <v/>
      </c>
      <c r="CW125" s="55">
        <f>IFERROR(CJ125*$CP125,0)</f>
        <v/>
      </c>
      <c r="CX125" s="55">
        <f>IFERROR(CK125*$CP125,0)</f>
        <v/>
      </c>
      <c r="CY125" s="55">
        <f>IFERROR(CL125*$CP125,0)</f>
        <v/>
      </c>
      <c r="CZ125" s="55">
        <f>IFERROR(CM125*$CP125,0)</f>
        <v/>
      </c>
      <c r="DA125" s="55">
        <f>IFERROR(CN125*$CP125,0)</f>
        <v/>
      </c>
      <c r="DB125" s="56" t="n"/>
      <c r="DC125" s="56">
        <f>IF(VALUE(MID(DC$5,6,1))&lt;=$D$2,((1+$CP$3)^1-1)*CS125,0)</f>
        <v/>
      </c>
      <c r="DD125" s="56">
        <f>IF(VALUE(MID(DD$5,6,1))&lt;=$D$2,((1+$CP$3)^2-1)*CT125,0)</f>
        <v/>
      </c>
      <c r="DE125" s="56">
        <f>IF(VALUE(MID(DE$5,6,1))&lt;=$D$2,((1+$CP$3)^3-1)*CU125,0)</f>
        <v/>
      </c>
      <c r="DF125" s="56">
        <f>IF(VALUE(MID(DF$5,6,1))&lt;=$D$2,((1+$CP$3)^4-1)*CV125,0)</f>
        <v/>
      </c>
      <c r="DG125" s="56">
        <f>IF(VALUE(MID(DG$5,6,1))&lt;=$D$2,((1+$CP$3)^5-1)*CW125,0)</f>
        <v/>
      </c>
      <c r="DH125" s="56">
        <f>IF(VALUE(MID(DH$5,6,1))&lt;=$D$2,((1+$CP$3)^6-1)*CX125,0)</f>
        <v/>
      </c>
      <c r="DI125" s="56">
        <f>IF(VALUE(MID(DI$5,6,1))&lt;=$D$2,((1+$CP$3)^7-1)*CY125,0)</f>
        <v/>
      </c>
      <c r="DJ125" s="56">
        <f>IF(VALUE(MID(DJ$5,6,1))&lt;=$D$2,((1+$CP$3)^8-1)*CZ125,0)</f>
        <v/>
      </c>
      <c r="DK125" s="56">
        <f>IF(VALUE(MID(DK$5,6,2))&lt;=$D$2,((1+$CP$3)^9-1)*DA125,0)</f>
        <v/>
      </c>
      <c r="DL125" s="57">
        <f>SUM(DB125:DK125)</f>
        <v/>
      </c>
      <c r="DM125" s="54">
        <f>SUM(DL125,CR125:DA125)</f>
        <v/>
      </c>
      <c r="DO125" s="106" t="n"/>
    </row>
    <row r="126">
      <c r="B126" s="141" t="inlineStr">
        <is>
          <t>Monthly F</t>
        </is>
      </c>
      <c r="C126" s="24" t="n">
        <v>1</v>
      </c>
      <c r="D126" s="147">
        <f>IFERROR(AVERAGE(C126:C126),0)</f>
        <v/>
      </c>
      <c r="E126" s="142">
        <f>IF($B126="Annual",1,IF($B126="Monthly F",12,IF($B126="Monthly V",D126*12,IF($B126="One-Time",1,D126*12))))</f>
        <v/>
      </c>
      <c r="F126" s="14">
        <f t="array" ref="F126">IFERROR(_xlfn.IFS(VALUE(MID(F$5,6,1))&gt;$D$2,0,$B126="Annual",1,E126=12,12,$B126="Monthly V",E126*(1+$D$3),$B126="Monthly F",12,$B126="One-Time",0),E126*(1+$D$3))</f>
        <v/>
      </c>
      <c r="G126" s="14" t="n"/>
      <c r="H126" s="14" t="n"/>
      <c r="I126" s="14" t="n"/>
      <c r="J126" s="14" t="n"/>
      <c r="K126" s="14" t="n"/>
      <c r="L126" s="14">
        <f t="array" ref="L126">IFERROR(_xlfn.IFS(VALUE(MID(L$5,6,1))&gt;$D$2,0,$B126="Annual",1,K126=12,12,$B126="Monthly V",K126*(1+$D$3),$B126="Monthly F",12,$B126="One-Time",0),K126*(1+$D$3))</f>
        <v/>
      </c>
      <c r="M126" s="14">
        <f t="array" ref="M126">IFERROR(_xlfn.IFS(VALUE(MID(M$5,6,1))&gt;$D$2,0,$B126="Annual",1,L126=12,12,$B126="Monthly V",L126*(1+$D$3),$B126="Monthly F",12,$B126="One-Time",0),L126*(1+$D$3))</f>
        <v/>
      </c>
      <c r="N126" s="24">
        <f t="array" ref="N126">IFERROR(_xlfn.IFS(VALUE(MID(N$5,6,2))&gt;$D$2,0,$B126="Annual",1,M126=12,12,$B126="Monthly V",M126*(1+$D$3),$B126="Monthly F",12,$B126="One-Time",0),M126*(1+$D$3))</f>
        <v/>
      </c>
      <c r="O126" s="127" t="inlineStr">
        <is>
          <t xml:space="preserve">D1 Commercial </t>
        </is>
      </c>
      <c r="P126" s="13" t="inlineStr">
        <is>
          <t>D1 Commercial</t>
        </is>
      </c>
      <c r="Q126" s="20" t="n">
        <v>15000</v>
      </c>
      <c r="R126" s="21">
        <f>S126/12</f>
        <v/>
      </c>
      <c r="S126" s="6">
        <f>IFERROR($Q126*E126,0)</f>
        <v/>
      </c>
      <c r="T126" s="6">
        <f>IFERROR($Q126*F126,0)</f>
        <v/>
      </c>
      <c r="U126" s="6">
        <f>IFERROR($Q126*G126,0)</f>
        <v/>
      </c>
      <c r="V126" s="6">
        <f>IFERROR($Q126*H126,0)</f>
        <v/>
      </c>
      <c r="W126" s="6">
        <f>IFERROR($Q126*I126,0)</f>
        <v/>
      </c>
      <c r="X126" s="6">
        <f>IFERROR($Q126*J126,0)</f>
        <v/>
      </c>
      <c r="Y126" s="6">
        <f>IFERROR($Q126*K126,0)</f>
        <v/>
      </c>
      <c r="Z126" s="6">
        <f>IFERROR($Q126*L126,0)</f>
        <v/>
      </c>
      <c r="AA126" s="6">
        <f>IFERROR($Q126*M126,0)</f>
        <v/>
      </c>
      <c r="AB126" s="6">
        <f>IFERROR($Q126*N126,0)</f>
        <v/>
      </c>
      <c r="AC126" s="7" t="n"/>
      <c r="AD126" s="152">
        <f>IF(VALUE(MID(AD$5,6,1))&lt;=$D$2,((1+$Q$3)^1-1)*T126,0)</f>
        <v/>
      </c>
      <c r="AE126" s="152">
        <f>IF(VALUE(MID(AE$5,6,1))&lt;=$D$2,((1+$Q$3)^2-1)*U126,0)</f>
        <v/>
      </c>
      <c r="AF126" s="152">
        <f>IF(VALUE(MID(AF$5,6,1))&lt;=$D$2,((1+$Q$3)^3-1)*V126,0)</f>
        <v/>
      </c>
      <c r="AG126" s="152">
        <f>IF(VALUE(MID(AG$5,6,1))&lt;=$D$2,((1+$Q$3)^4-1)*W126,0)</f>
        <v/>
      </c>
      <c r="AH126" s="152">
        <f>IF(VALUE(MID(AH$5,6,1))&lt;=$D$2,((1+$Q$3)^5-1)*X126,0)</f>
        <v/>
      </c>
      <c r="AI126" s="152">
        <f>IF(VALUE(MID(AI$5,6,1))&lt;=$D$2,((1+$Q$3)^6-1)*Y126,0)</f>
        <v/>
      </c>
      <c r="AJ126" s="152">
        <f>IF(VALUE(MID(AJ$5,6,1))&lt;=$D$2,((1+$Q$3)^7-1)*Z126,0)</f>
        <v/>
      </c>
      <c r="AK126" s="152">
        <f>IF(VALUE(MID(AK$5,6,1))&lt;=$D$2,((1+$Q$3)^8-1)*AA126,0)</f>
        <v/>
      </c>
      <c r="AL126" s="152">
        <f>IF(VALUE(MID(AL$5,6,2))&lt;=$D$2,((1+$Q$3)^9-1)*AB126,0)</f>
        <v/>
      </c>
      <c r="AM126" s="9">
        <f>SUM(AC126:AL126)</f>
        <v/>
      </c>
      <c r="AN126" s="80">
        <f>SUM(AM126,S126:AB126)</f>
        <v/>
      </c>
      <c r="AP126" s="102" t="n"/>
      <c r="AQ126" s="12" t="n"/>
      <c r="AR126" s="14" t="n"/>
      <c r="AS126" s="14" t="n"/>
      <c r="AT126" s="14" t="n"/>
      <c r="AU126" s="14" t="n"/>
      <c r="AV126" s="14" t="n"/>
      <c r="AW126" s="14" t="n"/>
      <c r="AX126" s="14" t="n"/>
      <c r="AY126" s="14" t="n"/>
      <c r="AZ126" s="14" t="n"/>
      <c r="BA126" s="125" t="n"/>
      <c r="BB126" s="148" t="n"/>
      <c r="BC126" s="38" t="n"/>
      <c r="BD126" s="36" t="n"/>
      <c r="BE126" s="21" t="n"/>
      <c r="BF126" s="39" t="n"/>
      <c r="BG126" s="39" t="n"/>
      <c r="BH126" s="39" t="n"/>
      <c r="BI126" s="39">
        <f>BH126*1.03</f>
        <v/>
      </c>
      <c r="BJ126" s="39">
        <f>BI126*1.03</f>
        <v/>
      </c>
      <c r="BK126" s="39">
        <f>BJ126*1.03</f>
        <v/>
      </c>
      <c r="BL126" s="39">
        <f>BK126*1.03</f>
        <v/>
      </c>
      <c r="BM126" s="39" t="n"/>
      <c r="BN126" s="39" t="n"/>
      <c r="BO126" s="39" t="n"/>
      <c r="BP126" s="40" t="n"/>
      <c r="BQ126" s="40" t="n"/>
      <c r="BR126" s="40" t="n"/>
      <c r="BS126" s="40" t="n"/>
      <c r="BT126" s="40" t="n"/>
      <c r="BU126" s="40" t="n"/>
      <c r="BV126" s="40" t="n"/>
      <c r="BW126" s="40" t="n"/>
      <c r="BX126" s="40" t="n"/>
      <c r="BY126" s="40" t="n"/>
      <c r="BZ126" s="40" t="n"/>
      <c r="CA126" s="37" t="n"/>
      <c r="CC126" s="102" t="n"/>
      <c r="CD126" s="12" t="n"/>
      <c r="CE126" s="14">
        <f>IF($CC126="Annual",1,IF($CC126="Monthly F",12,IF($CC126="Monthly V",CD126*12,IF($CC126="One-Time",1,CD126*12))))</f>
        <v/>
      </c>
      <c r="CF126" s="14">
        <f t="array" ref="CF126">IFERROR(_xlfn.IFS(VALUE(MID(CF$5,6,1))&gt;$D$2,0,$CC126="Annual",1,CE126=12,12,$CC126="Monthly V",CE126*(1+$D$3),$CC126="Monthly F",12,$CC126="One-Time",0),CE126*(1+$D$3))</f>
        <v/>
      </c>
      <c r="CG126" s="14">
        <f t="array" ref="CG126">IFERROR(_xlfn.IFS(VALUE(MID(CG$5,6,1))&gt;$D$2,0,$CC126="Annual",1,CF126=12,12,$CC126="Monthly V",CF126*(1+$D$3),$CC126="Monthly F",12,$CC126="One-Time",0),CF126*(1+$D$3))</f>
        <v/>
      </c>
      <c r="CH126" s="14">
        <f t="array" ref="CH126">IFERROR(_xlfn.IFS(VALUE(MID(CH$5,6,1))&gt;$D$2,0,$CC126="Annual",1,CG126=12,12,$CC126="Monthly V",CG126*(1+$D$3),$CC126="Monthly F",12,$CC126="One-Time",0),CG126*(1+$D$3))</f>
        <v/>
      </c>
      <c r="CI126" s="14">
        <f t="array" ref="CI126">IFERROR(_xlfn.IFS(VALUE(MID(CI$5,6,1))&gt;$D$2,0,$CC126="Annual",1,CH126=12,12,$CC126="Monthly V",CH126*(1+$D$3),$CC126="Monthly F",12,$CC126="One-Time",0),CH126*(1+$D$3))</f>
        <v/>
      </c>
      <c r="CJ126" s="14">
        <f t="array" ref="CJ126">IFERROR(_xlfn.IFS(VALUE(MID(CJ$5,6,1))&gt;$D$2,0,$CC126="Annual",1,CI126=12,12,$CC126="Monthly V",CI126*(1+$D$3),$CC126="Monthly F",12,$CC126="One-Time",0),CI126*(1+$D$3))</f>
        <v/>
      </c>
      <c r="CK126" s="14">
        <f t="array" ref="CK126">IFERROR(_xlfn.IFS(VALUE(MID(CK$5,6,1))&gt;$D$2,0,$CC126="Annual",1,CJ126=12,12,$CC126="Monthly V",CJ126*(1+$D$3),$CC126="Monthly F",12,$CC126="One-Time",0),CJ126*(1+$D$3))</f>
        <v/>
      </c>
      <c r="CL126" s="14">
        <f t="array" ref="CL126">IFERROR(_xlfn.IFS(VALUE(MID(CL$5,6,1))&gt;$D$2,0,$CC126="Annual",1,CK126=12,12,$CC126="Monthly V",CK126*(1+$D$3),$CC126="Monthly F",12,$CC126="One-Time",0),CK126*(1+$D$3))</f>
        <v/>
      </c>
      <c r="CM126" s="14">
        <f t="array" ref="CM126">IFERROR(_xlfn.IFS(VALUE(MID(CM$5,6,1))&gt;$D$2,0,$CC126="Annual",1,CL126=12,12,$CC126="Monthly V",CL126*(1+$D$3),$CC126="Monthly F",12,$CC126="One-Time",0),CL126*(1+$D$3))</f>
        <v/>
      </c>
      <c r="CN126" s="24">
        <f t="array" ref="CN126">IFERROR(_xlfn.IFS(VALUE(MID(CN$5,6,2))&gt;$D$2,0,$CC126="Annual",1,CM126=12,12,$CC126="Monthly V",CM126*(1+$D$3),$CC126="Monthly F",12,$CC126="One-Time",0),CM126*(1+$D$3))</f>
        <v/>
      </c>
      <c r="CO126" s="63" t="n"/>
      <c r="CP126" s="53" t="n"/>
      <c r="CQ126" s="21">
        <f>CR126/12</f>
        <v/>
      </c>
      <c r="CR126" s="55">
        <f>IFERROR(CE126*$CP126,0)</f>
        <v/>
      </c>
      <c r="CS126" s="55">
        <f>IFERROR(CF126*$CP126,0)</f>
        <v/>
      </c>
      <c r="CT126" s="55">
        <f>IFERROR(CG126*$CP126,0)</f>
        <v/>
      </c>
      <c r="CU126" s="55">
        <f>IFERROR(CH126*$CP126,0)</f>
        <v/>
      </c>
      <c r="CV126" s="55">
        <f>IFERROR(CI126*$CP126,0)</f>
        <v/>
      </c>
      <c r="CW126" s="55">
        <f>IFERROR(CJ126*$CP126,0)</f>
        <v/>
      </c>
      <c r="CX126" s="55">
        <f>IFERROR(CK126*$CP126,0)</f>
        <v/>
      </c>
      <c r="CY126" s="55">
        <f>IFERROR(CL126*$CP126,0)</f>
        <v/>
      </c>
      <c r="CZ126" s="55">
        <f>IFERROR(CM126*$CP126,0)</f>
        <v/>
      </c>
      <c r="DA126" s="55">
        <f>IFERROR(CN126*$CP126,0)</f>
        <v/>
      </c>
      <c r="DB126" s="56" t="n"/>
      <c r="DC126" s="56">
        <f>IF(VALUE(MID(DC$5,6,1))&lt;=$D$2,((1+$CP$3)^1-1)*CS126,0)</f>
        <v/>
      </c>
      <c r="DD126" s="56">
        <f>IF(VALUE(MID(DD$5,6,1))&lt;=$D$2,((1+$CP$3)^2-1)*CT126,0)</f>
        <v/>
      </c>
      <c r="DE126" s="56">
        <f>IF(VALUE(MID(DE$5,6,1))&lt;=$D$2,((1+$CP$3)^3-1)*CU126,0)</f>
        <v/>
      </c>
      <c r="DF126" s="56">
        <f>IF(VALUE(MID(DF$5,6,1))&lt;=$D$2,((1+$CP$3)^4-1)*CV126,0)</f>
        <v/>
      </c>
      <c r="DG126" s="56">
        <f>IF(VALUE(MID(DG$5,6,1))&lt;=$D$2,((1+$CP$3)^5-1)*CW126,0)</f>
        <v/>
      </c>
      <c r="DH126" s="56">
        <f>IF(VALUE(MID(DH$5,6,1))&lt;=$D$2,((1+$CP$3)^6-1)*CX126,0)</f>
        <v/>
      </c>
      <c r="DI126" s="56">
        <f>IF(VALUE(MID(DI$5,6,1))&lt;=$D$2,((1+$CP$3)^7-1)*CY126,0)</f>
        <v/>
      </c>
      <c r="DJ126" s="56">
        <f>IF(VALUE(MID(DJ$5,6,1))&lt;=$D$2,((1+$CP$3)^8-1)*CZ126,0)</f>
        <v/>
      </c>
      <c r="DK126" s="56">
        <f>IF(VALUE(MID(DK$5,6,2))&lt;=$D$2,((1+$CP$3)^9-1)*DA126,0)</f>
        <v/>
      </c>
      <c r="DL126" s="57">
        <f>SUM(DB126:DK126)</f>
        <v/>
      </c>
      <c r="DM126" s="54">
        <f>SUM(DL126,CR126:DA126)</f>
        <v/>
      </c>
      <c r="DO126" s="106" t="n"/>
    </row>
    <row r="127">
      <c r="B127" s="141" t="n"/>
      <c r="C127" s="24" t="n"/>
      <c r="D127" s="147" t="n"/>
      <c r="E127" s="142" t="n"/>
      <c r="F127" s="14" t="n"/>
      <c r="G127" s="14" t="n"/>
      <c r="H127" s="14" t="n"/>
      <c r="I127" s="14" t="n"/>
      <c r="J127" s="14" t="n"/>
      <c r="K127" s="14" t="n"/>
      <c r="L127" s="14" t="n"/>
      <c r="M127" s="14" t="n"/>
      <c r="N127" s="24" t="n"/>
      <c r="O127" s="127" t="n"/>
      <c r="P127" s="13" t="n"/>
      <c r="Q127" s="20" t="n"/>
      <c r="R127" s="21" t="n"/>
      <c r="S127" s="6" t="n"/>
      <c r="T127" s="6" t="n"/>
      <c r="U127" s="6" t="n"/>
      <c r="V127" s="6" t="n"/>
      <c r="W127" s="6" t="n"/>
      <c r="X127" s="6" t="n"/>
      <c r="Y127" s="6" t="n"/>
      <c r="Z127" s="6" t="n"/>
      <c r="AA127" s="6" t="n"/>
      <c r="AB127" s="6" t="n"/>
      <c r="AC127" s="7" t="n"/>
      <c r="AD127" s="152" t="n"/>
      <c r="AE127" s="152" t="n"/>
      <c r="AF127" s="152" t="n"/>
      <c r="AG127" s="152" t="n"/>
      <c r="AH127" s="152" t="n"/>
      <c r="AI127" s="152" t="n"/>
      <c r="AJ127" s="152" t="n"/>
      <c r="AK127" s="152" t="n"/>
      <c r="AL127" s="152" t="n"/>
      <c r="AM127" s="9" t="n"/>
      <c r="AN127" s="80" t="n"/>
      <c r="AP127" s="102" t="inlineStr">
        <is>
          <t>Monthly F</t>
        </is>
      </c>
      <c r="AQ127" s="12" t="n">
        <v>1</v>
      </c>
      <c r="AR127" s="14">
        <f>IF($AP127="Annual",1,IF($AP127="Monthly F",12,IF($AP127="Monthly V",AQ127*12,IF($AP127="One-Time",1,AQ127*12))))</f>
        <v/>
      </c>
      <c r="AS127" s="14">
        <f t="array" ref="AS127">IFERROR(_xlfn.IFS(VALUE(MID(AS$5,6,1))&gt;$D$2,0,$AP127="Annual",1,AR127=12,12,$AP127="Monthly V",AR127*(1+$BD$2),$AP127="Monthly F",12,$AP127="One-Time",0),AR127*(1+$BD$2))</f>
        <v/>
      </c>
      <c r="AT127" s="14">
        <f t="array" ref="AT127">IFERROR(_xlfn.IFS(VALUE(MID(AT$5,6,1))&gt;$D$2,0,$AP127="Annual",1,AS127=12,12,$AP127="Monthly V",AS127*(1+$BD$2),$AP127="Monthly F",12,$AP127="One-Time",0),AS127*(1+$BD$2))</f>
        <v/>
      </c>
      <c r="AU127" s="14">
        <f t="array" ref="AU127">IFERROR(_xlfn.IFS(VALUE(MID(AU$5,6,1))&gt;$D$2,0,$AP127="Annual",1,AT127=12,12,$AP127="Monthly V",AT127*(1+$BD$2),$AP127="Monthly F",12,$AP127="One-Time",0),AT127*(1+$BD$2))</f>
        <v/>
      </c>
      <c r="AV127" s="14">
        <f t="array" ref="AV127">IFERROR(_xlfn.IFS(VALUE(MID(AV$5,6,1))&gt;$D$2,0,$AP127="Annual",1,AU127=12,12,$AP127="Monthly V",AU127*(1+$BD$2),$AP127="Monthly F",12,$AP127="One-Time",0),AU127*(1+$BD$2))</f>
        <v/>
      </c>
      <c r="AW127" s="14">
        <f t="array" ref="AW127">IFERROR(_xlfn.IFS(VALUE(MID(AW$5,6,1))&gt;$D$2,0,$AP127="Annual",1,AV127=12,12,$AP127="Monthly V",AV127*(1+$BD$2),$AP127="Monthly F",12,$AP127="One-Time",0),AV127*(1+$BD$2))</f>
        <v/>
      </c>
      <c r="AX127" s="14">
        <f t="array" ref="AX127">IFERROR(_xlfn.IFS(VALUE(MID(AX$5,6,1))&gt;$D$2,0,$AP127="Annual",1,AW127=12,12,$AP127="Monthly V",AW127*(1+$BD$2),$AP127="Monthly F",12,$AP127="One-Time",0),AW127*(1+$BD$2))</f>
        <v/>
      </c>
      <c r="AY127" s="14">
        <f t="array" ref="AY127">IFERROR(_xlfn.IFS(VALUE(MID(AY$5,6,1))&gt;$D$2,0,$AP127="Annual",1,AX127=12,12,$AP127="Monthly V",AX127*(1+$D$3),$AP127="Monthly F",12,$AP127="One-Time",0),AX127*(1+$D$3))</f>
        <v/>
      </c>
      <c r="AZ127" s="14">
        <f t="array" ref="AZ127">IFERROR(_xlfn.IFS(VALUE(MID(AZ$5,6,1))&gt;$D$2,0,$AP127="Annual",1,AY127=12,12,$AP127="Monthly V",AY127*(1+$D$3),$AP127="Monthly F",12,$AP127="One-Time",0),AY127*(1+$D$3))</f>
        <v/>
      </c>
      <c r="BA127" s="125">
        <f t="array" ref="BA127">IFERROR(_xlfn.IFS(VALUE(MID(BA$5,6,2))&gt;$D$2,0,$AP127="Annual",1,AZ127=12,12,$AP127="Monthly V",AZ127*(1+$D$3),$AP127="Monthly F",12,$AP127="One-Time",0),AZ127*(1+$D$3))</f>
        <v/>
      </c>
      <c r="BB127" s="124" t="inlineStr">
        <is>
          <t>Alloy</t>
        </is>
      </c>
      <c r="BC127" s="38" t="inlineStr">
        <is>
          <t>JHA OpenAnywhere</t>
        </is>
      </c>
      <c r="BD127" s="36" t="n">
        <v>2000</v>
      </c>
      <c r="BE127" s="21">
        <f>BF127/12</f>
        <v/>
      </c>
      <c r="BF127" s="39">
        <f>IFERROR(AR127*$BD127,0)</f>
        <v/>
      </c>
      <c r="BG127" s="39">
        <f>IFERROR(AS127*$BD127,0)</f>
        <v/>
      </c>
      <c r="BH127" s="39">
        <f>IFERROR(AT127*$BD127,0)</f>
        <v/>
      </c>
      <c r="BI127" s="39">
        <f>BH127*1.03</f>
        <v/>
      </c>
      <c r="BJ127" s="39">
        <f>BI127*1.03</f>
        <v/>
      </c>
      <c r="BK127" s="39">
        <f>BJ127*1.03</f>
        <v/>
      </c>
      <c r="BL127" s="39">
        <f>BK127*1.03</f>
        <v/>
      </c>
      <c r="BM127" s="39">
        <f>IFERROR(AY127*$BD127,0)</f>
        <v/>
      </c>
      <c r="BN127" s="39">
        <f>IFERROR(AZ127*$BD127,0)</f>
        <v/>
      </c>
      <c r="BO127" s="39">
        <f>IFERROR(BA127*$BD127,0)</f>
        <v/>
      </c>
      <c r="BP127" s="40" t="n"/>
      <c r="BQ127" s="40">
        <f>IF(VALUE(MID(BQ$5,6,1))&lt;=$D$2,((1+$BD$3)^1-1)*BG127,0)</f>
        <v/>
      </c>
      <c r="BR127" s="40">
        <f>IF(VALUE(MID(BR$5,6,1))&lt;=$D$2,((1+$BD$3)^2-1)*BH127,0)</f>
        <v/>
      </c>
      <c r="BS127" s="40">
        <f>IF(VALUE(MID(BS$5,6,1))&lt;=$D$2,((1+$BD$3)^3-1)*BI127,0)</f>
        <v/>
      </c>
      <c r="BT127" s="40">
        <f>IF(VALUE(MID(BT$5,6,1))&lt;=$D$2,((1+$BD$3)^4-1)*BJ127,0)</f>
        <v/>
      </c>
      <c r="BU127" s="40">
        <f>IF(VALUE(MID(BU$5,6,1))&lt;=$D$2,((1+$BD$3)^5-1)*BK127,0)</f>
        <v/>
      </c>
      <c r="BV127" s="40">
        <f>IF(VALUE(MID(BV$5,6,1))&lt;=$D$2,((1+$BD$3)^6-1)*BL127,0)</f>
        <v/>
      </c>
      <c r="BW127" s="40">
        <f>IF(VALUE(MID(BW$5,6,1))&lt;=$D$2,((1+$BD$3)^7-1)*BM127,0)</f>
        <v/>
      </c>
      <c r="BX127" s="40">
        <f>IF(VALUE(MID(BX$5,6,1))&lt;=$D$2,((1+$BD$3)^8-1)*BN127,0)</f>
        <v/>
      </c>
      <c r="BY127" s="40">
        <f>IF(VALUE(MID(BY$5,6,2))&lt;=$D$2,((1+$BD$3)^9-1)*BO127,0)</f>
        <v/>
      </c>
      <c r="BZ127" s="40">
        <f>SUM(BP127:BY127)</f>
        <v/>
      </c>
      <c r="CA127" s="37">
        <f>SUM(BZ127,BF127:BO127)</f>
        <v/>
      </c>
      <c r="CC127" s="102" t="n"/>
      <c r="CD127" s="12" t="n"/>
      <c r="CE127" s="14" t="n"/>
      <c r="CF127" s="14" t="n"/>
      <c r="CG127" s="14" t="n"/>
      <c r="CH127" s="14" t="n"/>
      <c r="CI127" s="14" t="n"/>
      <c r="CJ127" s="14" t="n"/>
      <c r="CK127" s="14" t="n"/>
      <c r="CL127" s="14" t="n"/>
      <c r="CM127" s="14" t="n"/>
      <c r="CN127" s="24" t="n"/>
      <c r="CO127" s="63" t="n"/>
      <c r="CP127" s="53" t="n"/>
      <c r="CQ127" s="21" t="n"/>
      <c r="CR127" s="55" t="n"/>
      <c r="CS127" s="55" t="n"/>
      <c r="CT127" s="55" t="n"/>
      <c r="CU127" s="55" t="n"/>
      <c r="CV127" s="55" t="n"/>
      <c r="CW127" s="55" t="n"/>
      <c r="CX127" s="55" t="n"/>
      <c r="CY127" s="55" t="n"/>
      <c r="CZ127" s="55" t="n"/>
      <c r="DA127" s="55" t="n"/>
      <c r="DB127" s="56" t="n"/>
      <c r="DC127" s="56" t="n"/>
      <c r="DD127" s="56" t="n"/>
      <c r="DE127" s="56" t="n"/>
      <c r="DF127" s="56" t="n"/>
      <c r="DG127" s="56" t="n"/>
      <c r="DH127" s="56" t="n"/>
      <c r="DI127" s="56" t="n"/>
      <c r="DJ127" s="56" t="n"/>
      <c r="DK127" s="56" t="n"/>
      <c r="DL127" s="57" t="n"/>
      <c r="DM127" s="54" t="n"/>
      <c r="DO127" s="106" t="n"/>
    </row>
    <row r="128">
      <c r="B128" s="141" t="n"/>
      <c r="C128" s="24" t="n"/>
      <c r="D128" s="147" t="n"/>
      <c r="E128" s="142" t="n"/>
      <c r="F128" s="14" t="n"/>
      <c r="G128" s="14" t="n"/>
      <c r="H128" s="14" t="n"/>
      <c r="I128" s="14" t="n"/>
      <c r="J128" s="14" t="n"/>
      <c r="K128" s="14" t="n"/>
      <c r="L128" s="14" t="n"/>
      <c r="M128" s="14" t="n"/>
      <c r="N128" s="24" t="n"/>
      <c r="O128" s="127" t="n"/>
      <c r="P128" s="13" t="n"/>
      <c r="Q128" s="20" t="n"/>
      <c r="R128" s="21" t="n"/>
      <c r="S128" s="6" t="n"/>
      <c r="T128" s="6" t="n"/>
      <c r="U128" s="6" t="n"/>
      <c r="V128" s="6" t="n"/>
      <c r="W128" s="6" t="n"/>
      <c r="X128" s="6" t="n"/>
      <c r="Y128" s="6" t="n"/>
      <c r="Z128" s="6" t="n"/>
      <c r="AA128" s="6" t="n"/>
      <c r="AB128" s="6" t="n"/>
      <c r="AC128" s="7" t="n"/>
      <c r="AD128" s="152" t="n"/>
      <c r="AE128" s="152" t="n"/>
      <c r="AF128" s="152" t="n"/>
      <c r="AG128" s="152" t="n"/>
      <c r="AH128" s="152" t="n"/>
      <c r="AI128" s="152" t="n"/>
      <c r="AJ128" s="152" t="n"/>
      <c r="AK128" s="152" t="n"/>
      <c r="AL128" s="152" t="n"/>
      <c r="AM128" s="9" t="n"/>
      <c r="AN128" s="80" t="n"/>
      <c r="AP128" s="102" t="inlineStr">
        <is>
          <t>Monthly F</t>
        </is>
      </c>
      <c r="AQ128" s="12" t="n">
        <v>1</v>
      </c>
      <c r="AR128" s="14">
        <f>IF($AP128="Annual",1,IF($AP128="Monthly F",12,IF($AP128="Monthly V",AQ128*12,IF($AP128="One-Time",1,AQ128*12))))</f>
        <v/>
      </c>
      <c r="AS128" s="14">
        <f t="array" ref="AS128">IFERROR(_xlfn.IFS(VALUE(MID(AS$5,6,1))&gt;$D$2,0,$AP128="Annual",1,AR128=12,12,$AP128="Monthly V",AR128*(1+$BD$2),$AP128="Monthly F",12,$AP128="One-Time",0),AR128*(1+$BD$2))</f>
        <v/>
      </c>
      <c r="AT128" s="14">
        <f t="array" ref="AT128">IFERROR(_xlfn.IFS(VALUE(MID(AT$5,6,1))&gt;$D$2,0,$AP128="Annual",1,AS128=12,12,$AP128="Monthly V",AS128*(1+$BD$2),$AP128="Monthly F",12,$AP128="One-Time",0),AS128*(1+$BD$2))</f>
        <v/>
      </c>
      <c r="AU128" s="14">
        <f t="array" ref="AU128">IFERROR(_xlfn.IFS(VALUE(MID(AU$5,6,1))&gt;$D$2,0,$AP128="Annual",1,AT128=12,12,$AP128="Monthly V",AT128*(1+$BD$2),$AP128="Monthly F",12,$AP128="One-Time",0),AT128*(1+$BD$2))</f>
        <v/>
      </c>
      <c r="AV128" s="14">
        <f t="array" ref="AV128">IFERROR(_xlfn.IFS(VALUE(MID(AV$5,6,1))&gt;$D$2,0,$AP128="Annual",1,AU128=12,12,$AP128="Monthly V",AU128*(1+$BD$2),$AP128="Monthly F",12,$AP128="One-Time",0),AU128*(1+$BD$2))</f>
        <v/>
      </c>
      <c r="AW128" s="14">
        <f t="array" ref="AW128">IFERROR(_xlfn.IFS(VALUE(MID(AW$5,6,1))&gt;$D$2,0,$AP128="Annual",1,AV128=12,12,$AP128="Monthly V",AV128*(1+$BD$2),$AP128="Monthly F",12,$AP128="One-Time",0),AV128*(1+$BD$2))</f>
        <v/>
      </c>
      <c r="AX128" s="14">
        <f t="array" ref="AX128">IFERROR(_xlfn.IFS(VALUE(MID(AX$5,6,1))&gt;$D$2,0,$AP128="Annual",1,AW128=12,12,$AP128="Monthly V",AW128*(1+$BD$2),$AP128="Monthly F",12,$AP128="One-Time",0),AW128*(1+$BD$2))</f>
        <v/>
      </c>
      <c r="AY128" s="14">
        <f t="array" ref="AY128">IFERROR(_xlfn.IFS(VALUE(MID(AY$5,6,1))&gt;$D$2,0,$AP128="Annual",1,AX128=12,12,$AP128="Monthly V",AX128*(1+$D$3),$AP128="Monthly F",12,$AP128="One-Time",0),AX128*(1+$D$3))</f>
        <v/>
      </c>
      <c r="AZ128" s="14">
        <f t="array" ref="AZ128">IFERROR(_xlfn.IFS(VALUE(MID(AZ$5,6,1))&gt;$D$2,0,$AP128="Annual",1,AY128=12,12,$AP128="Monthly V",AY128*(1+$D$3),$AP128="Monthly F",12,$AP128="One-Time",0),AY128*(1+$D$3))</f>
        <v/>
      </c>
      <c r="BA128" s="125">
        <f t="array" ref="BA128">IFERROR(_xlfn.IFS(VALUE(MID(BA$5,6,2))&gt;$D$2,0,$AP128="Annual",1,AZ128=12,12,$AP128="Monthly V",AZ128*(1+$D$3),$AP128="Monthly F",12,$AP128="One-Time",0),AZ128*(1+$D$3))</f>
        <v/>
      </c>
      <c r="BB128" s="124" t="inlineStr">
        <is>
          <t>JH Online Financial Management with Account Aggregation</t>
        </is>
      </c>
      <c r="BC128" s="38" t="inlineStr">
        <is>
          <t>Banno</t>
        </is>
      </c>
      <c r="BD128" s="36" t="n">
        <v>500</v>
      </c>
      <c r="BE128" s="21">
        <f>BF128/12</f>
        <v/>
      </c>
      <c r="BF128" s="39">
        <f>IFERROR(AR128*$BD128,0)</f>
        <v/>
      </c>
      <c r="BG128" s="39">
        <f>IFERROR(AS128*$BD128,0)</f>
        <v/>
      </c>
      <c r="BH128" s="39">
        <f>IFERROR(AT128*$BD128,0)</f>
        <v/>
      </c>
      <c r="BI128" s="39">
        <f>BH128*1.03</f>
        <v/>
      </c>
      <c r="BJ128" s="39">
        <f>BI128*1.03</f>
        <v/>
      </c>
      <c r="BK128" s="39">
        <f>BJ128*1.03</f>
        <v/>
      </c>
      <c r="BL128" s="39">
        <f>BK128*1.03</f>
        <v/>
      </c>
      <c r="BM128" s="39">
        <f>IFERROR(AY128*$BD128,0)</f>
        <v/>
      </c>
      <c r="BN128" s="39">
        <f>IFERROR(AZ128*$BD128,0)</f>
        <v/>
      </c>
      <c r="BO128" s="39">
        <f>IFERROR(BA128*$BD128,0)</f>
        <v/>
      </c>
      <c r="BP128" s="40" t="n"/>
      <c r="BQ128" s="40">
        <f>IF(VALUE(MID(BQ$5,6,1))&lt;=$D$2,((1+$BD$3)^1-1)*BG128,0)</f>
        <v/>
      </c>
      <c r="BR128" s="40">
        <f>IF(VALUE(MID(BR$5,6,1))&lt;=$D$2,((1+$BD$3)^2-1)*BH128,0)</f>
        <v/>
      </c>
      <c r="BS128" s="40">
        <f>IF(VALUE(MID(BS$5,6,1))&lt;=$D$2,((1+$BD$3)^3-1)*BI128,0)</f>
        <v/>
      </c>
      <c r="BT128" s="40">
        <f>IF(VALUE(MID(BT$5,6,1))&lt;=$D$2,((1+$BD$3)^4-1)*BJ128,0)</f>
        <v/>
      </c>
      <c r="BU128" s="40">
        <f>IF(VALUE(MID(BU$5,6,1))&lt;=$D$2,((1+$BD$3)^5-1)*BK128,0)</f>
        <v/>
      </c>
      <c r="BV128" s="40">
        <f>IF(VALUE(MID(BV$5,6,1))&lt;=$D$2,((1+$BD$3)^6-1)*BL128,0)</f>
        <v/>
      </c>
      <c r="BW128" s="40">
        <f>IF(VALUE(MID(BW$5,6,1))&lt;=$D$2,((1+$BD$3)^7-1)*BM128,0)</f>
        <v/>
      </c>
      <c r="BX128" s="40">
        <f>IF(VALUE(MID(BX$5,6,1))&lt;=$D$2,((1+$BD$3)^8-1)*BN128,0)</f>
        <v/>
      </c>
      <c r="BY128" s="40">
        <f>IF(VALUE(MID(BY$5,6,2))&lt;=$D$2,((1+$BD$3)^9-1)*BO128,0)</f>
        <v/>
      </c>
      <c r="BZ128" s="40">
        <f>SUM(BP128:BY128)</f>
        <v/>
      </c>
      <c r="CA128" s="37">
        <f>SUM(BZ128,BF128:BO128)</f>
        <v/>
      </c>
      <c r="CC128" s="102" t="n"/>
      <c r="CD128" s="12" t="n"/>
      <c r="CE128" s="14" t="n"/>
      <c r="CF128" s="14" t="n"/>
      <c r="CG128" s="14" t="n"/>
      <c r="CH128" s="14" t="n"/>
      <c r="CI128" s="14" t="n"/>
      <c r="CJ128" s="14" t="n"/>
      <c r="CK128" s="14" t="n"/>
      <c r="CL128" s="14" t="n"/>
      <c r="CM128" s="14" t="n"/>
      <c r="CN128" s="24" t="n"/>
      <c r="CO128" s="63" t="n"/>
      <c r="CP128" s="53" t="n"/>
      <c r="CQ128" s="21" t="n"/>
      <c r="CR128" s="55" t="n"/>
      <c r="CS128" s="55" t="n"/>
      <c r="CT128" s="55" t="n"/>
      <c r="CU128" s="55" t="n"/>
      <c r="CV128" s="55" t="n"/>
      <c r="CW128" s="55" t="n"/>
      <c r="CX128" s="55" t="n"/>
      <c r="CY128" s="55" t="n"/>
      <c r="CZ128" s="55" t="n"/>
      <c r="DA128" s="55" t="n"/>
      <c r="DB128" s="56" t="n"/>
      <c r="DC128" s="56" t="n"/>
      <c r="DD128" s="56" t="n"/>
      <c r="DE128" s="56" t="n"/>
      <c r="DF128" s="56" t="n"/>
      <c r="DG128" s="56" t="n"/>
      <c r="DH128" s="56" t="n"/>
      <c r="DI128" s="56" t="n"/>
      <c r="DJ128" s="56" t="n"/>
      <c r="DK128" s="56" t="n"/>
      <c r="DL128" s="57" t="n"/>
      <c r="DM128" s="54" t="n"/>
      <c r="DO128" s="106" t="n"/>
    </row>
    <row r="129" ht="15.75" customHeight="1" thickBot="1">
      <c r="B129" s="141" t="n"/>
      <c r="C129" s="24" t="n"/>
      <c r="D129" s="147" t="n"/>
      <c r="E129" s="142" t="n"/>
      <c r="F129" s="14" t="n"/>
      <c r="G129" s="14" t="n"/>
      <c r="H129" s="14" t="n"/>
      <c r="I129" s="14" t="n"/>
      <c r="J129" s="14" t="n"/>
      <c r="K129" s="14" t="n"/>
      <c r="L129" s="14" t="n"/>
      <c r="M129" s="14" t="n"/>
      <c r="N129" s="24" t="n"/>
      <c r="O129" s="127" t="n"/>
      <c r="P129" s="13" t="n"/>
      <c r="Q129" s="20" t="n"/>
      <c r="R129" s="21" t="n"/>
      <c r="S129" s="6" t="n"/>
      <c r="T129" s="6" t="n"/>
      <c r="U129" s="6" t="n"/>
      <c r="V129" s="6" t="n"/>
      <c r="W129" s="6" t="n"/>
      <c r="X129" s="6" t="n"/>
      <c r="Y129" s="6" t="n"/>
      <c r="Z129" s="6" t="n"/>
      <c r="AA129" s="6" t="n"/>
      <c r="AB129" s="6" t="n"/>
      <c r="AC129" s="7" t="n"/>
      <c r="AD129" s="152" t="n"/>
      <c r="AE129" s="152" t="n"/>
      <c r="AF129" s="152" t="n"/>
      <c r="AG129" s="152" t="n"/>
      <c r="AH129" s="152" t="n"/>
      <c r="AI129" s="152" t="n"/>
      <c r="AJ129" s="152" t="n"/>
      <c r="AK129" s="152" t="n"/>
      <c r="AL129" s="152" t="n"/>
      <c r="AM129" s="9" t="n"/>
      <c r="AN129" s="80" t="n"/>
      <c r="AP129" s="102" t="inlineStr">
        <is>
          <t>Monthly V</t>
        </is>
      </c>
      <c r="AQ129" s="12" t="n">
        <v>5000</v>
      </c>
      <c r="AR129" s="14">
        <f>IF($AP129="Annual",1,IF($AP129="Monthly F",12,IF($AP129="Monthly V",AQ129*12,IF($AP129="One-Time",1,AQ129*12))))</f>
        <v/>
      </c>
      <c r="AS129" s="14">
        <f t="array" ref="AS129">IFERROR(_xlfn.IFS(VALUE(MID(AS$5,6,1))&gt;$D$2,0,$AP129="Annual",1,AR129=12,12,$AP129="Monthly V",AR129*(1+$BD$2),$AP129="Monthly F",12,$AP129="One-Time",0),AR129*(1+$BD$2))</f>
        <v/>
      </c>
      <c r="AT129" s="14">
        <f t="array" ref="AT129">IFERROR(_xlfn.IFS(VALUE(MID(AT$5,6,1))&gt;$D$2,0,$AP129="Annual",1,AS129=12,12,$AP129="Monthly V",AS129*(1+$BD$2),$AP129="Monthly F",12,$AP129="One-Time",0),AS129*(1+$BD$2))</f>
        <v/>
      </c>
      <c r="AU129" s="14">
        <f t="array" ref="AU129">IFERROR(_xlfn.IFS(VALUE(MID(AU$5,6,1))&gt;$D$2,0,$AP129="Annual",1,AT129=12,12,$AP129="Monthly V",AT129*(1+$BD$2),$AP129="Monthly F",12,$AP129="One-Time",0),AT129*(1+$BD$2))</f>
        <v/>
      </c>
      <c r="AV129" s="14">
        <f t="array" ref="AV129">IFERROR(_xlfn.IFS(VALUE(MID(AV$5,6,1))&gt;$D$2,0,$AP129="Annual",1,AU129=12,12,$AP129="Monthly V",AU129*(1+$BD$2),$AP129="Monthly F",12,$AP129="One-Time",0),AU129*(1+$BD$2))</f>
        <v/>
      </c>
      <c r="AW129" s="14">
        <f t="array" ref="AW129">IFERROR(_xlfn.IFS(VALUE(MID(AW$5,6,1))&gt;$D$2,0,$AP129="Annual",1,AV129=12,12,$AP129="Monthly V",AV129*(1+$BD$2),$AP129="Monthly F",12,$AP129="One-Time",0),AV129*(1+$BD$2))</f>
        <v/>
      </c>
      <c r="AX129" s="14">
        <f t="array" ref="AX129">IFERROR(_xlfn.IFS(VALUE(MID(AX$5,6,1))&gt;$D$2,0,$AP129="Annual",1,AW129=12,12,$AP129="Monthly V",AW129*(1+$BD$2),$AP129="Monthly F",12,$AP129="One-Time",0),AW129*(1+$BD$2))</f>
        <v/>
      </c>
      <c r="AY129" s="14">
        <f t="array" ref="AY129">IFERROR(_xlfn.IFS(VALUE(MID(AY$5,6,1))&gt;$D$2,0,$AP129="Annual",1,AX129=12,12,$AP129="Monthly V",AX129*(1+$D$3),$AP129="Monthly F",12,$AP129="One-Time",0),AX129*(1+$D$3))</f>
        <v/>
      </c>
      <c r="AZ129" s="14">
        <f t="array" ref="AZ129">IFERROR(_xlfn.IFS(VALUE(MID(AZ$5,6,1))&gt;$D$2,0,$AP129="Annual",1,AY129=12,12,$AP129="Monthly V",AY129*(1+$D$3),$AP129="Monthly F",12,$AP129="One-Time",0),AY129*(1+$D$3))</f>
        <v/>
      </c>
      <c r="BA129" s="125">
        <f t="array" ref="BA129">IFERROR(_xlfn.IFS(VALUE(MID(BA$5,6,2))&gt;$D$2,0,$AP129="Annual",1,AZ129=12,12,$AP129="Monthly V",AZ129*(1+$D$3),$AP129="Monthly F",12,$AP129="One-Time",0),AZ129*(1+$D$3))</f>
        <v/>
      </c>
      <c r="BB129" s="124" t="inlineStr">
        <is>
          <t>OFX Gateway CFM</t>
        </is>
      </c>
      <c r="BC129" s="38" t="inlineStr">
        <is>
          <t>Intuit</t>
        </is>
      </c>
      <c r="BD129" s="36" t="n">
        <v>0.0405</v>
      </c>
      <c r="BE129" s="21">
        <f>BF129/12</f>
        <v/>
      </c>
      <c r="BF129" s="39">
        <f>IFERROR(AR129*$BD129,0)</f>
        <v/>
      </c>
      <c r="BG129" s="39">
        <f>IFERROR(AS129*$BD129,0)</f>
        <v/>
      </c>
      <c r="BH129" s="39">
        <f>IFERROR(AT129*$BD129,0)</f>
        <v/>
      </c>
      <c r="BI129" s="39">
        <f>BH129*1.03</f>
        <v/>
      </c>
      <c r="BJ129" s="39">
        <f>BI129*1.03</f>
        <v/>
      </c>
      <c r="BK129" s="39">
        <f>BJ129*1.03</f>
        <v/>
      </c>
      <c r="BL129" s="39">
        <f>BK129*1.03</f>
        <v/>
      </c>
      <c r="BM129" s="39">
        <f>IFERROR(AY129*$BD129,0)</f>
        <v/>
      </c>
      <c r="BN129" s="39">
        <f>IFERROR(AZ129*$BD129,0)</f>
        <v/>
      </c>
      <c r="BO129" s="39">
        <f>IFERROR(BA129*$BD129,0)</f>
        <v/>
      </c>
      <c r="BP129" s="40" t="n"/>
      <c r="BQ129" s="40">
        <f>IF(VALUE(MID(BQ$5,6,1))&lt;=$D$2,((1+$BD$3)^1-1)*BG129,0)</f>
        <v/>
      </c>
      <c r="BR129" s="40">
        <f>IF(VALUE(MID(BR$5,6,1))&lt;=$D$2,((1+$BD$3)^2-1)*BH129,0)</f>
        <v/>
      </c>
      <c r="BS129" s="40">
        <f>IF(VALUE(MID(BS$5,6,1))&lt;=$D$2,((1+$BD$3)^3-1)*BI129,0)</f>
        <v/>
      </c>
      <c r="BT129" s="40">
        <f>IF(VALUE(MID(BT$5,6,1))&lt;=$D$2,((1+$BD$3)^4-1)*BJ129,0)</f>
        <v/>
      </c>
      <c r="BU129" s="40">
        <f>IF(VALUE(MID(BU$5,6,1))&lt;=$D$2,((1+$BD$3)^5-1)*BK129,0)</f>
        <v/>
      </c>
      <c r="BV129" s="40">
        <f>IF(VALUE(MID(BV$5,6,1))&lt;=$D$2,((1+$BD$3)^6-1)*BL129,0)</f>
        <v/>
      </c>
      <c r="BW129" s="40">
        <f>IF(VALUE(MID(BW$5,6,1))&lt;=$D$2,((1+$BD$3)^7-1)*BM129,0)</f>
        <v/>
      </c>
      <c r="BX129" s="40">
        <f>IF(VALUE(MID(BX$5,6,1))&lt;=$D$2,((1+$BD$3)^8-1)*BN129,0)</f>
        <v/>
      </c>
      <c r="BY129" s="40">
        <f>IF(VALUE(MID(BY$5,6,2))&lt;=$D$2,((1+$BD$3)^9-1)*BO129,0)</f>
        <v/>
      </c>
      <c r="BZ129" s="40">
        <f>SUM(BP129:BY129)</f>
        <v/>
      </c>
      <c r="CA129" s="37">
        <f>SUM(BZ129,BF129:BO129)</f>
        <v/>
      </c>
      <c r="CC129" s="102" t="n"/>
      <c r="CD129" s="12" t="n"/>
      <c r="CE129" s="14" t="n"/>
      <c r="CF129" s="14" t="n"/>
      <c r="CG129" s="14" t="n"/>
      <c r="CH129" s="14" t="n"/>
      <c r="CI129" s="14" t="n"/>
      <c r="CJ129" s="14" t="n"/>
      <c r="CK129" s="14" t="n"/>
      <c r="CL129" s="14" t="n"/>
      <c r="CM129" s="14" t="n"/>
      <c r="CN129" s="24" t="n"/>
      <c r="CO129" s="63" t="n"/>
      <c r="CP129" s="53" t="n"/>
      <c r="CQ129" s="21" t="n"/>
      <c r="CR129" s="55" t="n"/>
      <c r="CS129" s="55" t="n"/>
      <c r="CT129" s="55" t="n"/>
      <c r="CU129" s="55" t="n"/>
      <c r="CV129" s="55" t="n"/>
      <c r="CW129" s="55" t="n"/>
      <c r="CX129" s="55" t="n"/>
      <c r="CY129" s="55" t="n"/>
      <c r="CZ129" s="55" t="n"/>
      <c r="DA129" s="55" t="n"/>
      <c r="DB129" s="56" t="n"/>
      <c r="DC129" s="56" t="n"/>
      <c r="DD129" s="56" t="n"/>
      <c r="DE129" s="56" t="n"/>
      <c r="DF129" s="56" t="n"/>
      <c r="DG129" s="56" t="n"/>
      <c r="DH129" s="56" t="n"/>
      <c r="DI129" s="56" t="n"/>
      <c r="DJ129" s="56" t="n"/>
      <c r="DK129" s="56" t="n"/>
      <c r="DL129" s="57" t="n"/>
      <c r="DM129" s="54" t="n"/>
      <c r="DO129" s="106" t="n"/>
    </row>
    <row r="130" ht="15.75" customHeight="1" thickBot="1">
      <c r="B130" s="280" t="inlineStr">
        <is>
          <t>Recurring Monthly and Annual Fees - Non-Bundle Optional Third-Party Solutions</t>
        </is>
      </c>
      <c r="C130" s="267" t="n"/>
      <c r="D130" s="267" t="n"/>
      <c r="E130" s="267" t="n"/>
      <c r="F130" s="267" t="n"/>
      <c r="G130" s="267" t="n"/>
      <c r="H130" s="267" t="n"/>
      <c r="I130" s="267" t="n"/>
      <c r="J130" s="267" t="n"/>
      <c r="K130" s="267" t="n"/>
      <c r="L130" s="267" t="n"/>
      <c r="M130" s="267" t="n"/>
      <c r="N130" s="267" t="n"/>
      <c r="O130" s="267" t="n"/>
      <c r="P130" s="267" t="n"/>
      <c r="Q130" s="267" t="n"/>
      <c r="R130" s="267" t="n"/>
      <c r="S130" s="267" t="n"/>
      <c r="T130" s="267" t="n"/>
      <c r="U130" s="267" t="n"/>
      <c r="V130" s="267" t="n"/>
      <c r="W130" s="267" t="n"/>
      <c r="X130" s="267" t="n"/>
      <c r="Y130" s="267" t="n"/>
      <c r="Z130" s="267" t="n"/>
      <c r="AA130" s="267" t="n"/>
      <c r="AB130" s="267" t="n"/>
      <c r="AC130" s="267" t="n"/>
      <c r="AD130" s="267" t="n"/>
      <c r="AE130" s="267" t="n"/>
      <c r="AF130" s="267" t="n"/>
      <c r="AG130" s="267" t="n"/>
      <c r="AH130" s="267" t="n"/>
      <c r="AI130" s="267" t="n"/>
      <c r="AJ130" s="267" t="n"/>
      <c r="AK130" s="267" t="n"/>
      <c r="AL130" s="267" t="n"/>
      <c r="AM130" s="267" t="n"/>
      <c r="AN130" s="281" t="n"/>
      <c r="AP130" s="102" t="inlineStr">
        <is>
          <t>Monthly V</t>
        </is>
      </c>
      <c r="AQ130" s="12" t="n">
        <v>5000</v>
      </c>
      <c r="AR130" s="14">
        <f>IF($AP130="Annual",1,IF($AP130="Monthly F",12,IF($AP130="Monthly V",AQ130*12,IF($AP130="One-Time",1,AQ130*12))))</f>
        <v/>
      </c>
      <c r="AS130" s="14">
        <f t="array" ref="AS130">IFERROR(_xlfn.IFS(VALUE(MID(AS$5,6,1))&gt;$D$2,0,$AP130="Annual",1,AR130=12,12,$AP130="Monthly V",AR130*(1+$BD$2),$AP130="Monthly F",12,$AP130="One-Time",0),AR130*(1+$BD$2))</f>
        <v/>
      </c>
      <c r="AT130" s="14">
        <f t="array" ref="AT130">IFERROR(_xlfn.IFS(VALUE(MID(AT$5,6,1))&gt;$D$2,0,$AP130="Annual",1,AS130=12,12,$AP130="Monthly V",AS130*(1+$BD$2),$AP130="Monthly F",12,$AP130="One-Time",0),AS130*(1+$BD$2))</f>
        <v/>
      </c>
      <c r="AU130" s="14">
        <f t="array" ref="AU130">IFERROR(_xlfn.IFS(VALUE(MID(AU$5,6,1))&gt;$D$2,0,$AP130="Annual",1,AT130=12,12,$AP130="Monthly V",AT130*(1+$BD$2),$AP130="Monthly F",12,$AP130="One-Time",0),AT130*(1+$BD$2))</f>
        <v/>
      </c>
      <c r="AV130" s="14">
        <f t="array" ref="AV130">IFERROR(_xlfn.IFS(VALUE(MID(AV$5,6,1))&gt;$D$2,0,$AP130="Annual",1,AU130=12,12,$AP130="Monthly V",AU130*(1+$BD$2),$AP130="Monthly F",12,$AP130="One-Time",0),AU130*(1+$BD$2))</f>
        <v/>
      </c>
      <c r="AW130" s="14">
        <f t="array" ref="AW130">IFERROR(_xlfn.IFS(VALUE(MID(AW$5,6,1))&gt;$D$2,0,$AP130="Annual",1,AV130=12,12,$AP130="Monthly V",AV130*(1+$BD$2),$AP130="Monthly F",12,$AP130="One-Time",0),AV130*(1+$BD$2))</f>
        <v/>
      </c>
      <c r="AX130" s="14">
        <f t="array" ref="AX130">IFERROR(_xlfn.IFS(VALUE(MID(AX$5,6,1))&gt;$D$2,0,$AP130="Annual",1,AW130=12,12,$AP130="Monthly V",AW130*(1+$BD$2),$AP130="Monthly F",12,$AP130="One-Time",0),AW130*(1+$BD$2))</f>
        <v/>
      </c>
      <c r="AY130" s="14">
        <f t="array" ref="AY130">IFERROR(_xlfn.IFS(VALUE(MID(AY$5,6,1))&gt;$D$2,0,$AP130="Annual",1,AX130=12,12,$AP130="Monthly V",AX130*(1+$D$3),$AP130="Monthly F",12,$AP130="One-Time",0),AX130*(1+$D$3))</f>
        <v/>
      </c>
      <c r="AZ130" s="14">
        <f t="array" ref="AZ130">IFERROR(_xlfn.IFS(VALUE(MID(AZ$5,6,1))&gt;$D$2,0,$AP130="Annual",1,AY130=12,12,$AP130="Monthly V",AY130*(1+$D$3),$AP130="Monthly F",12,$AP130="One-Time",0),AY130*(1+$D$3))</f>
        <v/>
      </c>
      <c r="BA130" s="125">
        <f t="array" ref="BA130">IFERROR(_xlfn.IFS(VALUE(MID(BA$5,6,2))&gt;$D$2,0,$AP130="Annual",1,AZ130=12,12,$AP130="Monthly V",AZ130*(1+$D$3),$AP130="Monthly F",12,$AP130="One-Time",0),AZ130*(1+$D$3))</f>
        <v/>
      </c>
      <c r="BB130" s="124" t="inlineStr">
        <is>
          <t>OFX Gateway PFM</t>
        </is>
      </c>
      <c r="BC130" s="38" t="inlineStr">
        <is>
          <t>Intuit</t>
        </is>
      </c>
      <c r="BD130" s="36" t="n">
        <v>0.0308</v>
      </c>
      <c r="BE130" s="21">
        <f>BF130/12</f>
        <v/>
      </c>
      <c r="BF130" s="39">
        <f>IFERROR(AR130*$BD130,0)</f>
        <v/>
      </c>
      <c r="BG130" s="39">
        <f>IFERROR(AS130*$BD130,0)</f>
        <v/>
      </c>
      <c r="BH130" s="39">
        <f>IFERROR(AT130*$BD130,0)</f>
        <v/>
      </c>
      <c r="BI130" s="39">
        <f>BH130*1.03</f>
        <v/>
      </c>
      <c r="BJ130" s="39">
        <f>BI130*1.03</f>
        <v/>
      </c>
      <c r="BK130" s="39">
        <f>BJ130*1.03</f>
        <v/>
      </c>
      <c r="BL130" s="39">
        <f>BK130*1.03</f>
        <v/>
      </c>
      <c r="BM130" s="39">
        <f>IFERROR(AY130*$BD130,0)</f>
        <v/>
      </c>
      <c r="BN130" s="39">
        <f>IFERROR(AZ130*$BD130,0)</f>
        <v/>
      </c>
      <c r="BO130" s="39">
        <f>IFERROR(BA130*$BD130,0)</f>
        <v/>
      </c>
      <c r="BP130" s="40" t="n"/>
      <c r="BQ130" s="40">
        <f>IF(VALUE(MID(BQ$5,6,1))&lt;=$D$2,((1+$BD$3)^1-1)*BG130,0)</f>
        <v/>
      </c>
      <c r="BR130" s="40">
        <f>IF(VALUE(MID(BR$5,6,1))&lt;=$D$2,((1+$BD$3)^2-1)*BH130,0)</f>
        <v/>
      </c>
      <c r="BS130" s="40">
        <f>IF(VALUE(MID(BS$5,6,1))&lt;=$D$2,((1+$BD$3)^3-1)*BI130,0)</f>
        <v/>
      </c>
      <c r="BT130" s="40">
        <f>IF(VALUE(MID(BT$5,6,1))&lt;=$D$2,((1+$BD$3)^4-1)*BJ130,0)</f>
        <v/>
      </c>
      <c r="BU130" s="40">
        <f>IF(VALUE(MID(BU$5,6,1))&lt;=$D$2,((1+$BD$3)^5-1)*BK130,0)</f>
        <v/>
      </c>
      <c r="BV130" s="40">
        <f>IF(VALUE(MID(BV$5,6,1))&lt;=$D$2,((1+$BD$3)^6-1)*BL130,0)</f>
        <v/>
      </c>
      <c r="BW130" s="40">
        <f>IF(VALUE(MID(BW$5,6,1))&lt;=$D$2,((1+$BD$3)^7-1)*BM130,0)</f>
        <v/>
      </c>
      <c r="BX130" s="40">
        <f>IF(VALUE(MID(BX$5,6,1))&lt;=$D$2,((1+$BD$3)^8-1)*BN130,0)</f>
        <v/>
      </c>
      <c r="BY130" s="40">
        <f>IF(VALUE(MID(BY$5,6,2))&lt;=$D$2,((1+$BD$3)^9-1)*BO130,0)</f>
        <v/>
      </c>
      <c r="BZ130" s="40">
        <f>SUM(BP130:BY130)</f>
        <v/>
      </c>
      <c r="CA130" s="37">
        <f>SUM(BZ130,BF130:BO130)</f>
        <v/>
      </c>
      <c r="CC130" s="102" t="n"/>
      <c r="CD130" s="12" t="n"/>
      <c r="CE130" s="14">
        <f>IF($CC130="Annual",1,IF($CC130="Monthly F",12,IF($CC130="Monthly V",CD130*12,IF($CC130="One-Time",1,CD130*12))))</f>
        <v/>
      </c>
      <c r="CF130" s="14">
        <f t="array" ref="CF130">IFERROR(_xlfn.IFS(VALUE(MID(CF$5,6,1))&gt;$D$2,0,$CC130="Annual",1,CE130=12,12,$CC130="Monthly V",CE130*(1+$D$3),$CC130="Monthly F",12,$CC130="One-Time",0),CE130*(1+$D$3))</f>
        <v/>
      </c>
      <c r="CG130" s="14">
        <f t="array" ref="CG130">IFERROR(_xlfn.IFS(VALUE(MID(CG$5,6,1))&gt;$D$2,0,$CC130="Annual",1,CF130=12,12,$CC130="Monthly V",CF130*(1+$D$3),$CC130="Monthly F",12,$CC130="One-Time",0),CF130*(1+$D$3))</f>
        <v/>
      </c>
      <c r="CH130" s="14">
        <f t="array" ref="CH130">IFERROR(_xlfn.IFS(VALUE(MID(CH$5,6,1))&gt;$D$2,0,$CC130="Annual",1,CG130=12,12,$CC130="Monthly V",CG130*(1+$D$3),$CC130="Monthly F",12,$CC130="One-Time",0),CG130*(1+$D$3))</f>
        <v/>
      </c>
      <c r="CI130" s="14">
        <f t="array" ref="CI130">IFERROR(_xlfn.IFS(VALUE(MID(CI$5,6,1))&gt;$D$2,0,$CC130="Annual",1,CH130=12,12,$CC130="Monthly V",CH130*(1+$D$3),$CC130="Monthly F",12,$CC130="One-Time",0),CH130*(1+$D$3))</f>
        <v/>
      </c>
      <c r="CJ130" s="14">
        <f t="array" ref="CJ130">IFERROR(_xlfn.IFS(VALUE(MID(CJ$5,6,1))&gt;$D$2,0,$CC130="Annual",1,CI130=12,12,$CC130="Monthly V",CI130*(1+$D$3),$CC130="Monthly F",12,$CC130="One-Time",0),CI130*(1+$D$3))</f>
        <v/>
      </c>
      <c r="CK130" s="14">
        <f t="array" ref="CK130">IFERROR(_xlfn.IFS(VALUE(MID(CK$5,6,1))&gt;$D$2,0,$CC130="Annual",1,CJ130=12,12,$CC130="Monthly V",CJ130*(1+$D$3),$CC130="Monthly F",12,$CC130="One-Time",0),CJ130*(1+$D$3))</f>
        <v/>
      </c>
      <c r="CL130" s="14">
        <f t="array" ref="CL130">IFERROR(_xlfn.IFS(VALUE(MID(CL$5,6,1))&gt;$D$2,0,$CC130="Annual",1,CK130=12,12,$CC130="Monthly V",CK130*(1+$D$3),$CC130="Monthly F",12,$CC130="One-Time",0),CK130*(1+$D$3))</f>
        <v/>
      </c>
      <c r="CM130" s="14">
        <f t="array" ref="CM130">IFERROR(_xlfn.IFS(VALUE(MID(CM$5,6,1))&gt;$D$2,0,$CC130="Annual",1,CL130=12,12,$CC130="Monthly V",CL130*(1+$D$3),$CC130="Monthly F",12,$CC130="One-Time",0),CL130*(1+$D$3))</f>
        <v/>
      </c>
      <c r="CN130" s="24">
        <f t="array" ref="CN130">IFERROR(_xlfn.IFS(VALUE(MID(CN$5,6,2))&gt;$D$2,0,$CC130="Annual",1,CM130=12,12,$CC130="Monthly V",CM130*(1+$D$3),$CC130="Monthly F",12,$CC130="One-Time",0),CM130*(1+$D$3))</f>
        <v/>
      </c>
      <c r="CO130" s="63" t="n"/>
      <c r="CP130" s="53" t="n"/>
      <c r="CQ130" s="21">
        <f>CR130/12</f>
        <v/>
      </c>
      <c r="CR130" s="55">
        <f>IFERROR(CE130*$CP130,0)</f>
        <v/>
      </c>
      <c r="CS130" s="55">
        <f>IFERROR(CF130*$CP130,0)</f>
        <v/>
      </c>
      <c r="CT130" s="55">
        <f>IFERROR(CG130*$CP130,0)</f>
        <v/>
      </c>
      <c r="CU130" s="55">
        <f>IFERROR(CH130*$CP130,0)</f>
        <v/>
      </c>
      <c r="CV130" s="55">
        <f>IFERROR(CI130*$CP130,0)</f>
        <v/>
      </c>
      <c r="CW130" s="55">
        <f>IFERROR(CJ130*$CP130,0)</f>
        <v/>
      </c>
      <c r="CX130" s="55">
        <f>IFERROR(CK130*$CP130,0)</f>
        <v/>
      </c>
      <c r="CY130" s="55">
        <f>IFERROR(CL130*$CP130,0)</f>
        <v/>
      </c>
      <c r="CZ130" s="55">
        <f>IFERROR(CM130*$CP130,0)</f>
        <v/>
      </c>
      <c r="DA130" s="55">
        <f>IFERROR(CN130*$CP130,0)</f>
        <v/>
      </c>
      <c r="DB130" s="56" t="n"/>
      <c r="DC130" s="56">
        <f>IF(VALUE(MID(DC$5,6,1))&lt;=$D$2,((1+$CP$3)^1-1)*CS130,0)</f>
        <v/>
      </c>
      <c r="DD130" s="56">
        <f>IF(VALUE(MID(DD$5,6,1))&lt;=$D$2,((1+$CP$3)^2-1)*CT130,0)</f>
        <v/>
      </c>
      <c r="DE130" s="56">
        <f>IF(VALUE(MID(DE$5,6,1))&lt;=$D$2,((1+$CP$3)^3-1)*CU130,0)</f>
        <v/>
      </c>
      <c r="DF130" s="56">
        <f>IF(VALUE(MID(DF$5,6,1))&lt;=$D$2,((1+$CP$3)^4-1)*CV130,0)</f>
        <v/>
      </c>
      <c r="DG130" s="56">
        <f>IF(VALUE(MID(DG$5,6,1))&lt;=$D$2,((1+$CP$3)^5-1)*CW130,0)</f>
        <v/>
      </c>
      <c r="DH130" s="56">
        <f>IF(VALUE(MID(DH$5,6,1))&lt;=$D$2,((1+$CP$3)^6-1)*CX130,0)</f>
        <v/>
      </c>
      <c r="DI130" s="56">
        <f>IF(VALUE(MID(DI$5,6,1))&lt;=$D$2,((1+$CP$3)^7-1)*CY130,0)</f>
        <v/>
      </c>
      <c r="DJ130" s="56">
        <f>IF(VALUE(MID(DJ$5,6,1))&lt;=$D$2,((1+$CP$3)^8-1)*CZ130,0)</f>
        <v/>
      </c>
      <c r="DK130" s="56">
        <f>IF(VALUE(MID(DK$5,6,2))&lt;=$D$2,((1+$CP$3)^9-1)*DA130,0)</f>
        <v/>
      </c>
      <c r="DL130" s="57">
        <f>SUM(DB130:DK130)</f>
        <v/>
      </c>
      <c r="DM130" s="54">
        <f>SUM(DL130,CR130:DA130)</f>
        <v/>
      </c>
      <c r="DO130" s="106" t="n"/>
    </row>
    <row r="131">
      <c r="B131" s="141" t="inlineStr">
        <is>
          <t>Monthly F</t>
        </is>
      </c>
      <c r="C131" s="24" t="n">
        <v>1</v>
      </c>
      <c r="D131" s="147" t="n"/>
      <c r="E131" s="142" t="n"/>
      <c r="F131" s="14" t="n"/>
      <c r="G131" s="14" t="n"/>
      <c r="H131" s="14" t="n"/>
      <c r="I131" s="14" t="n"/>
      <c r="J131" s="14" t="n"/>
      <c r="K131" s="14" t="n"/>
      <c r="L131" s="14" t="n"/>
      <c r="M131" s="14" t="n"/>
      <c r="N131" s="24" t="n"/>
      <c r="O131" s="157" t="inlineStr">
        <is>
          <t>AvidAscend</t>
        </is>
      </c>
      <c r="P131" s="13" t="inlineStr">
        <is>
          <t>Financial Management</t>
        </is>
      </c>
      <c r="Q131" s="20" t="n">
        <v>1127</v>
      </c>
      <c r="R131" s="21" t="n"/>
      <c r="S131" s="6" t="n"/>
      <c r="T131" s="6" t="n"/>
      <c r="U131" s="6" t="n"/>
      <c r="V131" s="6" t="n"/>
      <c r="W131" s="6" t="n"/>
      <c r="X131" s="6" t="n"/>
      <c r="Y131" s="6" t="n"/>
      <c r="Z131" s="6" t="n"/>
      <c r="AA131" s="6" t="n"/>
      <c r="AB131" s="6" t="n"/>
      <c r="AC131" s="7" t="n"/>
      <c r="AD131" s="152" t="n"/>
      <c r="AE131" s="152" t="n"/>
      <c r="AF131" s="152" t="n"/>
      <c r="AG131" s="152" t="n"/>
      <c r="AH131" s="152" t="n"/>
      <c r="AI131" s="152" t="n"/>
      <c r="AJ131" s="152" t="n"/>
      <c r="AK131" s="152" t="n"/>
      <c r="AL131" s="152" t="n"/>
      <c r="AM131" s="9" t="n"/>
      <c r="AN131" s="80" t="n"/>
      <c r="AP131" s="102" t="inlineStr">
        <is>
          <t>Monthly F</t>
        </is>
      </c>
      <c r="AQ131" s="12" t="n">
        <v>1</v>
      </c>
      <c r="AR131" s="14">
        <f>IF($AP131="Annual",1,IF($AP131="Monthly F",12,IF($AP131="Monthly V",AQ131*12,IF($AP131="One-Time",1,AQ131*12))))</f>
        <v/>
      </c>
      <c r="AS131" s="14">
        <f t="array" ref="AS131">IFERROR(_xlfn.IFS(VALUE(MID(AS$5,6,1))&gt;$D$2,0,$AP131="Annual",1,AR131=12,12,$AP131="Monthly V",AR131*(1+$BD$2),$AP131="Monthly F",12,$AP131="One-Time",0),AR131*(1+$BD$2))</f>
        <v/>
      </c>
      <c r="AT131" s="14">
        <f t="array" ref="AT131">IFERROR(_xlfn.IFS(VALUE(MID(AT$5,6,1))&gt;$D$2,0,$AP131="Annual",1,AS131=12,12,$AP131="Monthly V",AS131*(1+$BD$2),$AP131="Monthly F",12,$AP131="One-Time",0),AS131*(1+$BD$2))</f>
        <v/>
      </c>
      <c r="AU131" s="14">
        <f t="array" ref="AU131">IFERROR(_xlfn.IFS(VALUE(MID(AU$5,6,1))&gt;$D$2,0,$AP131="Annual",1,AT131=12,12,$AP131="Monthly V",AT131*(1+$BD$2),$AP131="Monthly F",12,$AP131="One-Time",0),AT131*(1+$BD$2))</f>
        <v/>
      </c>
      <c r="AV131" s="14">
        <f t="array" ref="AV131">IFERROR(_xlfn.IFS(VALUE(MID(AV$5,6,1))&gt;$D$2,0,$AP131="Annual",1,AU131=12,12,$AP131="Monthly V",AU131*(1+$BD$2),$AP131="Monthly F",12,$AP131="One-Time",0),AU131*(1+$BD$2))</f>
        <v/>
      </c>
      <c r="AW131" s="14">
        <f t="array" ref="AW131">IFERROR(_xlfn.IFS(VALUE(MID(AW$5,6,1))&gt;$D$2,0,$AP131="Annual",1,AV131=12,12,$AP131="Monthly V",AV131*(1+$BD$2),$AP131="Monthly F",12,$AP131="One-Time",0),AV131*(1+$BD$2))</f>
        <v/>
      </c>
      <c r="AX131" s="14">
        <f t="array" ref="AX131">IFERROR(_xlfn.IFS(VALUE(MID(AX$5,6,1))&gt;$D$2,0,$AP131="Annual",1,AW131=12,12,$AP131="Monthly V",AW131*(1+$BD$2),$AP131="Monthly F",12,$AP131="One-Time",0),AW131*(1+$BD$2))</f>
        <v/>
      </c>
      <c r="AY131" s="14">
        <f t="array" ref="AY131">IFERROR(_xlfn.IFS(VALUE(MID(AY$5,6,1))&gt;$D$2,0,$AP131="Annual",1,AX131=12,12,$AP131="Monthly V",AX131*(1+$D$3),$AP131="Monthly F",12,$AP131="One-Time",0),AX131*(1+$D$3))</f>
        <v/>
      </c>
      <c r="AZ131" s="14">
        <f t="array" ref="AZ131">IFERROR(_xlfn.IFS(VALUE(MID(AZ$5,6,1))&gt;$D$2,0,$AP131="Annual",1,AY131=12,12,$AP131="Monthly V",AY131*(1+$D$3),$AP131="Monthly F",12,$AP131="One-Time",0),AY131*(1+$D$3))</f>
        <v/>
      </c>
      <c r="BA131" s="125">
        <f t="array" ref="BA131">IFERROR(_xlfn.IFS(VALUE(MID(BA$5,6,2))&gt;$D$2,0,$AP131="Annual",1,AZ131=12,12,$AP131="Monthly V",AZ131*(1+$D$3),$AP131="Monthly F",12,$AP131="One-Time",0),AZ131*(1+$D$3))</f>
        <v/>
      </c>
      <c r="BB131" s="124" t="inlineStr">
        <is>
          <t>4|sight OrboAnywhere Fraud</t>
        </is>
      </c>
      <c r="BC131" s="38" t="inlineStr">
        <is>
          <t>OutLink Item Processing</t>
        </is>
      </c>
      <c r="BD131" s="36" t="n">
        <v>760</v>
      </c>
      <c r="BE131" s="21">
        <f>BF131/12</f>
        <v/>
      </c>
      <c r="BF131" s="39">
        <f>IFERROR(AR131*$BD131,0)</f>
        <v/>
      </c>
      <c r="BG131" s="39">
        <f>IFERROR(AS131*$BD131,0)</f>
        <v/>
      </c>
      <c r="BH131" s="39">
        <f>IFERROR(AT131*$BD131,0)</f>
        <v/>
      </c>
      <c r="BI131" s="39">
        <f>BH131*1.03</f>
        <v/>
      </c>
      <c r="BJ131" s="39">
        <f>BI131*1.03</f>
        <v/>
      </c>
      <c r="BK131" s="39">
        <f>BJ131*1.03</f>
        <v/>
      </c>
      <c r="BL131" s="39">
        <f>BK131*1.03</f>
        <v/>
      </c>
      <c r="BM131" s="39">
        <f>IFERROR(AY131*$BD131,0)</f>
        <v/>
      </c>
      <c r="BN131" s="39">
        <f>IFERROR(AZ131*$BD131,0)</f>
        <v/>
      </c>
      <c r="BO131" s="39">
        <f>IFERROR(BA131*$BD131,0)</f>
        <v/>
      </c>
      <c r="BP131" s="40" t="n"/>
      <c r="BQ131" s="40">
        <f>IF(VALUE(MID(BQ$5,6,1))&lt;=$D$2,((1+$BD$3)^1-1)*BG131,0)</f>
        <v/>
      </c>
      <c r="BR131" s="40">
        <f>IF(VALUE(MID(BR$5,6,1))&lt;=$D$2,((1+$BD$3)^2-1)*BH131,0)</f>
        <v/>
      </c>
      <c r="BS131" s="40">
        <f>IF(VALUE(MID(BS$5,6,1))&lt;=$D$2,((1+$BD$3)^3-1)*BI131,0)</f>
        <v/>
      </c>
      <c r="BT131" s="40">
        <f>IF(VALUE(MID(BT$5,6,1))&lt;=$D$2,((1+$BD$3)^4-1)*BJ131,0)</f>
        <v/>
      </c>
      <c r="BU131" s="40">
        <f>IF(VALUE(MID(BU$5,6,1))&lt;=$D$2,((1+$BD$3)^5-1)*BK131,0)</f>
        <v/>
      </c>
      <c r="BV131" s="40">
        <f>IF(VALUE(MID(BV$5,6,1))&lt;=$D$2,((1+$BD$3)^6-1)*BL131,0)</f>
        <v/>
      </c>
      <c r="BW131" s="40">
        <f>IF(VALUE(MID(BW$5,6,1))&lt;=$D$2,((1+$BD$3)^7-1)*BM131,0)</f>
        <v/>
      </c>
      <c r="BX131" s="40">
        <f>IF(VALUE(MID(BX$5,6,1))&lt;=$D$2,((1+$BD$3)^8-1)*BN131,0)</f>
        <v/>
      </c>
      <c r="BY131" s="40">
        <f>IF(VALUE(MID(BY$5,6,2))&lt;=$D$2,((1+$BD$3)^9-1)*BO131,0)</f>
        <v/>
      </c>
      <c r="BZ131" s="40">
        <f>SUM(BP131:BY131)</f>
        <v/>
      </c>
      <c r="CA131" s="37">
        <f>SUM(BZ131,BF131:BO131)</f>
        <v/>
      </c>
      <c r="CC131" s="102" t="n"/>
      <c r="CD131" s="12" t="n"/>
      <c r="CE131" s="14">
        <f>IF($CC131="Annual",1,IF($CC131="Monthly F",12,IF($CC131="Monthly V",CD131*12,IF($CC131="One-Time",1,CD131*12))))</f>
        <v/>
      </c>
      <c r="CF131" s="14">
        <f t="array" ref="CF131">IFERROR(_xlfn.IFS(VALUE(MID(CF$5,6,1))&gt;$D$2,0,$CC131="Annual",1,CE131=12,12,$CC131="Monthly V",CE131*(1+$D$3),$CC131="Monthly F",12,$CC131="One-Time",0),CE131*(1+$D$3))</f>
        <v/>
      </c>
      <c r="CG131" s="14">
        <f t="array" ref="CG131">IFERROR(_xlfn.IFS(VALUE(MID(CG$5,6,1))&gt;$D$2,0,$CC131="Annual",1,CF131=12,12,$CC131="Monthly V",CF131*(1+$D$3),$CC131="Monthly F",12,$CC131="One-Time",0),CF131*(1+$D$3))</f>
        <v/>
      </c>
      <c r="CH131" s="14">
        <f t="array" ref="CH131">IFERROR(_xlfn.IFS(VALUE(MID(CH$5,6,1))&gt;$D$2,0,$CC131="Annual",1,CG131=12,12,$CC131="Monthly V",CG131*(1+$D$3),$CC131="Monthly F",12,$CC131="One-Time",0),CG131*(1+$D$3))</f>
        <v/>
      </c>
      <c r="CI131" s="14">
        <f t="array" ref="CI131">IFERROR(_xlfn.IFS(VALUE(MID(CI$5,6,1))&gt;$D$2,0,$CC131="Annual",1,CH131=12,12,$CC131="Monthly V",CH131*(1+$D$3),$CC131="Monthly F",12,$CC131="One-Time",0),CH131*(1+$D$3))</f>
        <v/>
      </c>
      <c r="CJ131" s="14">
        <f t="array" ref="CJ131">IFERROR(_xlfn.IFS(VALUE(MID(CJ$5,6,1))&gt;$D$2,0,$CC131="Annual",1,CI131=12,12,$CC131="Monthly V",CI131*(1+$D$3),$CC131="Monthly F",12,$CC131="One-Time",0),CI131*(1+$D$3))</f>
        <v/>
      </c>
      <c r="CK131" s="14">
        <f t="array" ref="CK131">IFERROR(_xlfn.IFS(VALUE(MID(CK$5,6,1))&gt;$D$2,0,$CC131="Annual",1,CJ131=12,12,$CC131="Monthly V",CJ131*(1+$D$3),$CC131="Monthly F",12,$CC131="One-Time",0),CJ131*(1+$D$3))</f>
        <v/>
      </c>
      <c r="CL131" s="14">
        <f t="array" ref="CL131">IFERROR(_xlfn.IFS(VALUE(MID(CL$5,6,1))&gt;$D$2,0,$CC131="Annual",1,CK131=12,12,$CC131="Monthly V",CK131*(1+$D$3),$CC131="Monthly F",12,$CC131="One-Time",0),CK131*(1+$D$3))</f>
        <v/>
      </c>
      <c r="CM131" s="14">
        <f t="array" ref="CM131">IFERROR(_xlfn.IFS(VALUE(MID(CM$5,6,1))&gt;$D$2,0,$CC131="Annual",1,CL131=12,12,$CC131="Monthly V",CL131*(1+$D$3),$CC131="Monthly F",12,$CC131="One-Time",0),CL131*(1+$D$3))</f>
        <v/>
      </c>
      <c r="CN131" s="24">
        <f t="array" ref="CN131">IFERROR(_xlfn.IFS(VALUE(MID(CN$5,6,2))&gt;$D$2,0,$CC131="Annual",1,CM131=12,12,$CC131="Monthly V",CM131*(1+$D$3),$CC131="Monthly F",12,$CC131="One-Time",0),CM131*(1+$D$3))</f>
        <v/>
      </c>
      <c r="CO131" s="63" t="n"/>
      <c r="CP131" s="53" t="n"/>
      <c r="CQ131" s="21">
        <f>CR131/12</f>
        <v/>
      </c>
      <c r="CR131" s="55">
        <f>IFERROR(CE131*$CP131,0)</f>
        <v/>
      </c>
      <c r="CS131" s="55">
        <f>IFERROR(CF131*$CP131,0)</f>
        <v/>
      </c>
      <c r="CT131" s="55">
        <f>IFERROR(CG131*$CP131,0)</f>
        <v/>
      </c>
      <c r="CU131" s="55">
        <f>IFERROR(CH131*$CP131,0)</f>
        <v/>
      </c>
      <c r="CV131" s="55">
        <f>IFERROR(CI131*$CP131,0)</f>
        <v/>
      </c>
      <c r="CW131" s="55">
        <f>IFERROR(CJ131*$CP131,0)</f>
        <v/>
      </c>
      <c r="CX131" s="55">
        <f>IFERROR(CK131*$CP131,0)</f>
        <v/>
      </c>
      <c r="CY131" s="55">
        <f>IFERROR(CL131*$CP131,0)</f>
        <v/>
      </c>
      <c r="CZ131" s="55">
        <f>IFERROR(CM131*$CP131,0)</f>
        <v/>
      </c>
      <c r="DA131" s="55">
        <f>IFERROR(CN131*$CP131,0)</f>
        <v/>
      </c>
      <c r="DB131" s="56" t="n"/>
      <c r="DC131" s="56">
        <f>IF(VALUE(MID(DC$5,6,1))&lt;=$D$2,((1+$CP$3)^1-1)*CS131,0)</f>
        <v/>
      </c>
      <c r="DD131" s="56">
        <f>IF(VALUE(MID(DD$5,6,1))&lt;=$D$2,((1+$CP$3)^2-1)*CT131,0)</f>
        <v/>
      </c>
      <c r="DE131" s="56">
        <f>IF(VALUE(MID(DE$5,6,1))&lt;=$D$2,((1+$CP$3)^3-1)*CU131,0)</f>
        <v/>
      </c>
      <c r="DF131" s="56">
        <f>IF(VALUE(MID(DF$5,6,1))&lt;=$D$2,((1+$CP$3)^4-1)*CV131,0)</f>
        <v/>
      </c>
      <c r="DG131" s="56">
        <f>IF(VALUE(MID(DG$5,6,1))&lt;=$D$2,((1+$CP$3)^5-1)*CW131,0)</f>
        <v/>
      </c>
      <c r="DH131" s="56">
        <f>IF(VALUE(MID(DH$5,6,1))&lt;=$D$2,((1+$CP$3)^6-1)*CX131,0)</f>
        <v/>
      </c>
      <c r="DI131" s="56">
        <f>IF(VALUE(MID(DI$5,6,1))&lt;=$D$2,((1+$CP$3)^7-1)*CY131,0)</f>
        <v/>
      </c>
      <c r="DJ131" s="56">
        <f>IF(VALUE(MID(DJ$5,6,1))&lt;=$D$2,((1+$CP$3)^8-1)*CZ131,0)</f>
        <v/>
      </c>
      <c r="DK131" s="56">
        <f>IF(VALUE(MID(DK$5,6,2))&lt;=$D$2,((1+$CP$3)^9-1)*DA131,0)</f>
        <v/>
      </c>
      <c r="DL131" s="57">
        <f>SUM(DB131:DK131)</f>
        <v/>
      </c>
      <c r="DM131" s="54">
        <f>SUM(DL131,CR131:DA131)</f>
        <v/>
      </c>
      <c r="DO131" s="106" t="n"/>
    </row>
    <row r="132">
      <c r="B132" s="141" t="n"/>
      <c r="C132" s="24" t="n"/>
      <c r="D132" s="147" t="n"/>
      <c r="E132" s="142" t="n"/>
      <c r="F132" s="14" t="n"/>
      <c r="G132" s="14" t="n"/>
      <c r="H132" s="14" t="n"/>
      <c r="I132" s="14" t="n"/>
      <c r="J132" s="14" t="n"/>
      <c r="K132" s="14" t="n"/>
      <c r="L132" s="14" t="n"/>
      <c r="M132" s="14" t="n"/>
      <c r="N132" s="24" t="n"/>
      <c r="O132" s="157" t="n"/>
      <c r="P132" s="13" t="n"/>
      <c r="Q132" s="20" t="n"/>
      <c r="R132" s="21" t="n"/>
      <c r="S132" s="6" t="n"/>
      <c r="T132" s="6" t="n"/>
      <c r="U132" s="6" t="n"/>
      <c r="V132" s="6" t="n"/>
      <c r="W132" s="6" t="n"/>
      <c r="X132" s="6" t="n"/>
      <c r="Y132" s="6" t="n"/>
      <c r="Z132" s="6" t="n"/>
      <c r="AA132" s="6" t="n"/>
      <c r="AB132" s="6" t="n"/>
      <c r="AC132" s="7" t="n"/>
      <c r="AD132" s="152" t="n"/>
      <c r="AE132" s="152" t="n"/>
      <c r="AF132" s="152" t="n"/>
      <c r="AG132" s="152" t="n"/>
      <c r="AH132" s="152" t="n"/>
      <c r="AI132" s="152" t="n"/>
      <c r="AJ132" s="152" t="n"/>
      <c r="AK132" s="152" t="n"/>
      <c r="AL132" s="152" t="n"/>
      <c r="AM132" s="9" t="n"/>
      <c r="AN132" s="80" t="n"/>
      <c r="AP132" s="102" t="inlineStr">
        <is>
          <t>Monthly F</t>
        </is>
      </c>
      <c r="AQ132" s="12" t="n">
        <v>1</v>
      </c>
      <c r="AR132" s="14">
        <f>IF($AP132="Annual",1,IF($AP132="Monthly F",12,IF($AP132="Monthly V",AQ132*12,IF($AP132="One-Time",1,AQ132*12))))</f>
        <v/>
      </c>
      <c r="AS132" s="14">
        <f t="array" ref="AS132">IFERROR(_xlfn.IFS(VALUE(MID(AS$5,6,1))&gt;$D$2,0,$AP132="Annual",1,AR132=12,12,$AP132="Monthly V",AR132*(1+$BD$2),$AP132="Monthly F",12,$AP132="One-Time",0),AR132*(1+$BD$2))</f>
        <v/>
      </c>
      <c r="AT132" s="14">
        <f t="array" ref="AT132">IFERROR(_xlfn.IFS(VALUE(MID(AT$5,6,1))&gt;$D$2,0,$AP132="Annual",1,AS132=12,12,$AP132="Monthly V",AS132*(1+$BD$2),$AP132="Monthly F",12,$AP132="One-Time",0),AS132*(1+$BD$2))</f>
        <v/>
      </c>
      <c r="AU132" s="14">
        <f t="array" ref="AU132">IFERROR(_xlfn.IFS(VALUE(MID(AU$5,6,1))&gt;$D$2,0,$AP132="Annual",1,AT132=12,12,$AP132="Monthly V",AT132*(1+$BD$2),$AP132="Monthly F",12,$AP132="One-Time",0),AT132*(1+$BD$2))</f>
        <v/>
      </c>
      <c r="AV132" s="14">
        <f t="array" ref="AV132">IFERROR(_xlfn.IFS(VALUE(MID(AV$5,6,1))&gt;$D$2,0,$AP132="Annual",1,AU132=12,12,$AP132="Monthly V",AU132*(1+$BD$2),$AP132="Monthly F",12,$AP132="One-Time",0),AU132*(1+$BD$2))</f>
        <v/>
      </c>
      <c r="AW132" s="14">
        <f t="array" ref="AW132">IFERROR(_xlfn.IFS(VALUE(MID(AW$5,6,1))&gt;$D$2,0,$AP132="Annual",1,AV132=12,12,$AP132="Monthly V",AV132*(1+$BD$2),$AP132="Monthly F",12,$AP132="One-Time",0),AV132*(1+$BD$2))</f>
        <v/>
      </c>
      <c r="AX132" s="14">
        <f t="array" ref="AX132">IFERROR(_xlfn.IFS(VALUE(MID(AX$5,6,1))&gt;$D$2,0,$AP132="Annual",1,AW132=12,12,$AP132="Monthly V",AW132*(1+$BD$2),$AP132="Monthly F",12,$AP132="One-Time",0),AW132*(1+$BD$2))</f>
        <v/>
      </c>
      <c r="AY132" s="14">
        <f t="array" ref="AY132">IFERROR(_xlfn.IFS(VALUE(MID(AY$5,6,1))&gt;$D$2,0,$AP132="Annual",1,AX132=12,12,$AP132="Monthly V",AX132*(1+$D$3),$AP132="Monthly F",12,$AP132="One-Time",0),AX132*(1+$D$3))</f>
        <v/>
      </c>
      <c r="AZ132" s="14">
        <f t="array" ref="AZ132">IFERROR(_xlfn.IFS(VALUE(MID(AZ$5,6,1))&gt;$D$2,0,$AP132="Annual",1,AY132=12,12,$AP132="Monthly V",AY132*(1+$D$3),$AP132="Monthly F",12,$AP132="One-Time",0),AY132*(1+$D$3))</f>
        <v/>
      </c>
      <c r="BA132" s="125">
        <f t="array" ref="BA132">IFERROR(_xlfn.IFS(VALUE(MID(BA$5,6,2))&gt;$D$2,0,$AP132="Annual",1,AZ132=12,12,$AP132="Monthly V",AZ132*(1+$D$3),$AP132="Monthly F",12,$AP132="One-Time",0),AZ132*(1+$D$3))</f>
        <v/>
      </c>
      <c r="BB132" s="124" t="inlineStr">
        <is>
          <t>AlertCenter with: Advanced Fraud Solutions ("AFS")</t>
        </is>
      </c>
      <c r="BC132" s="38" t="inlineStr">
        <is>
          <t>AlertCenter</t>
        </is>
      </c>
      <c r="BD132" s="36" t="n">
        <v>420</v>
      </c>
      <c r="BE132" s="21">
        <f>BF132/12</f>
        <v/>
      </c>
      <c r="BF132" s="39">
        <f>IFERROR(AR132*$BD132,0)</f>
        <v/>
      </c>
      <c r="BG132" s="39">
        <f>IFERROR(AS132*$BD132,0)</f>
        <v/>
      </c>
      <c r="BH132" s="39">
        <f>IFERROR(AT132*$BD132,0)</f>
        <v/>
      </c>
      <c r="BI132" s="39">
        <f>BH132*1.03</f>
        <v/>
      </c>
      <c r="BJ132" s="39">
        <f>BI132*1.03</f>
        <v/>
      </c>
      <c r="BK132" s="39">
        <f>BJ132*1.03</f>
        <v/>
      </c>
      <c r="BL132" s="39">
        <f>BK132*1.03</f>
        <v/>
      </c>
      <c r="BM132" s="39">
        <f>IFERROR(AY132*$BD132,0)</f>
        <v/>
      </c>
      <c r="BN132" s="39">
        <f>IFERROR(AZ132*$BD132,0)</f>
        <v/>
      </c>
      <c r="BO132" s="39">
        <f>IFERROR(BA132*$BD132,0)</f>
        <v/>
      </c>
      <c r="BP132" s="40" t="n"/>
      <c r="BQ132" s="40">
        <f>IF(VALUE(MID(BQ$5,6,1))&lt;=$D$2,((1+$BD$3)^1-1)*BG132,0)</f>
        <v/>
      </c>
      <c r="BR132" s="40">
        <f>IF(VALUE(MID(BR$5,6,1))&lt;=$D$2,((1+$BD$3)^2-1)*BH132,0)</f>
        <v/>
      </c>
      <c r="BS132" s="40">
        <f>IF(VALUE(MID(BS$5,6,1))&lt;=$D$2,((1+$BD$3)^3-1)*BI132,0)</f>
        <v/>
      </c>
      <c r="BT132" s="40">
        <f>IF(VALUE(MID(BT$5,6,1))&lt;=$D$2,((1+$BD$3)^4-1)*BJ132,0)</f>
        <v/>
      </c>
      <c r="BU132" s="40">
        <f>IF(VALUE(MID(BU$5,6,1))&lt;=$D$2,((1+$BD$3)^5-1)*BK132,0)</f>
        <v/>
      </c>
      <c r="BV132" s="40">
        <f>IF(VALUE(MID(BV$5,6,1))&lt;=$D$2,((1+$BD$3)^6-1)*BL132,0)</f>
        <v/>
      </c>
      <c r="BW132" s="40">
        <f>IF(VALUE(MID(BW$5,6,1))&lt;=$D$2,((1+$BD$3)^7-1)*BM132,0)</f>
        <v/>
      </c>
      <c r="BX132" s="40">
        <f>IF(VALUE(MID(BX$5,6,1))&lt;=$D$2,((1+$BD$3)^8-1)*BN132,0)</f>
        <v/>
      </c>
      <c r="BY132" s="40">
        <f>IF(VALUE(MID(BY$5,6,2))&lt;=$D$2,((1+$BD$3)^9-1)*BO132,0)</f>
        <v/>
      </c>
      <c r="BZ132" s="40">
        <f>SUM(BP132:BY132)</f>
        <v/>
      </c>
      <c r="CA132" s="37">
        <f>SUM(BZ132,BF132:BO132)</f>
        <v/>
      </c>
      <c r="CC132" s="102" t="n"/>
      <c r="CD132" s="12" t="n"/>
      <c r="CE132" s="14" t="n"/>
      <c r="CF132" s="14" t="n"/>
      <c r="CG132" s="14" t="n"/>
      <c r="CH132" s="14" t="n"/>
      <c r="CI132" s="14" t="n"/>
      <c r="CJ132" s="14" t="n"/>
      <c r="CK132" s="14" t="n"/>
      <c r="CL132" s="14" t="n"/>
      <c r="CM132" s="14" t="n"/>
      <c r="CN132" s="24" t="n"/>
      <c r="CO132" s="63" t="n"/>
      <c r="CP132" s="53" t="n"/>
      <c r="CQ132" s="21" t="n"/>
      <c r="CR132" s="55" t="n"/>
      <c r="CS132" s="55" t="n"/>
      <c r="CT132" s="55" t="n"/>
      <c r="CU132" s="55" t="n"/>
      <c r="CV132" s="55" t="n"/>
      <c r="CW132" s="55" t="n"/>
      <c r="CX132" s="55" t="n"/>
      <c r="CY132" s="55" t="n"/>
      <c r="CZ132" s="55" t="n"/>
      <c r="DA132" s="55" t="n"/>
      <c r="DB132" s="56" t="n"/>
      <c r="DC132" s="56" t="n"/>
      <c r="DD132" s="56" t="n"/>
      <c r="DE132" s="56" t="n"/>
      <c r="DF132" s="56" t="n"/>
      <c r="DG132" s="56" t="n"/>
      <c r="DH132" s="56" t="n"/>
      <c r="DI132" s="56" t="n"/>
      <c r="DJ132" s="56" t="n"/>
      <c r="DK132" s="56" t="n"/>
      <c r="DL132" s="57" t="n"/>
      <c r="DM132" s="54" t="n"/>
      <c r="DO132" s="106" t="n"/>
    </row>
    <row r="133">
      <c r="B133" s="141" t="n"/>
      <c r="C133" s="24" t="n"/>
      <c r="D133" s="147" t="n"/>
      <c r="E133" s="142" t="n"/>
      <c r="F133" s="14" t="n"/>
      <c r="G133" s="14" t="n"/>
      <c r="H133" s="14" t="n"/>
      <c r="I133" s="14" t="n"/>
      <c r="J133" s="14" t="n"/>
      <c r="K133" s="14" t="n"/>
      <c r="L133" s="14" t="n"/>
      <c r="M133" s="14" t="n"/>
      <c r="N133" s="24" t="n"/>
      <c r="O133" s="127" t="n"/>
      <c r="P133" s="13" t="n"/>
      <c r="Q133" s="20" t="n"/>
      <c r="R133" s="21" t="n"/>
      <c r="S133" s="6" t="n"/>
      <c r="T133" s="6" t="n"/>
      <c r="U133" s="6" t="n"/>
      <c r="V133" s="6" t="n"/>
      <c r="W133" s="6" t="n"/>
      <c r="X133" s="6" t="n"/>
      <c r="Y133" s="6" t="n"/>
      <c r="Z133" s="6" t="n"/>
      <c r="AA133" s="6" t="n"/>
      <c r="AB133" s="6" t="n"/>
      <c r="AC133" s="7" t="n"/>
      <c r="AD133" s="152" t="n"/>
      <c r="AE133" s="152" t="n"/>
      <c r="AF133" s="152" t="n"/>
      <c r="AG133" s="152" t="n"/>
      <c r="AH133" s="152" t="n"/>
      <c r="AI133" s="152" t="n"/>
      <c r="AJ133" s="152" t="n"/>
      <c r="AK133" s="152" t="n"/>
      <c r="AL133" s="152" t="n"/>
      <c r="AM133" s="9" t="n"/>
      <c r="AN133" s="80" t="n"/>
      <c r="AP133" s="102" t="inlineStr">
        <is>
          <t>Monthly F</t>
        </is>
      </c>
      <c r="AQ133" s="12" t="n">
        <v>1</v>
      </c>
      <c r="AR133" s="14">
        <f>IF($AP133="Annual",1,IF($AP133="Monthly F",12,IF($AP133="Monthly V",AQ133*12,IF($AP133="One-Time",1,AQ133*12))))</f>
        <v/>
      </c>
      <c r="AS133" s="14">
        <f t="array" ref="AS133">IFERROR(_xlfn.IFS(VALUE(MID(AS$5,6,1))&gt;$D$2,0,$AP133="Annual",1,AR133=12,12,$AP133="Monthly V",AR133*(1+$BD$2),$AP133="Monthly F",12,$AP133="One-Time",0),AR133*(1+$BD$2))</f>
        <v/>
      </c>
      <c r="AT133" s="14">
        <f t="array" ref="AT133">IFERROR(_xlfn.IFS(VALUE(MID(AT$5,6,1))&gt;$D$2,0,$AP133="Annual",1,AS133=12,12,$AP133="Monthly V",AS133*(1+$BD$2),$AP133="Monthly F",12,$AP133="One-Time",0),AS133*(1+$BD$2))</f>
        <v/>
      </c>
      <c r="AU133" s="14">
        <f t="array" ref="AU133">IFERROR(_xlfn.IFS(VALUE(MID(AU$5,6,1))&gt;$D$2,0,$AP133="Annual",1,AT133=12,12,$AP133="Monthly V",AT133*(1+$BD$2),$AP133="Monthly F",12,$AP133="One-Time",0),AT133*(1+$BD$2))</f>
        <v/>
      </c>
      <c r="AV133" s="14">
        <f t="array" ref="AV133">IFERROR(_xlfn.IFS(VALUE(MID(AV$5,6,1))&gt;$D$2,0,$AP133="Annual",1,AU133=12,12,$AP133="Monthly V",AU133*(1+$BD$2),$AP133="Monthly F",12,$AP133="One-Time",0),AU133*(1+$BD$2))</f>
        <v/>
      </c>
      <c r="AW133" s="14">
        <f t="array" ref="AW133">IFERROR(_xlfn.IFS(VALUE(MID(AW$5,6,1))&gt;$D$2,0,$AP133="Annual",1,AV133=12,12,$AP133="Monthly V",AV133*(1+$BD$2),$AP133="Monthly F",12,$AP133="One-Time",0),AV133*(1+$BD$2))</f>
        <v/>
      </c>
      <c r="AX133" s="14">
        <f t="array" ref="AX133">IFERROR(_xlfn.IFS(VALUE(MID(AX$5,6,1))&gt;$D$2,0,$AP133="Annual",1,AW133=12,12,$AP133="Monthly V",AW133*(1+$BD$2),$AP133="Monthly F",12,$AP133="One-Time",0),AW133*(1+$BD$2))</f>
        <v/>
      </c>
      <c r="AY133" s="14">
        <f t="array" ref="AY133">IFERROR(_xlfn.IFS(VALUE(MID(AY$5,6,1))&gt;$D$2,0,$AP133="Annual",1,AX133=12,12,$AP133="Monthly V",AX133*(1+$D$3),$AP133="Monthly F",12,$AP133="One-Time",0),AX133*(1+$D$3))</f>
        <v/>
      </c>
      <c r="AZ133" s="14">
        <f t="array" ref="AZ133">IFERROR(_xlfn.IFS(VALUE(MID(AZ$5,6,1))&gt;$D$2,0,$AP133="Annual",1,AY133=12,12,$AP133="Monthly V",AY133*(1+$D$3),$AP133="Monthly F",12,$AP133="One-Time",0),AY133*(1+$D$3))</f>
        <v/>
      </c>
      <c r="BA133" s="125">
        <f t="array" ref="BA133">IFERROR(_xlfn.IFS(VALUE(MID(BA$5,6,2))&gt;$D$2,0,$AP133="Annual",1,AZ133=12,12,$AP133="Monthly V",AZ133*(1+$D$3),$AP133="Monthly F",12,$AP133="One-Time",0),AZ133*(1+$D$3))</f>
        <v/>
      </c>
      <c r="BB133" s="124" t="inlineStr">
        <is>
          <t>AlertCenter AFS TrueChecks Frontline</t>
        </is>
      </c>
      <c r="BC133" s="38" t="inlineStr">
        <is>
          <t>AlertCenter</t>
        </is>
      </c>
      <c r="BD133" s="36" t="n">
        <v>75</v>
      </c>
      <c r="BE133" s="21">
        <f>BF133/12</f>
        <v/>
      </c>
      <c r="BF133" s="39">
        <f>IFERROR(AR133*$BD133,0)</f>
        <v/>
      </c>
      <c r="BG133" s="39">
        <f>IFERROR(AS133*$BD133,0)</f>
        <v/>
      </c>
      <c r="BH133" s="39">
        <f>IFERROR(AT133*$BD133,0)</f>
        <v/>
      </c>
      <c r="BI133" s="39">
        <f>BH133*1.03</f>
        <v/>
      </c>
      <c r="BJ133" s="39">
        <f>BI133*1.03</f>
        <v/>
      </c>
      <c r="BK133" s="39">
        <f>BJ133*1.03</f>
        <v/>
      </c>
      <c r="BL133" s="39">
        <f>BK133*1.03</f>
        <v/>
      </c>
      <c r="BM133" s="39">
        <f>IFERROR(AY133*$BD133,0)</f>
        <v/>
      </c>
      <c r="BN133" s="39">
        <f>IFERROR(AZ133*$BD133,0)</f>
        <v/>
      </c>
      <c r="BO133" s="39">
        <f>IFERROR(BA133*$BD133,0)</f>
        <v/>
      </c>
      <c r="BP133" s="40" t="n"/>
      <c r="BQ133" s="40">
        <f>IF(VALUE(MID(BQ$5,6,1))&lt;=$D$2,((1+$BD$3)^1-1)*BG133,0)</f>
        <v/>
      </c>
      <c r="BR133" s="40">
        <f>IF(VALUE(MID(BR$5,6,1))&lt;=$D$2,((1+$BD$3)^2-1)*BH133,0)</f>
        <v/>
      </c>
      <c r="BS133" s="40">
        <f>IF(VALUE(MID(BS$5,6,1))&lt;=$D$2,((1+$BD$3)^3-1)*BI133,0)</f>
        <v/>
      </c>
      <c r="BT133" s="40">
        <f>IF(VALUE(MID(BT$5,6,1))&lt;=$D$2,((1+$BD$3)^4-1)*BJ133,0)</f>
        <v/>
      </c>
      <c r="BU133" s="40">
        <f>IF(VALUE(MID(BU$5,6,1))&lt;=$D$2,((1+$BD$3)^5-1)*BK133,0)</f>
        <v/>
      </c>
      <c r="BV133" s="40">
        <f>IF(VALUE(MID(BV$5,6,1))&lt;=$D$2,((1+$BD$3)^6-1)*BL133,0)</f>
        <v/>
      </c>
      <c r="BW133" s="40">
        <f>IF(VALUE(MID(BW$5,6,1))&lt;=$D$2,((1+$BD$3)^7-1)*BM133,0)</f>
        <v/>
      </c>
      <c r="BX133" s="40">
        <f>IF(VALUE(MID(BX$5,6,1))&lt;=$D$2,((1+$BD$3)^8-1)*BN133,0)</f>
        <v/>
      </c>
      <c r="BY133" s="40">
        <f>IF(VALUE(MID(BY$5,6,2))&lt;=$D$2,((1+$BD$3)^9-1)*BO133,0)</f>
        <v/>
      </c>
      <c r="BZ133" s="40">
        <f>SUM(BP133:BY133)</f>
        <v/>
      </c>
      <c r="CA133" s="37">
        <f>SUM(BZ133,BF133:BO133)</f>
        <v/>
      </c>
      <c r="CC133" s="102" t="n"/>
      <c r="CD133" s="12" t="n"/>
      <c r="CE133" s="14">
        <f>IF($CC133="Annual",1,IF($CC133="Monthly F",12,IF($CC133="Monthly V",CD133*12,IF($CC133="One-Time",1,CD133*12))))</f>
        <v/>
      </c>
      <c r="CF133" s="14">
        <f t="array" ref="CF133">IFERROR(_xlfn.IFS(VALUE(MID(CF$5,6,1))&gt;$D$2,0,$CC133="Annual",1,CE133=12,12,$CC133="Monthly V",CE133*(1+$D$3),$CC133="Monthly F",12,$CC133="One-Time",0),CE133*(1+$D$3))</f>
        <v/>
      </c>
      <c r="CG133" s="14">
        <f t="array" ref="CG133">IFERROR(_xlfn.IFS(VALUE(MID(CG$5,6,1))&gt;$D$2,0,$CC133="Annual",1,CF133=12,12,$CC133="Monthly V",CF133*(1+$D$3),$CC133="Monthly F",12,$CC133="One-Time",0),CF133*(1+$D$3))</f>
        <v/>
      </c>
      <c r="CH133" s="14">
        <f t="array" ref="CH133">IFERROR(_xlfn.IFS(VALUE(MID(CH$5,6,1))&gt;$D$2,0,$CC133="Annual",1,CG133=12,12,$CC133="Monthly V",CG133*(1+$D$3),$CC133="Monthly F",12,$CC133="One-Time",0),CG133*(1+$D$3))</f>
        <v/>
      </c>
      <c r="CI133" s="14">
        <f t="array" ref="CI133">IFERROR(_xlfn.IFS(VALUE(MID(CI$5,6,1))&gt;$D$2,0,$CC133="Annual",1,CH133=12,12,$CC133="Monthly V",CH133*(1+$D$3),$CC133="Monthly F",12,$CC133="One-Time",0),CH133*(1+$D$3))</f>
        <v/>
      </c>
      <c r="CJ133" s="14">
        <f t="array" ref="CJ133">IFERROR(_xlfn.IFS(VALUE(MID(CJ$5,6,1))&gt;$D$2,0,$CC133="Annual",1,CI133=12,12,$CC133="Monthly V",CI133*(1+$D$3),$CC133="Monthly F",12,$CC133="One-Time",0),CI133*(1+$D$3))</f>
        <v/>
      </c>
      <c r="CK133" s="14">
        <f t="array" ref="CK133">IFERROR(_xlfn.IFS(VALUE(MID(CK$5,6,1))&gt;$D$2,0,$CC133="Annual",1,CJ133=12,12,$CC133="Monthly V",CJ133*(1+$D$3),$CC133="Monthly F",12,$CC133="One-Time",0),CJ133*(1+$D$3))</f>
        <v/>
      </c>
      <c r="CL133" s="14">
        <f t="array" ref="CL133">IFERROR(_xlfn.IFS(VALUE(MID(CL$5,6,1))&gt;$D$2,0,$CC133="Annual",1,CK133=12,12,$CC133="Monthly V",CK133*(1+$D$3),$CC133="Monthly F",12,$CC133="One-Time",0),CK133*(1+$D$3))</f>
        <v/>
      </c>
      <c r="CM133" s="14">
        <f t="array" ref="CM133">IFERROR(_xlfn.IFS(VALUE(MID(CM$5,6,1))&gt;$D$2,0,$CC133="Annual",1,CL133=12,12,$CC133="Monthly V",CL133*(1+$D$3),$CC133="Monthly F",12,$CC133="One-Time",0),CL133*(1+$D$3))</f>
        <v/>
      </c>
      <c r="CN133" s="24">
        <f t="array" ref="CN133">IFERROR(_xlfn.IFS(VALUE(MID(CN$5,6,2))&gt;$D$2,0,$CC133="Annual",1,CM133=12,12,$CC133="Monthly V",CM133*(1+$D$3),$CC133="Monthly F",12,$CC133="One-Time",0),CM133*(1+$D$3))</f>
        <v/>
      </c>
      <c r="CO133" s="63" t="n"/>
      <c r="CP133" s="53" t="n"/>
      <c r="CQ133" s="21">
        <f>CR133/12</f>
        <v/>
      </c>
      <c r="CR133" s="55">
        <f>IFERROR(CE133*$CP133,0)</f>
        <v/>
      </c>
      <c r="CS133" s="55">
        <f>IFERROR(CF133*$CP133,0)</f>
        <v/>
      </c>
      <c r="CT133" s="55">
        <f>IFERROR(CG133*$CP133,0)</f>
        <v/>
      </c>
      <c r="CU133" s="55">
        <f>IFERROR(CH133*$CP133,0)</f>
        <v/>
      </c>
      <c r="CV133" s="55">
        <f>IFERROR(CI133*$CP133,0)</f>
        <v/>
      </c>
      <c r="CW133" s="55">
        <f>IFERROR(CJ133*$CP133,0)</f>
        <v/>
      </c>
      <c r="CX133" s="55">
        <f>IFERROR(CK133*$CP133,0)</f>
        <v/>
      </c>
      <c r="CY133" s="55">
        <f>IFERROR(CL133*$CP133,0)</f>
        <v/>
      </c>
      <c r="CZ133" s="55">
        <f>IFERROR(CM133*$CP133,0)</f>
        <v/>
      </c>
      <c r="DA133" s="55">
        <f>IFERROR(CN133*$CP133,0)</f>
        <v/>
      </c>
      <c r="DB133" s="56" t="n"/>
      <c r="DC133" s="56">
        <f>IF(VALUE(MID(DC$5,6,1))&lt;=$D$2,((1+$CP$3)^1-1)*CS133,0)</f>
        <v/>
      </c>
      <c r="DD133" s="56">
        <f>IF(VALUE(MID(DD$5,6,1))&lt;=$D$2,((1+$CP$3)^2-1)*CT133,0)</f>
        <v/>
      </c>
      <c r="DE133" s="56">
        <f>IF(VALUE(MID(DE$5,6,1))&lt;=$D$2,((1+$CP$3)^3-1)*CU133,0)</f>
        <v/>
      </c>
      <c r="DF133" s="56">
        <f>IF(VALUE(MID(DF$5,6,1))&lt;=$D$2,((1+$CP$3)^4-1)*CV133,0)</f>
        <v/>
      </c>
      <c r="DG133" s="56">
        <f>IF(VALUE(MID(DG$5,6,1))&lt;=$D$2,((1+$CP$3)^5-1)*CW133,0)</f>
        <v/>
      </c>
      <c r="DH133" s="56">
        <f>IF(VALUE(MID(DH$5,6,1))&lt;=$D$2,((1+$CP$3)^6-1)*CX133,0)</f>
        <v/>
      </c>
      <c r="DI133" s="56">
        <f>IF(VALUE(MID(DI$5,6,1))&lt;=$D$2,((1+$CP$3)^7-1)*CY133,0)</f>
        <v/>
      </c>
      <c r="DJ133" s="56">
        <f>IF(VALUE(MID(DJ$5,6,1))&lt;=$D$2,((1+$CP$3)^8-1)*CZ133,0)</f>
        <v/>
      </c>
      <c r="DK133" s="56">
        <f>IF(VALUE(MID(DK$5,6,2))&lt;=$D$2,((1+$CP$3)^9-1)*DA133,0)</f>
        <v/>
      </c>
      <c r="DL133" s="57">
        <f>SUM(DB133:DK133)</f>
        <v/>
      </c>
      <c r="DM133" s="54">
        <f>SUM(DL133,CR133:DA133)</f>
        <v/>
      </c>
      <c r="DO133" s="106" t="n"/>
    </row>
    <row r="134">
      <c r="B134" s="141" t="n"/>
      <c r="C134" s="24" t="n"/>
      <c r="D134" s="147" t="n"/>
      <c r="E134" s="142" t="n"/>
      <c r="F134" s="14" t="n"/>
      <c r="G134" s="14" t="n"/>
      <c r="H134" s="14" t="n"/>
      <c r="I134" s="14" t="n"/>
      <c r="J134" s="14" t="n"/>
      <c r="K134" s="14" t="n"/>
      <c r="L134" s="14" t="n"/>
      <c r="M134" s="14" t="n"/>
      <c r="N134" s="24" t="n"/>
      <c r="O134" s="127" t="n"/>
      <c r="P134" s="13" t="n"/>
      <c r="Q134" s="20" t="n"/>
      <c r="R134" s="21" t="n"/>
      <c r="S134" s="6" t="n"/>
      <c r="T134" s="6" t="n"/>
      <c r="U134" s="6" t="n"/>
      <c r="V134" s="6" t="n"/>
      <c r="W134" s="6" t="n"/>
      <c r="X134" s="6" t="n"/>
      <c r="Y134" s="6" t="n"/>
      <c r="Z134" s="6" t="n"/>
      <c r="AA134" s="6" t="n"/>
      <c r="AB134" s="6" t="n"/>
      <c r="AC134" s="7" t="n"/>
      <c r="AD134" s="152" t="n"/>
      <c r="AE134" s="152" t="n"/>
      <c r="AF134" s="152" t="n"/>
      <c r="AG134" s="152" t="n"/>
      <c r="AH134" s="152" t="n"/>
      <c r="AI134" s="152" t="n"/>
      <c r="AJ134" s="152" t="n"/>
      <c r="AK134" s="152" t="n"/>
      <c r="AL134" s="152" t="n"/>
      <c r="AM134" s="9" t="n"/>
      <c r="AN134" s="80" t="n"/>
      <c r="AP134" s="102" t="inlineStr">
        <is>
          <t>Monthly V</t>
        </is>
      </c>
      <c r="AQ134" s="12" t="n">
        <v>5000</v>
      </c>
      <c r="AR134" s="14">
        <f>IF($AP134="Annual",1,IF($AP134="Monthly F",12,IF($AP134="Monthly V",AQ134*12,IF($AP134="One-Time",1,AQ134*12))))</f>
        <v/>
      </c>
      <c r="AS134" s="14">
        <f t="array" ref="AS134">IFERROR(_xlfn.IFS(VALUE(MID(AS$5,6,1))&gt;$D$2,0,$AP134="Annual",1,AR134=12,12,$AP134="Monthly V",AR134*(1+$BD$2),$AP134="Monthly F",12,$AP134="One-Time",0),AR134*(1+$BD$2))</f>
        <v/>
      </c>
      <c r="AT134" s="14">
        <f t="array" ref="AT134">IFERROR(_xlfn.IFS(VALUE(MID(AT$5,6,1))&gt;$D$2,0,$AP134="Annual",1,AS134=12,12,$AP134="Monthly V",AS134*(1+$BD$2),$AP134="Monthly F",12,$AP134="One-Time",0),AS134*(1+$BD$2))</f>
        <v/>
      </c>
      <c r="AU134" s="14">
        <f t="array" ref="AU134">IFERROR(_xlfn.IFS(VALUE(MID(AU$5,6,1))&gt;$D$2,0,$AP134="Annual",1,AT134=12,12,$AP134="Monthly V",AT134*(1+$BD$2),$AP134="Monthly F",12,$AP134="One-Time",0),AT134*(1+$BD$2))</f>
        <v/>
      </c>
      <c r="AV134" s="14">
        <f t="array" ref="AV134">IFERROR(_xlfn.IFS(VALUE(MID(AV$5,6,1))&gt;$D$2,0,$AP134="Annual",1,AU134=12,12,$AP134="Monthly V",AU134*(1+$BD$2),$AP134="Monthly F",12,$AP134="One-Time",0),AU134*(1+$BD$2))</f>
        <v/>
      </c>
      <c r="AW134" s="14">
        <f t="array" ref="AW134">IFERROR(_xlfn.IFS(VALUE(MID(AW$5,6,1))&gt;$D$2,0,$AP134="Annual",1,AV134=12,12,$AP134="Monthly V",AV134*(1+$BD$2),$AP134="Monthly F",12,$AP134="One-Time",0),AV134*(1+$BD$2))</f>
        <v/>
      </c>
      <c r="AX134" s="14">
        <f t="array" ref="AX134">IFERROR(_xlfn.IFS(VALUE(MID(AX$5,6,1))&gt;$D$2,0,$AP134="Annual",1,AW134=12,12,$AP134="Monthly V",AW134*(1+$BD$2),$AP134="Monthly F",12,$AP134="One-Time",0),AW134*(1+$BD$2))</f>
        <v/>
      </c>
      <c r="AY134" s="14">
        <f t="array" ref="AY134">IFERROR(_xlfn.IFS(VALUE(MID(AY$5,6,1))&gt;$D$2,0,$AP134="Annual",1,AX134=12,12,$AP134="Monthly V",AX134*(1+$D$3),$AP134="Monthly F",12,$AP134="One-Time",0),AX134*(1+$D$3))</f>
        <v/>
      </c>
      <c r="AZ134" s="14">
        <f t="array" ref="AZ134">IFERROR(_xlfn.IFS(VALUE(MID(AZ$5,6,1))&gt;$D$2,0,$AP134="Annual",1,AY134=12,12,$AP134="Monthly V",AY134*(1+$D$3),$AP134="Monthly F",12,$AP134="One-Time",0),AY134*(1+$D$3))</f>
        <v/>
      </c>
      <c r="BA134" s="125">
        <f t="array" ref="BA134">IFERROR(_xlfn.IFS(VALUE(MID(BA$5,6,2))&gt;$D$2,0,$AP134="Annual",1,AZ134=12,12,$AP134="Monthly V",AZ134*(1+$D$3),$AP134="Monthly F",12,$AP134="One-Time",0),AZ134*(1+$D$3))</f>
        <v/>
      </c>
      <c r="BB134" s="124" t="inlineStr">
        <is>
          <t>Synergy Automated Document Recognition</t>
        </is>
      </c>
      <c r="BC134" s="38" t="inlineStr">
        <is>
          <t>Synergy</t>
        </is>
      </c>
      <c r="BD134" s="36" t="n">
        <v>0.08</v>
      </c>
      <c r="BE134" s="21">
        <f>BF134/12</f>
        <v/>
      </c>
      <c r="BF134" s="39">
        <f>IFERROR(AR134*$BD134,0)</f>
        <v/>
      </c>
      <c r="BG134" s="39">
        <f>IFERROR(AS134*$BD134,0)</f>
        <v/>
      </c>
      <c r="BH134" s="39">
        <f>IFERROR(AT134*$BD134,0)</f>
        <v/>
      </c>
      <c r="BI134" s="39">
        <f>BH134*1.03</f>
        <v/>
      </c>
      <c r="BJ134" s="39">
        <f>BI134*1.03</f>
        <v/>
      </c>
      <c r="BK134" s="39">
        <f>BJ134*1.03</f>
        <v/>
      </c>
      <c r="BL134" s="39">
        <f>BK134*1.03</f>
        <v/>
      </c>
      <c r="BM134" s="39">
        <f>IFERROR(AY134*$BD134,0)</f>
        <v/>
      </c>
      <c r="BN134" s="39">
        <f>IFERROR(AZ134*$BD134,0)</f>
        <v/>
      </c>
      <c r="BO134" s="39">
        <f>IFERROR(BA134*$BD134,0)</f>
        <v/>
      </c>
      <c r="BP134" s="40" t="n"/>
      <c r="BQ134" s="40">
        <f>IF(VALUE(MID(BQ$5,6,1))&lt;=$D$2,((1+$BD$3)^1-1)*BG134,0)</f>
        <v/>
      </c>
      <c r="BR134" s="40">
        <f>IF(VALUE(MID(BR$5,6,1))&lt;=$D$2,((1+$BD$3)^2-1)*BH134,0)</f>
        <v/>
      </c>
      <c r="BS134" s="40">
        <f>IF(VALUE(MID(BS$5,6,1))&lt;=$D$2,((1+$BD$3)^3-1)*BI134,0)</f>
        <v/>
      </c>
      <c r="BT134" s="40">
        <f>IF(VALUE(MID(BT$5,6,1))&lt;=$D$2,((1+$BD$3)^4-1)*BJ134,0)</f>
        <v/>
      </c>
      <c r="BU134" s="40">
        <f>IF(VALUE(MID(BU$5,6,1))&lt;=$D$2,((1+$BD$3)^5-1)*BK134,0)</f>
        <v/>
      </c>
      <c r="BV134" s="40">
        <f>IF(VALUE(MID(BV$5,6,1))&lt;=$D$2,((1+$BD$3)^6-1)*BL134,0)</f>
        <v/>
      </c>
      <c r="BW134" s="40">
        <f>IF(VALUE(MID(BW$5,6,1))&lt;=$D$2,((1+$BD$3)^7-1)*BM134,0)</f>
        <v/>
      </c>
      <c r="BX134" s="40">
        <f>IF(VALUE(MID(BX$5,6,1))&lt;=$D$2,((1+$BD$3)^8-1)*BN134,0)</f>
        <v/>
      </c>
      <c r="BY134" s="40">
        <f>IF(VALUE(MID(BY$5,6,2))&lt;=$D$2,((1+$BD$3)^9-1)*BO134,0)</f>
        <v/>
      </c>
      <c r="BZ134" s="40">
        <f>SUM(BP134:BY134)</f>
        <v/>
      </c>
      <c r="CA134" s="37">
        <f>SUM(BZ134,BF134:BO134)</f>
        <v/>
      </c>
      <c r="CC134" s="102" t="n"/>
      <c r="CD134" s="12" t="n"/>
      <c r="CE134" s="14" t="n"/>
      <c r="CF134" s="14" t="n"/>
      <c r="CG134" s="14" t="n"/>
      <c r="CH134" s="14" t="n"/>
      <c r="CI134" s="14" t="n"/>
      <c r="CJ134" s="14" t="n"/>
      <c r="CK134" s="14" t="n"/>
      <c r="CL134" s="14" t="n"/>
      <c r="CM134" s="14" t="n"/>
      <c r="CN134" s="24" t="n"/>
      <c r="CO134" s="63" t="n"/>
      <c r="CP134" s="53" t="n"/>
      <c r="CQ134" s="21" t="n"/>
      <c r="CR134" s="55" t="n"/>
      <c r="CS134" s="55" t="n"/>
      <c r="CT134" s="55" t="n"/>
      <c r="CU134" s="55" t="n"/>
      <c r="CV134" s="55" t="n"/>
      <c r="CW134" s="55" t="n"/>
      <c r="CX134" s="55" t="n"/>
      <c r="CY134" s="55" t="n"/>
      <c r="CZ134" s="55" t="n"/>
      <c r="DA134" s="55" t="n"/>
      <c r="DB134" s="56" t="n"/>
      <c r="DC134" s="56" t="n"/>
      <c r="DD134" s="56" t="n"/>
      <c r="DE134" s="56" t="n"/>
      <c r="DF134" s="56" t="n"/>
      <c r="DG134" s="56" t="n"/>
      <c r="DH134" s="56" t="n"/>
      <c r="DI134" s="56" t="n"/>
      <c r="DJ134" s="56" t="n"/>
      <c r="DK134" s="56" t="n"/>
      <c r="DL134" s="57" t="n"/>
      <c r="DM134" s="54" t="n"/>
      <c r="DO134" s="106" t="n"/>
    </row>
    <row r="135">
      <c r="B135" s="141" t="n"/>
      <c r="C135" s="24" t="n"/>
      <c r="D135" s="147" t="n"/>
      <c r="E135" s="142" t="n"/>
      <c r="F135" s="14" t="n"/>
      <c r="G135" s="14" t="n"/>
      <c r="H135" s="14" t="n"/>
      <c r="I135" s="14" t="n"/>
      <c r="J135" s="14" t="n"/>
      <c r="K135" s="14" t="n"/>
      <c r="L135" s="14" t="n"/>
      <c r="M135" s="14" t="n"/>
      <c r="N135" s="24" t="n"/>
      <c r="O135" s="127" t="n"/>
      <c r="P135" s="13" t="n"/>
      <c r="Q135" s="20" t="n"/>
      <c r="R135" s="21" t="n"/>
      <c r="S135" s="6" t="n"/>
      <c r="T135" s="6" t="n"/>
      <c r="U135" s="6" t="n"/>
      <c r="V135" s="6" t="n"/>
      <c r="W135" s="6" t="n"/>
      <c r="X135" s="6" t="n"/>
      <c r="Y135" s="6" t="n"/>
      <c r="Z135" s="6" t="n"/>
      <c r="AA135" s="6" t="n"/>
      <c r="AB135" s="6" t="n"/>
      <c r="AC135" s="7" t="n"/>
      <c r="AD135" s="152" t="n"/>
      <c r="AE135" s="152" t="n"/>
      <c r="AF135" s="152" t="n"/>
      <c r="AG135" s="152" t="n"/>
      <c r="AH135" s="152" t="n"/>
      <c r="AI135" s="152" t="n"/>
      <c r="AJ135" s="152" t="n"/>
      <c r="AK135" s="152" t="n"/>
      <c r="AL135" s="152" t="n"/>
      <c r="AM135" s="9" t="n"/>
      <c r="AN135" s="80" t="n"/>
      <c r="AP135" s="102" t="inlineStr">
        <is>
          <t>Monthly F</t>
        </is>
      </c>
      <c r="AQ135" s="12" t="n">
        <v>1</v>
      </c>
      <c r="AR135" s="14">
        <f>IF($AP135="Annual",1,IF($AP135="Monthly F",12,IF($AP135="Monthly V",AQ135*12,IF($AP135="One-Time",1,AQ135*12))))</f>
        <v/>
      </c>
      <c r="AS135" s="14">
        <f t="array" ref="AS135">IFERROR(_xlfn.IFS(VALUE(MID(AS$5,6,1))&gt;$D$2,0,$AP135="Annual",1,AR135=12,12,$AP135="Monthly V",AR135*(1+$BD$2),$AP135="Monthly F",12,$AP135="One-Time",0),AR135*(1+$BD$2))</f>
        <v/>
      </c>
      <c r="AT135" s="14">
        <f t="array" ref="AT135">IFERROR(_xlfn.IFS(VALUE(MID(AT$5,6,1))&gt;$D$2,0,$AP135="Annual",1,AS135=12,12,$AP135="Monthly V",AS135*(1+$BD$2),$AP135="Monthly F",12,$AP135="One-Time",0),AS135*(1+$BD$2))</f>
        <v/>
      </c>
      <c r="AU135" s="14">
        <f t="array" ref="AU135">IFERROR(_xlfn.IFS(VALUE(MID(AU$5,6,1))&gt;$D$2,0,$AP135="Annual",1,AT135=12,12,$AP135="Monthly V",AT135*(1+$BD$2),$AP135="Monthly F",12,$AP135="One-Time",0),AT135*(1+$BD$2))</f>
        <v/>
      </c>
      <c r="AV135" s="14">
        <f t="array" ref="AV135">IFERROR(_xlfn.IFS(VALUE(MID(AV$5,6,1))&gt;$D$2,0,$AP135="Annual",1,AU135=12,12,$AP135="Monthly V",AU135*(1+$BD$2),$AP135="Monthly F",12,$AP135="One-Time",0),AU135*(1+$BD$2))</f>
        <v/>
      </c>
      <c r="AW135" s="14">
        <f t="array" ref="AW135">IFERROR(_xlfn.IFS(VALUE(MID(AW$5,6,1))&gt;$D$2,0,$AP135="Annual",1,AV135=12,12,$AP135="Monthly V",AV135*(1+$BD$2),$AP135="Monthly F",12,$AP135="One-Time",0),AV135*(1+$BD$2))</f>
        <v/>
      </c>
      <c r="AX135" s="14">
        <f t="array" ref="AX135">IFERROR(_xlfn.IFS(VALUE(MID(AX$5,6,1))&gt;$D$2,0,$AP135="Annual",1,AW135=12,12,$AP135="Monthly V",AW135*(1+$BD$2),$AP135="Monthly F",12,$AP135="One-Time",0),AW135*(1+$BD$2))</f>
        <v/>
      </c>
      <c r="AY135" s="14">
        <f t="array" ref="AY135">IFERROR(_xlfn.IFS(VALUE(MID(AY$5,6,1))&gt;$D$2,0,$AP135="Annual",1,AX135=12,12,$AP135="Monthly V",AX135*(1+$D$3),$AP135="Monthly F",12,$AP135="One-Time",0),AX135*(1+$D$3))</f>
        <v/>
      </c>
      <c r="AZ135" s="14">
        <f t="array" ref="AZ135">IFERROR(_xlfn.IFS(VALUE(MID(AZ$5,6,1))&gt;$D$2,0,$AP135="Annual",1,AY135=12,12,$AP135="Monthly V",AY135*(1+$D$3),$AP135="Monthly F",12,$AP135="One-Time",0),AY135*(1+$D$3))</f>
        <v/>
      </c>
      <c r="BA135" s="125">
        <f t="array" ref="BA135">IFERROR(_xlfn.IFS(VALUE(MID(BA$5,6,2))&gt;$D$2,0,$AP135="Annual",1,AZ135=12,12,$AP135="Monthly V",AZ135*(1+$D$3),$AP135="Monthly F",12,$AP135="One-Time",0),AZ135*(1+$D$3))</f>
        <v/>
      </c>
      <c r="BB135" s="124" t="inlineStr">
        <is>
          <t>RemitPlus Express - Financial Institution</t>
        </is>
      </c>
      <c r="BC135" s="38" t="inlineStr">
        <is>
          <t>ProfitStars RemitPlus</t>
        </is>
      </c>
      <c r="BD135" s="36" t="n">
        <v>100</v>
      </c>
      <c r="BE135" s="21">
        <f>BF135/12</f>
        <v/>
      </c>
      <c r="BF135" s="39">
        <f>IFERROR(AR135*$BD135,0)</f>
        <v/>
      </c>
      <c r="BG135" s="39">
        <f>IFERROR(AS135*$BD135,0)</f>
        <v/>
      </c>
      <c r="BH135" s="39">
        <f>IFERROR(AT135*$BD135,0)</f>
        <v/>
      </c>
      <c r="BI135" s="39">
        <f>BH135*1.03</f>
        <v/>
      </c>
      <c r="BJ135" s="39">
        <f>BI135*1.03</f>
        <v/>
      </c>
      <c r="BK135" s="39">
        <f>BJ135*1.03</f>
        <v/>
      </c>
      <c r="BL135" s="39">
        <f>BK135*1.03</f>
        <v/>
      </c>
      <c r="BM135" s="39">
        <f>IFERROR(AY135*$BD135,0)</f>
        <v/>
      </c>
      <c r="BN135" s="39">
        <f>IFERROR(AZ135*$BD135,0)</f>
        <v/>
      </c>
      <c r="BO135" s="39">
        <f>IFERROR(BA135*$BD135,0)</f>
        <v/>
      </c>
      <c r="BP135" s="40" t="n"/>
      <c r="BQ135" s="40">
        <f>IF(VALUE(MID(BQ$5,6,1))&lt;=$D$2,((1+$BD$3)^1-1)*BG135,0)</f>
        <v/>
      </c>
      <c r="BR135" s="40">
        <f>IF(VALUE(MID(BR$5,6,1))&lt;=$D$2,((1+$BD$3)^2-1)*BH135,0)</f>
        <v/>
      </c>
      <c r="BS135" s="40">
        <f>IF(VALUE(MID(BS$5,6,1))&lt;=$D$2,((1+$BD$3)^3-1)*BI135,0)</f>
        <v/>
      </c>
      <c r="BT135" s="40">
        <f>IF(VALUE(MID(BT$5,6,1))&lt;=$D$2,((1+$BD$3)^4-1)*BJ135,0)</f>
        <v/>
      </c>
      <c r="BU135" s="40">
        <f>IF(VALUE(MID(BU$5,6,1))&lt;=$D$2,((1+$BD$3)^5-1)*BK135,0)</f>
        <v/>
      </c>
      <c r="BV135" s="40">
        <f>IF(VALUE(MID(BV$5,6,1))&lt;=$D$2,((1+$BD$3)^6-1)*BL135,0)</f>
        <v/>
      </c>
      <c r="BW135" s="40">
        <f>IF(VALUE(MID(BW$5,6,1))&lt;=$D$2,((1+$BD$3)^7-1)*BM135,0)</f>
        <v/>
      </c>
      <c r="BX135" s="40">
        <f>IF(VALUE(MID(BX$5,6,1))&lt;=$D$2,((1+$BD$3)^8-1)*BN135,0)</f>
        <v/>
      </c>
      <c r="BY135" s="40">
        <f>IF(VALUE(MID(BY$5,6,2))&lt;=$D$2,((1+$BD$3)^9-1)*BO135,0)</f>
        <v/>
      </c>
      <c r="BZ135" s="40">
        <f>SUM(BP135:BY135)</f>
        <v/>
      </c>
      <c r="CA135" s="37">
        <f>SUM(BZ135,BF135:BO135)</f>
        <v/>
      </c>
      <c r="CC135" s="102" t="n"/>
      <c r="CD135" s="12" t="n"/>
      <c r="CE135" s="14" t="n"/>
      <c r="CF135" s="14" t="n"/>
      <c r="CG135" s="14" t="n"/>
      <c r="CH135" s="14" t="n"/>
      <c r="CI135" s="14" t="n"/>
      <c r="CJ135" s="14" t="n"/>
      <c r="CK135" s="14" t="n"/>
      <c r="CL135" s="14" t="n"/>
      <c r="CM135" s="14" t="n"/>
      <c r="CN135" s="24" t="n"/>
      <c r="CO135" s="63" t="n"/>
      <c r="CP135" s="53" t="n"/>
      <c r="CQ135" s="21" t="n"/>
      <c r="CR135" s="55" t="n"/>
      <c r="CS135" s="55" t="n"/>
      <c r="CT135" s="55" t="n"/>
      <c r="CU135" s="55" t="n"/>
      <c r="CV135" s="55" t="n"/>
      <c r="CW135" s="55" t="n"/>
      <c r="CX135" s="55" t="n"/>
      <c r="CY135" s="55" t="n"/>
      <c r="CZ135" s="55" t="n"/>
      <c r="DA135" s="55" t="n"/>
      <c r="DB135" s="56" t="n"/>
      <c r="DC135" s="56" t="n"/>
      <c r="DD135" s="56" t="n"/>
      <c r="DE135" s="56" t="n"/>
      <c r="DF135" s="56" t="n"/>
      <c r="DG135" s="56" t="n"/>
      <c r="DH135" s="56" t="n"/>
      <c r="DI135" s="56" t="n"/>
      <c r="DJ135" s="56" t="n"/>
      <c r="DK135" s="56" t="n"/>
      <c r="DL135" s="57" t="n"/>
      <c r="DM135" s="54" t="n"/>
      <c r="DO135" s="106" t="n"/>
    </row>
    <row r="136">
      <c r="B136" s="141" t="n"/>
      <c r="C136" s="24" t="n"/>
      <c r="D136" s="147" t="n"/>
      <c r="E136" s="142" t="n"/>
      <c r="F136" s="14" t="n"/>
      <c r="G136" s="14" t="n"/>
      <c r="H136" s="14" t="n"/>
      <c r="I136" s="14" t="n"/>
      <c r="J136" s="14" t="n"/>
      <c r="K136" s="14" t="n"/>
      <c r="L136" s="14" t="n"/>
      <c r="M136" s="14" t="n"/>
      <c r="N136" s="24" t="n"/>
      <c r="O136" s="127" t="n"/>
      <c r="P136" s="13" t="n"/>
      <c r="Q136" s="20" t="n"/>
      <c r="R136" s="21" t="n"/>
      <c r="S136" s="6" t="n"/>
      <c r="T136" s="6" t="n"/>
      <c r="U136" s="6" t="n"/>
      <c r="V136" s="6" t="n"/>
      <c r="W136" s="6" t="n"/>
      <c r="X136" s="6" t="n"/>
      <c r="Y136" s="6" t="n"/>
      <c r="Z136" s="6" t="n"/>
      <c r="AA136" s="6" t="n"/>
      <c r="AB136" s="6" t="n"/>
      <c r="AC136" s="7" t="n"/>
      <c r="AD136" s="152" t="n"/>
      <c r="AE136" s="152" t="n"/>
      <c r="AF136" s="152" t="n"/>
      <c r="AG136" s="152" t="n"/>
      <c r="AH136" s="152" t="n"/>
      <c r="AI136" s="152" t="n"/>
      <c r="AJ136" s="152" t="n"/>
      <c r="AK136" s="152" t="n"/>
      <c r="AL136" s="152" t="n"/>
      <c r="AM136" s="9" t="n"/>
      <c r="AN136" s="80" t="n"/>
      <c r="AP136" s="102" t="inlineStr">
        <is>
          <t>Monthly V</t>
        </is>
      </c>
      <c r="AQ136" s="12" t="n">
        <v>5000</v>
      </c>
      <c r="AR136" s="14">
        <f>IF($AP136="Annual",1,IF($AP136="Monthly F",12,IF($AP136="Monthly V",AQ136*12,IF($AP136="One-Time",1,AQ136*12))))</f>
        <v/>
      </c>
      <c r="AS136" s="14">
        <f t="array" ref="AS136">IFERROR(_xlfn.IFS(VALUE(MID(AS$5,6,1))&gt;$D$2,0,$AP136="Annual",1,AR136=12,12,$AP136="Monthly V",AR136*(1+$BD$2),$AP136="Monthly F",12,$AP136="One-Time",0),AR136*(1+$BD$2))</f>
        <v/>
      </c>
      <c r="AT136" s="14">
        <f t="array" ref="AT136">IFERROR(_xlfn.IFS(VALUE(MID(AT$5,6,1))&gt;$D$2,0,$AP136="Annual",1,AS136=12,12,$AP136="Monthly V",AS136*(1+$BD$2),$AP136="Monthly F",12,$AP136="One-Time",0),AS136*(1+$BD$2))</f>
        <v/>
      </c>
      <c r="AU136" s="14">
        <f t="array" ref="AU136">IFERROR(_xlfn.IFS(VALUE(MID(AU$5,6,1))&gt;$D$2,0,$AP136="Annual",1,AT136=12,12,$AP136="Monthly V",AT136*(1+$BD$2),$AP136="Monthly F",12,$AP136="One-Time",0),AT136*(1+$BD$2))</f>
        <v/>
      </c>
      <c r="AV136" s="14">
        <f t="array" ref="AV136">IFERROR(_xlfn.IFS(VALUE(MID(AV$5,6,1))&gt;$D$2,0,$AP136="Annual",1,AU136=12,12,$AP136="Monthly V",AU136*(1+$BD$2),$AP136="Monthly F",12,$AP136="One-Time",0),AU136*(1+$BD$2))</f>
        <v/>
      </c>
      <c r="AW136" s="14">
        <f t="array" ref="AW136">IFERROR(_xlfn.IFS(VALUE(MID(AW$5,6,1))&gt;$D$2,0,$AP136="Annual",1,AV136=12,12,$AP136="Monthly V",AV136*(1+$BD$2),$AP136="Monthly F",12,$AP136="One-Time",0),AV136*(1+$BD$2))</f>
        <v/>
      </c>
      <c r="AX136" s="14">
        <f t="array" ref="AX136">IFERROR(_xlfn.IFS(VALUE(MID(AX$5,6,1))&gt;$D$2,0,$AP136="Annual",1,AW136=12,12,$AP136="Monthly V",AW136*(1+$BD$2),$AP136="Monthly F",12,$AP136="One-Time",0),AW136*(1+$BD$2))</f>
        <v/>
      </c>
      <c r="AY136" s="14">
        <f t="array" ref="AY136">IFERROR(_xlfn.IFS(VALUE(MID(AY$5,6,1))&gt;$D$2,0,$AP136="Annual",1,AX136=12,12,$AP136="Monthly V",AX136*(1+$D$3),$AP136="Monthly F",12,$AP136="One-Time",0),AX136*(1+$D$3))</f>
        <v/>
      </c>
      <c r="AZ136" s="14">
        <f t="array" ref="AZ136">IFERROR(_xlfn.IFS(VALUE(MID(AZ$5,6,1))&gt;$D$2,0,$AP136="Annual",1,AY136=12,12,$AP136="Monthly V",AY136*(1+$D$3),$AP136="Monthly F",12,$AP136="One-Time",0),AY136*(1+$D$3))</f>
        <v/>
      </c>
      <c r="BA136" s="125">
        <f t="array" ref="BA136">IFERROR(_xlfn.IFS(VALUE(MID(BA$5,6,2))&gt;$D$2,0,$AP136="Annual",1,AZ136=12,12,$AP136="Monthly V",AZ136*(1+$D$3),$AP136="Monthly F",12,$AP136="One-Time",0),AZ136*(1+$D$3))</f>
        <v/>
      </c>
      <c r="BB136" s="124" t="inlineStr">
        <is>
          <t>jhaAnalytics</t>
        </is>
      </c>
      <c r="BC136" s="38" t="inlineStr">
        <is>
          <t>jhaKnow</t>
        </is>
      </c>
      <c r="BD136" s="36" t="n">
        <v>0.2498</v>
      </c>
      <c r="BE136" s="21">
        <f>BF136/12</f>
        <v/>
      </c>
      <c r="BF136" s="39">
        <f>IFERROR(AR136*$BD136,0)</f>
        <v/>
      </c>
      <c r="BG136" s="39">
        <f>IFERROR(AS136*$BD136,0)</f>
        <v/>
      </c>
      <c r="BH136" s="39">
        <f>IFERROR(AT136*$BD136,0)</f>
        <v/>
      </c>
      <c r="BI136" s="39">
        <f>BH136*1.03</f>
        <v/>
      </c>
      <c r="BJ136" s="39">
        <f>BI136*1.03</f>
        <v/>
      </c>
      <c r="BK136" s="39">
        <f>BJ136*1.03</f>
        <v/>
      </c>
      <c r="BL136" s="39">
        <f>BK136*1.03</f>
        <v/>
      </c>
      <c r="BM136" s="39">
        <f>IFERROR(AY136*$BD136,0)</f>
        <v/>
      </c>
      <c r="BN136" s="39">
        <f>IFERROR(AZ136*$BD136,0)</f>
        <v/>
      </c>
      <c r="BO136" s="39">
        <f>IFERROR(BA136*$BD136,0)</f>
        <v/>
      </c>
      <c r="BP136" s="40" t="n"/>
      <c r="BQ136" s="40">
        <f>IF(VALUE(MID(BQ$5,6,1))&lt;=$D$2,((1+$BD$3)^1-1)*BG136,0)</f>
        <v/>
      </c>
      <c r="BR136" s="40">
        <f>IF(VALUE(MID(BR$5,6,1))&lt;=$D$2,((1+$BD$3)^2-1)*BH136,0)</f>
        <v/>
      </c>
      <c r="BS136" s="40">
        <f>IF(VALUE(MID(BS$5,6,1))&lt;=$D$2,((1+$BD$3)^3-1)*BI136,0)</f>
        <v/>
      </c>
      <c r="BT136" s="40">
        <f>IF(VALUE(MID(BT$5,6,1))&lt;=$D$2,((1+$BD$3)^4-1)*BJ136,0)</f>
        <v/>
      </c>
      <c r="BU136" s="40">
        <f>IF(VALUE(MID(BU$5,6,1))&lt;=$D$2,((1+$BD$3)^5-1)*BK136,0)</f>
        <v/>
      </c>
      <c r="BV136" s="40">
        <f>IF(VALUE(MID(BV$5,6,1))&lt;=$D$2,((1+$BD$3)^6-1)*BL136,0)</f>
        <v/>
      </c>
      <c r="BW136" s="40">
        <f>IF(VALUE(MID(BW$5,6,1))&lt;=$D$2,((1+$BD$3)^7-1)*BM136,0)</f>
        <v/>
      </c>
      <c r="BX136" s="40">
        <f>IF(VALUE(MID(BX$5,6,1))&lt;=$D$2,((1+$BD$3)^8-1)*BN136,0)</f>
        <v/>
      </c>
      <c r="BY136" s="40">
        <f>IF(VALUE(MID(BY$5,6,2))&lt;=$D$2,((1+$BD$3)^9-1)*BO136,0)</f>
        <v/>
      </c>
      <c r="BZ136" s="40">
        <f>SUM(BP136:BY136)</f>
        <v/>
      </c>
      <c r="CA136" s="37">
        <f>SUM(BZ136,BF136:BO136)</f>
        <v/>
      </c>
      <c r="CC136" s="102" t="n"/>
      <c r="CD136" s="12" t="n"/>
      <c r="CE136" s="14">
        <f>IF($CC136="Annual",1,IF($CC136="Monthly F",12,IF($CC136="Monthly V",CD136*12,IF($CC136="One-Time",1,CD136*12))))</f>
        <v/>
      </c>
      <c r="CF136" s="14">
        <f t="array" ref="CF136">IFERROR(_xlfn.IFS(VALUE(MID(CF$5,6,1))&gt;$D$2,0,$CC136="Annual",1,CE136=12,12,$CC136="Monthly V",CE136*(1+$D$3),$CC136="Monthly F",12,$CC136="One-Time",0),CE136*(1+$D$3))</f>
        <v/>
      </c>
      <c r="CG136" s="14">
        <f t="array" ref="CG136">IFERROR(_xlfn.IFS(VALUE(MID(CG$5,6,1))&gt;$D$2,0,$CC136="Annual",1,CF136=12,12,$CC136="Monthly V",CF136*(1+$D$3),$CC136="Monthly F",12,$CC136="One-Time",0),CF136*(1+$D$3))</f>
        <v/>
      </c>
      <c r="CH136" s="14">
        <f t="array" ref="CH136">IFERROR(_xlfn.IFS(VALUE(MID(CH$5,6,1))&gt;$D$2,0,$CC136="Annual",1,CG136=12,12,$CC136="Monthly V",CG136*(1+$D$3),$CC136="Monthly F",12,$CC136="One-Time",0),CG136*(1+$D$3))</f>
        <v/>
      </c>
      <c r="CI136" s="14">
        <f t="array" ref="CI136">IFERROR(_xlfn.IFS(VALUE(MID(CI$5,6,1))&gt;$D$2,0,$CC136="Annual",1,CH136=12,12,$CC136="Monthly V",CH136*(1+$D$3),$CC136="Monthly F",12,$CC136="One-Time",0),CH136*(1+$D$3))</f>
        <v/>
      </c>
      <c r="CJ136" s="14">
        <f t="array" ref="CJ136">IFERROR(_xlfn.IFS(VALUE(MID(CJ$5,6,1))&gt;$D$2,0,$CC136="Annual",1,CI136=12,12,$CC136="Monthly V",CI136*(1+$D$3),$CC136="Monthly F",12,$CC136="One-Time",0),CI136*(1+$D$3))</f>
        <v/>
      </c>
      <c r="CK136" s="14">
        <f t="array" ref="CK136">IFERROR(_xlfn.IFS(VALUE(MID(CK$5,6,1))&gt;$D$2,0,$CC136="Annual",1,CJ136=12,12,$CC136="Monthly V",CJ136*(1+$D$3),$CC136="Monthly F",12,$CC136="One-Time",0),CJ136*(1+$D$3))</f>
        <v/>
      </c>
      <c r="CL136" s="14">
        <f t="array" ref="CL136">IFERROR(_xlfn.IFS(VALUE(MID(CL$5,6,1))&gt;$D$2,0,$CC136="Annual",1,CK136=12,12,$CC136="Monthly V",CK136*(1+$D$3),$CC136="Monthly F",12,$CC136="One-Time",0),CK136*(1+$D$3))</f>
        <v/>
      </c>
      <c r="CM136" s="14">
        <f t="array" ref="CM136">IFERROR(_xlfn.IFS(VALUE(MID(CM$5,6,1))&gt;$D$2,0,$CC136="Annual",1,CL136=12,12,$CC136="Monthly V",CL136*(1+$D$3),$CC136="Monthly F",12,$CC136="One-Time",0),CL136*(1+$D$3))</f>
        <v/>
      </c>
      <c r="CN136" s="24">
        <f t="array" ref="CN136">IFERROR(_xlfn.IFS(VALUE(MID(CN$5,6,2))&gt;$D$2,0,$CC136="Annual",1,CM136=12,12,$CC136="Monthly V",CM136*(1+$D$3),$CC136="Monthly F",12,$CC136="One-Time",0),CM136*(1+$D$3))</f>
        <v/>
      </c>
      <c r="CO136" s="63" t="n"/>
      <c r="CP136" s="53" t="n"/>
      <c r="CQ136" s="21">
        <f>CR136/12</f>
        <v/>
      </c>
      <c r="CR136" s="55">
        <f>IFERROR(CE136*$CP136,0)</f>
        <v/>
      </c>
      <c r="CS136" s="55">
        <f>IFERROR(CF136*$CP136,0)</f>
        <v/>
      </c>
      <c r="CT136" s="55">
        <f>IFERROR(CG136*$CP136,0)</f>
        <v/>
      </c>
      <c r="CU136" s="55">
        <f>IFERROR(CH136*$CP136,0)</f>
        <v/>
      </c>
      <c r="CV136" s="55">
        <f>IFERROR(CI136*$CP136,0)</f>
        <v/>
      </c>
      <c r="CW136" s="55">
        <f>IFERROR(CJ136*$CP136,0)</f>
        <v/>
      </c>
      <c r="CX136" s="55">
        <f>IFERROR(CK136*$CP136,0)</f>
        <v/>
      </c>
      <c r="CY136" s="55">
        <f>IFERROR(CL136*$CP136,0)</f>
        <v/>
      </c>
      <c r="CZ136" s="55">
        <f>IFERROR(CM136*$CP136,0)</f>
        <v/>
      </c>
      <c r="DA136" s="55">
        <f>IFERROR(CN136*$CP136,0)</f>
        <v/>
      </c>
      <c r="DB136" s="56" t="n"/>
      <c r="DC136" s="56">
        <f>IF(VALUE(MID(DC$5,6,1))&lt;=$D$2,((1+$CP$3)^1-1)*CS136,0)</f>
        <v/>
      </c>
      <c r="DD136" s="56">
        <f>IF(VALUE(MID(DD$5,6,1))&lt;=$D$2,((1+$CP$3)^2-1)*CT136,0)</f>
        <v/>
      </c>
      <c r="DE136" s="56">
        <f>IF(VALUE(MID(DE$5,6,1))&lt;=$D$2,((1+$CP$3)^3-1)*CU136,0)</f>
        <v/>
      </c>
      <c r="DF136" s="56">
        <f>IF(VALUE(MID(DF$5,6,1))&lt;=$D$2,((1+$CP$3)^4-1)*CV136,0)</f>
        <v/>
      </c>
      <c r="DG136" s="56">
        <f>IF(VALUE(MID(DG$5,6,1))&lt;=$D$2,((1+$CP$3)^5-1)*CW136,0)</f>
        <v/>
      </c>
      <c r="DH136" s="56">
        <f>IF(VALUE(MID(DH$5,6,1))&lt;=$D$2,((1+$CP$3)^6-1)*CX136,0)</f>
        <v/>
      </c>
      <c r="DI136" s="56">
        <f>IF(VALUE(MID(DI$5,6,1))&lt;=$D$2,((1+$CP$3)^7-1)*CY136,0)</f>
        <v/>
      </c>
      <c r="DJ136" s="56">
        <f>IF(VALUE(MID(DJ$5,6,1))&lt;=$D$2,((1+$CP$3)^8-1)*CZ136,0)</f>
        <v/>
      </c>
      <c r="DK136" s="56">
        <f>IF(VALUE(MID(DK$5,6,2))&lt;=$D$2,((1+$CP$3)^9-1)*DA136,0)</f>
        <v/>
      </c>
      <c r="DL136" s="57">
        <f>SUM(DB136:DK136)</f>
        <v/>
      </c>
      <c r="DM136" s="54">
        <f>SUM(DL136,CR136:DA136)</f>
        <v/>
      </c>
      <c r="DO136" s="106" t="n"/>
    </row>
    <row r="137">
      <c r="B137" s="141" t="n"/>
      <c r="C137" s="24" t="n"/>
      <c r="D137" s="147" t="n"/>
      <c r="E137" s="142" t="n"/>
      <c r="F137" s="14" t="n"/>
      <c r="G137" s="14" t="n"/>
      <c r="H137" s="14" t="n"/>
      <c r="I137" s="14" t="n"/>
      <c r="J137" s="14" t="n"/>
      <c r="K137" s="14" t="n"/>
      <c r="L137" s="14" t="n"/>
      <c r="M137" s="14" t="n"/>
      <c r="N137" s="24" t="n"/>
      <c r="O137" s="127" t="n"/>
      <c r="P137" s="13" t="n"/>
      <c r="Q137" s="20" t="n"/>
      <c r="R137" s="21" t="n"/>
      <c r="S137" s="6" t="n"/>
      <c r="T137" s="6" t="n"/>
      <c r="U137" s="6" t="n"/>
      <c r="V137" s="6" t="n"/>
      <c r="W137" s="6" t="n"/>
      <c r="X137" s="6" t="n"/>
      <c r="Y137" s="6" t="n"/>
      <c r="Z137" s="6" t="n"/>
      <c r="AA137" s="6" t="n"/>
      <c r="AB137" s="6" t="n"/>
      <c r="AC137" s="7" t="n"/>
      <c r="AD137" s="152" t="n"/>
      <c r="AE137" s="152" t="n"/>
      <c r="AF137" s="152" t="n"/>
      <c r="AG137" s="152" t="n"/>
      <c r="AH137" s="152" t="n"/>
      <c r="AI137" s="152" t="n"/>
      <c r="AJ137" s="152" t="n"/>
      <c r="AK137" s="152" t="n"/>
      <c r="AL137" s="152" t="n"/>
      <c r="AM137" s="9" t="n"/>
      <c r="AN137" s="80" t="n"/>
      <c r="AP137" s="102" t="inlineStr">
        <is>
          <t>Monthly F</t>
        </is>
      </c>
      <c r="AQ137" s="12" t="n">
        <v>1</v>
      </c>
      <c r="AR137" s="14">
        <f>IF($AP137="Annual",1,IF($AP137="Monthly F",12,IF($AP137="Monthly V",AQ137*12,IF($AP137="One-Time",1,AQ137*12))))</f>
        <v/>
      </c>
      <c r="AS137" s="14">
        <f t="array" ref="AS137">IFERROR(_xlfn.IFS(VALUE(MID(AS$5,6,1))&gt;$D$2,0,$AP137="Annual",1,AR137=12,12,$AP137="Monthly V",AR137*(1+$D$3),$AP137="Monthly F",12,$AP137="One-Time",0),AR137*(1+$D$3))</f>
        <v/>
      </c>
      <c r="AT137" s="14">
        <f t="array" ref="AT137">IFERROR(_xlfn.IFS(VALUE(MID(AT$5,6,1))&gt;$D$2,0,$AP137="Annual",1,AS137=12,12,$AP137="Monthly V",AS137*(1+$D$3),$AP137="Monthly F",12,$AP137="One-Time",0),AS137*(1+$D$3))</f>
        <v/>
      </c>
      <c r="AU137" s="14">
        <f t="array" ref="AU137">IFERROR(_xlfn.IFS(VALUE(MID(AU$5,6,1))&gt;$D$2,0,$AP137="Annual",1,AT137=12,12,$AP137="Monthly V",AT137*(1+$D$3),$AP137="Monthly F",12,$AP137="One-Time",0),AT137*(1+$D$3))</f>
        <v/>
      </c>
      <c r="AV137" s="14">
        <f t="array" ref="AV137">IFERROR(_xlfn.IFS(VALUE(MID(AV$5,6,1))&gt;$D$2,0,$AP137="Annual",1,AU137=12,12,$AP137="Monthly V",AU137*(1+$D$3),$AP137="Monthly F",12,$AP137="One-Time",0),AU137*(1+$D$3))</f>
        <v/>
      </c>
      <c r="AW137" s="14">
        <f t="array" ref="AW137">IFERROR(_xlfn.IFS(VALUE(MID(AW$5,6,1))&gt;$D$2,0,$AP137="Annual",1,AV137=12,12,$AP137="Monthly V",AV137*(1+$D$3),$AP137="Monthly F",12,$AP137="One-Time",0),AV137*(1+$D$3))</f>
        <v/>
      </c>
      <c r="AX137" s="14">
        <f t="array" ref="AX137">IFERROR(_xlfn.IFS(VALUE(MID(AX$5,6,1))&gt;$D$2,0,$AP137="Annual",1,AW137=12,12,$AP137="Monthly V",AW137*(1+$D$3),$AP137="Monthly F",12,$AP137="One-Time",0),AW137*(1+$D$3))</f>
        <v/>
      </c>
      <c r="AY137" s="14">
        <f t="array" ref="AY137">IFERROR(_xlfn.IFS(VALUE(MID(AY$5,6,1))&gt;$D$2,0,$AP137="Annual",1,AX137=12,12,$AP137="Monthly V",AX137*(1+$D$3),$AP137="Monthly F",12,$AP137="One-Time",0),AX137*(1+$D$3))</f>
        <v/>
      </c>
      <c r="AZ137" s="14">
        <f t="array" ref="AZ137">IFERROR(_xlfn.IFS(VALUE(MID(AZ$5,6,1))&gt;$D$2,0,$AP137="Annual",1,AY137=12,12,$AP137="Monthly V",AY137*(1+$D$3),$AP137="Monthly F",12,$AP137="One-Time",0),AY137*(1+$D$3))</f>
        <v/>
      </c>
      <c r="BA137" s="125">
        <f t="array" ref="BA137">IFERROR(_xlfn.IFS(VALUE(MID(BA$5,6,2))&gt;$D$2,0,$AP137="Annual",1,AZ137=12,12,$AP137="Monthly V",AZ137*(1+$D$3),$AP137="Monthly F",12,$AP137="One-Time",0),AZ137*(1+$D$3))</f>
        <v/>
      </c>
      <c r="BB137" s="124" t="inlineStr">
        <is>
          <t>LoanVantage</t>
        </is>
      </c>
      <c r="BC137" s="38" t="inlineStr">
        <is>
          <t>Lending</t>
        </is>
      </c>
      <c r="BD137" s="36" t="n">
        <v>1750</v>
      </c>
      <c r="BE137" s="21">
        <f>BF137/12</f>
        <v/>
      </c>
      <c r="BF137" s="39">
        <f>IFERROR(AR137*$BD137,0)</f>
        <v/>
      </c>
      <c r="BG137" s="39">
        <f>IFERROR(AS137*$BD137,0)</f>
        <v/>
      </c>
      <c r="BH137" s="39">
        <f>IFERROR(AT137*$BD137,0)</f>
        <v/>
      </c>
      <c r="BI137" s="39">
        <f>BH137*1.03</f>
        <v/>
      </c>
      <c r="BJ137" s="39">
        <f>BI137*1.03</f>
        <v/>
      </c>
      <c r="BK137" s="39">
        <f>BJ137*1.03</f>
        <v/>
      </c>
      <c r="BL137" s="39">
        <f>BK137*1.03</f>
        <v/>
      </c>
      <c r="BM137" s="39">
        <f>IFERROR(AY137*$BD137,0)</f>
        <v/>
      </c>
      <c r="BN137" s="39">
        <f>IFERROR(AZ137*$BD137,0)</f>
        <v/>
      </c>
      <c r="BO137" s="39">
        <f>IFERROR(BA137*$BD137,0)</f>
        <v/>
      </c>
      <c r="BP137" s="40" t="n"/>
      <c r="BQ137" s="40">
        <f>IF(VALUE(MID(BQ$5,6,1))&lt;=$D$2,((1+$BD$3)^1-1)*BG137,0)</f>
        <v/>
      </c>
      <c r="BR137" s="40">
        <f>IF(VALUE(MID(BR$5,6,1))&lt;=$D$2,((1+$BD$3)^2-1)*BH137,0)</f>
        <v/>
      </c>
      <c r="BS137" s="40">
        <f>IF(VALUE(MID(BS$5,6,1))&lt;=$D$2,((1+$BD$3)^3-1)*BI137,0)</f>
        <v/>
      </c>
      <c r="BT137" s="40">
        <f>IF(VALUE(MID(BT$5,6,1))&lt;=$D$2,((1+$BD$3)^4-1)*BJ137,0)</f>
        <v/>
      </c>
      <c r="BU137" s="40">
        <f>IF(VALUE(MID(BU$5,6,1))&lt;=$D$2,((1+$BD$3)^5-1)*BK137,0)</f>
        <v/>
      </c>
      <c r="BV137" s="40">
        <f>IF(VALUE(MID(BV$5,6,1))&lt;=$D$2,((1+$BD$3)^6-1)*BL137,0)</f>
        <v/>
      </c>
      <c r="BW137" s="40">
        <f>IF(VALUE(MID(BW$5,6,1))&lt;=$D$2,((1+$BD$3)^7-1)*BM137,0)</f>
        <v/>
      </c>
      <c r="BX137" s="40">
        <f>IF(VALUE(MID(BX$5,6,1))&lt;=$D$2,((1+$BD$3)^8-1)*BN137,0)</f>
        <v/>
      </c>
      <c r="BY137" s="40">
        <f>IF(VALUE(MID(BY$5,6,2))&lt;=$D$2,((1+$BD$3)^9-1)*BO137,0)</f>
        <v/>
      </c>
      <c r="BZ137" s="40">
        <f>SUM(BP137:BY137)</f>
        <v/>
      </c>
      <c r="CA137" s="37">
        <f>SUM(BZ137,BF137:BO137)</f>
        <v/>
      </c>
      <c r="CC137" s="102" t="n"/>
      <c r="CD137" s="12" t="n"/>
      <c r="CE137" s="14">
        <f>IF($CC137="Annual",1,IF($CC137="Monthly F",12,IF($CC137="Monthly V",CD137*12,IF($CC137="One-Time",1,CD137*12))))</f>
        <v/>
      </c>
      <c r="CF137" s="14">
        <f t="array" ref="CF137">IFERROR(_xlfn.IFS(VALUE(MID(CF$5,6,1))&gt;$D$2,0,$CC137="Annual",1,CE137=12,12,$CC137="Monthly V",CE137*(1+$D$3),$CC137="Monthly F",12,$CC137="One-Time",0),CE137*(1+$D$3))</f>
        <v/>
      </c>
      <c r="CG137" s="14">
        <f t="array" ref="CG137">IFERROR(_xlfn.IFS(VALUE(MID(CG$5,6,1))&gt;$D$2,0,$CC137="Annual",1,CF137=12,12,$CC137="Monthly V",CF137*(1+$D$3),$CC137="Monthly F",12,$CC137="One-Time",0),CF137*(1+$D$3))</f>
        <v/>
      </c>
      <c r="CH137" s="14">
        <f t="array" ref="CH137">IFERROR(_xlfn.IFS(VALUE(MID(CH$5,6,1))&gt;$D$2,0,$CC137="Annual",1,CG137=12,12,$CC137="Monthly V",CG137*(1+$D$3),$CC137="Monthly F",12,$CC137="One-Time",0),CG137*(1+$D$3))</f>
        <v/>
      </c>
      <c r="CI137" s="14">
        <f t="array" ref="CI137">IFERROR(_xlfn.IFS(VALUE(MID(CI$5,6,1))&gt;$D$2,0,$CC137="Annual",1,CH137=12,12,$CC137="Monthly V",CH137*(1+$D$3),$CC137="Monthly F",12,$CC137="One-Time",0),CH137*(1+$D$3))</f>
        <v/>
      </c>
      <c r="CJ137" s="14">
        <f t="array" ref="CJ137">IFERROR(_xlfn.IFS(VALUE(MID(CJ$5,6,1))&gt;$D$2,0,$CC137="Annual",1,CI137=12,12,$CC137="Monthly V",CI137*(1+$D$3),$CC137="Monthly F",12,$CC137="One-Time",0),CI137*(1+$D$3))</f>
        <v/>
      </c>
      <c r="CK137" s="14">
        <f t="array" ref="CK137">IFERROR(_xlfn.IFS(VALUE(MID(CK$5,6,1))&gt;$D$2,0,$CC137="Annual",1,CJ137=12,12,$CC137="Monthly V",CJ137*(1+$D$3),$CC137="Monthly F",12,$CC137="One-Time",0),CJ137*(1+$D$3))</f>
        <v/>
      </c>
      <c r="CL137" s="14">
        <f t="array" ref="CL137">IFERROR(_xlfn.IFS(VALUE(MID(CL$5,6,1))&gt;$D$2,0,$CC137="Annual",1,CK137=12,12,$CC137="Monthly V",CK137*(1+$D$3),$CC137="Monthly F",12,$CC137="One-Time",0),CK137*(1+$D$3))</f>
        <v/>
      </c>
      <c r="CM137" s="14">
        <f t="array" ref="CM137">IFERROR(_xlfn.IFS(VALUE(MID(CM$5,6,1))&gt;$D$2,0,$CC137="Annual",1,CL137=12,12,$CC137="Monthly V",CL137*(1+$D$3),$CC137="Monthly F",12,$CC137="One-Time",0),CL137*(1+$D$3))</f>
        <v/>
      </c>
      <c r="CN137" s="24">
        <f t="array" ref="CN137">IFERROR(_xlfn.IFS(VALUE(MID(CN$5,6,2))&gt;$D$2,0,$CC137="Annual",1,CM137=12,12,$CC137="Monthly V",CM137*(1+$D$3),$CC137="Monthly F",12,$CC137="One-Time",0),CM137*(1+$D$3))</f>
        <v/>
      </c>
      <c r="CO137" s="63" t="n"/>
      <c r="CP137" s="53" t="n"/>
      <c r="CQ137" s="21">
        <f>CR137/12</f>
        <v/>
      </c>
      <c r="CR137" s="55">
        <f>IFERROR(CE137*$CP137,0)</f>
        <v/>
      </c>
      <c r="CS137" s="55">
        <f>IFERROR(CF137*$CP137,0)</f>
        <v/>
      </c>
      <c r="CT137" s="55">
        <f>IFERROR(CG137*$CP137,0)</f>
        <v/>
      </c>
      <c r="CU137" s="55">
        <f>IFERROR(CH137*$CP137,0)</f>
        <v/>
      </c>
      <c r="CV137" s="55">
        <f>IFERROR(CI137*$CP137,0)</f>
        <v/>
      </c>
      <c r="CW137" s="55">
        <f>IFERROR(CJ137*$CP137,0)</f>
        <v/>
      </c>
      <c r="CX137" s="55">
        <f>IFERROR(CK137*$CP137,0)</f>
        <v/>
      </c>
      <c r="CY137" s="55">
        <f>IFERROR(CL137*$CP137,0)</f>
        <v/>
      </c>
      <c r="CZ137" s="55">
        <f>IFERROR(CM137*$CP137,0)</f>
        <v/>
      </c>
      <c r="DA137" s="55">
        <f>IFERROR(CN137*$CP137,0)</f>
        <v/>
      </c>
      <c r="DB137" s="56" t="n"/>
      <c r="DC137" s="56">
        <f>IF(VALUE(MID(DC$5,6,1))&lt;=$D$2,((1+$CP$3)^1-1)*CS137,0)</f>
        <v/>
      </c>
      <c r="DD137" s="56">
        <f>IF(VALUE(MID(DD$5,6,1))&lt;=$D$2,((1+$CP$3)^2-1)*CT137,0)</f>
        <v/>
      </c>
      <c r="DE137" s="56">
        <f>IF(VALUE(MID(DE$5,6,1))&lt;=$D$2,((1+$CP$3)^3-1)*CU137,0)</f>
        <v/>
      </c>
      <c r="DF137" s="56">
        <f>IF(VALUE(MID(DF$5,6,1))&lt;=$D$2,((1+$CP$3)^4-1)*CV137,0)</f>
        <v/>
      </c>
      <c r="DG137" s="56">
        <f>IF(VALUE(MID(DG$5,6,1))&lt;=$D$2,((1+$CP$3)^5-1)*CW137,0)</f>
        <v/>
      </c>
      <c r="DH137" s="56">
        <f>IF(VALUE(MID(DH$5,6,1))&lt;=$D$2,((1+$CP$3)^6-1)*CX137,0)</f>
        <v/>
      </c>
      <c r="DI137" s="56">
        <f>IF(VALUE(MID(DI$5,6,1))&lt;=$D$2,((1+$CP$3)^7-1)*CY137,0)</f>
        <v/>
      </c>
      <c r="DJ137" s="56">
        <f>IF(VALUE(MID(DJ$5,6,1))&lt;=$D$2,((1+$CP$3)^8-1)*CZ137,0)</f>
        <v/>
      </c>
      <c r="DK137" s="56">
        <f>IF(VALUE(MID(DK$5,6,2))&lt;=$D$2,((1+$CP$3)^9-1)*DA137,0)</f>
        <v/>
      </c>
      <c r="DL137" s="57">
        <f>SUM(DB137:DK137)</f>
        <v/>
      </c>
      <c r="DM137" s="54">
        <f>SUM(DL137,CR137:DA137)</f>
        <v/>
      </c>
      <c r="DO137" s="106" t="n"/>
    </row>
    <row r="138">
      <c r="B138" s="141" t="n"/>
      <c r="C138" s="24" t="n"/>
      <c r="D138" s="147" t="n"/>
      <c r="E138" s="142" t="n"/>
      <c r="F138" s="14" t="n"/>
      <c r="G138" s="14" t="n"/>
      <c r="H138" s="14" t="n"/>
      <c r="I138" s="14" t="n"/>
      <c r="J138" s="14" t="n"/>
      <c r="K138" s="14" t="n"/>
      <c r="L138" s="14" t="n"/>
      <c r="M138" s="14" t="n"/>
      <c r="N138" s="24" t="n"/>
      <c r="O138" s="127" t="n"/>
      <c r="P138" s="13" t="n"/>
      <c r="Q138" s="20" t="n"/>
      <c r="R138" s="21" t="n"/>
      <c r="S138" s="6" t="n"/>
      <c r="T138" s="6" t="n"/>
      <c r="U138" s="6" t="n"/>
      <c r="V138" s="6" t="n"/>
      <c r="W138" s="6" t="n"/>
      <c r="X138" s="6" t="n"/>
      <c r="Y138" s="6" t="n"/>
      <c r="Z138" s="6" t="n"/>
      <c r="AA138" s="6" t="n"/>
      <c r="AB138" s="6" t="n"/>
      <c r="AC138" s="7" t="n"/>
      <c r="AD138" s="152" t="n"/>
      <c r="AE138" s="152" t="n"/>
      <c r="AF138" s="152" t="n"/>
      <c r="AG138" s="152" t="n"/>
      <c r="AH138" s="152" t="n"/>
      <c r="AI138" s="152" t="n"/>
      <c r="AJ138" s="152" t="n"/>
      <c r="AK138" s="152" t="n"/>
      <c r="AL138" s="152" t="n"/>
      <c r="AM138" s="9" t="n"/>
      <c r="AN138" s="80" t="n"/>
      <c r="AP138" s="102" t="inlineStr">
        <is>
          <t>Monthly F</t>
        </is>
      </c>
      <c r="AQ138" s="12" t="n">
        <v>1</v>
      </c>
      <c r="AR138" s="14">
        <f>IF($AP138="Annual",1,IF($AP138="Monthly F",12,IF($AP138="Monthly V",AQ138*12,IF($AP138="One-Time",1,AQ138*12))))</f>
        <v/>
      </c>
      <c r="AS138" s="14">
        <f t="array" ref="AS138">IFERROR(_xlfn.IFS(VALUE(MID(AS$5,6,1))&gt;$D$2,0,$AP138="Annual",1,AR138=12,12,$AP138="Monthly V",AR138*(1+$D$3),$AP138="Monthly F",12,$AP138="One-Time",0),AR138*(1+$D$3))</f>
        <v/>
      </c>
      <c r="AT138" s="14">
        <f t="array" ref="AT138">IFERROR(_xlfn.IFS(VALUE(MID(AT$5,6,1))&gt;$D$2,0,$AP138="Annual",1,AS138=12,12,$AP138="Monthly V",AS138*(1+$D$3),$AP138="Monthly F",12,$AP138="One-Time",0),AS138*(1+$D$3))</f>
        <v/>
      </c>
      <c r="AU138" s="14">
        <f t="array" ref="AU138">IFERROR(_xlfn.IFS(VALUE(MID(AU$5,6,1))&gt;$D$2,0,$AP138="Annual",1,AT138=12,12,$AP138="Monthly V",AT138*(1+$D$3),$AP138="Monthly F",12,$AP138="One-Time",0),AT138*(1+$D$3))</f>
        <v/>
      </c>
      <c r="AV138" s="14">
        <f t="array" ref="AV138">IFERROR(_xlfn.IFS(VALUE(MID(AV$5,6,1))&gt;$D$2,0,$AP138="Annual",1,AU138=12,12,$AP138="Monthly V",AU138*(1+$D$3),$AP138="Monthly F",12,$AP138="One-Time",0),AU138*(1+$D$3))</f>
        <v/>
      </c>
      <c r="AW138" s="14">
        <f t="array" ref="AW138">IFERROR(_xlfn.IFS(VALUE(MID(AW$5,6,1))&gt;$D$2,0,$AP138="Annual",1,AV138=12,12,$AP138="Monthly V",AV138*(1+$D$3),$AP138="Monthly F",12,$AP138="One-Time",0),AV138*(1+$D$3))</f>
        <v/>
      </c>
      <c r="AX138" s="14">
        <f t="array" ref="AX138">IFERROR(_xlfn.IFS(VALUE(MID(AX$5,6,1))&gt;$D$2,0,$AP138="Annual",1,AW138=12,12,$AP138="Monthly V",AW138*(1+$D$3),$AP138="Monthly F",12,$AP138="One-Time",0),AW138*(1+$D$3))</f>
        <v/>
      </c>
      <c r="AY138" s="14">
        <f t="array" ref="AY138">IFERROR(_xlfn.IFS(VALUE(MID(AY$5,6,1))&gt;$D$2,0,$AP138="Annual",1,AX138=12,12,$AP138="Monthly V",AX138*(1+$D$3),$AP138="Monthly F",12,$AP138="One-Time",0),AX138*(1+$D$3))</f>
        <v/>
      </c>
      <c r="AZ138" s="14">
        <f t="array" ref="AZ138">IFERROR(_xlfn.IFS(VALUE(MID(AZ$5,6,1))&gt;$D$2,0,$AP138="Annual",1,AY138=12,12,$AP138="Monthly V",AY138*(1+$D$3),$AP138="Monthly F",12,$AP138="One-Time",0),AY138*(1+$D$3))</f>
        <v/>
      </c>
      <c r="BA138" s="125">
        <f t="array" ref="BA138">IFERROR(_xlfn.IFS(VALUE(MID(BA$5,6,2))&gt;$D$2,0,$AP138="Annual",1,AZ138=12,12,$AP138="Monthly V",AZ138*(1+$D$3),$AP138="Monthly F",12,$AP138="One-Time",0),AZ138*(1+$D$3))</f>
        <v/>
      </c>
      <c r="BB138" s="124" t="inlineStr">
        <is>
          <t>Ensenta ITM/ATM</t>
        </is>
      </c>
      <c r="BC138" s="38" t="inlineStr">
        <is>
          <t>Ensenta</t>
        </is>
      </c>
      <c r="BD138" s="36" t="n">
        <v>375</v>
      </c>
      <c r="BE138" s="21">
        <f>BF138/12</f>
        <v/>
      </c>
      <c r="BF138" s="39">
        <f>IFERROR(AR138*$BD138,0)</f>
        <v/>
      </c>
      <c r="BG138" s="39">
        <f>IFERROR(AS138*$BD138,0)</f>
        <v/>
      </c>
      <c r="BH138" s="39">
        <f>IFERROR(AT138*$BD138,0)</f>
        <v/>
      </c>
      <c r="BI138" s="39">
        <f>BH138*1.03</f>
        <v/>
      </c>
      <c r="BJ138" s="39">
        <f>BI138*1.03</f>
        <v/>
      </c>
      <c r="BK138" s="39">
        <f>BJ138*1.03</f>
        <v/>
      </c>
      <c r="BL138" s="39">
        <f>BK138*1.03</f>
        <v/>
      </c>
      <c r="BM138" s="39">
        <f>IFERROR(AY138*$BD138,0)</f>
        <v/>
      </c>
      <c r="BN138" s="39">
        <f>IFERROR(AZ138*$BD138,0)</f>
        <v/>
      </c>
      <c r="BO138" s="39">
        <f>IFERROR(BA138*$BD138,0)</f>
        <v/>
      </c>
      <c r="BP138" s="40" t="n"/>
      <c r="BQ138" s="40">
        <f>IF(VALUE(MID(BQ$5,6,1))&lt;=$D$2,((1+$BD$3)^1-1)*BG138,0)</f>
        <v/>
      </c>
      <c r="BR138" s="40">
        <f>IF(VALUE(MID(BR$5,6,1))&lt;=$D$2,((1+$BD$3)^2-1)*BH138,0)</f>
        <v/>
      </c>
      <c r="BS138" s="40">
        <f>IF(VALUE(MID(BS$5,6,1))&lt;=$D$2,((1+$BD$3)^3-1)*BI138,0)</f>
        <v/>
      </c>
      <c r="BT138" s="40">
        <f>IF(VALUE(MID(BT$5,6,1))&lt;=$D$2,((1+$BD$3)^4-1)*BJ138,0)</f>
        <v/>
      </c>
      <c r="BU138" s="40">
        <f>IF(VALUE(MID(BU$5,6,1))&lt;=$D$2,((1+$BD$3)^5-1)*BK138,0)</f>
        <v/>
      </c>
      <c r="BV138" s="40">
        <f>IF(VALUE(MID(BV$5,6,1))&lt;=$D$2,((1+$BD$3)^6-1)*BL138,0)</f>
        <v/>
      </c>
      <c r="BW138" s="40">
        <f>IF(VALUE(MID(BW$5,6,1))&lt;=$D$2,((1+$BD$3)^7-1)*BM138,0)</f>
        <v/>
      </c>
      <c r="BX138" s="40">
        <f>IF(VALUE(MID(BX$5,6,1))&lt;=$D$2,((1+$BD$3)^8-1)*BN138,0)</f>
        <v/>
      </c>
      <c r="BY138" s="40">
        <f>IF(VALUE(MID(BY$5,6,2))&lt;=$D$2,((1+$BD$3)^9-1)*BO138,0)</f>
        <v/>
      </c>
      <c r="BZ138" s="40">
        <f>SUM(BP138:BY138)</f>
        <v/>
      </c>
      <c r="CA138" s="37">
        <f>SUM(BZ138,BF138:BO138)</f>
        <v/>
      </c>
      <c r="CC138" s="102" t="n"/>
      <c r="CD138" s="12" t="n"/>
      <c r="CE138" s="14">
        <f>IF($CC138="Annual",1,IF($CC138="Monthly F",12,IF($CC138="Monthly V",CD138*12,IF($CC138="One-Time",1,CD138*12))))</f>
        <v/>
      </c>
      <c r="CF138" s="14">
        <f t="array" ref="CF138">IFERROR(_xlfn.IFS(VALUE(MID(CF$5,6,1))&gt;$D$2,0,$CC138="Annual",1,CE138=12,12,$CC138="Monthly V",CE138*(1+$D$3),$CC138="Monthly F",12,$CC138="One-Time",0),CE138*(1+$D$3))</f>
        <v/>
      </c>
      <c r="CG138" s="14">
        <f t="array" ref="CG138">IFERROR(_xlfn.IFS(VALUE(MID(CG$5,6,1))&gt;$D$2,0,$CC138="Annual",1,CF138=12,12,$CC138="Monthly V",CF138*(1+$D$3),$CC138="Monthly F",12,$CC138="One-Time",0),CF138*(1+$D$3))</f>
        <v/>
      </c>
      <c r="CH138" s="14">
        <f t="array" ref="CH138">IFERROR(_xlfn.IFS(VALUE(MID(CH$5,6,1))&gt;$D$2,0,$CC138="Annual",1,CG138=12,12,$CC138="Monthly V",CG138*(1+$D$3),$CC138="Monthly F",12,$CC138="One-Time",0),CG138*(1+$D$3))</f>
        <v/>
      </c>
      <c r="CI138" s="14">
        <f t="array" ref="CI138">IFERROR(_xlfn.IFS(VALUE(MID(CI$5,6,1))&gt;$D$2,0,$CC138="Annual",1,CH138=12,12,$CC138="Monthly V",CH138*(1+$D$3),$CC138="Monthly F",12,$CC138="One-Time",0),CH138*(1+$D$3))</f>
        <v/>
      </c>
      <c r="CJ138" s="14">
        <f t="array" ref="CJ138">IFERROR(_xlfn.IFS(VALUE(MID(CJ$5,6,1))&gt;$D$2,0,$CC138="Annual",1,CI138=12,12,$CC138="Monthly V",CI138*(1+$D$3),$CC138="Monthly F",12,$CC138="One-Time",0),CI138*(1+$D$3))</f>
        <v/>
      </c>
      <c r="CK138" s="14">
        <f t="array" ref="CK138">IFERROR(_xlfn.IFS(VALUE(MID(CK$5,6,1))&gt;$D$2,0,$CC138="Annual",1,CJ138=12,12,$CC138="Monthly V",CJ138*(1+$D$3),$CC138="Monthly F",12,$CC138="One-Time",0),CJ138*(1+$D$3))</f>
        <v/>
      </c>
      <c r="CL138" s="14">
        <f t="array" ref="CL138">IFERROR(_xlfn.IFS(VALUE(MID(CL$5,6,1))&gt;$D$2,0,$CC138="Annual",1,CK138=12,12,$CC138="Monthly V",CK138*(1+$D$3),$CC138="Monthly F",12,$CC138="One-Time",0),CK138*(1+$D$3))</f>
        <v/>
      </c>
      <c r="CM138" s="14">
        <f t="array" ref="CM138">IFERROR(_xlfn.IFS(VALUE(MID(CM$5,6,1))&gt;$D$2,0,$CC138="Annual",1,CL138=12,12,$CC138="Monthly V",CL138*(1+$D$3),$CC138="Monthly F",12,$CC138="One-Time",0),CL138*(1+$D$3))</f>
        <v/>
      </c>
      <c r="CN138" s="24">
        <f t="array" ref="CN138">IFERROR(_xlfn.IFS(VALUE(MID(CN$5,6,2))&gt;$D$2,0,$CC138="Annual",1,CM138=12,12,$CC138="Monthly V",CM138*(1+$D$3),$CC138="Monthly F",12,$CC138="One-Time",0),CM138*(1+$D$3))</f>
        <v/>
      </c>
      <c r="CO138" s="63" t="n"/>
      <c r="CP138" s="53" t="n"/>
      <c r="CQ138" s="21">
        <f>CR138/12</f>
        <v/>
      </c>
      <c r="CR138" s="55">
        <f>IFERROR(CE138*$CP138,0)</f>
        <v/>
      </c>
      <c r="CS138" s="55">
        <f>IFERROR(CF138*$CP138,0)</f>
        <v/>
      </c>
      <c r="CT138" s="55">
        <f>IFERROR(CG138*$CP138,0)</f>
        <v/>
      </c>
      <c r="CU138" s="55">
        <f>IFERROR(CH138*$CP138,0)</f>
        <v/>
      </c>
      <c r="CV138" s="55">
        <f>IFERROR(CI138*$CP138,0)</f>
        <v/>
      </c>
      <c r="CW138" s="55">
        <f>IFERROR(CJ138*$CP138,0)</f>
        <v/>
      </c>
      <c r="CX138" s="55">
        <f>IFERROR(CK138*$CP138,0)</f>
        <v/>
      </c>
      <c r="CY138" s="55">
        <f>IFERROR(CL138*$CP138,0)</f>
        <v/>
      </c>
      <c r="CZ138" s="55">
        <f>IFERROR(CM138*$CP138,0)</f>
        <v/>
      </c>
      <c r="DA138" s="55">
        <f>IFERROR(CN138*$CP138,0)</f>
        <v/>
      </c>
      <c r="DB138" s="56" t="n"/>
      <c r="DC138" s="56">
        <f>IF(VALUE(MID(DC$5,6,1))&lt;=$D$2,((1+$CP$3)^1-1)*CS138,0)</f>
        <v/>
      </c>
      <c r="DD138" s="56">
        <f>IF(VALUE(MID(DD$5,6,1))&lt;=$D$2,((1+$CP$3)^2-1)*CT138,0)</f>
        <v/>
      </c>
      <c r="DE138" s="56">
        <f>IF(VALUE(MID(DE$5,6,1))&lt;=$D$2,((1+$CP$3)^3-1)*CU138,0)</f>
        <v/>
      </c>
      <c r="DF138" s="56">
        <f>IF(VALUE(MID(DF$5,6,1))&lt;=$D$2,((1+$CP$3)^4-1)*CV138,0)</f>
        <v/>
      </c>
      <c r="DG138" s="56">
        <f>IF(VALUE(MID(DG$5,6,1))&lt;=$D$2,((1+$CP$3)^5-1)*CW138,0)</f>
        <v/>
      </c>
      <c r="DH138" s="56">
        <f>IF(VALUE(MID(DH$5,6,1))&lt;=$D$2,((1+$CP$3)^6-1)*CX138,0)</f>
        <v/>
      </c>
      <c r="DI138" s="56">
        <f>IF(VALUE(MID(DI$5,6,1))&lt;=$D$2,((1+$CP$3)^7-1)*CY138,0)</f>
        <v/>
      </c>
      <c r="DJ138" s="56">
        <f>IF(VALUE(MID(DJ$5,6,1))&lt;=$D$2,((1+$CP$3)^8-1)*CZ138,0)</f>
        <v/>
      </c>
      <c r="DK138" s="56">
        <f>IF(VALUE(MID(DK$5,6,2))&lt;=$D$2,((1+$CP$3)^9-1)*DA138,0)</f>
        <v/>
      </c>
      <c r="DL138" s="57">
        <f>SUM(DB138:DK138)</f>
        <v/>
      </c>
      <c r="DM138" s="54">
        <f>SUM(DL138,CR138:DA138)</f>
        <v/>
      </c>
      <c r="DO138" s="106" t="n"/>
    </row>
    <row r="139">
      <c r="B139" s="141" t="inlineStr">
        <is>
          <t>Monthly F</t>
        </is>
      </c>
      <c r="C139" s="24" t="n">
        <v>1</v>
      </c>
      <c r="D139" s="147">
        <f>IFERROR(AVERAGE(C139:C139),0)</f>
        <v/>
      </c>
      <c r="E139" s="142">
        <f>IF($B139="Annual",1,IF($B139="Monthly F",12,IF($B139="Monthly V",D139*12,IF($B139="One-Time",1,D139*12))))</f>
        <v/>
      </c>
      <c r="F139" s="14">
        <f t="array" ref="F139">IFERROR(_xlfn.IFS(VALUE(MID(F$5,6,1))&gt;$D$2,0,$B139="Annual",1,E139=12,12,$B139="Monthly V",E139*(1+$D$3),$B139="Monthly F",12,$B139="One-Time",0),E139*(1+$D$3))</f>
        <v/>
      </c>
      <c r="G139" s="14">
        <f t="array" ref="G139">IFERROR(_xlfn.IFS(VALUE(MID(G$5,6,1))&gt;$D$2,0,$B139="Annual",1,F139=12,12,$B139="Monthly V",F139*(1+$D$3),$B139="Monthly F",12,$B139="One-Time",0),F139*(1+$D$3))</f>
        <v/>
      </c>
      <c r="H139" s="14">
        <f t="array" ref="H139">IFERROR(_xlfn.IFS(VALUE(MID(H$5,6,1))&gt;$D$2,0,$B139="Annual",1,G139=12,12,$B139="Monthly V",G139*(1+$D$3),$B139="Monthly F",12,$B139="One-Time",0),G139*(1+$D$3))</f>
        <v/>
      </c>
      <c r="I139" s="14">
        <f t="array" ref="I139">IFERROR(_xlfn.IFS(VALUE(MID(I$5,6,1))&gt;$D$2,0,$B139="Annual",1,H139=12,12,$B139="Monthly V",H139*(1+$D$3),$B139="Monthly F",12,$B139="One-Time",0),H139*(1+$D$3))</f>
        <v/>
      </c>
      <c r="J139" s="14">
        <f t="array" ref="J139">IFERROR(_xlfn.IFS(VALUE(MID(J$5,6,1))&gt;$D$2,0,$B139="Annual",1,I139=12,12,$B139="Monthly V",I139*(1+$D$3),$B139="Monthly F",12,$B139="One-Time",0),I139*(1+$D$3))</f>
        <v/>
      </c>
      <c r="K139" s="14">
        <f t="array" ref="K139">IFERROR(_xlfn.IFS(VALUE(MID(K$5,6,1))&gt;$D$2,0,$B139="Annual",1,J139=12,12,$B139="Monthly V",J139*(1+$D$3),$B139="Monthly F",12,$B139="One-Time",0),J139*(1+$D$3))</f>
        <v/>
      </c>
      <c r="L139" s="14">
        <f t="array" ref="L139">IFERROR(_xlfn.IFS(VALUE(MID(L$5,6,1))&gt;$D$2,0,$B139="Annual",1,K139=12,12,$B139="Monthly V",K139*(1+$D$3),$B139="Monthly F",12,$B139="One-Time",0),K139*(1+$D$3))</f>
        <v/>
      </c>
      <c r="M139" s="14">
        <f t="array" ref="M139">IFERROR(_xlfn.IFS(VALUE(MID(M$5,6,1))&gt;$D$2,0,$B139="Annual",1,L139=12,12,$B139="Monthly V",L139*(1+$D$3),$B139="Monthly F",12,$B139="One-Time",0),L139*(1+$D$3))</f>
        <v/>
      </c>
      <c r="N139" s="24">
        <f t="array" ref="N139">IFERROR(_xlfn.IFS(VALUE(MID(N$5,6,2))&gt;$D$2,0,$B139="Annual",1,M139=12,12,$B139="Monthly V",M139*(1+$D$3),$B139="Monthly F",12,$B139="One-Time",0),M139*(1+$D$3))</f>
        <v/>
      </c>
      <c r="O139" s="127" t="inlineStr">
        <is>
          <t>WebConnect and DirectConnect</t>
        </is>
      </c>
      <c r="P139" s="13" t="n"/>
      <c r="Q139" s="20" t="n">
        <v>859</v>
      </c>
      <c r="R139" s="21">
        <f>S139/12</f>
        <v/>
      </c>
      <c r="S139" s="6">
        <f>IFERROR($Q139*E139,0)</f>
        <v/>
      </c>
      <c r="T139" s="6">
        <f>IFERROR($Q139*F139,0)</f>
        <v/>
      </c>
      <c r="U139" s="6">
        <f>IFERROR($Q139*G139,0)</f>
        <v/>
      </c>
      <c r="V139" s="6">
        <f>IFERROR($Q139*H139,0)</f>
        <v/>
      </c>
      <c r="W139" s="6">
        <f>IFERROR($Q139*I139,0)</f>
        <v/>
      </c>
      <c r="X139" s="6">
        <f>IFERROR($Q139*J139,0)</f>
        <v/>
      </c>
      <c r="Y139" s="6">
        <f>IFERROR($Q139*K139,0)</f>
        <v/>
      </c>
      <c r="Z139" s="6">
        <f>IFERROR($Q139*L139,0)</f>
        <v/>
      </c>
      <c r="AA139" s="6">
        <f>IFERROR($Q139*M139,0)</f>
        <v/>
      </c>
      <c r="AB139" s="6">
        <f>IFERROR($Q139*N139,0)</f>
        <v/>
      </c>
      <c r="AC139" s="7" t="n"/>
      <c r="AD139" s="152">
        <f>IF(VALUE(MID(AD$5,6,1))&lt;=$D$2,((1+$Q$3)^1-1)*T139,0)</f>
        <v/>
      </c>
      <c r="AE139" s="152">
        <f>IF(VALUE(MID(AE$5,6,1))&lt;=$D$2,((1+$Q$3)^2-1)*U139,0)</f>
        <v/>
      </c>
      <c r="AF139" s="152">
        <f>IF(VALUE(MID(AF$5,6,1))&lt;=$D$2,((1+$Q$3)^3-1)*V139,0)</f>
        <v/>
      </c>
      <c r="AG139" s="152">
        <f>IF(VALUE(MID(AG$5,6,1))&lt;=$D$2,((1+$Q$3)^4-1)*W139,0)</f>
        <v/>
      </c>
      <c r="AH139" s="152">
        <f>IF(VALUE(MID(AH$5,6,1))&lt;=$D$2,((1+$Q$3)^5-1)*X139,0)</f>
        <v/>
      </c>
      <c r="AI139" s="152">
        <f>IF(VALUE(MID(AI$5,6,1))&lt;=$D$2,((1+$Q$3)^6-1)*Y139,0)</f>
        <v/>
      </c>
      <c r="AJ139" s="152">
        <f>IF(VALUE(MID(AJ$5,6,1))&lt;=$D$2,((1+$Q$3)^7-1)*Z139,0)</f>
        <v/>
      </c>
      <c r="AK139" s="152">
        <f>IF(VALUE(MID(AK$5,6,1))&lt;=$D$2,((1+$Q$3)^8-1)*AA139,0)</f>
        <v/>
      </c>
      <c r="AL139" s="152">
        <f>IF(VALUE(MID(AL$5,6,2))&lt;=$D$2,((1+$Q$3)^9-1)*AB139,0)</f>
        <v/>
      </c>
      <c r="AM139" s="9">
        <f>SUM(AC139:AL139)</f>
        <v/>
      </c>
      <c r="AN139" s="80">
        <f>SUM(AM139,S139:AB139)</f>
        <v/>
      </c>
      <c r="AP139" s="102" t="inlineStr">
        <is>
          <t>Annual</t>
        </is>
      </c>
      <c r="AQ139" s="12" t="n">
        <v>1</v>
      </c>
      <c r="AR139" s="14">
        <f>IF($AP139="Annual",1,IF($AP139="Monthly F",12,IF($AP139="Monthly V",AQ139*12,IF($AP139="One-Time",1,AQ139*12))))</f>
        <v/>
      </c>
      <c r="AS139" s="14">
        <f t="array" ref="AS139">IFERROR(_xlfn.IFS(VALUE(MID(AS$5,6,1))&gt;$D$2,0,$AP139="Annual",1,AR139=12,12,$AP139="Monthly V",AR139*(1+$D$3),$AP139="Monthly F",12,$AP139="One-Time",0),AR139*(1+$D$3))</f>
        <v/>
      </c>
      <c r="AT139" s="14">
        <f t="array" ref="AT139">IFERROR(_xlfn.IFS(VALUE(MID(AT$5,6,1))&gt;$D$2,0,$AP139="Annual",1,AS139=12,12,$AP139="Monthly V",AS139*(1+$D$3),$AP139="Monthly F",12,$AP139="One-Time",0),AS139*(1+$D$3))</f>
        <v/>
      </c>
      <c r="AU139" s="14">
        <f t="array" ref="AU139">IFERROR(_xlfn.IFS(VALUE(MID(AU$5,6,1))&gt;$D$2,0,$AP139="Annual",1,AT139=12,12,$AP139="Monthly V",AT139*(1+$D$3),$AP139="Monthly F",12,$AP139="One-Time",0),AT139*(1+$D$3))</f>
        <v/>
      </c>
      <c r="AV139" s="14">
        <f t="array" ref="AV139">IFERROR(_xlfn.IFS(VALUE(MID(AV$5,6,1))&gt;$D$2,0,$AP139="Annual",1,AU139=12,12,$AP139="Monthly V",AU139*(1+$D$3),$AP139="Monthly F",12,$AP139="One-Time",0),AU139*(1+$D$3))</f>
        <v/>
      </c>
      <c r="AW139" s="14">
        <f t="array" ref="AW139">IFERROR(_xlfn.IFS(VALUE(MID(AW$5,6,1))&gt;$D$2,0,$AP139="Annual",1,AV139=12,12,$AP139="Monthly V",AV139*(1+$D$3),$AP139="Monthly F",12,$AP139="One-Time",0),AV139*(1+$D$3))</f>
        <v/>
      </c>
      <c r="AX139" s="14">
        <f t="array" ref="AX139">IFERROR(_xlfn.IFS(VALUE(MID(AX$5,6,1))&gt;$D$2,0,$AP139="Annual",1,AW139=12,12,$AP139="Monthly V",AW139*(1+$D$3),$AP139="Monthly F",12,$AP139="One-Time",0),AW139*(1+$D$3))</f>
        <v/>
      </c>
      <c r="AY139" s="14">
        <f t="array" ref="AY139">IFERROR(_xlfn.IFS(VALUE(MID(AY$5,6,1))&gt;$D$2,0,$AP139="Annual",1,AX139=12,12,$AP139="Monthly V",AX139*(1+$D$3),$AP139="Monthly F",12,$AP139="One-Time",0),AX139*(1+$D$3))</f>
        <v/>
      </c>
      <c r="AZ139" s="14">
        <f t="array" ref="AZ139">IFERROR(_xlfn.IFS(VALUE(MID(AZ$5,6,1))&gt;$D$2,0,$AP139="Annual",1,AY139=12,12,$AP139="Monthly V",AY139*(1+$D$3),$AP139="Monthly F",12,$AP139="One-Time",0),AY139*(1+$D$3))</f>
        <v/>
      </c>
      <c r="BA139" s="125">
        <f t="array" ref="BA139">IFERROR(_xlfn.IFS(VALUE(MID(BA$5,6,2))&gt;$D$2,0,$AP139="Annual",1,AZ139=12,12,$AP139="Monthly V",AZ139*(1+$D$3),$AP139="Monthly F",12,$AP139="One-Time",0),AZ139*(1+$D$3))</f>
        <v/>
      </c>
      <c r="BB139" s="124" t="inlineStr">
        <is>
          <t>Jack Henry Loyalty and Rewards Optimization Assistance</t>
        </is>
      </c>
      <c r="BC139" s="38" t="inlineStr">
        <is>
          <t>Core</t>
        </is>
      </c>
      <c r="BD139" s="36" t="n">
        <v>3500</v>
      </c>
      <c r="BE139" s="21">
        <f>BF139/12</f>
        <v/>
      </c>
      <c r="BF139" s="39">
        <f>IFERROR(AR139*$BD139,0)</f>
        <v/>
      </c>
      <c r="BG139" s="39">
        <f>IFERROR(AS139*$BD139,0)</f>
        <v/>
      </c>
      <c r="BH139" s="39">
        <f>IFERROR(AT139*$BD139,0)</f>
        <v/>
      </c>
      <c r="BI139" s="39">
        <f>BH139*1.03</f>
        <v/>
      </c>
      <c r="BJ139" s="39">
        <f>BI139*1.03</f>
        <v/>
      </c>
      <c r="BK139" s="39">
        <f>BJ139*1.03</f>
        <v/>
      </c>
      <c r="BL139" s="39">
        <f>BK139*1.03</f>
        <v/>
      </c>
      <c r="BM139" s="39">
        <f>IFERROR(AY139*$BD139,0)</f>
        <v/>
      </c>
      <c r="BN139" s="39">
        <f>IFERROR(AZ139*$BD139,0)</f>
        <v/>
      </c>
      <c r="BO139" s="39">
        <f>IFERROR(BA139*$BD139,0)</f>
        <v/>
      </c>
      <c r="BP139" s="40" t="n"/>
      <c r="BQ139" s="40">
        <f>IF(VALUE(MID(BQ$5,6,1))&lt;=$D$2,((1+$BD$3)^1-1)*BG139,0)</f>
        <v/>
      </c>
      <c r="BR139" s="40">
        <f>IF(VALUE(MID(BR$5,6,1))&lt;=$D$2,((1+$BD$3)^2-1)*BH139,0)</f>
        <v/>
      </c>
      <c r="BS139" s="40">
        <f>IF(VALUE(MID(BS$5,6,1))&lt;=$D$2,((1+$BD$3)^3-1)*BI139,0)</f>
        <v/>
      </c>
      <c r="BT139" s="40">
        <f>IF(VALUE(MID(BT$5,6,1))&lt;=$D$2,((1+$BD$3)^4-1)*BJ139,0)</f>
        <v/>
      </c>
      <c r="BU139" s="40">
        <f>IF(VALUE(MID(BU$5,6,1))&lt;=$D$2,((1+$BD$3)^5-1)*BK139,0)</f>
        <v/>
      </c>
      <c r="BV139" s="40">
        <f>IF(VALUE(MID(BV$5,6,1))&lt;=$D$2,((1+$BD$3)^6-1)*BL139,0)</f>
        <v/>
      </c>
      <c r="BW139" s="40">
        <f>IF(VALUE(MID(BW$5,6,1))&lt;=$D$2,((1+$BD$3)^7-1)*BM139,0)</f>
        <v/>
      </c>
      <c r="BX139" s="40">
        <f>IF(VALUE(MID(BX$5,6,1))&lt;=$D$2,((1+$BD$3)^8-1)*BN139,0)</f>
        <v/>
      </c>
      <c r="BY139" s="40">
        <f>IF(VALUE(MID(BY$5,6,2))&lt;=$D$2,((1+$BD$3)^9-1)*BO139,0)</f>
        <v/>
      </c>
      <c r="BZ139" s="40">
        <f>SUM(BP139:BY139)</f>
        <v/>
      </c>
      <c r="CA139" s="37">
        <f>SUM(BZ139,BF139:BO139)</f>
        <v/>
      </c>
      <c r="CC139" s="102" t="n"/>
      <c r="CD139" s="12" t="n"/>
      <c r="CE139" s="14">
        <f>IF($CC139="Annual",1,IF($CC139="Monthly F",12,IF($CC139="Monthly V",CD139*12,IF($CC139="One-Time",1,CD139*12))))</f>
        <v/>
      </c>
      <c r="CF139" s="14">
        <f t="array" ref="CF139">IFERROR(_xlfn.IFS(VALUE(MID(CF$5,6,1))&gt;$D$2,0,$CC139="Annual",1,CE139=12,12,$CC139="Monthly V",CE139*(1+$D$3),$CC139="Monthly F",12,$CC139="One-Time",0),CE139*(1+$D$3))</f>
        <v/>
      </c>
      <c r="CG139" s="14">
        <f t="array" ref="CG139">IFERROR(_xlfn.IFS(VALUE(MID(CG$5,6,1))&gt;$D$2,0,$CC139="Annual",1,CF139=12,12,$CC139="Monthly V",CF139*(1+$D$3),$CC139="Monthly F",12,$CC139="One-Time",0),CF139*(1+$D$3))</f>
        <v/>
      </c>
      <c r="CH139" s="14">
        <f t="array" ref="CH139">IFERROR(_xlfn.IFS(VALUE(MID(CH$5,6,1))&gt;$D$2,0,$CC139="Annual",1,CG139=12,12,$CC139="Monthly V",CG139*(1+$D$3),$CC139="Monthly F",12,$CC139="One-Time",0),CG139*(1+$D$3))</f>
        <v/>
      </c>
      <c r="CI139" s="14">
        <f t="array" ref="CI139">IFERROR(_xlfn.IFS(VALUE(MID(CI$5,6,1))&gt;$D$2,0,$CC139="Annual",1,CH139=12,12,$CC139="Monthly V",CH139*(1+$D$3),$CC139="Monthly F",12,$CC139="One-Time",0),CH139*(1+$D$3))</f>
        <v/>
      </c>
      <c r="CJ139" s="14">
        <f t="array" ref="CJ139">IFERROR(_xlfn.IFS(VALUE(MID(CJ$5,6,1))&gt;$D$2,0,$CC139="Annual",1,CI139=12,12,$CC139="Monthly V",CI139*(1+$D$3),$CC139="Monthly F",12,$CC139="One-Time",0),CI139*(1+$D$3))</f>
        <v/>
      </c>
      <c r="CK139" s="14">
        <f t="array" ref="CK139">IFERROR(_xlfn.IFS(VALUE(MID(CK$5,6,1))&gt;$D$2,0,$CC139="Annual",1,CJ139=12,12,$CC139="Monthly V",CJ139*(1+$D$3),$CC139="Monthly F",12,$CC139="One-Time",0),CJ139*(1+$D$3))</f>
        <v/>
      </c>
      <c r="CL139" s="14">
        <f t="array" ref="CL139">IFERROR(_xlfn.IFS(VALUE(MID(CL$5,6,1))&gt;$D$2,0,$CC139="Annual",1,CK139=12,12,$CC139="Monthly V",CK139*(1+$D$3),$CC139="Monthly F",12,$CC139="One-Time",0),CK139*(1+$D$3))</f>
        <v/>
      </c>
      <c r="CM139" s="14">
        <f t="array" ref="CM139">IFERROR(_xlfn.IFS(VALUE(MID(CM$5,6,1))&gt;$D$2,0,$CC139="Annual",1,CL139=12,12,$CC139="Monthly V",CL139*(1+$D$3),$CC139="Monthly F",12,$CC139="One-Time",0),CL139*(1+$D$3))</f>
        <v/>
      </c>
      <c r="CN139" s="24">
        <f t="array" ref="CN139">IFERROR(_xlfn.IFS(VALUE(MID(CN$5,6,2))&gt;$D$2,0,$CC139="Annual",1,CM139=12,12,$CC139="Monthly V",CM139*(1+$D$3),$CC139="Monthly F",12,$CC139="One-Time",0),CM139*(1+$D$3))</f>
        <v/>
      </c>
      <c r="CO139" s="63" t="n"/>
      <c r="CP139" s="53" t="n"/>
      <c r="CQ139" s="21">
        <f>CR139/12</f>
        <v/>
      </c>
      <c r="CR139" s="55">
        <f>IFERROR(CE139*$CP139,0)</f>
        <v/>
      </c>
      <c r="CS139" s="55">
        <f>IFERROR(CF139*$CP139,0)</f>
        <v/>
      </c>
      <c r="CT139" s="55">
        <f>IFERROR(CG139*$CP139,0)</f>
        <v/>
      </c>
      <c r="CU139" s="55">
        <f>IFERROR(CH139*$CP139,0)</f>
        <v/>
      </c>
      <c r="CV139" s="55">
        <f>IFERROR(CI139*$CP139,0)</f>
        <v/>
      </c>
      <c r="CW139" s="55">
        <f>IFERROR(CJ139*$CP139,0)</f>
        <v/>
      </c>
      <c r="CX139" s="55">
        <f>IFERROR(CK139*$CP139,0)</f>
        <v/>
      </c>
      <c r="CY139" s="55">
        <f>IFERROR(CL139*$CP139,0)</f>
        <v/>
      </c>
      <c r="CZ139" s="55">
        <f>IFERROR(CM139*$CP139,0)</f>
        <v/>
      </c>
      <c r="DA139" s="55">
        <f>IFERROR(CN139*$CP139,0)</f>
        <v/>
      </c>
      <c r="DB139" s="56" t="n"/>
      <c r="DC139" s="56">
        <f>IF(VALUE(MID(DC$5,6,1))&lt;=$D$2,((1+$CP$3)^1-1)*CS139,0)</f>
        <v/>
      </c>
      <c r="DD139" s="56">
        <f>IF(VALUE(MID(DD$5,6,1))&lt;=$D$2,((1+$CP$3)^2-1)*CT139,0)</f>
        <v/>
      </c>
      <c r="DE139" s="56">
        <f>IF(VALUE(MID(DE$5,6,1))&lt;=$D$2,((1+$CP$3)^3-1)*CU139,0)</f>
        <v/>
      </c>
      <c r="DF139" s="56">
        <f>IF(VALUE(MID(DF$5,6,1))&lt;=$D$2,((1+$CP$3)^4-1)*CV139,0)</f>
        <v/>
      </c>
      <c r="DG139" s="56">
        <f>IF(VALUE(MID(DG$5,6,1))&lt;=$D$2,((1+$CP$3)^5-1)*CW139,0)</f>
        <v/>
      </c>
      <c r="DH139" s="56">
        <f>IF(VALUE(MID(DH$5,6,1))&lt;=$D$2,((1+$CP$3)^6-1)*CX139,0)</f>
        <v/>
      </c>
      <c r="DI139" s="56">
        <f>IF(VALUE(MID(DI$5,6,1))&lt;=$D$2,((1+$CP$3)^7-1)*CY139,0)</f>
        <v/>
      </c>
      <c r="DJ139" s="56">
        <f>IF(VALUE(MID(DJ$5,6,1))&lt;=$D$2,((1+$CP$3)^8-1)*CZ139,0)</f>
        <v/>
      </c>
      <c r="DK139" s="56">
        <f>IF(VALUE(MID(DK$5,6,2))&lt;=$D$2,((1+$CP$3)^9-1)*DA139,0)</f>
        <v/>
      </c>
      <c r="DL139" s="57">
        <f>SUM(DB139:DK139)</f>
        <v/>
      </c>
      <c r="DM139" s="54">
        <f>SUM(DL139,CR139:DA139)</f>
        <v/>
      </c>
      <c r="DO139" s="106" t="n"/>
    </row>
    <row r="140">
      <c r="B140" s="141" t="inlineStr">
        <is>
          <t>One-Time</t>
        </is>
      </c>
      <c r="C140" s="24" t="n">
        <v>1</v>
      </c>
      <c r="D140" s="147">
        <f>IFERROR(AVERAGE(C140:C140),0)</f>
        <v/>
      </c>
      <c r="E140" s="142">
        <f>IF($B140="Annual",1,IF($B140="Monthly F",12,IF($B140="Monthly V",D140*12,IF($B140="One-Time",1,D140*12))))</f>
        <v/>
      </c>
      <c r="F140" s="14">
        <f t="array" ref="F140">IFERROR(_xlfn.IFS(VALUE(MID(F$5,6,1))&gt;$D$2,0,$B140="Annual",1,E140=12,12,$B140="Monthly V",E140*(1+$D$3),$B140="Monthly F",12,$B140="One-Time",0),E140*(1+$D$3))</f>
        <v/>
      </c>
      <c r="G140" s="14">
        <f t="array" ref="G140">IFERROR(_xlfn.IFS(VALUE(MID(G$5,6,1))&gt;$D$2,0,$B140="Annual",1,F140=12,12,$B140="Monthly V",F140*(1+$D$3),$B140="Monthly F",12,$B140="One-Time",0),F140*(1+$D$3))</f>
        <v/>
      </c>
      <c r="H140" s="14">
        <f t="array" ref="H140">IFERROR(_xlfn.IFS(VALUE(MID(H$5,6,1))&gt;$D$2,0,$B140="Annual",1,G140=12,12,$B140="Monthly V",G140*(1+$D$3),$B140="Monthly F",12,$B140="One-Time",0),G140*(1+$D$3))</f>
        <v/>
      </c>
      <c r="I140" s="14">
        <f t="array" ref="I140">IFERROR(_xlfn.IFS(VALUE(MID(I$5,6,1))&gt;$D$2,0,$B140="Annual",1,H140=12,12,$B140="Monthly V",H140*(1+$D$3),$B140="Monthly F",12,$B140="One-Time",0),H140*(1+$D$3))</f>
        <v/>
      </c>
      <c r="J140" s="14">
        <f t="array" ref="J140">IFERROR(_xlfn.IFS(VALUE(MID(J$5,6,1))&gt;$D$2,0,$B140="Annual",1,I140=12,12,$B140="Monthly V",I140*(1+$D$3),$B140="Monthly F",12,$B140="One-Time",0),I140*(1+$D$3))</f>
        <v/>
      </c>
      <c r="K140" s="14">
        <f t="array" ref="K140">IFERROR(_xlfn.IFS(VALUE(MID(K$5,6,1))&gt;$D$2,0,$B140="Annual",1,J140=12,12,$B140="Monthly V",J140*(1+$D$3),$B140="Monthly F",12,$B140="One-Time",0),J140*(1+$D$3))</f>
        <v/>
      </c>
      <c r="L140" s="14">
        <f t="array" ref="L140">IFERROR(_xlfn.IFS(VALUE(MID(L$5,6,1))&gt;$D$2,0,$B140="Annual",1,K140=12,12,$B140="Monthly V",K140*(1+$D$3),$B140="Monthly F",12,$B140="One-Time",0),K140*(1+$D$3))</f>
        <v/>
      </c>
      <c r="M140" s="14">
        <f t="array" ref="M140">IFERROR(_xlfn.IFS(VALUE(MID(M$5,6,1))&gt;$D$2,0,$B140="Annual",1,L140=12,12,$B140="Monthly V",L140*(1+$D$3),$B140="Monthly F",12,$B140="One-Time",0),L140*(1+$D$3))</f>
        <v/>
      </c>
      <c r="N140" s="24">
        <f t="array" ref="N140">IFERROR(_xlfn.IFS(VALUE(MID(N$5,6,2))&gt;$D$2,0,$B140="Annual",1,M140=12,12,$B140="Monthly V",M140*(1+$D$3),$B140="Monthly F",12,$B140="One-Time",0),M140*(1+$D$3))</f>
        <v/>
      </c>
      <c r="O140" s="127" t="inlineStr">
        <is>
          <t>WebConnect and DirectConnect Implementation Fee</t>
        </is>
      </c>
      <c r="P140" s="13" t="n"/>
      <c r="Q140" s="20" t="n">
        <v>6099</v>
      </c>
      <c r="R140" s="21">
        <f>S140/12</f>
        <v/>
      </c>
      <c r="S140" s="6">
        <f>IFERROR($Q140*E140,0)</f>
        <v/>
      </c>
      <c r="T140" s="6">
        <f>IFERROR($Q140*F140,0)</f>
        <v/>
      </c>
      <c r="U140" s="6">
        <f>IFERROR($Q140*G140,0)</f>
        <v/>
      </c>
      <c r="V140" s="6">
        <f>IFERROR($Q140*H140,0)</f>
        <v/>
      </c>
      <c r="W140" s="6">
        <f>IFERROR($Q140*I140,0)</f>
        <v/>
      </c>
      <c r="X140" s="6">
        <f>IFERROR($Q140*J140,0)</f>
        <v/>
      </c>
      <c r="Y140" s="6">
        <f>IFERROR($Q140*K140,0)</f>
        <v/>
      </c>
      <c r="Z140" s="6">
        <f>IFERROR($Q140*L140,0)</f>
        <v/>
      </c>
      <c r="AA140" s="6">
        <f>IFERROR($Q140*M140,0)</f>
        <v/>
      </c>
      <c r="AB140" s="6">
        <f>IFERROR($Q140*N140,0)</f>
        <v/>
      </c>
      <c r="AC140" s="7" t="n"/>
      <c r="AD140" s="152">
        <f>IF(VALUE(MID(AD$5,6,1))&lt;=$D$2,((1+$Q$3)^1-1)*T140,0)</f>
        <v/>
      </c>
      <c r="AE140" s="152">
        <f>IF(VALUE(MID(AE$5,6,1))&lt;=$D$2,((1+$Q$3)^2-1)*U140,0)</f>
        <v/>
      </c>
      <c r="AF140" s="152">
        <f>IF(VALUE(MID(AF$5,6,1))&lt;=$D$2,((1+$Q$3)^3-1)*V140,0)</f>
        <v/>
      </c>
      <c r="AG140" s="152">
        <f>IF(VALUE(MID(AG$5,6,1))&lt;=$D$2,((1+$Q$3)^4-1)*W140,0)</f>
        <v/>
      </c>
      <c r="AH140" s="152">
        <f>IF(VALUE(MID(AH$5,6,1))&lt;=$D$2,((1+$Q$3)^5-1)*X140,0)</f>
        <v/>
      </c>
      <c r="AI140" s="152">
        <f>IF(VALUE(MID(AI$5,6,1))&lt;=$D$2,((1+$Q$3)^6-1)*Y140,0)</f>
        <v/>
      </c>
      <c r="AJ140" s="152">
        <f>IF(VALUE(MID(AJ$5,6,1))&lt;=$D$2,((1+$Q$3)^7-1)*Z140,0)</f>
        <v/>
      </c>
      <c r="AK140" s="152">
        <f>IF(VALUE(MID(AK$5,6,1))&lt;=$D$2,((1+$Q$3)^8-1)*AA140,0)</f>
        <v/>
      </c>
      <c r="AL140" s="152">
        <f>IF(VALUE(MID(AL$5,6,2))&lt;=$D$2,((1+$Q$3)^9-1)*AB140,0)</f>
        <v/>
      </c>
      <c r="AM140" s="9">
        <f>SUM(AC140:AL140)</f>
        <v/>
      </c>
      <c r="AN140" s="80">
        <f>SUM(AM140,S140:AB140)</f>
        <v/>
      </c>
      <c r="AP140" s="102" t="inlineStr">
        <is>
          <t>Annual</t>
        </is>
      </c>
      <c r="AQ140" s="12" t="n">
        <v>1</v>
      </c>
      <c r="AR140" s="14">
        <f>IF($AP140="Annual",1,IF($AP140="Monthly F",12,IF($AP140="Monthly V",AQ140*12,IF($AP140="One-Time",1,AQ140*12))))</f>
        <v/>
      </c>
      <c r="AS140" s="14">
        <f t="array" ref="AS140">IFERROR(_xlfn.IFS(VALUE(MID(AS$5,6,1))&gt;$D$2,0,$AP140="Annual",1,AR140=12,12,$AP140="Monthly V",AR140*(1+$D$3),$AP140="Monthly F",12,$AP140="One-Time",0),AR140*(1+$D$3))</f>
        <v/>
      </c>
      <c r="AT140" s="14">
        <f t="array" ref="AT140">IFERROR(_xlfn.IFS(VALUE(MID(AT$5,6,1))&gt;$D$2,0,$AP140="Annual",1,AS140=12,12,$AP140="Monthly V",AS140*(1+$D$3),$AP140="Monthly F",12,$AP140="One-Time",0),AS140*(1+$D$3))</f>
        <v/>
      </c>
      <c r="AU140" s="14">
        <f t="array" ref="AU140">IFERROR(_xlfn.IFS(VALUE(MID(AU$5,6,1))&gt;$D$2,0,$AP140="Annual",1,AT140=12,12,$AP140="Monthly V",AT140*(1+$D$3),$AP140="Monthly F",12,$AP140="One-Time",0),AT140*(1+$D$3))</f>
        <v/>
      </c>
      <c r="AV140" s="14">
        <f t="array" ref="AV140">IFERROR(_xlfn.IFS(VALUE(MID(AV$5,6,1))&gt;$D$2,0,$AP140="Annual",1,AU140=12,12,$AP140="Monthly V",AU140*(1+$D$3),$AP140="Monthly F",12,$AP140="One-Time",0),AU140*(1+$D$3))</f>
        <v/>
      </c>
      <c r="AW140" s="14">
        <f t="array" ref="AW140">IFERROR(_xlfn.IFS(VALUE(MID(AW$5,6,1))&gt;$D$2,0,$AP140="Annual",1,AV140=12,12,$AP140="Monthly V",AV140*(1+$D$3),$AP140="Monthly F",12,$AP140="One-Time",0),AV140*(1+$D$3))</f>
        <v/>
      </c>
      <c r="AX140" s="14">
        <f t="array" ref="AX140">IFERROR(_xlfn.IFS(VALUE(MID(AX$5,6,1))&gt;$D$2,0,$AP140="Annual",1,AW140=12,12,$AP140="Monthly V",AW140*(1+$D$3),$AP140="Monthly F",12,$AP140="One-Time",0),AW140*(1+$D$3))</f>
        <v/>
      </c>
      <c r="AY140" s="14">
        <f t="array" ref="AY140">IFERROR(_xlfn.IFS(VALUE(MID(AY$5,6,1))&gt;$D$2,0,$AP140="Annual",1,AX140=12,12,$AP140="Monthly V",AX140*(1+$D$3),$AP140="Monthly F",12,$AP140="One-Time",0),AX140*(1+$D$3))</f>
        <v/>
      </c>
      <c r="AZ140" s="14">
        <f t="array" ref="AZ140">IFERROR(_xlfn.IFS(VALUE(MID(AZ$5,6,1))&gt;$D$2,0,$AP140="Annual",1,AY140=12,12,$AP140="Monthly V",AY140*(1+$D$3),$AP140="Monthly F",12,$AP140="One-Time",0),AY140*(1+$D$3))</f>
        <v/>
      </c>
      <c r="BA140" s="125">
        <f t="array" ref="BA140">IFERROR(_xlfn.IFS(VALUE(MID(BA$5,6,2))&gt;$D$2,0,$AP140="Annual",1,AZ140=12,12,$AP140="Monthly V",AZ140*(1+$D$3),$AP140="Monthly F",12,$AP140="One-Time",0),AZ140*(1+$D$3))</f>
        <v/>
      </c>
      <c r="BB140" s="124" t="inlineStr">
        <is>
          <t>TruStage Forms-LoanVantage</t>
        </is>
      </c>
      <c r="BC140" s="38" t="inlineStr">
        <is>
          <t>Forms</t>
        </is>
      </c>
      <c r="BD140" s="36" t="n">
        <v>10595.7</v>
      </c>
      <c r="BE140" s="21">
        <f>BF140/12</f>
        <v/>
      </c>
      <c r="BF140" s="39">
        <f>IFERROR(AR140*$BD140,0)</f>
        <v/>
      </c>
      <c r="BG140" s="39">
        <f>IFERROR(AS140*$BD140,0)</f>
        <v/>
      </c>
      <c r="BH140" s="39">
        <f>IFERROR(AT140*$BD140,0)</f>
        <v/>
      </c>
      <c r="BI140" s="39">
        <f>BH140*1.03</f>
        <v/>
      </c>
      <c r="BJ140" s="39">
        <f>BI140*1.03</f>
        <v/>
      </c>
      <c r="BK140" s="39">
        <f>BJ140*1.03</f>
        <v/>
      </c>
      <c r="BL140" s="39">
        <f>BK140*1.03</f>
        <v/>
      </c>
      <c r="BM140" s="39">
        <f>IFERROR(AY140*$BD140,0)</f>
        <v/>
      </c>
      <c r="BN140" s="39">
        <f>IFERROR(AZ140*$BD140,0)</f>
        <v/>
      </c>
      <c r="BO140" s="39">
        <f>IFERROR(BA140*$BD140,0)</f>
        <v/>
      </c>
      <c r="BP140" s="40" t="n"/>
      <c r="BQ140" s="40">
        <f>IF(VALUE(MID(BQ$5,6,1))&lt;=$D$2,((1+$BD$3)^1-1)*BG140,0)</f>
        <v/>
      </c>
      <c r="BR140" s="40">
        <f>IF(VALUE(MID(BR$5,6,1))&lt;=$D$2,((1+$BD$3)^2-1)*BH140,0)</f>
        <v/>
      </c>
      <c r="BS140" s="40">
        <f>IF(VALUE(MID(BS$5,6,1))&lt;=$D$2,((1+$BD$3)^3-1)*BI140,0)</f>
        <v/>
      </c>
      <c r="BT140" s="40">
        <f>IF(VALUE(MID(BT$5,6,1))&lt;=$D$2,((1+$BD$3)^4-1)*BJ140,0)</f>
        <v/>
      </c>
      <c r="BU140" s="40">
        <f>IF(VALUE(MID(BU$5,6,1))&lt;=$D$2,((1+$BD$3)^5-1)*BK140,0)</f>
        <v/>
      </c>
      <c r="BV140" s="40">
        <f>IF(VALUE(MID(BV$5,6,1))&lt;=$D$2,((1+$BD$3)^6-1)*BL140,0)</f>
        <v/>
      </c>
      <c r="BW140" s="40">
        <f>IF(VALUE(MID(BW$5,6,1))&lt;=$D$2,((1+$BD$3)^7-1)*BM140,0)</f>
        <v/>
      </c>
      <c r="BX140" s="40">
        <f>IF(VALUE(MID(BX$5,6,1))&lt;=$D$2,((1+$BD$3)^8-1)*BN140,0)</f>
        <v/>
      </c>
      <c r="BY140" s="40">
        <f>IF(VALUE(MID(BY$5,6,2))&lt;=$D$2,((1+$BD$3)^9-1)*BO140,0)</f>
        <v/>
      </c>
      <c r="BZ140" s="40">
        <f>SUM(BP140:BY140)</f>
        <v/>
      </c>
      <c r="CA140" s="37">
        <f>SUM(BZ140,BF140:BO140)</f>
        <v/>
      </c>
      <c r="CC140" s="102" t="n"/>
      <c r="CD140" s="12" t="n"/>
      <c r="CE140" s="14">
        <f>IF($CC140="Annual",1,IF($CC140="Monthly F",12,IF($CC140="Monthly V",CD140*12,IF($CC140="One-Time",1,CD140*12))))</f>
        <v/>
      </c>
      <c r="CF140" s="14">
        <f t="array" ref="CF140">IFERROR(_xlfn.IFS(VALUE(MID(CF$5,6,1))&gt;$D$2,0,$CC140="Annual",1,CE140=12,12,$CC140="Monthly V",CE140*(1+$D$3),$CC140="Monthly F",12,$CC140="One-Time",0),CE140*(1+$D$3))</f>
        <v/>
      </c>
      <c r="CG140" s="14">
        <f t="array" ref="CG140">IFERROR(_xlfn.IFS(VALUE(MID(CG$5,6,1))&gt;$D$2,0,$CC140="Annual",1,CF140=12,12,$CC140="Monthly V",CF140*(1+$D$3),$CC140="Monthly F",12,$CC140="One-Time",0),CF140*(1+$D$3))</f>
        <v/>
      </c>
      <c r="CH140" s="14">
        <f t="array" ref="CH140">IFERROR(_xlfn.IFS(VALUE(MID(CH$5,6,1))&gt;$D$2,0,$CC140="Annual",1,CG140=12,12,$CC140="Monthly V",CG140*(1+$D$3),$CC140="Monthly F",12,$CC140="One-Time",0),CG140*(1+$D$3))</f>
        <v/>
      </c>
      <c r="CI140" s="14">
        <f t="array" ref="CI140">IFERROR(_xlfn.IFS(VALUE(MID(CI$5,6,1))&gt;$D$2,0,$CC140="Annual",1,CH140=12,12,$CC140="Monthly V",CH140*(1+$D$3),$CC140="Monthly F",12,$CC140="One-Time",0),CH140*(1+$D$3))</f>
        <v/>
      </c>
      <c r="CJ140" s="14">
        <f t="array" ref="CJ140">IFERROR(_xlfn.IFS(VALUE(MID(CJ$5,6,1))&gt;$D$2,0,$CC140="Annual",1,CI140=12,12,$CC140="Monthly V",CI140*(1+$D$3),$CC140="Monthly F",12,$CC140="One-Time",0),CI140*(1+$D$3))</f>
        <v/>
      </c>
      <c r="CK140" s="14">
        <f t="array" ref="CK140">IFERROR(_xlfn.IFS(VALUE(MID(CK$5,6,1))&gt;$D$2,0,$CC140="Annual",1,CJ140=12,12,$CC140="Monthly V",CJ140*(1+$D$3),$CC140="Monthly F",12,$CC140="One-Time",0),CJ140*(1+$D$3))</f>
        <v/>
      </c>
      <c r="CL140" s="14">
        <f t="array" ref="CL140">IFERROR(_xlfn.IFS(VALUE(MID(CL$5,6,1))&gt;$D$2,0,$CC140="Annual",1,CK140=12,12,$CC140="Monthly V",CK140*(1+$D$3),$CC140="Monthly F",12,$CC140="One-Time",0),CK140*(1+$D$3))</f>
        <v/>
      </c>
      <c r="CM140" s="14">
        <f t="array" ref="CM140">IFERROR(_xlfn.IFS(VALUE(MID(CM$5,6,1))&gt;$D$2,0,$CC140="Annual",1,CL140=12,12,$CC140="Monthly V",CL140*(1+$D$3),$CC140="Monthly F",12,$CC140="One-Time",0),CL140*(1+$D$3))</f>
        <v/>
      </c>
      <c r="CN140" s="24">
        <f t="array" ref="CN140">IFERROR(_xlfn.IFS(VALUE(MID(CN$5,6,2))&gt;$D$2,0,$CC140="Annual",1,CM140=12,12,$CC140="Monthly V",CM140*(1+$D$3),$CC140="Monthly F",12,$CC140="One-Time",0),CM140*(1+$D$3))</f>
        <v/>
      </c>
      <c r="CO140" s="63" t="n"/>
      <c r="CP140" s="53" t="n"/>
      <c r="CQ140" s="21">
        <f>CR140/12</f>
        <v/>
      </c>
      <c r="CR140" s="55">
        <f>IFERROR(CE140*$CP140,0)</f>
        <v/>
      </c>
      <c r="CS140" s="55">
        <f>IFERROR(CF140*$CP140,0)</f>
        <v/>
      </c>
      <c r="CT140" s="55">
        <f>IFERROR(CG140*$CP140,0)</f>
        <v/>
      </c>
      <c r="CU140" s="55">
        <f>IFERROR(CH140*$CP140,0)</f>
        <v/>
      </c>
      <c r="CV140" s="55">
        <f>IFERROR(CI140*$CP140,0)</f>
        <v/>
      </c>
      <c r="CW140" s="55">
        <f>IFERROR(CJ140*$CP140,0)</f>
        <v/>
      </c>
      <c r="CX140" s="55">
        <f>IFERROR(CK140*$CP140,0)</f>
        <v/>
      </c>
      <c r="CY140" s="55">
        <f>IFERROR(CL140*$CP140,0)</f>
        <v/>
      </c>
      <c r="CZ140" s="55">
        <f>IFERROR(CM140*$CP140,0)</f>
        <v/>
      </c>
      <c r="DA140" s="55">
        <f>IFERROR(CN140*$CP140,0)</f>
        <v/>
      </c>
      <c r="DB140" s="56" t="n"/>
      <c r="DC140" s="56">
        <f>IF(VALUE(MID(DC$5,6,1))&lt;=$D$2,((1+$CP$3)^1-1)*CS140,0)</f>
        <v/>
      </c>
      <c r="DD140" s="56">
        <f>IF(VALUE(MID(DD$5,6,1))&lt;=$D$2,((1+$CP$3)^2-1)*CT140,0)</f>
        <v/>
      </c>
      <c r="DE140" s="56">
        <f>IF(VALUE(MID(DE$5,6,1))&lt;=$D$2,((1+$CP$3)^3-1)*CU140,0)</f>
        <v/>
      </c>
      <c r="DF140" s="56">
        <f>IF(VALUE(MID(DF$5,6,1))&lt;=$D$2,((1+$CP$3)^4-1)*CV140,0)</f>
        <v/>
      </c>
      <c r="DG140" s="56">
        <f>IF(VALUE(MID(DG$5,6,1))&lt;=$D$2,((1+$CP$3)^5-1)*CW140,0)</f>
        <v/>
      </c>
      <c r="DH140" s="56">
        <f>IF(VALUE(MID(DH$5,6,1))&lt;=$D$2,((1+$CP$3)^6-1)*CX140,0)</f>
        <v/>
      </c>
      <c r="DI140" s="56">
        <f>IF(VALUE(MID(DI$5,6,1))&lt;=$D$2,((1+$CP$3)^7-1)*CY140,0)</f>
        <v/>
      </c>
      <c r="DJ140" s="56">
        <f>IF(VALUE(MID(DJ$5,6,1))&lt;=$D$2,((1+$CP$3)^8-1)*CZ140,0)</f>
        <v/>
      </c>
      <c r="DK140" s="56">
        <f>IF(VALUE(MID(DK$5,6,2))&lt;=$D$2,((1+$CP$3)^9-1)*DA140,0)</f>
        <v/>
      </c>
      <c r="DL140" s="57">
        <f>SUM(DB140:DK140)</f>
        <v/>
      </c>
      <c r="DM140" s="54">
        <f>SUM(DL140,CR140:DA140)</f>
        <v/>
      </c>
      <c r="DO140" s="106" t="n"/>
    </row>
    <row r="141">
      <c r="B141" s="141" t="inlineStr">
        <is>
          <t>Monthly F</t>
        </is>
      </c>
      <c r="C141" s="24" t="n">
        <v>1</v>
      </c>
      <c r="D141" s="147">
        <f>IFERROR(AVERAGE(C141:C141),0)</f>
        <v/>
      </c>
      <c r="E141" s="142">
        <f>IF($B141="Annual",1,IF($B141="Monthly F",12,IF($B141="Monthly V",D141*12,IF($B141="One-Time",1,D141*12))))</f>
        <v/>
      </c>
      <c r="F141" s="14">
        <f t="array" ref="F141">IFERROR(_xlfn.IFS(VALUE(MID(F$5,6,1))&gt;$D$2,0,$B141="Annual",1,E141=12,12,$B141="Monthly V",E141*(1+$D$3),$B141="Monthly F",12,$B141="One-Time",0),E141*(1+$D$3))</f>
        <v/>
      </c>
      <c r="G141" s="14">
        <f t="array" ref="G141">IFERROR(_xlfn.IFS(VALUE(MID(G$5,6,1))&gt;$D$2,0,$B141="Annual",1,F141=12,12,$B141="Monthly V",F141*(1+$D$3),$B141="Monthly F",12,$B141="One-Time",0),F141*(1+$D$3))</f>
        <v/>
      </c>
      <c r="H141" s="14">
        <f t="array" ref="H141">IFERROR(_xlfn.IFS(VALUE(MID(H$5,6,1))&gt;$D$2,0,$B141="Annual",1,G141=12,12,$B141="Monthly V",G141*(1+$D$3),$B141="Monthly F",12,$B141="One-Time",0),G141*(1+$D$3))</f>
        <v/>
      </c>
      <c r="I141" s="14">
        <f t="array" ref="I141">IFERROR(_xlfn.IFS(VALUE(MID(I$5,6,1))&gt;$D$2,0,$B141="Annual",1,H141=12,12,$B141="Monthly V",H141*(1+$D$3),$B141="Monthly F",12,$B141="One-Time",0),H141*(1+$D$3))</f>
        <v/>
      </c>
      <c r="J141" s="14">
        <f t="array" ref="J141">IFERROR(_xlfn.IFS(VALUE(MID(J$5,6,1))&gt;$D$2,0,$B141="Annual",1,I141=12,12,$B141="Monthly V",I141*(1+$D$3),$B141="Monthly F",12,$B141="One-Time",0),I141*(1+$D$3))</f>
        <v/>
      </c>
      <c r="K141" s="14">
        <f t="array" ref="K141">IFERROR(_xlfn.IFS(VALUE(MID(K$5,6,1))&gt;$D$2,0,$B141="Annual",1,J141=12,12,$B141="Monthly V",J141*(1+$D$3),$B141="Monthly F",12,$B141="One-Time",0),J141*(1+$D$3))</f>
        <v/>
      </c>
      <c r="L141" s="14">
        <f t="array" ref="L141">IFERROR(_xlfn.IFS(VALUE(MID(L$5,6,1))&gt;$D$2,0,$B141="Annual",1,K141=12,12,$B141="Monthly V",K141*(1+$D$3),$B141="Monthly F",12,$B141="One-Time",0),K141*(1+$D$3))</f>
        <v/>
      </c>
      <c r="M141" s="14">
        <f t="array" ref="M141">IFERROR(_xlfn.IFS(VALUE(MID(M$5,6,1))&gt;$D$2,0,$B141="Annual",1,L141=12,12,$B141="Monthly V",L141*(1+$D$3),$B141="Monthly F",12,$B141="One-Time",0),L141*(1+$D$3))</f>
        <v/>
      </c>
      <c r="N141" s="24">
        <f t="array" ref="N141">IFERROR(_xlfn.IFS(VALUE(MID(N$5,6,2))&gt;$D$2,0,$B141="Annual",1,M141=12,12,$B141="Monthly V",M141*(1+$D$3),$B141="Monthly F",12,$B141="One-Time",0),M141*(1+$D$3))</f>
        <v/>
      </c>
      <c r="O141" s="127" t="inlineStr">
        <is>
          <t>Credit Insights</t>
        </is>
      </c>
      <c r="P141" s="13" t="n"/>
      <c r="Q141" s="20" t="n">
        <v>1000</v>
      </c>
      <c r="R141" s="21">
        <f>S141/12</f>
        <v/>
      </c>
      <c r="S141" s="6">
        <f>IFERROR($Q141*E141,0)</f>
        <v/>
      </c>
      <c r="T141" s="6">
        <f>IFERROR($Q141*F141,0)</f>
        <v/>
      </c>
      <c r="U141" s="6">
        <f>IFERROR($Q141*G141,0)</f>
        <v/>
      </c>
      <c r="V141" s="6">
        <f>IFERROR($Q141*H141,0)</f>
        <v/>
      </c>
      <c r="W141" s="6">
        <f>IFERROR($Q141*I141,0)</f>
        <v/>
      </c>
      <c r="X141" s="6">
        <f>IFERROR($Q141*J141,0)</f>
        <v/>
      </c>
      <c r="Y141" s="6">
        <f>IFERROR($Q141*K141,0)</f>
        <v/>
      </c>
      <c r="Z141" s="6">
        <f>IFERROR($Q141*L141,0)</f>
        <v/>
      </c>
      <c r="AA141" s="6">
        <f>IFERROR($Q141*M141,0)</f>
        <v/>
      </c>
      <c r="AB141" s="6">
        <f>IFERROR($Q141*N141,0)</f>
        <v/>
      </c>
      <c r="AC141" s="7" t="n"/>
      <c r="AD141" s="152">
        <f>IF(VALUE(MID(AD$5,6,1))&lt;=$D$2,((1+$Q$3)^1-1)*T141,0)</f>
        <v/>
      </c>
      <c r="AE141" s="152">
        <f>IF(VALUE(MID(AE$5,6,1))&lt;=$D$2,((1+$Q$3)^2-1)*U141,0)</f>
        <v/>
      </c>
      <c r="AF141" s="152">
        <f>IF(VALUE(MID(AF$5,6,1))&lt;=$D$2,((1+$Q$3)^3-1)*V141,0)</f>
        <v/>
      </c>
      <c r="AG141" s="152">
        <f>IF(VALUE(MID(AG$5,6,1))&lt;=$D$2,((1+$Q$3)^4-1)*W141,0)</f>
        <v/>
      </c>
      <c r="AH141" s="152">
        <f>IF(VALUE(MID(AH$5,6,1))&lt;=$D$2,((1+$Q$3)^5-1)*X141,0)</f>
        <v/>
      </c>
      <c r="AI141" s="152">
        <f>IF(VALUE(MID(AI$5,6,1))&lt;=$D$2,((1+$Q$3)^6-1)*Y141,0)</f>
        <v/>
      </c>
      <c r="AJ141" s="152">
        <f>IF(VALUE(MID(AJ$5,6,1))&lt;=$D$2,((1+$Q$3)^7-1)*Z141,0)</f>
        <v/>
      </c>
      <c r="AK141" s="152">
        <f>IF(VALUE(MID(AK$5,6,1))&lt;=$D$2,((1+$Q$3)^8-1)*AA141,0)</f>
        <v/>
      </c>
      <c r="AL141" s="152">
        <f>IF(VALUE(MID(AL$5,6,2))&lt;=$D$2,((1+$Q$3)^9-1)*AB141,0)</f>
        <v/>
      </c>
      <c r="AM141" s="9">
        <f>SUM(AC141:AL141)</f>
        <v/>
      </c>
      <c r="AN141" s="80">
        <f>SUM(AM141,S141:AB141)</f>
        <v/>
      </c>
      <c r="AP141" s="102" t="inlineStr">
        <is>
          <t>One-Time</t>
        </is>
      </c>
      <c r="AQ141" s="12" t="n">
        <v>1</v>
      </c>
      <c r="AR141" s="14">
        <f>IF($AP141="Annual",1,IF($AP141="Monthly F",12,IF($AP141="Monthly V",AQ141*12,IF($AP141="One-Time",1,AQ141*12))))</f>
        <v/>
      </c>
      <c r="AS141" s="14">
        <f t="array" ref="AS141">IFERROR(_xlfn.IFS(VALUE(MID(AS$5,6,1))&gt;$D$2,0,$AP141="Annual",1,AR141=12,12,$AP141="Monthly V",AR141*(1+$D$3),$AP141="Monthly F",12,$AP141="One-Time",0),AR141*(1+$D$3))</f>
        <v/>
      </c>
      <c r="AT141" s="14">
        <f t="array" ref="AT141">IFERROR(_xlfn.IFS(VALUE(MID(AT$5,6,1))&gt;$D$2,0,$AP141="Annual",1,AS141=12,12,$AP141="Monthly V",AS141*(1+$D$3),$AP141="Monthly F",12,$AP141="One-Time",0),AS141*(1+$D$3))</f>
        <v/>
      </c>
      <c r="AU141" s="14">
        <f t="array" ref="AU141">IFERROR(_xlfn.IFS(VALUE(MID(AU$5,6,1))&gt;$D$2,0,$AP141="Annual",1,AT141=12,12,$AP141="Monthly V",AT141*(1+$D$3),$AP141="Monthly F",12,$AP141="One-Time",0),AT141*(1+$D$3))</f>
        <v/>
      </c>
      <c r="AV141" s="14">
        <f t="array" ref="AV141">IFERROR(_xlfn.IFS(VALUE(MID(AV$5,6,1))&gt;$D$2,0,$AP141="Annual",1,AU141=12,12,$AP141="Monthly V",AU141*(1+$D$3),$AP141="Monthly F",12,$AP141="One-Time",0),AU141*(1+$D$3))</f>
        <v/>
      </c>
      <c r="AW141" s="14">
        <f t="array" ref="AW141">IFERROR(_xlfn.IFS(VALUE(MID(AW$5,6,1))&gt;$D$2,0,$AP141="Annual",1,AV141=12,12,$AP141="Monthly V",AV141*(1+$D$3),$AP141="Monthly F",12,$AP141="One-Time",0),AV141*(1+$D$3))</f>
        <v/>
      </c>
      <c r="AX141" s="14">
        <f t="array" ref="AX141">IFERROR(_xlfn.IFS(VALUE(MID(AX$5,6,1))&gt;$D$2,0,$AP141="Annual",1,AW141=12,12,$AP141="Monthly V",AW141*(1+$D$3),$AP141="Monthly F",12,$AP141="One-Time",0),AW141*(1+$D$3))</f>
        <v/>
      </c>
      <c r="AY141" s="14">
        <f t="array" ref="AY141">IFERROR(_xlfn.IFS(VALUE(MID(AY$5,6,1))&gt;$D$2,0,$AP141="Annual",1,AX141=12,12,$AP141="Monthly V",AX141*(1+$D$3),$AP141="Monthly F",12,$AP141="One-Time",0),AX141*(1+$D$3))</f>
        <v/>
      </c>
      <c r="AZ141" s="14">
        <f t="array" ref="AZ141">IFERROR(_xlfn.IFS(VALUE(MID(AZ$5,6,1))&gt;$D$2,0,$AP141="Annual",1,AY141=12,12,$AP141="Monthly V",AY141*(1+$D$3),$AP141="Monthly F",12,$AP141="One-Time",0),AY141*(1+$D$3))</f>
        <v/>
      </c>
      <c r="BA141" s="125">
        <f t="array" ref="BA141">IFERROR(_xlfn.IFS(VALUE(MID(BA$5,6,2))&gt;$D$2,0,$AP141="Annual",1,AZ141=12,12,$AP141="Monthly V",AZ141*(1+$D$3),$AP141="Monthly F",12,$AP141="One-Time",0),AZ141*(1+$D$3))</f>
        <v/>
      </c>
      <c r="BB141" s="124" t="inlineStr">
        <is>
          <t>Carleton SmartCalcs Lending</t>
        </is>
      </c>
      <c r="BC141" s="38" t="inlineStr">
        <is>
          <t>OnBoard</t>
        </is>
      </c>
      <c r="BD141" s="36" t="n">
        <v>1500</v>
      </c>
      <c r="BE141" s="21">
        <f>BF141/12</f>
        <v/>
      </c>
      <c r="BF141" s="39">
        <f>IFERROR(AR141*$BD141,0)</f>
        <v/>
      </c>
      <c r="BG141" s="39">
        <f>IFERROR(AS141*$BD141,0)</f>
        <v/>
      </c>
      <c r="BH141" s="39">
        <f>IFERROR(AT141*$BD141,0)</f>
        <v/>
      </c>
      <c r="BI141" s="39">
        <f>IFERROR(AU141*$BD141,0)</f>
        <v/>
      </c>
      <c r="BJ141" s="39">
        <f>IFERROR(AV141*$BD141,0)</f>
        <v/>
      </c>
      <c r="BK141" s="39">
        <f>IFERROR(AW141*$BD141,0)</f>
        <v/>
      </c>
      <c r="BL141" s="39">
        <f>IFERROR(AX141*$BD141,0)</f>
        <v/>
      </c>
      <c r="BM141" s="39">
        <f>IFERROR(AY141*$BD141,0)</f>
        <v/>
      </c>
      <c r="BN141" s="39">
        <f>IFERROR(AZ141*$BD141,0)</f>
        <v/>
      </c>
      <c r="BO141" s="39">
        <f>IFERROR(BA141*$BD141,0)</f>
        <v/>
      </c>
      <c r="BP141" s="40" t="n"/>
      <c r="BQ141" s="40">
        <f>IF(VALUE(MID(BQ$5,6,1))&lt;=$D$2,((1+$BD$3)^1-1)*BG141,0)</f>
        <v/>
      </c>
      <c r="BR141" s="40">
        <f>IF(VALUE(MID(BR$5,6,1))&lt;=$D$2,((1+$BD$3)^2-1)*BH141,0)</f>
        <v/>
      </c>
      <c r="BS141" s="40">
        <f>IF(VALUE(MID(BS$5,6,1))&lt;=$D$2,((1+$BD$3)^3-1)*BI141,0)</f>
        <v/>
      </c>
      <c r="BT141" s="40">
        <f>IF(VALUE(MID(BT$5,6,1))&lt;=$D$2,((1+$BD$3)^4-1)*BJ141,0)</f>
        <v/>
      </c>
      <c r="BU141" s="40">
        <f>IF(VALUE(MID(BU$5,6,1))&lt;=$D$2,((1+$BD$3)^5-1)*BK141,0)</f>
        <v/>
      </c>
      <c r="BV141" s="40">
        <f>IF(VALUE(MID(BV$5,6,1))&lt;=$D$2,((1+$BD$3)^6-1)*BL141,0)</f>
        <v/>
      </c>
      <c r="BW141" s="40">
        <f>IF(VALUE(MID(BW$5,6,1))&lt;=$D$2,((1+$BD$3)^7-1)*BM141,0)</f>
        <v/>
      </c>
      <c r="BX141" s="40">
        <f>IF(VALUE(MID(BX$5,6,1))&lt;=$D$2,((1+$BD$3)^8-1)*BN141,0)</f>
        <v/>
      </c>
      <c r="BY141" s="40">
        <f>IF(VALUE(MID(BY$5,6,2))&lt;=$D$2,((1+$BD$3)^9-1)*BO141,0)</f>
        <v/>
      </c>
      <c r="BZ141" s="40">
        <f>SUM(BP141:BY141)</f>
        <v/>
      </c>
      <c r="CA141" s="37">
        <f>SUM(BZ141,BF141:BO141)</f>
        <v/>
      </c>
      <c r="CC141" s="102" t="n"/>
      <c r="CD141" s="12" t="n"/>
      <c r="CE141" s="14">
        <f>IF($CC141="Annual",1,IF($CC141="Monthly F",12,IF($CC141="Monthly V",CD141*12,IF($CC141="One-Time",1,CD141*12))))</f>
        <v/>
      </c>
      <c r="CF141" s="14">
        <f t="array" ref="CF141">IFERROR(_xlfn.IFS(VALUE(MID(CF$5,6,1))&gt;$D$2,0,$CC141="Annual",1,CE141=12,12,$CC141="Monthly V",CE141*(1+$D$3),$CC141="Monthly F",12,$CC141="One-Time",0),CE141*(1+$D$3))</f>
        <v/>
      </c>
      <c r="CG141" s="14">
        <f t="array" ref="CG141">IFERROR(_xlfn.IFS(VALUE(MID(CG$5,6,1))&gt;$D$2,0,$CC141="Annual",1,CF141=12,12,$CC141="Monthly V",CF141*(1+$D$3),$CC141="Monthly F",12,$CC141="One-Time",0),CF141*(1+$D$3))</f>
        <v/>
      </c>
      <c r="CH141" s="14">
        <f t="array" ref="CH141">IFERROR(_xlfn.IFS(VALUE(MID(CH$5,6,1))&gt;$D$2,0,$CC141="Annual",1,CG141=12,12,$CC141="Monthly V",CG141*(1+$D$3),$CC141="Monthly F",12,$CC141="One-Time",0),CG141*(1+$D$3))</f>
        <v/>
      </c>
      <c r="CI141" s="14">
        <f t="array" ref="CI141">IFERROR(_xlfn.IFS(VALUE(MID(CI$5,6,1))&gt;$D$2,0,$CC141="Annual",1,CH141=12,12,$CC141="Monthly V",CH141*(1+$D$3),$CC141="Monthly F",12,$CC141="One-Time",0),CH141*(1+$D$3))</f>
        <v/>
      </c>
      <c r="CJ141" s="14">
        <f t="array" ref="CJ141">IFERROR(_xlfn.IFS(VALUE(MID(CJ$5,6,1))&gt;$D$2,0,$CC141="Annual",1,CI141=12,12,$CC141="Monthly V",CI141*(1+$D$3),$CC141="Monthly F",12,$CC141="One-Time",0),CI141*(1+$D$3))</f>
        <v/>
      </c>
      <c r="CK141" s="14">
        <f t="array" ref="CK141">IFERROR(_xlfn.IFS(VALUE(MID(CK$5,6,1))&gt;$D$2,0,$CC141="Annual",1,CJ141=12,12,$CC141="Monthly V",CJ141*(1+$D$3),$CC141="Monthly F",12,$CC141="One-Time",0),CJ141*(1+$D$3))</f>
        <v/>
      </c>
      <c r="CL141" s="14">
        <f t="array" ref="CL141">IFERROR(_xlfn.IFS(VALUE(MID(CL$5,6,1))&gt;$D$2,0,$CC141="Annual",1,CK141=12,12,$CC141="Monthly V",CK141*(1+$D$3),$CC141="Monthly F",12,$CC141="One-Time",0),CK141*(1+$D$3))</f>
        <v/>
      </c>
      <c r="CM141" s="14">
        <f t="array" ref="CM141">IFERROR(_xlfn.IFS(VALUE(MID(CM$5,6,1))&gt;$D$2,0,$CC141="Annual",1,CL141=12,12,$CC141="Monthly V",CL141*(1+$D$3),$CC141="Monthly F",12,$CC141="One-Time",0),CL141*(1+$D$3))</f>
        <v/>
      </c>
      <c r="CN141" s="24">
        <f t="array" ref="CN141">IFERROR(_xlfn.IFS(VALUE(MID(CN$5,6,2))&gt;$D$2,0,$CC141="Annual",1,CM141=12,12,$CC141="Monthly V",CM141*(1+$D$3),$CC141="Monthly F",12,$CC141="One-Time",0),CM141*(1+$D$3))</f>
        <v/>
      </c>
      <c r="CO141" s="63" t="n"/>
      <c r="CP141" s="53" t="n"/>
      <c r="CQ141" s="21">
        <f>CR141/12</f>
        <v/>
      </c>
      <c r="CR141" s="55">
        <f>IFERROR(CE141*$CP141,0)</f>
        <v/>
      </c>
      <c r="CS141" s="55">
        <f>IFERROR(CF141*$CP141,0)</f>
        <v/>
      </c>
      <c r="CT141" s="55">
        <f>IFERROR(CG141*$CP141,0)</f>
        <v/>
      </c>
      <c r="CU141" s="55">
        <f>IFERROR(CH141*$CP141,0)</f>
        <v/>
      </c>
      <c r="CV141" s="55">
        <f>IFERROR(CI141*$CP141,0)</f>
        <v/>
      </c>
      <c r="CW141" s="55">
        <f>IFERROR(CJ141*$CP141,0)</f>
        <v/>
      </c>
      <c r="CX141" s="55">
        <f>IFERROR(CK141*$CP141,0)</f>
        <v/>
      </c>
      <c r="CY141" s="55">
        <f>IFERROR(CL141*$CP141,0)</f>
        <v/>
      </c>
      <c r="CZ141" s="55">
        <f>IFERROR(CM141*$CP141,0)</f>
        <v/>
      </c>
      <c r="DA141" s="55">
        <f>IFERROR(CN141*$CP141,0)</f>
        <v/>
      </c>
      <c r="DB141" s="56" t="n"/>
      <c r="DC141" s="56">
        <f>IF(VALUE(MID(DC$5,6,1))&lt;=$D$2,((1+$CP$3)^1-1)*CS141,0)</f>
        <v/>
      </c>
      <c r="DD141" s="56">
        <f>IF(VALUE(MID(DD$5,6,1))&lt;=$D$2,((1+$CP$3)^2-1)*CT141,0)</f>
        <v/>
      </c>
      <c r="DE141" s="56">
        <f>IF(VALUE(MID(DE$5,6,1))&lt;=$D$2,((1+$CP$3)^3-1)*CU141,0)</f>
        <v/>
      </c>
      <c r="DF141" s="56">
        <f>IF(VALUE(MID(DF$5,6,1))&lt;=$D$2,((1+$CP$3)^4-1)*CV141,0)</f>
        <v/>
      </c>
      <c r="DG141" s="56">
        <f>IF(VALUE(MID(DG$5,6,1))&lt;=$D$2,((1+$CP$3)^5-1)*CW141,0)</f>
        <v/>
      </c>
      <c r="DH141" s="56">
        <f>IF(VALUE(MID(DH$5,6,1))&lt;=$D$2,((1+$CP$3)^6-1)*CX141,0)</f>
        <v/>
      </c>
      <c r="DI141" s="56">
        <f>IF(VALUE(MID(DI$5,6,1))&lt;=$D$2,((1+$CP$3)^7-1)*CY141,0)</f>
        <v/>
      </c>
      <c r="DJ141" s="56">
        <f>IF(VALUE(MID(DJ$5,6,1))&lt;=$D$2,((1+$CP$3)^8-1)*CZ141,0)</f>
        <v/>
      </c>
      <c r="DK141" s="56">
        <f>IF(VALUE(MID(DK$5,6,2))&lt;=$D$2,((1+$CP$3)^9-1)*DA141,0)</f>
        <v/>
      </c>
      <c r="DL141" s="57">
        <f>SUM(DB141:DK141)</f>
        <v/>
      </c>
      <c r="DM141" s="54">
        <f>SUM(DL141,CR141:DA141)</f>
        <v/>
      </c>
      <c r="DO141" s="106" t="n"/>
    </row>
    <row r="142">
      <c r="B142" s="141" t="inlineStr">
        <is>
          <t>One-Time</t>
        </is>
      </c>
      <c r="C142" s="24" t="n">
        <v>1</v>
      </c>
      <c r="D142" s="147">
        <f>IFERROR(AVERAGE(C142:C142),0)</f>
        <v/>
      </c>
      <c r="E142" s="142">
        <f>IF($B142="Annual",1,IF($B142="Monthly F",12,IF($B142="Monthly V",D142*12,IF($B142="One-Time",1,D142*12))))</f>
        <v/>
      </c>
      <c r="F142" s="14">
        <f t="array" ref="F142">IFERROR(_xlfn.IFS(VALUE(MID(F$5,6,1))&gt;$D$2,0,$B142="Annual",1,E142=12,12,$B142="Monthly V",E142*(1+$D$3),$B142="Monthly F",12,$B142="One-Time",0),E142*(1+$D$3))</f>
        <v/>
      </c>
      <c r="G142" s="14">
        <f t="array" ref="G142">IFERROR(_xlfn.IFS(VALUE(MID(G$5,6,1))&gt;$D$2,0,$B142="Annual",1,F142=12,12,$B142="Monthly V",F142*(1+$D$3),$B142="Monthly F",12,$B142="One-Time",0),F142*(1+$D$3))</f>
        <v/>
      </c>
      <c r="H142" s="14">
        <f t="array" ref="H142">IFERROR(_xlfn.IFS(VALUE(MID(H$5,6,1))&gt;$D$2,0,$B142="Annual",1,G142=12,12,$B142="Monthly V",G142*(1+$D$3),$B142="Monthly F",12,$B142="One-Time",0),G142*(1+$D$3))</f>
        <v/>
      </c>
      <c r="I142" s="14">
        <f t="array" ref="I142">IFERROR(_xlfn.IFS(VALUE(MID(I$5,6,1))&gt;$D$2,0,$B142="Annual",1,H142=12,12,$B142="Monthly V",H142*(1+$D$3),$B142="Monthly F",12,$B142="One-Time",0),H142*(1+$D$3))</f>
        <v/>
      </c>
      <c r="J142" s="14">
        <f t="array" ref="J142">IFERROR(_xlfn.IFS(VALUE(MID(J$5,6,1))&gt;$D$2,0,$B142="Annual",1,I142=12,12,$B142="Monthly V",I142*(1+$D$3),$B142="Monthly F",12,$B142="One-Time",0),I142*(1+$D$3))</f>
        <v/>
      </c>
      <c r="K142" s="14">
        <f t="array" ref="K142">IFERROR(_xlfn.IFS(VALUE(MID(K$5,6,1))&gt;$D$2,0,$B142="Annual",1,J142=12,12,$B142="Monthly V",J142*(1+$D$3),$B142="Monthly F",12,$B142="One-Time",0),J142*(1+$D$3))</f>
        <v/>
      </c>
      <c r="L142" s="14">
        <f t="array" ref="L142">IFERROR(_xlfn.IFS(VALUE(MID(L$5,6,1))&gt;$D$2,0,$B142="Annual",1,K142=12,12,$B142="Monthly V",K142*(1+$D$3),$B142="Monthly F",12,$B142="One-Time",0),K142*(1+$D$3))</f>
        <v/>
      </c>
      <c r="M142" s="14">
        <f t="array" ref="M142">IFERROR(_xlfn.IFS(VALUE(MID(M$5,6,1))&gt;$D$2,0,$B142="Annual",1,L142=12,12,$B142="Monthly V",L142*(1+$D$3),$B142="Monthly F",12,$B142="One-Time",0),L142*(1+$D$3))</f>
        <v/>
      </c>
      <c r="N142" s="24">
        <f t="array" ref="N142">IFERROR(_xlfn.IFS(VALUE(MID(N$5,6,2))&gt;$D$2,0,$B142="Annual",1,M142=12,12,$B142="Monthly V",M142*(1+$D$3),$B142="Monthly F",12,$B142="One-Time",0),M142*(1+$D$3))</f>
        <v/>
      </c>
      <c r="O142" s="127" t="inlineStr">
        <is>
          <t>Credit Insights Implementation Fee</t>
        </is>
      </c>
      <c r="P142" s="13" t="n"/>
      <c r="Q142" s="20" t="n">
        <v>5000</v>
      </c>
      <c r="R142" s="21">
        <f>S142/12</f>
        <v/>
      </c>
      <c r="S142" s="6">
        <f>IFERROR($Q142*E142,0)</f>
        <v/>
      </c>
      <c r="T142" s="6">
        <f>IFERROR($Q142*F142,0)</f>
        <v/>
      </c>
      <c r="U142" s="6">
        <f>IFERROR($Q142*G142,0)</f>
        <v/>
      </c>
      <c r="V142" s="6">
        <f>IFERROR($Q142*H142,0)</f>
        <v/>
      </c>
      <c r="W142" s="6">
        <f>IFERROR($Q142*I142,0)</f>
        <v/>
      </c>
      <c r="X142" s="6">
        <f>IFERROR($Q142*J142,0)</f>
        <v/>
      </c>
      <c r="Y142" s="6">
        <f>IFERROR($Q142*K142,0)</f>
        <v/>
      </c>
      <c r="Z142" s="6">
        <f>IFERROR($Q142*L142,0)</f>
        <v/>
      </c>
      <c r="AA142" s="6">
        <f>IFERROR($Q142*M142,0)</f>
        <v/>
      </c>
      <c r="AB142" s="6">
        <f>IFERROR($Q142*N142,0)</f>
        <v/>
      </c>
      <c r="AC142" s="7" t="n"/>
      <c r="AD142" s="152">
        <f>IF(VALUE(MID(AD$5,6,1))&lt;=$D$2,((1+$Q$3)^1-1)*T142,0)</f>
        <v/>
      </c>
      <c r="AE142" s="152">
        <f>IF(VALUE(MID(AE$5,6,1))&lt;=$D$2,((1+$Q$3)^2-1)*U142,0)</f>
        <v/>
      </c>
      <c r="AF142" s="152">
        <f>IF(VALUE(MID(AF$5,6,1))&lt;=$D$2,((1+$Q$3)^3-1)*V142,0)</f>
        <v/>
      </c>
      <c r="AG142" s="152">
        <f>IF(VALUE(MID(AG$5,6,1))&lt;=$D$2,((1+$Q$3)^4-1)*W142,0)</f>
        <v/>
      </c>
      <c r="AH142" s="152">
        <f>IF(VALUE(MID(AH$5,6,1))&lt;=$D$2,((1+$Q$3)^5-1)*X142,0)</f>
        <v/>
      </c>
      <c r="AI142" s="152">
        <f>IF(VALUE(MID(AI$5,6,1))&lt;=$D$2,((1+$Q$3)^6-1)*Y142,0)</f>
        <v/>
      </c>
      <c r="AJ142" s="152">
        <f>IF(VALUE(MID(AJ$5,6,1))&lt;=$D$2,((1+$Q$3)^7-1)*Z142,0)</f>
        <v/>
      </c>
      <c r="AK142" s="152">
        <f>IF(VALUE(MID(AK$5,6,1))&lt;=$D$2,((1+$Q$3)^8-1)*AA142,0)</f>
        <v/>
      </c>
      <c r="AL142" s="152">
        <f>IF(VALUE(MID(AL$5,6,2))&lt;=$D$2,((1+$Q$3)^9-1)*AB142,0)</f>
        <v/>
      </c>
      <c r="AM142" s="9">
        <f>SUM(AC142:AL142)</f>
        <v/>
      </c>
      <c r="AN142" s="80">
        <f>SUM(AM142,S142:AB142)</f>
        <v/>
      </c>
      <c r="AP142" s="102" t="inlineStr">
        <is>
          <t>One-Time</t>
        </is>
      </c>
      <c r="AQ142" s="12" t="n">
        <v>1</v>
      </c>
      <c r="AR142" s="14">
        <f>IF($AP142="Annual",1,IF($AP142="Monthly F",12,IF($AP142="Monthly V",AQ142*12,IF($AP142="One-Time",1,AQ142*12))))</f>
        <v/>
      </c>
      <c r="AS142" s="14">
        <f t="array" ref="AS142">IFERROR(_xlfn.IFS(VALUE(MID(AS$5,6,1))&gt;$D$2,0,$AP142="Annual",1,AR142=12,12,$AP142="Monthly V",AR142*(1+$D$3),$AP142="Monthly F",12,$AP142="One-Time",0),AR142*(1+$D$3))</f>
        <v/>
      </c>
      <c r="AT142" s="14">
        <f t="array" ref="AT142">IFERROR(_xlfn.IFS(VALUE(MID(AT$5,6,1))&gt;$D$2,0,$AP142="Annual",1,AS142=12,12,$AP142="Monthly V",AS142*(1+$D$3),$AP142="Monthly F",12,$AP142="One-Time",0),AS142*(1+$D$3))</f>
        <v/>
      </c>
      <c r="AU142" s="14">
        <f t="array" ref="AU142">IFERROR(_xlfn.IFS(VALUE(MID(AU$5,6,1))&gt;$D$2,0,$AP142="Annual",1,AT142=12,12,$AP142="Monthly V",AT142*(1+$D$3),$AP142="Monthly F",12,$AP142="One-Time",0),AT142*(1+$D$3))</f>
        <v/>
      </c>
      <c r="AV142" s="14">
        <f t="array" ref="AV142">IFERROR(_xlfn.IFS(VALUE(MID(AV$5,6,1))&gt;$D$2,0,$AP142="Annual",1,AU142=12,12,$AP142="Monthly V",AU142*(1+$D$3),$AP142="Monthly F",12,$AP142="One-Time",0),AU142*(1+$D$3))</f>
        <v/>
      </c>
      <c r="AW142" s="14">
        <f t="array" ref="AW142">IFERROR(_xlfn.IFS(VALUE(MID(AW$5,6,1))&gt;$D$2,0,$AP142="Annual",1,AV142=12,12,$AP142="Monthly V",AV142*(1+$D$3),$AP142="Monthly F",12,$AP142="One-Time",0),AV142*(1+$D$3))</f>
        <v/>
      </c>
      <c r="AX142" s="14">
        <f t="array" ref="AX142">IFERROR(_xlfn.IFS(VALUE(MID(AX$5,6,1))&gt;$D$2,0,$AP142="Annual",1,AW142=12,12,$AP142="Monthly V",AW142*(1+$D$3),$AP142="Monthly F",12,$AP142="One-Time",0),AW142*(1+$D$3))</f>
        <v/>
      </c>
      <c r="AY142" s="14">
        <f t="array" ref="AY142">IFERROR(_xlfn.IFS(VALUE(MID(AY$5,6,1))&gt;$D$2,0,$AP142="Annual",1,AX142=12,12,$AP142="Monthly V",AX142*(1+$D$3),$AP142="Monthly F",12,$AP142="One-Time",0),AX142*(1+$D$3))</f>
        <v/>
      </c>
      <c r="AZ142" s="14">
        <f t="array" ref="AZ142">IFERROR(_xlfn.IFS(VALUE(MID(AZ$5,6,1))&gt;$D$2,0,$AP142="Annual",1,AY142=12,12,$AP142="Monthly V",AY142*(1+$D$3),$AP142="Monthly F",12,$AP142="One-Time",0),AY142*(1+$D$3))</f>
        <v/>
      </c>
      <c r="BA142" s="125">
        <f t="array" ref="BA142">IFERROR(_xlfn.IFS(VALUE(MID(BA$5,6,2))&gt;$D$2,0,$AP142="Annual",1,AZ142=12,12,$AP142="Monthly V",AZ142*(1+$D$3),$AP142="Monthly F",12,$AP142="One-Time",0),AZ142*(1+$D$3))</f>
        <v/>
      </c>
      <c r="BB142" s="124" t="inlineStr">
        <is>
          <t>Alloy</t>
        </is>
      </c>
      <c r="BC142" s="38" t="inlineStr">
        <is>
          <t>JHA OpenAnywhere</t>
        </is>
      </c>
      <c r="BD142" s="36" t="n">
        <v>3500</v>
      </c>
      <c r="BE142" s="21">
        <f>BF142/12</f>
        <v/>
      </c>
      <c r="BF142" s="39">
        <f>IFERROR(AR142*$BD142,0)</f>
        <v/>
      </c>
      <c r="BG142" s="39">
        <f>IFERROR(AS142*$BD142,0)</f>
        <v/>
      </c>
      <c r="BH142" s="39">
        <f>IFERROR(AT142*$BD142,0)</f>
        <v/>
      </c>
      <c r="BI142" s="39">
        <f>IFERROR(AU142*$BD142,0)</f>
        <v/>
      </c>
      <c r="BJ142" s="39">
        <f>IFERROR(AV142*$BD142,0)</f>
        <v/>
      </c>
      <c r="BK142" s="39">
        <f>IFERROR(AW142*$BD142,0)</f>
        <v/>
      </c>
      <c r="BL142" s="39">
        <f>IFERROR(AX142*$BD142,0)</f>
        <v/>
      </c>
      <c r="BM142" s="39">
        <f>IFERROR(AY142*$BD142,0)</f>
        <v/>
      </c>
      <c r="BN142" s="39">
        <f>IFERROR(AZ142*$BD142,0)</f>
        <v/>
      </c>
      <c r="BO142" s="39">
        <f>IFERROR(BA142*$BD142,0)</f>
        <v/>
      </c>
      <c r="BP142" s="40" t="n"/>
      <c r="BQ142" s="40">
        <f>IF(VALUE(MID(BQ$5,6,1))&lt;=$D$2,((1+$BD$3)^1-1)*BG142,0)</f>
        <v/>
      </c>
      <c r="BR142" s="40">
        <f>IF(VALUE(MID(BR$5,6,1))&lt;=$D$2,((1+$BD$3)^2-1)*BH142,0)</f>
        <v/>
      </c>
      <c r="BS142" s="40">
        <f>IF(VALUE(MID(BS$5,6,1))&lt;=$D$2,((1+$BD$3)^3-1)*BI142,0)</f>
        <v/>
      </c>
      <c r="BT142" s="40">
        <f>IF(VALUE(MID(BT$5,6,1))&lt;=$D$2,((1+$BD$3)^4-1)*BJ142,0)</f>
        <v/>
      </c>
      <c r="BU142" s="40">
        <f>IF(VALUE(MID(BU$5,6,1))&lt;=$D$2,((1+$BD$3)^5-1)*BK142,0)</f>
        <v/>
      </c>
      <c r="BV142" s="40">
        <f>IF(VALUE(MID(BV$5,6,1))&lt;=$D$2,((1+$BD$3)^6-1)*BL142,0)</f>
        <v/>
      </c>
      <c r="BW142" s="40">
        <f>IF(VALUE(MID(BW$5,6,1))&lt;=$D$2,((1+$BD$3)^7-1)*BM142,0)</f>
        <v/>
      </c>
      <c r="BX142" s="40">
        <f>IF(VALUE(MID(BX$5,6,1))&lt;=$D$2,((1+$BD$3)^8-1)*BN142,0)</f>
        <v/>
      </c>
      <c r="BY142" s="40">
        <f>IF(VALUE(MID(BY$5,6,2))&lt;=$D$2,((1+$BD$3)^9-1)*BO142,0)</f>
        <v/>
      </c>
      <c r="BZ142" s="40">
        <f>SUM(BP142:BY142)</f>
        <v/>
      </c>
      <c r="CA142" s="37">
        <f>SUM(BZ142,BF142:BO142)</f>
        <v/>
      </c>
      <c r="CC142" s="102" t="n"/>
      <c r="CD142" s="12" t="n"/>
      <c r="CE142" s="14">
        <f>IF($CC142="Annual",1,IF($CC142="Monthly F",12,IF($CC142="Monthly V",CD142*12,IF($CC142="One-Time",1,CD142*12))))</f>
        <v/>
      </c>
      <c r="CF142" s="14">
        <f t="array" ref="CF142">IFERROR(_xlfn.IFS(VALUE(MID(CF$5,6,1))&gt;$D$2,0,$CC142="Annual",1,CE142=12,12,$CC142="Monthly V",CE142*(1+$D$3),$CC142="Monthly F",12,$CC142="One-Time",0),CE142*(1+$D$3))</f>
        <v/>
      </c>
      <c r="CG142" s="14">
        <f t="array" ref="CG142">IFERROR(_xlfn.IFS(VALUE(MID(CG$5,6,1))&gt;$D$2,0,$CC142="Annual",1,CF142=12,12,$CC142="Monthly V",CF142*(1+$D$3),$CC142="Monthly F",12,$CC142="One-Time",0),CF142*(1+$D$3))</f>
        <v/>
      </c>
      <c r="CH142" s="14">
        <f t="array" ref="CH142">IFERROR(_xlfn.IFS(VALUE(MID(CH$5,6,1))&gt;$D$2,0,$CC142="Annual",1,CG142=12,12,$CC142="Monthly V",CG142*(1+$D$3),$CC142="Monthly F",12,$CC142="One-Time",0),CG142*(1+$D$3))</f>
        <v/>
      </c>
      <c r="CI142" s="14">
        <f t="array" ref="CI142">IFERROR(_xlfn.IFS(VALUE(MID(CI$5,6,1))&gt;$D$2,0,$CC142="Annual",1,CH142=12,12,$CC142="Monthly V",CH142*(1+$D$3),$CC142="Monthly F",12,$CC142="One-Time",0),CH142*(1+$D$3))</f>
        <v/>
      </c>
      <c r="CJ142" s="14">
        <f t="array" ref="CJ142">IFERROR(_xlfn.IFS(VALUE(MID(CJ$5,6,1))&gt;$D$2,0,$CC142="Annual",1,CI142=12,12,$CC142="Monthly V",CI142*(1+$D$3),$CC142="Monthly F",12,$CC142="One-Time",0),CI142*(1+$D$3))</f>
        <v/>
      </c>
      <c r="CK142" s="14">
        <f t="array" ref="CK142">IFERROR(_xlfn.IFS(VALUE(MID(CK$5,6,1))&gt;$D$2,0,$CC142="Annual",1,CJ142=12,12,$CC142="Monthly V",CJ142*(1+$D$3),$CC142="Monthly F",12,$CC142="One-Time",0),CJ142*(1+$D$3))</f>
        <v/>
      </c>
      <c r="CL142" s="14">
        <f t="array" ref="CL142">IFERROR(_xlfn.IFS(VALUE(MID(CL$5,6,1))&gt;$D$2,0,$CC142="Annual",1,CK142=12,12,$CC142="Monthly V",CK142*(1+$D$3),$CC142="Monthly F",12,$CC142="One-Time",0),CK142*(1+$D$3))</f>
        <v/>
      </c>
      <c r="CM142" s="14">
        <f t="array" ref="CM142">IFERROR(_xlfn.IFS(VALUE(MID(CM$5,6,1))&gt;$D$2,0,$CC142="Annual",1,CL142=12,12,$CC142="Monthly V",CL142*(1+$D$3),$CC142="Monthly F",12,$CC142="One-Time",0),CL142*(1+$D$3))</f>
        <v/>
      </c>
      <c r="CN142" s="24">
        <f t="array" ref="CN142">IFERROR(_xlfn.IFS(VALUE(MID(CN$5,6,2))&gt;$D$2,0,$CC142="Annual",1,CM142=12,12,$CC142="Monthly V",CM142*(1+$D$3),$CC142="Monthly F",12,$CC142="One-Time",0),CM142*(1+$D$3))</f>
        <v/>
      </c>
      <c r="CO142" s="63" t="n"/>
      <c r="CP142" s="53" t="n"/>
      <c r="CQ142" s="21">
        <f>CR142/12</f>
        <v/>
      </c>
      <c r="CR142" s="55">
        <f>IFERROR(CE142*$CP142,0)</f>
        <v/>
      </c>
      <c r="CS142" s="55">
        <f>IFERROR(CF142*$CP142,0)</f>
        <v/>
      </c>
      <c r="CT142" s="55">
        <f>IFERROR(CG142*$CP142,0)</f>
        <v/>
      </c>
      <c r="CU142" s="55">
        <f>IFERROR(CH142*$CP142,0)</f>
        <v/>
      </c>
      <c r="CV142" s="55">
        <f>IFERROR(CI142*$CP142,0)</f>
        <v/>
      </c>
      <c r="CW142" s="55">
        <f>IFERROR(CJ142*$CP142,0)</f>
        <v/>
      </c>
      <c r="CX142" s="55">
        <f>IFERROR(CK142*$CP142,0)</f>
        <v/>
      </c>
      <c r="CY142" s="55">
        <f>IFERROR(CL142*$CP142,0)</f>
        <v/>
      </c>
      <c r="CZ142" s="55">
        <f>IFERROR(CM142*$CP142,0)</f>
        <v/>
      </c>
      <c r="DA142" s="55">
        <f>IFERROR(CN142*$CP142,0)</f>
        <v/>
      </c>
      <c r="DB142" s="56" t="n"/>
      <c r="DC142" s="56">
        <f>IF(VALUE(MID(DC$5,6,1))&lt;=$D$2,((1+$CP$3)^1-1)*CS142,0)</f>
        <v/>
      </c>
      <c r="DD142" s="56">
        <f>IF(VALUE(MID(DD$5,6,1))&lt;=$D$2,((1+$CP$3)^2-1)*CT142,0)</f>
        <v/>
      </c>
      <c r="DE142" s="56">
        <f>IF(VALUE(MID(DE$5,6,1))&lt;=$D$2,((1+$CP$3)^3-1)*CU142,0)</f>
        <v/>
      </c>
      <c r="DF142" s="56">
        <f>IF(VALUE(MID(DF$5,6,1))&lt;=$D$2,((1+$CP$3)^4-1)*CV142,0)</f>
        <v/>
      </c>
      <c r="DG142" s="56">
        <f>IF(VALUE(MID(DG$5,6,1))&lt;=$D$2,((1+$CP$3)^5-1)*CW142,0)</f>
        <v/>
      </c>
      <c r="DH142" s="56">
        <f>IF(VALUE(MID(DH$5,6,1))&lt;=$D$2,((1+$CP$3)^6-1)*CX142,0)</f>
        <v/>
      </c>
      <c r="DI142" s="56">
        <f>IF(VALUE(MID(DI$5,6,1))&lt;=$D$2,((1+$CP$3)^7-1)*CY142,0)</f>
        <v/>
      </c>
      <c r="DJ142" s="56">
        <f>IF(VALUE(MID(DJ$5,6,1))&lt;=$D$2,((1+$CP$3)^8-1)*CZ142,0)</f>
        <v/>
      </c>
      <c r="DK142" s="56">
        <f>IF(VALUE(MID(DK$5,6,2))&lt;=$D$2,((1+$CP$3)^9-1)*DA142,0)</f>
        <v/>
      </c>
      <c r="DL142" s="57">
        <f>SUM(DB142:DK142)</f>
        <v/>
      </c>
      <c r="DM142" s="54">
        <f>SUM(DL142,CR142:DA142)</f>
        <v/>
      </c>
      <c r="DO142" s="106" t="n"/>
    </row>
    <row r="143">
      <c r="B143" s="141" t="n"/>
      <c r="C143" s="24" t="n"/>
      <c r="D143" s="147">
        <f>IFERROR(AVERAGE(C143:C143),0)</f>
        <v/>
      </c>
      <c r="E143" s="142">
        <f>IF($B143="Annual",1,IF($B143="Monthly F",12,IF($B143="Monthly V",D143*12,IF($B143="One-Time",1,D143*12))))</f>
        <v/>
      </c>
      <c r="F143" s="14">
        <f t="array" ref="F143">IFERROR(_xlfn.IFS(VALUE(MID(F$5,6,1))&gt;$D$2,0,$B143="Annual",1,E143=12,12,$B143="Monthly V",E143*(1+$D$3),$B143="Monthly F",12,$B143="One-Time",0),E143*(1+$D$3))</f>
        <v/>
      </c>
      <c r="G143" s="14">
        <f t="array" ref="G143">IFERROR(_xlfn.IFS(VALUE(MID(G$5,6,1))&gt;$D$2,0,$B143="Annual",1,F143=12,12,$B143="Monthly V",F143*(1+$D$3),$B143="Monthly F",12,$B143="One-Time",0),F143*(1+$D$3))</f>
        <v/>
      </c>
      <c r="H143" s="14">
        <f t="array" ref="H143">IFERROR(_xlfn.IFS(VALUE(MID(H$5,6,1))&gt;$D$2,0,$B143="Annual",1,G143=12,12,$B143="Monthly V",G143*(1+$D$3),$B143="Monthly F",12,$B143="One-Time",0),G143*(1+$D$3))</f>
        <v/>
      </c>
      <c r="I143" s="14">
        <f t="array" ref="I143">IFERROR(_xlfn.IFS(VALUE(MID(I$5,6,1))&gt;$D$2,0,$B143="Annual",1,H143=12,12,$B143="Monthly V",H143*(1+$D$3),$B143="Monthly F",12,$B143="One-Time",0),H143*(1+$D$3))</f>
        <v/>
      </c>
      <c r="J143" s="14">
        <f t="array" ref="J143">IFERROR(_xlfn.IFS(VALUE(MID(J$5,6,1))&gt;$D$2,0,$B143="Annual",1,I143=12,12,$B143="Monthly V",I143*(1+$D$3),$B143="Monthly F",12,$B143="One-Time",0),I143*(1+$D$3))</f>
        <v/>
      </c>
      <c r="K143" s="14">
        <f t="array" ref="K143">IFERROR(_xlfn.IFS(VALUE(MID(K$5,6,1))&gt;$D$2,0,$B143="Annual",1,J143=12,12,$B143="Monthly V",J143*(1+$D$3),$B143="Monthly F",12,$B143="One-Time",0),J143*(1+$D$3))</f>
        <v/>
      </c>
      <c r="L143" s="14">
        <f t="array" ref="L143">IFERROR(_xlfn.IFS(VALUE(MID(L$5,6,1))&gt;$D$2,0,$B143="Annual",1,K143=12,12,$B143="Monthly V",K143*(1+$D$3),$B143="Monthly F",12,$B143="One-Time",0),K143*(1+$D$3))</f>
        <v/>
      </c>
      <c r="M143" s="14">
        <f t="array" ref="M143">IFERROR(_xlfn.IFS(VALUE(MID(M$5,6,1))&gt;$D$2,0,$B143="Annual",1,L143=12,12,$B143="Monthly V",L143*(1+$D$3),$B143="Monthly F",12,$B143="One-Time",0),L143*(1+$D$3))</f>
        <v/>
      </c>
      <c r="N143" s="24">
        <f t="array" ref="N143">IFERROR(_xlfn.IFS(VALUE(MID(N$5,6,2))&gt;$D$2,0,$B143="Annual",1,M143=12,12,$B143="Monthly V",M143*(1+$D$3),$B143="Monthly F",12,$B143="One-Time",0),M143*(1+$D$3))</f>
        <v/>
      </c>
      <c r="O143" s="127" t="n"/>
      <c r="P143" s="13" t="n"/>
      <c r="Q143" s="20" t="n"/>
      <c r="R143" s="21">
        <f>S143/12</f>
        <v/>
      </c>
      <c r="S143" s="6">
        <f>IFERROR($Q143*E143,0)</f>
        <v/>
      </c>
      <c r="T143" s="6">
        <f>IFERROR($Q143*F143,0)</f>
        <v/>
      </c>
      <c r="U143" s="6">
        <f>IFERROR($Q143*G143,0)</f>
        <v/>
      </c>
      <c r="V143" s="6">
        <f>IFERROR($Q143*H143,0)</f>
        <v/>
      </c>
      <c r="W143" s="6">
        <f>IFERROR($Q143*I143,0)</f>
        <v/>
      </c>
      <c r="X143" s="6">
        <f>IFERROR($Q143*J143,0)</f>
        <v/>
      </c>
      <c r="Y143" s="6">
        <f>IFERROR($Q143*K143,0)</f>
        <v/>
      </c>
      <c r="Z143" s="6">
        <f>IFERROR($Q143*L143,0)</f>
        <v/>
      </c>
      <c r="AA143" s="6">
        <f>IFERROR($Q143*M143,0)</f>
        <v/>
      </c>
      <c r="AB143" s="6">
        <f>IFERROR($Q143*N143,0)</f>
        <v/>
      </c>
      <c r="AC143" s="7" t="n"/>
      <c r="AD143" s="152">
        <f>IF(VALUE(MID(AD$5,6,1))&lt;=$D$2,((1+$Q$3)^1-1)*T143,0)</f>
        <v/>
      </c>
      <c r="AE143" s="152">
        <f>IF(VALUE(MID(AE$5,6,1))&lt;=$D$2,((1+$Q$3)^2-1)*U143,0)</f>
        <v/>
      </c>
      <c r="AF143" s="152">
        <f>IF(VALUE(MID(AF$5,6,1))&lt;=$D$2,((1+$Q$3)^3-1)*V143,0)</f>
        <v/>
      </c>
      <c r="AG143" s="152">
        <f>IF(VALUE(MID(AG$5,6,1))&lt;=$D$2,((1+$Q$3)^4-1)*W143,0)</f>
        <v/>
      </c>
      <c r="AH143" s="152">
        <f>IF(VALUE(MID(AH$5,6,1))&lt;=$D$2,((1+$Q$3)^5-1)*X143,0)</f>
        <v/>
      </c>
      <c r="AI143" s="152">
        <f>IF(VALUE(MID(AI$5,6,1))&lt;=$D$2,((1+$Q$3)^6-1)*Y143,0)</f>
        <v/>
      </c>
      <c r="AJ143" s="152">
        <f>IF(VALUE(MID(AJ$5,6,1))&lt;=$D$2,((1+$Q$3)^7-1)*Z143,0)</f>
        <v/>
      </c>
      <c r="AK143" s="152">
        <f>IF(VALUE(MID(AK$5,6,1))&lt;=$D$2,((1+$Q$3)^8-1)*AA143,0)</f>
        <v/>
      </c>
      <c r="AL143" s="152">
        <f>IF(VALUE(MID(AL$5,6,2))&lt;=$D$2,((1+$Q$3)^9-1)*AB143,0)</f>
        <v/>
      </c>
      <c r="AM143" s="9">
        <f>SUM(AC143:AL143)</f>
        <v/>
      </c>
      <c r="AN143" s="80">
        <f>SUM(AM143,S143:AB143)</f>
        <v/>
      </c>
      <c r="AP143" s="102" t="inlineStr">
        <is>
          <t>One-Time</t>
        </is>
      </c>
      <c r="AQ143" s="12" t="n">
        <v>1</v>
      </c>
      <c r="AR143" s="14">
        <f>IF($AP143="Annual",1,IF($AP143="Monthly F",12,IF($AP143="Monthly V",AQ143*12,IF($AP143="One-Time",1,AQ143*12))))</f>
        <v/>
      </c>
      <c r="AS143" s="14">
        <f t="array" ref="AS143">IFERROR(_xlfn.IFS(VALUE(MID(AS$5,6,1))&gt;$D$2,0,$AP143="Annual",1,AR143=12,12,$AP143="Monthly V",AR143*(1+$D$3),$AP143="Monthly F",12,$AP143="One-Time",0),AR143*(1+$D$3))</f>
        <v/>
      </c>
      <c r="AT143" s="14">
        <f t="array" ref="AT143">IFERROR(_xlfn.IFS(VALUE(MID(AT$5,6,1))&gt;$D$2,0,$AP143="Annual",1,AS143=12,12,$AP143="Monthly V",AS143*(1+$D$3),$AP143="Monthly F",12,$AP143="One-Time",0),AS143*(1+$D$3))</f>
        <v/>
      </c>
      <c r="AU143" s="14">
        <f t="array" ref="AU143">IFERROR(_xlfn.IFS(VALUE(MID(AU$5,6,1))&gt;$D$2,0,$AP143="Annual",1,AT143=12,12,$AP143="Monthly V",AT143*(1+$D$3),$AP143="Monthly F",12,$AP143="One-Time",0),AT143*(1+$D$3))</f>
        <v/>
      </c>
      <c r="AV143" s="14">
        <f t="array" ref="AV143">IFERROR(_xlfn.IFS(VALUE(MID(AV$5,6,1))&gt;$D$2,0,$AP143="Annual",1,AU143=12,12,$AP143="Monthly V",AU143*(1+$D$3),$AP143="Monthly F",12,$AP143="One-Time",0),AU143*(1+$D$3))</f>
        <v/>
      </c>
      <c r="AW143" s="14">
        <f t="array" ref="AW143">IFERROR(_xlfn.IFS(VALUE(MID(AW$5,6,1))&gt;$D$2,0,$AP143="Annual",1,AV143=12,12,$AP143="Monthly V",AV143*(1+$D$3),$AP143="Monthly F",12,$AP143="One-Time",0),AV143*(1+$D$3))</f>
        <v/>
      </c>
      <c r="AX143" s="14">
        <f t="array" ref="AX143">IFERROR(_xlfn.IFS(VALUE(MID(AX$5,6,1))&gt;$D$2,0,$AP143="Annual",1,AW143=12,12,$AP143="Monthly V",AW143*(1+$D$3),$AP143="Monthly F",12,$AP143="One-Time",0),AW143*(1+$D$3))</f>
        <v/>
      </c>
      <c r="AY143" s="14">
        <f t="array" ref="AY143">IFERROR(_xlfn.IFS(VALUE(MID(AY$5,6,1))&gt;$D$2,0,$AP143="Annual",1,AX143=12,12,$AP143="Monthly V",AX143*(1+$D$3),$AP143="Monthly F",12,$AP143="One-Time",0),AX143*(1+$D$3))</f>
        <v/>
      </c>
      <c r="AZ143" s="14">
        <f t="array" ref="AZ143">IFERROR(_xlfn.IFS(VALUE(MID(AZ$5,6,1))&gt;$D$2,0,$AP143="Annual",1,AY143=12,12,$AP143="Monthly V",AY143*(1+$D$3),$AP143="Monthly F",12,$AP143="One-Time",0),AY143*(1+$D$3))</f>
        <v/>
      </c>
      <c r="BA143" s="125">
        <f t="array" ref="BA143">IFERROR(_xlfn.IFS(VALUE(MID(BA$5,6,2))&gt;$D$2,0,$AP143="Annual",1,AZ143=12,12,$AP143="Monthly V",AZ143*(1+$D$3),$AP143="Monthly F",12,$AP143="One-Time",0),AZ143*(1+$D$3))</f>
        <v/>
      </c>
      <c r="BB143" s="124" t="inlineStr">
        <is>
          <t>4|sight OrboAnywhere Fraud</t>
        </is>
      </c>
      <c r="BC143" s="38" t="inlineStr">
        <is>
          <t>OutLink Item Processing</t>
        </is>
      </c>
      <c r="BD143" s="36" t="n">
        <v>7425</v>
      </c>
      <c r="BE143" s="21">
        <f>BF143/12</f>
        <v/>
      </c>
      <c r="BF143" s="39">
        <f>IFERROR(AR143*$BD143,0)</f>
        <v/>
      </c>
      <c r="BG143" s="39">
        <f>IFERROR(AS143*$BD143,0)</f>
        <v/>
      </c>
      <c r="BH143" s="39">
        <f>IFERROR(AT143*$BD143,0)</f>
        <v/>
      </c>
      <c r="BI143" s="39">
        <f>IFERROR(AU143*$BD143,0)</f>
        <v/>
      </c>
      <c r="BJ143" s="39">
        <f>IFERROR(AV143*$BD143,0)</f>
        <v/>
      </c>
      <c r="BK143" s="39">
        <f>IFERROR(AW143*$BD143,0)</f>
        <v/>
      </c>
      <c r="BL143" s="39">
        <f>IFERROR(AX143*$BD143,0)</f>
        <v/>
      </c>
      <c r="BM143" s="39">
        <f>IFERROR(AY143*$BD143,0)</f>
        <v/>
      </c>
      <c r="BN143" s="39">
        <f>IFERROR(AZ143*$BD143,0)</f>
        <v/>
      </c>
      <c r="BO143" s="39">
        <f>IFERROR(BA143*$BD143,0)</f>
        <v/>
      </c>
      <c r="BP143" s="40" t="n"/>
      <c r="BQ143" s="40">
        <f>IF(VALUE(MID(BQ$5,6,1))&lt;=$D$2,((1+$BD$3)^1-1)*BG143,0)</f>
        <v/>
      </c>
      <c r="BR143" s="40">
        <f>IF(VALUE(MID(BR$5,6,1))&lt;=$D$2,((1+$BD$3)^2-1)*BH143,0)</f>
        <v/>
      </c>
      <c r="BS143" s="40">
        <f>IF(VALUE(MID(BS$5,6,1))&lt;=$D$2,((1+$BD$3)^3-1)*BI143,0)</f>
        <v/>
      </c>
      <c r="BT143" s="40">
        <f>IF(VALUE(MID(BT$5,6,1))&lt;=$D$2,((1+$BD$3)^4-1)*BJ143,0)</f>
        <v/>
      </c>
      <c r="BU143" s="40">
        <f>IF(VALUE(MID(BU$5,6,1))&lt;=$D$2,((1+$BD$3)^5-1)*BK143,0)</f>
        <v/>
      </c>
      <c r="BV143" s="40">
        <f>IF(VALUE(MID(BV$5,6,1))&lt;=$D$2,((1+$BD$3)^6-1)*BL143,0)</f>
        <v/>
      </c>
      <c r="BW143" s="40">
        <f>IF(VALUE(MID(BW$5,6,1))&lt;=$D$2,((1+$BD$3)^7-1)*BM143,0)</f>
        <v/>
      </c>
      <c r="BX143" s="40">
        <f>IF(VALUE(MID(BX$5,6,1))&lt;=$D$2,((1+$BD$3)^8-1)*BN143,0)</f>
        <v/>
      </c>
      <c r="BY143" s="40">
        <f>IF(VALUE(MID(BY$5,6,2))&lt;=$D$2,((1+$BD$3)^9-1)*BO143,0)</f>
        <v/>
      </c>
      <c r="BZ143" s="40">
        <f>SUM(BP143:BY143)</f>
        <v/>
      </c>
      <c r="CA143" s="37">
        <f>SUM(BZ143,BF143:BO143)</f>
        <v/>
      </c>
      <c r="CC143" s="102" t="n"/>
      <c r="CD143" s="12" t="n"/>
      <c r="CE143" s="14">
        <f>IF($CC143="Annual",1,IF($CC143="Monthly F",12,IF($CC143="Monthly V",CD143*12,IF($CC143="One-Time",1,CD143*12))))</f>
        <v/>
      </c>
      <c r="CF143" s="14">
        <f t="array" ref="CF143">IFERROR(_xlfn.IFS(VALUE(MID(CF$5,6,1))&gt;$D$2,0,$CC143="Annual",1,CE143=12,12,$CC143="Monthly V",CE143*(1+$D$3),$CC143="Monthly F",12,$CC143="One-Time",0),CE143*(1+$D$3))</f>
        <v/>
      </c>
      <c r="CG143" s="14">
        <f t="array" ref="CG143">IFERROR(_xlfn.IFS(VALUE(MID(CG$5,6,1))&gt;$D$2,0,$CC143="Annual",1,CF143=12,12,$CC143="Monthly V",CF143*(1+$D$3),$CC143="Monthly F",12,$CC143="One-Time",0),CF143*(1+$D$3))</f>
        <v/>
      </c>
      <c r="CH143" s="14">
        <f t="array" ref="CH143">IFERROR(_xlfn.IFS(VALUE(MID(CH$5,6,1))&gt;$D$2,0,$CC143="Annual",1,CG143=12,12,$CC143="Monthly V",CG143*(1+$D$3),$CC143="Monthly F",12,$CC143="One-Time",0),CG143*(1+$D$3))</f>
        <v/>
      </c>
      <c r="CI143" s="14">
        <f t="array" ref="CI143">IFERROR(_xlfn.IFS(VALUE(MID(CI$5,6,1))&gt;$D$2,0,$CC143="Annual",1,CH143=12,12,$CC143="Monthly V",CH143*(1+$D$3),$CC143="Monthly F",12,$CC143="One-Time",0),CH143*(1+$D$3))</f>
        <v/>
      </c>
      <c r="CJ143" s="14">
        <f t="array" ref="CJ143">IFERROR(_xlfn.IFS(VALUE(MID(CJ$5,6,1))&gt;$D$2,0,$CC143="Annual",1,CI143=12,12,$CC143="Monthly V",CI143*(1+$D$3),$CC143="Monthly F",12,$CC143="One-Time",0),CI143*(1+$D$3))</f>
        <v/>
      </c>
      <c r="CK143" s="14">
        <f t="array" ref="CK143">IFERROR(_xlfn.IFS(VALUE(MID(CK$5,6,1))&gt;$D$2,0,$CC143="Annual",1,CJ143=12,12,$CC143="Monthly V",CJ143*(1+$D$3),$CC143="Monthly F",12,$CC143="One-Time",0),CJ143*(1+$D$3))</f>
        <v/>
      </c>
      <c r="CL143" s="14">
        <f t="array" ref="CL143">IFERROR(_xlfn.IFS(VALUE(MID(CL$5,6,1))&gt;$D$2,0,$CC143="Annual",1,CK143=12,12,$CC143="Monthly V",CK143*(1+$D$3),$CC143="Monthly F",12,$CC143="One-Time",0),CK143*(1+$D$3))</f>
        <v/>
      </c>
      <c r="CM143" s="14">
        <f t="array" ref="CM143">IFERROR(_xlfn.IFS(VALUE(MID(CM$5,6,1))&gt;$D$2,0,$CC143="Annual",1,CL143=12,12,$CC143="Monthly V",CL143*(1+$D$3),$CC143="Monthly F",12,$CC143="One-Time",0),CL143*(1+$D$3))</f>
        <v/>
      </c>
      <c r="CN143" s="24">
        <f t="array" ref="CN143">IFERROR(_xlfn.IFS(VALUE(MID(CN$5,6,2))&gt;$D$2,0,$CC143="Annual",1,CM143=12,12,$CC143="Monthly V",CM143*(1+$D$3),$CC143="Monthly F",12,$CC143="One-Time",0),CM143*(1+$D$3))</f>
        <v/>
      </c>
      <c r="CO143" s="63" t="n"/>
      <c r="CP143" s="53" t="n"/>
      <c r="CQ143" s="21">
        <f>CR143/12</f>
        <v/>
      </c>
      <c r="CR143" s="55">
        <f>IFERROR(CE143*$CP143,0)</f>
        <v/>
      </c>
      <c r="CS143" s="55">
        <f>IFERROR(CF143*$CP143,0)</f>
        <v/>
      </c>
      <c r="CT143" s="55">
        <f>IFERROR(CG143*$CP143,0)</f>
        <v/>
      </c>
      <c r="CU143" s="55">
        <f>IFERROR(CH143*$CP143,0)</f>
        <v/>
      </c>
      <c r="CV143" s="55">
        <f>IFERROR(CI143*$CP143,0)</f>
        <v/>
      </c>
      <c r="CW143" s="55">
        <f>IFERROR(CJ143*$CP143,0)</f>
        <v/>
      </c>
      <c r="CX143" s="55">
        <f>IFERROR(CK143*$CP143,0)</f>
        <v/>
      </c>
      <c r="CY143" s="55">
        <f>IFERROR(CL143*$CP143,0)</f>
        <v/>
      </c>
      <c r="CZ143" s="55">
        <f>IFERROR(CM143*$CP143,0)</f>
        <v/>
      </c>
      <c r="DA143" s="55">
        <f>IFERROR(CN143*$CP143,0)</f>
        <v/>
      </c>
      <c r="DB143" s="56" t="n"/>
      <c r="DC143" s="56">
        <f>IF(VALUE(MID(DC$5,6,1))&lt;=$D$2,((1+$CP$3)^1-1)*CS143,0)</f>
        <v/>
      </c>
      <c r="DD143" s="56">
        <f>IF(VALUE(MID(DD$5,6,1))&lt;=$D$2,((1+$CP$3)^2-1)*CT143,0)</f>
        <v/>
      </c>
      <c r="DE143" s="56">
        <f>IF(VALUE(MID(DE$5,6,1))&lt;=$D$2,((1+$CP$3)^3-1)*CU143,0)</f>
        <v/>
      </c>
      <c r="DF143" s="56">
        <f>IF(VALUE(MID(DF$5,6,1))&lt;=$D$2,((1+$CP$3)^4-1)*CV143,0)</f>
        <v/>
      </c>
      <c r="DG143" s="56">
        <f>IF(VALUE(MID(DG$5,6,1))&lt;=$D$2,((1+$CP$3)^5-1)*CW143,0)</f>
        <v/>
      </c>
      <c r="DH143" s="56">
        <f>IF(VALUE(MID(DH$5,6,1))&lt;=$D$2,((1+$CP$3)^6-1)*CX143,0)</f>
        <v/>
      </c>
      <c r="DI143" s="56">
        <f>IF(VALUE(MID(DI$5,6,1))&lt;=$D$2,((1+$CP$3)^7-1)*CY143,0)</f>
        <v/>
      </c>
      <c r="DJ143" s="56">
        <f>IF(VALUE(MID(DJ$5,6,1))&lt;=$D$2,((1+$CP$3)^8-1)*CZ143,0)</f>
        <v/>
      </c>
      <c r="DK143" s="56">
        <f>IF(VALUE(MID(DK$5,6,2))&lt;=$D$2,((1+$CP$3)^9-1)*DA143,0)</f>
        <v/>
      </c>
      <c r="DL143" s="57">
        <f>SUM(DB143:DK143)</f>
        <v/>
      </c>
      <c r="DM143" s="54">
        <f>SUM(DL143,CR143:DA143)</f>
        <v/>
      </c>
      <c r="DO143" s="106" t="n"/>
    </row>
    <row r="144">
      <c r="B144" s="141" t="n"/>
      <c r="C144" s="24" t="n"/>
      <c r="D144" s="147">
        <f>IFERROR(AVERAGE(C144:C144),0)</f>
        <v/>
      </c>
      <c r="E144" s="142">
        <f>IF($B144="Annual",1,IF($B144="Monthly F",12,IF($B144="Monthly V",D144*12,IF($B144="One-Time",1,D144*12))))</f>
        <v/>
      </c>
      <c r="F144" s="14">
        <f t="array" ref="F144">IFERROR(_xlfn.IFS(VALUE(MID(F$5,6,1))&gt;$D$2,0,$B144="Annual",1,E144=12,12,$B144="Monthly V",E144*(1+$D$3),$B144="Monthly F",12,$B144="One-Time",0),E144*(1+$D$3))</f>
        <v/>
      </c>
      <c r="G144" s="14">
        <f t="array" ref="G144">IFERROR(_xlfn.IFS(VALUE(MID(G$5,6,1))&gt;$D$2,0,$B144="Annual",1,F144=12,12,$B144="Monthly V",F144*(1+$D$3),$B144="Monthly F",12,$B144="One-Time",0),F144*(1+$D$3))</f>
        <v/>
      </c>
      <c r="H144" s="14">
        <f t="array" ref="H144">IFERROR(_xlfn.IFS(VALUE(MID(H$5,6,1))&gt;$D$2,0,$B144="Annual",1,G144=12,12,$B144="Monthly V",G144*(1+$D$3),$B144="Monthly F",12,$B144="One-Time",0),G144*(1+$D$3))</f>
        <v/>
      </c>
      <c r="I144" s="14">
        <f t="array" ref="I144">IFERROR(_xlfn.IFS(VALUE(MID(I$5,6,1))&gt;$D$2,0,$B144="Annual",1,H144=12,12,$B144="Monthly V",H144*(1+$D$3),$B144="Monthly F",12,$B144="One-Time",0),H144*(1+$D$3))</f>
        <v/>
      </c>
      <c r="J144" s="14">
        <f t="array" ref="J144">IFERROR(_xlfn.IFS(VALUE(MID(J$5,6,1))&gt;$D$2,0,$B144="Annual",1,I144=12,12,$B144="Monthly V",I144*(1+$D$3),$B144="Monthly F",12,$B144="One-Time",0),I144*(1+$D$3))</f>
        <v/>
      </c>
      <c r="K144" s="14">
        <f t="array" ref="K144">IFERROR(_xlfn.IFS(VALUE(MID(K$5,6,1))&gt;$D$2,0,$B144="Annual",1,J144=12,12,$B144="Monthly V",J144*(1+$D$3),$B144="Monthly F",12,$B144="One-Time",0),J144*(1+$D$3))</f>
        <v/>
      </c>
      <c r="L144" s="14">
        <f t="array" ref="L144">IFERROR(_xlfn.IFS(VALUE(MID(L$5,6,1))&gt;$D$2,0,$B144="Annual",1,K144=12,12,$B144="Monthly V",K144*(1+$D$3),$B144="Monthly F",12,$B144="One-Time",0),K144*(1+$D$3))</f>
        <v/>
      </c>
      <c r="M144" s="14">
        <f t="array" ref="M144">IFERROR(_xlfn.IFS(VALUE(MID(M$5,6,1))&gt;$D$2,0,$B144="Annual",1,L144=12,12,$B144="Monthly V",L144*(1+$D$3),$B144="Monthly F",12,$B144="One-Time",0),L144*(1+$D$3))</f>
        <v/>
      </c>
      <c r="N144" s="24">
        <f t="array" ref="N144">IFERROR(_xlfn.IFS(VALUE(MID(N$5,6,2))&gt;$D$2,0,$B144="Annual",1,M144=12,12,$B144="Monthly V",M144*(1+$D$3),$B144="Monthly F",12,$B144="One-Time",0),M144*(1+$D$3))</f>
        <v/>
      </c>
      <c r="O144" s="127" t="n"/>
      <c r="P144" s="13" t="n"/>
      <c r="Q144" s="20" t="n"/>
      <c r="R144" s="21">
        <f>S144/12</f>
        <v/>
      </c>
      <c r="S144" s="6">
        <f>IFERROR($Q144*E144,0)</f>
        <v/>
      </c>
      <c r="T144" s="6">
        <f>IFERROR($Q144*F144,0)</f>
        <v/>
      </c>
      <c r="U144" s="6">
        <f>IFERROR($Q144*G144,0)</f>
        <v/>
      </c>
      <c r="V144" s="6">
        <f>IFERROR($Q144*H144,0)</f>
        <v/>
      </c>
      <c r="W144" s="6">
        <f>IFERROR($Q144*I144,0)</f>
        <v/>
      </c>
      <c r="X144" s="6">
        <f>IFERROR($Q144*J144,0)</f>
        <v/>
      </c>
      <c r="Y144" s="6">
        <f>IFERROR($Q144*K144,0)</f>
        <v/>
      </c>
      <c r="Z144" s="6">
        <f>IFERROR($Q144*L144,0)</f>
        <v/>
      </c>
      <c r="AA144" s="6">
        <f>IFERROR($Q144*M144,0)</f>
        <v/>
      </c>
      <c r="AB144" s="6">
        <f>IFERROR($Q144*N144,0)</f>
        <v/>
      </c>
      <c r="AC144" s="7" t="n"/>
      <c r="AD144" s="152">
        <f>IF(VALUE(MID(AD$5,6,1))&lt;=$D$2,((1+$Q$3)^1-1)*T144,0)</f>
        <v/>
      </c>
      <c r="AE144" s="152">
        <f>IF(VALUE(MID(AE$5,6,1))&lt;=$D$2,((1+$Q$3)^2-1)*U144,0)</f>
        <v/>
      </c>
      <c r="AF144" s="152">
        <f>IF(VALUE(MID(AF$5,6,1))&lt;=$D$2,((1+$Q$3)^3-1)*V144,0)</f>
        <v/>
      </c>
      <c r="AG144" s="152">
        <f>IF(VALUE(MID(AG$5,6,1))&lt;=$D$2,((1+$Q$3)^4-1)*W144,0)</f>
        <v/>
      </c>
      <c r="AH144" s="152">
        <f>IF(VALUE(MID(AH$5,6,1))&lt;=$D$2,((1+$Q$3)^5-1)*X144,0)</f>
        <v/>
      </c>
      <c r="AI144" s="152">
        <f>IF(VALUE(MID(AI$5,6,1))&lt;=$D$2,((1+$Q$3)^6-1)*Y144,0)</f>
        <v/>
      </c>
      <c r="AJ144" s="152">
        <f>IF(VALUE(MID(AJ$5,6,1))&lt;=$D$2,((1+$Q$3)^7-1)*Z144,0)</f>
        <v/>
      </c>
      <c r="AK144" s="152">
        <f>IF(VALUE(MID(AK$5,6,1))&lt;=$D$2,((1+$Q$3)^8-1)*AA144,0)</f>
        <v/>
      </c>
      <c r="AL144" s="152">
        <f>IF(VALUE(MID(AL$5,6,2))&lt;=$D$2,((1+$Q$3)^9-1)*AB144,0)</f>
        <v/>
      </c>
      <c r="AM144" s="9">
        <f>SUM(AC144:AL144)</f>
        <v/>
      </c>
      <c r="AN144" s="80">
        <f>SUM(AM144,S144:AB144)</f>
        <v/>
      </c>
      <c r="AP144" s="102" t="inlineStr">
        <is>
          <t>One-Time</t>
        </is>
      </c>
      <c r="AQ144" s="12" t="n">
        <v>1</v>
      </c>
      <c r="AR144" s="14">
        <f>IF($AP144="Annual",1,IF($AP144="Monthly F",12,IF($AP144="Monthly V",AQ144*12,IF($AP144="One-Time",1,AQ144*12))))</f>
        <v/>
      </c>
      <c r="AS144" s="14">
        <f t="array" ref="AS144">IFERROR(_xlfn.IFS(VALUE(MID(AS$5,6,1))&gt;$D$2,0,$AP144="Annual",1,AR144=12,12,$AP144="Monthly V",AR144*(1+$D$3),$AP144="Monthly F",12,$AP144="One-Time",0),AR144*(1+$D$3))</f>
        <v/>
      </c>
      <c r="AT144" s="14">
        <f t="array" ref="AT144">IFERROR(_xlfn.IFS(VALUE(MID(AT$5,6,1))&gt;$D$2,0,$AP144="Annual",1,AS144=12,12,$AP144="Monthly V",AS144*(1+$D$3),$AP144="Monthly F",12,$AP144="One-Time",0),AS144*(1+$D$3))</f>
        <v/>
      </c>
      <c r="AU144" s="14">
        <f t="array" ref="AU144">IFERROR(_xlfn.IFS(VALUE(MID(AU$5,6,1))&gt;$D$2,0,$AP144="Annual",1,AT144=12,12,$AP144="Monthly V",AT144*(1+$D$3),$AP144="Monthly F",12,$AP144="One-Time",0),AT144*(1+$D$3))</f>
        <v/>
      </c>
      <c r="AV144" s="14">
        <f t="array" ref="AV144">IFERROR(_xlfn.IFS(VALUE(MID(AV$5,6,1))&gt;$D$2,0,$AP144="Annual",1,AU144=12,12,$AP144="Monthly V",AU144*(1+$D$3),$AP144="Monthly F",12,$AP144="One-Time",0),AU144*(1+$D$3))</f>
        <v/>
      </c>
      <c r="AW144" s="14">
        <f t="array" ref="AW144">IFERROR(_xlfn.IFS(VALUE(MID(AW$5,6,1))&gt;$D$2,0,$AP144="Annual",1,AV144=12,12,$AP144="Monthly V",AV144*(1+$D$3),$AP144="Monthly F",12,$AP144="One-Time",0),AV144*(1+$D$3))</f>
        <v/>
      </c>
      <c r="AX144" s="14">
        <f t="array" ref="AX144">IFERROR(_xlfn.IFS(VALUE(MID(AX$5,6,1))&gt;$D$2,0,$AP144="Annual",1,AW144=12,12,$AP144="Monthly V",AW144*(1+$D$3),$AP144="Monthly F",12,$AP144="One-Time",0),AW144*(1+$D$3))</f>
        <v/>
      </c>
      <c r="AY144" s="14">
        <f t="array" ref="AY144">IFERROR(_xlfn.IFS(VALUE(MID(AY$5,6,1))&gt;$D$2,0,$AP144="Annual",1,AX144=12,12,$AP144="Monthly V",AX144*(1+$D$3),$AP144="Monthly F",12,$AP144="One-Time",0),AX144*(1+$D$3))</f>
        <v/>
      </c>
      <c r="AZ144" s="14">
        <f t="array" ref="AZ144">IFERROR(_xlfn.IFS(VALUE(MID(AZ$5,6,1))&gt;$D$2,0,$AP144="Annual",1,AY144=12,12,$AP144="Monthly V",AY144*(1+$D$3),$AP144="Monthly F",12,$AP144="One-Time",0),AY144*(1+$D$3))</f>
        <v/>
      </c>
      <c r="BA144" s="125">
        <f t="array" ref="BA144">IFERROR(_xlfn.IFS(VALUE(MID(BA$5,6,2))&gt;$D$2,0,$AP144="Annual",1,AZ144=12,12,$AP144="Monthly V",AZ144*(1+$D$3),$AP144="Monthly F",12,$AP144="One-Time",0),AZ144*(1+$D$3))</f>
        <v/>
      </c>
      <c r="BB144" s="124" t="inlineStr">
        <is>
          <t>AFS Deposit Chek Onboarding</t>
        </is>
      </c>
      <c r="BC144" s="38" t="inlineStr">
        <is>
          <t>AlertCenter</t>
        </is>
      </c>
      <c r="BD144" s="36" t="n">
        <v>825</v>
      </c>
      <c r="BE144" s="21">
        <f>BF144/12</f>
        <v/>
      </c>
      <c r="BF144" s="39">
        <f>IFERROR(AR144*$BD144,0)</f>
        <v/>
      </c>
      <c r="BG144" s="39">
        <f>IFERROR(AS144*$BD144,0)</f>
        <v/>
      </c>
      <c r="BH144" s="39">
        <f>IFERROR(AT144*$BD144,0)</f>
        <v/>
      </c>
      <c r="BI144" s="39">
        <f>IFERROR(AU144*$BD144,0)</f>
        <v/>
      </c>
      <c r="BJ144" s="39">
        <f>IFERROR(AV144*$BD144,0)</f>
        <v/>
      </c>
      <c r="BK144" s="39">
        <f>IFERROR(AW144*$BD144,0)</f>
        <v/>
      </c>
      <c r="BL144" s="39">
        <f>IFERROR(AX144*$BD144,0)</f>
        <v/>
      </c>
      <c r="BM144" s="39">
        <f>IFERROR(AY144*$BD144,0)</f>
        <v/>
      </c>
      <c r="BN144" s="39">
        <f>IFERROR(AZ144*$BD144,0)</f>
        <v/>
      </c>
      <c r="BO144" s="39">
        <f>IFERROR(BA144*$BD144,0)</f>
        <v/>
      </c>
      <c r="BP144" s="40" t="n"/>
      <c r="BQ144" s="40">
        <f>IF(VALUE(MID(BQ$5,6,1))&lt;=$D$2,((1+$BD$3)^1-1)*BG144,0)</f>
        <v/>
      </c>
      <c r="BR144" s="40">
        <f>IF(VALUE(MID(BR$5,6,1))&lt;=$D$2,((1+$BD$3)^2-1)*BH144,0)</f>
        <v/>
      </c>
      <c r="BS144" s="40">
        <f>IF(VALUE(MID(BS$5,6,1))&lt;=$D$2,((1+$BD$3)^3-1)*BI144,0)</f>
        <v/>
      </c>
      <c r="BT144" s="40">
        <f>IF(VALUE(MID(BT$5,6,1))&lt;=$D$2,((1+$BD$3)^4-1)*BJ144,0)</f>
        <v/>
      </c>
      <c r="BU144" s="40">
        <f>IF(VALUE(MID(BU$5,6,1))&lt;=$D$2,((1+$BD$3)^5-1)*BK144,0)</f>
        <v/>
      </c>
      <c r="BV144" s="40">
        <f>IF(VALUE(MID(BV$5,6,1))&lt;=$D$2,((1+$BD$3)^6-1)*BL144,0)</f>
        <v/>
      </c>
      <c r="BW144" s="40">
        <f>IF(VALUE(MID(BW$5,6,1))&lt;=$D$2,((1+$BD$3)^7-1)*BM144,0)</f>
        <v/>
      </c>
      <c r="BX144" s="40">
        <f>IF(VALUE(MID(BX$5,6,1))&lt;=$D$2,((1+$BD$3)^8-1)*BN144,0)</f>
        <v/>
      </c>
      <c r="BY144" s="40">
        <f>IF(VALUE(MID(BY$5,6,2))&lt;=$D$2,((1+$BD$3)^9-1)*BO144,0)</f>
        <v/>
      </c>
      <c r="BZ144" s="40">
        <f>SUM(BP144:BY144)</f>
        <v/>
      </c>
      <c r="CA144" s="37">
        <f>SUM(BZ144,BF144:BO144)</f>
        <v/>
      </c>
      <c r="CC144" s="102" t="n"/>
      <c r="CD144" s="12" t="n"/>
      <c r="CE144" s="14">
        <f>IF($CC144="Annual",1,IF($CC144="Monthly F",12,IF($CC144="Monthly V",CD144*12,IF($CC144="One-Time",1,CD144*12))))</f>
        <v/>
      </c>
      <c r="CF144" s="14">
        <f t="array" ref="CF144">IFERROR(_xlfn.IFS(VALUE(MID(CF$5,6,1))&gt;$D$2,0,$CC144="Annual",1,CE144=12,12,$CC144="Monthly V",CE144*(1+$D$3),$CC144="Monthly F",12,$CC144="One-Time",0),CE144*(1+$D$3))</f>
        <v/>
      </c>
      <c r="CG144" s="14">
        <f t="array" ref="CG144">IFERROR(_xlfn.IFS(VALUE(MID(CG$5,6,1))&gt;$D$2,0,$CC144="Annual",1,CF144=12,12,$CC144="Monthly V",CF144*(1+$D$3),$CC144="Monthly F",12,$CC144="One-Time",0),CF144*(1+$D$3))</f>
        <v/>
      </c>
      <c r="CH144" s="14">
        <f t="array" ref="CH144">IFERROR(_xlfn.IFS(VALUE(MID(CH$5,6,1))&gt;$D$2,0,$CC144="Annual",1,CG144=12,12,$CC144="Monthly V",CG144*(1+$D$3),$CC144="Monthly F",12,$CC144="One-Time",0),CG144*(1+$D$3))</f>
        <v/>
      </c>
      <c r="CI144" s="14">
        <f t="array" ref="CI144">IFERROR(_xlfn.IFS(VALUE(MID(CI$5,6,1))&gt;$D$2,0,$CC144="Annual",1,CH144=12,12,$CC144="Monthly V",CH144*(1+$D$3),$CC144="Monthly F",12,$CC144="One-Time",0),CH144*(1+$D$3))</f>
        <v/>
      </c>
      <c r="CJ144" s="14">
        <f t="array" ref="CJ144">IFERROR(_xlfn.IFS(VALUE(MID(CJ$5,6,1))&gt;$D$2,0,$CC144="Annual",1,CI144=12,12,$CC144="Monthly V",CI144*(1+$D$3),$CC144="Monthly F",12,$CC144="One-Time",0),CI144*(1+$D$3))</f>
        <v/>
      </c>
      <c r="CK144" s="14">
        <f t="array" ref="CK144">IFERROR(_xlfn.IFS(VALUE(MID(CK$5,6,1))&gt;$D$2,0,$CC144="Annual",1,CJ144=12,12,$CC144="Monthly V",CJ144*(1+$D$3),$CC144="Monthly F",12,$CC144="One-Time",0),CJ144*(1+$D$3))</f>
        <v/>
      </c>
      <c r="CL144" s="14">
        <f t="array" ref="CL144">IFERROR(_xlfn.IFS(VALUE(MID(CL$5,6,1))&gt;$D$2,0,$CC144="Annual",1,CK144=12,12,$CC144="Monthly V",CK144*(1+$D$3),$CC144="Monthly F",12,$CC144="One-Time",0),CK144*(1+$D$3))</f>
        <v/>
      </c>
      <c r="CM144" s="14">
        <f t="array" ref="CM144">IFERROR(_xlfn.IFS(VALUE(MID(CM$5,6,1))&gt;$D$2,0,$CC144="Annual",1,CL144=12,12,$CC144="Monthly V",CL144*(1+$D$3),$CC144="Monthly F",12,$CC144="One-Time",0),CL144*(1+$D$3))</f>
        <v/>
      </c>
      <c r="CN144" s="24">
        <f t="array" ref="CN144">IFERROR(_xlfn.IFS(VALUE(MID(CN$5,6,2))&gt;$D$2,0,$CC144="Annual",1,CM144=12,12,$CC144="Monthly V",CM144*(1+$D$3),$CC144="Monthly F",12,$CC144="One-Time",0),CM144*(1+$D$3))</f>
        <v/>
      </c>
      <c r="CO144" s="63" t="n"/>
      <c r="CP144" s="53" t="n"/>
      <c r="CQ144" s="21">
        <f>CR144/12</f>
        <v/>
      </c>
      <c r="CR144" s="55">
        <f>IFERROR(CE144*$CP144,0)</f>
        <v/>
      </c>
      <c r="CS144" s="55">
        <f>IFERROR(CF144*$CP144,0)</f>
        <v/>
      </c>
      <c r="CT144" s="55">
        <f>IFERROR(CG144*$CP144,0)</f>
        <v/>
      </c>
      <c r="CU144" s="55">
        <f>IFERROR(CH144*$CP144,0)</f>
        <v/>
      </c>
      <c r="CV144" s="55">
        <f>IFERROR(CI144*$CP144,0)</f>
        <v/>
      </c>
      <c r="CW144" s="55">
        <f>IFERROR(CJ144*$CP144,0)</f>
        <v/>
      </c>
      <c r="CX144" s="55">
        <f>IFERROR(CK144*$CP144,0)</f>
        <v/>
      </c>
      <c r="CY144" s="55">
        <f>IFERROR(CL144*$CP144,0)</f>
        <v/>
      </c>
      <c r="CZ144" s="55">
        <f>IFERROR(CM144*$CP144,0)</f>
        <v/>
      </c>
      <c r="DA144" s="55">
        <f>IFERROR(CN144*$CP144,0)</f>
        <v/>
      </c>
      <c r="DB144" s="56" t="n"/>
      <c r="DC144" s="56">
        <f>IF(VALUE(MID(DC$5,6,1))&lt;=$D$2,((1+$CP$3)^1-1)*CS144,0)</f>
        <v/>
      </c>
      <c r="DD144" s="56">
        <f>IF(VALUE(MID(DD$5,6,1))&lt;=$D$2,((1+$CP$3)^2-1)*CT144,0)</f>
        <v/>
      </c>
      <c r="DE144" s="56">
        <f>IF(VALUE(MID(DE$5,6,1))&lt;=$D$2,((1+$CP$3)^3-1)*CU144,0)</f>
        <v/>
      </c>
      <c r="DF144" s="56">
        <f>IF(VALUE(MID(DF$5,6,1))&lt;=$D$2,((1+$CP$3)^4-1)*CV144,0)</f>
        <v/>
      </c>
      <c r="DG144" s="56">
        <f>IF(VALUE(MID(DG$5,6,1))&lt;=$D$2,((1+$CP$3)^5-1)*CW144,0)</f>
        <v/>
      </c>
      <c r="DH144" s="56">
        <f>IF(VALUE(MID(DH$5,6,1))&lt;=$D$2,((1+$CP$3)^6-1)*CX144,0)</f>
        <v/>
      </c>
      <c r="DI144" s="56">
        <f>IF(VALUE(MID(DI$5,6,1))&lt;=$D$2,((1+$CP$3)^7-1)*CY144,0)</f>
        <v/>
      </c>
      <c r="DJ144" s="56">
        <f>IF(VALUE(MID(DJ$5,6,1))&lt;=$D$2,((1+$CP$3)^8-1)*CZ144,0)</f>
        <v/>
      </c>
      <c r="DK144" s="56">
        <f>IF(VALUE(MID(DK$5,6,2))&lt;=$D$2,((1+$CP$3)^9-1)*DA144,0)</f>
        <v/>
      </c>
      <c r="DL144" s="57">
        <f>SUM(DB144:DK144)</f>
        <v/>
      </c>
      <c r="DM144" s="54">
        <f>SUM(DL144,CR144:DA144)</f>
        <v/>
      </c>
      <c r="DO144" s="106" t="n"/>
    </row>
    <row r="145">
      <c r="B145" s="141" t="n"/>
      <c r="C145" s="24" t="n"/>
      <c r="D145" s="147" t="n"/>
      <c r="E145" s="142">
        <f>IF($B145="Annual",1,IF($B145="Monthly F",12,IF($B145="Monthly V",D145*12,IF($B145="One-Time",1,D145*12))))</f>
        <v/>
      </c>
      <c r="F145" s="14">
        <f t="array" ref="F145">IFERROR(_xlfn.IFS(VALUE(MID(F$5,6,1))&gt;$D$2,0,$B145="Annual",1,E145=12,12,$B145="Monthly V",E145*(1+$D$3),$B145="Monthly F",12,$B145="One-Time",0),E145*(1+$D$3))</f>
        <v/>
      </c>
      <c r="G145" s="14">
        <f t="array" ref="G145">IFERROR(_xlfn.IFS(VALUE(MID(G$5,6,1))&gt;$D$2,0,$B145="Annual",1,F145=12,12,$B145="Monthly V",F145*(1+$D$3),$B145="Monthly F",12,$B145="One-Time",0),F145*(1+$D$3))</f>
        <v/>
      </c>
      <c r="H145" s="14">
        <f t="array" ref="H145">IFERROR(_xlfn.IFS(VALUE(MID(H$5,6,1))&gt;$D$2,0,$B145="Annual",1,G145=12,12,$B145="Monthly V",G145*(1+$D$3),$B145="Monthly F",12,$B145="One-Time",0),G145*(1+$D$3))</f>
        <v/>
      </c>
      <c r="I145" s="14">
        <f t="array" ref="I145">IFERROR(_xlfn.IFS(VALUE(MID(I$5,6,1))&gt;$D$2,0,$B145="Annual",1,H145=12,12,$B145="Monthly V",H145*(1+$D$3),$B145="Monthly F",12,$B145="One-Time",0),H145*(1+$D$3))</f>
        <v/>
      </c>
      <c r="J145" s="14">
        <f t="array" ref="J145">IFERROR(_xlfn.IFS(VALUE(MID(J$5,6,1))&gt;$D$2,0,$B145="Annual",1,I145=12,12,$B145="Monthly V",I145*(1+$D$3),$B145="Monthly F",12,$B145="One-Time",0),I145*(1+$D$3))</f>
        <v/>
      </c>
      <c r="K145" s="14">
        <f t="array" ref="K145">IFERROR(_xlfn.IFS(VALUE(MID(K$5,6,1))&gt;$D$2,0,$B145="Annual",1,J145=12,12,$B145="Monthly V",J145*(1+$D$3),$B145="Monthly F",12,$B145="One-Time",0),J145*(1+$D$3))</f>
        <v/>
      </c>
      <c r="L145" s="14">
        <f t="array" ref="L145">IFERROR(_xlfn.IFS(VALUE(MID(L$5,6,1))&gt;$D$2,0,$B145="Annual",1,K145=12,12,$B145="Monthly V",K145*(1+$D$3),$B145="Monthly F",12,$B145="One-Time",0),K145*(1+$D$3))</f>
        <v/>
      </c>
      <c r="M145" s="14">
        <f t="array" ref="M145">IFERROR(_xlfn.IFS(VALUE(MID(M$5,6,1))&gt;$D$2,0,$B145="Annual",1,L145=12,12,$B145="Monthly V",L145*(1+$D$3),$B145="Monthly F",12,$B145="One-Time",0),L145*(1+$D$3))</f>
        <v/>
      </c>
      <c r="N145" s="24">
        <f t="array" ref="N145">IFERROR(_xlfn.IFS(VALUE(MID(N$5,6,2))&gt;$D$2,0,$B145="Annual",1,M145=12,12,$B145="Monthly V",M145*(1+$D$3),$B145="Monthly F",12,$B145="One-Time",0),M145*(1+$D$3))</f>
        <v/>
      </c>
      <c r="O145" s="157" t="inlineStr">
        <is>
          <t>AvidAscend (Accounts Payable, Fixed Assets, and Prepaids)</t>
        </is>
      </c>
      <c r="P145" s="13" t="n"/>
      <c r="Q145" s="20" t="n"/>
      <c r="R145" s="21">
        <f>S145/12</f>
        <v/>
      </c>
      <c r="S145" s="6">
        <f>IFERROR($Q145*E145,0)</f>
        <v/>
      </c>
      <c r="T145" s="6">
        <f>IFERROR($Q145*F145,0)</f>
        <v/>
      </c>
      <c r="U145" s="6">
        <f>IFERROR($Q145*G145,0)</f>
        <v/>
      </c>
      <c r="V145" s="6">
        <f>IFERROR($Q145*H145,0)</f>
        <v/>
      </c>
      <c r="W145" s="6">
        <f>IFERROR($Q145*I145,0)</f>
        <v/>
      </c>
      <c r="X145" s="6">
        <f>IFERROR($Q145*J145,0)</f>
        <v/>
      </c>
      <c r="Y145" s="6">
        <f>IFERROR($Q145*K145,0)</f>
        <v/>
      </c>
      <c r="Z145" s="6">
        <f>IFERROR($Q145*L145,0)</f>
        <v/>
      </c>
      <c r="AA145" s="6">
        <f>IFERROR($Q145*M145,0)</f>
        <v/>
      </c>
      <c r="AB145" s="6">
        <f>IFERROR($Q145*N145,0)</f>
        <v/>
      </c>
      <c r="AC145" s="7" t="n"/>
      <c r="AD145" s="152">
        <f>IF(VALUE(MID(AD$5,6,1))&lt;=$D$2,((1+$Q$3)^1-1)*T145,0)</f>
        <v/>
      </c>
      <c r="AE145" s="152">
        <f>IF(VALUE(MID(AE$5,6,1))&lt;=$D$2,((1+$Q$3)^2-1)*U145,0)</f>
        <v/>
      </c>
      <c r="AF145" s="152">
        <f>IF(VALUE(MID(AF$5,6,1))&lt;=$D$2,((1+$Q$3)^3-1)*V145,0)</f>
        <v/>
      </c>
      <c r="AG145" s="152">
        <f>IF(VALUE(MID(AG$5,6,1))&lt;=$D$2,((1+$Q$3)^4-1)*W145,0)</f>
        <v/>
      </c>
      <c r="AH145" s="152">
        <f>IF(VALUE(MID(AH$5,6,1))&lt;=$D$2,((1+$Q$3)^5-1)*X145,0)</f>
        <v/>
      </c>
      <c r="AI145" s="152">
        <f>IF(VALUE(MID(AI$5,6,1))&lt;=$D$2,((1+$Q$3)^6-1)*Y145,0)</f>
        <v/>
      </c>
      <c r="AJ145" s="152">
        <f>IF(VALUE(MID(AJ$5,6,1))&lt;=$D$2,((1+$Q$3)^7-1)*Z145,0)</f>
        <v/>
      </c>
      <c r="AK145" s="152">
        <f>IF(VALUE(MID(AK$5,6,1))&lt;=$D$2,((1+$Q$3)^8-1)*AA145,0)</f>
        <v/>
      </c>
      <c r="AL145" s="152">
        <f>IF(VALUE(MID(AL$5,6,2))&lt;=$D$2,((1+$Q$3)^9-1)*AB145,0)</f>
        <v/>
      </c>
      <c r="AM145" s="9">
        <f>SUM(AC145:AL145)</f>
        <v/>
      </c>
      <c r="AN145" s="80">
        <f>SUM(AM145,S145:AB145)</f>
        <v/>
      </c>
      <c r="AP145" s="102" t="inlineStr">
        <is>
          <t>One-Time</t>
        </is>
      </c>
      <c r="AQ145" s="12" t="n">
        <v>1</v>
      </c>
      <c r="AR145" s="14">
        <f>IF($AP145="Annual",1,IF($AP145="Monthly F",12,IF($AP145="Monthly V",AQ145*12,IF($AP145="One-Time",1,AQ145*12))))</f>
        <v/>
      </c>
      <c r="AS145" s="14">
        <f t="array" ref="AS145">IFERROR(_xlfn.IFS(VALUE(MID(AS$5,6,1))&gt;$D$2,0,$AP145="Annual",1,AR145=12,12,$AP145="Monthly V",AR145*(1+$D$3),$AP145="Monthly F",12,$AP145="One-Time",0),AR145*(1+$D$3))</f>
        <v/>
      </c>
      <c r="AT145" s="14">
        <f t="array" ref="AT145">IFERROR(_xlfn.IFS(VALUE(MID(AT$5,6,1))&gt;$D$2,0,$AP145="Annual",1,AS145=12,12,$AP145="Monthly V",AS145*(1+$D$3),$AP145="Monthly F",12,$AP145="One-Time",0),AS145*(1+$D$3))</f>
        <v/>
      </c>
      <c r="AU145" s="14">
        <f t="array" ref="AU145">IFERROR(_xlfn.IFS(VALUE(MID(AU$5,6,1))&gt;$D$2,0,$AP145="Annual",1,AT145=12,12,$AP145="Monthly V",AT145*(1+$D$3),$AP145="Monthly F",12,$AP145="One-Time",0),AT145*(1+$D$3))</f>
        <v/>
      </c>
      <c r="AV145" s="14">
        <f t="array" ref="AV145">IFERROR(_xlfn.IFS(VALUE(MID(AV$5,6,1))&gt;$D$2,0,$AP145="Annual",1,AU145=12,12,$AP145="Monthly V",AU145*(1+$D$3),$AP145="Monthly F",12,$AP145="One-Time",0),AU145*(1+$D$3))</f>
        <v/>
      </c>
      <c r="AW145" s="14">
        <f t="array" ref="AW145">IFERROR(_xlfn.IFS(VALUE(MID(AW$5,6,1))&gt;$D$2,0,$AP145="Annual",1,AV145=12,12,$AP145="Monthly V",AV145*(1+$D$3),$AP145="Monthly F",12,$AP145="One-Time",0),AV145*(1+$D$3))</f>
        <v/>
      </c>
      <c r="AX145" s="14">
        <f t="array" ref="AX145">IFERROR(_xlfn.IFS(VALUE(MID(AX$5,6,1))&gt;$D$2,0,$AP145="Annual",1,AW145=12,12,$AP145="Monthly V",AW145*(1+$D$3),$AP145="Monthly F",12,$AP145="One-Time",0),AW145*(1+$D$3))</f>
        <v/>
      </c>
      <c r="AY145" s="14">
        <f t="array" ref="AY145">IFERROR(_xlfn.IFS(VALUE(MID(AY$5,6,1))&gt;$D$2,0,$AP145="Annual",1,AX145=12,12,$AP145="Monthly V",AX145*(1+$D$3),$AP145="Monthly F",12,$AP145="One-Time",0),AX145*(1+$D$3))</f>
        <v/>
      </c>
      <c r="AZ145" s="14">
        <f t="array" ref="AZ145">IFERROR(_xlfn.IFS(VALUE(MID(AZ$5,6,1))&gt;$D$2,0,$AP145="Annual",1,AY145=12,12,$AP145="Monthly V",AY145*(1+$D$3),$AP145="Monthly F",12,$AP145="One-Time",0),AY145*(1+$D$3))</f>
        <v/>
      </c>
      <c r="BA145" s="125">
        <f t="array" ref="BA145">IFERROR(_xlfn.IFS(VALUE(MID(BA$5,6,2))&gt;$D$2,0,$AP145="Annual",1,AZ145=12,12,$AP145="Monthly V",AZ145*(1+$D$3),$AP145="Monthly F",12,$AP145="One-Time",0),AZ145*(1+$D$3))</f>
        <v/>
      </c>
      <c r="BB145" s="124" t="inlineStr">
        <is>
          <t>Synergy Document Recognition Education (eLearning)</t>
        </is>
      </c>
      <c r="BC145" s="38" t="inlineStr">
        <is>
          <t>Synergy</t>
        </is>
      </c>
      <c r="BD145" s="36" t="n">
        <v>450</v>
      </c>
      <c r="BE145" s="21">
        <f>BF145/12</f>
        <v/>
      </c>
      <c r="BF145" s="39">
        <f>IFERROR(AR145*$BD145,0)</f>
        <v/>
      </c>
      <c r="BG145" s="39">
        <f>IFERROR(AS145*$BD145,0)</f>
        <v/>
      </c>
      <c r="BH145" s="39">
        <f>IFERROR(AT145*$BD145,0)</f>
        <v/>
      </c>
      <c r="BI145" s="39">
        <f>IFERROR(AU145*$BD145,0)</f>
        <v/>
      </c>
      <c r="BJ145" s="39">
        <f>IFERROR(AV145*$BD145,0)</f>
        <v/>
      </c>
      <c r="BK145" s="39">
        <f>IFERROR(AW145*$BD145,0)</f>
        <v/>
      </c>
      <c r="BL145" s="39">
        <f>IFERROR(AX145*$BD145,0)</f>
        <v/>
      </c>
      <c r="BM145" s="39">
        <f>IFERROR(AY145*$BD145,0)</f>
        <v/>
      </c>
      <c r="BN145" s="39">
        <f>IFERROR(AZ145*$BD145,0)</f>
        <v/>
      </c>
      <c r="BO145" s="39">
        <f>IFERROR(BA145*$BD145,0)</f>
        <v/>
      </c>
      <c r="BP145" s="40" t="n"/>
      <c r="BQ145" s="40">
        <f>IF(VALUE(MID(BQ$5,6,1))&lt;=$D$2,((1+$BD$3)^1-1)*BG145,0)</f>
        <v/>
      </c>
      <c r="BR145" s="40">
        <f>IF(VALUE(MID(BR$5,6,1))&lt;=$D$2,((1+$BD$3)^2-1)*BH145,0)</f>
        <v/>
      </c>
      <c r="BS145" s="40">
        <f>IF(VALUE(MID(BS$5,6,1))&lt;=$D$2,((1+$BD$3)^3-1)*BI145,0)</f>
        <v/>
      </c>
      <c r="BT145" s="40">
        <f>IF(VALUE(MID(BT$5,6,1))&lt;=$D$2,((1+$BD$3)^4-1)*BJ145,0)</f>
        <v/>
      </c>
      <c r="BU145" s="40">
        <f>IF(VALUE(MID(BU$5,6,1))&lt;=$D$2,((1+$BD$3)^5-1)*BK145,0)</f>
        <v/>
      </c>
      <c r="BV145" s="40">
        <f>IF(VALUE(MID(BV$5,6,1))&lt;=$D$2,((1+$BD$3)^6-1)*BL145,0)</f>
        <v/>
      </c>
      <c r="BW145" s="40">
        <f>IF(VALUE(MID(BW$5,6,1))&lt;=$D$2,((1+$BD$3)^7-1)*BM145,0)</f>
        <v/>
      </c>
      <c r="BX145" s="40">
        <f>IF(VALUE(MID(BX$5,6,1))&lt;=$D$2,((1+$BD$3)^8-1)*BN145,0)</f>
        <v/>
      </c>
      <c r="BY145" s="40">
        <f>IF(VALUE(MID(BY$5,6,2))&lt;=$D$2,((1+$BD$3)^9-1)*BO145,0)</f>
        <v/>
      </c>
      <c r="BZ145" s="40">
        <f>SUM(BP145:BY145)</f>
        <v/>
      </c>
      <c r="CA145" s="37">
        <f>SUM(BZ145,BF145:BO145)</f>
        <v/>
      </c>
      <c r="CC145" s="102" t="n"/>
      <c r="CD145" s="12" t="n"/>
      <c r="CE145" s="14">
        <f>IF($CC145="Annual",1,IF($CC145="Monthly F",12,IF($CC145="Monthly V",CD145*12,IF($CC145="One-Time",1,CD145*12))))</f>
        <v/>
      </c>
      <c r="CF145" s="14">
        <f t="array" ref="CF145">IFERROR(_xlfn.IFS(VALUE(MID(CF$5,6,1))&gt;$D$2,0,$CC145="Annual",1,CE145=12,12,$CC145="Monthly V",CE145*(1+$D$3),$CC145="Monthly F",12,$CC145="One-Time",0),CE145*(1+$D$3))</f>
        <v/>
      </c>
      <c r="CG145" s="14">
        <f t="array" ref="CG145">IFERROR(_xlfn.IFS(VALUE(MID(CG$5,6,1))&gt;$D$2,0,$CC145="Annual",1,CF145=12,12,$CC145="Monthly V",CF145*(1+$D$3),$CC145="Monthly F",12,$CC145="One-Time",0),CF145*(1+$D$3))</f>
        <v/>
      </c>
      <c r="CH145" s="14">
        <f t="array" ref="CH145">IFERROR(_xlfn.IFS(VALUE(MID(CH$5,6,1))&gt;$D$2,0,$CC145="Annual",1,CG145=12,12,$CC145="Monthly V",CG145*(1+$D$3),$CC145="Monthly F",12,$CC145="One-Time",0),CG145*(1+$D$3))</f>
        <v/>
      </c>
      <c r="CI145" s="14">
        <f t="array" ref="CI145">IFERROR(_xlfn.IFS(VALUE(MID(CI$5,6,1))&gt;$D$2,0,$CC145="Annual",1,CH145=12,12,$CC145="Monthly V",CH145*(1+$D$3),$CC145="Monthly F",12,$CC145="One-Time",0),CH145*(1+$D$3))</f>
        <v/>
      </c>
      <c r="CJ145" s="14">
        <f t="array" ref="CJ145">IFERROR(_xlfn.IFS(VALUE(MID(CJ$5,6,1))&gt;$D$2,0,$CC145="Annual",1,CI145=12,12,$CC145="Monthly V",CI145*(1+$D$3),$CC145="Monthly F",12,$CC145="One-Time",0),CI145*(1+$D$3))</f>
        <v/>
      </c>
      <c r="CK145" s="14">
        <f t="array" ref="CK145">IFERROR(_xlfn.IFS(VALUE(MID(CK$5,6,1))&gt;$D$2,0,$CC145="Annual",1,CJ145=12,12,$CC145="Monthly V",CJ145*(1+$D$3),$CC145="Monthly F",12,$CC145="One-Time",0),CJ145*(1+$D$3))</f>
        <v/>
      </c>
      <c r="CL145" s="14">
        <f t="array" ref="CL145">IFERROR(_xlfn.IFS(VALUE(MID(CL$5,6,1))&gt;$D$2,0,$CC145="Annual",1,CK145=12,12,$CC145="Monthly V",CK145*(1+$D$3),$CC145="Monthly F",12,$CC145="One-Time",0),CK145*(1+$D$3))</f>
        <v/>
      </c>
      <c r="CM145" s="14">
        <f t="array" ref="CM145">IFERROR(_xlfn.IFS(VALUE(MID(CM$5,6,1))&gt;$D$2,0,$CC145="Annual",1,CL145=12,12,$CC145="Monthly V",CL145*(1+$D$3),$CC145="Monthly F",12,$CC145="One-Time",0),CL145*(1+$D$3))</f>
        <v/>
      </c>
      <c r="CN145" s="24">
        <f t="array" ref="CN145">IFERROR(_xlfn.IFS(VALUE(MID(CN$5,6,2))&gt;$D$2,0,$CC145="Annual",1,CM145=12,12,$CC145="Monthly V",CM145*(1+$D$3),$CC145="Monthly F",12,$CC145="One-Time",0),CM145*(1+$D$3))</f>
        <v/>
      </c>
      <c r="CO145" s="63" t="n"/>
      <c r="CP145" s="53" t="n"/>
      <c r="CQ145" s="21">
        <f>CR145/12</f>
        <v/>
      </c>
      <c r="CR145" s="55">
        <f>IFERROR(CE145*$CP145,0)</f>
        <v/>
      </c>
      <c r="CS145" s="55">
        <f>IFERROR(CF145*$CP145,0)</f>
        <v/>
      </c>
      <c r="CT145" s="55">
        <f>IFERROR(CG145*$CP145,0)</f>
        <v/>
      </c>
      <c r="CU145" s="55">
        <f>IFERROR(CH145*$CP145,0)</f>
        <v/>
      </c>
      <c r="CV145" s="55">
        <f>IFERROR(CI145*$CP145,0)</f>
        <v/>
      </c>
      <c r="CW145" s="55">
        <f>IFERROR(CJ145*$CP145,0)</f>
        <v/>
      </c>
      <c r="CX145" s="55">
        <f>IFERROR(CK145*$CP145,0)</f>
        <v/>
      </c>
      <c r="CY145" s="55">
        <f>IFERROR(CL145*$CP145,0)</f>
        <v/>
      </c>
      <c r="CZ145" s="55">
        <f>IFERROR(CM145*$CP145,0)</f>
        <v/>
      </c>
      <c r="DA145" s="55">
        <f>IFERROR(CN145*$CP145,0)</f>
        <v/>
      </c>
      <c r="DB145" s="56" t="n"/>
      <c r="DC145" s="56">
        <f>IF(VALUE(MID(DC$5,6,1))&lt;=$D$2,((1+$CP$3)^1-1)*CS145,0)</f>
        <v/>
      </c>
      <c r="DD145" s="56">
        <f>IF(VALUE(MID(DD$5,6,1))&lt;=$D$2,((1+$CP$3)^2-1)*CT145,0)</f>
        <v/>
      </c>
      <c r="DE145" s="56">
        <f>IF(VALUE(MID(DE$5,6,1))&lt;=$D$2,((1+$CP$3)^3-1)*CU145,0)</f>
        <v/>
      </c>
      <c r="DF145" s="56">
        <f>IF(VALUE(MID(DF$5,6,1))&lt;=$D$2,((1+$CP$3)^4-1)*CV145,0)</f>
        <v/>
      </c>
      <c r="DG145" s="56">
        <f>IF(VALUE(MID(DG$5,6,1))&lt;=$D$2,((1+$CP$3)^5-1)*CW145,0)</f>
        <v/>
      </c>
      <c r="DH145" s="56">
        <f>IF(VALUE(MID(DH$5,6,1))&lt;=$D$2,((1+$CP$3)^6-1)*CX145,0)</f>
        <v/>
      </c>
      <c r="DI145" s="56">
        <f>IF(VALUE(MID(DI$5,6,1))&lt;=$D$2,((1+$CP$3)^7-1)*CY145,0)</f>
        <v/>
      </c>
      <c r="DJ145" s="56">
        <f>IF(VALUE(MID(DJ$5,6,1))&lt;=$D$2,((1+$CP$3)^8-1)*CZ145,0)</f>
        <v/>
      </c>
      <c r="DK145" s="56">
        <f>IF(VALUE(MID(DK$5,6,2))&lt;=$D$2,((1+$CP$3)^9-1)*DA145,0)</f>
        <v/>
      </c>
      <c r="DL145" s="57">
        <f>SUM(DB145:DK145)</f>
        <v/>
      </c>
      <c r="DM145" s="54">
        <f>SUM(DL145,CR145:DA145)</f>
        <v/>
      </c>
      <c r="DO145" s="106" t="n"/>
    </row>
    <row r="146">
      <c r="B146" s="141" t="inlineStr">
        <is>
          <t>Monthly F</t>
        </is>
      </c>
      <c r="C146" s="24" t="n">
        <v>1</v>
      </c>
      <c r="D146" s="147">
        <f>IFERROR(AVERAGE(C146:C146),0)</f>
        <v/>
      </c>
      <c r="E146" s="142">
        <f>IF($B146="Annual",1,IF($B146="Monthly F",12,IF($B146="Monthly V",D146*12,IF($B146="One-Time",1,D146*12))))</f>
        <v/>
      </c>
      <c r="F146" s="14">
        <f t="array" ref="F146">IFERROR(_xlfn.IFS(VALUE(MID(F$5,6,1))&gt;$D$2,0,$B146="Annual",1,E146=12,12,$B146="Monthly V",E146*(1+$D$3),$B146="Monthly F",12,$B146="One-Time",0),E146*(1+$D$3))</f>
        <v/>
      </c>
      <c r="G146" s="14">
        <f t="array" ref="G146">IFERROR(_xlfn.IFS(VALUE(MID(G$5,6,1))&gt;$D$2,0,$B146="Annual",1,F146=12,12,$B146="Monthly V",F146*(1+$D$3),$B146="Monthly F",12,$B146="One-Time",0),F146*(1+$D$3))</f>
        <v/>
      </c>
      <c r="H146" s="14">
        <f t="array" ref="H146">IFERROR(_xlfn.IFS(VALUE(MID(H$5,6,1))&gt;$D$2,0,$B146="Annual",1,G146=12,12,$B146="Monthly V",G146*(1+$D$3),$B146="Monthly F",12,$B146="One-Time",0),G146*(1+$D$3))</f>
        <v/>
      </c>
      <c r="I146" s="14">
        <f t="array" ref="I146">IFERROR(_xlfn.IFS(VALUE(MID(I$5,6,1))&gt;$D$2,0,$B146="Annual",1,H146=12,12,$B146="Monthly V",H146*(1+$D$3),$B146="Monthly F",12,$B146="One-Time",0),H146*(1+$D$3))</f>
        <v/>
      </c>
      <c r="J146" s="14">
        <f t="array" ref="J146">IFERROR(_xlfn.IFS(VALUE(MID(J$5,6,1))&gt;$D$2,0,$B146="Annual",1,I146=12,12,$B146="Monthly V",I146*(1+$D$3),$B146="Monthly F",12,$B146="One-Time",0),I146*(1+$D$3))</f>
        <v/>
      </c>
      <c r="K146" s="14">
        <f t="array" ref="K146">IFERROR(_xlfn.IFS(VALUE(MID(K$5,6,1))&gt;$D$2,0,$B146="Annual",1,J146=12,12,$B146="Monthly V",J146*(1+$D$3),$B146="Monthly F",12,$B146="One-Time",0),J146*(1+$D$3))</f>
        <v/>
      </c>
      <c r="L146" s="14">
        <f t="array" ref="L146">IFERROR(_xlfn.IFS(VALUE(MID(L$5,6,1))&gt;$D$2,0,$B146="Annual",1,K146=12,12,$B146="Monthly V",K146*(1+$D$3),$B146="Monthly F",12,$B146="One-Time",0),K146*(1+$D$3))</f>
        <v/>
      </c>
      <c r="M146" s="14">
        <f t="array" ref="M146">IFERROR(_xlfn.IFS(VALUE(MID(M$5,6,1))&gt;$D$2,0,$B146="Annual",1,L146=12,12,$B146="Monthly V",L146*(1+$D$3),$B146="Monthly F",12,$B146="One-Time",0),L146*(1+$D$3))</f>
        <v/>
      </c>
      <c r="N146" s="24">
        <f t="array" ref="N146">IFERROR(_xlfn.IFS(VALUE(MID(N$5,6,2))&gt;$D$2,0,$B146="Annual",1,M146=12,12,$B146="Monthly V",M146*(1+$D$3),$B146="Monthly F",12,$B146="One-Time",0),M146*(1+$D$3))</f>
        <v/>
      </c>
      <c r="O146" s="127" t="inlineStr">
        <is>
          <t>Accounts Payable</t>
        </is>
      </c>
      <c r="P146" s="13" t="n"/>
      <c r="Q146" s="20" t="n">
        <v>492</v>
      </c>
      <c r="R146" s="21">
        <f>S146/12</f>
        <v/>
      </c>
      <c r="S146" s="6">
        <f>IFERROR($Q146*E146,0)</f>
        <v/>
      </c>
      <c r="T146" s="6">
        <f>IFERROR($Q146*F146,0)</f>
        <v/>
      </c>
      <c r="U146" s="6">
        <f>IFERROR($Q146*G146,0)</f>
        <v/>
      </c>
      <c r="V146" s="6">
        <f>IFERROR($Q146*H146,0)</f>
        <v/>
      </c>
      <c r="W146" s="6">
        <f>IFERROR($Q146*I146,0)</f>
        <v/>
      </c>
      <c r="X146" s="6">
        <f>IFERROR($Q146*J146,0)</f>
        <v/>
      </c>
      <c r="Y146" s="6">
        <f>IFERROR($Q146*K146,0)</f>
        <v/>
      </c>
      <c r="Z146" s="6">
        <f>IFERROR($Q146*L146,0)</f>
        <v/>
      </c>
      <c r="AA146" s="6">
        <f>IFERROR($Q146*M146,0)</f>
        <v/>
      </c>
      <c r="AB146" s="6">
        <f>IFERROR($Q146*N146,0)</f>
        <v/>
      </c>
      <c r="AC146" s="7" t="n"/>
      <c r="AD146" s="152">
        <f>IF(VALUE(MID(AD$5,6,1))&lt;=$D$2,((1+$Q$3)^1-1)*T146,0)</f>
        <v/>
      </c>
      <c r="AE146" s="152">
        <f>IF(VALUE(MID(AE$5,6,1))&lt;=$D$2,((1+$Q$3)^2-1)*U146,0)</f>
        <v/>
      </c>
      <c r="AF146" s="152">
        <f>IF(VALUE(MID(AF$5,6,1))&lt;=$D$2,((1+$Q$3)^3-1)*V146,0)</f>
        <v/>
      </c>
      <c r="AG146" s="152">
        <f>IF(VALUE(MID(AG$5,6,1))&lt;=$D$2,((1+$Q$3)^4-1)*W146,0)</f>
        <v/>
      </c>
      <c r="AH146" s="152">
        <f>IF(VALUE(MID(AH$5,6,1))&lt;=$D$2,((1+$Q$3)^5-1)*X146,0)</f>
        <v/>
      </c>
      <c r="AI146" s="152">
        <f>IF(VALUE(MID(AI$5,6,1))&lt;=$D$2,((1+$Q$3)^6-1)*Y146,0)</f>
        <v/>
      </c>
      <c r="AJ146" s="152">
        <f>IF(VALUE(MID(AJ$5,6,1))&lt;=$D$2,((1+$Q$3)^7-1)*Z146,0)</f>
        <v/>
      </c>
      <c r="AK146" s="152">
        <f>IF(VALUE(MID(AK$5,6,1))&lt;=$D$2,((1+$Q$3)^8-1)*AA146,0)</f>
        <v/>
      </c>
      <c r="AL146" s="152">
        <f>IF(VALUE(MID(AL$5,6,2))&lt;=$D$2,((1+$Q$3)^9-1)*AB146,0)</f>
        <v/>
      </c>
      <c r="AM146" s="9">
        <f>SUM(AC146:AL146)</f>
        <v/>
      </c>
      <c r="AN146" s="80">
        <f>SUM(AM146,S146:AB146)</f>
        <v/>
      </c>
      <c r="AP146" s="102" t="inlineStr">
        <is>
          <t>One-Time</t>
        </is>
      </c>
      <c r="AQ146" s="12" t="n">
        <v>1</v>
      </c>
      <c r="AR146" s="14">
        <f>IF($AP146="Annual",1,IF($AP146="Monthly F",12,IF($AP146="Monthly V",AQ146*12,IF($AP146="One-Time",1,AQ146*12))))</f>
        <v/>
      </c>
      <c r="AS146" s="14">
        <f t="array" ref="AS146">IFERROR(_xlfn.IFS(VALUE(MID(AS$5,6,1))&gt;$D$2,0,$AP146="Annual",1,AR146=12,12,$AP146="Monthly V",AR146*(1+$D$3),$AP146="Monthly F",12,$AP146="One-Time",0),AR146*(1+$D$3))</f>
        <v/>
      </c>
      <c r="AT146" s="14">
        <f t="array" ref="AT146">IFERROR(_xlfn.IFS(VALUE(MID(AT$5,6,1))&gt;$D$2,0,$AP146="Annual",1,AS146=12,12,$AP146="Monthly V",AS146*(1+$D$3),$AP146="Monthly F",12,$AP146="One-Time",0),AS146*(1+$D$3))</f>
        <v/>
      </c>
      <c r="AU146" s="14">
        <f t="array" ref="AU146">IFERROR(_xlfn.IFS(VALUE(MID(AU$5,6,1))&gt;$D$2,0,$AP146="Annual",1,AT146=12,12,$AP146="Monthly V",AT146*(1+$D$3),$AP146="Monthly F",12,$AP146="One-Time",0),AT146*(1+$D$3))</f>
        <v/>
      </c>
      <c r="AV146" s="14">
        <f t="array" ref="AV146">IFERROR(_xlfn.IFS(VALUE(MID(AV$5,6,1))&gt;$D$2,0,$AP146="Annual",1,AU146=12,12,$AP146="Monthly V",AU146*(1+$D$3),$AP146="Monthly F",12,$AP146="One-Time",0),AU146*(1+$D$3))</f>
        <v/>
      </c>
      <c r="AW146" s="14">
        <f t="array" ref="AW146">IFERROR(_xlfn.IFS(VALUE(MID(AW$5,6,1))&gt;$D$2,0,$AP146="Annual",1,AV146=12,12,$AP146="Monthly V",AV146*(1+$D$3),$AP146="Monthly F",12,$AP146="One-Time",0),AV146*(1+$D$3))</f>
        <v/>
      </c>
      <c r="AX146" s="14">
        <f t="array" ref="AX146">IFERROR(_xlfn.IFS(VALUE(MID(AX$5,6,1))&gt;$D$2,0,$AP146="Annual",1,AW146=12,12,$AP146="Monthly V",AW146*(1+$D$3),$AP146="Monthly F",12,$AP146="One-Time",0),AW146*(1+$D$3))</f>
        <v/>
      </c>
      <c r="AY146" s="14">
        <f t="array" ref="AY146">IFERROR(_xlfn.IFS(VALUE(MID(AY$5,6,1))&gt;$D$2,0,$AP146="Annual",1,AX146=12,12,$AP146="Monthly V",AX146*(1+$D$3),$AP146="Monthly F",12,$AP146="One-Time",0),AX146*(1+$D$3))</f>
        <v/>
      </c>
      <c r="AZ146" s="14">
        <f t="array" ref="AZ146">IFERROR(_xlfn.IFS(VALUE(MID(AZ$5,6,1))&gt;$D$2,0,$AP146="Annual",1,AY146=12,12,$AP146="Monthly V",AY146*(1+$D$3),$AP146="Monthly F",12,$AP146="One-Time",0),AY146*(1+$D$3))</f>
        <v/>
      </c>
      <c r="BA146" s="125">
        <f t="array" ref="BA146">IFERROR(_xlfn.IFS(VALUE(MID(BA$5,6,2))&gt;$D$2,0,$AP146="Annual",1,AZ146=12,12,$AP146="Monthly V",AZ146*(1+$D$3),$AP146="Monthly F",12,$AP146="One-Time",0),AZ146*(1+$D$3))</f>
        <v/>
      </c>
      <c r="BB146" s="124" t="inlineStr">
        <is>
          <t>RemitPlus Express - Financial Institution</t>
        </is>
      </c>
      <c r="BC146" s="38" t="inlineStr">
        <is>
          <t>ProfitStars RemitPlus</t>
        </is>
      </c>
      <c r="BD146" s="36" t="n">
        <v>3000</v>
      </c>
      <c r="BE146" s="21">
        <f>BF146/12</f>
        <v/>
      </c>
      <c r="BF146" s="39">
        <f>IFERROR(AR146*$BD146,0)</f>
        <v/>
      </c>
      <c r="BG146" s="39">
        <f>IFERROR(AS146*$BD146,0)</f>
        <v/>
      </c>
      <c r="BH146" s="39">
        <f>IFERROR(AT146*$BD146,0)</f>
        <v/>
      </c>
      <c r="BI146" s="39">
        <f>IFERROR(AU146*$BD146,0)</f>
        <v/>
      </c>
      <c r="BJ146" s="39">
        <f>IFERROR(AV146*$BD146,0)</f>
        <v/>
      </c>
      <c r="BK146" s="39">
        <f>IFERROR(AW146*$BD146,0)</f>
        <v/>
      </c>
      <c r="BL146" s="39">
        <f>IFERROR(AX146*$BD146,0)</f>
        <v/>
      </c>
      <c r="BM146" s="39">
        <f>IFERROR(AY146*$BD146,0)</f>
        <v/>
      </c>
      <c r="BN146" s="39">
        <f>IFERROR(AZ146*$BD146,0)</f>
        <v/>
      </c>
      <c r="BO146" s="39">
        <f>IFERROR(BA146*$BD146,0)</f>
        <v/>
      </c>
      <c r="BP146" s="40" t="n"/>
      <c r="BQ146" s="40">
        <f>IF(VALUE(MID(BQ$5,6,1))&lt;=$D$2,((1+$BD$3)^1-1)*BG146,0)</f>
        <v/>
      </c>
      <c r="BR146" s="40">
        <f>IF(VALUE(MID(BR$5,6,1))&lt;=$D$2,((1+$BD$3)^2-1)*BH146,0)</f>
        <v/>
      </c>
      <c r="BS146" s="40">
        <f>IF(VALUE(MID(BS$5,6,1))&lt;=$D$2,((1+$BD$3)^3-1)*BI146,0)</f>
        <v/>
      </c>
      <c r="BT146" s="40">
        <f>IF(VALUE(MID(BT$5,6,1))&lt;=$D$2,((1+$BD$3)^4-1)*BJ146,0)</f>
        <v/>
      </c>
      <c r="BU146" s="40">
        <f>IF(VALUE(MID(BU$5,6,1))&lt;=$D$2,((1+$BD$3)^5-1)*BK146,0)</f>
        <v/>
      </c>
      <c r="BV146" s="40">
        <f>IF(VALUE(MID(BV$5,6,1))&lt;=$D$2,((1+$BD$3)^6-1)*BL146,0)</f>
        <v/>
      </c>
      <c r="BW146" s="40">
        <f>IF(VALUE(MID(BW$5,6,1))&lt;=$D$2,((1+$BD$3)^7-1)*BM146,0)</f>
        <v/>
      </c>
      <c r="BX146" s="40">
        <f>IF(VALUE(MID(BX$5,6,1))&lt;=$D$2,((1+$BD$3)^8-1)*BN146,0)</f>
        <v/>
      </c>
      <c r="BY146" s="40">
        <f>IF(VALUE(MID(BY$5,6,2))&lt;=$D$2,((1+$BD$3)^9-1)*BO146,0)</f>
        <v/>
      </c>
      <c r="BZ146" s="40">
        <f>SUM(BP146:BY146)</f>
        <v/>
      </c>
      <c r="CA146" s="37">
        <f>SUM(BZ146,BF146:BO146)</f>
        <v/>
      </c>
      <c r="CC146" s="102" t="n"/>
      <c r="CD146" s="12" t="n"/>
      <c r="CE146" s="14">
        <f>IF($CC146="Annual",1,IF($CC146="Monthly F",12,IF($CC146="Monthly V",CD146*12,IF($CC146="One-Time",1,CD146*12))))</f>
        <v/>
      </c>
      <c r="CF146" s="14">
        <f t="array" ref="CF146">IFERROR(_xlfn.IFS(VALUE(MID(CF$5,6,1))&gt;$D$2,0,$CC146="Annual",1,CE146=12,12,$CC146="Monthly V",CE146*(1+$D$3),$CC146="Monthly F",12,$CC146="One-Time",0),CE146*(1+$D$3))</f>
        <v/>
      </c>
      <c r="CG146" s="14">
        <f t="array" ref="CG146">IFERROR(_xlfn.IFS(VALUE(MID(CG$5,6,1))&gt;$D$2,0,$CC146="Annual",1,CF146=12,12,$CC146="Monthly V",CF146*(1+$D$3),$CC146="Monthly F",12,$CC146="One-Time",0),CF146*(1+$D$3))</f>
        <v/>
      </c>
      <c r="CH146" s="14">
        <f t="array" ref="CH146">IFERROR(_xlfn.IFS(VALUE(MID(CH$5,6,1))&gt;$D$2,0,$CC146="Annual",1,CG146=12,12,$CC146="Monthly V",CG146*(1+$D$3),$CC146="Monthly F",12,$CC146="One-Time",0),CG146*(1+$D$3))</f>
        <v/>
      </c>
      <c r="CI146" s="14">
        <f t="array" ref="CI146">IFERROR(_xlfn.IFS(VALUE(MID(CI$5,6,1))&gt;$D$2,0,$CC146="Annual",1,CH146=12,12,$CC146="Monthly V",CH146*(1+$D$3),$CC146="Monthly F",12,$CC146="One-Time",0),CH146*(1+$D$3))</f>
        <v/>
      </c>
      <c r="CJ146" s="14">
        <f t="array" ref="CJ146">IFERROR(_xlfn.IFS(VALUE(MID(CJ$5,6,1))&gt;$D$2,0,$CC146="Annual",1,CI146=12,12,$CC146="Monthly V",CI146*(1+$D$3),$CC146="Monthly F",12,$CC146="One-Time",0),CI146*(1+$D$3))</f>
        <v/>
      </c>
      <c r="CK146" s="14">
        <f t="array" ref="CK146">IFERROR(_xlfn.IFS(VALUE(MID(CK$5,6,1))&gt;$D$2,0,$CC146="Annual",1,CJ146=12,12,$CC146="Monthly V",CJ146*(1+$D$3),$CC146="Monthly F",12,$CC146="One-Time",0),CJ146*(1+$D$3))</f>
        <v/>
      </c>
      <c r="CL146" s="14">
        <f t="array" ref="CL146">IFERROR(_xlfn.IFS(VALUE(MID(CL$5,6,1))&gt;$D$2,0,$CC146="Annual",1,CK146=12,12,$CC146="Monthly V",CK146*(1+$D$3),$CC146="Monthly F",12,$CC146="One-Time",0),CK146*(1+$D$3))</f>
        <v/>
      </c>
      <c r="CM146" s="14">
        <f t="array" ref="CM146">IFERROR(_xlfn.IFS(VALUE(MID(CM$5,6,1))&gt;$D$2,0,$CC146="Annual",1,CL146=12,12,$CC146="Monthly V",CL146*(1+$D$3),$CC146="Monthly F",12,$CC146="One-Time",0),CL146*(1+$D$3))</f>
        <v/>
      </c>
      <c r="CN146" s="24">
        <f t="array" ref="CN146">IFERROR(_xlfn.IFS(VALUE(MID(CN$5,6,2))&gt;$D$2,0,$CC146="Annual",1,CM146=12,12,$CC146="Monthly V",CM146*(1+$D$3),$CC146="Monthly F",12,$CC146="One-Time",0),CM146*(1+$D$3))</f>
        <v/>
      </c>
      <c r="CO146" s="63" t="n"/>
      <c r="CP146" s="53" t="n"/>
      <c r="CQ146" s="21">
        <f>CR146/12</f>
        <v/>
      </c>
      <c r="CR146" s="55">
        <f>IFERROR(CE146*$CP146,0)</f>
        <v/>
      </c>
      <c r="CS146" s="55">
        <f>IFERROR(CF146*$CP146,0)</f>
        <v/>
      </c>
      <c r="CT146" s="55">
        <f>IFERROR(CG146*$CP146,0)</f>
        <v/>
      </c>
      <c r="CU146" s="55">
        <f>IFERROR(CH146*$CP146,0)</f>
        <v/>
      </c>
      <c r="CV146" s="55">
        <f>IFERROR(CI146*$CP146,0)</f>
        <v/>
      </c>
      <c r="CW146" s="55">
        <f>IFERROR(CJ146*$CP146,0)</f>
        <v/>
      </c>
      <c r="CX146" s="55">
        <f>IFERROR(CK146*$CP146,0)</f>
        <v/>
      </c>
      <c r="CY146" s="55">
        <f>IFERROR(CL146*$CP146,0)</f>
        <v/>
      </c>
      <c r="CZ146" s="55">
        <f>IFERROR(CM146*$CP146,0)</f>
        <v/>
      </c>
      <c r="DA146" s="55">
        <f>IFERROR(CN146*$CP146,0)</f>
        <v/>
      </c>
      <c r="DB146" s="56" t="n"/>
      <c r="DC146" s="56">
        <f>IF(VALUE(MID(DC$5,6,1))&lt;=$D$2,((1+$CP$3)^1-1)*CS146,0)</f>
        <v/>
      </c>
      <c r="DD146" s="56">
        <f>IF(VALUE(MID(DD$5,6,1))&lt;=$D$2,((1+$CP$3)^2-1)*CT146,0)</f>
        <v/>
      </c>
      <c r="DE146" s="56">
        <f>IF(VALUE(MID(DE$5,6,1))&lt;=$D$2,((1+$CP$3)^3-1)*CU146,0)</f>
        <v/>
      </c>
      <c r="DF146" s="56">
        <f>IF(VALUE(MID(DF$5,6,1))&lt;=$D$2,((1+$CP$3)^4-1)*CV146,0)</f>
        <v/>
      </c>
      <c r="DG146" s="56">
        <f>IF(VALUE(MID(DG$5,6,1))&lt;=$D$2,((1+$CP$3)^5-1)*CW146,0)</f>
        <v/>
      </c>
      <c r="DH146" s="56">
        <f>IF(VALUE(MID(DH$5,6,1))&lt;=$D$2,((1+$CP$3)^6-1)*CX146,0)</f>
        <v/>
      </c>
      <c r="DI146" s="56">
        <f>IF(VALUE(MID(DI$5,6,1))&lt;=$D$2,((1+$CP$3)^7-1)*CY146,0)</f>
        <v/>
      </c>
      <c r="DJ146" s="56">
        <f>IF(VALUE(MID(DJ$5,6,1))&lt;=$D$2,((1+$CP$3)^8-1)*CZ146,0)</f>
        <v/>
      </c>
      <c r="DK146" s="56">
        <f>IF(VALUE(MID(DK$5,6,2))&lt;=$D$2,((1+$CP$3)^9-1)*DA146,0)</f>
        <v/>
      </c>
      <c r="DL146" s="57">
        <f>SUM(DB146:DK146)</f>
        <v/>
      </c>
      <c r="DM146" s="54">
        <f>SUM(DL146,CR146:DA146)</f>
        <v/>
      </c>
      <c r="DO146" s="106" t="n"/>
    </row>
    <row r="147">
      <c r="B147" s="141" t="inlineStr">
        <is>
          <t>Monthly F</t>
        </is>
      </c>
      <c r="C147" s="24" t="n">
        <v>1</v>
      </c>
      <c r="D147" s="147">
        <f>IFERROR(AVERAGE(C147:C147),0)</f>
        <v/>
      </c>
      <c r="E147" s="142">
        <f>IF($B147="Annual",1,IF($B147="Monthly F",12,IF($B147="Monthly V",D147*12,IF($B147="One-Time",1,D147*12))))</f>
        <v/>
      </c>
      <c r="F147" s="14">
        <f t="array" ref="F147">IFERROR(_xlfn.IFS(VALUE(MID(F$5,6,1))&gt;$D$2,0,$B147="Annual",1,E147=12,12,$B147="Monthly V",E147*(1+$D$3),$B147="Monthly F",12,$B147="One-Time",0),E147*(1+$D$3))</f>
        <v/>
      </c>
      <c r="G147" s="14">
        <f t="array" ref="G147">IFERROR(_xlfn.IFS(VALUE(MID(G$5,6,1))&gt;$D$2,0,$B147="Annual",1,F147=12,12,$B147="Monthly V",F147*(1+$D$3),$B147="Monthly F",12,$B147="One-Time",0),F147*(1+$D$3))</f>
        <v/>
      </c>
      <c r="H147" s="14">
        <f t="array" ref="H147">IFERROR(_xlfn.IFS(VALUE(MID(H$5,6,1))&gt;$D$2,0,$B147="Annual",1,G147=12,12,$B147="Monthly V",G147*(1+$D$3),$B147="Monthly F",12,$B147="One-Time",0),G147*(1+$D$3))</f>
        <v/>
      </c>
      <c r="I147" s="14">
        <f t="array" ref="I147">IFERROR(_xlfn.IFS(VALUE(MID(I$5,6,1))&gt;$D$2,0,$B147="Annual",1,H147=12,12,$B147="Monthly V",H147*(1+$D$3),$B147="Monthly F",12,$B147="One-Time",0),H147*(1+$D$3))</f>
        <v/>
      </c>
      <c r="J147" s="14">
        <f t="array" ref="J147">IFERROR(_xlfn.IFS(VALUE(MID(J$5,6,1))&gt;$D$2,0,$B147="Annual",1,I147=12,12,$B147="Monthly V",I147*(1+$D$3),$B147="Monthly F",12,$B147="One-Time",0),I147*(1+$D$3))</f>
        <v/>
      </c>
      <c r="K147" s="14">
        <f t="array" ref="K147">IFERROR(_xlfn.IFS(VALUE(MID(K$5,6,1))&gt;$D$2,0,$B147="Annual",1,J147=12,12,$B147="Monthly V",J147*(1+$D$3),$B147="Monthly F",12,$B147="One-Time",0),J147*(1+$D$3))</f>
        <v/>
      </c>
      <c r="L147" s="14">
        <f t="array" ref="L147">IFERROR(_xlfn.IFS(VALUE(MID(L$5,6,1))&gt;$D$2,0,$B147="Annual",1,K147=12,12,$B147="Monthly V",K147*(1+$D$3),$B147="Monthly F",12,$B147="One-Time",0),K147*(1+$D$3))</f>
        <v/>
      </c>
      <c r="M147" s="14">
        <f t="array" ref="M147">IFERROR(_xlfn.IFS(VALUE(MID(M$5,6,1))&gt;$D$2,0,$B147="Annual",1,L147=12,12,$B147="Monthly V",L147*(1+$D$3),$B147="Monthly F",12,$B147="One-Time",0),L147*(1+$D$3))</f>
        <v/>
      </c>
      <c r="N147" s="24">
        <f t="array" ref="N147">IFERROR(_xlfn.IFS(VALUE(MID(N$5,6,2))&gt;$D$2,0,$B147="Annual",1,M147=12,12,$B147="Monthly V",M147*(1+$D$3),$B147="Monthly F",12,$B147="One-Time",0),M147*(1+$D$3))</f>
        <v/>
      </c>
      <c r="O147" s="127" t="inlineStr">
        <is>
          <t>Fixed Assets</t>
        </is>
      </c>
      <c r="P147" s="13" t="n"/>
      <c r="Q147" s="20" t="n">
        <v>311</v>
      </c>
      <c r="R147" s="21">
        <f>S147/12</f>
        <v/>
      </c>
      <c r="S147" s="6">
        <f>IFERROR($Q147*E147,0)</f>
        <v/>
      </c>
      <c r="T147" s="6">
        <f>IFERROR($Q147*F147,0)</f>
        <v/>
      </c>
      <c r="U147" s="6">
        <f>IFERROR($Q147*G147,0)</f>
        <v/>
      </c>
      <c r="V147" s="6">
        <f>IFERROR($Q147*H147,0)</f>
        <v/>
      </c>
      <c r="W147" s="6">
        <f>IFERROR($Q147*I147,0)</f>
        <v/>
      </c>
      <c r="X147" s="6">
        <f>IFERROR($Q147*J147,0)</f>
        <v/>
      </c>
      <c r="Y147" s="6">
        <f>IFERROR($Q147*K147,0)</f>
        <v/>
      </c>
      <c r="Z147" s="6">
        <f>IFERROR($Q147*L147,0)</f>
        <v/>
      </c>
      <c r="AA147" s="6">
        <f>IFERROR($Q147*M147,0)</f>
        <v/>
      </c>
      <c r="AB147" s="6">
        <f>IFERROR($Q147*N147,0)</f>
        <v/>
      </c>
      <c r="AC147" s="7" t="n"/>
      <c r="AD147" s="152">
        <f>IF(VALUE(MID(AD$5,6,1))&lt;=$D$2,((1+$Q$3)^1-1)*T147,0)</f>
        <v/>
      </c>
      <c r="AE147" s="152">
        <f>IF(VALUE(MID(AE$5,6,1))&lt;=$D$2,((1+$Q$3)^2-1)*U147,0)</f>
        <v/>
      </c>
      <c r="AF147" s="152">
        <f>IF(VALUE(MID(AF$5,6,1))&lt;=$D$2,((1+$Q$3)^3-1)*V147,0)</f>
        <v/>
      </c>
      <c r="AG147" s="152">
        <f>IF(VALUE(MID(AG$5,6,1))&lt;=$D$2,((1+$Q$3)^4-1)*W147,0)</f>
        <v/>
      </c>
      <c r="AH147" s="152">
        <f>IF(VALUE(MID(AH$5,6,1))&lt;=$D$2,((1+$Q$3)^5-1)*X147,0)</f>
        <v/>
      </c>
      <c r="AI147" s="152">
        <f>IF(VALUE(MID(AI$5,6,1))&lt;=$D$2,((1+$Q$3)^6-1)*Y147,0)</f>
        <v/>
      </c>
      <c r="AJ147" s="152">
        <f>IF(VALUE(MID(AJ$5,6,1))&lt;=$D$2,((1+$Q$3)^7-1)*Z147,0)</f>
        <v/>
      </c>
      <c r="AK147" s="152">
        <f>IF(VALUE(MID(AK$5,6,1))&lt;=$D$2,((1+$Q$3)^8-1)*AA147,0)</f>
        <v/>
      </c>
      <c r="AL147" s="152">
        <f>IF(VALUE(MID(AL$5,6,2))&lt;=$D$2,((1+$Q$3)^9-1)*AB147,0)</f>
        <v/>
      </c>
      <c r="AM147" s="9">
        <f>SUM(AC147:AL147)</f>
        <v/>
      </c>
      <c r="AN147" s="80">
        <f>SUM(AM147,S147:AB147)</f>
        <v/>
      </c>
      <c r="AP147" s="102" t="inlineStr">
        <is>
          <t>One-Time</t>
        </is>
      </c>
      <c r="AQ147" s="12" t="n">
        <v>1</v>
      </c>
      <c r="AR147" s="14">
        <f>IF($AP147="Annual",1,IF($AP147="Monthly F",12,IF($AP147="Monthly V",AQ147*12,IF($AP147="One-Time",1,AQ147*12))))</f>
        <v/>
      </c>
      <c r="AS147" s="14">
        <f t="array" ref="AS147">IFERROR(_xlfn.IFS(VALUE(MID(AS$5,6,1))&gt;$D$2,0,$AP147="Annual",1,AR147=12,12,$AP147="Monthly V",AR147*(1+$D$3),$AP147="Monthly F",12,$AP147="One-Time",0),AR147*(1+$D$3))</f>
        <v/>
      </c>
      <c r="AT147" s="14">
        <f t="array" ref="AT147">IFERROR(_xlfn.IFS(VALUE(MID(AT$5,6,1))&gt;$D$2,0,$AP147="Annual",1,AS147=12,12,$AP147="Monthly V",AS147*(1+$D$3),$AP147="Monthly F",12,$AP147="One-Time",0),AS147*(1+$D$3))</f>
        <v/>
      </c>
      <c r="AU147" s="14">
        <f t="array" ref="AU147">IFERROR(_xlfn.IFS(VALUE(MID(AU$5,6,1))&gt;$D$2,0,$AP147="Annual",1,AT147=12,12,$AP147="Monthly V",AT147*(1+$D$3),$AP147="Monthly F",12,$AP147="One-Time",0),AT147*(1+$D$3))</f>
        <v/>
      </c>
      <c r="AV147" s="14">
        <f t="array" ref="AV147">IFERROR(_xlfn.IFS(VALUE(MID(AV$5,6,1))&gt;$D$2,0,$AP147="Annual",1,AU147=12,12,$AP147="Monthly V",AU147*(1+$D$3),$AP147="Monthly F",12,$AP147="One-Time",0),AU147*(1+$D$3))</f>
        <v/>
      </c>
      <c r="AW147" s="14">
        <f t="array" ref="AW147">IFERROR(_xlfn.IFS(VALUE(MID(AW$5,6,1))&gt;$D$2,0,$AP147="Annual",1,AV147=12,12,$AP147="Monthly V",AV147*(1+$D$3),$AP147="Monthly F",12,$AP147="One-Time",0),AV147*(1+$D$3))</f>
        <v/>
      </c>
      <c r="AX147" s="14">
        <f t="array" ref="AX147">IFERROR(_xlfn.IFS(VALUE(MID(AX$5,6,1))&gt;$D$2,0,$AP147="Annual",1,AW147=12,12,$AP147="Monthly V",AW147*(1+$D$3),$AP147="Monthly F",12,$AP147="One-Time",0),AW147*(1+$D$3))</f>
        <v/>
      </c>
      <c r="AY147" s="14">
        <f t="array" ref="AY147">IFERROR(_xlfn.IFS(VALUE(MID(AY$5,6,1))&gt;$D$2,0,$AP147="Annual",1,AX147=12,12,$AP147="Monthly V",AX147*(1+$D$3),$AP147="Monthly F",12,$AP147="One-Time",0),AX147*(1+$D$3))</f>
        <v/>
      </c>
      <c r="AZ147" s="14">
        <f t="array" ref="AZ147">IFERROR(_xlfn.IFS(VALUE(MID(AZ$5,6,1))&gt;$D$2,0,$AP147="Annual",1,AY147=12,12,$AP147="Monthly V",AY147*(1+$D$3),$AP147="Monthly F",12,$AP147="One-Time",0),AY147*(1+$D$3))</f>
        <v/>
      </c>
      <c r="BA147" s="125">
        <f t="array" ref="BA147">IFERROR(_xlfn.IFS(VALUE(MID(BA$5,6,2))&gt;$D$2,0,$AP147="Annual",1,AZ147=12,12,$AP147="Monthly V",AZ147*(1+$D$3),$AP147="Monthly F",12,$AP147="One-Time",0),AZ147*(1+$D$3))</f>
        <v/>
      </c>
      <c r="BB147" s="124" t="inlineStr">
        <is>
          <t>Jack Henry Loyalty and Rewards Strategy Engagement</t>
        </is>
      </c>
      <c r="BC147" s="38" t="inlineStr">
        <is>
          <t>Core</t>
        </is>
      </c>
      <c r="BD147" s="36" t="n">
        <v>18000</v>
      </c>
      <c r="BE147" s="21">
        <f>BF147/12</f>
        <v/>
      </c>
      <c r="BF147" s="39">
        <f>IFERROR(AR147*$BD147,0)</f>
        <v/>
      </c>
      <c r="BG147" s="39">
        <f>IFERROR(AS147*$BD147,0)</f>
        <v/>
      </c>
      <c r="BH147" s="39">
        <f>IFERROR(AT147*$BD147,0)</f>
        <v/>
      </c>
      <c r="BI147" s="39">
        <f>IFERROR(AU147*$BD147,0)</f>
        <v/>
      </c>
      <c r="BJ147" s="39">
        <f>IFERROR(AV147*$BD147,0)</f>
        <v/>
      </c>
      <c r="BK147" s="39">
        <f>IFERROR(AW147*$BD147,0)</f>
        <v/>
      </c>
      <c r="BL147" s="39">
        <f>IFERROR(AX147*$BD147,0)</f>
        <v/>
      </c>
      <c r="BM147" s="39">
        <f>IFERROR(AY147*$BD147,0)</f>
        <v/>
      </c>
      <c r="BN147" s="39">
        <f>IFERROR(AZ147*$BD147,0)</f>
        <v/>
      </c>
      <c r="BO147" s="39">
        <f>IFERROR(BA147*$BD147,0)</f>
        <v/>
      </c>
      <c r="BP147" s="40" t="n"/>
      <c r="BQ147" s="40">
        <f>IF(VALUE(MID(BQ$5,6,1))&lt;=$D$2,((1+$BD$3)^1-1)*BG147,0)</f>
        <v/>
      </c>
      <c r="BR147" s="40">
        <f>IF(VALUE(MID(BR$5,6,1))&lt;=$D$2,((1+$BD$3)^2-1)*BH147,0)</f>
        <v/>
      </c>
      <c r="BS147" s="40">
        <f>IF(VALUE(MID(BS$5,6,1))&lt;=$D$2,((1+$BD$3)^3-1)*BI147,0)</f>
        <v/>
      </c>
      <c r="BT147" s="40">
        <f>IF(VALUE(MID(BT$5,6,1))&lt;=$D$2,((1+$BD$3)^4-1)*BJ147,0)</f>
        <v/>
      </c>
      <c r="BU147" s="40">
        <f>IF(VALUE(MID(BU$5,6,1))&lt;=$D$2,((1+$BD$3)^5-1)*BK147,0)</f>
        <v/>
      </c>
      <c r="BV147" s="40">
        <f>IF(VALUE(MID(BV$5,6,1))&lt;=$D$2,((1+$BD$3)^6-1)*BL147,0)</f>
        <v/>
      </c>
      <c r="BW147" s="40">
        <f>IF(VALUE(MID(BW$5,6,1))&lt;=$D$2,((1+$BD$3)^7-1)*BM147,0)</f>
        <v/>
      </c>
      <c r="BX147" s="40">
        <f>IF(VALUE(MID(BX$5,6,1))&lt;=$D$2,((1+$BD$3)^8-1)*BN147,0)</f>
        <v/>
      </c>
      <c r="BY147" s="40">
        <f>IF(VALUE(MID(BY$5,6,2))&lt;=$D$2,((1+$BD$3)^9-1)*BO147,0)</f>
        <v/>
      </c>
      <c r="BZ147" s="40">
        <f>SUM(BP147:BY147)</f>
        <v/>
      </c>
      <c r="CA147" s="37">
        <f>SUM(BZ147,BF147:BO147)</f>
        <v/>
      </c>
      <c r="CC147" s="102" t="n"/>
      <c r="CD147" s="12" t="n"/>
      <c r="CE147" s="14" t="n"/>
      <c r="CF147" s="14" t="n"/>
      <c r="CG147" s="14" t="n"/>
      <c r="CH147" s="14" t="n"/>
      <c r="CI147" s="14" t="n"/>
      <c r="CJ147" s="14" t="n"/>
      <c r="CK147" s="14" t="n"/>
      <c r="CL147" s="14" t="n"/>
      <c r="CM147" s="14" t="n"/>
      <c r="CN147" s="24" t="n"/>
      <c r="CO147" s="63" t="n"/>
      <c r="CP147" s="53" t="n"/>
      <c r="CQ147" s="21" t="n"/>
      <c r="CR147" s="55" t="n"/>
      <c r="CS147" s="55" t="n"/>
      <c r="CT147" s="55" t="n"/>
      <c r="CU147" s="55" t="n"/>
      <c r="CV147" s="55" t="n"/>
      <c r="CW147" s="55" t="n"/>
      <c r="CX147" s="55" t="n"/>
      <c r="CY147" s="55" t="n"/>
      <c r="CZ147" s="55" t="n"/>
      <c r="DA147" s="55" t="n"/>
      <c r="DB147" s="56" t="n"/>
      <c r="DC147" s="56" t="n"/>
      <c r="DD147" s="56" t="n"/>
      <c r="DE147" s="56" t="n"/>
      <c r="DF147" s="56" t="n"/>
      <c r="DG147" s="56" t="n"/>
      <c r="DH147" s="56" t="n"/>
      <c r="DI147" s="56" t="n"/>
      <c r="DJ147" s="56" t="n"/>
      <c r="DK147" s="56" t="n"/>
      <c r="DL147" s="57" t="n"/>
      <c r="DM147" s="54" t="n"/>
      <c r="DO147" s="106" t="n"/>
    </row>
    <row r="148">
      <c r="B148" s="141" t="inlineStr">
        <is>
          <t>Monthly F</t>
        </is>
      </c>
      <c r="C148" s="24" t="n">
        <v>1</v>
      </c>
      <c r="D148" s="147">
        <f>IFERROR(AVERAGE(C148:C148),0)</f>
        <v/>
      </c>
      <c r="E148" s="142">
        <f>IF($B148="Annual",1,IF($B148="Monthly F",12,IF($B148="Monthly V",D148*12,IF($B148="One-Time",1,D148*12))))</f>
        <v/>
      </c>
      <c r="F148" s="14">
        <f t="array" ref="F148">IFERROR(_xlfn.IFS(VALUE(MID(F$5,6,1))&gt;$D$2,0,$B148="Annual",1,E148=12,12,$B148="Monthly V",E148*(1+$D$3),$B148="Monthly F",12,$B148="One-Time",0),E148*(1+$D$3))</f>
        <v/>
      </c>
      <c r="G148" s="14">
        <f t="array" ref="G148">IFERROR(_xlfn.IFS(VALUE(MID(G$5,6,1))&gt;$D$2,0,$B148="Annual",1,F148=12,12,$B148="Monthly V",F148*(1+$D$3),$B148="Monthly F",12,$B148="One-Time",0),F148*(1+$D$3))</f>
        <v/>
      </c>
      <c r="H148" s="14">
        <f t="array" ref="H148">IFERROR(_xlfn.IFS(VALUE(MID(H$5,6,1))&gt;$D$2,0,$B148="Annual",1,G148=12,12,$B148="Monthly V",G148*(1+$D$3),$B148="Monthly F",12,$B148="One-Time",0),G148*(1+$D$3))</f>
        <v/>
      </c>
      <c r="I148" s="14">
        <f t="array" ref="I148">IFERROR(_xlfn.IFS(VALUE(MID(I$5,6,1))&gt;$D$2,0,$B148="Annual",1,H148=12,12,$B148="Monthly V",H148*(1+$D$3),$B148="Monthly F",12,$B148="One-Time",0),H148*(1+$D$3))</f>
        <v/>
      </c>
      <c r="J148" s="14">
        <f t="array" ref="J148">IFERROR(_xlfn.IFS(VALUE(MID(J$5,6,1))&gt;$D$2,0,$B148="Annual",1,I148=12,12,$B148="Monthly V",I148*(1+$D$3),$B148="Monthly F",12,$B148="One-Time",0),I148*(1+$D$3))</f>
        <v/>
      </c>
      <c r="K148" s="14">
        <f t="array" ref="K148">IFERROR(_xlfn.IFS(VALUE(MID(K$5,6,1))&gt;$D$2,0,$B148="Annual",1,J148=12,12,$B148="Monthly V",J148*(1+$D$3),$B148="Monthly F",12,$B148="One-Time",0),J148*(1+$D$3))</f>
        <v/>
      </c>
      <c r="L148" s="14">
        <f t="array" ref="L148">IFERROR(_xlfn.IFS(VALUE(MID(L$5,6,1))&gt;$D$2,0,$B148="Annual",1,K148=12,12,$B148="Monthly V",K148*(1+$D$3),$B148="Monthly F",12,$B148="One-Time",0),K148*(1+$D$3))</f>
        <v/>
      </c>
      <c r="M148" s="14">
        <f t="array" ref="M148">IFERROR(_xlfn.IFS(VALUE(MID(M$5,6,1))&gt;$D$2,0,$B148="Annual",1,L148=12,12,$B148="Monthly V",L148*(1+$D$3),$B148="Monthly F",12,$B148="One-Time",0),L148*(1+$D$3))</f>
        <v/>
      </c>
      <c r="N148" s="24">
        <f t="array" ref="N148">IFERROR(_xlfn.IFS(VALUE(MID(N$5,6,2))&gt;$D$2,0,$B148="Annual",1,M148=12,12,$B148="Monthly V",M148*(1+$D$3),$B148="Monthly F",12,$B148="One-Time",0),M148*(1+$D$3))</f>
        <v/>
      </c>
      <c r="O148" s="127" t="inlineStr">
        <is>
          <t>Prepaids</t>
        </is>
      </c>
      <c r="P148" s="13" t="n"/>
      <c r="Q148" s="20" t="n">
        <v>109</v>
      </c>
      <c r="R148" s="21">
        <f>S148/12</f>
        <v/>
      </c>
      <c r="S148" s="6">
        <f>IFERROR($Q148*E148,0)</f>
        <v/>
      </c>
      <c r="T148" s="6">
        <f>IFERROR($Q148*F148,0)</f>
        <v/>
      </c>
      <c r="U148" s="6">
        <f>IFERROR($Q148*G148,0)</f>
        <v/>
      </c>
      <c r="V148" s="6">
        <f>IFERROR($Q148*H148,0)</f>
        <v/>
      </c>
      <c r="W148" s="6">
        <f>IFERROR($Q148*I148,0)</f>
        <v/>
      </c>
      <c r="X148" s="6">
        <f>IFERROR($Q148*J148,0)</f>
        <v/>
      </c>
      <c r="Y148" s="6">
        <f>IFERROR($Q148*K148,0)</f>
        <v/>
      </c>
      <c r="Z148" s="6">
        <f>IFERROR($Q148*L148,0)</f>
        <v/>
      </c>
      <c r="AA148" s="6">
        <f>IFERROR($Q148*M148,0)</f>
        <v/>
      </c>
      <c r="AB148" s="6">
        <f>IFERROR($Q148*N148,0)</f>
        <v/>
      </c>
      <c r="AC148" s="7" t="n"/>
      <c r="AD148" s="152">
        <f>IF(VALUE(MID(AD$5,6,1))&lt;=$D$2,((1+$Q$3)^1-1)*T148,0)</f>
        <v/>
      </c>
      <c r="AE148" s="152">
        <f>IF(VALUE(MID(AE$5,6,1))&lt;=$D$2,((1+$Q$3)^2-1)*U148,0)</f>
        <v/>
      </c>
      <c r="AF148" s="152">
        <f>IF(VALUE(MID(AF$5,6,1))&lt;=$D$2,((1+$Q$3)^3-1)*V148,0)</f>
        <v/>
      </c>
      <c r="AG148" s="152">
        <f>IF(VALUE(MID(AG$5,6,1))&lt;=$D$2,((1+$Q$3)^4-1)*W148,0)</f>
        <v/>
      </c>
      <c r="AH148" s="152">
        <f>IF(VALUE(MID(AH$5,6,1))&lt;=$D$2,((1+$Q$3)^5-1)*X148,0)</f>
        <v/>
      </c>
      <c r="AI148" s="152">
        <f>IF(VALUE(MID(AI$5,6,1))&lt;=$D$2,((1+$Q$3)^6-1)*Y148,0)</f>
        <v/>
      </c>
      <c r="AJ148" s="152">
        <f>IF(VALUE(MID(AJ$5,6,1))&lt;=$D$2,((1+$Q$3)^7-1)*Z148,0)</f>
        <v/>
      </c>
      <c r="AK148" s="152">
        <f>IF(VALUE(MID(AK$5,6,1))&lt;=$D$2,((1+$Q$3)^8-1)*AA148,0)</f>
        <v/>
      </c>
      <c r="AL148" s="152">
        <f>IF(VALUE(MID(AL$5,6,2))&lt;=$D$2,((1+$Q$3)^9-1)*AB148,0)</f>
        <v/>
      </c>
      <c r="AM148" s="9">
        <f>SUM(AC148:AL148)</f>
        <v/>
      </c>
      <c r="AN148" s="80">
        <f>SUM(AM148,S148:AB148)</f>
        <v/>
      </c>
      <c r="AP148" s="102" t="inlineStr">
        <is>
          <t>One-Time</t>
        </is>
      </c>
      <c r="AQ148" s="12" t="n">
        <v>1</v>
      </c>
      <c r="AR148" s="14">
        <f>IF($AP148="Annual",1,IF($AP148="Monthly F",12,IF($AP148="Monthly V",AQ148*12,IF($AP148="One-Time",1,AQ148*12))))</f>
        <v/>
      </c>
      <c r="AS148" s="14">
        <f t="array" ref="AS148">IFERROR(_xlfn.IFS(VALUE(MID(AS$5,6,1))&gt;$D$2,0,$AP148="Annual",1,AR148=12,12,$AP148="Monthly V",AR148*(1+$D$3),$AP148="Monthly F",12,$AP148="One-Time",0),AR148*(1+$D$3))</f>
        <v/>
      </c>
      <c r="AT148" s="14">
        <f t="array" ref="AT148">IFERROR(_xlfn.IFS(VALUE(MID(AT$5,6,1))&gt;$D$2,0,$AP148="Annual",1,AS148=12,12,$AP148="Monthly V",AS148*(1+$D$3),$AP148="Monthly F",12,$AP148="One-Time",0),AS148*(1+$D$3))</f>
        <v/>
      </c>
      <c r="AU148" s="14">
        <f t="array" ref="AU148">IFERROR(_xlfn.IFS(VALUE(MID(AU$5,6,1))&gt;$D$2,0,$AP148="Annual",1,AT148=12,12,$AP148="Monthly V",AT148*(1+$D$3),$AP148="Monthly F",12,$AP148="One-Time",0),AT148*(1+$D$3))</f>
        <v/>
      </c>
      <c r="AV148" s="14">
        <f t="array" ref="AV148">IFERROR(_xlfn.IFS(VALUE(MID(AV$5,6,1))&gt;$D$2,0,$AP148="Annual",1,AU148=12,12,$AP148="Monthly V",AU148*(1+$D$3),$AP148="Monthly F",12,$AP148="One-Time",0),AU148*(1+$D$3))</f>
        <v/>
      </c>
      <c r="AW148" s="14">
        <f t="array" ref="AW148">IFERROR(_xlfn.IFS(VALUE(MID(AW$5,6,1))&gt;$D$2,0,$AP148="Annual",1,AV148=12,12,$AP148="Monthly V",AV148*(1+$D$3),$AP148="Monthly F",12,$AP148="One-Time",0),AV148*(1+$D$3))</f>
        <v/>
      </c>
      <c r="AX148" s="14">
        <f t="array" ref="AX148">IFERROR(_xlfn.IFS(VALUE(MID(AX$5,6,1))&gt;$D$2,0,$AP148="Annual",1,AW148=12,12,$AP148="Monthly V",AW148*(1+$D$3),$AP148="Monthly F",12,$AP148="One-Time",0),AW148*(1+$D$3))</f>
        <v/>
      </c>
      <c r="AY148" s="14">
        <f t="array" ref="AY148">IFERROR(_xlfn.IFS(VALUE(MID(AY$5,6,1))&gt;$D$2,0,$AP148="Annual",1,AX148=12,12,$AP148="Monthly V",AX148*(1+$D$3),$AP148="Monthly F",12,$AP148="One-Time",0),AX148*(1+$D$3))</f>
        <v/>
      </c>
      <c r="AZ148" s="14">
        <f t="array" ref="AZ148">IFERROR(_xlfn.IFS(VALUE(MID(AZ$5,6,1))&gt;$D$2,0,$AP148="Annual",1,AY148=12,12,$AP148="Monthly V",AY148*(1+$D$3),$AP148="Monthly F",12,$AP148="One-Time",0),AY148*(1+$D$3))</f>
        <v/>
      </c>
      <c r="BA148" s="125">
        <f t="array" ref="BA148">IFERROR(_xlfn.IFS(VALUE(MID(BA$5,6,2))&gt;$D$2,0,$AP148="Annual",1,AZ148=12,12,$AP148="Monthly V",AZ148*(1+$D$3),$AP148="Monthly F",12,$AP148="One-Time",0),AZ148*(1+$D$3))</f>
        <v/>
      </c>
      <c r="BB148" s="124" t="inlineStr">
        <is>
          <t>JHA Client Services Consulting Workflow Process Automation Strategy</t>
        </is>
      </c>
      <c r="BC148" s="38" t="inlineStr">
        <is>
          <t>jhaEnterprise Workflow</t>
        </is>
      </c>
      <c r="BD148" s="36" t="n">
        <v>15000</v>
      </c>
      <c r="BE148" s="21">
        <f>BF148/12</f>
        <v/>
      </c>
      <c r="BF148" s="39">
        <f>IFERROR(AR148*$BD148,0)</f>
        <v/>
      </c>
      <c r="BG148" s="39">
        <f>IFERROR(AS148*$BD148,0)</f>
        <v/>
      </c>
      <c r="BH148" s="39">
        <f>IFERROR(AT148*$BD148,0)</f>
        <v/>
      </c>
      <c r="BI148" s="39">
        <f>IFERROR(AU148*$BD148,0)</f>
        <v/>
      </c>
      <c r="BJ148" s="39">
        <f>IFERROR(AV148*$BD148,0)</f>
        <v/>
      </c>
      <c r="BK148" s="39">
        <f>IFERROR(AW148*$BD148,0)</f>
        <v/>
      </c>
      <c r="BL148" s="39">
        <f>IFERROR(AX148*$BD148,0)</f>
        <v/>
      </c>
      <c r="BM148" s="39">
        <f>IFERROR(AY148*$BD148,0)</f>
        <v/>
      </c>
      <c r="BN148" s="39">
        <f>IFERROR(AZ148*$BD148,0)</f>
        <v/>
      </c>
      <c r="BO148" s="39">
        <f>IFERROR(BA148*$BD148,0)</f>
        <v/>
      </c>
      <c r="BP148" s="40" t="n"/>
      <c r="BQ148" s="40">
        <f>IF(VALUE(MID(BQ$5,6,1))&lt;=$D$2,((1+$BD$3)^1-1)*BG148,0)</f>
        <v/>
      </c>
      <c r="BR148" s="40">
        <f>IF(VALUE(MID(BR$5,6,1))&lt;=$D$2,((1+$BD$3)^2-1)*BH148,0)</f>
        <v/>
      </c>
      <c r="BS148" s="40">
        <f>IF(VALUE(MID(BS$5,6,1))&lt;=$D$2,((1+$BD$3)^3-1)*BI148,0)</f>
        <v/>
      </c>
      <c r="BT148" s="40">
        <f>IF(VALUE(MID(BT$5,6,1))&lt;=$D$2,((1+$BD$3)^4-1)*BJ148,0)</f>
        <v/>
      </c>
      <c r="BU148" s="40">
        <f>IF(VALUE(MID(BU$5,6,1))&lt;=$D$2,((1+$BD$3)^5-1)*BK148,0)</f>
        <v/>
      </c>
      <c r="BV148" s="40">
        <f>IF(VALUE(MID(BV$5,6,1))&lt;=$D$2,((1+$BD$3)^6-1)*BL148,0)</f>
        <v/>
      </c>
      <c r="BW148" s="40">
        <f>IF(VALUE(MID(BW$5,6,1))&lt;=$D$2,((1+$BD$3)^7-1)*BM148,0)</f>
        <v/>
      </c>
      <c r="BX148" s="40">
        <f>IF(VALUE(MID(BX$5,6,1))&lt;=$D$2,((1+$BD$3)^8-1)*BN148,0)</f>
        <v/>
      </c>
      <c r="BY148" s="40">
        <f>IF(VALUE(MID(BY$5,6,2))&lt;=$D$2,((1+$BD$3)^9-1)*BO148,0)</f>
        <v/>
      </c>
      <c r="BZ148" s="40">
        <f>SUM(BP148:BY148)</f>
        <v/>
      </c>
      <c r="CA148" s="37">
        <f>SUM(BZ148,BF148:BO148)</f>
        <v/>
      </c>
      <c r="CC148" s="102" t="n"/>
      <c r="CD148" s="12" t="n"/>
      <c r="CE148" s="14" t="n"/>
      <c r="CF148" s="14" t="n"/>
      <c r="CG148" s="14" t="n"/>
      <c r="CH148" s="14" t="n"/>
      <c r="CI148" s="14" t="n"/>
      <c r="CJ148" s="14" t="n"/>
      <c r="CK148" s="14" t="n"/>
      <c r="CL148" s="14" t="n"/>
      <c r="CM148" s="14" t="n"/>
      <c r="CN148" s="24" t="n"/>
      <c r="CO148" s="63" t="n"/>
      <c r="CP148" s="53" t="n"/>
      <c r="CQ148" s="21" t="n"/>
      <c r="CR148" s="55" t="n"/>
      <c r="CS148" s="55" t="n"/>
      <c r="CT148" s="55" t="n"/>
      <c r="CU148" s="55" t="n"/>
      <c r="CV148" s="55" t="n"/>
      <c r="CW148" s="55" t="n"/>
      <c r="CX148" s="55" t="n"/>
      <c r="CY148" s="55" t="n"/>
      <c r="CZ148" s="55" t="n"/>
      <c r="DA148" s="55" t="n"/>
      <c r="DB148" s="56" t="n"/>
      <c r="DC148" s="56" t="n"/>
      <c r="DD148" s="56" t="n"/>
      <c r="DE148" s="56" t="n"/>
      <c r="DF148" s="56" t="n"/>
      <c r="DG148" s="56" t="n"/>
      <c r="DH148" s="56" t="n"/>
      <c r="DI148" s="56" t="n"/>
      <c r="DJ148" s="56" t="n"/>
      <c r="DK148" s="56" t="n"/>
      <c r="DL148" s="57" t="n"/>
      <c r="DM148" s="54" t="n"/>
      <c r="DO148" s="106" t="n"/>
    </row>
    <row r="149">
      <c r="B149" s="141" t="inlineStr">
        <is>
          <t>Monthly F</t>
        </is>
      </c>
      <c r="C149" s="24" t="n">
        <v>1</v>
      </c>
      <c r="D149" s="147">
        <f>IFERROR(AVERAGE(C149:C149),0)</f>
        <v/>
      </c>
      <c r="E149" s="142">
        <f>IF($B149="Annual",1,IF($B149="Monthly F",12,IF($B149="Monthly V",D149*12,IF($B149="One-Time",1,D149*12))))</f>
        <v/>
      </c>
      <c r="F149" s="14">
        <f t="array" ref="F149">IFERROR(_xlfn.IFS(VALUE(MID(F$5,6,1))&gt;$D$2,0,$B149="Annual",1,E149=12,12,$B149="Monthly V",E149*(1+$D$3),$B149="Monthly F",12,$B149="One-Time",0),E149*(1+$D$3))</f>
        <v/>
      </c>
      <c r="G149" s="14">
        <f t="array" ref="G149">IFERROR(_xlfn.IFS(VALUE(MID(G$5,6,1))&gt;$D$2,0,$B149="Annual",1,F149=12,12,$B149="Monthly V",F149*(1+$D$3),$B149="Monthly F",12,$B149="One-Time",0),F149*(1+$D$3))</f>
        <v/>
      </c>
      <c r="H149" s="14">
        <f t="array" ref="H149">IFERROR(_xlfn.IFS(VALUE(MID(H$5,6,1))&gt;$D$2,0,$B149="Annual",1,G149=12,12,$B149="Monthly V",G149*(1+$D$3),$B149="Monthly F",12,$B149="One-Time",0),G149*(1+$D$3))</f>
        <v/>
      </c>
      <c r="I149" s="14">
        <f t="array" ref="I149">IFERROR(_xlfn.IFS(VALUE(MID(I$5,6,1))&gt;$D$2,0,$B149="Annual",1,H149=12,12,$B149="Monthly V",H149*(1+$D$3),$B149="Monthly F",12,$B149="One-Time",0),H149*(1+$D$3))</f>
        <v/>
      </c>
      <c r="J149" s="14">
        <f t="array" ref="J149">IFERROR(_xlfn.IFS(VALUE(MID(J$5,6,1))&gt;$D$2,0,$B149="Annual",1,I149=12,12,$B149="Monthly V",I149*(1+$D$3),$B149="Monthly F",12,$B149="One-Time",0),I149*(1+$D$3))</f>
        <v/>
      </c>
      <c r="K149" s="14">
        <f t="array" ref="K149">IFERROR(_xlfn.IFS(VALUE(MID(K$5,6,1))&gt;$D$2,0,$B149="Annual",1,J149=12,12,$B149="Monthly V",J149*(1+$D$3),$B149="Monthly F",12,$B149="One-Time",0),J149*(1+$D$3))</f>
        <v/>
      </c>
      <c r="L149" s="14">
        <f t="array" ref="L149">IFERROR(_xlfn.IFS(VALUE(MID(L$5,6,1))&gt;$D$2,0,$B149="Annual",1,K149=12,12,$B149="Monthly V",K149*(1+$D$3),$B149="Monthly F",12,$B149="One-Time",0),K149*(1+$D$3))</f>
        <v/>
      </c>
      <c r="M149" s="14">
        <f t="array" ref="M149">IFERROR(_xlfn.IFS(VALUE(MID(M$5,6,1))&gt;$D$2,0,$B149="Annual",1,L149=12,12,$B149="Monthly V",L149*(1+$D$3),$B149="Monthly F",12,$B149="One-Time",0),L149*(1+$D$3))</f>
        <v/>
      </c>
      <c r="N149" s="24">
        <f t="array" ref="N149">IFERROR(_xlfn.IFS(VALUE(MID(N$5,6,2))&gt;$D$2,0,$B149="Annual",1,M149=12,12,$B149="Monthly V",M149*(1+$D$3),$B149="Monthly F",12,$B149="One-Time",0),M149*(1+$D$3))</f>
        <v/>
      </c>
      <c r="O149" s="127" t="inlineStr">
        <is>
          <t>Approval Workflow</t>
        </is>
      </c>
      <c r="P149" s="13" t="n"/>
      <c r="Q149" s="20" t="n">
        <v>154</v>
      </c>
      <c r="R149" s="21">
        <f>S149/12</f>
        <v/>
      </c>
      <c r="S149" s="6">
        <f>IFERROR($Q149*E149,0)</f>
        <v/>
      </c>
      <c r="T149" s="6">
        <f>IFERROR($Q149*F149,0)</f>
        <v/>
      </c>
      <c r="U149" s="6">
        <f>IFERROR($Q149*G149,0)</f>
        <v/>
      </c>
      <c r="V149" s="6">
        <f>IFERROR($Q149*H149,0)</f>
        <v/>
      </c>
      <c r="W149" s="6">
        <f>IFERROR($Q149*I149,0)</f>
        <v/>
      </c>
      <c r="X149" s="6">
        <f>IFERROR($Q149*J149,0)</f>
        <v/>
      </c>
      <c r="Y149" s="6">
        <f>IFERROR($Q149*K149,0)</f>
        <v/>
      </c>
      <c r="Z149" s="6">
        <f>IFERROR($Q149*L149,0)</f>
        <v/>
      </c>
      <c r="AA149" s="6">
        <f>IFERROR($Q149*M149,0)</f>
        <v/>
      </c>
      <c r="AB149" s="6">
        <f>IFERROR($Q149*N149,0)</f>
        <v/>
      </c>
      <c r="AC149" s="7" t="n"/>
      <c r="AD149" s="152">
        <f>IF(VALUE(MID(AD$5,6,1))&lt;=$D$2,((1+$Q$3)^1-1)*T149,0)</f>
        <v/>
      </c>
      <c r="AE149" s="152">
        <f>IF(VALUE(MID(AE$5,6,1))&lt;=$D$2,((1+$Q$3)^2-1)*U149,0)</f>
        <v/>
      </c>
      <c r="AF149" s="152">
        <f>IF(VALUE(MID(AF$5,6,1))&lt;=$D$2,((1+$Q$3)^3-1)*V149,0)</f>
        <v/>
      </c>
      <c r="AG149" s="152">
        <f>IF(VALUE(MID(AG$5,6,1))&lt;=$D$2,((1+$Q$3)^4-1)*W149,0)</f>
        <v/>
      </c>
      <c r="AH149" s="152">
        <f>IF(VALUE(MID(AH$5,6,1))&lt;=$D$2,((1+$Q$3)^5-1)*X149,0)</f>
        <v/>
      </c>
      <c r="AI149" s="152">
        <f>IF(VALUE(MID(AI$5,6,1))&lt;=$D$2,((1+$Q$3)^6-1)*Y149,0)</f>
        <v/>
      </c>
      <c r="AJ149" s="152">
        <f>IF(VALUE(MID(AJ$5,6,1))&lt;=$D$2,((1+$Q$3)^7-1)*Z149,0)</f>
        <v/>
      </c>
      <c r="AK149" s="152">
        <f>IF(VALUE(MID(AK$5,6,1))&lt;=$D$2,((1+$Q$3)^8-1)*AA149,0)</f>
        <v/>
      </c>
      <c r="AL149" s="152">
        <f>IF(VALUE(MID(AL$5,6,2))&lt;=$D$2,((1+$Q$3)^9-1)*AB149,0)</f>
        <v/>
      </c>
      <c r="AM149" s="9">
        <f>SUM(AC149:AL149)</f>
        <v/>
      </c>
      <c r="AN149" s="80">
        <f>SUM(AM149,S149:AB149)</f>
        <v/>
      </c>
      <c r="AP149" s="102" t="inlineStr">
        <is>
          <t>One-Time</t>
        </is>
      </c>
      <c r="AQ149" s="12" t="n">
        <v>1</v>
      </c>
      <c r="AR149" s="14">
        <f>IF($AP149="Annual",1,IF($AP149="Monthly F",12,IF($AP149="Monthly V",AQ149*12,IF($AP149="One-Time",1,AQ149*12))))</f>
        <v/>
      </c>
      <c r="AS149" s="14">
        <f t="array" ref="AS149">IFERROR(_xlfn.IFS(VALUE(MID(AS$5,6,1))&gt;$D$2,0,$AP149="Annual",1,AR149=12,12,$AP149="Monthly V",AR149*(1+$D$3),$AP149="Monthly F",12,$AP149="One-Time",0),AR149*(1+$D$3))</f>
        <v/>
      </c>
      <c r="AT149" s="14">
        <f t="array" ref="AT149">IFERROR(_xlfn.IFS(VALUE(MID(AT$5,6,1))&gt;$D$2,0,$AP149="Annual",1,AS149=12,12,$AP149="Monthly V",AS149*(1+$D$3),$AP149="Monthly F",12,$AP149="One-Time",0),AS149*(1+$D$3))</f>
        <v/>
      </c>
      <c r="AU149" s="14">
        <f t="array" ref="AU149">IFERROR(_xlfn.IFS(VALUE(MID(AU$5,6,1))&gt;$D$2,0,$AP149="Annual",1,AT149=12,12,$AP149="Monthly V",AT149*(1+$D$3),$AP149="Monthly F",12,$AP149="One-Time",0),AT149*(1+$D$3))</f>
        <v/>
      </c>
      <c r="AV149" s="14">
        <f t="array" ref="AV149">IFERROR(_xlfn.IFS(VALUE(MID(AV$5,6,1))&gt;$D$2,0,$AP149="Annual",1,AU149=12,12,$AP149="Monthly V",AU149*(1+$D$3),$AP149="Monthly F",12,$AP149="One-Time",0),AU149*(1+$D$3))</f>
        <v/>
      </c>
      <c r="AW149" s="14">
        <f t="array" ref="AW149">IFERROR(_xlfn.IFS(VALUE(MID(AW$5,6,1))&gt;$D$2,0,$AP149="Annual",1,AV149=12,12,$AP149="Monthly V",AV149*(1+$D$3),$AP149="Monthly F",12,$AP149="One-Time",0),AV149*(1+$D$3))</f>
        <v/>
      </c>
      <c r="AX149" s="14">
        <f t="array" ref="AX149">IFERROR(_xlfn.IFS(VALUE(MID(AX$5,6,1))&gt;$D$2,0,$AP149="Annual",1,AW149=12,12,$AP149="Monthly V",AW149*(1+$D$3),$AP149="Monthly F",12,$AP149="One-Time",0),AW149*(1+$D$3))</f>
        <v/>
      </c>
      <c r="AY149" s="14">
        <f t="array" ref="AY149">IFERROR(_xlfn.IFS(VALUE(MID(AY$5,6,1))&gt;$D$2,0,$AP149="Annual",1,AX149=12,12,$AP149="Monthly V",AX149*(1+$D$3),$AP149="Monthly F",12,$AP149="One-Time",0),AX149*(1+$D$3))</f>
        <v/>
      </c>
      <c r="AZ149" s="14">
        <f t="array" ref="AZ149">IFERROR(_xlfn.IFS(VALUE(MID(AZ$5,6,1))&gt;$D$2,0,$AP149="Annual",1,AY149=12,12,$AP149="Monthly V",AY149*(1+$D$3),$AP149="Monthly F",12,$AP149="One-Time",0),AY149*(1+$D$3))</f>
        <v/>
      </c>
      <c r="BA149" s="125">
        <f t="array" ref="BA149">IFERROR(_xlfn.IFS(VALUE(MID(BA$5,6,2))&gt;$D$2,0,$AP149="Annual",1,AZ149=12,12,$AP149="Monthly V",AZ149*(1+$D$3),$AP149="Monthly F",12,$AP149="One-Time",0),AZ149*(1+$D$3))</f>
        <v/>
      </c>
      <c r="BB149" s="124" t="inlineStr">
        <is>
          <t>JHA Client Services Consulting Workflow Process Automation Design</t>
        </is>
      </c>
      <c r="BC149" s="38" t="inlineStr">
        <is>
          <t>jhaEnterprise Workflow</t>
        </is>
      </c>
      <c r="BD149" s="36" t="n">
        <v>25000</v>
      </c>
      <c r="BE149" s="21">
        <f>BF149/12</f>
        <v/>
      </c>
      <c r="BF149" s="39">
        <f>IFERROR(AR149*$BD149,0)</f>
        <v/>
      </c>
      <c r="BG149" s="39">
        <f>IFERROR(AS149*$BD149,0)</f>
        <v/>
      </c>
      <c r="BH149" s="39">
        <f>IFERROR(AT149*$BD149,0)</f>
        <v/>
      </c>
      <c r="BI149" s="39">
        <f>IFERROR(AU149*$BD149,0)</f>
        <v/>
      </c>
      <c r="BJ149" s="39">
        <f>IFERROR(AV149*$BD149,0)</f>
        <v/>
      </c>
      <c r="BK149" s="39">
        <f>IFERROR(AW149*$BD149,0)</f>
        <v/>
      </c>
      <c r="BL149" s="39">
        <f>IFERROR(AX149*$BD149,0)</f>
        <v/>
      </c>
      <c r="BM149" s="39">
        <f>IFERROR(AY149*$BD149,0)</f>
        <v/>
      </c>
      <c r="BN149" s="39">
        <f>IFERROR(AZ149*$BD149,0)</f>
        <v/>
      </c>
      <c r="BO149" s="39">
        <f>IFERROR(BA149*$BD149,0)</f>
        <v/>
      </c>
      <c r="BP149" s="40" t="n"/>
      <c r="BQ149" s="40">
        <f>IF(VALUE(MID(BQ$5,6,1))&lt;=$D$2,((1+$BD$3)^1-1)*BG149,0)</f>
        <v/>
      </c>
      <c r="BR149" s="40">
        <f>IF(VALUE(MID(BR$5,6,1))&lt;=$D$2,((1+$BD$3)^2-1)*BH149,0)</f>
        <v/>
      </c>
      <c r="BS149" s="40">
        <f>IF(VALUE(MID(BS$5,6,1))&lt;=$D$2,((1+$BD$3)^3-1)*BI149,0)</f>
        <v/>
      </c>
      <c r="BT149" s="40">
        <f>IF(VALUE(MID(BT$5,6,1))&lt;=$D$2,((1+$BD$3)^4-1)*BJ149,0)</f>
        <v/>
      </c>
      <c r="BU149" s="40">
        <f>IF(VALUE(MID(BU$5,6,1))&lt;=$D$2,((1+$BD$3)^5-1)*BK149,0)</f>
        <v/>
      </c>
      <c r="BV149" s="40">
        <f>IF(VALUE(MID(BV$5,6,1))&lt;=$D$2,((1+$BD$3)^6-1)*BL149,0)</f>
        <v/>
      </c>
      <c r="BW149" s="40">
        <f>IF(VALUE(MID(BW$5,6,1))&lt;=$D$2,((1+$BD$3)^7-1)*BM149,0)</f>
        <v/>
      </c>
      <c r="BX149" s="40">
        <f>IF(VALUE(MID(BX$5,6,1))&lt;=$D$2,((1+$BD$3)^8-1)*BN149,0)</f>
        <v/>
      </c>
      <c r="BY149" s="40">
        <f>IF(VALUE(MID(BY$5,6,2))&lt;=$D$2,((1+$BD$3)^9-1)*BO149,0)</f>
        <v/>
      </c>
      <c r="BZ149" s="40">
        <f>SUM(BP149:BY149)</f>
        <v/>
      </c>
      <c r="CA149" s="37">
        <f>SUM(BZ149,BF149:BO149)</f>
        <v/>
      </c>
      <c r="CC149" s="102" t="n"/>
      <c r="CD149" s="12" t="n"/>
      <c r="CE149" s="14">
        <f>IF($CC149="Annual",1,IF($CC149="Monthly F",12,IF($CC149="Monthly V",CD149*12,IF($CC149="One-Time",1,CD149*12))))</f>
        <v/>
      </c>
      <c r="CF149" s="14">
        <f t="array" ref="CF149">IFERROR(_xlfn.IFS(VALUE(MID(CF$5,6,1))&gt;$D$2,0,$CC149="Annual",1,CE149=12,12,$CC149="Monthly V",CE149*(1+$D$3),$CC149="Monthly F",12,$CC149="One-Time",0),CE149*(1+$D$3))</f>
        <v/>
      </c>
      <c r="CG149" s="14">
        <f t="array" ref="CG149">IFERROR(_xlfn.IFS(VALUE(MID(CG$5,6,1))&gt;$D$2,0,$CC149="Annual",1,CF149=12,12,$CC149="Monthly V",CF149*(1+$D$3),$CC149="Monthly F",12,$CC149="One-Time",0),CF149*(1+$D$3))</f>
        <v/>
      </c>
      <c r="CH149" s="14">
        <f t="array" ref="CH149">IFERROR(_xlfn.IFS(VALUE(MID(CH$5,6,1))&gt;$D$2,0,$CC149="Annual",1,CG149=12,12,$CC149="Monthly V",CG149*(1+$D$3),$CC149="Monthly F",12,$CC149="One-Time",0),CG149*(1+$D$3))</f>
        <v/>
      </c>
      <c r="CI149" s="14">
        <f t="array" ref="CI149">IFERROR(_xlfn.IFS(VALUE(MID(CI$5,6,1))&gt;$D$2,0,$CC149="Annual",1,CH149=12,12,$CC149="Monthly V",CH149*(1+$D$3),$CC149="Monthly F",12,$CC149="One-Time",0),CH149*(1+$D$3))</f>
        <v/>
      </c>
      <c r="CJ149" s="14">
        <f t="array" ref="CJ149">IFERROR(_xlfn.IFS(VALUE(MID(CJ$5,6,1))&gt;$D$2,0,$CC149="Annual",1,CI149=12,12,$CC149="Monthly V",CI149*(1+$D$3),$CC149="Monthly F",12,$CC149="One-Time",0),CI149*(1+$D$3))</f>
        <v/>
      </c>
      <c r="CK149" s="14">
        <f t="array" ref="CK149">IFERROR(_xlfn.IFS(VALUE(MID(CK$5,6,1))&gt;$D$2,0,$CC149="Annual",1,CJ149=12,12,$CC149="Monthly V",CJ149*(1+$D$3),$CC149="Monthly F",12,$CC149="One-Time",0),CJ149*(1+$D$3))</f>
        <v/>
      </c>
      <c r="CL149" s="14">
        <f t="array" ref="CL149">IFERROR(_xlfn.IFS(VALUE(MID(CL$5,6,1))&gt;$D$2,0,$CC149="Annual",1,CK149=12,12,$CC149="Monthly V",CK149*(1+$D$3),$CC149="Monthly F",12,$CC149="One-Time",0),CK149*(1+$D$3))</f>
        <v/>
      </c>
      <c r="CM149" s="14">
        <f t="array" ref="CM149">IFERROR(_xlfn.IFS(VALUE(MID(CM$5,6,1))&gt;$D$2,0,$CC149="Annual",1,CL149=12,12,$CC149="Monthly V",CL149*(1+$D$3),$CC149="Monthly F",12,$CC149="One-Time",0),CL149*(1+$D$3))</f>
        <v/>
      </c>
      <c r="CN149" s="24">
        <f t="array" ref="CN149">IFERROR(_xlfn.IFS(VALUE(MID(CN$5,6,2))&gt;$D$2,0,$CC149="Annual",1,CM149=12,12,$CC149="Monthly V",CM149*(1+$D$3),$CC149="Monthly F",12,$CC149="One-Time",0),CM149*(1+$D$3))</f>
        <v/>
      </c>
      <c r="CO149" s="63" t="n"/>
      <c r="CP149" s="53" t="n"/>
      <c r="CQ149" s="21">
        <f>CR149/12</f>
        <v/>
      </c>
      <c r="CR149" s="55">
        <f>IFERROR(CE149*$CP149,0)</f>
        <v/>
      </c>
      <c r="CS149" s="55">
        <f>IFERROR(CF149*$CP149,0)</f>
        <v/>
      </c>
      <c r="CT149" s="55">
        <f>IFERROR(CG149*$CP149,0)</f>
        <v/>
      </c>
      <c r="CU149" s="55">
        <f>IFERROR(CH149*$CP149,0)</f>
        <v/>
      </c>
      <c r="CV149" s="55">
        <f>IFERROR(CI149*$CP149,0)</f>
        <v/>
      </c>
      <c r="CW149" s="55">
        <f>IFERROR(CJ149*$CP149,0)</f>
        <v/>
      </c>
      <c r="CX149" s="55">
        <f>IFERROR(CK149*$CP149,0)</f>
        <v/>
      </c>
      <c r="CY149" s="55">
        <f>IFERROR(CL149*$CP149,0)</f>
        <v/>
      </c>
      <c r="CZ149" s="55">
        <f>IFERROR(CM149*$CP149,0)</f>
        <v/>
      </c>
      <c r="DA149" s="55">
        <f>IFERROR(CN149*$CP149,0)</f>
        <v/>
      </c>
      <c r="DB149" s="56" t="n"/>
      <c r="DC149" s="56">
        <f>IF(VALUE(MID(DC$5,6,1))&lt;=$D$2,((1+$CP$3)^1-1)*CS149,0)</f>
        <v/>
      </c>
      <c r="DD149" s="56">
        <f>IF(VALUE(MID(DD$5,6,1))&lt;=$D$2,((1+$CP$3)^2-1)*CT149,0)</f>
        <v/>
      </c>
      <c r="DE149" s="56">
        <f>IF(VALUE(MID(DE$5,6,1))&lt;=$D$2,((1+$CP$3)^3-1)*CU149,0)</f>
        <v/>
      </c>
      <c r="DF149" s="56">
        <f>IF(VALUE(MID(DF$5,6,1))&lt;=$D$2,((1+$CP$3)^4-1)*CV149,0)</f>
        <v/>
      </c>
      <c r="DG149" s="56">
        <f>IF(VALUE(MID(DG$5,6,1))&lt;=$D$2,((1+$CP$3)^5-1)*CW149,0)</f>
        <v/>
      </c>
      <c r="DH149" s="56">
        <f>IF(VALUE(MID(DH$5,6,1))&lt;=$D$2,((1+$CP$3)^6-1)*CX149,0)</f>
        <v/>
      </c>
      <c r="DI149" s="56">
        <f>IF(VALUE(MID(DI$5,6,1))&lt;=$D$2,((1+$CP$3)^7-1)*CY149,0)</f>
        <v/>
      </c>
      <c r="DJ149" s="56">
        <f>IF(VALUE(MID(DJ$5,6,1))&lt;=$D$2,((1+$CP$3)^8-1)*CZ149,0)</f>
        <v/>
      </c>
      <c r="DK149" s="56">
        <f>IF(VALUE(MID(DK$5,6,2))&lt;=$D$2,((1+$CP$3)^9-1)*DA149,0)</f>
        <v/>
      </c>
      <c r="DL149" s="57">
        <f>SUM(DB149:DK149)</f>
        <v/>
      </c>
      <c r="DM149" s="54">
        <f>SUM(DL149,CR149:DA149)</f>
        <v/>
      </c>
      <c r="DO149" s="106" t="n"/>
    </row>
    <row r="150">
      <c r="B150" s="141" t="inlineStr">
        <is>
          <t>Monthly F</t>
        </is>
      </c>
      <c r="C150" s="24" t="n">
        <v>1</v>
      </c>
      <c r="D150" s="147">
        <f>IFERROR(AVERAGE(C150:C150),0)</f>
        <v/>
      </c>
      <c r="E150" s="142">
        <f>IF($B150="Annual",1,IF($B150="Monthly F",12,IF($B150="Monthly V",D150*12,IF($B150="One-Time",1,D150*12))))</f>
        <v/>
      </c>
      <c r="F150" s="14">
        <f t="array" ref="F150">IFERROR(_xlfn.IFS(VALUE(MID(F$5,6,1))&gt;$D$2,0,$B150="Annual",1,E150=12,12,$B150="Monthly V",E150*(1+$D$3),$B150="Monthly F",12,$B150="One-Time",0),E150*(1+$D$3))</f>
        <v/>
      </c>
      <c r="G150" s="14">
        <f t="array" ref="G150">IFERROR(_xlfn.IFS(VALUE(MID(G$5,6,1))&gt;$D$2,0,$B150="Annual",1,F150=12,12,$B150="Monthly V",F150*(1+$D$3),$B150="Monthly F",12,$B150="One-Time",0),F150*(1+$D$3))</f>
        <v/>
      </c>
      <c r="H150" s="14">
        <f t="array" ref="H150">IFERROR(_xlfn.IFS(VALUE(MID(H$5,6,1))&gt;$D$2,0,$B150="Annual",1,G150=12,12,$B150="Monthly V",G150*(1+$D$3),$B150="Monthly F",12,$B150="One-Time",0),G150*(1+$D$3))</f>
        <v/>
      </c>
      <c r="I150" s="14">
        <f t="array" ref="I150">IFERROR(_xlfn.IFS(VALUE(MID(I$5,6,1))&gt;$D$2,0,$B150="Annual",1,H150=12,12,$B150="Monthly V",H150*(1+$D$3),$B150="Monthly F",12,$B150="One-Time",0),H150*(1+$D$3))</f>
        <v/>
      </c>
      <c r="J150" s="14">
        <f t="array" ref="J150">IFERROR(_xlfn.IFS(VALUE(MID(J$5,6,1))&gt;$D$2,0,$B150="Annual",1,I150=12,12,$B150="Monthly V",I150*(1+$D$3),$B150="Monthly F",12,$B150="One-Time",0),I150*(1+$D$3))</f>
        <v/>
      </c>
      <c r="K150" s="14">
        <f t="array" ref="K150">IFERROR(_xlfn.IFS(VALUE(MID(K$5,6,1))&gt;$D$2,0,$B150="Annual",1,J150=12,12,$B150="Monthly V",J150*(1+$D$3),$B150="Monthly F",12,$B150="One-Time",0),J150*(1+$D$3))</f>
        <v/>
      </c>
      <c r="L150" s="14">
        <f t="array" ref="L150">IFERROR(_xlfn.IFS(VALUE(MID(L$5,6,1))&gt;$D$2,0,$B150="Annual",1,K150=12,12,$B150="Monthly V",K150*(1+$D$3),$B150="Monthly F",12,$B150="One-Time",0),K150*(1+$D$3))</f>
        <v/>
      </c>
      <c r="M150" s="14">
        <f t="array" ref="M150">IFERROR(_xlfn.IFS(VALUE(MID(M$5,6,1))&gt;$D$2,0,$B150="Annual",1,L150=12,12,$B150="Monthly V",L150*(1+$D$3),$B150="Monthly F",12,$B150="One-Time",0),L150*(1+$D$3))</f>
        <v/>
      </c>
      <c r="N150" s="24">
        <f t="array" ref="N150">IFERROR(_xlfn.IFS(VALUE(MID(N$5,6,2))&gt;$D$2,0,$B150="Annual",1,M150=12,12,$B150="Monthly V",M150*(1+$D$3),$B150="Monthly F",12,$B150="One-Time",0),M150*(1+$D$3))</f>
        <v/>
      </c>
      <c r="O150" s="127" t="inlineStr">
        <is>
          <t>Invoices</t>
        </is>
      </c>
      <c r="P150" s="13" t="n"/>
      <c r="Q150" s="20" t="n">
        <v>61</v>
      </c>
      <c r="R150" s="21">
        <f>S150/12</f>
        <v/>
      </c>
      <c r="S150" s="6">
        <f>IFERROR($Q150*E150,0)</f>
        <v/>
      </c>
      <c r="T150" s="6">
        <f>IFERROR($Q150*F150,0)</f>
        <v/>
      </c>
      <c r="U150" s="6">
        <f>IFERROR($Q150*G150,0)</f>
        <v/>
      </c>
      <c r="V150" s="6">
        <f>IFERROR($Q150*H150,0)</f>
        <v/>
      </c>
      <c r="W150" s="6">
        <f>IFERROR($Q150*I150,0)</f>
        <v/>
      </c>
      <c r="X150" s="6">
        <f>IFERROR($Q150*J150,0)</f>
        <v/>
      </c>
      <c r="Y150" s="6">
        <f>IFERROR($Q150*K150,0)</f>
        <v/>
      </c>
      <c r="Z150" s="6">
        <f>IFERROR($Q150*L150,0)</f>
        <v/>
      </c>
      <c r="AA150" s="6">
        <f>IFERROR($Q150*M150,0)</f>
        <v/>
      </c>
      <c r="AB150" s="6">
        <f>IFERROR($Q150*N150,0)</f>
        <v/>
      </c>
      <c r="AC150" s="7" t="n"/>
      <c r="AD150" s="152">
        <f>IF(VALUE(MID(AD$5,6,1))&lt;=$D$2,((1+$Q$3)^1-1)*T150,0)</f>
        <v/>
      </c>
      <c r="AE150" s="152">
        <f>IF(VALUE(MID(AE$5,6,1))&lt;=$D$2,((1+$Q$3)^2-1)*U150,0)</f>
        <v/>
      </c>
      <c r="AF150" s="152">
        <f>IF(VALUE(MID(AF$5,6,1))&lt;=$D$2,((1+$Q$3)^3-1)*V150,0)</f>
        <v/>
      </c>
      <c r="AG150" s="152">
        <f>IF(VALUE(MID(AG$5,6,1))&lt;=$D$2,((1+$Q$3)^4-1)*W150,0)</f>
        <v/>
      </c>
      <c r="AH150" s="152">
        <f>IF(VALUE(MID(AH$5,6,1))&lt;=$D$2,((1+$Q$3)^5-1)*X150,0)</f>
        <v/>
      </c>
      <c r="AI150" s="152">
        <f>IF(VALUE(MID(AI$5,6,1))&lt;=$D$2,((1+$Q$3)^6-1)*Y150,0)</f>
        <v/>
      </c>
      <c r="AJ150" s="152">
        <f>IF(VALUE(MID(AJ$5,6,1))&lt;=$D$2,((1+$Q$3)^7-1)*Z150,0)</f>
        <v/>
      </c>
      <c r="AK150" s="152">
        <f>IF(VALUE(MID(AK$5,6,1))&lt;=$D$2,((1+$Q$3)^8-1)*AA150,0)</f>
        <v/>
      </c>
      <c r="AL150" s="152">
        <f>IF(VALUE(MID(AL$5,6,2))&lt;=$D$2,((1+$Q$3)^9-1)*AB150,0)</f>
        <v/>
      </c>
      <c r="AM150" s="9">
        <f>SUM(AC150:AL150)</f>
        <v/>
      </c>
      <c r="AN150" s="80">
        <f>SUM(AM150,S150:AB150)</f>
        <v/>
      </c>
      <c r="AP150" s="102" t="inlineStr">
        <is>
          <t>One-Time</t>
        </is>
      </c>
      <c r="AQ150" s="12" t="n">
        <v>1</v>
      </c>
      <c r="AR150" s="14">
        <f>IF($AP150="Annual",1,IF($AP150="Monthly F",12,IF($AP150="Monthly V",AQ150*12,IF($AP150="One-Time",1,AQ150*12))))</f>
        <v/>
      </c>
      <c r="AS150" s="14">
        <f t="array" ref="AS150">IFERROR(_xlfn.IFS(VALUE(MID(AS$5,6,1))&gt;$D$2,0,$AP150="Annual",1,AR150=12,12,$AP150="Monthly V",AR150*(1+$D$3),$AP150="Monthly F",12,$AP150="One-Time",0),AR150*(1+$D$3))</f>
        <v/>
      </c>
      <c r="AT150" s="14">
        <f t="array" ref="AT150">IFERROR(_xlfn.IFS(VALUE(MID(AT$5,6,1))&gt;$D$2,0,$AP150="Annual",1,AS150=12,12,$AP150="Monthly V",AS150*(1+$D$3),$AP150="Monthly F",12,$AP150="One-Time",0),AS150*(1+$D$3))</f>
        <v/>
      </c>
      <c r="AU150" s="14">
        <f t="array" ref="AU150">IFERROR(_xlfn.IFS(VALUE(MID(AU$5,6,1))&gt;$D$2,0,$AP150="Annual",1,AT150=12,12,$AP150="Monthly V",AT150*(1+$D$3),$AP150="Monthly F",12,$AP150="One-Time",0),AT150*(1+$D$3))</f>
        <v/>
      </c>
      <c r="AV150" s="14">
        <f t="array" ref="AV150">IFERROR(_xlfn.IFS(VALUE(MID(AV$5,6,1))&gt;$D$2,0,$AP150="Annual",1,AU150=12,12,$AP150="Monthly V",AU150*(1+$D$3),$AP150="Monthly F",12,$AP150="One-Time",0),AU150*(1+$D$3))</f>
        <v/>
      </c>
      <c r="AW150" s="14">
        <f t="array" ref="AW150">IFERROR(_xlfn.IFS(VALUE(MID(AW$5,6,1))&gt;$D$2,0,$AP150="Annual",1,AV150=12,12,$AP150="Monthly V",AV150*(1+$D$3),$AP150="Monthly F",12,$AP150="One-Time",0),AV150*(1+$D$3))</f>
        <v/>
      </c>
      <c r="AX150" s="14">
        <f t="array" ref="AX150">IFERROR(_xlfn.IFS(VALUE(MID(AX$5,6,1))&gt;$D$2,0,$AP150="Annual",1,AW150=12,12,$AP150="Monthly V",AW150*(1+$D$3),$AP150="Monthly F",12,$AP150="One-Time",0),AW150*(1+$D$3))</f>
        <v/>
      </c>
      <c r="AY150" s="14">
        <f t="array" ref="AY150">IFERROR(_xlfn.IFS(VALUE(MID(AY$5,6,1))&gt;$D$2,0,$AP150="Annual",1,AX150=12,12,$AP150="Monthly V",AX150*(1+$D$3),$AP150="Monthly F",12,$AP150="One-Time",0),AX150*(1+$D$3))</f>
        <v/>
      </c>
      <c r="AZ150" s="14">
        <f t="array" ref="AZ150">IFERROR(_xlfn.IFS(VALUE(MID(AZ$5,6,1))&gt;$D$2,0,$AP150="Annual",1,AY150=12,12,$AP150="Monthly V",AY150*(1+$D$3),$AP150="Monthly F",12,$AP150="One-Time",0),AY150*(1+$D$3))</f>
        <v/>
      </c>
      <c r="BA150" s="125">
        <f t="array" ref="BA150">IFERROR(_xlfn.IFS(VALUE(MID(BA$5,6,2))&gt;$D$2,0,$AP150="Annual",1,AZ150=12,12,$AP150="Monthly V",AZ150*(1+$D$3),$AP150="Monthly F",12,$AP150="One-Time",0),AZ150*(1+$D$3))</f>
        <v/>
      </c>
      <c r="BB150" s="124" t="inlineStr">
        <is>
          <t>TruStage Forms-LoanVantage</t>
        </is>
      </c>
      <c r="BC150" s="38" t="inlineStr">
        <is>
          <t>Forms</t>
        </is>
      </c>
      <c r="BD150" s="36" t="n">
        <v>7650</v>
      </c>
      <c r="BE150" s="21">
        <f>BF150/12</f>
        <v/>
      </c>
      <c r="BF150" s="39">
        <f>IFERROR(AR150*$BD150,0)</f>
        <v/>
      </c>
      <c r="BG150" s="39">
        <f>IFERROR(AS150*$BD150,0)</f>
        <v/>
      </c>
      <c r="BH150" s="39">
        <f>IFERROR(AT150*$BD150,0)</f>
        <v/>
      </c>
      <c r="BI150" s="39">
        <f>IFERROR(AU150*$BD150,0)</f>
        <v/>
      </c>
      <c r="BJ150" s="39">
        <f>IFERROR(AV150*$BD150,0)</f>
        <v/>
      </c>
      <c r="BK150" s="39">
        <f>IFERROR(AW150*$BD150,0)</f>
        <v/>
      </c>
      <c r="BL150" s="39">
        <f>IFERROR(AX150*$BD150,0)</f>
        <v/>
      </c>
      <c r="BM150" s="39">
        <f>IFERROR(AY150*$BD150,0)</f>
        <v/>
      </c>
      <c r="BN150" s="39">
        <f>IFERROR(AZ150*$BD150,0)</f>
        <v/>
      </c>
      <c r="BO150" s="39">
        <f>IFERROR(BA150*$BD150,0)</f>
        <v/>
      </c>
      <c r="BP150" s="40" t="n"/>
      <c r="BQ150" s="40">
        <f>IF(VALUE(MID(BQ$5,6,1))&lt;=$D$2,((1+$BD$3)^1-1)*BG150,0)</f>
        <v/>
      </c>
      <c r="BR150" s="40">
        <f>IF(VALUE(MID(BR$5,6,1))&lt;=$D$2,((1+$BD$3)^2-1)*BH150,0)</f>
        <v/>
      </c>
      <c r="BS150" s="40">
        <f>IF(VALUE(MID(BS$5,6,1))&lt;=$D$2,((1+$BD$3)^3-1)*BI150,0)</f>
        <v/>
      </c>
      <c r="BT150" s="40">
        <f>IF(VALUE(MID(BT$5,6,1))&lt;=$D$2,((1+$BD$3)^4-1)*BJ150,0)</f>
        <v/>
      </c>
      <c r="BU150" s="40">
        <f>IF(VALUE(MID(BU$5,6,1))&lt;=$D$2,((1+$BD$3)^5-1)*BK150,0)</f>
        <v/>
      </c>
      <c r="BV150" s="40">
        <f>IF(VALUE(MID(BV$5,6,1))&lt;=$D$2,((1+$BD$3)^6-1)*BL150,0)</f>
        <v/>
      </c>
      <c r="BW150" s="40">
        <f>IF(VALUE(MID(BW$5,6,1))&lt;=$D$2,((1+$BD$3)^7-1)*BM150,0)</f>
        <v/>
      </c>
      <c r="BX150" s="40">
        <f>IF(VALUE(MID(BX$5,6,1))&lt;=$D$2,((1+$BD$3)^8-1)*BN150,0)</f>
        <v/>
      </c>
      <c r="BY150" s="40">
        <f>IF(VALUE(MID(BY$5,6,2))&lt;=$D$2,((1+$BD$3)^9-1)*BO150,0)</f>
        <v/>
      </c>
      <c r="BZ150" s="40">
        <f>SUM(BP150:BY150)</f>
        <v/>
      </c>
      <c r="CA150" s="37">
        <f>SUM(BZ150,BF150:BO150)</f>
        <v/>
      </c>
      <c r="CC150" s="102" t="n"/>
      <c r="CD150" s="12" t="n"/>
      <c r="CE150" s="14" t="n"/>
      <c r="CF150" s="14" t="n"/>
      <c r="CG150" s="14" t="n"/>
      <c r="CH150" s="14" t="n"/>
      <c r="CI150" s="14" t="n"/>
      <c r="CJ150" s="14" t="n"/>
      <c r="CK150" s="14" t="n"/>
      <c r="CL150" s="14" t="n"/>
      <c r="CM150" s="14" t="n"/>
      <c r="CN150" s="24" t="n"/>
      <c r="CO150" s="63" t="n"/>
      <c r="CP150" s="53" t="n"/>
      <c r="CQ150" s="21" t="n"/>
      <c r="CR150" s="55" t="n"/>
      <c r="CS150" s="55" t="n"/>
      <c r="CT150" s="55" t="n"/>
      <c r="CU150" s="55" t="n"/>
      <c r="CV150" s="55" t="n"/>
      <c r="CW150" s="55" t="n"/>
      <c r="CX150" s="55" t="n"/>
      <c r="CY150" s="55" t="n"/>
      <c r="CZ150" s="55" t="n"/>
      <c r="DA150" s="55" t="n"/>
      <c r="DB150" s="56" t="n"/>
      <c r="DC150" s="56" t="n"/>
      <c r="DD150" s="56" t="n"/>
      <c r="DE150" s="56" t="n"/>
      <c r="DF150" s="56" t="n"/>
      <c r="DG150" s="56" t="n"/>
      <c r="DH150" s="56" t="n"/>
      <c r="DI150" s="56" t="n"/>
      <c r="DJ150" s="56" t="n"/>
      <c r="DK150" s="56" t="n"/>
      <c r="DL150" s="57" t="n"/>
      <c r="DM150" s="54" t="n"/>
      <c r="DO150" s="106" t="n"/>
    </row>
    <row r="151" ht="15.75" customHeight="1" thickBot="1">
      <c r="B151" s="141" t="inlineStr">
        <is>
          <t>One-Time</t>
        </is>
      </c>
      <c r="C151" s="24" t="n">
        <v>1</v>
      </c>
      <c r="D151" s="147">
        <f>IFERROR(AVERAGE(C151:C151),0)</f>
        <v/>
      </c>
      <c r="E151" s="142">
        <f>IF($B151="Annual",1,IF($B151="Monthly F",12,IF($B151="Monthly V",D151*12,IF($B151="One-Time",1,D151*12))))</f>
        <v/>
      </c>
      <c r="F151" s="14">
        <f t="array" ref="F151">IFERROR(_xlfn.IFS(VALUE(MID(F$5,6,1))&gt;$D$2,0,$B151="Annual",1,E151=12,12,$B151="Monthly V",E151*(1+$D$3),$B151="Monthly F",12,$B151="One-Time",0),E151*(1+$D$3))</f>
        <v/>
      </c>
      <c r="G151" s="14">
        <f t="array" ref="G151">IFERROR(_xlfn.IFS(VALUE(MID(G$5,6,1))&gt;$D$2,0,$B151="Annual",1,F151=12,12,$B151="Monthly V",F151*(1+$D$3),$B151="Monthly F",12,$B151="One-Time",0),F151*(1+$D$3))</f>
        <v/>
      </c>
      <c r="H151" s="14">
        <f t="array" ref="H151">IFERROR(_xlfn.IFS(VALUE(MID(H$5,6,1))&gt;$D$2,0,$B151="Annual",1,G151=12,12,$B151="Monthly V",G151*(1+$D$3),$B151="Monthly F",12,$B151="One-Time",0),G151*(1+$D$3))</f>
        <v/>
      </c>
      <c r="I151" s="14">
        <f t="array" ref="I151">IFERROR(_xlfn.IFS(VALUE(MID(I$5,6,1))&gt;$D$2,0,$B151="Annual",1,H151=12,12,$B151="Monthly V",H151*(1+$D$3),$B151="Monthly F",12,$B151="One-Time",0),H151*(1+$D$3))</f>
        <v/>
      </c>
      <c r="J151" s="14">
        <f t="array" ref="J151">IFERROR(_xlfn.IFS(VALUE(MID(J$5,6,1))&gt;$D$2,0,$B151="Annual",1,I151=12,12,$B151="Monthly V",I151*(1+$D$3),$B151="Monthly F",12,$B151="One-Time",0),I151*(1+$D$3))</f>
        <v/>
      </c>
      <c r="K151" s="14">
        <f t="array" ref="K151">IFERROR(_xlfn.IFS(VALUE(MID(K$5,6,1))&gt;$D$2,0,$B151="Annual",1,J151=12,12,$B151="Monthly V",J151*(1+$D$3),$B151="Monthly F",12,$B151="One-Time",0),J151*(1+$D$3))</f>
        <v/>
      </c>
      <c r="L151" s="14">
        <f t="array" ref="L151">IFERROR(_xlfn.IFS(VALUE(MID(L$5,6,1))&gt;$D$2,0,$B151="Annual",1,K151=12,12,$B151="Monthly V",K151*(1+$D$3),$B151="Monthly F",12,$B151="One-Time",0),K151*(1+$D$3))</f>
        <v/>
      </c>
      <c r="M151" s="14">
        <f t="array" ref="M151">IFERROR(_xlfn.IFS(VALUE(MID(M$5,6,1))&gt;$D$2,0,$B151="Annual",1,L151=12,12,$B151="Monthly V",L151*(1+$D$3),$B151="Monthly F",12,$B151="One-Time",0),L151*(1+$D$3))</f>
        <v/>
      </c>
      <c r="N151" s="24">
        <f t="array" ref="N151">IFERROR(_xlfn.IFS(VALUE(MID(N$5,6,2))&gt;$D$2,0,$B151="Annual",1,M151=12,12,$B151="Monthly V",M151*(1+$D$3),$B151="Monthly F",12,$B151="One-Time",0),M151*(1+$D$3))</f>
        <v/>
      </c>
      <c r="O151" s="127" t="inlineStr">
        <is>
          <t>AvidAscend Implementation Fee</t>
        </is>
      </c>
      <c r="P151" s="13" t="n"/>
      <c r="Q151" s="20" t="n">
        <v>5044</v>
      </c>
      <c r="R151" s="21">
        <f>S151/12</f>
        <v/>
      </c>
      <c r="S151" s="6">
        <f>IFERROR($Q151*E151,0)</f>
        <v/>
      </c>
      <c r="T151" s="6">
        <f>IFERROR($Q151*F151,0)</f>
        <v/>
      </c>
      <c r="U151" s="6">
        <f>IFERROR($Q151*G151,0)</f>
        <v/>
      </c>
      <c r="V151" s="6">
        <f>IFERROR($Q151*H151,0)</f>
        <v/>
      </c>
      <c r="W151" s="6">
        <f>IFERROR($Q151*I151,0)</f>
        <v/>
      </c>
      <c r="X151" s="6">
        <f>IFERROR($Q151*J151,0)</f>
        <v/>
      </c>
      <c r="Y151" s="6">
        <f>IFERROR($Q151*K151,0)</f>
        <v/>
      </c>
      <c r="Z151" s="6">
        <f>IFERROR($Q151*L151,0)</f>
        <v/>
      </c>
      <c r="AA151" s="6">
        <f>IFERROR($Q151*M151,0)</f>
        <v/>
      </c>
      <c r="AB151" s="6">
        <f>IFERROR($Q151*N151,0)</f>
        <v/>
      </c>
      <c r="AC151" s="7" t="n"/>
      <c r="AD151" s="152">
        <f>IF(VALUE(MID(AD$5,6,1))&lt;=$D$2,((1+$Q$3)^1-1)*T151,0)</f>
        <v/>
      </c>
      <c r="AE151" s="152">
        <f>IF(VALUE(MID(AE$5,6,1))&lt;=$D$2,((1+$Q$3)^2-1)*U151,0)</f>
        <v/>
      </c>
      <c r="AF151" s="152">
        <f>IF(VALUE(MID(AF$5,6,1))&lt;=$D$2,((1+$Q$3)^3-1)*V151,0)</f>
        <v/>
      </c>
      <c r="AG151" s="152">
        <f>IF(VALUE(MID(AG$5,6,1))&lt;=$D$2,((1+$Q$3)^4-1)*W151,0)</f>
        <v/>
      </c>
      <c r="AH151" s="152">
        <f>IF(VALUE(MID(AH$5,6,1))&lt;=$D$2,((1+$Q$3)^5-1)*X151,0)</f>
        <v/>
      </c>
      <c r="AI151" s="152">
        <f>IF(VALUE(MID(AI$5,6,1))&lt;=$D$2,((1+$Q$3)^6-1)*Y151,0)</f>
        <v/>
      </c>
      <c r="AJ151" s="152">
        <f>IF(VALUE(MID(AJ$5,6,1))&lt;=$D$2,((1+$Q$3)^7-1)*Z151,0)</f>
        <v/>
      </c>
      <c r="AK151" s="152">
        <f>IF(VALUE(MID(AK$5,6,1))&lt;=$D$2,((1+$Q$3)^8-1)*AA151,0)</f>
        <v/>
      </c>
      <c r="AL151" s="152">
        <f>IF(VALUE(MID(AL$5,6,2))&lt;=$D$2,((1+$Q$3)^9-1)*AB151,0)</f>
        <v/>
      </c>
      <c r="AM151" s="9">
        <f>SUM(AC151:AL151)</f>
        <v/>
      </c>
      <c r="AN151" s="80">
        <f>SUM(AM151,S151:AB151)</f>
        <v/>
      </c>
      <c r="AP151" s="102" t="inlineStr">
        <is>
          <t>One-Time</t>
        </is>
      </c>
      <c r="AQ151" s="12" t="n">
        <v>1</v>
      </c>
      <c r="AR151" s="14">
        <f>IF($AP151="Annual",1,IF($AP151="Monthly F",12,IF($AP151="Monthly V",AQ151*12,IF($AP151="One-Time",1,AQ151*12))))</f>
        <v/>
      </c>
      <c r="AS151" s="14">
        <f t="array" ref="AS151">IFERROR(_xlfn.IFS(VALUE(MID(AS$5,6,1))&gt;$D$2,0,$AP151="Annual",1,AR151=12,12,$AP151="Monthly V",AR151*(1+$D$3),$AP151="Monthly F",12,$AP151="One-Time",0),AR151*(1+$D$3))</f>
        <v/>
      </c>
      <c r="AT151" s="14">
        <f t="array" ref="AT151">IFERROR(_xlfn.IFS(VALUE(MID(AT$5,6,1))&gt;$D$2,0,$AP151="Annual",1,AS151=12,12,$AP151="Monthly V",AS151*(1+$D$3),$AP151="Monthly F",12,$AP151="One-Time",0),AS151*(1+$D$3))</f>
        <v/>
      </c>
      <c r="AU151" s="14">
        <f t="array" ref="AU151">IFERROR(_xlfn.IFS(VALUE(MID(AU$5,6,1))&gt;$D$2,0,$AP151="Annual",1,AT151=12,12,$AP151="Monthly V",AT151*(1+$D$3),$AP151="Monthly F",12,$AP151="One-Time",0),AT151*(1+$D$3))</f>
        <v/>
      </c>
      <c r="AV151" s="14">
        <f t="array" ref="AV151">IFERROR(_xlfn.IFS(VALUE(MID(AV$5,6,1))&gt;$D$2,0,$AP151="Annual",1,AU151=12,12,$AP151="Monthly V",AU151*(1+$D$3),$AP151="Monthly F",12,$AP151="One-Time",0),AU151*(1+$D$3))</f>
        <v/>
      </c>
      <c r="AW151" s="14">
        <f t="array" ref="AW151">IFERROR(_xlfn.IFS(VALUE(MID(AW$5,6,1))&gt;$D$2,0,$AP151="Annual",1,AV151=12,12,$AP151="Monthly V",AV151*(1+$D$3),$AP151="Monthly F",12,$AP151="One-Time",0),AV151*(1+$D$3))</f>
        <v/>
      </c>
      <c r="AX151" s="14">
        <f t="array" ref="AX151">IFERROR(_xlfn.IFS(VALUE(MID(AX$5,6,1))&gt;$D$2,0,$AP151="Annual",1,AW151=12,12,$AP151="Monthly V",AW151*(1+$D$3),$AP151="Monthly F",12,$AP151="One-Time",0),AW151*(1+$D$3))</f>
        <v/>
      </c>
      <c r="AY151" s="14">
        <f t="array" ref="AY151">IFERROR(_xlfn.IFS(VALUE(MID(AY$5,6,1))&gt;$D$2,0,$AP151="Annual",1,AX151=12,12,$AP151="Monthly V",AX151*(1+$D$3),$AP151="Monthly F",12,$AP151="One-Time",0),AX151*(1+$D$3))</f>
        <v/>
      </c>
      <c r="AZ151" s="14">
        <f t="array" ref="AZ151">IFERROR(_xlfn.IFS(VALUE(MID(AZ$5,6,1))&gt;$D$2,0,$AP151="Annual",1,AY151=12,12,$AP151="Monthly V",AY151*(1+$D$3),$AP151="Monthly F",12,$AP151="One-Time",0),AY151*(1+$D$3))</f>
        <v/>
      </c>
      <c r="BA151" s="125">
        <f t="array" ref="BA151">IFERROR(_xlfn.IFS(VALUE(MID(BA$5,6,2))&gt;$D$2,0,$AP151="Annual",1,AZ151=12,12,$AP151="Monthly V",AZ151*(1+$D$3),$AP151="Monthly F",12,$AP151="One-Time",0),AZ151*(1+$D$3))</f>
        <v/>
      </c>
      <c r="BB151" s="124" t="inlineStr">
        <is>
          <t>Ensenta ITM/ATM</t>
        </is>
      </c>
      <c r="BC151" s="38" t="inlineStr">
        <is>
          <t>Ensenta</t>
        </is>
      </c>
      <c r="BD151" s="36" t="n">
        <v>6500</v>
      </c>
      <c r="BE151" s="21">
        <f>BF151/12</f>
        <v/>
      </c>
      <c r="BF151" s="39">
        <f>IFERROR(AR151*$BD151,0)</f>
        <v/>
      </c>
      <c r="BG151" s="39">
        <f>IFERROR(AS151*$BD151,0)</f>
        <v/>
      </c>
      <c r="BH151" s="39">
        <f>IFERROR(AT151*$BD151,0)</f>
        <v/>
      </c>
      <c r="BI151" s="39">
        <f>IFERROR(AU151*$BD151,0)</f>
        <v/>
      </c>
      <c r="BJ151" s="39">
        <f>IFERROR(AV151*$BD151,0)</f>
        <v/>
      </c>
      <c r="BK151" s="39">
        <f>IFERROR(AW151*$BD151,0)</f>
        <v/>
      </c>
      <c r="BL151" s="39">
        <f>IFERROR(AX151*$BD151,0)</f>
        <v/>
      </c>
      <c r="BM151" s="39">
        <f>IFERROR(AY151*$BD151,0)</f>
        <v/>
      </c>
      <c r="BN151" s="39">
        <f>IFERROR(AZ151*$BD151,0)</f>
        <v/>
      </c>
      <c r="BO151" s="39">
        <f>IFERROR(BA151*$BD151,0)</f>
        <v/>
      </c>
      <c r="BP151" s="40" t="n"/>
      <c r="BQ151" s="40">
        <f>IF(VALUE(MID(BQ$5,6,1))&lt;=$D$2,((1+$BD$3)^1-1)*BG151,0)</f>
        <v/>
      </c>
      <c r="BR151" s="40">
        <f>IF(VALUE(MID(BR$5,6,1))&lt;=$D$2,((1+$BD$3)^2-1)*BH151,0)</f>
        <v/>
      </c>
      <c r="BS151" s="40">
        <f>IF(VALUE(MID(BS$5,6,1))&lt;=$D$2,((1+$BD$3)^3-1)*BI151,0)</f>
        <v/>
      </c>
      <c r="BT151" s="40">
        <f>IF(VALUE(MID(BT$5,6,1))&lt;=$D$2,((1+$BD$3)^4-1)*BJ151,0)</f>
        <v/>
      </c>
      <c r="BU151" s="40">
        <f>IF(VALUE(MID(BU$5,6,1))&lt;=$D$2,((1+$BD$3)^5-1)*BK151,0)</f>
        <v/>
      </c>
      <c r="BV151" s="40">
        <f>IF(VALUE(MID(BV$5,6,1))&lt;=$D$2,((1+$BD$3)^6-1)*BL151,0)</f>
        <v/>
      </c>
      <c r="BW151" s="40">
        <f>IF(VALUE(MID(BW$5,6,1))&lt;=$D$2,((1+$BD$3)^7-1)*BM151,0)</f>
        <v/>
      </c>
      <c r="BX151" s="40">
        <f>IF(VALUE(MID(BX$5,6,1))&lt;=$D$2,((1+$BD$3)^8-1)*BN151,0)</f>
        <v/>
      </c>
      <c r="BY151" s="40">
        <f>IF(VALUE(MID(BY$5,6,2))&lt;=$D$2,((1+$BD$3)^9-1)*BO151,0)</f>
        <v/>
      </c>
      <c r="BZ151" s="40">
        <f>SUM(BP151:BY151)</f>
        <v/>
      </c>
      <c r="CA151" s="37">
        <f>SUM(BZ151,BF151:BO151)</f>
        <v/>
      </c>
      <c r="CC151" s="102" t="n"/>
      <c r="CD151" s="12" t="n"/>
      <c r="CE151" s="14">
        <f>IF($CC151="Annual",1,IF($CC151="Monthly F",12,IF($CC151="Monthly V",CD151*12,IF($CC151="One-Time",1,CD151*12))))</f>
        <v/>
      </c>
      <c r="CF151" s="14">
        <f t="array" ref="CF151">IFERROR(_xlfn.IFS(VALUE(MID(CF$5,6,1))&gt;$D$2,0,$CC151="Annual",1,CE151=12,12,$CC151="Monthly V",CE151*(1+$D$3),$CC151="Monthly F",12,$CC151="One-Time",0),CE151*(1+$D$3))</f>
        <v/>
      </c>
      <c r="CG151" s="14">
        <f t="array" ref="CG151">IFERROR(_xlfn.IFS(VALUE(MID(CG$5,6,1))&gt;$D$2,0,$CC151="Annual",1,CF151=12,12,$CC151="Monthly V",CF151*(1+$D$3),$CC151="Monthly F",12,$CC151="One-Time",0),CF151*(1+$D$3))</f>
        <v/>
      </c>
      <c r="CH151" s="14">
        <f t="array" ref="CH151">IFERROR(_xlfn.IFS(VALUE(MID(CH$5,6,1))&gt;$D$2,0,$CC151="Annual",1,CG151=12,12,$CC151="Monthly V",CG151*(1+$D$3),$CC151="Monthly F",12,$CC151="One-Time",0),CG151*(1+$D$3))</f>
        <v/>
      </c>
      <c r="CI151" s="14">
        <f t="array" ref="CI151">IFERROR(_xlfn.IFS(VALUE(MID(CI$5,6,1))&gt;$D$2,0,$CC151="Annual",1,CH151=12,12,$CC151="Monthly V",CH151*(1+$D$3),$CC151="Monthly F",12,$CC151="One-Time",0),CH151*(1+$D$3))</f>
        <v/>
      </c>
      <c r="CJ151" s="14">
        <f t="array" ref="CJ151">IFERROR(_xlfn.IFS(VALUE(MID(CJ$5,6,1))&gt;$D$2,0,$CC151="Annual",1,CI151=12,12,$CC151="Monthly V",CI151*(1+$D$3),$CC151="Monthly F",12,$CC151="One-Time",0),CI151*(1+$D$3))</f>
        <v/>
      </c>
      <c r="CK151" s="14">
        <f t="array" ref="CK151">IFERROR(_xlfn.IFS(VALUE(MID(CK$5,6,1))&gt;$D$2,0,$CC151="Annual",1,CJ151=12,12,$CC151="Monthly V",CJ151*(1+$D$3),$CC151="Monthly F",12,$CC151="One-Time",0),CJ151*(1+$D$3))</f>
        <v/>
      </c>
      <c r="CL151" s="14">
        <f t="array" ref="CL151">IFERROR(_xlfn.IFS(VALUE(MID(CL$5,6,1))&gt;$D$2,0,$CC151="Annual",1,CK151=12,12,$CC151="Monthly V",CK151*(1+$D$3),$CC151="Monthly F",12,$CC151="One-Time",0),CK151*(1+$D$3))</f>
        <v/>
      </c>
      <c r="CM151" s="14">
        <f t="array" ref="CM151">IFERROR(_xlfn.IFS(VALUE(MID(CM$5,6,1))&gt;$D$2,0,$CC151="Annual",1,CL151=12,12,$CC151="Monthly V",CL151*(1+$D$3),$CC151="Monthly F",12,$CC151="One-Time",0),CL151*(1+$D$3))</f>
        <v/>
      </c>
      <c r="CN151" s="24">
        <f t="array" ref="CN151">IFERROR(_xlfn.IFS(VALUE(MID(CN$5,6,2))&gt;$D$2,0,$CC151="Annual",1,CM151=12,12,$CC151="Monthly V",CM151*(1+$D$3),$CC151="Monthly F",12,$CC151="One-Time",0),CM151*(1+$D$3))</f>
        <v/>
      </c>
      <c r="CO151" s="63" t="n"/>
      <c r="CP151" s="53" t="n"/>
      <c r="CQ151" s="21">
        <f>CR151/12</f>
        <v/>
      </c>
      <c r="CR151" s="55">
        <f>IFERROR(CE151*$CP151,0)</f>
        <v/>
      </c>
      <c r="CS151" s="55">
        <f>IFERROR(CF151*$CP151,0)</f>
        <v/>
      </c>
      <c r="CT151" s="55">
        <f>IFERROR(CG151*$CP151,0)</f>
        <v/>
      </c>
      <c r="CU151" s="55">
        <f>IFERROR(CH151*$CP151,0)</f>
        <v/>
      </c>
      <c r="CV151" s="55">
        <f>IFERROR(CI151*$CP151,0)</f>
        <v/>
      </c>
      <c r="CW151" s="55">
        <f>IFERROR(CJ151*$CP151,0)</f>
        <v/>
      </c>
      <c r="CX151" s="55">
        <f>IFERROR(CK151*$CP151,0)</f>
        <v/>
      </c>
      <c r="CY151" s="55">
        <f>IFERROR(CL151*$CP151,0)</f>
        <v/>
      </c>
      <c r="CZ151" s="55">
        <f>IFERROR(CM151*$CP151,0)</f>
        <v/>
      </c>
      <c r="DA151" s="55">
        <f>IFERROR(CN151*$CP151,0)</f>
        <v/>
      </c>
      <c r="DB151" s="56" t="n"/>
      <c r="DC151" s="56">
        <f>IF(VALUE(MID(DC$5,6,1))&lt;=$D$2,((1+$CP$3)^1-1)*CS151,0)</f>
        <v/>
      </c>
      <c r="DD151" s="56">
        <f>IF(VALUE(MID(DD$5,6,1))&lt;=$D$2,((1+$CP$3)^2-1)*CT151,0)</f>
        <v/>
      </c>
      <c r="DE151" s="56">
        <f>IF(VALUE(MID(DE$5,6,1))&lt;=$D$2,((1+$CP$3)^3-1)*CU151,0)</f>
        <v/>
      </c>
      <c r="DF151" s="56">
        <f>IF(VALUE(MID(DF$5,6,1))&lt;=$D$2,((1+$CP$3)^4-1)*CV151,0)</f>
        <v/>
      </c>
      <c r="DG151" s="56">
        <f>IF(VALUE(MID(DG$5,6,1))&lt;=$D$2,((1+$CP$3)^5-1)*CW151,0)</f>
        <v/>
      </c>
      <c r="DH151" s="56">
        <f>IF(VALUE(MID(DH$5,6,1))&lt;=$D$2,((1+$CP$3)^6-1)*CX151,0)</f>
        <v/>
      </c>
      <c r="DI151" s="56">
        <f>IF(VALUE(MID(DI$5,6,1))&lt;=$D$2,((1+$CP$3)^7-1)*CY151,0)</f>
        <v/>
      </c>
      <c r="DJ151" s="56">
        <f>IF(VALUE(MID(DJ$5,6,1))&lt;=$D$2,((1+$CP$3)^8-1)*CZ151,0)</f>
        <v/>
      </c>
      <c r="DK151" s="56">
        <f>IF(VALUE(MID(DK$5,6,2))&lt;=$D$2,((1+$CP$3)^9-1)*DA151,0)</f>
        <v/>
      </c>
      <c r="DL151" s="57">
        <f>SUM(DB151:DK151)</f>
        <v/>
      </c>
      <c r="DM151" s="54">
        <f>SUM(DL151,CR151:DA151)</f>
        <v/>
      </c>
      <c r="DO151" s="106" t="n"/>
    </row>
    <row r="152" ht="15.75" customHeight="1" thickBot="1">
      <c r="B152" s="69" t="n"/>
      <c r="C152" s="29" t="n"/>
      <c r="D152" s="29" t="n"/>
      <c r="E152" s="100" t="n"/>
      <c r="F152" s="28" t="n"/>
      <c r="G152" s="28" t="n"/>
      <c r="H152" s="28" t="n"/>
      <c r="I152" s="28" t="n"/>
      <c r="J152" s="28" t="n"/>
      <c r="K152" s="28" t="n"/>
      <c r="L152" s="28" t="n"/>
      <c r="M152" s="28" t="n"/>
      <c r="N152" s="28" t="n"/>
      <c r="O152" s="30" t="inlineStr">
        <is>
          <t>Total New Products and Services</t>
        </is>
      </c>
      <c r="P152" s="30" t="n"/>
      <c r="Q152" s="31" t="n"/>
      <c r="R152" s="32">
        <f>SUM(R122:R151)</f>
        <v/>
      </c>
      <c r="S152" s="33">
        <f>SUM(S122:S151)</f>
        <v/>
      </c>
      <c r="T152" s="33">
        <f>SUM(T122:T151)</f>
        <v/>
      </c>
      <c r="U152" s="33">
        <f>SUM(U122:U151)</f>
        <v/>
      </c>
      <c r="V152" s="33">
        <f>SUM(V122:V151)</f>
        <v/>
      </c>
      <c r="W152" s="33">
        <f>SUM(W122:W151)</f>
        <v/>
      </c>
      <c r="X152" s="33">
        <f>SUM(X122:X151)</f>
        <v/>
      </c>
      <c r="Y152" s="33">
        <f>SUM(Y122:Y151)</f>
        <v/>
      </c>
      <c r="Z152" s="33">
        <f>SUM(Z122:Z151)</f>
        <v/>
      </c>
      <c r="AA152" s="33">
        <f>SUM(AA122:AA151)</f>
        <v/>
      </c>
      <c r="AB152" s="33">
        <f>SUM(AB122:AB151)</f>
        <v/>
      </c>
      <c r="AC152" s="34" t="n"/>
      <c r="AD152" s="33" t="n"/>
      <c r="AE152" s="33" t="n"/>
      <c r="AF152" s="33" t="n"/>
      <c r="AG152" s="33" t="n"/>
      <c r="AH152" s="33" t="n"/>
      <c r="AI152" s="33" t="n"/>
      <c r="AJ152" s="33" t="n"/>
      <c r="AK152" s="33" t="n"/>
      <c r="AL152" s="33" t="n"/>
      <c r="AM152" s="33">
        <f>SUM(AM122:AM151)</f>
        <v/>
      </c>
      <c r="AN152" s="81">
        <f>SUM(AN122:AN151)</f>
        <v/>
      </c>
      <c r="AP152" s="95" t="n"/>
      <c r="AQ152" s="97" t="n"/>
      <c r="AR152" s="97" t="n"/>
      <c r="AS152" s="97" t="n"/>
      <c r="AT152" s="97" t="n"/>
      <c r="AU152" s="97" t="n"/>
      <c r="AV152" s="97" t="n"/>
      <c r="AW152" s="97" t="n"/>
      <c r="AX152" s="97" t="n"/>
      <c r="AY152" s="97" t="n"/>
      <c r="AZ152" s="97" t="n"/>
      <c r="BA152" s="126" t="n"/>
      <c r="BB152" s="41" t="inlineStr">
        <is>
          <t>Total New Products and Services</t>
        </is>
      </c>
      <c r="BC152" s="41" t="n"/>
      <c r="BD152" s="42" t="n"/>
      <c r="BE152" s="43">
        <f>SUM(BE122:BE151)</f>
        <v/>
      </c>
      <c r="BF152" s="44">
        <f>SUM(BF122:BF151)</f>
        <v/>
      </c>
      <c r="BG152" s="44">
        <f>SUM(BG122:BG151)</f>
        <v/>
      </c>
      <c r="BH152" s="44">
        <f>SUM(BH122:BH151)</f>
        <v/>
      </c>
      <c r="BI152" s="44">
        <f>SUM(BI122:BI151)</f>
        <v/>
      </c>
      <c r="BJ152" s="44">
        <f>SUM(BJ122:BJ151)</f>
        <v/>
      </c>
      <c r="BK152" s="44">
        <f>SUM(BK122:BK151)</f>
        <v/>
      </c>
      <c r="BL152" s="44">
        <f>SUM(BL122:BL151)</f>
        <v/>
      </c>
      <c r="BM152" s="44">
        <f>SUM(BM122:BM151)</f>
        <v/>
      </c>
      <c r="BN152" s="44">
        <f>SUM(BN122:BN151)</f>
        <v/>
      </c>
      <c r="BO152" s="44">
        <f>SUM(BO122:BO151)</f>
        <v/>
      </c>
      <c r="BP152" s="45" t="n"/>
      <c r="BQ152" s="44" t="n"/>
      <c r="BR152" s="44" t="n"/>
      <c r="BS152" s="44" t="n"/>
      <c r="BT152" s="44" t="n"/>
      <c r="BU152" s="44" t="n"/>
      <c r="BV152" s="44" t="n"/>
      <c r="BW152" s="44" t="n"/>
      <c r="BX152" s="44" t="n"/>
      <c r="BY152" s="44" t="n"/>
      <c r="BZ152" s="44">
        <f>SUM(BZ122:BZ151)</f>
        <v/>
      </c>
      <c r="CA152" s="46">
        <f>SUM(CA122:CA151)</f>
        <v/>
      </c>
      <c r="CC152" s="121" t="n"/>
      <c r="CD152" s="122" t="n"/>
      <c r="CE152" s="122" t="n"/>
      <c r="CF152" s="122" t="n"/>
      <c r="CG152" s="122" t="n"/>
      <c r="CH152" s="122" t="n"/>
      <c r="CI152" s="122" t="n"/>
      <c r="CJ152" s="122" t="n"/>
      <c r="CK152" s="122" t="n"/>
      <c r="CL152" s="122" t="n"/>
      <c r="CM152" s="122" t="n"/>
      <c r="CN152" s="122" t="n"/>
      <c r="CO152" s="64" t="inlineStr">
        <is>
          <t>Total New Products and Services</t>
        </is>
      </c>
      <c r="CP152" s="58" t="n"/>
      <c r="CQ152" s="59">
        <f>SUM(CQ122:CQ151)</f>
        <v/>
      </c>
      <c r="CR152" s="60">
        <f>SUM(CR122:CR151)</f>
        <v/>
      </c>
      <c r="CS152" s="60">
        <f>SUM(CS122:CS151)</f>
        <v/>
      </c>
      <c r="CT152" s="60">
        <f>SUM(CT122:CT151)</f>
        <v/>
      </c>
      <c r="CU152" s="60">
        <f>SUM(CU122:CU151)</f>
        <v/>
      </c>
      <c r="CV152" s="60">
        <f>SUM(CV122:CV151)</f>
        <v/>
      </c>
      <c r="CW152" s="60">
        <f>SUM(CW122:CW151)</f>
        <v/>
      </c>
      <c r="CX152" s="60">
        <f>SUM(CX122:CX151)</f>
        <v/>
      </c>
      <c r="CY152" s="60">
        <f>SUM(CY122:CY151)</f>
        <v/>
      </c>
      <c r="CZ152" s="60">
        <f>SUM(CZ122:CZ151)</f>
        <v/>
      </c>
      <c r="DA152" s="60">
        <f>SUM(DA122:DA151)</f>
        <v/>
      </c>
      <c r="DB152" s="61" t="n"/>
      <c r="DC152" s="60" t="n"/>
      <c r="DD152" s="60" t="n"/>
      <c r="DE152" s="60" t="n"/>
      <c r="DF152" s="60" t="n"/>
      <c r="DG152" s="60" t="n"/>
      <c r="DH152" s="60" t="n"/>
      <c r="DI152" s="60" t="n"/>
      <c r="DJ152" s="60" t="n"/>
      <c r="DK152" s="60" t="n"/>
      <c r="DL152" s="60">
        <f>SUM(DL122:DL151)</f>
        <v/>
      </c>
      <c r="DM152" s="62">
        <f>SUM(DM122:DM151)</f>
        <v/>
      </c>
    </row>
    <row r="163" ht="15.75" customHeight="1" thickBot="1"/>
    <row r="164" ht="15.75" customHeight="1" thickBot="1">
      <c r="B164" s="216" t="inlineStr">
        <is>
          <t>Removed/Not Included Line Items</t>
        </is>
      </c>
      <c r="C164" s="267" t="n"/>
      <c r="D164" s="267" t="n"/>
      <c r="E164" s="267" t="n"/>
      <c r="F164" s="267" t="n"/>
      <c r="G164" s="267" t="n"/>
      <c r="H164" s="267" t="n"/>
      <c r="I164" s="267" t="n"/>
      <c r="J164" s="267" t="n"/>
      <c r="K164" s="267" t="n"/>
      <c r="L164" s="267" t="n"/>
      <c r="M164" s="267" t="n"/>
      <c r="N164" s="267" t="n"/>
      <c r="O164" s="267" t="n"/>
      <c r="P164" s="267" t="n"/>
      <c r="Q164" s="267" t="n"/>
      <c r="R164" s="267" t="n"/>
      <c r="S164" s="267" t="n"/>
      <c r="T164" s="267" t="n"/>
      <c r="U164" s="267" t="n"/>
      <c r="V164" s="267" t="n"/>
      <c r="W164" s="267" t="n"/>
      <c r="X164" s="267" t="n"/>
      <c r="Y164" s="267" t="n"/>
      <c r="Z164" s="267" t="n"/>
      <c r="AA164" s="267" t="n"/>
      <c r="AB164" s="267" t="n"/>
      <c r="AC164" s="267" t="n"/>
      <c r="AD164" s="267" t="n"/>
      <c r="AE164" s="267" t="n"/>
      <c r="AF164" s="267" t="n"/>
      <c r="AG164" s="267" t="n"/>
      <c r="AH164" s="267" t="n"/>
      <c r="AI164" s="267" t="n"/>
      <c r="AJ164" s="267" t="n"/>
      <c r="AK164" s="267" t="n"/>
      <c r="AL164" s="267" t="n"/>
      <c r="AM164" s="267" t="n"/>
      <c r="AN164" s="267" t="n"/>
      <c r="AP164" s="284" t="inlineStr">
        <is>
          <t>Removed/Not Included Line Items</t>
        </is>
      </c>
      <c r="AQ164" s="267" t="n"/>
      <c r="AR164" s="267" t="n"/>
      <c r="AS164" s="267" t="n"/>
      <c r="AT164" s="267" t="n"/>
      <c r="AU164" s="267" t="n"/>
      <c r="AV164" s="267" t="n"/>
      <c r="AW164" s="267" t="n"/>
      <c r="AX164" s="267" t="n"/>
      <c r="AY164" s="267" t="n"/>
      <c r="AZ164" s="267" t="n"/>
      <c r="BA164" s="267" t="n"/>
      <c r="BB164" s="267" t="n"/>
      <c r="BC164" s="267" t="n"/>
      <c r="BD164" s="267" t="n"/>
      <c r="BE164" s="267" t="n"/>
      <c r="BF164" s="267" t="n"/>
      <c r="BG164" s="267" t="n"/>
      <c r="BH164" s="267" t="n"/>
      <c r="BI164" s="267" t="n"/>
      <c r="BJ164" s="267" t="n"/>
      <c r="BK164" s="267" t="n"/>
      <c r="BL164" s="267" t="n"/>
      <c r="BM164" s="267" t="n"/>
      <c r="BN164" s="267" t="n"/>
      <c r="BO164" s="267" t="n"/>
      <c r="BP164" s="267" t="n"/>
      <c r="BQ164" s="267" t="n"/>
      <c r="BR164" s="267" t="n"/>
      <c r="BS164" s="267" t="n"/>
      <c r="BT164" s="267" t="n"/>
      <c r="BU164" s="267" t="n"/>
      <c r="BV164" s="267" t="n"/>
      <c r="BW164" s="267" t="n"/>
      <c r="BX164" s="267" t="n"/>
      <c r="BY164" s="267" t="n"/>
      <c r="BZ164" s="267" t="n"/>
      <c r="CA164" s="268" t="n"/>
      <c r="CC164" s="284" t="inlineStr">
        <is>
          <t>Removed/Not Included Line Items</t>
        </is>
      </c>
      <c r="CD164" s="267" t="n"/>
      <c r="CE164" s="267" t="n"/>
      <c r="CF164" s="267" t="n"/>
      <c r="CG164" s="267" t="n"/>
      <c r="CH164" s="267" t="n"/>
      <c r="CI164" s="267" t="n"/>
      <c r="CJ164" s="267" t="n"/>
      <c r="CK164" s="267" t="n"/>
      <c r="CL164" s="267" t="n"/>
      <c r="CM164" s="267" t="n"/>
      <c r="CN164" s="267" t="n"/>
      <c r="CO164" s="267" t="n"/>
      <c r="CP164" s="267" t="n"/>
      <c r="CQ164" s="267" t="n"/>
      <c r="CR164" s="267" t="n"/>
      <c r="CS164" s="267" t="n"/>
      <c r="CT164" s="267" t="n"/>
      <c r="CU164" s="267" t="n"/>
      <c r="CV164" s="267" t="n"/>
      <c r="CW164" s="267" t="n"/>
      <c r="CX164" s="267" t="n"/>
      <c r="CY164" s="267" t="n"/>
      <c r="CZ164" s="267" t="n"/>
      <c r="DA164" s="267" t="n"/>
      <c r="DB164" s="267" t="n"/>
      <c r="DC164" s="267" t="n"/>
      <c r="DD164" s="267" t="n"/>
      <c r="DE164" s="267" t="n"/>
      <c r="DF164" s="267" t="n"/>
      <c r="DG164" s="267" t="n"/>
      <c r="DH164" s="267" t="n"/>
      <c r="DI164" s="267" t="n"/>
      <c r="DJ164" s="267" t="n"/>
      <c r="DK164" s="267" t="n"/>
      <c r="DL164" s="267" t="n"/>
      <c r="DM164" s="267" t="n"/>
      <c r="DN164" s="268" t="n"/>
    </row>
  </sheetData>
  <mergeCells count="42">
    <mergeCell ref="O119:AN119"/>
    <mergeCell ref="AQ119:AQ120"/>
    <mergeCell ref="CC164:DN164"/>
    <mergeCell ref="CE119:CN119"/>
    <mergeCell ref="E119:N119"/>
    <mergeCell ref="CD119:CD120"/>
    <mergeCell ref="B21:AN21"/>
    <mergeCell ref="B86:AN86"/>
    <mergeCell ref="B130:AN130"/>
    <mergeCell ref="CO119:DM119"/>
    <mergeCell ref="AP119:AP120"/>
    <mergeCell ref="AR119:BA119"/>
    <mergeCell ref="D4:D5"/>
    <mergeCell ref="CC119:CC120"/>
    <mergeCell ref="AQ4:AQ5"/>
    <mergeCell ref="B119:B120"/>
    <mergeCell ref="O1:AN1"/>
    <mergeCell ref="CC4:CC5"/>
    <mergeCell ref="O4:AN4"/>
    <mergeCell ref="E4:N4"/>
    <mergeCell ref="B55:AN55"/>
    <mergeCell ref="B6:AN6"/>
    <mergeCell ref="BB4:CA4"/>
    <mergeCell ref="B164:AN164"/>
    <mergeCell ref="AP78:CA78"/>
    <mergeCell ref="BB1:CA1"/>
    <mergeCell ref="CO4:DM4"/>
    <mergeCell ref="B110:AN110"/>
    <mergeCell ref="AP6:CA6"/>
    <mergeCell ref="B4:B5"/>
    <mergeCell ref="CD4:CD5"/>
    <mergeCell ref="BB119:CA119"/>
    <mergeCell ref="AP108:CA108"/>
    <mergeCell ref="AP86:CA86"/>
    <mergeCell ref="AP4:AP5"/>
    <mergeCell ref="AR4:BA4"/>
    <mergeCell ref="CC6:DM6"/>
    <mergeCell ref="CC86:DM86"/>
    <mergeCell ref="CE4:CN4"/>
    <mergeCell ref="D119:D120"/>
    <mergeCell ref="B121:AN121"/>
    <mergeCell ref="AP164:CA164"/>
  </mergeCells>
  <pageMargins left="0.7" right="0.7" top="0.75" bottom="0.75" header="0.3" footer="0.3"/>
  <pageSetup orientation="portrait"/>
</worksheet>
</file>

<file path=xl/worksheets/sheet5.xml><?xml version="1.0" encoding="utf-8"?>
<worksheet xmlns="http://schemas.openxmlformats.org/spreadsheetml/2006/main">
  <sheetPr>
    <tabColor rgb="FF92D050"/>
    <outlinePr summaryBelow="1" summaryRight="1"/>
    <pageSetUpPr/>
  </sheetPr>
  <dimension ref="A1:H16"/>
  <sheetViews>
    <sheetView zoomScale="86" workbookViewId="0">
      <selection activeCell="B7" sqref="B7"/>
    </sheetView>
  </sheetViews>
  <sheetFormatPr baseColWidth="8" defaultRowHeight="15"/>
  <cols>
    <col width="19" customWidth="1" min="1" max="1"/>
    <col width="16.28515625" customWidth="1" min="2" max="8"/>
    <col width="20.28515625" customWidth="1" min="9" max="9"/>
    <col width="13" customWidth="1" min="10" max="16"/>
  </cols>
  <sheetData>
    <row r="1" ht="26.25" customFormat="1" customHeight="1" s="177">
      <c r="B1" s="177" t="inlineStr">
        <is>
          <t>Annual Fees - Breakdown from Year 1 - Year 7</t>
        </is>
      </c>
    </row>
    <row r="3" ht="23.25" customHeight="1">
      <c r="B3" s="247" t="inlineStr">
        <is>
          <t>FIS</t>
        </is>
      </c>
      <c r="C3" s="285" t="n"/>
      <c r="D3" s="285" t="n"/>
      <c r="E3" s="285" t="n"/>
      <c r="F3" s="285" t="n"/>
      <c r="G3" s="285" t="n"/>
      <c r="H3" s="285" t="n"/>
    </row>
    <row r="4">
      <c r="A4" s="172" t="n"/>
      <c r="B4" s="174" t="inlineStr">
        <is>
          <t>Year 1</t>
        </is>
      </c>
      <c r="C4" s="174" t="inlineStr">
        <is>
          <t>Year 2</t>
        </is>
      </c>
      <c r="D4" s="174" t="inlineStr">
        <is>
          <t>Year 3</t>
        </is>
      </c>
      <c r="E4" s="174" t="inlineStr">
        <is>
          <t>Year 4</t>
        </is>
      </c>
      <c r="F4" s="174" t="inlineStr">
        <is>
          <t>Year 5</t>
        </is>
      </c>
      <c r="G4" s="174" t="inlineStr">
        <is>
          <t>Year 6</t>
        </is>
      </c>
      <c r="H4" s="174" t="inlineStr">
        <is>
          <t>Year 7</t>
        </is>
      </c>
    </row>
    <row r="5" ht="48.4" customFormat="1" customHeight="1" s="170">
      <c r="A5" s="286" t="inlineStr">
        <is>
          <t>Required Annual Fees</t>
        </is>
      </c>
      <c r="B5" s="287" t="n">
        <v>399533</v>
      </c>
      <c r="C5" s="287" t="n">
        <v>376753.4</v>
      </c>
      <c r="D5" s="287" t="n">
        <v>440017.8799999999</v>
      </c>
      <c r="E5" s="287" t="n">
        <v>510294.9449600001</v>
      </c>
      <c r="F5" s="287" t="n">
        <v>599967.7339519999</v>
      </c>
      <c r="G5" s="287" t="n">
        <v>607547.2924544001</v>
      </c>
      <c r="H5" s="287" t="n">
        <v>642270.55094528</v>
      </c>
    </row>
    <row r="6" ht="48.4" customFormat="1" customHeight="1" s="170">
      <c r="A6" s="286" t="inlineStr">
        <is>
          <t>Optional Annual Fees</t>
        </is>
      </c>
      <c r="B6" s="287" t="n">
        <v>421958</v>
      </c>
      <c r="C6" s="287" t="n">
        <v>436416</v>
      </c>
      <c r="D6" s="287" t="n">
        <v>299616</v>
      </c>
      <c r="E6" s="287" t="n">
        <v>351456</v>
      </c>
      <c r="F6" s="287" t="n">
        <v>413663.9999999999</v>
      </c>
      <c r="G6" s="287" t="n">
        <v>488313.5999999999</v>
      </c>
      <c r="H6" s="287" t="n">
        <v>577893.1199999999</v>
      </c>
    </row>
    <row r="7" ht="48.4" customFormat="1" customHeight="1" s="170">
      <c r="A7" s="286" t="inlineStr">
        <is>
          <t>(minues any credits)</t>
        </is>
      </c>
      <c r="B7" s="287" t="n">
        <v>-159156.1428571429</v>
      </c>
      <c r="C7" s="287" t="n">
        <v>-159156.1428571429</v>
      </c>
      <c r="D7" s="287" t="n">
        <v>-159156.1428571429</v>
      </c>
      <c r="E7" s="287" t="n">
        <v>-159156.1428571429</v>
      </c>
      <c r="F7" s="287" t="n">
        <v>-159156.1428571429</v>
      </c>
      <c r="G7" s="287" t="n">
        <v>-159156.1428571429</v>
      </c>
      <c r="H7" s="287" t="n">
        <v>-159156.1428571429</v>
      </c>
    </row>
    <row r="8">
      <c r="A8" s="286" t="inlineStr">
        <is>
          <t>Totals</t>
        </is>
      </c>
      <c r="B8" s="287">
        <f>SUM(B5:B7)</f>
        <v/>
      </c>
      <c r="C8" s="287">
        <f>SUM(C5:C7)</f>
        <v/>
      </c>
      <c r="D8" s="287">
        <f>SUM(D5:D7)</f>
        <v/>
      </c>
      <c r="E8" s="287">
        <f>SUM(E5:E7)</f>
        <v/>
      </c>
      <c r="F8" s="287">
        <f>SUM(F5:F7)</f>
        <v/>
      </c>
      <c r="G8" s="287">
        <f>SUM(G5:G7)</f>
        <v/>
      </c>
      <c r="H8" s="287">
        <f>SUM(H5:H7)</f>
        <v/>
      </c>
    </row>
    <row r="12" ht="23.25" customHeight="1">
      <c r="B12" s="249" t="inlineStr">
        <is>
          <t>Jack Henry</t>
        </is>
      </c>
    </row>
    <row r="13">
      <c r="B13" s="176" t="inlineStr">
        <is>
          <t>Year 1</t>
        </is>
      </c>
      <c r="C13" s="176" t="inlineStr">
        <is>
          <t>Year 2</t>
        </is>
      </c>
      <c r="D13" s="176" t="inlineStr">
        <is>
          <t>Year 3</t>
        </is>
      </c>
      <c r="E13" s="176" t="inlineStr">
        <is>
          <t>Year 4</t>
        </is>
      </c>
      <c r="F13" s="176" t="inlineStr">
        <is>
          <t>Year 5</t>
        </is>
      </c>
      <c r="G13" s="176" t="inlineStr">
        <is>
          <t>Year 6</t>
        </is>
      </c>
      <c r="H13" s="176" t="inlineStr">
        <is>
          <t>Year 7</t>
        </is>
      </c>
    </row>
    <row r="14" ht="48" customHeight="1">
      <c r="A14" s="175" t="inlineStr">
        <is>
          <t>Required Annual Fees</t>
        </is>
      </c>
      <c r="B14" s="288" t="n">
        <v>483178.32</v>
      </c>
      <c r="C14" s="288" t="n">
        <v>529585.584</v>
      </c>
      <c r="D14" s="288" t="n">
        <v>585274.3008</v>
      </c>
      <c r="E14" s="288" t="n">
        <v>652100.7609599998</v>
      </c>
      <c r="F14" s="288" t="n">
        <v>732292.5131520003</v>
      </c>
      <c r="G14" s="288" t="n">
        <v>828522.6157823997</v>
      </c>
      <c r="H14" s="288" t="n">
        <v>943998.7389388799</v>
      </c>
    </row>
    <row r="15" ht="48" customHeight="1">
      <c r="A15" s="175" t="inlineStr">
        <is>
          <t>Optional Annual Fees</t>
        </is>
      </c>
      <c r="B15" s="288" t="n">
        <v>119705</v>
      </c>
      <c r="C15" s="288" t="n">
        <v>127244</v>
      </c>
      <c r="D15" s="288" t="n">
        <v>136290.8</v>
      </c>
      <c r="E15" s="288" t="n">
        <v>147146.96</v>
      </c>
      <c r="F15" s="288" t="n">
        <v>160174.352</v>
      </c>
      <c r="G15" s="288" t="n">
        <v>175807.2224</v>
      </c>
      <c r="H15" s="288" t="n">
        <v>194566.66688</v>
      </c>
    </row>
    <row r="16" ht="48" customHeight="1">
      <c r="A16" s="175" t="inlineStr">
        <is>
          <t>Totals</t>
        </is>
      </c>
      <c r="B16" s="288">
        <f>SUM(B14:B15)</f>
        <v/>
      </c>
      <c r="C16" s="288">
        <f>SUM(C14:C15)</f>
        <v/>
      </c>
      <c r="D16" s="288">
        <f>SUM(D14:D15)</f>
        <v/>
      </c>
      <c r="E16" s="288">
        <f>SUM(E14:E15)</f>
        <v/>
      </c>
      <c r="F16" s="288">
        <f>SUM(F14:F15)</f>
        <v/>
      </c>
      <c r="G16" s="288">
        <f>SUM(G14:G15)</f>
        <v/>
      </c>
      <c r="H16" s="288">
        <f>SUM(H14:H15)</f>
        <v/>
      </c>
    </row>
  </sheetData>
  <mergeCells count="2">
    <mergeCell ref="B3:H3"/>
    <mergeCell ref="B12:H12"/>
  </mergeCells>
  <pageMargins left="0.7" right="0.7" top="0.75" bottom="0.75" header="0.3" footer="0.3"/>
</worksheet>
</file>

<file path=xl/worksheets/sheet6.xml><?xml version="1.0" encoding="utf-8"?>
<worksheet xmlns="http://schemas.openxmlformats.org/spreadsheetml/2006/main">
  <sheetPr>
    <tabColor theme="9"/>
    <outlinePr summaryBelow="1" summaryRight="1"/>
    <pageSetUpPr/>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baseColWidth="8" defaultRowHeight="15" outlineLevelRow="1"/>
  <cols>
    <col width="3.28515625" customWidth="1" min="1" max="1"/>
    <col width="46.42578125" bestFit="1" customWidth="1" min="2" max="2"/>
    <col width="14.7109375" customWidth="1" min="3" max="4"/>
    <col width="55" bestFit="1" customWidth="1" min="5" max="5"/>
    <col width="15" customWidth="1" min="6" max="7"/>
  </cols>
  <sheetData>
    <row r="1" ht="15.75" customHeight="1" thickBot="1">
      <c r="B1" s="251" t="inlineStr">
        <is>
          <t>FIS</t>
        </is>
      </c>
      <c r="C1" s="183" t="n"/>
      <c r="E1" s="276" t="inlineStr">
        <is>
          <t>Jack Henry</t>
        </is>
      </c>
      <c r="F1" s="268" t="n"/>
    </row>
    <row r="2" ht="15.75" customHeight="1" thickBot="1">
      <c r="B2" s="26" t="inlineStr">
        <is>
          <t>Required Items</t>
        </is>
      </c>
      <c r="C2" s="129" t="inlineStr">
        <is>
          <t>Total 7 Year</t>
        </is>
      </c>
      <c r="D2" s="129" t="inlineStr">
        <is>
          <t>Monthly Avg.</t>
        </is>
      </c>
      <c r="E2" s="47" t="inlineStr">
        <is>
          <t>Required Items</t>
        </is>
      </c>
      <c r="F2" s="226" t="inlineStr">
        <is>
          <t>Total 7 Year</t>
        </is>
      </c>
      <c r="G2" s="226" t="inlineStr">
        <is>
          <t>Monthly Avg.</t>
        </is>
      </c>
    </row>
    <row r="3" ht="15.75" customHeight="1" thickBot="1">
      <c r="B3" s="25" t="inlineStr">
        <is>
          <t>Bundle FIS Products</t>
        </is>
      </c>
      <c r="C3" s="289">
        <f>SUM('Line Items'!AN7:AN19)</f>
        <v/>
      </c>
      <c r="D3" s="289">
        <f>C3/84</f>
        <v/>
      </c>
      <c r="E3" s="25" t="inlineStr">
        <is>
          <t>Jack Henry Monthly &amp; Annual Products</t>
        </is>
      </c>
      <c r="F3" s="290">
        <f>SUM('Line Items'!CA7:CA77)</f>
        <v/>
      </c>
      <c r="G3" s="290">
        <f>F3/84</f>
        <v/>
      </c>
    </row>
    <row r="4" ht="15.75" customHeight="1" thickBot="1">
      <c r="B4" s="25" t="inlineStr">
        <is>
          <t>Non-Bundle FIS Required Products</t>
        </is>
      </c>
      <c r="C4" s="291">
        <f>SUM('Line Items'!AN22:AN54)</f>
        <v/>
      </c>
      <c r="D4" s="289">
        <f>C4/84</f>
        <v/>
      </c>
      <c r="E4" s="25" t="inlineStr">
        <is>
          <t>Licensed Monthly &amp; Annual Products</t>
        </is>
      </c>
      <c r="F4" s="292">
        <f>SUM('Line Items'!CA79:CA84)</f>
        <v/>
      </c>
      <c r="G4" s="290">
        <f>F4/84</f>
        <v/>
      </c>
    </row>
    <row r="5" ht="15.75" customHeight="1" thickBot="1">
      <c r="A5" s="283" t="n"/>
      <c r="B5" s="25" t="inlineStr">
        <is>
          <t>Non-Bundle Required Third Parties</t>
        </is>
      </c>
      <c r="C5" s="293">
        <f>SUM('Line Items'!AN58:AN84)</f>
        <v/>
      </c>
      <c r="D5" s="289">
        <f>C5/84</f>
        <v/>
      </c>
      <c r="E5" s="25" t="n"/>
      <c r="F5" s="292" t="n"/>
      <c r="G5" s="290">
        <f>F5/84</f>
        <v/>
      </c>
    </row>
    <row r="6" ht="15.75" customHeight="1" thickBot="1">
      <c r="A6" s="283" t="n"/>
      <c r="B6" s="150" t="inlineStr">
        <is>
          <t>Sub-Total: Required/Included Products</t>
        </is>
      </c>
      <c r="C6" s="294">
        <f>SUM(C3:C5)</f>
        <v/>
      </c>
      <c r="D6" s="289">
        <f>C6/84</f>
        <v/>
      </c>
      <c r="E6" s="166" t="inlineStr">
        <is>
          <t>Sub-Total: Required/Included Products</t>
        </is>
      </c>
      <c r="F6" s="295">
        <f>SUM(F3:F5)</f>
        <v/>
      </c>
      <c r="G6" s="290">
        <f>F6/84</f>
        <v/>
      </c>
    </row>
    <row r="7" ht="15.75" customHeight="1" thickBot="1">
      <c r="A7" s="283" t="n"/>
      <c r="B7" s="23" t="inlineStr">
        <is>
          <t>Implementation Credits (FIS Products ONLY)</t>
        </is>
      </c>
      <c r="C7" s="293">
        <f>SUM('Line Items'!AN93)</f>
        <v/>
      </c>
      <c r="D7" s="289" t="n"/>
      <c r="E7" s="23" t="inlineStr">
        <is>
          <t>Implementation Credits (Jack Henry Products ONLY)</t>
        </is>
      </c>
      <c r="F7" s="292">
        <f>-SUM('Line Items'!CA87:CA92)</f>
        <v/>
      </c>
      <c r="G7" s="290" t="n"/>
    </row>
    <row r="8" ht="15.75" customHeight="1" thickBot="1">
      <c r="A8" s="283" t="n"/>
      <c r="B8" s="23" t="inlineStr">
        <is>
          <t>Implementation Credits (Third Party Products)</t>
        </is>
      </c>
      <c r="C8" s="291">
        <f>'Line Items'!AN94</f>
        <v/>
      </c>
      <c r="D8" s="289" t="n"/>
      <c r="E8" s="23" t="inlineStr">
        <is>
          <t>Implementation Credits (Licensed Third-Party Products)</t>
        </is>
      </c>
      <c r="F8" s="292">
        <f>-SUM('Line Items'!CA109:CA114)</f>
        <v/>
      </c>
      <c r="G8" s="290" t="n"/>
    </row>
    <row r="9" ht="15.75" customHeight="1" thickBot="1">
      <c r="A9" s="283" t="n"/>
      <c r="B9" s="150" t="inlineStr">
        <is>
          <t>Total Required Items (minus impl. credits)</t>
        </is>
      </c>
      <c r="C9" s="294">
        <f>SUM(C6:D8)</f>
        <v/>
      </c>
      <c r="D9" s="289">
        <f>C9/84</f>
        <v/>
      </c>
      <c r="E9" s="166" t="inlineStr">
        <is>
          <t>Total Required Items (minus impl. Credits)</t>
        </is>
      </c>
      <c r="F9" s="295">
        <f>SUM(F6:F8)</f>
        <v/>
      </c>
      <c r="G9" s="290">
        <f>F9/84</f>
        <v/>
      </c>
    </row>
    <row r="10" ht="15.75" customHeight="1" thickBot="1">
      <c r="C10" s="130" t="n"/>
      <c r="F10" s="130" t="n"/>
    </row>
    <row r="11" ht="15.75" customHeight="1" thickBot="1">
      <c r="A11" s="283" t="n"/>
      <c r="B11" s="296" t="inlineStr">
        <is>
          <t>Optional Products</t>
        </is>
      </c>
      <c r="C11" s="257" t="n"/>
      <c r="D11" s="257" t="n"/>
      <c r="E11" s="257" t="n"/>
      <c r="F11" s="258" t="n"/>
    </row>
    <row r="12">
      <c r="A12" s="283" t="n"/>
      <c r="B12" s="149" t="inlineStr">
        <is>
          <t>Non-Bundle Optional FIS Solutions</t>
        </is>
      </c>
      <c r="C12" s="297">
        <f>SUM('Line Items'!AN122:AN129)</f>
        <v/>
      </c>
      <c r="E12" s="23" t="inlineStr">
        <is>
          <t>Optional Items</t>
        </is>
      </c>
      <c r="F12" s="292">
        <f>SUM('Line Items'!CA122:CA151)</f>
        <v/>
      </c>
    </row>
    <row r="13" ht="15.75" customHeight="1" thickBot="1">
      <c r="A13" s="283" t="n"/>
      <c r="B13" s="182" t="inlineStr">
        <is>
          <t>Non-Bundle Optional Third-Party Solutions</t>
        </is>
      </c>
      <c r="C13" s="298">
        <f>SUM('Line Items'!AN131:AN151)</f>
        <v/>
      </c>
      <c r="D13" s="183" t="n"/>
      <c r="E13" s="182" t="n"/>
      <c r="F13" s="299" t="n"/>
    </row>
    <row r="14" ht="15.75" customHeight="1" thickBot="1">
      <c r="A14" s="283" t="n"/>
      <c r="B14" s="181" t="n"/>
      <c r="C14" s="300" t="n"/>
      <c r="E14" s="181" t="n"/>
      <c r="F14" s="301" t="n"/>
    </row>
    <row r="15" ht="15.75" customHeight="1" thickBot="1">
      <c r="B15" s="150" t="inlineStr">
        <is>
          <t>Total Optional Items</t>
        </is>
      </c>
      <c r="C15" s="294">
        <f>SUM(C12:C13)</f>
        <v/>
      </c>
      <c r="E15" s="131" t="inlineStr">
        <is>
          <t>Total Optional Items</t>
        </is>
      </c>
      <c r="F15" s="299">
        <f>SUM(F12:F13)</f>
        <v/>
      </c>
    </row>
    <row r="16" ht="15.75" customHeight="1" thickBot="1">
      <c r="C16" s="130" t="n"/>
      <c r="F16" s="130" t="n"/>
    </row>
    <row r="17">
      <c r="B17" s="296" t="inlineStr">
        <is>
          <t>Additional Analysis (following fees already included above)</t>
        </is>
      </c>
      <c r="C17" s="257" t="n"/>
      <c r="D17" s="257" t="n"/>
      <c r="E17" s="257" t="n"/>
      <c r="F17" s="258" t="n"/>
    </row>
    <row r="18" ht="15.75" customHeight="1" thickBot="1">
      <c r="B18" s="184" t="n"/>
      <c r="C18" s="179" t="n"/>
      <c r="E18" s="180" t="n"/>
      <c r="F18" s="185" t="n"/>
    </row>
    <row r="19" ht="15.75" customHeight="1" thickBot="1">
      <c r="B19" s="150" t="inlineStr">
        <is>
          <t>Required Implementation Fees</t>
        </is>
      </c>
      <c r="C19" s="294" t="n">
        <v>124118</v>
      </c>
      <c r="E19" s="131" t="inlineStr">
        <is>
          <t>Required Implementation Fees</t>
        </is>
      </c>
      <c r="F19" s="299" t="n">
        <v>210392.5</v>
      </c>
    </row>
    <row r="20" ht="15.75" customHeight="1" thickBot="1">
      <c r="B20" s="150" t="inlineStr">
        <is>
          <t>Optional Implementation Fees</t>
        </is>
      </c>
      <c r="C20" s="294" t="n">
        <v>75176</v>
      </c>
      <c r="E20" s="131" t="inlineStr">
        <is>
          <t>Optional Implementation Fees</t>
        </is>
      </c>
      <c r="F20" s="299" t="n">
        <v>88850</v>
      </c>
    </row>
    <row r="21" ht="15.75" customHeight="1" thickBot="1">
      <c r="B21" s="150" t="inlineStr">
        <is>
          <t>Total One-Time Implementation Fees</t>
        </is>
      </c>
      <c r="C21" s="294">
        <f>SUM(C19:C20)</f>
        <v/>
      </c>
      <c r="E21" s="131" t="inlineStr">
        <is>
          <t>One-Time Implementation Fees</t>
        </is>
      </c>
      <c r="F21" s="299">
        <f>SUM(F19:F20)</f>
        <v/>
      </c>
    </row>
    <row r="22">
      <c r="C22" s="130" t="n"/>
      <c r="F22" s="130" t="n"/>
    </row>
    <row r="23">
      <c r="C23" s="130" t="n"/>
      <c r="F23" s="130" t="n"/>
    </row>
    <row r="24">
      <c r="C24" s="130" t="n"/>
      <c r="F24" s="130" t="n"/>
    </row>
    <row r="25">
      <c r="C25" s="130" t="n"/>
      <c r="E25" s="283" t="n"/>
      <c r="F25" s="130" t="n"/>
    </row>
    <row r="26">
      <c r="C26" s="130" t="n"/>
      <c r="F26" s="130" t="n"/>
    </row>
    <row r="27">
      <c r="C27" s="130" t="n"/>
      <c r="F27" s="130" t="n"/>
    </row>
    <row r="28">
      <c r="C28" s="130" t="n"/>
      <c r="F28" s="130" t="n"/>
    </row>
    <row r="29">
      <c r="B29" s="167" t="inlineStr">
        <is>
          <t>1. One time fees net of credits</t>
        </is>
      </c>
      <c r="C29" s="130" t="n"/>
      <c r="F29" s="130" t="n"/>
    </row>
    <row r="30">
      <c r="B30" s="167" t="inlineStr">
        <is>
          <t>2. Year 1-7 annual fees</t>
        </is>
      </c>
      <c r="C30" s="130" t="n"/>
      <c r="F30" s="130" t="n"/>
    </row>
    <row r="31" ht="45" customHeight="1">
      <c r="B31" s="167" t="inlineStr">
        <is>
          <t>3. Notation on what is in required vs  optional-and is the required portion roughly "apples to apples"</t>
        </is>
      </c>
      <c r="C31" s="130" t="n"/>
      <c r="F31" s="130" t="n"/>
    </row>
    <row r="32">
      <c r="C32" s="130" t="n"/>
      <c r="F32" s="130" t="n"/>
    </row>
    <row r="33">
      <c r="B33" s="134" t="inlineStr">
        <is>
          <t>New Solutuons Proposed</t>
        </is>
      </c>
      <c r="C33" s="136" t="n"/>
      <c r="E33" s="132" t="inlineStr">
        <is>
          <t>New Solutuons Proposed</t>
        </is>
      </c>
      <c r="F33" s="133" t="n"/>
    </row>
    <row r="35">
      <c r="B35" s="49" t="inlineStr">
        <is>
          <t>*Notes:</t>
        </is>
      </c>
      <c r="E35" s="50" t="inlineStr">
        <is>
          <t>*Notes:</t>
        </is>
      </c>
    </row>
    <row r="36">
      <c r="B36" s="137" t="n"/>
      <c r="E36" s="137" t="n"/>
    </row>
    <row r="37">
      <c r="B37" s="137" t="n"/>
      <c r="E37" s="137" t="n"/>
    </row>
    <row r="38">
      <c r="B38" s="137" t="n"/>
      <c r="E38" s="137" t="n"/>
    </row>
    <row r="39">
      <c r="B39" s="48" t="n"/>
      <c r="E39" s="48" t="n"/>
    </row>
    <row r="40" hidden="1" outlineLevel="1">
      <c r="B40" s="48" t="n"/>
      <c r="C40" s="135">
        <f>C15+C33-#REF!</f>
        <v/>
      </c>
      <c r="F40" s="135">
        <f>F15+F33-#REF!</f>
        <v/>
      </c>
    </row>
    <row r="41" collapsed="1">
      <c r="E41" s="51" t="n"/>
    </row>
    <row r="42">
      <c r="E42" s="48" t="n"/>
    </row>
    <row r="43">
      <c r="E43" s="48" t="n"/>
    </row>
    <row r="44">
      <c r="C44" s="283" t="n"/>
      <c r="E44" s="48" t="n"/>
    </row>
    <row r="45">
      <c r="E45" s="48" t="n"/>
    </row>
    <row r="46">
      <c r="E46" s="48" t="n"/>
    </row>
    <row r="47">
      <c r="E47" s="48" t="n"/>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Jon Dyer</dc:creator>
  <dcterms:created xmlns:dcterms="http://purl.org/dc/terms/" xmlns:xsi="http://www.w3.org/2001/XMLSchema-instance" xsi:type="dcterms:W3CDTF">2025-01-15T19:03:52Z</dcterms:created>
  <dcterms:modified xmlns:dcterms="http://purl.org/dc/terms/" xmlns:xsi="http://www.w3.org/2001/XMLSchema-instance" xsi:type="dcterms:W3CDTF">2026-01-13T21:45:48Z</dcterms:modified>
  <cp:lastModifiedBy>Shuva Mukhopadhyay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0x0101005E1D7FA0C4B4A3419C7A6FD3FA5B19CF</vt:lpwstr>
  </property>
  <property name="MediaServiceImageTags" fmtid="{D5CDD505-2E9C-101B-9397-08002B2CF9AE}" pid="3">
    <vt:lpwstr xmlns:vt="http://schemas.openxmlformats.org/officeDocument/2006/docPropsVTypes"/>
  </property>
</Properties>
</file>