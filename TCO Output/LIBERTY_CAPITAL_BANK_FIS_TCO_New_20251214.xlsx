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16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15</v>
      </c>
      <c r="B2" t="inlineStr">
        <is>
          <t>Annual</t>
        </is>
      </c>
      <c r="C2" t="inlineStr">
        <is>
          <t>SSL Encryption Certificates: GEOTrust, Verisign</t>
        </is>
      </c>
      <c r="D2" t="inlineStr">
        <is>
          <t>Security Plus</t>
        </is>
      </c>
      <c r="E2" t="b">
        <v>0</v>
      </c>
      <c r="F2" t="b">
        <v>0</v>
      </c>
      <c r="G2" s="12" t="n">
        <v>165</v>
      </c>
      <c r="H2" t="inlineStr">
        <is>
          <t>per year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Billed annually, pricing unchanged</t>
        </is>
      </c>
    </row>
    <row r="3">
      <c r="A3" t="n">
        <v>12</v>
      </c>
      <c r="B3" t="inlineStr">
        <is>
          <t>Monthly F</t>
        </is>
      </c>
      <c r="C3" t="inlineStr">
        <is>
          <t>ACH: Milwaukee ACH</t>
        </is>
      </c>
      <c r="D3" t="inlineStr">
        <is>
          <t>ACH</t>
        </is>
      </c>
      <c r="E3" t="b">
        <v>0</v>
      </c>
      <c r="F3" t="b">
        <v>0</v>
      </c>
      <c r="G3" s="12" t="n">
        <v>1845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Pricing unchanged</t>
        </is>
      </c>
    </row>
    <row r="4">
      <c r="A4" t="n">
        <v>1</v>
      </c>
      <c r="B4" t="inlineStr">
        <is>
          <t>Monthly F</t>
        </is>
      </c>
      <c r="C4" t="inlineStr">
        <is>
          <t>Core: HORIZON</t>
        </is>
      </c>
      <c r="D4" t="inlineStr">
        <is>
          <t>Core</t>
        </is>
      </c>
      <c r="E4" t="b">
        <v>0</v>
      </c>
      <c r="F4" t="b">
        <v>0</v>
      </c>
      <c r="G4" s="12" t="n">
        <v>16792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New pricing for combined organization</t>
        </is>
      </c>
    </row>
    <row r="5">
      <c r="A5" t="n">
        <v>2</v>
      </c>
      <c r="B5" t="inlineStr">
        <is>
          <t>Monthly F</t>
        </is>
      </c>
      <c r="C5" t="inlineStr">
        <is>
          <t>Digital: D1 Flex, D1 Business, Mobile, Bill Pay</t>
        </is>
      </c>
      <c r="D5" t="inlineStr">
        <is>
          <t>Digital</t>
        </is>
      </c>
      <c r="E5" t="b">
        <v>0</v>
      </c>
      <c r="F5" t="b">
        <v>0</v>
      </c>
      <c r="G5" s="12" t="n">
        <v>35253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New pricing for combined organization</t>
        </is>
      </c>
    </row>
    <row r="6">
      <c r="A6" t="n">
        <v>3</v>
      </c>
      <c r="B6" t="inlineStr">
        <is>
          <t>Monthly F</t>
        </is>
      </c>
      <c r="C6" t="inlineStr">
        <is>
          <t>Digital: Website Services</t>
        </is>
      </c>
      <c r="D6" t="inlineStr">
        <is>
          <t>Digital</t>
        </is>
      </c>
      <c r="E6" t="b">
        <v>0</v>
      </c>
      <c r="F6" t="b">
        <v>0</v>
      </c>
      <c r="G6" s="12" t="n">
        <v>568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Pricing unchanged</t>
        </is>
      </c>
    </row>
    <row r="7">
      <c r="A7" t="n">
        <v>4</v>
      </c>
      <c r="B7" t="inlineStr">
        <is>
          <t>Monthly F</t>
        </is>
      </c>
      <c r="C7" t="inlineStr">
        <is>
          <t>Digital: Zelle</t>
        </is>
      </c>
      <c r="D7" t="inlineStr">
        <is>
          <t>Digital</t>
        </is>
      </c>
      <c r="E7" t="b">
        <v>0</v>
      </c>
      <c r="F7" t="b">
        <v>0</v>
      </c>
      <c r="G7" s="12" t="n">
        <v>641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Pricing unchanged</t>
        </is>
      </c>
    </row>
    <row r="8">
      <c r="A8" t="n">
        <v>18</v>
      </c>
      <c r="B8" t="inlineStr">
        <is>
          <t>Monthly F</t>
        </is>
      </c>
      <c r="C8" t="inlineStr">
        <is>
          <t>EFT: Debit Card Production</t>
        </is>
      </c>
      <c r="D8" t="inlineStr">
        <is>
          <t>EFT</t>
        </is>
      </c>
      <c r="E8" t="b">
        <v>0</v>
      </c>
      <c r="F8" t="b">
        <v>0</v>
      </c>
      <c r="G8" s="12" t="n">
        <v>512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Pricing unchanged</t>
        </is>
      </c>
    </row>
    <row r="9">
      <c r="A9" t="n">
        <v>5</v>
      </c>
      <c r="B9" t="inlineStr">
        <is>
          <t>Monthly F</t>
        </is>
      </c>
      <c r="C9" t="inlineStr">
        <is>
          <t>EFT: EFT Norcross, 3D Secure, Tokenization, SecurLOCK</t>
        </is>
      </c>
      <c r="D9" t="inlineStr">
        <is>
          <t>EFT</t>
        </is>
      </c>
      <c r="E9" t="b">
        <v>0</v>
      </c>
      <c r="F9" t="b">
        <v>0</v>
      </c>
      <c r="G9" s="12" t="n">
        <v>6675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New pricing for combined organization</t>
        </is>
      </c>
    </row>
    <row r="10">
      <c r="A10" t="n">
        <v>19</v>
      </c>
      <c r="B10" t="inlineStr">
        <is>
          <t>Monthly F</t>
        </is>
      </c>
      <c r="C10" t="inlineStr">
        <is>
          <t>EFT: NYCE Debit Card Network</t>
        </is>
      </c>
      <c r="D10" t="inlineStr">
        <is>
          <t>EFT</t>
        </is>
      </c>
      <c r="E10" t="b">
        <v>0</v>
      </c>
      <c r="F10" t="b">
        <v>0</v>
      </c>
      <c r="G10" s="12" t="n">
        <v>171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Pricing unchanged</t>
        </is>
      </c>
    </row>
    <row r="11">
      <c r="A11" t="n">
        <v>9</v>
      </c>
      <c r="B11" t="inlineStr">
        <is>
          <t>Monthly F</t>
        </is>
      </c>
      <c r="C11" t="inlineStr">
        <is>
          <t>Item Processing: FCM, IP, Branch Capture, CCX, FXD, DLRR</t>
        </is>
      </c>
      <c r="D11" t="inlineStr">
        <is>
          <t>Item Processing</t>
        </is>
      </c>
      <c r="E11" t="b">
        <v>0</v>
      </c>
      <c r="F11" t="b">
        <v>0</v>
      </c>
      <c r="G11" s="12" t="n">
        <v>19353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New pricing for combined organization</t>
        </is>
      </c>
    </row>
    <row r="12">
      <c r="A12" t="n">
        <v>11</v>
      </c>
      <c r="B12" t="inlineStr">
        <is>
          <t>Monthly F</t>
        </is>
      </c>
      <c r="C12" t="inlineStr">
        <is>
          <t>Lending: FLO</t>
        </is>
      </c>
      <c r="D12" t="inlineStr">
        <is>
          <t>Lending</t>
        </is>
      </c>
      <c r="E12" t="b">
        <v>0</v>
      </c>
      <c r="F12" t="b">
        <v>0</v>
      </c>
      <c r="G12" s="12" t="n">
        <v>1055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Pricing unchanged</t>
        </is>
      </c>
    </row>
    <row r="13">
      <c r="A13" t="n">
        <v>17</v>
      </c>
      <c r="B13" t="inlineStr">
        <is>
          <t>Monthly F</t>
        </is>
      </c>
      <c r="C13" t="inlineStr">
        <is>
          <t>Network: Network Connectivity Services</t>
        </is>
      </c>
      <c r="D13" t="inlineStr">
        <is>
          <t>Network</t>
        </is>
      </c>
      <c r="E13" t="b">
        <v>0</v>
      </c>
      <c r="F13" t="b">
        <v>0</v>
      </c>
      <c r="G13" s="12" t="n">
        <v>2176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New pricing for combined organization</t>
        </is>
      </c>
    </row>
    <row r="14">
      <c r="A14" t="n">
        <v>10</v>
      </c>
      <c r="B14" t="inlineStr">
        <is>
          <t>Monthly F</t>
        </is>
      </c>
      <c r="C14" t="inlineStr">
        <is>
          <t>FOS: eDelivery, Print/Render, Forms &amp; Envelopes</t>
        </is>
      </c>
      <c r="D14" t="inlineStr">
        <is>
          <t>Other</t>
        </is>
      </c>
      <c r="E14" t="b">
        <v>0</v>
      </c>
      <c r="F14" t="b">
        <v>0</v>
      </c>
      <c r="G14" s="12" t="n">
        <v>2168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New pricing for combined organization</t>
        </is>
      </c>
    </row>
    <row r="15">
      <c r="A15" t="n">
        <v>8</v>
      </c>
      <c r="B15" t="inlineStr">
        <is>
          <t>Monthly F</t>
        </is>
      </c>
      <c r="C15" t="inlineStr">
        <is>
          <t>Image Solutions: RTP (Receive)</t>
        </is>
      </c>
      <c r="D15" t="inlineStr">
        <is>
          <t>Other</t>
        </is>
      </c>
      <c r="E15" t="b">
        <v>0</v>
      </c>
      <c r="F15" t="b">
        <v>0</v>
      </c>
      <c r="G15" s="12" t="n">
        <v>855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Pricing unchanged</t>
        </is>
      </c>
    </row>
    <row r="16">
      <c r="A16" t="n">
        <v>21</v>
      </c>
      <c r="B16" t="inlineStr">
        <is>
          <t>Monthly F</t>
        </is>
      </c>
      <c r="C16" t="inlineStr">
        <is>
          <t>Monthly Relationship Credit</t>
        </is>
      </c>
      <c r="D16" t="inlineStr">
        <is>
          <t>Other</t>
        </is>
      </c>
      <c r="E16" t="b">
        <v>0</v>
      </c>
      <c r="F16" t="b">
        <v>0</v>
      </c>
      <c r="G16" s="12" t="n">
        <v>-35000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Monthly credit applied to combined organization</t>
        </is>
      </c>
    </row>
    <row r="17">
      <c r="A17" t="n">
        <v>20</v>
      </c>
      <c r="B17" t="inlineStr">
        <is>
          <t>Monthly F</t>
        </is>
      </c>
      <c r="C17" t="inlineStr">
        <is>
          <t>Recently Signed Solutions: Various</t>
        </is>
      </c>
      <c r="D17" t="inlineStr">
        <is>
          <t>Other</t>
        </is>
      </c>
      <c r="E17" t="b">
        <v>0</v>
      </c>
      <c r="F17" t="b">
        <v>0</v>
      </c>
      <c r="G17" s="12" t="n">
        <v>646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0.85</v>
      </c>
      <c r="T17" t="inlineStr">
        <is>
          <t>Various solutions, new pricing for combined organization</t>
        </is>
      </c>
    </row>
    <row r="18">
      <c r="A18" t="n">
        <v>6</v>
      </c>
      <c r="B18" t="inlineStr">
        <is>
          <t>Monthly F</t>
        </is>
      </c>
      <c r="C18" t="inlineStr">
        <is>
          <t>Risk, Fraud &amp; Compliance: Decision Solutions</t>
        </is>
      </c>
      <c r="D18" t="inlineStr">
        <is>
          <t>Risk, Fraud &amp; Compliance</t>
        </is>
      </c>
      <c r="E18" t="b">
        <v>0</v>
      </c>
      <c r="F18" t="b">
        <v>0</v>
      </c>
      <c r="G18" s="12" t="n">
        <v>803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Pricing unchanged</t>
        </is>
      </c>
    </row>
    <row r="19">
      <c r="A19" t="n">
        <v>14</v>
      </c>
      <c r="B19" t="inlineStr">
        <is>
          <t>Monthly F</t>
        </is>
      </c>
      <c r="C19" t="inlineStr">
        <is>
          <t>Security Plus: Data Restore</t>
        </is>
      </c>
      <c r="D19" t="inlineStr">
        <is>
          <t>Security Plus</t>
        </is>
      </c>
      <c r="E19" t="b">
        <v>0</v>
      </c>
      <c r="F19" t="b">
        <v>0</v>
      </c>
      <c r="G19" s="12" t="n">
        <v>328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Pricing unchanged</t>
        </is>
      </c>
    </row>
    <row r="20">
      <c r="A20" t="n">
        <v>7</v>
      </c>
      <c r="B20" t="inlineStr">
        <is>
          <t>Monthly F</t>
        </is>
      </c>
      <c r="C20" t="inlineStr">
        <is>
          <t>Treasury: eWire (Business)</t>
        </is>
      </c>
      <c r="D20" t="inlineStr">
        <is>
          <t>Treasury</t>
        </is>
      </c>
      <c r="E20" t="b">
        <v>0</v>
      </c>
      <c r="F20" t="b">
        <v>0</v>
      </c>
      <c r="G20" s="12" t="n">
        <v>2382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Pricing unchanged</t>
        </is>
      </c>
    </row>
    <row r="21">
      <c r="A21" t="n">
        <v>13</v>
      </c>
      <c r="B21" t="inlineStr">
        <is>
          <t>Monthly F</t>
        </is>
      </c>
      <c r="C21" t="inlineStr">
        <is>
          <t>Accounts Payable: Avid Ascend</t>
        </is>
      </c>
      <c r="D21" t="inlineStr">
        <is>
          <t>Accounts Payable</t>
        </is>
      </c>
      <c r="E21" t="b">
        <v>1</v>
      </c>
      <c r="F21" t="b">
        <v>0</v>
      </c>
      <c r="G21" s="12" t="n">
        <v>807</v>
      </c>
      <c r="H21" t="inlineStr">
        <is>
          <t>per month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Third-party solution, pricing unchanged</t>
        </is>
      </c>
    </row>
    <row r="22">
      <c r="A22" t="n">
        <v>16</v>
      </c>
      <c r="B22" t="inlineStr">
        <is>
          <t>Monthly F</t>
        </is>
      </c>
      <c r="C22" t="inlineStr">
        <is>
          <t>Digital: WebConnect/DirectConnect &amp; Quickbooks</t>
        </is>
      </c>
      <c r="D22" t="inlineStr">
        <is>
          <t>Digital</t>
        </is>
      </c>
      <c r="E22" t="b">
        <v>1</v>
      </c>
      <c r="F22" t="b">
        <v>0</v>
      </c>
      <c r="G22" s="12" t="n">
        <v>2079</v>
      </c>
      <c r="H22" t="inlineStr">
        <is>
          <t>per month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Third-party solution, new pricing for combined organization</t>
        </is>
      </c>
    </row>
    <row r="23">
      <c r="A23" t="n">
        <v>26</v>
      </c>
      <c r="B23" t="inlineStr">
        <is>
          <t>Monthly F</t>
        </is>
      </c>
      <c r="C23" t="inlineStr">
        <is>
          <t>HORIZON: Conditional Processing</t>
        </is>
      </c>
      <c r="D23" t="inlineStr">
        <is>
          <t>Core</t>
        </is>
      </c>
      <c r="E23" t="b">
        <v>0</v>
      </c>
      <c r="F23" t="b">
        <v>1</v>
      </c>
      <c r="G23" s="12" t="n">
        <v>1076.8</v>
      </c>
      <c r="H23" t="inlineStr">
        <is>
          <t>per month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</v>
      </c>
      <c r="T23" t="inlineStr">
        <is>
          <t>Optional solution with one-time implementation fee</t>
        </is>
      </c>
    </row>
    <row r="24">
      <c r="A24" t="n">
        <v>37</v>
      </c>
      <c r="B24" t="inlineStr">
        <is>
          <t>Monthly F</t>
        </is>
      </c>
      <c r="C24" t="inlineStr">
        <is>
          <t>Image Solutions: Collaboration Hub</t>
        </is>
      </c>
      <c r="D24" t="inlineStr">
        <is>
          <t>Image Solutions</t>
        </is>
      </c>
      <c r="E24" t="b">
        <v>0</v>
      </c>
      <c r="F24" t="b">
        <v>1</v>
      </c>
      <c r="G24" s="12" t="n">
        <v>1173.2</v>
      </c>
      <c r="H24" t="inlineStr">
        <is>
          <t>per month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</v>
      </c>
      <c r="T24" t="inlineStr">
        <is>
          <t>Optional solution with one-time implementation fee</t>
        </is>
      </c>
    </row>
    <row r="25">
      <c r="A25" t="n">
        <v>24</v>
      </c>
      <c r="B25" t="inlineStr">
        <is>
          <t>Monthly F</t>
        </is>
      </c>
      <c r="C25" t="inlineStr">
        <is>
          <t>IP: DirectLink Consumer (via FXD)</t>
        </is>
      </c>
      <c r="D25" t="inlineStr">
        <is>
          <t>Item Processing</t>
        </is>
      </c>
      <c r="E25" t="b">
        <v>0</v>
      </c>
      <c r="F25" t="b">
        <v>1</v>
      </c>
      <c r="G25" s="12" t="n">
        <v>1170.19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</v>
      </c>
      <c r="T25" t="inlineStr">
        <is>
          <t>Optional solution with one-time implementation fee</t>
        </is>
      </c>
    </row>
    <row r="26">
      <c r="A26" t="n">
        <v>22</v>
      </c>
      <c r="B26" t="inlineStr">
        <is>
          <t>Monthly F</t>
        </is>
      </c>
      <c r="C26" t="inlineStr">
        <is>
          <t>IP: DirectLink Merchant (via RDC)</t>
        </is>
      </c>
      <c r="D26" t="inlineStr">
        <is>
          <t>Item Processing</t>
        </is>
      </c>
      <c r="E26" t="b">
        <v>0</v>
      </c>
      <c r="F26" t="b">
        <v>1</v>
      </c>
      <c r="G26" s="12" t="n">
        <v>3402.14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</v>
      </c>
      <c r="T26" t="inlineStr">
        <is>
          <t>Optional solution with one-time implementation fee</t>
        </is>
      </c>
    </row>
    <row r="27">
      <c r="A27" t="n">
        <v>35</v>
      </c>
      <c r="B27" t="inlineStr">
        <is>
          <t>Monthly F</t>
        </is>
      </c>
      <c r="C27" t="inlineStr">
        <is>
          <t>Image Solutions: Chargeback Manager</t>
        </is>
      </c>
      <c r="D27" t="inlineStr">
        <is>
          <t>Other</t>
        </is>
      </c>
      <c r="E27" t="b">
        <v>0</v>
      </c>
      <c r="F27" t="b">
        <v>1</v>
      </c>
      <c r="G27" s="12" t="n">
        <v>250</v>
      </c>
      <c r="H27" t="inlineStr">
        <is>
          <t>per month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</v>
      </c>
      <c r="T27" t="inlineStr">
        <is>
          <t>Optional solution with one-time implementation fee</t>
        </is>
      </c>
    </row>
    <row r="28">
      <c r="A28" t="n">
        <v>33</v>
      </c>
      <c r="B28" t="inlineStr">
        <is>
          <t>Monthly F</t>
        </is>
      </c>
      <c r="C28" t="inlineStr">
        <is>
          <t>Image Solutions: FedNOW (Send and Receive)</t>
        </is>
      </c>
      <c r="D28" t="inlineStr">
        <is>
          <t>Other</t>
        </is>
      </c>
      <c r="E28" t="b">
        <v>0</v>
      </c>
      <c r="F28" t="b">
        <v>1</v>
      </c>
      <c r="G28" s="12" t="n">
        <v>3550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</v>
      </c>
      <c r="T28" t="inlineStr">
        <is>
          <t>Optional solution for D1B</t>
        </is>
      </c>
    </row>
    <row r="29">
      <c r="A29" t="n">
        <v>31</v>
      </c>
      <c r="B29" t="inlineStr">
        <is>
          <t>Monthly F</t>
        </is>
      </c>
      <c r="C29" t="inlineStr">
        <is>
          <t>Image Solutions: RTP Send for D1B</t>
        </is>
      </c>
      <c r="D29" t="inlineStr">
        <is>
          <t>Other</t>
        </is>
      </c>
      <c r="E29" t="b">
        <v>0</v>
      </c>
      <c r="F29" t="b">
        <v>1</v>
      </c>
      <c r="G29" s="12" t="n">
        <v>150.5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</v>
      </c>
      <c r="T29" t="inlineStr">
        <is>
          <t>Optional solution, bank already has RTP Receive</t>
        </is>
      </c>
    </row>
    <row r="30">
      <c r="A30" t="n">
        <v>29</v>
      </c>
      <c r="B30" t="inlineStr">
        <is>
          <t>Monthly F</t>
        </is>
      </c>
      <c r="C30" t="inlineStr">
        <is>
          <t>Treasury: Extended Account Analysis (XAA)</t>
        </is>
      </c>
      <c r="D30" t="inlineStr">
        <is>
          <t>Treasury</t>
        </is>
      </c>
      <c r="E30" t="b">
        <v>0</v>
      </c>
      <c r="F30" t="b">
        <v>1</v>
      </c>
      <c r="G30" s="12" t="n">
        <v>1124</v>
      </c>
      <c r="H30" t="inlineStr">
        <is>
          <t>per month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</v>
      </c>
      <c r="T30" t="inlineStr">
        <is>
          <t>Optional solution with one-time implementation fee</t>
        </is>
      </c>
    </row>
    <row r="31">
      <c r="A31" t="n">
        <v>27</v>
      </c>
      <c r="B31" t="inlineStr">
        <is>
          <t>One-Time</t>
        </is>
      </c>
      <c r="C31" t="inlineStr">
        <is>
          <t>HORIZON: Conditional Processing - Implementation Fee</t>
        </is>
      </c>
      <c r="D31" t="inlineStr">
        <is>
          <t>Core</t>
        </is>
      </c>
      <c r="E31" t="b">
        <v>0</v>
      </c>
      <c r="F31" t="b">
        <v>1</v>
      </c>
      <c r="G31" s="12" t="n">
        <v>15000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</v>
      </c>
      <c r="T31" t="inlineStr">
        <is>
          <t>Optional solution with one-time implementation fee</t>
        </is>
      </c>
    </row>
    <row r="32">
      <c r="A32" t="n">
        <v>38</v>
      </c>
      <c r="B32" t="inlineStr">
        <is>
          <t>One-Time</t>
        </is>
      </c>
      <c r="C32" t="inlineStr">
        <is>
          <t>Image Solutions: Collaboration Hub - Implementation Fee</t>
        </is>
      </c>
      <c r="D32" t="inlineStr">
        <is>
          <t>Image Solutions</t>
        </is>
      </c>
      <c r="E32" t="b">
        <v>0</v>
      </c>
      <c r="F32" t="b">
        <v>1</v>
      </c>
      <c r="G32" s="12" t="n">
        <v>28030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</v>
      </c>
      <c r="T32" t="inlineStr">
        <is>
          <t>Optional solution with one-time implementation fee</t>
        </is>
      </c>
    </row>
    <row r="33">
      <c r="A33" t="n">
        <v>25</v>
      </c>
      <c r="B33" t="inlineStr">
        <is>
          <t>One-Time</t>
        </is>
      </c>
      <c r="C33" t="inlineStr">
        <is>
          <t>IP: DirectLink Consumer (via FXD) - Implementation Fee</t>
        </is>
      </c>
      <c r="D33" t="inlineStr">
        <is>
          <t>Item Processing</t>
        </is>
      </c>
      <c r="E33" t="b">
        <v>0</v>
      </c>
      <c r="F33" t="b">
        <v>1</v>
      </c>
      <c r="G33" s="12" t="n">
        <v>25551</v>
      </c>
      <c r="H33" t="inlineStr">
        <is>
          <t>one-time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</v>
      </c>
      <c r="T33" t="inlineStr">
        <is>
          <t>Optional solution with one-time implementation fee</t>
        </is>
      </c>
    </row>
    <row r="34">
      <c r="A34" t="n">
        <v>23</v>
      </c>
      <c r="B34" t="inlineStr">
        <is>
          <t>One-Time</t>
        </is>
      </c>
      <c r="C34" t="inlineStr">
        <is>
          <t>IP: DirectLink Merchant (via RDC) - Implementation Fee</t>
        </is>
      </c>
      <c r="D34" t="inlineStr">
        <is>
          <t>Item Processing</t>
        </is>
      </c>
      <c r="E34" t="b">
        <v>0</v>
      </c>
      <c r="F34" t="b">
        <v>1</v>
      </c>
      <c r="G34" s="12" t="n">
        <v>21943</v>
      </c>
      <c r="H34" t="inlineStr">
        <is>
          <t>one-time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0.9</v>
      </c>
      <c r="T34" t="inlineStr">
        <is>
          <t>Optional solution with one-time implementation fee</t>
        </is>
      </c>
    </row>
    <row r="35">
      <c r="A35" t="n">
        <v>36</v>
      </c>
      <c r="B35" t="inlineStr">
        <is>
          <t>One-Time</t>
        </is>
      </c>
      <c r="C35" t="inlineStr">
        <is>
          <t>Image Solutions: Chargeback Manager - Implementation Fee</t>
        </is>
      </c>
      <c r="D35" t="inlineStr">
        <is>
          <t>Other</t>
        </is>
      </c>
      <c r="E35" t="b">
        <v>0</v>
      </c>
      <c r="F35" t="b">
        <v>1</v>
      </c>
      <c r="G35" s="12" t="n">
        <v>6064</v>
      </c>
      <c r="H35" t="inlineStr">
        <is>
          <t>one-time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</v>
      </c>
      <c r="T35" t="inlineStr">
        <is>
          <t>Optional solution with one-time implementation fee</t>
        </is>
      </c>
    </row>
    <row r="36">
      <c r="A36" t="n">
        <v>34</v>
      </c>
      <c r="B36" t="inlineStr">
        <is>
          <t>One-Time</t>
        </is>
      </c>
      <c r="C36" t="inlineStr">
        <is>
          <t>Image Solutions: FedNOW (Send and Receive) - Implementation Fee</t>
        </is>
      </c>
      <c r="D36" t="inlineStr">
        <is>
          <t>Other</t>
        </is>
      </c>
      <c r="E36" t="b">
        <v>0</v>
      </c>
      <c r="F36" t="b">
        <v>1</v>
      </c>
      <c r="G36" s="12" t="n">
        <v>12500</v>
      </c>
      <c r="H36" t="inlineStr">
        <is>
          <t>one-time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0.9</v>
      </c>
      <c r="T36" t="inlineStr">
        <is>
          <t>Optional solution for D1B</t>
        </is>
      </c>
    </row>
    <row r="37">
      <c r="A37" t="n">
        <v>32</v>
      </c>
      <c r="B37" t="inlineStr">
        <is>
          <t>One-Time</t>
        </is>
      </c>
      <c r="C37" t="inlineStr">
        <is>
          <t>Image Solutions: RTP Send for D1B - Implementation Fee</t>
        </is>
      </c>
      <c r="D37" t="inlineStr">
        <is>
          <t>Other</t>
        </is>
      </c>
      <c r="E37" t="b">
        <v>0</v>
      </c>
      <c r="F37" t="b">
        <v>1</v>
      </c>
      <c r="G37" s="12" t="n">
        <v>7630</v>
      </c>
      <c r="H37" t="inlineStr">
        <is>
          <t>one-time</t>
        </is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0.9</v>
      </c>
      <c r="T37" t="inlineStr">
        <is>
          <t>Optional solution, bank already has RTP Receive</t>
        </is>
      </c>
    </row>
    <row r="38">
      <c r="A38" t="n">
        <v>30</v>
      </c>
      <c r="B38" t="inlineStr">
        <is>
          <t>One-Time</t>
        </is>
      </c>
      <c r="C38" t="inlineStr">
        <is>
          <t>Treasury: Extended Account Analysis (XAA) - Implementation Fee</t>
        </is>
      </c>
      <c r="D38" t="inlineStr">
        <is>
          <t>Treasury</t>
        </is>
      </c>
      <c r="E38" t="b">
        <v>0</v>
      </c>
      <c r="F38" t="b">
        <v>1</v>
      </c>
      <c r="G38" s="12" t="n">
        <v>65000</v>
      </c>
      <c r="H38" t="inlineStr">
        <is>
          <t>one-time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0.9</v>
      </c>
      <c r="T38" t="inlineStr">
        <is>
          <t>Optional solution with one-time implementation fee</t>
        </is>
      </c>
    </row>
    <row r="39">
      <c r="A39" t="n">
        <v>28</v>
      </c>
      <c r="B39" t="inlineStr">
        <is>
          <t>One-Time</t>
        </is>
      </c>
      <c r="C39" t="inlineStr">
        <is>
          <t>Treasury: eWire (Consumer) - Implementation Fee</t>
        </is>
      </c>
      <c r="D39" t="inlineStr">
        <is>
          <t>Treasury</t>
        </is>
      </c>
      <c r="E39" t="b">
        <v>0</v>
      </c>
      <c r="F39" t="b">
        <v>1</v>
      </c>
      <c r="G39" s="12" t="n">
        <v>1000</v>
      </c>
      <c r="H39" t="inlineStr">
        <is>
          <t>per wire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0.9</v>
      </c>
      <c r="T39" t="inlineStr">
        <is>
          <t>Optional solution with per-wire pricing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ACH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Accounts Payable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Core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Digital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EFT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Image Solutions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Item Processing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Lending</t>
        </is>
      </c>
      <c r="B12" s="9">
        <f>SUMIFS('Line Items'!$R:$R,'Line Items'!$D:$D,A12)</f>
        <v/>
      </c>
      <c r="C12" s="9">
        <f>B12/84</f>
        <v/>
      </c>
    </row>
    <row r="13">
      <c r="A13" t="inlineStr">
        <is>
          <t>Network</t>
        </is>
      </c>
      <c r="B13" s="9">
        <f>SUMIFS('Line Items'!$R:$R,'Line Items'!$D:$D,A13)</f>
        <v/>
      </c>
      <c r="C13" s="9">
        <f>B13/84</f>
        <v/>
      </c>
    </row>
    <row r="14">
      <c r="A14" s="10" t="inlineStr">
        <is>
          <t>Other</t>
        </is>
      </c>
      <c r="B14" s="9">
        <f>SUMIFS('Line Items'!$R:$R,'Line Items'!$D:$D,A14)</f>
        <v/>
      </c>
      <c r="C14" s="9">
        <f>B14/84</f>
        <v/>
      </c>
    </row>
    <row r="15">
      <c r="A15" t="inlineStr">
        <is>
          <t>Risk, Fraud &amp; Compliance</t>
        </is>
      </c>
      <c r="B15" s="12">
        <f>SUMIFS('Line Items'!$R:$R,'Line Items'!$D:$D,A15)</f>
        <v/>
      </c>
      <c r="C15" s="12">
        <f>B15/84</f>
        <v/>
      </c>
    </row>
    <row r="16">
      <c r="A16" t="inlineStr">
        <is>
          <t>Security Plus</t>
        </is>
      </c>
      <c r="B16" s="12">
        <f>SUMIFS('Line Items'!$R:$R,'Line Items'!$D:$D,A16)</f>
        <v/>
      </c>
      <c r="C16" s="12">
        <f>B16/84</f>
        <v/>
      </c>
    </row>
    <row r="17">
      <c r="A17" t="inlineStr">
        <is>
          <t>Treasury</t>
        </is>
      </c>
      <c r="B17" s="12">
        <f>SUMIFS('Line Items'!$R:$R,'Line Items'!$D:$D,A17)</f>
        <v/>
      </c>
      <c r="C17" s="12">
        <f>B17/84</f>
        <v/>
      </c>
    </row>
    <row r="19">
      <c r="A19" s="13" t="inlineStr">
        <is>
          <t>Total Required TCO</t>
        </is>
      </c>
      <c r="B19" s="15">
        <f>SUM(B5:B17)</f>
        <v/>
      </c>
      <c r="C19" s="15">
        <f>B19/84</f>
        <v/>
      </c>
    </row>
    <row r="21">
      <c r="A21" s="16" t="inlineStr">
        <is>
          <t>Optional Items Total</t>
        </is>
      </c>
      <c r="B21" s="12">
        <f>SUMIFS('Line Items'!$R:$R,'Line Items'!$F:$F,TRUE)</f>
        <v/>
      </c>
      <c r="C21" s="12">
        <f>B21/84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LIBERTY_CAPITAL_BANK_FIS</t>
        </is>
      </c>
    </row>
    <row r="3">
      <c r="A3" s="2" t="inlineStr">
        <is>
          <t>Client Name:</t>
        </is>
      </c>
      <c r="B3" t="inlineStr">
        <is>
          <t>Liberty Capital Bank</t>
        </is>
      </c>
    </row>
    <row r="4">
      <c r="A4" s="2" t="inlineStr">
        <is>
          <t>Proposal Type:</t>
        </is>
      </c>
      <c r="B4" t="inlineStr">
        <is>
          <t>Investment Summary - Renewal</t>
        </is>
      </c>
    </row>
    <row r="5">
      <c r="A5" s="2" t="inlineStr">
        <is>
          <t>Proposal Date:</t>
        </is>
      </c>
      <c r="B5" t="inlineStr">
        <is>
          <t>December 2024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2025-12-14 15:05:18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2025-12-14T21:05:18Z</dcterms:modified>
</cp:coreProperties>
</file>