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Normalized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_(&quot;$&quot;* #,##0.00_);_(&quot;$&quot;* (#,##0.00);_(&quot;$&quot;* &quot;-&quot;??_);_(@_)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  <font>
      <b val="1"/>
      <sz val="16"/>
    </font>
    <font>
      <i val="1"/>
      <color rgb="00666666"/>
      <sz val="1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2" applyAlignment="1" pivotButton="0" quotePrefix="0" xfId="0">
      <alignment horizontal="center"/>
    </xf>
    <xf numFmtId="0" fontId="12" fillId="5" borderId="2" pivotButton="0" quotePrefix="0" xfId="0"/>
    <xf numFmtId="0" fontId="0" fillId="0" borderId="2" applyAlignment="1" pivotButton="0" quotePrefix="0" xfId="0">
      <alignment horizontal="center"/>
    </xf>
    <xf numFmtId="165" fontId="0" fillId="0" borderId="2" pivotButton="0" quotePrefix="0" xfId="0"/>
    <xf numFmtId="0" fontId="13" fillId="6" borderId="2" pivotButton="0" quotePrefix="0" xfId="0"/>
    <xf numFmtId="0" fontId="13" fillId="6" borderId="2" applyAlignment="1" pivotButton="0" quotePrefix="0" xfId="0">
      <alignment horizontal="center"/>
    </xf>
    <xf numFmtId="165" fontId="13" fillId="6" borderId="2" pivotButton="0" quotePrefix="0" xfId="0"/>
    <xf numFmtId="0" fontId="0" fillId="6" borderId="2" pivotButton="0" quotePrefix="0" xfId="0"/>
    <xf numFmtId="0" fontId="0" fillId="0" borderId="2" pivotButton="0" quotePrefix="0" xfId="0"/>
    <xf numFmtId="0" fontId="12" fillId="5" borderId="0" pivotButton="0" quotePrefix="0" xfId="0"/>
    <xf numFmtId="166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FIS Monthly Bundle - Year 1</t>
        </is>
      </c>
      <c r="D2" t="inlineStr">
        <is>
          <t>Core</t>
        </is>
      </c>
      <c r="E2" t="b">
        <v>0</v>
      </c>
      <c r="F2" t="b">
        <v>0</v>
      </c>
      <c r="G2" s="12" t="n">
        <v>15000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10-year term pricing</t>
        </is>
      </c>
    </row>
    <row r="3">
      <c r="A3" t="n">
        <v>7</v>
      </c>
      <c r="B3" t="inlineStr">
        <is>
          <t>Monthly V</t>
        </is>
      </c>
      <c r="C3" t="inlineStr">
        <is>
          <t>Card Suite Pro</t>
        </is>
      </c>
      <c r="D3" t="inlineStr">
        <is>
          <t>Digital</t>
        </is>
      </c>
      <c r="E3" t="b">
        <v>0</v>
      </c>
      <c r="F3" t="b">
        <v>0</v>
      </c>
      <c r="G3" s="12" t="n">
        <v>425</v>
      </c>
      <c r="H3" t="inlineStr">
        <is>
          <t>per active user</t>
        </is>
      </c>
      <c r="I3" s="13" t="n">
        <v>1</v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0.85</v>
      </c>
      <c r="T3" t="inlineStr">
        <is>
          <t>$375 monthly minimum, call center at $1.50/minute</t>
        </is>
      </c>
    </row>
    <row r="4">
      <c r="A4" t="n">
        <v>12</v>
      </c>
      <c r="B4" t="inlineStr">
        <is>
          <t>Monthly V</t>
        </is>
      </c>
      <c r="C4" t="inlineStr">
        <is>
          <t>Tokenization</t>
        </is>
      </c>
      <c r="D4" t="inlineStr">
        <is>
          <t>Digital</t>
        </is>
      </c>
      <c r="E4" t="b">
        <v>0</v>
      </c>
      <c r="F4" t="b">
        <v>0</v>
      </c>
      <c r="G4" s="12" t="n">
        <v>337</v>
      </c>
      <c r="H4" t="inlineStr">
        <is>
          <t>per token provisioning</t>
        </is>
      </c>
      <c r="I4" s="13" t="n">
        <v>1</v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0.8</v>
      </c>
      <c r="T4" t="inlineStr">
        <is>
          <t>Complex pricing with multiple components</t>
        </is>
      </c>
    </row>
    <row r="5">
      <c r="A5" t="n">
        <v>3</v>
      </c>
      <c r="B5" t="inlineStr">
        <is>
          <t>Monthly V</t>
        </is>
      </c>
      <c r="C5" t="inlineStr">
        <is>
          <t>Debit Card Production</t>
        </is>
      </c>
      <c r="D5" t="inlineStr">
        <is>
          <t>EFT</t>
        </is>
      </c>
      <c r="E5" t="b">
        <v>0</v>
      </c>
      <c r="F5" t="b">
        <v>0</v>
      </c>
      <c r="G5" s="12" t="n">
        <v>1018</v>
      </c>
      <c r="H5" t="inlineStr">
        <is>
          <t>per file/job</t>
        </is>
      </c>
      <c r="I5" s="13" t="n">
        <v>1</v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0.92</v>
      </c>
      <c r="T5" t="inlineStr">
        <is>
          <t>Includes CardPro Connect at $500/month</t>
        </is>
      </c>
    </row>
    <row r="6">
      <c r="A6" t="n">
        <v>14</v>
      </c>
      <c r="B6" t="inlineStr">
        <is>
          <t>Monthly V</t>
        </is>
      </c>
      <c r="C6" t="inlineStr">
        <is>
          <t>NYCE Preferred Debit Card Network</t>
        </is>
      </c>
      <c r="D6" t="inlineStr">
        <is>
          <t>Network</t>
        </is>
      </c>
      <c r="E6" t="b">
        <v>0</v>
      </c>
      <c r="F6" t="b">
        <v>0</v>
      </c>
      <c r="G6" s="12" t="n">
        <v>152</v>
      </c>
      <c r="H6" t="inlineStr">
        <is>
          <t>per transaction</t>
        </is>
      </c>
      <c r="I6" s="13" t="n">
        <v>1</v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0.93</v>
      </c>
      <c r="T6" t="inlineStr">
        <is>
          <t>$100 monthly participation fee</t>
        </is>
      </c>
    </row>
    <row r="7">
      <c r="A7" t="n">
        <v>2</v>
      </c>
      <c r="B7" t="inlineStr">
        <is>
          <t>Monthly V</t>
        </is>
      </c>
      <c r="C7" t="inlineStr">
        <is>
          <t>Paper and Envelopes</t>
        </is>
      </c>
      <c r="D7" t="inlineStr">
        <is>
          <t>Other</t>
        </is>
      </c>
      <c r="E7" t="b">
        <v>0</v>
      </c>
      <c r="F7" t="b">
        <v>0</v>
      </c>
      <c r="G7" s="12" t="n">
        <v>29</v>
      </c>
      <c r="H7" t="inlineStr">
        <is>
          <t>per piece of paper</t>
        </is>
      </c>
      <c r="I7" s="13" t="n">
        <v>1</v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</v>
      </c>
      <c r="T7" t="inlineStr">
        <is>
          <t>Also $0.0314 per envelope</t>
        </is>
      </c>
    </row>
    <row r="8">
      <c r="A8" t="n">
        <v>5</v>
      </c>
      <c r="B8" t="inlineStr">
        <is>
          <t>Monthly V</t>
        </is>
      </c>
      <c r="C8" t="inlineStr">
        <is>
          <t>DirectLink Risk Review (DLRR)</t>
        </is>
      </c>
      <c r="D8" t="inlineStr">
        <is>
          <t>Risk, Fraud &amp; Compliance</t>
        </is>
      </c>
      <c r="E8" t="b">
        <v>0</v>
      </c>
      <c r="F8" t="b">
        <v>0</v>
      </c>
      <c r="G8" s="12" t="n">
        <v>233</v>
      </c>
      <c r="H8" t="inlineStr">
        <is>
          <t>per transaction</t>
        </is>
      </c>
      <c r="I8" s="13" t="n">
        <v>1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0.88</v>
      </c>
      <c r="T8" t="inlineStr">
        <is>
          <t>$200 monthly minimum</t>
        </is>
      </c>
    </row>
    <row r="9">
      <c r="A9" t="n">
        <v>9</v>
      </c>
      <c r="B9" t="inlineStr">
        <is>
          <t>Monthly V</t>
        </is>
      </c>
      <c r="C9" t="inlineStr">
        <is>
          <t>Payments One Debit Card Fraud Case Investigation</t>
        </is>
      </c>
      <c r="D9" t="inlineStr">
        <is>
          <t>Risk, Fraud &amp; Compliance</t>
        </is>
      </c>
      <c r="E9" t="b">
        <v>0</v>
      </c>
      <c r="F9" t="b">
        <v>0</v>
      </c>
      <c r="G9" s="12" t="n">
        <v>500</v>
      </c>
      <c r="H9" t="inlineStr">
        <is>
          <t>per case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</v>
      </c>
      <c r="T9" t="inlineStr">
        <is>
          <t>$500 monthly minimum</t>
        </is>
      </c>
    </row>
    <row r="10">
      <c r="A10" t="n">
        <v>10</v>
      </c>
      <c r="B10" t="inlineStr">
        <is>
          <t>Monthly V</t>
        </is>
      </c>
      <c r="C10" t="inlineStr">
        <is>
          <t>Payments One Full-Service Debit Card Fraud Disputes</t>
        </is>
      </c>
      <c r="D10" t="inlineStr">
        <is>
          <t>Risk, Fraud &amp; Compliance</t>
        </is>
      </c>
      <c r="E10" t="b">
        <v>0</v>
      </c>
      <c r="F10" t="b">
        <v>0</v>
      </c>
      <c r="G10" s="12" t="n">
        <v>175</v>
      </c>
      <c r="H10" t="inlineStr">
        <is>
          <t>per dispute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0.92</v>
      </c>
      <c r="T10" t="inlineStr">
        <is>
          <t>Estimated 5 disputes per month</t>
        </is>
      </c>
    </row>
    <row r="11">
      <c r="A11" t="n">
        <v>8</v>
      </c>
      <c r="B11" t="inlineStr">
        <is>
          <t>One-Time</t>
        </is>
      </c>
      <c r="C11" t="inlineStr">
        <is>
          <t>Card Suite Pro - Implementation Fee</t>
        </is>
      </c>
      <c r="D11" t="inlineStr">
        <is>
          <t>Digital</t>
        </is>
      </c>
      <c r="E11" t="b">
        <v>0</v>
      </c>
      <c r="F11" t="b">
        <v>0</v>
      </c>
      <c r="G11" s="12" t="n">
        <v>4000</v>
      </c>
      <c r="H11" t="inlineStr">
        <is>
          <t>per active user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0.85</v>
      </c>
      <c r="T11" t="inlineStr">
        <is>
          <t>$375 monthly minimum, call center at $1.50/minute</t>
        </is>
      </c>
    </row>
    <row r="12">
      <c r="A12" t="n">
        <v>13</v>
      </c>
      <c r="B12" t="inlineStr">
        <is>
          <t>One-Time</t>
        </is>
      </c>
      <c r="C12" t="inlineStr">
        <is>
          <t>Tokenization - Implementation Fee</t>
        </is>
      </c>
      <c r="D12" t="inlineStr">
        <is>
          <t>Digital</t>
        </is>
      </c>
      <c r="E12" t="b">
        <v>0</v>
      </c>
      <c r="F12" t="b">
        <v>0</v>
      </c>
      <c r="G12" s="12" t="n">
        <v>13600</v>
      </c>
      <c r="H12" t="inlineStr">
        <is>
          <t>per token provisioning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0.8</v>
      </c>
      <c r="T12" t="inlineStr">
        <is>
          <t>Complex pricing with multiple components</t>
        </is>
      </c>
    </row>
    <row r="13">
      <c r="A13" t="n">
        <v>4</v>
      </c>
      <c r="B13" t="inlineStr">
        <is>
          <t>One-Time</t>
        </is>
      </c>
      <c r="C13" t="inlineStr">
        <is>
          <t>Debit Card Production - Implementation Fee</t>
        </is>
      </c>
      <c r="D13" t="inlineStr">
        <is>
          <t>EFT</t>
        </is>
      </c>
      <c r="E13" t="b">
        <v>0</v>
      </c>
      <c r="F13" t="b">
        <v>0</v>
      </c>
      <c r="G13" s="12" t="n">
        <v>1250</v>
      </c>
      <c r="H13" t="inlineStr">
        <is>
          <t>per file/job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0.92</v>
      </c>
      <c r="T13" t="inlineStr">
        <is>
          <t>Includes CardPro Connect at $500/month</t>
        </is>
      </c>
    </row>
    <row r="14">
      <c r="A14" t="n">
        <v>15</v>
      </c>
      <c r="B14" t="inlineStr">
        <is>
          <t>One-Time</t>
        </is>
      </c>
      <c r="C14" t="inlineStr">
        <is>
          <t>NYCE Preferred Debit Card Network - Implementation Fee</t>
        </is>
      </c>
      <c r="D14" t="inlineStr">
        <is>
          <t>Network</t>
        </is>
      </c>
      <c r="E14" t="b">
        <v>0</v>
      </c>
      <c r="F14" t="b">
        <v>0</v>
      </c>
      <c r="G14" s="12" t="n">
        <v>1500</v>
      </c>
      <c r="H14" t="inlineStr">
        <is>
          <t>per transaction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0.93</v>
      </c>
      <c r="T14" t="inlineStr">
        <is>
          <t>$100 monthly participation fee</t>
        </is>
      </c>
    </row>
    <row r="15">
      <c r="A15" t="n">
        <v>6</v>
      </c>
      <c r="B15" t="inlineStr">
        <is>
          <t>One-Time</t>
        </is>
      </c>
      <c r="C15" t="inlineStr">
        <is>
          <t>DirectLink Risk Review (DLRR) - Implementation Fee</t>
        </is>
      </c>
      <c r="D15" t="inlineStr">
        <is>
          <t>Risk, Fraud &amp; Compliance</t>
        </is>
      </c>
      <c r="E15" t="b">
        <v>0</v>
      </c>
      <c r="F15" t="b">
        <v>0</v>
      </c>
      <c r="G15" s="12" t="n">
        <v>17015</v>
      </c>
      <c r="H15" t="inlineStr">
        <is>
          <t>per transaction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0.88</v>
      </c>
      <c r="T15" t="inlineStr">
        <is>
          <t>$200 monthly minimum</t>
        </is>
      </c>
    </row>
    <row r="16">
      <c r="A16" t="n">
        <v>11</v>
      </c>
      <c r="B16" t="inlineStr">
        <is>
          <t>One-Time</t>
        </is>
      </c>
      <c r="C16" t="inlineStr">
        <is>
          <t>Payments One Full-Service Debit Card Fraud Disputes - Implementation Fee</t>
        </is>
      </c>
      <c r="D16" t="inlineStr">
        <is>
          <t>Risk, Fraud &amp; Compliance</t>
        </is>
      </c>
      <c r="E16" t="b">
        <v>0</v>
      </c>
      <c r="F16" t="b">
        <v>0</v>
      </c>
      <c r="G16" s="12" t="n">
        <v>1500</v>
      </c>
      <c r="H16" t="inlineStr">
        <is>
          <t>per dispute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0.92</v>
      </c>
      <c r="T16" t="inlineStr">
        <is>
          <t>Estimated 5 disputes per month</t>
        </is>
      </c>
    </row>
    <row r="17">
      <c r="A17" t="n">
        <v>20</v>
      </c>
      <c r="B17" t="inlineStr">
        <is>
          <t>Annual</t>
        </is>
      </c>
      <c r="C17" t="inlineStr">
        <is>
          <t>TruStage</t>
        </is>
      </c>
      <c r="D17" t="inlineStr">
        <is>
          <t>Risk, Fraud &amp; Compliance</t>
        </is>
      </c>
      <c r="E17" t="b">
        <v>1</v>
      </c>
      <c r="F17" t="b">
        <v>0</v>
      </c>
      <c r="G17" s="12" t="n">
        <v>1158</v>
      </c>
      <c r="H17" t="inlineStr">
        <is>
          <t>per year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0.92</v>
      </c>
      <c r="T17" t="inlineStr">
        <is>
          <t>New deposit account documents, $13,895 annual fee</t>
        </is>
      </c>
    </row>
    <row r="18">
      <c r="A18" t="n">
        <v>18</v>
      </c>
      <c r="B18" t="inlineStr">
        <is>
          <t>Monthly F</t>
        </is>
      </c>
      <c r="C18" t="inlineStr">
        <is>
          <t>SmartSign</t>
        </is>
      </c>
      <c r="D18" t="inlineStr">
        <is>
          <t>Digital</t>
        </is>
      </c>
      <c r="E18" t="b">
        <v>1</v>
      </c>
      <c r="F18" t="b">
        <v>0</v>
      </c>
      <c r="G18" s="12" t="n">
        <v>478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</v>
      </c>
      <c r="T18" t="inlineStr">
        <is>
          <t>eSignature solution, asset-based pricing</t>
        </is>
      </c>
    </row>
    <row r="19">
      <c r="A19" t="n">
        <v>22</v>
      </c>
      <c r="B19" t="inlineStr">
        <is>
          <t>Monthly F</t>
        </is>
      </c>
      <c r="C19" t="inlineStr">
        <is>
          <t>IBM Cognos (HORIZON 360)</t>
        </is>
      </c>
      <c r="D19" t="inlineStr">
        <is>
          <t>Other</t>
        </is>
      </c>
      <c r="E19" t="b">
        <v>1</v>
      </c>
      <c r="F19" t="b">
        <v>0</v>
      </c>
      <c r="G19" s="12" t="n">
        <v>1172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0.88</v>
      </c>
      <c r="T19" t="inlineStr">
        <is>
          <t>Asset-based pricing, includes Web Administrator</t>
        </is>
      </c>
    </row>
    <row r="20">
      <c r="A20" t="n">
        <v>16</v>
      </c>
      <c r="B20" t="inlineStr">
        <is>
          <t>Monthly F</t>
        </is>
      </c>
      <c r="C20" t="inlineStr">
        <is>
          <t>Network Services</t>
        </is>
      </c>
      <c r="D20" t="inlineStr">
        <is>
          <t>Other</t>
        </is>
      </c>
      <c r="E20" t="b">
        <v>1</v>
      </c>
      <c r="F20" t="b">
        <v>0</v>
      </c>
      <c r="G20" s="12" t="n">
        <v>2088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Connectivity to FIS Data Center</t>
        </is>
      </c>
    </row>
    <row r="21">
      <c r="A21" t="n">
        <v>19</v>
      </c>
      <c r="B21" t="inlineStr">
        <is>
          <t>One-Time</t>
        </is>
      </c>
      <c r="C21" t="inlineStr">
        <is>
          <t>SmartSign - Implementation Fee</t>
        </is>
      </c>
      <c r="D21" t="inlineStr">
        <is>
          <t>Digital</t>
        </is>
      </c>
      <c r="E21" t="b">
        <v>1</v>
      </c>
      <c r="F21" t="b">
        <v>0</v>
      </c>
      <c r="G21" s="12" t="n">
        <v>15000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</v>
      </c>
      <c r="T21" t="inlineStr">
        <is>
          <t>eSignature solution, asset-based pricing</t>
        </is>
      </c>
    </row>
    <row r="22">
      <c r="A22" t="n">
        <v>23</v>
      </c>
      <c r="B22" t="inlineStr">
        <is>
          <t>One-Time</t>
        </is>
      </c>
      <c r="C22" t="inlineStr">
        <is>
          <t>IBM Cognos (HORIZON 360) - Implementation Fee</t>
        </is>
      </c>
      <c r="D22" t="inlineStr">
        <is>
          <t>Other</t>
        </is>
      </c>
      <c r="E22" t="b">
        <v>1</v>
      </c>
      <c r="F22" t="b">
        <v>0</v>
      </c>
      <c r="G22" s="12" t="n">
        <v>36698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0.88</v>
      </c>
      <c r="T22" t="inlineStr">
        <is>
          <t>Asset-based pricing, includes Web Administrator</t>
        </is>
      </c>
    </row>
    <row r="23">
      <c r="A23" t="n">
        <v>17</v>
      </c>
      <c r="B23" t="inlineStr">
        <is>
          <t>One-Time</t>
        </is>
      </c>
      <c r="C23" t="inlineStr">
        <is>
          <t>Network Services - Implementation Fee</t>
        </is>
      </c>
      <c r="D23" t="inlineStr">
        <is>
          <t>Other</t>
        </is>
      </c>
      <c r="E23" t="b">
        <v>1</v>
      </c>
      <c r="F23" t="b">
        <v>0</v>
      </c>
      <c r="G23" s="12" t="n">
        <v>7905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Connectivity to FIS Data Center</t>
        </is>
      </c>
    </row>
    <row r="24">
      <c r="A24" t="n">
        <v>21</v>
      </c>
      <c r="B24" t="inlineStr">
        <is>
          <t>One-Time</t>
        </is>
      </c>
      <c r="C24" t="inlineStr">
        <is>
          <t>TruStage - Implementation Fee</t>
        </is>
      </c>
      <c r="D24" t="inlineStr">
        <is>
          <t>Risk, Fraud &amp; Compliance</t>
        </is>
      </c>
      <c r="E24" t="b">
        <v>1</v>
      </c>
      <c r="F24" t="b">
        <v>0</v>
      </c>
      <c r="G24" s="12" t="n">
        <v>7650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0.92</v>
      </c>
      <c r="T24" t="inlineStr">
        <is>
          <t>New deposit account documents, $13,895 annual fee</t>
        </is>
      </c>
    </row>
    <row r="25">
      <c r="A25" t="n">
        <v>24</v>
      </c>
      <c r="B25" t="inlineStr">
        <is>
          <t>Monthly F</t>
        </is>
      </c>
      <c r="C25" t="inlineStr">
        <is>
          <t>Subpoena Centre</t>
        </is>
      </c>
      <c r="D25" t="inlineStr">
        <is>
          <t>Risk, Fraud &amp; Compliance</t>
        </is>
      </c>
      <c r="E25" t="b">
        <v>0</v>
      </c>
      <c r="F25" t="b">
        <v>1</v>
      </c>
      <c r="G25" s="12" t="n">
        <v>382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Flat monthly fee</t>
        </is>
      </c>
    </row>
    <row r="26">
      <c r="A26" t="n">
        <v>26</v>
      </c>
      <c r="B26" t="inlineStr">
        <is>
          <t>Monthly V</t>
        </is>
      </c>
      <c r="C26" t="inlineStr">
        <is>
          <t>Start Card</t>
        </is>
      </c>
      <c r="D26" t="inlineStr">
        <is>
          <t>EFT</t>
        </is>
      </c>
      <c r="E26" t="b">
        <v>0</v>
      </c>
      <c r="F26" t="b">
        <v>1</v>
      </c>
      <c r="G26" s="12" t="n">
        <v>150</v>
      </c>
      <c r="H26" t="inlineStr">
        <is>
          <t>per card</t>
        </is>
      </c>
      <c r="I26" s="13" t="n">
        <v>1</v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0.92</v>
      </c>
      <c r="T26" t="inlineStr">
        <is>
          <t>Temporary debit cards, 100 card minimum</t>
        </is>
      </c>
    </row>
    <row r="27">
      <c r="A27" t="n">
        <v>28</v>
      </c>
      <c r="B27" t="inlineStr">
        <is>
          <t>Monthly V</t>
        </is>
      </c>
      <c r="C27" t="inlineStr">
        <is>
          <t>FedNOW (Receive Only)</t>
        </is>
      </c>
      <c r="D27" t="inlineStr">
        <is>
          <t>Other</t>
        </is>
      </c>
      <c r="E27" t="b">
        <v>0</v>
      </c>
      <c r="F27" t="b">
        <v>1</v>
      </c>
      <c r="G27" s="12" t="n">
        <v>1500</v>
      </c>
      <c r="H27" t="inlineStr">
        <is>
          <t>per transaction over 10,000</t>
        </is>
      </c>
      <c r="I27" s="13" t="n">
        <v>1</v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</v>
      </c>
      <c r="T27" t="inlineStr">
        <is>
          <t>Includes 10,000 receive transactions</t>
        </is>
      </c>
    </row>
    <row r="28">
      <c r="A28" t="n">
        <v>30</v>
      </c>
      <c r="B28" t="inlineStr">
        <is>
          <t>Monthly V</t>
        </is>
      </c>
      <c r="C28" t="inlineStr">
        <is>
          <t>Real-Time Payments (RTP)</t>
        </is>
      </c>
      <c r="D28" t="inlineStr">
        <is>
          <t>Other</t>
        </is>
      </c>
      <c r="E28" t="b">
        <v>0</v>
      </c>
      <c r="F28" t="b">
        <v>1</v>
      </c>
      <c r="G28" s="12" t="n">
        <v>1500</v>
      </c>
      <c r="H28" t="inlineStr">
        <is>
          <t>per transaction over 10,000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</v>
      </c>
      <c r="T28" t="inlineStr">
        <is>
          <t>Receive only, includes 10,000 transactions</t>
        </is>
      </c>
    </row>
    <row r="29">
      <c r="A29" t="n">
        <v>27</v>
      </c>
      <c r="B29" t="inlineStr">
        <is>
          <t>One-Time</t>
        </is>
      </c>
      <c r="C29" t="inlineStr">
        <is>
          <t>Start Card - Implementation Fee</t>
        </is>
      </c>
      <c r="D29" t="inlineStr">
        <is>
          <t>EFT</t>
        </is>
      </c>
      <c r="E29" t="b">
        <v>0</v>
      </c>
      <c r="F29" t="b">
        <v>1</v>
      </c>
      <c r="G29" s="12" t="n">
        <v>2000</v>
      </c>
      <c r="H29" t="inlineStr">
        <is>
          <t>per card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0.92</v>
      </c>
      <c r="T29" t="inlineStr">
        <is>
          <t>Temporary debit cards, 100 card minimum</t>
        </is>
      </c>
    </row>
    <row r="30">
      <c r="A30" t="n">
        <v>29</v>
      </c>
      <c r="B30" t="inlineStr">
        <is>
          <t>One-Time</t>
        </is>
      </c>
      <c r="C30" t="inlineStr">
        <is>
          <t>FedNOW (Receive Only) - Implementation Fee</t>
        </is>
      </c>
      <c r="D30" t="inlineStr">
        <is>
          <t>Other</t>
        </is>
      </c>
      <c r="E30" t="b">
        <v>0</v>
      </c>
      <c r="F30" t="b">
        <v>1</v>
      </c>
      <c r="G30" s="12" t="n">
        <v>9000</v>
      </c>
      <c r="H30" t="inlineStr">
        <is>
          <t>per transaction over 10,000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</v>
      </c>
      <c r="T30" t="inlineStr">
        <is>
          <t>Includes 10,000 receive transactions</t>
        </is>
      </c>
    </row>
    <row r="31">
      <c r="A31" t="n">
        <v>31</v>
      </c>
      <c r="B31" t="inlineStr">
        <is>
          <t>One-Time</t>
        </is>
      </c>
      <c r="C31" t="inlineStr">
        <is>
          <t>Real-Time Payments (RTP)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9000</v>
      </c>
      <c r="H31" t="inlineStr">
        <is>
          <t>per transaction over 10,000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</v>
      </c>
      <c r="T31" t="inlineStr">
        <is>
          <t>Receive only, includes 10,000 transactions</t>
        </is>
      </c>
    </row>
    <row r="32">
      <c r="A32" t="n">
        <v>25</v>
      </c>
      <c r="B32" t="inlineStr">
        <is>
          <t>One-Time</t>
        </is>
      </c>
      <c r="C32" t="inlineStr">
        <is>
          <t>Subpoena Centre - Implementation Fee</t>
        </is>
      </c>
      <c r="D32" t="inlineStr">
        <is>
          <t>Risk, Fraud &amp; Compliance</t>
        </is>
      </c>
      <c r="E32" t="b">
        <v>0</v>
      </c>
      <c r="F32" t="b">
        <v>1</v>
      </c>
      <c r="G32" s="12" t="n">
        <v>3399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Flat monthly fee</t>
        </is>
      </c>
    </row>
    <row r="33">
      <c r="A33" t="n">
        <v>34</v>
      </c>
      <c r="B33" t="inlineStr">
        <is>
          <t>Monthly F</t>
        </is>
      </c>
      <c r="C33" t="inlineStr">
        <is>
          <t>WebConnect and DirectConnect</t>
        </is>
      </c>
      <c r="D33" t="inlineStr">
        <is>
          <t>Digital</t>
        </is>
      </c>
      <c r="E33" t="b">
        <v>1</v>
      </c>
      <c r="F33" t="b">
        <v>1</v>
      </c>
      <c r="G33" s="12" t="n">
        <v>859</v>
      </c>
      <c r="H33" t="inlineStr">
        <is>
          <t>per month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0.85</v>
      </c>
      <c r="T33" t="inlineStr">
        <is>
          <t>Monthly minimum fee</t>
        </is>
      </c>
    </row>
    <row r="34">
      <c r="A34" t="n">
        <v>40</v>
      </c>
      <c r="B34" t="inlineStr">
        <is>
          <t>Monthly F</t>
        </is>
      </c>
      <c r="C34" t="inlineStr">
        <is>
          <t>AvidAscend</t>
        </is>
      </c>
      <c r="D34" t="inlineStr">
        <is>
          <t>Other</t>
        </is>
      </c>
      <c r="E34" t="b">
        <v>1</v>
      </c>
      <c r="F34" t="b">
        <v>1</v>
      </c>
      <c r="G34" s="12" t="n">
        <v>1127</v>
      </c>
      <c r="H34" t="inlineStr">
        <is>
          <t>per month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0.88</v>
      </c>
      <c r="T34" t="inlineStr">
        <is>
          <t>Accounts Payable, Fixed Assets, and Prepaids</t>
        </is>
      </c>
    </row>
    <row r="35">
      <c r="A35" t="n">
        <v>38</v>
      </c>
      <c r="B35" t="inlineStr">
        <is>
          <t>Monthly F</t>
        </is>
      </c>
      <c r="C35" t="inlineStr">
        <is>
          <t>Collaboration Hub</t>
        </is>
      </c>
      <c r="D35" t="inlineStr">
        <is>
          <t>Other</t>
        </is>
      </c>
      <c r="E35" t="b">
        <v>1</v>
      </c>
      <c r="F35" t="b">
        <v>1</v>
      </c>
      <c r="G35" s="12" t="n">
        <v>3300</v>
      </c>
      <c r="H35" t="inlineStr">
        <is>
          <t>per month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0.92</v>
      </c>
      <c r="T35" t="inlineStr">
        <is>
          <t>Up to 10 users</t>
        </is>
      </c>
    </row>
    <row r="36">
      <c r="A36" t="n">
        <v>36</v>
      </c>
      <c r="B36" t="inlineStr">
        <is>
          <t>Monthly F</t>
        </is>
      </c>
      <c r="C36" t="inlineStr">
        <is>
          <t>Credit Insights</t>
        </is>
      </c>
      <c r="D36" t="inlineStr">
        <is>
          <t>Other</t>
        </is>
      </c>
      <c r="E36" t="b">
        <v>1</v>
      </c>
      <c r="F36" t="b">
        <v>1</v>
      </c>
      <c r="G36" s="12" t="n">
        <v>1000</v>
      </c>
      <c r="H36" t="inlineStr">
        <is>
          <t>per month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0.9</v>
      </c>
      <c r="T36" t="inlineStr">
        <is>
          <t>Monthly minimum fee</t>
        </is>
      </c>
    </row>
    <row r="37">
      <c r="A37" t="n">
        <v>32</v>
      </c>
      <c r="B37" t="inlineStr">
        <is>
          <t>Monthly V</t>
        </is>
      </c>
      <c r="C37" t="inlineStr">
        <is>
          <t>Zelle</t>
        </is>
      </c>
      <c r="D37" t="inlineStr">
        <is>
          <t>Digital</t>
        </is>
      </c>
      <c r="E37" t="b">
        <v>1</v>
      </c>
      <c r="F37" t="b">
        <v>1</v>
      </c>
      <c r="G37" s="12" t="n">
        <v>1325</v>
      </c>
      <c r="H37" t="inlineStr">
        <is>
          <t>per transaction</t>
        </is>
      </c>
      <c r="I37" s="13" t="n">
        <v>1</v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0.88</v>
      </c>
      <c r="T37" t="inlineStr">
        <is>
          <t>Consumer and Small Business, $1,250 participation fees</t>
        </is>
      </c>
    </row>
    <row r="38">
      <c r="A38" t="n">
        <v>35</v>
      </c>
      <c r="B38" t="inlineStr">
        <is>
          <t>One-Time</t>
        </is>
      </c>
      <c r="C38" t="inlineStr">
        <is>
          <t>WebConnect and DirectConnect - Implementation Fee</t>
        </is>
      </c>
      <c r="D38" t="inlineStr">
        <is>
          <t>Digital</t>
        </is>
      </c>
      <c r="E38" t="b">
        <v>1</v>
      </c>
      <c r="F38" t="b">
        <v>1</v>
      </c>
      <c r="G38" s="12" t="n">
        <v>6099</v>
      </c>
      <c r="H38" t="inlineStr">
        <is>
          <t>one-time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0.85</v>
      </c>
      <c r="T38" t="inlineStr">
        <is>
          <t>Monthly minimum fee</t>
        </is>
      </c>
    </row>
    <row r="39">
      <c r="A39" t="n">
        <v>33</v>
      </c>
      <c r="B39" t="inlineStr">
        <is>
          <t>One-Time</t>
        </is>
      </c>
      <c r="C39" t="inlineStr">
        <is>
          <t>Zelle - Implementation Fee</t>
        </is>
      </c>
      <c r="D39" t="inlineStr">
        <is>
          <t>Digital</t>
        </is>
      </c>
      <c r="E39" t="b">
        <v>1</v>
      </c>
      <c r="F39" t="b">
        <v>1</v>
      </c>
      <c r="G39" s="12" t="n">
        <v>37500</v>
      </c>
      <c r="H39" t="inlineStr">
        <is>
          <t>per transaction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0.88</v>
      </c>
      <c r="T39" t="inlineStr">
        <is>
          <t>Consumer and Small Business, $1,250 participation fees</t>
        </is>
      </c>
    </row>
    <row r="40">
      <c r="A40" t="n">
        <v>41</v>
      </c>
      <c r="B40" t="inlineStr">
        <is>
          <t>One-Time</t>
        </is>
      </c>
      <c r="C40" t="inlineStr">
        <is>
          <t>AvidAscend - Implementation Fee</t>
        </is>
      </c>
      <c r="D40" t="inlineStr">
        <is>
          <t>Other</t>
        </is>
      </c>
      <c r="E40" t="b">
        <v>1</v>
      </c>
      <c r="F40" t="b">
        <v>1</v>
      </c>
      <c r="G40" s="12" t="n">
        <v>5044</v>
      </c>
      <c r="H40" t="inlineStr">
        <is>
          <t>one-time</t>
        </is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S40" s="3" t="n">
        <v>0.88</v>
      </c>
      <c r="T40" t="inlineStr">
        <is>
          <t>Accounts Payable, Fixed Assets, and Prepaids</t>
        </is>
      </c>
    </row>
    <row r="41">
      <c r="A41" t="n">
        <v>39</v>
      </c>
      <c r="B41" t="inlineStr">
        <is>
          <t>One-Time</t>
        </is>
      </c>
      <c r="C41" t="inlineStr">
        <is>
          <t>Collaboration Hub - Implementation Fee</t>
        </is>
      </c>
      <c r="D41" t="inlineStr">
        <is>
          <t>Other</t>
        </is>
      </c>
      <c r="E41" t="b">
        <v>1</v>
      </c>
      <c r="F41" t="b">
        <v>1</v>
      </c>
      <c r="G41" s="12" t="n">
        <v>16134</v>
      </c>
      <c r="H41" t="inlineStr">
        <is>
          <t>one-time</t>
        </is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S41" s="3" t="n">
        <v>0.92</v>
      </c>
      <c r="T41" t="inlineStr">
        <is>
          <t>Up to 10 users</t>
        </is>
      </c>
    </row>
    <row r="42">
      <c r="A42" t="n">
        <v>37</v>
      </c>
      <c r="B42" t="inlineStr">
        <is>
          <t>One-Time</t>
        </is>
      </c>
      <c r="C42" t="inlineStr">
        <is>
          <t>Credit Insights - Implementation Fee</t>
        </is>
      </c>
      <c r="D42" t="inlineStr">
        <is>
          <t>Other</t>
        </is>
      </c>
      <c r="E42" t="b">
        <v>1</v>
      </c>
      <c r="F42" t="b">
        <v>1</v>
      </c>
      <c r="G42" s="12" t="n">
        <v>5000</v>
      </c>
      <c r="H42" t="inlineStr">
        <is>
          <t>one-time</t>
        </is>
      </c>
      <c r="J42" s="12">
        <f>IF(B42="Monthly F",G42,IF(B42="Monthly V",G42*I42,IF(B42="Annual",G42/12,0)))</f>
        <v/>
      </c>
      <c r="K42" s="12">
        <f>IF(B42="One-Time",G42,J42*12)</f>
        <v/>
      </c>
      <c r="L42" s="12">
        <f>IF(B42="One-Time",0,K42*(1+Metadata!$B$8))</f>
        <v/>
      </c>
      <c r="M42" s="12">
        <f>IF(B42="One-Time",0,L42*(1+Metadata!$B$8))</f>
        <v/>
      </c>
      <c r="N42" s="12">
        <f>IF(B42="One-Time",0,M42*(1+Metadata!$B$8))</f>
        <v/>
      </c>
      <c r="O42" s="12">
        <f>IF(B42="One-Time",0,N42*(1+Metadata!$B$8))</f>
        <v/>
      </c>
      <c r="P42" s="12">
        <f>IF(B42="One-Time",0,O42*(1+Metadata!$B$8))</f>
        <v/>
      </c>
      <c r="Q42" s="12">
        <f>IF(B42="One-Time",0,P42*(1+Metadata!$B$8))</f>
        <v/>
      </c>
      <c r="R42" s="12">
        <f>SUM(K42:Q42)</f>
        <v/>
      </c>
      <c r="S42" s="3" t="n">
        <v>0.9</v>
      </c>
      <c r="T42" t="inlineStr">
        <is>
          <t>Monthly minimum fee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Network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Other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Risk, Fraud &amp; Compliance</t>
        </is>
      </c>
      <c r="B10" s="9">
        <f>SUMIFS('Line Items'!$R:$R,'Line Items'!$D:$D,A10)</f>
        <v/>
      </c>
      <c r="C10" s="9">
        <f>B10/84</f>
        <v/>
      </c>
    </row>
    <row r="11">
      <c r="B11" s="9" t="n"/>
      <c r="C11" s="9" t="n"/>
    </row>
    <row r="12">
      <c r="A12" s="14" t="inlineStr">
        <is>
          <t>Total Required TCO</t>
        </is>
      </c>
      <c r="B12" s="15">
        <f>SUM(B5:B10)</f>
        <v/>
      </c>
      <c r="C12" s="15">
        <f>B12/84</f>
        <v/>
      </c>
    </row>
    <row r="13">
      <c r="B13" s="9" t="n"/>
      <c r="C13" s="9" t="n"/>
    </row>
    <row r="14">
      <c r="A14" s="16" t="inlineStr">
        <is>
          <t>Optional Items Total</t>
        </is>
      </c>
      <c r="B14" s="9">
        <f>SUMIFS('Line Items'!$R:$R,'Line Items'!$F:$F,TRUE)</f>
        <v/>
      </c>
      <c r="C14" s="9">
        <f>B14/84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ECHELON_BANK_FIS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Banking Core System Proposal</t>
        </is>
      </c>
    </row>
    <row r="5">
      <c r="A5" s="2" t="inlineStr">
        <is>
          <t>Proposal Date:</t>
        </is>
      </c>
      <c r="B5" t="inlineStr">
        <is>
          <t>2025-10-29</t>
        </is>
      </c>
    </row>
    <row r="6">
      <c r="A6" s="2" t="inlineStr">
        <is>
          <t>Contract Term (Years):</t>
        </is>
      </c>
      <c r="B6" t="n">
        <v>10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2026-01-15 14:38:56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30" customWidth="1" min="3" max="3"/>
    <col width="3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7" t="inlineStr">
        <is>
          <t>NORMALIZED COST COMPARISON</t>
        </is>
      </c>
    </row>
    <row r="2">
      <c r="A2" s="18" t="inlineStr">
        <is>
          <t>Universal 6-Bucket Cost Breakdown Structure</t>
        </is>
      </c>
    </row>
    <row r="3"/>
    <row r="4">
      <c r="A4" s="14" t="inlineStr">
        <is>
          <t>Vendor:</t>
        </is>
      </c>
      <c r="B4" t="inlineStr">
        <is>
          <t>ECHELON_BANK_FIS</t>
        </is>
      </c>
    </row>
    <row r="5">
      <c r="A5" s="14" t="inlineStr">
        <is>
          <t>Client:</t>
        </is>
      </c>
      <c r="B5" t="inlineStr">
        <is>
          <t>Not specified</t>
        </is>
      </c>
    </row>
    <row r="6">
      <c r="A6" s="14" t="inlineStr">
        <is>
          <t>Contract Term:</t>
        </is>
      </c>
      <c r="B6" t="inlineStr">
        <is>
          <t>7 years</t>
        </is>
      </c>
    </row>
    <row r="7">
      <c r="A7" s="14" t="inlineStr">
        <is>
          <t>Annual CPI:</t>
        </is>
      </c>
      <c r="B7" t="inlineStr">
        <is>
          <t>3.0%</t>
        </is>
      </c>
    </row>
    <row r="8">
      <c r="A8" s="14" t="inlineStr">
        <is>
          <t>Normalized:</t>
        </is>
      </c>
      <c r="B8" t="inlineStr">
        <is>
          <t>2026-01-15 14:38</t>
        </is>
      </c>
    </row>
    <row r="9"/>
    <row r="10"/>
    <row r="11">
      <c r="A11" s="19" t="inlineStr">
        <is>
          <t>COST SUMMARY BY BUCKET</t>
        </is>
      </c>
    </row>
    <row r="12">
      <c r="A12" s="20" t="inlineStr">
        <is>
          <t>Cost Bucket</t>
        </is>
      </c>
      <c r="B12" s="20" t="inlineStr">
        <is>
          <t>Items</t>
        </is>
      </c>
      <c r="C12" s="20" t="inlineStr">
        <is>
          <t>Annual Cost</t>
        </is>
      </c>
      <c r="D12" s="20" t="inlineStr">
        <is>
          <t>7-Year TCO</t>
        </is>
      </c>
      <c r="E12" s="20" t="inlineStr">
        <is>
          <t>Required</t>
        </is>
      </c>
      <c r="F12" s="20" t="inlineStr">
        <is>
          <t>Optional</t>
        </is>
      </c>
    </row>
    <row r="13">
      <c r="A13" s="21" t="inlineStr">
        <is>
          <t>Setup/Implementation</t>
        </is>
      </c>
      <c r="B13" s="22" t="n">
        <v>1</v>
      </c>
      <c r="C13" s="23" t="n">
        <v>12000</v>
      </c>
      <c r="D13" s="23" t="n">
        <v>91949.54616994802</v>
      </c>
      <c r="E13" s="23" t="n">
        <v>0</v>
      </c>
      <c r="F13" s="23" t="n">
        <v>91949.54616994802</v>
      </c>
    </row>
    <row r="14">
      <c r="A14" s="21" t="inlineStr">
        <is>
          <t>Licensing/Subscription</t>
        </is>
      </c>
      <c r="B14" s="22" t="n">
        <v>10</v>
      </c>
      <c r="C14" s="23" t="n">
        <v>298074</v>
      </c>
      <c r="D14" s="23" t="n">
        <v>2283980.752088423</v>
      </c>
      <c r="E14" s="23" t="n">
        <v>1762810.724397158</v>
      </c>
      <c r="F14" s="23" t="n">
        <v>521170.0276912653</v>
      </c>
    </row>
    <row r="15">
      <c r="A15" s="21" t="inlineStr">
        <is>
          <t>Transaction/Usage</t>
        </is>
      </c>
      <c r="B15" s="22" t="n">
        <v>6</v>
      </c>
      <c r="C15" s="23" t="n">
        <v>60144</v>
      </c>
      <c r="D15" s="23" t="n">
        <v>460851.1254037794</v>
      </c>
      <c r="E15" s="23" t="n">
        <v>63169.33821875427</v>
      </c>
      <c r="F15" s="23" t="n">
        <v>397681.7871850251</v>
      </c>
    </row>
    <row r="16">
      <c r="A16" s="21" t="inlineStr">
        <is>
          <t>Training/Enablement</t>
        </is>
      </c>
      <c r="B16" s="22" t="n">
        <v>0</v>
      </c>
      <c r="C16" s="23" t="n">
        <v>0</v>
      </c>
      <c r="D16" s="23" t="n">
        <v>0</v>
      </c>
      <c r="E16" s="23" t="n">
        <v>0</v>
      </c>
      <c r="F16" s="23" t="n">
        <v>0</v>
      </c>
    </row>
    <row r="17">
      <c r="A17" s="21" t="inlineStr">
        <is>
          <t>Support/Maintenance</t>
        </is>
      </c>
      <c r="B17" s="22" t="n">
        <v>0</v>
      </c>
      <c r="C17" s="23" t="n">
        <v>0</v>
      </c>
      <c r="D17" s="23" t="n">
        <v>0</v>
      </c>
      <c r="E17" s="23" t="n">
        <v>0</v>
      </c>
      <c r="F17" s="23" t="n">
        <v>0</v>
      </c>
    </row>
    <row r="18">
      <c r="A18" s="21" t="inlineStr">
        <is>
          <t>Professional Services</t>
        </is>
      </c>
      <c r="B18" s="22" t="n">
        <v>5</v>
      </c>
      <c r="C18" s="23" t="n">
        <v>23940</v>
      </c>
      <c r="D18" s="23" t="n">
        <v>183439.3446090463</v>
      </c>
      <c r="E18" s="23" t="n">
        <v>169646.9126835541</v>
      </c>
      <c r="F18" s="23" t="n">
        <v>13792.4319254922</v>
      </c>
    </row>
    <row r="19">
      <c r="A19" s="24" t="inlineStr">
        <is>
          <t>TOTAL</t>
        </is>
      </c>
      <c r="B19" s="25" t="n">
        <v>22</v>
      </c>
      <c r="C19" s="26" t="n">
        <v>394158</v>
      </c>
      <c r="D19" s="26" t="n">
        <v>3020220.768271197</v>
      </c>
      <c r="E19" s="27" t="n"/>
      <c r="F19" s="27" t="n"/>
    </row>
    <row r="20"/>
    <row r="21"/>
    <row r="22">
      <c r="A22" s="19" t="inlineStr">
        <is>
          <t>COST-PER-UNIT METRICS</t>
        </is>
      </c>
    </row>
    <row r="23">
      <c r="A23" s="20" t="inlineStr">
        <is>
          <t>Metric</t>
        </is>
      </c>
      <c r="B23" s="20" t="inlineStr">
        <is>
          <t>Value</t>
        </is>
      </c>
      <c r="C23" s="20" t="inlineStr">
        <is>
          <t>Formula</t>
        </is>
      </c>
      <c r="D23" s="20" t="inlineStr">
        <is>
          <t>Use Case</t>
        </is>
      </c>
    </row>
    <row r="24">
      <c r="A24" s="28" t="inlineStr">
        <is>
          <t>Cost per Account</t>
        </is>
      </c>
      <c r="B24" s="23" t="n">
        <v>60.40441536542393</v>
      </c>
      <c r="C24" s="28" t="inlineStr">
        <is>
          <t>7-Year TCO / Accounts</t>
        </is>
      </c>
      <c r="D24" s="28" t="inlineStr">
        <is>
          <t>Based on 50,000 accounts</t>
        </is>
      </c>
    </row>
    <row r="25">
      <c r="A25" s="28" t="inlineStr">
        <is>
          <t>Cost per User</t>
        </is>
      </c>
      <c r="B25" s="23" t="n">
        <v>6040.441536542393</v>
      </c>
      <c r="C25" s="28" t="inlineStr">
        <is>
          <t>7-Year TCO / Users</t>
        </is>
      </c>
      <c r="D25" s="28" t="inlineStr">
        <is>
          <t>Based on 500 users</t>
        </is>
      </c>
    </row>
    <row r="26">
      <c r="A26" s="28" t="inlineStr">
        <is>
          <t>Cost per Transaction</t>
        </is>
      </c>
      <c r="B26" s="23" t="n">
        <v>3.020220768271197</v>
      </c>
      <c r="C26" s="28" t="inlineStr">
        <is>
          <t>7-Year TCO / Annual Txns</t>
        </is>
      </c>
      <c r="D26" s="28" t="inlineStr">
        <is>
          <t>Based on 1,000,000 txns/year</t>
        </is>
      </c>
    </row>
    <row r="27">
      <c r="A27" s="28" t="inlineStr">
        <is>
          <t>Cost per Month</t>
        </is>
      </c>
      <c r="B27" s="23" t="n">
        <v>35955.00914608567</v>
      </c>
      <c r="C27" s="28" t="inlineStr">
        <is>
          <t>7-Year TCO / Contract Months</t>
        </is>
      </c>
      <c r="D27" s="28" t="inlineStr">
        <is>
          <t>84 months</t>
        </is>
      </c>
    </row>
    <row r="28">
      <c r="A28" s="28" t="inlineStr">
        <is>
          <t>Cost per Asset ($M)</t>
        </is>
      </c>
      <c r="B28" s="23" t="n">
        <v>6040.441536542393</v>
      </c>
      <c r="C28" s="28" t="inlineStr">
        <is>
          <t>7-Year TCO / Total Assets</t>
        </is>
      </c>
      <c r="D28" s="28" t="inlineStr">
        <is>
          <t>Based on $500M assets</t>
        </is>
      </c>
    </row>
    <row r="29"/>
    <row r="30"/>
    <row r="31">
      <c r="A31" s="19" t="inlineStr">
        <is>
          <t>LINE ITEM DETAILS BY BUCKET</t>
        </is>
      </c>
    </row>
    <row r="32">
      <c r="A32" s="20" t="inlineStr">
        <is>
          <t>Solution</t>
        </is>
      </c>
      <c r="B32" s="20" t="inlineStr">
        <is>
          <t>Category</t>
        </is>
      </c>
      <c r="C32" s="20" t="inlineStr">
        <is>
          <t>Fee Type</t>
        </is>
      </c>
      <c r="D32" s="20" t="inlineStr">
        <is>
          <t>Annual Cost</t>
        </is>
      </c>
      <c r="E32" s="20" t="inlineStr">
        <is>
          <t>7-Year TCO</t>
        </is>
      </c>
      <c r="F32" s="20" t="inlineStr">
        <is>
          <t>Required</t>
        </is>
      </c>
      <c r="G32" s="20" t="inlineStr">
        <is>
          <t>Variable</t>
        </is>
      </c>
      <c r="H32" s="20" t="inlineStr">
        <is>
          <t>Confidence</t>
        </is>
      </c>
    </row>
    <row r="33">
      <c r="A33" s="29" t="inlineStr">
        <is>
          <t>Setup/Implementation</t>
        </is>
      </c>
    </row>
    <row r="34">
      <c r="A34" s="28" t="inlineStr">
        <is>
          <t>Credit Insights</t>
        </is>
      </c>
      <c r="B34" s="28" t="inlineStr">
        <is>
          <t>Implementation Credits</t>
        </is>
      </c>
      <c r="C34" s="28" t="inlineStr">
        <is>
          <t>Monthly F</t>
        </is>
      </c>
      <c r="D34" s="23" t="n">
        <v>12000</v>
      </c>
      <c r="E34" s="23" t="n">
        <v>91949.54616994802</v>
      </c>
      <c r="F34" s="28" t="inlineStr">
        <is>
          <t>No</t>
        </is>
      </c>
      <c r="G34" s="28" t="inlineStr">
        <is>
          <t>No</t>
        </is>
      </c>
      <c r="H34" s="30" t="n">
        <v>0.9</v>
      </c>
    </row>
    <row r="35"/>
    <row r="36">
      <c r="A36" s="29" t="inlineStr">
        <is>
          <t>Licensing/Subscription</t>
        </is>
      </c>
    </row>
    <row r="37">
      <c r="A37" s="28" t="inlineStr">
        <is>
          <t>FIS Monthly Bundle - Year 1</t>
        </is>
      </c>
      <c r="B37" s="28" t="inlineStr">
        <is>
          <t>Core Platform</t>
        </is>
      </c>
      <c r="C37" s="28" t="inlineStr">
        <is>
          <t>Monthly F</t>
        </is>
      </c>
      <c r="D37" s="23" t="n">
        <v>180000</v>
      </c>
      <c r="E37" s="23" t="n">
        <v>1379243.19254922</v>
      </c>
      <c r="F37" s="28" t="inlineStr">
        <is>
          <t>Yes</t>
        </is>
      </c>
      <c r="G37" s="28" t="inlineStr">
        <is>
          <t>No</t>
        </is>
      </c>
      <c r="H37" s="30" t="n">
        <v>0.95</v>
      </c>
    </row>
    <row r="38">
      <c r="A38" s="28" t="inlineStr">
        <is>
          <t>Tokenization</t>
        </is>
      </c>
      <c r="B38" s="28" t="inlineStr">
        <is>
          <t>Module Licensing</t>
        </is>
      </c>
      <c r="C38" s="28" t="inlineStr">
        <is>
          <t>Monthly V</t>
        </is>
      </c>
      <c r="D38" s="23" t="n">
        <v>4044</v>
      </c>
      <c r="E38" s="23" t="n">
        <v>30986.99705927247</v>
      </c>
      <c r="F38" s="28" t="inlineStr">
        <is>
          <t>Yes</t>
        </is>
      </c>
      <c r="G38" s="28" t="inlineStr">
        <is>
          <t>Yes</t>
        </is>
      </c>
      <c r="H38" s="30" t="n">
        <v>0.8</v>
      </c>
    </row>
    <row r="39">
      <c r="A39" s="28" t="inlineStr">
        <is>
          <t>Network Services</t>
        </is>
      </c>
      <c r="B39" s="28" t="inlineStr">
        <is>
          <t>Core Platform</t>
        </is>
      </c>
      <c r="C39" s="28" t="inlineStr">
        <is>
          <t>Monthly F</t>
        </is>
      </c>
      <c r="D39" s="23" t="n">
        <v>25056</v>
      </c>
      <c r="E39" s="23" t="n">
        <v>191990.6524028514</v>
      </c>
      <c r="F39" s="28" t="inlineStr">
        <is>
          <t>Yes</t>
        </is>
      </c>
      <c r="G39" s="28" t="inlineStr">
        <is>
          <t>No</t>
        </is>
      </c>
      <c r="H39" s="30" t="n">
        <v>0.95</v>
      </c>
    </row>
    <row r="40">
      <c r="A40" s="28" t="inlineStr">
        <is>
          <t>SmartSign</t>
        </is>
      </c>
      <c r="B40" s="28" t="inlineStr">
        <is>
          <t>Core Platform</t>
        </is>
      </c>
      <c r="C40" s="28" t="inlineStr">
        <is>
          <t>Monthly F</t>
        </is>
      </c>
      <c r="D40" s="23" t="n">
        <v>5736</v>
      </c>
      <c r="E40" s="23" t="n">
        <v>43951.88306923515</v>
      </c>
      <c r="F40" s="28" t="inlineStr">
        <is>
          <t>Yes</t>
        </is>
      </c>
      <c r="G40" s="28" t="inlineStr">
        <is>
          <t>No</t>
        </is>
      </c>
      <c r="H40" s="30" t="n">
        <v>0.9</v>
      </c>
    </row>
    <row r="41">
      <c r="A41" s="28" t="inlineStr">
        <is>
          <t>TruStage</t>
        </is>
      </c>
      <c r="B41" s="28" t="inlineStr">
        <is>
          <t>Core Platform</t>
        </is>
      </c>
      <c r="C41" s="28" t="inlineStr">
        <is>
          <t>Annual</t>
        </is>
      </c>
      <c r="D41" s="23" t="n">
        <v>1158</v>
      </c>
      <c r="E41" s="23" t="n">
        <v>8873.131205399983</v>
      </c>
      <c r="F41" s="28" t="inlineStr">
        <is>
          <t>Yes</t>
        </is>
      </c>
      <c r="G41" s="28" t="inlineStr">
        <is>
          <t>No</t>
        </is>
      </c>
      <c r="H41" s="30" t="n">
        <v>0.92</v>
      </c>
    </row>
    <row r="42">
      <c r="A42" s="28" t="inlineStr">
        <is>
          <t>IBM Cognos (HORIZON 360)</t>
        </is>
      </c>
      <c r="B42" s="28" t="inlineStr">
        <is>
          <t>Core Platform</t>
        </is>
      </c>
      <c r="C42" s="28" t="inlineStr">
        <is>
          <t>Monthly F</t>
        </is>
      </c>
      <c r="D42" s="23" t="n">
        <v>14064</v>
      </c>
      <c r="E42" s="23" t="n">
        <v>107764.8681111791</v>
      </c>
      <c r="F42" s="28" t="inlineStr">
        <is>
          <t>Yes</t>
        </is>
      </c>
      <c r="G42" s="28" t="inlineStr">
        <is>
          <t>No</t>
        </is>
      </c>
      <c r="H42" s="30" t="n">
        <v>0.88</v>
      </c>
    </row>
    <row r="43">
      <c r="A43" s="28" t="inlineStr">
        <is>
          <t>Subpoena Centre</t>
        </is>
      </c>
      <c r="B43" s="28" t="inlineStr">
        <is>
          <t>Core Platform</t>
        </is>
      </c>
      <c r="C43" s="28" t="inlineStr">
        <is>
          <t>Monthly F</t>
        </is>
      </c>
      <c r="D43" s="23" t="n">
        <v>4584</v>
      </c>
      <c r="E43" s="23" t="n">
        <v>35124.72663692014</v>
      </c>
      <c r="F43" s="28" t="inlineStr">
        <is>
          <t>No</t>
        </is>
      </c>
      <c r="G43" s="28" t="inlineStr">
        <is>
          <t>No</t>
        </is>
      </c>
      <c r="H43" s="30" t="n">
        <v>0.95</v>
      </c>
    </row>
    <row r="44">
      <c r="A44" s="28" t="inlineStr">
        <is>
          <t>WebConnect and DirectConnect</t>
        </is>
      </c>
      <c r="B44" s="28" t="inlineStr">
        <is>
          <t>Core Platform</t>
        </is>
      </c>
      <c r="C44" s="28" t="inlineStr">
        <is>
          <t>Monthly F</t>
        </is>
      </c>
      <c r="D44" s="23" t="n">
        <v>10308</v>
      </c>
      <c r="E44" s="23" t="n">
        <v>78984.66015998535</v>
      </c>
      <c r="F44" s="28" t="inlineStr">
        <is>
          <t>No</t>
        </is>
      </c>
      <c r="G44" s="28" t="inlineStr">
        <is>
          <t>No</t>
        </is>
      </c>
      <c r="H44" s="30" t="n">
        <v>0.85</v>
      </c>
    </row>
    <row r="45">
      <c r="A45" s="28" t="inlineStr">
        <is>
          <t>Collaboration Hub</t>
        </is>
      </c>
      <c r="B45" s="28" t="inlineStr">
        <is>
          <t>Core Platform</t>
        </is>
      </c>
      <c r="C45" s="28" t="inlineStr">
        <is>
          <t>Monthly F</t>
        </is>
      </c>
      <c r="D45" s="23" t="n">
        <v>39600</v>
      </c>
      <c r="E45" s="23" t="n">
        <v>303433.5023608284</v>
      </c>
      <c r="F45" s="28" t="inlineStr">
        <is>
          <t>No</t>
        </is>
      </c>
      <c r="G45" s="28" t="inlineStr">
        <is>
          <t>No</t>
        </is>
      </c>
      <c r="H45" s="30" t="n">
        <v>0.92</v>
      </c>
    </row>
    <row r="46">
      <c r="A46" s="28" t="inlineStr">
        <is>
          <t>AvidAscend</t>
        </is>
      </c>
      <c r="B46" s="28" t="inlineStr">
        <is>
          <t>Core Platform</t>
        </is>
      </c>
      <c r="C46" s="28" t="inlineStr">
        <is>
          <t>Monthly F</t>
        </is>
      </c>
      <c r="D46" s="23" t="n">
        <v>13524</v>
      </c>
      <c r="E46" s="23" t="n">
        <v>103627.1385335314</v>
      </c>
      <c r="F46" s="28" t="inlineStr">
        <is>
          <t>No</t>
        </is>
      </c>
      <c r="G46" s="28" t="inlineStr">
        <is>
          <t>No</t>
        </is>
      </c>
      <c r="H46" s="30" t="n">
        <v>0.88</v>
      </c>
    </row>
    <row r="47"/>
    <row r="48">
      <c r="A48" s="29" t="inlineStr">
        <is>
          <t>Transaction/Usage</t>
        </is>
      </c>
    </row>
    <row r="49">
      <c r="A49" s="28" t="inlineStr">
        <is>
          <t>Paper and Envelopes</t>
        </is>
      </c>
      <c r="B49" s="28" t="inlineStr">
        <is>
          <t>Per-Transaction Fees</t>
        </is>
      </c>
      <c r="C49" s="28" t="inlineStr">
        <is>
          <t>Monthly V</t>
        </is>
      </c>
      <c r="D49" s="23" t="n">
        <v>348</v>
      </c>
      <c r="E49" s="23" t="n">
        <v>2666.536838928492</v>
      </c>
      <c r="F49" s="28" t="inlineStr">
        <is>
          <t>Yes</t>
        </is>
      </c>
      <c r="G49" s="28" t="inlineStr">
        <is>
          <t>Yes</t>
        </is>
      </c>
      <c r="H49" s="30" t="n">
        <v>0.9</v>
      </c>
    </row>
    <row r="50">
      <c r="A50" s="28" t="inlineStr">
        <is>
          <t>DirectLink Risk Review (DLRR)</t>
        </is>
      </c>
      <c r="B50" s="28" t="inlineStr">
        <is>
          <t>Per-Transaction Fees</t>
        </is>
      </c>
      <c r="C50" s="28" t="inlineStr">
        <is>
          <t>Monthly V</t>
        </is>
      </c>
      <c r="D50" s="23" t="n">
        <v>2796</v>
      </c>
      <c r="E50" s="23" t="n">
        <v>21424.24425759789</v>
      </c>
      <c r="F50" s="28" t="inlineStr">
        <is>
          <t>Yes</t>
        </is>
      </c>
      <c r="G50" s="28" t="inlineStr">
        <is>
          <t>Yes</t>
        </is>
      </c>
      <c r="H50" s="30" t="n">
        <v>0.88</v>
      </c>
    </row>
    <row r="51">
      <c r="A51" s="28" t="inlineStr">
        <is>
          <t>Card Suite Pro</t>
        </is>
      </c>
      <c r="B51" s="28" t="inlineStr">
        <is>
          <t>Per-Transaction Fees</t>
        </is>
      </c>
      <c r="C51" s="28" t="inlineStr">
        <is>
          <t>Monthly V</t>
        </is>
      </c>
      <c r="D51" s="23" t="n">
        <v>5100</v>
      </c>
      <c r="E51" s="23" t="n">
        <v>39078.5571222279</v>
      </c>
      <c r="F51" s="28" t="inlineStr">
        <is>
          <t>Yes</t>
        </is>
      </c>
      <c r="G51" s="28" t="inlineStr">
        <is>
          <t>Yes</t>
        </is>
      </c>
      <c r="H51" s="30" t="n">
        <v>0.85</v>
      </c>
    </row>
    <row r="52">
      <c r="A52" s="28" t="inlineStr">
        <is>
          <t>FedNOW (Receive Only)</t>
        </is>
      </c>
      <c r="B52" s="28" t="inlineStr">
        <is>
          <t>Per-Transaction Fees</t>
        </is>
      </c>
      <c r="C52" s="28" t="inlineStr">
        <is>
          <t>Monthly V</t>
        </is>
      </c>
      <c r="D52" s="23" t="n">
        <v>18000</v>
      </c>
      <c r="E52" s="23" t="n">
        <v>137924.319254922</v>
      </c>
      <c r="F52" s="28" t="inlineStr">
        <is>
          <t>No</t>
        </is>
      </c>
      <c r="G52" s="28" t="inlineStr">
        <is>
          <t>Yes</t>
        </is>
      </c>
      <c r="H52" s="30" t="n">
        <v>0.9</v>
      </c>
    </row>
    <row r="53">
      <c r="A53" s="28" t="inlineStr">
        <is>
          <t>Real-Time Payments (RTP)</t>
        </is>
      </c>
      <c r="B53" s="28" t="inlineStr">
        <is>
          <t>Per-Transaction Fees</t>
        </is>
      </c>
      <c r="C53" s="28" t="inlineStr">
        <is>
          <t>Monthly V</t>
        </is>
      </c>
      <c r="D53" s="23" t="n">
        <v>18000</v>
      </c>
      <c r="E53" s="23" t="n">
        <v>137924.319254922</v>
      </c>
      <c r="F53" s="28" t="inlineStr">
        <is>
          <t>No</t>
        </is>
      </c>
      <c r="G53" s="28" t="inlineStr">
        <is>
          <t>Yes</t>
        </is>
      </c>
      <c r="H53" s="30" t="n">
        <v>0.9</v>
      </c>
    </row>
    <row r="54">
      <c r="A54" s="28" t="inlineStr">
        <is>
          <t>Zelle</t>
        </is>
      </c>
      <c r="B54" s="28" t="inlineStr">
        <is>
          <t>Per-Transaction Fees</t>
        </is>
      </c>
      <c r="C54" s="28" t="inlineStr">
        <is>
          <t>Monthly V</t>
        </is>
      </c>
      <c r="D54" s="23" t="n">
        <v>15900</v>
      </c>
      <c r="E54" s="23" t="n">
        <v>121833.1486751811</v>
      </c>
      <c r="F54" s="28" t="inlineStr">
        <is>
          <t>No</t>
        </is>
      </c>
      <c r="G54" s="28" t="inlineStr">
        <is>
          <t>Yes</t>
        </is>
      </c>
      <c r="H54" s="30" t="n">
        <v>0.88</v>
      </c>
    </row>
    <row r="55"/>
    <row r="56">
      <c r="A56" s="29" t="inlineStr">
        <is>
          <t>Professional Services</t>
        </is>
      </c>
    </row>
    <row r="57">
      <c r="A57" s="28" t="inlineStr">
        <is>
          <t>Debit Card Production</t>
        </is>
      </c>
      <c r="B57" s="28" t="inlineStr">
        <is>
          <t>Report Development</t>
        </is>
      </c>
      <c r="C57" s="28" t="inlineStr">
        <is>
          <t>Monthly V</t>
        </is>
      </c>
      <c r="D57" s="23" t="n">
        <v>12216</v>
      </c>
      <c r="E57" s="23" t="n">
        <v>93604.63800100707</v>
      </c>
      <c r="F57" s="28" t="inlineStr">
        <is>
          <t>Yes</t>
        </is>
      </c>
      <c r="G57" s="28" t="inlineStr">
        <is>
          <t>Yes</t>
        </is>
      </c>
      <c r="H57" s="30" t="n">
        <v>0.92</v>
      </c>
    </row>
    <row r="58">
      <c r="A58" s="28" t="inlineStr">
        <is>
          <t>Payments One Debit Card Fraud Case Investigation</t>
        </is>
      </c>
      <c r="B58" s="28" t="inlineStr">
        <is>
          <t>Report Development</t>
        </is>
      </c>
      <c r="C58" s="28" t="inlineStr">
        <is>
          <t>Monthly V</t>
        </is>
      </c>
      <c r="D58" s="23" t="n">
        <v>6000</v>
      </c>
      <c r="E58" s="23" t="n">
        <v>45974.77308497401</v>
      </c>
      <c r="F58" s="28" t="inlineStr">
        <is>
          <t>Yes</t>
        </is>
      </c>
      <c r="G58" s="28" t="inlineStr">
        <is>
          <t>Yes</t>
        </is>
      </c>
      <c r="H58" s="30" t="n">
        <v>0.9</v>
      </c>
    </row>
    <row r="59">
      <c r="A59" s="28" t="inlineStr">
        <is>
          <t>Payments One Full-Service Debit Card Fraud Disputes</t>
        </is>
      </c>
      <c r="B59" s="28" t="inlineStr">
        <is>
          <t>Report Development</t>
        </is>
      </c>
      <c r="C59" s="28" t="inlineStr">
        <is>
          <t>Monthly V</t>
        </is>
      </c>
      <c r="D59" s="23" t="n">
        <v>2100</v>
      </c>
      <c r="E59" s="23" t="n">
        <v>16091.1705797409</v>
      </c>
      <c r="F59" s="28" t="inlineStr">
        <is>
          <t>Yes</t>
        </is>
      </c>
      <c r="G59" s="28" t="inlineStr">
        <is>
          <t>Yes</t>
        </is>
      </c>
      <c r="H59" s="30" t="n">
        <v>0.92</v>
      </c>
    </row>
    <row r="60">
      <c r="A60" s="28" t="inlineStr">
        <is>
          <t>NYCE Preferred Debit Card Network</t>
        </is>
      </c>
      <c r="B60" s="28" t="inlineStr">
        <is>
          <t>Report Development</t>
        </is>
      </c>
      <c r="C60" s="28" t="inlineStr">
        <is>
          <t>Monthly V</t>
        </is>
      </c>
      <c r="D60" s="23" t="n">
        <v>1824</v>
      </c>
      <c r="E60" s="23" t="n">
        <v>13976.3310178321</v>
      </c>
      <c r="F60" s="28" t="inlineStr">
        <is>
          <t>Yes</t>
        </is>
      </c>
      <c r="G60" s="28" t="inlineStr">
        <is>
          <t>Yes</t>
        </is>
      </c>
      <c r="H60" s="30" t="n">
        <v>0.93</v>
      </c>
    </row>
    <row r="61">
      <c r="A61" s="28" t="inlineStr">
        <is>
          <t>Start Card</t>
        </is>
      </c>
      <c r="B61" s="28" t="inlineStr">
        <is>
          <t>Report Development</t>
        </is>
      </c>
      <c r="C61" s="28" t="inlineStr">
        <is>
          <t>Monthly V</t>
        </is>
      </c>
      <c r="D61" s="23" t="n">
        <v>1800</v>
      </c>
      <c r="E61" s="23" t="n">
        <v>13792.4319254922</v>
      </c>
      <c r="F61" s="28" t="inlineStr">
        <is>
          <t>No</t>
        </is>
      </c>
      <c r="G61" s="28" t="inlineStr">
        <is>
          <t>Yes</t>
        </is>
      </c>
      <c r="H61" s="30" t="n">
        <v>0.92</v>
      </c>
    </row>
  </sheetData>
  <mergeCells count="8">
    <mergeCell ref="A56:H56"/>
    <mergeCell ref="A11:F11"/>
    <mergeCell ref="A48:H48"/>
    <mergeCell ref="A22:D22"/>
    <mergeCell ref="A1:E1"/>
    <mergeCell ref="A33:H33"/>
    <mergeCell ref="A36:H36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2026-01-15T20:38:57Z</dcterms:modified>
</cp:coreProperties>
</file>