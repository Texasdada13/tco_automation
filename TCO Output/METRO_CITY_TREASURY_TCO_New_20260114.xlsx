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 Items" sheetId="1" state="visible" r:id="rId1"/>
    <sheet xmlns:r="http://schemas.openxmlformats.org/officeDocument/2006/relationships" name="Years 1-7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8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0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right"/>
    </xf>
    <xf numFmtId="10" fontId="0" fillId="0" borderId="0" pivotButton="0" quotePrefix="0" xfId="0"/>
    <xf numFmtId="0" fontId="3" fillId="2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3" fillId="2" borderId="1" pivotButton="0" quotePrefix="0" xfId="0"/>
    <xf numFmtId="164" fontId="0" fillId="0" borderId="1" pivotButton="0" quotePrefix="0" xfId="0"/>
    <xf numFmtId="0" fontId="4" fillId="3" borderId="0" pivotButton="0" quotePrefix="0" xfId="0"/>
    <xf numFmtId="0" fontId="3" fillId="2" borderId="1" applyAlignment="1" pivotButton="0" quotePrefix="0" xfId="0">
      <alignment horizontal="center"/>
    </xf>
    <xf numFmtId="164" fontId="0" fillId="0" borderId="0" pivotButton="0" quotePrefix="0" xfId="0"/>
    <xf numFmtId="3" fontId="0" fillId="0" borderId="0" pivotButton="0" quotePrefix="0" xfId="0"/>
    <xf numFmtId="0" fontId="6" fillId="0" borderId="0" pivotButton="0" quotePrefix="0" xfId="0"/>
    <xf numFmtId="164" fontId="6" fillId="0" borderId="1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40" customWidth="1" min="3" max="3"/>
    <col width="20" customWidth="1" min="4" max="4"/>
    <col width="12" customWidth="1" min="5" max="5"/>
    <col width="10" customWidth="1" min="6" max="6"/>
    <col width="15" customWidth="1" min="7" max="7"/>
    <col width="18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8" customWidth="1" min="18" max="18"/>
    <col width="12" customWidth="1" min="19" max="19"/>
    <col width="30" customWidth="1" min="20" max="20"/>
  </cols>
  <sheetData>
    <row r="1">
      <c r="A1" s="5" t="inlineStr">
        <is>
          <t>Row ID</t>
        </is>
      </c>
      <c r="B1" s="5" t="inlineStr">
        <is>
          <t>Fee Type</t>
        </is>
      </c>
      <c r="C1" s="5" t="inlineStr">
        <is>
          <t>Solution Name</t>
        </is>
      </c>
      <c r="D1" s="5" t="inlineStr">
        <is>
          <t>Category</t>
        </is>
      </c>
      <c r="E1" s="5" t="inlineStr">
        <is>
          <t>Third Party</t>
        </is>
      </c>
      <c r="F1" s="5" t="inlineStr">
        <is>
          <t>Optional</t>
        </is>
      </c>
      <c r="G1" s="5" t="inlineStr">
        <is>
          <t>Per Unit Rate</t>
        </is>
      </c>
      <c r="H1" s="5" t="inlineStr">
        <is>
          <t>Unit Description</t>
        </is>
      </c>
      <c r="I1" s="5" t="inlineStr">
        <is>
          <t>Avg Monthly Qty</t>
        </is>
      </c>
      <c r="J1" s="5" t="inlineStr">
        <is>
          <t>Year 1 Monthly</t>
        </is>
      </c>
      <c r="K1" s="5" t="inlineStr">
        <is>
          <t>Year 1 Annual</t>
        </is>
      </c>
      <c r="L1" s="5" t="inlineStr">
        <is>
          <t>Year 2</t>
        </is>
      </c>
      <c r="M1" s="5" t="inlineStr">
        <is>
          <t>Year 3</t>
        </is>
      </c>
      <c r="N1" s="5" t="inlineStr">
        <is>
          <t>Year 4</t>
        </is>
      </c>
      <c r="O1" s="5" t="inlineStr">
        <is>
          <t>Year 5</t>
        </is>
      </c>
      <c r="P1" s="5" t="inlineStr">
        <is>
          <t>Year 6</t>
        </is>
      </c>
      <c r="Q1" s="5" t="inlineStr">
        <is>
          <t>Year 7</t>
        </is>
      </c>
      <c r="R1" s="5" t="inlineStr">
        <is>
          <t>Total 7-Year Cost</t>
        </is>
      </c>
      <c r="S1" s="5" t="inlineStr">
        <is>
          <t>Confidence</t>
        </is>
      </c>
      <c r="T1" s="5" t="inlineStr">
        <is>
          <t>Notes</t>
        </is>
      </c>
    </row>
    <row r="2">
      <c r="A2" t="n">
        <v>8</v>
      </c>
      <c r="B2" t="inlineStr">
        <is>
          <t>Monthly F</t>
        </is>
      </c>
      <c r="C2" t="inlineStr">
        <is>
          <t>Online Banking Platform</t>
        </is>
      </c>
      <c r="D2" t="inlineStr">
        <is>
          <t>Digital</t>
        </is>
      </c>
      <c r="E2" t="b">
        <v>0</v>
      </c>
      <c r="F2" t="b">
        <v>0</v>
      </c>
      <c r="G2" s="12" t="n">
        <v>125</v>
      </c>
      <c r="H2" t="inlineStr">
        <is>
          <t>per month</t>
        </is>
      </c>
      <c r="J2" s="12">
        <f>IF(B2="Monthly F",G2,IF(B2="Monthly V",G2*I2,IF(B2="Annual",G2/12,0)))</f>
        <v/>
      </c>
      <c r="K2" s="12">
        <f>IF(B2="One-Time",G2,J2*12)</f>
        <v/>
      </c>
      <c r="L2" s="12">
        <f>IF(B2="One-Time",0,K2*(1+Metadata!$B$8))</f>
        <v/>
      </c>
      <c r="M2" s="12">
        <f>IF(B2="One-Time",0,L2*(1+Metadata!$B$8))</f>
        <v/>
      </c>
      <c r="N2" s="12">
        <f>IF(B2="One-Time",0,M2*(1+Metadata!$B$8))</f>
        <v/>
      </c>
      <c r="O2" s="12">
        <f>IF(B2="One-Time",0,N2*(1+Metadata!$B$8))</f>
        <v/>
      </c>
      <c r="P2" s="12">
        <f>IF(B2="One-Time",0,O2*(1+Metadata!$B$8))</f>
        <v/>
      </c>
      <c r="Q2" s="12">
        <f>IF(B2="One-Time",0,P2*(1+Metadata!$B$8))</f>
        <v/>
      </c>
      <c r="R2" s="12">
        <f>SUM(K2:Q2)</f>
        <v/>
      </c>
      <c r="S2" s="3" t="n">
        <v>0.95</v>
      </c>
      <c r="T2" t="inlineStr">
        <is>
          <t>Fixed monthly platform fee</t>
        </is>
      </c>
    </row>
    <row r="3">
      <c r="A3" t="n">
        <v>1</v>
      </c>
      <c r="B3" t="inlineStr">
        <is>
          <t>Monthly F</t>
        </is>
      </c>
      <c r="C3" t="inlineStr">
        <is>
          <t>Primary Operating Account</t>
        </is>
      </c>
      <c r="D3" t="inlineStr">
        <is>
          <t>Other</t>
        </is>
      </c>
      <c r="E3" t="b">
        <v>0</v>
      </c>
      <c r="F3" t="b">
        <v>0</v>
      </c>
      <c r="G3" s="12" t="n">
        <v>75</v>
      </c>
      <c r="H3" t="inlineStr">
        <is>
          <t>per month</t>
        </is>
      </c>
      <c r="J3" s="12">
        <f>IF(B3="Monthly F",G3,IF(B3="Monthly V",G3*I3,IF(B3="Annual",G3/12,0)))</f>
        <v/>
      </c>
      <c r="K3" s="12">
        <f>IF(B3="One-Time",G3,J3*12)</f>
        <v/>
      </c>
      <c r="L3" s="12">
        <f>IF(B3="One-Time",0,K3*(1+Metadata!$B$8))</f>
        <v/>
      </c>
      <c r="M3" s="12">
        <f>IF(B3="One-Time",0,L3*(1+Metadata!$B$8))</f>
        <v/>
      </c>
      <c r="N3" s="12">
        <f>IF(B3="One-Time",0,M3*(1+Metadata!$B$8))</f>
        <v/>
      </c>
      <c r="O3" s="12">
        <f>IF(B3="One-Time",0,N3*(1+Metadata!$B$8))</f>
        <v/>
      </c>
      <c r="P3" s="12">
        <f>IF(B3="One-Time",0,O3*(1+Metadata!$B$8))</f>
        <v/>
      </c>
      <c r="Q3" s="12">
        <f>IF(B3="One-Time",0,P3*(1+Metadata!$B$8))</f>
        <v/>
      </c>
      <c r="R3" s="12">
        <f>SUM(K3:Q3)</f>
        <v/>
      </c>
      <c r="S3" s="3" t="n">
        <v>0.95</v>
      </c>
      <c r="T3" t="inlineStr">
        <is>
          <t>Fixed monthly account maintenance fee</t>
        </is>
      </c>
    </row>
    <row r="4">
      <c r="A4" t="n">
        <v>7</v>
      </c>
      <c r="B4" t="inlineStr">
        <is>
          <t>Monthly F</t>
        </is>
      </c>
      <c r="C4" t="inlineStr">
        <is>
          <t>Statement Rendering</t>
        </is>
      </c>
      <c r="D4" t="inlineStr">
        <is>
          <t>Other</t>
        </is>
      </c>
      <c r="E4" t="b">
        <v>0</v>
      </c>
      <c r="F4" t="b">
        <v>0</v>
      </c>
      <c r="G4" s="12" t="n">
        <v>15</v>
      </c>
      <c r="H4" t="inlineStr">
        <is>
          <t>per month</t>
        </is>
      </c>
      <c r="J4" s="12">
        <f>IF(B4="Monthly F",G4,IF(B4="Monthly V",G4*I4,IF(B4="Annual",G4/12,0)))</f>
        <v/>
      </c>
      <c r="K4" s="12">
        <f>IF(B4="One-Time",G4,J4*12)</f>
        <v/>
      </c>
      <c r="L4" s="12">
        <f>IF(B4="One-Time",0,K4*(1+Metadata!$B$8))</f>
        <v/>
      </c>
      <c r="M4" s="12">
        <f>IF(B4="One-Time",0,L4*(1+Metadata!$B$8))</f>
        <v/>
      </c>
      <c r="N4" s="12">
        <f>IF(B4="One-Time",0,M4*(1+Metadata!$B$8))</f>
        <v/>
      </c>
      <c r="O4" s="12">
        <f>IF(B4="One-Time",0,N4*(1+Metadata!$B$8))</f>
        <v/>
      </c>
      <c r="P4" s="12">
        <f>IF(B4="One-Time",0,O4*(1+Metadata!$B$8))</f>
        <v/>
      </c>
      <c r="Q4" s="12">
        <f>IF(B4="One-Time",0,P4*(1+Metadata!$B$8))</f>
        <v/>
      </c>
      <c r="R4" s="12">
        <f>SUM(K4:Q4)</f>
        <v/>
      </c>
      <c r="S4" s="3" t="n">
        <v>0.95</v>
      </c>
      <c r="T4" t="inlineStr">
        <is>
          <t>Fixed monthly statement fee</t>
        </is>
      </c>
    </row>
    <row r="5">
      <c r="A5" t="n">
        <v>6</v>
      </c>
      <c r="B5" t="inlineStr">
        <is>
          <t>Monthly V</t>
        </is>
      </c>
      <c r="C5" t="inlineStr">
        <is>
          <t>Check Processing</t>
        </is>
      </c>
      <c r="D5" t="inlineStr">
        <is>
          <t>Other</t>
        </is>
      </c>
      <c r="E5" t="b">
        <v>0</v>
      </c>
      <c r="F5" t="b">
        <v>0</v>
      </c>
      <c r="G5" s="12" t="n">
        <v>0.12</v>
      </c>
      <c r="H5" t="inlineStr">
        <is>
          <t>per check</t>
        </is>
      </c>
      <c r="I5" s="13" t="n">
        <v>1</v>
      </c>
      <c r="J5" s="12">
        <f>IF(B5="Monthly F",G5,IF(B5="Monthly V",G5*I5,IF(B5="Annual",G5/12,0)))</f>
        <v/>
      </c>
      <c r="K5" s="12">
        <f>IF(B5="One-Time",G5,J5*12)</f>
        <v/>
      </c>
      <c r="L5" s="12">
        <f>IF(B5="One-Time",0,K5*(1+Metadata!$B$8))</f>
        <v/>
      </c>
      <c r="M5" s="12">
        <f>IF(B5="One-Time",0,L5*(1+Metadata!$B$8))</f>
        <v/>
      </c>
      <c r="N5" s="12">
        <f>IF(B5="One-Time",0,M5*(1+Metadata!$B$8))</f>
        <v/>
      </c>
      <c r="O5" s="12">
        <f>IF(B5="One-Time",0,N5*(1+Metadata!$B$8))</f>
        <v/>
      </c>
      <c r="P5" s="12">
        <f>IF(B5="One-Time",0,O5*(1+Metadata!$B$8))</f>
        <v/>
      </c>
      <c r="Q5" s="12">
        <f>IF(B5="One-Time",0,P5*(1+Metadata!$B$8))</f>
        <v/>
      </c>
      <c r="R5" s="12">
        <f>SUM(K5:Q5)</f>
        <v/>
      </c>
      <c r="S5" s="3" t="n">
        <v>0.95</v>
      </c>
      <c r="T5" t="inlineStr">
        <is>
          <t>Variable fee based on check volume</t>
        </is>
      </c>
    </row>
    <row r="6">
      <c r="A6" t="n">
        <v>5</v>
      </c>
      <c r="B6" t="inlineStr">
        <is>
          <t>Monthly V</t>
        </is>
      </c>
      <c r="C6" t="inlineStr">
        <is>
          <t>Deposit Processing</t>
        </is>
      </c>
      <c r="D6" t="inlineStr">
        <is>
          <t>Other</t>
        </is>
      </c>
      <c r="E6" t="b">
        <v>0</v>
      </c>
      <c r="F6" t="b">
        <v>0</v>
      </c>
      <c r="G6" s="12" t="n">
        <v>0.15</v>
      </c>
      <c r="H6" t="inlineStr">
        <is>
          <t>per deposit</t>
        </is>
      </c>
      <c r="I6" s="13" t="n">
        <v>1</v>
      </c>
      <c r="J6" s="12">
        <f>IF(B6="Monthly F",G6,IF(B6="Monthly V",G6*I6,IF(B6="Annual",G6/12,0)))</f>
        <v/>
      </c>
      <c r="K6" s="12">
        <f>IF(B6="One-Time",G6,J6*12)</f>
        <v/>
      </c>
      <c r="L6" s="12">
        <f>IF(B6="One-Time",0,K6*(1+Metadata!$B$8))</f>
        <v/>
      </c>
      <c r="M6" s="12">
        <f>IF(B6="One-Time",0,L6*(1+Metadata!$B$8))</f>
        <v/>
      </c>
      <c r="N6" s="12">
        <f>IF(B6="One-Time",0,M6*(1+Metadata!$B$8))</f>
        <v/>
      </c>
      <c r="O6" s="12">
        <f>IF(B6="One-Time",0,N6*(1+Metadata!$B$8))</f>
        <v/>
      </c>
      <c r="P6" s="12">
        <f>IF(B6="One-Time",0,O6*(1+Metadata!$B$8))</f>
        <v/>
      </c>
      <c r="Q6" s="12">
        <f>IF(B6="One-Time",0,P6*(1+Metadata!$B$8))</f>
        <v/>
      </c>
      <c r="R6" s="12">
        <f>SUM(K6:Q6)</f>
        <v/>
      </c>
      <c r="S6" s="3" t="n">
        <v>0.95</v>
      </c>
      <c r="T6" t="inlineStr">
        <is>
          <t>Variable fee based on deposit volume</t>
        </is>
      </c>
    </row>
    <row r="7">
      <c r="A7" t="n">
        <v>19</v>
      </c>
      <c r="B7" t="inlineStr">
        <is>
          <t>Monthly F</t>
        </is>
      </c>
      <c r="C7" t="inlineStr">
        <is>
          <t>API Data Access</t>
        </is>
      </c>
      <c r="D7" t="inlineStr">
        <is>
          <t>Digital</t>
        </is>
      </c>
      <c r="E7" t="b">
        <v>0</v>
      </c>
      <c r="F7" t="b">
        <v>1</v>
      </c>
      <c r="G7" s="12" t="n">
        <v>150</v>
      </c>
      <c r="H7" t="inlineStr">
        <is>
          <t>per month</t>
        </is>
      </c>
      <c r="J7" s="12">
        <f>IF(B7="Monthly F",G7,IF(B7="Monthly V",G7*I7,IF(B7="Annual",G7/12,0)))</f>
        <v/>
      </c>
      <c r="K7" s="12">
        <f>IF(B7="One-Time",G7,J7*12)</f>
        <v/>
      </c>
      <c r="L7" s="12">
        <f>IF(B7="One-Time",0,K7*(1+Metadata!$B$8))</f>
        <v/>
      </c>
      <c r="M7" s="12">
        <f>IF(B7="One-Time",0,L7*(1+Metadata!$B$8))</f>
        <v/>
      </c>
      <c r="N7" s="12">
        <f>IF(B7="One-Time",0,M7*(1+Metadata!$B$8))</f>
        <v/>
      </c>
      <c r="O7" s="12">
        <f>IF(B7="One-Time",0,N7*(1+Metadata!$B$8))</f>
        <v/>
      </c>
      <c r="P7" s="12">
        <f>IF(B7="One-Time",0,O7*(1+Metadata!$B$8))</f>
        <v/>
      </c>
      <c r="Q7" s="12">
        <f>IF(B7="One-Time",0,P7*(1+Metadata!$B$8))</f>
        <v/>
      </c>
      <c r="R7" s="12">
        <f>SUM(K7:Q7)</f>
        <v/>
      </c>
      <c r="S7" s="3" t="n">
        <v>0.95</v>
      </c>
      <c r="T7" t="inlineStr">
        <is>
          <t>Fixed monthly API access fee</t>
        </is>
      </c>
    </row>
    <row r="8">
      <c r="A8" t="n">
        <v>17</v>
      </c>
      <c r="B8" t="inlineStr">
        <is>
          <t>Monthly F</t>
        </is>
      </c>
      <c r="C8" t="inlineStr">
        <is>
          <t>Account Analysis Statement</t>
        </is>
      </c>
      <c r="D8" t="inlineStr">
        <is>
          <t>Other</t>
        </is>
      </c>
      <c r="E8" t="b">
        <v>0</v>
      </c>
      <c r="F8" t="b">
        <v>1</v>
      </c>
      <c r="G8" s="12" t="n">
        <v>25</v>
      </c>
      <c r="H8" t="inlineStr">
        <is>
          <t>per month</t>
        </is>
      </c>
      <c r="J8" s="12">
        <f>IF(B8="Monthly F",G8,IF(B8="Monthly V",G8*I8,IF(B8="Annual",G8/12,0)))</f>
        <v/>
      </c>
      <c r="K8" s="12">
        <f>IF(B8="One-Time",G8,J8*12)</f>
        <v/>
      </c>
      <c r="L8" s="12">
        <f>IF(B8="One-Time",0,K8*(1+Metadata!$B$8))</f>
        <v/>
      </c>
      <c r="M8" s="12">
        <f>IF(B8="One-Time",0,L8*(1+Metadata!$B$8))</f>
        <v/>
      </c>
      <c r="N8" s="12">
        <f>IF(B8="One-Time",0,M8*(1+Metadata!$B$8))</f>
        <v/>
      </c>
      <c r="O8" s="12">
        <f>IF(B8="One-Time",0,N8*(1+Metadata!$B$8))</f>
        <v/>
      </c>
      <c r="P8" s="12">
        <f>IF(B8="One-Time",0,O8*(1+Metadata!$B$8))</f>
        <v/>
      </c>
      <c r="Q8" s="12">
        <f>IF(B8="One-Time",0,P8*(1+Metadata!$B$8))</f>
        <v/>
      </c>
      <c r="R8" s="12">
        <f>SUM(K8:Q8)</f>
        <v/>
      </c>
      <c r="S8" s="3" t="n">
        <v>0.95</v>
      </c>
      <c r="T8" t="inlineStr">
        <is>
          <t>Fixed monthly analysis fee</t>
        </is>
      </c>
    </row>
    <row r="9">
      <c r="A9" t="n">
        <v>3</v>
      </c>
      <c r="B9" t="inlineStr">
        <is>
          <t>Monthly F</t>
        </is>
      </c>
      <c r="C9" t="inlineStr">
        <is>
          <t>Accounts Payable Account</t>
        </is>
      </c>
      <c r="D9" t="inlineStr">
        <is>
          <t>Other</t>
        </is>
      </c>
      <c r="E9" t="b">
        <v>0</v>
      </c>
      <c r="F9" t="b">
        <v>1</v>
      </c>
      <c r="G9" s="12" t="n">
        <v>50</v>
      </c>
      <c r="H9" t="inlineStr">
        <is>
          <t>per month</t>
        </is>
      </c>
      <c r="J9" s="12">
        <f>IF(B9="Monthly F",G9,IF(B9="Monthly V",G9*I9,IF(B9="Annual",G9/12,0)))</f>
        <v/>
      </c>
      <c r="K9" s="12">
        <f>IF(B9="One-Time",G9,J9*12)</f>
        <v/>
      </c>
      <c r="L9" s="12">
        <f>IF(B9="One-Time",0,K9*(1+Metadata!$B$8))</f>
        <v/>
      </c>
      <c r="M9" s="12">
        <f>IF(B9="One-Time",0,L9*(1+Metadata!$B$8))</f>
        <v/>
      </c>
      <c r="N9" s="12">
        <f>IF(B9="One-Time",0,M9*(1+Metadata!$B$8))</f>
        <v/>
      </c>
      <c r="O9" s="12">
        <f>IF(B9="One-Time",0,N9*(1+Metadata!$B$8))</f>
        <v/>
      </c>
      <c r="P9" s="12">
        <f>IF(B9="One-Time",0,O9*(1+Metadata!$B$8))</f>
        <v/>
      </c>
      <c r="Q9" s="12">
        <f>IF(B9="One-Time",0,P9*(1+Metadata!$B$8))</f>
        <v/>
      </c>
      <c r="R9" s="12">
        <f>SUM(K9:Q9)</f>
        <v/>
      </c>
      <c r="S9" s="3" t="n">
        <v>0.95</v>
      </c>
      <c r="T9" t="inlineStr">
        <is>
          <t>Fixed monthly account maintenance fee</t>
        </is>
      </c>
    </row>
    <row r="10">
      <c r="A10" t="n">
        <v>18</v>
      </c>
      <c r="B10" t="inlineStr">
        <is>
          <t>Monthly F</t>
        </is>
      </c>
      <c r="C10" t="inlineStr">
        <is>
          <t>Custom Report Package</t>
        </is>
      </c>
      <c r="D10" t="inlineStr">
        <is>
          <t>Other</t>
        </is>
      </c>
      <c r="E10" t="b">
        <v>0</v>
      </c>
      <c r="F10" t="b">
        <v>1</v>
      </c>
      <c r="G10" s="12" t="n">
        <v>75</v>
      </c>
      <c r="H10" t="inlineStr">
        <is>
          <t>per month</t>
        </is>
      </c>
      <c r="J10" s="12">
        <f>IF(B10="Monthly F",G10,IF(B10="Monthly V",G10*I10,IF(B10="Annual",G10/12,0)))</f>
        <v/>
      </c>
      <c r="K10" s="12">
        <f>IF(B10="One-Time",G10,J10*12)</f>
        <v/>
      </c>
      <c r="L10" s="12">
        <f>IF(B10="One-Time",0,K10*(1+Metadata!$B$8))</f>
        <v/>
      </c>
      <c r="M10" s="12">
        <f>IF(B10="One-Time",0,L10*(1+Metadata!$B$8))</f>
        <v/>
      </c>
      <c r="N10" s="12">
        <f>IF(B10="One-Time",0,M10*(1+Metadata!$B$8))</f>
        <v/>
      </c>
      <c r="O10" s="12">
        <f>IF(B10="One-Time",0,N10*(1+Metadata!$B$8))</f>
        <v/>
      </c>
      <c r="P10" s="12">
        <f>IF(B10="One-Time",0,O10*(1+Metadata!$B$8))</f>
        <v/>
      </c>
      <c r="Q10" s="12">
        <f>IF(B10="One-Time",0,P10*(1+Metadata!$B$8))</f>
        <v/>
      </c>
      <c r="R10" s="12">
        <f>SUM(K10:Q10)</f>
        <v/>
      </c>
      <c r="S10" s="3" t="n">
        <v>0.95</v>
      </c>
      <c r="T10" t="inlineStr">
        <is>
          <t>Fixed monthly custom reporting fee</t>
        </is>
      </c>
    </row>
    <row r="11">
      <c r="A11" t="n">
        <v>16</v>
      </c>
      <c r="B11" t="inlineStr">
        <is>
          <t>Monthly F</t>
        </is>
      </c>
      <c r="C11" t="inlineStr">
        <is>
          <t>Daily Balance Reporting</t>
        </is>
      </c>
      <c r="D11" t="inlineStr">
        <is>
          <t>Other</t>
        </is>
      </c>
      <c r="E11" t="b">
        <v>0</v>
      </c>
      <c r="F11" t="b">
        <v>1</v>
      </c>
      <c r="G11" s="12" t="n">
        <v>45</v>
      </c>
      <c r="H11" t="inlineStr">
        <is>
          <t>per month</t>
        </is>
      </c>
      <c r="J11" s="12">
        <f>IF(B11="Monthly F",G11,IF(B11="Monthly V",G11*I11,IF(B11="Annual",G11/12,0)))</f>
        <v/>
      </c>
      <c r="K11" s="12">
        <f>IF(B11="One-Time",G11,J11*12)</f>
        <v/>
      </c>
      <c r="L11" s="12">
        <f>IF(B11="One-Time",0,K11*(1+Metadata!$B$8))</f>
        <v/>
      </c>
      <c r="M11" s="12">
        <f>IF(B11="One-Time",0,L11*(1+Metadata!$B$8))</f>
        <v/>
      </c>
      <c r="N11" s="12">
        <f>IF(B11="One-Time",0,M11*(1+Metadata!$B$8))</f>
        <v/>
      </c>
      <c r="O11" s="12">
        <f>IF(B11="One-Time",0,N11*(1+Metadata!$B$8))</f>
        <v/>
      </c>
      <c r="P11" s="12">
        <f>IF(B11="One-Time",0,O11*(1+Metadata!$B$8))</f>
        <v/>
      </c>
      <c r="Q11" s="12">
        <f>IF(B11="One-Time",0,P11*(1+Metadata!$B$8))</f>
        <v/>
      </c>
      <c r="R11" s="12">
        <f>SUM(K11:Q11)</f>
        <v/>
      </c>
      <c r="S11" s="3" t="n">
        <v>0.95</v>
      </c>
      <c r="T11" t="inlineStr">
        <is>
          <t>Fixed monthly reporting fee</t>
        </is>
      </c>
    </row>
    <row r="12">
      <c r="A12" t="n">
        <v>4</v>
      </c>
      <c r="B12" t="inlineStr">
        <is>
          <t>Monthly F</t>
        </is>
      </c>
      <c r="C12" t="inlineStr">
        <is>
          <t>Investment Sweep Account</t>
        </is>
      </c>
      <c r="D12" t="inlineStr">
        <is>
          <t>Other</t>
        </is>
      </c>
      <c r="E12" t="b">
        <v>0</v>
      </c>
      <c r="F12" t="b">
        <v>1</v>
      </c>
      <c r="G12" s="12" t="n">
        <v>100</v>
      </c>
      <c r="H12" t="inlineStr">
        <is>
          <t>per month</t>
        </is>
      </c>
      <c r="J12" s="12">
        <f>IF(B12="Monthly F",G12,IF(B12="Monthly V",G12*I12,IF(B12="Annual",G12/12,0)))</f>
        <v/>
      </c>
      <c r="K12" s="12">
        <f>IF(B12="One-Time",G12,J12*12)</f>
        <v/>
      </c>
      <c r="L12" s="12">
        <f>IF(B12="One-Time",0,K12*(1+Metadata!$B$8))</f>
        <v/>
      </c>
      <c r="M12" s="12">
        <f>IF(B12="One-Time",0,L12*(1+Metadata!$B$8))</f>
        <v/>
      </c>
      <c r="N12" s="12">
        <f>IF(B12="One-Time",0,M12*(1+Metadata!$B$8))</f>
        <v/>
      </c>
      <c r="O12" s="12">
        <f>IF(B12="One-Time",0,N12*(1+Metadata!$B$8))</f>
        <v/>
      </c>
      <c r="P12" s="12">
        <f>IF(B12="One-Time",0,O12*(1+Metadata!$B$8))</f>
        <v/>
      </c>
      <c r="Q12" s="12">
        <f>IF(B12="One-Time",0,P12*(1+Metadata!$B$8))</f>
        <v/>
      </c>
      <c r="R12" s="12">
        <f>SUM(K12:Q12)</f>
        <v/>
      </c>
      <c r="S12" s="3" t="n">
        <v>0.95</v>
      </c>
      <c r="T12" t="inlineStr">
        <is>
          <t>Fixed monthly account maintenance fee</t>
        </is>
      </c>
    </row>
    <row r="13">
      <c r="A13" t="n">
        <v>2</v>
      </c>
      <c r="B13" t="inlineStr">
        <is>
          <t>Monthly F</t>
        </is>
      </c>
      <c r="C13" t="inlineStr">
        <is>
          <t>Payroll Account</t>
        </is>
      </c>
      <c r="D13" t="inlineStr">
        <is>
          <t>Other</t>
        </is>
      </c>
      <c r="E13" t="b">
        <v>0</v>
      </c>
      <c r="F13" t="b">
        <v>1</v>
      </c>
      <c r="G13" s="12" t="n">
        <v>50</v>
      </c>
      <c r="H13" t="inlineStr">
        <is>
          <t>per month</t>
        </is>
      </c>
      <c r="J13" s="12">
        <f>IF(B13="Monthly F",G13,IF(B13="Monthly V",G13*I13,IF(B13="Annual",G13/12,0)))</f>
        <v/>
      </c>
      <c r="K13" s="12">
        <f>IF(B13="One-Time",G13,J13*12)</f>
        <v/>
      </c>
      <c r="L13" s="12">
        <f>IF(B13="One-Time",0,K13*(1+Metadata!$B$8))</f>
        <v/>
      </c>
      <c r="M13" s="12">
        <f>IF(B13="One-Time",0,L13*(1+Metadata!$B$8))</f>
        <v/>
      </c>
      <c r="N13" s="12">
        <f>IF(B13="One-Time",0,M13*(1+Metadata!$B$8))</f>
        <v/>
      </c>
      <c r="O13" s="12">
        <f>IF(B13="One-Time",0,N13*(1+Metadata!$B$8))</f>
        <v/>
      </c>
      <c r="P13" s="12">
        <f>IF(B13="One-Time",0,O13*(1+Metadata!$B$8))</f>
        <v/>
      </c>
      <c r="Q13" s="12">
        <f>IF(B13="One-Time",0,P13*(1+Metadata!$B$8))</f>
        <v/>
      </c>
      <c r="R13" s="12">
        <f>SUM(K13:Q13)</f>
        <v/>
      </c>
      <c r="S13" s="3" t="n">
        <v>0.95</v>
      </c>
      <c r="T13" t="inlineStr">
        <is>
          <t>Fixed monthly account maintenance fee</t>
        </is>
      </c>
    </row>
    <row r="14">
      <c r="A14" t="n">
        <v>15</v>
      </c>
      <c r="B14" t="inlineStr">
        <is>
          <t>Monthly F</t>
        </is>
      </c>
      <c r="C14" t="inlineStr">
        <is>
          <t>Zero Balance Accounting</t>
        </is>
      </c>
      <c r="D14" t="inlineStr">
        <is>
          <t>Other</t>
        </is>
      </c>
      <c r="E14" t="b">
        <v>0</v>
      </c>
      <c r="F14" t="b">
        <v>1</v>
      </c>
      <c r="G14" s="12" t="n">
        <v>50</v>
      </c>
      <c r="H14" t="inlineStr">
        <is>
          <t>per month</t>
        </is>
      </c>
      <c r="J14" s="12">
        <f>IF(B14="Monthly F",G14,IF(B14="Monthly V",G14*I14,IF(B14="Annual",G14/12,0)))</f>
        <v/>
      </c>
      <c r="K14" s="12">
        <f>IF(B14="One-Time",G14,J14*12)</f>
        <v/>
      </c>
      <c r="L14" s="12">
        <f>IF(B14="One-Time",0,K14*(1+Metadata!$B$8))</f>
        <v/>
      </c>
      <c r="M14" s="12">
        <f>IF(B14="One-Time",0,L14*(1+Metadata!$B$8))</f>
        <v/>
      </c>
      <c r="N14" s="12">
        <f>IF(B14="One-Time",0,M14*(1+Metadata!$B$8))</f>
        <v/>
      </c>
      <c r="O14" s="12">
        <f>IF(B14="One-Time",0,N14*(1+Metadata!$B$8))</f>
        <v/>
      </c>
      <c r="P14" s="12">
        <f>IF(B14="One-Time",0,O14*(1+Metadata!$B$8))</f>
        <v/>
      </c>
      <c r="Q14" s="12">
        <f>IF(B14="One-Time",0,P14*(1+Metadata!$B$8))</f>
        <v/>
      </c>
      <c r="R14" s="12">
        <f>SUM(K14:Q14)</f>
        <v/>
      </c>
      <c r="S14" s="3" t="n">
        <v>0.95</v>
      </c>
      <c r="T14" t="inlineStr">
        <is>
          <t>Fixed monthly service fee</t>
        </is>
      </c>
    </row>
    <row r="15">
      <c r="A15" t="n">
        <v>14</v>
      </c>
      <c r="B15" t="inlineStr">
        <is>
          <t>Monthly V</t>
        </is>
      </c>
      <c r="C15" t="inlineStr">
        <is>
          <t>Remote Deposit Capture</t>
        </is>
      </c>
      <c r="D15" t="inlineStr">
        <is>
          <t>Digital</t>
        </is>
      </c>
      <c r="E15" t="b">
        <v>0</v>
      </c>
      <c r="F15" t="b">
        <v>1</v>
      </c>
      <c r="G15" s="12" t="n">
        <v>95</v>
      </c>
      <c r="H15" t="inlineStr">
        <is>
          <t>per deposit</t>
        </is>
      </c>
      <c r="I15" s="13" t="n">
        <v>1</v>
      </c>
      <c r="J15" s="12">
        <f>IF(B15="Monthly F",G15,IF(B15="Monthly V",G15*I15,IF(B15="Annual",G15/12,0)))</f>
        <v/>
      </c>
      <c r="K15" s="12">
        <f>IF(B15="One-Time",G15,J15*12)</f>
        <v/>
      </c>
      <c r="L15" s="12">
        <f>IF(B15="One-Time",0,K15*(1+Metadata!$B$8))</f>
        <v/>
      </c>
      <c r="M15" s="12">
        <f>IF(B15="One-Time",0,L15*(1+Metadata!$B$8))</f>
        <v/>
      </c>
      <c r="N15" s="12">
        <f>IF(B15="One-Time",0,M15*(1+Metadata!$B$8))</f>
        <v/>
      </c>
      <c r="O15" s="12">
        <f>IF(B15="One-Time",0,N15*(1+Metadata!$B$8))</f>
        <v/>
      </c>
      <c r="P15" s="12">
        <f>IF(B15="One-Time",0,O15*(1+Metadata!$B$8))</f>
        <v/>
      </c>
      <c r="Q15" s="12">
        <f>IF(B15="One-Time",0,P15*(1+Metadata!$B$8))</f>
        <v/>
      </c>
      <c r="R15" s="12">
        <f>SUM(K15:Q15)</f>
        <v/>
      </c>
      <c r="S15" s="3" t="n">
        <v>0.95</v>
      </c>
      <c r="T15" t="inlineStr">
        <is>
          <t>Monthly base plus per-deposit fee</t>
        </is>
      </c>
    </row>
    <row r="16">
      <c r="A16" t="n">
        <v>9</v>
      </c>
      <c r="B16" t="inlineStr">
        <is>
          <t>Monthly V</t>
        </is>
      </c>
      <c r="C16" t="inlineStr">
        <is>
          <t>ACH Origination</t>
        </is>
      </c>
      <c r="D16" t="inlineStr">
        <is>
          <t>Other</t>
        </is>
      </c>
      <c r="E16" t="b">
        <v>0</v>
      </c>
      <c r="F16" t="b">
        <v>1</v>
      </c>
      <c r="G16" s="12" t="n">
        <v>85</v>
      </c>
      <c r="H16" t="inlineStr">
        <is>
          <t>per item</t>
        </is>
      </c>
      <c r="I16" s="13" t="n">
        <v>1</v>
      </c>
      <c r="J16" s="12">
        <f>IF(B16="Monthly F",G16,IF(B16="Monthly V",G16*I16,IF(B16="Annual",G16/12,0)))</f>
        <v/>
      </c>
      <c r="K16" s="12">
        <f>IF(B16="One-Time",G16,J16*12)</f>
        <v/>
      </c>
      <c r="L16" s="12">
        <f>IF(B16="One-Time",0,K16*(1+Metadata!$B$8))</f>
        <v/>
      </c>
      <c r="M16" s="12">
        <f>IF(B16="One-Time",0,L16*(1+Metadata!$B$8))</f>
        <v/>
      </c>
      <c r="N16" s="12">
        <f>IF(B16="One-Time",0,M16*(1+Metadata!$B$8))</f>
        <v/>
      </c>
      <c r="O16" s="12">
        <f>IF(B16="One-Time",0,N16*(1+Metadata!$B$8))</f>
        <v/>
      </c>
      <c r="P16" s="12">
        <f>IF(B16="One-Time",0,O16*(1+Metadata!$B$8))</f>
        <v/>
      </c>
      <c r="Q16" s="12">
        <f>IF(B16="One-Time",0,P16*(1+Metadata!$B$8))</f>
        <v/>
      </c>
      <c r="R16" s="12">
        <f>SUM(K16:Q16)</f>
        <v/>
      </c>
      <c r="S16" s="3" t="n">
        <v>0.95</v>
      </c>
      <c r="T16" t="inlineStr">
        <is>
          <t>Monthly base plus per-item fee</t>
        </is>
      </c>
    </row>
    <row r="17">
      <c r="A17" t="n">
        <v>10</v>
      </c>
      <c r="B17" t="inlineStr">
        <is>
          <t>Monthly V</t>
        </is>
      </c>
      <c r="C17" t="inlineStr">
        <is>
          <t>ACH Receipt</t>
        </is>
      </c>
      <c r="D17" t="inlineStr">
        <is>
          <t>Other</t>
        </is>
      </c>
      <c r="E17" t="b">
        <v>0</v>
      </c>
      <c r="F17" t="b">
        <v>1</v>
      </c>
      <c r="G17" s="12" t="n">
        <v>0.06</v>
      </c>
      <c r="H17" t="inlineStr">
        <is>
          <t>per item</t>
        </is>
      </c>
      <c r="I17" s="13" t="n">
        <v>1</v>
      </c>
      <c r="J17" s="12">
        <f>IF(B17="Monthly F",G17,IF(B17="Monthly V",G17*I17,IF(B17="Annual",G17/12,0)))</f>
        <v/>
      </c>
      <c r="K17" s="12">
        <f>IF(B17="One-Time",G17,J17*12)</f>
        <v/>
      </c>
      <c r="L17" s="12">
        <f>IF(B17="One-Time",0,K17*(1+Metadata!$B$8))</f>
        <v/>
      </c>
      <c r="M17" s="12">
        <f>IF(B17="One-Time",0,L17*(1+Metadata!$B$8))</f>
        <v/>
      </c>
      <c r="N17" s="12">
        <f>IF(B17="One-Time",0,M17*(1+Metadata!$B$8))</f>
        <v/>
      </c>
      <c r="O17" s="12">
        <f>IF(B17="One-Time",0,N17*(1+Metadata!$B$8))</f>
        <v/>
      </c>
      <c r="P17" s="12">
        <f>IF(B17="One-Time",0,O17*(1+Metadata!$B$8))</f>
        <v/>
      </c>
      <c r="Q17" s="12">
        <f>IF(B17="One-Time",0,P17*(1+Metadata!$B$8))</f>
        <v/>
      </c>
      <c r="R17" s="12">
        <f>SUM(K17:Q17)</f>
        <v/>
      </c>
      <c r="S17" s="3" t="n">
        <v>0.95</v>
      </c>
      <c r="T17" t="inlineStr">
        <is>
          <t>Variable fee based on ACH receipt volume</t>
        </is>
      </c>
    </row>
    <row r="18">
      <c r="A18" t="n">
        <v>11</v>
      </c>
      <c r="B18" t="inlineStr">
        <is>
          <t>Monthly V</t>
        </is>
      </c>
      <c r="C18" t="inlineStr">
        <is>
          <t>Wire Transfer - Domestic</t>
        </is>
      </c>
      <c r="D18" t="inlineStr">
        <is>
          <t>Other</t>
        </is>
      </c>
      <c r="E18" t="b">
        <v>0</v>
      </c>
      <c r="F18" t="b">
        <v>1</v>
      </c>
      <c r="G18" s="12" t="n">
        <v>35</v>
      </c>
      <c r="H18" t="inlineStr">
        <is>
          <t>per wire</t>
        </is>
      </c>
      <c r="I18" s="13" t="n">
        <v>1</v>
      </c>
      <c r="J18" s="12">
        <f>IF(B18="Monthly F",G18,IF(B18="Monthly V",G18*I18,IF(B18="Annual",G18/12,0)))</f>
        <v/>
      </c>
      <c r="K18" s="12">
        <f>IF(B18="One-Time",G18,J18*12)</f>
        <v/>
      </c>
      <c r="L18" s="12">
        <f>IF(B18="One-Time",0,K18*(1+Metadata!$B$8))</f>
        <v/>
      </c>
      <c r="M18" s="12">
        <f>IF(B18="One-Time",0,L18*(1+Metadata!$B$8))</f>
        <v/>
      </c>
      <c r="N18" s="12">
        <f>IF(B18="One-Time",0,M18*(1+Metadata!$B$8))</f>
        <v/>
      </c>
      <c r="O18" s="12">
        <f>IF(B18="One-Time",0,N18*(1+Metadata!$B$8))</f>
        <v/>
      </c>
      <c r="P18" s="12">
        <f>IF(B18="One-Time",0,O18*(1+Metadata!$B$8))</f>
        <v/>
      </c>
      <c r="Q18" s="12">
        <f>IF(B18="One-Time",0,P18*(1+Metadata!$B$8))</f>
        <v/>
      </c>
      <c r="R18" s="12">
        <f>SUM(K18:Q18)</f>
        <v/>
      </c>
      <c r="S18" s="3" t="n">
        <v>0.95</v>
      </c>
      <c r="T18" t="inlineStr">
        <is>
          <t>Monthly base plus per-wire fee</t>
        </is>
      </c>
    </row>
    <row r="19">
      <c r="A19" t="n">
        <v>12</v>
      </c>
      <c r="B19" t="inlineStr">
        <is>
          <t>Monthly V</t>
        </is>
      </c>
      <c r="C19" t="inlineStr">
        <is>
          <t>Wire Transfer - International</t>
        </is>
      </c>
      <c r="D19" t="inlineStr">
        <is>
          <t>Other</t>
        </is>
      </c>
      <c r="E19" t="b">
        <v>0</v>
      </c>
      <c r="F19" t="b">
        <v>1</v>
      </c>
      <c r="G19" s="12" t="n">
        <v>35</v>
      </c>
      <c r="H19" t="inlineStr">
        <is>
          <t>per wire</t>
        </is>
      </c>
      <c r="I19" s="13" t="n">
        <v>1</v>
      </c>
      <c r="J19" s="12">
        <f>IF(B19="Monthly F",G19,IF(B19="Monthly V",G19*I19,IF(B19="Annual",G19/12,0)))</f>
        <v/>
      </c>
      <c r="K19" s="12">
        <f>IF(B19="One-Time",G19,J19*12)</f>
        <v/>
      </c>
      <c r="L19" s="12">
        <f>IF(B19="One-Time",0,K19*(1+Metadata!$B$8))</f>
        <v/>
      </c>
      <c r="M19" s="12">
        <f>IF(B19="One-Time",0,L19*(1+Metadata!$B$8))</f>
        <v/>
      </c>
      <c r="N19" s="12">
        <f>IF(B19="One-Time",0,M19*(1+Metadata!$B$8))</f>
        <v/>
      </c>
      <c r="O19" s="12">
        <f>IF(B19="One-Time",0,N19*(1+Metadata!$B$8))</f>
        <v/>
      </c>
      <c r="P19" s="12">
        <f>IF(B19="One-Time",0,O19*(1+Metadata!$B$8))</f>
        <v/>
      </c>
      <c r="Q19" s="12">
        <f>IF(B19="One-Time",0,P19*(1+Metadata!$B$8))</f>
        <v/>
      </c>
      <c r="R19" s="12">
        <f>SUM(K19:Q19)</f>
        <v/>
      </c>
      <c r="S19" s="3" t="n">
        <v>0.95</v>
      </c>
      <c r="T19" t="inlineStr">
        <is>
          <t>Monthly base plus per-wire fee</t>
        </is>
      </c>
    </row>
    <row r="20">
      <c r="A20" t="n">
        <v>13</v>
      </c>
      <c r="B20" t="inlineStr">
        <is>
          <t>Monthly V</t>
        </is>
      </c>
      <c r="C20" t="inlineStr">
        <is>
          <t>Positive Pay</t>
        </is>
      </c>
      <c r="D20" t="inlineStr">
        <is>
          <t>Risk, Fraud &amp; Compliance</t>
        </is>
      </c>
      <c r="E20" t="b">
        <v>0</v>
      </c>
      <c r="F20" t="b">
        <v>1</v>
      </c>
      <c r="G20" s="12" t="n">
        <v>75</v>
      </c>
      <c r="H20" t="inlineStr">
        <is>
          <t>per item</t>
        </is>
      </c>
      <c r="I20" s="13" t="n">
        <v>1</v>
      </c>
      <c r="J20" s="12">
        <f>IF(B20="Monthly F",G20,IF(B20="Monthly V",G20*I20,IF(B20="Annual",G20/12,0)))</f>
        <v/>
      </c>
      <c r="K20" s="12">
        <f>IF(B20="One-Time",G20,J20*12)</f>
        <v/>
      </c>
      <c r="L20" s="12">
        <f>IF(B20="One-Time",0,K20*(1+Metadata!$B$8))</f>
        <v/>
      </c>
      <c r="M20" s="12">
        <f>IF(B20="One-Time",0,L20*(1+Metadata!$B$8))</f>
        <v/>
      </c>
      <c r="N20" s="12">
        <f>IF(B20="One-Time",0,M20*(1+Metadata!$B$8))</f>
        <v/>
      </c>
      <c r="O20" s="12">
        <f>IF(B20="One-Time",0,N20*(1+Metadata!$B$8))</f>
        <v/>
      </c>
      <c r="P20" s="12">
        <f>IF(B20="One-Time",0,O20*(1+Metadata!$B$8))</f>
        <v/>
      </c>
      <c r="Q20" s="12">
        <f>IF(B20="One-Time",0,P20*(1+Metadata!$B$8))</f>
        <v/>
      </c>
      <c r="R20" s="12">
        <f>SUM(K20:Q20)</f>
        <v/>
      </c>
      <c r="S20" s="3" t="n">
        <v>0.95</v>
      </c>
      <c r="T20" t="inlineStr">
        <is>
          <t>Monthly base plus per-item fee</t>
        </is>
      </c>
    </row>
  </sheetData>
  <dataValidations count="3">
    <dataValidation sqref="B2:B1000" showDropDown="0" showInputMessage="0" showErrorMessage="0" allowBlank="0" errorTitle="Invalid Entry" error="Invalid Fee Type" type="list">
      <formula1>=Enums!$A$2:$A$5</formula1>
    </dataValidation>
    <dataValidation sqref="D2:D1000" showDropDown="0" showInputMessage="0" showErrorMessage="0" allowBlank="0" errorTitle="Invalid Entry" error="Invalid Category" type="list">
      <formula1>=Enums!$B$2:$B$15</formula1>
    </dataValidation>
    <dataValidation sqref="E2:E1000 F2:F1000" showDropDown="0" showInputMessage="0" showErrorMessage="0" allowBlank="0" type="list">
      <formula1>=Enums!$C$2:$C$3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Annual Cost Breakdown (7-Year Projection)</t>
        </is>
      </c>
    </row>
    <row r="2">
      <c r="A2" s="11" t="inlineStr">
        <is>
          <t>Category</t>
        </is>
      </c>
      <c r="B2" s="11" t="inlineStr">
        <is>
          <t>Year 1</t>
        </is>
      </c>
      <c r="C2" s="11" t="inlineStr">
        <is>
          <t>Year 2</t>
        </is>
      </c>
      <c r="D2" s="11" t="inlineStr">
        <is>
          <t>Year 3</t>
        </is>
      </c>
      <c r="E2" s="11" t="inlineStr">
        <is>
          <t>Year 4</t>
        </is>
      </c>
      <c r="F2" s="11" t="inlineStr">
        <is>
          <t>Year 5</t>
        </is>
      </c>
      <c r="G2" s="11" t="inlineStr">
        <is>
          <t>Year 6</t>
        </is>
      </c>
      <c r="H2" s="11" t="inlineStr">
        <is>
          <t>Year 7</t>
        </is>
      </c>
    </row>
    <row r="3">
      <c r="A3" t="inlineStr">
        <is>
          <t>Required Annual Fees</t>
        </is>
      </c>
      <c r="B3" s="9">
        <f>SUMIFS('Line Items'!$K:$K,'Line Items'!$F:$F,FALSE)</f>
        <v/>
      </c>
      <c r="C3" s="9">
        <f>SUMIFS('Line Items'!$L:$L,'Line Items'!$F:$F,FALSE)</f>
        <v/>
      </c>
      <c r="D3" s="9">
        <f>SUMIFS('Line Items'!$M:$M,'Line Items'!$F:$F,FALSE)</f>
        <v/>
      </c>
      <c r="E3" s="9">
        <f>SUMIFS('Line Items'!$N:$N,'Line Items'!$F:$F,FALSE)</f>
        <v/>
      </c>
      <c r="F3" s="9">
        <f>SUMIFS('Line Items'!$O:$O,'Line Items'!$F:$F,FALSE)</f>
        <v/>
      </c>
      <c r="G3" s="9">
        <f>SUMIFS('Line Items'!$P:$P,'Line Items'!$F:$F,FALSE)</f>
        <v/>
      </c>
      <c r="H3" s="9">
        <f>SUMIFS('Line Items'!$Q:$Q,'Line Items'!$F:$F,FALSE)</f>
        <v/>
      </c>
    </row>
    <row r="4">
      <c r="A4" t="inlineStr">
        <is>
          <t>Optional Annual Fees</t>
        </is>
      </c>
      <c r="B4" s="9">
        <f>SUMIFS('Line Items'!$K:$K,'Line Items'!$F:$F,TRUE)</f>
        <v/>
      </c>
      <c r="C4" s="9">
        <f>SUMIFS('Line Items'!$L:$L,'Line Items'!$F:$F,TRUE)</f>
        <v/>
      </c>
      <c r="D4" s="9">
        <f>SUMIFS('Line Items'!$M:$M,'Line Items'!$F:$F,TRUE)</f>
        <v/>
      </c>
      <c r="E4" s="9">
        <f>SUMIFS('Line Items'!$N:$N,'Line Items'!$F:$F,TRUE)</f>
        <v/>
      </c>
      <c r="F4" s="9">
        <f>SUMIFS('Line Items'!$O:$O,'Line Items'!$F:$F,TRUE)</f>
        <v/>
      </c>
      <c r="G4" s="9">
        <f>SUMIFS('Line Items'!$P:$P,'Line Items'!$F:$F,TRUE)</f>
        <v/>
      </c>
      <c r="H4" s="9">
        <f>SUMIFS('Line Items'!$Q:$Q,'Line Items'!$F:$F,TRUE)</f>
        <v/>
      </c>
    </row>
    <row r="5">
      <c r="A5" s="14" t="inlineStr">
        <is>
          <t>Total Annual Cost</t>
        </is>
      </c>
      <c r="B5" s="15">
        <f>B3+B4</f>
        <v/>
      </c>
      <c r="C5" s="15">
        <f>C3+C4</f>
        <v/>
      </c>
      <c r="D5" s="15">
        <f>D3+D4</f>
        <v/>
      </c>
      <c r="E5" s="15">
        <f>E3+E4</f>
        <v/>
      </c>
      <c r="F5" s="15">
        <f>F3+F4</f>
        <v/>
      </c>
      <c r="G5" s="15">
        <f>G3+G4</f>
        <v/>
      </c>
      <c r="H5" s="15">
        <f>H3+H4</f>
        <v/>
      </c>
    </row>
    <row r="6">
      <c r="B6" s="9" t="n"/>
      <c r="C6" s="9" t="n"/>
      <c r="D6" s="9" t="n"/>
      <c r="E6" s="9" t="n"/>
      <c r="F6" s="9" t="n"/>
      <c r="G6" s="9" t="n"/>
      <c r="H6" s="9" t="n"/>
    </row>
    <row r="7">
      <c r="A7" s="10" t="n"/>
      <c r="B7" s="9" t="n"/>
      <c r="C7" s="9" t="n"/>
      <c r="D7" s="9" t="n"/>
      <c r="E7" s="9" t="n"/>
      <c r="F7" s="9" t="n"/>
      <c r="G7" s="9" t="n"/>
      <c r="H7" s="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</cols>
  <sheetData>
    <row r="1">
      <c r="A1" s="1" t="inlineStr">
        <is>
          <t>Total Cost of Ownership (TCO) Summary</t>
        </is>
      </c>
    </row>
    <row r="2">
      <c r="A2" s="6" t="inlineStr">
        <is>
          <t>Vendor:</t>
        </is>
      </c>
      <c r="B2" s="7">
        <f>Metadata!B2</f>
        <v/>
      </c>
    </row>
    <row r="4">
      <c r="A4" s="8" t="inlineStr">
        <is>
          <t>Category</t>
        </is>
      </c>
      <c r="B4" s="8" t="inlineStr">
        <is>
          <t>7-Year Total</t>
        </is>
      </c>
      <c r="C4" s="8" t="inlineStr">
        <is>
          <t>Monthly Average</t>
        </is>
      </c>
    </row>
    <row r="5">
      <c r="A5" t="inlineStr">
        <is>
          <t>Digital</t>
        </is>
      </c>
      <c r="B5" s="9">
        <f>SUMIFS('Line Items'!$R:$R,'Line Items'!$D:$D,A5)</f>
        <v/>
      </c>
      <c r="C5" s="9">
        <f>B5/84</f>
        <v/>
      </c>
    </row>
    <row r="6">
      <c r="A6" t="inlineStr">
        <is>
          <t>Other</t>
        </is>
      </c>
      <c r="B6" s="9">
        <f>SUMIFS('Line Items'!$R:$R,'Line Items'!$D:$D,A6)</f>
        <v/>
      </c>
      <c r="C6" s="9">
        <f>B6/84</f>
        <v/>
      </c>
    </row>
    <row r="7">
      <c r="A7" t="inlineStr">
        <is>
          <t>Risk, Fraud &amp; Compliance</t>
        </is>
      </c>
      <c r="B7" s="9">
        <f>SUMIFS('Line Items'!$R:$R,'Line Items'!$D:$D,A7)</f>
        <v/>
      </c>
      <c r="C7" s="9">
        <f>B7/84</f>
        <v/>
      </c>
    </row>
    <row r="8">
      <c r="A8" t="inlineStr">
        <is>
          <t>One-Time Fees</t>
        </is>
      </c>
      <c r="B8" s="9" t="n"/>
      <c r="C8" s="9" t="n"/>
    </row>
    <row r="9">
      <c r="A9" s="14" t="inlineStr">
        <is>
          <t>Total Required TCO</t>
        </is>
      </c>
      <c r="B9" s="15">
        <f>SUM(B5:B7)</f>
        <v/>
      </c>
      <c r="C9" s="15">
        <f>B9/84</f>
        <v/>
      </c>
    </row>
    <row r="10">
      <c r="A10" s="10" t="inlineStr">
        <is>
          <t>Total Required TCO</t>
        </is>
      </c>
      <c r="B10" s="9" t="n"/>
      <c r="C10" s="9" t="n"/>
    </row>
    <row r="11">
      <c r="A11" s="16" t="inlineStr">
        <is>
          <t>Optional Items Total</t>
        </is>
      </c>
      <c r="B11" s="9">
        <f>SUMIFS('Line Items'!$R:$R,'Line Items'!$F:$F,TRUE)</f>
        <v/>
      </c>
      <c r="C11" s="9">
        <f>B11/84</f>
        <v/>
      </c>
    </row>
    <row r="12">
      <c r="A12" t="inlineStr">
        <is>
          <t>Optional Solutions</t>
        </is>
      </c>
      <c r="B12" s="9" t="n"/>
      <c r="C12" s="9" t="n"/>
    </row>
    <row r="13">
      <c r="B13" s="9" t="n"/>
      <c r="C13" s="9" t="n"/>
    </row>
    <row r="14">
      <c r="A14" s="10" t="inlineStr">
        <is>
          <t>Grand Total (Required + Optional)</t>
        </is>
      </c>
      <c r="B14" s="9" t="n"/>
      <c r="C14" s="9" t="n"/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TCO Analysis - Proposal Metadata</t>
        </is>
      </c>
    </row>
    <row r="2">
      <c r="A2" s="2" t="inlineStr">
        <is>
          <t>Primary Vendor:</t>
        </is>
      </c>
      <c r="B2" t="inlineStr">
        <is>
          <t>METRO_CITY_TREASURY</t>
        </is>
      </c>
    </row>
    <row r="3">
      <c r="A3" s="2" t="inlineStr">
        <is>
          <t>Client Name:</t>
        </is>
      </c>
    </row>
    <row r="4">
      <c r="A4" s="2" t="inlineStr">
        <is>
          <t>Proposal Type:</t>
        </is>
      </c>
      <c r="B4" t="inlineStr">
        <is>
          <t>Banking Services Proposal</t>
        </is>
      </c>
    </row>
    <row r="5">
      <c r="A5" s="2" t="inlineStr">
        <is>
          <t>Proposal Date:</t>
        </is>
      </c>
      <c r="B5" t="inlineStr">
        <is>
          <t>2025</t>
        </is>
      </c>
    </row>
    <row r="6">
      <c r="A6" s="2" t="inlineStr">
        <is>
          <t>Contract Term (Years):</t>
        </is>
      </c>
    </row>
    <row r="7">
      <c r="A7" s="2" t="inlineStr">
        <is>
          <t>Annual Growth Rate:</t>
        </is>
      </c>
      <c r="B7" s="3" t="n">
        <v>0.02</v>
      </c>
    </row>
    <row r="8">
      <c r="A8" s="2" t="inlineStr">
        <is>
          <t>Annual CPI Rate:</t>
        </is>
      </c>
      <c r="B8" s="3" t="n">
        <v>0.02</v>
      </c>
    </row>
    <row r="10">
      <c r="A10" s="2" t="inlineStr">
        <is>
          <t>Data Extraction Date:</t>
        </is>
      </c>
      <c r="B10" t="inlineStr">
        <is>
          <t>2026-01-14 17:43:30</t>
        </is>
      </c>
    </row>
    <row r="11">
      <c r="A11" s="2" t="n"/>
    </row>
    <row r="12">
      <c r="A12" s="2" t="inlineStr">
        <is>
          <t>Source Proposal File:</t>
        </is>
      </c>
      <c r="B1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2025-12-08T17:44:20Z</dcterms:created>
  <dcterms:modified xmlns:dcterms="http://purl.org/dc/terms/" xmlns:xsi="http://www.w3.org/2001/XMLSchema-instance" xsi:type="dcterms:W3CDTF">2026-01-14T23:43:30Z</dcterms:modified>
</cp:coreProperties>
</file>