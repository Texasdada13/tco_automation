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  <sheet xmlns:r="http://schemas.openxmlformats.org/officeDocument/2006/relationships" name="Normalized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_(&quot;$&quot;* #,##0.00_);_(&quot;$&quot;* (#,##0.00);_(&quot;$&quot;* &quot;-&quot;??_);_(@_)"/>
    <numFmt numFmtId="166" formatCode="0.0%"/>
  </numFmts>
  <fonts count="1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  <font>
      <b val="1"/>
      <sz val="16"/>
    </font>
    <font>
      <i val="1"/>
      <color rgb="00666666"/>
      <sz val="11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4" borderId="2" applyAlignment="1" pivotButton="0" quotePrefix="0" xfId="0">
      <alignment horizontal="center"/>
    </xf>
    <xf numFmtId="0" fontId="12" fillId="5" borderId="2" pivotButton="0" quotePrefix="0" xfId="0"/>
    <xf numFmtId="0" fontId="0" fillId="0" borderId="2" applyAlignment="1" pivotButton="0" quotePrefix="0" xfId="0">
      <alignment horizontal="center"/>
    </xf>
    <xf numFmtId="165" fontId="0" fillId="0" borderId="2" pivotButton="0" quotePrefix="0" xfId="0"/>
    <xf numFmtId="0" fontId="13" fillId="6" borderId="2" pivotButton="0" quotePrefix="0" xfId="0"/>
    <xf numFmtId="0" fontId="13" fillId="6" borderId="2" applyAlignment="1" pivotButton="0" quotePrefix="0" xfId="0">
      <alignment horizontal="center"/>
    </xf>
    <xf numFmtId="165" fontId="13" fillId="6" borderId="2" pivotButton="0" quotePrefix="0" xfId="0"/>
    <xf numFmtId="0" fontId="0" fillId="6" borderId="2" pivotButton="0" quotePrefix="0" xfId="0"/>
    <xf numFmtId="0" fontId="0" fillId="0" borderId="2" pivotButton="0" quotePrefix="0" xfId="0"/>
    <xf numFmtId="0" fontId="12" fillId="5" borderId="0" pivotButton="0" quotePrefix="0" xfId="0"/>
    <xf numFmtId="166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</v>
      </c>
      <c r="B2" t="inlineStr">
        <is>
          <t>Monthly F</t>
        </is>
      </c>
      <c r="C2" t="inlineStr">
        <is>
          <t>Core: HORIZON</t>
        </is>
      </c>
      <c r="D2" t="inlineStr">
        <is>
          <t>Core</t>
        </is>
      </c>
      <c r="E2" t="b">
        <v>0</v>
      </c>
      <c r="F2" t="b">
        <v>0</v>
      </c>
      <c r="G2" s="12" t="n">
        <v>14561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New pricing for combined organization</t>
        </is>
      </c>
    </row>
    <row r="3">
      <c r="A3" t="n">
        <v>2</v>
      </c>
      <c r="B3" t="inlineStr">
        <is>
          <t>Monthly F</t>
        </is>
      </c>
      <c r="C3" t="inlineStr">
        <is>
          <t>Digital: D1 Flex, D1 Business, Mobile, Bill Pay</t>
        </is>
      </c>
      <c r="D3" t="inlineStr">
        <is>
          <t>Digital</t>
        </is>
      </c>
      <c r="E3" t="b">
        <v>0</v>
      </c>
      <c r="F3" t="b">
        <v>0</v>
      </c>
      <c r="G3" s="12" t="n">
        <v>35283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Digital banking suite</t>
        </is>
      </c>
    </row>
    <row r="4">
      <c r="A4" t="n">
        <v>3</v>
      </c>
      <c r="B4" t="inlineStr">
        <is>
          <t>Monthly F</t>
        </is>
      </c>
      <c r="C4" t="inlineStr">
        <is>
          <t>Digital: Website Services</t>
        </is>
      </c>
      <c r="D4" t="inlineStr">
        <is>
          <t>Digital</t>
        </is>
      </c>
      <c r="E4" t="b">
        <v>0</v>
      </c>
      <c r="F4" t="b">
        <v>0</v>
      </c>
      <c r="G4" s="12" t="n">
        <v>510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Website services</t>
        </is>
      </c>
    </row>
    <row r="5">
      <c r="A5" t="n">
        <v>4</v>
      </c>
      <c r="B5" t="inlineStr">
        <is>
          <t>Monthly F</t>
        </is>
      </c>
      <c r="C5" t="inlineStr">
        <is>
          <t>Digital: Zelle</t>
        </is>
      </c>
      <c r="D5" t="inlineStr">
        <is>
          <t>Digital</t>
        </is>
      </c>
      <c r="E5" t="b">
        <v>0</v>
      </c>
      <c r="F5" t="b">
        <v>0</v>
      </c>
      <c r="G5" s="12" t="n">
        <v>560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Zelle payment service</t>
        </is>
      </c>
    </row>
    <row r="6">
      <c r="A6" t="n">
        <v>5</v>
      </c>
      <c r="B6" t="inlineStr">
        <is>
          <t>Monthly F</t>
        </is>
      </c>
      <c r="C6" t="inlineStr">
        <is>
          <t>EFT: EFT Norcross, 3D Secure, Tokenization, SecurLOCK</t>
        </is>
      </c>
      <c r="D6" t="inlineStr">
        <is>
          <t>EFT</t>
        </is>
      </c>
      <c r="E6" t="b">
        <v>0</v>
      </c>
      <c r="F6" t="b">
        <v>0</v>
      </c>
      <c r="G6" s="12" t="n">
        <v>6865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EFT and security services</t>
        </is>
      </c>
    </row>
    <row r="7">
      <c r="A7" t="n">
        <v>17</v>
      </c>
      <c r="B7" t="inlineStr">
        <is>
          <t>Monthly F</t>
        </is>
      </c>
      <c r="C7" t="inlineStr">
        <is>
          <t>IP: DirectLink Consumer (via FIS)</t>
        </is>
      </c>
      <c r="D7" t="inlineStr">
        <is>
          <t>Item Processing</t>
        </is>
      </c>
      <c r="E7" t="b">
        <v>0</v>
      </c>
      <c r="F7" t="b">
        <v>0</v>
      </c>
      <c r="G7" s="12" t="n">
        <v>1344.35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Recommended - via FIS</t>
        </is>
      </c>
    </row>
    <row r="8">
      <c r="A8" t="n">
        <v>9</v>
      </c>
      <c r="B8" t="inlineStr">
        <is>
          <t>Monthly F</t>
        </is>
      </c>
      <c r="C8" t="inlineStr">
        <is>
          <t>Item Processing: FCM, IP, Branch Capture, CCX, FXD, DLRR</t>
        </is>
      </c>
      <c r="D8" t="inlineStr">
        <is>
          <t>Item Processing</t>
        </is>
      </c>
      <c r="E8" t="b">
        <v>0</v>
      </c>
      <c r="F8" t="b">
        <v>0</v>
      </c>
      <c r="G8" s="12" t="n">
        <v>18884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Item processing suite</t>
        </is>
      </c>
    </row>
    <row r="9">
      <c r="A9" t="n">
        <v>12</v>
      </c>
      <c r="B9" t="inlineStr">
        <is>
          <t>Monthly F</t>
        </is>
      </c>
      <c r="C9" t="inlineStr">
        <is>
          <t>Lending: CRA Wiz/Fair Lending</t>
        </is>
      </c>
      <c r="D9" t="inlineStr">
        <is>
          <t>Lending</t>
        </is>
      </c>
      <c r="E9" t="b">
        <v>0</v>
      </c>
      <c r="F9" t="b">
        <v>0</v>
      </c>
      <c r="G9" s="12" t="n">
        <v>1039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CRA and fair lending compliance</t>
        </is>
      </c>
    </row>
    <row r="10">
      <c r="A10" t="n">
        <v>11</v>
      </c>
      <c r="B10" t="inlineStr">
        <is>
          <t>Monthly F</t>
        </is>
      </c>
      <c r="C10" t="inlineStr">
        <is>
          <t>Lending: FLO</t>
        </is>
      </c>
      <c r="D10" t="inlineStr">
        <is>
          <t>Lending</t>
        </is>
      </c>
      <c r="E10" t="b">
        <v>0</v>
      </c>
      <c r="F10" t="b">
        <v>0</v>
      </c>
      <c r="G10" s="12" t="n">
        <v>961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Lending origination</t>
        </is>
      </c>
    </row>
    <row r="11">
      <c r="A11" t="n">
        <v>10</v>
      </c>
      <c r="B11" t="inlineStr">
        <is>
          <t>Monthly F</t>
        </is>
      </c>
      <c r="C11" t="inlineStr">
        <is>
          <t>FOS: eDelivery, Print/Render, Forms &amp; Envelopes</t>
        </is>
      </c>
      <c r="D11" t="inlineStr">
        <is>
          <t>Other</t>
        </is>
      </c>
      <c r="E11" t="b">
        <v>0</v>
      </c>
      <c r="F11" t="b">
        <v>0</v>
      </c>
      <c r="G11" s="12" t="n">
        <v>2183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Forms and output services</t>
        </is>
      </c>
    </row>
    <row r="12">
      <c r="A12" t="n">
        <v>29</v>
      </c>
      <c r="B12" t="inlineStr">
        <is>
          <t>Monthly F</t>
        </is>
      </c>
      <c r="C12" t="inlineStr">
        <is>
          <t>Image Solutions: Chargeback Manager</t>
        </is>
      </c>
      <c r="D12" t="inlineStr">
        <is>
          <t>Other</t>
        </is>
      </c>
      <c r="E12" t="b">
        <v>0</v>
      </c>
      <c r="F12" t="b">
        <v>0</v>
      </c>
      <c r="G12" s="12" t="n">
        <v>282.92</v>
      </c>
      <c r="H12" t="inlineStr">
        <is>
          <t>per month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Recommended - chargeback management</t>
        </is>
      </c>
    </row>
    <row r="13">
      <c r="A13" t="n">
        <v>27</v>
      </c>
      <c r="B13" t="inlineStr">
        <is>
          <t>Monthly F</t>
        </is>
      </c>
      <c r="C13" t="inlineStr">
        <is>
          <t>Image Solutions: FedNOW (both Send/Receive)</t>
        </is>
      </c>
      <c r="D13" t="inlineStr">
        <is>
          <t>Other</t>
        </is>
      </c>
      <c r="E13" t="b">
        <v>0</v>
      </c>
      <c r="F13" t="b">
        <v>0</v>
      </c>
      <c r="G13" s="12" t="n">
        <v>3887.72</v>
      </c>
      <c r="H13" t="inlineStr">
        <is>
          <t>per month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Recommended - FedNOW instant payments</t>
        </is>
      </c>
    </row>
    <row r="14">
      <c r="A14" t="n">
        <v>8</v>
      </c>
      <c r="B14" t="inlineStr">
        <is>
          <t>Monthly F</t>
        </is>
      </c>
      <c r="C14" t="inlineStr">
        <is>
          <t>Image Solutions: RTP (Receive)</t>
        </is>
      </c>
      <c r="D14" t="inlineStr">
        <is>
          <t>Other</t>
        </is>
      </c>
      <c r="E14" t="b">
        <v>0</v>
      </c>
      <c r="F14" t="b">
        <v>0</v>
      </c>
      <c r="G14" s="12" t="n">
        <v>879</v>
      </c>
      <c r="H14" t="inlineStr">
        <is>
          <t>per month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Real-time payment receive</t>
        </is>
      </c>
    </row>
    <row r="15">
      <c r="A15" t="n">
        <v>25</v>
      </c>
      <c r="B15" t="inlineStr">
        <is>
          <t>Monthly F</t>
        </is>
      </c>
      <c r="C15" t="inlineStr">
        <is>
          <t>Image Solutions: RTP Send for Business</t>
        </is>
      </c>
      <c r="D15" t="inlineStr">
        <is>
          <t>Other</t>
        </is>
      </c>
      <c r="E15" t="b">
        <v>0</v>
      </c>
      <c r="F15" t="b">
        <v>0</v>
      </c>
      <c r="G15" s="12" t="n">
        <v>172.5</v>
      </c>
      <c r="H15" t="inlineStr">
        <is>
          <t>per month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Recommended - real-time payment send</t>
        </is>
      </c>
    </row>
    <row r="16">
      <c r="A16" t="n">
        <v>14</v>
      </c>
      <c r="B16" t="inlineStr">
        <is>
          <t>Monthly F</t>
        </is>
      </c>
      <c r="C16" t="inlineStr">
        <is>
          <t>Information Services: IRS Reporting</t>
        </is>
      </c>
      <c r="D16" t="inlineStr">
        <is>
          <t>Other</t>
        </is>
      </c>
      <c r="E16" t="b">
        <v>0</v>
      </c>
      <c r="F16" t="b">
        <v>0</v>
      </c>
      <c r="G16" s="12" t="n">
        <v>1984</v>
      </c>
      <c r="H16" t="inlineStr">
        <is>
          <t>per month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IRS reporting services</t>
        </is>
      </c>
    </row>
    <row r="17">
      <c r="A17" t="n">
        <v>13</v>
      </c>
      <c r="B17" t="inlineStr">
        <is>
          <t>Monthly F</t>
        </is>
      </c>
      <c r="C17" t="inlineStr">
        <is>
          <t>Information Services: Regulatory Compliance</t>
        </is>
      </c>
      <c r="D17" t="inlineStr">
        <is>
          <t>Other</t>
        </is>
      </c>
      <c r="E17" t="b">
        <v>0</v>
      </c>
      <c r="F17" t="b">
        <v>0</v>
      </c>
      <c r="G17" s="12" t="n">
        <v>5413</v>
      </c>
      <c r="H17" t="inlineStr">
        <is>
          <t>per month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Regulatory compliance services</t>
        </is>
      </c>
    </row>
    <row r="18">
      <c r="A18" t="n">
        <v>6</v>
      </c>
      <c r="B18" t="inlineStr">
        <is>
          <t>Monthly F</t>
        </is>
      </c>
      <c r="C18" t="inlineStr">
        <is>
          <t>Risk, Fraud &amp; Compliance: Decision Solutions</t>
        </is>
      </c>
      <c r="D18" t="inlineStr">
        <is>
          <t>Risk, Fraud &amp; Compliance</t>
        </is>
      </c>
      <c r="E18" t="b">
        <v>0</v>
      </c>
      <c r="F18" t="b">
        <v>0</v>
      </c>
      <c r="G18" s="12" t="n">
        <v>739</v>
      </c>
      <c r="H18" t="inlineStr">
        <is>
          <t>per month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Risk and fraud management</t>
        </is>
      </c>
    </row>
    <row r="19">
      <c r="A19" t="n">
        <v>7</v>
      </c>
      <c r="B19" t="inlineStr">
        <is>
          <t>Monthly F</t>
        </is>
      </c>
      <c r="C19" t="inlineStr">
        <is>
          <t>Treasury: eWire (Business)</t>
        </is>
      </c>
      <c r="D19" t="inlineStr">
        <is>
          <t>Treasury</t>
        </is>
      </c>
      <c r="E19" t="b">
        <v>0</v>
      </c>
      <c r="F19" t="b">
        <v>0</v>
      </c>
      <c r="G19" s="12" t="n">
        <v>2661</v>
      </c>
      <c r="H19" t="inlineStr">
        <is>
          <t>per month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Business wire services</t>
        </is>
      </c>
    </row>
    <row r="20">
      <c r="A20" t="n">
        <v>21</v>
      </c>
      <c r="B20" t="inlineStr">
        <is>
          <t>Monthly F</t>
        </is>
      </c>
      <c r="C20" t="inlineStr">
        <is>
          <t>Treasury: eWire (Consumer)</t>
        </is>
      </c>
      <c r="D20" t="inlineStr">
        <is>
          <t>Treasury</t>
        </is>
      </c>
      <c r="E20" t="b">
        <v>0</v>
      </c>
      <c r="F20" t="b">
        <v>0</v>
      </c>
      <c r="G20" s="12" t="n">
        <v>5.57</v>
      </c>
      <c r="H20" t="inlineStr">
        <is>
          <t>per month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Recommended - consumer wire services</t>
        </is>
      </c>
    </row>
    <row r="21">
      <c r="A21" t="n">
        <v>18</v>
      </c>
      <c r="B21" t="inlineStr">
        <is>
          <t>One-Time</t>
        </is>
      </c>
      <c r="C21" t="inlineStr">
        <is>
          <t>IP: DirectLink Consumer (via FIS) - Implementation Fee</t>
        </is>
      </c>
      <c r="D21" t="inlineStr">
        <is>
          <t>Item Processing</t>
        </is>
      </c>
      <c r="E21" t="b">
        <v>0</v>
      </c>
      <c r="F21" t="b">
        <v>0</v>
      </c>
      <c r="G21" s="12" t="n">
        <v>29372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0.95</v>
      </c>
      <c r="T21" t="inlineStr">
        <is>
          <t>Recommended - via FIS</t>
        </is>
      </c>
    </row>
    <row r="22">
      <c r="A22" t="n">
        <v>30</v>
      </c>
      <c r="B22" t="inlineStr">
        <is>
          <t>One-Time</t>
        </is>
      </c>
      <c r="C22" t="inlineStr">
        <is>
          <t>Image Solutions: Chargeback Manager - Implementation Fee</t>
        </is>
      </c>
      <c r="D22" t="inlineStr">
        <is>
          <t>Other</t>
        </is>
      </c>
      <c r="E22" t="b">
        <v>0</v>
      </c>
      <c r="F22" t="b">
        <v>0</v>
      </c>
      <c r="G22" s="12" t="n">
        <v>6361</v>
      </c>
      <c r="H22" t="inlineStr">
        <is>
          <t>one-time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Recommended - chargeback management</t>
        </is>
      </c>
    </row>
    <row r="23">
      <c r="A23" t="n">
        <v>28</v>
      </c>
      <c r="B23" t="inlineStr">
        <is>
          <t>One-Time</t>
        </is>
      </c>
      <c r="C23" t="inlineStr">
        <is>
          <t>Image Solutions: FedNOW (both Send/Receive) - Implementation Fee</t>
        </is>
      </c>
      <c r="D23" t="inlineStr">
        <is>
          <t>Other</t>
        </is>
      </c>
      <c r="E23" t="b">
        <v>0</v>
      </c>
      <c r="F23" t="b">
        <v>0</v>
      </c>
      <c r="G23" s="12" t="n">
        <v>10654</v>
      </c>
      <c r="H23" t="inlineStr">
        <is>
          <t>one-time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Recommended - FedNOW instant payments</t>
        </is>
      </c>
    </row>
    <row r="24">
      <c r="A24" t="n">
        <v>26</v>
      </c>
      <c r="B24" t="inlineStr">
        <is>
          <t>One-Time</t>
        </is>
      </c>
      <c r="C24" t="inlineStr">
        <is>
          <t>Image Solutions: RTP Send for Business - Implementation Fee</t>
        </is>
      </c>
      <c r="D24" t="inlineStr">
        <is>
          <t>Other</t>
        </is>
      </c>
      <c r="E24" t="b">
        <v>0</v>
      </c>
      <c r="F24" t="b">
        <v>0</v>
      </c>
      <c r="G24" s="12" t="n">
        <v>7886</v>
      </c>
      <c r="H24" t="inlineStr">
        <is>
          <t>one-time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0.95</v>
      </c>
      <c r="T24" t="inlineStr">
        <is>
          <t>Recommended - real-time payment send</t>
        </is>
      </c>
    </row>
    <row r="25">
      <c r="A25" t="n">
        <v>22</v>
      </c>
      <c r="B25" t="inlineStr">
        <is>
          <t>One-Time</t>
        </is>
      </c>
      <c r="C25" t="inlineStr">
        <is>
          <t>Treasury: eWire (Consumer) - Implementation Fee</t>
        </is>
      </c>
      <c r="D25" t="inlineStr">
        <is>
          <t>Treasury</t>
        </is>
      </c>
      <c r="E25" t="b">
        <v>0</v>
      </c>
      <c r="F25" t="b">
        <v>0</v>
      </c>
      <c r="G25" s="12" t="n">
        <v>1114</v>
      </c>
      <c r="H25" t="inlineStr">
        <is>
          <t>one-time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Recommended - consumer wire services</t>
        </is>
      </c>
    </row>
    <row r="26">
      <c r="A26" t="n">
        <v>15</v>
      </c>
      <c r="B26" t="inlineStr">
        <is>
          <t>Monthly F</t>
        </is>
      </c>
      <c r="C26" t="inlineStr">
        <is>
          <t>IP: DirectLink Merchant (via RegO)</t>
        </is>
      </c>
      <c r="D26" t="inlineStr">
        <is>
          <t>Item Processing</t>
        </is>
      </c>
      <c r="E26" t="b">
        <v>1</v>
      </c>
      <c r="F26" t="b">
        <v>0</v>
      </c>
      <c r="G26" s="12" t="n">
        <v>2965.86</v>
      </c>
      <c r="H26" t="inlineStr">
        <is>
          <t>per month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0.95</v>
      </c>
      <c r="T26" t="inlineStr">
        <is>
          <t>Recommended - via RegO third party</t>
        </is>
      </c>
    </row>
    <row r="27">
      <c r="A27" t="n">
        <v>16</v>
      </c>
      <c r="B27" t="inlineStr">
        <is>
          <t>One-Time</t>
        </is>
      </c>
      <c r="C27" t="inlineStr">
        <is>
          <t>IP: DirectLink Merchant (via RegO) - Implementation Fee</t>
        </is>
      </c>
      <c r="D27" t="inlineStr">
        <is>
          <t>Item Processing</t>
        </is>
      </c>
      <c r="E27" t="b">
        <v>1</v>
      </c>
      <c r="F27" t="b">
        <v>0</v>
      </c>
      <c r="G27" s="12" t="n">
        <v>23601</v>
      </c>
      <c r="H27" t="inlineStr">
        <is>
          <t>one-time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0.95</v>
      </c>
      <c r="T27" t="inlineStr">
        <is>
          <t>Recommended - via RegO third party</t>
        </is>
      </c>
    </row>
    <row r="28">
      <c r="A28" t="n">
        <v>19</v>
      </c>
      <c r="B28" t="inlineStr">
        <is>
          <t>Monthly F</t>
        </is>
      </c>
      <c r="C28" t="inlineStr">
        <is>
          <t>HORIZON: Conditional Processing</t>
        </is>
      </c>
      <c r="D28" t="inlineStr">
        <is>
          <t>Core</t>
        </is>
      </c>
      <c r="E28" t="b">
        <v>0</v>
      </c>
      <c r="F28" t="b">
        <v>1</v>
      </c>
      <c r="G28" s="12" t="n">
        <v>1000.95</v>
      </c>
      <c r="H28" t="inlineStr">
        <is>
          <t>per month</t>
        </is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0.95</v>
      </c>
      <c r="T28" t="inlineStr">
        <is>
          <t>Optional service</t>
        </is>
      </c>
    </row>
    <row r="29">
      <c r="A29" t="n">
        <v>23</v>
      </c>
      <c r="B29" t="inlineStr">
        <is>
          <t>Monthly F</t>
        </is>
      </c>
      <c r="C29" t="inlineStr">
        <is>
          <t>Treasury: Extended Account Analysis</t>
        </is>
      </c>
      <c r="D29" t="inlineStr">
        <is>
          <t>Treasury</t>
        </is>
      </c>
      <c r="E29" t="b">
        <v>0</v>
      </c>
      <c r="F29" t="b">
        <v>1</v>
      </c>
      <c r="G29" s="12" t="n">
        <v>1236.54</v>
      </c>
      <c r="H29" t="inlineStr">
        <is>
          <t>per month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0.95</v>
      </c>
      <c r="T29" t="inlineStr">
        <is>
          <t>Optional service</t>
        </is>
      </c>
    </row>
    <row r="30">
      <c r="A30" t="n">
        <v>20</v>
      </c>
      <c r="B30" t="inlineStr">
        <is>
          <t>One-Time</t>
        </is>
      </c>
      <c r="C30" t="inlineStr">
        <is>
          <t>HORIZON: Conditional Processing - Implementation Fee</t>
        </is>
      </c>
      <c r="D30" t="inlineStr">
        <is>
          <t>Core</t>
        </is>
      </c>
      <c r="E30" t="b">
        <v>0</v>
      </c>
      <c r="F30" t="b">
        <v>1</v>
      </c>
      <c r="G30" s="12" t="n">
        <v>13709</v>
      </c>
      <c r="H30" t="inlineStr">
        <is>
          <t>one-time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0.95</v>
      </c>
      <c r="T30" t="inlineStr">
        <is>
          <t>Optional service</t>
        </is>
      </c>
    </row>
    <row r="31">
      <c r="A31" t="n">
        <v>24</v>
      </c>
      <c r="B31" t="inlineStr">
        <is>
          <t>One-Time</t>
        </is>
      </c>
      <c r="C31" t="inlineStr">
        <is>
          <t>Treasury: Extended Account Analysis - Implementation Fee</t>
        </is>
      </c>
      <c r="D31" t="inlineStr">
        <is>
          <t>Treasury</t>
        </is>
      </c>
      <c r="E31" t="b">
        <v>0</v>
      </c>
      <c r="F31" t="b">
        <v>1</v>
      </c>
      <c r="G31" s="12" t="n">
        <v>58326</v>
      </c>
      <c r="H31" t="inlineStr">
        <is>
          <t>one-time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0.95</v>
      </c>
      <c r="T31" t="inlineStr">
        <is>
          <t>Optional service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3" t="inlineStr">
        <is>
          <t>Total Annual Cost</t>
        </is>
      </c>
      <c r="B5" s="14">
        <f>B3+B4</f>
        <v/>
      </c>
      <c r="C5" s="14">
        <f>C3+C4</f>
        <v/>
      </c>
      <c r="D5" s="14">
        <f>D3+D4</f>
        <v/>
      </c>
      <c r="E5" s="14">
        <f>E3+E4</f>
        <v/>
      </c>
      <c r="F5" s="14">
        <f>F3+F4</f>
        <v/>
      </c>
      <c r="G5" s="14">
        <f>G3+G4</f>
        <v/>
      </c>
      <c r="H5" s="14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Item Processing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Lending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Other</t>
        </is>
      </c>
      <c r="B10" s="9">
        <f>SUMIFS('Line Items'!$R:$R,'Line Items'!$D:$D,A10)</f>
        <v/>
      </c>
      <c r="C10" s="9">
        <f>B10/84</f>
        <v/>
      </c>
    </row>
    <row r="11">
      <c r="A11" t="inlineStr">
        <is>
          <t>Risk, Fraud &amp; Compliance</t>
        </is>
      </c>
      <c r="B11" s="9">
        <f>SUMIFS('Line Items'!$R:$R,'Line Items'!$D:$D,A11)</f>
        <v/>
      </c>
      <c r="C11" s="9">
        <f>B11/84</f>
        <v/>
      </c>
    </row>
    <row r="12">
      <c r="A12" t="inlineStr">
        <is>
          <t>Treasury</t>
        </is>
      </c>
      <c r="B12" s="9">
        <f>SUMIFS('Line Items'!$R:$R,'Line Items'!$D:$D,A12)</f>
        <v/>
      </c>
      <c r="C12" s="9">
        <f>B12/84</f>
        <v/>
      </c>
    </row>
    <row r="13">
      <c r="B13" s="9" t="n"/>
      <c r="C13" s="9" t="n"/>
    </row>
    <row r="14">
      <c r="A14" s="15" t="inlineStr">
        <is>
          <t>Total Required TCO</t>
        </is>
      </c>
      <c r="B14" s="14">
        <f>SUM(B5:B12)</f>
        <v/>
      </c>
      <c r="C14" s="14">
        <f>B14/84</f>
        <v/>
      </c>
    </row>
    <row r="16">
      <c r="A16" s="16" t="inlineStr">
        <is>
          <t>Optional Items Total</t>
        </is>
      </c>
      <c r="B16" s="12">
        <f>SUMIFS('Line Items'!$R:$R,'Line Items'!$F:$F,TRUE)</f>
        <v/>
      </c>
      <c r="C16" s="12">
        <f>B16/84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ECHELON_BANK_FIS_3</t>
        </is>
      </c>
    </row>
    <row r="3">
      <c r="A3" s="2" t="inlineStr">
        <is>
          <t>Client Name:</t>
        </is>
      </c>
      <c r="B3" t="inlineStr">
        <is>
          <t>Lone Star</t>
        </is>
      </c>
    </row>
    <row r="4">
      <c r="A4" s="2" t="inlineStr">
        <is>
          <t>Proposal Type:</t>
        </is>
      </c>
      <c r="B4" t="inlineStr">
        <is>
          <t>Combined Organization Pricing</t>
        </is>
      </c>
    </row>
    <row r="5">
      <c r="A5" s="2" t="inlineStr">
        <is>
          <t>Proposal Date:</t>
        </is>
      </c>
      <c r="B5" t="inlineStr">
        <is>
          <t>April 2024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2026-01-15 16:46:26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30" customWidth="1" min="3" max="3"/>
    <col width="30" customWidth="1" min="4" max="4"/>
    <col width="20" customWidth="1" min="5" max="5"/>
    <col width="20" customWidth="1" min="6" max="6"/>
    <col width="10" customWidth="1" min="7" max="7"/>
    <col width="12" customWidth="1" min="8" max="8"/>
  </cols>
  <sheetData>
    <row r="1">
      <c r="A1" s="17" t="inlineStr">
        <is>
          <t>NORMALIZED COST COMPARISON</t>
        </is>
      </c>
    </row>
    <row r="2">
      <c r="A2" s="18" t="inlineStr">
        <is>
          <t>Universal 6-Bucket Cost Breakdown Structure</t>
        </is>
      </c>
    </row>
    <row r="3"/>
    <row r="4">
      <c r="A4" s="13" t="inlineStr">
        <is>
          <t>Vendor:</t>
        </is>
      </c>
      <c r="B4" t="inlineStr">
        <is>
          <t>ECHELON_BANK_FIS_3</t>
        </is>
      </c>
    </row>
    <row r="5">
      <c r="A5" s="13" t="inlineStr">
        <is>
          <t>Client:</t>
        </is>
      </c>
      <c r="B5" t="inlineStr">
        <is>
          <t>Lone Star</t>
        </is>
      </c>
    </row>
    <row r="6">
      <c r="A6" s="13" t="inlineStr">
        <is>
          <t>Contract Term:</t>
        </is>
      </c>
      <c r="B6" t="inlineStr">
        <is>
          <t>7 years</t>
        </is>
      </c>
    </row>
    <row r="7">
      <c r="A7" s="13" t="inlineStr">
        <is>
          <t>Annual CPI:</t>
        </is>
      </c>
      <c r="B7" t="inlineStr">
        <is>
          <t>3.0%</t>
        </is>
      </c>
    </row>
    <row r="8">
      <c r="A8" s="13" t="inlineStr">
        <is>
          <t>Normalized:</t>
        </is>
      </c>
      <c r="B8" t="inlineStr">
        <is>
          <t>2026-01-15 16:46</t>
        </is>
      </c>
    </row>
    <row r="9"/>
    <row r="10"/>
    <row r="11">
      <c r="A11" s="19" t="inlineStr">
        <is>
          <t>COST SUMMARY BY BUCKET</t>
        </is>
      </c>
    </row>
    <row r="12">
      <c r="A12" s="20" t="inlineStr">
        <is>
          <t>Cost Bucket</t>
        </is>
      </c>
      <c r="B12" s="20" t="inlineStr">
        <is>
          <t>Items</t>
        </is>
      </c>
      <c r="C12" s="20" t="inlineStr">
        <is>
          <t>Annual Cost</t>
        </is>
      </c>
      <c r="D12" s="20" t="inlineStr">
        <is>
          <t>7-Year TCO</t>
        </is>
      </c>
      <c r="E12" s="20" t="inlineStr">
        <is>
          <t>Required</t>
        </is>
      </c>
      <c r="F12" s="20" t="inlineStr">
        <is>
          <t>Optional</t>
        </is>
      </c>
    </row>
    <row r="13">
      <c r="A13" s="21" t="inlineStr">
        <is>
          <t>Setup/Implementation</t>
        </is>
      </c>
      <c r="B13" s="22" t="n">
        <v>0</v>
      </c>
      <c r="C13" s="23" t="n">
        <v>0</v>
      </c>
      <c r="D13" s="23" t="n">
        <v>0</v>
      </c>
      <c r="E13" s="23" t="n">
        <v>0</v>
      </c>
      <c r="F13" s="23" t="n">
        <v>0</v>
      </c>
    </row>
    <row r="14">
      <c r="A14" s="21" t="inlineStr">
        <is>
          <t>Licensing/Subscription</t>
        </is>
      </c>
      <c r="B14" s="22" t="n">
        <v>20</v>
      </c>
      <c r="C14" s="23" t="n">
        <v>793816.9199999999</v>
      </c>
      <c r="D14" s="23" t="n">
        <v>6082592.128002159</v>
      </c>
      <c r="E14" s="23" t="n">
        <v>5876855.937942362</v>
      </c>
      <c r="F14" s="23" t="n">
        <v>205736.190059797</v>
      </c>
    </row>
    <row r="15">
      <c r="A15" s="21" t="inlineStr">
        <is>
          <t>Transaction/Usage</t>
        </is>
      </c>
      <c r="B15" s="22" t="n">
        <v>0</v>
      </c>
      <c r="C15" s="23" t="n">
        <v>0</v>
      </c>
      <c r="D15" s="23" t="n">
        <v>0</v>
      </c>
      <c r="E15" s="23" t="n">
        <v>0</v>
      </c>
      <c r="F15" s="23" t="n">
        <v>0</v>
      </c>
    </row>
    <row r="16">
      <c r="A16" s="21" t="inlineStr">
        <is>
          <t>Training/Enablement</t>
        </is>
      </c>
      <c r="B16" s="22" t="n">
        <v>0</v>
      </c>
      <c r="C16" s="23" t="n">
        <v>0</v>
      </c>
      <c r="D16" s="23" t="n">
        <v>0</v>
      </c>
      <c r="E16" s="23" t="n">
        <v>0</v>
      </c>
      <c r="F16" s="23" t="n">
        <v>0</v>
      </c>
    </row>
    <row r="17">
      <c r="A17" s="21" t="inlineStr">
        <is>
          <t>Support/Maintenance</t>
        </is>
      </c>
      <c r="B17" s="22" t="n">
        <v>0</v>
      </c>
      <c r="C17" s="23" t="n">
        <v>0</v>
      </c>
      <c r="D17" s="23" t="n">
        <v>0</v>
      </c>
      <c r="E17" s="23" t="n">
        <v>0</v>
      </c>
      <c r="F17" s="23" t="n">
        <v>0</v>
      </c>
    </row>
    <row r="18">
      <c r="A18" s="21" t="inlineStr">
        <is>
          <t>Professional Services</t>
        </is>
      </c>
      <c r="B18" s="22" t="n">
        <v>2</v>
      </c>
      <c r="C18" s="23" t="n">
        <v>447204</v>
      </c>
      <c r="D18" s="23" t="n">
        <v>3426683.737115453</v>
      </c>
      <c r="E18" s="23" t="n">
        <v>3426683.737115453</v>
      </c>
      <c r="F18" s="23" t="n">
        <v>0</v>
      </c>
    </row>
    <row r="19">
      <c r="A19" s="24" t="inlineStr">
        <is>
          <t>TOTAL</t>
        </is>
      </c>
      <c r="B19" s="25" t="n">
        <v>22</v>
      </c>
      <c r="C19" s="26" t="n">
        <v>1241020.92</v>
      </c>
      <c r="D19" s="26" t="n">
        <v>9509275.865117611</v>
      </c>
      <c r="E19" s="27" t="n"/>
      <c r="F19" s="27" t="n"/>
    </row>
    <row r="20"/>
    <row r="21"/>
    <row r="22">
      <c r="A22" s="19" t="inlineStr">
        <is>
          <t>COST-PER-UNIT METRICS</t>
        </is>
      </c>
    </row>
    <row r="23">
      <c r="A23" s="20" t="inlineStr">
        <is>
          <t>Metric</t>
        </is>
      </c>
      <c r="B23" s="20" t="inlineStr">
        <is>
          <t>Value</t>
        </is>
      </c>
      <c r="C23" s="20" t="inlineStr">
        <is>
          <t>Formula</t>
        </is>
      </c>
      <c r="D23" s="20" t="inlineStr">
        <is>
          <t>Use Case</t>
        </is>
      </c>
    </row>
    <row r="24">
      <c r="A24" s="28" t="inlineStr">
        <is>
          <t>Cost per Account</t>
        </is>
      </c>
      <c r="B24" s="23" t="n">
        <v>190.1855173023522</v>
      </c>
      <c r="C24" s="28" t="inlineStr">
        <is>
          <t>7-Year TCO / Accounts</t>
        </is>
      </c>
      <c r="D24" s="28" t="inlineStr">
        <is>
          <t>Based on 50,000 accounts</t>
        </is>
      </c>
    </row>
    <row r="25">
      <c r="A25" s="28" t="inlineStr">
        <is>
          <t>Cost per User</t>
        </is>
      </c>
      <c r="B25" s="23" t="n">
        <v>19018.55173023522</v>
      </c>
      <c r="C25" s="28" t="inlineStr">
        <is>
          <t>7-Year TCO / Users</t>
        </is>
      </c>
      <c r="D25" s="28" t="inlineStr">
        <is>
          <t>Based on 500 users</t>
        </is>
      </c>
    </row>
    <row r="26">
      <c r="A26" s="28" t="inlineStr">
        <is>
          <t>Cost per Transaction</t>
        </is>
      </c>
      <c r="B26" s="23" t="n">
        <v>9.509275865117612</v>
      </c>
      <c r="C26" s="28" t="inlineStr">
        <is>
          <t>7-Year TCO / Annual Txns</t>
        </is>
      </c>
      <c r="D26" s="28" t="inlineStr">
        <is>
          <t>Based on 1,000,000 txns/year</t>
        </is>
      </c>
    </row>
    <row r="27">
      <c r="A27" s="28" t="inlineStr">
        <is>
          <t>Cost per Month</t>
        </is>
      </c>
      <c r="B27" s="23" t="n">
        <v>113205.6650609239</v>
      </c>
      <c r="C27" s="28" t="inlineStr">
        <is>
          <t>7-Year TCO / Contract Months</t>
        </is>
      </c>
      <c r="D27" s="28" t="inlineStr">
        <is>
          <t>84 months</t>
        </is>
      </c>
    </row>
    <row r="28">
      <c r="A28" s="28" t="inlineStr">
        <is>
          <t>Cost per Asset ($M)</t>
        </is>
      </c>
      <c r="B28" s="23" t="n">
        <v>19018.55173023522</v>
      </c>
      <c r="C28" s="28" t="inlineStr">
        <is>
          <t>7-Year TCO / Total Assets</t>
        </is>
      </c>
      <c r="D28" s="28" t="inlineStr">
        <is>
          <t>Based on $500M assets</t>
        </is>
      </c>
    </row>
    <row r="29"/>
    <row r="30"/>
    <row r="31">
      <c r="A31" s="19" t="inlineStr">
        <is>
          <t>LINE ITEM DETAILS BY BUCKET</t>
        </is>
      </c>
    </row>
    <row r="32">
      <c r="A32" s="20" t="inlineStr">
        <is>
          <t>Solution</t>
        </is>
      </c>
      <c r="B32" s="20" t="inlineStr">
        <is>
          <t>Category</t>
        </is>
      </c>
      <c r="C32" s="20" t="inlineStr">
        <is>
          <t>Fee Type</t>
        </is>
      </c>
      <c r="D32" s="20" t="inlineStr">
        <is>
          <t>Annual Cost</t>
        </is>
      </c>
      <c r="E32" s="20" t="inlineStr">
        <is>
          <t>7-Year TCO</t>
        </is>
      </c>
      <c r="F32" s="20" t="inlineStr">
        <is>
          <t>Required</t>
        </is>
      </c>
      <c r="G32" s="20" t="inlineStr">
        <is>
          <t>Variable</t>
        </is>
      </c>
      <c r="H32" s="20" t="inlineStr">
        <is>
          <t>Confidence</t>
        </is>
      </c>
    </row>
    <row r="33">
      <c r="A33" s="29" t="inlineStr">
        <is>
          <t>Licensing/Subscription</t>
        </is>
      </c>
    </row>
    <row r="34">
      <c r="A34" s="28" t="inlineStr">
        <is>
          <t>Core: HORIZON</t>
        </is>
      </c>
      <c r="B34" s="28" t="inlineStr">
        <is>
          <t>Core Platform</t>
        </is>
      </c>
      <c r="C34" s="28" t="inlineStr">
        <is>
          <t>Monthly F</t>
        </is>
      </c>
      <c r="D34" s="23" t="n">
        <v>174732</v>
      </c>
      <c r="E34" s="23" t="n">
        <v>1338877.341780613</v>
      </c>
      <c r="F34" s="28" t="inlineStr">
        <is>
          <t>Yes</t>
        </is>
      </c>
      <c r="G34" s="28" t="inlineStr">
        <is>
          <t>No</t>
        </is>
      </c>
      <c r="H34" s="30" t="n">
        <v>0.95</v>
      </c>
    </row>
    <row r="35">
      <c r="A35" s="28" t="inlineStr">
        <is>
          <t>Digital: Website Services</t>
        </is>
      </c>
      <c r="B35" s="28" t="inlineStr">
        <is>
          <t>Core Platform</t>
        </is>
      </c>
      <c r="C35" s="28" t="inlineStr">
        <is>
          <t>Monthly F</t>
        </is>
      </c>
      <c r="D35" s="23" t="n">
        <v>6120</v>
      </c>
      <c r="E35" s="23" t="n">
        <v>46894.26854667348</v>
      </c>
      <c r="F35" s="28" t="inlineStr">
        <is>
          <t>Yes</t>
        </is>
      </c>
      <c r="G35" s="28" t="inlineStr">
        <is>
          <t>No</t>
        </is>
      </c>
      <c r="H35" s="30" t="n">
        <v>0.95</v>
      </c>
    </row>
    <row r="36">
      <c r="A36" s="28" t="inlineStr">
        <is>
          <t>Digital: Zelle</t>
        </is>
      </c>
      <c r="B36" s="28" t="inlineStr">
        <is>
          <t>Core Platform</t>
        </is>
      </c>
      <c r="C36" s="28" t="inlineStr">
        <is>
          <t>Monthly F</t>
        </is>
      </c>
      <c r="D36" s="23" t="n">
        <v>6720</v>
      </c>
      <c r="E36" s="23" t="n">
        <v>51491.74585517088</v>
      </c>
      <c r="F36" s="28" t="inlineStr">
        <is>
          <t>Yes</t>
        </is>
      </c>
      <c r="G36" s="28" t="inlineStr">
        <is>
          <t>No</t>
        </is>
      </c>
      <c r="H36" s="30" t="n">
        <v>0.95</v>
      </c>
    </row>
    <row r="37">
      <c r="A37" s="28" t="inlineStr">
        <is>
          <t>EFT: EFT Norcross, 3D Secure, Tokenization, SecurLOCK</t>
        </is>
      </c>
      <c r="B37" s="28" t="inlineStr">
        <is>
          <t>Core Platform</t>
        </is>
      </c>
      <c r="C37" s="28" t="inlineStr">
        <is>
          <t>Monthly F</t>
        </is>
      </c>
      <c r="D37" s="23" t="n">
        <v>82380</v>
      </c>
      <c r="E37" s="23" t="n">
        <v>631233.6344566931</v>
      </c>
      <c r="F37" s="28" t="inlineStr">
        <is>
          <t>Yes</t>
        </is>
      </c>
      <c r="G37" s="28" t="inlineStr">
        <is>
          <t>No</t>
        </is>
      </c>
      <c r="H37" s="30" t="n">
        <v>0.95</v>
      </c>
    </row>
    <row r="38">
      <c r="A38" s="28" t="inlineStr">
        <is>
          <t>Risk, Fraud &amp; Compliance: Decision Solutions</t>
        </is>
      </c>
      <c r="B38" s="28" t="inlineStr">
        <is>
          <t>Core Platform</t>
        </is>
      </c>
      <c r="C38" s="28" t="inlineStr">
        <is>
          <t>Monthly F</t>
        </is>
      </c>
      <c r="D38" s="23" t="n">
        <v>8868</v>
      </c>
      <c r="E38" s="23" t="n">
        <v>67950.71461959158</v>
      </c>
      <c r="F38" s="28" t="inlineStr">
        <is>
          <t>Yes</t>
        </is>
      </c>
      <c r="G38" s="28" t="inlineStr">
        <is>
          <t>No</t>
        </is>
      </c>
      <c r="H38" s="30" t="n">
        <v>0.95</v>
      </c>
    </row>
    <row r="39">
      <c r="A39" s="28" t="inlineStr">
        <is>
          <t>Treasury: eWire (Business)</t>
        </is>
      </c>
      <c r="B39" s="28" t="inlineStr">
        <is>
          <t>Core Platform</t>
        </is>
      </c>
      <c r="C39" s="28" t="inlineStr">
        <is>
          <t>Monthly F</t>
        </is>
      </c>
      <c r="D39" s="23" t="n">
        <v>31932</v>
      </c>
      <c r="E39" s="23" t="n">
        <v>244677.7423582316</v>
      </c>
      <c r="F39" s="28" t="inlineStr">
        <is>
          <t>Yes</t>
        </is>
      </c>
      <c r="G39" s="28" t="inlineStr">
        <is>
          <t>No</t>
        </is>
      </c>
      <c r="H39" s="30" t="n">
        <v>0.95</v>
      </c>
    </row>
    <row r="40">
      <c r="A40" s="28" t="inlineStr">
        <is>
          <t>Image Solutions: RTP (Receive)</t>
        </is>
      </c>
      <c r="B40" s="28" t="inlineStr">
        <is>
          <t>Core Platform</t>
        </is>
      </c>
      <c r="C40" s="28" t="inlineStr">
        <is>
          <t>Monthly F</t>
        </is>
      </c>
      <c r="D40" s="23" t="n">
        <v>10548</v>
      </c>
      <c r="E40" s="23" t="n">
        <v>80823.65108338431</v>
      </c>
      <c r="F40" s="28" t="inlineStr">
        <is>
          <t>Yes</t>
        </is>
      </c>
      <c r="G40" s="28" t="inlineStr">
        <is>
          <t>No</t>
        </is>
      </c>
      <c r="H40" s="30" t="n">
        <v>0.95</v>
      </c>
    </row>
    <row r="41">
      <c r="A41" s="28" t="inlineStr">
        <is>
          <t>Item Processing: FCM, IP, Branch Capture, CCX, FXD, DLRR</t>
        </is>
      </c>
      <c r="B41" s="28" t="inlineStr">
        <is>
          <t>Core Platform</t>
        </is>
      </c>
      <c r="C41" s="28" t="inlineStr">
        <is>
          <t>Monthly F</t>
        </is>
      </c>
      <c r="D41" s="23" t="n">
        <v>226608</v>
      </c>
      <c r="E41" s="23" t="n">
        <v>1736375.229873298</v>
      </c>
      <c r="F41" s="28" t="inlineStr">
        <is>
          <t>Yes</t>
        </is>
      </c>
      <c r="G41" s="28" t="inlineStr">
        <is>
          <t>No</t>
        </is>
      </c>
      <c r="H41" s="30" t="n">
        <v>0.95</v>
      </c>
    </row>
    <row r="42">
      <c r="A42" s="28" t="inlineStr">
        <is>
          <t>FOS: eDelivery, Print/Render, Forms &amp; Envelopes</t>
        </is>
      </c>
      <c r="B42" s="28" t="inlineStr">
        <is>
          <t>Core Platform</t>
        </is>
      </c>
      <c r="C42" s="28" t="inlineStr">
        <is>
          <t>Monthly F</t>
        </is>
      </c>
      <c r="D42" s="23" t="n">
        <v>26196</v>
      </c>
      <c r="E42" s="23" t="n">
        <v>200725.8592889965</v>
      </c>
      <c r="F42" s="28" t="inlineStr">
        <is>
          <t>Yes</t>
        </is>
      </c>
      <c r="G42" s="28" t="inlineStr">
        <is>
          <t>No</t>
        </is>
      </c>
      <c r="H42" s="30" t="n">
        <v>0.95</v>
      </c>
    </row>
    <row r="43">
      <c r="A43" s="28" t="inlineStr">
        <is>
          <t>Lending: FLO</t>
        </is>
      </c>
      <c r="B43" s="28" t="inlineStr">
        <is>
          <t>Core Platform</t>
        </is>
      </c>
      <c r="C43" s="28" t="inlineStr">
        <is>
          <t>Monthly F</t>
        </is>
      </c>
      <c r="D43" s="23" t="n">
        <v>11532</v>
      </c>
      <c r="E43" s="23" t="n">
        <v>88363.51386932003</v>
      </c>
      <c r="F43" s="28" t="inlineStr">
        <is>
          <t>Yes</t>
        </is>
      </c>
      <c r="G43" s="28" t="inlineStr">
        <is>
          <t>No</t>
        </is>
      </c>
      <c r="H43" s="30" t="n">
        <v>0.95</v>
      </c>
    </row>
    <row r="44">
      <c r="A44" s="28" t="inlineStr">
        <is>
          <t>Lending: CRA Wiz/Fair Lending</t>
        </is>
      </c>
      <c r="B44" s="28" t="inlineStr">
        <is>
          <t>Core Platform</t>
        </is>
      </c>
      <c r="C44" s="28" t="inlineStr">
        <is>
          <t>Monthly F</t>
        </is>
      </c>
      <c r="D44" s="23" t="n">
        <v>12468</v>
      </c>
      <c r="E44" s="23" t="n">
        <v>95535.578470576</v>
      </c>
      <c r="F44" s="28" t="inlineStr">
        <is>
          <t>Yes</t>
        </is>
      </c>
      <c r="G44" s="28" t="inlineStr">
        <is>
          <t>No</t>
        </is>
      </c>
      <c r="H44" s="30" t="n">
        <v>0.95</v>
      </c>
    </row>
    <row r="45">
      <c r="A45" s="28" t="inlineStr">
        <is>
          <t>Information Services: Regulatory Compliance</t>
        </is>
      </c>
      <c r="B45" s="28" t="inlineStr">
        <is>
          <t>Core Platform</t>
        </is>
      </c>
      <c r="C45" s="28" t="inlineStr">
        <is>
          <t>Monthly F</t>
        </is>
      </c>
      <c r="D45" s="23" t="n">
        <v>64956</v>
      </c>
      <c r="E45" s="23" t="n">
        <v>497722.8934179286</v>
      </c>
      <c r="F45" s="28" t="inlineStr">
        <is>
          <t>Yes</t>
        </is>
      </c>
      <c r="G45" s="28" t="inlineStr">
        <is>
          <t>No</t>
        </is>
      </c>
      <c r="H45" s="30" t="n">
        <v>0.95</v>
      </c>
    </row>
    <row r="46">
      <c r="A46" s="28" t="inlineStr">
        <is>
          <t>IP: DirectLink Merchant (via RegO)</t>
        </is>
      </c>
      <c r="B46" s="28" t="inlineStr">
        <is>
          <t>Core Platform</t>
        </is>
      </c>
      <c r="C46" s="28" t="inlineStr">
        <is>
          <t>Monthly F</t>
        </is>
      </c>
      <c r="D46" s="23" t="n">
        <v>35590.32</v>
      </c>
      <c r="E46" s="23" t="n">
        <v>272709.481003602</v>
      </c>
      <c r="F46" s="28" t="inlineStr">
        <is>
          <t>Yes</t>
        </is>
      </c>
      <c r="G46" s="28" t="inlineStr">
        <is>
          <t>No</t>
        </is>
      </c>
      <c r="H46" s="30" t="n">
        <v>0.95</v>
      </c>
    </row>
    <row r="47">
      <c r="A47" s="28" t="inlineStr">
        <is>
          <t>IP: DirectLink Consumer (via FIS)</t>
        </is>
      </c>
      <c r="B47" s="28" t="inlineStr">
        <is>
          <t>Core Platform</t>
        </is>
      </c>
      <c r="C47" s="28" t="inlineStr">
        <is>
          <t>Monthly F</t>
        </is>
      </c>
      <c r="D47" s="23" t="n">
        <v>16132.2</v>
      </c>
      <c r="E47" s="23" t="n">
        <v>123612.3723935696</v>
      </c>
      <c r="F47" s="28" t="inlineStr">
        <is>
          <t>Yes</t>
        </is>
      </c>
      <c r="G47" s="28" t="inlineStr">
        <is>
          <t>No</t>
        </is>
      </c>
      <c r="H47" s="30" t="n">
        <v>0.95</v>
      </c>
    </row>
    <row r="48">
      <c r="A48" s="28" t="inlineStr">
        <is>
          <t>HORIZON: Conditional Processing</t>
        </is>
      </c>
      <c r="B48" s="28" t="inlineStr">
        <is>
          <t>Core Platform</t>
        </is>
      </c>
      <c r="C48" s="28" t="inlineStr">
        <is>
          <t>Monthly F</t>
        </is>
      </c>
      <c r="D48" s="23" t="n">
        <v>12011.4</v>
      </c>
      <c r="E48" s="23" t="n">
        <v>92036.89823880947</v>
      </c>
      <c r="F48" s="28" t="inlineStr">
        <is>
          <t>No</t>
        </is>
      </c>
      <c r="G48" s="28" t="inlineStr">
        <is>
          <t>No</t>
        </is>
      </c>
      <c r="H48" s="30" t="n">
        <v>0.95</v>
      </c>
    </row>
    <row r="49">
      <c r="A49" s="28" t="inlineStr">
        <is>
          <t>Treasury: eWire (Consumer)</t>
        </is>
      </c>
      <c r="B49" s="28" t="inlineStr">
        <is>
          <t>Core Platform</t>
        </is>
      </c>
      <c r="C49" s="28" t="inlineStr">
        <is>
          <t>Monthly F</t>
        </is>
      </c>
      <c r="D49" s="23" t="n">
        <v>66.84</v>
      </c>
      <c r="E49" s="23" t="n">
        <v>512.1589721666104</v>
      </c>
      <c r="F49" s="28" t="inlineStr">
        <is>
          <t>Yes</t>
        </is>
      </c>
      <c r="G49" s="28" t="inlineStr">
        <is>
          <t>No</t>
        </is>
      </c>
      <c r="H49" s="30" t="n">
        <v>0.95</v>
      </c>
    </row>
    <row r="50">
      <c r="A50" s="28" t="inlineStr">
        <is>
          <t>Treasury: Extended Account Analysis</t>
        </is>
      </c>
      <c r="B50" s="28" t="inlineStr">
        <is>
          <t>Core Platform</t>
        </is>
      </c>
      <c r="C50" s="28" t="inlineStr">
        <is>
          <t>Monthly F</t>
        </is>
      </c>
      <c r="D50" s="23" t="n">
        <v>14838.48</v>
      </c>
      <c r="E50" s="23" t="n">
        <v>113699.2918209875</v>
      </c>
      <c r="F50" s="28" t="inlineStr">
        <is>
          <t>No</t>
        </is>
      </c>
      <c r="G50" s="28" t="inlineStr">
        <is>
          <t>No</t>
        </is>
      </c>
      <c r="H50" s="30" t="n">
        <v>0.95</v>
      </c>
    </row>
    <row r="51">
      <c r="A51" s="28" t="inlineStr">
        <is>
          <t>Image Solutions: RTP Send for Business</t>
        </is>
      </c>
      <c r="B51" s="28" t="inlineStr">
        <is>
          <t>Core Platform</t>
        </is>
      </c>
      <c r="C51" s="28" t="inlineStr">
        <is>
          <t>Monthly F</t>
        </is>
      </c>
      <c r="D51" s="23" t="n">
        <v>2070</v>
      </c>
      <c r="E51" s="23" t="n">
        <v>15861.29671431603</v>
      </c>
      <c r="F51" s="28" t="inlineStr">
        <is>
          <t>Yes</t>
        </is>
      </c>
      <c r="G51" s="28" t="inlineStr">
        <is>
          <t>No</t>
        </is>
      </c>
      <c r="H51" s="30" t="n">
        <v>0.95</v>
      </c>
    </row>
    <row r="52">
      <c r="A52" s="28" t="inlineStr">
        <is>
          <t>Image Solutions: FedNOW (both Send/Receive)</t>
        </is>
      </c>
      <c r="B52" s="28" t="inlineStr">
        <is>
          <t>Core Platform</t>
        </is>
      </c>
      <c r="C52" s="28" t="inlineStr">
        <is>
          <t>Monthly F</t>
        </is>
      </c>
      <c r="D52" s="23" t="n">
        <v>46652.64</v>
      </c>
      <c r="E52" s="23" t="n">
        <v>357474.0896358303</v>
      </c>
      <c r="F52" s="28" t="inlineStr">
        <is>
          <t>Yes</t>
        </is>
      </c>
      <c r="G52" s="28" t="inlineStr">
        <is>
          <t>No</t>
        </is>
      </c>
      <c r="H52" s="30" t="n">
        <v>0.95</v>
      </c>
    </row>
    <row r="53">
      <c r="A53" s="28" t="inlineStr">
        <is>
          <t>Image Solutions: Chargeback Manager</t>
        </is>
      </c>
      <c r="B53" s="28" t="inlineStr">
        <is>
          <t>Core Platform</t>
        </is>
      </c>
      <c r="C53" s="28" t="inlineStr">
        <is>
          <t>Monthly F</t>
        </is>
      </c>
      <c r="D53" s="23" t="n">
        <v>3395.04</v>
      </c>
      <c r="E53" s="23" t="n">
        <v>26014.36560240169</v>
      </c>
      <c r="F53" s="28" t="inlineStr">
        <is>
          <t>Yes</t>
        </is>
      </c>
      <c r="G53" s="28" t="inlineStr">
        <is>
          <t>No</t>
        </is>
      </c>
      <c r="H53" s="30" t="n">
        <v>0.95</v>
      </c>
    </row>
    <row r="54"/>
    <row r="55">
      <c r="A55" s="29" t="inlineStr">
        <is>
          <t>Professional Services</t>
        </is>
      </c>
    </row>
    <row r="56">
      <c r="A56" s="28" t="inlineStr">
        <is>
          <t>Digital: D1 Flex, D1 Business, Mobile, Bill Pay</t>
        </is>
      </c>
      <c r="B56" s="28" t="inlineStr">
        <is>
          <t>Report Development</t>
        </is>
      </c>
      <c r="C56" s="28" t="inlineStr">
        <is>
          <t>Monthly F</t>
        </is>
      </c>
      <c r="D56" s="23" t="n">
        <v>423396</v>
      </c>
      <c r="E56" s="23" t="n">
        <v>3244255.837514276</v>
      </c>
      <c r="F56" s="28" t="inlineStr">
        <is>
          <t>Yes</t>
        </is>
      </c>
      <c r="G56" s="28" t="inlineStr">
        <is>
          <t>No</t>
        </is>
      </c>
      <c r="H56" s="30" t="n">
        <v>0.95</v>
      </c>
    </row>
    <row r="57">
      <c r="A57" s="28" t="inlineStr">
        <is>
          <t>Information Services: IRS Reporting</t>
        </is>
      </c>
      <c r="B57" s="28" t="inlineStr">
        <is>
          <t>Report Development</t>
        </is>
      </c>
      <c r="C57" s="28" t="inlineStr">
        <is>
          <t>Monthly F</t>
        </is>
      </c>
      <c r="D57" s="23" t="n">
        <v>23808</v>
      </c>
      <c r="E57" s="23" t="n">
        <v>182427.8996011768</v>
      </c>
      <c r="F57" s="28" t="inlineStr">
        <is>
          <t>Yes</t>
        </is>
      </c>
      <c r="G57" s="28" t="inlineStr">
        <is>
          <t>No</t>
        </is>
      </c>
      <c r="H57" s="30" t="n">
        <v>0.95</v>
      </c>
    </row>
  </sheetData>
  <mergeCells count="6">
    <mergeCell ref="A11:F11"/>
    <mergeCell ref="A55:H55"/>
    <mergeCell ref="A22:D22"/>
    <mergeCell ref="A1:E1"/>
    <mergeCell ref="A33:H33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2026-01-15T22:46:27Z</dcterms:modified>
</cp:coreProperties>
</file>