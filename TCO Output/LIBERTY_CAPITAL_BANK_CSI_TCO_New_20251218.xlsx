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8</v>
      </c>
      <c r="B2" t="inlineStr">
        <is>
          <t>Annual</t>
        </is>
      </c>
      <c r="C2" t="inlineStr">
        <is>
          <t>CSI Annual Forms &amp; Statements</t>
        </is>
      </c>
      <c r="D2" t="inlineStr">
        <is>
          <t>Other</t>
        </is>
      </c>
      <c r="E2" t="b">
        <v>0</v>
      </c>
      <c r="F2" t="b">
        <v>0</v>
      </c>
      <c r="G2" s="12" t="n">
        <v>170.33</v>
      </c>
      <c r="H2" t="inlineStr">
        <is>
          <t>per year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Annual fee of $2,044 converted to monthly</t>
        </is>
      </c>
    </row>
    <row r="3">
      <c r="A3" t="n">
        <v>5</v>
      </c>
      <c r="B3" t="inlineStr">
        <is>
          <t>Monthly F</t>
        </is>
      </c>
      <c r="C3" t="inlineStr">
        <is>
          <t>CSI Fees Included in Organic Growth Based Pricing</t>
        </is>
      </c>
      <c r="D3" t="inlineStr">
        <is>
          <t>Core</t>
        </is>
      </c>
      <c r="E3" t="b">
        <v>0</v>
      </c>
      <c r="F3" t="b">
        <v>0</v>
      </c>
      <c r="G3" s="12" t="n">
        <v>38663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Core processing fees</t>
        </is>
      </c>
    </row>
    <row r="4">
      <c r="A4" t="n">
        <v>7</v>
      </c>
      <c r="B4" t="inlineStr">
        <is>
          <t>Monthly F</t>
        </is>
      </c>
      <c r="C4" t="inlineStr">
        <is>
          <t>Monthly Equipment Fees</t>
        </is>
      </c>
      <c r="D4" t="inlineStr">
        <is>
          <t>Item Processing</t>
        </is>
      </c>
      <c r="E4" t="b">
        <v>0</v>
      </c>
      <c r="F4" t="b">
        <v>0</v>
      </c>
      <c r="G4" s="12" t="n">
        <v>250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Monthly equipment rental/maintenance</t>
        </is>
      </c>
    </row>
    <row r="5">
      <c r="A5" t="n">
        <v>6</v>
      </c>
      <c r="B5" t="inlineStr">
        <is>
          <t>Monthly F</t>
        </is>
      </c>
      <c r="C5" t="inlineStr">
        <is>
          <t>Other Processing Fees</t>
        </is>
      </c>
      <c r="D5" t="inlineStr">
        <is>
          <t>Other</t>
        </is>
      </c>
      <c r="E5" t="b">
        <v>0</v>
      </c>
      <c r="F5" t="b">
        <v>0</v>
      </c>
      <c r="G5" s="12" t="n">
        <v>12734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Additional processing fees</t>
        </is>
      </c>
    </row>
    <row r="6">
      <c r="A6" t="n">
        <v>2</v>
      </c>
      <c r="B6" t="inlineStr">
        <is>
          <t>One-Time</t>
        </is>
      </c>
      <c r="C6" t="inlineStr">
        <is>
          <t>Equipment Fees - Implementation Fee</t>
        </is>
      </c>
      <c r="D6" t="inlineStr">
        <is>
          <t>Item Processing</t>
        </is>
      </c>
      <c r="E6" t="b">
        <v>0</v>
      </c>
      <c r="F6" t="b">
        <v>0</v>
      </c>
      <c r="G6" s="12" t="n">
        <v>76933</v>
      </c>
      <c r="H6" t="inlineStr">
        <is>
          <t>one-time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Hardware and equipment costs</t>
        </is>
      </c>
    </row>
    <row r="7">
      <c r="A7" t="n">
        <v>1</v>
      </c>
      <c r="B7" t="inlineStr">
        <is>
          <t>One-Time</t>
        </is>
      </c>
      <c r="C7" t="inlineStr">
        <is>
          <t>CSI One-Time Fee - Implementation Fee</t>
        </is>
      </c>
      <c r="D7" t="inlineStr">
        <is>
          <t>Other</t>
        </is>
      </c>
      <c r="E7" t="b">
        <v>0</v>
      </c>
      <c r="F7" t="b">
        <v>0</v>
      </c>
      <c r="G7" s="12" t="n">
        <v>261102</v>
      </c>
      <c r="H7" t="inlineStr">
        <is>
          <t>one-time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Base implementation fee</t>
        </is>
      </c>
    </row>
    <row r="8">
      <c r="A8" t="n">
        <v>3</v>
      </c>
      <c r="B8" t="inlineStr">
        <is>
          <t>One-Time</t>
        </is>
      </c>
      <c r="C8" t="inlineStr">
        <is>
          <t>Credit for One-Time Fees - Implementation Fee</t>
        </is>
      </c>
      <c r="D8" t="inlineStr">
        <is>
          <t>Other</t>
        </is>
      </c>
      <c r="E8" t="b">
        <v>0</v>
      </c>
      <c r="F8" t="b">
        <v>0</v>
      </c>
      <c r="G8" s="12" t="n">
        <v>-338034</v>
      </c>
      <c r="H8" t="inlineStr">
        <is>
          <t>one-time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Credit applied to implementation fees</t>
        </is>
      </c>
    </row>
    <row r="9">
      <c r="A9" t="n">
        <v>4</v>
      </c>
      <c r="B9" t="inlineStr">
        <is>
          <t>One-Time</t>
        </is>
      </c>
      <c r="C9" t="inlineStr">
        <is>
          <t>Special Incentive Billing Credit - Implementation Fee</t>
        </is>
      </c>
      <c r="D9" t="inlineStr">
        <is>
          <t>Other</t>
        </is>
      </c>
      <c r="E9" t="b">
        <v>0</v>
      </c>
      <c r="F9" t="b">
        <v>0</v>
      </c>
      <c r="G9" s="12" t="n">
        <v>-375000</v>
      </c>
      <c r="H9" t="inlineStr">
        <is>
          <t>one-time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Special incentive credit</t>
        </is>
      </c>
    </row>
    <row r="10">
      <c r="A10" t="n">
        <v>17</v>
      </c>
      <c r="B10" t="inlineStr">
        <is>
          <t>Monthly F</t>
        </is>
      </c>
      <c r="C10" t="inlineStr">
        <is>
          <t>Network Sponsorship - PLUS</t>
        </is>
      </c>
      <c r="D10" t="inlineStr">
        <is>
          <t>EFT</t>
        </is>
      </c>
      <c r="E10" t="b">
        <v>0</v>
      </c>
      <c r="F10" t="b">
        <v>1</v>
      </c>
      <c r="G10" s="12" t="n">
        <v>50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</v>
      </c>
      <c r="T10" t="inlineStr">
        <is>
          <t>Monthly network sponsorship fee</t>
        </is>
      </c>
    </row>
    <row r="11">
      <c r="A11" t="n">
        <v>31</v>
      </c>
      <c r="B11" t="inlineStr">
        <is>
          <t>Monthly F</t>
        </is>
      </c>
      <c r="C11" t="inlineStr">
        <is>
          <t>Call Report File Download</t>
        </is>
      </c>
      <c r="D11" t="inlineStr">
        <is>
          <t>Other</t>
        </is>
      </c>
      <c r="E11" t="b">
        <v>0</v>
      </c>
      <c r="F11" t="b">
        <v>1</v>
      </c>
      <c r="G11" s="12" t="n">
        <v>100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</v>
      </c>
      <c r="T11" t="inlineStr">
        <is>
          <t>SmartCall service</t>
        </is>
      </c>
    </row>
    <row r="12">
      <c r="A12" t="n">
        <v>35</v>
      </c>
      <c r="B12" t="inlineStr">
        <is>
          <t>Monthly F</t>
        </is>
      </c>
      <c r="C12" t="inlineStr">
        <is>
          <t>WatchDog CIP License</t>
        </is>
      </c>
      <c r="D12" t="inlineStr">
        <is>
          <t>Risk, Fraud &amp; Compliance</t>
        </is>
      </c>
      <c r="E12" t="b">
        <v>0</v>
      </c>
      <c r="F12" t="b">
        <v>1</v>
      </c>
      <c r="G12" s="12" t="n">
        <v>249.58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</v>
      </c>
      <c r="T12" t="inlineStr">
        <is>
          <t>Annual license fee shown monthly</t>
        </is>
      </c>
    </row>
    <row r="13">
      <c r="A13" t="n">
        <v>25</v>
      </c>
      <c r="B13" t="inlineStr">
        <is>
          <t>Monthly V</t>
        </is>
      </c>
      <c r="C13" t="inlineStr">
        <is>
          <t>Mobile Banking Push Notifications</t>
        </is>
      </c>
      <c r="D13" t="inlineStr">
        <is>
          <t>Digital</t>
        </is>
      </c>
      <c r="E13" t="b">
        <v>0</v>
      </c>
      <c r="F13" t="b">
        <v>1</v>
      </c>
      <c r="G13" s="12" t="n">
        <v>161</v>
      </c>
      <c r="H13" t="inlineStr">
        <is>
          <t>per notification</t>
        </is>
      </c>
      <c r="I13" s="13" t="n">
        <v>1</v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</v>
      </c>
      <c r="T13" t="inlineStr">
        <is>
          <t>3,223 notifications at $0.02 per notification, $100 base fee</t>
        </is>
      </c>
    </row>
    <row r="14">
      <c r="A14" t="n">
        <v>26</v>
      </c>
      <c r="B14" t="inlineStr">
        <is>
          <t>Monthly V</t>
        </is>
      </c>
      <c r="C14" t="inlineStr">
        <is>
          <t>Mobile Deposit</t>
        </is>
      </c>
      <c r="D14" t="inlineStr">
        <is>
          <t>Digital</t>
        </is>
      </c>
      <c r="E14" t="b">
        <v>0</v>
      </c>
      <c r="F14" t="b">
        <v>1</v>
      </c>
      <c r="G14" s="12" t="n">
        <v>550</v>
      </c>
      <c r="H14" t="inlineStr">
        <is>
          <t>per deposit</t>
        </is>
      </c>
      <c r="I14" s="13" t="n">
        <v>1</v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</v>
      </c>
      <c r="T14" t="inlineStr">
        <is>
          <t>500 deposits at $0.05 per deposit, $525 base fee</t>
        </is>
      </c>
    </row>
    <row r="15">
      <c r="A15" t="n">
        <v>23</v>
      </c>
      <c r="B15" t="inlineStr">
        <is>
          <t>Monthly V</t>
        </is>
      </c>
      <c r="C15" t="inlineStr">
        <is>
          <t>Text Messages</t>
        </is>
      </c>
      <c r="D15" t="inlineStr">
        <is>
          <t>Digital</t>
        </is>
      </c>
      <c r="E15" t="b">
        <v>0</v>
      </c>
      <c r="F15" t="b">
        <v>1</v>
      </c>
      <c r="G15" s="12" t="n">
        <v>537</v>
      </c>
      <c r="H15" t="inlineStr">
        <is>
          <t>per message</t>
        </is>
      </c>
      <c r="I15" s="13" t="n">
        <v>1</v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</v>
      </c>
      <c r="T15" t="inlineStr">
        <is>
          <t>10,730 messages at $0.05 per message</t>
        </is>
      </c>
    </row>
    <row r="16">
      <c r="A16" t="n">
        <v>24</v>
      </c>
      <c r="B16" t="inlineStr">
        <is>
          <t>Monthly V</t>
        </is>
      </c>
      <c r="C16" t="inlineStr">
        <is>
          <t>Voice Authentication</t>
        </is>
      </c>
      <c r="D16" t="inlineStr">
        <is>
          <t>Digital</t>
        </is>
      </c>
      <c r="E16" t="b">
        <v>0</v>
      </c>
      <c r="F16" t="b">
        <v>1</v>
      </c>
      <c r="G16" s="12" t="n">
        <v>51</v>
      </c>
      <c r="H16" t="inlineStr">
        <is>
          <t>per call</t>
        </is>
      </c>
      <c r="I16" s="13" t="n">
        <v>1</v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</v>
      </c>
      <c r="T16" t="inlineStr">
        <is>
          <t>51 calls at $0.01 per call</t>
        </is>
      </c>
    </row>
    <row r="17">
      <c r="A17" t="n">
        <v>27</v>
      </c>
      <c r="B17" t="inlineStr">
        <is>
          <t>Monthly V</t>
        </is>
      </c>
      <c r="C17" t="inlineStr">
        <is>
          <t>Card Alerts</t>
        </is>
      </c>
      <c r="D17" t="inlineStr">
        <is>
          <t>EFT</t>
        </is>
      </c>
      <c r="E17" t="b">
        <v>0</v>
      </c>
      <c r="F17" t="b">
        <v>1</v>
      </c>
      <c r="G17" s="12" t="n">
        <v>778</v>
      </c>
      <c r="H17" t="inlineStr">
        <is>
          <t>per alert</t>
        </is>
      </c>
      <c r="I17" s="13" t="n">
        <v>1</v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</v>
      </c>
      <c r="T17" t="inlineStr">
        <is>
          <t>1,416 alerts at $0.55 per alert</t>
        </is>
      </c>
    </row>
    <row r="18">
      <c r="A18" t="n">
        <v>13</v>
      </c>
      <c r="B18" t="inlineStr">
        <is>
          <t>Monthly V</t>
        </is>
      </c>
      <c r="C18" t="inlineStr">
        <is>
          <t>Card Production - Instant Issue</t>
        </is>
      </c>
      <c r="D18" t="inlineStr">
        <is>
          <t>EFT</t>
        </is>
      </c>
      <c r="E18" t="b">
        <v>0</v>
      </c>
      <c r="F18" t="b">
        <v>1</v>
      </c>
      <c r="G18" s="12" t="n">
        <v>81</v>
      </c>
      <c r="H18" t="inlineStr">
        <is>
          <t>per card</t>
        </is>
      </c>
      <c r="I18" s="13" t="n">
        <v>1</v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</v>
      </c>
      <c r="T18" t="inlineStr">
        <is>
          <t>108 cards at $0.75 per card</t>
        </is>
      </c>
    </row>
    <row r="19">
      <c r="A19" t="n">
        <v>16</v>
      </c>
      <c r="B19" t="inlineStr">
        <is>
          <t>Monthly V</t>
        </is>
      </c>
      <c r="C19" t="inlineStr">
        <is>
          <t>Contactless EMV Card Production Fee</t>
        </is>
      </c>
      <c r="D19" t="inlineStr">
        <is>
          <t>EFT</t>
        </is>
      </c>
      <c r="E19" t="b">
        <v>0</v>
      </c>
      <c r="F19" t="b">
        <v>1</v>
      </c>
      <c r="G19" s="12" t="n">
        <v>68</v>
      </c>
      <c r="H19" t="inlineStr">
        <is>
          <t>per card</t>
        </is>
      </c>
      <c r="I19" s="13" t="n">
        <v>1</v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</v>
      </c>
      <c r="T19" t="inlineStr">
        <is>
          <t>22,710 cards at $0.00 per card</t>
        </is>
      </c>
    </row>
    <row r="20">
      <c r="A20" t="n">
        <v>28</v>
      </c>
      <c r="B20" t="inlineStr">
        <is>
          <t>Monthly V</t>
        </is>
      </c>
      <c r="C20" t="inlineStr">
        <is>
          <t>Digital Wallet - Push Provisioning</t>
        </is>
      </c>
      <c r="D20" t="inlineStr">
        <is>
          <t>EFT</t>
        </is>
      </c>
      <c r="E20" t="b">
        <v>0</v>
      </c>
      <c r="F20" t="b">
        <v>1</v>
      </c>
      <c r="G20" s="12" t="n">
        <v>120</v>
      </c>
      <c r="H20" t="inlineStr">
        <is>
          <t>per provisioning</t>
        </is>
      </c>
      <c r="I20" s="13" t="n">
        <v>1</v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</v>
      </c>
      <c r="T20" t="inlineStr">
        <is>
          <t>600 provisionings at $0.20 per provisioning</t>
        </is>
      </c>
    </row>
    <row r="21">
      <c r="A21" t="n">
        <v>15</v>
      </c>
      <c r="B21" t="inlineStr">
        <is>
          <t>Monthly V</t>
        </is>
      </c>
      <c r="C21" t="inlineStr">
        <is>
          <t>EFT Processing Fees - Primary Network</t>
        </is>
      </c>
      <c r="D21" t="inlineStr">
        <is>
          <t>EFT</t>
        </is>
      </c>
      <c r="E21" t="b">
        <v>0</v>
      </c>
      <c r="F21" t="b">
        <v>1</v>
      </c>
      <c r="G21" s="12" t="n">
        <v>514</v>
      </c>
      <c r="H21" t="inlineStr">
        <is>
          <t>per transaction</t>
        </is>
      </c>
      <c r="I21" s="13" t="n">
        <v>1</v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</v>
      </c>
      <c r="T21" t="inlineStr">
        <is>
          <t>41,101 transactions at $0.01 per transaction</t>
        </is>
      </c>
    </row>
    <row r="22">
      <c r="A22" t="n">
        <v>14</v>
      </c>
      <c r="B22" t="inlineStr">
        <is>
          <t>Monthly V</t>
        </is>
      </c>
      <c r="C22" t="inlineStr">
        <is>
          <t>EMV Card Production Fee</t>
        </is>
      </c>
      <c r="D22" t="inlineStr">
        <is>
          <t>EFT</t>
        </is>
      </c>
      <c r="E22" t="b">
        <v>0</v>
      </c>
      <c r="F22" t="b">
        <v>1</v>
      </c>
      <c r="G22" s="12" t="n">
        <v>73</v>
      </c>
      <c r="H22" t="inlineStr">
        <is>
          <t>per card</t>
        </is>
      </c>
      <c r="I22" s="13" t="n">
        <v>1</v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</v>
      </c>
      <c r="T22" t="inlineStr">
        <is>
          <t>3,672 cards at $0.02 per card</t>
        </is>
      </c>
    </row>
    <row r="23">
      <c r="A23" t="n">
        <v>12</v>
      </c>
      <c r="B23" t="inlineStr">
        <is>
          <t>Monthly V</t>
        </is>
      </c>
      <c r="C23" t="inlineStr">
        <is>
          <t>PIN Change</t>
        </is>
      </c>
      <c r="D23" t="inlineStr">
        <is>
          <t>EFT</t>
        </is>
      </c>
      <c r="E23" t="b">
        <v>0</v>
      </c>
      <c r="F23" t="b">
        <v>1</v>
      </c>
      <c r="G23" s="12" t="n">
        <v>85</v>
      </c>
      <c r="H23" t="inlineStr">
        <is>
          <t>per change</t>
        </is>
      </c>
      <c r="I23" s="13" t="n">
        <v>1</v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</v>
      </c>
      <c r="T23" t="inlineStr">
        <is>
          <t>85 changes at $1.00 per change</t>
        </is>
      </c>
    </row>
    <row r="24">
      <c r="A24" t="n">
        <v>10</v>
      </c>
      <c r="B24" t="inlineStr">
        <is>
          <t>Monthly V</t>
        </is>
      </c>
      <c r="C24" t="inlineStr">
        <is>
          <t>A2iA CAR/LAR</t>
        </is>
      </c>
      <c r="D24" t="inlineStr">
        <is>
          <t>Image Solutions</t>
        </is>
      </c>
      <c r="E24" t="b">
        <v>0</v>
      </c>
      <c r="F24" t="b">
        <v>1</v>
      </c>
      <c r="G24" s="12" t="n">
        <v>767</v>
      </c>
      <c r="H24" t="inlineStr">
        <is>
          <t>per item</t>
        </is>
      </c>
      <c r="I24" s="13" t="n">
        <v>1</v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</v>
      </c>
      <c r="T24" t="inlineStr">
        <is>
          <t>5,897 items at $0.13 per item</t>
        </is>
      </c>
    </row>
    <row r="25">
      <c r="A25" t="n">
        <v>9</v>
      </c>
      <c r="B25" t="inlineStr">
        <is>
          <t>Monthly V</t>
        </is>
      </c>
      <c r="C25" t="inlineStr">
        <is>
          <t>Image Capture Processing Fees</t>
        </is>
      </c>
      <c r="D25" t="inlineStr">
        <is>
          <t>Image Solutions</t>
        </is>
      </c>
      <c r="E25" t="b">
        <v>0</v>
      </c>
      <c r="F25" t="b">
        <v>1</v>
      </c>
      <c r="G25" s="12" t="n">
        <v>186</v>
      </c>
      <c r="H25" t="inlineStr">
        <is>
          <t>per item</t>
        </is>
      </c>
      <c r="I25" s="13" t="n">
        <v>1</v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</v>
      </c>
      <c r="T25" t="inlineStr">
        <is>
          <t>23,248 items at $0.008 per item</t>
        </is>
      </c>
    </row>
    <row r="26">
      <c r="A26" t="n">
        <v>29</v>
      </c>
      <c r="B26" t="inlineStr">
        <is>
          <t>Monthly V</t>
        </is>
      </c>
      <c r="C26" t="inlineStr">
        <is>
          <t>800 Number</t>
        </is>
      </c>
      <c r="D26" t="inlineStr">
        <is>
          <t>Other</t>
        </is>
      </c>
      <c r="E26" t="b">
        <v>0</v>
      </c>
      <c r="F26" t="b">
        <v>1</v>
      </c>
      <c r="G26" s="12" t="n">
        <v>120</v>
      </c>
      <c r="H26" t="inlineStr">
        <is>
          <t>per call</t>
        </is>
      </c>
      <c r="I26" s="13" t="n">
        <v>1</v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</v>
      </c>
      <c r="T26" t="inlineStr">
        <is>
          <t>20 calls at $1.00 per call, $100 base fee</t>
        </is>
      </c>
    </row>
    <row r="27">
      <c r="A27" t="n">
        <v>38</v>
      </c>
      <c r="B27" t="inlineStr">
        <is>
          <t>Monthly V</t>
        </is>
      </c>
      <c r="C27" t="inlineStr">
        <is>
          <t>CSI Wire</t>
        </is>
      </c>
      <c r="D27" t="inlineStr">
        <is>
          <t>Other</t>
        </is>
      </c>
      <c r="E27" t="b">
        <v>0</v>
      </c>
      <c r="F27" t="b">
        <v>1</v>
      </c>
      <c r="G27" s="12" t="n">
        <v>3577</v>
      </c>
      <c r="H27" t="inlineStr">
        <is>
          <t>per wire</t>
        </is>
      </c>
      <c r="I27" s="13" t="n">
        <v>1</v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</v>
      </c>
      <c r="T27" t="inlineStr">
        <is>
          <t>1,022 wires at $3.50 per wire</t>
        </is>
      </c>
    </row>
    <row r="28">
      <c r="A28" t="n">
        <v>33</v>
      </c>
      <c r="B28" t="inlineStr">
        <is>
          <t>Monthly V</t>
        </is>
      </c>
      <c r="C28" t="inlineStr">
        <is>
          <t>FMS Margin Performer</t>
        </is>
      </c>
      <c r="D28" t="inlineStr">
        <is>
          <t>Other</t>
        </is>
      </c>
      <c r="E28" t="b">
        <v>0</v>
      </c>
      <c r="F28" t="b">
        <v>1</v>
      </c>
      <c r="G28" s="12" t="n">
        <v>326</v>
      </c>
      <c r="H28" t="inlineStr">
        <is>
          <t>per record</t>
        </is>
      </c>
      <c r="I28" s="13" t="n">
        <v>1</v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</v>
      </c>
      <c r="T28" t="inlineStr">
        <is>
          <t>10,874 records at $0.03 per record, $250 minimum</t>
        </is>
      </c>
    </row>
    <row r="29">
      <c r="A29" t="n">
        <v>34</v>
      </c>
      <c r="B29" t="inlineStr">
        <is>
          <t>Monthly V</t>
        </is>
      </c>
      <c r="C29" t="inlineStr">
        <is>
          <t>FMS Profit Performer</t>
        </is>
      </c>
      <c r="D29" t="inlineStr">
        <is>
          <t>Other</t>
        </is>
      </c>
      <c r="E29" t="b">
        <v>0</v>
      </c>
      <c r="F29" t="b">
        <v>1</v>
      </c>
      <c r="G29" s="12" t="n">
        <v>326</v>
      </c>
      <c r="H29" t="inlineStr">
        <is>
          <t>per record</t>
        </is>
      </c>
      <c r="I29" s="13" t="n">
        <v>1</v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</v>
      </c>
      <c r="T29" t="inlineStr">
        <is>
          <t>10,874 records at $0.03 per record, $250 minimum</t>
        </is>
      </c>
    </row>
    <row r="30">
      <c r="A30" t="n">
        <v>11</v>
      </c>
      <c r="B30" t="inlineStr">
        <is>
          <t>Monthly V</t>
        </is>
      </c>
      <c r="C30" t="inlineStr">
        <is>
          <t>Monthly Statement Processing Materials - Envelopes &amp; Paper</t>
        </is>
      </c>
      <c r="D30" t="inlineStr">
        <is>
          <t>Other</t>
        </is>
      </c>
      <c r="E30" t="b">
        <v>0</v>
      </c>
      <c r="F30" t="b">
        <v>1</v>
      </c>
      <c r="G30" s="12" t="n">
        <v>72</v>
      </c>
      <c r="H30" t="inlineStr">
        <is>
          <t>per envelope</t>
        </is>
      </c>
      <c r="I30" s="13" t="n">
        <v>1</v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</v>
      </c>
      <c r="T30" t="inlineStr">
        <is>
          <t>Combined envelope ($0.50) and paper ($2.00) fees</t>
        </is>
      </c>
    </row>
    <row r="31">
      <c r="A31" t="n">
        <v>32</v>
      </c>
      <c r="B31" t="inlineStr">
        <is>
          <t>Monthly V</t>
        </is>
      </c>
      <c r="C31" t="inlineStr">
        <is>
          <t>Child Support Accounts</t>
        </is>
      </c>
      <c r="D31" t="inlineStr">
        <is>
          <t>Risk, Fraud &amp; Compliance</t>
        </is>
      </c>
      <c r="E31" t="b">
        <v>0</v>
      </c>
      <c r="F31" t="b">
        <v>1</v>
      </c>
      <c r="G31" s="12" t="n">
        <v>1</v>
      </c>
      <c r="H31" t="inlineStr">
        <is>
          <t>per account</t>
        </is>
      </c>
      <c r="I31" s="13" t="n">
        <v>1</v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</v>
      </c>
      <c r="T31" t="inlineStr">
        <is>
          <t>100 accounts at $0.01 per account</t>
        </is>
      </c>
    </row>
    <row r="32">
      <c r="A32" t="n">
        <v>36</v>
      </c>
      <c r="B32" t="inlineStr">
        <is>
          <t>Monthly V</t>
        </is>
      </c>
      <c r="C32" t="inlineStr">
        <is>
          <t>Level 2 ID Verification Transactions</t>
        </is>
      </c>
      <c r="D32" t="inlineStr">
        <is>
          <t>Risk, Fraud &amp; Compliance</t>
        </is>
      </c>
      <c r="E32" t="b">
        <v>0</v>
      </c>
      <c r="F32" t="b">
        <v>1</v>
      </c>
      <c r="G32" s="12" t="n">
        <v>133</v>
      </c>
      <c r="H32" t="inlineStr">
        <is>
          <t>per transaction</t>
        </is>
      </c>
      <c r="I32" s="13" t="n">
        <v>1</v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</v>
      </c>
      <c r="T32" t="inlineStr">
        <is>
          <t>53 transactions at $2.50 per transaction</t>
        </is>
      </c>
    </row>
    <row r="33">
      <c r="A33" t="n">
        <v>37</v>
      </c>
      <c r="B33" t="inlineStr">
        <is>
          <t>Monthly V</t>
        </is>
      </c>
      <c r="C33" t="inlineStr">
        <is>
          <t>Out of Wallet Transactions</t>
        </is>
      </c>
      <c r="D33" t="inlineStr">
        <is>
          <t>Risk, Fraud &amp; Compliance</t>
        </is>
      </c>
      <c r="E33" t="b">
        <v>0</v>
      </c>
      <c r="F33" t="b">
        <v>1</v>
      </c>
      <c r="G33" s="12" t="n">
        <v>98</v>
      </c>
      <c r="H33" t="inlineStr">
        <is>
          <t>per transaction</t>
        </is>
      </c>
      <c r="I33" s="13" t="n">
        <v>1</v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</v>
      </c>
      <c r="T33" t="inlineStr">
        <is>
          <t>39 transactions at $2.50 per transaction</t>
        </is>
      </c>
    </row>
    <row r="34">
      <c r="A34" t="n">
        <v>22</v>
      </c>
      <c r="B34" t="inlineStr">
        <is>
          <t>Monthly F</t>
        </is>
      </c>
      <c r="C34" t="inlineStr">
        <is>
          <t>Quicken &amp; QuickBooks Direct Connect</t>
        </is>
      </c>
      <c r="D34" t="inlineStr">
        <is>
          <t>Digital</t>
        </is>
      </c>
      <c r="E34" t="b">
        <v>1</v>
      </c>
      <c r="F34" t="b">
        <v>1</v>
      </c>
      <c r="G34" s="12" t="n">
        <v>736.67</v>
      </c>
      <c r="H34" t="inlineStr">
        <is>
          <t>per month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0.85</v>
      </c>
      <c r="T34" t="inlineStr">
        <is>
          <t>Monthly fee for direct connect services</t>
        </is>
      </c>
    </row>
    <row r="35">
      <c r="A35" t="n">
        <v>30</v>
      </c>
      <c r="B35" t="inlineStr">
        <is>
          <t>Monthly V</t>
        </is>
      </c>
      <c r="C35" t="inlineStr">
        <is>
          <t>Digital Chat - LinkLive</t>
        </is>
      </c>
      <c r="D35" t="inlineStr">
        <is>
          <t>Digital</t>
        </is>
      </c>
      <c r="E35" t="b">
        <v>1</v>
      </c>
      <c r="F35" t="b">
        <v>1</v>
      </c>
      <c r="G35" s="12" t="n">
        <v>12</v>
      </c>
      <c r="H35" t="inlineStr">
        <is>
          <t>per chat</t>
        </is>
      </c>
      <c r="I35" s="13" t="n">
        <v>1</v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0.85</v>
      </c>
      <c r="T35" t="inlineStr">
        <is>
          <t>121 chats at $0.10 per chat</t>
        </is>
      </c>
    </row>
    <row r="36">
      <c r="A36" t="n">
        <v>20</v>
      </c>
      <c r="B36" t="inlineStr">
        <is>
          <t>Monthly V</t>
        </is>
      </c>
      <c r="C36" t="inlineStr">
        <is>
          <t>Integrated PFM</t>
        </is>
      </c>
      <c r="D36" t="inlineStr">
        <is>
          <t>Digital</t>
        </is>
      </c>
      <c r="E36" t="b">
        <v>1</v>
      </c>
      <c r="F36" t="b">
        <v>1</v>
      </c>
      <c r="G36" s="12" t="n">
        <v>353</v>
      </c>
      <c r="H36" t="inlineStr">
        <is>
          <t>per user</t>
        </is>
      </c>
      <c r="I36" s="13" t="n">
        <v>1</v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0.85</v>
      </c>
      <c r="T36" t="inlineStr">
        <is>
          <t>470 users at $0.75 per user</t>
        </is>
      </c>
    </row>
    <row r="37">
      <c r="A37" t="n">
        <v>21</v>
      </c>
      <c r="B37" t="inlineStr">
        <is>
          <t>Monthly V</t>
        </is>
      </c>
      <c r="C37" t="inlineStr">
        <is>
          <t>Integrated PFM + Aggregation</t>
        </is>
      </c>
      <c r="D37" t="inlineStr">
        <is>
          <t>Digital</t>
        </is>
      </c>
      <c r="E37" t="b">
        <v>1</v>
      </c>
      <c r="F37" t="b">
        <v>1</v>
      </c>
      <c r="G37" s="12" t="n">
        <v>94</v>
      </c>
      <c r="H37" t="inlineStr">
        <is>
          <t>per user</t>
        </is>
      </c>
      <c r="I37" s="13" t="n">
        <v>1</v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0.85</v>
      </c>
      <c r="T37" t="inlineStr">
        <is>
          <t>94 users at $1.00 per user</t>
        </is>
      </c>
    </row>
    <row r="38">
      <c r="A38" t="n">
        <v>19</v>
      </c>
      <c r="B38" t="inlineStr">
        <is>
          <t>Monthly V</t>
        </is>
      </c>
      <c r="C38" t="inlineStr">
        <is>
          <t>iPay Business Bill Pay Program</t>
        </is>
      </c>
      <c r="D38" t="inlineStr">
        <is>
          <t>Digital</t>
        </is>
      </c>
      <c r="E38" t="b">
        <v>1</v>
      </c>
      <c r="F38" t="b">
        <v>1</v>
      </c>
      <c r="G38" s="12" t="n">
        <v>737</v>
      </c>
      <c r="H38" t="inlineStr">
        <is>
          <t>per user + $0.45 per payment</t>
        </is>
      </c>
      <c r="I38" s="13" t="n">
        <v>1</v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0.85</v>
      </c>
      <c r="T38" t="inlineStr">
        <is>
          <t>102 users at $5.95/user + 290 payments at $0.45/payment, $300 minimum</t>
        </is>
      </c>
    </row>
    <row r="39">
      <c r="A39" t="n">
        <v>18</v>
      </c>
      <c r="B39" t="inlineStr">
        <is>
          <t>Monthly V</t>
        </is>
      </c>
      <c r="C39" t="inlineStr">
        <is>
          <t>iPay Online Bill Pay</t>
        </is>
      </c>
      <c r="D39" t="inlineStr">
        <is>
          <t>Digital</t>
        </is>
      </c>
      <c r="E39" t="b">
        <v>1</v>
      </c>
      <c r="F39" t="b">
        <v>1</v>
      </c>
      <c r="G39" s="12" t="n">
        <v>1328</v>
      </c>
      <c r="H39" t="inlineStr">
        <is>
          <t>per user</t>
        </is>
      </c>
      <c r="I39" s="13" t="n">
        <v>1</v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0.85</v>
      </c>
      <c r="T39" t="inlineStr">
        <is>
          <t>1,398 users at $0.95 per user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Image Solutions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Item Processing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Other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Risk, Fraud &amp; Compliance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Optional Solutions</t>
        </is>
      </c>
      <c r="B12" s="9" t="n"/>
      <c r="C12" s="9" t="n"/>
    </row>
    <row r="13">
      <c r="A13" s="14" t="inlineStr">
        <is>
          <t>Total Required TCO</t>
        </is>
      </c>
      <c r="B13" s="15">
        <f>SUM(B5:B11)</f>
        <v/>
      </c>
      <c r="C13" s="15">
        <f>B13/84</f>
        <v/>
      </c>
    </row>
    <row r="14">
      <c r="A14" s="10" t="inlineStr">
        <is>
          <t>Grand Total (Required + Optional)</t>
        </is>
      </c>
      <c r="B14" s="9" t="n"/>
      <c r="C14" s="9" t="n"/>
    </row>
    <row r="15">
      <c r="A15" s="16" t="inlineStr">
        <is>
          <t>Optional Items Total</t>
        </is>
      </c>
      <c r="B15" s="12">
        <f>SUMIFS('Line Items'!$R:$R,'Line Items'!$F:$F,TRUE)</f>
        <v/>
      </c>
      <c r="C15" s="12">
        <f>B15/84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LIBERTY_CAPITAL_BANK_CSI</t>
        </is>
      </c>
    </row>
    <row r="3">
      <c r="A3" s="2" t="inlineStr">
        <is>
          <t>Client Name:</t>
        </is>
      </c>
      <c r="B3" t="inlineStr">
        <is>
          <t>Liberty Capital &amp; Texas Heritage (COMBINED)</t>
        </is>
      </c>
    </row>
    <row r="4">
      <c r="A4" s="2" t="inlineStr">
        <is>
          <t>Proposal Type:</t>
        </is>
      </c>
      <c r="B4" t="inlineStr">
        <is>
          <t>CSI Pricing Proposal (Organic Growth 7-yr)</t>
        </is>
      </c>
    </row>
    <row r="5">
      <c r="A5" s="2" t="inlineStr">
        <is>
          <t>Proposal Date:</t>
        </is>
      </c>
      <c r="B5" t="inlineStr">
        <is>
          <t>2024-12-16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2025-12-18 17:08:27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2025-12-18T23:08:27Z</dcterms:modified>
</cp:coreProperties>
</file>