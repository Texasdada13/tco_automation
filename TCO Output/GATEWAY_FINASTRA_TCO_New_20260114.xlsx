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7</v>
      </c>
      <c r="B2" t="inlineStr">
        <is>
          <t>Monthly F</t>
        </is>
      </c>
      <c r="C2" t="inlineStr">
        <is>
          <t>ACH Processing</t>
        </is>
      </c>
      <c r="D2" t="inlineStr">
        <is>
          <t>Other</t>
        </is>
      </c>
      <c r="E2" t="b">
        <v>0</v>
      </c>
      <c r="F2" t="b">
        <v>0</v>
      </c>
      <c r="G2" s="12" t="n">
        <v>980</v>
      </c>
      <c r="H2" t="inlineStr">
        <is>
          <t>per item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ACH processing service with per-item pricing</t>
        </is>
      </c>
    </row>
    <row r="3">
      <c r="A3" t="n">
        <v>11</v>
      </c>
      <c r="B3" t="inlineStr">
        <is>
          <t>Monthly F</t>
        </is>
      </c>
      <c r="C3" t="inlineStr">
        <is>
          <t>Bill Pay</t>
        </is>
      </c>
      <c r="D3" t="inlineStr">
        <is>
          <t>Other</t>
        </is>
      </c>
      <c r="E3" t="b">
        <v>0</v>
      </c>
      <c r="F3" t="b">
        <v>0</v>
      </c>
      <c r="G3" s="12" t="n">
        <v>380</v>
      </c>
      <c r="H3" t="inlineStr">
        <is>
          <t>per payment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Bill pay service with per-payment pricing</t>
        </is>
      </c>
    </row>
    <row r="4">
      <c r="A4" t="n">
        <v>6</v>
      </c>
      <c r="B4" t="inlineStr">
        <is>
          <t>Monthly F</t>
        </is>
      </c>
      <c r="C4" t="inlineStr">
        <is>
          <t>Fusion Analytics</t>
        </is>
      </c>
      <c r="D4" t="inlineStr">
        <is>
          <t>Other</t>
        </is>
      </c>
      <c r="E4" t="b">
        <v>0</v>
      </c>
      <c r="F4" t="b">
        <v>0</v>
      </c>
      <c r="G4" s="12" t="n">
        <v>3400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Analytics platform bundle</t>
        </is>
      </c>
    </row>
    <row r="5">
      <c r="A5" t="n">
        <v>1</v>
      </c>
      <c r="B5" t="inlineStr">
        <is>
          <t>Monthly F</t>
        </is>
      </c>
      <c r="C5" t="inlineStr">
        <is>
          <t>Fusion Core Banking</t>
        </is>
      </c>
      <c r="D5" t="inlineStr">
        <is>
          <t>Other</t>
        </is>
      </c>
      <c r="E5" t="b">
        <v>0</v>
      </c>
      <c r="F5" t="b">
        <v>0</v>
      </c>
      <c r="G5" s="12" t="n">
        <v>22400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Core banking platform bundle</t>
        </is>
      </c>
    </row>
    <row r="6">
      <c r="A6" t="n">
        <v>2</v>
      </c>
      <c r="B6" t="inlineStr">
        <is>
          <t>Monthly F</t>
        </is>
      </c>
      <c r="C6" t="inlineStr">
        <is>
          <t>Fusion Digital Banking</t>
        </is>
      </c>
      <c r="D6" t="inlineStr">
        <is>
          <t>Other</t>
        </is>
      </c>
      <c r="E6" t="b">
        <v>0</v>
      </c>
      <c r="F6" t="b">
        <v>0</v>
      </c>
      <c r="G6" s="12" t="n">
        <v>9800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Digital banking platform bundle</t>
        </is>
      </c>
    </row>
    <row r="7">
      <c r="A7" t="n">
        <v>5</v>
      </c>
      <c r="B7" t="inlineStr">
        <is>
          <t>Monthly F</t>
        </is>
      </c>
      <c r="C7" t="inlineStr">
        <is>
          <t>Fusion Document Management</t>
        </is>
      </c>
      <c r="D7" t="inlineStr">
        <is>
          <t>Other</t>
        </is>
      </c>
      <c r="E7" t="b">
        <v>0</v>
      </c>
      <c r="F7" t="b">
        <v>0</v>
      </c>
      <c r="G7" s="12" t="n">
        <v>4100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Document management system bundle</t>
        </is>
      </c>
    </row>
    <row r="8">
      <c r="A8" t="n">
        <v>3</v>
      </c>
      <c r="B8" t="inlineStr">
        <is>
          <t>Monthly F</t>
        </is>
      </c>
      <c r="C8" t="inlineStr">
        <is>
          <t>Fusion Mobile</t>
        </is>
      </c>
      <c r="D8" t="inlineStr">
        <is>
          <t>Other</t>
        </is>
      </c>
      <c r="E8" t="b">
        <v>0</v>
      </c>
      <c r="F8" t="b">
        <v>0</v>
      </c>
      <c r="G8" s="12" t="n">
        <v>5600</v>
      </c>
      <c r="H8" t="inlineStr">
        <is>
          <t>per month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Mobile banking platform bundle</t>
        </is>
      </c>
    </row>
    <row r="9">
      <c r="A9" t="n">
        <v>4</v>
      </c>
      <c r="B9" t="inlineStr">
        <is>
          <t>Monthly F</t>
        </is>
      </c>
      <c r="C9" t="inlineStr">
        <is>
          <t>Fusion Payments Hub</t>
        </is>
      </c>
      <c r="D9" t="inlineStr">
        <is>
          <t>Other</t>
        </is>
      </c>
      <c r="E9" t="b">
        <v>0</v>
      </c>
      <c r="F9" t="b">
        <v>0</v>
      </c>
      <c r="G9" s="12" t="n">
        <v>7200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Payments processing platform bundle</t>
        </is>
      </c>
    </row>
    <row r="10">
      <c r="A10" t="n">
        <v>10</v>
      </c>
      <c r="B10" t="inlineStr">
        <is>
          <t>Monthly F</t>
        </is>
      </c>
      <c r="C10" t="inlineStr">
        <is>
          <t>Positive Pay</t>
        </is>
      </c>
      <c r="D10" t="inlineStr">
        <is>
          <t>Other</t>
        </is>
      </c>
      <c r="E10" t="b">
        <v>0</v>
      </c>
      <c r="F10" t="b">
        <v>0</v>
      </c>
      <c r="G10" s="12" t="n">
        <v>425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Positive pay fraud prevention service</t>
        </is>
      </c>
    </row>
    <row r="11">
      <c r="A11" t="n">
        <v>9</v>
      </c>
      <c r="B11" t="inlineStr">
        <is>
          <t>Monthly F</t>
        </is>
      </c>
      <c r="C11" t="inlineStr">
        <is>
          <t>Remote Deposit</t>
        </is>
      </c>
      <c r="D11" t="inlineStr">
        <is>
          <t>Other</t>
        </is>
      </c>
      <c r="E11" t="b">
        <v>0</v>
      </c>
      <c r="F11" t="b">
        <v>0</v>
      </c>
      <c r="G11" s="12" t="n">
        <v>720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Remote deposit capture service</t>
        </is>
      </c>
    </row>
    <row r="12">
      <c r="A12" t="n">
        <v>8</v>
      </c>
      <c r="B12" t="inlineStr">
        <is>
          <t>Monthly F</t>
        </is>
      </c>
      <c r="C12" t="inlineStr">
        <is>
          <t>Wire Services</t>
        </is>
      </c>
      <c r="D12" t="inlineStr">
        <is>
          <t>Other</t>
        </is>
      </c>
      <c r="E12" t="b">
        <v>0</v>
      </c>
      <c r="F12" t="b">
        <v>0</v>
      </c>
      <c r="G12" s="12" t="n">
        <v>580</v>
      </c>
      <c r="H12" t="inlineStr">
        <is>
          <t>per wire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Wire transfer services with per-wire pricing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3" t="inlineStr">
        <is>
          <t>Total Annual Cost</t>
        </is>
      </c>
      <c r="B5" s="14">
        <f>B3+B4</f>
        <v/>
      </c>
      <c r="C5" s="14">
        <f>C3+C4</f>
        <v/>
      </c>
      <c r="D5" s="14">
        <f>D3+D4</f>
        <v/>
      </c>
      <c r="E5" s="14">
        <f>E3+E4</f>
        <v/>
      </c>
      <c r="F5" s="14">
        <f>F3+F4</f>
        <v/>
      </c>
      <c r="G5" s="14">
        <f>G3+G4</f>
        <v/>
      </c>
      <c r="H5" s="14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Other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Non-Bundle Required - Vendor</t>
        </is>
      </c>
      <c r="B6" s="9" t="n"/>
      <c r="C6" s="9" t="n"/>
    </row>
    <row r="7">
      <c r="A7" s="13" t="inlineStr">
        <is>
          <t>Total Required TCO</t>
        </is>
      </c>
      <c r="B7" s="14">
        <f>SUM(B5:B5)</f>
        <v/>
      </c>
      <c r="C7" s="14">
        <f>B7/84</f>
        <v/>
      </c>
    </row>
    <row r="8">
      <c r="A8" t="inlineStr">
        <is>
          <t>One-Time Fees</t>
        </is>
      </c>
      <c r="B8" s="9" t="n"/>
      <c r="C8" s="9" t="n"/>
    </row>
    <row r="9">
      <c r="B9" s="9" t="n"/>
      <c r="C9" s="9" t="n"/>
    </row>
    <row r="10">
      <c r="A10" s="10" t="inlineStr">
        <is>
          <t>Total Required TCO</t>
        </is>
      </c>
      <c r="B10" s="9" t="n"/>
      <c r="C10" s="9" t="n"/>
    </row>
    <row r="11">
      <c r="B11" s="9" t="n"/>
      <c r="C11" s="9" t="n"/>
    </row>
    <row r="12">
      <c r="A12" t="inlineStr">
        <is>
          <t>Optional Solutions</t>
        </is>
      </c>
      <c r="B12" s="9" t="n"/>
      <c r="C12" s="9" t="n"/>
    </row>
    <row r="13">
      <c r="B13" s="9" t="n"/>
      <c r="C13" s="9" t="n"/>
    </row>
    <row r="14">
      <c r="A14" s="10" t="inlineStr">
        <is>
          <t>Grand Total (Required + Optional)</t>
        </is>
      </c>
      <c r="B14" s="9" t="n"/>
      <c r="C14" s="9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GATEWAY_FINASTRA</t>
        </is>
      </c>
    </row>
    <row r="3">
      <c r="A3" s="2" t="inlineStr">
        <is>
          <t>Client Name:</t>
        </is>
      </c>
    </row>
    <row r="4">
      <c r="A4" s="2" t="inlineStr">
        <is>
          <t>Proposal Type:</t>
        </is>
      </c>
      <c r="B4" t="inlineStr">
        <is>
          <t>Software Licensing Proposal</t>
        </is>
      </c>
    </row>
    <row r="5">
      <c r="A5" s="2" t="inlineStr">
        <is>
          <t>Proposal Date:</t>
        </is>
      </c>
    </row>
    <row r="6">
      <c r="A6" s="2" t="inlineStr">
        <is>
          <t>Contract Term (Years):</t>
        </is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2026-01-14 17:43:38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2026-01-14T23:43:38Z</dcterms:modified>
</cp:coreProperties>
</file>