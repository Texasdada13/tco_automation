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  <sheet xmlns:r="http://schemas.openxmlformats.org/officeDocument/2006/relationships" name="Normalized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_(&quot;$&quot;* #,##0_);_(&quot;$&quot;* (#,##0);_(&quot;$&quot;* &quot;-&quot;_);_(@_)"/>
    <numFmt numFmtId="166" formatCode="0.0%"/>
  </numFmts>
  <fonts count="2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  <font>
      <i val="1"/>
    </font>
    <font>
      <b val="1"/>
      <color rgb="00FFFFFF"/>
      <sz val="18"/>
    </font>
    <font>
      <i val="1"/>
      <color rgb="00666666"/>
      <sz val="11"/>
    </font>
    <font>
      <b val="1"/>
      <color rgb="001F4E79"/>
      <sz val="14"/>
    </font>
    <font>
      <b val="1"/>
      <sz val="10"/>
    </font>
    <font>
      <b val="1"/>
      <color rgb="00006100"/>
      <sz val="11"/>
    </font>
    <font>
      <b val="1"/>
      <color rgb="00006100"/>
      <sz val="12"/>
    </font>
    <font>
      <b val="1"/>
      <color rgb="00FFFFFF"/>
      <sz val="11"/>
    </font>
    <font>
      <b val="1"/>
      <sz val="11"/>
    </font>
    <font>
      <b val="1"/>
      <color rgb="00FFFFFF"/>
      <sz val="12"/>
    </font>
    <font>
      <b val="1"/>
      <color rgb="00006100"/>
      <sz val="14"/>
    </font>
    <font>
      <color rgb="00006100"/>
      <sz val="12"/>
    </font>
    <font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</fills>
  <borders count="7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4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11" fillId="5" borderId="2" applyAlignment="1" pivotButton="0" quotePrefix="0" xfId="0">
      <alignment horizontal="right"/>
    </xf>
    <xf numFmtId="0" fontId="0" fillId="5" borderId="2" pivotButton="0" quotePrefix="0" xfId="0"/>
    <xf numFmtId="165" fontId="11" fillId="5" borderId="2" pivotButton="0" quotePrefix="0" xfId="0"/>
    <xf numFmtId="165" fontId="12" fillId="5" borderId="2" pivotButton="0" quotePrefix="0" xfId="0"/>
    <xf numFmtId="166" fontId="12" fillId="5" borderId="2" pivotButton="0" quotePrefix="0" xfId="0"/>
    <xf numFmtId="0" fontId="11" fillId="6" borderId="2" applyAlignment="1" pivotButton="0" quotePrefix="0" xfId="0">
      <alignment horizontal="right"/>
    </xf>
    <xf numFmtId="0" fontId="13" fillId="6" borderId="2" pivotButton="0" quotePrefix="0" xfId="0"/>
    <xf numFmtId="0" fontId="14" fillId="7" borderId="2" applyAlignment="1" pivotButton="0" quotePrefix="0" xfId="0">
      <alignment horizontal="center" vertical="center"/>
    </xf>
    <xf numFmtId="0" fontId="15" fillId="3" borderId="2" pivotButton="0" quotePrefix="0" xfId="0"/>
    <xf numFmtId="165" fontId="0" fillId="3" borderId="2" applyAlignment="1" pivotButton="0" quotePrefix="0" xfId="0">
      <alignment horizontal="right"/>
    </xf>
    <xf numFmtId="165" fontId="0" fillId="6" borderId="2" applyAlignment="1" pivotButton="0" quotePrefix="0" xfId="0">
      <alignment horizontal="right"/>
    </xf>
    <xf numFmtId="166" fontId="0" fillId="0" borderId="2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0" fontId="15" fillId="0" borderId="2" pivotButton="0" quotePrefix="0" xfId="0"/>
    <xf numFmtId="165" fontId="0" fillId="0" borderId="2" applyAlignment="1" pivotButton="0" quotePrefix="0" xfId="0">
      <alignment horizontal="right"/>
    </xf>
    <xf numFmtId="0" fontId="16" fillId="7" borderId="2" pivotButton="0" quotePrefix="0" xfId="0"/>
    <xf numFmtId="165" fontId="16" fillId="7" borderId="2" applyAlignment="1" pivotButton="0" quotePrefix="0" xfId="0">
      <alignment horizontal="right"/>
    </xf>
    <xf numFmtId="166" fontId="16" fillId="7" borderId="2" applyAlignment="1" pivotButton="0" quotePrefix="0" xfId="0">
      <alignment horizontal="center"/>
    </xf>
    <xf numFmtId="0" fontId="13" fillId="6" borderId="2" applyAlignment="1" pivotButton="0" quotePrefix="0" xfId="0">
      <alignment horizontal="center"/>
    </xf>
    <xf numFmtId="0" fontId="17" fillId="6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18" fillId="6" borderId="2" pivotButton="0" quotePrefix="0" xfId="0"/>
    <xf numFmtId="0" fontId="15" fillId="8" borderId="2" pivotButton="0" quotePrefix="0" xfId="0"/>
    <xf numFmtId="0" fontId="14" fillId="7" borderId="2" applyAlignment="1" pivotButton="0" quotePrefix="0" xfId="0">
      <alignment horizontal="center"/>
    </xf>
    <xf numFmtId="0" fontId="19" fillId="3" borderId="2" pivotButton="0" quotePrefix="0" xfId="0"/>
    <xf numFmtId="0" fontId="19" fillId="0" borderId="2" pivotButton="0" quotePrefix="0" xfId="0"/>
    <xf numFmtId="0" fontId="0" fillId="0" borderId="2" pivotButton="0" quotePrefix="0" xfId="0"/>
    <xf numFmtId="0" fontId="0" fillId="3" borderId="2" pivotButton="0" quotePrefix="0" xfId="0"/>
    <xf numFmtId="0" fontId="11" fillId="8" borderId="2" pivotButton="0" quotePrefix="0" xfId="0"/>
    <xf numFmtId="165" fontId="11" fillId="8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8</v>
      </c>
      <c r="B2" t="inlineStr">
        <is>
          <t>Annual</t>
        </is>
      </c>
      <c r="C2" t="inlineStr">
        <is>
          <t>CSI Annual Forms &amp; Statements</t>
        </is>
      </c>
      <c r="D2" t="inlineStr">
        <is>
          <t>Other</t>
        </is>
      </c>
      <c r="E2" t="b">
        <v>0</v>
      </c>
      <c r="F2" t="b">
        <v>0</v>
      </c>
      <c r="G2" s="12" t="n">
        <v>170.33</v>
      </c>
      <c r="H2" t="inlineStr">
        <is>
          <t>per year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0.95</v>
      </c>
      <c r="T2" t="inlineStr">
        <is>
          <t>Annual fee of $2,044 converted to monthly equivalent</t>
        </is>
      </c>
    </row>
    <row r="3">
      <c r="A3" t="n">
        <v>5</v>
      </c>
      <c r="B3" t="inlineStr">
        <is>
          <t>Monthly F</t>
        </is>
      </c>
      <c r="C3" t="inlineStr">
        <is>
          <t>CSI Fees Included in Organic Growth Based Pricing</t>
        </is>
      </c>
      <c r="D3" t="inlineStr">
        <is>
          <t>Core</t>
        </is>
      </c>
      <c r="E3" t="b">
        <v>0</v>
      </c>
      <c r="F3" t="b">
        <v>0</v>
      </c>
      <c r="G3" s="12" t="n">
        <v>38663</v>
      </c>
      <c r="H3" t="inlineStr">
        <is>
          <t>per month</t>
        </is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0.95</v>
      </c>
      <c r="T3" t="inlineStr">
        <is>
          <t>Core processing fees under organic growth pricing</t>
        </is>
      </c>
    </row>
    <row r="4">
      <c r="A4" t="n">
        <v>7</v>
      </c>
      <c r="B4" t="inlineStr">
        <is>
          <t>Monthly F</t>
        </is>
      </c>
      <c r="C4" t="inlineStr">
        <is>
          <t>Monthly Equipment Fees</t>
        </is>
      </c>
      <c r="D4" t="inlineStr">
        <is>
          <t>Item Processing</t>
        </is>
      </c>
      <c r="E4" t="b">
        <v>0</v>
      </c>
      <c r="F4" t="b">
        <v>0</v>
      </c>
      <c r="G4" s="12" t="n">
        <v>250</v>
      </c>
      <c r="H4" t="inlineStr">
        <is>
          <t>per month</t>
        </is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0.95</v>
      </c>
      <c r="T4" t="inlineStr">
        <is>
          <t>Monthly equipment rental/maintenance</t>
        </is>
      </c>
    </row>
    <row r="5">
      <c r="A5" t="n">
        <v>6</v>
      </c>
      <c r="B5" t="inlineStr">
        <is>
          <t>Monthly F</t>
        </is>
      </c>
      <c r="C5" t="inlineStr">
        <is>
          <t>Other Processing Fees</t>
        </is>
      </c>
      <c r="D5" t="inlineStr">
        <is>
          <t>Other</t>
        </is>
      </c>
      <c r="E5" t="b">
        <v>0</v>
      </c>
      <c r="F5" t="b">
        <v>0</v>
      </c>
      <c r="G5" s="12" t="n">
        <v>12734</v>
      </c>
      <c r="H5" t="inlineStr">
        <is>
          <t>per month</t>
        </is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0.95</v>
      </c>
      <c r="T5" t="inlineStr">
        <is>
          <t>Additional processing fees</t>
        </is>
      </c>
    </row>
    <row r="6">
      <c r="A6" t="n">
        <v>2</v>
      </c>
      <c r="B6" t="inlineStr">
        <is>
          <t>One-Time</t>
        </is>
      </c>
      <c r="C6" t="inlineStr">
        <is>
          <t>Equipment Fees - Implementation Fee</t>
        </is>
      </c>
      <c r="D6" t="inlineStr">
        <is>
          <t>Item Processing</t>
        </is>
      </c>
      <c r="E6" t="b">
        <v>0</v>
      </c>
      <c r="F6" t="b">
        <v>0</v>
      </c>
      <c r="G6" s="12" t="n">
        <v>76933</v>
      </c>
      <c r="H6" t="inlineStr">
        <is>
          <t>one-time</t>
        </is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0.95</v>
      </c>
      <c r="T6" t="inlineStr">
        <is>
          <t>Hardware and equipment costs</t>
        </is>
      </c>
    </row>
    <row r="7">
      <c r="A7" t="n">
        <v>1</v>
      </c>
      <c r="B7" t="inlineStr">
        <is>
          <t>One-Time</t>
        </is>
      </c>
      <c r="C7" t="inlineStr">
        <is>
          <t>CSI One-Time Fee - Implementation Fee</t>
        </is>
      </c>
      <c r="D7" t="inlineStr">
        <is>
          <t>Other</t>
        </is>
      </c>
      <c r="E7" t="b">
        <v>0</v>
      </c>
      <c r="F7" t="b">
        <v>0</v>
      </c>
      <c r="G7" s="12" t="n">
        <v>261102</v>
      </c>
      <c r="H7" t="inlineStr">
        <is>
          <t>one-time</t>
        </is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0.95</v>
      </c>
      <c r="T7" t="inlineStr">
        <is>
          <t>Base implementation fee</t>
        </is>
      </c>
    </row>
    <row r="8">
      <c r="A8" t="n">
        <v>3</v>
      </c>
      <c r="B8" t="inlineStr">
        <is>
          <t>One-Time</t>
        </is>
      </c>
      <c r="C8" t="inlineStr">
        <is>
          <t>Credit for One-Time Fees - Implementation Fee</t>
        </is>
      </c>
      <c r="D8" t="inlineStr">
        <is>
          <t>Other</t>
        </is>
      </c>
      <c r="E8" t="b">
        <v>0</v>
      </c>
      <c r="F8" t="b">
        <v>0</v>
      </c>
      <c r="G8" s="12" t="n">
        <v>-338034</v>
      </c>
      <c r="H8" t="inlineStr">
        <is>
          <t>one-time</t>
        </is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0.95</v>
      </c>
      <c r="T8" t="inlineStr">
        <is>
          <t>Credit applied to implementation fees</t>
        </is>
      </c>
    </row>
    <row r="9">
      <c r="A9" t="n">
        <v>4</v>
      </c>
      <c r="B9" t="inlineStr">
        <is>
          <t>One-Time</t>
        </is>
      </c>
      <c r="C9" t="inlineStr">
        <is>
          <t>Special Incentive Billing Credit - Implementation Fee</t>
        </is>
      </c>
      <c r="D9" t="inlineStr">
        <is>
          <t>Other</t>
        </is>
      </c>
      <c r="E9" t="b">
        <v>0</v>
      </c>
      <c r="F9" t="b">
        <v>0</v>
      </c>
      <c r="G9" s="12" t="n">
        <v>-375000</v>
      </c>
      <c r="H9" t="inlineStr">
        <is>
          <t>one-time</t>
        </is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0.95</v>
      </c>
      <c r="T9" t="inlineStr">
        <is>
          <t>Special incentive credit</t>
        </is>
      </c>
    </row>
    <row r="10">
      <c r="A10" t="n">
        <v>17</v>
      </c>
      <c r="B10" t="inlineStr">
        <is>
          <t>Monthly F</t>
        </is>
      </c>
      <c r="C10" t="inlineStr">
        <is>
          <t>PLUS Network Sponsorship</t>
        </is>
      </c>
      <c r="D10" t="inlineStr">
        <is>
          <t>Network</t>
        </is>
      </c>
      <c r="E10" t="b">
        <v>0</v>
      </c>
      <c r="F10" t="b">
        <v>1</v>
      </c>
      <c r="G10" s="12" t="n">
        <v>50</v>
      </c>
      <c r="H10" t="inlineStr">
        <is>
          <t>per month</t>
        </is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0.95</v>
      </c>
      <c r="T10" t="inlineStr">
        <is>
          <t>Fixed monthly network sponsorship fee</t>
        </is>
      </c>
    </row>
    <row r="11">
      <c r="A11" t="n">
        <v>27</v>
      </c>
      <c r="B11" t="inlineStr">
        <is>
          <t>Monthly F</t>
        </is>
      </c>
      <c r="C11" t="inlineStr">
        <is>
          <t>Call Report File Download (SmartCall)</t>
        </is>
      </c>
      <c r="D11" t="inlineStr">
        <is>
          <t>Other</t>
        </is>
      </c>
      <c r="E11" t="b">
        <v>0</v>
      </c>
      <c r="F11" t="b">
        <v>1</v>
      </c>
      <c r="G11" s="12" t="n">
        <v>100</v>
      </c>
      <c r="H11" t="inlineStr">
        <is>
          <t>per month</t>
        </is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0.95</v>
      </c>
      <c r="T11" t="inlineStr">
        <is>
          <t>Fixed monthly fee for call report downloads</t>
        </is>
      </c>
    </row>
    <row r="12">
      <c r="A12" t="n">
        <v>31</v>
      </c>
      <c r="B12" t="inlineStr">
        <is>
          <t>Monthly F</t>
        </is>
      </c>
      <c r="C12" t="inlineStr">
        <is>
          <t>WatchDog CIP License</t>
        </is>
      </c>
      <c r="D12" t="inlineStr">
        <is>
          <t>Risk, Fraud &amp; Compliance</t>
        </is>
      </c>
      <c r="E12" t="b">
        <v>0</v>
      </c>
      <c r="F12" t="b">
        <v>1</v>
      </c>
      <c r="G12" s="12" t="n">
        <v>250</v>
      </c>
      <c r="H12" t="inlineStr">
        <is>
          <t>per month</t>
        </is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0.9</v>
      </c>
      <c r="T12" t="inlineStr">
        <is>
          <t>Annual license fee of $249.58 shown as monthly equivalent</t>
        </is>
      </c>
    </row>
    <row r="13">
      <c r="A13" t="n">
        <v>25</v>
      </c>
      <c r="B13" t="inlineStr">
        <is>
          <t>Monthly V</t>
        </is>
      </c>
      <c r="C13" t="inlineStr">
        <is>
          <t>Mobile Banking Push Notifications</t>
        </is>
      </c>
      <c r="D13" t="inlineStr">
        <is>
          <t>Digital</t>
        </is>
      </c>
      <c r="E13" t="b">
        <v>0</v>
      </c>
      <c r="F13" t="b">
        <v>1</v>
      </c>
      <c r="G13" s="12" t="n">
        <v>220</v>
      </c>
      <c r="H13" t="inlineStr">
        <is>
          <t>per notification</t>
        </is>
      </c>
      <c r="I13" s="13" t="n">
        <v>1</v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S13" s="3" t="n">
        <v>0.9</v>
      </c>
      <c r="T13" t="inlineStr">
        <is>
          <t>600 notifications at $0.20 each ($100 base fee included)</t>
        </is>
      </c>
    </row>
    <row r="14">
      <c r="A14" t="n">
        <v>24</v>
      </c>
      <c r="B14" t="inlineStr">
        <is>
          <t>Monthly V</t>
        </is>
      </c>
      <c r="C14" t="inlineStr">
        <is>
          <t>Mobile Deposit</t>
        </is>
      </c>
      <c r="D14" t="inlineStr">
        <is>
          <t>Digital</t>
        </is>
      </c>
      <c r="E14" t="b">
        <v>0</v>
      </c>
      <c r="F14" t="b">
        <v>1</v>
      </c>
      <c r="G14" s="12" t="n">
        <v>583</v>
      </c>
      <c r="H14" t="inlineStr">
        <is>
          <t>per deposit</t>
        </is>
      </c>
      <c r="I14" s="13" t="n">
        <v>1</v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S14" s="3" t="n">
        <v>0.9</v>
      </c>
      <c r="T14" t="inlineStr">
        <is>
          <t>1,416 deposits at $0.55 per deposit ($525 base fee included)</t>
        </is>
      </c>
    </row>
    <row r="15">
      <c r="A15" t="n">
        <v>23</v>
      </c>
      <c r="B15" t="inlineStr">
        <is>
          <t>Monthly V</t>
        </is>
      </c>
      <c r="C15" t="inlineStr">
        <is>
          <t>Out of Band Authentication (OOBA)</t>
        </is>
      </c>
      <c r="D15" t="inlineStr">
        <is>
          <t>Digital</t>
        </is>
      </c>
      <c r="E15" t="b">
        <v>0</v>
      </c>
      <c r="F15" t="b">
        <v>1</v>
      </c>
      <c r="G15" s="12" t="n">
        <v>401</v>
      </c>
      <c r="H15" t="inlineStr">
        <is>
          <t>per authentication</t>
        </is>
      </c>
      <c r="I15" s="13" t="n">
        <v>1</v>
      </c>
      <c r="J15" s="12">
        <f>IF(B15="Monthly F",G15,IF(B15="Monthly V",G15*I15,IF(B15="Annual",G15/12,0)))</f>
        <v/>
      </c>
      <c r="K15" s="12">
        <f>IF(B15="One-Time",G15,J15*12)</f>
        <v/>
      </c>
      <c r="L15" s="12">
        <f>IF(B15="One-Time",0,K15*(1+Metadata!$B$8))</f>
        <v/>
      </c>
      <c r="M15" s="12">
        <f>IF(B15="One-Time",0,L15*(1+Metadata!$B$8))</f>
        <v/>
      </c>
      <c r="N15" s="12">
        <f>IF(B15="One-Time",0,M15*(1+Metadata!$B$8))</f>
        <v/>
      </c>
      <c r="O15" s="12">
        <f>IF(B15="One-Time",0,N15*(1+Metadata!$B$8))</f>
        <v/>
      </c>
      <c r="P15" s="12">
        <f>IF(B15="One-Time",0,O15*(1+Metadata!$B$8))</f>
        <v/>
      </c>
      <c r="Q15" s="12">
        <f>IF(B15="One-Time",0,P15*(1+Metadata!$B$8))</f>
        <v/>
      </c>
      <c r="R15" s="12">
        <f>SUM(K15:Q15)</f>
        <v/>
      </c>
      <c r="S15" s="3" t="n">
        <v>0.85</v>
      </c>
      <c r="T15" t="inlineStr">
        <is>
          <t>2,027 + 10,730 + 51 + 3,223 authentications at $0.05 each ($300 base fee included)</t>
        </is>
      </c>
    </row>
    <row r="16">
      <c r="A16" t="n">
        <v>13</v>
      </c>
      <c r="B16" t="inlineStr">
        <is>
          <t>Monthly V</t>
        </is>
      </c>
      <c r="C16" t="inlineStr">
        <is>
          <t>Card Production - Instant Issue</t>
        </is>
      </c>
      <c r="D16" t="inlineStr">
        <is>
          <t>EFT</t>
        </is>
      </c>
      <c r="E16" t="b">
        <v>0</v>
      </c>
      <c r="F16" t="b">
        <v>1</v>
      </c>
      <c r="G16" s="12" t="n">
        <v>81</v>
      </c>
      <c r="H16" t="inlineStr">
        <is>
          <t>per card</t>
        </is>
      </c>
      <c r="I16" s="13" t="n">
        <v>1</v>
      </c>
      <c r="J16" s="12">
        <f>IF(B16="Monthly F",G16,IF(B16="Monthly V",G16*I16,IF(B16="Annual",G16/12,0)))</f>
        <v/>
      </c>
      <c r="K16" s="12">
        <f>IF(B16="One-Time",G16,J16*12)</f>
        <v/>
      </c>
      <c r="L16" s="12">
        <f>IF(B16="One-Time",0,K16*(1+Metadata!$B$8))</f>
        <v/>
      </c>
      <c r="M16" s="12">
        <f>IF(B16="One-Time",0,L16*(1+Metadata!$B$8))</f>
        <v/>
      </c>
      <c r="N16" s="12">
        <f>IF(B16="One-Time",0,M16*(1+Metadata!$B$8))</f>
        <v/>
      </c>
      <c r="O16" s="12">
        <f>IF(B16="One-Time",0,N16*(1+Metadata!$B$8))</f>
        <v/>
      </c>
      <c r="P16" s="12">
        <f>IF(B16="One-Time",0,O16*(1+Metadata!$B$8))</f>
        <v/>
      </c>
      <c r="Q16" s="12">
        <f>IF(B16="One-Time",0,P16*(1+Metadata!$B$8))</f>
        <v/>
      </c>
      <c r="R16" s="12">
        <f>SUM(K16:Q16)</f>
        <v/>
      </c>
      <c r="S16" s="3" t="n">
        <v>0.9</v>
      </c>
      <c r="T16" t="inlineStr">
        <is>
          <t>108 cards at $0.75 per card</t>
        </is>
      </c>
    </row>
    <row r="17">
      <c r="A17" t="n">
        <v>16</v>
      </c>
      <c r="B17" t="inlineStr">
        <is>
          <t>Monthly V</t>
        </is>
      </c>
      <c r="C17" t="inlineStr">
        <is>
          <t>Contactless EMV Card Production Fee</t>
        </is>
      </c>
      <c r="D17" t="inlineStr">
        <is>
          <t>EFT</t>
        </is>
      </c>
      <c r="E17" t="b">
        <v>0</v>
      </c>
      <c r="F17" t="b">
        <v>1</v>
      </c>
      <c r="G17" s="12" t="n">
        <v>68</v>
      </c>
      <c r="H17" t="inlineStr">
        <is>
          <t>per card</t>
        </is>
      </c>
      <c r="I17" s="13" t="n">
        <v>1</v>
      </c>
      <c r="J17" s="12">
        <f>IF(B17="Monthly F",G17,IF(B17="Monthly V",G17*I17,IF(B17="Annual",G17/12,0)))</f>
        <v/>
      </c>
      <c r="K17" s="12">
        <f>IF(B17="One-Time",G17,J17*12)</f>
        <v/>
      </c>
      <c r="L17" s="12">
        <f>IF(B17="One-Time",0,K17*(1+Metadata!$B$8))</f>
        <v/>
      </c>
      <c r="M17" s="12">
        <f>IF(B17="One-Time",0,L17*(1+Metadata!$B$8))</f>
        <v/>
      </c>
      <c r="N17" s="12">
        <f>IF(B17="One-Time",0,M17*(1+Metadata!$B$8))</f>
        <v/>
      </c>
      <c r="O17" s="12">
        <f>IF(B17="One-Time",0,N17*(1+Metadata!$B$8))</f>
        <v/>
      </c>
      <c r="P17" s="12">
        <f>IF(B17="One-Time",0,O17*(1+Metadata!$B$8))</f>
        <v/>
      </c>
      <c r="Q17" s="12">
        <f>IF(B17="One-Time",0,P17*(1+Metadata!$B$8))</f>
        <v/>
      </c>
      <c r="R17" s="12">
        <f>SUM(K17:Q17)</f>
        <v/>
      </c>
      <c r="S17" s="3" t="n">
        <v>0.85</v>
      </c>
      <c r="T17" t="inlineStr">
        <is>
          <t>22,710 cards at $0.003 per card (calculated from $68 monthly)</t>
        </is>
      </c>
    </row>
    <row r="18">
      <c r="A18" t="n">
        <v>15</v>
      </c>
      <c r="B18" t="inlineStr">
        <is>
          <t>Monthly V</t>
        </is>
      </c>
      <c r="C18" t="inlineStr">
        <is>
          <t>EFT Processing Fees - Primary Network</t>
        </is>
      </c>
      <c r="D18" t="inlineStr">
        <is>
          <t>EFT</t>
        </is>
      </c>
      <c r="E18" t="b">
        <v>0</v>
      </c>
      <c r="F18" t="b">
        <v>1</v>
      </c>
      <c r="G18" s="12" t="n">
        <v>514</v>
      </c>
      <c r="H18" t="inlineStr">
        <is>
          <t>per transaction</t>
        </is>
      </c>
      <c r="I18" s="13" t="n">
        <v>1</v>
      </c>
      <c r="J18" s="12">
        <f>IF(B18="Monthly F",G18,IF(B18="Monthly V",G18*I18,IF(B18="Annual",G18/12,0)))</f>
        <v/>
      </c>
      <c r="K18" s="12">
        <f>IF(B18="One-Time",G18,J18*12)</f>
        <v/>
      </c>
      <c r="L18" s="12">
        <f>IF(B18="One-Time",0,K18*(1+Metadata!$B$8))</f>
        <v/>
      </c>
      <c r="M18" s="12">
        <f>IF(B18="One-Time",0,L18*(1+Metadata!$B$8))</f>
        <v/>
      </c>
      <c r="N18" s="12">
        <f>IF(B18="One-Time",0,M18*(1+Metadata!$B$8))</f>
        <v/>
      </c>
      <c r="O18" s="12">
        <f>IF(B18="One-Time",0,N18*(1+Metadata!$B$8))</f>
        <v/>
      </c>
      <c r="P18" s="12">
        <f>IF(B18="One-Time",0,O18*(1+Metadata!$B$8))</f>
        <v/>
      </c>
      <c r="Q18" s="12">
        <f>IF(B18="One-Time",0,P18*(1+Metadata!$B$8))</f>
        <v/>
      </c>
      <c r="R18" s="12">
        <f>SUM(K18:Q18)</f>
        <v/>
      </c>
      <c r="S18" s="3" t="n">
        <v>0.9</v>
      </c>
      <c r="T18" t="inlineStr">
        <is>
          <t>41,101 transactions at $0.01 per transaction</t>
        </is>
      </c>
    </row>
    <row r="19">
      <c r="A19" t="n">
        <v>14</v>
      </c>
      <c r="B19" t="inlineStr">
        <is>
          <t>Monthly V</t>
        </is>
      </c>
      <c r="C19" t="inlineStr">
        <is>
          <t>EMV Card Production Fee</t>
        </is>
      </c>
      <c r="D19" t="inlineStr">
        <is>
          <t>EFT</t>
        </is>
      </c>
      <c r="E19" t="b">
        <v>0</v>
      </c>
      <c r="F19" t="b">
        <v>1</v>
      </c>
      <c r="G19" s="12" t="n">
        <v>73</v>
      </c>
      <c r="H19" t="inlineStr">
        <is>
          <t>per card</t>
        </is>
      </c>
      <c r="I19" s="13" t="n">
        <v>1</v>
      </c>
      <c r="J19" s="12">
        <f>IF(B19="Monthly F",G19,IF(B19="Monthly V",G19*I19,IF(B19="Annual",G19/12,0)))</f>
        <v/>
      </c>
      <c r="K19" s="12">
        <f>IF(B19="One-Time",G19,J19*12)</f>
        <v/>
      </c>
      <c r="L19" s="12">
        <f>IF(B19="One-Time",0,K19*(1+Metadata!$B$8))</f>
        <v/>
      </c>
      <c r="M19" s="12">
        <f>IF(B19="One-Time",0,L19*(1+Metadata!$B$8))</f>
        <v/>
      </c>
      <c r="N19" s="12">
        <f>IF(B19="One-Time",0,M19*(1+Metadata!$B$8))</f>
        <v/>
      </c>
      <c r="O19" s="12">
        <f>IF(B19="One-Time",0,N19*(1+Metadata!$B$8))</f>
        <v/>
      </c>
      <c r="P19" s="12">
        <f>IF(B19="One-Time",0,O19*(1+Metadata!$B$8))</f>
        <v/>
      </c>
      <c r="Q19" s="12">
        <f>IF(B19="One-Time",0,P19*(1+Metadata!$B$8))</f>
        <v/>
      </c>
      <c r="R19" s="12">
        <f>SUM(K19:Q19)</f>
        <v/>
      </c>
      <c r="S19" s="3" t="n">
        <v>0.9</v>
      </c>
      <c r="T19" t="inlineStr">
        <is>
          <t>3,672 cards at $0.02 per card</t>
        </is>
      </c>
    </row>
    <row r="20">
      <c r="A20" t="n">
        <v>12</v>
      </c>
      <c r="B20" t="inlineStr">
        <is>
          <t>Monthly V</t>
        </is>
      </c>
      <c r="C20" t="inlineStr">
        <is>
          <t>PIN Change</t>
        </is>
      </c>
      <c r="D20" t="inlineStr">
        <is>
          <t>EFT</t>
        </is>
      </c>
      <c r="E20" t="b">
        <v>0</v>
      </c>
      <c r="F20" t="b">
        <v>1</v>
      </c>
      <c r="G20" s="12" t="n">
        <v>85</v>
      </c>
      <c r="H20" t="inlineStr">
        <is>
          <t>per change</t>
        </is>
      </c>
      <c r="I20" s="13" t="n">
        <v>1</v>
      </c>
      <c r="J20" s="12">
        <f>IF(B20="Monthly F",G20,IF(B20="Monthly V",G20*I20,IF(B20="Annual",G20/12,0)))</f>
        <v/>
      </c>
      <c r="K20" s="12">
        <f>IF(B20="One-Time",G20,J20*12)</f>
        <v/>
      </c>
      <c r="L20" s="12">
        <f>IF(B20="One-Time",0,K20*(1+Metadata!$B$8))</f>
        <v/>
      </c>
      <c r="M20" s="12">
        <f>IF(B20="One-Time",0,L20*(1+Metadata!$B$8))</f>
        <v/>
      </c>
      <c r="N20" s="12">
        <f>IF(B20="One-Time",0,M20*(1+Metadata!$B$8))</f>
        <v/>
      </c>
      <c r="O20" s="12">
        <f>IF(B20="One-Time",0,N20*(1+Metadata!$B$8))</f>
        <v/>
      </c>
      <c r="P20" s="12">
        <f>IF(B20="One-Time",0,O20*(1+Metadata!$B$8))</f>
        <v/>
      </c>
      <c r="Q20" s="12">
        <f>IF(B20="One-Time",0,P20*(1+Metadata!$B$8))</f>
        <v/>
      </c>
      <c r="R20" s="12">
        <f>SUM(K20:Q20)</f>
        <v/>
      </c>
      <c r="S20" s="3" t="n">
        <v>0.9</v>
      </c>
      <c r="T20" t="inlineStr">
        <is>
          <t>85 changes at $1.00 per change</t>
        </is>
      </c>
    </row>
    <row r="21">
      <c r="A21" t="n">
        <v>10</v>
      </c>
      <c r="B21" t="inlineStr">
        <is>
          <t>Monthly V</t>
        </is>
      </c>
      <c r="C21" t="inlineStr">
        <is>
          <t>A2iA CAR/LAR</t>
        </is>
      </c>
      <c r="D21" t="inlineStr">
        <is>
          <t>Image Solutions</t>
        </is>
      </c>
      <c r="E21" t="b">
        <v>0</v>
      </c>
      <c r="F21" t="b">
        <v>1</v>
      </c>
      <c r="G21" s="12" t="n">
        <v>767</v>
      </c>
      <c r="H21" t="inlineStr">
        <is>
          <t>per item</t>
        </is>
      </c>
      <c r="I21" s="13" t="n">
        <v>1</v>
      </c>
      <c r="J21" s="12">
        <f>IF(B21="Monthly F",G21,IF(B21="Monthly V",G21*I21,IF(B21="Annual",G21/12,0)))</f>
        <v/>
      </c>
      <c r="K21" s="12">
        <f>IF(B21="One-Time",G21,J21*12)</f>
        <v/>
      </c>
      <c r="L21" s="12">
        <f>IF(B21="One-Time",0,K21*(1+Metadata!$B$8))</f>
        <v/>
      </c>
      <c r="M21" s="12">
        <f>IF(B21="One-Time",0,L21*(1+Metadata!$B$8))</f>
        <v/>
      </c>
      <c r="N21" s="12">
        <f>IF(B21="One-Time",0,M21*(1+Metadata!$B$8))</f>
        <v/>
      </c>
      <c r="O21" s="12">
        <f>IF(B21="One-Time",0,N21*(1+Metadata!$B$8))</f>
        <v/>
      </c>
      <c r="P21" s="12">
        <f>IF(B21="One-Time",0,O21*(1+Metadata!$B$8))</f>
        <v/>
      </c>
      <c r="Q21" s="12">
        <f>IF(B21="One-Time",0,P21*(1+Metadata!$B$8))</f>
        <v/>
      </c>
      <c r="R21" s="12">
        <f>SUM(K21:Q21)</f>
        <v/>
      </c>
      <c r="S21" s="3" t="n">
        <v>0.9</v>
      </c>
      <c r="T21" t="inlineStr">
        <is>
          <t>5,897 items at $0.13 per item</t>
        </is>
      </c>
    </row>
    <row r="22">
      <c r="A22" t="n">
        <v>9</v>
      </c>
      <c r="B22" t="inlineStr">
        <is>
          <t>Monthly V</t>
        </is>
      </c>
      <c r="C22" t="inlineStr">
        <is>
          <t>Image Capture Processing Fees</t>
        </is>
      </c>
      <c r="D22" t="inlineStr">
        <is>
          <t>Image Solutions</t>
        </is>
      </c>
      <c r="E22" t="b">
        <v>0</v>
      </c>
      <c r="F22" t="b">
        <v>1</v>
      </c>
      <c r="G22" s="12" t="n">
        <v>186</v>
      </c>
      <c r="H22" t="inlineStr">
        <is>
          <t>per item</t>
        </is>
      </c>
      <c r="I22" s="13" t="n">
        <v>1</v>
      </c>
      <c r="J22" s="12">
        <f>IF(B22="Monthly F",G22,IF(B22="Monthly V",G22*I22,IF(B22="Annual",G22/12,0)))</f>
        <v/>
      </c>
      <c r="K22" s="12">
        <f>IF(B22="One-Time",G22,J22*12)</f>
        <v/>
      </c>
      <c r="L22" s="12">
        <f>IF(B22="One-Time",0,K22*(1+Metadata!$B$8))</f>
        <v/>
      </c>
      <c r="M22" s="12">
        <f>IF(B22="One-Time",0,L22*(1+Metadata!$B$8))</f>
        <v/>
      </c>
      <c r="N22" s="12">
        <f>IF(B22="One-Time",0,M22*(1+Metadata!$B$8))</f>
        <v/>
      </c>
      <c r="O22" s="12">
        <f>IF(B22="One-Time",0,N22*(1+Metadata!$B$8))</f>
        <v/>
      </c>
      <c r="P22" s="12">
        <f>IF(B22="One-Time",0,O22*(1+Metadata!$B$8))</f>
        <v/>
      </c>
      <c r="Q22" s="12">
        <f>IF(B22="One-Time",0,P22*(1+Metadata!$B$8))</f>
        <v/>
      </c>
      <c r="R22" s="12">
        <f>SUM(K22:Q22)</f>
        <v/>
      </c>
      <c r="S22" s="3" t="n">
        <v>0.9</v>
      </c>
      <c r="T22" t="inlineStr">
        <is>
          <t>23,248 items at $0.008 per item</t>
        </is>
      </c>
    </row>
    <row r="23">
      <c r="A23" t="n">
        <v>34</v>
      </c>
      <c r="B23" t="inlineStr">
        <is>
          <t>Monthly V</t>
        </is>
      </c>
      <c r="C23" t="inlineStr">
        <is>
          <t>CSI Wire</t>
        </is>
      </c>
      <c r="D23" t="inlineStr">
        <is>
          <t>Other</t>
        </is>
      </c>
      <c r="E23" t="b">
        <v>0</v>
      </c>
      <c r="F23" t="b">
        <v>1</v>
      </c>
      <c r="G23" s="12" t="n">
        <v>3577</v>
      </c>
      <c r="H23" t="inlineStr">
        <is>
          <t>per wire</t>
        </is>
      </c>
      <c r="I23" s="13" t="n">
        <v>1</v>
      </c>
      <c r="J23" s="12">
        <f>IF(B23="Monthly F",G23,IF(B23="Monthly V",G23*I23,IF(B23="Annual",G23/12,0)))</f>
        <v/>
      </c>
      <c r="K23" s="12">
        <f>IF(B23="One-Time",G23,J23*12)</f>
        <v/>
      </c>
      <c r="L23" s="12">
        <f>IF(B23="One-Time",0,K23*(1+Metadata!$B$8))</f>
        <v/>
      </c>
      <c r="M23" s="12">
        <f>IF(B23="One-Time",0,L23*(1+Metadata!$B$8))</f>
        <v/>
      </c>
      <c r="N23" s="12">
        <f>IF(B23="One-Time",0,M23*(1+Metadata!$B$8))</f>
        <v/>
      </c>
      <c r="O23" s="12">
        <f>IF(B23="One-Time",0,N23*(1+Metadata!$B$8))</f>
        <v/>
      </c>
      <c r="P23" s="12">
        <f>IF(B23="One-Time",0,O23*(1+Metadata!$B$8))</f>
        <v/>
      </c>
      <c r="Q23" s="12">
        <f>IF(B23="One-Time",0,P23*(1+Metadata!$B$8))</f>
        <v/>
      </c>
      <c r="R23" s="12">
        <f>SUM(K23:Q23)</f>
        <v/>
      </c>
      <c r="S23" s="3" t="n">
        <v>0.85</v>
      </c>
      <c r="T23" t="inlineStr">
        <is>
          <t>1,022 wires at $3.50 per wire plus $300 base fee</t>
        </is>
      </c>
    </row>
    <row r="24">
      <c r="A24" t="n">
        <v>29</v>
      </c>
      <c r="B24" t="inlineStr">
        <is>
          <t>Monthly V</t>
        </is>
      </c>
      <c r="C24" t="inlineStr">
        <is>
          <t>FMS Margin Performer</t>
        </is>
      </c>
      <c r="D24" t="inlineStr">
        <is>
          <t>Other</t>
        </is>
      </c>
      <c r="E24" t="b">
        <v>0</v>
      </c>
      <c r="F24" t="b">
        <v>1</v>
      </c>
      <c r="G24" s="12" t="n">
        <v>326</v>
      </c>
      <c r="H24" t="inlineStr">
        <is>
          <t>per record</t>
        </is>
      </c>
      <c r="I24" s="13" t="n">
        <v>1</v>
      </c>
      <c r="J24" s="12">
        <f>IF(B24="Monthly F",G24,IF(B24="Monthly V",G24*I24,IF(B24="Annual",G24/12,0)))</f>
        <v/>
      </c>
      <c r="K24" s="12">
        <f>IF(B24="One-Time",G24,J24*12)</f>
        <v/>
      </c>
      <c r="L24" s="12">
        <f>IF(B24="One-Time",0,K24*(1+Metadata!$B$8))</f>
        <v/>
      </c>
      <c r="M24" s="12">
        <f>IF(B24="One-Time",0,L24*(1+Metadata!$B$8))</f>
        <v/>
      </c>
      <c r="N24" s="12">
        <f>IF(B24="One-Time",0,M24*(1+Metadata!$B$8))</f>
        <v/>
      </c>
      <c r="O24" s="12">
        <f>IF(B24="One-Time",0,N24*(1+Metadata!$B$8))</f>
        <v/>
      </c>
      <c r="P24" s="12">
        <f>IF(B24="One-Time",0,O24*(1+Metadata!$B$8))</f>
        <v/>
      </c>
      <c r="Q24" s="12">
        <f>IF(B24="One-Time",0,P24*(1+Metadata!$B$8))</f>
        <v/>
      </c>
      <c r="R24" s="12">
        <f>SUM(K24:Q24)</f>
        <v/>
      </c>
      <c r="S24" s="3" t="n">
        <v>0.85</v>
      </c>
      <c r="T24" t="inlineStr">
        <is>
          <t>10,874 records at $0.03 per record ($250 minimum)</t>
        </is>
      </c>
    </row>
    <row r="25">
      <c r="A25" t="n">
        <v>30</v>
      </c>
      <c r="B25" t="inlineStr">
        <is>
          <t>Monthly V</t>
        </is>
      </c>
      <c r="C25" t="inlineStr">
        <is>
          <t>FMS Profit Performer</t>
        </is>
      </c>
      <c r="D25" t="inlineStr">
        <is>
          <t>Other</t>
        </is>
      </c>
      <c r="E25" t="b">
        <v>0</v>
      </c>
      <c r="F25" t="b">
        <v>1</v>
      </c>
      <c r="G25" s="12" t="n">
        <v>326</v>
      </c>
      <c r="H25" t="inlineStr">
        <is>
          <t>per record</t>
        </is>
      </c>
      <c r="I25" s="13" t="n">
        <v>1</v>
      </c>
      <c r="J25" s="12">
        <f>IF(B25="Monthly F",G25,IF(B25="Monthly V",G25*I25,IF(B25="Annual",G25/12,0)))</f>
        <v/>
      </c>
      <c r="K25" s="12">
        <f>IF(B25="One-Time",G25,J25*12)</f>
        <v/>
      </c>
      <c r="L25" s="12">
        <f>IF(B25="One-Time",0,K25*(1+Metadata!$B$8))</f>
        <v/>
      </c>
      <c r="M25" s="12">
        <f>IF(B25="One-Time",0,L25*(1+Metadata!$B$8))</f>
        <v/>
      </c>
      <c r="N25" s="12">
        <f>IF(B25="One-Time",0,M25*(1+Metadata!$B$8))</f>
        <v/>
      </c>
      <c r="O25" s="12">
        <f>IF(B25="One-Time",0,N25*(1+Metadata!$B$8))</f>
        <v/>
      </c>
      <c r="P25" s="12">
        <f>IF(B25="One-Time",0,O25*(1+Metadata!$B$8))</f>
        <v/>
      </c>
      <c r="Q25" s="12">
        <f>IF(B25="One-Time",0,P25*(1+Metadata!$B$8))</f>
        <v/>
      </c>
      <c r="R25" s="12">
        <f>SUM(K25:Q25)</f>
        <v/>
      </c>
      <c r="S25" s="3" t="n">
        <v>0.85</v>
      </c>
      <c r="T25" t="inlineStr">
        <is>
          <t>10,874 records at $0.03 per record ($250 minimum)</t>
        </is>
      </c>
    </row>
    <row r="26">
      <c r="A26" t="n">
        <v>11</v>
      </c>
      <c r="B26" t="inlineStr">
        <is>
          <t>Monthly V</t>
        </is>
      </c>
      <c r="C26" t="inlineStr">
        <is>
          <t>Monthly Statement Processing Materials - Envelopes &amp; Paper</t>
        </is>
      </c>
      <c r="D26" t="inlineStr">
        <is>
          <t>Other</t>
        </is>
      </c>
      <c r="E26" t="b">
        <v>0</v>
      </c>
      <c r="F26" t="b">
        <v>1</v>
      </c>
      <c r="G26" s="12" t="n">
        <v>72</v>
      </c>
      <c r="H26" t="inlineStr">
        <is>
          <t>per statement set</t>
        </is>
      </c>
      <c r="I26" s="13" t="n">
        <v>1</v>
      </c>
      <c r="J26" s="12">
        <f>IF(B26="Monthly F",G26,IF(B26="Monthly V",G26*I26,IF(B26="Annual",G26/12,0)))</f>
        <v/>
      </c>
      <c r="K26" s="12">
        <f>IF(B26="One-Time",G26,J26*12)</f>
        <v/>
      </c>
      <c r="L26" s="12">
        <f>IF(B26="One-Time",0,K26*(1+Metadata!$B$8))</f>
        <v/>
      </c>
      <c r="M26" s="12">
        <f>IF(B26="One-Time",0,L26*(1+Metadata!$B$8))</f>
        <v/>
      </c>
      <c r="N26" s="12">
        <f>IF(B26="One-Time",0,M26*(1+Metadata!$B$8))</f>
        <v/>
      </c>
      <c r="O26" s="12">
        <f>IF(B26="One-Time",0,N26*(1+Metadata!$B$8))</f>
        <v/>
      </c>
      <c r="P26" s="12">
        <f>IF(B26="One-Time",0,O26*(1+Metadata!$B$8))</f>
        <v/>
      </c>
      <c r="Q26" s="12">
        <f>IF(B26="One-Time",0,P26*(1+Metadata!$B$8))</f>
        <v/>
      </c>
      <c r="R26" s="12">
        <f>SUM(K26:Q26)</f>
        <v/>
      </c>
      <c r="S26" s="3" t="n">
        <v>0.85</v>
      </c>
      <c r="T26" t="inlineStr">
        <is>
          <t>Combined envelope ($0.50) and paper ($2.00) costs</t>
        </is>
      </c>
    </row>
    <row r="27">
      <c r="A27" t="n">
        <v>28</v>
      </c>
      <c r="B27" t="inlineStr">
        <is>
          <t>Monthly V</t>
        </is>
      </c>
      <c r="C27" t="inlineStr">
        <is>
          <t>Child Support Accounts</t>
        </is>
      </c>
      <c r="D27" t="inlineStr">
        <is>
          <t>Risk, Fraud &amp; Compliance</t>
        </is>
      </c>
      <c r="E27" t="b">
        <v>0</v>
      </c>
      <c r="F27" t="b">
        <v>1</v>
      </c>
      <c r="G27" s="12" t="n">
        <v>1</v>
      </c>
      <c r="H27" t="inlineStr">
        <is>
          <t>per account</t>
        </is>
      </c>
      <c r="I27" s="13" t="n">
        <v>1</v>
      </c>
      <c r="J27" s="12">
        <f>IF(B27="Monthly F",G27,IF(B27="Monthly V",G27*I27,IF(B27="Annual",G27/12,0)))</f>
        <v/>
      </c>
      <c r="K27" s="12">
        <f>IF(B27="One-Time",G27,J27*12)</f>
        <v/>
      </c>
      <c r="L27" s="12">
        <f>IF(B27="One-Time",0,K27*(1+Metadata!$B$8))</f>
        <v/>
      </c>
      <c r="M27" s="12">
        <f>IF(B27="One-Time",0,L27*(1+Metadata!$B$8))</f>
        <v/>
      </c>
      <c r="N27" s="12">
        <f>IF(B27="One-Time",0,M27*(1+Metadata!$B$8))</f>
        <v/>
      </c>
      <c r="O27" s="12">
        <f>IF(B27="One-Time",0,N27*(1+Metadata!$B$8))</f>
        <v/>
      </c>
      <c r="P27" s="12">
        <f>IF(B27="One-Time",0,O27*(1+Metadata!$B$8))</f>
        <v/>
      </c>
      <c r="Q27" s="12">
        <f>IF(B27="One-Time",0,P27*(1+Metadata!$B$8))</f>
        <v/>
      </c>
      <c r="R27" s="12">
        <f>SUM(K27:Q27)</f>
        <v/>
      </c>
      <c r="S27" s="3" t="n">
        <v>0.9</v>
      </c>
      <c r="T27" t="inlineStr">
        <is>
          <t>100 accounts at $0.01 per account</t>
        </is>
      </c>
    </row>
    <row r="28">
      <c r="A28" t="n">
        <v>32</v>
      </c>
      <c r="B28" t="inlineStr">
        <is>
          <t>Monthly V</t>
        </is>
      </c>
      <c r="C28" t="inlineStr">
        <is>
          <t>Level 2 ID Verification Transactions</t>
        </is>
      </c>
      <c r="D28" t="inlineStr">
        <is>
          <t>Risk, Fraud &amp; Compliance</t>
        </is>
      </c>
      <c r="E28" t="b">
        <v>0</v>
      </c>
      <c r="F28" t="b">
        <v>1</v>
      </c>
      <c r="G28" s="12" t="n">
        <v>133</v>
      </c>
      <c r="H28" t="inlineStr">
        <is>
          <t>per transaction</t>
        </is>
      </c>
      <c r="I28" s="13" t="n">
        <v>1</v>
      </c>
      <c r="J28" s="12">
        <f>IF(B28="Monthly F",G28,IF(B28="Monthly V",G28*I28,IF(B28="Annual",G28/12,0)))</f>
        <v/>
      </c>
      <c r="K28" s="12">
        <f>IF(B28="One-Time",G28,J28*12)</f>
        <v/>
      </c>
      <c r="L28" s="12">
        <f>IF(B28="One-Time",0,K28*(1+Metadata!$B$8))</f>
        <v/>
      </c>
      <c r="M28" s="12">
        <f>IF(B28="One-Time",0,L28*(1+Metadata!$B$8))</f>
        <v/>
      </c>
      <c r="N28" s="12">
        <f>IF(B28="One-Time",0,M28*(1+Metadata!$B$8))</f>
        <v/>
      </c>
      <c r="O28" s="12">
        <f>IF(B28="One-Time",0,N28*(1+Metadata!$B$8))</f>
        <v/>
      </c>
      <c r="P28" s="12">
        <f>IF(B28="One-Time",0,O28*(1+Metadata!$B$8))</f>
        <v/>
      </c>
      <c r="Q28" s="12">
        <f>IF(B28="One-Time",0,P28*(1+Metadata!$B$8))</f>
        <v/>
      </c>
      <c r="R28" s="12">
        <f>SUM(K28:Q28)</f>
        <v/>
      </c>
      <c r="S28" s="3" t="n">
        <v>0.9</v>
      </c>
      <c r="T28" t="inlineStr">
        <is>
          <t>53 transactions at $2.50 per transaction</t>
        </is>
      </c>
    </row>
    <row r="29">
      <c r="A29" t="n">
        <v>33</v>
      </c>
      <c r="B29" t="inlineStr">
        <is>
          <t>Monthly V</t>
        </is>
      </c>
      <c r="C29" t="inlineStr">
        <is>
          <t>Out of Wallet Transactions</t>
        </is>
      </c>
      <c r="D29" t="inlineStr">
        <is>
          <t>Risk, Fraud &amp; Compliance</t>
        </is>
      </c>
      <c r="E29" t="b">
        <v>0</v>
      </c>
      <c r="F29" t="b">
        <v>1</v>
      </c>
      <c r="G29" s="12" t="n">
        <v>98</v>
      </c>
      <c r="H29" t="inlineStr">
        <is>
          <t>per transaction</t>
        </is>
      </c>
      <c r="I29" s="13" t="n">
        <v>1</v>
      </c>
      <c r="J29" s="12">
        <f>IF(B29="Monthly F",G29,IF(B29="Monthly V",G29*I29,IF(B29="Annual",G29/12,0)))</f>
        <v/>
      </c>
      <c r="K29" s="12">
        <f>IF(B29="One-Time",G29,J29*12)</f>
        <v/>
      </c>
      <c r="L29" s="12">
        <f>IF(B29="One-Time",0,K29*(1+Metadata!$B$8))</f>
        <v/>
      </c>
      <c r="M29" s="12">
        <f>IF(B29="One-Time",0,L29*(1+Metadata!$B$8))</f>
        <v/>
      </c>
      <c r="N29" s="12">
        <f>IF(B29="One-Time",0,M29*(1+Metadata!$B$8))</f>
        <v/>
      </c>
      <c r="O29" s="12">
        <f>IF(B29="One-Time",0,N29*(1+Metadata!$B$8))</f>
        <v/>
      </c>
      <c r="P29" s="12">
        <f>IF(B29="One-Time",0,O29*(1+Metadata!$B$8))</f>
        <v/>
      </c>
      <c r="Q29" s="12">
        <f>IF(B29="One-Time",0,P29*(1+Metadata!$B$8))</f>
        <v/>
      </c>
      <c r="R29" s="12">
        <f>SUM(K29:Q29)</f>
        <v/>
      </c>
      <c r="S29" s="3" t="n">
        <v>0.9</v>
      </c>
      <c r="T29" t="inlineStr">
        <is>
          <t>39 transactions at $2.50 per transaction</t>
        </is>
      </c>
    </row>
    <row r="30">
      <c r="A30" t="n">
        <v>26</v>
      </c>
      <c r="B30" t="inlineStr">
        <is>
          <t>Monthly F</t>
        </is>
      </c>
      <c r="C30" t="inlineStr">
        <is>
          <t>Digital Chat - LinkLive</t>
        </is>
      </c>
      <c r="D30" t="inlineStr">
        <is>
          <t>Digital</t>
        </is>
      </c>
      <c r="E30" t="b">
        <v>1</v>
      </c>
      <c r="F30" t="b">
        <v>1</v>
      </c>
      <c r="G30" s="12" t="n">
        <v>102</v>
      </c>
      <c r="H30" t="inlineStr">
        <is>
          <t>per month</t>
        </is>
      </c>
      <c r="J30" s="12">
        <f>IF(B30="Monthly F",G30,IF(B30="Monthly V",G30*I30,IF(B30="Annual",G30/12,0)))</f>
        <v/>
      </c>
      <c r="K30" s="12">
        <f>IF(B30="One-Time",G30,J30*12)</f>
        <v/>
      </c>
      <c r="L30" s="12">
        <f>IF(B30="One-Time",0,K30*(1+Metadata!$B$8))</f>
        <v/>
      </c>
      <c r="M30" s="12">
        <f>IF(B30="One-Time",0,L30*(1+Metadata!$B$8))</f>
        <v/>
      </c>
      <c r="N30" s="12">
        <f>IF(B30="One-Time",0,M30*(1+Metadata!$B$8))</f>
        <v/>
      </c>
      <c r="O30" s="12">
        <f>IF(B30="One-Time",0,N30*(1+Metadata!$B$8))</f>
        <v/>
      </c>
      <c r="P30" s="12">
        <f>IF(B30="One-Time",0,O30*(1+Metadata!$B$8))</f>
        <v/>
      </c>
      <c r="Q30" s="12">
        <f>IF(B30="One-Time",0,P30*(1+Metadata!$B$8))</f>
        <v/>
      </c>
      <c r="R30" s="12">
        <f>SUM(K30:Q30)</f>
        <v/>
      </c>
      <c r="S30" s="3" t="n">
        <v>0.9</v>
      </c>
      <c r="T30" t="inlineStr">
        <is>
          <t>Fixed monthly fee for embedded chat package</t>
        </is>
      </c>
    </row>
    <row r="31">
      <c r="A31" t="n">
        <v>22</v>
      </c>
      <c r="B31" t="inlineStr">
        <is>
          <t>Monthly F</t>
        </is>
      </c>
      <c r="C31" t="inlineStr">
        <is>
          <t>Quicken &amp; QuickBooks Direct Connect</t>
        </is>
      </c>
      <c r="D31" t="inlineStr">
        <is>
          <t>Digital</t>
        </is>
      </c>
      <c r="E31" t="b">
        <v>1</v>
      </c>
      <c r="F31" t="b">
        <v>1</v>
      </c>
      <c r="G31" s="12" t="n">
        <v>737</v>
      </c>
      <c r="H31" t="inlineStr">
        <is>
          <t>per month</t>
        </is>
      </c>
      <c r="J31" s="12">
        <f>IF(B31="Monthly F",G31,IF(B31="Monthly V",G31*I31,IF(B31="Annual",G31/12,0)))</f>
        <v/>
      </c>
      <c r="K31" s="12">
        <f>IF(B31="One-Time",G31,J31*12)</f>
        <v/>
      </c>
      <c r="L31" s="12">
        <f>IF(B31="One-Time",0,K31*(1+Metadata!$B$8))</f>
        <v/>
      </c>
      <c r="M31" s="12">
        <f>IF(B31="One-Time",0,L31*(1+Metadata!$B$8))</f>
        <v/>
      </c>
      <c r="N31" s="12">
        <f>IF(B31="One-Time",0,M31*(1+Metadata!$B$8))</f>
        <v/>
      </c>
      <c r="O31" s="12">
        <f>IF(B31="One-Time",0,N31*(1+Metadata!$B$8))</f>
        <v/>
      </c>
      <c r="P31" s="12">
        <f>IF(B31="One-Time",0,O31*(1+Metadata!$B$8))</f>
        <v/>
      </c>
      <c r="Q31" s="12">
        <f>IF(B31="One-Time",0,P31*(1+Metadata!$B$8))</f>
        <v/>
      </c>
      <c r="R31" s="12">
        <f>SUM(K31:Q31)</f>
        <v/>
      </c>
      <c r="S31" s="3" t="n">
        <v>0.9</v>
      </c>
      <c r="T31" t="inlineStr">
        <is>
          <t>Fixed monthly fee of $736.67</t>
        </is>
      </c>
    </row>
    <row r="32">
      <c r="A32" t="n">
        <v>20</v>
      </c>
      <c r="B32" t="inlineStr">
        <is>
          <t>Monthly V</t>
        </is>
      </c>
      <c r="C32" t="inlineStr">
        <is>
          <t>Integrated PFM</t>
        </is>
      </c>
      <c r="D32" t="inlineStr">
        <is>
          <t>Digital</t>
        </is>
      </c>
      <c r="E32" t="b">
        <v>1</v>
      </c>
      <c r="F32" t="b">
        <v>1</v>
      </c>
      <c r="G32" s="12" t="n">
        <v>353</v>
      </c>
      <c r="H32" t="inlineStr">
        <is>
          <t>per user</t>
        </is>
      </c>
      <c r="I32" s="13" t="n">
        <v>1</v>
      </c>
      <c r="J32" s="12">
        <f>IF(B32="Monthly F",G32,IF(B32="Monthly V",G32*I32,IF(B32="Annual",G32/12,0)))</f>
        <v/>
      </c>
      <c r="K32" s="12">
        <f>IF(B32="One-Time",G32,J32*12)</f>
        <v/>
      </c>
      <c r="L32" s="12">
        <f>IF(B32="One-Time",0,K32*(1+Metadata!$B$8))</f>
        <v/>
      </c>
      <c r="M32" s="12">
        <f>IF(B32="One-Time",0,L32*(1+Metadata!$B$8))</f>
        <v/>
      </c>
      <c r="N32" s="12">
        <f>IF(B32="One-Time",0,M32*(1+Metadata!$B$8))</f>
        <v/>
      </c>
      <c r="O32" s="12">
        <f>IF(B32="One-Time",0,N32*(1+Metadata!$B$8))</f>
        <v/>
      </c>
      <c r="P32" s="12">
        <f>IF(B32="One-Time",0,O32*(1+Metadata!$B$8))</f>
        <v/>
      </c>
      <c r="Q32" s="12">
        <f>IF(B32="One-Time",0,P32*(1+Metadata!$B$8))</f>
        <v/>
      </c>
      <c r="R32" s="12">
        <f>SUM(K32:Q32)</f>
        <v/>
      </c>
      <c r="S32" s="3" t="n">
        <v>0.9</v>
      </c>
      <c r="T32" t="inlineStr">
        <is>
          <t>470 users at $0.75 per user</t>
        </is>
      </c>
    </row>
    <row r="33">
      <c r="A33" t="n">
        <v>21</v>
      </c>
      <c r="B33" t="inlineStr">
        <is>
          <t>Monthly V</t>
        </is>
      </c>
      <c r="C33" t="inlineStr">
        <is>
          <t>Integrated PFM + Aggregation</t>
        </is>
      </c>
      <c r="D33" t="inlineStr">
        <is>
          <t>Digital</t>
        </is>
      </c>
      <c r="E33" t="b">
        <v>1</v>
      </c>
      <c r="F33" t="b">
        <v>1</v>
      </c>
      <c r="G33" s="12" t="n">
        <v>94</v>
      </c>
      <c r="H33" t="inlineStr">
        <is>
          <t>per user</t>
        </is>
      </c>
      <c r="I33" s="13" t="n">
        <v>1</v>
      </c>
      <c r="J33" s="12">
        <f>IF(B33="Monthly F",G33,IF(B33="Monthly V",G33*I33,IF(B33="Annual",G33/12,0)))</f>
        <v/>
      </c>
      <c r="K33" s="12">
        <f>IF(B33="One-Time",G33,J33*12)</f>
        <v/>
      </c>
      <c r="L33" s="12">
        <f>IF(B33="One-Time",0,K33*(1+Metadata!$B$8))</f>
        <v/>
      </c>
      <c r="M33" s="12">
        <f>IF(B33="One-Time",0,L33*(1+Metadata!$B$8))</f>
        <v/>
      </c>
      <c r="N33" s="12">
        <f>IF(B33="One-Time",0,M33*(1+Metadata!$B$8))</f>
        <v/>
      </c>
      <c r="O33" s="12">
        <f>IF(B33="One-Time",0,N33*(1+Metadata!$B$8))</f>
        <v/>
      </c>
      <c r="P33" s="12">
        <f>IF(B33="One-Time",0,O33*(1+Metadata!$B$8))</f>
        <v/>
      </c>
      <c r="Q33" s="12">
        <f>IF(B33="One-Time",0,P33*(1+Metadata!$B$8))</f>
        <v/>
      </c>
      <c r="R33" s="12">
        <f>SUM(K33:Q33)</f>
        <v/>
      </c>
      <c r="S33" s="3" t="n">
        <v>0.9</v>
      </c>
      <c r="T33" t="inlineStr">
        <is>
          <t>94 users at $1.00 per user</t>
        </is>
      </c>
    </row>
    <row r="34">
      <c r="A34" t="n">
        <v>19</v>
      </c>
      <c r="B34" t="inlineStr">
        <is>
          <t>Monthly V</t>
        </is>
      </c>
      <c r="C34" t="inlineStr">
        <is>
          <t>iPay Business Bill Pay Program</t>
        </is>
      </c>
      <c r="D34" t="inlineStr">
        <is>
          <t>Digital</t>
        </is>
      </c>
      <c r="E34" t="b">
        <v>1</v>
      </c>
      <c r="F34" t="b">
        <v>1</v>
      </c>
      <c r="G34" s="12" t="n">
        <v>738</v>
      </c>
      <c r="H34" t="inlineStr">
        <is>
          <t>per user + per payment</t>
        </is>
      </c>
      <c r="I34" s="13" t="n">
        <v>1</v>
      </c>
      <c r="J34" s="12">
        <f>IF(B34="Monthly F",G34,IF(B34="Monthly V",G34*I34,IF(B34="Annual",G34/12,0)))</f>
        <v/>
      </c>
      <c r="K34" s="12">
        <f>IF(B34="One-Time",G34,J34*12)</f>
        <v/>
      </c>
      <c r="L34" s="12">
        <f>IF(B34="One-Time",0,K34*(1+Metadata!$B$8))</f>
        <v/>
      </c>
      <c r="M34" s="12">
        <f>IF(B34="One-Time",0,L34*(1+Metadata!$B$8))</f>
        <v/>
      </c>
      <c r="N34" s="12">
        <f>IF(B34="One-Time",0,M34*(1+Metadata!$B$8))</f>
        <v/>
      </c>
      <c r="O34" s="12">
        <f>IF(B34="One-Time",0,N34*(1+Metadata!$B$8))</f>
        <v/>
      </c>
      <c r="P34" s="12">
        <f>IF(B34="One-Time",0,O34*(1+Metadata!$B$8))</f>
        <v/>
      </c>
      <c r="Q34" s="12">
        <f>IF(B34="One-Time",0,P34*(1+Metadata!$B$8))</f>
        <v/>
      </c>
      <c r="R34" s="12">
        <f>SUM(K34:Q34)</f>
        <v/>
      </c>
      <c r="S34" s="3" t="n">
        <v>0.85</v>
      </c>
      <c r="T34" t="inlineStr">
        <is>
          <t>102 users at $5.95 + 290 payments at $0.45 ($300 minimum)</t>
        </is>
      </c>
    </row>
    <row r="35">
      <c r="A35" t="n">
        <v>18</v>
      </c>
      <c r="B35" t="inlineStr">
        <is>
          <t>Monthly V</t>
        </is>
      </c>
      <c r="C35" t="inlineStr">
        <is>
          <t>iPay Online Bill Pay</t>
        </is>
      </c>
      <c r="D35" t="inlineStr">
        <is>
          <t>Digital</t>
        </is>
      </c>
      <c r="E35" t="b">
        <v>1</v>
      </c>
      <c r="F35" t="b">
        <v>1</v>
      </c>
      <c r="G35" s="12" t="n">
        <v>1328</v>
      </c>
      <c r="H35" t="inlineStr">
        <is>
          <t>per user</t>
        </is>
      </c>
      <c r="I35" s="13" t="n">
        <v>1</v>
      </c>
      <c r="J35" s="12">
        <f>IF(B35="Monthly F",G35,IF(B35="Monthly V",G35*I35,IF(B35="Annual",G35/12,0)))</f>
        <v/>
      </c>
      <c r="K35" s="12">
        <f>IF(B35="One-Time",G35,J35*12)</f>
        <v/>
      </c>
      <c r="L35" s="12">
        <f>IF(B35="One-Time",0,K35*(1+Metadata!$B$8))</f>
        <v/>
      </c>
      <c r="M35" s="12">
        <f>IF(B35="One-Time",0,L35*(1+Metadata!$B$8))</f>
        <v/>
      </c>
      <c r="N35" s="12">
        <f>IF(B35="One-Time",0,M35*(1+Metadata!$B$8))</f>
        <v/>
      </c>
      <c r="O35" s="12">
        <f>IF(B35="One-Time",0,N35*(1+Metadata!$B$8))</f>
        <v/>
      </c>
      <c r="P35" s="12">
        <f>IF(B35="One-Time",0,O35*(1+Metadata!$B$8))</f>
        <v/>
      </c>
      <c r="Q35" s="12">
        <f>IF(B35="One-Time",0,P35*(1+Metadata!$B$8))</f>
        <v/>
      </c>
      <c r="R35" s="12">
        <f>SUM(K35:Q35)</f>
        <v/>
      </c>
      <c r="S35" s="3" t="n">
        <v>0.9</v>
      </c>
      <c r="T35" t="inlineStr">
        <is>
          <t>1,398 users at $0.95 per user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4" t="inlineStr">
        <is>
          <t>Total Annual Cost</t>
        </is>
      </c>
      <c r="B5" s="15">
        <f>B3+B4</f>
        <v/>
      </c>
      <c r="C5" s="15">
        <f>C3+C4</f>
        <v/>
      </c>
      <c r="D5" s="15">
        <f>D3+D4</f>
        <v/>
      </c>
      <c r="E5" s="15">
        <f>E3+E4</f>
        <v/>
      </c>
      <c r="F5" s="15">
        <f>F3+F4</f>
        <v/>
      </c>
      <c r="G5" s="15">
        <f>G3+G4</f>
        <v/>
      </c>
      <c r="H5" s="15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Core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Digital</t>
        </is>
      </c>
      <c r="B6" s="9">
        <f>SUMIFS('Line Items'!$R:$R,'Line Items'!$D:$D,A6)</f>
        <v/>
      </c>
      <c r="C6" s="9">
        <f>B6/84</f>
        <v/>
      </c>
    </row>
    <row r="7">
      <c r="A7" t="inlineStr">
        <is>
          <t>EFT</t>
        </is>
      </c>
      <c r="B7" s="9">
        <f>SUMIFS('Line Items'!$R:$R,'Line Items'!$D:$D,A7)</f>
        <v/>
      </c>
      <c r="C7" s="9">
        <f>B7/84</f>
        <v/>
      </c>
    </row>
    <row r="8">
      <c r="A8" t="inlineStr">
        <is>
          <t>Image Solutions</t>
        </is>
      </c>
      <c r="B8" s="9">
        <f>SUMIFS('Line Items'!$R:$R,'Line Items'!$D:$D,A8)</f>
        <v/>
      </c>
      <c r="C8" s="9">
        <f>B8/84</f>
        <v/>
      </c>
    </row>
    <row r="9">
      <c r="A9" t="inlineStr">
        <is>
          <t>Item Processing</t>
        </is>
      </c>
      <c r="B9" s="9">
        <f>SUMIFS('Line Items'!$R:$R,'Line Items'!$D:$D,A9)</f>
        <v/>
      </c>
      <c r="C9" s="9">
        <f>B9/84</f>
        <v/>
      </c>
    </row>
    <row r="10">
      <c r="A10" s="10" t="inlineStr">
        <is>
          <t>Network</t>
        </is>
      </c>
      <c r="B10" s="9">
        <f>SUMIFS('Line Items'!$R:$R,'Line Items'!$D:$D,A10)</f>
        <v/>
      </c>
      <c r="C10" s="9">
        <f>B10/84</f>
        <v/>
      </c>
    </row>
    <row r="11">
      <c r="A11" t="inlineStr">
        <is>
          <t>Other</t>
        </is>
      </c>
      <c r="B11" s="9">
        <f>SUMIFS('Line Items'!$R:$R,'Line Items'!$D:$D,A11)</f>
        <v/>
      </c>
      <c r="C11" s="9">
        <f>B11/84</f>
        <v/>
      </c>
    </row>
    <row r="12">
      <c r="A12" t="inlineStr">
        <is>
          <t>Risk, Fraud &amp; Compliance</t>
        </is>
      </c>
      <c r="B12" s="9">
        <f>SUMIFS('Line Items'!$R:$R,'Line Items'!$D:$D,A12)</f>
        <v/>
      </c>
      <c r="C12" s="9">
        <f>B12/84</f>
        <v/>
      </c>
    </row>
    <row r="13">
      <c r="B13" s="9" t="n"/>
      <c r="C13" s="9" t="n"/>
    </row>
    <row r="14">
      <c r="A14" s="16" t="inlineStr">
        <is>
          <t>Total Required TCO</t>
        </is>
      </c>
      <c r="B14" s="15">
        <f>SUM(B5:B12)</f>
        <v/>
      </c>
      <c r="C14" s="15">
        <f>B14/84</f>
        <v/>
      </c>
    </row>
    <row r="16">
      <c r="A16" s="17" t="inlineStr">
        <is>
          <t>Optional Items Total</t>
        </is>
      </c>
      <c r="B16" s="12">
        <f>SUMIFS('Line Items'!$R:$R,'Line Items'!$F:$F,TRUE)</f>
        <v/>
      </c>
      <c r="C16" s="12">
        <f>B16/84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LIBERTY_CAPITAL_BANK_CSI</t>
        </is>
      </c>
    </row>
    <row r="3">
      <c r="A3" s="2" t="inlineStr">
        <is>
          <t>Client Name:</t>
        </is>
      </c>
      <c r="B3" t="inlineStr">
        <is>
          <t>Liberty Capital &amp; Texas Heritage (COMBINED)</t>
        </is>
      </c>
    </row>
    <row r="4">
      <c r="A4" s="2" t="inlineStr">
        <is>
          <t>Proposal Type:</t>
        </is>
      </c>
      <c r="B4" t="inlineStr">
        <is>
          <t>CSI Pricing Proposal (Organic Growth 7-yr)</t>
        </is>
      </c>
    </row>
    <row r="5">
      <c r="A5" s="2" t="inlineStr">
        <is>
          <t>Proposal Date:</t>
        </is>
      </c>
      <c r="B5" t="inlineStr">
        <is>
          <t>2024-12-16</t>
        </is>
      </c>
    </row>
    <row r="6">
      <c r="A6" s="2" t="inlineStr">
        <is>
          <t>Contract Term (Years):</t>
        </is>
      </c>
      <c r="B6" t="n">
        <v>7</v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2026-01-15 15:00:42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5" customWidth="1" min="3" max="3"/>
    <col width="18" customWidth="1" min="4" max="4"/>
    <col width="12" customWidth="1" min="5" max="5"/>
    <col width="14" customWidth="1" min="6" max="6"/>
  </cols>
  <sheetData>
    <row r="1" ht="30" customHeight="1">
      <c r="A1" s="18" t="inlineStr">
        <is>
          <t>VENDOR COMPARISON: LIBERTY CAPITAL BANK</t>
        </is>
      </c>
    </row>
    <row r="2">
      <c r="A2" s="19" t="inlineStr">
        <is>
          <t>Normalized Cost Analysis  |  Generated: January 15, 2026</t>
        </is>
      </c>
    </row>
    <row r="4">
      <c r="A4" s="20" t="inlineStr">
        <is>
          <t>EXECUTIVE SUMMARY</t>
        </is>
      </c>
    </row>
    <row r="5">
      <c r="A5" s="21" t="inlineStr">
        <is>
          <t>Vendors Compared:</t>
        </is>
      </c>
      <c r="B5" s="22" t="inlineStr">
        <is>
          <t>CSI vs FIS</t>
        </is>
      </c>
    </row>
    <row r="6">
      <c r="A6" s="21" t="inlineStr">
        <is>
          <t>CSI Total 7-Year TCO:</t>
        </is>
      </c>
      <c r="B6" s="23" t="n">
        <v>5410852.096734689</v>
      </c>
    </row>
    <row r="7">
      <c r="A7" s="21" t="inlineStr">
        <is>
          <t>FIS Total 7-Year TCO:</t>
        </is>
      </c>
      <c r="B7" s="23" t="n">
        <v>13244335.39270052</v>
      </c>
    </row>
    <row r="8">
      <c r="A8" s="21" t="inlineStr">
        <is>
          <t>Cost Difference:</t>
        </is>
      </c>
      <c r="B8" s="24" t="n">
        <v>7833483.295965835</v>
      </c>
    </row>
    <row r="9">
      <c r="A9" s="21" t="inlineStr">
        <is>
          <t>Savings Percentage:</t>
        </is>
      </c>
      <c r="B9" s="25" t="n">
        <v>0.5914591456422326</v>
      </c>
    </row>
    <row r="10">
      <c r="A10" s="26" t="inlineStr">
        <is>
          <t>Recommended Vendor:</t>
        </is>
      </c>
      <c r="B10" s="27" t="inlineStr">
        <is>
          <t>CSI</t>
        </is>
      </c>
    </row>
    <row r="12">
      <c r="A12" s="20" t="inlineStr">
        <is>
          <t>7-YEAR TCO BY COST CATEGORY</t>
        </is>
      </c>
    </row>
    <row r="13" ht="25" customHeight="1">
      <c r="A13" s="28" t="inlineStr">
        <is>
          <t>Cost Category</t>
        </is>
      </c>
      <c r="B13" s="28" t="inlineStr">
        <is>
          <t>CSI</t>
        </is>
      </c>
      <c r="C13" s="28" t="inlineStr">
        <is>
          <t>FIS</t>
        </is>
      </c>
      <c r="D13" s="28" t="inlineStr">
        <is>
          <t>Difference</t>
        </is>
      </c>
      <c r="E13" s="28" t="inlineStr">
        <is>
          <t>Savings %</t>
        </is>
      </c>
      <c r="F13" s="28" t="inlineStr">
        <is>
          <t>Lower Cost</t>
        </is>
      </c>
    </row>
    <row r="14">
      <c r="A14" s="29" t="inlineStr">
        <is>
          <t>Setup/Implementation</t>
        </is>
      </c>
      <c r="B14" s="30" t="n">
        <v>-374999</v>
      </c>
      <c r="C14" s="31" t="n">
        <v>-3218234.115948181</v>
      </c>
      <c r="D14" s="30" t="n">
        <v>2843235.115948181</v>
      </c>
      <c r="E14" s="32" t="n">
        <v>0</v>
      </c>
      <c r="F14" s="33" t="inlineStr">
        <is>
          <t>FIS</t>
        </is>
      </c>
    </row>
    <row r="15">
      <c r="A15" s="34" t="inlineStr">
        <is>
          <t>Licensing/Subscription</t>
        </is>
      </c>
      <c r="B15" s="31" t="n">
        <v>4273097.163146704</v>
      </c>
      <c r="C15" s="35" t="n">
        <v>6534838.614875354</v>
      </c>
      <c r="D15" s="35" t="n">
        <v>-2261741.451728649</v>
      </c>
      <c r="E15" s="32" t="n">
        <v>0.3461051733672829</v>
      </c>
      <c r="F15" s="33" t="inlineStr">
        <is>
          <t>CSI</t>
        </is>
      </c>
    </row>
    <row r="16">
      <c r="A16" s="29" t="inlineStr">
        <is>
          <t>Transaction/Usage</t>
        </is>
      </c>
      <c r="B16" s="30" t="n">
        <v>1415195.46510167</v>
      </c>
      <c r="C16" s="31" t="n">
        <v>0</v>
      </c>
      <c r="D16" s="30" t="n">
        <v>1415195.46510167</v>
      </c>
      <c r="E16" s="32" t="n">
        <v>1</v>
      </c>
      <c r="F16" s="33" t="inlineStr">
        <is>
          <t>FIS</t>
        </is>
      </c>
    </row>
    <row r="17">
      <c r="A17" s="34" t="inlineStr">
        <is>
          <t>Training/Enablement</t>
        </is>
      </c>
      <c r="B17" s="35" t="n">
        <v>6620.367324236257</v>
      </c>
      <c r="C17" s="31" t="n">
        <v>0</v>
      </c>
      <c r="D17" s="35" t="n">
        <v>6620.367324236257</v>
      </c>
      <c r="E17" s="32" t="n">
        <v>1</v>
      </c>
      <c r="F17" s="33" t="inlineStr">
        <is>
          <t>FIS</t>
        </is>
      </c>
    </row>
    <row r="18">
      <c r="A18" s="29" t="inlineStr">
        <is>
          <t>Support/Maintenance</t>
        </is>
      </c>
      <c r="B18" s="30" t="n">
        <v>23079.33608865695</v>
      </c>
      <c r="C18" s="31" t="n">
        <v>0</v>
      </c>
      <c r="D18" s="30" t="n">
        <v>23079.33608865695</v>
      </c>
      <c r="E18" s="32" t="n">
        <v>1</v>
      </c>
      <c r="F18" s="33" t="inlineStr">
        <is>
          <t>FIS</t>
        </is>
      </c>
    </row>
    <row r="19">
      <c r="A19" s="34" t="inlineStr">
        <is>
          <t>Professional Services</t>
        </is>
      </c>
      <c r="B19" s="31" t="n">
        <v>67858.76507342161</v>
      </c>
      <c r="C19" s="35" t="n">
        <v>3305563.197423088</v>
      </c>
      <c r="D19" s="35" t="n">
        <v>-3237704.432349667</v>
      </c>
      <c r="E19" s="32" t="n">
        <v>0.9794713454196483</v>
      </c>
      <c r="F19" s="33" t="inlineStr">
        <is>
          <t>CSI</t>
        </is>
      </c>
    </row>
    <row r="20">
      <c r="A20" s="36" t="inlineStr">
        <is>
          <t>TOTAL 7-YEAR TCO</t>
        </is>
      </c>
      <c r="B20" s="37" t="n">
        <v>5410852.096734689</v>
      </c>
      <c r="C20" s="37" t="n">
        <v>13244335.39270052</v>
      </c>
      <c r="D20" s="37" t="n">
        <v>-7833483.295965835</v>
      </c>
      <c r="E20" s="38" t="n">
        <v>0.5914591456422326</v>
      </c>
      <c r="F20" s="39" t="inlineStr">
        <is>
          <t>CSI</t>
        </is>
      </c>
    </row>
    <row r="22">
      <c r="A22" s="40" t="inlineStr">
        <is>
          <t>RECOMMENDATION</t>
        </is>
      </c>
      <c r="B22" s="41" t="n"/>
      <c r="C22" s="41" t="n"/>
      <c r="D22" s="41" t="n"/>
      <c r="E22" s="41" t="n"/>
      <c r="F22" s="42" t="n"/>
    </row>
    <row r="23" ht="25" customHeight="1">
      <c r="A23" s="43" t="inlineStr">
        <is>
          <t>CSI offers a savings of $7,833,483 (59.1%) over FIS across the 7-year contract term.</t>
        </is>
      </c>
      <c r="B23" s="41" t="n"/>
      <c r="C23" s="41" t="n"/>
      <c r="D23" s="41" t="n"/>
      <c r="E23" s="41" t="n"/>
      <c r="F23" s="42" t="n"/>
    </row>
    <row r="25">
      <c r="A25" s="20" t="inlineStr">
        <is>
          <t>DETAILED LINE ITEM COMPARISON</t>
        </is>
      </c>
    </row>
    <row r="26">
      <c r="A26" s="19" t="inlineStr">
        <is>
          <t>Line items organized by cost category for detailed analysis</t>
        </is>
      </c>
    </row>
    <row r="28" ht="22" customHeight="1">
      <c r="A28" s="44" t="inlineStr">
        <is>
          <t>Setup/Implementation</t>
        </is>
      </c>
      <c r="B28" s="41" t="n"/>
      <c r="C28" s="41" t="n"/>
      <c r="D28" s="41" t="n"/>
      <c r="E28" s="41" t="n"/>
      <c r="F28" s="42" t="n"/>
    </row>
    <row r="29">
      <c r="A29" s="45" t="inlineStr">
        <is>
          <t>CSI Solution</t>
        </is>
      </c>
      <c r="B29" s="45" t="inlineStr">
        <is>
          <t>CSI Cost</t>
        </is>
      </c>
      <c r="C29" s="45" t="inlineStr">
        <is>
          <t>FIS Solution</t>
        </is>
      </c>
      <c r="D29" s="45" t="inlineStr">
        <is>
          <t>FIS Cost</t>
        </is>
      </c>
    </row>
    <row r="30">
      <c r="A30" s="46" t="inlineStr">
        <is>
          <t>CSI One-Time Fee</t>
        </is>
      </c>
      <c r="B30" s="30" t="n">
        <v>261102</v>
      </c>
      <c r="C30" s="46" t="inlineStr">
        <is>
          <t>Monthly Relationship Credit</t>
        </is>
      </c>
      <c r="D30" s="30" t="n">
        <v>-3218234.115948181</v>
      </c>
      <c r="E30" s="46" t="inlineStr">
        <is>
          <t>Monthly Relationship Credit</t>
        </is>
      </c>
      <c r="F30" s="30" t="n">
        <v>-3218234.115948181</v>
      </c>
    </row>
    <row r="31">
      <c r="A31" s="47" t="inlineStr">
        <is>
          <t>Equipment Fees</t>
        </is>
      </c>
      <c r="B31" s="35" t="n">
        <v>76933</v>
      </c>
      <c r="C31" s="48" t="inlineStr"/>
      <c r="D31" s="48" t="inlineStr"/>
      <c r="E31" s="48" t="inlineStr"/>
      <c r="F31" s="48" t="inlineStr"/>
    </row>
    <row r="32">
      <c r="A32" s="46" t="inlineStr">
        <is>
          <t>Credit for One-Time Fees</t>
        </is>
      </c>
      <c r="B32" s="30" t="n">
        <v>-338034</v>
      </c>
      <c r="C32" s="49" t="inlineStr"/>
      <c r="D32" s="49" t="inlineStr"/>
      <c r="E32" s="49" t="inlineStr"/>
      <c r="F32" s="49" t="inlineStr"/>
    </row>
    <row r="33">
      <c r="A33" s="47" t="inlineStr">
        <is>
          <t>Special Incentive Billing Credit</t>
        </is>
      </c>
      <c r="B33" s="35" t="n">
        <v>-375000</v>
      </c>
      <c r="C33" s="48" t="inlineStr"/>
      <c r="D33" s="48" t="inlineStr"/>
      <c r="E33" s="48" t="inlineStr"/>
      <c r="F33" s="48" t="inlineStr"/>
    </row>
    <row r="34">
      <c r="A34" s="50" t="inlineStr">
        <is>
          <t>Subtotal</t>
        </is>
      </c>
      <c r="B34" s="51" t="n">
        <v>-374999</v>
      </c>
      <c r="C34" s="50" t="inlineStr">
        <is>
          <t>Subtotal</t>
        </is>
      </c>
      <c r="D34" s="51" t="n">
        <v>-3218234.115948181</v>
      </c>
      <c r="E34" s="50" t="inlineStr">
        <is>
          <t>Subtotal</t>
        </is>
      </c>
      <c r="F34" s="51" t="n">
        <v>-3218234.115948181</v>
      </c>
    </row>
    <row r="36" ht="22" customHeight="1">
      <c r="A36" s="44" t="inlineStr">
        <is>
          <t>Licensing/Subscription</t>
        </is>
      </c>
      <c r="B36" s="41" t="n"/>
      <c r="C36" s="41" t="n"/>
      <c r="D36" s="41" t="n"/>
      <c r="E36" s="41" t="n"/>
      <c r="F36" s="42" t="n"/>
    </row>
    <row r="37">
      <c r="A37" s="45" t="inlineStr">
        <is>
          <t>CSI Solution</t>
        </is>
      </c>
      <c r="B37" s="45" t="inlineStr">
        <is>
          <t>CSI Cost</t>
        </is>
      </c>
      <c r="C37" s="45" t="inlineStr">
        <is>
          <t>FIS Solution</t>
        </is>
      </c>
      <c r="D37" s="45" t="inlineStr">
        <is>
          <t>FIS Cost</t>
        </is>
      </c>
    </row>
    <row r="38">
      <c r="A38" s="46" t="inlineStr">
        <is>
          <t>CSI Fees Included in Organic Growth Based Pricing</t>
        </is>
      </c>
      <c r="B38" s="30" t="n">
        <v>3555045.303568699</v>
      </c>
      <c r="C38" s="46" t="inlineStr">
        <is>
          <t>Item Processing: FCM, IP, Branch Capture, CCX, FXD, DLRR</t>
        </is>
      </c>
      <c r="D38" s="30" t="n">
        <v>1779499.567027004</v>
      </c>
      <c r="E38" s="46" t="inlineStr">
        <is>
          <t>Item Processing: FCM, IP, Branch Capture, CCX, FXD, DLRR</t>
        </is>
      </c>
      <c r="F38" s="30" t="n">
        <v>1779499.567027004</v>
      </c>
    </row>
    <row r="39">
      <c r="A39" s="47" t="inlineStr">
        <is>
          <t>CSI Wire</t>
        </is>
      </c>
      <c r="B39" s="35" t="n">
        <v>328903.526649904</v>
      </c>
      <c r="C39" s="47" t="inlineStr">
        <is>
          <t>Core: HORIZON</t>
        </is>
      </c>
      <c r="D39" s="35" t="n">
        <v>1544016.779285767</v>
      </c>
      <c r="E39" s="47" t="inlineStr">
        <is>
          <t>Core: HORIZON</t>
        </is>
      </c>
      <c r="F39" s="35" t="n">
        <v>1544016.779285767</v>
      </c>
    </row>
    <row r="40">
      <c r="A40" s="46" t="inlineStr">
        <is>
          <t>iPay Online Bill Pay</t>
        </is>
      </c>
      <c r="B40" s="30" t="n">
        <v>122108.997313691</v>
      </c>
      <c r="C40" s="46" t="inlineStr">
        <is>
          <t>EFT: EFT Norcross, 3D Secure, Tokenization, SecurLOCK</t>
        </is>
      </c>
      <c r="D40" s="30" t="n">
        <v>613763.2206844029</v>
      </c>
      <c r="E40" s="46" t="inlineStr">
        <is>
          <t>EFT: EFT Norcross, 3D Secure, Tokenization, SecurLOCK</t>
        </is>
      </c>
      <c r="F40" s="30" t="n">
        <v>613763.2206844029</v>
      </c>
    </row>
    <row r="41">
      <c r="A41" s="47" t="inlineStr">
        <is>
          <t>Quicken &amp; QuickBooks Direct Connect</t>
        </is>
      </c>
      <c r="B41" s="35" t="n">
        <v>67766.81552725167</v>
      </c>
      <c r="C41" s="47" t="inlineStr">
        <is>
          <t>Image Solutions: FedNOW (Send and Receive) D1B</t>
        </is>
      </c>
      <c r="D41" s="35" t="n">
        <v>326420.8889033155</v>
      </c>
      <c r="E41" s="47" t="inlineStr">
        <is>
          <t>Image Solutions: FedNOW (Send and Receive) D1B</t>
        </is>
      </c>
      <c r="F41" s="35" t="n">
        <v>326420.8889033155</v>
      </c>
    </row>
    <row r="42">
      <c r="A42" s="46" t="inlineStr">
        <is>
          <t>Mobile Deposit</t>
        </is>
      </c>
      <c r="B42" s="30" t="n">
        <v>53606.58541707969</v>
      </c>
      <c r="C42" s="46" t="inlineStr">
        <is>
          <t>IP: DirectLink Merchant (via RDC)</t>
        </is>
      </c>
      <c r="D42" s="30" t="n">
        <v>312825.2290066269</v>
      </c>
      <c r="E42" s="46" t="inlineStr">
        <is>
          <t>IP: DirectLink Merchant (via RDC)</t>
        </is>
      </c>
      <c r="F42" s="30" t="n">
        <v>312825.2290066269</v>
      </c>
    </row>
    <row r="43">
      <c r="A43" s="47" t="inlineStr">
        <is>
          <t>Out of Band Authentication (OOBA)</t>
        </is>
      </c>
      <c r="B43" s="35" t="n">
        <v>36871.76801414916</v>
      </c>
      <c r="C43" s="47" t="inlineStr">
        <is>
          <t>Treasury: eWire (Business)</t>
        </is>
      </c>
      <c r="D43" s="35" t="n">
        <v>219023.8189768161</v>
      </c>
      <c r="E43" s="47" t="inlineStr">
        <is>
          <t>Treasury: eWire (Business)</t>
        </is>
      </c>
      <c r="F43" s="35" t="n">
        <v>219023.8189768161</v>
      </c>
    </row>
    <row r="44">
      <c r="A44" s="46" t="inlineStr">
        <is>
          <t>Integrated PFM</t>
        </is>
      </c>
      <c r="B44" s="30" t="n">
        <v>32458.18979799165</v>
      </c>
      <c r="C44" s="46" t="inlineStr">
        <is>
          <t>Network: Network Connectivity Services</t>
        </is>
      </c>
      <c r="D44" s="30" t="n">
        <v>200082.2124658069</v>
      </c>
      <c r="E44" s="46" t="inlineStr">
        <is>
          <t>Network: Network Connectivity Services</t>
        </is>
      </c>
      <c r="F44" s="30" t="n">
        <v>200082.2124658069</v>
      </c>
    </row>
    <row r="45">
      <c r="A45" s="47" t="inlineStr">
        <is>
          <t>WatchDog CIP License</t>
        </is>
      </c>
      <c r="B45" s="35" t="n">
        <v>22987.38654248701</v>
      </c>
      <c r="C45" s="47" t="inlineStr">
        <is>
          <t>FOS: eDelivery, Print/Render, Forms &amp; Envelopes</t>
        </is>
      </c>
      <c r="D45" s="35" t="n">
        <v>199346.6160964473</v>
      </c>
      <c r="E45" s="47" t="inlineStr">
        <is>
          <t>FOS: eDelivery, Print/Render, Forms &amp; Envelopes</t>
        </is>
      </c>
      <c r="F45" s="35" t="n">
        <v>199346.6160964473</v>
      </c>
    </row>
    <row r="46">
      <c r="A46" s="46" t="inlineStr">
        <is>
          <t>Mobile Banking Push Notifications</t>
        </is>
      </c>
      <c r="B46" s="30" t="n">
        <v>20228.90015738856</v>
      </c>
      <c r="C46" s="46" t="inlineStr">
        <is>
          <t>Digital: WebConnect/DirectConnect &amp; Quickbooks</t>
        </is>
      </c>
      <c r="D46" s="30" t="n">
        <v>191163.1064873219</v>
      </c>
      <c r="E46" s="46" t="inlineStr">
        <is>
          <t>Digital: WebConnect/DirectConnect &amp; Quickbooks</t>
        </is>
      </c>
      <c r="F46" s="30" t="n">
        <v>191163.1064873219</v>
      </c>
    </row>
    <row r="47">
      <c r="A47" s="47" t="inlineStr">
        <is>
          <t>Digital Chat - LinkLive</t>
        </is>
      </c>
      <c r="B47" s="35" t="n">
        <v>9378.853709334697</v>
      </c>
      <c r="C47" s="47" t="inlineStr">
        <is>
          <t>ACH: Milwaukee ACH</t>
        </is>
      </c>
      <c r="D47" s="35" t="n">
        <v>169646.9126835541</v>
      </c>
      <c r="E47" s="47" t="inlineStr">
        <is>
          <t>ACH: Milwaukee ACH</t>
        </is>
      </c>
      <c r="F47" s="35" t="n">
        <v>169646.9126835541</v>
      </c>
    </row>
    <row r="48">
      <c r="A48" s="46" t="inlineStr">
        <is>
          <t>Call Report File Download (SmartCall)</t>
        </is>
      </c>
      <c r="B48" s="30" t="n">
        <v>9194.954616994799</v>
      </c>
      <c r="C48" s="46" t="inlineStr">
        <is>
          <t>Image Solutions: Collaboration Hub</t>
        </is>
      </c>
      <c r="D48" s="30" t="n">
        <v>107875.207566583</v>
      </c>
      <c r="E48" s="46" t="inlineStr">
        <is>
          <t>Image Solutions: Collaboration Hub</t>
        </is>
      </c>
      <c r="F48" s="30" t="n">
        <v>107875.207566583</v>
      </c>
    </row>
    <row r="49">
      <c r="A49" s="47" t="inlineStr">
        <is>
          <t>Integrated PFM + Aggregation</t>
        </is>
      </c>
      <c r="B49" s="35" t="n">
        <v>8643.257339975113</v>
      </c>
      <c r="C49" s="47" t="inlineStr">
        <is>
          <t>IP: DirectLink Consumer (via FXD)</t>
        </is>
      </c>
      <c r="D49" s="35" t="n">
        <v>107598.4394326115</v>
      </c>
      <c r="E49" s="47" t="inlineStr">
        <is>
          <t>IP: DirectLink Consumer (via FXD)</t>
        </is>
      </c>
      <c r="F49" s="35" t="n">
        <v>107598.4394326115</v>
      </c>
    </row>
    <row r="50">
      <c r="A50" s="46" t="inlineStr">
        <is>
          <t>PLUS Network Sponsorship</t>
        </is>
      </c>
      <c r="B50" s="30" t="n">
        <v>4597.477308497399</v>
      </c>
      <c r="C50" s="46" t="inlineStr">
        <is>
          <t>Treasury: Extended Account Analysis (XAA)</t>
        </is>
      </c>
      <c r="D50" s="30" t="n">
        <v>103351.2898950216</v>
      </c>
      <c r="E50" s="46" t="inlineStr">
        <is>
          <t>Treasury: Extended Account Analysis (XAA)</t>
        </is>
      </c>
      <c r="F50" s="30" t="n">
        <v>103351.2898950216</v>
      </c>
    </row>
    <row r="51">
      <c r="A51" s="47" t="inlineStr">
        <is>
          <t>CSI Annual Forms &amp; Statements</t>
        </is>
      </c>
      <c r="B51" s="35" t="n">
        <v>1305.147183260604</v>
      </c>
      <c r="C51" s="47" t="inlineStr">
        <is>
          <t>HORIZON: Conditional Processing</t>
        </is>
      </c>
      <c r="D51" s="35" t="n">
        <v>99011.2713158</v>
      </c>
      <c r="E51" s="47" t="inlineStr">
        <is>
          <t>HORIZON: Conditional Processing</t>
        </is>
      </c>
      <c r="F51" s="35" t="n">
        <v>99011.2713158</v>
      </c>
    </row>
    <row r="52">
      <c r="A52" s="49" t="inlineStr"/>
      <c r="B52" s="49" t="inlineStr"/>
      <c r="C52" s="46" t="inlineStr">
        <is>
          <t>Lending: FLO</t>
        </is>
      </c>
      <c r="D52" s="30" t="n">
        <v>97006.77120929516</v>
      </c>
      <c r="E52" s="46" t="inlineStr">
        <is>
          <t>Lending: FLO</t>
        </is>
      </c>
      <c r="F52" s="30" t="n">
        <v>97006.77120929516</v>
      </c>
    </row>
    <row r="53">
      <c r="A53" s="48" t="inlineStr"/>
      <c r="B53" s="48" t="inlineStr"/>
      <c r="C53" s="47" t="inlineStr">
        <is>
          <t>Image Solutions: RTP (Receive)</t>
        </is>
      </c>
      <c r="D53" s="35" t="n">
        <v>78616.86197530555</v>
      </c>
      <c r="E53" s="47" t="inlineStr">
        <is>
          <t>Image Solutions: RTP (Receive)</t>
        </is>
      </c>
      <c r="F53" s="35" t="n">
        <v>78616.86197530555</v>
      </c>
    </row>
    <row r="54">
      <c r="A54" s="49" t="inlineStr"/>
      <c r="B54" s="49" t="inlineStr"/>
      <c r="C54" s="46" t="inlineStr">
        <is>
          <t>Accounts Payable: Avid Ascend</t>
        </is>
      </c>
      <c r="D54" s="30" t="n">
        <v>74203.28375914805</v>
      </c>
      <c r="E54" s="46" t="inlineStr">
        <is>
          <t>Accounts Payable: Avid Ascend</t>
        </is>
      </c>
      <c r="F54" s="30" t="n">
        <v>74203.28375914805</v>
      </c>
    </row>
    <row r="55">
      <c r="A55" s="48" t="inlineStr"/>
      <c r="B55" s="48" t="inlineStr"/>
      <c r="C55" s="47" t="inlineStr">
        <is>
          <t>Risk, Fraud &amp; Compliance: Decision Solutions</t>
        </is>
      </c>
      <c r="D55" s="35" t="n">
        <v>73835.48557446826</v>
      </c>
      <c r="E55" s="47" t="inlineStr">
        <is>
          <t>Risk, Fraud &amp; Compliance: Decision Solutions</t>
        </is>
      </c>
      <c r="F55" s="35" t="n">
        <v>73835.48557446826</v>
      </c>
    </row>
    <row r="56">
      <c r="A56" s="49" t="inlineStr"/>
      <c r="B56" s="49" t="inlineStr"/>
      <c r="C56" s="46" t="inlineStr">
        <is>
          <t>Recently Signed Solutions: Various</t>
        </is>
      </c>
      <c r="D56" s="30" t="n">
        <v>59399.40682578643</v>
      </c>
      <c r="E56" s="46" t="inlineStr">
        <is>
          <t>Recently Signed Solutions: Various</t>
        </is>
      </c>
      <c r="F56" s="30" t="n">
        <v>59399.40682578643</v>
      </c>
    </row>
    <row r="57">
      <c r="A57" s="48" t="inlineStr"/>
      <c r="B57" s="48" t="inlineStr"/>
      <c r="C57" s="47" t="inlineStr">
        <is>
          <t>Digital: Zelle</t>
        </is>
      </c>
      <c r="D57" s="35" t="n">
        <v>58939.65909493667</v>
      </c>
      <c r="E57" s="47" t="inlineStr">
        <is>
          <t>Digital: Zelle</t>
        </is>
      </c>
      <c r="F57" s="35" t="n">
        <v>58939.65909493667</v>
      </c>
    </row>
    <row r="58">
      <c r="A58" s="49" t="inlineStr"/>
      <c r="B58" s="49" t="inlineStr"/>
      <c r="C58" s="46" t="inlineStr">
        <is>
          <t>Digital: Website Services</t>
        </is>
      </c>
      <c r="D58" s="30" t="n">
        <v>52227.34222453048</v>
      </c>
      <c r="E58" s="46" t="inlineStr">
        <is>
          <t>Digital: Website Services</t>
        </is>
      </c>
      <c r="F58" s="30" t="n">
        <v>52227.34222453048</v>
      </c>
    </row>
    <row r="59">
      <c r="A59" s="48" t="inlineStr"/>
      <c r="B59" s="48" t="inlineStr"/>
      <c r="C59" s="47" t="inlineStr">
        <is>
          <t>Security Plus: Data Restore</t>
        </is>
      </c>
      <c r="D59" s="35" t="n">
        <v>30159.45114374295</v>
      </c>
      <c r="E59" s="47" t="inlineStr">
        <is>
          <t>Security Plus: Data Restore</t>
        </is>
      </c>
      <c r="F59" s="35" t="n">
        <v>30159.45114374295</v>
      </c>
    </row>
    <row r="60">
      <c r="A60" s="49" t="inlineStr"/>
      <c r="B60" s="49" t="inlineStr"/>
      <c r="C60" s="46" t="inlineStr">
        <is>
          <t>Image Solutions: Chargeback Manager</t>
        </is>
      </c>
      <c r="D60" s="30" t="n">
        <v>22987.38654248701</v>
      </c>
      <c r="E60" s="46" t="inlineStr">
        <is>
          <t>Image Solutions: Chargeback Manager</t>
        </is>
      </c>
      <c r="F60" s="30" t="n">
        <v>22987.38654248701</v>
      </c>
    </row>
    <row r="61">
      <c r="A61" s="48" t="inlineStr"/>
      <c r="B61" s="48" t="inlineStr"/>
      <c r="C61" s="47" t="inlineStr">
        <is>
          <t>Image Solutions: RTP Send for D1B</t>
        </is>
      </c>
      <c r="D61" s="35" t="n">
        <v>13838.40669857718</v>
      </c>
      <c r="E61" s="47" t="inlineStr">
        <is>
          <t>Image Solutions: RTP Send for D1B</t>
        </is>
      </c>
      <c r="F61" s="35" t="n">
        <v>13838.40669857718</v>
      </c>
    </row>
    <row r="62">
      <c r="A62" s="50" t="inlineStr">
        <is>
          <t>Subtotal</t>
        </is>
      </c>
      <c r="B62" s="51" t="n">
        <v>4273097.163146704</v>
      </c>
      <c r="C62" s="50" t="inlineStr">
        <is>
          <t>Subtotal</t>
        </is>
      </c>
      <c r="D62" s="51" t="n">
        <v>6534838.614875353</v>
      </c>
      <c r="E62" s="50" t="inlineStr">
        <is>
          <t>Subtotal</t>
        </is>
      </c>
      <c r="F62" s="51" t="n">
        <v>6534838.614875353</v>
      </c>
    </row>
    <row r="64" ht="22" customHeight="1">
      <c r="A64" s="44" t="inlineStr">
        <is>
          <t>Transaction/Usage</t>
        </is>
      </c>
      <c r="B64" s="41" t="n"/>
      <c r="C64" s="41" t="n"/>
      <c r="D64" s="41" t="n"/>
      <c r="E64" s="41" t="n"/>
      <c r="F64" s="42" t="n"/>
    </row>
    <row r="65">
      <c r="A65" s="45" t="inlineStr">
        <is>
          <t>CSI Solution</t>
        </is>
      </c>
      <c r="B65" s="45" t="inlineStr">
        <is>
          <t>CSI Cost</t>
        </is>
      </c>
      <c r="C65" s="45" t="inlineStr">
        <is>
          <t>FIS Solution</t>
        </is>
      </c>
      <c r="D65" s="45" t="inlineStr">
        <is>
          <t>FIS Cost</t>
        </is>
      </c>
    </row>
    <row r="66">
      <c r="A66" s="46" t="inlineStr">
        <is>
          <t>Other Processing Fees</t>
        </is>
      </c>
      <c r="B66" s="30" t="n">
        <v>1170885.520928118</v>
      </c>
      <c r="C66" s="46" t="inlineStr">
        <is>
          <t>Treasury: eWire (Consumer)</t>
        </is>
      </c>
      <c r="D66" s="30" t="n">
        <v>0</v>
      </c>
      <c r="E66" s="46" t="inlineStr">
        <is>
          <t>Treasury: eWire (Consumer)</t>
        </is>
      </c>
      <c r="F66" s="30" t="n">
        <v>0</v>
      </c>
    </row>
    <row r="67">
      <c r="A67" s="47" t="inlineStr">
        <is>
          <t>A2iA CAR/LAR</t>
        </is>
      </c>
      <c r="B67" s="35" t="n">
        <v>70525.30191235013</v>
      </c>
      <c r="C67" s="48" t="inlineStr"/>
      <c r="D67" s="48" t="inlineStr"/>
      <c r="E67" s="48" t="inlineStr"/>
      <c r="F67" s="48" t="inlineStr"/>
    </row>
    <row r="68">
      <c r="A68" s="46" t="inlineStr">
        <is>
          <t>EFT Processing Fees - Primary Network</t>
        </is>
      </c>
      <c r="B68" s="30" t="n">
        <v>47262.06673135328</v>
      </c>
      <c r="C68" s="49" t="inlineStr"/>
      <c r="D68" s="49" t="inlineStr"/>
      <c r="E68" s="49" t="inlineStr"/>
      <c r="F68" s="49" t="inlineStr"/>
    </row>
    <row r="69">
      <c r="A69" s="47" t="inlineStr">
        <is>
          <t>FMS Margin Performer</t>
        </is>
      </c>
      <c r="B69" s="35" t="n">
        <v>29975.55205140305</v>
      </c>
      <c r="C69" s="48" t="inlineStr"/>
      <c r="D69" s="48" t="inlineStr"/>
      <c r="E69" s="48" t="inlineStr"/>
      <c r="F69" s="48" t="inlineStr"/>
    </row>
    <row r="70">
      <c r="A70" s="46" t="inlineStr">
        <is>
          <t>FMS Profit Performer</t>
        </is>
      </c>
      <c r="B70" s="30" t="n">
        <v>29975.55205140305</v>
      </c>
      <c r="C70" s="49" t="inlineStr"/>
      <c r="D70" s="49" t="inlineStr"/>
      <c r="E70" s="49" t="inlineStr"/>
      <c r="F70" s="49" t="inlineStr"/>
    </row>
    <row r="71">
      <c r="A71" s="47" t="inlineStr">
        <is>
          <t>Image Capture Processing Fees</t>
        </is>
      </c>
      <c r="B71" s="35" t="n">
        <v>17102.61558761033</v>
      </c>
      <c r="C71" s="48" t="inlineStr"/>
      <c r="D71" s="48" t="inlineStr"/>
      <c r="E71" s="48" t="inlineStr"/>
      <c r="F71" s="48" t="inlineStr"/>
    </row>
    <row r="72">
      <c r="A72" s="46" t="inlineStr">
        <is>
          <t>Level 2 ID Verification Transactions</t>
        </is>
      </c>
      <c r="B72" s="30" t="n">
        <v>12229.28964060308</v>
      </c>
      <c r="C72" s="49" t="inlineStr"/>
      <c r="D72" s="49" t="inlineStr"/>
      <c r="E72" s="49" t="inlineStr"/>
      <c r="F72" s="49" t="inlineStr"/>
    </row>
    <row r="73">
      <c r="A73" s="47" t="inlineStr">
        <is>
          <t>Out of Wallet Transactions</t>
        </is>
      </c>
      <c r="B73" s="35" t="n">
        <v>9011.055524654905</v>
      </c>
      <c r="C73" s="48" t="inlineStr"/>
      <c r="D73" s="48" t="inlineStr"/>
      <c r="E73" s="48" t="inlineStr"/>
      <c r="F73" s="48" t="inlineStr"/>
    </row>
    <row r="74">
      <c r="A74" s="46" t="inlineStr">
        <is>
          <t>PIN Change</t>
        </is>
      </c>
      <c r="B74" s="30" t="n">
        <v>7815.711424445581</v>
      </c>
      <c r="C74" s="49" t="inlineStr"/>
      <c r="D74" s="49" t="inlineStr"/>
      <c r="E74" s="49" t="inlineStr"/>
      <c r="F74" s="49" t="inlineStr"/>
    </row>
    <row r="75">
      <c r="A75" s="47" t="inlineStr">
        <is>
          <t>Card Production - Instant Issue</t>
        </is>
      </c>
      <c r="B75" s="35" t="n">
        <v>7447.91323976579</v>
      </c>
      <c r="C75" s="48" t="inlineStr"/>
      <c r="D75" s="48" t="inlineStr"/>
      <c r="E75" s="48" t="inlineStr"/>
      <c r="F75" s="48" t="inlineStr"/>
    </row>
    <row r="76">
      <c r="A76" s="46" t="inlineStr">
        <is>
          <t>EMV Card Production Fee</t>
        </is>
      </c>
      <c r="B76" s="30" t="n">
        <v>6712.316870406204</v>
      </c>
      <c r="C76" s="49" t="inlineStr"/>
      <c r="D76" s="49" t="inlineStr"/>
      <c r="E76" s="49" t="inlineStr"/>
      <c r="F76" s="49" t="inlineStr"/>
    </row>
    <row r="77">
      <c r="A77" s="47" t="inlineStr">
        <is>
          <t>Contactless EMV Card Production Fee</t>
        </is>
      </c>
      <c r="B77" s="35" t="n">
        <v>6252.569139556465</v>
      </c>
      <c r="C77" s="48" t="inlineStr"/>
      <c r="D77" s="48" t="inlineStr"/>
      <c r="E77" s="48" t="inlineStr"/>
      <c r="F77" s="48" t="inlineStr"/>
    </row>
    <row r="78">
      <c r="A78" s="50" t="inlineStr">
        <is>
          <t>Subtotal</t>
        </is>
      </c>
      <c r="B78" s="51" t="n">
        <v>1415195.46510167</v>
      </c>
      <c r="C78" s="50" t="inlineStr">
        <is>
          <t>Subtotal</t>
        </is>
      </c>
      <c r="D78" s="51" t="n">
        <v>0</v>
      </c>
      <c r="E78" s="50" t="inlineStr">
        <is>
          <t>Subtotal</t>
        </is>
      </c>
      <c r="F78" s="51" t="n">
        <v>0</v>
      </c>
    </row>
    <row r="80" ht="22" customHeight="1">
      <c r="A80" s="44" t="inlineStr">
        <is>
          <t>Training/Enablement</t>
        </is>
      </c>
      <c r="B80" s="41" t="n"/>
      <c r="C80" s="41" t="n"/>
      <c r="D80" s="41" t="n"/>
      <c r="E80" s="41" t="n"/>
      <c r="F80" s="42" t="n"/>
    </row>
    <row r="81">
      <c r="A81" s="45" t="inlineStr">
        <is>
          <t>CSI Solution</t>
        </is>
      </c>
      <c r="B81" s="45" t="inlineStr">
        <is>
          <t>CSI Cost</t>
        </is>
      </c>
      <c r="C81" s="45" t="inlineStr">
        <is>
          <t>FIS Solution</t>
        </is>
      </c>
      <c r="D81" s="45" t="inlineStr">
        <is>
          <t>FIS Cost</t>
        </is>
      </c>
    </row>
    <row r="82">
      <c r="A82" s="46" t="inlineStr">
        <is>
          <t>Monthly Statement Processing Materials - Envelopes &amp; Paper</t>
        </is>
      </c>
      <c r="B82" s="30" t="n">
        <v>6620.367324236257</v>
      </c>
      <c r="C82" s="49" t="inlineStr"/>
      <c r="D82" s="49" t="inlineStr"/>
      <c r="E82" s="49" t="inlineStr"/>
      <c r="F82" s="49" t="inlineStr"/>
    </row>
    <row r="83">
      <c r="A83" s="50" t="inlineStr">
        <is>
          <t>Subtotal</t>
        </is>
      </c>
      <c r="B83" s="51" t="n">
        <v>6620.367324236257</v>
      </c>
      <c r="C83" s="50" t="inlineStr">
        <is>
          <t>Subtotal</t>
        </is>
      </c>
      <c r="D83" s="51" t="n">
        <v>0</v>
      </c>
      <c r="E83" s="50" t="inlineStr">
        <is>
          <t>Subtotal</t>
        </is>
      </c>
      <c r="F83" s="51" t="n">
        <v>0</v>
      </c>
    </row>
    <row r="85" ht="22" customHeight="1">
      <c r="A85" s="44" t="inlineStr">
        <is>
          <t>Support/Maintenance</t>
        </is>
      </c>
      <c r="B85" s="41" t="n"/>
      <c r="C85" s="41" t="n"/>
      <c r="D85" s="41" t="n"/>
      <c r="E85" s="41" t="n"/>
      <c r="F85" s="42" t="n"/>
    </row>
    <row r="86">
      <c r="A86" s="45" t="inlineStr">
        <is>
          <t>CSI Solution</t>
        </is>
      </c>
      <c r="B86" s="45" t="inlineStr">
        <is>
          <t>CSI Cost</t>
        </is>
      </c>
      <c r="C86" s="45" t="inlineStr">
        <is>
          <t>FIS Solution</t>
        </is>
      </c>
      <c r="D86" s="45" t="inlineStr">
        <is>
          <t>FIS Cost</t>
        </is>
      </c>
    </row>
    <row r="87">
      <c r="A87" s="46" t="inlineStr">
        <is>
          <t>Monthly Equipment Fees</t>
        </is>
      </c>
      <c r="B87" s="30" t="n">
        <v>22987.38654248701</v>
      </c>
      <c r="C87" s="49" t="inlineStr"/>
      <c r="D87" s="49" t="inlineStr"/>
      <c r="E87" s="49" t="inlineStr"/>
      <c r="F87" s="49" t="inlineStr"/>
    </row>
    <row r="88">
      <c r="A88" s="47" t="inlineStr">
        <is>
          <t>Child Support Accounts</t>
        </is>
      </c>
      <c r="B88" s="35" t="n">
        <v>91.94954616994801</v>
      </c>
      <c r="C88" s="48" t="inlineStr"/>
      <c r="D88" s="48" t="inlineStr"/>
      <c r="E88" s="48" t="inlineStr"/>
      <c r="F88" s="48" t="inlineStr"/>
    </row>
    <row r="89">
      <c r="A89" s="50" t="inlineStr">
        <is>
          <t>Subtotal</t>
        </is>
      </c>
      <c r="B89" s="51" t="n">
        <v>23079.33608865695</v>
      </c>
      <c r="C89" s="50" t="inlineStr">
        <is>
          <t>Subtotal</t>
        </is>
      </c>
      <c r="D89" s="51" t="n">
        <v>0</v>
      </c>
      <c r="E89" s="50" t="inlineStr">
        <is>
          <t>Subtotal</t>
        </is>
      </c>
      <c r="F89" s="51" t="n">
        <v>0</v>
      </c>
    </row>
    <row r="91" ht="22" customHeight="1">
      <c r="A91" s="44" t="inlineStr">
        <is>
          <t>Professional Services</t>
        </is>
      </c>
      <c r="B91" s="41" t="n"/>
      <c r="C91" s="41" t="n"/>
      <c r="D91" s="41" t="n"/>
      <c r="E91" s="41" t="n"/>
      <c r="F91" s="42" t="n"/>
    </row>
    <row r="92">
      <c r="A92" s="45" t="inlineStr">
        <is>
          <t>CSI Solution</t>
        </is>
      </c>
      <c r="B92" s="45" t="inlineStr">
        <is>
          <t>CSI Cost</t>
        </is>
      </c>
      <c r="C92" s="45" t="inlineStr">
        <is>
          <t>FIS Solution</t>
        </is>
      </c>
      <c r="D92" s="45" t="inlineStr">
        <is>
          <t>FIS Cost</t>
        </is>
      </c>
    </row>
    <row r="93">
      <c r="A93" s="46" t="inlineStr">
        <is>
          <t>iPay Business Bill Pay Program</t>
        </is>
      </c>
      <c r="B93" s="30" t="n">
        <v>67858.76507342161</v>
      </c>
      <c r="C93" s="46" t="inlineStr">
        <is>
          <t>Digital: D1 Flex, D1 Business, Mobile, Bill Pay</t>
        </is>
      </c>
      <c r="D93" s="30" t="n">
        <v>3241497.351129177</v>
      </c>
      <c r="E93" s="46" t="inlineStr">
        <is>
          <t>Digital: D1 Flex, D1 Business, Mobile, Bill Pay</t>
        </is>
      </c>
      <c r="F93" s="30" t="n">
        <v>3241497.351129177</v>
      </c>
    </row>
    <row r="94">
      <c r="A94" s="48" t="inlineStr"/>
      <c r="B94" s="48" t="inlineStr"/>
      <c r="C94" s="47" t="inlineStr">
        <is>
          <t>EFT: Debit Card Production</t>
        </is>
      </c>
      <c r="D94" s="35" t="n">
        <v>47078.16763901338</v>
      </c>
      <c r="E94" s="47" t="inlineStr">
        <is>
          <t>EFT: Debit Card Production</t>
        </is>
      </c>
      <c r="F94" s="35" t="n">
        <v>47078.16763901338</v>
      </c>
    </row>
    <row r="95">
      <c r="A95" s="49" t="inlineStr"/>
      <c r="B95" s="49" t="inlineStr"/>
      <c r="C95" s="46" t="inlineStr">
        <is>
          <t>EFT: NYCE Debit Card Network</t>
        </is>
      </c>
      <c r="D95" s="30" t="n">
        <v>15723.37239506111</v>
      </c>
      <c r="E95" s="46" t="inlineStr">
        <is>
          <t>EFT: NYCE Debit Card Network</t>
        </is>
      </c>
      <c r="F95" s="30" t="n">
        <v>15723.37239506111</v>
      </c>
    </row>
    <row r="96">
      <c r="A96" s="48" t="inlineStr"/>
      <c r="B96" s="48" t="inlineStr"/>
      <c r="C96" s="47" t="inlineStr">
        <is>
          <t>SSL Encryption Certificates: GEOTrust, Verisign</t>
        </is>
      </c>
      <c r="D96" s="35" t="n">
        <v>1264.306259836785</v>
      </c>
      <c r="E96" s="47" t="inlineStr">
        <is>
          <t>SSL Encryption Certificates: GEOTrust, Verisign</t>
        </is>
      </c>
      <c r="F96" s="35" t="n">
        <v>1264.306259836785</v>
      </c>
    </row>
    <row r="97">
      <c r="A97" s="50" t="inlineStr">
        <is>
          <t>Subtotal</t>
        </is>
      </c>
      <c r="B97" s="51" t="n">
        <v>67858.76507342161</v>
      </c>
      <c r="C97" s="50" t="inlineStr">
        <is>
          <t>Subtotal</t>
        </is>
      </c>
      <c r="D97" s="51" t="n">
        <v>3305563.197423088</v>
      </c>
      <c r="E97" s="50" t="inlineStr">
        <is>
          <t>Subtotal</t>
        </is>
      </c>
      <c r="F97" s="51" t="n">
        <v>3305563.197423088</v>
      </c>
    </row>
  </sheetData>
  <mergeCells count="10">
    <mergeCell ref="A85:F85"/>
    <mergeCell ref="A28:F28"/>
    <mergeCell ref="A1:G1"/>
    <mergeCell ref="A36:F36"/>
    <mergeCell ref="A80:F80"/>
    <mergeCell ref="A23:F23"/>
    <mergeCell ref="A22:F22"/>
    <mergeCell ref="A2:G2"/>
    <mergeCell ref="A91:F91"/>
    <mergeCell ref="A64:F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2026-01-15T21:00:43Z</dcterms:modified>
</cp:coreProperties>
</file>