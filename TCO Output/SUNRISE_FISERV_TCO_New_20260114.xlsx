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17</v>
      </c>
      <c r="B2" t="inlineStr">
        <is>
          <t>Monthly F</t>
        </is>
      </c>
      <c r="C2" t="inlineStr">
        <is>
          <t>ACH Processing</t>
        </is>
      </c>
      <c r="D2" t="inlineStr">
        <is>
          <t>Other</t>
        </is>
      </c>
      <c r="E2" t="b">
        <v>0</v>
      </c>
      <c r="F2" t="b">
        <v>0</v>
      </c>
      <c r="G2" s="12" t="n">
        <v>580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Required ACH processing service</t>
        </is>
      </c>
    </row>
    <row r="3">
      <c r="A3" t="n">
        <v>1</v>
      </c>
      <c r="B3" t="inlineStr">
        <is>
          <t>Monthly F</t>
        </is>
      </c>
      <c r="C3" t="inlineStr">
        <is>
          <t>DNA Core Platform</t>
        </is>
      </c>
      <c r="D3" t="inlineStr">
        <is>
          <t>Other</t>
        </is>
      </c>
      <c r="E3" t="b">
        <v>0</v>
      </c>
      <c r="F3" t="b">
        <v>0</v>
      </c>
      <c r="G3" s="12" t="n">
        <v>7500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Core platform bundle with license fee of $75,000</t>
        </is>
      </c>
    </row>
    <row r="4">
      <c r="A4" t="n">
        <v>9</v>
      </c>
      <c r="B4" t="inlineStr">
        <is>
          <t>Monthly F</t>
        </is>
      </c>
      <c r="C4" t="inlineStr">
        <is>
          <t>DNA Digital Banking</t>
        </is>
      </c>
      <c r="D4" t="inlineStr">
        <is>
          <t>Other</t>
        </is>
      </c>
      <c r="E4" t="b">
        <v>0</v>
      </c>
      <c r="F4" t="b">
        <v>0</v>
      </c>
      <c r="G4" s="12" t="n">
        <v>3500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Digital banking bundle with license fee of $28,000</t>
        </is>
      </c>
    </row>
    <row r="5">
      <c r="A5" t="n">
        <v>7</v>
      </c>
      <c r="B5" t="inlineStr">
        <is>
          <t>Monthly F</t>
        </is>
      </c>
      <c r="C5" t="inlineStr">
        <is>
          <t>DNA Lending</t>
        </is>
      </c>
      <c r="D5" t="inlineStr">
        <is>
          <t>Other</t>
        </is>
      </c>
      <c r="E5" t="b">
        <v>0</v>
      </c>
      <c r="F5" t="b">
        <v>0</v>
      </c>
      <c r="G5" s="12" t="n">
        <v>2800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Lending system bundle with license fee of $22,000</t>
        </is>
      </c>
    </row>
    <row r="6">
      <c r="A6" t="n">
        <v>11</v>
      </c>
      <c r="B6" t="inlineStr">
        <is>
          <t>Monthly F</t>
        </is>
      </c>
      <c r="C6" t="inlineStr">
        <is>
          <t>DNA Mobile</t>
        </is>
      </c>
      <c r="D6" t="inlineStr">
        <is>
          <t>Other</t>
        </is>
      </c>
      <c r="E6" t="b">
        <v>0</v>
      </c>
      <c r="F6" t="b">
        <v>0</v>
      </c>
      <c r="G6" s="12" t="n">
        <v>2400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Mobile banking bundle with license fee of $16,000</t>
        </is>
      </c>
    </row>
    <row r="7">
      <c r="A7" t="n">
        <v>5</v>
      </c>
      <c r="B7" t="inlineStr">
        <is>
          <t>Monthly F</t>
        </is>
      </c>
      <c r="C7" t="inlineStr">
        <is>
          <t>DNA New Accounts</t>
        </is>
      </c>
      <c r="D7" t="inlineStr">
        <is>
          <t>Other</t>
        </is>
      </c>
      <c r="E7" t="b">
        <v>0</v>
      </c>
      <c r="F7" t="b">
        <v>0</v>
      </c>
      <c r="G7" s="12" t="n">
        <v>1800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New accounts system bundle with license fee of $15,000</t>
        </is>
      </c>
    </row>
    <row r="8">
      <c r="A8" t="n">
        <v>3</v>
      </c>
      <c r="B8" t="inlineStr">
        <is>
          <t>Monthly F</t>
        </is>
      </c>
      <c r="C8" t="inlineStr">
        <is>
          <t>DNA Teller</t>
        </is>
      </c>
      <c r="D8" t="inlineStr">
        <is>
          <t>Other</t>
        </is>
      </c>
      <c r="E8" t="b">
        <v>0</v>
      </c>
      <c r="F8" t="b">
        <v>0</v>
      </c>
      <c r="G8" s="12" t="n">
        <v>2200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Teller system bundle with license fee of $18,000</t>
        </is>
      </c>
    </row>
    <row r="9">
      <c r="A9" t="n">
        <v>23</v>
      </c>
      <c r="B9" t="inlineStr">
        <is>
          <t>Monthly F</t>
        </is>
      </c>
      <c r="C9" t="inlineStr">
        <is>
          <t>Positive Pay</t>
        </is>
      </c>
      <c r="D9" t="inlineStr">
        <is>
          <t>Other</t>
        </is>
      </c>
      <c r="E9" t="b">
        <v>0</v>
      </c>
      <c r="F9" t="b">
        <v>0</v>
      </c>
      <c r="G9" s="12" t="n">
        <v>280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Required positive pay service</t>
        </is>
      </c>
    </row>
    <row r="10">
      <c r="A10" t="n">
        <v>21</v>
      </c>
      <c r="B10" t="inlineStr">
        <is>
          <t>Monthly F</t>
        </is>
      </c>
      <c r="C10" t="inlineStr">
        <is>
          <t>Remote Deposit</t>
        </is>
      </c>
      <c r="D10" t="inlineStr">
        <is>
          <t>Other</t>
        </is>
      </c>
      <c r="E10" t="b">
        <v>0</v>
      </c>
      <c r="F10" t="b">
        <v>0</v>
      </c>
      <c r="G10" s="12" t="n">
        <v>480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Required remote deposit capture</t>
        </is>
      </c>
    </row>
    <row r="11">
      <c r="A11" t="n">
        <v>19</v>
      </c>
      <c r="B11" t="inlineStr">
        <is>
          <t>Monthly F</t>
        </is>
      </c>
      <c r="C11" t="inlineStr">
        <is>
          <t>Wire Services</t>
        </is>
      </c>
      <c r="D11" t="inlineStr">
        <is>
          <t>Other</t>
        </is>
      </c>
      <c r="E11" t="b">
        <v>0</v>
      </c>
      <c r="F11" t="b">
        <v>0</v>
      </c>
      <c r="G11" s="12" t="n">
        <v>320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Required wire services</t>
        </is>
      </c>
    </row>
    <row r="12">
      <c r="A12" t="n">
        <v>18</v>
      </c>
      <c r="B12" t="inlineStr">
        <is>
          <t>One-Time</t>
        </is>
      </c>
      <c r="C12" t="inlineStr">
        <is>
          <t>ACH Processing - Implementation Fee</t>
        </is>
      </c>
      <c r="D12" t="inlineStr">
        <is>
          <t>Other</t>
        </is>
      </c>
      <c r="E12" t="b">
        <v>0</v>
      </c>
      <c r="F12" t="b">
        <v>0</v>
      </c>
      <c r="G12" s="12" t="n">
        <v>3500</v>
      </c>
      <c r="H12" t="inlineStr">
        <is>
          <t>one-time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Required ACH processing service</t>
        </is>
      </c>
    </row>
    <row r="13">
      <c r="A13" t="n">
        <v>2</v>
      </c>
      <c r="B13" t="inlineStr">
        <is>
          <t>One-Time</t>
        </is>
      </c>
      <c r="C13" t="inlineStr">
        <is>
          <t>DNA Core Platform - Implementation Fee</t>
        </is>
      </c>
      <c r="D13" t="inlineStr">
        <is>
          <t>Other</t>
        </is>
      </c>
      <c r="E13" t="b">
        <v>0</v>
      </c>
      <c r="F13" t="b">
        <v>0</v>
      </c>
      <c r="G13" s="12" t="n">
        <v>45000</v>
      </c>
      <c r="H13" t="inlineStr">
        <is>
          <t>one-time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Core platform bundle with license fee of $75,000</t>
        </is>
      </c>
    </row>
    <row r="14">
      <c r="A14" t="n">
        <v>10</v>
      </c>
      <c r="B14" t="inlineStr">
        <is>
          <t>One-Time</t>
        </is>
      </c>
      <c r="C14" t="inlineStr">
        <is>
          <t>DNA Digital Banking - Implementation Fee</t>
        </is>
      </c>
      <c r="D14" t="inlineStr">
        <is>
          <t>Other</t>
        </is>
      </c>
      <c r="E14" t="b">
        <v>0</v>
      </c>
      <c r="F14" t="b">
        <v>0</v>
      </c>
      <c r="G14" s="12" t="n">
        <v>18000</v>
      </c>
      <c r="H14" t="inlineStr">
        <is>
          <t>one-time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Digital banking bundle with license fee of $28,000</t>
        </is>
      </c>
    </row>
    <row r="15">
      <c r="A15" t="n">
        <v>8</v>
      </c>
      <c r="B15" t="inlineStr">
        <is>
          <t>One-Time</t>
        </is>
      </c>
      <c r="C15" t="inlineStr">
        <is>
          <t>DNA Lending - Implementation Fee</t>
        </is>
      </c>
      <c r="D15" t="inlineStr">
        <is>
          <t>Other</t>
        </is>
      </c>
      <c r="E15" t="b">
        <v>0</v>
      </c>
      <c r="F15" t="b">
        <v>0</v>
      </c>
      <c r="G15" s="12" t="n">
        <v>15000</v>
      </c>
      <c r="H15" t="inlineStr">
        <is>
          <t>one-time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Lending system bundle with license fee of $22,000</t>
        </is>
      </c>
    </row>
    <row r="16">
      <c r="A16" t="n">
        <v>12</v>
      </c>
      <c r="B16" t="inlineStr">
        <is>
          <t>One-Time</t>
        </is>
      </c>
      <c r="C16" t="inlineStr">
        <is>
          <t>DNA Mobile - Implementation Fee</t>
        </is>
      </c>
      <c r="D16" t="inlineStr">
        <is>
          <t>Other</t>
        </is>
      </c>
      <c r="E16" t="b">
        <v>0</v>
      </c>
      <c r="F16" t="b">
        <v>0</v>
      </c>
      <c r="G16" s="12" t="n">
        <v>11000</v>
      </c>
      <c r="H16" t="inlineStr">
        <is>
          <t>one-time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Mobile banking bundle with license fee of $16,000</t>
        </is>
      </c>
    </row>
    <row r="17">
      <c r="A17" t="n">
        <v>6</v>
      </c>
      <c r="B17" t="inlineStr">
        <is>
          <t>One-Time</t>
        </is>
      </c>
      <c r="C17" t="inlineStr">
        <is>
          <t>DNA New Accounts - Implementation Fee</t>
        </is>
      </c>
      <c r="D17" t="inlineStr">
        <is>
          <t>Other</t>
        </is>
      </c>
      <c r="E17" t="b">
        <v>0</v>
      </c>
      <c r="F17" t="b">
        <v>0</v>
      </c>
      <c r="G17" s="12" t="n">
        <v>10000</v>
      </c>
      <c r="H17" t="inlineStr">
        <is>
          <t>one-time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New accounts system bundle with license fee of $15,000</t>
        </is>
      </c>
    </row>
    <row r="18">
      <c r="A18" t="n">
        <v>4</v>
      </c>
      <c r="B18" t="inlineStr">
        <is>
          <t>One-Time</t>
        </is>
      </c>
      <c r="C18" t="inlineStr">
        <is>
          <t>DNA Teller - Implementation Fee</t>
        </is>
      </c>
      <c r="D18" t="inlineStr">
        <is>
          <t>Other</t>
        </is>
      </c>
      <c r="E18" t="b">
        <v>0</v>
      </c>
      <c r="F18" t="b">
        <v>0</v>
      </c>
      <c r="G18" s="12" t="n">
        <v>12000</v>
      </c>
      <c r="H18" t="inlineStr">
        <is>
          <t>one-time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Teller system bundle with license fee of $18,000</t>
        </is>
      </c>
    </row>
    <row r="19">
      <c r="A19" t="n">
        <v>24</v>
      </c>
      <c r="B19" t="inlineStr">
        <is>
          <t>One-Time</t>
        </is>
      </c>
      <c r="C19" t="inlineStr">
        <is>
          <t>Positive Pay - Implementation Fee</t>
        </is>
      </c>
      <c r="D19" t="inlineStr">
        <is>
          <t>Other</t>
        </is>
      </c>
      <c r="E19" t="b">
        <v>0</v>
      </c>
      <c r="F19" t="b">
        <v>0</v>
      </c>
      <c r="G19" s="12" t="n">
        <v>2500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Required positive pay service</t>
        </is>
      </c>
    </row>
    <row r="20">
      <c r="A20" t="n">
        <v>22</v>
      </c>
      <c r="B20" t="inlineStr">
        <is>
          <t>One-Time</t>
        </is>
      </c>
      <c r="C20" t="inlineStr">
        <is>
          <t>Remote Deposit - Implementation Fee</t>
        </is>
      </c>
      <c r="D20" t="inlineStr">
        <is>
          <t>Other</t>
        </is>
      </c>
      <c r="E20" t="b">
        <v>0</v>
      </c>
      <c r="F20" t="b">
        <v>0</v>
      </c>
      <c r="G20" s="12" t="n">
        <v>4000</v>
      </c>
      <c r="H20" t="inlineStr">
        <is>
          <t>one-time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Required remote deposit capture</t>
        </is>
      </c>
    </row>
    <row r="21">
      <c r="A21" t="n">
        <v>20</v>
      </c>
      <c r="B21" t="inlineStr">
        <is>
          <t>One-Time</t>
        </is>
      </c>
      <c r="C21" t="inlineStr">
        <is>
          <t>Wire Services - Implementation Fee</t>
        </is>
      </c>
      <c r="D21" t="inlineStr">
        <is>
          <t>Other</t>
        </is>
      </c>
      <c r="E21" t="b">
        <v>0</v>
      </c>
      <c r="F21" t="b">
        <v>0</v>
      </c>
      <c r="G21" s="12" t="n">
        <v>2000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Required wire services</t>
        </is>
      </c>
    </row>
    <row r="22">
      <c r="A22" t="n">
        <v>25</v>
      </c>
      <c r="B22" t="inlineStr">
        <is>
          <t>Monthly F</t>
        </is>
      </c>
      <c r="C22" t="inlineStr">
        <is>
          <t>Fiserv Hosting</t>
        </is>
      </c>
      <c r="D22" t="inlineStr">
        <is>
          <t>Other</t>
        </is>
      </c>
      <c r="E22" t="b">
        <v>1</v>
      </c>
      <c r="F22" t="b">
        <v>0</v>
      </c>
      <c r="G22" s="12" t="n">
        <v>4200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Required hosting service from Fiserv</t>
        </is>
      </c>
    </row>
    <row r="23">
      <c r="A23" t="n">
        <v>27</v>
      </c>
      <c r="B23" t="inlineStr">
        <is>
          <t>Monthly F</t>
        </is>
      </c>
      <c r="C23" t="inlineStr">
        <is>
          <t>Network Security</t>
        </is>
      </c>
      <c r="D23" t="inlineStr">
        <is>
          <t>Other</t>
        </is>
      </c>
      <c r="E23" t="b">
        <v>1</v>
      </c>
      <c r="F23" t="b">
        <v>0</v>
      </c>
      <c r="G23" s="12" t="n">
        <v>1650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Required network security service</t>
        </is>
      </c>
    </row>
    <row r="24">
      <c r="A24" t="n">
        <v>26</v>
      </c>
      <c r="B24" t="inlineStr">
        <is>
          <t>One-Time</t>
        </is>
      </c>
      <c r="C24" t="inlineStr">
        <is>
          <t>Fiserv Hosting - Implementation Fee</t>
        </is>
      </c>
      <c r="D24" t="inlineStr">
        <is>
          <t>Other</t>
        </is>
      </c>
      <c r="E24" t="b">
        <v>1</v>
      </c>
      <c r="F24" t="b">
        <v>0</v>
      </c>
      <c r="G24" s="12" t="n">
        <v>20000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Required hosting service from Fiserv</t>
        </is>
      </c>
    </row>
    <row r="25">
      <c r="A25" t="n">
        <v>28</v>
      </c>
      <c r="B25" t="inlineStr">
        <is>
          <t>One-Time</t>
        </is>
      </c>
      <c r="C25" t="inlineStr">
        <is>
          <t>Network Security - Implementation Fee</t>
        </is>
      </c>
      <c r="D25" t="inlineStr">
        <is>
          <t>Other</t>
        </is>
      </c>
      <c r="E25" t="b">
        <v>1</v>
      </c>
      <c r="F25" t="b">
        <v>0</v>
      </c>
      <c r="G25" s="12" t="n">
        <v>8000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Required network security service</t>
        </is>
      </c>
    </row>
    <row r="26">
      <c r="A26" t="n">
        <v>15</v>
      </c>
      <c r="B26" t="inlineStr">
        <is>
          <t>Monthly F</t>
        </is>
      </c>
      <c r="C26" t="inlineStr">
        <is>
          <t>DNA Business Intelligence</t>
        </is>
      </c>
      <c r="D26" t="inlineStr">
        <is>
          <t>Other</t>
        </is>
      </c>
      <c r="E26" t="b">
        <v>0</v>
      </c>
      <c r="F26" t="b">
        <v>1</v>
      </c>
      <c r="G26" s="12" t="n">
        <v>1600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Optional BI system with license fee of $12,000</t>
        </is>
      </c>
    </row>
    <row r="27">
      <c r="A27" t="n">
        <v>13</v>
      </c>
      <c r="B27" t="inlineStr">
        <is>
          <t>Monthly F</t>
        </is>
      </c>
      <c r="C27" t="inlineStr">
        <is>
          <t>DNA IVR</t>
        </is>
      </c>
      <c r="D27" t="inlineStr">
        <is>
          <t>Other</t>
        </is>
      </c>
      <c r="E27" t="b">
        <v>0</v>
      </c>
      <c r="F27" t="b">
        <v>1</v>
      </c>
      <c r="G27" s="12" t="n">
        <v>1200</v>
      </c>
      <c r="H27" t="inlineStr">
        <is>
          <t>per month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Optional IVR system with license fee of $8,000</t>
        </is>
      </c>
    </row>
    <row r="28">
      <c r="A28" t="n">
        <v>16</v>
      </c>
      <c r="B28" t="inlineStr">
        <is>
          <t>One-Time</t>
        </is>
      </c>
      <c r="C28" t="inlineStr">
        <is>
          <t>DNA Business Intelligence - Implementation Fee</t>
        </is>
      </c>
      <c r="D28" t="inlineStr">
        <is>
          <t>Other</t>
        </is>
      </c>
      <c r="E28" t="b">
        <v>0</v>
      </c>
      <c r="F28" t="b">
        <v>1</v>
      </c>
      <c r="G28" s="12" t="n">
        <v>8000</v>
      </c>
      <c r="H28" t="inlineStr">
        <is>
          <t>one-time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BI system with license fee of $12,000</t>
        </is>
      </c>
    </row>
    <row r="29">
      <c r="A29" t="n">
        <v>14</v>
      </c>
      <c r="B29" t="inlineStr">
        <is>
          <t>One-Time</t>
        </is>
      </c>
      <c r="C29" t="inlineStr">
        <is>
          <t>DNA IVR - Implementation Fee</t>
        </is>
      </c>
      <c r="D29" t="inlineStr">
        <is>
          <t>Other</t>
        </is>
      </c>
      <c r="E29" t="b">
        <v>0</v>
      </c>
      <c r="F29" t="b">
        <v>1</v>
      </c>
      <c r="G29" s="12" t="n">
        <v>6000</v>
      </c>
      <c r="H29" t="inlineStr">
        <is>
          <t>one-time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IVR system with license fee of $8,000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Other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Non-Bundle Required - Vendor</t>
        </is>
      </c>
      <c r="B6" s="9" t="n"/>
      <c r="C6" s="9" t="n"/>
    </row>
    <row r="7">
      <c r="A7" s="13" t="inlineStr">
        <is>
          <t>Total Required TCO</t>
        </is>
      </c>
      <c r="B7" s="14">
        <f>SUM(B5:B5)</f>
        <v/>
      </c>
      <c r="C7" s="14">
        <f>B7/84</f>
        <v/>
      </c>
    </row>
    <row r="8">
      <c r="A8" t="inlineStr">
        <is>
          <t>One-Time Fees</t>
        </is>
      </c>
      <c r="B8" s="9" t="n"/>
      <c r="C8" s="9" t="n"/>
    </row>
    <row r="9">
      <c r="A9" s="15" t="inlineStr">
        <is>
          <t>Optional Items Total</t>
        </is>
      </c>
      <c r="B9" s="9">
        <f>SUMIFS('Line Items'!$R:$R,'Line Items'!$F:$F,TRUE)</f>
        <v/>
      </c>
      <c r="C9" s="9">
        <f>B9/84</f>
        <v/>
      </c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SUNRISE_FISERV</t>
        </is>
      </c>
    </row>
    <row r="3">
      <c r="A3" s="2" t="inlineStr">
        <is>
          <t>Client Name:</t>
        </is>
      </c>
      <c r="B3" t="inlineStr">
        <is>
          <t>Sunrise Community Bank</t>
        </is>
      </c>
    </row>
    <row r="4">
      <c r="A4" s="2" t="inlineStr">
        <is>
          <t>Proposal Type:</t>
        </is>
      </c>
      <c r="B4" t="inlineStr">
        <is>
          <t>Core Banking Platform Pricing Proposal</t>
        </is>
      </c>
    </row>
    <row r="5">
      <c r="A5" s="2" t="inlineStr">
        <is>
          <t>Proposal Date:</t>
        </is>
      </c>
      <c r="B5" t="inlineStr">
        <is>
          <t>January 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17:43:34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2026-01-14T23:43:34Z</dcterms:modified>
</cp:coreProperties>
</file>